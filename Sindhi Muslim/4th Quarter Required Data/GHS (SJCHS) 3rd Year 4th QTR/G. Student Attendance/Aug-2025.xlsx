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4th Quarter Required Data\GHS (SJCHS) 3rd Year 4th QTR\G. Student Attendance\"/>
    </mc:Choice>
  </mc:AlternateContent>
  <xr:revisionPtr revIDLastSave="0" documentId="13_ncr:1_{B0BECC50-E8A7-4B82-B57A-AA536CDCB2EC}" xr6:coauthVersionLast="47" xr6:coauthVersionMax="47" xr10:uidLastSave="{00000000-0000-0000-0000-000000000000}"/>
  <bookViews>
    <workbookView xWindow="-120" yWindow="-120" windowWidth="20730" windowHeight="11160" firstSheet="4" activeTab="12" xr2:uid="{00000000-000D-0000-FFFF-FFFF00000000}"/>
  </bookViews>
  <sheets>
    <sheet name="Compile Sheet-November-2024" sheetId="18" r:id="rId1"/>
    <sheet name="ECE ROSE" sheetId="19" r:id="rId2"/>
    <sheet name="ECE (Daffodils)" sheetId="5" r:id="rId3"/>
    <sheet name="Class-1" sheetId="8" r:id="rId4"/>
    <sheet name="Class-2" sheetId="9" r:id="rId5"/>
    <sheet name="Class-3" sheetId="10" r:id="rId6"/>
    <sheet name="Class-4" sheetId="11" r:id="rId7"/>
    <sheet name="Class-5" sheetId="12" r:id="rId8"/>
    <sheet name="Class-6" sheetId="13" r:id="rId9"/>
    <sheet name="Class-7" sheetId="14" r:id="rId10"/>
    <sheet name="class-8" sheetId="15" r:id="rId11"/>
    <sheet name="class-9" sheetId="16" r:id="rId12"/>
    <sheet name="class-10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7" l="1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F3" i="17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F3" i="16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F3" i="15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F3" i="14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F3" i="13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F3" i="12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F3" i="11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F3" i="10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F3" i="9"/>
  <c r="X62" i="8"/>
  <c r="Y62" i="8"/>
  <c r="X63" i="8"/>
  <c r="Y63" i="8"/>
  <c r="P3" i="8"/>
  <c r="G3" i="8"/>
  <c r="H3" i="8"/>
  <c r="I3" i="8"/>
  <c r="J3" i="8"/>
  <c r="K3" i="8"/>
  <c r="L3" i="8"/>
  <c r="M3" i="8"/>
  <c r="N3" i="8"/>
  <c r="O3" i="8"/>
  <c r="Q3" i="8"/>
  <c r="R3" i="8"/>
  <c r="S3" i="8"/>
  <c r="T3" i="8"/>
  <c r="U3" i="8"/>
  <c r="V3" i="8"/>
  <c r="W3" i="8"/>
  <c r="F3" i="8"/>
  <c r="X31" i="19" l="1"/>
  <c r="W31" i="19"/>
  <c r="X30" i="19"/>
  <c r="W30" i="19"/>
  <c r="X29" i="19"/>
  <c r="W29" i="19"/>
  <c r="X28" i="19"/>
  <c r="W28" i="19"/>
  <c r="X27" i="19"/>
  <c r="W27" i="19"/>
  <c r="X26" i="19"/>
  <c r="W26" i="19"/>
  <c r="X25" i="19"/>
  <c r="W25" i="19"/>
  <c r="X24" i="19"/>
  <c r="W24" i="19"/>
  <c r="X23" i="19"/>
  <c r="W23" i="19"/>
  <c r="X22" i="19"/>
  <c r="W22" i="19"/>
  <c r="AA21" i="19"/>
  <c r="Z21" i="19"/>
  <c r="X21" i="19"/>
  <c r="W21" i="19"/>
  <c r="X20" i="19"/>
  <c r="W20" i="19"/>
  <c r="X19" i="19"/>
  <c r="W19" i="19"/>
  <c r="X18" i="19"/>
  <c r="W18" i="19"/>
  <c r="X17" i="19"/>
  <c r="W17" i="19"/>
  <c r="X16" i="19"/>
  <c r="W16" i="19"/>
  <c r="X15" i="19"/>
  <c r="W15" i="19"/>
  <c r="X14" i="19"/>
  <c r="W14" i="19"/>
  <c r="AA13" i="19"/>
  <c r="Z13" i="19"/>
  <c r="X13" i="19"/>
  <c r="W13" i="19"/>
  <c r="X12" i="19"/>
  <c r="W12" i="19"/>
  <c r="X11" i="19"/>
  <c r="W11" i="19"/>
  <c r="X10" i="19"/>
  <c r="W10" i="19"/>
  <c r="X9" i="19"/>
  <c r="W9" i="19"/>
  <c r="X8" i="19"/>
  <c r="W8" i="19"/>
  <c r="X7" i="19"/>
  <c r="W7" i="19"/>
  <c r="X6" i="19"/>
  <c r="W6" i="19"/>
  <c r="X5" i="19"/>
  <c r="W5" i="19"/>
  <c r="Z4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B21" i="19" l="1"/>
  <c r="Z14" i="19"/>
  <c r="Z15" i="19" s="1"/>
  <c r="AB13" i="19"/>
  <c r="AA14" i="19"/>
  <c r="AA15" i="19" s="1"/>
  <c r="W27" i="15"/>
  <c r="X27" i="15"/>
  <c r="W29" i="13"/>
  <c r="X29" i="13"/>
  <c r="W27" i="10"/>
  <c r="X27" i="10"/>
  <c r="Z22" i="19" l="1"/>
  <c r="Z23" i="19" s="1"/>
  <c r="AA22" i="19"/>
  <c r="AA23" i="19" s="1"/>
  <c r="AB14" i="19"/>
  <c r="AB15" i="19" s="1"/>
  <c r="W38" i="16"/>
  <c r="X38" i="16"/>
  <c r="W39" i="16"/>
  <c r="X39" i="16"/>
  <c r="W51" i="14"/>
  <c r="X51" i="14"/>
  <c r="W50" i="14"/>
  <c r="X50" i="14"/>
  <c r="W49" i="14"/>
  <c r="X49" i="14"/>
  <c r="W27" i="14"/>
  <c r="X27" i="14"/>
  <c r="AB22" i="19" l="1"/>
  <c r="AB23" i="19" s="1"/>
  <c r="W55" i="13"/>
  <c r="X55" i="13"/>
  <c r="W54" i="13"/>
  <c r="X54" i="13"/>
  <c r="W53" i="13"/>
  <c r="X53" i="13"/>
  <c r="W52" i="13"/>
  <c r="X52" i="13"/>
  <c r="W58" i="5" l="1"/>
  <c r="X58" i="5"/>
  <c r="W25" i="12" l="1"/>
  <c r="X25" i="12"/>
  <c r="W24" i="12"/>
  <c r="X24" i="12"/>
  <c r="W23" i="12"/>
  <c r="X23" i="12"/>
  <c r="W56" i="11" l="1"/>
  <c r="X56" i="11"/>
  <c r="W55" i="11"/>
  <c r="X55" i="11"/>
  <c r="W54" i="11"/>
  <c r="X54" i="11"/>
  <c r="W30" i="11"/>
  <c r="X30" i="11"/>
  <c r="W51" i="10"/>
  <c r="X51" i="10"/>
  <c r="W50" i="10"/>
  <c r="X50" i="10"/>
  <c r="X29" i="8"/>
  <c r="Y29" i="8"/>
  <c r="G3" i="5" l="1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X61" i="8" l="1"/>
  <c r="Y61" i="8"/>
  <c r="X28" i="8"/>
  <c r="Y28" i="8"/>
  <c r="Z4" i="14" l="1"/>
  <c r="AA13" i="8"/>
  <c r="AA21" i="5"/>
  <c r="Z21" i="5"/>
  <c r="Z13" i="5"/>
  <c r="AA13" i="5"/>
  <c r="AB21" i="8"/>
  <c r="AA21" i="8"/>
  <c r="AB13" i="8"/>
  <c r="AA4" i="8"/>
  <c r="Z4" i="5"/>
  <c r="X53" i="11"/>
  <c r="W53" i="11"/>
  <c r="X52" i="11"/>
  <c r="W52" i="11"/>
  <c r="X51" i="11"/>
  <c r="W51" i="11"/>
  <c r="X50" i="11"/>
  <c r="W50" i="11"/>
  <c r="X49" i="11"/>
  <c r="W49" i="11"/>
  <c r="X48" i="11"/>
  <c r="W48" i="11"/>
  <c r="X47" i="11"/>
  <c r="W47" i="11"/>
  <c r="X46" i="11"/>
  <c r="W46" i="11"/>
  <c r="X45" i="11"/>
  <c r="W45" i="11"/>
  <c r="X44" i="11"/>
  <c r="W44" i="11"/>
  <c r="X43" i="11"/>
  <c r="W43" i="11"/>
  <c r="X42" i="11"/>
  <c r="W42" i="11"/>
  <c r="X41" i="11"/>
  <c r="W41" i="11"/>
  <c r="X40" i="11"/>
  <c r="W40" i="11"/>
  <c r="X39" i="11"/>
  <c r="W39" i="11"/>
  <c r="X38" i="11"/>
  <c r="W38" i="11"/>
  <c r="X37" i="11"/>
  <c r="W37" i="11"/>
  <c r="X36" i="11"/>
  <c r="W36" i="11"/>
  <c r="X35" i="11"/>
  <c r="W35" i="11"/>
  <c r="X34" i="11"/>
  <c r="W34" i="11"/>
  <c r="X33" i="11"/>
  <c r="W33" i="11"/>
  <c r="X32" i="11"/>
  <c r="W32" i="11"/>
  <c r="X31" i="11"/>
  <c r="W31" i="11"/>
  <c r="X29" i="11"/>
  <c r="W29" i="11"/>
  <c r="X28" i="11"/>
  <c r="W28" i="11"/>
  <c r="X27" i="11"/>
  <c r="W27" i="11"/>
  <c r="X26" i="11"/>
  <c r="W26" i="11"/>
  <c r="X25" i="11"/>
  <c r="W25" i="11"/>
  <c r="X24" i="11"/>
  <c r="W24" i="11"/>
  <c r="X23" i="11"/>
  <c r="W23" i="11"/>
  <c r="X22" i="11"/>
  <c r="W22" i="11"/>
  <c r="X21" i="11"/>
  <c r="W21" i="11"/>
  <c r="AA20" i="11"/>
  <c r="Z20" i="11"/>
  <c r="X20" i="11"/>
  <c r="W20" i="11"/>
  <c r="X19" i="11"/>
  <c r="W19" i="11"/>
  <c r="X18" i="11"/>
  <c r="W18" i="11"/>
  <c r="X17" i="11"/>
  <c r="W17" i="11"/>
  <c r="X16" i="11"/>
  <c r="W16" i="11"/>
  <c r="X15" i="11"/>
  <c r="W15" i="11"/>
  <c r="X14" i="11"/>
  <c r="W14" i="11"/>
  <c r="X13" i="11"/>
  <c r="W13" i="11"/>
  <c r="AA12" i="11"/>
  <c r="Z12" i="11"/>
  <c r="X12" i="11"/>
  <c r="W12" i="11"/>
  <c r="X11" i="11"/>
  <c r="W11" i="11"/>
  <c r="X10" i="11"/>
  <c r="W10" i="11"/>
  <c r="X9" i="11"/>
  <c r="W9" i="11"/>
  <c r="X8" i="11"/>
  <c r="W8" i="11"/>
  <c r="X7" i="11"/>
  <c r="W7" i="11"/>
  <c r="X6" i="11"/>
  <c r="W6" i="11"/>
  <c r="X5" i="11"/>
  <c r="W5" i="11"/>
  <c r="Z4" i="11"/>
  <c r="AC13" i="8" l="1"/>
  <c r="AB13" i="5"/>
  <c r="AA13" i="11"/>
  <c r="AA14" i="11" s="1"/>
  <c r="Z13" i="11"/>
  <c r="Z14" i="11" s="1"/>
  <c r="AB20" i="11"/>
  <c r="AB12" i="11"/>
  <c r="AC21" i="8"/>
  <c r="AB21" i="5"/>
  <c r="AA21" i="11" l="1"/>
  <c r="AA22" i="11" s="1"/>
  <c r="Z21" i="11"/>
  <c r="Z22" i="11" s="1"/>
  <c r="AB13" i="11"/>
  <c r="AB14" i="11" s="1"/>
  <c r="AB21" i="11" l="1"/>
  <c r="AB22" i="11" s="1"/>
  <c r="X52" i="10"/>
  <c r="W52" i="10"/>
  <c r="X49" i="10"/>
  <c r="W49" i="10"/>
  <c r="X48" i="10"/>
  <c r="W48" i="10"/>
  <c r="X47" i="10"/>
  <c r="W47" i="10"/>
  <c r="X46" i="10"/>
  <c r="W46" i="10"/>
  <c r="X45" i="10"/>
  <c r="W45" i="10"/>
  <c r="X44" i="10"/>
  <c r="W44" i="10"/>
  <c r="X43" i="10"/>
  <c r="W43" i="10"/>
  <c r="X42" i="10"/>
  <c r="W42" i="10"/>
  <c r="X41" i="10"/>
  <c r="W41" i="10"/>
  <c r="X40" i="10"/>
  <c r="W40" i="10"/>
  <c r="X39" i="10"/>
  <c r="W39" i="10"/>
  <c r="X38" i="10"/>
  <c r="W38" i="10"/>
  <c r="X37" i="10"/>
  <c r="W37" i="10"/>
  <c r="X36" i="10"/>
  <c r="W36" i="10"/>
  <c r="X35" i="10"/>
  <c r="W35" i="10"/>
  <c r="X34" i="10"/>
  <c r="W34" i="10"/>
  <c r="X33" i="10"/>
  <c r="W33" i="10"/>
  <c r="X32" i="10"/>
  <c r="W32" i="10"/>
  <c r="X31" i="10"/>
  <c r="W31" i="10"/>
  <c r="X30" i="10"/>
  <c r="W30" i="10"/>
  <c r="X29" i="10"/>
  <c r="W29" i="10"/>
  <c r="X28" i="10"/>
  <c r="W28" i="10"/>
  <c r="X26" i="10"/>
  <c r="W26" i="10"/>
  <c r="X25" i="10"/>
  <c r="W25" i="10"/>
  <c r="X24" i="10"/>
  <c r="W24" i="10"/>
  <c r="X23" i="10"/>
  <c r="W23" i="10"/>
  <c r="X22" i="10"/>
  <c r="W22" i="10"/>
  <c r="AA21" i="10"/>
  <c r="Z21" i="10"/>
  <c r="X21" i="10"/>
  <c r="W21" i="10"/>
  <c r="X20" i="10"/>
  <c r="W20" i="10"/>
  <c r="X19" i="10"/>
  <c r="W19" i="10"/>
  <c r="X18" i="10"/>
  <c r="W18" i="10"/>
  <c r="X17" i="10"/>
  <c r="W17" i="10"/>
  <c r="X16" i="10"/>
  <c r="W16" i="10"/>
  <c r="X15" i="10"/>
  <c r="W15" i="10"/>
  <c r="X14" i="10"/>
  <c r="W14" i="10"/>
  <c r="AA13" i="10"/>
  <c r="Z13" i="10"/>
  <c r="X13" i="10"/>
  <c r="W13" i="10"/>
  <c r="X12" i="10"/>
  <c r="W12" i="10"/>
  <c r="X11" i="10"/>
  <c r="W11" i="10"/>
  <c r="X10" i="10"/>
  <c r="W10" i="10"/>
  <c r="X9" i="10"/>
  <c r="W9" i="10"/>
  <c r="X8" i="10"/>
  <c r="W8" i="10"/>
  <c r="X7" i="10"/>
  <c r="W7" i="10"/>
  <c r="X6" i="10"/>
  <c r="W6" i="10"/>
  <c r="X5" i="10"/>
  <c r="W5" i="10"/>
  <c r="Z4" i="10"/>
  <c r="AB13" i="10" l="1"/>
  <c r="Z14" i="10"/>
  <c r="Z15" i="10" s="1"/>
  <c r="AB21" i="10"/>
  <c r="AA14" i="10"/>
  <c r="AA15" i="10" s="1"/>
  <c r="Z22" i="10" l="1"/>
  <c r="Z23" i="10" s="1"/>
  <c r="AA22" i="10"/>
  <c r="AA23" i="10" s="1"/>
  <c r="AB14" i="10"/>
  <c r="AB15" i="10" s="1"/>
  <c r="AB22" i="10" l="1"/>
  <c r="AB23" i="10" s="1"/>
  <c r="X54" i="9"/>
  <c r="W54" i="9"/>
  <c r="X53" i="9"/>
  <c r="W53" i="9"/>
  <c r="X52" i="9"/>
  <c r="W52" i="9"/>
  <c r="X51" i="9"/>
  <c r="W51" i="9"/>
  <c r="X50" i="9"/>
  <c r="W50" i="9"/>
  <c r="X49" i="9"/>
  <c r="W49" i="9"/>
  <c r="X48" i="9"/>
  <c r="W48" i="9"/>
  <c r="X47" i="9"/>
  <c r="W47" i="9"/>
  <c r="X46" i="9"/>
  <c r="W46" i="9"/>
  <c r="X45" i="9"/>
  <c r="W45" i="9"/>
  <c r="X44" i="9"/>
  <c r="W44" i="9"/>
  <c r="X43" i="9"/>
  <c r="W43" i="9"/>
  <c r="X42" i="9"/>
  <c r="W42" i="9"/>
  <c r="X41" i="9"/>
  <c r="W41" i="9"/>
  <c r="X40" i="9"/>
  <c r="W40" i="9"/>
  <c r="X39" i="9"/>
  <c r="W39" i="9"/>
  <c r="X38" i="9"/>
  <c r="W38" i="9"/>
  <c r="X37" i="9"/>
  <c r="W37" i="9"/>
  <c r="X36" i="9"/>
  <c r="W36" i="9"/>
  <c r="X35" i="9"/>
  <c r="W35" i="9"/>
  <c r="X34" i="9"/>
  <c r="W34" i="9"/>
  <c r="X33" i="9"/>
  <c r="W33" i="9"/>
  <c r="X32" i="9"/>
  <c r="W32" i="9"/>
  <c r="X31" i="9"/>
  <c r="W31" i="9"/>
  <c r="X30" i="9"/>
  <c r="W30" i="9"/>
  <c r="X29" i="9"/>
  <c r="W29" i="9"/>
  <c r="X28" i="9"/>
  <c r="W28" i="9"/>
  <c r="X27" i="9"/>
  <c r="W27" i="9"/>
  <c r="X26" i="9"/>
  <c r="W26" i="9"/>
  <c r="X25" i="9"/>
  <c r="W25" i="9"/>
  <c r="X24" i="9"/>
  <c r="W24" i="9"/>
  <c r="X23" i="9"/>
  <c r="W23" i="9"/>
  <c r="X22" i="9"/>
  <c r="W22" i="9"/>
  <c r="X21" i="9"/>
  <c r="W21" i="9"/>
  <c r="AA20" i="9"/>
  <c r="Z20" i="9"/>
  <c r="X20" i="9"/>
  <c r="W20" i="9"/>
  <c r="X19" i="9"/>
  <c r="W19" i="9"/>
  <c r="X18" i="9"/>
  <c r="W18" i="9"/>
  <c r="X17" i="9"/>
  <c r="W17" i="9"/>
  <c r="X16" i="9"/>
  <c r="W16" i="9"/>
  <c r="X15" i="9"/>
  <c r="W15" i="9"/>
  <c r="X14" i="9"/>
  <c r="W14" i="9"/>
  <c r="X13" i="9"/>
  <c r="W13" i="9"/>
  <c r="AA12" i="9"/>
  <c r="Z12" i="9"/>
  <c r="X12" i="9"/>
  <c r="W12" i="9"/>
  <c r="X11" i="9"/>
  <c r="W11" i="9"/>
  <c r="X10" i="9"/>
  <c r="W10" i="9"/>
  <c r="X9" i="9"/>
  <c r="W9" i="9"/>
  <c r="X8" i="9"/>
  <c r="W8" i="9"/>
  <c r="X7" i="9"/>
  <c r="W7" i="9"/>
  <c r="X6" i="9"/>
  <c r="W6" i="9"/>
  <c r="X5" i="9"/>
  <c r="W5" i="9"/>
  <c r="Z4" i="9"/>
  <c r="AB12" i="9" l="1"/>
  <c r="AB20" i="9"/>
  <c r="AA13" i="9"/>
  <c r="AA14" i="9" s="1"/>
  <c r="Z13" i="9"/>
  <c r="Z21" i="9" s="1"/>
  <c r="AA21" i="9" l="1"/>
  <c r="Z14" i="9"/>
  <c r="AB13" i="9"/>
  <c r="AB14" i="9" s="1"/>
  <c r="AB21" i="9" l="1"/>
  <c r="Y60" i="8"/>
  <c r="X60" i="8"/>
  <c r="Y59" i="8"/>
  <c r="X59" i="8"/>
  <c r="Y58" i="8"/>
  <c r="X58" i="8"/>
  <c r="Y57" i="8"/>
  <c r="X57" i="8"/>
  <c r="Y56" i="8"/>
  <c r="X56" i="8"/>
  <c r="Y55" i="8"/>
  <c r="X55" i="8"/>
  <c r="Y54" i="8"/>
  <c r="X54" i="8"/>
  <c r="Y53" i="8"/>
  <c r="X53" i="8"/>
  <c r="Y52" i="8"/>
  <c r="X52" i="8"/>
  <c r="Y51" i="8"/>
  <c r="X51" i="8"/>
  <c r="Y50" i="8"/>
  <c r="X50" i="8"/>
  <c r="Y49" i="8"/>
  <c r="X49" i="8"/>
  <c r="Y48" i="8"/>
  <c r="X48" i="8"/>
  <c r="Y47" i="8"/>
  <c r="X47" i="8"/>
  <c r="Y46" i="8"/>
  <c r="X46" i="8"/>
  <c r="Y45" i="8"/>
  <c r="X45" i="8"/>
  <c r="Y44" i="8"/>
  <c r="X44" i="8"/>
  <c r="Y43" i="8"/>
  <c r="X43" i="8"/>
  <c r="Y42" i="8"/>
  <c r="X42" i="8"/>
  <c r="Y41" i="8"/>
  <c r="X41" i="8"/>
  <c r="Y40" i="8"/>
  <c r="X40" i="8"/>
  <c r="Y39" i="8"/>
  <c r="X39" i="8"/>
  <c r="Y38" i="8"/>
  <c r="X38" i="8"/>
  <c r="Y37" i="8"/>
  <c r="X37" i="8"/>
  <c r="Y36" i="8"/>
  <c r="X36" i="8"/>
  <c r="Y35" i="8"/>
  <c r="X35" i="8"/>
  <c r="Y34" i="8"/>
  <c r="X34" i="8"/>
  <c r="Y33" i="8"/>
  <c r="X33" i="8"/>
  <c r="Y32" i="8"/>
  <c r="X32" i="8"/>
  <c r="Y31" i="8"/>
  <c r="X31" i="8"/>
  <c r="Y30" i="8"/>
  <c r="X30" i="8"/>
  <c r="Y27" i="8"/>
  <c r="X27" i="8"/>
  <c r="Y26" i="8"/>
  <c r="X26" i="8"/>
  <c r="Y25" i="8"/>
  <c r="Y24" i="8"/>
  <c r="X24" i="8"/>
  <c r="Y23" i="8"/>
  <c r="X23" i="8"/>
  <c r="Y22" i="8"/>
  <c r="X22" i="8"/>
  <c r="Y21" i="8"/>
  <c r="X21" i="8"/>
  <c r="Y20" i="8"/>
  <c r="X20" i="8"/>
  <c r="Y19" i="8"/>
  <c r="X19" i="8"/>
  <c r="Y18" i="8"/>
  <c r="X18" i="8"/>
  <c r="Y17" i="8"/>
  <c r="X17" i="8"/>
  <c r="Y16" i="8"/>
  <c r="X16" i="8"/>
  <c r="Y15" i="8"/>
  <c r="X15" i="8"/>
  <c r="Y14" i="8"/>
  <c r="X14" i="8"/>
  <c r="Y13" i="8"/>
  <c r="X13" i="8"/>
  <c r="Y12" i="8"/>
  <c r="X12" i="8"/>
  <c r="Y11" i="8"/>
  <c r="X11" i="8"/>
  <c r="Y10" i="8"/>
  <c r="X10" i="8"/>
  <c r="Y9" i="8"/>
  <c r="X9" i="8"/>
  <c r="Y8" i="8"/>
  <c r="X8" i="8"/>
  <c r="Y7" i="8"/>
  <c r="X7" i="8"/>
  <c r="Y6" i="8"/>
  <c r="X6" i="8"/>
  <c r="Y5" i="8"/>
  <c r="X5" i="8"/>
  <c r="AA14" i="8" l="1"/>
  <c r="AA15" i="8" s="1"/>
  <c r="AB14" i="8"/>
  <c r="AB15" i="8" s="1"/>
  <c r="X57" i="5"/>
  <c r="W57" i="5"/>
  <c r="X56" i="5"/>
  <c r="W56" i="5"/>
  <c r="X55" i="5"/>
  <c r="W55" i="5"/>
  <c r="X54" i="5"/>
  <c r="W54" i="5"/>
  <c r="X53" i="5"/>
  <c r="W53" i="5"/>
  <c r="X52" i="5"/>
  <c r="W52" i="5"/>
  <c r="X51" i="5"/>
  <c r="W51" i="5"/>
  <c r="X50" i="5"/>
  <c r="W50" i="5"/>
  <c r="X49" i="5"/>
  <c r="W49" i="5"/>
  <c r="X48" i="5"/>
  <c r="W48" i="5"/>
  <c r="X47" i="5"/>
  <c r="W47" i="5"/>
  <c r="X46" i="5"/>
  <c r="W46" i="5"/>
  <c r="X45" i="5"/>
  <c r="W45" i="5"/>
  <c r="X44" i="5"/>
  <c r="W44" i="5"/>
  <c r="X43" i="5"/>
  <c r="W43" i="5"/>
  <c r="X42" i="5"/>
  <c r="W42" i="5"/>
  <c r="X41" i="5"/>
  <c r="W41" i="5"/>
  <c r="X40" i="5"/>
  <c r="W40" i="5"/>
  <c r="X39" i="5"/>
  <c r="W39" i="5"/>
  <c r="X38" i="5"/>
  <c r="W38" i="5"/>
  <c r="X37" i="5"/>
  <c r="W37" i="5"/>
  <c r="X36" i="5"/>
  <c r="W36" i="5"/>
  <c r="X35" i="5"/>
  <c r="W35" i="5"/>
  <c r="X34" i="5"/>
  <c r="W34" i="5"/>
  <c r="X33" i="5"/>
  <c r="W33" i="5"/>
  <c r="X32" i="5"/>
  <c r="W32" i="5"/>
  <c r="X31" i="5"/>
  <c r="W31" i="5"/>
  <c r="X30" i="5"/>
  <c r="W30" i="5"/>
  <c r="X29" i="5"/>
  <c r="W29" i="5"/>
  <c r="X28" i="5"/>
  <c r="W28" i="5"/>
  <c r="X27" i="5"/>
  <c r="W27" i="5"/>
  <c r="X26" i="5"/>
  <c r="W26" i="5"/>
  <c r="X25" i="5"/>
  <c r="W25" i="5"/>
  <c r="X24" i="5"/>
  <c r="W24" i="5"/>
  <c r="X23" i="5"/>
  <c r="W23" i="5"/>
  <c r="X22" i="5"/>
  <c r="W22" i="5"/>
  <c r="X21" i="5"/>
  <c r="W21" i="5"/>
  <c r="X20" i="5"/>
  <c r="W20" i="5"/>
  <c r="X19" i="5"/>
  <c r="W19" i="5"/>
  <c r="X18" i="5"/>
  <c r="W18" i="5"/>
  <c r="X17" i="5"/>
  <c r="W17" i="5"/>
  <c r="X16" i="5"/>
  <c r="W16" i="5"/>
  <c r="X15" i="5"/>
  <c r="W15" i="5"/>
  <c r="X14" i="5"/>
  <c r="W14" i="5"/>
  <c r="X13" i="5"/>
  <c r="W13" i="5"/>
  <c r="X12" i="5"/>
  <c r="W12" i="5"/>
  <c r="X11" i="5"/>
  <c r="W11" i="5"/>
  <c r="X10" i="5"/>
  <c r="W10" i="5"/>
  <c r="X9" i="5"/>
  <c r="W9" i="5"/>
  <c r="X8" i="5"/>
  <c r="W8" i="5"/>
  <c r="X7" i="5"/>
  <c r="W7" i="5"/>
  <c r="X6" i="5"/>
  <c r="W6" i="5"/>
  <c r="X5" i="5"/>
  <c r="W5" i="5"/>
  <c r="F3" i="5"/>
  <c r="AA22" i="8" l="1"/>
  <c r="AA23" i="8" s="1"/>
  <c r="AC14" i="8"/>
  <c r="AC15" i="8" s="1"/>
  <c r="AB22" i="8"/>
  <c r="Z14" i="5"/>
  <c r="Z15" i="5" s="1"/>
  <c r="AA14" i="5"/>
  <c r="AA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A21" i="17"/>
  <c r="Z21" i="17"/>
  <c r="AA13" i="17"/>
  <c r="Z13" i="17"/>
  <c r="Z4" i="17"/>
  <c r="X36" i="17"/>
  <c r="W36" i="17"/>
  <c r="X35" i="17"/>
  <c r="W35" i="17"/>
  <c r="X34" i="17"/>
  <c r="W34" i="17"/>
  <c r="X33" i="17"/>
  <c r="W33" i="17"/>
  <c r="X32" i="17"/>
  <c r="W32" i="17"/>
  <c r="X31" i="17"/>
  <c r="W31" i="17"/>
  <c r="X30" i="17"/>
  <c r="W30" i="17"/>
  <c r="X29" i="17"/>
  <c r="W29" i="17"/>
  <c r="X28" i="17"/>
  <c r="W28" i="17"/>
  <c r="X27" i="17"/>
  <c r="W27" i="17"/>
  <c r="X26" i="17"/>
  <c r="W26" i="17"/>
  <c r="X25" i="17"/>
  <c r="W25" i="17"/>
  <c r="X24" i="17"/>
  <c r="W24" i="17"/>
  <c r="X23" i="17"/>
  <c r="W23" i="17"/>
  <c r="X22" i="17"/>
  <c r="W22" i="17"/>
  <c r="X21" i="17"/>
  <c r="W21" i="17"/>
  <c r="X20" i="17"/>
  <c r="W20" i="17"/>
  <c r="X19" i="17"/>
  <c r="W19" i="17"/>
  <c r="X18" i="17"/>
  <c r="W18" i="17"/>
  <c r="X17" i="17"/>
  <c r="W17" i="17"/>
  <c r="X16" i="17"/>
  <c r="W16" i="17"/>
  <c r="X15" i="17"/>
  <c r="W15" i="17"/>
  <c r="X14" i="17"/>
  <c r="W14" i="17"/>
  <c r="X13" i="17"/>
  <c r="W13" i="17"/>
  <c r="X12" i="17"/>
  <c r="W12" i="17"/>
  <c r="X11" i="17"/>
  <c r="W11" i="17"/>
  <c r="X10" i="17"/>
  <c r="W10" i="17"/>
  <c r="X9" i="17"/>
  <c r="W9" i="17"/>
  <c r="X8" i="17"/>
  <c r="W8" i="17"/>
  <c r="X7" i="17"/>
  <c r="W7" i="17"/>
  <c r="X6" i="17"/>
  <c r="W6" i="17"/>
  <c r="X5" i="17"/>
  <c r="W5" i="17"/>
  <c r="AB13" i="17" l="1"/>
  <c r="AC22" i="8"/>
  <c r="AC23" i="8" s="1"/>
  <c r="AB23" i="8"/>
  <c r="Z22" i="5"/>
  <c r="Z23" i="5" s="1"/>
  <c r="AA15" i="5"/>
  <c r="AB14" i="5"/>
  <c r="AB15" i="5" s="1"/>
  <c r="AA23" i="5"/>
  <c r="AA14" i="17"/>
  <c r="AA22" i="17" s="1"/>
  <c r="AA23" i="17" s="1"/>
  <c r="Z14" i="17"/>
  <c r="Z22" i="17" s="1"/>
  <c r="Z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B21" i="17"/>
  <c r="J16" i="18" l="1"/>
  <c r="L16" i="18" s="1"/>
  <c r="AB22" i="5"/>
  <c r="AB23" i="5" s="1"/>
  <c r="AA15" i="17"/>
  <c r="I16" i="18"/>
  <c r="Z15" i="17"/>
  <c r="AB14" i="17"/>
  <c r="AB15" i="17" s="1"/>
  <c r="AB22" i="17"/>
  <c r="AB23" i="17" s="1"/>
  <c r="H17" i="18"/>
  <c r="K16" i="18" l="1"/>
  <c r="N16" i="18" s="1"/>
  <c r="M16" i="18"/>
  <c r="O16" i="18" s="1"/>
  <c r="AA19" i="16"/>
  <c r="Z19" i="16"/>
  <c r="AA13" i="16"/>
  <c r="Z13" i="16"/>
  <c r="Z4" i="16"/>
  <c r="X37" i="16"/>
  <c r="W37" i="16"/>
  <c r="X36" i="16"/>
  <c r="W36" i="16"/>
  <c r="X35" i="16"/>
  <c r="W35" i="16"/>
  <c r="X34" i="16"/>
  <c r="W34" i="16"/>
  <c r="X33" i="16"/>
  <c r="W33" i="16"/>
  <c r="X32" i="16"/>
  <c r="W32" i="16"/>
  <c r="X31" i="16"/>
  <c r="W31" i="16"/>
  <c r="X30" i="16"/>
  <c r="W30" i="16"/>
  <c r="X29" i="16"/>
  <c r="W29" i="16"/>
  <c r="X28" i="16"/>
  <c r="W28" i="16"/>
  <c r="X27" i="16"/>
  <c r="W27" i="16"/>
  <c r="X26" i="16"/>
  <c r="W26" i="16"/>
  <c r="X25" i="16"/>
  <c r="W25" i="16"/>
  <c r="X24" i="16"/>
  <c r="W24" i="16"/>
  <c r="X23" i="16"/>
  <c r="W23" i="16"/>
  <c r="X22" i="16"/>
  <c r="W22" i="16"/>
  <c r="X21" i="16"/>
  <c r="W21" i="16"/>
  <c r="X20" i="16"/>
  <c r="W20" i="16"/>
  <c r="X19" i="16"/>
  <c r="W19" i="16"/>
  <c r="X18" i="16"/>
  <c r="W18" i="16"/>
  <c r="X17" i="16"/>
  <c r="W17" i="16"/>
  <c r="X16" i="16"/>
  <c r="W16" i="16"/>
  <c r="X15" i="16"/>
  <c r="W15" i="16"/>
  <c r="X14" i="16"/>
  <c r="W14" i="16"/>
  <c r="X13" i="16"/>
  <c r="W13" i="16"/>
  <c r="X12" i="16"/>
  <c r="W12" i="16"/>
  <c r="X11" i="16"/>
  <c r="W11" i="16"/>
  <c r="X10" i="16"/>
  <c r="W10" i="16"/>
  <c r="X9" i="16"/>
  <c r="W9" i="16"/>
  <c r="X8" i="16"/>
  <c r="W8" i="16"/>
  <c r="X7" i="16"/>
  <c r="W7" i="16"/>
  <c r="X6" i="16"/>
  <c r="W6" i="16"/>
  <c r="X5" i="16"/>
  <c r="W5" i="16"/>
  <c r="AB13" i="16" l="1"/>
  <c r="Z14" i="16"/>
  <c r="I15" i="18" s="1"/>
  <c r="M15" i="18" s="1"/>
  <c r="AA14" i="16"/>
  <c r="J15" i="18" s="1"/>
  <c r="L15" i="18" s="1"/>
  <c r="AB19" i="16"/>
  <c r="Z20" i="16" l="1"/>
  <c r="AA20" i="16"/>
  <c r="O15" i="18"/>
  <c r="AB14" i="16"/>
  <c r="K15" i="18"/>
  <c r="N15" i="18" s="1"/>
  <c r="AB20" i="16" l="1"/>
  <c r="AA20" i="15"/>
  <c r="Z20" i="15"/>
  <c r="AA13" i="15"/>
  <c r="Z13" i="15"/>
  <c r="Z4" i="15"/>
  <c r="X46" i="15"/>
  <c r="W46" i="15"/>
  <c r="X45" i="15"/>
  <c r="W45" i="15"/>
  <c r="X44" i="15"/>
  <c r="W44" i="15"/>
  <c r="X43" i="15"/>
  <c r="W43" i="15"/>
  <c r="X42" i="15"/>
  <c r="W42" i="15"/>
  <c r="X41" i="15"/>
  <c r="W41" i="15"/>
  <c r="X40" i="15"/>
  <c r="W40" i="15"/>
  <c r="X39" i="15"/>
  <c r="W39" i="15"/>
  <c r="X38" i="15"/>
  <c r="W38" i="15"/>
  <c r="X37" i="15"/>
  <c r="W37" i="15"/>
  <c r="X36" i="15"/>
  <c r="W36" i="15"/>
  <c r="X35" i="15"/>
  <c r="W35" i="15"/>
  <c r="X34" i="15"/>
  <c r="W34" i="15"/>
  <c r="X33" i="15"/>
  <c r="W33" i="15"/>
  <c r="X32" i="15"/>
  <c r="W32" i="15"/>
  <c r="X31" i="15"/>
  <c r="W31" i="15"/>
  <c r="X30" i="15"/>
  <c r="W30" i="15"/>
  <c r="X29" i="15"/>
  <c r="W29" i="15"/>
  <c r="X28" i="15"/>
  <c r="W28" i="15"/>
  <c r="X26" i="15"/>
  <c r="W26" i="15"/>
  <c r="X25" i="15"/>
  <c r="W25" i="15"/>
  <c r="X24" i="15"/>
  <c r="W24" i="15"/>
  <c r="X23" i="15"/>
  <c r="W23" i="15"/>
  <c r="X22" i="15"/>
  <c r="W22" i="15"/>
  <c r="X21" i="15"/>
  <c r="W21" i="15"/>
  <c r="X20" i="15"/>
  <c r="W20" i="15"/>
  <c r="X19" i="15"/>
  <c r="W19" i="15"/>
  <c r="X18" i="15"/>
  <c r="W18" i="15"/>
  <c r="X17" i="15"/>
  <c r="W17" i="15"/>
  <c r="X16" i="15"/>
  <c r="W16" i="15"/>
  <c r="X15" i="15"/>
  <c r="W15" i="15"/>
  <c r="X14" i="15"/>
  <c r="W14" i="15"/>
  <c r="X13" i="15"/>
  <c r="W13" i="15"/>
  <c r="X12" i="15"/>
  <c r="W12" i="15"/>
  <c r="X11" i="15"/>
  <c r="W11" i="15"/>
  <c r="X10" i="15"/>
  <c r="W10" i="15"/>
  <c r="X9" i="15"/>
  <c r="W9" i="15"/>
  <c r="X8" i="15"/>
  <c r="W8" i="15"/>
  <c r="X7" i="15"/>
  <c r="W7" i="15"/>
  <c r="X6" i="15"/>
  <c r="W6" i="15"/>
  <c r="X5" i="15"/>
  <c r="W5" i="15"/>
  <c r="AB13" i="15" l="1"/>
  <c r="AA14" i="15"/>
  <c r="AA15" i="15" s="1"/>
  <c r="Z14" i="15"/>
  <c r="Z15" i="15" s="1"/>
  <c r="AB20" i="15"/>
  <c r="I14" i="18" l="1"/>
  <c r="M14" i="18" s="1"/>
  <c r="Z21" i="15"/>
  <c r="Z22" i="15" s="1"/>
  <c r="AB14" i="15"/>
  <c r="AB15" i="15" s="1"/>
  <c r="J14" i="18"/>
  <c r="L14" i="18" s="1"/>
  <c r="AA21" i="15"/>
  <c r="AA22" i="15" s="1"/>
  <c r="O14" i="18" l="1"/>
  <c r="K14" i="18"/>
  <c r="N14" i="18" s="1"/>
  <c r="AB21" i="15"/>
  <c r="AB22" i="15" s="1"/>
  <c r="AA21" i="14"/>
  <c r="Z21" i="14"/>
  <c r="AA13" i="14"/>
  <c r="Z13" i="14"/>
  <c r="X48" i="14"/>
  <c r="W48" i="14"/>
  <c r="X47" i="14"/>
  <c r="W47" i="14"/>
  <c r="X46" i="14"/>
  <c r="W46" i="14"/>
  <c r="X45" i="14"/>
  <c r="W45" i="14"/>
  <c r="X44" i="14"/>
  <c r="W44" i="14"/>
  <c r="X43" i="14"/>
  <c r="W43" i="14"/>
  <c r="X42" i="14"/>
  <c r="W42" i="14"/>
  <c r="X41" i="14"/>
  <c r="W41" i="14"/>
  <c r="X40" i="14"/>
  <c r="W40" i="14"/>
  <c r="X39" i="14"/>
  <c r="W39" i="14"/>
  <c r="X38" i="14"/>
  <c r="W38" i="14"/>
  <c r="X37" i="14"/>
  <c r="W37" i="14"/>
  <c r="X36" i="14"/>
  <c r="W36" i="14"/>
  <c r="X35" i="14"/>
  <c r="W35" i="14"/>
  <c r="X34" i="14"/>
  <c r="W34" i="14"/>
  <c r="X33" i="14"/>
  <c r="W33" i="14"/>
  <c r="X32" i="14"/>
  <c r="W32" i="14"/>
  <c r="X31" i="14"/>
  <c r="W31" i="14"/>
  <c r="X30" i="14"/>
  <c r="W30" i="14"/>
  <c r="X29" i="14"/>
  <c r="W29" i="14"/>
  <c r="X28" i="14"/>
  <c r="W28" i="14"/>
  <c r="X26" i="14"/>
  <c r="W26" i="14"/>
  <c r="X25" i="14"/>
  <c r="W25" i="14"/>
  <c r="X24" i="14"/>
  <c r="W24" i="14"/>
  <c r="X23" i="14"/>
  <c r="W23" i="14"/>
  <c r="X22" i="14"/>
  <c r="W22" i="14"/>
  <c r="X21" i="14"/>
  <c r="W21" i="14"/>
  <c r="X20" i="14"/>
  <c r="W20" i="14"/>
  <c r="X19" i="14"/>
  <c r="W19" i="14"/>
  <c r="X18" i="14"/>
  <c r="W18" i="14"/>
  <c r="X17" i="14"/>
  <c r="W17" i="14"/>
  <c r="X16" i="14"/>
  <c r="W16" i="14"/>
  <c r="X15" i="14"/>
  <c r="W15" i="14"/>
  <c r="X14" i="14"/>
  <c r="W14" i="14"/>
  <c r="X13" i="14"/>
  <c r="W13" i="14"/>
  <c r="X12" i="14"/>
  <c r="W12" i="14"/>
  <c r="X11" i="14"/>
  <c r="W11" i="14"/>
  <c r="X10" i="14"/>
  <c r="W10" i="14"/>
  <c r="X9" i="14"/>
  <c r="W9" i="14"/>
  <c r="X8" i="14"/>
  <c r="W8" i="14"/>
  <c r="X7" i="14"/>
  <c r="W7" i="14"/>
  <c r="X6" i="14"/>
  <c r="W6" i="14"/>
  <c r="X5" i="14"/>
  <c r="W5" i="14"/>
  <c r="Z14" i="14" l="1"/>
  <c r="Z15" i="14" s="1"/>
  <c r="AA14" i="14"/>
  <c r="AA15" i="14" s="1"/>
  <c r="AB13" i="14"/>
  <c r="AB21" i="14"/>
  <c r="Z22" i="14" l="1"/>
  <c r="Z23" i="14" s="1"/>
  <c r="I13" i="18"/>
  <c r="AA22" i="14"/>
  <c r="AA23" i="14" s="1"/>
  <c r="J13" i="18"/>
  <c r="L13" i="18" s="1"/>
  <c r="AB14" i="14"/>
  <c r="AB15" i="14" s="1"/>
  <c r="AB22" i="14" l="1"/>
  <c r="AB23" i="14" s="1"/>
  <c r="K13" i="18"/>
  <c r="N13" i="18" s="1"/>
  <c r="M13" i="18"/>
  <c r="O13" i="18" s="1"/>
  <c r="AA21" i="13"/>
  <c r="Z21" i="13"/>
  <c r="AA13" i="13"/>
  <c r="Z13" i="13"/>
  <c r="Z4" i="13"/>
  <c r="X51" i="13"/>
  <c r="W51" i="13"/>
  <c r="X50" i="13"/>
  <c r="W50" i="13"/>
  <c r="X49" i="13"/>
  <c r="W49" i="13"/>
  <c r="X48" i="13"/>
  <c r="W48" i="13"/>
  <c r="X47" i="13"/>
  <c r="W47" i="13"/>
  <c r="X46" i="13"/>
  <c r="W46" i="13"/>
  <c r="X45" i="13"/>
  <c r="W45" i="13"/>
  <c r="X44" i="13"/>
  <c r="W44" i="13"/>
  <c r="X43" i="13"/>
  <c r="W43" i="13"/>
  <c r="X42" i="13"/>
  <c r="W42" i="13"/>
  <c r="X41" i="13"/>
  <c r="W41" i="13"/>
  <c r="X40" i="13"/>
  <c r="W40" i="13"/>
  <c r="X39" i="13"/>
  <c r="W39" i="13"/>
  <c r="X38" i="13"/>
  <c r="W38" i="13"/>
  <c r="X37" i="13"/>
  <c r="W37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X30" i="13"/>
  <c r="W30" i="13"/>
  <c r="X28" i="13"/>
  <c r="W28" i="13"/>
  <c r="X27" i="13"/>
  <c r="W27" i="13"/>
  <c r="X26" i="13"/>
  <c r="W26" i="13"/>
  <c r="X25" i="13"/>
  <c r="W25" i="13"/>
  <c r="X24" i="13"/>
  <c r="W24" i="13"/>
  <c r="X23" i="13"/>
  <c r="W23" i="13"/>
  <c r="X22" i="13"/>
  <c r="W22" i="13"/>
  <c r="X21" i="13"/>
  <c r="W21" i="13"/>
  <c r="X20" i="13"/>
  <c r="W20" i="13"/>
  <c r="X19" i="13"/>
  <c r="W19" i="13"/>
  <c r="X18" i="13"/>
  <c r="W18" i="13"/>
  <c r="X17" i="13"/>
  <c r="W17" i="13"/>
  <c r="X16" i="13"/>
  <c r="W16" i="13"/>
  <c r="X15" i="13"/>
  <c r="W15" i="13"/>
  <c r="X14" i="13"/>
  <c r="W14" i="13"/>
  <c r="X13" i="13"/>
  <c r="W13" i="13"/>
  <c r="X12" i="13"/>
  <c r="W12" i="13"/>
  <c r="X11" i="13"/>
  <c r="W11" i="13"/>
  <c r="X10" i="13"/>
  <c r="W10" i="13"/>
  <c r="X9" i="13"/>
  <c r="W9" i="13"/>
  <c r="X8" i="13"/>
  <c r="W8" i="13"/>
  <c r="X7" i="13"/>
  <c r="W7" i="13"/>
  <c r="X6" i="13"/>
  <c r="W6" i="13"/>
  <c r="X5" i="13"/>
  <c r="W5" i="13"/>
  <c r="AB13" i="13" l="1"/>
  <c r="AA14" i="13"/>
  <c r="J12" i="18" s="1"/>
  <c r="L12" i="18" s="1"/>
  <c r="Z14" i="13"/>
  <c r="I12" i="18" s="1"/>
  <c r="AB21" i="13"/>
  <c r="AA15" i="13" l="1"/>
  <c r="AB14" i="13"/>
  <c r="AB15" i="13" s="1"/>
  <c r="Z15" i="13"/>
  <c r="Z22" i="13"/>
  <c r="Z23" i="13" s="1"/>
  <c r="AA22" i="13"/>
  <c r="AA23" i="13" s="1"/>
  <c r="M12" i="18"/>
  <c r="O12" i="18" s="1"/>
  <c r="K12" i="18"/>
  <c r="N12" i="18" s="1"/>
  <c r="AB22" i="13" l="1"/>
  <c r="AB23" i="13" s="1"/>
  <c r="AA21" i="12"/>
  <c r="Z21" i="12"/>
  <c r="AA13" i="12"/>
  <c r="Z13" i="12"/>
  <c r="Z4" i="12"/>
  <c r="X51" i="12"/>
  <c r="W51" i="12"/>
  <c r="X50" i="12"/>
  <c r="W50" i="12"/>
  <c r="X49" i="12"/>
  <c r="W49" i="12"/>
  <c r="X48" i="12"/>
  <c r="W48" i="12"/>
  <c r="X47" i="12"/>
  <c r="W47" i="12"/>
  <c r="X46" i="12"/>
  <c r="W46" i="12"/>
  <c r="X45" i="12"/>
  <c r="W45" i="12"/>
  <c r="X44" i="12"/>
  <c r="W44" i="12"/>
  <c r="X43" i="12"/>
  <c r="W43" i="12"/>
  <c r="X42" i="12"/>
  <c r="W42" i="12"/>
  <c r="X41" i="12"/>
  <c r="W41" i="12"/>
  <c r="X40" i="12"/>
  <c r="W40" i="12"/>
  <c r="X39" i="12"/>
  <c r="W39" i="12"/>
  <c r="X38" i="12"/>
  <c r="W38" i="12"/>
  <c r="X37" i="12"/>
  <c r="W37" i="12"/>
  <c r="X36" i="12"/>
  <c r="W36" i="12"/>
  <c r="X35" i="12"/>
  <c r="W35" i="12"/>
  <c r="X34" i="12"/>
  <c r="W34" i="12"/>
  <c r="X33" i="12"/>
  <c r="W33" i="12"/>
  <c r="X32" i="12"/>
  <c r="W32" i="12"/>
  <c r="X31" i="12"/>
  <c r="W31" i="12"/>
  <c r="X30" i="12"/>
  <c r="W30" i="12"/>
  <c r="X29" i="12"/>
  <c r="W29" i="12"/>
  <c r="X28" i="12"/>
  <c r="X27" i="12"/>
  <c r="W27" i="12"/>
  <c r="X26" i="12"/>
  <c r="W26" i="12"/>
  <c r="X22" i="12"/>
  <c r="W22" i="12"/>
  <c r="X21" i="12"/>
  <c r="W21" i="12"/>
  <c r="X20" i="12"/>
  <c r="W20" i="12"/>
  <c r="X19" i="12"/>
  <c r="W19" i="12"/>
  <c r="X18" i="12"/>
  <c r="W18" i="12"/>
  <c r="X17" i="12"/>
  <c r="W17" i="12"/>
  <c r="X16" i="12"/>
  <c r="W16" i="12"/>
  <c r="X15" i="12"/>
  <c r="W15" i="12"/>
  <c r="X14" i="12"/>
  <c r="W14" i="12"/>
  <c r="X13" i="12"/>
  <c r="W13" i="12"/>
  <c r="X12" i="12"/>
  <c r="W12" i="12"/>
  <c r="X11" i="12"/>
  <c r="W11" i="12"/>
  <c r="X10" i="12"/>
  <c r="W10" i="12"/>
  <c r="X9" i="12"/>
  <c r="W9" i="12"/>
  <c r="X8" i="12"/>
  <c r="W8" i="12"/>
  <c r="X7" i="12"/>
  <c r="W7" i="12"/>
  <c r="X6" i="12"/>
  <c r="W6" i="12"/>
  <c r="X5" i="12"/>
  <c r="W5" i="12"/>
  <c r="Z14" i="12" l="1"/>
  <c r="Z15" i="12" s="1"/>
  <c r="AA14" i="12"/>
  <c r="AA15" i="12" s="1"/>
  <c r="AB13" i="12"/>
  <c r="AB21" i="12"/>
  <c r="Z22" i="12" l="1"/>
  <c r="Z26" i="12" s="1"/>
  <c r="AA22" i="12"/>
  <c r="AA26" i="12" s="1"/>
  <c r="AB14" i="12"/>
  <c r="AB15" i="12" s="1"/>
  <c r="J11" i="18"/>
  <c r="L11" i="18" s="1"/>
  <c r="I11" i="18"/>
  <c r="M11" i="18" s="1"/>
  <c r="O11" i="18" l="1"/>
  <c r="AB22" i="12"/>
  <c r="AB26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<sst xmlns="http://schemas.openxmlformats.org/spreadsheetml/2006/main" count="8632" uniqueCount="884">
  <si>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</si>
  <si>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</si>
  <si>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</si>
  <si>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</si>
  <si>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</si>
  <si>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</si>
  <si>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</si>
  <si>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</si>
  <si>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</si>
  <si>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</si>
  <si>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</si>
  <si>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</si>
  <si>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</si>
  <si>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</si>
  <si>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</si>
  <si>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</si>
  <si>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</si>
  <si>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</si>
  <si>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</si>
  <si>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</si>
  <si>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</si>
  <si>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</si>
  <si>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</si>
  <si>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</si>
  <si>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</si>
  <si>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</si>
  <si>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</si>
  <si>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</si>
  <si>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</si>
  <si>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</si>
  <si>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</si>
  <si>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</si>
  <si>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</si>
  <si>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</si>
  <si>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</si>
  <si>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</si>
  <si>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</si>
  <si>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</si>
  <si>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</si>
  <si>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</si>
  <si>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</si>
  <si>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</si>
  <si>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</si>
  <si>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</si>
  <si>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</si>
  <si>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</si>
  <si>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</si>
  <si>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</si>
  <si>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</si>
  <si>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</si>
  <si>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</si>
  <si>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</si>
  <si>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</si>
  <si>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</si>
  <si>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</si>
  <si>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</si>
  <si>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</si>
  <si>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</si>
  <si>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</si>
  <si>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</si>
  <si>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</si>
  <si>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</si>
  <si>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</si>
  <si>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</si>
  <si>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</si>
  <si>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</si>
  <si>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</si>
  <si>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</si>
  <si>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</si>
  <si>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</si>
  <si>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</si>
  <si>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</si>
  <si>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</si>
  <si>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</si>
  <si>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</si>
  <si>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</si>
  <si>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</si>
  <si>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</si>
  <si>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</si>
  <si>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</si>
  <si>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</si>
  <si>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</si>
  <si>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</si>
  <si>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</si>
  <si>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</si>
  <si>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</si>
  <si>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</si>
  <si>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</si>
  <si>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</si>
  <si>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</si>
  <si>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</si>
  <si>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</si>
  <si>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</si>
  <si>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</si>
  <si>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</si>
  <si>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</si>
  <si>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</si>
  <si>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</si>
  <si>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</si>
  <si>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</si>
  <si>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</si>
  <si>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</si>
  <si>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</si>
  <si>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</si>
  <si>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</si>
  <si>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</si>
  <si>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</si>
  <si>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</si>
  <si>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</si>
  <si>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</si>
  <si>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</si>
  <si>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</si>
  <si>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</si>
  <si>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</si>
  <si>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</si>
  <si>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</si>
  <si>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</si>
  <si>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</si>
  <si>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</si>
  <si>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</si>
  <si>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</si>
  <si>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</si>
  <si>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</si>
  <si>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</si>
  <si>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</si>
  <si>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</si>
  <si>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</si>
  <si>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</si>
  <si>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</si>
  <si>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</si>
  <si>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</si>
  <si>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</si>
  <si>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</si>
  <si>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</si>
  <si>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</si>
  <si>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</si>
  <si>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</si>
  <si>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</si>
  <si>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</si>
  <si>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</si>
  <si>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</si>
  <si>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</si>
  <si>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</si>
  <si>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</si>
  <si>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</si>
  <si>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</si>
  <si>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</si>
  <si>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</si>
  <si>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</si>
  <si>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</si>
  <si>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</si>
  <si>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</si>
  <si>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</si>
  <si>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</si>
  <si>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</si>
  <si>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</si>
  <si>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</si>
  <si>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</si>
  <si>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</si>
  <si>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</si>
  <si>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</si>
  <si>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</si>
  <si>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</si>
  <si>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</si>
  <si>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</si>
  <si>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</si>
  <si>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</si>
  <si>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</si>
  <si>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</si>
  <si>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</si>
  <si>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</si>
  <si>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</si>
  <si>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</si>
  <si>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</si>
  <si>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</si>
  <si>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</si>
  <si>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</si>
  <si>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</si>
  <si>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</si>
  <si>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</si>
  <si>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</si>
  <si>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</si>
  <si>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</si>
  <si>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</si>
  <si>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</si>
  <si>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</si>
  <si>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</si>
  <si>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</si>
  <si>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</si>
  <si>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</si>
  <si>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</si>
  <si>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</si>
  <si>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</si>
  <si>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</si>
  <si>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</si>
  <si>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</si>
  <si>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</si>
  <si>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</si>
  <si>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</si>
  <si>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</si>
  <si>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</si>
  <si>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</si>
  <si>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</si>
  <si>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</si>
  <si>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</si>
  <si>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</si>
  <si>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</si>
  <si>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</si>
  <si>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</si>
  <si>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</si>
  <si>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</si>
  <si>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</si>
  <si>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</si>
  <si>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</si>
  <si>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</si>
  <si>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</si>
  <si>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</si>
  <si>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</si>
  <si>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</si>
  <si>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</si>
  <si>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</si>
  <si>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</si>
  <si>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</si>
  <si>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</si>
  <si>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</si>
  <si>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</si>
  <si>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</si>
  <si>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</si>
  <si>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</si>
  <si>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</si>
  <si>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</si>
  <si>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</si>
  <si>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</si>
  <si>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</si>
  <si>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</si>
  <si>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</si>
  <si>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</si>
  <si>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</si>
  <si>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</si>
  <si>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</si>
  <si>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</si>
  <si>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</si>
  <si>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</si>
  <si>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</si>
  <si>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</si>
  <si>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</si>
  <si>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</si>
  <si>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</si>
  <si>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</si>
  <si>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</si>
  <si>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</si>
  <si>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</si>
  <si>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</si>
  <si>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</si>
  <si>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</si>
  <si>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</si>
  <si>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</si>
  <si>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</si>
  <si>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</si>
  <si>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</si>
  <si>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</si>
  <si>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</si>
  <si>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</si>
  <si>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</si>
  <si>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Qadir</t>
  </si>
  <si>
    <t>A. Hammad</t>
  </si>
  <si>
    <t>Akbar Ali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</si>
  <si>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</si>
  <si>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</si>
  <si>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</si>
  <si>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</si>
  <si>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</si>
  <si>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</si>
  <si>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</si>
  <si>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</si>
  <si>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</si>
  <si>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</si>
  <si>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</si>
  <si>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</si>
  <si>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</si>
  <si>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</si>
  <si>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</si>
  <si>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</si>
  <si>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</si>
  <si>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</si>
  <si>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</si>
  <si>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</si>
  <si>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</si>
  <si>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</si>
  <si>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</si>
  <si>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</si>
  <si>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</si>
  <si>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</si>
  <si>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</si>
  <si>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</si>
  <si>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</si>
  <si>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</si>
  <si>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</si>
  <si>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</si>
  <si>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</si>
  <si>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</si>
  <si>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</si>
  <si>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</si>
  <si>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Goverment High School (SJCHS)</t>
  </si>
  <si>
    <t>Abiha Zehra</t>
  </si>
  <si>
    <t>Ab. Mateen</t>
  </si>
  <si>
    <t>Two</t>
  </si>
  <si>
    <t>Aleena Zia</t>
  </si>
  <si>
    <t>Khuda Baksh</t>
  </si>
  <si>
    <t>Anumta Jamali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</si>
  <si>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</si>
  <si>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</si>
  <si>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</si>
  <si>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</si>
  <si>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</si>
  <si>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</si>
  <si>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</si>
  <si>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</si>
  <si>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</si>
  <si>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</si>
  <si>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</si>
  <si>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</si>
  <si>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</si>
  <si>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</si>
  <si>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</si>
  <si>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</si>
  <si>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</si>
  <si>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</si>
  <si>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</si>
  <si>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</si>
  <si>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</si>
  <si>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</si>
  <si>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</si>
  <si>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</si>
  <si>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</si>
  <si>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</si>
  <si>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</si>
  <si>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</si>
  <si>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</si>
  <si>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</si>
  <si>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</si>
  <si>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</si>
  <si>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</si>
  <si>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</si>
  <si>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</si>
  <si>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</si>
  <si>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</si>
  <si>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</si>
  <si>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</si>
  <si>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</si>
  <si>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</si>
  <si>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</si>
  <si>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</si>
  <si>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</si>
  <si>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</si>
  <si>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</si>
  <si>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</si>
  <si>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</si>
  <si>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</si>
  <si>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</si>
  <si>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</si>
  <si>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</si>
  <si>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</si>
  <si>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</si>
  <si>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</si>
  <si>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</si>
  <si>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</si>
  <si>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</si>
  <si>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</si>
  <si>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</si>
  <si>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</si>
  <si>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</si>
  <si>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</si>
  <si>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</si>
  <si>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</si>
  <si>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</si>
  <si>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</si>
  <si>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</si>
  <si>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</si>
  <si>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</si>
  <si>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</si>
  <si>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</si>
  <si>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</si>
  <si>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</si>
  <si>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</si>
  <si>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</si>
  <si>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</si>
  <si>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</si>
  <si>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</si>
  <si>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</si>
  <si>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</si>
  <si>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</si>
  <si>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</si>
  <si>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</si>
  <si>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</si>
  <si>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</si>
  <si>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</si>
  <si>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</si>
  <si>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</si>
  <si>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</si>
  <si>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</si>
  <si>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</si>
  <si>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</si>
  <si>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</si>
  <si>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</si>
  <si>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</si>
  <si>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</si>
  <si>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</si>
  <si>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</si>
  <si>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</si>
  <si>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</si>
  <si>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</si>
  <si>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</si>
  <si>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</si>
  <si>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</si>
  <si>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</si>
  <si>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</si>
  <si>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</si>
  <si>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</si>
  <si>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</si>
  <si>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</si>
  <si>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</si>
  <si>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</si>
  <si>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</si>
  <si>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</si>
  <si>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</si>
  <si>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</si>
  <si>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</si>
  <si>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</si>
  <si>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</si>
  <si>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</si>
  <si>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M. Shafique</t>
  </si>
  <si>
    <t>Dost M.</t>
  </si>
  <si>
    <t>M. Usman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</si>
  <si>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</si>
  <si>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</si>
  <si>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</si>
  <si>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</si>
  <si>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</si>
  <si>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</si>
  <si>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</si>
  <si>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 xml:space="preserve">Zain </t>
  </si>
  <si>
    <t>Zaheer Ahmed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</si>
  <si>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</si>
  <si>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</si>
  <si>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</si>
  <si>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</si>
  <si>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</si>
  <si>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</si>
  <si>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</si>
  <si>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</si>
  <si>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</si>
  <si>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</si>
  <si>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</si>
  <si>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</si>
  <si>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</si>
  <si>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</si>
  <si>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</si>
  <si>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</si>
  <si>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Bibi Zehra</t>
  </si>
  <si>
    <t xml:space="preserve">Liaquat </t>
  </si>
  <si>
    <t>Rana</t>
  </si>
  <si>
    <t>Fatima Gul</t>
  </si>
  <si>
    <t>Shah Nazwaz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</si>
  <si>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</si>
  <si>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</si>
  <si>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</si>
  <si>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</si>
  <si>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</si>
  <si>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</si>
  <si>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</si>
  <si>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</si>
  <si>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</si>
  <si>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</si>
  <si>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</si>
  <si>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</si>
  <si>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</si>
  <si>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</si>
  <si>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</si>
  <si>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</si>
  <si>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</si>
  <si>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</si>
  <si>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</si>
  <si>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</si>
  <si>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</si>
  <si>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</si>
  <si>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</si>
  <si>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</si>
  <si>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</si>
  <si>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</si>
  <si>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</si>
  <si>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</si>
  <si>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</si>
  <si>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</si>
  <si>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</si>
  <si>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</si>
  <si>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</si>
  <si>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</si>
  <si>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</si>
  <si>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</si>
  <si>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</si>
  <si>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</si>
  <si>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</si>
  <si>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</si>
  <si>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</si>
  <si>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</si>
  <si>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</si>
  <si>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</si>
  <si>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</si>
  <si>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</si>
  <si>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</si>
  <si>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</si>
  <si>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</si>
  <si>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</si>
  <si>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</si>
  <si>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</si>
  <si>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</si>
  <si>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</si>
  <si>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</si>
  <si>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</si>
  <si>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</si>
  <si>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</si>
  <si>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</si>
  <si>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</si>
  <si>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</si>
  <si>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</si>
  <si>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</si>
  <si>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</si>
  <si>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</si>
  <si>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</si>
  <si>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</si>
  <si>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</si>
  <si>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</si>
  <si>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</si>
  <si>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</si>
  <si>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</si>
  <si>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</si>
  <si>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</si>
  <si>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</si>
  <si>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</si>
  <si>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</si>
  <si>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</si>
  <si>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</si>
  <si>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</si>
  <si>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</si>
  <si>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</si>
  <si>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</si>
  <si>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</si>
  <si>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</si>
  <si>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</si>
  <si>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</si>
  <si>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</si>
  <si>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</si>
  <si>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</si>
  <si>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</si>
  <si>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</si>
  <si>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</si>
  <si>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Abdul Samad</t>
  </si>
  <si>
    <t>Abdul Wassay</t>
  </si>
  <si>
    <t>Sohail Sarwar</t>
  </si>
  <si>
    <t>Abid Ali</t>
  </si>
  <si>
    <t>Meer Majid</t>
  </si>
  <si>
    <t>Haji Iqbal</t>
  </si>
  <si>
    <t>M. Tayyab</t>
  </si>
  <si>
    <t>Uzair Ahmed</t>
  </si>
  <si>
    <t>Abdul Sattar</t>
  </si>
  <si>
    <t>Wajid Ali</t>
  </si>
  <si>
    <t>Ayan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</si>
  <si>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</si>
  <si>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</si>
  <si>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</si>
  <si>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</si>
  <si>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</si>
  <si>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</si>
  <si>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</si>
  <si>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>Noor Muqadis</t>
  </si>
  <si>
    <t>Muhammad Idrees</t>
  </si>
  <si>
    <t xml:space="preserve">Rubina 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</si>
  <si>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</si>
  <si>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</si>
  <si>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</si>
  <si>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</si>
  <si>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</si>
  <si>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</si>
  <si>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</si>
  <si>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</si>
  <si>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</si>
  <si>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</si>
  <si>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</si>
  <si>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</si>
  <si>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</si>
  <si>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</si>
  <si>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</si>
  <si>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</si>
  <si>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</si>
  <si>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</si>
  <si>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</si>
  <si>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</si>
  <si>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</si>
  <si>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</si>
  <si>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 xml:space="preserve">Hasnain Raza </t>
  </si>
  <si>
    <t>Hasnain yasir</t>
  </si>
  <si>
    <t xml:space="preserve">Mubashir </t>
  </si>
  <si>
    <t>M. Hassan</t>
  </si>
  <si>
    <t>M. Raza</t>
  </si>
  <si>
    <t>Nisar Ali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</si>
  <si>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</si>
  <si>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</si>
  <si>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</si>
  <si>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</si>
  <si>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</si>
  <si>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</si>
  <si>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</si>
  <si>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</si>
  <si>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</si>
  <si>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</si>
  <si>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</si>
  <si>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</si>
  <si>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</si>
  <si>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</si>
  <si>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</si>
  <si>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</si>
  <si>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 xml:space="preserve">Hina </t>
  </si>
  <si>
    <t xml:space="preserve">Iqra </t>
  </si>
  <si>
    <t>Kanwal Naz</t>
  </si>
  <si>
    <t>M. Rehman Abbasi</t>
  </si>
  <si>
    <t>Murk</t>
  </si>
  <si>
    <t>Shadab Aziz</t>
  </si>
  <si>
    <t>Shaista Rani</t>
  </si>
  <si>
    <t>M. Moosa</t>
  </si>
  <si>
    <t>Tasleem Rani</t>
  </si>
  <si>
    <t xml:space="preserve">Zarmina </t>
  </si>
  <si>
    <t>Gulbahar</t>
  </si>
  <si>
    <t>Naghma Naz</t>
  </si>
  <si>
    <t xml:space="preserve">Muskan </t>
  </si>
  <si>
    <t>Saira</t>
  </si>
  <si>
    <t>M. Salah</t>
  </si>
  <si>
    <t>Abdul Salam</t>
  </si>
  <si>
    <t>Ameer Ali</t>
  </si>
  <si>
    <t>Faizan Ali</t>
  </si>
  <si>
    <t>Ghaibi Khan</t>
  </si>
  <si>
    <t>Hasnain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</si>
  <si>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</si>
  <si>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</si>
  <si>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</si>
  <si>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</si>
  <si>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</si>
  <si>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</si>
  <si>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</si>
  <si>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</si>
  <si>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</si>
  <si>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</si>
  <si>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</si>
  <si>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</si>
  <si>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</si>
  <si>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</si>
  <si>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</si>
  <si>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Salman</t>
  </si>
  <si>
    <t>Maroof Ali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</si>
  <si>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</si>
  <si>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</si>
  <si>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</si>
  <si>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</si>
  <si>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</si>
  <si>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</si>
  <si>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</si>
  <si>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</si>
  <si>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</si>
  <si>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</si>
  <si>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</si>
  <si>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</si>
  <si>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</si>
  <si>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</si>
  <si>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</si>
  <si>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</si>
  <si>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</si>
  <si>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</si>
  <si>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</si>
  <si>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</si>
  <si>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</si>
  <si>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</si>
  <si>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</si>
  <si>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</si>
  <si>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</si>
  <si>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</si>
  <si>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</si>
  <si>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</si>
  <si>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</si>
  <si>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</si>
  <si>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</si>
  <si>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</si>
  <si>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</si>
  <si>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</si>
  <si>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</si>
  <si>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Kashaf Kanwal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</si>
  <si>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</si>
  <si>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</si>
  <si>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</si>
  <si>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</si>
  <si>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</si>
  <si>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</si>
  <si>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</si>
  <si>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</si>
  <si>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</si>
  <si>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</si>
  <si>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</si>
  <si>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</si>
  <si>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</si>
  <si>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</si>
  <si>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</si>
  <si>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</si>
  <si>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</si>
  <si>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</si>
  <si>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</si>
  <si>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M.Ibrahim</t>
  </si>
  <si>
    <t>.</t>
  </si>
  <si>
    <t xml:space="preserve">Rafia </t>
  </si>
  <si>
    <t>Iqramudin</t>
  </si>
  <si>
    <t>masoor ali</t>
  </si>
  <si>
    <t>Mustirah</t>
  </si>
  <si>
    <t xml:space="preserve">6+ </t>
  </si>
  <si>
    <t>ONE</t>
  </si>
  <si>
    <t>TWO</t>
  </si>
  <si>
    <t xml:space="preserve">  </t>
  </si>
  <si>
    <t>SIX</t>
  </si>
  <si>
    <t>Father  Name</t>
  </si>
  <si>
    <t>Nine</t>
  </si>
  <si>
    <t>Ten</t>
  </si>
  <si>
    <t>Mehrunisa</t>
  </si>
  <si>
    <t>p</t>
  </si>
  <si>
    <t>Sajid  Ali</t>
  </si>
  <si>
    <t>Monthly Attendence Month of MAY-2025</t>
  </si>
  <si>
    <t>Sunday      Sunday       Sunday       Sunday</t>
  </si>
  <si>
    <t>Sunday    Sunday    Sunday     sunday</t>
  </si>
  <si>
    <r>
      <rPr>
        <sz val="14"/>
        <color theme="1"/>
        <rFont val="Calibri"/>
        <family val="2"/>
        <scheme val="minor"/>
      </rPr>
      <t>SUNDAY  SUNDAY  SUNDAY  SUNDAY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</si>
  <si>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Sunday  Sunday   Sunday    Sunday</t>
    </r>
    <r>
      <rPr>
        <sz val="11"/>
        <color theme="1"/>
        <rFont val="Calibri"/>
        <family val="2"/>
        <scheme val="minor"/>
      </rPr>
      <t xml:space="preserve"> </t>
    </r>
  </si>
  <si>
    <t>Wazeer Ali</t>
  </si>
  <si>
    <t>Munwar Ali</t>
  </si>
  <si>
    <t>Taj muhammad</t>
  </si>
  <si>
    <t>Lakhmir Khan</t>
  </si>
  <si>
    <t>Tanveer  Ali</t>
  </si>
  <si>
    <t>Ahmed  ali</t>
  </si>
  <si>
    <t>BaktawarAli</t>
  </si>
  <si>
    <t>SUNDAY        SUNDAY        SUNDAY      SUNDAY   SUNDAY</t>
  </si>
  <si>
    <t xml:space="preserve">Mudassir </t>
  </si>
  <si>
    <t>M.Reheem</t>
  </si>
  <si>
    <t xml:space="preserve">Sameer GUL </t>
  </si>
  <si>
    <t xml:space="preserve">Irshad </t>
  </si>
  <si>
    <t xml:space="preserve">Sahar </t>
  </si>
  <si>
    <t>Nida</t>
  </si>
  <si>
    <t>Mukhtiar</t>
  </si>
  <si>
    <t>M.Azim</t>
  </si>
  <si>
    <t>M.Ali</t>
  </si>
  <si>
    <t>Hafiz ullah</t>
  </si>
  <si>
    <t>Haji   Mallah</t>
  </si>
  <si>
    <t>irfan</t>
  </si>
  <si>
    <t xml:space="preserve">SUNDAY       SUNDAY       SUNDAY        SUNDAY      SUNDAY   </t>
  </si>
  <si>
    <t xml:space="preserve">Danish </t>
  </si>
  <si>
    <t>M.sameer</t>
  </si>
  <si>
    <t>M.Muzammil</t>
  </si>
  <si>
    <t xml:space="preserve">Joun Ali </t>
  </si>
  <si>
    <t>Muzamil</t>
  </si>
  <si>
    <t>M.Anwar</t>
  </si>
  <si>
    <t>Hasnain khadim</t>
  </si>
  <si>
    <t>Ameenullah odho</t>
  </si>
  <si>
    <t>Fawad Hussain</t>
  </si>
  <si>
    <t>Seerat Fatima</t>
  </si>
  <si>
    <t>Aiman Ghaffar</t>
  </si>
  <si>
    <t>Ahmed rafeeq</t>
  </si>
  <si>
    <t>Ahmed ali</t>
  </si>
  <si>
    <t xml:space="preserve">Sunday          Sunday          Sunday           Sunday     </t>
  </si>
  <si>
    <t>M.Sarib</t>
  </si>
  <si>
    <t>Iffat</t>
  </si>
  <si>
    <t xml:space="preserve">Imtaiz Ali </t>
  </si>
  <si>
    <t>Ejaz Ali</t>
  </si>
  <si>
    <t>M.Maroof</t>
  </si>
  <si>
    <t>Nisar ali</t>
  </si>
  <si>
    <t>Ghulam Nabi</t>
  </si>
  <si>
    <t>Ali Murad</t>
  </si>
  <si>
    <t>Zulfirar Ali</t>
  </si>
  <si>
    <t xml:space="preserve">Abdullah </t>
  </si>
  <si>
    <t xml:space="preserve">M.Asif </t>
  </si>
  <si>
    <t>Hafizullah Somroo</t>
  </si>
  <si>
    <t>Sultan</t>
  </si>
  <si>
    <t>G.Sarwar</t>
  </si>
  <si>
    <t xml:space="preserve">Abid </t>
  </si>
  <si>
    <t>Safdar</t>
  </si>
  <si>
    <t>Ghulam sabir bhatti</t>
  </si>
  <si>
    <t>Faiz Bhutto</t>
  </si>
  <si>
    <t>M.Ibrahim Abro</t>
  </si>
  <si>
    <t>Hamid ali syal</t>
  </si>
  <si>
    <t>Zulfirara ALI</t>
  </si>
  <si>
    <t>M.Younas</t>
  </si>
  <si>
    <t xml:space="preserve">Didar </t>
  </si>
  <si>
    <t>M.Faroor</t>
  </si>
  <si>
    <t xml:space="preserve">SUNDAY           SUNDAY           SUNDAY          SUNDAY    </t>
  </si>
  <si>
    <t>Dua Bahar</t>
  </si>
  <si>
    <t>Muktair</t>
  </si>
  <si>
    <t>samiullah</t>
  </si>
  <si>
    <t xml:space="preserve">SUNDAY     SUNDAY       SUNDAY     SUNDAY   </t>
  </si>
  <si>
    <t>Ahram Ali</t>
  </si>
  <si>
    <t>farasha</t>
  </si>
  <si>
    <t xml:space="preserve">SUNDAY      SUNDAY       SUNDAY     SUNDAY    </t>
  </si>
  <si>
    <t>A</t>
  </si>
  <si>
    <t>P</t>
  </si>
  <si>
    <t>L</t>
  </si>
  <si>
    <t>Minha</t>
  </si>
  <si>
    <t>Anusha</t>
  </si>
  <si>
    <t>Shahzeb</t>
  </si>
  <si>
    <t>Tameer hussain</t>
  </si>
  <si>
    <t>Umar</t>
  </si>
  <si>
    <t>Ihram khan</t>
  </si>
  <si>
    <t>Hooriya</t>
  </si>
  <si>
    <t>Ghulam sakina</t>
  </si>
  <si>
    <t>Zoya Ahsan</t>
  </si>
  <si>
    <t>Ali Jan</t>
  </si>
  <si>
    <t>M. Shafique somroo</t>
  </si>
  <si>
    <t>Ahsan ali</t>
  </si>
  <si>
    <t>Altaf Hussian</t>
  </si>
  <si>
    <t xml:space="preserve">Ameer Saddam </t>
  </si>
  <si>
    <t>Gulab Ali</t>
  </si>
  <si>
    <t>Ibaa-dullah</t>
  </si>
  <si>
    <t>M.Araf</t>
  </si>
  <si>
    <t>M.Aqib</t>
  </si>
  <si>
    <t>Aurangzaib</t>
  </si>
  <si>
    <t>Sidra-tul Muntaha</t>
  </si>
  <si>
    <t>G.Murtaza</t>
  </si>
  <si>
    <t>-</t>
  </si>
  <si>
    <t>Kulsoom</t>
  </si>
  <si>
    <t>Abdul waheed</t>
  </si>
  <si>
    <t>Imtiaz Ali</t>
  </si>
  <si>
    <t>Riaz Ali</t>
  </si>
  <si>
    <t>Waris Ali</t>
  </si>
  <si>
    <t>Rayaan</t>
  </si>
  <si>
    <t>Muntasha Almas</t>
  </si>
  <si>
    <t>Yaseen</t>
  </si>
  <si>
    <t>M.Younis</t>
  </si>
  <si>
    <t>Rameez</t>
  </si>
  <si>
    <t>ECE ROSE</t>
  </si>
  <si>
    <t>Mir Ghulam Mustafa Bhutto</t>
  </si>
  <si>
    <t>Abdul Khaliq Bhutto</t>
  </si>
  <si>
    <t>Airah Alber</t>
  </si>
  <si>
    <t>Meerum</t>
  </si>
  <si>
    <t>Razaullah</t>
  </si>
  <si>
    <t>Marwa Bibi</t>
  </si>
  <si>
    <t>Naqeeb Ullah</t>
  </si>
  <si>
    <t>Muhammad Huzzaifa</t>
  </si>
  <si>
    <t>Zain Ullah</t>
  </si>
  <si>
    <t>Mustaqim Hussain</t>
  </si>
  <si>
    <t>Zafar Hussain</t>
  </si>
  <si>
    <t>Irshad</t>
  </si>
  <si>
    <t>Shafiq Shah</t>
  </si>
  <si>
    <t>Aon Ali</t>
  </si>
  <si>
    <t>Ajwa Rashid</t>
  </si>
  <si>
    <t>Rashid Hussain</t>
  </si>
  <si>
    <t>Muhammad Ramzan</t>
  </si>
  <si>
    <t>Abdul Karim</t>
  </si>
  <si>
    <t>Airah Meer</t>
  </si>
  <si>
    <t>Tanveer Ahmed Jamali</t>
  </si>
  <si>
    <t>Zeeshan Ali</t>
  </si>
  <si>
    <t>Farhan Ali</t>
  </si>
  <si>
    <t>Muhammad Qaiser</t>
  </si>
  <si>
    <t>Muhammad Qasim Mugheri</t>
  </si>
  <si>
    <t>Bibi Batool</t>
  </si>
  <si>
    <t>Syed Shahid Ali Shah</t>
  </si>
  <si>
    <t>Sajid Jamali</t>
  </si>
  <si>
    <t>Arwa Fatima</t>
  </si>
  <si>
    <t>Muhammad Bilawal</t>
  </si>
  <si>
    <t>Muhammad Siddiq</t>
  </si>
  <si>
    <t>Waseem</t>
  </si>
  <si>
    <t>Ariyan</t>
  </si>
  <si>
    <t>Inaya Fatima</t>
  </si>
  <si>
    <t>Ijaz Ahmed</t>
  </si>
  <si>
    <t>Aqib</t>
  </si>
  <si>
    <t>Zainab Haneef</t>
  </si>
  <si>
    <t>Haneef Qadir</t>
  </si>
  <si>
    <t>Muhammad Ameen</t>
  </si>
  <si>
    <t>Zara Fatima</t>
  </si>
  <si>
    <t xml:space="preserve">SUNDAY - SUNDAY - SUNDAY - SUNDAY - SUNDAY - </t>
  </si>
  <si>
    <t>URS SHAH ABDUL LATIF BITHAI</t>
  </si>
  <si>
    <t>INDEPENDENCE DAY</t>
  </si>
  <si>
    <t>Off days</t>
  </si>
  <si>
    <t>Off Days</t>
  </si>
  <si>
    <t>Monthly Attendence Month of AUGUST-2025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</si>
</sst>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3" xfId="0" applyFont="1" applyBorder="1"/>
    <xf numFmtId="0" fontId="10" fillId="0" borderId="9" xfId="0" applyFont="1" applyBorder="1"/>
    <xf numFmtId="0" fontId="10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0" fillId="0" borderId="5" xfId="0" applyFont="1" applyBorder="1"/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9" fontId="15" fillId="0" borderId="5" xfId="1" applyFont="1" applyFill="1" applyBorder="1" applyAlignment="1">
      <alignment horizontal="center" vertical="center"/>
    </xf>
    <xf numFmtId="9" fontId="15" fillId="0" borderId="3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15" fillId="3" borderId="17" xfId="1" applyFont="1" applyFill="1" applyBorder="1"/>
    <xf numFmtId="9" fontId="15" fillId="0" borderId="20" xfId="1" applyFont="1" applyFill="1" applyBorder="1" applyAlignment="1">
      <alignment horizontal="center" vertical="center"/>
    </xf>
    <xf numFmtId="9" fontId="15" fillId="3" borderId="21" xfId="1" applyFont="1" applyFill="1" applyBorder="1"/>
    <xf numFmtId="0" fontId="14" fillId="0" borderId="2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9" fontId="15" fillId="0" borderId="28" xfId="1" applyFont="1" applyFill="1" applyBorder="1" applyAlignment="1">
      <alignment horizontal="center" vertical="center"/>
    </xf>
    <xf numFmtId="9" fontId="15" fillId="0" borderId="2" xfId="1" applyFont="1" applyFill="1" applyBorder="1" applyAlignment="1">
      <alignment horizontal="center" vertical="center"/>
    </xf>
    <xf numFmtId="9" fontId="15" fillId="0" borderId="24" xfId="1" applyFont="1" applyFill="1" applyBorder="1" applyAlignment="1">
      <alignment horizontal="center" vertical="center"/>
    </xf>
    <xf numFmtId="9" fontId="15" fillId="3" borderId="27" xfId="1" applyFont="1" applyFill="1" applyBorder="1"/>
    <xf numFmtId="0" fontId="16" fillId="0" borderId="16" xfId="0" applyFont="1" applyBorder="1" applyAlignment="1">
      <alignment horizontal="center"/>
    </xf>
    <xf numFmtId="0" fontId="14" fillId="0" borderId="12" xfId="0" applyFont="1" applyBorder="1"/>
    <xf numFmtId="0" fontId="16" fillId="0" borderId="12" xfId="0" applyFont="1" applyBorder="1" applyAlignment="1">
      <alignment horizontal="center"/>
    </xf>
    <xf numFmtId="9" fontId="15" fillId="0" borderId="12" xfId="1" applyFont="1" applyFill="1" applyBorder="1" applyAlignment="1">
      <alignment horizontal="center" vertical="center"/>
    </xf>
    <xf numFmtId="9" fontId="15" fillId="3" borderId="15" xfId="1" applyFont="1" applyFill="1" applyBorder="1"/>
    <xf numFmtId="0" fontId="17" fillId="0" borderId="19" xfId="0" applyFont="1" applyBorder="1" applyAlignment="1">
      <alignment horizontal="center"/>
    </xf>
    <xf numFmtId="9" fontId="17" fillId="0" borderId="20" xfId="1" applyFont="1" applyFill="1" applyBorder="1" applyAlignment="1">
      <alignment horizontal="center"/>
    </xf>
    <xf numFmtId="9" fontId="18" fillId="0" borderId="20" xfId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9" fontId="18" fillId="0" borderId="22" xfId="1" applyFont="1" applyFill="1" applyBorder="1" applyAlignment="1">
      <alignment horizontal="center" vertical="center" wrapText="1"/>
    </xf>
    <xf numFmtId="9" fontId="15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8" fillId="0" borderId="19" xfId="1" applyFont="1" applyFill="1" applyBorder="1" applyAlignment="1">
      <alignment horizontal="center" vertical="center" wrapText="1"/>
    </xf>
    <xf numFmtId="9" fontId="18" fillId="0" borderId="21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4" fillId="0" borderId="6" xfId="0" applyFont="1" applyBorder="1"/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15" fillId="0" borderId="7" xfId="1" applyFont="1" applyFill="1" applyBorder="1" applyAlignment="1">
      <alignment horizontal="center" vertical="center"/>
    </xf>
    <xf numFmtId="9" fontId="15" fillId="0" borderId="6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/>
    </xf>
    <xf numFmtId="9" fontId="15" fillId="3" borderId="35" xfId="1" applyFont="1" applyFill="1" applyBorder="1"/>
    <xf numFmtId="0" fontId="12" fillId="0" borderId="2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6" fillId="4" borderId="1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/>
    <xf numFmtId="0" fontId="0" fillId="0" borderId="3" xfId="0" applyBorder="1"/>
    <xf numFmtId="0" fontId="10" fillId="3" borderId="6" xfId="0" applyFont="1" applyFill="1" applyBorder="1"/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textRotation="255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0" fillId="0" borderId="3" xfId="0" applyBorder="1" applyAlignment="1">
      <alignment horizontal="center" vertical="center" textRotation="255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10" fillId="3" borderId="3" xfId="0" applyFont="1" applyFill="1" applyBorder="1"/>
    <xf numFmtId="0" fontId="0" fillId="3" borderId="3" xfId="0" applyFill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7" fontId="13" fillId="0" borderId="30" xfId="0" applyNumberFormat="1" applyFont="1" applyBorder="1" applyAlignment="1">
      <alignment horizontal="center"/>
    </xf>
    <xf numFmtId="17" fontId="13" fillId="0" borderId="13" xfId="0" applyNumberFormat="1" applyFont="1" applyBorder="1" applyAlignment="1">
      <alignment horizontal="center"/>
    </xf>
    <xf numFmtId="17" fontId="13" fillId="0" borderId="12" xfId="0" applyNumberFormat="1" applyFont="1" applyBorder="1" applyAlignment="1">
      <alignment horizontal="center"/>
    </xf>
    <xf numFmtId="17" fontId="13" fillId="0" borderId="14" xfId="0" applyNumberFormat="1" applyFont="1" applyBorder="1" applyAlignment="1">
      <alignment horizontal="center"/>
    </xf>
    <xf numFmtId="17" fontId="13" fillId="0" borderId="15" xfId="0" applyNumberFormat="1" applyFont="1" applyBorder="1" applyAlignment="1">
      <alignment horizontal="center"/>
    </xf>
    <xf numFmtId="17" fontId="9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255"/>
    </xf>
    <xf numFmtId="0" fontId="20" fillId="0" borderId="2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20" fillId="5" borderId="9" xfId="0" applyFont="1" applyFill="1" applyBorder="1" applyAlignment="1">
      <alignment horizontal="center" vertical="center" textRotation="90"/>
    </xf>
    <xf numFmtId="0" fontId="21" fillId="0" borderId="3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22" fillId="0" borderId="2" xfId="0" applyFont="1" applyBorder="1" applyAlignment="1">
      <alignment horizontal="center" vertical="center" textRotation="90"/>
    </xf>
    <xf numFmtId="0" fontId="2" fillId="6" borderId="3" xfId="0" applyFont="1" applyFill="1" applyBorder="1" applyAlignment="1">
      <alignment horizontal="center" vertical="center" textRotation="255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19" fillId="0" borderId="9" xfId="0" applyFont="1" applyBorder="1" applyAlignment="1">
      <alignment horizontal="center" vertical="center" textRotation="255"/>
    </xf>
    <xf numFmtId="0" fontId="19" fillId="0" borderId="6" xfId="0" applyFont="1" applyBorder="1" applyAlignment="1">
      <alignment horizontal="center" vertical="center" textRotation="255"/>
    </xf>
    <xf numFmtId="0" fontId="20" fillId="5" borderId="2" xfId="0" applyFont="1" applyFill="1" applyBorder="1" applyAlignment="1">
      <alignment horizontal="center" vertical="center" textRotation="90"/>
    </xf>
    <xf numFmtId="0" fontId="20" fillId="5" borderId="3" xfId="0" applyFont="1" applyFill="1" applyBorder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60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opLeftCell="A3"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21" t="s">
        <v>3</v>
      </c>
      <c r="B4" s="123" t="s">
        <v>712</v>
      </c>
      <c r="C4" s="124"/>
      <c r="D4" s="124"/>
      <c r="E4" s="125"/>
      <c r="F4" s="125"/>
      <c r="G4" s="125"/>
      <c r="H4" s="125"/>
      <c r="I4" s="124"/>
      <c r="J4" s="124"/>
      <c r="K4" s="124"/>
      <c r="L4" s="125"/>
      <c r="M4" s="125"/>
      <c r="N4" s="126"/>
      <c r="O4" s="127"/>
    </row>
    <row r="5" spans="1:15" ht="34.5" thickBot="1" x14ac:dyDescent="0.3">
      <c r="A5" s="122"/>
      <c r="B5" s="73" t="s">
        <v>11</v>
      </c>
      <c r="C5" s="73" t="s">
        <v>12</v>
      </c>
      <c r="D5" s="73" t="s">
        <v>13</v>
      </c>
      <c r="E5" s="74" t="s">
        <v>696</v>
      </c>
      <c r="F5" s="73" t="s">
        <v>697</v>
      </c>
      <c r="G5" s="73" t="s">
        <v>698</v>
      </c>
      <c r="H5" s="75" t="s">
        <v>699</v>
      </c>
      <c r="I5" s="76" t="s">
        <v>700</v>
      </c>
      <c r="J5" s="77" t="s">
        <v>701</v>
      </c>
      <c r="K5" s="78" t="s">
        <v>702</v>
      </c>
      <c r="L5" s="91" t="s">
        <v>703</v>
      </c>
      <c r="M5" s="92" t="s">
        <v>704</v>
      </c>
      <c r="N5" s="92" t="s">
        <v>704</v>
      </c>
      <c r="O5" s="93" t="s">
        <v>705</v>
      </c>
    </row>
    <row r="6" spans="1:15" ht="18.75" x14ac:dyDescent="0.3">
      <c r="A6" s="61" t="s">
        <v>706</v>
      </c>
      <c r="B6" s="65">
        <v>27</v>
      </c>
      <c r="C6" s="65">
        <v>27</v>
      </c>
      <c r="D6" s="65">
        <f>SUM(B6:C6)</f>
        <v>54</v>
      </c>
      <c r="E6" s="66">
        <v>24</v>
      </c>
      <c r="F6" s="67">
        <f>B6*E6</f>
        <v>648</v>
      </c>
      <c r="G6" s="67">
        <f t="shared" ref="G6:G16" si="0">C6*E6</f>
        <v>648</v>
      </c>
      <c r="H6" s="68">
        <f>SUM(F6:G6)</f>
        <v>1296</v>
      </c>
      <c r="I6" s="79">
        <f>'ECE (Daffodils)'!V14</f>
        <v>0</v>
      </c>
      <c r="J6" s="80" t="e">
        <f>'ECE (Daffodils)'!#REF!</f>
        <v>#REF!</v>
      </c>
      <c r="K6" s="81" t="e">
        <f>SUM(I6:J6)</f>
        <v>#REF!</v>
      </c>
      <c r="L6" s="69" t="e">
        <f>J6/G6</f>
        <v>#REF!</v>
      </c>
      <c r="M6" s="70">
        <f>I6/F6</f>
        <v>0</v>
      </c>
      <c r="N6" s="71" t="e">
        <f>K6/H6</f>
        <v>#REF!</v>
      </c>
      <c r="O6" s="72" t="e">
        <f>AVERAGE(L6:M6)</f>
        <v>#REF!</v>
      </c>
    </row>
    <row r="7" spans="1:15" ht="18.75" x14ac:dyDescent="0.3">
      <c r="A7" s="61" t="s">
        <v>707</v>
      </c>
      <c r="B7" s="30">
        <v>31</v>
      </c>
      <c r="C7" s="30">
        <v>25</v>
      </c>
      <c r="D7" s="30">
        <f>SUM(B7:C7)</f>
        <v>56</v>
      </c>
      <c r="E7" s="60">
        <v>24</v>
      </c>
      <c r="F7" s="31">
        <f>B7*E7</f>
        <v>744</v>
      </c>
      <c r="G7" s="31">
        <f t="shared" si="0"/>
        <v>600</v>
      </c>
      <c r="H7" s="32">
        <f>SUM(F7:G7)</f>
        <v>1344</v>
      </c>
      <c r="I7" s="82">
        <f>'Class-1'!V14</f>
        <v>0</v>
      </c>
      <c r="J7" s="83" t="str">
        <f>'Class-1'!W14</f>
        <v>A</v>
      </c>
      <c r="K7" s="84">
        <f>SUM(I7:J7)</f>
        <v>0</v>
      </c>
      <c r="L7" s="33" t="e">
        <f>J7/G7</f>
        <v>#VALUE!</v>
      </c>
      <c r="M7" s="34">
        <f>I7/F7</f>
        <v>0</v>
      </c>
      <c r="N7" s="35">
        <f>K7/H7</f>
        <v>0</v>
      </c>
      <c r="O7" s="36" t="e">
        <f>AVERAGE(L7:M7)</f>
        <v>#VALUE!</v>
      </c>
    </row>
    <row r="8" spans="1:15" ht="18.75" x14ac:dyDescent="0.3">
      <c r="A8" s="62" t="s">
        <v>708</v>
      </c>
      <c r="B8" s="30">
        <v>32</v>
      </c>
      <c r="C8" s="30">
        <v>24</v>
      </c>
      <c r="D8" s="30">
        <f t="shared" ref="D8:D16" si="1">SUM(B8:C8)</f>
        <v>56</v>
      </c>
      <c r="E8" s="60">
        <v>24</v>
      </c>
      <c r="F8" s="31">
        <f t="shared" ref="F8:F16" si="2">B8*E8</f>
        <v>768</v>
      </c>
      <c r="G8" s="31">
        <f t="shared" si="0"/>
        <v>576</v>
      </c>
      <c r="H8" s="32">
        <f t="shared" ref="H8:H16" si="3">SUM(F8:G8)</f>
        <v>1344</v>
      </c>
      <c r="I8" s="82">
        <f>'Class-2'!V13</f>
        <v>0</v>
      </c>
      <c r="J8" s="83" t="e">
        <f>'Class-2'!#REF!</f>
        <v>#REF!</v>
      </c>
      <c r="K8" s="84" t="e">
        <f t="shared" ref="K8:K16" si="4">SUM(I8:J8)</f>
        <v>#REF!</v>
      </c>
      <c r="L8" s="33" t="e">
        <f t="shared" ref="L8:L16" si="5">J8/G8</f>
        <v>#REF!</v>
      </c>
      <c r="M8" s="34">
        <f t="shared" ref="M8:M16" si="6">I8/F8</f>
        <v>0</v>
      </c>
      <c r="N8" s="35" t="e">
        <f t="shared" ref="N8:N16" si="7">K8/H8</f>
        <v>#REF!</v>
      </c>
      <c r="O8" s="36" t="e">
        <f t="shared" ref="O8:O16" si="8">AVERAGE(L8:M8)</f>
        <v>#REF!</v>
      </c>
    </row>
    <row r="9" spans="1:15" ht="18.75" x14ac:dyDescent="0.3">
      <c r="A9" s="63" t="s">
        <v>306</v>
      </c>
      <c r="B9" s="30">
        <v>26</v>
      </c>
      <c r="C9" s="30">
        <v>26</v>
      </c>
      <c r="D9" s="30">
        <f t="shared" si="1"/>
        <v>52</v>
      </c>
      <c r="E9" s="60">
        <v>24</v>
      </c>
      <c r="F9" s="31">
        <f t="shared" si="2"/>
        <v>624</v>
      </c>
      <c r="G9" s="31">
        <f t="shared" si="0"/>
        <v>624</v>
      </c>
      <c r="H9" s="32">
        <f t="shared" si="3"/>
        <v>1248</v>
      </c>
      <c r="I9" s="82">
        <f>'Class-3'!V14</f>
        <v>0</v>
      </c>
      <c r="J9" s="83" t="e">
        <f>'Class-3'!#REF!</f>
        <v>#REF!</v>
      </c>
      <c r="K9" s="84" t="e">
        <f t="shared" si="4"/>
        <v>#REF!</v>
      </c>
      <c r="L9" s="33" t="e">
        <f t="shared" si="5"/>
        <v>#REF!</v>
      </c>
      <c r="M9" s="34">
        <f t="shared" si="6"/>
        <v>0</v>
      </c>
      <c r="N9" s="35" t="e">
        <f t="shared" si="7"/>
        <v>#REF!</v>
      </c>
      <c r="O9" s="36" t="e">
        <f t="shared" si="8"/>
        <v>#REF!</v>
      </c>
    </row>
    <row r="10" spans="1:15" ht="18.75" x14ac:dyDescent="0.3">
      <c r="A10" s="62" t="s">
        <v>361</v>
      </c>
      <c r="B10" s="30">
        <v>28</v>
      </c>
      <c r="C10" s="30">
        <v>24</v>
      </c>
      <c r="D10" s="30">
        <f t="shared" si="1"/>
        <v>52</v>
      </c>
      <c r="E10" s="31">
        <v>24</v>
      </c>
      <c r="F10" s="31">
        <f t="shared" si="2"/>
        <v>672</v>
      </c>
      <c r="G10" s="31">
        <f t="shared" si="0"/>
        <v>576</v>
      </c>
      <c r="H10" s="32">
        <f t="shared" si="3"/>
        <v>1248</v>
      </c>
      <c r="I10" s="82">
        <f>'Class-4'!V13</f>
        <v>0</v>
      </c>
      <c r="J10" s="83" t="e">
        <f>'Class-4'!#REF!</f>
        <v>#REF!</v>
      </c>
      <c r="K10" s="84" t="e">
        <f>SUM(I10:J10)</f>
        <v>#REF!</v>
      </c>
      <c r="L10" s="33" t="e">
        <f t="shared" si="5"/>
        <v>#REF!</v>
      </c>
      <c r="M10" s="34">
        <f t="shared" si="6"/>
        <v>0</v>
      </c>
      <c r="N10" s="35" t="e">
        <f>K10/H10</f>
        <v>#REF!</v>
      </c>
      <c r="O10" s="36" t="e">
        <f t="shared" si="8"/>
        <v>#REF!</v>
      </c>
    </row>
    <row r="11" spans="1:15" ht="18.75" x14ac:dyDescent="0.3">
      <c r="A11" s="62" t="s">
        <v>430</v>
      </c>
      <c r="B11" s="30">
        <v>21</v>
      </c>
      <c r="C11" s="30">
        <v>32</v>
      </c>
      <c r="D11" s="30">
        <f t="shared" si="1"/>
        <v>53</v>
      </c>
      <c r="E11" s="31">
        <v>24</v>
      </c>
      <c r="F11" s="31">
        <f t="shared" si="2"/>
        <v>504</v>
      </c>
      <c r="G11" s="31">
        <f t="shared" si="0"/>
        <v>768</v>
      </c>
      <c r="H11" s="32">
        <f t="shared" si="3"/>
        <v>1272</v>
      </c>
      <c r="I11" s="82">
        <f>'Class-5'!Z14</f>
        <v>248</v>
      </c>
      <c r="J11" s="83">
        <f>'Class-5'!AA14</f>
        <v>230</v>
      </c>
      <c r="K11" s="84">
        <f t="shared" si="4"/>
        <v>478</v>
      </c>
      <c r="L11" s="33">
        <f t="shared" si="5"/>
        <v>0.29947916666666669</v>
      </c>
      <c r="M11" s="34">
        <f t="shared" si="6"/>
        <v>0.49206349206349204</v>
      </c>
      <c r="N11" s="35">
        <f t="shared" si="7"/>
        <v>0.37578616352201261</v>
      </c>
      <c r="O11" s="36">
        <f t="shared" si="8"/>
        <v>0.39577132936507936</v>
      </c>
    </row>
    <row r="12" spans="1:15" ht="18.75" x14ac:dyDescent="0.3">
      <c r="A12" s="62" t="s">
        <v>497</v>
      </c>
      <c r="B12" s="30">
        <v>23</v>
      </c>
      <c r="C12" s="30">
        <v>23</v>
      </c>
      <c r="D12" s="30">
        <f t="shared" si="1"/>
        <v>46</v>
      </c>
      <c r="E12" s="31">
        <v>24</v>
      </c>
      <c r="F12" s="31">
        <f t="shared" si="2"/>
        <v>552</v>
      </c>
      <c r="G12" s="31">
        <f t="shared" si="0"/>
        <v>552</v>
      </c>
      <c r="H12" s="32">
        <f t="shared" si="3"/>
        <v>1104</v>
      </c>
      <c r="I12" s="82">
        <f>'Class-6'!Z14</f>
        <v>239</v>
      </c>
      <c r="J12" s="83">
        <f>'Class-6'!AA14</f>
        <v>201</v>
      </c>
      <c r="K12" s="84">
        <f t="shared" si="4"/>
        <v>440</v>
      </c>
      <c r="L12" s="33">
        <f t="shared" si="5"/>
        <v>0.3641304347826087</v>
      </c>
      <c r="M12" s="34">
        <f t="shared" si="6"/>
        <v>0.4329710144927536</v>
      </c>
      <c r="N12" s="35">
        <f t="shared" si="7"/>
        <v>0.39855072463768115</v>
      </c>
      <c r="O12" s="36">
        <f t="shared" si="8"/>
        <v>0.39855072463768115</v>
      </c>
    </row>
    <row r="13" spans="1:15" ht="18.75" x14ac:dyDescent="0.3">
      <c r="A13" s="63" t="s">
        <v>556</v>
      </c>
      <c r="B13" s="30">
        <v>17</v>
      </c>
      <c r="C13" s="30">
        <v>28</v>
      </c>
      <c r="D13" s="30">
        <f t="shared" si="1"/>
        <v>45</v>
      </c>
      <c r="E13" s="31">
        <v>24</v>
      </c>
      <c r="F13" s="31">
        <f t="shared" si="2"/>
        <v>408</v>
      </c>
      <c r="G13" s="31">
        <f t="shared" si="0"/>
        <v>672</v>
      </c>
      <c r="H13" s="32">
        <f t="shared" si="3"/>
        <v>1080</v>
      </c>
      <c r="I13" s="82">
        <f>'Class-7'!Z14</f>
        <v>157</v>
      </c>
      <c r="J13" s="83">
        <f>'Class-7'!AA14</f>
        <v>302</v>
      </c>
      <c r="K13" s="84">
        <f t="shared" si="4"/>
        <v>459</v>
      </c>
      <c r="L13" s="33">
        <f t="shared" si="5"/>
        <v>0.44940476190476192</v>
      </c>
      <c r="M13" s="34">
        <f t="shared" si="6"/>
        <v>0.38480392156862747</v>
      </c>
      <c r="N13" s="35">
        <f t="shared" si="7"/>
        <v>0.42499999999999999</v>
      </c>
      <c r="O13" s="36">
        <f t="shared" si="8"/>
        <v>0.41710434173669469</v>
      </c>
    </row>
    <row r="14" spans="1:15" ht="18.75" x14ac:dyDescent="0.3">
      <c r="A14" s="63" t="s">
        <v>709</v>
      </c>
      <c r="B14" s="30">
        <v>29</v>
      </c>
      <c r="C14" s="30">
        <v>19</v>
      </c>
      <c r="D14" s="30">
        <f t="shared" si="1"/>
        <v>48</v>
      </c>
      <c r="E14" s="31">
        <v>24</v>
      </c>
      <c r="F14" s="31">
        <f t="shared" si="2"/>
        <v>696</v>
      </c>
      <c r="G14" s="31">
        <f t="shared" si="0"/>
        <v>456</v>
      </c>
      <c r="H14" s="32">
        <f t="shared" si="3"/>
        <v>1152</v>
      </c>
      <c r="I14" s="82">
        <f>'class-8'!Z14</f>
        <v>288</v>
      </c>
      <c r="J14" s="83">
        <f>'class-8'!AA14</f>
        <v>138</v>
      </c>
      <c r="K14" s="84">
        <f t="shared" si="4"/>
        <v>426</v>
      </c>
      <c r="L14" s="33">
        <f t="shared" si="5"/>
        <v>0.30263157894736842</v>
      </c>
      <c r="M14" s="34">
        <f t="shared" si="6"/>
        <v>0.41379310344827586</v>
      </c>
      <c r="N14" s="35">
        <f t="shared" si="7"/>
        <v>0.36979166666666669</v>
      </c>
      <c r="O14" s="36">
        <f t="shared" si="8"/>
        <v>0.35821234119782214</v>
      </c>
    </row>
    <row r="15" spans="1:15" ht="18.75" x14ac:dyDescent="0.3">
      <c r="A15" s="63" t="s">
        <v>710</v>
      </c>
      <c r="B15" s="30">
        <v>19</v>
      </c>
      <c r="C15" s="30">
        <v>23</v>
      </c>
      <c r="D15" s="30">
        <f t="shared" si="1"/>
        <v>42</v>
      </c>
      <c r="E15" s="31">
        <v>24</v>
      </c>
      <c r="F15" s="31">
        <f t="shared" si="2"/>
        <v>456</v>
      </c>
      <c r="G15" s="31">
        <f t="shared" si="0"/>
        <v>552</v>
      </c>
      <c r="H15" s="32">
        <f t="shared" si="3"/>
        <v>1008</v>
      </c>
      <c r="I15" s="82">
        <f>'class-9'!Z14</f>
        <v>128</v>
      </c>
      <c r="J15" s="83">
        <f>'class-9'!AA14</f>
        <v>200</v>
      </c>
      <c r="K15" s="84">
        <f t="shared" si="4"/>
        <v>328</v>
      </c>
      <c r="L15" s="33">
        <f t="shared" si="5"/>
        <v>0.36231884057971014</v>
      </c>
      <c r="M15" s="34">
        <f t="shared" si="6"/>
        <v>0.2807017543859649</v>
      </c>
      <c r="N15" s="35">
        <f t="shared" si="7"/>
        <v>0.32539682539682541</v>
      </c>
      <c r="O15" s="36">
        <f t="shared" si="8"/>
        <v>0.32151029748283755</v>
      </c>
    </row>
    <row r="16" spans="1:15" ht="19.5" thickBot="1" x14ac:dyDescent="0.35">
      <c r="A16" s="64" t="s">
        <v>711</v>
      </c>
      <c r="B16" s="39">
        <v>16</v>
      </c>
      <c r="C16" s="39">
        <v>19</v>
      </c>
      <c r="D16" s="39">
        <f t="shared" si="1"/>
        <v>35</v>
      </c>
      <c r="E16" s="40">
        <v>24</v>
      </c>
      <c r="F16" s="40">
        <f t="shared" si="2"/>
        <v>384</v>
      </c>
      <c r="G16" s="40">
        <f t="shared" si="0"/>
        <v>456</v>
      </c>
      <c r="H16" s="41">
        <f t="shared" si="3"/>
        <v>840</v>
      </c>
      <c r="I16" s="85">
        <f>'class-10'!Z14</f>
        <v>128</v>
      </c>
      <c r="J16" s="86">
        <f>'class-10'!AA14</f>
        <v>106</v>
      </c>
      <c r="K16" s="87">
        <f t="shared" si="4"/>
        <v>234</v>
      </c>
      <c r="L16" s="42">
        <f t="shared" si="5"/>
        <v>0.23245614035087719</v>
      </c>
      <c r="M16" s="43">
        <f t="shared" si="6"/>
        <v>0.33333333333333331</v>
      </c>
      <c r="N16" s="44">
        <f t="shared" si="7"/>
        <v>0.27857142857142858</v>
      </c>
      <c r="O16" s="45">
        <f t="shared" si="8"/>
        <v>0.28289473684210525</v>
      </c>
    </row>
    <row r="17" spans="1:15" ht="18.75" x14ac:dyDescent="0.3">
      <c r="A17" s="46" t="s">
        <v>13</v>
      </c>
      <c r="B17" s="47">
        <f t="shared" ref="B17:K17" si="9">SUM(B6:B16)</f>
        <v>269</v>
      </c>
      <c r="C17" s="47">
        <f t="shared" si="9"/>
        <v>270</v>
      </c>
      <c r="D17" s="47">
        <f t="shared" si="9"/>
        <v>539</v>
      </c>
      <c r="E17" s="48">
        <f t="shared" si="9"/>
        <v>264</v>
      </c>
      <c r="F17" s="48">
        <f t="shared" si="9"/>
        <v>6456</v>
      </c>
      <c r="G17" s="48">
        <f t="shared" si="9"/>
        <v>6480</v>
      </c>
      <c r="H17" s="54">
        <f t="shared" si="9"/>
        <v>12936</v>
      </c>
      <c r="I17" s="88">
        <f t="shared" si="9"/>
        <v>1188</v>
      </c>
      <c r="J17" s="89" t="e">
        <f t="shared" si="9"/>
        <v>#REF!</v>
      </c>
      <c r="K17" s="90" t="e">
        <f t="shared" si="9"/>
        <v>#REF!</v>
      </c>
      <c r="L17" s="56" t="e">
        <f>J17/G17</f>
        <v>#REF!</v>
      </c>
      <c r="M17" s="49">
        <f>I17/F17</f>
        <v>0.18401486988847585</v>
      </c>
      <c r="N17" s="49" t="e">
        <f>AVERAGE(N6:N16)</f>
        <v>#REF!</v>
      </c>
      <c r="O17" s="50" t="e">
        <f>AVERAGE(O6:O16)</f>
        <v>#REF!</v>
      </c>
    </row>
    <row r="18" spans="1:15" ht="15.75" thickBot="1" x14ac:dyDescent="0.3">
      <c r="A18" s="51" t="s">
        <v>16</v>
      </c>
      <c r="B18" s="52">
        <v>1</v>
      </c>
      <c r="C18" s="52">
        <v>1</v>
      </c>
      <c r="D18" s="53">
        <v>1</v>
      </c>
      <c r="E18" s="52">
        <v>1</v>
      </c>
      <c r="F18" s="52">
        <v>1</v>
      </c>
      <c r="G18" s="53">
        <v>1</v>
      </c>
      <c r="H18" s="55">
        <v>1</v>
      </c>
      <c r="I18" s="58">
        <f>I17/F17</f>
        <v>0.18401486988847585</v>
      </c>
      <c r="J18" s="53" t="e">
        <f>J17/G17</f>
        <v>#REF!</v>
      </c>
      <c r="K18" s="59" t="e">
        <f>K17/H17</f>
        <v>#REF!</v>
      </c>
      <c r="L18" s="57">
        <v>0.54</v>
      </c>
      <c r="M18" s="37">
        <v>0.56000000000000005</v>
      </c>
      <c r="N18" s="37">
        <v>0.55000000000000004</v>
      </c>
      <c r="O18" s="38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"/>
  <sheetViews>
    <sheetView zoomScaleNormal="100" workbookViewId="0">
      <selection activeCell="A2" sqref="A2:X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24.42578125" style="1" bestFit="1" customWidth="1"/>
    <col min="4" max="4" width="17.5703125" style="1" bestFit="1" customWidth="1"/>
    <col min="5" max="5" width="9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3" width="7.140625" style="1" bestFit="1" customWidth="1"/>
    <col min="24" max="24" width="6.7109375" style="1" bestFit="1" customWidth="1"/>
    <col min="25" max="25" width="18.5703125" style="1" bestFit="1" customWidth="1"/>
    <col min="26" max="27" width="8" style="1" customWidth="1"/>
    <col min="28" max="28" width="7" style="1" customWidth="1"/>
    <col min="29" max="16384" width="3.85546875" style="1"/>
  </cols>
  <sheetData>
    <row r="1" spans="1:28" ht="17.25" x14ac:dyDescent="0.25">
      <c r="A1" s="130" t="s">
        <v>18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4"/>
      <c r="Z1" s="14"/>
      <c r="AA1" s="14"/>
      <c r="AB1" s="14"/>
    </row>
    <row r="2" spans="1:28" ht="17.25" x14ac:dyDescent="0.3">
      <c r="A2" s="131" t="s">
        <v>883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4"/>
      <c r="Z2" s="14"/>
      <c r="AA2" s="14"/>
      <c r="AB2" s="14"/>
    </row>
    <row r="3" spans="1:28" ht="15.75" x14ac:dyDescent="0.25">
      <c r="A3" s="132" t="s">
        <v>0</v>
      </c>
      <c r="B3" s="132" t="s">
        <v>713</v>
      </c>
      <c r="C3" s="132" t="s">
        <v>1</v>
      </c>
      <c r="D3" s="132" t="s">
        <v>2</v>
      </c>
      <c r="E3" s="132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28" t="s">
        <v>119</v>
      </c>
      <c r="Z3" s="128"/>
      <c r="AA3" s="117"/>
      <c r="AB3" s="117"/>
    </row>
    <row r="4" spans="1:28" ht="36.75" x14ac:dyDescent="0.25">
      <c r="A4" s="132"/>
      <c r="B4" s="132"/>
      <c r="C4" s="132"/>
      <c r="D4" s="132"/>
      <c r="E4" s="132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17</v>
      </c>
      <c r="AA4" s="117"/>
      <c r="AB4" s="117"/>
    </row>
    <row r="5" spans="1:28" ht="15" customHeight="1" x14ac:dyDescent="0.25">
      <c r="A5" s="9">
        <v>1</v>
      </c>
      <c r="B5" s="11"/>
      <c r="C5" s="119" t="s">
        <v>839</v>
      </c>
      <c r="D5" s="119" t="s">
        <v>840</v>
      </c>
      <c r="E5" s="8" t="s">
        <v>838</v>
      </c>
      <c r="F5" s="94" t="s">
        <v>804</v>
      </c>
      <c r="G5" s="94" t="s">
        <v>804</v>
      </c>
      <c r="H5" s="129" t="s">
        <v>878</v>
      </c>
      <c r="I5" s="94" t="s">
        <v>803</v>
      </c>
      <c r="J5" s="94" t="s">
        <v>804</v>
      </c>
      <c r="K5" s="94" t="s">
        <v>804</v>
      </c>
      <c r="L5" s="94" t="s">
        <v>804</v>
      </c>
      <c r="M5" s="94" t="s">
        <v>804</v>
      </c>
      <c r="N5" s="163" t="s">
        <v>879</v>
      </c>
      <c r="O5" s="129" t="s">
        <v>878</v>
      </c>
      <c r="P5" s="94" t="s">
        <v>804</v>
      </c>
      <c r="Q5" s="94" t="s">
        <v>803</v>
      </c>
      <c r="R5" s="94" t="s">
        <v>804</v>
      </c>
      <c r="S5" s="163" t="s">
        <v>880</v>
      </c>
      <c r="T5" s="94" t="s">
        <v>804</v>
      </c>
      <c r="U5" s="94" t="s">
        <v>804</v>
      </c>
      <c r="V5" s="129" t="s">
        <v>878</v>
      </c>
      <c r="W5" s="5">
        <f>COUNTIF(F5:V5,"P")</f>
        <v>10</v>
      </c>
      <c r="X5" s="5">
        <f>COUNTIF(F5:V5,"A")</f>
        <v>2</v>
      </c>
      <c r="Y5" s="5" t="s">
        <v>7</v>
      </c>
      <c r="Z5" s="9">
        <v>12</v>
      </c>
      <c r="AA5" s="118"/>
      <c r="AB5" s="117"/>
    </row>
    <row r="6" spans="1:28" ht="16.5" x14ac:dyDescent="0.25">
      <c r="A6" s="9">
        <v>2</v>
      </c>
      <c r="B6" s="11"/>
      <c r="C6" s="119" t="s">
        <v>841</v>
      </c>
      <c r="D6" s="119" t="s">
        <v>553</v>
      </c>
      <c r="E6" s="8" t="s">
        <v>838</v>
      </c>
      <c r="F6" s="94" t="s">
        <v>804</v>
      </c>
      <c r="G6" s="94" t="s">
        <v>804</v>
      </c>
      <c r="H6" s="129"/>
      <c r="I6" s="94" t="s">
        <v>804</v>
      </c>
      <c r="J6" s="94" t="s">
        <v>804</v>
      </c>
      <c r="K6" s="94" t="s">
        <v>804</v>
      </c>
      <c r="L6" s="94" t="s">
        <v>804</v>
      </c>
      <c r="M6" s="94" t="s">
        <v>803</v>
      </c>
      <c r="N6" s="163"/>
      <c r="O6" s="129"/>
      <c r="P6" s="94" t="s">
        <v>804</v>
      </c>
      <c r="Q6" s="94" t="s">
        <v>804</v>
      </c>
      <c r="R6" s="94" t="s">
        <v>804</v>
      </c>
      <c r="S6" s="163"/>
      <c r="T6" s="94" t="s">
        <v>804</v>
      </c>
      <c r="U6" s="94" t="s">
        <v>804</v>
      </c>
      <c r="V6" s="129"/>
      <c r="W6" s="5">
        <f>COUNTIF(F6:V6,"P")</f>
        <v>11</v>
      </c>
      <c r="X6" s="5">
        <f>COUNTIF(F6:V6,"A")</f>
        <v>1</v>
      </c>
      <c r="Y6" s="5" t="s">
        <v>8</v>
      </c>
      <c r="Z6" s="9">
        <v>3</v>
      </c>
      <c r="AA6" s="117"/>
      <c r="AB6" s="117"/>
    </row>
    <row r="7" spans="1:28" ht="16.5" x14ac:dyDescent="0.25">
      <c r="A7" s="9">
        <v>3</v>
      </c>
      <c r="B7" s="11"/>
      <c r="C7" s="119" t="s">
        <v>842</v>
      </c>
      <c r="D7" s="119" t="s">
        <v>843</v>
      </c>
      <c r="E7" s="8" t="s">
        <v>838</v>
      </c>
      <c r="F7" s="94" t="s">
        <v>803</v>
      </c>
      <c r="G7" s="94" t="s">
        <v>804</v>
      </c>
      <c r="H7" s="129"/>
      <c r="I7" s="94" t="s">
        <v>804</v>
      </c>
      <c r="J7" s="94" t="s">
        <v>804</v>
      </c>
      <c r="K7" s="94" t="s">
        <v>804</v>
      </c>
      <c r="L7" s="94" t="s">
        <v>804</v>
      </c>
      <c r="M7" s="94" t="s">
        <v>804</v>
      </c>
      <c r="N7" s="163"/>
      <c r="O7" s="129"/>
      <c r="P7" s="94" t="s">
        <v>804</v>
      </c>
      <c r="Q7" s="94" t="s">
        <v>804</v>
      </c>
      <c r="R7" s="94" t="s">
        <v>804</v>
      </c>
      <c r="S7" s="163"/>
      <c r="T7" s="94" t="s">
        <v>804</v>
      </c>
      <c r="U7" s="94" t="s">
        <v>804</v>
      </c>
      <c r="V7" s="129"/>
      <c r="W7" s="5">
        <f>COUNTIF(F7:V7,"P")</f>
        <v>11</v>
      </c>
      <c r="X7" s="5">
        <f>COUNTIF(F7:V7,"A")</f>
        <v>1</v>
      </c>
      <c r="Y7" s="5" t="s">
        <v>882</v>
      </c>
      <c r="Z7" s="9">
        <v>2</v>
      </c>
      <c r="AA7" s="117"/>
      <c r="AB7" s="117"/>
    </row>
    <row r="8" spans="1:28" ht="16.5" x14ac:dyDescent="0.25">
      <c r="A8" s="9">
        <v>4</v>
      </c>
      <c r="B8" s="11"/>
      <c r="C8" s="119" t="s">
        <v>844</v>
      </c>
      <c r="D8" s="119" t="s">
        <v>845</v>
      </c>
      <c r="E8" s="8" t="s">
        <v>838</v>
      </c>
      <c r="F8" s="94" t="s">
        <v>804</v>
      </c>
      <c r="G8" s="94" t="s">
        <v>804</v>
      </c>
      <c r="H8" s="129"/>
      <c r="I8" s="94" t="s">
        <v>804</v>
      </c>
      <c r="J8" s="94" t="s">
        <v>804</v>
      </c>
      <c r="K8" s="94" t="s">
        <v>804</v>
      </c>
      <c r="L8" s="94" t="s">
        <v>804</v>
      </c>
      <c r="M8" s="94" t="s">
        <v>804</v>
      </c>
      <c r="N8" s="163"/>
      <c r="O8" s="129"/>
      <c r="P8" s="94" t="s">
        <v>804</v>
      </c>
      <c r="Q8" s="94" t="s">
        <v>804</v>
      </c>
      <c r="R8" s="94" t="s">
        <v>803</v>
      </c>
      <c r="S8" s="163"/>
      <c r="T8" s="94" t="s">
        <v>804</v>
      </c>
      <c r="U8" s="94" t="s">
        <v>804</v>
      </c>
      <c r="V8" s="129"/>
      <c r="W8" s="5">
        <f>COUNTIF(F8:V8,"P")</f>
        <v>11</v>
      </c>
      <c r="X8" s="5">
        <f>COUNTIF(F8:V8,"A")</f>
        <v>1</v>
      </c>
      <c r="Y8" s="5"/>
      <c r="Z8" s="9"/>
      <c r="AA8" s="102"/>
      <c r="AB8" s="102"/>
    </row>
    <row r="9" spans="1:28" ht="16.5" x14ac:dyDescent="0.25">
      <c r="A9" s="9">
        <v>5</v>
      </c>
      <c r="B9" s="95"/>
      <c r="C9" s="119" t="s">
        <v>846</v>
      </c>
      <c r="D9" s="119" t="s">
        <v>847</v>
      </c>
      <c r="E9" s="8" t="s">
        <v>838</v>
      </c>
      <c r="F9" s="94" t="s">
        <v>804</v>
      </c>
      <c r="G9" s="94" t="s">
        <v>804</v>
      </c>
      <c r="H9" s="129"/>
      <c r="I9" s="94" t="s">
        <v>804</v>
      </c>
      <c r="J9" s="94" t="s">
        <v>803</v>
      </c>
      <c r="K9" s="94" t="s">
        <v>804</v>
      </c>
      <c r="L9" s="94" t="s">
        <v>804</v>
      </c>
      <c r="M9" s="94" t="s">
        <v>804</v>
      </c>
      <c r="N9" s="163"/>
      <c r="O9" s="129"/>
      <c r="P9" s="94" t="s">
        <v>804</v>
      </c>
      <c r="Q9" s="94" t="s">
        <v>804</v>
      </c>
      <c r="R9" s="94" t="s">
        <v>804</v>
      </c>
      <c r="S9" s="163"/>
      <c r="T9" s="94" t="s">
        <v>804</v>
      </c>
      <c r="U9" s="94" t="s">
        <v>804</v>
      </c>
      <c r="V9" s="129"/>
      <c r="W9" s="5">
        <f>COUNTIF(F9:V9,"P")</f>
        <v>11</v>
      </c>
      <c r="X9" s="5">
        <f>COUNTIF(F9:V9,"A")</f>
        <v>1</v>
      </c>
      <c r="Y9" s="5"/>
      <c r="Z9" s="9"/>
      <c r="AA9" s="14"/>
      <c r="AB9" s="14"/>
    </row>
    <row r="10" spans="1:28" ht="16.5" x14ac:dyDescent="0.25">
      <c r="A10" s="9">
        <v>6</v>
      </c>
      <c r="B10" s="95"/>
      <c r="C10" s="119" t="s">
        <v>848</v>
      </c>
      <c r="D10" s="119" t="s">
        <v>849</v>
      </c>
      <c r="E10" s="8" t="s">
        <v>838</v>
      </c>
      <c r="F10" s="94" t="s">
        <v>804</v>
      </c>
      <c r="G10" s="94" t="s">
        <v>803</v>
      </c>
      <c r="H10" s="129"/>
      <c r="I10" s="94" t="s">
        <v>804</v>
      </c>
      <c r="J10" s="94" t="s">
        <v>804</v>
      </c>
      <c r="K10" s="94" t="s">
        <v>804</v>
      </c>
      <c r="L10" s="94" t="s">
        <v>804</v>
      </c>
      <c r="M10" s="94" t="s">
        <v>804</v>
      </c>
      <c r="N10" s="163"/>
      <c r="O10" s="129"/>
      <c r="P10" s="94" t="s">
        <v>803</v>
      </c>
      <c r="Q10" s="94" t="s">
        <v>804</v>
      </c>
      <c r="R10" s="94" t="s">
        <v>804</v>
      </c>
      <c r="S10" s="163"/>
      <c r="T10" s="94" t="s">
        <v>803</v>
      </c>
      <c r="U10" s="94" t="s">
        <v>804</v>
      </c>
      <c r="V10" s="129"/>
      <c r="W10" s="5">
        <f>COUNTIF(F10:V10,"P")</f>
        <v>9</v>
      </c>
      <c r="X10" s="5">
        <f>COUNTIF(F10:V10,"A")</f>
        <v>3</v>
      </c>
      <c r="Y10" s="14"/>
      <c r="Z10" s="14"/>
      <c r="AA10" s="14"/>
      <c r="AB10" s="14"/>
    </row>
    <row r="11" spans="1:28" ht="16.5" x14ac:dyDescent="0.25">
      <c r="A11" s="9">
        <v>7</v>
      </c>
      <c r="B11" s="95"/>
      <c r="C11" s="119" t="s">
        <v>850</v>
      </c>
      <c r="D11" s="119" t="s">
        <v>851</v>
      </c>
      <c r="E11" s="8" t="s">
        <v>838</v>
      </c>
      <c r="F11" s="94" t="s">
        <v>804</v>
      </c>
      <c r="G11" s="94" t="s">
        <v>804</v>
      </c>
      <c r="H11" s="129"/>
      <c r="I11" s="94" t="s">
        <v>804</v>
      </c>
      <c r="J11" s="94" t="s">
        <v>804</v>
      </c>
      <c r="K11" s="94" t="s">
        <v>804</v>
      </c>
      <c r="L11" s="94" t="s">
        <v>804</v>
      </c>
      <c r="M11" s="94" t="s">
        <v>804</v>
      </c>
      <c r="N11" s="163"/>
      <c r="O11" s="129"/>
      <c r="P11" s="94" t="s">
        <v>804</v>
      </c>
      <c r="Q11" s="94" t="s">
        <v>804</v>
      </c>
      <c r="R11" s="94" t="s">
        <v>804</v>
      </c>
      <c r="S11" s="163"/>
      <c r="T11" s="94" t="s">
        <v>804</v>
      </c>
      <c r="U11" s="94" t="s">
        <v>804</v>
      </c>
      <c r="V11" s="129"/>
      <c r="W11" s="5">
        <f>COUNTIF(F11:V11,"P")</f>
        <v>12</v>
      </c>
      <c r="X11" s="5">
        <f>COUNTIF(F11:V11,"A")</f>
        <v>0</v>
      </c>
      <c r="Y11" s="128" t="s">
        <v>9</v>
      </c>
      <c r="Z11" s="128"/>
      <c r="AA11" s="128"/>
      <c r="AB11" s="128"/>
    </row>
    <row r="12" spans="1:28" ht="16.5" x14ac:dyDescent="0.25">
      <c r="A12" s="9">
        <v>8</v>
      </c>
      <c r="B12" s="95"/>
      <c r="C12" s="119" t="s">
        <v>852</v>
      </c>
      <c r="D12" s="119" t="s">
        <v>166</v>
      </c>
      <c r="E12" s="8" t="s">
        <v>838</v>
      </c>
      <c r="F12" s="94" t="s">
        <v>804</v>
      </c>
      <c r="G12" s="94" t="s">
        <v>804</v>
      </c>
      <c r="H12" s="129"/>
      <c r="I12" s="94" t="s">
        <v>803</v>
      </c>
      <c r="J12" s="94" t="s">
        <v>804</v>
      </c>
      <c r="K12" s="94" t="s">
        <v>804</v>
      </c>
      <c r="L12" s="94" t="s">
        <v>804</v>
      </c>
      <c r="M12" s="94" t="s">
        <v>804</v>
      </c>
      <c r="N12" s="163"/>
      <c r="O12" s="129"/>
      <c r="P12" s="94" t="s">
        <v>804</v>
      </c>
      <c r="Q12" s="94" t="s">
        <v>804</v>
      </c>
      <c r="R12" s="94" t="s">
        <v>804</v>
      </c>
      <c r="S12" s="163"/>
      <c r="T12" s="94" t="s">
        <v>804</v>
      </c>
      <c r="U12" s="94" t="s">
        <v>804</v>
      </c>
      <c r="V12" s="129"/>
      <c r="W12" s="5">
        <f>COUNTIF(F12:V12,"P")</f>
        <v>11</v>
      </c>
      <c r="X12" s="5">
        <f>COUNTIF(F12:V12,"A")</f>
        <v>1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9">
        <v>9</v>
      </c>
      <c r="B13" s="95"/>
      <c r="C13" s="119" t="s">
        <v>853</v>
      </c>
      <c r="D13" s="119" t="s">
        <v>854</v>
      </c>
      <c r="E13" s="8" t="s">
        <v>838</v>
      </c>
      <c r="F13" s="94" t="s">
        <v>804</v>
      </c>
      <c r="G13" s="94" t="s">
        <v>804</v>
      </c>
      <c r="H13" s="129"/>
      <c r="I13" s="94" t="s">
        <v>804</v>
      </c>
      <c r="J13" s="94" t="s">
        <v>804</v>
      </c>
      <c r="K13" s="94" t="s">
        <v>803</v>
      </c>
      <c r="L13" s="94" t="s">
        <v>804</v>
      </c>
      <c r="M13" s="94" t="s">
        <v>804</v>
      </c>
      <c r="N13" s="163"/>
      <c r="O13" s="129"/>
      <c r="P13" s="94" t="s">
        <v>804</v>
      </c>
      <c r="Q13" s="94" t="s">
        <v>804</v>
      </c>
      <c r="R13" s="94" t="s">
        <v>804</v>
      </c>
      <c r="S13" s="163"/>
      <c r="T13" s="94" t="s">
        <v>804</v>
      </c>
      <c r="U13" s="94" t="s">
        <v>804</v>
      </c>
      <c r="V13" s="129"/>
      <c r="W13" s="5">
        <f>COUNTIF(F13:V13,"P")</f>
        <v>11</v>
      </c>
      <c r="X13" s="5">
        <f>COUNTIF(F13:V13,"A")</f>
        <v>1</v>
      </c>
      <c r="Y13" s="5" t="s">
        <v>14</v>
      </c>
      <c r="Z13" s="9">
        <f>29*$Z$5</f>
        <v>348</v>
      </c>
      <c r="AA13" s="9">
        <f>25*$Z$5</f>
        <v>300</v>
      </c>
      <c r="AB13" s="9">
        <f>SUM(Z13:AA13)</f>
        <v>648</v>
      </c>
    </row>
    <row r="14" spans="1:28" ht="16.5" x14ac:dyDescent="0.25">
      <c r="A14" s="9">
        <v>10</v>
      </c>
      <c r="B14" s="11"/>
      <c r="C14" s="119" t="s">
        <v>855</v>
      </c>
      <c r="D14" s="119" t="s">
        <v>856</v>
      </c>
      <c r="E14" s="8" t="s">
        <v>838</v>
      </c>
      <c r="F14" s="94" t="s">
        <v>804</v>
      </c>
      <c r="G14" s="94" t="s">
        <v>804</v>
      </c>
      <c r="H14" s="129"/>
      <c r="I14" s="94" t="s">
        <v>804</v>
      </c>
      <c r="J14" s="94" t="s">
        <v>804</v>
      </c>
      <c r="K14" s="94" t="s">
        <v>804</v>
      </c>
      <c r="L14" s="94" t="s">
        <v>804</v>
      </c>
      <c r="M14" s="94" t="s">
        <v>804</v>
      </c>
      <c r="N14" s="163"/>
      <c r="O14" s="129"/>
      <c r="P14" s="94" t="s">
        <v>804</v>
      </c>
      <c r="Q14" s="94" t="s">
        <v>804</v>
      </c>
      <c r="R14" s="94" t="s">
        <v>804</v>
      </c>
      <c r="S14" s="163"/>
      <c r="T14" s="94" t="s">
        <v>804</v>
      </c>
      <c r="U14" s="94" t="s">
        <v>804</v>
      </c>
      <c r="V14" s="129"/>
      <c r="W14" s="5">
        <f>COUNTIF(F14:V14,"P")</f>
        <v>12</v>
      </c>
      <c r="X14" s="5">
        <f>COUNTIF(F14:V14,"A")</f>
        <v>0</v>
      </c>
      <c r="Y14" s="5" t="s">
        <v>15</v>
      </c>
      <c r="Z14" s="9">
        <f>SUM(W29:W31)</f>
        <v>33</v>
      </c>
      <c r="AA14" s="9">
        <f>SUM(W5:W28)</f>
        <v>264</v>
      </c>
      <c r="AB14" s="9">
        <f>Z14+AA14</f>
        <v>297</v>
      </c>
    </row>
    <row r="15" spans="1:28" ht="16.5" x14ac:dyDescent="0.25">
      <c r="A15" s="9">
        <v>11</v>
      </c>
      <c r="B15" s="11"/>
      <c r="C15" s="119" t="s">
        <v>857</v>
      </c>
      <c r="D15" s="119" t="s">
        <v>858</v>
      </c>
      <c r="E15" s="8" t="s">
        <v>838</v>
      </c>
      <c r="F15" s="94" t="s">
        <v>804</v>
      </c>
      <c r="G15" s="94" t="s">
        <v>804</v>
      </c>
      <c r="H15" s="129"/>
      <c r="I15" s="94" t="s">
        <v>804</v>
      </c>
      <c r="J15" s="94" t="s">
        <v>804</v>
      </c>
      <c r="K15" s="94" t="s">
        <v>804</v>
      </c>
      <c r="L15" s="94" t="s">
        <v>804</v>
      </c>
      <c r="M15" s="94" t="s">
        <v>803</v>
      </c>
      <c r="N15" s="163"/>
      <c r="O15" s="129"/>
      <c r="P15" s="94" t="s">
        <v>804</v>
      </c>
      <c r="Q15" s="94" t="s">
        <v>803</v>
      </c>
      <c r="R15" s="94" t="s">
        <v>804</v>
      </c>
      <c r="S15" s="163"/>
      <c r="T15" s="94" t="s">
        <v>804</v>
      </c>
      <c r="U15" s="94" t="s">
        <v>804</v>
      </c>
      <c r="V15" s="129"/>
      <c r="W15" s="5">
        <f>COUNTIF(F15:V15,"P")</f>
        <v>10</v>
      </c>
      <c r="X15" s="5">
        <f>COUNTIF(F15:V15,"A")</f>
        <v>2</v>
      </c>
      <c r="Y15" s="5" t="s">
        <v>16</v>
      </c>
      <c r="Z15" s="12">
        <f>Z14/Z13</f>
        <v>9.4827586206896547E-2</v>
      </c>
      <c r="AA15" s="12">
        <f>AA14/AA13</f>
        <v>0.88</v>
      </c>
      <c r="AB15" s="12">
        <f>AB14/AB13</f>
        <v>0.45833333333333331</v>
      </c>
    </row>
    <row r="16" spans="1:28" ht="16.5" x14ac:dyDescent="0.25">
      <c r="A16" s="9">
        <v>12</v>
      </c>
      <c r="B16" s="11"/>
      <c r="C16" s="119" t="s">
        <v>859</v>
      </c>
      <c r="D16" s="119" t="s">
        <v>50</v>
      </c>
      <c r="E16" s="8" t="s">
        <v>838</v>
      </c>
      <c r="F16" s="94" t="s">
        <v>803</v>
      </c>
      <c r="G16" s="94" t="s">
        <v>804</v>
      </c>
      <c r="H16" s="129"/>
      <c r="I16" s="94" t="s">
        <v>804</v>
      </c>
      <c r="J16" s="94" t="s">
        <v>804</v>
      </c>
      <c r="K16" s="94" t="s">
        <v>804</v>
      </c>
      <c r="L16" s="94" t="s">
        <v>804</v>
      </c>
      <c r="M16" s="94" t="s">
        <v>804</v>
      </c>
      <c r="N16" s="163"/>
      <c r="O16" s="129"/>
      <c r="P16" s="94" t="s">
        <v>804</v>
      </c>
      <c r="Q16" s="94" t="s">
        <v>804</v>
      </c>
      <c r="R16" s="94" t="s">
        <v>804</v>
      </c>
      <c r="S16" s="163"/>
      <c r="T16" s="94" t="s">
        <v>804</v>
      </c>
      <c r="U16" s="94" t="s">
        <v>804</v>
      </c>
      <c r="V16" s="129"/>
      <c r="W16" s="5">
        <f>COUNTIF(F16:V16,"P")</f>
        <v>11</v>
      </c>
      <c r="X16" s="5">
        <f>COUNTIF(F16:V16,"A")</f>
        <v>1</v>
      </c>
      <c r="Y16" s="102"/>
      <c r="Z16" s="102"/>
      <c r="AA16" s="102"/>
      <c r="AB16" s="102"/>
    </row>
    <row r="17" spans="1:28" ht="16.5" x14ac:dyDescent="0.25">
      <c r="A17" s="9">
        <v>13</v>
      </c>
      <c r="B17" s="11"/>
      <c r="C17" s="119" t="s">
        <v>860</v>
      </c>
      <c r="D17" s="119" t="s">
        <v>266</v>
      </c>
      <c r="E17" s="8" t="s">
        <v>838</v>
      </c>
      <c r="F17" s="94" t="s">
        <v>804</v>
      </c>
      <c r="G17" s="94" t="s">
        <v>804</v>
      </c>
      <c r="H17" s="129"/>
      <c r="I17" s="94" t="s">
        <v>804</v>
      </c>
      <c r="J17" s="94" t="s">
        <v>803</v>
      </c>
      <c r="K17" s="94" t="s">
        <v>804</v>
      </c>
      <c r="L17" s="94" t="s">
        <v>804</v>
      </c>
      <c r="M17" s="94" t="s">
        <v>804</v>
      </c>
      <c r="N17" s="163"/>
      <c r="O17" s="129"/>
      <c r="P17" s="94" t="s">
        <v>804</v>
      </c>
      <c r="Q17" s="94" t="s">
        <v>804</v>
      </c>
      <c r="R17" s="94" t="s">
        <v>804</v>
      </c>
      <c r="S17" s="163"/>
      <c r="T17" s="94" t="s">
        <v>804</v>
      </c>
      <c r="U17" s="94" t="s">
        <v>804</v>
      </c>
      <c r="V17" s="129"/>
      <c r="W17" s="5">
        <f>COUNTIF(F17:V17,"P")</f>
        <v>11</v>
      </c>
      <c r="X17" s="5">
        <f>COUNTIF(F17:V17,"A")</f>
        <v>1</v>
      </c>
      <c r="Y17" s="102"/>
      <c r="Z17" s="102"/>
      <c r="AA17" s="102"/>
      <c r="AB17" s="102"/>
    </row>
    <row r="18" spans="1:28" ht="16.5" x14ac:dyDescent="0.25">
      <c r="A18" s="9">
        <v>14</v>
      </c>
      <c r="B18" s="11"/>
      <c r="C18" s="119" t="s">
        <v>861</v>
      </c>
      <c r="D18" s="119" t="s">
        <v>862</v>
      </c>
      <c r="E18" s="8" t="s">
        <v>838</v>
      </c>
      <c r="F18" s="94" t="s">
        <v>804</v>
      </c>
      <c r="G18" s="94" t="s">
        <v>804</v>
      </c>
      <c r="H18" s="129"/>
      <c r="I18" s="94" t="s">
        <v>804</v>
      </c>
      <c r="J18" s="94" t="s">
        <v>804</v>
      </c>
      <c r="K18" s="94" t="s">
        <v>804</v>
      </c>
      <c r="L18" s="94" t="s">
        <v>804</v>
      </c>
      <c r="M18" s="94" t="s">
        <v>804</v>
      </c>
      <c r="N18" s="163"/>
      <c r="O18" s="129"/>
      <c r="P18" s="94" t="s">
        <v>804</v>
      </c>
      <c r="Q18" s="94" t="s">
        <v>804</v>
      </c>
      <c r="R18" s="94" t="s">
        <v>804</v>
      </c>
      <c r="S18" s="163"/>
      <c r="T18" s="94" t="s">
        <v>804</v>
      </c>
      <c r="U18" s="94" t="s">
        <v>804</v>
      </c>
      <c r="V18" s="129"/>
      <c r="W18" s="5">
        <f>COUNTIF(F18:V18,"P")</f>
        <v>12</v>
      </c>
      <c r="X18" s="5">
        <f>COUNTIF(F18:V18,"A")</f>
        <v>0</v>
      </c>
      <c r="Y18" s="102"/>
      <c r="Z18" s="102"/>
      <c r="AA18" s="102"/>
      <c r="AB18" s="102"/>
    </row>
    <row r="19" spans="1:28" ht="16.5" x14ac:dyDescent="0.25">
      <c r="A19" s="9">
        <v>15</v>
      </c>
      <c r="B19" s="11"/>
      <c r="C19" s="119" t="s">
        <v>488</v>
      </c>
      <c r="D19" s="119" t="s">
        <v>358</v>
      </c>
      <c r="E19" s="8" t="s">
        <v>838</v>
      </c>
      <c r="F19" s="94" t="s">
        <v>804</v>
      </c>
      <c r="G19" s="94" t="s">
        <v>804</v>
      </c>
      <c r="H19" s="129"/>
      <c r="I19" s="94" t="s">
        <v>804</v>
      </c>
      <c r="J19" s="94" t="s">
        <v>804</v>
      </c>
      <c r="K19" s="94" t="s">
        <v>804</v>
      </c>
      <c r="L19" s="94" t="s">
        <v>804</v>
      </c>
      <c r="M19" s="94" t="s">
        <v>804</v>
      </c>
      <c r="N19" s="163"/>
      <c r="O19" s="129"/>
      <c r="P19" s="94" t="s">
        <v>804</v>
      </c>
      <c r="Q19" s="94" t="s">
        <v>804</v>
      </c>
      <c r="R19" s="94" t="s">
        <v>804</v>
      </c>
      <c r="S19" s="163"/>
      <c r="T19" s="94" t="s">
        <v>804</v>
      </c>
      <c r="U19" s="94" t="s">
        <v>804</v>
      </c>
      <c r="V19" s="129"/>
      <c r="W19" s="5">
        <f>COUNTIF(F19:V19,"P")</f>
        <v>12</v>
      </c>
      <c r="X19" s="5">
        <f>COUNTIF(F19:V19,"A")</f>
        <v>0</v>
      </c>
      <c r="Y19" s="128" t="s">
        <v>121</v>
      </c>
      <c r="Z19" s="128"/>
      <c r="AA19" s="128"/>
      <c r="AB19" s="128"/>
    </row>
    <row r="20" spans="1:28" ht="16.5" x14ac:dyDescent="0.25">
      <c r="A20" s="9">
        <v>16</v>
      </c>
      <c r="B20" s="11"/>
      <c r="C20" s="119" t="s">
        <v>863</v>
      </c>
      <c r="D20" s="119" t="s">
        <v>864</v>
      </c>
      <c r="E20" s="8" t="s">
        <v>838</v>
      </c>
      <c r="F20" s="94" t="s">
        <v>804</v>
      </c>
      <c r="G20" s="94" t="s">
        <v>803</v>
      </c>
      <c r="H20" s="129"/>
      <c r="I20" s="94" t="s">
        <v>804</v>
      </c>
      <c r="J20" s="94" t="s">
        <v>804</v>
      </c>
      <c r="K20" s="94" t="s">
        <v>804</v>
      </c>
      <c r="L20" s="94" t="s">
        <v>803</v>
      </c>
      <c r="M20" s="94" t="s">
        <v>804</v>
      </c>
      <c r="N20" s="163"/>
      <c r="O20" s="129"/>
      <c r="P20" s="94" t="s">
        <v>804</v>
      </c>
      <c r="Q20" s="94" t="s">
        <v>804</v>
      </c>
      <c r="R20" s="94" t="s">
        <v>803</v>
      </c>
      <c r="S20" s="163"/>
      <c r="T20" s="94" t="s">
        <v>804</v>
      </c>
      <c r="U20" s="94" t="s">
        <v>804</v>
      </c>
      <c r="V20" s="129"/>
      <c r="W20" s="5">
        <f>COUNTIF(F20:V20,"P")</f>
        <v>9</v>
      </c>
      <c r="X20" s="5">
        <f>COUNTIF(F20:V20,"A")</f>
        <v>3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ht="16.5" x14ac:dyDescent="0.25">
      <c r="A21" s="9">
        <v>17</v>
      </c>
      <c r="B21" s="11"/>
      <c r="C21" s="119" t="s">
        <v>812</v>
      </c>
      <c r="D21" s="119" t="s">
        <v>865</v>
      </c>
      <c r="E21" s="8" t="s">
        <v>838</v>
      </c>
      <c r="F21" s="94" t="s">
        <v>804</v>
      </c>
      <c r="G21" s="94" t="s">
        <v>804</v>
      </c>
      <c r="H21" s="129"/>
      <c r="I21" s="94" t="s">
        <v>804</v>
      </c>
      <c r="J21" s="94" t="s">
        <v>804</v>
      </c>
      <c r="K21" s="94" t="s">
        <v>804</v>
      </c>
      <c r="L21" s="94" t="s">
        <v>804</v>
      </c>
      <c r="M21" s="94" t="s">
        <v>804</v>
      </c>
      <c r="N21" s="163"/>
      <c r="O21" s="129"/>
      <c r="P21" s="94" t="s">
        <v>804</v>
      </c>
      <c r="Q21" s="94" t="s">
        <v>804</v>
      </c>
      <c r="R21" s="94" t="s">
        <v>804</v>
      </c>
      <c r="S21" s="163"/>
      <c r="T21" s="94" t="s">
        <v>804</v>
      </c>
      <c r="U21" s="94" t="s">
        <v>804</v>
      </c>
      <c r="V21" s="129"/>
      <c r="W21" s="5">
        <f>COUNTIF(F21:V21,"P")</f>
        <v>12</v>
      </c>
      <c r="X21" s="5">
        <f>COUNTIF(F21:V21,"A")</f>
        <v>0</v>
      </c>
      <c r="Y21" s="5" t="s">
        <v>14</v>
      </c>
      <c r="Z21" s="9">
        <f>29*$Z$5</f>
        <v>348</v>
      </c>
      <c r="AA21" s="9">
        <f>25*$Z$5</f>
        <v>300</v>
      </c>
      <c r="AB21" s="9">
        <f>Z21+AA21</f>
        <v>648</v>
      </c>
    </row>
    <row r="22" spans="1:28" ht="16.5" x14ac:dyDescent="0.25">
      <c r="A22" s="9">
        <v>18</v>
      </c>
      <c r="B22" s="11"/>
      <c r="C22" s="119" t="s">
        <v>866</v>
      </c>
      <c r="D22" s="119" t="s">
        <v>867</v>
      </c>
      <c r="E22" s="8" t="s">
        <v>838</v>
      </c>
      <c r="F22" s="94" t="s">
        <v>804</v>
      </c>
      <c r="G22" s="94" t="s">
        <v>804</v>
      </c>
      <c r="H22" s="129"/>
      <c r="I22" s="94" t="s">
        <v>804</v>
      </c>
      <c r="J22" s="94" t="s">
        <v>804</v>
      </c>
      <c r="K22" s="94" t="s">
        <v>804</v>
      </c>
      <c r="L22" s="94" t="s">
        <v>804</v>
      </c>
      <c r="M22" s="94" t="s">
        <v>804</v>
      </c>
      <c r="N22" s="163"/>
      <c r="O22" s="129"/>
      <c r="P22" s="94" t="s">
        <v>804</v>
      </c>
      <c r="Q22" s="94" t="s">
        <v>804</v>
      </c>
      <c r="R22" s="94" t="s">
        <v>804</v>
      </c>
      <c r="S22" s="163"/>
      <c r="T22" s="94" t="s">
        <v>804</v>
      </c>
      <c r="U22" s="94" t="s">
        <v>804</v>
      </c>
      <c r="V22" s="129"/>
      <c r="W22" s="5">
        <f>COUNTIF(F22:V22,"P")</f>
        <v>12</v>
      </c>
      <c r="X22" s="5">
        <f>COUNTIF(F22:V22,"A")</f>
        <v>0</v>
      </c>
      <c r="Y22" s="5" t="s">
        <v>17</v>
      </c>
      <c r="Z22" s="9">
        <f>Z21-Z14</f>
        <v>315</v>
      </c>
      <c r="AA22" s="9">
        <f>AA21-AA14</f>
        <v>36</v>
      </c>
      <c r="AB22" s="9">
        <f>Z22+AA22</f>
        <v>351</v>
      </c>
    </row>
    <row r="23" spans="1:28" ht="16.5" x14ac:dyDescent="0.25">
      <c r="A23" s="9">
        <v>19</v>
      </c>
      <c r="B23" s="11"/>
      <c r="C23" s="119" t="s">
        <v>868</v>
      </c>
      <c r="D23" s="119" t="s">
        <v>777</v>
      </c>
      <c r="E23" s="8" t="s">
        <v>838</v>
      </c>
      <c r="F23" s="94" t="s">
        <v>803</v>
      </c>
      <c r="G23" s="94" t="s">
        <v>804</v>
      </c>
      <c r="H23" s="129"/>
      <c r="I23" s="94" t="s">
        <v>804</v>
      </c>
      <c r="J23" s="94" t="s">
        <v>804</v>
      </c>
      <c r="K23" s="94" t="s">
        <v>803</v>
      </c>
      <c r="L23" s="94" t="s">
        <v>804</v>
      </c>
      <c r="M23" s="94" t="s">
        <v>804</v>
      </c>
      <c r="N23" s="163"/>
      <c r="O23" s="129"/>
      <c r="P23" s="94" t="s">
        <v>804</v>
      </c>
      <c r="Q23" s="94" t="s">
        <v>804</v>
      </c>
      <c r="R23" s="94" t="s">
        <v>804</v>
      </c>
      <c r="S23" s="163"/>
      <c r="T23" s="94" t="s">
        <v>804</v>
      </c>
      <c r="U23" s="94" t="s">
        <v>804</v>
      </c>
      <c r="V23" s="129"/>
      <c r="W23" s="5">
        <f>COUNTIF(F23:V23,"P")</f>
        <v>10</v>
      </c>
      <c r="X23" s="5">
        <f>COUNTIF(F23:V23,"A")</f>
        <v>2</v>
      </c>
      <c r="Y23" s="5" t="s">
        <v>16</v>
      </c>
      <c r="Z23" s="12">
        <f>Z22/Z21</f>
        <v>0.90517241379310343</v>
      </c>
      <c r="AA23" s="12">
        <f>AA22/AA21</f>
        <v>0.12</v>
      </c>
      <c r="AB23" s="12">
        <f>AB22/AB21</f>
        <v>0.54166666666666663</v>
      </c>
    </row>
    <row r="24" spans="1:28" ht="16.5" x14ac:dyDescent="0.25">
      <c r="A24" s="9">
        <v>20</v>
      </c>
      <c r="B24" s="11"/>
      <c r="C24" s="120" t="s">
        <v>869</v>
      </c>
      <c r="D24" s="120" t="s">
        <v>565</v>
      </c>
      <c r="E24" s="8" t="s">
        <v>838</v>
      </c>
      <c r="F24" s="94" t="s">
        <v>804</v>
      </c>
      <c r="G24" s="94" t="s">
        <v>804</v>
      </c>
      <c r="H24" s="129"/>
      <c r="I24" s="94" t="s">
        <v>804</v>
      </c>
      <c r="J24" s="94" t="s">
        <v>804</v>
      </c>
      <c r="K24" s="94" t="s">
        <v>804</v>
      </c>
      <c r="L24" s="94" t="s">
        <v>804</v>
      </c>
      <c r="M24" s="94" t="s">
        <v>804</v>
      </c>
      <c r="N24" s="163"/>
      <c r="O24" s="129"/>
      <c r="P24" s="94" t="s">
        <v>804</v>
      </c>
      <c r="Q24" s="94" t="s">
        <v>804</v>
      </c>
      <c r="R24" s="94" t="s">
        <v>804</v>
      </c>
      <c r="S24" s="163"/>
      <c r="T24" s="94" t="s">
        <v>804</v>
      </c>
      <c r="U24" s="94" t="s">
        <v>804</v>
      </c>
      <c r="V24" s="129"/>
      <c r="W24" s="5">
        <f>COUNTIF(F24:V24,"P")</f>
        <v>12</v>
      </c>
      <c r="X24" s="5">
        <f>COUNTIF(F24:V24,"A")</f>
        <v>0</v>
      </c>
      <c r="Y24" s="14"/>
      <c r="Z24" s="14"/>
      <c r="AA24" s="14"/>
      <c r="AB24" s="14"/>
    </row>
    <row r="25" spans="1:28" ht="16.5" x14ac:dyDescent="0.25">
      <c r="A25" s="9">
        <v>21</v>
      </c>
      <c r="B25" s="11"/>
      <c r="C25" s="120" t="s">
        <v>870</v>
      </c>
      <c r="D25" s="120" t="s">
        <v>217</v>
      </c>
      <c r="E25" s="8" t="s">
        <v>838</v>
      </c>
      <c r="F25" s="94" t="s">
        <v>804</v>
      </c>
      <c r="G25" s="94" t="s">
        <v>803</v>
      </c>
      <c r="H25" s="129"/>
      <c r="I25" s="94" t="s">
        <v>804</v>
      </c>
      <c r="J25" s="94" t="s">
        <v>804</v>
      </c>
      <c r="K25" s="94" t="s">
        <v>804</v>
      </c>
      <c r="L25" s="94" t="s">
        <v>804</v>
      </c>
      <c r="M25" s="94" t="s">
        <v>804</v>
      </c>
      <c r="N25" s="163"/>
      <c r="O25" s="129"/>
      <c r="P25" s="94" t="s">
        <v>804</v>
      </c>
      <c r="Q25" s="94" t="s">
        <v>804</v>
      </c>
      <c r="R25" s="94" t="s">
        <v>804</v>
      </c>
      <c r="S25" s="163"/>
      <c r="T25" s="94" t="s">
        <v>804</v>
      </c>
      <c r="U25" s="94" t="s">
        <v>804</v>
      </c>
      <c r="V25" s="129"/>
      <c r="W25" s="5">
        <f>COUNTIF(F25:V25,"P")</f>
        <v>11</v>
      </c>
      <c r="X25" s="5">
        <f>COUNTIF(F25:V25,"A")</f>
        <v>1</v>
      </c>
      <c r="Y25" s="14"/>
      <c r="Z25" s="14"/>
      <c r="AA25" s="14"/>
      <c r="AB25" s="14"/>
    </row>
    <row r="26" spans="1:28" ht="16.5" x14ac:dyDescent="0.25">
      <c r="A26" s="9">
        <v>22</v>
      </c>
      <c r="B26" s="11"/>
      <c r="C26" s="120" t="s">
        <v>871</v>
      </c>
      <c r="D26" s="120" t="s">
        <v>872</v>
      </c>
      <c r="E26" s="8" t="s">
        <v>838</v>
      </c>
      <c r="F26" s="94" t="s">
        <v>804</v>
      </c>
      <c r="G26" s="94" t="s">
        <v>804</v>
      </c>
      <c r="H26" s="129"/>
      <c r="I26" s="94" t="s">
        <v>804</v>
      </c>
      <c r="J26" s="94" t="s">
        <v>804</v>
      </c>
      <c r="K26" s="94" t="s">
        <v>804</v>
      </c>
      <c r="L26" s="94" t="s">
        <v>803</v>
      </c>
      <c r="M26" s="94" t="s">
        <v>804</v>
      </c>
      <c r="N26" s="163"/>
      <c r="O26" s="129"/>
      <c r="P26" s="94" t="s">
        <v>804</v>
      </c>
      <c r="Q26" s="94" t="s">
        <v>804</v>
      </c>
      <c r="R26" s="94" t="s">
        <v>804</v>
      </c>
      <c r="S26" s="163"/>
      <c r="T26" s="94" t="s">
        <v>804</v>
      </c>
      <c r="U26" s="94" t="s">
        <v>804</v>
      </c>
      <c r="V26" s="129"/>
      <c r="W26" s="5">
        <f>COUNTIF(F26:V26,"P")</f>
        <v>11</v>
      </c>
      <c r="X26" s="5">
        <f>COUNTIF(F26:V26,"A")</f>
        <v>1</v>
      </c>
      <c r="Y26" s="14"/>
      <c r="Z26" s="14"/>
      <c r="AA26" s="14"/>
      <c r="AB26" s="14"/>
    </row>
    <row r="27" spans="1:28" ht="16.5" x14ac:dyDescent="0.25">
      <c r="A27" s="9">
        <v>23</v>
      </c>
      <c r="B27" s="11"/>
      <c r="C27" s="120" t="s">
        <v>873</v>
      </c>
      <c r="D27" s="119"/>
      <c r="E27" s="8" t="s">
        <v>838</v>
      </c>
      <c r="F27" s="94" t="s">
        <v>804</v>
      </c>
      <c r="G27" s="94" t="s">
        <v>803</v>
      </c>
      <c r="H27" s="129"/>
      <c r="I27" s="94" t="s">
        <v>804</v>
      </c>
      <c r="J27" s="94" t="s">
        <v>804</v>
      </c>
      <c r="K27" s="94" t="s">
        <v>804</v>
      </c>
      <c r="L27" s="94" t="s">
        <v>804</v>
      </c>
      <c r="M27" s="94" t="s">
        <v>804</v>
      </c>
      <c r="N27" s="163"/>
      <c r="O27" s="129"/>
      <c r="P27" s="94" t="s">
        <v>804</v>
      </c>
      <c r="Q27" s="94" t="s">
        <v>804</v>
      </c>
      <c r="R27" s="94" t="s">
        <v>804</v>
      </c>
      <c r="S27" s="163"/>
      <c r="T27" s="94" t="s">
        <v>804</v>
      </c>
      <c r="U27" s="94" t="s">
        <v>804</v>
      </c>
      <c r="V27" s="129"/>
      <c r="W27" s="5">
        <f>COUNTIF(F27:V27,"P")</f>
        <v>11</v>
      </c>
      <c r="X27" s="5">
        <f>COUNTIF(F27:V27,"A")</f>
        <v>1</v>
      </c>
      <c r="Y27" s="14"/>
      <c r="Z27" s="14"/>
      <c r="AA27" s="14"/>
      <c r="AB27" s="14"/>
    </row>
    <row r="28" spans="1:28" ht="16.5" x14ac:dyDescent="0.25">
      <c r="A28" s="9">
        <v>24</v>
      </c>
      <c r="B28" s="11"/>
      <c r="C28" s="119" t="s">
        <v>870</v>
      </c>
      <c r="D28" s="119" t="s">
        <v>274</v>
      </c>
      <c r="E28" s="8" t="s">
        <v>838</v>
      </c>
      <c r="F28" s="94" t="s">
        <v>804</v>
      </c>
      <c r="G28" s="94" t="s">
        <v>804</v>
      </c>
      <c r="H28" s="129"/>
      <c r="I28" s="94" t="s">
        <v>804</v>
      </c>
      <c r="J28" s="94" t="s">
        <v>804</v>
      </c>
      <c r="K28" s="94" t="s">
        <v>804</v>
      </c>
      <c r="L28" s="94" t="s">
        <v>804</v>
      </c>
      <c r="M28" s="94" t="s">
        <v>804</v>
      </c>
      <c r="N28" s="163"/>
      <c r="O28" s="129"/>
      <c r="P28" s="94" t="s">
        <v>804</v>
      </c>
      <c r="Q28" s="94" t="s">
        <v>804</v>
      </c>
      <c r="R28" s="94" t="s">
        <v>803</v>
      </c>
      <c r="S28" s="163"/>
      <c r="T28" s="94" t="s">
        <v>804</v>
      </c>
      <c r="U28" s="94" t="s">
        <v>804</v>
      </c>
      <c r="V28" s="129"/>
      <c r="W28" s="5">
        <f>COUNTIF(F28:V28,"P")</f>
        <v>11</v>
      </c>
      <c r="X28" s="5">
        <f>COUNTIF(F28:V28,"A")</f>
        <v>1</v>
      </c>
      <c r="Y28" s="14"/>
      <c r="Z28" s="14"/>
      <c r="AA28" s="14"/>
      <c r="AB28" s="14"/>
    </row>
    <row r="29" spans="1:28" ht="16.5" x14ac:dyDescent="0.25">
      <c r="A29" s="9">
        <v>25</v>
      </c>
      <c r="B29" s="11"/>
      <c r="C29" s="120" t="s">
        <v>874</v>
      </c>
      <c r="D29" s="120" t="s">
        <v>875</v>
      </c>
      <c r="E29" s="8" t="s">
        <v>838</v>
      </c>
      <c r="F29" s="94" t="s">
        <v>804</v>
      </c>
      <c r="G29" s="94" t="s">
        <v>804</v>
      </c>
      <c r="H29" s="129"/>
      <c r="I29" s="94" t="s">
        <v>804</v>
      </c>
      <c r="J29" s="94" t="s">
        <v>804</v>
      </c>
      <c r="K29" s="94" t="s">
        <v>803</v>
      </c>
      <c r="L29" s="94" t="s">
        <v>804</v>
      </c>
      <c r="M29" s="94" t="s">
        <v>804</v>
      </c>
      <c r="N29" s="163"/>
      <c r="O29" s="129"/>
      <c r="P29" s="94" t="s">
        <v>804</v>
      </c>
      <c r="Q29" s="94" t="s">
        <v>804</v>
      </c>
      <c r="R29" s="94" t="s">
        <v>804</v>
      </c>
      <c r="S29" s="163"/>
      <c r="T29" s="94" t="s">
        <v>804</v>
      </c>
      <c r="U29" s="94" t="s">
        <v>804</v>
      </c>
      <c r="V29" s="129"/>
      <c r="W29" s="5">
        <f>COUNTIF(F29:V29,"P")</f>
        <v>11</v>
      </c>
      <c r="X29" s="5">
        <f>COUNTIF(F29:V29,"A")</f>
        <v>1</v>
      </c>
      <c r="Y29" s="14"/>
      <c r="Z29" s="14"/>
      <c r="AA29" s="14"/>
      <c r="AB29" s="14"/>
    </row>
    <row r="30" spans="1:28" ht="16.5" x14ac:dyDescent="0.25">
      <c r="A30" s="9">
        <v>26</v>
      </c>
      <c r="B30" s="11"/>
      <c r="C30" s="120" t="s">
        <v>249</v>
      </c>
      <c r="D30" s="120" t="s">
        <v>876</v>
      </c>
      <c r="E30" s="8" t="s">
        <v>838</v>
      </c>
      <c r="F30" s="94" t="s">
        <v>803</v>
      </c>
      <c r="G30" s="94" t="s">
        <v>804</v>
      </c>
      <c r="H30" s="129"/>
      <c r="I30" s="94" t="s">
        <v>804</v>
      </c>
      <c r="J30" s="94" t="s">
        <v>804</v>
      </c>
      <c r="K30" s="94" t="s">
        <v>804</v>
      </c>
      <c r="L30" s="94" t="s">
        <v>804</v>
      </c>
      <c r="M30" s="94" t="s">
        <v>804</v>
      </c>
      <c r="N30" s="163"/>
      <c r="O30" s="129"/>
      <c r="P30" s="94" t="s">
        <v>804</v>
      </c>
      <c r="Q30" s="94" t="s">
        <v>804</v>
      </c>
      <c r="R30" s="94" t="s">
        <v>804</v>
      </c>
      <c r="S30" s="163"/>
      <c r="T30" s="94" t="s">
        <v>804</v>
      </c>
      <c r="U30" s="94" t="s">
        <v>804</v>
      </c>
      <c r="V30" s="129"/>
      <c r="W30" s="5">
        <f>COUNTIF(F30:V30,"P")</f>
        <v>11</v>
      </c>
      <c r="X30" s="5">
        <f>COUNTIF(F30:V30,"A")</f>
        <v>1</v>
      </c>
      <c r="Y30" s="14"/>
      <c r="Z30" s="14"/>
      <c r="AA30" s="14"/>
      <c r="AB30" s="14"/>
    </row>
    <row r="31" spans="1:28" ht="16.5" x14ac:dyDescent="0.25">
      <c r="A31" s="9">
        <v>27</v>
      </c>
      <c r="B31" s="11"/>
      <c r="C31" s="119" t="s">
        <v>877</v>
      </c>
      <c r="D31" s="119"/>
      <c r="E31" s="8" t="s">
        <v>838</v>
      </c>
      <c r="F31" s="94" t="s">
        <v>804</v>
      </c>
      <c r="G31" s="94" t="s">
        <v>804</v>
      </c>
      <c r="H31" s="129"/>
      <c r="I31" s="94" t="s">
        <v>804</v>
      </c>
      <c r="J31" s="94" t="s">
        <v>804</v>
      </c>
      <c r="K31" s="94" t="s">
        <v>804</v>
      </c>
      <c r="L31" s="94" t="s">
        <v>804</v>
      </c>
      <c r="M31" s="94" t="s">
        <v>803</v>
      </c>
      <c r="N31" s="163"/>
      <c r="O31" s="129"/>
      <c r="P31" s="94" t="s">
        <v>804</v>
      </c>
      <c r="Q31" s="94" t="s">
        <v>804</v>
      </c>
      <c r="R31" s="94" t="s">
        <v>804</v>
      </c>
      <c r="S31" s="163"/>
      <c r="T31" s="94" t="s">
        <v>804</v>
      </c>
      <c r="U31" s="94" t="s">
        <v>804</v>
      </c>
      <c r="V31" s="129"/>
      <c r="W31" s="5">
        <f>COUNTIF(F31:V31,"P")</f>
        <v>11</v>
      </c>
      <c r="X31" s="5">
        <f>COUNTIF(F31:V31,"A")</f>
        <v>1</v>
      </c>
      <c r="Y31" s="14"/>
      <c r="Z31" s="14"/>
      <c r="AA31" s="14"/>
      <c r="AB31" s="14"/>
    </row>
  </sheetData>
  <mergeCells count="17"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Y3:Z3"/>
    <mergeCell ref="Y11:AB11"/>
    <mergeCell ref="Y19:AB19"/>
    <mergeCell ref="H5:H31"/>
    <mergeCell ref="O5:O31"/>
    <mergeCell ref="V5:V31"/>
    <mergeCell ref="N5:N31"/>
    <mergeCell ref="S5:S31"/>
  </mergeCells>
  <conditionalFormatting sqref="F3:V31">
    <cfRule type="expression" dxfId="607" priority="4">
      <formula>F$4=TODAY()</formula>
    </cfRule>
    <cfRule type="expression" dxfId="606" priority="11">
      <formula>F$3="SUN"</formula>
    </cfRule>
  </conditionalFormatting>
  <conditionalFormatting sqref="F5:V31">
    <cfRule type="cellIs" dxfId="605" priority="13" operator="equal">
      <formula>"L"</formula>
    </cfRule>
    <cfRule type="cellIs" dxfId="604" priority="14" operator="equal">
      <formula>"A"</formula>
    </cfRule>
    <cfRule type="cellIs" dxfId="603" priority="15" operator="equal">
      <formula>"P"</formula>
    </cfRule>
  </conditionalFormatting>
  <conditionalFormatting sqref="W3:X3 W5:X31">
    <cfRule type="expression" dxfId="602" priority="12">
      <formula>#REF!="Sun"</formula>
    </cfRule>
  </conditionalFormatting>
  <conditionalFormatting sqref="Y5:Y9">
    <cfRule type="expression" dxfId="601" priority="8">
      <formula>Y$3="Sun"</formula>
    </cfRule>
  </conditionalFormatting>
  <conditionalFormatting sqref="Y12:Y15">
    <cfRule type="expression" dxfId="600" priority="6">
      <formula>Y$3="Sun"</formula>
    </cfRule>
  </conditionalFormatting>
  <conditionalFormatting sqref="Y20:Y23">
    <cfRule type="expression" dxfId="599" priority="5">
      <formula>Y$3="Sun"</formula>
    </cfRule>
  </conditionalFormatting>
  <conditionalFormatting sqref="Y4:Z4">
    <cfRule type="expression" dxfId="598" priority="9">
      <formula>Y$3="Sun"</formula>
    </cfRule>
  </conditionalFormatting>
  <conditionalFormatting sqref="Z12:AB12 Z20:AB20">
    <cfRule type="expression" dxfId="597" priority="10">
      <formula>Z$3="Sun"</formula>
    </cfRule>
  </conditionalFormatting>
  <conditionalFormatting sqref="AB21">
    <cfRule type="expression" dxfId="596" priority="7">
      <formula>AB$3="Sun"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8"/>
  <sheetViews>
    <sheetView zoomScaleNormal="100" workbookViewId="0">
      <selection activeCell="S5" sqref="S5:S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3" width="7.140625" style="1" bestFit="1" customWidth="1"/>
    <col min="24" max="24" width="6.7109375" style="1" bestFit="1" customWidth="1"/>
    <col min="25" max="25" width="18.5703125" style="1" bestFit="1" customWidth="1"/>
    <col min="26" max="27" width="8" style="1" customWidth="1"/>
    <col min="28" max="28" width="7" style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3">
      <c r="A2" s="131" t="s">
        <v>883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</row>
    <row r="3" spans="1:28" ht="15.75" x14ac:dyDescent="0.25">
      <c r="A3" s="132" t="s">
        <v>0</v>
      </c>
      <c r="B3" s="132" t="s">
        <v>713</v>
      </c>
      <c r="C3" s="132" t="s">
        <v>1</v>
      </c>
      <c r="D3" s="132" t="s">
        <v>2</v>
      </c>
      <c r="E3" s="132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41" t="s">
        <v>5</v>
      </c>
      <c r="Y3" s="134" t="s">
        <v>119</v>
      </c>
      <c r="Z3" s="135"/>
      <c r="AA3" s="3"/>
      <c r="AB3" s="3"/>
    </row>
    <row r="4" spans="1:28" ht="36.75" x14ac:dyDescent="0.25">
      <c r="A4" s="132"/>
      <c r="B4" s="132"/>
      <c r="C4" s="132"/>
      <c r="D4" s="132"/>
      <c r="E4" s="132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42"/>
      <c r="Y4" s="5" t="s">
        <v>120</v>
      </c>
      <c r="Z4" s="5">
        <f>SUM(Z5:Z8)</f>
        <v>17</v>
      </c>
      <c r="AA4" s="3"/>
      <c r="AB4" s="3"/>
    </row>
    <row r="5" spans="1:28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4" t="s">
        <v>803</v>
      </c>
      <c r="G5" s="94" t="s">
        <v>804</v>
      </c>
      <c r="H5" s="137" t="s">
        <v>362</v>
      </c>
      <c r="I5" s="94" t="s">
        <v>804</v>
      </c>
      <c r="J5" s="94" t="s">
        <v>804</v>
      </c>
      <c r="K5" s="94" t="s">
        <v>804</v>
      </c>
      <c r="L5" s="94" t="s">
        <v>804</v>
      </c>
      <c r="M5" s="94" t="s">
        <v>804</v>
      </c>
      <c r="N5" s="164" t="s">
        <v>879</v>
      </c>
      <c r="O5" s="137" t="s">
        <v>362</v>
      </c>
      <c r="P5" s="94" t="s">
        <v>804</v>
      </c>
      <c r="Q5" s="94" t="s">
        <v>804</v>
      </c>
      <c r="R5" s="94" t="s">
        <v>804</v>
      </c>
      <c r="S5" s="164" t="s">
        <v>880</v>
      </c>
      <c r="T5" s="94" t="s">
        <v>804</v>
      </c>
      <c r="U5" s="94" t="s">
        <v>804</v>
      </c>
      <c r="V5" s="137" t="s">
        <v>362</v>
      </c>
      <c r="W5" s="5">
        <f>COUNTIF(F5:V5,"P")</f>
        <v>11</v>
      </c>
      <c r="X5" s="5">
        <f>COUNTIF(F5:V5,"A")</f>
        <v>1</v>
      </c>
      <c r="Y5" s="5" t="s">
        <v>7</v>
      </c>
      <c r="Z5" s="9">
        <v>12</v>
      </c>
      <c r="AA5" s="10"/>
      <c r="AB5" s="3"/>
    </row>
    <row r="6" spans="1:28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4" t="s">
        <v>804</v>
      </c>
      <c r="G6" s="94" t="s">
        <v>804</v>
      </c>
      <c r="H6" s="138"/>
      <c r="I6" s="94" t="s">
        <v>804</v>
      </c>
      <c r="J6" s="94" t="s">
        <v>803</v>
      </c>
      <c r="K6" s="94" t="s">
        <v>804</v>
      </c>
      <c r="L6" s="94" t="s">
        <v>804</v>
      </c>
      <c r="M6" s="94" t="s">
        <v>804</v>
      </c>
      <c r="N6" s="165"/>
      <c r="O6" s="138"/>
      <c r="P6" s="94" t="s">
        <v>804</v>
      </c>
      <c r="Q6" s="94" t="s">
        <v>804</v>
      </c>
      <c r="R6" s="94" t="s">
        <v>804</v>
      </c>
      <c r="S6" s="165"/>
      <c r="T6" s="94" t="s">
        <v>804</v>
      </c>
      <c r="U6" s="94" t="s">
        <v>804</v>
      </c>
      <c r="V6" s="138"/>
      <c r="W6" s="5">
        <f>COUNTIF(F6:V6,"P")</f>
        <v>11</v>
      </c>
      <c r="X6" s="5">
        <f>COUNTIF(F6:V6,"A")</f>
        <v>1</v>
      </c>
      <c r="Y6" s="5" t="s">
        <v>8</v>
      </c>
      <c r="Z6" s="9">
        <v>3</v>
      </c>
      <c r="AA6" s="3"/>
      <c r="AB6" s="3"/>
    </row>
    <row r="7" spans="1:28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4" t="s">
        <v>804</v>
      </c>
      <c r="G7" s="94" t="s">
        <v>803</v>
      </c>
      <c r="H7" s="138"/>
      <c r="I7" s="94" t="s">
        <v>804</v>
      </c>
      <c r="J7" s="94" t="s">
        <v>804</v>
      </c>
      <c r="K7" s="94" t="s">
        <v>804</v>
      </c>
      <c r="L7" s="94" t="s">
        <v>804</v>
      </c>
      <c r="M7" s="94" t="s">
        <v>804</v>
      </c>
      <c r="N7" s="165"/>
      <c r="O7" s="138"/>
      <c r="P7" s="94" t="s">
        <v>804</v>
      </c>
      <c r="Q7" s="94" t="s">
        <v>804</v>
      </c>
      <c r="R7" s="94" t="s">
        <v>803</v>
      </c>
      <c r="S7" s="165"/>
      <c r="T7" s="94" t="s">
        <v>804</v>
      </c>
      <c r="U7" s="94" t="s">
        <v>804</v>
      </c>
      <c r="V7" s="138"/>
      <c r="W7" s="5">
        <f>COUNTIF(F7:V7,"P")</f>
        <v>10</v>
      </c>
      <c r="X7" s="5">
        <f>COUNTIF(F7:V7,"A")</f>
        <v>2</v>
      </c>
      <c r="Y7" s="5" t="s">
        <v>881</v>
      </c>
      <c r="Z7" s="9">
        <v>2</v>
      </c>
      <c r="AA7" s="3"/>
      <c r="AB7" s="3"/>
    </row>
    <row r="8" spans="1:28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4" t="s">
        <v>804</v>
      </c>
      <c r="G8" s="94" t="s">
        <v>804</v>
      </c>
      <c r="H8" s="138"/>
      <c r="I8" s="94" t="s">
        <v>804</v>
      </c>
      <c r="J8" s="94" t="s">
        <v>804</v>
      </c>
      <c r="K8" s="94" t="s">
        <v>804</v>
      </c>
      <c r="L8" s="94" t="s">
        <v>804</v>
      </c>
      <c r="M8" s="94" t="s">
        <v>804</v>
      </c>
      <c r="N8" s="165"/>
      <c r="O8" s="138"/>
      <c r="P8" s="94" t="s">
        <v>804</v>
      </c>
      <c r="Q8" s="94" t="s">
        <v>804</v>
      </c>
      <c r="R8" s="94" t="s">
        <v>804</v>
      </c>
      <c r="S8" s="165"/>
      <c r="T8" s="94" t="s">
        <v>803</v>
      </c>
      <c r="U8" s="94" t="s">
        <v>804</v>
      </c>
      <c r="V8" s="138"/>
      <c r="W8" s="5">
        <f>COUNTIF(F8:V8,"P")</f>
        <v>11</v>
      </c>
      <c r="X8" s="5">
        <f>COUNTIF(F8:V8,"A")</f>
        <v>1</v>
      </c>
      <c r="Y8" s="5"/>
      <c r="Z8" s="9"/>
      <c r="AA8"/>
      <c r="AB8"/>
    </row>
    <row r="9" spans="1:28" ht="16.5" x14ac:dyDescent="0.25">
      <c r="A9" s="9">
        <v>5</v>
      </c>
      <c r="B9" s="95">
        <v>143</v>
      </c>
      <c r="C9" s="7" t="s">
        <v>37</v>
      </c>
      <c r="D9" s="7" t="s">
        <v>38</v>
      </c>
      <c r="E9" s="8" t="s">
        <v>6</v>
      </c>
      <c r="F9" s="94" t="s">
        <v>803</v>
      </c>
      <c r="G9" s="94" t="s">
        <v>804</v>
      </c>
      <c r="H9" s="138"/>
      <c r="I9" s="94" t="s">
        <v>804</v>
      </c>
      <c r="J9" s="94" t="s">
        <v>804</v>
      </c>
      <c r="K9" s="94" t="s">
        <v>803</v>
      </c>
      <c r="L9" s="94" t="s">
        <v>804</v>
      </c>
      <c r="M9" s="94" t="s">
        <v>804</v>
      </c>
      <c r="N9" s="165"/>
      <c r="O9" s="138"/>
      <c r="P9" s="94" t="s">
        <v>804</v>
      </c>
      <c r="Q9" s="94" t="s">
        <v>804</v>
      </c>
      <c r="R9" s="94" t="s">
        <v>804</v>
      </c>
      <c r="S9" s="165"/>
      <c r="T9" s="94" t="s">
        <v>804</v>
      </c>
      <c r="U9" s="94" t="s">
        <v>804</v>
      </c>
      <c r="V9" s="138"/>
      <c r="W9" s="5">
        <f>COUNTIF(F9:V9,"P")</f>
        <v>10</v>
      </c>
      <c r="X9" s="5">
        <f>COUNTIF(F9:V9,"A")</f>
        <v>2</v>
      </c>
      <c r="Y9" s="5"/>
      <c r="Z9" s="9"/>
    </row>
    <row r="10" spans="1:28" ht="16.5" x14ac:dyDescent="0.25">
      <c r="A10" s="9">
        <v>6</v>
      </c>
      <c r="B10" s="95">
        <v>146</v>
      </c>
      <c r="C10" s="7" t="s">
        <v>43</v>
      </c>
      <c r="D10" s="7" t="s">
        <v>44</v>
      </c>
      <c r="E10" s="8" t="s">
        <v>6</v>
      </c>
      <c r="F10" s="94" t="s">
        <v>803</v>
      </c>
      <c r="G10" s="94" t="s">
        <v>804</v>
      </c>
      <c r="H10" s="138"/>
      <c r="I10" s="94" t="s">
        <v>804</v>
      </c>
      <c r="J10" s="94" t="s">
        <v>804</v>
      </c>
      <c r="K10" s="94" t="s">
        <v>804</v>
      </c>
      <c r="L10" s="94" t="s">
        <v>804</v>
      </c>
      <c r="M10" s="94" t="s">
        <v>804</v>
      </c>
      <c r="N10" s="165"/>
      <c r="O10" s="138"/>
      <c r="P10" s="94" t="s">
        <v>803</v>
      </c>
      <c r="Q10" s="94" t="s">
        <v>804</v>
      </c>
      <c r="R10" s="94" t="s">
        <v>804</v>
      </c>
      <c r="S10" s="165"/>
      <c r="T10" s="94" t="s">
        <v>804</v>
      </c>
      <c r="U10" s="94" t="s">
        <v>804</v>
      </c>
      <c r="V10" s="138"/>
      <c r="W10" s="5">
        <f>COUNTIF(F10:V10,"P")</f>
        <v>10</v>
      </c>
      <c r="X10" s="5">
        <f>COUNTIF(F10:V10,"A")</f>
        <v>2</v>
      </c>
    </row>
    <row r="11" spans="1:28" ht="16.5" x14ac:dyDescent="0.25">
      <c r="A11" s="9">
        <v>7</v>
      </c>
      <c r="B11" s="95">
        <v>148</v>
      </c>
      <c r="C11" s="7" t="s">
        <v>45</v>
      </c>
      <c r="D11" s="7" t="s">
        <v>46</v>
      </c>
      <c r="E11" s="8" t="s">
        <v>6</v>
      </c>
      <c r="F11" s="94" t="s">
        <v>804</v>
      </c>
      <c r="G11" s="94" t="s">
        <v>804</v>
      </c>
      <c r="H11" s="138"/>
      <c r="I11" s="94" t="s">
        <v>804</v>
      </c>
      <c r="J11" s="94" t="s">
        <v>804</v>
      </c>
      <c r="K11" s="94" t="s">
        <v>804</v>
      </c>
      <c r="L11" s="94" t="s">
        <v>804</v>
      </c>
      <c r="M11" s="94" t="s">
        <v>804</v>
      </c>
      <c r="N11" s="165"/>
      <c r="O11" s="138"/>
      <c r="P11" s="94" t="s">
        <v>804</v>
      </c>
      <c r="Q11" s="94" t="s">
        <v>804</v>
      </c>
      <c r="R11" s="94" t="s">
        <v>804</v>
      </c>
      <c r="S11" s="165"/>
      <c r="T11" s="94" t="s">
        <v>804</v>
      </c>
      <c r="U11" s="94" t="s">
        <v>804</v>
      </c>
      <c r="V11" s="138"/>
      <c r="W11" s="5">
        <f>COUNTIF(F11:V11,"P")</f>
        <v>12</v>
      </c>
      <c r="X11" s="5">
        <f>COUNTIF(F11:V11,"A")</f>
        <v>0</v>
      </c>
      <c r="Y11" s="134" t="s">
        <v>9</v>
      </c>
      <c r="Z11" s="135"/>
      <c r="AA11" s="135"/>
      <c r="AB11" s="136"/>
    </row>
    <row r="12" spans="1:28" ht="16.5" x14ac:dyDescent="0.25">
      <c r="A12" s="9">
        <v>8</v>
      </c>
      <c r="B12" s="95">
        <v>150</v>
      </c>
      <c r="C12" s="7" t="s">
        <v>47</v>
      </c>
      <c r="D12" s="7" t="s">
        <v>48</v>
      </c>
      <c r="E12" s="8" t="s">
        <v>6</v>
      </c>
      <c r="F12" s="94" t="s">
        <v>804</v>
      </c>
      <c r="G12" s="94" t="s">
        <v>804</v>
      </c>
      <c r="H12" s="138"/>
      <c r="I12" s="94" t="s">
        <v>804</v>
      </c>
      <c r="J12" s="94" t="s">
        <v>804</v>
      </c>
      <c r="K12" s="94" t="s">
        <v>804</v>
      </c>
      <c r="L12" s="94" t="s">
        <v>804</v>
      </c>
      <c r="M12" s="94" t="s">
        <v>804</v>
      </c>
      <c r="N12" s="165"/>
      <c r="O12" s="138"/>
      <c r="P12" s="94" t="s">
        <v>804</v>
      </c>
      <c r="Q12" s="94" t="s">
        <v>804</v>
      </c>
      <c r="R12" s="94" t="s">
        <v>804</v>
      </c>
      <c r="S12" s="165"/>
      <c r="T12" s="94" t="s">
        <v>804</v>
      </c>
      <c r="U12" s="94" t="s">
        <v>804</v>
      </c>
      <c r="V12" s="138"/>
      <c r="W12" s="5">
        <f>COUNTIF(F12:V12,"P")</f>
        <v>12</v>
      </c>
      <c r="X12" s="5">
        <f>COUNTIF(F12:V12,"A")</f>
        <v>0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9">
        <v>9</v>
      </c>
      <c r="B13" s="95">
        <v>151</v>
      </c>
      <c r="C13" s="7" t="s">
        <v>49</v>
      </c>
      <c r="D13" s="7" t="s">
        <v>50</v>
      </c>
      <c r="E13" s="8" t="s">
        <v>6</v>
      </c>
      <c r="F13" s="94" t="s">
        <v>803</v>
      </c>
      <c r="G13" s="94" t="s">
        <v>804</v>
      </c>
      <c r="H13" s="138"/>
      <c r="I13" s="94" t="s">
        <v>804</v>
      </c>
      <c r="J13" s="94" t="s">
        <v>804</v>
      </c>
      <c r="K13" s="94" t="s">
        <v>804</v>
      </c>
      <c r="L13" s="94" t="s">
        <v>803</v>
      </c>
      <c r="M13" s="94" t="s">
        <v>804</v>
      </c>
      <c r="N13" s="165"/>
      <c r="O13" s="138"/>
      <c r="P13" s="94" t="s">
        <v>804</v>
      </c>
      <c r="Q13" s="94" t="s">
        <v>803</v>
      </c>
      <c r="R13" s="94" t="s">
        <v>804</v>
      </c>
      <c r="S13" s="165"/>
      <c r="T13" s="94" t="s">
        <v>804</v>
      </c>
      <c r="U13" s="94" t="s">
        <v>804</v>
      </c>
      <c r="V13" s="138"/>
      <c r="W13" s="5">
        <f>COUNTIF(F13:V13,"P")</f>
        <v>9</v>
      </c>
      <c r="X13" s="5">
        <f>COUNTIF(F13:V13,"A")</f>
        <v>3</v>
      </c>
      <c r="Y13" s="5" t="s">
        <v>14</v>
      </c>
      <c r="Z13" s="9">
        <f>29*$Z$5</f>
        <v>348</v>
      </c>
      <c r="AA13" s="9">
        <f>25*$Z$5</f>
        <v>300</v>
      </c>
      <c r="AB13" s="9">
        <f>SUM(Z13:AA13)</f>
        <v>648</v>
      </c>
    </row>
    <row r="14" spans="1:28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4" t="s">
        <v>804</v>
      </c>
      <c r="G14" s="94" t="s">
        <v>804</v>
      </c>
      <c r="H14" s="138"/>
      <c r="I14" s="94" t="s">
        <v>804</v>
      </c>
      <c r="J14" s="94" t="s">
        <v>804</v>
      </c>
      <c r="K14" s="94" t="s">
        <v>804</v>
      </c>
      <c r="L14" s="94" t="s">
        <v>804</v>
      </c>
      <c r="M14" s="94" t="s">
        <v>804</v>
      </c>
      <c r="N14" s="165"/>
      <c r="O14" s="138"/>
      <c r="P14" s="94" t="s">
        <v>804</v>
      </c>
      <c r="Q14" s="94" t="s">
        <v>804</v>
      </c>
      <c r="R14" s="94" t="s">
        <v>804</v>
      </c>
      <c r="S14" s="165"/>
      <c r="T14" s="94" t="s">
        <v>803</v>
      </c>
      <c r="U14" s="94" t="s">
        <v>804</v>
      </c>
      <c r="V14" s="138"/>
      <c r="W14" s="5">
        <f>COUNTIF(F14:V14,"P")</f>
        <v>11</v>
      </c>
      <c r="X14" s="5">
        <f>COUNTIF(F14:V14,"A")</f>
        <v>1</v>
      </c>
      <c r="Y14" s="5" t="s">
        <v>15</v>
      </c>
      <c r="Z14" s="9">
        <f>SUM(W29:W57)</f>
        <v>324</v>
      </c>
      <c r="AA14" s="9">
        <f>SUM(W5:W28)</f>
        <v>260</v>
      </c>
      <c r="AB14" s="9">
        <f>Z14+AA14</f>
        <v>584</v>
      </c>
    </row>
    <row r="15" spans="1:28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4" t="s">
        <v>804</v>
      </c>
      <c r="G15" s="94" t="s">
        <v>804</v>
      </c>
      <c r="H15" s="138"/>
      <c r="I15" s="94" t="s">
        <v>804</v>
      </c>
      <c r="J15" s="94" t="s">
        <v>804</v>
      </c>
      <c r="K15" s="94" t="s">
        <v>804</v>
      </c>
      <c r="L15" s="94" t="s">
        <v>804</v>
      </c>
      <c r="M15" s="94" t="s">
        <v>804</v>
      </c>
      <c r="N15" s="165"/>
      <c r="O15" s="138"/>
      <c r="P15" s="94" t="s">
        <v>804</v>
      </c>
      <c r="Q15" s="94" t="s">
        <v>804</v>
      </c>
      <c r="R15" s="94" t="s">
        <v>804</v>
      </c>
      <c r="S15" s="165"/>
      <c r="T15" s="94" t="s">
        <v>804</v>
      </c>
      <c r="U15" s="94" t="s">
        <v>804</v>
      </c>
      <c r="V15" s="138"/>
      <c r="W15" s="5">
        <f>COUNTIF(F15:V15,"P")</f>
        <v>12</v>
      </c>
      <c r="X15" s="5">
        <f>COUNTIF(F15:V15,"A")</f>
        <v>0</v>
      </c>
      <c r="Y15" s="5" t="s">
        <v>16</v>
      </c>
      <c r="Z15" s="12">
        <f>Z14/Z13</f>
        <v>0.93103448275862066</v>
      </c>
      <c r="AA15" s="12">
        <f>AA14/AA13</f>
        <v>0.8666666666666667</v>
      </c>
      <c r="AB15" s="12">
        <f>AB14/AB13</f>
        <v>0.90123456790123457</v>
      </c>
    </row>
    <row r="16" spans="1:28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4" t="s">
        <v>804</v>
      </c>
      <c r="G16" s="94" t="s">
        <v>803</v>
      </c>
      <c r="H16" s="138"/>
      <c r="I16" s="94" t="s">
        <v>804</v>
      </c>
      <c r="J16" s="94" t="s">
        <v>804</v>
      </c>
      <c r="K16" s="94" t="s">
        <v>804</v>
      </c>
      <c r="L16" s="94" t="s">
        <v>804</v>
      </c>
      <c r="M16" s="94" t="s">
        <v>804</v>
      </c>
      <c r="N16" s="165"/>
      <c r="O16" s="138"/>
      <c r="P16" s="94" t="s">
        <v>804</v>
      </c>
      <c r="Q16" s="94" t="s">
        <v>804</v>
      </c>
      <c r="R16" s="94" t="s">
        <v>803</v>
      </c>
      <c r="S16" s="165"/>
      <c r="T16" s="94" t="s">
        <v>804</v>
      </c>
      <c r="U16" s="94" t="s">
        <v>804</v>
      </c>
      <c r="V16" s="138"/>
      <c r="W16" s="5">
        <f>COUNTIF(F16:V16,"P")</f>
        <v>10</v>
      </c>
      <c r="X16" s="5">
        <f>COUNTIF(F16:V16,"A")</f>
        <v>2</v>
      </c>
      <c r="Y16"/>
      <c r="Z16"/>
      <c r="AA16"/>
      <c r="AB16"/>
    </row>
    <row r="17" spans="1:28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4" t="s">
        <v>804</v>
      </c>
      <c r="G17" s="94" t="s">
        <v>804</v>
      </c>
      <c r="H17" s="138"/>
      <c r="I17" s="94" t="s">
        <v>804</v>
      </c>
      <c r="J17" s="94" t="s">
        <v>804</v>
      </c>
      <c r="K17" s="94" t="s">
        <v>803</v>
      </c>
      <c r="L17" s="94" t="s">
        <v>804</v>
      </c>
      <c r="M17" s="94" t="s">
        <v>804</v>
      </c>
      <c r="N17" s="165"/>
      <c r="O17" s="138"/>
      <c r="P17" s="94" t="s">
        <v>804</v>
      </c>
      <c r="Q17" s="94" t="s">
        <v>804</v>
      </c>
      <c r="R17" s="94" t="s">
        <v>804</v>
      </c>
      <c r="S17" s="165"/>
      <c r="T17" s="94" t="s">
        <v>804</v>
      </c>
      <c r="U17" s="94" t="s">
        <v>804</v>
      </c>
      <c r="V17" s="138"/>
      <c r="W17" s="5">
        <f>COUNTIF(F17:V17,"P")</f>
        <v>11</v>
      </c>
      <c r="X17" s="5">
        <f>COUNTIF(F17:V17,"A")</f>
        <v>1</v>
      </c>
      <c r="Y17"/>
      <c r="Z17"/>
      <c r="AA17"/>
      <c r="AB17"/>
    </row>
    <row r="18" spans="1:28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4" t="s">
        <v>804</v>
      </c>
      <c r="G18" s="94" t="s">
        <v>804</v>
      </c>
      <c r="H18" s="138"/>
      <c r="I18" s="94" t="s">
        <v>804</v>
      </c>
      <c r="J18" s="94" t="s">
        <v>804</v>
      </c>
      <c r="K18" s="94" t="s">
        <v>804</v>
      </c>
      <c r="L18" s="94" t="s">
        <v>804</v>
      </c>
      <c r="M18" s="94" t="s">
        <v>804</v>
      </c>
      <c r="N18" s="165"/>
      <c r="O18" s="138"/>
      <c r="P18" s="94" t="s">
        <v>804</v>
      </c>
      <c r="Q18" s="94" t="s">
        <v>804</v>
      </c>
      <c r="R18" s="94" t="s">
        <v>804</v>
      </c>
      <c r="S18" s="165"/>
      <c r="T18" s="94" t="s">
        <v>804</v>
      </c>
      <c r="U18" s="94" t="s">
        <v>804</v>
      </c>
      <c r="V18" s="138"/>
      <c r="W18" s="5">
        <f>COUNTIF(F18:V18,"P")</f>
        <v>12</v>
      </c>
      <c r="X18" s="5">
        <f>COUNTIF(F18:V18,"A")</f>
        <v>0</v>
      </c>
      <c r="Y18"/>
      <c r="Z18"/>
      <c r="AA18"/>
      <c r="AB18"/>
    </row>
    <row r="19" spans="1:28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4" t="s">
        <v>803</v>
      </c>
      <c r="G19" s="94" t="s">
        <v>804</v>
      </c>
      <c r="H19" s="138"/>
      <c r="I19" s="94" t="s">
        <v>804</v>
      </c>
      <c r="J19" s="94" t="s">
        <v>804</v>
      </c>
      <c r="K19" s="94" t="s">
        <v>804</v>
      </c>
      <c r="L19" s="94" t="s">
        <v>804</v>
      </c>
      <c r="M19" s="94" t="s">
        <v>804</v>
      </c>
      <c r="N19" s="165"/>
      <c r="O19" s="138"/>
      <c r="P19" s="94" t="s">
        <v>803</v>
      </c>
      <c r="Q19" s="94" t="s">
        <v>804</v>
      </c>
      <c r="R19" s="94" t="s">
        <v>804</v>
      </c>
      <c r="S19" s="165"/>
      <c r="T19" s="94" t="s">
        <v>804</v>
      </c>
      <c r="U19" s="94" t="s">
        <v>804</v>
      </c>
      <c r="V19" s="138"/>
      <c r="W19" s="5">
        <f>COUNTIF(F19:V19,"P")</f>
        <v>10</v>
      </c>
      <c r="X19" s="5">
        <f>COUNTIF(F19:V19,"A")</f>
        <v>2</v>
      </c>
      <c r="Y19" s="134" t="s">
        <v>121</v>
      </c>
      <c r="Z19" s="135"/>
      <c r="AA19" s="135"/>
      <c r="AB19" s="136"/>
    </row>
    <row r="20" spans="1:28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4" t="s">
        <v>804</v>
      </c>
      <c r="G20" s="94" t="s">
        <v>804</v>
      </c>
      <c r="H20" s="138"/>
      <c r="I20" s="94" t="s">
        <v>804</v>
      </c>
      <c r="J20" s="94" t="s">
        <v>804</v>
      </c>
      <c r="K20" s="94" t="s">
        <v>804</v>
      </c>
      <c r="L20" s="94" t="s">
        <v>803</v>
      </c>
      <c r="M20" s="94" t="s">
        <v>804</v>
      </c>
      <c r="N20" s="165"/>
      <c r="O20" s="138"/>
      <c r="P20" s="94" t="s">
        <v>804</v>
      </c>
      <c r="Q20" s="94" t="s">
        <v>804</v>
      </c>
      <c r="R20" s="94" t="s">
        <v>804</v>
      </c>
      <c r="S20" s="165"/>
      <c r="T20" s="94" t="s">
        <v>804</v>
      </c>
      <c r="U20" s="94" t="s">
        <v>804</v>
      </c>
      <c r="V20" s="138"/>
      <c r="W20" s="5">
        <f>COUNTIF(F20:V20,"P")</f>
        <v>11</v>
      </c>
      <c r="X20" s="5">
        <f>COUNTIF(F20:V20,"A")</f>
        <v>1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4" t="s">
        <v>804</v>
      </c>
      <c r="G21" s="94" t="s">
        <v>804</v>
      </c>
      <c r="H21" s="138"/>
      <c r="I21" s="94" t="s">
        <v>804</v>
      </c>
      <c r="J21" s="94" t="s">
        <v>804</v>
      </c>
      <c r="K21" s="94" t="s">
        <v>804</v>
      </c>
      <c r="L21" s="94" t="s">
        <v>804</v>
      </c>
      <c r="M21" s="94" t="s">
        <v>804</v>
      </c>
      <c r="N21" s="165"/>
      <c r="O21" s="138"/>
      <c r="P21" s="94" t="s">
        <v>804</v>
      </c>
      <c r="Q21" s="94" t="s">
        <v>804</v>
      </c>
      <c r="R21" s="94" t="s">
        <v>804</v>
      </c>
      <c r="S21" s="165"/>
      <c r="T21" s="94" t="s">
        <v>804</v>
      </c>
      <c r="U21" s="94" t="s">
        <v>804</v>
      </c>
      <c r="V21" s="138"/>
      <c r="W21" s="5">
        <f>COUNTIF(F21:V21,"P")</f>
        <v>12</v>
      </c>
      <c r="X21" s="5">
        <f>COUNTIF(F21:V21,"A")</f>
        <v>0</v>
      </c>
      <c r="Y21" s="5" t="s">
        <v>14</v>
      </c>
      <c r="Z21" s="9">
        <f>29*$Z$5</f>
        <v>348</v>
      </c>
      <c r="AA21" s="9">
        <f>25*$Z$5</f>
        <v>300</v>
      </c>
      <c r="AB21" s="9">
        <f>Z21+AA21</f>
        <v>648</v>
      </c>
    </row>
    <row r="22" spans="1:28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4" t="s">
        <v>804</v>
      </c>
      <c r="G22" s="94" t="s">
        <v>803</v>
      </c>
      <c r="H22" s="138"/>
      <c r="I22" s="94" t="s">
        <v>804</v>
      </c>
      <c r="J22" s="94" t="s">
        <v>804</v>
      </c>
      <c r="K22" s="94" t="s">
        <v>804</v>
      </c>
      <c r="L22" s="94" t="s">
        <v>804</v>
      </c>
      <c r="M22" s="94" t="s">
        <v>804</v>
      </c>
      <c r="N22" s="165"/>
      <c r="O22" s="138"/>
      <c r="P22" s="94" t="s">
        <v>804</v>
      </c>
      <c r="Q22" s="94" t="s">
        <v>803</v>
      </c>
      <c r="R22" s="94" t="s">
        <v>804</v>
      </c>
      <c r="S22" s="165"/>
      <c r="T22" s="94" t="s">
        <v>804</v>
      </c>
      <c r="U22" s="94" t="s">
        <v>804</v>
      </c>
      <c r="V22" s="138"/>
      <c r="W22" s="5">
        <f>COUNTIF(F22:V22,"P")</f>
        <v>10</v>
      </c>
      <c r="X22" s="5">
        <f>COUNTIF(F22:V22,"A")</f>
        <v>2</v>
      </c>
      <c r="Y22" s="5" t="s">
        <v>17</v>
      </c>
      <c r="Z22" s="9">
        <f>Z21-Z14</f>
        <v>24</v>
      </c>
      <c r="AA22" s="9">
        <f>AA21-AA14</f>
        <v>40</v>
      </c>
      <c r="AB22" s="9">
        <f>Z22+AA22</f>
        <v>64</v>
      </c>
    </row>
    <row r="23" spans="1:28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4" t="s">
        <v>804</v>
      </c>
      <c r="G23" s="94" t="s">
        <v>804</v>
      </c>
      <c r="H23" s="138"/>
      <c r="I23" s="94" t="s">
        <v>804</v>
      </c>
      <c r="J23" s="94" t="s">
        <v>804</v>
      </c>
      <c r="K23" s="94" t="s">
        <v>803</v>
      </c>
      <c r="L23" s="94" t="s">
        <v>804</v>
      </c>
      <c r="M23" s="94" t="s">
        <v>804</v>
      </c>
      <c r="N23" s="165"/>
      <c r="O23" s="138"/>
      <c r="P23" s="94" t="s">
        <v>804</v>
      </c>
      <c r="Q23" s="94" t="s">
        <v>804</v>
      </c>
      <c r="R23" s="94" t="s">
        <v>804</v>
      </c>
      <c r="S23" s="165"/>
      <c r="T23" s="94" t="s">
        <v>804</v>
      </c>
      <c r="U23" s="94" t="s">
        <v>804</v>
      </c>
      <c r="V23" s="138"/>
      <c r="W23" s="5">
        <f>COUNTIF(F23:V23,"P")</f>
        <v>11</v>
      </c>
      <c r="X23" s="5">
        <f>COUNTIF(F23:V23,"A")</f>
        <v>1</v>
      </c>
      <c r="Y23" s="5" t="s">
        <v>16</v>
      </c>
      <c r="Z23" s="12">
        <f>Z22/Z21</f>
        <v>6.8965517241379309E-2</v>
      </c>
      <c r="AA23" s="12">
        <f>AA22/AA21</f>
        <v>0.13333333333333333</v>
      </c>
      <c r="AB23" s="12">
        <f>AB22/AB21</f>
        <v>9.8765432098765427E-2</v>
      </c>
    </row>
    <row r="24" spans="1:28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4" t="s">
        <v>804</v>
      </c>
      <c r="G24" s="94" t="s">
        <v>804</v>
      </c>
      <c r="H24" s="138"/>
      <c r="I24" s="94" t="s">
        <v>804</v>
      </c>
      <c r="J24" s="94" t="s">
        <v>803</v>
      </c>
      <c r="K24" s="94" t="s">
        <v>804</v>
      </c>
      <c r="L24" s="94" t="s">
        <v>804</v>
      </c>
      <c r="M24" s="94" t="s">
        <v>804</v>
      </c>
      <c r="N24" s="165"/>
      <c r="O24" s="138"/>
      <c r="P24" s="94" t="s">
        <v>804</v>
      </c>
      <c r="Q24" s="94" t="s">
        <v>804</v>
      </c>
      <c r="R24" s="94" t="s">
        <v>804</v>
      </c>
      <c r="S24" s="165"/>
      <c r="T24" s="94" t="s">
        <v>804</v>
      </c>
      <c r="U24" s="94" t="s">
        <v>804</v>
      </c>
      <c r="V24" s="138"/>
      <c r="W24" s="5">
        <f>COUNTIF(F24:V24,"P")</f>
        <v>11</v>
      </c>
      <c r="X24" s="5">
        <f>COUNTIF(F24:V24,"A")</f>
        <v>1</v>
      </c>
    </row>
    <row r="25" spans="1:28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4" t="s">
        <v>803</v>
      </c>
      <c r="G25" s="94" t="s">
        <v>804</v>
      </c>
      <c r="H25" s="138"/>
      <c r="I25" s="94" t="s">
        <v>804</v>
      </c>
      <c r="J25" s="94" t="s">
        <v>804</v>
      </c>
      <c r="K25" s="94" t="s">
        <v>804</v>
      </c>
      <c r="L25" s="94" t="s">
        <v>804</v>
      </c>
      <c r="M25" s="94" t="s">
        <v>803</v>
      </c>
      <c r="N25" s="165"/>
      <c r="O25" s="138"/>
      <c r="P25" s="94" t="s">
        <v>804</v>
      </c>
      <c r="Q25" s="94" t="s">
        <v>804</v>
      </c>
      <c r="R25" s="94" t="s">
        <v>804</v>
      </c>
      <c r="S25" s="165"/>
      <c r="T25" s="94" t="s">
        <v>804</v>
      </c>
      <c r="U25" s="94" t="s">
        <v>804</v>
      </c>
      <c r="V25" s="138"/>
      <c r="W25" s="5">
        <f>COUNTIF(F25:V25,"P")</f>
        <v>10</v>
      </c>
      <c r="X25" s="5">
        <f>COUNTIF(F25:V25,"A")</f>
        <v>2</v>
      </c>
    </row>
    <row r="26" spans="1:28" ht="16.5" x14ac:dyDescent="0.25">
      <c r="A26" s="9">
        <v>22</v>
      </c>
      <c r="B26" s="11">
        <v>183</v>
      </c>
      <c r="C26" s="7" t="s">
        <v>719</v>
      </c>
      <c r="D26" s="7" t="s">
        <v>107</v>
      </c>
      <c r="E26" s="8" t="s">
        <v>6</v>
      </c>
      <c r="F26" s="94" t="s">
        <v>804</v>
      </c>
      <c r="G26" s="94" t="s">
        <v>804</v>
      </c>
      <c r="H26" s="138"/>
      <c r="I26" s="94" t="s">
        <v>804</v>
      </c>
      <c r="J26" s="94" t="s">
        <v>804</v>
      </c>
      <c r="K26" s="94" t="s">
        <v>804</v>
      </c>
      <c r="L26" s="94" t="s">
        <v>803</v>
      </c>
      <c r="M26" s="94" t="s">
        <v>804</v>
      </c>
      <c r="N26" s="165"/>
      <c r="O26" s="138"/>
      <c r="P26" s="94" t="s">
        <v>804</v>
      </c>
      <c r="Q26" s="94" t="s">
        <v>803</v>
      </c>
      <c r="R26" s="94" t="s">
        <v>804</v>
      </c>
      <c r="S26" s="165"/>
      <c r="T26" s="94" t="s">
        <v>804</v>
      </c>
      <c r="U26" s="94" t="s">
        <v>803</v>
      </c>
      <c r="V26" s="138"/>
      <c r="W26" s="5">
        <f>COUNTIF(F26:V26,"P")</f>
        <v>9</v>
      </c>
      <c r="X26" s="5">
        <f>COUNTIF(F26:V26,"A")</f>
        <v>3</v>
      </c>
    </row>
    <row r="27" spans="1:28" ht="16.5" x14ac:dyDescent="0.25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94" t="s">
        <v>804</v>
      </c>
      <c r="G27" s="94" t="s">
        <v>804</v>
      </c>
      <c r="H27" s="138"/>
      <c r="I27" s="94" t="s">
        <v>804</v>
      </c>
      <c r="J27" s="94" t="s">
        <v>804</v>
      </c>
      <c r="K27" s="94" t="s">
        <v>804</v>
      </c>
      <c r="L27" s="94" t="s">
        <v>804</v>
      </c>
      <c r="M27" s="94" t="s">
        <v>804</v>
      </c>
      <c r="N27" s="165"/>
      <c r="O27" s="138"/>
      <c r="P27" s="94" t="s">
        <v>804</v>
      </c>
      <c r="Q27" s="94" t="s">
        <v>804</v>
      </c>
      <c r="R27" s="94" t="s">
        <v>804</v>
      </c>
      <c r="S27" s="165"/>
      <c r="T27" s="94" t="s">
        <v>804</v>
      </c>
      <c r="U27" s="94" t="s">
        <v>804</v>
      </c>
      <c r="V27" s="138"/>
      <c r="W27" s="5">
        <f>COUNTIF(F27:V27,"P")</f>
        <v>12</v>
      </c>
      <c r="X27" s="5">
        <f>COUNTIF(F27:V27,"A")</f>
        <v>0</v>
      </c>
    </row>
    <row r="28" spans="1:28" ht="16.5" x14ac:dyDescent="0.25">
      <c r="A28" s="9">
        <v>1</v>
      </c>
      <c r="B28" s="11">
        <v>189</v>
      </c>
      <c r="C28" s="14" t="s">
        <v>115</v>
      </c>
      <c r="D28" s="14" t="s">
        <v>717</v>
      </c>
      <c r="E28" s="8" t="s">
        <v>6</v>
      </c>
      <c r="F28" s="94" t="s">
        <v>804</v>
      </c>
      <c r="G28" s="94" t="s">
        <v>804</v>
      </c>
      <c r="H28" s="138"/>
      <c r="I28" s="94" t="s">
        <v>804</v>
      </c>
      <c r="J28" s="94" t="s">
        <v>804</v>
      </c>
      <c r="K28" s="94" t="s">
        <v>804</v>
      </c>
      <c r="L28" s="94" t="s">
        <v>804</v>
      </c>
      <c r="M28" s="94" t="s">
        <v>804</v>
      </c>
      <c r="N28" s="165"/>
      <c r="O28" s="138"/>
      <c r="P28" s="94" t="s">
        <v>804</v>
      </c>
      <c r="Q28" s="94" t="s">
        <v>804</v>
      </c>
      <c r="R28" s="94" t="s">
        <v>804</v>
      </c>
      <c r="S28" s="165"/>
      <c r="T28" s="94" t="s">
        <v>804</v>
      </c>
      <c r="U28" s="94" t="s">
        <v>804</v>
      </c>
      <c r="V28" s="138"/>
      <c r="W28" s="5">
        <f>COUNTIF(F28:V28,"P")</f>
        <v>12</v>
      </c>
      <c r="X28" s="5">
        <f>COUNTIF(F28:V28,"A")</f>
        <v>0</v>
      </c>
    </row>
    <row r="29" spans="1:28" ht="16.5" x14ac:dyDescent="0.25">
      <c r="A29" s="9">
        <v>2</v>
      </c>
      <c r="B29" s="11">
        <v>99</v>
      </c>
      <c r="C29" s="7" t="s">
        <v>21</v>
      </c>
      <c r="D29" s="7" t="s">
        <v>22</v>
      </c>
      <c r="E29" s="8" t="s">
        <v>6</v>
      </c>
      <c r="F29" s="94" t="s">
        <v>803</v>
      </c>
      <c r="G29" s="94" t="s">
        <v>804</v>
      </c>
      <c r="H29" s="138"/>
      <c r="I29" s="94" t="s">
        <v>804</v>
      </c>
      <c r="J29" s="94" t="s">
        <v>804</v>
      </c>
      <c r="K29" s="94" t="s">
        <v>804</v>
      </c>
      <c r="L29" s="94" t="s">
        <v>804</v>
      </c>
      <c r="M29" s="94" t="s">
        <v>804</v>
      </c>
      <c r="N29" s="165"/>
      <c r="O29" s="138"/>
      <c r="P29" s="94" t="s">
        <v>804</v>
      </c>
      <c r="Q29" s="94" t="s">
        <v>804</v>
      </c>
      <c r="R29" s="94" t="s">
        <v>804</v>
      </c>
      <c r="S29" s="165"/>
      <c r="T29" s="94" t="s">
        <v>804</v>
      </c>
      <c r="U29" s="94" t="s">
        <v>804</v>
      </c>
      <c r="V29" s="138"/>
      <c r="W29" s="5">
        <f>COUNTIF(F29:V29,"P")</f>
        <v>11</v>
      </c>
      <c r="X29" s="5">
        <f>COUNTIF(F29:V29,"A")</f>
        <v>1</v>
      </c>
    </row>
    <row r="30" spans="1:28" ht="16.5" x14ac:dyDescent="0.25">
      <c r="A30" s="9">
        <v>3</v>
      </c>
      <c r="B30" s="11">
        <v>98</v>
      </c>
      <c r="C30" s="7" t="s">
        <v>23</v>
      </c>
      <c r="D30" s="7" t="s">
        <v>24</v>
      </c>
      <c r="E30" s="8" t="s">
        <v>6</v>
      </c>
      <c r="F30" s="94" t="s">
        <v>804</v>
      </c>
      <c r="G30" s="94" t="s">
        <v>804</v>
      </c>
      <c r="H30" s="138"/>
      <c r="I30" s="94" t="s">
        <v>804</v>
      </c>
      <c r="J30" s="94" t="s">
        <v>803</v>
      </c>
      <c r="K30" s="94" t="s">
        <v>804</v>
      </c>
      <c r="L30" s="94" t="s">
        <v>804</v>
      </c>
      <c r="M30" s="94" t="s">
        <v>804</v>
      </c>
      <c r="N30" s="165"/>
      <c r="O30" s="138"/>
      <c r="P30" s="94" t="s">
        <v>804</v>
      </c>
      <c r="Q30" s="94" t="s">
        <v>803</v>
      </c>
      <c r="R30" s="94" t="s">
        <v>804</v>
      </c>
      <c r="S30" s="165"/>
      <c r="T30" s="94" t="s">
        <v>804</v>
      </c>
      <c r="U30" s="94" t="s">
        <v>804</v>
      </c>
      <c r="V30" s="138"/>
      <c r="W30" s="5">
        <f>COUNTIF(F30:V30,"P")</f>
        <v>10</v>
      </c>
      <c r="X30" s="5">
        <f>COUNTIF(F30:V30,"A")</f>
        <v>2</v>
      </c>
    </row>
    <row r="31" spans="1:28" ht="16.5" x14ac:dyDescent="0.25">
      <c r="A31" s="9">
        <v>4</v>
      </c>
      <c r="B31" s="11">
        <v>136</v>
      </c>
      <c r="C31" s="7" t="s">
        <v>27</v>
      </c>
      <c r="D31" s="7" t="s">
        <v>28</v>
      </c>
      <c r="E31" s="8" t="s">
        <v>6</v>
      </c>
      <c r="F31" s="94" t="s">
        <v>804</v>
      </c>
      <c r="G31" s="94" t="s">
        <v>804</v>
      </c>
      <c r="H31" s="138"/>
      <c r="I31" s="94" t="s">
        <v>803</v>
      </c>
      <c r="J31" s="94" t="s">
        <v>804</v>
      </c>
      <c r="K31" s="94" t="s">
        <v>804</v>
      </c>
      <c r="L31" s="94" t="s">
        <v>804</v>
      </c>
      <c r="M31" s="94" t="s">
        <v>804</v>
      </c>
      <c r="N31" s="165"/>
      <c r="O31" s="138"/>
      <c r="P31" s="94" t="s">
        <v>804</v>
      </c>
      <c r="Q31" s="94" t="s">
        <v>804</v>
      </c>
      <c r="R31" s="94" t="s">
        <v>804</v>
      </c>
      <c r="S31" s="165"/>
      <c r="T31" s="94" t="s">
        <v>804</v>
      </c>
      <c r="U31" s="94" t="s">
        <v>804</v>
      </c>
      <c r="V31" s="138"/>
      <c r="W31" s="5">
        <f>COUNTIF(F31:V31,"P")</f>
        <v>11</v>
      </c>
      <c r="X31" s="5">
        <f>COUNTIF(F31:V31,"A")</f>
        <v>1</v>
      </c>
    </row>
    <row r="32" spans="1:28" ht="16.5" x14ac:dyDescent="0.25">
      <c r="A32" s="9">
        <v>5</v>
      </c>
      <c r="B32" s="11">
        <v>139</v>
      </c>
      <c r="C32" s="7" t="s">
        <v>31</v>
      </c>
      <c r="D32" s="7" t="s">
        <v>32</v>
      </c>
      <c r="E32" s="8" t="s">
        <v>6</v>
      </c>
      <c r="F32" s="94" t="s">
        <v>804</v>
      </c>
      <c r="G32" s="94" t="s">
        <v>804</v>
      </c>
      <c r="H32" s="138"/>
      <c r="I32" s="94" t="s">
        <v>804</v>
      </c>
      <c r="J32" s="94" t="s">
        <v>804</v>
      </c>
      <c r="K32" s="94" t="s">
        <v>804</v>
      </c>
      <c r="L32" s="94" t="s">
        <v>804</v>
      </c>
      <c r="M32" s="94" t="s">
        <v>804</v>
      </c>
      <c r="N32" s="165"/>
      <c r="O32" s="138"/>
      <c r="P32" s="94" t="s">
        <v>804</v>
      </c>
      <c r="Q32" s="94" t="s">
        <v>804</v>
      </c>
      <c r="R32" s="94" t="s">
        <v>804</v>
      </c>
      <c r="S32" s="165"/>
      <c r="T32" s="94" t="s">
        <v>804</v>
      </c>
      <c r="U32" s="94" t="s">
        <v>804</v>
      </c>
      <c r="V32" s="138"/>
      <c r="W32" s="5">
        <f>COUNTIF(F32:V32,"P")</f>
        <v>12</v>
      </c>
      <c r="X32" s="5">
        <f>COUNTIF(F32:V32,"A")</f>
        <v>0</v>
      </c>
    </row>
    <row r="33" spans="1:25" ht="16.5" x14ac:dyDescent="0.25">
      <c r="A33" s="9">
        <v>6</v>
      </c>
      <c r="B33" s="11">
        <v>142</v>
      </c>
      <c r="C33" s="7" t="s">
        <v>35</v>
      </c>
      <c r="D33" s="7" t="s">
        <v>36</v>
      </c>
      <c r="E33" s="8" t="s">
        <v>6</v>
      </c>
      <c r="F33" s="94" t="s">
        <v>803</v>
      </c>
      <c r="G33" s="94" t="s">
        <v>804</v>
      </c>
      <c r="H33" s="138"/>
      <c r="I33" s="94" t="s">
        <v>804</v>
      </c>
      <c r="J33" s="94" t="s">
        <v>804</v>
      </c>
      <c r="K33" s="94" t="s">
        <v>804</v>
      </c>
      <c r="L33" s="94" t="s">
        <v>803</v>
      </c>
      <c r="M33" s="94" t="s">
        <v>804</v>
      </c>
      <c r="N33" s="165"/>
      <c r="O33" s="138"/>
      <c r="P33" s="94" t="s">
        <v>804</v>
      </c>
      <c r="Q33" s="94" t="s">
        <v>804</v>
      </c>
      <c r="R33" s="94" t="s">
        <v>804</v>
      </c>
      <c r="S33" s="165"/>
      <c r="T33" s="94" t="s">
        <v>804</v>
      </c>
      <c r="U33" s="94" t="s">
        <v>804</v>
      </c>
      <c r="V33" s="138"/>
      <c r="W33" s="5">
        <f>COUNTIF(F33:V33,"P")</f>
        <v>10</v>
      </c>
      <c r="X33" s="5">
        <f>COUNTIF(F33:V33,"A")</f>
        <v>2</v>
      </c>
    </row>
    <row r="34" spans="1:25" ht="16.5" x14ac:dyDescent="0.25">
      <c r="A34" s="9">
        <v>7</v>
      </c>
      <c r="B34" s="95">
        <v>144</v>
      </c>
      <c r="C34" s="7" t="s">
        <v>39</v>
      </c>
      <c r="D34" s="7" t="s">
        <v>40</v>
      </c>
      <c r="E34" s="8" t="s">
        <v>6</v>
      </c>
      <c r="F34" s="94" t="s">
        <v>804</v>
      </c>
      <c r="G34" s="94" t="s">
        <v>804</v>
      </c>
      <c r="H34" s="138"/>
      <c r="I34" s="94" t="s">
        <v>804</v>
      </c>
      <c r="J34" s="94" t="s">
        <v>804</v>
      </c>
      <c r="K34" s="94" t="s">
        <v>804</v>
      </c>
      <c r="L34" s="94" t="s">
        <v>804</v>
      </c>
      <c r="M34" s="94" t="s">
        <v>804</v>
      </c>
      <c r="N34" s="165"/>
      <c r="O34" s="138"/>
      <c r="P34" s="94" t="s">
        <v>804</v>
      </c>
      <c r="Q34" s="94" t="s">
        <v>804</v>
      </c>
      <c r="R34" s="94" t="s">
        <v>804</v>
      </c>
      <c r="S34" s="165"/>
      <c r="T34" s="94" t="s">
        <v>804</v>
      </c>
      <c r="U34" s="94" t="s">
        <v>804</v>
      </c>
      <c r="V34" s="138"/>
      <c r="W34" s="5">
        <f>COUNTIF(F34:V34,"P")</f>
        <v>12</v>
      </c>
      <c r="X34" s="5">
        <f>COUNTIF(F34:V34,"A")</f>
        <v>0</v>
      </c>
    </row>
    <row r="35" spans="1:25" ht="16.5" x14ac:dyDescent="0.25">
      <c r="A35" s="9">
        <v>8</v>
      </c>
      <c r="B35" s="95">
        <v>145</v>
      </c>
      <c r="C35" s="7" t="s">
        <v>41</v>
      </c>
      <c r="D35" s="7" t="s">
        <v>42</v>
      </c>
      <c r="E35" s="8" t="s">
        <v>6</v>
      </c>
      <c r="F35" s="94" t="s">
        <v>804</v>
      </c>
      <c r="G35" s="94" t="s">
        <v>804</v>
      </c>
      <c r="H35" s="138"/>
      <c r="I35" s="94" t="s">
        <v>804</v>
      </c>
      <c r="J35" s="94" t="s">
        <v>804</v>
      </c>
      <c r="K35" s="94" t="s">
        <v>804</v>
      </c>
      <c r="L35" s="94" t="s">
        <v>804</v>
      </c>
      <c r="M35" s="94" t="s">
        <v>804</v>
      </c>
      <c r="N35" s="165"/>
      <c r="O35" s="138"/>
      <c r="P35" s="94" t="s">
        <v>804</v>
      </c>
      <c r="Q35" s="94" t="s">
        <v>804</v>
      </c>
      <c r="R35" s="94" t="s">
        <v>804</v>
      </c>
      <c r="S35" s="165"/>
      <c r="T35" s="94" t="s">
        <v>803</v>
      </c>
      <c r="U35" s="94" t="s">
        <v>804</v>
      </c>
      <c r="V35" s="138"/>
      <c r="W35" s="5">
        <f>COUNTIF(F35:V35,"P")</f>
        <v>11</v>
      </c>
      <c r="X35" s="5">
        <f>COUNTIF(F35:V35,"A")</f>
        <v>1</v>
      </c>
    </row>
    <row r="36" spans="1:25" ht="16.5" x14ac:dyDescent="0.25">
      <c r="A36" s="9">
        <v>9</v>
      </c>
      <c r="B36" s="95">
        <v>152</v>
      </c>
      <c r="C36" s="7" t="s">
        <v>51</v>
      </c>
      <c r="D36" s="7" t="s">
        <v>52</v>
      </c>
      <c r="E36" s="8" t="s">
        <v>6</v>
      </c>
      <c r="F36" s="94" t="s">
        <v>803</v>
      </c>
      <c r="G36" s="94" t="s">
        <v>803</v>
      </c>
      <c r="H36" s="138"/>
      <c r="I36" s="94" t="s">
        <v>803</v>
      </c>
      <c r="J36" s="94" t="s">
        <v>804</v>
      </c>
      <c r="K36" s="94" t="s">
        <v>804</v>
      </c>
      <c r="L36" s="94" t="s">
        <v>804</v>
      </c>
      <c r="M36" s="94" t="s">
        <v>804</v>
      </c>
      <c r="N36" s="165"/>
      <c r="O36" s="138"/>
      <c r="P36" s="94" t="s">
        <v>804</v>
      </c>
      <c r="Q36" s="94" t="s">
        <v>804</v>
      </c>
      <c r="R36" s="94" t="s">
        <v>804</v>
      </c>
      <c r="S36" s="165"/>
      <c r="T36" s="94" t="s">
        <v>804</v>
      </c>
      <c r="U36" s="94" t="s">
        <v>804</v>
      </c>
      <c r="V36" s="138"/>
      <c r="W36" s="5">
        <f>COUNTIF(F36:V36,"P")</f>
        <v>9</v>
      </c>
      <c r="X36" s="5">
        <f>COUNTIF(F36:V36,"A")</f>
        <v>3</v>
      </c>
    </row>
    <row r="37" spans="1:25" ht="16.5" x14ac:dyDescent="0.25">
      <c r="A37" s="9">
        <v>10</v>
      </c>
      <c r="B37" s="95">
        <v>153</v>
      </c>
      <c r="C37" s="7" t="s">
        <v>53</v>
      </c>
      <c r="D37" s="7" t="s">
        <v>54</v>
      </c>
      <c r="E37" s="8" t="s">
        <v>6</v>
      </c>
      <c r="F37" s="94" t="s">
        <v>804</v>
      </c>
      <c r="G37" s="94" t="s">
        <v>804</v>
      </c>
      <c r="H37" s="138"/>
      <c r="I37" s="94" t="s">
        <v>804</v>
      </c>
      <c r="J37" s="94" t="s">
        <v>804</v>
      </c>
      <c r="K37" s="94" t="s">
        <v>804</v>
      </c>
      <c r="L37" s="94" t="s">
        <v>804</v>
      </c>
      <c r="M37" s="94" t="s">
        <v>804</v>
      </c>
      <c r="N37" s="165"/>
      <c r="O37" s="138"/>
      <c r="P37" s="94" t="s">
        <v>804</v>
      </c>
      <c r="Q37" s="94" t="s">
        <v>804</v>
      </c>
      <c r="R37" s="94" t="s">
        <v>804</v>
      </c>
      <c r="S37" s="165"/>
      <c r="T37" s="94" t="s">
        <v>804</v>
      </c>
      <c r="U37" s="94" t="s">
        <v>804</v>
      </c>
      <c r="V37" s="138"/>
      <c r="W37" s="5">
        <f>COUNTIF(F37:V37,"P")</f>
        <v>12</v>
      </c>
      <c r="X37" s="5">
        <f>COUNTIF(F37:V37,"A")</f>
        <v>0</v>
      </c>
    </row>
    <row r="38" spans="1:25" ht="16.5" x14ac:dyDescent="0.25">
      <c r="A38" s="9">
        <v>11</v>
      </c>
      <c r="B38" s="95">
        <v>154</v>
      </c>
      <c r="C38" s="7" t="s">
        <v>55</v>
      </c>
      <c r="D38" s="7" t="s">
        <v>56</v>
      </c>
      <c r="E38" s="8" t="s">
        <v>6</v>
      </c>
      <c r="F38" s="94" t="s">
        <v>804</v>
      </c>
      <c r="G38" s="94" t="s">
        <v>804</v>
      </c>
      <c r="H38" s="138"/>
      <c r="I38" s="94" t="s">
        <v>804</v>
      </c>
      <c r="J38" s="94" t="s">
        <v>804</v>
      </c>
      <c r="K38" s="94" t="s">
        <v>804</v>
      </c>
      <c r="L38" s="94" t="s">
        <v>803</v>
      </c>
      <c r="M38" s="94" t="s">
        <v>804</v>
      </c>
      <c r="N38" s="165"/>
      <c r="O38" s="138"/>
      <c r="P38" s="94" t="s">
        <v>804</v>
      </c>
      <c r="Q38" s="94" t="s">
        <v>804</v>
      </c>
      <c r="R38" s="94" t="s">
        <v>804</v>
      </c>
      <c r="S38" s="165"/>
      <c r="T38" s="94" t="s">
        <v>804</v>
      </c>
      <c r="U38" s="94" t="s">
        <v>804</v>
      </c>
      <c r="V38" s="138"/>
      <c r="W38" s="5">
        <f>COUNTIF(F38:V38,"P")</f>
        <v>11</v>
      </c>
      <c r="X38" s="5">
        <f>COUNTIF(F38:V38,"A")</f>
        <v>1</v>
      </c>
    </row>
    <row r="39" spans="1:25" ht="16.5" x14ac:dyDescent="0.25">
      <c r="A39" s="9">
        <v>12</v>
      </c>
      <c r="B39" s="95">
        <v>155</v>
      </c>
      <c r="C39" s="7" t="s">
        <v>57</v>
      </c>
      <c r="D39" s="7" t="s">
        <v>58</v>
      </c>
      <c r="E39" s="8" t="s">
        <v>6</v>
      </c>
      <c r="F39" s="94" t="s">
        <v>804</v>
      </c>
      <c r="G39" s="94" t="s">
        <v>804</v>
      </c>
      <c r="H39" s="138"/>
      <c r="I39" s="94" t="s">
        <v>804</v>
      </c>
      <c r="J39" s="94" t="s">
        <v>804</v>
      </c>
      <c r="K39" s="94" t="s">
        <v>804</v>
      </c>
      <c r="L39" s="94" t="s">
        <v>804</v>
      </c>
      <c r="M39" s="94" t="s">
        <v>804</v>
      </c>
      <c r="N39" s="165"/>
      <c r="O39" s="138"/>
      <c r="P39" s="94" t="s">
        <v>804</v>
      </c>
      <c r="Q39" s="94" t="s">
        <v>804</v>
      </c>
      <c r="R39" s="94" t="s">
        <v>804</v>
      </c>
      <c r="S39" s="165"/>
      <c r="T39" s="94" t="s">
        <v>804</v>
      </c>
      <c r="U39" s="94" t="s">
        <v>804</v>
      </c>
      <c r="V39" s="138"/>
      <c r="W39" s="5">
        <f>COUNTIF(F39:V39,"P")</f>
        <v>12</v>
      </c>
      <c r="X39" s="5">
        <f>COUNTIF(F39:V39,"A")</f>
        <v>0</v>
      </c>
    </row>
    <row r="40" spans="1:25" ht="16.5" x14ac:dyDescent="0.25">
      <c r="A40" s="9">
        <v>13</v>
      </c>
      <c r="B40" s="95">
        <v>156</v>
      </c>
      <c r="C40" s="7" t="s">
        <v>59</v>
      </c>
      <c r="D40" s="7" t="s">
        <v>60</v>
      </c>
      <c r="E40" s="8" t="s">
        <v>6</v>
      </c>
      <c r="F40" s="94" t="s">
        <v>804</v>
      </c>
      <c r="G40" s="94" t="s">
        <v>804</v>
      </c>
      <c r="H40" s="138"/>
      <c r="I40" s="94" t="s">
        <v>804</v>
      </c>
      <c r="J40" s="94" t="s">
        <v>804</v>
      </c>
      <c r="K40" s="94" t="s">
        <v>804</v>
      </c>
      <c r="L40" s="94" t="s">
        <v>804</v>
      </c>
      <c r="M40" s="94" t="s">
        <v>804</v>
      </c>
      <c r="N40" s="165"/>
      <c r="O40" s="138"/>
      <c r="P40" s="94" t="s">
        <v>804</v>
      </c>
      <c r="Q40" s="94" t="s">
        <v>803</v>
      </c>
      <c r="R40" s="94" t="s">
        <v>804</v>
      </c>
      <c r="S40" s="165"/>
      <c r="T40" s="94" t="s">
        <v>804</v>
      </c>
      <c r="U40" s="94" t="s">
        <v>804</v>
      </c>
      <c r="V40" s="138"/>
      <c r="W40" s="5">
        <f>COUNTIF(F40:V40,"P")</f>
        <v>11</v>
      </c>
      <c r="X40" s="5">
        <f>COUNTIF(F40:V40,"A")</f>
        <v>1</v>
      </c>
    </row>
    <row r="41" spans="1:25" ht="16.5" x14ac:dyDescent="0.25">
      <c r="A41" s="9">
        <v>14</v>
      </c>
      <c r="B41" s="95">
        <v>158</v>
      </c>
      <c r="C41" s="7" t="s">
        <v>61</v>
      </c>
      <c r="D41" s="7" t="s">
        <v>62</v>
      </c>
      <c r="E41" s="8" t="s">
        <v>6</v>
      </c>
      <c r="F41" s="94" t="s">
        <v>804</v>
      </c>
      <c r="G41" s="94" t="s">
        <v>804</v>
      </c>
      <c r="H41" s="138"/>
      <c r="I41" s="94" t="s">
        <v>804</v>
      </c>
      <c r="J41" s="94" t="s">
        <v>804</v>
      </c>
      <c r="K41" s="94" t="s">
        <v>803</v>
      </c>
      <c r="L41" s="94" t="s">
        <v>804</v>
      </c>
      <c r="M41" s="94" t="s">
        <v>804</v>
      </c>
      <c r="N41" s="165"/>
      <c r="O41" s="138"/>
      <c r="P41" s="94" t="s">
        <v>804</v>
      </c>
      <c r="Q41" s="94" t="s">
        <v>804</v>
      </c>
      <c r="R41" s="94" t="s">
        <v>804</v>
      </c>
      <c r="S41" s="165"/>
      <c r="T41" s="94" t="s">
        <v>804</v>
      </c>
      <c r="U41" s="94" t="s">
        <v>804</v>
      </c>
      <c r="V41" s="138"/>
      <c r="W41" s="5">
        <f>COUNTIF(F41:V41,"P")</f>
        <v>11</v>
      </c>
      <c r="X41" s="5">
        <f>COUNTIF(F41:V41,"A")</f>
        <v>1</v>
      </c>
    </row>
    <row r="42" spans="1:25" ht="16.5" x14ac:dyDescent="0.25">
      <c r="A42" s="9">
        <v>15</v>
      </c>
      <c r="B42" s="11">
        <v>159</v>
      </c>
      <c r="C42" s="7" t="s">
        <v>63</v>
      </c>
      <c r="D42" s="7" t="s">
        <v>64</v>
      </c>
      <c r="E42" s="8" t="s">
        <v>6</v>
      </c>
      <c r="F42" s="94" t="s">
        <v>804</v>
      </c>
      <c r="G42" s="94" t="s">
        <v>804</v>
      </c>
      <c r="H42" s="138"/>
      <c r="I42" s="94" t="s">
        <v>804</v>
      </c>
      <c r="J42" s="94" t="s">
        <v>804</v>
      </c>
      <c r="K42" s="94" t="s">
        <v>804</v>
      </c>
      <c r="L42" s="94" t="s">
        <v>804</v>
      </c>
      <c r="M42" s="94" t="s">
        <v>804</v>
      </c>
      <c r="N42" s="165"/>
      <c r="O42" s="138"/>
      <c r="P42" s="94" t="s">
        <v>804</v>
      </c>
      <c r="Q42" s="94" t="s">
        <v>804</v>
      </c>
      <c r="R42" s="94" t="s">
        <v>804</v>
      </c>
      <c r="S42" s="165"/>
      <c r="T42" s="94" t="s">
        <v>804</v>
      </c>
      <c r="U42" s="94" t="s">
        <v>804</v>
      </c>
      <c r="V42" s="138"/>
      <c r="W42" s="5">
        <f>COUNTIF(F42:V42,"P")</f>
        <v>12</v>
      </c>
      <c r="X42" s="5">
        <f>COUNTIF(F42:V42,"A")</f>
        <v>0</v>
      </c>
    </row>
    <row r="43" spans="1:25" ht="16.5" x14ac:dyDescent="0.25">
      <c r="A43" s="9">
        <v>16</v>
      </c>
      <c r="B43" s="11">
        <v>165</v>
      </c>
      <c r="C43" s="7" t="s">
        <v>73</v>
      </c>
      <c r="D43" s="7" t="s">
        <v>74</v>
      </c>
      <c r="E43" s="8" t="s">
        <v>6</v>
      </c>
      <c r="F43" s="94" t="s">
        <v>804</v>
      </c>
      <c r="G43" s="94" t="s">
        <v>804</v>
      </c>
      <c r="H43" s="138"/>
      <c r="I43" s="94" t="s">
        <v>804</v>
      </c>
      <c r="J43" s="94" t="s">
        <v>804</v>
      </c>
      <c r="K43" s="94" t="s">
        <v>804</v>
      </c>
      <c r="L43" s="94" t="s">
        <v>804</v>
      </c>
      <c r="M43" s="94" t="s">
        <v>804</v>
      </c>
      <c r="N43" s="165"/>
      <c r="O43" s="138"/>
      <c r="P43" s="94" t="s">
        <v>804</v>
      </c>
      <c r="Q43" s="94" t="s">
        <v>804</v>
      </c>
      <c r="R43" s="94" t="s">
        <v>804</v>
      </c>
      <c r="S43" s="165"/>
      <c r="T43" s="94" t="s">
        <v>804</v>
      </c>
      <c r="U43" s="94" t="s">
        <v>804</v>
      </c>
      <c r="V43" s="138"/>
      <c r="W43" s="5">
        <f>COUNTIF(F43:V43,"P")</f>
        <v>12</v>
      </c>
      <c r="X43" s="5">
        <f>COUNTIF(F43:V43,"A")</f>
        <v>0</v>
      </c>
    </row>
    <row r="44" spans="1:25" ht="16.5" x14ac:dyDescent="0.25">
      <c r="A44" s="9">
        <v>17</v>
      </c>
      <c r="B44" s="11">
        <v>167</v>
      </c>
      <c r="C44" s="7" t="s">
        <v>87</v>
      </c>
      <c r="D44" s="7" t="s">
        <v>76</v>
      </c>
      <c r="E44" s="8" t="s">
        <v>6</v>
      </c>
      <c r="F44" s="94" t="s">
        <v>804</v>
      </c>
      <c r="G44" s="94" t="s">
        <v>804</v>
      </c>
      <c r="H44" s="138"/>
      <c r="I44" s="94" t="s">
        <v>804</v>
      </c>
      <c r="J44" s="94" t="s">
        <v>803</v>
      </c>
      <c r="K44" s="94" t="s">
        <v>804</v>
      </c>
      <c r="L44" s="94" t="s">
        <v>804</v>
      </c>
      <c r="M44" s="94" t="s">
        <v>804</v>
      </c>
      <c r="N44" s="165"/>
      <c r="O44" s="138"/>
      <c r="P44" s="94" t="s">
        <v>804</v>
      </c>
      <c r="Q44" s="94" t="s">
        <v>804</v>
      </c>
      <c r="R44" s="94" t="s">
        <v>804</v>
      </c>
      <c r="S44" s="165"/>
      <c r="T44" s="94" t="s">
        <v>804</v>
      </c>
      <c r="U44" s="94" t="s">
        <v>804</v>
      </c>
      <c r="V44" s="138"/>
      <c r="W44" s="5">
        <f>COUNTIF(F44:V44,"P")</f>
        <v>11</v>
      </c>
      <c r="X44" s="5">
        <f>COUNTIF(F44:V44,"A")</f>
        <v>1</v>
      </c>
    </row>
    <row r="45" spans="1:25" ht="16.5" x14ac:dyDescent="0.25">
      <c r="A45" s="9">
        <v>18</v>
      </c>
      <c r="B45" s="11">
        <v>169</v>
      </c>
      <c r="C45" s="7" t="s">
        <v>79</v>
      </c>
      <c r="D45" s="7" t="s">
        <v>80</v>
      </c>
      <c r="E45" s="8" t="s">
        <v>6</v>
      </c>
      <c r="F45" s="94" t="s">
        <v>804</v>
      </c>
      <c r="G45" s="94" t="s">
        <v>804</v>
      </c>
      <c r="H45" s="138"/>
      <c r="I45" s="94" t="s">
        <v>804</v>
      </c>
      <c r="J45" s="94" t="s">
        <v>804</v>
      </c>
      <c r="K45" s="94" t="s">
        <v>804</v>
      </c>
      <c r="L45" s="94" t="s">
        <v>804</v>
      </c>
      <c r="M45" s="94" t="s">
        <v>804</v>
      </c>
      <c r="N45" s="165"/>
      <c r="O45" s="138"/>
      <c r="P45" s="94" t="s">
        <v>804</v>
      </c>
      <c r="Q45" s="94" t="s">
        <v>804</v>
      </c>
      <c r="R45" s="94" t="s">
        <v>803</v>
      </c>
      <c r="S45" s="165"/>
      <c r="T45" s="94" t="s">
        <v>803</v>
      </c>
      <c r="U45" s="94" t="s">
        <v>804</v>
      </c>
      <c r="V45" s="138"/>
      <c r="W45" s="5">
        <f>COUNTIF(F45:V45,"P")</f>
        <v>10</v>
      </c>
      <c r="X45" s="5">
        <f>COUNTIF(F45:V45,"A")</f>
        <v>2</v>
      </c>
    </row>
    <row r="46" spans="1:25" ht="16.5" x14ac:dyDescent="0.25">
      <c r="A46" s="9">
        <v>19</v>
      </c>
      <c r="B46" s="11">
        <v>196</v>
      </c>
      <c r="C46" s="7" t="s">
        <v>88</v>
      </c>
      <c r="D46" s="7" t="s">
        <v>89</v>
      </c>
      <c r="E46" s="8" t="s">
        <v>6</v>
      </c>
      <c r="F46" s="94" t="s">
        <v>804</v>
      </c>
      <c r="G46" s="94" t="s">
        <v>804</v>
      </c>
      <c r="H46" s="138"/>
      <c r="I46" s="94" t="s">
        <v>804</v>
      </c>
      <c r="J46" s="94" t="s">
        <v>804</v>
      </c>
      <c r="K46" s="94" t="s">
        <v>804</v>
      </c>
      <c r="L46" s="94" t="s">
        <v>804</v>
      </c>
      <c r="M46" s="94" t="s">
        <v>804</v>
      </c>
      <c r="N46" s="165"/>
      <c r="O46" s="138"/>
      <c r="P46" s="94" t="s">
        <v>804</v>
      </c>
      <c r="Q46" s="94" t="s">
        <v>804</v>
      </c>
      <c r="R46" s="94" t="s">
        <v>804</v>
      </c>
      <c r="S46" s="165"/>
      <c r="T46" s="94" t="s">
        <v>804</v>
      </c>
      <c r="U46" s="94" t="s">
        <v>804</v>
      </c>
      <c r="V46" s="138"/>
      <c r="W46" s="5">
        <f>COUNTIF(F46:V46,"P")</f>
        <v>12</v>
      </c>
      <c r="X46" s="5">
        <f>COUNTIF(F46:V46,"A")</f>
        <v>0</v>
      </c>
    </row>
    <row r="47" spans="1:25" ht="16.5" x14ac:dyDescent="0.25">
      <c r="A47" s="9">
        <v>20</v>
      </c>
      <c r="B47" s="11">
        <v>197</v>
      </c>
      <c r="C47" s="7" t="s">
        <v>90</v>
      </c>
      <c r="D47" s="7" t="s">
        <v>718</v>
      </c>
      <c r="E47" s="8" t="s">
        <v>6</v>
      </c>
      <c r="F47" s="94" t="s">
        <v>804</v>
      </c>
      <c r="G47" s="94" t="s">
        <v>804</v>
      </c>
      <c r="H47" s="138"/>
      <c r="I47" s="94" t="s">
        <v>804</v>
      </c>
      <c r="J47" s="94" t="s">
        <v>804</v>
      </c>
      <c r="K47" s="94" t="s">
        <v>804</v>
      </c>
      <c r="L47" s="94" t="s">
        <v>803</v>
      </c>
      <c r="M47" s="94" t="s">
        <v>804</v>
      </c>
      <c r="N47" s="165"/>
      <c r="O47" s="138"/>
      <c r="P47" s="94" t="s">
        <v>804</v>
      </c>
      <c r="Q47" s="94" t="s">
        <v>804</v>
      </c>
      <c r="R47" s="94" t="s">
        <v>804</v>
      </c>
      <c r="S47" s="165"/>
      <c r="T47" s="94" t="s">
        <v>804</v>
      </c>
      <c r="U47" s="94" t="s">
        <v>804</v>
      </c>
      <c r="V47" s="138"/>
      <c r="W47" s="5">
        <f>COUNTIF(F47:V47,"P")</f>
        <v>11</v>
      </c>
      <c r="X47" s="5">
        <f>COUNTIF(F47:V47,"A")</f>
        <v>1</v>
      </c>
    </row>
    <row r="48" spans="1:25" ht="16.5" x14ac:dyDescent="0.25">
      <c r="A48" s="9">
        <v>21</v>
      </c>
      <c r="B48" s="11">
        <v>182</v>
      </c>
      <c r="C48" s="7" t="s">
        <v>93</v>
      </c>
      <c r="D48" s="7" t="s">
        <v>94</v>
      </c>
      <c r="E48" s="8" t="s">
        <v>6</v>
      </c>
      <c r="F48" s="94" t="s">
        <v>804</v>
      </c>
      <c r="G48" s="94" t="s">
        <v>804</v>
      </c>
      <c r="H48" s="138"/>
      <c r="I48" s="94" t="s">
        <v>804</v>
      </c>
      <c r="J48" s="94" t="s">
        <v>804</v>
      </c>
      <c r="K48" s="94" t="s">
        <v>804</v>
      </c>
      <c r="L48" s="94" t="s">
        <v>804</v>
      </c>
      <c r="M48" s="94" t="s">
        <v>804</v>
      </c>
      <c r="N48" s="165"/>
      <c r="O48" s="138"/>
      <c r="P48" s="94" t="s">
        <v>804</v>
      </c>
      <c r="Q48" s="94" t="s">
        <v>804</v>
      </c>
      <c r="R48" s="94" t="s">
        <v>804</v>
      </c>
      <c r="S48" s="165"/>
      <c r="T48" s="94" t="s">
        <v>804</v>
      </c>
      <c r="U48" s="94" t="s">
        <v>804</v>
      </c>
      <c r="V48" s="138"/>
      <c r="W48" s="5">
        <f>COUNTIF(F48:V48,"P")</f>
        <v>12</v>
      </c>
      <c r="X48" s="5">
        <f>COUNTIF(F48:V48,"A")</f>
        <v>0</v>
      </c>
      <c r="Y48" s="1" t="s">
        <v>720</v>
      </c>
    </row>
    <row r="49" spans="1:24" ht="16.5" x14ac:dyDescent="0.25">
      <c r="A49" s="9">
        <v>22</v>
      </c>
      <c r="B49" s="11">
        <v>186</v>
      </c>
      <c r="C49" s="7" t="s">
        <v>95</v>
      </c>
      <c r="D49" s="7" t="s">
        <v>96</v>
      </c>
      <c r="E49" s="8" t="s">
        <v>6</v>
      </c>
      <c r="F49" s="94" t="s">
        <v>804</v>
      </c>
      <c r="G49" s="94" t="s">
        <v>804</v>
      </c>
      <c r="H49" s="138"/>
      <c r="I49" s="94" t="s">
        <v>804</v>
      </c>
      <c r="J49" s="94" t="s">
        <v>804</v>
      </c>
      <c r="K49" s="94" t="s">
        <v>804</v>
      </c>
      <c r="L49" s="94" t="s">
        <v>804</v>
      </c>
      <c r="M49" s="94" t="s">
        <v>804</v>
      </c>
      <c r="N49" s="165"/>
      <c r="O49" s="138"/>
      <c r="P49" s="94" t="s">
        <v>804</v>
      </c>
      <c r="Q49" s="94" t="s">
        <v>804</v>
      </c>
      <c r="R49" s="94" t="s">
        <v>804</v>
      </c>
      <c r="S49" s="165"/>
      <c r="T49" s="94" t="s">
        <v>804</v>
      </c>
      <c r="U49" s="94" t="s">
        <v>804</v>
      </c>
      <c r="V49" s="138"/>
      <c r="W49" s="5">
        <f>COUNTIF(F49:V49,"P")</f>
        <v>12</v>
      </c>
      <c r="X49" s="5">
        <f>COUNTIF(F49:V49,"A")</f>
        <v>0</v>
      </c>
    </row>
    <row r="50" spans="1:24" ht="16.5" x14ac:dyDescent="0.25">
      <c r="A50" s="9">
        <v>23</v>
      </c>
      <c r="B50" s="11">
        <v>188</v>
      </c>
      <c r="C50" s="7" t="s">
        <v>97</v>
      </c>
      <c r="D50" s="7" t="s">
        <v>98</v>
      </c>
      <c r="E50" s="8" t="s">
        <v>6</v>
      </c>
      <c r="F50" s="94" t="s">
        <v>804</v>
      </c>
      <c r="G50" s="94" t="s">
        <v>804</v>
      </c>
      <c r="H50" s="138"/>
      <c r="I50" s="94" t="s">
        <v>804</v>
      </c>
      <c r="J50" s="94" t="s">
        <v>804</v>
      </c>
      <c r="K50" s="94" t="s">
        <v>803</v>
      </c>
      <c r="L50" s="94" t="s">
        <v>804</v>
      </c>
      <c r="M50" s="94" t="s">
        <v>804</v>
      </c>
      <c r="N50" s="165"/>
      <c r="O50" s="138"/>
      <c r="P50" s="94" t="s">
        <v>804</v>
      </c>
      <c r="Q50" s="94" t="s">
        <v>804</v>
      </c>
      <c r="R50" s="94" t="s">
        <v>804</v>
      </c>
      <c r="S50" s="165"/>
      <c r="T50" s="94" t="s">
        <v>803</v>
      </c>
      <c r="U50" s="94" t="s">
        <v>804</v>
      </c>
      <c r="V50" s="138"/>
      <c r="W50" s="5">
        <f>COUNTIF(F50:V50,"P")</f>
        <v>10</v>
      </c>
      <c r="X50" s="5">
        <f>COUNTIF(F50:V50,"A")</f>
        <v>2</v>
      </c>
    </row>
    <row r="51" spans="1:24" ht="16.5" x14ac:dyDescent="0.25">
      <c r="A51" s="9">
        <v>24</v>
      </c>
      <c r="B51" s="11">
        <v>184</v>
      </c>
      <c r="C51" s="7" t="s">
        <v>108</v>
      </c>
      <c r="D51" s="7" t="s">
        <v>109</v>
      </c>
      <c r="E51" s="8" t="s">
        <v>6</v>
      </c>
      <c r="F51" s="94" t="s">
        <v>804</v>
      </c>
      <c r="G51" s="94" t="s">
        <v>804</v>
      </c>
      <c r="H51" s="138"/>
      <c r="I51" s="94" t="s">
        <v>804</v>
      </c>
      <c r="J51" s="94" t="s">
        <v>804</v>
      </c>
      <c r="K51" s="94" t="s">
        <v>804</v>
      </c>
      <c r="L51" s="94" t="s">
        <v>804</v>
      </c>
      <c r="M51" s="94" t="s">
        <v>804</v>
      </c>
      <c r="N51" s="165"/>
      <c r="O51" s="138"/>
      <c r="P51" s="94" t="s">
        <v>804</v>
      </c>
      <c r="Q51" s="94" t="s">
        <v>804</v>
      </c>
      <c r="R51" s="94" t="s">
        <v>804</v>
      </c>
      <c r="S51" s="165"/>
      <c r="T51" s="94" t="s">
        <v>804</v>
      </c>
      <c r="U51" s="94" t="s">
        <v>804</v>
      </c>
      <c r="V51" s="138"/>
      <c r="W51" s="5">
        <f>COUNTIF(F51:V51,"P")</f>
        <v>12</v>
      </c>
      <c r="X51" s="5">
        <f>COUNTIF(F51:V51,"A")</f>
        <v>0</v>
      </c>
    </row>
    <row r="52" spans="1:24" ht="16.5" x14ac:dyDescent="0.25">
      <c r="A52" s="9">
        <v>25</v>
      </c>
      <c r="B52" s="11">
        <v>185</v>
      </c>
      <c r="C52" s="14" t="s">
        <v>110</v>
      </c>
      <c r="D52" s="14" t="s">
        <v>27</v>
      </c>
      <c r="E52" s="8" t="s">
        <v>6</v>
      </c>
      <c r="F52" s="94" t="s">
        <v>804</v>
      </c>
      <c r="G52" s="94" t="s">
        <v>804</v>
      </c>
      <c r="H52" s="138"/>
      <c r="I52" s="94" t="s">
        <v>804</v>
      </c>
      <c r="J52" s="94" t="s">
        <v>804</v>
      </c>
      <c r="K52" s="94" t="s">
        <v>804</v>
      </c>
      <c r="L52" s="94" t="s">
        <v>804</v>
      </c>
      <c r="M52" s="94" t="s">
        <v>804</v>
      </c>
      <c r="N52" s="165"/>
      <c r="O52" s="138"/>
      <c r="P52" s="94" t="s">
        <v>804</v>
      </c>
      <c r="Q52" s="94" t="s">
        <v>804</v>
      </c>
      <c r="R52" s="94" t="s">
        <v>804</v>
      </c>
      <c r="S52" s="165"/>
      <c r="T52" s="94" t="s">
        <v>804</v>
      </c>
      <c r="U52" s="94" t="s">
        <v>804</v>
      </c>
      <c r="V52" s="138"/>
      <c r="W52" s="5">
        <f>COUNTIF(F52:V52,"P")</f>
        <v>12</v>
      </c>
      <c r="X52" s="5">
        <f>COUNTIF(F52:V52,"A")</f>
        <v>0</v>
      </c>
    </row>
    <row r="53" spans="1:24" ht="16.5" x14ac:dyDescent="0.25">
      <c r="A53" s="9">
        <v>26</v>
      </c>
      <c r="B53" s="11">
        <v>186</v>
      </c>
      <c r="C53" s="14" t="s">
        <v>103</v>
      </c>
      <c r="D53" s="14" t="s">
        <v>104</v>
      </c>
      <c r="E53" s="8" t="s">
        <v>6</v>
      </c>
      <c r="F53" s="94" t="s">
        <v>804</v>
      </c>
      <c r="G53" s="94" t="s">
        <v>804</v>
      </c>
      <c r="H53" s="138"/>
      <c r="I53" s="94" t="s">
        <v>803</v>
      </c>
      <c r="J53" s="94" t="s">
        <v>804</v>
      </c>
      <c r="K53" s="94" t="s">
        <v>803</v>
      </c>
      <c r="L53" s="94" t="s">
        <v>804</v>
      </c>
      <c r="M53" s="94" t="s">
        <v>804</v>
      </c>
      <c r="N53" s="165"/>
      <c r="O53" s="138"/>
      <c r="P53" s="94" t="s">
        <v>803</v>
      </c>
      <c r="Q53" s="94" t="s">
        <v>804</v>
      </c>
      <c r="R53" s="94" t="s">
        <v>804</v>
      </c>
      <c r="S53" s="165"/>
      <c r="T53" s="94" t="s">
        <v>804</v>
      </c>
      <c r="U53" s="94" t="s">
        <v>804</v>
      </c>
      <c r="V53" s="138"/>
      <c r="W53" s="5">
        <f>COUNTIF(F53:V53,"P")</f>
        <v>9</v>
      </c>
      <c r="X53" s="5">
        <f>COUNTIF(F53:V53,"A")</f>
        <v>3</v>
      </c>
    </row>
    <row r="54" spans="1:24" ht="16.5" x14ac:dyDescent="0.25">
      <c r="A54" s="9">
        <v>27</v>
      </c>
      <c r="B54" s="11">
        <v>187</v>
      </c>
      <c r="C54" s="14" t="s">
        <v>111</v>
      </c>
      <c r="D54" s="14" t="s">
        <v>112</v>
      </c>
      <c r="E54" s="8" t="s">
        <v>6</v>
      </c>
      <c r="F54" s="94" t="s">
        <v>804</v>
      </c>
      <c r="G54" s="94" t="s">
        <v>804</v>
      </c>
      <c r="H54" s="138"/>
      <c r="I54" s="94" t="s">
        <v>804</v>
      </c>
      <c r="J54" s="94" t="s">
        <v>804</v>
      </c>
      <c r="K54" s="94" t="s">
        <v>804</v>
      </c>
      <c r="L54" s="94" t="s">
        <v>804</v>
      </c>
      <c r="M54" s="94" t="s">
        <v>804</v>
      </c>
      <c r="N54" s="165"/>
      <c r="O54" s="138"/>
      <c r="P54" s="94" t="s">
        <v>804</v>
      </c>
      <c r="Q54" s="94" t="s">
        <v>804</v>
      </c>
      <c r="R54" s="94" t="s">
        <v>804</v>
      </c>
      <c r="S54" s="165"/>
      <c r="T54" s="94" t="s">
        <v>804</v>
      </c>
      <c r="U54" s="94" t="s">
        <v>804</v>
      </c>
      <c r="V54" s="138"/>
      <c r="W54" s="5">
        <f>COUNTIF(F54:V54,"P")</f>
        <v>12</v>
      </c>
      <c r="X54" s="5">
        <f>COUNTIF(F54:V54,"A")</f>
        <v>0</v>
      </c>
    </row>
    <row r="55" spans="1:24" ht="16.5" x14ac:dyDescent="0.25">
      <c r="A55" s="9">
        <v>28</v>
      </c>
      <c r="B55" s="11">
        <v>188</v>
      </c>
      <c r="C55" s="14" t="s">
        <v>113</v>
      </c>
      <c r="D55" s="14" t="s">
        <v>114</v>
      </c>
      <c r="E55" s="8" t="s">
        <v>6</v>
      </c>
      <c r="F55" s="94" t="s">
        <v>804</v>
      </c>
      <c r="G55" s="94" t="s">
        <v>804</v>
      </c>
      <c r="H55" s="138"/>
      <c r="I55" s="94" t="s">
        <v>804</v>
      </c>
      <c r="J55" s="94" t="s">
        <v>804</v>
      </c>
      <c r="K55" s="94" t="s">
        <v>804</v>
      </c>
      <c r="L55" s="94" t="s">
        <v>804</v>
      </c>
      <c r="M55" s="94" t="s">
        <v>804</v>
      </c>
      <c r="N55" s="165"/>
      <c r="O55" s="138"/>
      <c r="P55" s="94" t="s">
        <v>804</v>
      </c>
      <c r="Q55" s="94" t="s">
        <v>804</v>
      </c>
      <c r="R55" s="94" t="s">
        <v>804</v>
      </c>
      <c r="S55" s="165"/>
      <c r="T55" s="94" t="s">
        <v>804</v>
      </c>
      <c r="U55" s="94" t="s">
        <v>804</v>
      </c>
      <c r="V55" s="138"/>
      <c r="W55" s="5">
        <f>COUNTIF(F55:V55,"P")</f>
        <v>12</v>
      </c>
      <c r="X55" s="5">
        <f>COUNTIF(F55:V55,"A")</f>
        <v>0</v>
      </c>
    </row>
    <row r="56" spans="1:24" ht="16.5" x14ac:dyDescent="0.25">
      <c r="A56" s="9">
        <v>29</v>
      </c>
      <c r="B56" s="11">
        <v>177</v>
      </c>
      <c r="C56" s="14" t="s">
        <v>118</v>
      </c>
      <c r="D56" s="14" t="s">
        <v>117</v>
      </c>
      <c r="E56" s="8" t="s">
        <v>6</v>
      </c>
      <c r="F56" s="94" t="s">
        <v>804</v>
      </c>
      <c r="G56" s="94" t="s">
        <v>804</v>
      </c>
      <c r="H56" s="138"/>
      <c r="I56" s="94" t="s">
        <v>804</v>
      </c>
      <c r="J56" s="94" t="s">
        <v>804</v>
      </c>
      <c r="K56" s="94" t="s">
        <v>804</v>
      </c>
      <c r="L56" s="94" t="s">
        <v>804</v>
      </c>
      <c r="M56" s="94" t="s">
        <v>804</v>
      </c>
      <c r="N56" s="165"/>
      <c r="O56" s="138"/>
      <c r="P56" s="94" t="s">
        <v>804</v>
      </c>
      <c r="Q56" s="94" t="s">
        <v>804</v>
      </c>
      <c r="R56" s="94" t="s">
        <v>804</v>
      </c>
      <c r="S56" s="165"/>
      <c r="T56" s="94" t="s">
        <v>804</v>
      </c>
      <c r="U56" s="94" t="s">
        <v>803</v>
      </c>
      <c r="V56" s="138"/>
      <c r="W56" s="5">
        <f>COUNTIF(F56:V56,"P")</f>
        <v>11</v>
      </c>
      <c r="X56" s="5">
        <f>COUNTIF(F56:V56,"A")</f>
        <v>1</v>
      </c>
    </row>
    <row r="57" spans="1:24" ht="16.5" x14ac:dyDescent="0.25">
      <c r="A57" s="9">
        <v>30</v>
      </c>
      <c r="B57" s="11">
        <v>191</v>
      </c>
      <c r="C57" s="7" t="s">
        <v>100</v>
      </c>
      <c r="D57" s="7" t="s">
        <v>101</v>
      </c>
      <c r="E57" s="8" t="s">
        <v>6</v>
      </c>
      <c r="F57" s="94" t="s">
        <v>804</v>
      </c>
      <c r="G57" s="94" t="s">
        <v>804</v>
      </c>
      <c r="H57" s="138"/>
      <c r="I57" s="94" t="s">
        <v>804</v>
      </c>
      <c r="J57" s="94" t="s">
        <v>803</v>
      </c>
      <c r="K57" s="94" t="s">
        <v>804</v>
      </c>
      <c r="L57" s="94" t="s">
        <v>804</v>
      </c>
      <c r="M57" s="94" t="s">
        <v>804</v>
      </c>
      <c r="N57" s="165"/>
      <c r="O57" s="138"/>
      <c r="P57" s="94" t="s">
        <v>804</v>
      </c>
      <c r="Q57" s="94" t="s">
        <v>804</v>
      </c>
      <c r="R57" s="94" t="s">
        <v>804</v>
      </c>
      <c r="S57" s="165"/>
      <c r="T57" s="94" t="s">
        <v>804</v>
      </c>
      <c r="U57" s="94" t="s">
        <v>804</v>
      </c>
      <c r="V57" s="138"/>
      <c r="W57" s="5">
        <f>COUNTIF(F57:V57,"P")</f>
        <v>11</v>
      </c>
      <c r="X57" s="5">
        <f>COUNTIF(F57:V57,"A")</f>
        <v>1</v>
      </c>
    </row>
    <row r="58" spans="1:24" ht="16.5" x14ac:dyDescent="0.25">
      <c r="A58" s="9">
        <v>31</v>
      </c>
      <c r="B58" s="11"/>
      <c r="C58" s="7" t="s">
        <v>113</v>
      </c>
      <c r="D58" s="7" t="s">
        <v>168</v>
      </c>
      <c r="E58" s="8" t="s">
        <v>6</v>
      </c>
      <c r="F58" s="94" t="s">
        <v>804</v>
      </c>
      <c r="G58" s="94" t="s">
        <v>804</v>
      </c>
      <c r="H58" s="139"/>
      <c r="I58" s="94" t="s">
        <v>804</v>
      </c>
      <c r="J58" s="94" t="s">
        <v>804</v>
      </c>
      <c r="K58" s="94" t="s">
        <v>804</v>
      </c>
      <c r="L58" s="94" t="s">
        <v>804</v>
      </c>
      <c r="M58" s="94" t="s">
        <v>804</v>
      </c>
      <c r="N58" s="166"/>
      <c r="O58" s="139"/>
      <c r="P58" s="94" t="s">
        <v>804</v>
      </c>
      <c r="Q58" s="94" t="s">
        <v>803</v>
      </c>
      <c r="R58" s="94" t="s">
        <v>804</v>
      </c>
      <c r="S58" s="166"/>
      <c r="T58" s="94" t="s">
        <v>804</v>
      </c>
      <c r="U58" s="94" t="s">
        <v>804</v>
      </c>
      <c r="V58" s="139"/>
      <c r="W58" s="5">
        <f>COUNTIF(F58:V58,"P")</f>
        <v>11</v>
      </c>
      <c r="X58" s="5">
        <f>COUNTIF(F58:V58,"A")</f>
        <v>1</v>
      </c>
    </row>
  </sheetData>
  <mergeCells count="17">
    <mergeCell ref="S5:S58"/>
    <mergeCell ref="H5:H58"/>
    <mergeCell ref="O5:O58"/>
    <mergeCell ref="V5:V58"/>
    <mergeCell ref="A1:X1"/>
    <mergeCell ref="W3:W4"/>
    <mergeCell ref="X3:X4"/>
    <mergeCell ref="A2:X2"/>
    <mergeCell ref="A3:A4"/>
    <mergeCell ref="B3:B4"/>
    <mergeCell ref="C3:C4"/>
    <mergeCell ref="D3:D4"/>
    <mergeCell ref="E3:E4"/>
    <mergeCell ref="Y3:Z3"/>
    <mergeCell ref="Y11:AB11"/>
    <mergeCell ref="Y19:AB19"/>
    <mergeCell ref="N5:N58"/>
  </mergeCells>
  <conditionalFormatting sqref="F3:V4 F5:M5 O5:R5 T5:V5 F6:G58 I6:M58 P6:R58 T6:U58">
    <cfRule type="expression" dxfId="595" priority="11">
      <formula>F$4=TODAY()</formula>
    </cfRule>
    <cfRule type="expression" dxfId="594" priority="34">
      <formula>F$3="SUN"</formula>
    </cfRule>
  </conditionalFormatting>
  <conditionalFormatting sqref="F5:M5 O5:R5 T5:V5 F6:G58 I6:M58 P6:R58 T6:U58">
    <cfRule type="cellIs" dxfId="593" priority="37" operator="equal">
      <formula>"L"</formula>
    </cfRule>
    <cfRule type="cellIs" dxfId="592" priority="38" operator="equal">
      <formula>"A"</formula>
    </cfRule>
    <cfRule type="cellIs" dxfId="591" priority="39" operator="equal">
      <formula>"P"</formula>
    </cfRule>
  </conditionalFormatting>
  <conditionalFormatting sqref="W3:X3 W5:X58">
    <cfRule type="expression" dxfId="590" priority="36">
      <formula>#REF!="Sun"</formula>
    </cfRule>
  </conditionalFormatting>
  <conditionalFormatting sqref="Y5:Y9">
    <cfRule type="expression" dxfId="589" priority="25">
      <formula>Y$3="Sun"</formula>
    </cfRule>
  </conditionalFormatting>
  <conditionalFormatting sqref="Y12:Y15">
    <cfRule type="expression" dxfId="588" priority="23">
      <formula>Y$3="Sun"</formula>
    </cfRule>
  </conditionalFormatting>
  <conditionalFormatting sqref="Y20:Y23">
    <cfRule type="expression" dxfId="587" priority="22">
      <formula>Y$3="Sun"</formula>
    </cfRule>
  </conditionalFormatting>
  <conditionalFormatting sqref="Y4:Z4">
    <cfRule type="expression" dxfId="586" priority="26">
      <formula>Y$3="Sun"</formula>
    </cfRule>
  </conditionalFormatting>
  <conditionalFormatting sqref="Z12:AB12 Z20:AB20">
    <cfRule type="expression" dxfId="585" priority="27">
      <formula>Z$3="Sun"</formula>
    </cfRule>
  </conditionalFormatting>
  <conditionalFormatting sqref="AB21">
    <cfRule type="expression" dxfId="584" priority="24">
      <formula>AB$3="Sun"</formula>
    </cfRule>
  </conditionalFormatting>
  <conditionalFormatting sqref="N5">
    <cfRule type="expression" dxfId="583" priority="6">
      <formula>N$4=TODAY()</formula>
    </cfRule>
    <cfRule type="expression" dxfId="582" priority="7">
      <formula>N$3="SUN"</formula>
    </cfRule>
  </conditionalFormatting>
  <conditionalFormatting sqref="N5">
    <cfRule type="cellIs" dxfId="581" priority="8" operator="equal">
      <formula>"L"</formula>
    </cfRule>
    <cfRule type="cellIs" dxfId="580" priority="9" operator="equal">
      <formula>"A"</formula>
    </cfRule>
    <cfRule type="cellIs" dxfId="579" priority="10" operator="equal">
      <formula>"P"</formula>
    </cfRule>
  </conditionalFormatting>
  <conditionalFormatting sqref="S5">
    <cfRule type="expression" dxfId="578" priority="1">
      <formula>S$4=TODAY()</formula>
    </cfRule>
    <cfRule type="expression" dxfId="577" priority="2">
      <formula>S$3="SUN"</formula>
    </cfRule>
  </conditionalFormatting>
  <conditionalFormatting sqref="S5">
    <cfRule type="cellIs" dxfId="576" priority="3" operator="equal">
      <formula>"L"</formula>
    </cfRule>
    <cfRule type="cellIs" dxfId="575" priority="4" operator="equal">
      <formula>"A"</formula>
    </cfRule>
    <cfRule type="cellIs" dxfId="574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63"/>
  <sheetViews>
    <sheetView zoomScaleNormal="100" workbookViewId="0">
      <selection activeCell="S5" sqref="S5:S6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710937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6.7109375" style="1" bestFit="1" customWidth="1"/>
    <col min="25" max="25" width="6.7109375" style="1" customWidth="1"/>
    <col min="26" max="26" width="18.5703125" style="1" bestFit="1" customWidth="1"/>
    <col min="27" max="28" width="5.140625" style="1" bestFit="1" customWidth="1"/>
    <col min="29" max="29" width="5.42578125" style="1" bestFit="1" customWidth="1"/>
    <col min="30" max="16384" width="3.85546875" style="1"/>
  </cols>
  <sheetData>
    <row r="1" spans="1:29" ht="17.25" x14ac:dyDescent="0.25">
      <c r="A1" s="147" t="s">
        <v>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9"/>
    </row>
    <row r="2" spans="1:29" ht="17.25" x14ac:dyDescent="0.3">
      <c r="A2" s="150" t="s">
        <v>731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2"/>
    </row>
    <row r="3" spans="1:29" ht="15.75" x14ac:dyDescent="0.25">
      <c r="A3" s="132" t="s">
        <v>0</v>
      </c>
      <c r="B3" s="132" t="s">
        <v>713</v>
      </c>
      <c r="C3" s="132" t="s">
        <v>1</v>
      </c>
      <c r="D3" s="132" t="s">
        <v>2</v>
      </c>
      <c r="E3" s="132" t="s">
        <v>3</v>
      </c>
      <c r="F3" s="2" t="str">
        <f t="shared" ref="F3:W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133" t="s">
        <v>4</v>
      </c>
      <c r="Y3" s="133" t="s">
        <v>5</v>
      </c>
      <c r="Z3" s="134" t="s">
        <v>119</v>
      </c>
      <c r="AA3" s="135"/>
      <c r="AB3" s="3"/>
      <c r="AC3" s="3"/>
    </row>
    <row r="4" spans="1:29" ht="36.75" x14ac:dyDescent="0.25">
      <c r="A4" s="132"/>
      <c r="B4" s="132"/>
      <c r="C4" s="132"/>
      <c r="D4" s="132"/>
      <c r="E4" s="132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">
        <v>45887</v>
      </c>
      <c r="X4" s="133"/>
      <c r="Y4" s="133"/>
      <c r="Z4" s="5" t="s">
        <v>120</v>
      </c>
      <c r="AA4" s="5">
        <f>SUM(AA5:AA8)</f>
        <v>30</v>
      </c>
      <c r="AB4" s="3"/>
      <c r="AC4" s="3"/>
    </row>
    <row r="5" spans="1:29" ht="15" customHeight="1" x14ac:dyDescent="0.25">
      <c r="A5" s="9">
        <v>1</v>
      </c>
      <c r="B5" s="11">
        <v>106</v>
      </c>
      <c r="C5" s="7" t="s">
        <v>123</v>
      </c>
      <c r="D5" s="99" t="s">
        <v>124</v>
      </c>
      <c r="E5" s="8" t="s">
        <v>721</v>
      </c>
      <c r="F5" s="94" t="s">
        <v>803</v>
      </c>
      <c r="G5" s="94" t="s">
        <v>803</v>
      </c>
      <c r="H5" s="144" t="s">
        <v>732</v>
      </c>
      <c r="I5" s="94" t="s">
        <v>804</v>
      </c>
      <c r="J5" s="94" t="s">
        <v>804</v>
      </c>
      <c r="K5" s="94" t="s">
        <v>804</v>
      </c>
      <c r="L5" s="94" t="s">
        <v>804</v>
      </c>
      <c r="M5" s="94" t="s">
        <v>804</v>
      </c>
      <c r="N5" s="164" t="s">
        <v>879</v>
      </c>
      <c r="O5" s="144" t="s">
        <v>732</v>
      </c>
      <c r="P5" s="94" t="s">
        <v>804</v>
      </c>
      <c r="Q5" s="94" t="s">
        <v>804</v>
      </c>
      <c r="R5" s="94" t="s">
        <v>804</v>
      </c>
      <c r="S5" s="164" t="s">
        <v>880</v>
      </c>
      <c r="T5" s="94" t="s">
        <v>804</v>
      </c>
      <c r="U5" s="94" t="s">
        <v>804</v>
      </c>
      <c r="V5" s="144" t="s">
        <v>732</v>
      </c>
      <c r="W5" s="94" t="s">
        <v>803</v>
      </c>
      <c r="X5" s="5">
        <f>COUNTIF(F5:W5,"P")</f>
        <v>10</v>
      </c>
      <c r="Y5" s="5">
        <f>COUNTIF(F5:W5,"A")</f>
        <v>3</v>
      </c>
      <c r="Z5" s="5" t="s">
        <v>7</v>
      </c>
      <c r="AA5" s="9">
        <v>26</v>
      </c>
      <c r="AB5" s="10"/>
      <c r="AC5" s="3"/>
    </row>
    <row r="6" spans="1:29" ht="16.5" x14ac:dyDescent="0.25">
      <c r="A6" s="9">
        <v>2</v>
      </c>
      <c r="B6" s="11">
        <v>75</v>
      </c>
      <c r="C6" s="7" t="s">
        <v>125</v>
      </c>
      <c r="D6" s="99" t="s">
        <v>126</v>
      </c>
      <c r="E6" s="8" t="s">
        <v>721</v>
      </c>
      <c r="F6" s="94" t="s">
        <v>804</v>
      </c>
      <c r="G6" s="94" t="s">
        <v>804</v>
      </c>
      <c r="H6" s="167"/>
      <c r="I6" s="94" t="s">
        <v>803</v>
      </c>
      <c r="J6" s="94" t="s">
        <v>804</v>
      </c>
      <c r="K6" s="94" t="s">
        <v>804</v>
      </c>
      <c r="L6" s="94" t="s">
        <v>804</v>
      </c>
      <c r="M6" s="94" t="s">
        <v>803</v>
      </c>
      <c r="N6" s="165"/>
      <c r="O6" s="167"/>
      <c r="P6" s="94" t="s">
        <v>804</v>
      </c>
      <c r="Q6" s="94" t="s">
        <v>804</v>
      </c>
      <c r="R6" s="94" t="s">
        <v>804</v>
      </c>
      <c r="S6" s="165"/>
      <c r="T6" s="94" t="s">
        <v>804</v>
      </c>
      <c r="U6" s="94" t="s">
        <v>804</v>
      </c>
      <c r="V6" s="167"/>
      <c r="W6" s="94" t="s">
        <v>804</v>
      </c>
      <c r="X6" s="5">
        <f>COUNTIF(F6:W6,"P")</f>
        <v>11</v>
      </c>
      <c r="Y6" s="5">
        <f>COUNTIF(F6:W6,"A")</f>
        <v>2</v>
      </c>
      <c r="Z6" s="5" t="s">
        <v>8</v>
      </c>
      <c r="AA6" s="9">
        <v>4</v>
      </c>
      <c r="AB6" s="3"/>
      <c r="AC6" s="3"/>
    </row>
    <row r="7" spans="1:29" ht="16.5" x14ac:dyDescent="0.25">
      <c r="A7" s="9">
        <v>3</v>
      </c>
      <c r="B7" s="11">
        <v>109</v>
      </c>
      <c r="C7" s="7" t="s">
        <v>127</v>
      </c>
      <c r="D7" s="99" t="s">
        <v>97</v>
      </c>
      <c r="E7" s="8" t="s">
        <v>721</v>
      </c>
      <c r="F7" s="94" t="s">
        <v>803</v>
      </c>
      <c r="G7" s="94" t="s">
        <v>804</v>
      </c>
      <c r="H7" s="167"/>
      <c r="I7" s="94" t="s">
        <v>804</v>
      </c>
      <c r="J7" s="94" t="s">
        <v>804</v>
      </c>
      <c r="K7" s="94" t="s">
        <v>804</v>
      </c>
      <c r="L7" s="94" t="s">
        <v>804</v>
      </c>
      <c r="M7" s="94" t="s">
        <v>804</v>
      </c>
      <c r="N7" s="165"/>
      <c r="O7" s="167"/>
      <c r="P7" s="94" t="s">
        <v>804</v>
      </c>
      <c r="Q7" s="94" t="s">
        <v>804</v>
      </c>
      <c r="R7" s="94" t="s">
        <v>804</v>
      </c>
      <c r="S7" s="165"/>
      <c r="T7" s="94" t="s">
        <v>804</v>
      </c>
      <c r="U7" s="94" t="s">
        <v>804</v>
      </c>
      <c r="V7" s="167"/>
      <c r="W7" s="94" t="s">
        <v>804</v>
      </c>
      <c r="X7" s="5">
        <f>COUNTIF(F7:W7,"P")</f>
        <v>12</v>
      </c>
      <c r="Y7" s="5">
        <f>COUNTIF(F7:W7,"A")</f>
        <v>1</v>
      </c>
      <c r="Z7" s="5"/>
      <c r="AA7" s="9"/>
      <c r="AB7" s="3"/>
      <c r="AC7" s="3"/>
    </row>
    <row r="8" spans="1:29" ht="16.5" x14ac:dyDescent="0.25">
      <c r="A8" s="9">
        <v>4</v>
      </c>
      <c r="B8" s="11">
        <v>49</v>
      </c>
      <c r="C8" s="7" t="s">
        <v>128</v>
      </c>
      <c r="D8" s="99" t="s">
        <v>129</v>
      </c>
      <c r="E8" s="8" t="s">
        <v>721</v>
      </c>
      <c r="F8" s="94" t="s">
        <v>803</v>
      </c>
      <c r="G8" s="94" t="s">
        <v>803</v>
      </c>
      <c r="H8" s="167"/>
      <c r="I8" s="94" t="s">
        <v>804</v>
      </c>
      <c r="J8" s="94" t="s">
        <v>804</v>
      </c>
      <c r="K8" s="94" t="s">
        <v>804</v>
      </c>
      <c r="L8" s="94" t="s">
        <v>804</v>
      </c>
      <c r="M8" s="94" t="s">
        <v>804</v>
      </c>
      <c r="N8" s="165"/>
      <c r="O8" s="167"/>
      <c r="P8" s="94" t="s">
        <v>804</v>
      </c>
      <c r="Q8" s="94" t="s">
        <v>803</v>
      </c>
      <c r="R8" s="94" t="s">
        <v>804</v>
      </c>
      <c r="S8" s="165"/>
      <c r="T8" s="94" t="s">
        <v>804</v>
      </c>
      <c r="U8" s="94" t="s">
        <v>804</v>
      </c>
      <c r="V8" s="167"/>
      <c r="W8" s="94" t="s">
        <v>804</v>
      </c>
      <c r="X8" s="5">
        <f>COUNTIF(F8:W8,"P")</f>
        <v>10</v>
      </c>
      <c r="Y8" s="5">
        <f>COUNTIF(F8:W8,"A")</f>
        <v>3</v>
      </c>
      <c r="Z8" s="5"/>
      <c r="AA8" s="9"/>
      <c r="AB8"/>
      <c r="AC8"/>
    </row>
    <row r="9" spans="1:29" ht="16.5" x14ac:dyDescent="0.25">
      <c r="A9" s="9">
        <v>5</v>
      </c>
      <c r="B9" s="11">
        <v>104</v>
      </c>
      <c r="C9" s="7" t="s">
        <v>130</v>
      </c>
      <c r="D9" s="99" t="s">
        <v>131</v>
      </c>
      <c r="E9" s="8" t="s">
        <v>721</v>
      </c>
      <c r="F9" s="94" t="s">
        <v>803</v>
      </c>
      <c r="G9" s="94" t="s">
        <v>803</v>
      </c>
      <c r="H9" s="167"/>
      <c r="I9" s="94" t="s">
        <v>804</v>
      </c>
      <c r="J9" s="94" t="s">
        <v>803</v>
      </c>
      <c r="K9" s="94" t="s">
        <v>804</v>
      </c>
      <c r="L9" s="94" t="s">
        <v>804</v>
      </c>
      <c r="M9" s="94" t="s">
        <v>804</v>
      </c>
      <c r="N9" s="165"/>
      <c r="O9" s="167"/>
      <c r="P9" s="94" t="s">
        <v>804</v>
      </c>
      <c r="Q9" s="94" t="s">
        <v>804</v>
      </c>
      <c r="R9" s="94" t="s">
        <v>804</v>
      </c>
      <c r="S9" s="165"/>
      <c r="T9" s="94" t="s">
        <v>804</v>
      </c>
      <c r="U9" s="94" t="s">
        <v>804</v>
      </c>
      <c r="V9" s="167"/>
      <c r="W9" s="94" t="s">
        <v>804</v>
      </c>
      <c r="X9" s="5">
        <f>COUNTIF(F9:W9,"P")</f>
        <v>10</v>
      </c>
      <c r="Y9" s="5">
        <f>COUNTIF(F9:W9,"A")</f>
        <v>3</v>
      </c>
      <c r="Z9" s="5"/>
      <c r="AA9" s="9"/>
    </row>
    <row r="10" spans="1:29" ht="16.5" x14ac:dyDescent="0.25">
      <c r="A10" s="9">
        <v>6</v>
      </c>
      <c r="B10" s="11">
        <v>88</v>
      </c>
      <c r="C10" s="7" t="s">
        <v>132</v>
      </c>
      <c r="D10" s="99" t="s">
        <v>133</v>
      </c>
      <c r="E10" s="8" t="s">
        <v>721</v>
      </c>
      <c r="F10" s="94" t="s">
        <v>804</v>
      </c>
      <c r="G10" s="94" t="s">
        <v>803</v>
      </c>
      <c r="H10" s="167"/>
      <c r="I10" s="94" t="s">
        <v>804</v>
      </c>
      <c r="J10" s="94" t="s">
        <v>804</v>
      </c>
      <c r="K10" s="94" t="s">
        <v>804</v>
      </c>
      <c r="L10" s="94" t="s">
        <v>804</v>
      </c>
      <c r="M10" s="94" t="s">
        <v>804</v>
      </c>
      <c r="N10" s="165"/>
      <c r="O10" s="167"/>
      <c r="P10" s="94" t="s">
        <v>804</v>
      </c>
      <c r="Q10" s="94" t="s">
        <v>804</v>
      </c>
      <c r="R10" s="94" t="s">
        <v>804</v>
      </c>
      <c r="S10" s="165"/>
      <c r="T10" s="94" t="s">
        <v>803</v>
      </c>
      <c r="U10" s="94" t="s">
        <v>804</v>
      </c>
      <c r="V10" s="167"/>
      <c r="W10" s="94" t="s">
        <v>804</v>
      </c>
      <c r="X10" s="5">
        <f>COUNTIF(F10:W10,"P")</f>
        <v>11</v>
      </c>
      <c r="Y10" s="5">
        <f>COUNTIF(F10:W10,"A")</f>
        <v>2</v>
      </c>
    </row>
    <row r="11" spans="1:29" ht="15.6" customHeight="1" x14ac:dyDescent="0.25">
      <c r="A11" s="9">
        <v>7</v>
      </c>
      <c r="B11" s="11">
        <v>59</v>
      </c>
      <c r="C11" s="7" t="s">
        <v>134</v>
      </c>
      <c r="D11" s="99" t="s">
        <v>135</v>
      </c>
      <c r="E11" s="8" t="s">
        <v>721</v>
      </c>
      <c r="F11" s="94" t="s">
        <v>803</v>
      </c>
      <c r="G11" s="94" t="s">
        <v>803</v>
      </c>
      <c r="H11" s="167"/>
      <c r="I11" s="94" t="s">
        <v>804</v>
      </c>
      <c r="J11" s="94" t="s">
        <v>804</v>
      </c>
      <c r="K11" s="94" t="s">
        <v>804</v>
      </c>
      <c r="L11" s="94" t="s">
        <v>804</v>
      </c>
      <c r="M11" s="94" t="s">
        <v>803</v>
      </c>
      <c r="N11" s="165"/>
      <c r="O11" s="167"/>
      <c r="P11" s="94" t="s">
        <v>804</v>
      </c>
      <c r="Q11" s="94" t="s">
        <v>804</v>
      </c>
      <c r="R11" s="94" t="s">
        <v>804</v>
      </c>
      <c r="S11" s="165"/>
      <c r="T11" s="94" t="s">
        <v>804</v>
      </c>
      <c r="U11" s="94" t="s">
        <v>804</v>
      </c>
      <c r="V11" s="167"/>
      <c r="W11" s="94" t="s">
        <v>804</v>
      </c>
      <c r="X11" s="5">
        <f>COUNTIF(F11:W11,"P")</f>
        <v>10</v>
      </c>
      <c r="Y11" s="5">
        <f>COUNTIF(F11:W11,"A")</f>
        <v>3</v>
      </c>
      <c r="Z11" s="134" t="s">
        <v>9</v>
      </c>
      <c r="AA11" s="135"/>
      <c r="AB11" s="135"/>
      <c r="AC11" s="136"/>
    </row>
    <row r="12" spans="1:29" ht="16.5" x14ac:dyDescent="0.25">
      <c r="A12" s="9">
        <v>8</v>
      </c>
      <c r="B12" s="11">
        <v>83</v>
      </c>
      <c r="C12" s="7" t="s">
        <v>136</v>
      </c>
      <c r="D12" s="99" t="s">
        <v>137</v>
      </c>
      <c r="E12" s="8" t="s">
        <v>721</v>
      </c>
      <c r="F12" s="94" t="s">
        <v>803</v>
      </c>
      <c r="G12" s="94" t="s">
        <v>803</v>
      </c>
      <c r="H12" s="167"/>
      <c r="I12" s="94" t="s">
        <v>804</v>
      </c>
      <c r="J12" s="94" t="s">
        <v>804</v>
      </c>
      <c r="K12" s="94" t="s">
        <v>804</v>
      </c>
      <c r="L12" s="94" t="s">
        <v>804</v>
      </c>
      <c r="M12" s="94" t="s">
        <v>804</v>
      </c>
      <c r="N12" s="165"/>
      <c r="O12" s="167"/>
      <c r="P12" s="94" t="s">
        <v>804</v>
      </c>
      <c r="Q12" s="94" t="s">
        <v>804</v>
      </c>
      <c r="R12" s="94" t="s">
        <v>804</v>
      </c>
      <c r="S12" s="165"/>
      <c r="T12" s="94" t="s">
        <v>804</v>
      </c>
      <c r="U12" s="94" t="s">
        <v>804</v>
      </c>
      <c r="V12" s="167"/>
      <c r="W12" s="94" t="s">
        <v>804</v>
      </c>
      <c r="X12" s="5">
        <f>COUNTIF(F12:W12,"P")</f>
        <v>11</v>
      </c>
      <c r="Y12" s="5">
        <f>COUNTIF(F12:W12,"A")</f>
        <v>2</v>
      </c>
      <c r="Z12" s="5" t="s">
        <v>10</v>
      </c>
      <c r="AA12" s="5" t="s">
        <v>11</v>
      </c>
      <c r="AB12" s="5" t="s">
        <v>12</v>
      </c>
      <c r="AC12" s="5" t="s">
        <v>13</v>
      </c>
    </row>
    <row r="13" spans="1:29" ht="16.5" x14ac:dyDescent="0.25">
      <c r="A13" s="9">
        <v>9</v>
      </c>
      <c r="B13" s="11">
        <v>89</v>
      </c>
      <c r="C13" s="7" t="s">
        <v>138</v>
      </c>
      <c r="D13" s="99" t="s">
        <v>139</v>
      </c>
      <c r="E13" s="8" t="s">
        <v>721</v>
      </c>
      <c r="F13" s="94" t="s">
        <v>803</v>
      </c>
      <c r="G13" s="94" t="s">
        <v>803</v>
      </c>
      <c r="H13" s="167"/>
      <c r="I13" s="94" t="s">
        <v>804</v>
      </c>
      <c r="J13" s="94" t="s">
        <v>804</v>
      </c>
      <c r="K13" s="94" t="s">
        <v>803</v>
      </c>
      <c r="L13" s="94" t="s">
        <v>804</v>
      </c>
      <c r="M13" s="94" t="s">
        <v>804</v>
      </c>
      <c r="N13" s="165"/>
      <c r="O13" s="167"/>
      <c r="P13" s="94" t="s">
        <v>804</v>
      </c>
      <c r="Q13" s="94" t="s">
        <v>804</v>
      </c>
      <c r="R13" s="94" t="s">
        <v>804</v>
      </c>
      <c r="S13" s="165"/>
      <c r="T13" s="94" t="s">
        <v>804</v>
      </c>
      <c r="U13" s="94" t="s">
        <v>804</v>
      </c>
      <c r="V13" s="167"/>
      <c r="W13" s="94" t="s">
        <v>804</v>
      </c>
      <c r="X13" s="5">
        <f>COUNTIF(F13:W13,"P")</f>
        <v>10</v>
      </c>
      <c r="Y13" s="5">
        <f>COUNTIF(F13:W13,"A")</f>
        <v>3</v>
      </c>
      <c r="Z13" s="5" t="s">
        <v>14</v>
      </c>
      <c r="AA13" s="9">
        <f>32*$AA$5</f>
        <v>832</v>
      </c>
      <c r="AB13" s="9">
        <f>24*$AA$5</f>
        <v>624</v>
      </c>
      <c r="AC13" s="9">
        <f>SUM(AA13:AB13)</f>
        <v>1456</v>
      </c>
    </row>
    <row r="14" spans="1:29" ht="16.5" x14ac:dyDescent="0.25">
      <c r="A14" s="9">
        <v>10</v>
      </c>
      <c r="B14" s="95">
        <v>86</v>
      </c>
      <c r="C14" s="7" t="s">
        <v>140</v>
      </c>
      <c r="D14" s="99" t="s">
        <v>141</v>
      </c>
      <c r="E14" s="8" t="s">
        <v>721</v>
      </c>
      <c r="F14" s="94" t="s">
        <v>803</v>
      </c>
      <c r="G14" s="94" t="s">
        <v>803</v>
      </c>
      <c r="H14" s="167"/>
      <c r="I14" s="94" t="s">
        <v>804</v>
      </c>
      <c r="J14" s="94" t="s">
        <v>804</v>
      </c>
      <c r="K14" s="94" t="s">
        <v>804</v>
      </c>
      <c r="L14" s="94" t="s">
        <v>804</v>
      </c>
      <c r="M14" s="94" t="s">
        <v>804</v>
      </c>
      <c r="N14" s="165"/>
      <c r="O14" s="167"/>
      <c r="P14" s="94" t="s">
        <v>804</v>
      </c>
      <c r="Q14" s="94" t="s">
        <v>803</v>
      </c>
      <c r="R14" s="94" t="s">
        <v>804</v>
      </c>
      <c r="S14" s="165"/>
      <c r="T14" s="94" t="s">
        <v>804</v>
      </c>
      <c r="U14" s="94" t="s">
        <v>804</v>
      </c>
      <c r="V14" s="167"/>
      <c r="W14" s="94" t="s">
        <v>803</v>
      </c>
      <c r="X14" s="5">
        <f>COUNTIF(F14:W14,"P")</f>
        <v>9</v>
      </c>
      <c r="Y14" s="5">
        <f>COUNTIF(F14:W14,"A")</f>
        <v>4</v>
      </c>
      <c r="Z14" s="5" t="s">
        <v>15</v>
      </c>
      <c r="AA14" s="9">
        <f>SUM(X31:X61)</f>
        <v>317</v>
      </c>
      <c r="AB14" s="9">
        <f>SUM(X5:X30)</f>
        <v>270</v>
      </c>
      <c r="AC14" s="9">
        <f>AA14+AB14</f>
        <v>587</v>
      </c>
    </row>
    <row r="15" spans="1:29" ht="16.5" x14ac:dyDescent="0.25">
      <c r="A15" s="9">
        <v>11</v>
      </c>
      <c r="B15" s="95">
        <v>105</v>
      </c>
      <c r="C15" s="7" t="s">
        <v>142</v>
      </c>
      <c r="D15" s="99" t="s">
        <v>143</v>
      </c>
      <c r="E15" s="8" t="s">
        <v>721</v>
      </c>
      <c r="F15" s="94" t="s">
        <v>803</v>
      </c>
      <c r="G15" s="94" t="s">
        <v>803</v>
      </c>
      <c r="H15" s="167"/>
      <c r="I15" s="94" t="s">
        <v>804</v>
      </c>
      <c r="J15" s="94" t="s">
        <v>804</v>
      </c>
      <c r="K15" s="94" t="s">
        <v>804</v>
      </c>
      <c r="L15" s="94" t="s">
        <v>804</v>
      </c>
      <c r="M15" s="94" t="s">
        <v>804</v>
      </c>
      <c r="N15" s="165"/>
      <c r="O15" s="167"/>
      <c r="P15" s="94" t="s">
        <v>803</v>
      </c>
      <c r="Q15" s="94" t="s">
        <v>804</v>
      </c>
      <c r="R15" s="94" t="s">
        <v>804</v>
      </c>
      <c r="S15" s="165"/>
      <c r="T15" s="94" t="s">
        <v>804</v>
      </c>
      <c r="U15" s="94" t="s">
        <v>804</v>
      </c>
      <c r="V15" s="167"/>
      <c r="W15" s="94" t="s">
        <v>804</v>
      </c>
      <c r="X15" s="5">
        <f>COUNTIF(F15:W15,"P")</f>
        <v>10</v>
      </c>
      <c r="Y15" s="5">
        <f>COUNTIF(F15:W15,"A")</f>
        <v>3</v>
      </c>
      <c r="Z15" s="5" t="s">
        <v>16</v>
      </c>
      <c r="AA15" s="12">
        <f>AA14/AA13</f>
        <v>0.38100961538461536</v>
      </c>
      <c r="AB15" s="12">
        <f>AB14/AB13</f>
        <v>0.43269230769230771</v>
      </c>
      <c r="AC15" s="12">
        <f>AC14/AC13</f>
        <v>0.40315934065934067</v>
      </c>
    </row>
    <row r="16" spans="1:29" ht="16.5" x14ac:dyDescent="0.25">
      <c r="A16" s="9">
        <v>12</v>
      </c>
      <c r="B16" s="95">
        <v>84</v>
      </c>
      <c r="C16" s="7" t="s">
        <v>806</v>
      </c>
      <c r="D16" s="99" t="s">
        <v>144</v>
      </c>
      <c r="E16" s="8" t="s">
        <v>721</v>
      </c>
      <c r="F16" s="94" t="s">
        <v>803</v>
      </c>
      <c r="G16" s="94" t="s">
        <v>804</v>
      </c>
      <c r="H16" s="167"/>
      <c r="I16" s="94" t="s">
        <v>804</v>
      </c>
      <c r="J16" s="94" t="s">
        <v>803</v>
      </c>
      <c r="K16" s="94" t="s">
        <v>804</v>
      </c>
      <c r="L16" s="94" t="s">
        <v>804</v>
      </c>
      <c r="M16" s="94" t="s">
        <v>804</v>
      </c>
      <c r="N16" s="165"/>
      <c r="O16" s="167"/>
      <c r="P16" s="94" t="s">
        <v>804</v>
      </c>
      <c r="Q16" s="94" t="s">
        <v>804</v>
      </c>
      <c r="R16" s="94" t="s">
        <v>804</v>
      </c>
      <c r="S16" s="165"/>
      <c r="T16" s="94" t="s">
        <v>804</v>
      </c>
      <c r="U16" s="94" t="s">
        <v>804</v>
      </c>
      <c r="V16" s="167"/>
      <c r="W16" s="94" t="s">
        <v>804</v>
      </c>
      <c r="X16" s="5">
        <f>COUNTIF(F16:W16,"P")</f>
        <v>11</v>
      </c>
      <c r="Y16" s="5">
        <f>COUNTIF(F16:W16,"A")</f>
        <v>2</v>
      </c>
      <c r="Z16"/>
      <c r="AA16"/>
      <c r="AB16"/>
      <c r="AC16"/>
    </row>
    <row r="17" spans="1:29" ht="16.5" x14ac:dyDescent="0.25">
      <c r="A17" s="9">
        <v>13</v>
      </c>
      <c r="B17" s="95">
        <v>85</v>
      </c>
      <c r="C17" s="7" t="s">
        <v>145</v>
      </c>
      <c r="D17" s="99" t="s">
        <v>146</v>
      </c>
      <c r="E17" s="8" t="s">
        <v>721</v>
      </c>
      <c r="F17" s="94" t="s">
        <v>803</v>
      </c>
      <c r="G17" s="94" t="s">
        <v>803</v>
      </c>
      <c r="H17" s="167"/>
      <c r="I17" s="94" t="s">
        <v>804</v>
      </c>
      <c r="J17" s="94" t="s">
        <v>804</v>
      </c>
      <c r="K17" s="94" t="s">
        <v>804</v>
      </c>
      <c r="L17" s="94" t="s">
        <v>804</v>
      </c>
      <c r="M17" s="94" t="s">
        <v>803</v>
      </c>
      <c r="N17" s="165"/>
      <c r="O17" s="167"/>
      <c r="P17" s="94" t="s">
        <v>804</v>
      </c>
      <c r="Q17" s="94" t="s">
        <v>804</v>
      </c>
      <c r="R17" s="94" t="s">
        <v>803</v>
      </c>
      <c r="S17" s="165"/>
      <c r="T17" s="94" t="s">
        <v>804</v>
      </c>
      <c r="U17" s="94" t="s">
        <v>804</v>
      </c>
      <c r="V17" s="167"/>
      <c r="W17" s="94" t="s">
        <v>804</v>
      </c>
      <c r="X17" s="5">
        <f>COUNTIF(F17:W17,"P")</f>
        <v>9</v>
      </c>
      <c r="Y17" s="5">
        <f>COUNTIF(F17:W17,"A")</f>
        <v>4</v>
      </c>
      <c r="Z17"/>
      <c r="AA17"/>
      <c r="AB17"/>
      <c r="AC17"/>
    </row>
    <row r="18" spans="1:29" ht="16.5" x14ac:dyDescent="0.25">
      <c r="A18" s="9">
        <v>14</v>
      </c>
      <c r="B18" s="95">
        <v>102</v>
      </c>
      <c r="C18" s="7" t="s">
        <v>147</v>
      </c>
      <c r="D18" s="99" t="s">
        <v>148</v>
      </c>
      <c r="E18" s="8" t="s">
        <v>721</v>
      </c>
      <c r="F18" s="94" t="s">
        <v>804</v>
      </c>
      <c r="G18" s="94" t="s">
        <v>803</v>
      </c>
      <c r="H18" s="167"/>
      <c r="I18" s="94" t="s">
        <v>804</v>
      </c>
      <c r="J18" s="94" t="s">
        <v>804</v>
      </c>
      <c r="K18" s="94" t="s">
        <v>804</v>
      </c>
      <c r="L18" s="94" t="s">
        <v>804</v>
      </c>
      <c r="M18" s="94" t="s">
        <v>804</v>
      </c>
      <c r="N18" s="165"/>
      <c r="O18" s="167"/>
      <c r="P18" s="94" t="s">
        <v>804</v>
      </c>
      <c r="Q18" s="94" t="s">
        <v>804</v>
      </c>
      <c r="R18" s="94" t="s">
        <v>804</v>
      </c>
      <c r="S18" s="165"/>
      <c r="T18" s="94" t="s">
        <v>804</v>
      </c>
      <c r="U18" s="94" t="s">
        <v>803</v>
      </c>
      <c r="V18" s="167"/>
      <c r="W18" s="94" t="s">
        <v>804</v>
      </c>
      <c r="X18" s="5">
        <f>COUNTIF(F18:W18,"P")</f>
        <v>11</v>
      </c>
      <c r="Y18" s="5">
        <f>COUNTIF(F18:W18,"A")</f>
        <v>2</v>
      </c>
      <c r="Z18"/>
      <c r="AA18"/>
      <c r="AB18"/>
      <c r="AC18"/>
    </row>
    <row r="19" spans="1:29" ht="16.5" x14ac:dyDescent="0.25">
      <c r="A19" s="9">
        <v>15</v>
      </c>
      <c r="B19" s="95">
        <v>87</v>
      </c>
      <c r="C19" s="7" t="s">
        <v>149</v>
      </c>
      <c r="D19" s="99" t="s">
        <v>150</v>
      </c>
      <c r="E19" s="8" t="s">
        <v>721</v>
      </c>
      <c r="F19" s="94" t="s">
        <v>803</v>
      </c>
      <c r="G19" s="94" t="s">
        <v>803</v>
      </c>
      <c r="H19" s="167"/>
      <c r="I19" s="94" t="s">
        <v>804</v>
      </c>
      <c r="J19" s="94" t="s">
        <v>804</v>
      </c>
      <c r="K19" s="94" t="s">
        <v>804</v>
      </c>
      <c r="L19" s="94" t="s">
        <v>804</v>
      </c>
      <c r="M19" s="94" t="s">
        <v>804</v>
      </c>
      <c r="N19" s="165"/>
      <c r="O19" s="167"/>
      <c r="P19" s="94" t="s">
        <v>804</v>
      </c>
      <c r="Q19" s="94" t="s">
        <v>804</v>
      </c>
      <c r="R19" s="94" t="s">
        <v>804</v>
      </c>
      <c r="S19" s="165"/>
      <c r="T19" s="94" t="s">
        <v>804</v>
      </c>
      <c r="U19" s="94" t="s">
        <v>804</v>
      </c>
      <c r="V19" s="167"/>
      <c r="W19" s="94" t="s">
        <v>804</v>
      </c>
      <c r="X19" s="5">
        <f>COUNTIF(F19:W19,"P")</f>
        <v>11</v>
      </c>
      <c r="Y19" s="5">
        <f>COUNTIF(F19:W19,"A")</f>
        <v>2</v>
      </c>
      <c r="Z19" s="134" t="s">
        <v>121</v>
      </c>
      <c r="AA19" s="135"/>
      <c r="AB19" s="135"/>
      <c r="AC19" s="136"/>
    </row>
    <row r="20" spans="1:29" ht="16.5" x14ac:dyDescent="0.25">
      <c r="A20" s="9">
        <v>16</v>
      </c>
      <c r="B20" s="95">
        <v>71</v>
      </c>
      <c r="C20" s="7" t="s">
        <v>151</v>
      </c>
      <c r="D20" s="99" t="s">
        <v>133</v>
      </c>
      <c r="E20" s="8" t="s">
        <v>721</v>
      </c>
      <c r="F20" s="94" t="s">
        <v>803</v>
      </c>
      <c r="G20" s="94" t="s">
        <v>803</v>
      </c>
      <c r="H20" s="167"/>
      <c r="I20" s="94" t="s">
        <v>804</v>
      </c>
      <c r="J20" s="94" t="s">
        <v>804</v>
      </c>
      <c r="K20" s="94" t="s">
        <v>803</v>
      </c>
      <c r="L20" s="94" t="s">
        <v>804</v>
      </c>
      <c r="M20" s="94" t="s">
        <v>804</v>
      </c>
      <c r="N20" s="165"/>
      <c r="O20" s="167"/>
      <c r="P20" s="94" t="s">
        <v>804</v>
      </c>
      <c r="Q20" s="94" t="s">
        <v>803</v>
      </c>
      <c r="R20" s="94" t="s">
        <v>804</v>
      </c>
      <c r="S20" s="165"/>
      <c r="T20" s="94" t="s">
        <v>804</v>
      </c>
      <c r="U20" s="94" t="s">
        <v>804</v>
      </c>
      <c r="V20" s="167"/>
      <c r="W20" s="94" t="s">
        <v>803</v>
      </c>
      <c r="X20" s="5">
        <f>COUNTIF(F20:W20,"P")</f>
        <v>8</v>
      </c>
      <c r="Y20" s="5">
        <f>COUNTIF(F20:W20,"A")</f>
        <v>5</v>
      </c>
      <c r="Z20" s="5" t="s">
        <v>10</v>
      </c>
      <c r="AA20" s="5" t="s">
        <v>11</v>
      </c>
      <c r="AB20" s="5" t="s">
        <v>12</v>
      </c>
      <c r="AC20" s="5" t="s">
        <v>13</v>
      </c>
    </row>
    <row r="21" spans="1:29" ht="16.5" x14ac:dyDescent="0.25">
      <c r="A21" s="9">
        <v>17</v>
      </c>
      <c r="B21" s="95">
        <v>81</v>
      </c>
      <c r="C21" s="7" t="s">
        <v>152</v>
      </c>
      <c r="D21" s="99" t="s">
        <v>153</v>
      </c>
      <c r="E21" s="8" t="s">
        <v>721</v>
      </c>
      <c r="F21" s="94" t="s">
        <v>804</v>
      </c>
      <c r="G21" s="94" t="s">
        <v>803</v>
      </c>
      <c r="H21" s="167"/>
      <c r="I21" s="94" t="s">
        <v>804</v>
      </c>
      <c r="J21" s="94" t="s">
        <v>804</v>
      </c>
      <c r="K21" s="94" t="s">
        <v>804</v>
      </c>
      <c r="L21" s="94" t="s">
        <v>804</v>
      </c>
      <c r="M21" s="94" t="s">
        <v>804</v>
      </c>
      <c r="N21" s="165"/>
      <c r="O21" s="167"/>
      <c r="P21" s="94" t="s">
        <v>804</v>
      </c>
      <c r="Q21" s="94" t="s">
        <v>804</v>
      </c>
      <c r="R21" s="94" t="s">
        <v>804</v>
      </c>
      <c r="S21" s="165"/>
      <c r="T21" s="94" t="s">
        <v>804</v>
      </c>
      <c r="U21" s="94" t="s">
        <v>804</v>
      </c>
      <c r="V21" s="167"/>
      <c r="W21" s="94" t="s">
        <v>804</v>
      </c>
      <c r="X21" s="5">
        <f>COUNTIF(F21:W21,"P")</f>
        <v>12</v>
      </c>
      <c r="Y21" s="5">
        <f>COUNTIF(F21:W21,"A")</f>
        <v>1</v>
      </c>
      <c r="Z21" s="5" t="s">
        <v>14</v>
      </c>
      <c r="AA21" s="9">
        <f>32*$AA$5</f>
        <v>832</v>
      </c>
      <c r="AB21" s="9">
        <f>24*$AA$5</f>
        <v>624</v>
      </c>
      <c r="AC21" s="9">
        <f>AA21+AB21</f>
        <v>1456</v>
      </c>
    </row>
    <row r="22" spans="1:29" ht="16.5" x14ac:dyDescent="0.25">
      <c r="A22" s="9">
        <v>18</v>
      </c>
      <c r="B22" s="95">
        <v>82</v>
      </c>
      <c r="C22" s="7" t="s">
        <v>154</v>
      </c>
      <c r="D22" s="99" t="s">
        <v>155</v>
      </c>
      <c r="E22" s="8" t="s">
        <v>721</v>
      </c>
      <c r="F22" s="94" t="s">
        <v>803</v>
      </c>
      <c r="G22" s="94" t="s">
        <v>803</v>
      </c>
      <c r="H22" s="167"/>
      <c r="I22" s="94" t="s">
        <v>804</v>
      </c>
      <c r="J22" s="94" t="s">
        <v>804</v>
      </c>
      <c r="K22" s="94" t="s">
        <v>804</v>
      </c>
      <c r="L22" s="94" t="s">
        <v>804</v>
      </c>
      <c r="M22" s="94" t="s">
        <v>804</v>
      </c>
      <c r="N22" s="165"/>
      <c r="O22" s="167"/>
      <c r="P22" s="94" t="s">
        <v>804</v>
      </c>
      <c r="Q22" s="94" t="s">
        <v>804</v>
      </c>
      <c r="R22" s="94" t="s">
        <v>804</v>
      </c>
      <c r="S22" s="165"/>
      <c r="T22" s="94" t="s">
        <v>804</v>
      </c>
      <c r="U22" s="94" t="s">
        <v>804</v>
      </c>
      <c r="V22" s="167"/>
      <c r="W22" s="94" t="s">
        <v>804</v>
      </c>
      <c r="X22" s="5">
        <f>COUNTIF(F22:W22,"P")</f>
        <v>11</v>
      </c>
      <c r="Y22" s="5">
        <f>COUNTIF(F22:W22,"A")</f>
        <v>2</v>
      </c>
      <c r="Z22" s="5" t="s">
        <v>17</v>
      </c>
      <c r="AA22" s="9">
        <f>AA21-AA14</f>
        <v>515</v>
      </c>
      <c r="AB22" s="9">
        <f>AB21-AB14</f>
        <v>354</v>
      </c>
      <c r="AC22" s="9">
        <f>AA22+AB22</f>
        <v>869</v>
      </c>
    </row>
    <row r="23" spans="1:29" ht="16.5" x14ac:dyDescent="0.25">
      <c r="A23" s="9">
        <v>19</v>
      </c>
      <c r="B23" s="95">
        <v>68</v>
      </c>
      <c r="C23" s="7" t="s">
        <v>156</v>
      </c>
      <c r="D23" s="99" t="s">
        <v>157</v>
      </c>
      <c r="E23" s="8" t="s">
        <v>721</v>
      </c>
      <c r="F23" s="94" t="s">
        <v>803</v>
      </c>
      <c r="G23" s="94" t="s">
        <v>804</v>
      </c>
      <c r="H23" s="167"/>
      <c r="I23" s="94" t="s">
        <v>804</v>
      </c>
      <c r="J23" s="94" t="s">
        <v>804</v>
      </c>
      <c r="K23" s="94" t="s">
        <v>804</v>
      </c>
      <c r="L23" s="94" t="s">
        <v>803</v>
      </c>
      <c r="M23" s="94" t="s">
        <v>804</v>
      </c>
      <c r="N23" s="165"/>
      <c r="O23" s="167"/>
      <c r="P23" s="94" t="s">
        <v>803</v>
      </c>
      <c r="Q23" s="94" t="s">
        <v>804</v>
      </c>
      <c r="R23" s="94" t="s">
        <v>804</v>
      </c>
      <c r="S23" s="165"/>
      <c r="T23" s="94" t="s">
        <v>804</v>
      </c>
      <c r="U23" s="94" t="s">
        <v>804</v>
      </c>
      <c r="V23" s="167"/>
      <c r="W23" s="94" t="s">
        <v>804</v>
      </c>
      <c r="X23" s="5">
        <f>COUNTIF(F23:W23,"P")</f>
        <v>10</v>
      </c>
      <c r="Y23" s="5">
        <f>COUNTIF(F23:W23,"A")</f>
        <v>3</v>
      </c>
      <c r="Z23" s="5" t="s">
        <v>16</v>
      </c>
      <c r="AA23" s="12">
        <f>AA22/AA21</f>
        <v>0.61899038461538458</v>
      </c>
      <c r="AB23" s="12">
        <f>AB22/AB21</f>
        <v>0.56730769230769229</v>
      </c>
      <c r="AC23" s="12">
        <f>AC22/AC21</f>
        <v>0.59684065934065933</v>
      </c>
    </row>
    <row r="24" spans="1:29" ht="16.5" x14ac:dyDescent="0.25">
      <c r="A24" s="9">
        <v>20</v>
      </c>
      <c r="B24" s="95">
        <v>69</v>
      </c>
      <c r="C24" s="7" t="s">
        <v>158</v>
      </c>
      <c r="D24" s="99" t="s">
        <v>159</v>
      </c>
      <c r="E24" s="8" t="s">
        <v>721</v>
      </c>
      <c r="F24" s="94" t="s">
        <v>803</v>
      </c>
      <c r="G24" s="94" t="s">
        <v>803</v>
      </c>
      <c r="H24" s="167"/>
      <c r="I24" s="94" t="s">
        <v>804</v>
      </c>
      <c r="J24" s="94" t="s">
        <v>804</v>
      </c>
      <c r="K24" s="94" t="s">
        <v>804</v>
      </c>
      <c r="L24" s="94" t="s">
        <v>804</v>
      </c>
      <c r="M24" s="94" t="s">
        <v>804</v>
      </c>
      <c r="N24" s="165"/>
      <c r="O24" s="167"/>
      <c r="P24" s="94" t="s">
        <v>804</v>
      </c>
      <c r="Q24" s="94" t="s">
        <v>804</v>
      </c>
      <c r="R24" s="94" t="s">
        <v>804</v>
      </c>
      <c r="S24" s="165"/>
      <c r="T24" s="94" t="s">
        <v>804</v>
      </c>
      <c r="U24" s="94" t="s">
        <v>803</v>
      </c>
      <c r="V24" s="167"/>
      <c r="W24" s="94" t="s">
        <v>804</v>
      </c>
      <c r="X24" s="5">
        <f>COUNTIF(F24:W24,"P")</f>
        <v>10</v>
      </c>
      <c r="Y24" s="5">
        <f>COUNTIF(F24:W24,"A")</f>
        <v>3</v>
      </c>
    </row>
    <row r="25" spans="1:29" ht="16.5" x14ac:dyDescent="0.25">
      <c r="A25" s="9">
        <v>21</v>
      </c>
      <c r="B25" s="95">
        <v>70</v>
      </c>
      <c r="C25" s="7" t="s">
        <v>160</v>
      </c>
      <c r="D25" s="99" t="s">
        <v>161</v>
      </c>
      <c r="E25" s="8" t="s">
        <v>721</v>
      </c>
      <c r="F25" s="94" t="s">
        <v>803</v>
      </c>
      <c r="G25" s="94" t="s">
        <v>803</v>
      </c>
      <c r="H25" s="167"/>
      <c r="I25" s="94" t="s">
        <v>804</v>
      </c>
      <c r="J25" s="94" t="s">
        <v>804</v>
      </c>
      <c r="K25" s="94" t="s">
        <v>804</v>
      </c>
      <c r="L25" s="94" t="s">
        <v>804</v>
      </c>
      <c r="M25" s="94" t="s">
        <v>804</v>
      </c>
      <c r="N25" s="165"/>
      <c r="O25" s="167"/>
      <c r="P25" s="94" t="s">
        <v>804</v>
      </c>
      <c r="Q25" s="94" t="s">
        <v>804</v>
      </c>
      <c r="R25" s="94" t="s">
        <v>804</v>
      </c>
      <c r="S25" s="165"/>
      <c r="T25" s="94" t="s">
        <v>804</v>
      </c>
      <c r="U25" s="94" t="s">
        <v>804</v>
      </c>
      <c r="V25" s="167"/>
      <c r="W25" s="94" t="s">
        <v>804</v>
      </c>
      <c r="X25" s="5">
        <v>14</v>
      </c>
      <c r="Y25" s="5">
        <f>COUNTIF(F25:W25,"A")</f>
        <v>2</v>
      </c>
    </row>
    <row r="26" spans="1:29" ht="16.5" x14ac:dyDescent="0.25">
      <c r="A26" s="9">
        <v>22</v>
      </c>
      <c r="B26" s="95">
        <v>103</v>
      </c>
      <c r="C26" s="7" t="s">
        <v>162</v>
      </c>
      <c r="D26" s="99" t="s">
        <v>131</v>
      </c>
      <c r="E26" s="8" t="s">
        <v>721</v>
      </c>
      <c r="F26" s="94" t="s">
        <v>803</v>
      </c>
      <c r="G26" s="94" t="s">
        <v>803</v>
      </c>
      <c r="H26" s="167"/>
      <c r="I26" s="94" t="s">
        <v>804</v>
      </c>
      <c r="J26" s="94" t="s">
        <v>803</v>
      </c>
      <c r="K26" s="94" t="s">
        <v>804</v>
      </c>
      <c r="L26" s="94" t="s">
        <v>804</v>
      </c>
      <c r="M26" s="94" t="s">
        <v>804</v>
      </c>
      <c r="N26" s="165"/>
      <c r="O26" s="167"/>
      <c r="P26" s="94" t="s">
        <v>804</v>
      </c>
      <c r="Q26" s="94" t="s">
        <v>804</v>
      </c>
      <c r="R26" s="94" t="s">
        <v>804</v>
      </c>
      <c r="S26" s="165"/>
      <c r="T26" s="94" t="s">
        <v>804</v>
      </c>
      <c r="U26" s="94" t="s">
        <v>804</v>
      </c>
      <c r="V26" s="167"/>
      <c r="W26" s="94" t="s">
        <v>803</v>
      </c>
      <c r="X26" s="5">
        <f>COUNTIF(F26:W26,"P")</f>
        <v>9</v>
      </c>
      <c r="Y26" s="5">
        <f>COUNTIF(F26:W26,"A")</f>
        <v>4</v>
      </c>
    </row>
    <row r="27" spans="1:29" ht="16.5" x14ac:dyDescent="0.25">
      <c r="A27" s="9">
        <v>23</v>
      </c>
      <c r="B27" s="11">
        <v>149</v>
      </c>
      <c r="C27" s="7" t="s">
        <v>163</v>
      </c>
      <c r="D27" s="99" t="s">
        <v>164</v>
      </c>
      <c r="E27" s="8" t="s">
        <v>721</v>
      </c>
      <c r="F27" s="94" t="s">
        <v>803</v>
      </c>
      <c r="G27" s="94" t="s">
        <v>803</v>
      </c>
      <c r="H27" s="167"/>
      <c r="I27" s="94" t="s">
        <v>804</v>
      </c>
      <c r="J27" s="94" t="s">
        <v>804</v>
      </c>
      <c r="K27" s="94" t="s">
        <v>804</v>
      </c>
      <c r="L27" s="94" t="s">
        <v>804</v>
      </c>
      <c r="M27" s="94" t="s">
        <v>804</v>
      </c>
      <c r="N27" s="165"/>
      <c r="O27" s="167"/>
      <c r="P27" s="94" t="s">
        <v>804</v>
      </c>
      <c r="Q27" s="94" t="s">
        <v>804</v>
      </c>
      <c r="R27" s="94" t="s">
        <v>804</v>
      </c>
      <c r="S27" s="165"/>
      <c r="T27" s="94" t="s">
        <v>804</v>
      </c>
      <c r="U27" s="94" t="s">
        <v>804</v>
      </c>
      <c r="V27" s="167"/>
      <c r="W27" s="94" t="s">
        <v>804</v>
      </c>
      <c r="X27" s="5">
        <f>COUNTIF(F27:W27,"P")</f>
        <v>11</v>
      </c>
      <c r="Y27" s="5">
        <f>COUNTIF(F27:W27,"A")</f>
        <v>2</v>
      </c>
    </row>
    <row r="28" spans="1:29" ht="16.5" x14ac:dyDescent="0.25">
      <c r="A28" s="9">
        <v>24</v>
      </c>
      <c r="B28" s="11">
        <v>107</v>
      </c>
      <c r="C28" s="7" t="s">
        <v>728</v>
      </c>
      <c r="D28" s="99" t="s">
        <v>38</v>
      </c>
      <c r="E28" s="8" t="s">
        <v>721</v>
      </c>
      <c r="F28" s="94" t="s">
        <v>803</v>
      </c>
      <c r="G28" s="94" t="s">
        <v>803</v>
      </c>
      <c r="H28" s="167"/>
      <c r="I28" s="94" t="s">
        <v>804</v>
      </c>
      <c r="J28" s="94" t="s">
        <v>804</v>
      </c>
      <c r="K28" s="94" t="s">
        <v>803</v>
      </c>
      <c r="L28" s="94" t="s">
        <v>804</v>
      </c>
      <c r="M28" s="94" t="s">
        <v>804</v>
      </c>
      <c r="N28" s="165"/>
      <c r="O28" s="167"/>
      <c r="P28" s="94" t="s">
        <v>804</v>
      </c>
      <c r="Q28" s="94" t="s">
        <v>803</v>
      </c>
      <c r="R28" s="94" t="s">
        <v>804</v>
      </c>
      <c r="S28" s="165"/>
      <c r="T28" s="94" t="s">
        <v>804</v>
      </c>
      <c r="U28" s="94" t="s">
        <v>804</v>
      </c>
      <c r="V28" s="167"/>
      <c r="W28" s="94" t="s">
        <v>803</v>
      </c>
      <c r="X28" s="5">
        <f>COUNTIF(F28:W28,"P")</f>
        <v>8</v>
      </c>
      <c r="Y28" s="5">
        <f>COUNTIF(F28:W28,"A")</f>
        <v>5</v>
      </c>
    </row>
    <row r="29" spans="1:29" ht="16.5" x14ac:dyDescent="0.25">
      <c r="A29" s="9">
        <v>25</v>
      </c>
      <c r="B29" s="11"/>
      <c r="C29" s="7" t="s">
        <v>807</v>
      </c>
      <c r="D29" s="99"/>
      <c r="E29" s="8" t="s">
        <v>721</v>
      </c>
      <c r="F29" s="94" t="s">
        <v>803</v>
      </c>
      <c r="G29" s="94" t="s">
        <v>803</v>
      </c>
      <c r="H29" s="167"/>
      <c r="I29" s="94" t="s">
        <v>804</v>
      </c>
      <c r="J29" s="94" t="s">
        <v>804</v>
      </c>
      <c r="K29" s="94" t="s">
        <v>804</v>
      </c>
      <c r="L29" s="94" t="s">
        <v>804</v>
      </c>
      <c r="M29" s="94" t="s">
        <v>804</v>
      </c>
      <c r="N29" s="165"/>
      <c r="O29" s="167"/>
      <c r="P29" s="94" t="s">
        <v>804</v>
      </c>
      <c r="Q29" s="94" t="s">
        <v>804</v>
      </c>
      <c r="R29" s="94" t="s">
        <v>804</v>
      </c>
      <c r="S29" s="165"/>
      <c r="T29" s="94" t="s">
        <v>803</v>
      </c>
      <c r="U29" s="94" t="s">
        <v>804</v>
      </c>
      <c r="V29" s="167"/>
      <c r="W29" s="94" t="s">
        <v>804</v>
      </c>
      <c r="X29" s="5">
        <f>COUNTIF(F29:W29,"P")</f>
        <v>10</v>
      </c>
      <c r="Y29" s="5">
        <f>COUNTIF(F29:W29,"A")</f>
        <v>3</v>
      </c>
    </row>
    <row r="30" spans="1:29" ht="16.5" x14ac:dyDescent="0.25">
      <c r="A30" s="9">
        <v>26</v>
      </c>
      <c r="B30" s="11">
        <v>169</v>
      </c>
      <c r="C30" s="7" t="s">
        <v>165</v>
      </c>
      <c r="D30" s="99" t="s">
        <v>166</v>
      </c>
      <c r="E30" s="8" t="s">
        <v>721</v>
      </c>
      <c r="F30" s="94" t="s">
        <v>803</v>
      </c>
      <c r="G30" s="94" t="s">
        <v>803</v>
      </c>
      <c r="H30" s="167"/>
      <c r="I30" s="94" t="s">
        <v>804</v>
      </c>
      <c r="J30" s="94" t="s">
        <v>804</v>
      </c>
      <c r="K30" s="94" t="s">
        <v>804</v>
      </c>
      <c r="L30" s="94" t="s">
        <v>804</v>
      </c>
      <c r="M30" s="94" t="s">
        <v>804</v>
      </c>
      <c r="N30" s="165"/>
      <c r="O30" s="167"/>
      <c r="P30" s="94" t="s">
        <v>804</v>
      </c>
      <c r="Q30" s="94" t="s">
        <v>804</v>
      </c>
      <c r="R30" s="94" t="s">
        <v>804</v>
      </c>
      <c r="S30" s="165"/>
      <c r="T30" s="94" t="s">
        <v>804</v>
      </c>
      <c r="U30" s="94" t="s">
        <v>804</v>
      </c>
      <c r="V30" s="167"/>
      <c r="W30" s="94" t="s">
        <v>804</v>
      </c>
      <c r="X30" s="5">
        <f>COUNTIF(F30:W30,"P")</f>
        <v>11</v>
      </c>
      <c r="Y30" s="5">
        <f>COUNTIF(F30:W30,"A")</f>
        <v>2</v>
      </c>
    </row>
    <row r="31" spans="1:29" ht="16.5" customHeight="1" x14ac:dyDescent="0.25">
      <c r="A31" s="6">
        <v>1</v>
      </c>
      <c r="B31" s="6">
        <v>61</v>
      </c>
      <c r="C31" s="96" t="s">
        <v>167</v>
      </c>
      <c r="D31" s="15" t="s">
        <v>168</v>
      </c>
      <c r="E31" s="8" t="s">
        <v>721</v>
      </c>
      <c r="F31" s="94" t="s">
        <v>804</v>
      </c>
      <c r="G31" s="94" t="s">
        <v>803</v>
      </c>
      <c r="H31" s="167"/>
      <c r="I31" s="94" t="s">
        <v>804</v>
      </c>
      <c r="J31" s="94" t="s">
        <v>804</v>
      </c>
      <c r="K31" s="94" t="s">
        <v>803</v>
      </c>
      <c r="L31" s="94" t="s">
        <v>804</v>
      </c>
      <c r="M31" s="94" t="s">
        <v>804</v>
      </c>
      <c r="N31" s="165"/>
      <c r="O31" s="167"/>
      <c r="P31" s="94" t="s">
        <v>804</v>
      </c>
      <c r="Q31" s="94" t="s">
        <v>804</v>
      </c>
      <c r="R31" s="94" t="s">
        <v>804</v>
      </c>
      <c r="S31" s="165"/>
      <c r="T31" s="94" t="s">
        <v>804</v>
      </c>
      <c r="U31" s="94" t="s">
        <v>804</v>
      </c>
      <c r="V31" s="167"/>
      <c r="W31" s="94" t="s">
        <v>804</v>
      </c>
      <c r="X31" s="4">
        <f>COUNTIF(F31:W31,"P")</f>
        <v>11</v>
      </c>
      <c r="Y31" s="4">
        <f>COUNTIF(F31:W31,"A")</f>
        <v>2</v>
      </c>
    </row>
    <row r="32" spans="1:29" ht="16.5" x14ac:dyDescent="0.25">
      <c r="A32" s="6">
        <v>2</v>
      </c>
      <c r="B32" s="11">
        <v>79</v>
      </c>
      <c r="C32" s="97" t="s">
        <v>169</v>
      </c>
      <c r="D32" s="16" t="s">
        <v>170</v>
      </c>
      <c r="E32" s="8" t="s">
        <v>721</v>
      </c>
      <c r="F32" s="94" t="s">
        <v>803</v>
      </c>
      <c r="G32" s="94" t="s">
        <v>803</v>
      </c>
      <c r="H32" s="167"/>
      <c r="I32" s="94" t="s">
        <v>804</v>
      </c>
      <c r="J32" s="94" t="s">
        <v>804</v>
      </c>
      <c r="K32" s="94" t="s">
        <v>804</v>
      </c>
      <c r="L32" s="94" t="s">
        <v>804</v>
      </c>
      <c r="M32" s="94" t="s">
        <v>804</v>
      </c>
      <c r="N32" s="165"/>
      <c r="O32" s="167"/>
      <c r="P32" s="94" t="s">
        <v>803</v>
      </c>
      <c r="Q32" s="94" t="s">
        <v>804</v>
      </c>
      <c r="R32" s="94" t="s">
        <v>804</v>
      </c>
      <c r="S32" s="165"/>
      <c r="T32" s="94" t="s">
        <v>804</v>
      </c>
      <c r="U32" s="94" t="s">
        <v>804</v>
      </c>
      <c r="V32" s="167"/>
      <c r="W32" s="94" t="s">
        <v>804</v>
      </c>
      <c r="X32" s="4">
        <f>COUNTIF(F32:W32,"P")</f>
        <v>10</v>
      </c>
      <c r="Y32" s="4">
        <f>COUNTIF(F32:W32,"A")</f>
        <v>3</v>
      </c>
    </row>
    <row r="33" spans="1:25" ht="16.5" x14ac:dyDescent="0.25">
      <c r="A33" s="6">
        <v>3</v>
      </c>
      <c r="B33" s="11">
        <v>16</v>
      </c>
      <c r="C33" s="97" t="s">
        <v>171</v>
      </c>
      <c r="D33" s="16" t="s">
        <v>172</v>
      </c>
      <c r="E33" s="8" t="s">
        <v>721</v>
      </c>
      <c r="F33" s="94" t="s">
        <v>803</v>
      </c>
      <c r="G33" s="94" t="s">
        <v>804</v>
      </c>
      <c r="H33" s="167"/>
      <c r="I33" s="94" t="s">
        <v>803</v>
      </c>
      <c r="J33" s="94" t="s">
        <v>804</v>
      </c>
      <c r="K33" s="94" t="s">
        <v>804</v>
      </c>
      <c r="L33" s="94" t="s">
        <v>804</v>
      </c>
      <c r="M33" s="94" t="s">
        <v>804</v>
      </c>
      <c r="N33" s="165"/>
      <c r="O33" s="167"/>
      <c r="P33" s="94" t="s">
        <v>804</v>
      </c>
      <c r="Q33" s="94" t="s">
        <v>804</v>
      </c>
      <c r="R33" s="94" t="s">
        <v>804</v>
      </c>
      <c r="S33" s="165"/>
      <c r="T33" s="94" t="s">
        <v>804</v>
      </c>
      <c r="U33" s="94" t="s">
        <v>804</v>
      </c>
      <c r="V33" s="167"/>
      <c r="W33" s="94" t="s">
        <v>804</v>
      </c>
      <c r="X33" s="4">
        <f>COUNTIF(F33:W33,"P")</f>
        <v>11</v>
      </c>
      <c r="Y33" s="4">
        <f>COUNTIF(F33:W33,"A")</f>
        <v>2</v>
      </c>
    </row>
    <row r="34" spans="1:25" ht="16.5" x14ac:dyDescent="0.25">
      <c r="A34" s="6">
        <v>4</v>
      </c>
      <c r="B34" s="11">
        <v>78</v>
      </c>
      <c r="C34" s="97" t="s">
        <v>173</v>
      </c>
      <c r="D34" s="16" t="s">
        <v>174</v>
      </c>
      <c r="E34" s="8" t="s">
        <v>721</v>
      </c>
      <c r="F34" s="94" t="s">
        <v>803</v>
      </c>
      <c r="G34" s="94" t="s">
        <v>803</v>
      </c>
      <c r="H34" s="167"/>
      <c r="I34" s="94" t="s">
        <v>804</v>
      </c>
      <c r="J34" s="94" t="s">
        <v>804</v>
      </c>
      <c r="K34" s="94" t="s">
        <v>804</v>
      </c>
      <c r="L34" s="94" t="s">
        <v>803</v>
      </c>
      <c r="M34" s="94" t="s">
        <v>804</v>
      </c>
      <c r="N34" s="165"/>
      <c r="O34" s="167"/>
      <c r="P34" s="94" t="s">
        <v>804</v>
      </c>
      <c r="Q34" s="94" t="s">
        <v>804</v>
      </c>
      <c r="R34" s="94" t="s">
        <v>804</v>
      </c>
      <c r="S34" s="165"/>
      <c r="T34" s="94" t="s">
        <v>804</v>
      </c>
      <c r="U34" s="94" t="s">
        <v>803</v>
      </c>
      <c r="V34" s="167"/>
      <c r="W34" s="94" t="s">
        <v>804</v>
      </c>
      <c r="X34" s="4">
        <f>COUNTIF(F34:W34,"P")</f>
        <v>9</v>
      </c>
      <c r="Y34" s="4">
        <f>COUNTIF(F34:W34,"A")</f>
        <v>4</v>
      </c>
    </row>
    <row r="35" spans="1:25" ht="16.5" x14ac:dyDescent="0.25">
      <c r="A35" s="6">
        <v>5</v>
      </c>
      <c r="B35" s="11">
        <v>76</v>
      </c>
      <c r="C35" s="97" t="s">
        <v>175</v>
      </c>
      <c r="D35" s="16" t="s">
        <v>176</v>
      </c>
      <c r="E35" s="8" t="s">
        <v>721</v>
      </c>
      <c r="F35" s="94" t="s">
        <v>803</v>
      </c>
      <c r="G35" s="94" t="s">
        <v>803</v>
      </c>
      <c r="H35" s="167"/>
      <c r="I35" s="94" t="s">
        <v>804</v>
      </c>
      <c r="J35" s="94" t="s">
        <v>804</v>
      </c>
      <c r="K35" s="94" t="s">
        <v>804</v>
      </c>
      <c r="L35" s="94" t="s">
        <v>804</v>
      </c>
      <c r="M35" s="94" t="s">
        <v>804</v>
      </c>
      <c r="N35" s="165"/>
      <c r="O35" s="167"/>
      <c r="P35" s="94" t="s">
        <v>804</v>
      </c>
      <c r="Q35" s="94" t="s">
        <v>804</v>
      </c>
      <c r="R35" s="94" t="s">
        <v>803</v>
      </c>
      <c r="S35" s="165"/>
      <c r="T35" s="94" t="s">
        <v>804</v>
      </c>
      <c r="U35" s="94" t="s">
        <v>804</v>
      </c>
      <c r="V35" s="167"/>
      <c r="W35" s="94" t="s">
        <v>803</v>
      </c>
      <c r="X35" s="4">
        <f>COUNTIF(F35:W35,"P")</f>
        <v>9</v>
      </c>
      <c r="Y35" s="4">
        <f>COUNTIF(F35:W35,"A")</f>
        <v>4</v>
      </c>
    </row>
    <row r="36" spans="1:25" ht="16.5" x14ac:dyDescent="0.25">
      <c r="A36" s="6">
        <v>6</v>
      </c>
      <c r="B36" s="11">
        <v>108</v>
      </c>
      <c r="C36" s="97" t="s">
        <v>177</v>
      </c>
      <c r="D36" s="16" t="s">
        <v>178</v>
      </c>
      <c r="E36" s="8" t="s">
        <v>721</v>
      </c>
      <c r="F36" s="94" t="s">
        <v>803</v>
      </c>
      <c r="G36" s="94" t="s">
        <v>803</v>
      </c>
      <c r="H36" s="167"/>
      <c r="I36" s="94" t="s">
        <v>804</v>
      </c>
      <c r="J36" s="94" t="s">
        <v>804</v>
      </c>
      <c r="K36" s="94" t="s">
        <v>804</v>
      </c>
      <c r="L36" s="94" t="s">
        <v>804</v>
      </c>
      <c r="M36" s="94" t="s">
        <v>804</v>
      </c>
      <c r="N36" s="165"/>
      <c r="O36" s="167"/>
      <c r="P36" s="94" t="s">
        <v>804</v>
      </c>
      <c r="Q36" s="94" t="s">
        <v>804</v>
      </c>
      <c r="R36" s="94" t="s">
        <v>804</v>
      </c>
      <c r="S36" s="165"/>
      <c r="T36" s="94" t="s">
        <v>804</v>
      </c>
      <c r="U36" s="94" t="s">
        <v>804</v>
      </c>
      <c r="V36" s="167"/>
      <c r="W36" s="94" t="s">
        <v>804</v>
      </c>
      <c r="X36" s="4">
        <f>COUNTIF(F36:W36,"P")</f>
        <v>11</v>
      </c>
      <c r="Y36" s="4">
        <f>COUNTIF(F36:W36,"A")</f>
        <v>2</v>
      </c>
    </row>
    <row r="37" spans="1:25" ht="16.5" x14ac:dyDescent="0.25">
      <c r="A37" s="6">
        <v>7</v>
      </c>
      <c r="B37" s="11">
        <v>131</v>
      </c>
      <c r="C37" s="97" t="s">
        <v>179</v>
      </c>
      <c r="D37" s="16" t="s">
        <v>180</v>
      </c>
      <c r="E37" s="8" t="s">
        <v>721</v>
      </c>
      <c r="F37" s="94" t="s">
        <v>803</v>
      </c>
      <c r="G37" s="94" t="s">
        <v>803</v>
      </c>
      <c r="H37" s="167"/>
      <c r="I37" s="94" t="s">
        <v>804</v>
      </c>
      <c r="J37" s="94" t="s">
        <v>804</v>
      </c>
      <c r="K37" s="94" t="s">
        <v>803</v>
      </c>
      <c r="L37" s="94" t="s">
        <v>804</v>
      </c>
      <c r="M37" s="94" t="s">
        <v>804</v>
      </c>
      <c r="N37" s="165"/>
      <c r="O37" s="167"/>
      <c r="P37" s="94" t="s">
        <v>804</v>
      </c>
      <c r="Q37" s="94" t="s">
        <v>804</v>
      </c>
      <c r="R37" s="94" t="s">
        <v>804</v>
      </c>
      <c r="S37" s="165"/>
      <c r="T37" s="94" t="s">
        <v>804</v>
      </c>
      <c r="U37" s="94" t="s">
        <v>804</v>
      </c>
      <c r="V37" s="167"/>
      <c r="W37" s="94" t="s">
        <v>804</v>
      </c>
      <c r="X37" s="4">
        <f>COUNTIF(F37:W37,"P")</f>
        <v>10</v>
      </c>
      <c r="Y37" s="4">
        <f>COUNTIF(F37:W37,"A")</f>
        <v>3</v>
      </c>
    </row>
    <row r="38" spans="1:25" ht="16.5" x14ac:dyDescent="0.25">
      <c r="A38" s="6">
        <v>8</v>
      </c>
      <c r="B38" s="11">
        <v>101</v>
      </c>
      <c r="C38" s="97" t="s">
        <v>181</v>
      </c>
      <c r="D38" s="16" t="s">
        <v>182</v>
      </c>
      <c r="E38" s="8" t="s">
        <v>721</v>
      </c>
      <c r="F38" s="94" t="s">
        <v>803</v>
      </c>
      <c r="G38" s="94" t="s">
        <v>803</v>
      </c>
      <c r="H38" s="167"/>
      <c r="I38" s="94" t="s">
        <v>804</v>
      </c>
      <c r="J38" s="94" t="s">
        <v>804</v>
      </c>
      <c r="K38" s="94" t="s">
        <v>804</v>
      </c>
      <c r="L38" s="94" t="s">
        <v>804</v>
      </c>
      <c r="M38" s="94" t="s">
        <v>804</v>
      </c>
      <c r="N38" s="165"/>
      <c r="O38" s="167"/>
      <c r="P38" s="94" t="s">
        <v>804</v>
      </c>
      <c r="Q38" s="94" t="s">
        <v>803</v>
      </c>
      <c r="R38" s="94" t="s">
        <v>804</v>
      </c>
      <c r="S38" s="165"/>
      <c r="T38" s="94" t="s">
        <v>804</v>
      </c>
      <c r="U38" s="94" t="s">
        <v>804</v>
      </c>
      <c r="V38" s="167"/>
      <c r="W38" s="94" t="s">
        <v>804</v>
      </c>
      <c r="X38" s="4">
        <f>COUNTIF(F38:W38,"P")</f>
        <v>10</v>
      </c>
      <c r="Y38" s="4">
        <f>COUNTIF(F38:W38,"A")</f>
        <v>3</v>
      </c>
    </row>
    <row r="39" spans="1:25" ht="16.5" x14ac:dyDescent="0.25">
      <c r="A39" s="6">
        <v>9</v>
      </c>
      <c r="B39" s="11">
        <v>100</v>
      </c>
      <c r="C39" s="97" t="s">
        <v>183</v>
      </c>
      <c r="D39" s="16" t="s">
        <v>184</v>
      </c>
      <c r="E39" s="8" t="s">
        <v>721</v>
      </c>
      <c r="F39" s="94" t="s">
        <v>803</v>
      </c>
      <c r="G39" s="94" t="s">
        <v>803</v>
      </c>
      <c r="H39" s="167"/>
      <c r="I39" s="94" t="s">
        <v>804</v>
      </c>
      <c r="J39" s="94" t="s">
        <v>804</v>
      </c>
      <c r="K39" s="94" t="s">
        <v>804</v>
      </c>
      <c r="L39" s="94" t="s">
        <v>804</v>
      </c>
      <c r="M39" s="94" t="s">
        <v>804</v>
      </c>
      <c r="N39" s="165"/>
      <c r="O39" s="167"/>
      <c r="P39" s="94" t="s">
        <v>804</v>
      </c>
      <c r="Q39" s="94" t="s">
        <v>804</v>
      </c>
      <c r="R39" s="94" t="s">
        <v>804</v>
      </c>
      <c r="S39" s="165"/>
      <c r="T39" s="94" t="s">
        <v>803</v>
      </c>
      <c r="U39" s="94" t="s">
        <v>804</v>
      </c>
      <c r="V39" s="167"/>
      <c r="W39" s="94" t="s">
        <v>804</v>
      </c>
      <c r="X39" s="4">
        <f>COUNTIF(F39:W39,"P")</f>
        <v>10</v>
      </c>
      <c r="Y39" s="4">
        <f>COUNTIF(F39:W39,"A")</f>
        <v>3</v>
      </c>
    </row>
    <row r="40" spans="1:25" ht="16.5" x14ac:dyDescent="0.25">
      <c r="A40" s="6">
        <v>10</v>
      </c>
      <c r="B40" s="11">
        <v>90</v>
      </c>
      <c r="C40" s="97" t="s">
        <v>185</v>
      </c>
      <c r="D40" s="16" t="s">
        <v>139</v>
      </c>
      <c r="E40" s="8" t="s">
        <v>721</v>
      </c>
      <c r="F40" s="94" t="s">
        <v>803</v>
      </c>
      <c r="G40" s="94" t="s">
        <v>803</v>
      </c>
      <c r="H40" s="167"/>
      <c r="I40" s="94" t="s">
        <v>804</v>
      </c>
      <c r="J40" s="94" t="s">
        <v>803</v>
      </c>
      <c r="K40" s="94" t="s">
        <v>804</v>
      </c>
      <c r="L40" s="94" t="s">
        <v>804</v>
      </c>
      <c r="M40" s="94" t="s">
        <v>804</v>
      </c>
      <c r="N40" s="165"/>
      <c r="O40" s="167"/>
      <c r="P40" s="94" t="s">
        <v>803</v>
      </c>
      <c r="Q40" s="94" t="s">
        <v>804</v>
      </c>
      <c r="R40" s="94" t="s">
        <v>804</v>
      </c>
      <c r="S40" s="165"/>
      <c r="T40" s="94" t="s">
        <v>804</v>
      </c>
      <c r="U40" s="94" t="s">
        <v>804</v>
      </c>
      <c r="V40" s="167"/>
      <c r="W40" s="94" t="s">
        <v>804</v>
      </c>
      <c r="X40" s="4">
        <f>COUNTIF(F40:W40,"P")</f>
        <v>9</v>
      </c>
      <c r="Y40" s="4">
        <f>COUNTIF(F40:W40,"A")</f>
        <v>4</v>
      </c>
    </row>
    <row r="41" spans="1:25" ht="16.5" x14ac:dyDescent="0.25">
      <c r="A41" s="6">
        <v>11</v>
      </c>
      <c r="B41" s="11">
        <v>73</v>
      </c>
      <c r="C41" s="97" t="s">
        <v>186</v>
      </c>
      <c r="D41" s="16" t="s">
        <v>187</v>
      </c>
      <c r="E41" s="8" t="s">
        <v>721</v>
      </c>
      <c r="F41" s="94" t="s">
        <v>804</v>
      </c>
      <c r="G41" s="94" t="s">
        <v>803</v>
      </c>
      <c r="H41" s="167"/>
      <c r="I41" s="94" t="s">
        <v>804</v>
      </c>
      <c r="J41" s="94" t="s">
        <v>804</v>
      </c>
      <c r="K41" s="94" t="s">
        <v>804</v>
      </c>
      <c r="L41" s="94" t="s">
        <v>804</v>
      </c>
      <c r="M41" s="94" t="s">
        <v>804</v>
      </c>
      <c r="N41" s="165"/>
      <c r="O41" s="167"/>
      <c r="P41" s="94" t="s">
        <v>804</v>
      </c>
      <c r="Q41" s="94" t="s">
        <v>804</v>
      </c>
      <c r="R41" s="94" t="s">
        <v>804</v>
      </c>
      <c r="S41" s="165"/>
      <c r="T41" s="94" t="s">
        <v>804</v>
      </c>
      <c r="U41" s="94" t="s">
        <v>803</v>
      </c>
      <c r="V41" s="167"/>
      <c r="W41" s="94" t="s">
        <v>804</v>
      </c>
      <c r="X41" s="4">
        <f>COUNTIF(F41:W41,"P")</f>
        <v>11</v>
      </c>
      <c r="Y41" s="4">
        <f>COUNTIF(F41:W41,"A")</f>
        <v>2</v>
      </c>
    </row>
    <row r="42" spans="1:25" ht="16.5" x14ac:dyDescent="0.25">
      <c r="A42" s="6">
        <v>12</v>
      </c>
      <c r="B42" s="11">
        <v>74</v>
      </c>
      <c r="C42" s="97" t="s">
        <v>188</v>
      </c>
      <c r="D42" s="16" t="s">
        <v>189</v>
      </c>
      <c r="E42" s="8" t="s">
        <v>721</v>
      </c>
      <c r="F42" s="94" t="s">
        <v>803</v>
      </c>
      <c r="G42" s="94" t="s">
        <v>803</v>
      </c>
      <c r="H42" s="167"/>
      <c r="I42" s="94" t="s">
        <v>804</v>
      </c>
      <c r="J42" s="94" t="s">
        <v>804</v>
      </c>
      <c r="K42" s="94" t="s">
        <v>804</v>
      </c>
      <c r="L42" s="94" t="s">
        <v>804</v>
      </c>
      <c r="M42" s="94" t="s">
        <v>804</v>
      </c>
      <c r="N42" s="165"/>
      <c r="O42" s="167"/>
      <c r="P42" s="94" t="s">
        <v>804</v>
      </c>
      <c r="Q42" s="94" t="s">
        <v>804</v>
      </c>
      <c r="R42" s="94" t="s">
        <v>804</v>
      </c>
      <c r="S42" s="165"/>
      <c r="T42" s="94" t="s">
        <v>804</v>
      </c>
      <c r="U42" s="94" t="s">
        <v>804</v>
      </c>
      <c r="V42" s="167"/>
      <c r="W42" s="94" t="s">
        <v>803</v>
      </c>
      <c r="X42" s="4">
        <f>COUNTIF(F42:W42,"P")</f>
        <v>10</v>
      </c>
      <c r="Y42" s="4">
        <f>COUNTIF(F42:W42,"A")</f>
        <v>3</v>
      </c>
    </row>
    <row r="43" spans="1:25" ht="16.5" x14ac:dyDescent="0.25">
      <c r="A43" s="6">
        <v>13</v>
      </c>
      <c r="B43" s="11">
        <v>77</v>
      </c>
      <c r="C43" s="97" t="s">
        <v>190</v>
      </c>
      <c r="D43" s="16" t="s">
        <v>191</v>
      </c>
      <c r="E43" s="8" t="s">
        <v>721</v>
      </c>
      <c r="F43" s="94" t="s">
        <v>803</v>
      </c>
      <c r="G43" s="94" t="s">
        <v>803</v>
      </c>
      <c r="H43" s="167"/>
      <c r="I43" s="94" t="s">
        <v>804</v>
      </c>
      <c r="J43" s="94" t="s">
        <v>804</v>
      </c>
      <c r="K43" s="94" t="s">
        <v>803</v>
      </c>
      <c r="L43" s="94" t="s">
        <v>804</v>
      </c>
      <c r="M43" s="94" t="s">
        <v>804</v>
      </c>
      <c r="N43" s="165"/>
      <c r="O43" s="167"/>
      <c r="P43" s="94" t="s">
        <v>804</v>
      </c>
      <c r="Q43" s="94" t="s">
        <v>804</v>
      </c>
      <c r="R43" s="94" t="s">
        <v>804</v>
      </c>
      <c r="S43" s="165"/>
      <c r="T43" s="94" t="s">
        <v>804</v>
      </c>
      <c r="U43" s="94" t="s">
        <v>804</v>
      </c>
      <c r="V43" s="167"/>
      <c r="W43" s="94" t="s">
        <v>804</v>
      </c>
      <c r="X43" s="4">
        <f>COUNTIF(F43:W43,"P")</f>
        <v>10</v>
      </c>
      <c r="Y43" s="4">
        <f>COUNTIF(F43:W43,"A")</f>
        <v>3</v>
      </c>
    </row>
    <row r="44" spans="1:25" ht="16.5" x14ac:dyDescent="0.25">
      <c r="A44" s="6">
        <v>14</v>
      </c>
      <c r="B44" s="11">
        <v>80</v>
      </c>
      <c r="C44" s="97" t="s">
        <v>192</v>
      </c>
      <c r="D44" s="16" t="s">
        <v>193</v>
      </c>
      <c r="E44" s="8" t="s">
        <v>721</v>
      </c>
      <c r="F44" s="94" t="s">
        <v>803</v>
      </c>
      <c r="G44" s="94" t="s">
        <v>803</v>
      </c>
      <c r="H44" s="167"/>
      <c r="I44" s="94" t="s">
        <v>804</v>
      </c>
      <c r="J44" s="94" t="s">
        <v>804</v>
      </c>
      <c r="K44" s="94" t="s">
        <v>804</v>
      </c>
      <c r="L44" s="94" t="s">
        <v>804</v>
      </c>
      <c r="M44" s="94" t="s">
        <v>804</v>
      </c>
      <c r="N44" s="165"/>
      <c r="O44" s="167"/>
      <c r="P44" s="94" t="s">
        <v>804</v>
      </c>
      <c r="Q44" s="94" t="s">
        <v>803</v>
      </c>
      <c r="R44" s="94" t="s">
        <v>804</v>
      </c>
      <c r="S44" s="165"/>
      <c r="T44" s="94" t="s">
        <v>804</v>
      </c>
      <c r="U44" s="94" t="s">
        <v>804</v>
      </c>
      <c r="V44" s="167"/>
      <c r="W44" s="94" t="s">
        <v>804</v>
      </c>
      <c r="X44" s="4">
        <f>COUNTIF(F44:W44,"P")</f>
        <v>10</v>
      </c>
      <c r="Y44" s="4">
        <f>COUNTIF(F44:W44,"A")</f>
        <v>3</v>
      </c>
    </row>
    <row r="45" spans="1:25" ht="16.5" x14ac:dyDescent="0.25">
      <c r="A45" s="6">
        <v>15</v>
      </c>
      <c r="B45" s="11">
        <v>93</v>
      </c>
      <c r="C45" s="97" t="s">
        <v>194</v>
      </c>
      <c r="D45" s="16" t="s">
        <v>58</v>
      </c>
      <c r="E45" s="8" t="s">
        <v>721</v>
      </c>
      <c r="F45" s="94" t="s">
        <v>803</v>
      </c>
      <c r="G45" s="94" t="s">
        <v>804</v>
      </c>
      <c r="H45" s="167"/>
      <c r="I45" s="94" t="s">
        <v>804</v>
      </c>
      <c r="J45" s="94" t="s">
        <v>804</v>
      </c>
      <c r="K45" s="94" t="s">
        <v>804</v>
      </c>
      <c r="L45" s="94" t="s">
        <v>804</v>
      </c>
      <c r="M45" s="94" t="s">
        <v>804</v>
      </c>
      <c r="N45" s="165"/>
      <c r="O45" s="167"/>
      <c r="P45" s="94" t="s">
        <v>804</v>
      </c>
      <c r="Q45" s="94" t="s">
        <v>804</v>
      </c>
      <c r="R45" s="94" t="s">
        <v>804</v>
      </c>
      <c r="S45" s="165"/>
      <c r="T45" s="94" t="s">
        <v>804</v>
      </c>
      <c r="U45" s="94" t="s">
        <v>804</v>
      </c>
      <c r="V45" s="167"/>
      <c r="W45" s="94" t="s">
        <v>804</v>
      </c>
      <c r="X45" s="4">
        <f>COUNTIF(F45:W45,"P")</f>
        <v>12</v>
      </c>
      <c r="Y45" s="4">
        <f>COUNTIF(F45:W45,"A")</f>
        <v>1</v>
      </c>
    </row>
    <row r="46" spans="1:25" ht="16.5" x14ac:dyDescent="0.25">
      <c r="A46" s="6">
        <v>16</v>
      </c>
      <c r="B46" s="11">
        <v>14</v>
      </c>
      <c r="C46" s="97" t="s">
        <v>195</v>
      </c>
      <c r="D46" s="16" t="s">
        <v>196</v>
      </c>
      <c r="E46" s="8" t="s">
        <v>721</v>
      </c>
      <c r="F46" s="94" t="s">
        <v>803</v>
      </c>
      <c r="G46" s="94" t="s">
        <v>803</v>
      </c>
      <c r="H46" s="167"/>
      <c r="I46" s="94" t="s">
        <v>804</v>
      </c>
      <c r="J46" s="94" t="s">
        <v>804</v>
      </c>
      <c r="K46" s="94" t="s">
        <v>804</v>
      </c>
      <c r="L46" s="94" t="s">
        <v>803</v>
      </c>
      <c r="M46" s="94" t="s">
        <v>804</v>
      </c>
      <c r="N46" s="165"/>
      <c r="O46" s="167"/>
      <c r="P46" s="94" t="s">
        <v>804</v>
      </c>
      <c r="Q46" s="94" t="s">
        <v>804</v>
      </c>
      <c r="R46" s="94" t="s">
        <v>804</v>
      </c>
      <c r="S46" s="165"/>
      <c r="T46" s="94" t="s">
        <v>804</v>
      </c>
      <c r="U46" s="94" t="s">
        <v>803</v>
      </c>
      <c r="V46" s="167"/>
      <c r="W46" s="94" t="s">
        <v>804</v>
      </c>
      <c r="X46" s="4">
        <f>COUNTIF(F46:W46,"P")</f>
        <v>9</v>
      </c>
      <c r="Y46" s="4">
        <f>COUNTIF(F46:W46,"A")</f>
        <v>4</v>
      </c>
    </row>
    <row r="47" spans="1:25" ht="16.5" x14ac:dyDescent="0.25">
      <c r="A47" s="6">
        <v>17</v>
      </c>
      <c r="B47" s="11">
        <v>94</v>
      </c>
      <c r="C47" s="97" t="s">
        <v>197</v>
      </c>
      <c r="D47" s="16" t="s">
        <v>196</v>
      </c>
      <c r="E47" s="8" t="s">
        <v>721</v>
      </c>
      <c r="F47" s="94" t="s">
        <v>803</v>
      </c>
      <c r="G47" s="94" t="s">
        <v>803</v>
      </c>
      <c r="H47" s="167"/>
      <c r="I47" s="94" t="s">
        <v>804</v>
      </c>
      <c r="J47" s="94" t="s">
        <v>804</v>
      </c>
      <c r="K47" s="94" t="s">
        <v>804</v>
      </c>
      <c r="L47" s="94" t="s">
        <v>804</v>
      </c>
      <c r="M47" s="94" t="s">
        <v>804</v>
      </c>
      <c r="N47" s="165"/>
      <c r="O47" s="167"/>
      <c r="P47" s="94" t="s">
        <v>804</v>
      </c>
      <c r="Q47" s="94" t="s">
        <v>804</v>
      </c>
      <c r="R47" s="94" t="s">
        <v>804</v>
      </c>
      <c r="S47" s="165"/>
      <c r="T47" s="94" t="s">
        <v>804</v>
      </c>
      <c r="U47" s="94" t="s">
        <v>804</v>
      </c>
      <c r="V47" s="167"/>
      <c r="W47" s="94" t="s">
        <v>804</v>
      </c>
      <c r="X47" s="4">
        <f>COUNTIF(F47:W47,"P")</f>
        <v>11</v>
      </c>
      <c r="Y47" s="4">
        <f>COUNTIF(F47:W47,"A")</f>
        <v>2</v>
      </c>
    </row>
    <row r="48" spans="1:25" ht="16.5" x14ac:dyDescent="0.25">
      <c r="A48" s="6">
        <v>18</v>
      </c>
      <c r="B48" s="11">
        <v>111</v>
      </c>
      <c r="C48" s="97" t="s">
        <v>198</v>
      </c>
      <c r="D48" s="16" t="s">
        <v>199</v>
      </c>
      <c r="E48" s="8" t="s">
        <v>721</v>
      </c>
      <c r="F48" s="94" t="s">
        <v>803</v>
      </c>
      <c r="G48" s="94" t="s">
        <v>803</v>
      </c>
      <c r="H48" s="167"/>
      <c r="I48" s="94" t="s">
        <v>804</v>
      </c>
      <c r="J48" s="94" t="s">
        <v>804</v>
      </c>
      <c r="K48" s="94" t="s">
        <v>804</v>
      </c>
      <c r="L48" s="94" t="s">
        <v>804</v>
      </c>
      <c r="M48" s="94" t="s">
        <v>804</v>
      </c>
      <c r="N48" s="165"/>
      <c r="O48" s="167"/>
      <c r="P48" s="94" t="s">
        <v>804</v>
      </c>
      <c r="Q48" s="94" t="s">
        <v>803</v>
      </c>
      <c r="R48" s="94" t="s">
        <v>804</v>
      </c>
      <c r="S48" s="165"/>
      <c r="T48" s="94" t="s">
        <v>804</v>
      </c>
      <c r="U48" s="94" t="s">
        <v>804</v>
      </c>
      <c r="V48" s="167"/>
      <c r="W48" s="94" t="s">
        <v>804</v>
      </c>
      <c r="X48" s="4">
        <f>COUNTIF(F48:W48,"P")</f>
        <v>10</v>
      </c>
      <c r="Y48" s="4">
        <f>COUNTIF(F48:W48,"A")</f>
        <v>3</v>
      </c>
    </row>
    <row r="49" spans="1:25" ht="16.5" x14ac:dyDescent="0.25">
      <c r="A49" s="6">
        <v>19</v>
      </c>
      <c r="B49" s="11">
        <v>113</v>
      </c>
      <c r="C49" s="97" t="s">
        <v>200</v>
      </c>
      <c r="D49" s="16" t="s">
        <v>78</v>
      </c>
      <c r="E49" s="8" t="s">
        <v>721</v>
      </c>
      <c r="F49" s="94" t="s">
        <v>803</v>
      </c>
      <c r="G49" s="94" t="s">
        <v>803</v>
      </c>
      <c r="H49" s="167"/>
      <c r="I49" s="94" t="s">
        <v>804</v>
      </c>
      <c r="J49" s="94" t="s">
        <v>803</v>
      </c>
      <c r="K49" s="94" t="s">
        <v>804</v>
      </c>
      <c r="L49" s="94" t="s">
        <v>804</v>
      </c>
      <c r="M49" s="94" t="s">
        <v>804</v>
      </c>
      <c r="N49" s="165"/>
      <c r="O49" s="167"/>
      <c r="P49" s="94" t="s">
        <v>804</v>
      </c>
      <c r="Q49" s="94" t="s">
        <v>804</v>
      </c>
      <c r="R49" s="94" t="s">
        <v>804</v>
      </c>
      <c r="S49" s="165"/>
      <c r="T49" s="94" t="s">
        <v>804</v>
      </c>
      <c r="U49" s="94" t="s">
        <v>804</v>
      </c>
      <c r="V49" s="167"/>
      <c r="W49" s="94" t="s">
        <v>803</v>
      </c>
      <c r="X49" s="4">
        <f>COUNTIF(F49:W49,"P")</f>
        <v>9</v>
      </c>
      <c r="Y49" s="4">
        <f>COUNTIF(F49:W49,"A")</f>
        <v>4</v>
      </c>
    </row>
    <row r="50" spans="1:25" ht="16.5" x14ac:dyDescent="0.25">
      <c r="A50" s="6">
        <v>20</v>
      </c>
      <c r="B50" s="11">
        <v>115</v>
      </c>
      <c r="C50" s="97" t="s">
        <v>201</v>
      </c>
      <c r="D50" s="16" t="s">
        <v>202</v>
      </c>
      <c r="E50" s="8" t="s">
        <v>721</v>
      </c>
      <c r="F50" s="94" t="s">
        <v>803</v>
      </c>
      <c r="G50" s="94" t="s">
        <v>803</v>
      </c>
      <c r="H50" s="167"/>
      <c r="I50" s="94" t="s">
        <v>804</v>
      </c>
      <c r="J50" s="94" t="s">
        <v>804</v>
      </c>
      <c r="K50" s="94" t="s">
        <v>804</v>
      </c>
      <c r="L50" s="94" t="s">
        <v>804</v>
      </c>
      <c r="M50" s="94" t="s">
        <v>804</v>
      </c>
      <c r="N50" s="165"/>
      <c r="O50" s="167"/>
      <c r="P50" s="94" t="s">
        <v>804</v>
      </c>
      <c r="Q50" s="94" t="s">
        <v>804</v>
      </c>
      <c r="R50" s="94" t="s">
        <v>804</v>
      </c>
      <c r="S50" s="165"/>
      <c r="T50" s="94" t="s">
        <v>803</v>
      </c>
      <c r="U50" s="94" t="s">
        <v>804</v>
      </c>
      <c r="V50" s="167"/>
      <c r="W50" s="94" t="s">
        <v>804</v>
      </c>
      <c r="X50" s="4">
        <f>COUNTIF(F50:W50,"P")</f>
        <v>10</v>
      </c>
      <c r="Y50" s="4">
        <f>COUNTIF(F50:W50,"A")</f>
        <v>3</v>
      </c>
    </row>
    <row r="51" spans="1:25" ht="16.5" x14ac:dyDescent="0.25">
      <c r="A51" s="6">
        <v>21</v>
      </c>
      <c r="B51" s="11">
        <v>114</v>
      </c>
      <c r="C51" s="97" t="s">
        <v>203</v>
      </c>
      <c r="D51" s="16" t="s">
        <v>202</v>
      </c>
      <c r="E51" s="8" t="s">
        <v>721</v>
      </c>
      <c r="F51" s="94" t="s">
        <v>804</v>
      </c>
      <c r="G51" s="94" t="s">
        <v>803</v>
      </c>
      <c r="H51" s="167"/>
      <c r="I51" s="94" t="s">
        <v>804</v>
      </c>
      <c r="J51" s="94" t="s">
        <v>804</v>
      </c>
      <c r="K51" s="94" t="s">
        <v>804</v>
      </c>
      <c r="L51" s="94" t="s">
        <v>804</v>
      </c>
      <c r="M51" s="94" t="s">
        <v>804</v>
      </c>
      <c r="N51" s="165"/>
      <c r="O51" s="167"/>
      <c r="P51" s="94" t="s">
        <v>804</v>
      </c>
      <c r="Q51" s="94" t="s">
        <v>804</v>
      </c>
      <c r="R51" s="94" t="s">
        <v>804</v>
      </c>
      <c r="S51" s="165"/>
      <c r="T51" s="94" t="s">
        <v>804</v>
      </c>
      <c r="U51" s="94" t="s">
        <v>804</v>
      </c>
      <c r="V51" s="167"/>
      <c r="W51" s="94" t="s">
        <v>804</v>
      </c>
      <c r="X51" s="4">
        <f>COUNTIF(F51:W51,"P")</f>
        <v>12</v>
      </c>
      <c r="Y51" s="4">
        <f>COUNTIF(F51:W51,"A")</f>
        <v>1</v>
      </c>
    </row>
    <row r="52" spans="1:25" ht="16.5" x14ac:dyDescent="0.25">
      <c r="A52" s="6">
        <v>22</v>
      </c>
      <c r="B52" s="11">
        <v>141</v>
      </c>
      <c r="C52" s="97" t="s">
        <v>204</v>
      </c>
      <c r="D52" s="16" t="s">
        <v>205</v>
      </c>
      <c r="E52" s="8" t="s">
        <v>721</v>
      </c>
      <c r="F52" s="94" t="s">
        <v>803</v>
      </c>
      <c r="G52" s="94" t="s">
        <v>803</v>
      </c>
      <c r="H52" s="167"/>
      <c r="I52" s="94" t="s">
        <v>804</v>
      </c>
      <c r="J52" s="94" t="s">
        <v>804</v>
      </c>
      <c r="K52" s="94" t="s">
        <v>804</v>
      </c>
      <c r="L52" s="94" t="s">
        <v>804</v>
      </c>
      <c r="M52" s="94" t="s">
        <v>804</v>
      </c>
      <c r="N52" s="165"/>
      <c r="O52" s="167"/>
      <c r="P52" s="94" t="s">
        <v>804</v>
      </c>
      <c r="Q52" s="94" t="s">
        <v>804</v>
      </c>
      <c r="R52" s="94" t="s">
        <v>804</v>
      </c>
      <c r="S52" s="165"/>
      <c r="T52" s="94" t="s">
        <v>804</v>
      </c>
      <c r="U52" s="94" t="s">
        <v>804</v>
      </c>
      <c r="V52" s="167"/>
      <c r="W52" s="94" t="s">
        <v>804</v>
      </c>
      <c r="X52" s="4">
        <f>COUNTIF(F52:W52,"P")</f>
        <v>11</v>
      </c>
      <c r="Y52" s="4">
        <f>COUNTIF(F52:W52,"A")</f>
        <v>2</v>
      </c>
    </row>
    <row r="53" spans="1:25" ht="16.5" x14ac:dyDescent="0.25">
      <c r="A53" s="6">
        <v>23</v>
      </c>
      <c r="B53" s="11">
        <v>140</v>
      </c>
      <c r="C53" s="97" t="s">
        <v>206</v>
      </c>
      <c r="D53" s="16" t="s">
        <v>205</v>
      </c>
      <c r="E53" s="8" t="s">
        <v>721</v>
      </c>
      <c r="F53" s="94" t="s">
        <v>803</v>
      </c>
      <c r="G53" s="94" t="s">
        <v>803</v>
      </c>
      <c r="H53" s="167"/>
      <c r="I53" s="94" t="s">
        <v>804</v>
      </c>
      <c r="J53" s="94" t="s">
        <v>804</v>
      </c>
      <c r="K53" s="94" t="s">
        <v>803</v>
      </c>
      <c r="L53" s="94" t="s">
        <v>804</v>
      </c>
      <c r="M53" s="94" t="s">
        <v>804</v>
      </c>
      <c r="N53" s="165"/>
      <c r="O53" s="167"/>
      <c r="P53" s="94" t="s">
        <v>804</v>
      </c>
      <c r="Q53" s="94" t="s">
        <v>804</v>
      </c>
      <c r="R53" s="94" t="s">
        <v>804</v>
      </c>
      <c r="S53" s="165"/>
      <c r="T53" s="94" t="s">
        <v>804</v>
      </c>
      <c r="U53" s="94" t="s">
        <v>804</v>
      </c>
      <c r="V53" s="167"/>
      <c r="W53" s="94" t="s">
        <v>804</v>
      </c>
      <c r="X53" s="4">
        <f>COUNTIF(F53:W53,"P")</f>
        <v>10</v>
      </c>
      <c r="Y53" s="4">
        <f>COUNTIF(F53:W53,"A")</f>
        <v>3</v>
      </c>
    </row>
    <row r="54" spans="1:25" ht="16.5" x14ac:dyDescent="0.25">
      <c r="A54" s="6">
        <v>24</v>
      </c>
      <c r="B54" s="11">
        <v>96</v>
      </c>
      <c r="C54" s="97" t="s">
        <v>207</v>
      </c>
      <c r="D54" s="16" t="s">
        <v>208</v>
      </c>
      <c r="E54" s="8" t="s">
        <v>721</v>
      </c>
      <c r="F54" s="94" t="s">
        <v>803</v>
      </c>
      <c r="G54" s="94" t="s">
        <v>803</v>
      </c>
      <c r="H54" s="167"/>
      <c r="I54" s="94" t="s">
        <v>804</v>
      </c>
      <c r="J54" s="94" t="s">
        <v>804</v>
      </c>
      <c r="K54" s="94" t="s">
        <v>804</v>
      </c>
      <c r="L54" s="94" t="s">
        <v>804</v>
      </c>
      <c r="M54" s="94" t="s">
        <v>804</v>
      </c>
      <c r="N54" s="165"/>
      <c r="O54" s="167"/>
      <c r="P54" s="94" t="s">
        <v>804</v>
      </c>
      <c r="Q54" s="94" t="s">
        <v>804</v>
      </c>
      <c r="R54" s="94" t="s">
        <v>803</v>
      </c>
      <c r="S54" s="165"/>
      <c r="T54" s="94" t="s">
        <v>804</v>
      </c>
      <c r="U54" s="94" t="s">
        <v>803</v>
      </c>
      <c r="V54" s="167"/>
      <c r="W54" s="94" t="s">
        <v>804</v>
      </c>
      <c r="X54" s="4">
        <f>COUNTIF(F54:W54,"P")</f>
        <v>9</v>
      </c>
      <c r="Y54" s="4">
        <f>COUNTIF(F54:W54,"A")</f>
        <v>4</v>
      </c>
    </row>
    <row r="55" spans="1:25" ht="16.5" x14ac:dyDescent="0.25">
      <c r="A55" s="6">
        <v>25</v>
      </c>
      <c r="B55" s="11">
        <v>190</v>
      </c>
      <c r="C55" s="97" t="s">
        <v>209</v>
      </c>
      <c r="D55" s="16" t="s">
        <v>133</v>
      </c>
      <c r="E55" s="8" t="s">
        <v>721</v>
      </c>
      <c r="F55" s="94" t="s">
        <v>803</v>
      </c>
      <c r="G55" s="94" t="s">
        <v>803</v>
      </c>
      <c r="H55" s="167"/>
      <c r="I55" s="94" t="s">
        <v>804</v>
      </c>
      <c r="J55" s="94" t="s">
        <v>804</v>
      </c>
      <c r="K55" s="94" t="s">
        <v>804</v>
      </c>
      <c r="L55" s="94" t="s">
        <v>804</v>
      </c>
      <c r="M55" s="94" t="s">
        <v>804</v>
      </c>
      <c r="N55" s="165"/>
      <c r="O55" s="167"/>
      <c r="P55" s="94" t="s">
        <v>804</v>
      </c>
      <c r="Q55" s="94" t="s">
        <v>804</v>
      </c>
      <c r="R55" s="94" t="s">
        <v>804</v>
      </c>
      <c r="S55" s="165"/>
      <c r="T55" s="94" t="s">
        <v>804</v>
      </c>
      <c r="U55" s="94" t="s">
        <v>804</v>
      </c>
      <c r="V55" s="167"/>
      <c r="W55" s="94" t="s">
        <v>804</v>
      </c>
      <c r="X55" s="4">
        <f>COUNTIF(F55:W55,"P")</f>
        <v>11</v>
      </c>
      <c r="Y55" s="4">
        <f>COUNTIF(F55:W55,"A")</f>
        <v>2</v>
      </c>
    </row>
    <row r="56" spans="1:25" ht="16.5" x14ac:dyDescent="0.25">
      <c r="A56" s="6">
        <v>26</v>
      </c>
      <c r="B56" s="11">
        <v>192</v>
      </c>
      <c r="C56" s="97" t="s">
        <v>210</v>
      </c>
      <c r="D56" s="16" t="s">
        <v>211</v>
      </c>
      <c r="E56" s="8" t="s">
        <v>721</v>
      </c>
      <c r="F56" s="94" t="s">
        <v>803</v>
      </c>
      <c r="G56" s="94" t="s">
        <v>803</v>
      </c>
      <c r="H56" s="167"/>
      <c r="I56" s="94" t="s">
        <v>804</v>
      </c>
      <c r="J56" s="94" t="s">
        <v>804</v>
      </c>
      <c r="K56" s="94" t="s">
        <v>804</v>
      </c>
      <c r="L56" s="94" t="s">
        <v>803</v>
      </c>
      <c r="M56" s="94" t="s">
        <v>804</v>
      </c>
      <c r="N56" s="165"/>
      <c r="O56" s="167"/>
      <c r="P56" s="94" t="s">
        <v>804</v>
      </c>
      <c r="Q56" s="94" t="s">
        <v>804</v>
      </c>
      <c r="R56" s="94" t="s">
        <v>804</v>
      </c>
      <c r="S56" s="165"/>
      <c r="T56" s="94" t="s">
        <v>804</v>
      </c>
      <c r="U56" s="94" t="s">
        <v>804</v>
      </c>
      <c r="V56" s="167"/>
      <c r="W56" s="94" t="s">
        <v>803</v>
      </c>
      <c r="X56" s="4">
        <f>COUNTIF(F56:W56,"P")</f>
        <v>9</v>
      </c>
      <c r="Y56" s="4">
        <f>COUNTIF(F56:W56,"A")</f>
        <v>4</v>
      </c>
    </row>
    <row r="57" spans="1:25" ht="16.5" x14ac:dyDescent="0.25">
      <c r="A57" s="6">
        <v>27</v>
      </c>
      <c r="B57" s="11">
        <v>193</v>
      </c>
      <c r="C57" s="97" t="s">
        <v>212</v>
      </c>
      <c r="D57" s="16" t="s">
        <v>213</v>
      </c>
      <c r="E57" s="8" t="s">
        <v>721</v>
      </c>
      <c r="F57" s="94" t="s">
        <v>803</v>
      </c>
      <c r="G57" s="94" t="s">
        <v>803</v>
      </c>
      <c r="H57" s="167"/>
      <c r="I57" s="94" t="s">
        <v>804</v>
      </c>
      <c r="J57" s="94" t="s">
        <v>804</v>
      </c>
      <c r="K57" s="94" t="s">
        <v>804</v>
      </c>
      <c r="L57" s="94" t="s">
        <v>804</v>
      </c>
      <c r="M57" s="94" t="s">
        <v>804</v>
      </c>
      <c r="N57" s="165"/>
      <c r="O57" s="167"/>
      <c r="P57" s="94" t="s">
        <v>804</v>
      </c>
      <c r="Q57" s="94" t="s">
        <v>804</v>
      </c>
      <c r="R57" s="94" t="s">
        <v>804</v>
      </c>
      <c r="S57" s="165"/>
      <c r="T57" s="94" t="s">
        <v>804</v>
      </c>
      <c r="U57" s="94" t="s">
        <v>804</v>
      </c>
      <c r="V57" s="167"/>
      <c r="W57" s="94" t="s">
        <v>804</v>
      </c>
      <c r="X57" s="4">
        <f>COUNTIF(F57:W57,"P")</f>
        <v>11</v>
      </c>
      <c r="Y57" s="4">
        <f>COUNTIF(F57:W57,"A")</f>
        <v>2</v>
      </c>
    </row>
    <row r="58" spans="1:25" ht="16.5" x14ac:dyDescent="0.25">
      <c r="A58" s="6">
        <v>28</v>
      </c>
      <c r="B58" s="11">
        <v>72</v>
      </c>
      <c r="C58" s="97" t="s">
        <v>214</v>
      </c>
      <c r="D58" s="16" t="s">
        <v>215</v>
      </c>
      <c r="E58" s="8" t="s">
        <v>721</v>
      </c>
      <c r="F58" s="94" t="s">
        <v>803</v>
      </c>
      <c r="G58" s="94" t="s">
        <v>803</v>
      </c>
      <c r="H58" s="167"/>
      <c r="I58" s="94" t="s">
        <v>804</v>
      </c>
      <c r="J58" s="94" t="s">
        <v>804</v>
      </c>
      <c r="K58" s="94" t="s">
        <v>804</v>
      </c>
      <c r="L58" s="94" t="s">
        <v>804</v>
      </c>
      <c r="M58" s="94" t="s">
        <v>804</v>
      </c>
      <c r="N58" s="165"/>
      <c r="O58" s="167"/>
      <c r="P58" s="94" t="s">
        <v>804</v>
      </c>
      <c r="Q58" s="94" t="s">
        <v>804</v>
      </c>
      <c r="R58" s="94" t="s">
        <v>804</v>
      </c>
      <c r="S58" s="165"/>
      <c r="T58" s="94" t="s">
        <v>804</v>
      </c>
      <c r="U58" s="94" t="s">
        <v>804</v>
      </c>
      <c r="V58" s="167"/>
      <c r="W58" s="94" t="s">
        <v>804</v>
      </c>
      <c r="X58" s="4">
        <f>COUNTIF(F58:W58,"P")</f>
        <v>11</v>
      </c>
      <c r="Y58" s="4">
        <f>COUNTIF(F58:W58,"A")</f>
        <v>2</v>
      </c>
    </row>
    <row r="59" spans="1:25" ht="16.5" x14ac:dyDescent="0.25">
      <c r="A59" s="6">
        <v>29</v>
      </c>
      <c r="B59" s="11">
        <v>92</v>
      </c>
      <c r="C59" s="98" t="s">
        <v>216</v>
      </c>
      <c r="D59" s="11" t="s">
        <v>217</v>
      </c>
      <c r="E59" s="8" t="s">
        <v>721</v>
      </c>
      <c r="F59" s="94" t="s">
        <v>803</v>
      </c>
      <c r="G59" s="94" t="s">
        <v>803</v>
      </c>
      <c r="H59" s="167"/>
      <c r="I59" s="94" t="s">
        <v>804</v>
      </c>
      <c r="J59" s="94" t="s">
        <v>804</v>
      </c>
      <c r="K59" s="94" t="s">
        <v>803</v>
      </c>
      <c r="L59" s="94" t="s">
        <v>804</v>
      </c>
      <c r="M59" s="94" t="s">
        <v>804</v>
      </c>
      <c r="N59" s="165"/>
      <c r="O59" s="167"/>
      <c r="P59" s="94" t="s">
        <v>803</v>
      </c>
      <c r="Q59" s="94" t="s">
        <v>804</v>
      </c>
      <c r="R59" s="94" t="s">
        <v>804</v>
      </c>
      <c r="S59" s="165"/>
      <c r="T59" s="94" t="s">
        <v>804</v>
      </c>
      <c r="U59" s="94" t="s">
        <v>804</v>
      </c>
      <c r="V59" s="167"/>
      <c r="W59" s="94" t="s">
        <v>804</v>
      </c>
      <c r="X59" s="4">
        <f>COUNTIF(F59:W59,"P")</f>
        <v>9</v>
      </c>
      <c r="Y59" s="4">
        <f>COUNTIF(F59:W59,"A")</f>
        <v>4</v>
      </c>
    </row>
    <row r="60" spans="1:25" ht="16.5" x14ac:dyDescent="0.25">
      <c r="A60" s="6">
        <v>30</v>
      </c>
      <c r="B60" s="11">
        <v>191</v>
      </c>
      <c r="C60" s="98" t="s">
        <v>218</v>
      </c>
      <c r="D60" s="11" t="s">
        <v>219</v>
      </c>
      <c r="E60" s="8" t="s">
        <v>721</v>
      </c>
      <c r="F60" s="94" t="s">
        <v>804</v>
      </c>
      <c r="G60" s="94" t="s">
        <v>803</v>
      </c>
      <c r="H60" s="167"/>
      <c r="I60" s="94" t="s">
        <v>804</v>
      </c>
      <c r="J60" s="94" t="s">
        <v>804</v>
      </c>
      <c r="K60" s="94" t="s">
        <v>804</v>
      </c>
      <c r="L60" s="94" t="s">
        <v>804</v>
      </c>
      <c r="M60" s="94" t="s">
        <v>804</v>
      </c>
      <c r="N60" s="165"/>
      <c r="O60" s="167"/>
      <c r="P60" s="94" t="s">
        <v>804</v>
      </c>
      <c r="Q60" s="94" t="s">
        <v>804</v>
      </c>
      <c r="R60" s="94" t="s">
        <v>804</v>
      </c>
      <c r="S60" s="165"/>
      <c r="T60" s="94" t="s">
        <v>804</v>
      </c>
      <c r="U60" s="94" t="s">
        <v>804</v>
      </c>
      <c r="V60" s="167"/>
      <c r="W60" s="94" t="s">
        <v>804</v>
      </c>
      <c r="X60" s="4">
        <f>COUNTIF(F60:W60,"P")</f>
        <v>12</v>
      </c>
      <c r="Y60" s="4">
        <f>COUNTIF(F60:W60,"A")</f>
        <v>1</v>
      </c>
    </row>
    <row r="61" spans="1:25" ht="16.5" x14ac:dyDescent="0.25">
      <c r="A61" s="109">
        <v>31</v>
      </c>
      <c r="B61" s="110">
        <v>97</v>
      </c>
      <c r="C61" s="111" t="s">
        <v>256</v>
      </c>
      <c r="D61" s="110" t="s">
        <v>714</v>
      </c>
      <c r="E61" s="8" t="s">
        <v>721</v>
      </c>
      <c r="F61" s="94" t="s">
        <v>803</v>
      </c>
      <c r="G61" s="94" t="s">
        <v>803</v>
      </c>
      <c r="H61" s="167"/>
      <c r="I61" s="94" t="s">
        <v>804</v>
      </c>
      <c r="J61" s="94" t="s">
        <v>803</v>
      </c>
      <c r="K61" s="94" t="s">
        <v>804</v>
      </c>
      <c r="L61" s="94" t="s">
        <v>804</v>
      </c>
      <c r="M61" s="94" t="s">
        <v>804</v>
      </c>
      <c r="N61" s="165"/>
      <c r="O61" s="167"/>
      <c r="P61" s="94" t="s">
        <v>804</v>
      </c>
      <c r="Q61" s="94" t="s">
        <v>804</v>
      </c>
      <c r="R61" s="94" t="s">
        <v>804</v>
      </c>
      <c r="S61" s="165"/>
      <c r="T61" s="94" t="s">
        <v>804</v>
      </c>
      <c r="U61" s="94" t="s">
        <v>804</v>
      </c>
      <c r="V61" s="167"/>
      <c r="W61" s="94" t="s">
        <v>804</v>
      </c>
      <c r="X61" s="112">
        <f>COUNTIF(F61:W61,"P")</f>
        <v>10</v>
      </c>
      <c r="Y61" s="112">
        <f>COUNTIF(F61:W61,"A")</f>
        <v>3</v>
      </c>
    </row>
    <row r="62" spans="1:25" ht="15.6" customHeight="1" x14ac:dyDescent="0.25">
      <c r="A62" s="109">
        <v>32</v>
      </c>
      <c r="B62" s="110"/>
      <c r="C62" s="111" t="s">
        <v>833</v>
      </c>
      <c r="D62" s="110"/>
      <c r="E62" s="8" t="s">
        <v>721</v>
      </c>
      <c r="F62" s="94" t="s">
        <v>803</v>
      </c>
      <c r="G62" s="94" t="s">
        <v>803</v>
      </c>
      <c r="H62" s="167"/>
      <c r="I62" s="94" t="s">
        <v>804</v>
      </c>
      <c r="J62" s="94" t="s">
        <v>804</v>
      </c>
      <c r="K62" s="94" t="s">
        <v>804</v>
      </c>
      <c r="L62" s="94" t="s">
        <v>804</v>
      </c>
      <c r="M62" s="94" t="s">
        <v>804</v>
      </c>
      <c r="N62" s="165"/>
      <c r="O62" s="167"/>
      <c r="P62" s="94" t="s">
        <v>804</v>
      </c>
      <c r="Q62" s="94" t="s">
        <v>804</v>
      </c>
      <c r="R62" s="94" t="s">
        <v>804</v>
      </c>
      <c r="S62" s="165"/>
      <c r="T62" s="94" t="s">
        <v>804</v>
      </c>
      <c r="U62" s="94" t="s">
        <v>804</v>
      </c>
      <c r="V62" s="167"/>
      <c r="W62" s="94" t="s">
        <v>804</v>
      </c>
      <c r="X62" s="112">
        <f t="shared" ref="X62:X63" si="1">COUNTIF(F62:W62,"P")</f>
        <v>11</v>
      </c>
      <c r="Y62" s="112">
        <f t="shared" ref="Y62:Y63" si="2">COUNTIF(F62:W62,"A")</f>
        <v>2</v>
      </c>
    </row>
    <row r="63" spans="1:25" ht="16.5" x14ac:dyDescent="0.25">
      <c r="A63" s="11">
        <v>33</v>
      </c>
      <c r="B63" s="11"/>
      <c r="C63" s="113" t="s">
        <v>808</v>
      </c>
      <c r="D63" s="11" t="s">
        <v>819</v>
      </c>
      <c r="E63" s="105" t="s">
        <v>721</v>
      </c>
      <c r="F63" s="94" t="s">
        <v>804</v>
      </c>
      <c r="G63" s="94" t="s">
        <v>803</v>
      </c>
      <c r="H63" s="168"/>
      <c r="I63" s="94" t="s">
        <v>804</v>
      </c>
      <c r="J63" s="94" t="s">
        <v>804</v>
      </c>
      <c r="K63" s="94" t="s">
        <v>804</v>
      </c>
      <c r="L63" s="94" t="s">
        <v>804</v>
      </c>
      <c r="M63" s="94" t="s">
        <v>804</v>
      </c>
      <c r="N63" s="166"/>
      <c r="O63" s="168"/>
      <c r="P63" s="94" t="s">
        <v>804</v>
      </c>
      <c r="Q63" s="94" t="s">
        <v>804</v>
      </c>
      <c r="R63" s="94" t="s">
        <v>804</v>
      </c>
      <c r="S63" s="166"/>
      <c r="T63" s="94" t="s">
        <v>804</v>
      </c>
      <c r="U63" s="94" t="s">
        <v>804</v>
      </c>
      <c r="V63" s="168"/>
      <c r="W63" s="94" t="s">
        <v>803</v>
      </c>
      <c r="X63" s="112">
        <f t="shared" si="1"/>
        <v>11</v>
      </c>
      <c r="Y63" s="112">
        <f t="shared" si="2"/>
        <v>2</v>
      </c>
    </row>
  </sheetData>
  <mergeCells count="17">
    <mergeCell ref="N5:N63"/>
    <mergeCell ref="H5:H63"/>
    <mergeCell ref="O5:O63"/>
    <mergeCell ref="S5:S63"/>
    <mergeCell ref="V5:V63"/>
    <mergeCell ref="A1:Y1"/>
    <mergeCell ref="A2:Y2"/>
    <mergeCell ref="Z3:AA3"/>
    <mergeCell ref="Z11:AC11"/>
    <mergeCell ref="X3:X4"/>
    <mergeCell ref="Y3:Y4"/>
    <mergeCell ref="A3:A4"/>
    <mergeCell ref="B3:B4"/>
    <mergeCell ref="C3:C4"/>
    <mergeCell ref="D3:D4"/>
    <mergeCell ref="E3:E4"/>
    <mergeCell ref="Z19:AC19"/>
  </mergeCells>
  <conditionalFormatting sqref="B5:B30">
    <cfRule type="duplicateValues" dxfId="573" priority="431"/>
  </conditionalFormatting>
  <conditionalFormatting sqref="B31:B58">
    <cfRule type="duplicateValues" dxfId="572" priority="432"/>
  </conditionalFormatting>
  <conditionalFormatting sqref="F4:W4 F5:H5 I5:I63 F6:G63">
    <cfRule type="expression" dxfId="571" priority="221">
      <formula>F$3="Sun"</formula>
    </cfRule>
  </conditionalFormatting>
  <conditionalFormatting sqref="F5:H5 I5:I63 F6:G63">
    <cfRule type="cellIs" dxfId="570" priority="213" operator="equal">
      <formula>"L"</formula>
    </cfRule>
    <cfRule type="cellIs" dxfId="569" priority="214" operator="equal">
      <formula>"A"</formula>
    </cfRule>
    <cfRule type="cellIs" dxfId="568" priority="215" operator="equal">
      <formula>"P"</formula>
    </cfRule>
  </conditionalFormatting>
  <conditionalFormatting sqref="F4:W4 F5:H5 I5:I63 F6:G63">
    <cfRule type="expression" dxfId="567" priority="212">
      <formula>F$4=TODAY()</formula>
    </cfRule>
  </conditionalFormatting>
  <conditionalFormatting sqref="X3:Y3">
    <cfRule type="expression" dxfId="566" priority="222">
      <formula>#REF!="Sun"</formula>
    </cfRule>
  </conditionalFormatting>
  <conditionalFormatting sqref="X5:Y63">
    <cfRule type="expression" dxfId="565" priority="210">
      <formula>#REF!="Sun"</formula>
    </cfRule>
  </conditionalFormatting>
  <conditionalFormatting sqref="Z5:Z9">
    <cfRule type="expression" dxfId="564" priority="181">
      <formula>Z$3="Sun"</formula>
    </cfRule>
  </conditionalFormatting>
  <conditionalFormatting sqref="Z12:Z15">
    <cfRule type="expression" dxfId="563" priority="179">
      <formula>Z$3="Sun"</formula>
    </cfRule>
  </conditionalFormatting>
  <conditionalFormatting sqref="Z20:Z23">
    <cfRule type="expression" dxfId="562" priority="178">
      <formula>Z$3="Sun"</formula>
    </cfRule>
  </conditionalFormatting>
  <conditionalFormatting sqref="Z4:AA4">
    <cfRule type="expression" dxfId="561" priority="182">
      <formula>Z$3="Sun"</formula>
    </cfRule>
  </conditionalFormatting>
  <conditionalFormatting sqref="AA12:AC12 AA20:AC20">
    <cfRule type="expression" dxfId="560" priority="183">
      <formula>AA$3="Sun"</formula>
    </cfRule>
  </conditionalFormatting>
  <conditionalFormatting sqref="AC21">
    <cfRule type="expression" dxfId="559" priority="180">
      <formula>AC$3="Sun"</formula>
    </cfRule>
  </conditionalFormatting>
  <conditionalFormatting sqref="J5:J63">
    <cfRule type="expression" dxfId="558" priority="92">
      <formula>J$3="Sun"</formula>
    </cfRule>
  </conditionalFormatting>
  <conditionalFormatting sqref="J5:J63">
    <cfRule type="cellIs" dxfId="557" priority="89" operator="equal">
      <formula>"L"</formula>
    </cfRule>
    <cfRule type="cellIs" dxfId="556" priority="90" operator="equal">
      <formula>"A"</formula>
    </cfRule>
    <cfRule type="cellIs" dxfId="555" priority="91" operator="equal">
      <formula>"P"</formula>
    </cfRule>
  </conditionalFormatting>
  <conditionalFormatting sqref="J5:J63">
    <cfRule type="expression" dxfId="554" priority="88">
      <formula>J$4=TODAY()</formula>
    </cfRule>
  </conditionalFormatting>
  <conditionalFormatting sqref="K5:K63">
    <cfRule type="expression" dxfId="553" priority="87">
      <formula>K$3="Sun"</formula>
    </cfRule>
  </conditionalFormatting>
  <conditionalFormatting sqref="K5:K63">
    <cfRule type="cellIs" dxfId="552" priority="84" operator="equal">
      <formula>"L"</formula>
    </cfRule>
    <cfRule type="cellIs" dxfId="551" priority="85" operator="equal">
      <formula>"A"</formula>
    </cfRule>
    <cfRule type="cellIs" dxfId="550" priority="86" operator="equal">
      <formula>"P"</formula>
    </cfRule>
  </conditionalFormatting>
  <conditionalFormatting sqref="K5:K63">
    <cfRule type="expression" dxfId="549" priority="83">
      <formula>K$4=TODAY()</formula>
    </cfRule>
  </conditionalFormatting>
  <conditionalFormatting sqref="L5:L63">
    <cfRule type="expression" dxfId="548" priority="82">
      <formula>L$3="Sun"</formula>
    </cfRule>
  </conditionalFormatting>
  <conditionalFormatting sqref="L5:L63">
    <cfRule type="cellIs" dxfId="547" priority="79" operator="equal">
      <formula>"L"</formula>
    </cfRule>
    <cfRule type="cellIs" dxfId="546" priority="80" operator="equal">
      <formula>"A"</formula>
    </cfRule>
    <cfRule type="cellIs" dxfId="545" priority="81" operator="equal">
      <formula>"P"</formula>
    </cfRule>
  </conditionalFormatting>
  <conditionalFormatting sqref="L5:L63">
    <cfRule type="expression" dxfId="544" priority="78">
      <formula>L$4=TODAY()</formula>
    </cfRule>
  </conditionalFormatting>
  <conditionalFormatting sqref="M5:M63">
    <cfRule type="expression" dxfId="543" priority="77">
      <formula>M$3="Sun"</formula>
    </cfRule>
  </conditionalFormatting>
  <conditionalFormatting sqref="M5:M63">
    <cfRule type="cellIs" dxfId="542" priority="74" operator="equal">
      <formula>"L"</formula>
    </cfRule>
    <cfRule type="cellIs" dxfId="541" priority="75" operator="equal">
      <formula>"A"</formula>
    </cfRule>
    <cfRule type="cellIs" dxfId="540" priority="76" operator="equal">
      <formula>"P"</formula>
    </cfRule>
  </conditionalFormatting>
  <conditionalFormatting sqref="M5:M63">
    <cfRule type="expression" dxfId="539" priority="73">
      <formula>M$4=TODAY()</formula>
    </cfRule>
  </conditionalFormatting>
  <conditionalFormatting sqref="Q5:Q63">
    <cfRule type="expression" dxfId="538" priority="62">
      <formula>Q$3="Sun"</formula>
    </cfRule>
  </conditionalFormatting>
  <conditionalFormatting sqref="Q5:Q63">
    <cfRule type="cellIs" dxfId="537" priority="59" operator="equal">
      <formula>"L"</formula>
    </cfRule>
    <cfRule type="cellIs" dxfId="536" priority="60" operator="equal">
      <formula>"A"</formula>
    </cfRule>
    <cfRule type="cellIs" dxfId="535" priority="61" operator="equal">
      <formula>"P"</formula>
    </cfRule>
  </conditionalFormatting>
  <conditionalFormatting sqref="Q5:Q63">
    <cfRule type="expression" dxfId="534" priority="58">
      <formula>Q$4=TODAY()</formula>
    </cfRule>
  </conditionalFormatting>
  <conditionalFormatting sqref="R5:R63">
    <cfRule type="expression" dxfId="533" priority="57">
      <formula>R$3="Sun"</formula>
    </cfRule>
  </conditionalFormatting>
  <conditionalFormatting sqref="R5:R63">
    <cfRule type="cellIs" dxfId="532" priority="54" operator="equal">
      <formula>"L"</formula>
    </cfRule>
    <cfRule type="cellIs" dxfId="531" priority="55" operator="equal">
      <formula>"A"</formula>
    </cfRule>
    <cfRule type="cellIs" dxfId="530" priority="56" operator="equal">
      <formula>"P"</formula>
    </cfRule>
  </conditionalFormatting>
  <conditionalFormatting sqref="R5:R63">
    <cfRule type="expression" dxfId="529" priority="53">
      <formula>R$4=TODAY()</formula>
    </cfRule>
  </conditionalFormatting>
  <conditionalFormatting sqref="T5:T63">
    <cfRule type="expression" dxfId="528" priority="47">
      <formula>T$3="Sun"</formula>
    </cfRule>
  </conditionalFormatting>
  <conditionalFormatting sqref="T5:T63">
    <cfRule type="cellIs" dxfId="527" priority="44" operator="equal">
      <formula>"L"</formula>
    </cfRule>
    <cfRule type="cellIs" dxfId="526" priority="45" operator="equal">
      <formula>"A"</formula>
    </cfRule>
    <cfRule type="cellIs" dxfId="525" priority="46" operator="equal">
      <formula>"P"</formula>
    </cfRule>
  </conditionalFormatting>
  <conditionalFormatting sqref="T5:T63">
    <cfRule type="expression" dxfId="524" priority="43">
      <formula>T$4=TODAY()</formula>
    </cfRule>
  </conditionalFormatting>
  <conditionalFormatting sqref="U5:U63">
    <cfRule type="expression" dxfId="523" priority="42">
      <formula>U$3="Sun"</formula>
    </cfRule>
  </conditionalFormatting>
  <conditionalFormatting sqref="U5:U63">
    <cfRule type="cellIs" dxfId="522" priority="39" operator="equal">
      <formula>"L"</formula>
    </cfRule>
    <cfRule type="cellIs" dxfId="521" priority="40" operator="equal">
      <formula>"A"</formula>
    </cfRule>
    <cfRule type="cellIs" dxfId="520" priority="41" operator="equal">
      <formula>"P"</formula>
    </cfRule>
  </conditionalFormatting>
  <conditionalFormatting sqref="U5:U63">
    <cfRule type="expression" dxfId="519" priority="38">
      <formula>U$4=TODAY()</formula>
    </cfRule>
  </conditionalFormatting>
  <conditionalFormatting sqref="F3:W3">
    <cfRule type="expression" dxfId="518" priority="31">
      <formula>F$4=TODAY()</formula>
    </cfRule>
    <cfRule type="expression" dxfId="517" priority="32">
      <formula>F$3="SUN"</formula>
    </cfRule>
  </conditionalFormatting>
  <conditionalFormatting sqref="O5">
    <cfRule type="expression" dxfId="516" priority="30">
      <formula>O$3="Sun"</formula>
    </cfRule>
  </conditionalFormatting>
  <conditionalFormatting sqref="O5">
    <cfRule type="cellIs" dxfId="515" priority="27" operator="equal">
      <formula>"L"</formula>
    </cfRule>
    <cfRule type="cellIs" dxfId="514" priority="28" operator="equal">
      <formula>"A"</formula>
    </cfRule>
    <cfRule type="cellIs" dxfId="513" priority="29" operator="equal">
      <formula>"P"</formula>
    </cfRule>
  </conditionalFormatting>
  <conditionalFormatting sqref="O5">
    <cfRule type="expression" dxfId="512" priority="26">
      <formula>O$4=TODAY()</formula>
    </cfRule>
  </conditionalFormatting>
  <conditionalFormatting sqref="V5">
    <cfRule type="expression" dxfId="511" priority="25">
      <formula>V$3="Sun"</formula>
    </cfRule>
  </conditionalFormatting>
  <conditionalFormatting sqref="V5">
    <cfRule type="cellIs" dxfId="510" priority="22" operator="equal">
      <formula>"L"</formula>
    </cfRule>
    <cfRule type="cellIs" dxfId="509" priority="23" operator="equal">
      <formula>"A"</formula>
    </cfRule>
    <cfRule type="cellIs" dxfId="508" priority="24" operator="equal">
      <formula>"P"</formula>
    </cfRule>
  </conditionalFormatting>
  <conditionalFormatting sqref="V5">
    <cfRule type="expression" dxfId="507" priority="21">
      <formula>V$4=TODAY()</formula>
    </cfRule>
  </conditionalFormatting>
  <conditionalFormatting sqref="P5:P63">
    <cfRule type="expression" dxfId="506" priority="20">
      <formula>P$3="Sun"</formula>
    </cfRule>
  </conditionalFormatting>
  <conditionalFormatting sqref="P5:P63">
    <cfRule type="cellIs" dxfId="505" priority="17" operator="equal">
      <formula>"L"</formula>
    </cfRule>
    <cfRule type="cellIs" dxfId="504" priority="18" operator="equal">
      <formula>"A"</formula>
    </cfRule>
    <cfRule type="cellIs" dxfId="503" priority="19" operator="equal">
      <formula>"P"</formula>
    </cfRule>
  </conditionalFormatting>
  <conditionalFormatting sqref="P5:P63">
    <cfRule type="expression" dxfId="502" priority="16">
      <formula>P$4=TODAY()</formula>
    </cfRule>
  </conditionalFormatting>
  <conditionalFormatting sqref="W5:W63">
    <cfRule type="expression" dxfId="501" priority="15">
      <formula>W$3="Sun"</formula>
    </cfRule>
  </conditionalFormatting>
  <conditionalFormatting sqref="W5:W63">
    <cfRule type="cellIs" dxfId="500" priority="12" operator="equal">
      <formula>"L"</formula>
    </cfRule>
    <cfRule type="cellIs" dxfId="499" priority="13" operator="equal">
      <formula>"A"</formula>
    </cfRule>
    <cfRule type="cellIs" dxfId="498" priority="14" operator="equal">
      <formula>"P"</formula>
    </cfRule>
  </conditionalFormatting>
  <conditionalFormatting sqref="W5:W63">
    <cfRule type="expression" dxfId="497" priority="11">
      <formula>W$4=TODAY()</formula>
    </cfRule>
  </conditionalFormatting>
  <conditionalFormatting sqref="N5">
    <cfRule type="expression" dxfId="496" priority="6">
      <formula>N$4=TODAY()</formula>
    </cfRule>
    <cfRule type="expression" dxfId="495" priority="7">
      <formula>N$3="SUN"</formula>
    </cfRule>
  </conditionalFormatting>
  <conditionalFormatting sqref="N5">
    <cfRule type="cellIs" dxfId="494" priority="8" operator="equal">
      <formula>"L"</formula>
    </cfRule>
    <cfRule type="cellIs" dxfId="493" priority="9" operator="equal">
      <formula>"A"</formula>
    </cfRule>
    <cfRule type="cellIs" dxfId="492" priority="10" operator="equal">
      <formula>"P"</formula>
    </cfRule>
  </conditionalFormatting>
  <conditionalFormatting sqref="S5">
    <cfRule type="expression" dxfId="491" priority="1">
      <formula>S$4=TODAY()</formula>
    </cfRule>
    <cfRule type="expression" dxfId="490" priority="2">
      <formula>S$3="SUN"</formula>
    </cfRule>
  </conditionalFormatting>
  <conditionalFormatting sqref="S5">
    <cfRule type="cellIs" dxfId="489" priority="3" operator="equal">
      <formula>"L"</formula>
    </cfRule>
    <cfRule type="cellIs" dxfId="488" priority="4" operator="equal">
      <formula>"A"</formula>
    </cfRule>
    <cfRule type="cellIs" dxfId="487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4"/>
  <sheetViews>
    <sheetView zoomScaleNormal="100" workbookViewId="0">
      <selection activeCell="S5" sqref="S5:S5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1" width="3.855468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4" width="6.7109375" style="1" bestFit="1" customWidth="1"/>
    <col min="25" max="25" width="18.5703125" style="1" bestFit="1" customWidth="1"/>
    <col min="26" max="28" width="7.5703125" style="1" bestFit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25">
      <c r="A2" s="140" t="s">
        <v>731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</row>
    <row r="3" spans="1:28" ht="15.75" x14ac:dyDescent="0.25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41" t="s">
        <v>4</v>
      </c>
      <c r="X3" s="141" t="s">
        <v>5</v>
      </c>
      <c r="Y3" s="134" t="s">
        <v>119</v>
      </c>
      <c r="Z3" s="135"/>
      <c r="AA3" s="3"/>
      <c r="AB3" s="3"/>
    </row>
    <row r="4" spans="1:28" ht="36.75" x14ac:dyDescent="0.25">
      <c r="A4" s="154"/>
      <c r="B4" s="154"/>
      <c r="C4" s="154"/>
      <c r="D4" s="154"/>
      <c r="E4" s="154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42"/>
      <c r="X4" s="142"/>
      <c r="Y4" s="5" t="s">
        <v>120</v>
      </c>
      <c r="Z4" s="5">
        <f>SUM(Z5:Z8)</f>
        <v>30</v>
      </c>
      <c r="AA4" s="3"/>
      <c r="AB4" s="3"/>
    </row>
    <row r="5" spans="1:28" ht="15" customHeight="1" x14ac:dyDescent="0.25">
      <c r="A5" s="9">
        <v>1</v>
      </c>
      <c r="B5" s="11">
        <v>815</v>
      </c>
      <c r="C5" s="7" t="s">
        <v>220</v>
      </c>
      <c r="D5" s="7" t="s">
        <v>221</v>
      </c>
      <c r="E5" s="1" t="s">
        <v>722</v>
      </c>
      <c r="F5" s="94" t="s">
        <v>804</v>
      </c>
      <c r="G5" s="94" t="s">
        <v>804</v>
      </c>
      <c r="H5" s="144" t="s">
        <v>733</v>
      </c>
      <c r="I5" s="94" t="s">
        <v>804</v>
      </c>
      <c r="J5" s="94" t="s">
        <v>804</v>
      </c>
      <c r="K5" s="94" t="s">
        <v>804</v>
      </c>
      <c r="L5" s="94" t="s">
        <v>804</v>
      </c>
      <c r="M5" s="94" t="s">
        <v>804</v>
      </c>
      <c r="N5" s="164" t="s">
        <v>879</v>
      </c>
      <c r="O5" s="144" t="s">
        <v>733</v>
      </c>
      <c r="P5" s="94" t="s">
        <v>803</v>
      </c>
      <c r="Q5" s="94" t="s">
        <v>804</v>
      </c>
      <c r="R5" s="94" t="s">
        <v>804</v>
      </c>
      <c r="S5" s="164" t="s">
        <v>880</v>
      </c>
      <c r="T5" s="94" t="s">
        <v>804</v>
      </c>
      <c r="U5" s="94" t="s">
        <v>804</v>
      </c>
      <c r="V5" s="144" t="s">
        <v>733</v>
      </c>
      <c r="W5" s="5">
        <f>COUNTIF(F5:V5,"P")</f>
        <v>11</v>
      </c>
      <c r="X5" s="5">
        <f>COUNTIF(F5:V5,"A")</f>
        <v>1</v>
      </c>
      <c r="Y5" s="5" t="s">
        <v>7</v>
      </c>
      <c r="Z5" s="9">
        <v>26</v>
      </c>
      <c r="AA5" s="10"/>
      <c r="AB5" s="3"/>
    </row>
    <row r="6" spans="1:28" ht="16.5" x14ac:dyDescent="0.25">
      <c r="A6" s="9">
        <v>2</v>
      </c>
      <c r="B6" s="11">
        <v>819</v>
      </c>
      <c r="C6" s="7" t="s">
        <v>125</v>
      </c>
      <c r="D6" s="7" t="s">
        <v>223</v>
      </c>
      <c r="E6" s="1" t="s">
        <v>722</v>
      </c>
      <c r="F6" s="94" t="s">
        <v>803</v>
      </c>
      <c r="G6" s="94" t="s">
        <v>804</v>
      </c>
      <c r="H6" s="145"/>
      <c r="I6" s="94" t="s">
        <v>803</v>
      </c>
      <c r="J6" s="94" t="s">
        <v>804</v>
      </c>
      <c r="K6" s="94" t="s">
        <v>804</v>
      </c>
      <c r="L6" s="94" t="s">
        <v>804</v>
      </c>
      <c r="M6" s="94" t="s">
        <v>804</v>
      </c>
      <c r="N6" s="165"/>
      <c r="O6" s="145"/>
      <c r="P6" s="94" t="s">
        <v>804</v>
      </c>
      <c r="Q6" s="94" t="s">
        <v>804</v>
      </c>
      <c r="R6" s="94" t="s">
        <v>804</v>
      </c>
      <c r="S6" s="165"/>
      <c r="T6" s="94" t="s">
        <v>803</v>
      </c>
      <c r="U6" s="94" t="s">
        <v>804</v>
      </c>
      <c r="V6" s="145"/>
      <c r="W6" s="5">
        <f>COUNTIF(F6:V6,"P")</f>
        <v>9</v>
      </c>
      <c r="X6" s="5">
        <f>COUNTIF(F6:V6,"A")</f>
        <v>3</v>
      </c>
      <c r="Y6" s="5" t="s">
        <v>8</v>
      </c>
      <c r="Z6" s="9">
        <v>4</v>
      </c>
      <c r="AA6" s="3"/>
      <c r="AB6" s="3"/>
    </row>
    <row r="7" spans="1:28" ht="16.5" x14ac:dyDescent="0.25">
      <c r="A7" s="9">
        <v>3</v>
      </c>
      <c r="B7" s="11">
        <v>812</v>
      </c>
      <c r="C7" s="7" t="s">
        <v>224</v>
      </c>
      <c r="D7" s="7" t="s">
        <v>225</v>
      </c>
      <c r="E7" s="1" t="s">
        <v>722</v>
      </c>
      <c r="F7" s="94" t="s">
        <v>804</v>
      </c>
      <c r="G7" s="94" t="s">
        <v>804</v>
      </c>
      <c r="H7" s="145"/>
      <c r="I7" s="94" t="s">
        <v>804</v>
      </c>
      <c r="J7" s="94" t="s">
        <v>804</v>
      </c>
      <c r="K7" s="94" t="s">
        <v>804</v>
      </c>
      <c r="L7" s="94" t="s">
        <v>804</v>
      </c>
      <c r="M7" s="94" t="s">
        <v>804</v>
      </c>
      <c r="N7" s="165"/>
      <c r="O7" s="145"/>
      <c r="P7" s="94" t="s">
        <v>804</v>
      </c>
      <c r="Q7" s="94" t="s">
        <v>804</v>
      </c>
      <c r="R7" s="94" t="s">
        <v>804</v>
      </c>
      <c r="S7" s="165"/>
      <c r="T7" s="94" t="s">
        <v>804</v>
      </c>
      <c r="U7" s="94" t="s">
        <v>804</v>
      </c>
      <c r="V7" s="145"/>
      <c r="W7" s="5">
        <f>COUNTIF(F7:V7,"P")</f>
        <v>12</v>
      </c>
      <c r="X7" s="5">
        <f>COUNTIF(F7:V7,"A")</f>
        <v>0</v>
      </c>
      <c r="Y7" s="5"/>
      <c r="Z7" s="9"/>
      <c r="AA7" s="3"/>
      <c r="AB7" s="3"/>
    </row>
    <row r="8" spans="1:28" ht="16.5" x14ac:dyDescent="0.25">
      <c r="A8" s="9">
        <v>4</v>
      </c>
      <c r="B8" s="11">
        <v>801</v>
      </c>
      <c r="C8" s="7" t="s">
        <v>226</v>
      </c>
      <c r="D8" s="7" t="s">
        <v>227</v>
      </c>
      <c r="E8" s="1" t="s">
        <v>722</v>
      </c>
      <c r="F8" s="94" t="s">
        <v>804</v>
      </c>
      <c r="G8" s="94" t="s">
        <v>804</v>
      </c>
      <c r="H8" s="145"/>
      <c r="I8" s="94" t="s">
        <v>804</v>
      </c>
      <c r="J8" s="94" t="s">
        <v>804</v>
      </c>
      <c r="K8" s="94" t="s">
        <v>803</v>
      </c>
      <c r="L8" s="94" t="s">
        <v>804</v>
      </c>
      <c r="M8" s="94" t="s">
        <v>804</v>
      </c>
      <c r="N8" s="165"/>
      <c r="O8" s="145"/>
      <c r="P8" s="94" t="s">
        <v>804</v>
      </c>
      <c r="Q8" s="94" t="s">
        <v>804</v>
      </c>
      <c r="R8" s="94" t="s">
        <v>804</v>
      </c>
      <c r="S8" s="165"/>
      <c r="T8" s="94" t="s">
        <v>804</v>
      </c>
      <c r="U8" s="94" t="s">
        <v>804</v>
      </c>
      <c r="V8" s="145"/>
      <c r="W8" s="5">
        <f>COUNTIF(F8:V8,"P")</f>
        <v>11</v>
      </c>
      <c r="X8" s="5">
        <f>COUNTIF(F8:V8,"A")</f>
        <v>1</v>
      </c>
      <c r="Y8" s="5"/>
      <c r="Z8" s="9"/>
      <c r="AA8"/>
      <c r="AB8"/>
    </row>
    <row r="9" spans="1:28" ht="16.5" x14ac:dyDescent="0.25">
      <c r="A9" s="9">
        <v>5</v>
      </c>
      <c r="B9" s="11">
        <v>828</v>
      </c>
      <c r="C9" s="7" t="s">
        <v>228</v>
      </c>
      <c r="D9" s="7" t="s">
        <v>223</v>
      </c>
      <c r="E9" s="1" t="s">
        <v>722</v>
      </c>
      <c r="F9" s="94" t="s">
        <v>803</v>
      </c>
      <c r="G9" s="94" t="s">
        <v>804</v>
      </c>
      <c r="H9" s="145"/>
      <c r="I9" s="94" t="s">
        <v>804</v>
      </c>
      <c r="J9" s="94" t="s">
        <v>804</v>
      </c>
      <c r="K9" s="94" t="s">
        <v>804</v>
      </c>
      <c r="L9" s="94" t="s">
        <v>804</v>
      </c>
      <c r="M9" s="94" t="s">
        <v>804</v>
      </c>
      <c r="N9" s="165"/>
      <c r="O9" s="145"/>
      <c r="P9" s="94" t="s">
        <v>804</v>
      </c>
      <c r="Q9" s="94" t="s">
        <v>804</v>
      </c>
      <c r="R9" s="94" t="s">
        <v>804</v>
      </c>
      <c r="S9" s="165"/>
      <c r="T9" s="94" t="s">
        <v>804</v>
      </c>
      <c r="U9" s="94" t="s">
        <v>803</v>
      </c>
      <c r="V9" s="145"/>
      <c r="W9" s="5">
        <f>COUNTIF(F9:V9,"P")</f>
        <v>10</v>
      </c>
      <c r="X9" s="5">
        <f>COUNTIF(F9:V9,"A")</f>
        <v>2</v>
      </c>
      <c r="Y9" s="5"/>
      <c r="Z9" s="9"/>
    </row>
    <row r="10" spans="1:28" ht="16.5" x14ac:dyDescent="0.25">
      <c r="A10" s="9">
        <v>6</v>
      </c>
      <c r="B10" s="11">
        <v>829</v>
      </c>
      <c r="C10" s="7" t="s">
        <v>229</v>
      </c>
      <c r="D10" s="7" t="s">
        <v>230</v>
      </c>
      <c r="E10" s="1" t="s">
        <v>722</v>
      </c>
      <c r="F10" s="94" t="s">
        <v>804</v>
      </c>
      <c r="G10" s="94" t="s">
        <v>804</v>
      </c>
      <c r="H10" s="145"/>
      <c r="I10" s="94" t="s">
        <v>804</v>
      </c>
      <c r="J10" s="94" t="s">
        <v>804</v>
      </c>
      <c r="K10" s="94" t="s">
        <v>804</v>
      </c>
      <c r="L10" s="94" t="s">
        <v>804</v>
      </c>
      <c r="M10" s="94" t="s">
        <v>804</v>
      </c>
      <c r="N10" s="165"/>
      <c r="O10" s="145"/>
      <c r="P10" s="94" t="s">
        <v>803</v>
      </c>
      <c r="Q10" s="94" t="s">
        <v>804</v>
      </c>
      <c r="R10" s="94" t="s">
        <v>803</v>
      </c>
      <c r="S10" s="165"/>
      <c r="T10" s="94" t="s">
        <v>804</v>
      </c>
      <c r="U10" s="94" t="s">
        <v>804</v>
      </c>
      <c r="V10" s="145"/>
      <c r="W10" s="5">
        <f>COUNTIF(F10:V10,"P")</f>
        <v>10</v>
      </c>
      <c r="X10" s="5">
        <f>COUNTIF(F10:V10,"A")</f>
        <v>2</v>
      </c>
    </row>
    <row r="11" spans="1:28" ht="16.5" x14ac:dyDescent="0.25">
      <c r="A11" s="9">
        <v>7</v>
      </c>
      <c r="B11" s="11">
        <v>817</v>
      </c>
      <c r="C11" s="7" t="s">
        <v>231</v>
      </c>
      <c r="D11" s="7" t="s">
        <v>232</v>
      </c>
      <c r="E11" s="1" t="s">
        <v>722</v>
      </c>
      <c r="F11" s="94" t="s">
        <v>804</v>
      </c>
      <c r="G11" s="94" t="s">
        <v>804</v>
      </c>
      <c r="H11" s="145"/>
      <c r="I11" s="94" t="s">
        <v>804</v>
      </c>
      <c r="J11" s="94" t="s">
        <v>804</v>
      </c>
      <c r="K11" s="94" t="s">
        <v>804</v>
      </c>
      <c r="L11" s="94" t="s">
        <v>804</v>
      </c>
      <c r="M11" s="94" t="s">
        <v>804</v>
      </c>
      <c r="N11" s="165"/>
      <c r="O11" s="145"/>
      <c r="P11" s="94" t="s">
        <v>804</v>
      </c>
      <c r="Q11" s="94" t="s">
        <v>804</v>
      </c>
      <c r="R11" s="94" t="s">
        <v>804</v>
      </c>
      <c r="S11" s="165"/>
      <c r="T11" s="94" t="s">
        <v>804</v>
      </c>
      <c r="U11" s="94" t="s">
        <v>804</v>
      </c>
      <c r="V11" s="145"/>
      <c r="W11" s="5">
        <f>COUNTIF(F11:V11,"P")</f>
        <v>12</v>
      </c>
      <c r="X11" s="5">
        <f>COUNTIF(F11:V11,"A")</f>
        <v>0</v>
      </c>
      <c r="Y11" s="5" t="s">
        <v>10</v>
      </c>
      <c r="Z11" s="5" t="s">
        <v>11</v>
      </c>
      <c r="AA11" s="5" t="s">
        <v>12</v>
      </c>
      <c r="AB11" s="5" t="s">
        <v>13</v>
      </c>
    </row>
    <row r="12" spans="1:28" ht="16.5" x14ac:dyDescent="0.25">
      <c r="A12" s="9">
        <v>8</v>
      </c>
      <c r="B12" s="95">
        <v>807</v>
      </c>
      <c r="C12" s="7" t="s">
        <v>233</v>
      </c>
      <c r="D12" s="7" t="s">
        <v>234</v>
      </c>
      <c r="E12" s="1" t="s">
        <v>722</v>
      </c>
      <c r="F12" s="94" t="s">
        <v>804</v>
      </c>
      <c r="G12" s="94" t="s">
        <v>804</v>
      </c>
      <c r="H12" s="145"/>
      <c r="I12" s="94" t="s">
        <v>804</v>
      </c>
      <c r="J12" s="94" t="s">
        <v>804</v>
      </c>
      <c r="K12" s="94" t="s">
        <v>804</v>
      </c>
      <c r="L12" s="94" t="s">
        <v>804</v>
      </c>
      <c r="M12" s="94" t="s">
        <v>804</v>
      </c>
      <c r="N12" s="165"/>
      <c r="O12" s="145"/>
      <c r="P12" s="94" t="s">
        <v>804</v>
      </c>
      <c r="Q12" s="94" t="s">
        <v>804</v>
      </c>
      <c r="R12" s="94" t="s">
        <v>804</v>
      </c>
      <c r="S12" s="165"/>
      <c r="T12" s="94" t="s">
        <v>804</v>
      </c>
      <c r="U12" s="94" t="s">
        <v>804</v>
      </c>
      <c r="V12" s="145"/>
      <c r="W12" s="5">
        <f>COUNTIF(F12:V12,"P")</f>
        <v>12</v>
      </c>
      <c r="X12" s="5">
        <f>COUNTIF(F12:V12,"A")</f>
        <v>0</v>
      </c>
      <c r="Y12" s="5" t="s">
        <v>14</v>
      </c>
      <c r="Z12" s="9">
        <f>32*$Z$5</f>
        <v>832</v>
      </c>
      <c r="AA12" s="9">
        <f>24*$Z$5</f>
        <v>624</v>
      </c>
      <c r="AB12" s="9">
        <f>SUM(Z12:AA12)</f>
        <v>1456</v>
      </c>
    </row>
    <row r="13" spans="1:28" ht="16.5" x14ac:dyDescent="0.25">
      <c r="A13" s="9">
        <v>9</v>
      </c>
      <c r="B13" s="11">
        <v>827</v>
      </c>
      <c r="C13" s="7" t="s">
        <v>235</v>
      </c>
      <c r="D13" s="7" t="s">
        <v>89</v>
      </c>
      <c r="E13" s="1" t="s">
        <v>722</v>
      </c>
      <c r="F13" s="94" t="s">
        <v>804</v>
      </c>
      <c r="G13" s="94" t="s">
        <v>804</v>
      </c>
      <c r="H13" s="145"/>
      <c r="I13" s="94" t="s">
        <v>804</v>
      </c>
      <c r="J13" s="94" t="s">
        <v>804</v>
      </c>
      <c r="K13" s="94" t="s">
        <v>804</v>
      </c>
      <c r="L13" s="94" t="s">
        <v>804</v>
      </c>
      <c r="M13" s="94" t="s">
        <v>804</v>
      </c>
      <c r="N13" s="165"/>
      <c r="O13" s="145"/>
      <c r="P13" s="94" t="s">
        <v>804</v>
      </c>
      <c r="Q13" s="94" t="s">
        <v>804</v>
      </c>
      <c r="R13" s="94" t="s">
        <v>804</v>
      </c>
      <c r="S13" s="165"/>
      <c r="T13" s="94" t="s">
        <v>803</v>
      </c>
      <c r="U13" s="94" t="s">
        <v>804</v>
      </c>
      <c r="V13" s="145"/>
      <c r="W13" s="5">
        <f>COUNTIF(F13:V13,"P")</f>
        <v>11</v>
      </c>
      <c r="X13" s="5">
        <f>COUNTIF(F13:V13,"A")</f>
        <v>1</v>
      </c>
      <c r="Y13" s="5" t="s">
        <v>15</v>
      </c>
      <c r="Z13" s="9">
        <f>SUM(W25:W54)</f>
        <v>337</v>
      </c>
      <c r="AA13" s="9">
        <f>SUM(W5:W24)</f>
        <v>221</v>
      </c>
      <c r="AB13" s="9">
        <f>Z13+AA13</f>
        <v>558</v>
      </c>
    </row>
    <row r="14" spans="1:28" ht="16.5" x14ac:dyDescent="0.25">
      <c r="A14" s="9">
        <v>10</v>
      </c>
      <c r="B14" s="11">
        <v>802</v>
      </c>
      <c r="C14" s="7" t="s">
        <v>236</v>
      </c>
      <c r="D14" s="7" t="s">
        <v>184</v>
      </c>
      <c r="E14" s="1" t="s">
        <v>722</v>
      </c>
      <c r="F14" s="94" t="s">
        <v>804</v>
      </c>
      <c r="G14" s="94" t="s">
        <v>804</v>
      </c>
      <c r="H14" s="145"/>
      <c r="I14" s="94" t="s">
        <v>804</v>
      </c>
      <c r="J14" s="94" t="s">
        <v>804</v>
      </c>
      <c r="K14" s="94" t="s">
        <v>804</v>
      </c>
      <c r="L14" s="94" t="s">
        <v>804</v>
      </c>
      <c r="M14" s="94" t="s">
        <v>804</v>
      </c>
      <c r="N14" s="165"/>
      <c r="O14" s="145"/>
      <c r="P14" s="94" t="s">
        <v>804</v>
      </c>
      <c r="Q14" s="94" t="s">
        <v>804</v>
      </c>
      <c r="R14" s="94" t="s">
        <v>803</v>
      </c>
      <c r="S14" s="165"/>
      <c r="T14" s="94" t="s">
        <v>804</v>
      </c>
      <c r="U14" s="94" t="s">
        <v>804</v>
      </c>
      <c r="V14" s="145"/>
      <c r="W14" s="5">
        <f>COUNTIF(F14:V14,"P")</f>
        <v>11</v>
      </c>
      <c r="X14" s="5">
        <f>COUNTIF(F14:V14,"A")</f>
        <v>1</v>
      </c>
      <c r="Y14" s="5" t="s">
        <v>16</v>
      </c>
      <c r="Z14" s="12">
        <f>Z13/Z12</f>
        <v>0.40504807692307693</v>
      </c>
      <c r="AA14" s="12">
        <f>AA13/AA12</f>
        <v>0.35416666666666669</v>
      </c>
      <c r="AB14" s="12">
        <f>AB13/AB12</f>
        <v>0.38324175824175827</v>
      </c>
    </row>
    <row r="15" spans="1:28" ht="16.5" x14ac:dyDescent="0.25">
      <c r="A15" s="9">
        <v>11</v>
      </c>
      <c r="B15" s="11"/>
      <c r="C15" s="7" t="s">
        <v>237</v>
      </c>
      <c r="D15" s="7" t="s">
        <v>238</v>
      </c>
      <c r="E15" s="1" t="s">
        <v>722</v>
      </c>
      <c r="F15" s="94" t="s">
        <v>804</v>
      </c>
      <c r="G15" s="94" t="s">
        <v>803</v>
      </c>
      <c r="H15" s="145"/>
      <c r="I15" s="94" t="s">
        <v>804</v>
      </c>
      <c r="J15" s="94" t="s">
        <v>804</v>
      </c>
      <c r="K15" s="94" t="s">
        <v>804</v>
      </c>
      <c r="L15" s="94" t="s">
        <v>804</v>
      </c>
      <c r="M15" s="94" t="s">
        <v>803</v>
      </c>
      <c r="N15" s="165"/>
      <c r="O15" s="145"/>
      <c r="P15" s="94" t="s">
        <v>804</v>
      </c>
      <c r="Q15" s="94" t="s">
        <v>804</v>
      </c>
      <c r="R15" s="94" t="s">
        <v>804</v>
      </c>
      <c r="S15" s="165"/>
      <c r="T15" s="94" t="s">
        <v>804</v>
      </c>
      <c r="U15" s="94" t="s">
        <v>804</v>
      </c>
      <c r="V15" s="145"/>
      <c r="W15" s="5">
        <f>COUNTIF(F15:V15,"P")</f>
        <v>10</v>
      </c>
      <c r="X15" s="5">
        <f>COUNTIF(F15:V15,"A")</f>
        <v>2</v>
      </c>
      <c r="Y15"/>
      <c r="Z15"/>
      <c r="AA15"/>
      <c r="AB15"/>
    </row>
    <row r="16" spans="1:28" ht="16.5" x14ac:dyDescent="0.25">
      <c r="A16" s="9">
        <v>12</v>
      </c>
      <c r="B16" s="11">
        <v>836</v>
      </c>
      <c r="C16" s="7" t="s">
        <v>239</v>
      </c>
      <c r="D16" s="7" t="s">
        <v>240</v>
      </c>
      <c r="E16" s="1" t="s">
        <v>722</v>
      </c>
      <c r="F16" s="94" t="s">
        <v>804</v>
      </c>
      <c r="G16" s="94" t="s">
        <v>804</v>
      </c>
      <c r="H16" s="145"/>
      <c r="I16" s="94" t="s">
        <v>804</v>
      </c>
      <c r="J16" s="94" t="s">
        <v>804</v>
      </c>
      <c r="K16" s="94" t="s">
        <v>804</v>
      </c>
      <c r="L16" s="94" t="s">
        <v>804</v>
      </c>
      <c r="M16" s="94" t="s">
        <v>804</v>
      </c>
      <c r="N16" s="165"/>
      <c r="O16" s="145"/>
      <c r="P16" s="94" t="s">
        <v>804</v>
      </c>
      <c r="Q16" s="94" t="s">
        <v>804</v>
      </c>
      <c r="R16" s="94" t="s">
        <v>804</v>
      </c>
      <c r="S16" s="165"/>
      <c r="T16" s="94" t="s">
        <v>804</v>
      </c>
      <c r="U16" s="94" t="s">
        <v>804</v>
      </c>
      <c r="V16" s="145"/>
      <c r="W16" s="5">
        <f>COUNTIF(F16:V16,"P")</f>
        <v>12</v>
      </c>
      <c r="X16" s="5">
        <f>COUNTIF(F16:V16,"A")</f>
        <v>0</v>
      </c>
      <c r="Y16"/>
      <c r="Z16"/>
      <c r="AA16"/>
      <c r="AB16"/>
    </row>
    <row r="17" spans="1:28" ht="16.5" x14ac:dyDescent="0.25">
      <c r="A17" s="9">
        <v>13</v>
      </c>
      <c r="B17" s="11">
        <v>835</v>
      </c>
      <c r="C17" s="7" t="s">
        <v>241</v>
      </c>
      <c r="D17" s="7" t="s">
        <v>684</v>
      </c>
      <c r="E17" s="1" t="s">
        <v>722</v>
      </c>
      <c r="F17" s="94" t="s">
        <v>804</v>
      </c>
      <c r="G17" s="94" t="s">
        <v>804</v>
      </c>
      <c r="H17" s="145"/>
      <c r="I17" s="94" t="s">
        <v>804</v>
      </c>
      <c r="J17" s="94" t="s">
        <v>803</v>
      </c>
      <c r="K17" s="94" t="s">
        <v>804</v>
      </c>
      <c r="L17" s="94" t="s">
        <v>804</v>
      </c>
      <c r="M17" s="94" t="s">
        <v>804</v>
      </c>
      <c r="N17" s="165"/>
      <c r="O17" s="145"/>
      <c r="P17" s="94" t="s">
        <v>803</v>
      </c>
      <c r="Q17" s="94" t="s">
        <v>804</v>
      </c>
      <c r="R17" s="94" t="s">
        <v>804</v>
      </c>
      <c r="S17" s="165"/>
      <c r="T17" s="94" t="s">
        <v>804</v>
      </c>
      <c r="U17" s="94" t="s">
        <v>804</v>
      </c>
      <c r="V17" s="145"/>
      <c r="W17" s="5">
        <f>COUNTIF(F17:V17,"P")</f>
        <v>10</v>
      </c>
      <c r="X17" s="5">
        <f>COUNTIF(F17:V17,"A")</f>
        <v>2</v>
      </c>
      <c r="Y17"/>
      <c r="Z17"/>
      <c r="AA17"/>
      <c r="AB17"/>
    </row>
    <row r="18" spans="1:28" ht="16.5" x14ac:dyDescent="0.25">
      <c r="A18" s="9">
        <v>14</v>
      </c>
      <c r="B18" s="11"/>
      <c r="C18" s="7" t="s">
        <v>242</v>
      </c>
      <c r="D18" s="7" t="s">
        <v>243</v>
      </c>
      <c r="E18" s="1" t="s">
        <v>722</v>
      </c>
      <c r="F18" s="94" t="s">
        <v>804</v>
      </c>
      <c r="G18" s="94" t="s">
        <v>804</v>
      </c>
      <c r="H18" s="145"/>
      <c r="I18" s="94" t="s">
        <v>804</v>
      </c>
      <c r="J18" s="94" t="s">
        <v>804</v>
      </c>
      <c r="K18" s="94" t="s">
        <v>804</v>
      </c>
      <c r="L18" s="94" t="s">
        <v>804</v>
      </c>
      <c r="M18" s="94" t="s">
        <v>804</v>
      </c>
      <c r="N18" s="165"/>
      <c r="O18" s="145"/>
      <c r="P18" s="94" t="s">
        <v>804</v>
      </c>
      <c r="Q18" s="94" t="s">
        <v>804</v>
      </c>
      <c r="R18" s="94" t="s">
        <v>804</v>
      </c>
      <c r="S18" s="165"/>
      <c r="T18" s="94" t="s">
        <v>804</v>
      </c>
      <c r="U18" s="94" t="s">
        <v>804</v>
      </c>
      <c r="V18" s="145"/>
      <c r="W18" s="5">
        <f>COUNTIF(F18:V18,"P")</f>
        <v>12</v>
      </c>
      <c r="X18" s="5">
        <f>COUNTIF(F18:V18,"A")</f>
        <v>0</v>
      </c>
      <c r="Y18" s="134" t="s">
        <v>121</v>
      </c>
      <c r="Z18" s="135"/>
      <c r="AA18" s="135"/>
      <c r="AB18" s="136"/>
    </row>
    <row r="19" spans="1:28" ht="16.5" x14ac:dyDescent="0.25">
      <c r="A19" s="9">
        <v>15</v>
      </c>
      <c r="B19" s="11">
        <v>892</v>
      </c>
      <c r="C19" s="7" t="s">
        <v>244</v>
      </c>
      <c r="D19" s="7" t="s">
        <v>245</v>
      </c>
      <c r="E19" s="1" t="s">
        <v>722</v>
      </c>
      <c r="F19" s="94" t="s">
        <v>804</v>
      </c>
      <c r="G19" s="94" t="s">
        <v>804</v>
      </c>
      <c r="H19" s="145"/>
      <c r="I19" s="94" t="s">
        <v>804</v>
      </c>
      <c r="J19" s="94" t="s">
        <v>804</v>
      </c>
      <c r="K19" s="94" t="s">
        <v>804</v>
      </c>
      <c r="L19" s="94" t="s">
        <v>804</v>
      </c>
      <c r="M19" s="94" t="s">
        <v>804</v>
      </c>
      <c r="N19" s="165"/>
      <c r="O19" s="145"/>
      <c r="P19" s="94" t="s">
        <v>804</v>
      </c>
      <c r="Q19" s="94" t="s">
        <v>804</v>
      </c>
      <c r="R19" s="94" t="s">
        <v>804</v>
      </c>
      <c r="S19" s="165"/>
      <c r="T19" s="94" t="s">
        <v>804</v>
      </c>
      <c r="U19" s="94" t="s">
        <v>804</v>
      </c>
      <c r="V19" s="145"/>
      <c r="W19" s="5">
        <f>COUNTIF(F19:V19,"P")</f>
        <v>12</v>
      </c>
      <c r="X19" s="5">
        <f>COUNTIF(F19:V19,"A")</f>
        <v>0</v>
      </c>
      <c r="Y19" s="5" t="s">
        <v>10</v>
      </c>
      <c r="Z19" s="5" t="s">
        <v>11</v>
      </c>
      <c r="AA19" s="5" t="s">
        <v>12</v>
      </c>
      <c r="AB19" s="5" t="s">
        <v>13</v>
      </c>
    </row>
    <row r="20" spans="1:28" ht="16.5" x14ac:dyDescent="0.25">
      <c r="A20" s="9">
        <v>16</v>
      </c>
      <c r="B20" s="11">
        <v>838</v>
      </c>
      <c r="C20" s="7" t="s">
        <v>246</v>
      </c>
      <c r="D20" s="7" t="s">
        <v>245</v>
      </c>
      <c r="E20" s="1" t="s">
        <v>722</v>
      </c>
      <c r="F20" s="94" t="s">
        <v>804</v>
      </c>
      <c r="G20" s="94" t="s">
        <v>804</v>
      </c>
      <c r="H20" s="145"/>
      <c r="I20" s="94" t="s">
        <v>804</v>
      </c>
      <c r="J20" s="94" t="s">
        <v>804</v>
      </c>
      <c r="K20" s="94" t="s">
        <v>804</v>
      </c>
      <c r="L20" s="94" t="s">
        <v>804</v>
      </c>
      <c r="M20" s="94" t="s">
        <v>804</v>
      </c>
      <c r="N20" s="165"/>
      <c r="O20" s="145"/>
      <c r="P20" s="94" t="s">
        <v>804</v>
      </c>
      <c r="Q20" s="94" t="s">
        <v>804</v>
      </c>
      <c r="R20" s="94" t="s">
        <v>804</v>
      </c>
      <c r="S20" s="165"/>
      <c r="T20" s="94" t="s">
        <v>804</v>
      </c>
      <c r="U20" s="94" t="s">
        <v>804</v>
      </c>
      <c r="V20" s="145"/>
      <c r="W20" s="5">
        <f>COUNTIF(F20:V20,"P")</f>
        <v>12</v>
      </c>
      <c r="X20" s="5">
        <f>COUNTIF(F20:V20,"A")</f>
        <v>0</v>
      </c>
      <c r="Y20" s="5" t="s">
        <v>14</v>
      </c>
      <c r="Z20" s="9">
        <f>32*$Z$5</f>
        <v>832</v>
      </c>
      <c r="AA20" s="9">
        <f>24*$Z$5</f>
        <v>624</v>
      </c>
      <c r="AB20" s="9">
        <f>Z20+AA20</f>
        <v>1456</v>
      </c>
    </row>
    <row r="21" spans="1:28" ht="16.5" x14ac:dyDescent="0.25">
      <c r="A21" s="9">
        <v>17</v>
      </c>
      <c r="B21" s="11">
        <v>808</v>
      </c>
      <c r="C21" s="7" t="s">
        <v>252</v>
      </c>
      <c r="D21" s="7" t="s">
        <v>253</v>
      </c>
      <c r="E21" s="1" t="s">
        <v>722</v>
      </c>
      <c r="F21" s="94" t="s">
        <v>804</v>
      </c>
      <c r="G21" s="94" t="s">
        <v>804</v>
      </c>
      <c r="H21" s="145"/>
      <c r="I21" s="94" t="s">
        <v>804</v>
      </c>
      <c r="J21" s="94" t="s">
        <v>804</v>
      </c>
      <c r="K21" s="94" t="s">
        <v>803</v>
      </c>
      <c r="L21" s="94" t="s">
        <v>804</v>
      </c>
      <c r="M21" s="94" t="s">
        <v>804</v>
      </c>
      <c r="N21" s="165"/>
      <c r="O21" s="145"/>
      <c r="P21" s="94" t="s">
        <v>804</v>
      </c>
      <c r="Q21" s="94" t="s">
        <v>803</v>
      </c>
      <c r="R21" s="94" t="s">
        <v>804</v>
      </c>
      <c r="S21" s="165"/>
      <c r="T21" s="94" t="s">
        <v>804</v>
      </c>
      <c r="U21" s="94" t="s">
        <v>803</v>
      </c>
      <c r="V21" s="145"/>
      <c r="W21" s="5">
        <f>COUNTIF(F21:V21,"P")</f>
        <v>9</v>
      </c>
      <c r="X21" s="5">
        <f>COUNTIF(F21:V21,"A")</f>
        <v>3</v>
      </c>
      <c r="Y21" s="5" t="s">
        <v>17</v>
      </c>
      <c r="Z21" s="9">
        <f>Z20-Z13</f>
        <v>495</v>
      </c>
      <c r="AA21" s="9">
        <f>AA20-AA13</f>
        <v>403</v>
      </c>
      <c r="AB21" s="9">
        <f>Z21+AA21</f>
        <v>898</v>
      </c>
    </row>
    <row r="22" spans="1:28" ht="16.5" x14ac:dyDescent="0.25">
      <c r="A22" s="9">
        <v>18</v>
      </c>
      <c r="B22" s="11">
        <v>823</v>
      </c>
      <c r="C22" s="7" t="s">
        <v>247</v>
      </c>
      <c r="D22" s="7" t="s">
        <v>248</v>
      </c>
      <c r="E22" s="1" t="s">
        <v>722</v>
      </c>
      <c r="F22" s="94" t="s">
        <v>804</v>
      </c>
      <c r="G22" s="94" t="s">
        <v>804</v>
      </c>
      <c r="H22" s="145"/>
      <c r="I22" s="94" t="s">
        <v>804</v>
      </c>
      <c r="J22" s="94" t="s">
        <v>804</v>
      </c>
      <c r="K22" s="94" t="s">
        <v>804</v>
      </c>
      <c r="L22" s="94" t="s">
        <v>804</v>
      </c>
      <c r="M22" s="94" t="s">
        <v>804</v>
      </c>
      <c r="N22" s="165"/>
      <c r="O22" s="145"/>
      <c r="P22" s="94" t="s">
        <v>804</v>
      </c>
      <c r="Q22" s="94" t="s">
        <v>804</v>
      </c>
      <c r="R22" s="94" t="s">
        <v>804</v>
      </c>
      <c r="S22" s="165"/>
      <c r="T22" s="94" t="s">
        <v>804</v>
      </c>
      <c r="U22" s="94" t="s">
        <v>804</v>
      </c>
      <c r="V22" s="145"/>
      <c r="W22" s="5">
        <f>COUNTIF(F22:V22,"P")</f>
        <v>12</v>
      </c>
      <c r="X22" s="5">
        <f>COUNTIF(F22:V22,"A")</f>
        <v>0</v>
      </c>
    </row>
    <row r="23" spans="1:28" ht="16.5" x14ac:dyDescent="0.25">
      <c r="A23" s="9">
        <v>19</v>
      </c>
      <c r="B23" s="11">
        <v>793</v>
      </c>
      <c r="C23" s="7" t="s">
        <v>249</v>
      </c>
      <c r="D23" s="7" t="s">
        <v>250</v>
      </c>
      <c r="E23" s="1" t="s">
        <v>722</v>
      </c>
      <c r="F23" s="94" t="s">
        <v>804</v>
      </c>
      <c r="G23" s="94" t="s">
        <v>804</v>
      </c>
      <c r="H23" s="145"/>
      <c r="I23" s="94" t="s">
        <v>804</v>
      </c>
      <c r="J23" s="94" t="s">
        <v>804</v>
      </c>
      <c r="K23" s="94" t="s">
        <v>804</v>
      </c>
      <c r="L23" s="94" t="s">
        <v>804</v>
      </c>
      <c r="M23" s="94" t="s">
        <v>804</v>
      </c>
      <c r="N23" s="165"/>
      <c r="O23" s="145"/>
      <c r="P23" s="94" t="s">
        <v>804</v>
      </c>
      <c r="Q23" s="94" t="s">
        <v>804</v>
      </c>
      <c r="R23" s="94" t="s">
        <v>804</v>
      </c>
      <c r="S23" s="165"/>
      <c r="T23" s="94" t="s">
        <v>804</v>
      </c>
      <c r="U23" s="94" t="s">
        <v>804</v>
      </c>
      <c r="V23" s="145"/>
      <c r="W23" s="5">
        <f>COUNTIF(F23:V23,"P")</f>
        <v>12</v>
      </c>
      <c r="X23" s="5">
        <f>COUNTIF(F23:V23,"A")</f>
        <v>0</v>
      </c>
    </row>
    <row r="24" spans="1:28" ht="16.5" x14ac:dyDescent="0.25">
      <c r="A24" s="9">
        <v>20</v>
      </c>
      <c r="B24" s="11">
        <v>811</v>
      </c>
      <c r="C24" s="7" t="s">
        <v>249</v>
      </c>
      <c r="D24" s="7" t="s">
        <v>251</v>
      </c>
      <c r="E24" s="1" t="s">
        <v>722</v>
      </c>
      <c r="F24" s="94" t="s">
        <v>803</v>
      </c>
      <c r="G24" s="94" t="s">
        <v>804</v>
      </c>
      <c r="H24" s="145"/>
      <c r="I24" s="94" t="s">
        <v>804</v>
      </c>
      <c r="J24" s="94" t="s">
        <v>804</v>
      </c>
      <c r="K24" s="94" t="s">
        <v>804</v>
      </c>
      <c r="L24" s="94" t="s">
        <v>804</v>
      </c>
      <c r="M24" s="94" t="s">
        <v>804</v>
      </c>
      <c r="N24" s="165"/>
      <c r="O24" s="145"/>
      <c r="P24" s="94" t="s">
        <v>804</v>
      </c>
      <c r="Q24" s="94" t="s">
        <v>804</v>
      </c>
      <c r="R24" s="94" t="s">
        <v>804</v>
      </c>
      <c r="S24" s="165"/>
      <c r="T24" s="94" t="s">
        <v>804</v>
      </c>
      <c r="U24" s="94" t="s">
        <v>804</v>
      </c>
      <c r="V24" s="145"/>
      <c r="W24" s="5">
        <f>COUNTIF(F24:V24,"P")</f>
        <v>11</v>
      </c>
      <c r="X24" s="5">
        <f>COUNTIF(F24:V24,"A")</f>
        <v>1</v>
      </c>
    </row>
    <row r="25" spans="1:28" ht="16.5" customHeight="1" x14ac:dyDescent="0.25">
      <c r="A25" s="9">
        <v>1</v>
      </c>
      <c r="B25" s="11">
        <v>824</v>
      </c>
      <c r="C25" s="7" t="s">
        <v>255</v>
      </c>
      <c r="D25" s="7" t="s">
        <v>251</v>
      </c>
      <c r="E25" s="1" t="s">
        <v>722</v>
      </c>
      <c r="F25" s="94" t="s">
        <v>804</v>
      </c>
      <c r="G25" s="94" t="s">
        <v>804</v>
      </c>
      <c r="H25" s="145"/>
      <c r="I25" s="94" t="s">
        <v>804</v>
      </c>
      <c r="J25" s="94" t="s">
        <v>804</v>
      </c>
      <c r="K25" s="94" t="s">
        <v>803</v>
      </c>
      <c r="L25" s="94" t="s">
        <v>804</v>
      </c>
      <c r="M25" s="94" t="s">
        <v>804</v>
      </c>
      <c r="N25" s="165"/>
      <c r="O25" s="145"/>
      <c r="P25" s="94" t="s">
        <v>804</v>
      </c>
      <c r="Q25" s="94" t="s">
        <v>803</v>
      </c>
      <c r="R25" s="94" t="s">
        <v>804</v>
      </c>
      <c r="S25" s="165"/>
      <c r="T25" s="94" t="s">
        <v>803</v>
      </c>
      <c r="U25" s="94" t="s">
        <v>804</v>
      </c>
      <c r="V25" s="145"/>
      <c r="W25" s="5">
        <f>COUNTIF(F25:V25,"P")</f>
        <v>9</v>
      </c>
      <c r="X25" s="5">
        <f>COUNTIF(F25:V25,"A")</f>
        <v>3</v>
      </c>
    </row>
    <row r="26" spans="1:28" ht="16.5" x14ac:dyDescent="0.25">
      <c r="A26" s="9">
        <v>2</v>
      </c>
      <c r="B26" s="11">
        <v>791</v>
      </c>
      <c r="C26" s="7" t="s">
        <v>255</v>
      </c>
      <c r="D26" s="7" t="s">
        <v>256</v>
      </c>
      <c r="E26" s="1" t="s">
        <v>722</v>
      </c>
      <c r="F26" s="94" t="s">
        <v>804</v>
      </c>
      <c r="G26" s="94" t="s">
        <v>803</v>
      </c>
      <c r="H26" s="145"/>
      <c r="I26" s="94" t="s">
        <v>804</v>
      </c>
      <c r="J26" s="94" t="s">
        <v>804</v>
      </c>
      <c r="K26" s="94" t="s">
        <v>804</v>
      </c>
      <c r="L26" s="94" t="s">
        <v>804</v>
      </c>
      <c r="M26" s="94" t="s">
        <v>804</v>
      </c>
      <c r="N26" s="165"/>
      <c r="O26" s="145"/>
      <c r="P26" s="94" t="s">
        <v>804</v>
      </c>
      <c r="Q26" s="94" t="s">
        <v>804</v>
      </c>
      <c r="R26" s="94" t="s">
        <v>804</v>
      </c>
      <c r="S26" s="165"/>
      <c r="T26" s="94" t="s">
        <v>804</v>
      </c>
      <c r="U26" s="94" t="s">
        <v>804</v>
      </c>
      <c r="V26" s="145"/>
      <c r="W26" s="5">
        <f>COUNTIF(F26:V26,"P")</f>
        <v>11</v>
      </c>
      <c r="X26" s="5">
        <f>COUNTIF(F26:V26,"A")</f>
        <v>1</v>
      </c>
    </row>
    <row r="27" spans="1:28" ht="16.5" x14ac:dyDescent="0.25">
      <c r="A27" s="9">
        <v>3</v>
      </c>
      <c r="B27" s="11">
        <v>809</v>
      </c>
      <c r="C27" s="7" t="s">
        <v>257</v>
      </c>
      <c r="D27" s="7" t="s">
        <v>258</v>
      </c>
      <c r="E27" s="1" t="s">
        <v>722</v>
      </c>
      <c r="F27" s="94" t="s">
        <v>804</v>
      </c>
      <c r="G27" s="94" t="s">
        <v>804</v>
      </c>
      <c r="H27" s="145"/>
      <c r="I27" s="94" t="s">
        <v>803</v>
      </c>
      <c r="J27" s="94" t="s">
        <v>804</v>
      </c>
      <c r="K27" s="94" t="s">
        <v>804</v>
      </c>
      <c r="L27" s="94" t="s">
        <v>804</v>
      </c>
      <c r="M27" s="94" t="s">
        <v>804</v>
      </c>
      <c r="N27" s="165"/>
      <c r="O27" s="145"/>
      <c r="P27" s="94" t="s">
        <v>804</v>
      </c>
      <c r="Q27" s="94" t="s">
        <v>804</v>
      </c>
      <c r="R27" s="94" t="s">
        <v>804</v>
      </c>
      <c r="S27" s="165"/>
      <c r="T27" s="94" t="s">
        <v>804</v>
      </c>
      <c r="U27" s="94" t="s">
        <v>804</v>
      </c>
      <c r="V27" s="145"/>
      <c r="W27" s="5">
        <f>COUNTIF(F27:V27,"P")</f>
        <v>11</v>
      </c>
      <c r="X27" s="5">
        <f>COUNTIF(F27:V27,"A")</f>
        <v>1</v>
      </c>
    </row>
    <row r="28" spans="1:28" ht="16.5" x14ac:dyDescent="0.25">
      <c r="A28" s="9">
        <v>4</v>
      </c>
      <c r="B28" s="11">
        <v>837</v>
      </c>
      <c r="C28" s="7" t="s">
        <v>259</v>
      </c>
      <c r="D28" s="7" t="s">
        <v>260</v>
      </c>
      <c r="E28" s="1" t="s">
        <v>722</v>
      </c>
      <c r="F28" s="94" t="s">
        <v>804</v>
      </c>
      <c r="G28" s="94" t="s">
        <v>804</v>
      </c>
      <c r="H28" s="145"/>
      <c r="I28" s="94" t="s">
        <v>804</v>
      </c>
      <c r="J28" s="94" t="s">
        <v>804</v>
      </c>
      <c r="K28" s="94" t="s">
        <v>804</v>
      </c>
      <c r="L28" s="94" t="s">
        <v>804</v>
      </c>
      <c r="M28" s="94" t="s">
        <v>804</v>
      </c>
      <c r="N28" s="165"/>
      <c r="O28" s="145"/>
      <c r="P28" s="94" t="s">
        <v>804</v>
      </c>
      <c r="Q28" s="94" t="s">
        <v>804</v>
      </c>
      <c r="R28" s="94" t="s">
        <v>804</v>
      </c>
      <c r="S28" s="165"/>
      <c r="T28" s="94" t="s">
        <v>804</v>
      </c>
      <c r="U28" s="94" t="s">
        <v>804</v>
      </c>
      <c r="V28" s="145"/>
      <c r="W28" s="5">
        <f>COUNTIF(F28:V28,"P")</f>
        <v>12</v>
      </c>
      <c r="X28" s="5">
        <f>COUNTIF(F28:V28,"A")</f>
        <v>0</v>
      </c>
    </row>
    <row r="29" spans="1:28" ht="16.5" x14ac:dyDescent="0.25">
      <c r="A29" s="9">
        <v>5</v>
      </c>
      <c r="B29" s="11">
        <v>798</v>
      </c>
      <c r="C29" s="7" t="s">
        <v>111</v>
      </c>
      <c r="D29" s="7" t="s">
        <v>261</v>
      </c>
      <c r="E29" s="1" t="s">
        <v>722</v>
      </c>
      <c r="F29" s="94" t="s">
        <v>804</v>
      </c>
      <c r="G29" s="94" t="s">
        <v>804</v>
      </c>
      <c r="H29" s="145"/>
      <c r="I29" s="94" t="s">
        <v>804</v>
      </c>
      <c r="J29" s="94" t="s">
        <v>804</v>
      </c>
      <c r="K29" s="94" t="s">
        <v>804</v>
      </c>
      <c r="L29" s="94" t="s">
        <v>804</v>
      </c>
      <c r="M29" s="94" t="s">
        <v>804</v>
      </c>
      <c r="N29" s="165"/>
      <c r="O29" s="145"/>
      <c r="P29" s="94" t="s">
        <v>804</v>
      </c>
      <c r="Q29" s="94" t="s">
        <v>804</v>
      </c>
      <c r="R29" s="94" t="s">
        <v>804</v>
      </c>
      <c r="S29" s="165"/>
      <c r="T29" s="94" t="s">
        <v>804</v>
      </c>
      <c r="U29" s="94" t="s">
        <v>803</v>
      </c>
      <c r="V29" s="145"/>
      <c r="W29" s="5">
        <f>COUNTIF(F29:V29,"P")</f>
        <v>11</v>
      </c>
      <c r="X29" s="5">
        <f>COUNTIF(F29:V29,"A")</f>
        <v>1</v>
      </c>
    </row>
    <row r="30" spans="1:28" ht="15" customHeight="1" x14ac:dyDescent="0.25">
      <c r="A30" s="9">
        <v>6</v>
      </c>
      <c r="B30" s="11">
        <v>816</v>
      </c>
      <c r="C30" s="7" t="s">
        <v>262</v>
      </c>
      <c r="D30" s="7" t="s">
        <v>263</v>
      </c>
      <c r="E30" s="1" t="s">
        <v>722</v>
      </c>
      <c r="F30" s="94" t="s">
        <v>804</v>
      </c>
      <c r="G30" s="94" t="s">
        <v>804</v>
      </c>
      <c r="H30" s="145"/>
      <c r="I30" s="94" t="s">
        <v>804</v>
      </c>
      <c r="J30" s="94" t="s">
        <v>804</v>
      </c>
      <c r="K30" s="94" t="s">
        <v>804</v>
      </c>
      <c r="L30" s="94" t="s">
        <v>804</v>
      </c>
      <c r="M30" s="94" t="s">
        <v>804</v>
      </c>
      <c r="N30" s="165"/>
      <c r="O30" s="145"/>
      <c r="P30" s="94" t="s">
        <v>804</v>
      </c>
      <c r="Q30" s="94" t="s">
        <v>804</v>
      </c>
      <c r="R30" s="94" t="s">
        <v>804</v>
      </c>
      <c r="S30" s="165"/>
      <c r="T30" s="94" t="s">
        <v>804</v>
      </c>
      <c r="U30" s="94" t="s">
        <v>804</v>
      </c>
      <c r="V30" s="145"/>
      <c r="W30" s="5">
        <f>COUNTIF(F30:V30,"P")</f>
        <v>12</v>
      </c>
      <c r="X30" s="5">
        <f>COUNTIF(F30:V30,"A")</f>
        <v>0</v>
      </c>
    </row>
    <row r="31" spans="1:28" ht="16.5" x14ac:dyDescent="0.25">
      <c r="A31" s="9">
        <v>7</v>
      </c>
      <c r="B31" s="11"/>
      <c r="C31" s="7" t="s">
        <v>264</v>
      </c>
      <c r="D31" s="7" t="s">
        <v>265</v>
      </c>
      <c r="E31" s="1" t="s">
        <v>722</v>
      </c>
      <c r="F31" s="94" t="s">
        <v>804</v>
      </c>
      <c r="G31" s="94" t="s">
        <v>803</v>
      </c>
      <c r="H31" s="145"/>
      <c r="I31" s="94" t="s">
        <v>804</v>
      </c>
      <c r="J31" s="94" t="s">
        <v>803</v>
      </c>
      <c r="K31" s="94" t="s">
        <v>804</v>
      </c>
      <c r="L31" s="94" t="s">
        <v>804</v>
      </c>
      <c r="M31" s="94" t="s">
        <v>804</v>
      </c>
      <c r="N31" s="165"/>
      <c r="O31" s="145"/>
      <c r="P31" s="94" t="s">
        <v>803</v>
      </c>
      <c r="Q31" s="94" t="s">
        <v>804</v>
      </c>
      <c r="R31" s="94" t="s">
        <v>804</v>
      </c>
      <c r="S31" s="165"/>
      <c r="T31" s="94" t="s">
        <v>804</v>
      </c>
      <c r="U31" s="94" t="s">
        <v>804</v>
      </c>
      <c r="V31" s="145"/>
      <c r="W31" s="5">
        <f>COUNTIF(F31:V31,"P")</f>
        <v>9</v>
      </c>
      <c r="X31" s="5">
        <f>COUNTIF(F31:V31,"A")</f>
        <v>3</v>
      </c>
    </row>
    <row r="32" spans="1:28" ht="16.5" x14ac:dyDescent="0.25">
      <c r="A32" s="9">
        <v>8</v>
      </c>
      <c r="B32" s="11">
        <v>795</v>
      </c>
      <c r="C32" s="7" t="s">
        <v>96</v>
      </c>
      <c r="D32" s="7" t="s">
        <v>266</v>
      </c>
      <c r="E32" s="1" t="s">
        <v>722</v>
      </c>
      <c r="F32" s="94" t="s">
        <v>804</v>
      </c>
      <c r="G32" s="94" t="s">
        <v>804</v>
      </c>
      <c r="H32" s="145"/>
      <c r="I32" s="94" t="s">
        <v>804</v>
      </c>
      <c r="J32" s="94" t="s">
        <v>804</v>
      </c>
      <c r="K32" s="94" t="s">
        <v>804</v>
      </c>
      <c r="L32" s="94" t="s">
        <v>804</v>
      </c>
      <c r="M32" s="94" t="s">
        <v>804</v>
      </c>
      <c r="N32" s="165"/>
      <c r="O32" s="145"/>
      <c r="P32" s="94" t="s">
        <v>804</v>
      </c>
      <c r="Q32" s="94" t="s">
        <v>804</v>
      </c>
      <c r="R32" s="94" t="s">
        <v>804</v>
      </c>
      <c r="S32" s="165"/>
      <c r="T32" s="94" t="s">
        <v>804</v>
      </c>
      <c r="U32" s="94" t="s">
        <v>804</v>
      </c>
      <c r="V32" s="145"/>
      <c r="W32" s="5">
        <f>COUNTIF(F32:V32,"P")</f>
        <v>12</v>
      </c>
      <c r="X32" s="5">
        <f>COUNTIF(F32:V32,"A")</f>
        <v>0</v>
      </c>
    </row>
    <row r="33" spans="1:24" ht="16.5" x14ac:dyDescent="0.25">
      <c r="A33" s="9">
        <v>9</v>
      </c>
      <c r="B33" s="11">
        <v>821</v>
      </c>
      <c r="C33" s="7" t="s">
        <v>267</v>
      </c>
      <c r="D33" s="7" t="s">
        <v>268</v>
      </c>
      <c r="E33" s="1" t="s">
        <v>722</v>
      </c>
      <c r="F33" s="94" t="s">
        <v>804</v>
      </c>
      <c r="G33" s="94" t="s">
        <v>804</v>
      </c>
      <c r="H33" s="145"/>
      <c r="I33" s="94" t="s">
        <v>804</v>
      </c>
      <c r="J33" s="94" t="s">
        <v>804</v>
      </c>
      <c r="K33" s="94" t="s">
        <v>804</v>
      </c>
      <c r="L33" s="94" t="s">
        <v>804</v>
      </c>
      <c r="M33" s="94" t="s">
        <v>804</v>
      </c>
      <c r="N33" s="165"/>
      <c r="O33" s="145"/>
      <c r="P33" s="94" t="s">
        <v>804</v>
      </c>
      <c r="Q33" s="94" t="s">
        <v>804</v>
      </c>
      <c r="R33" s="94" t="s">
        <v>804</v>
      </c>
      <c r="S33" s="165"/>
      <c r="T33" s="94" t="s">
        <v>803</v>
      </c>
      <c r="U33" s="94" t="s">
        <v>804</v>
      </c>
      <c r="V33" s="145"/>
      <c r="W33" s="5">
        <f>COUNTIF(F33:V33,"P")</f>
        <v>11</v>
      </c>
      <c r="X33" s="5">
        <f>COUNTIF(F33:V33,"A")</f>
        <v>1</v>
      </c>
    </row>
    <row r="34" spans="1:24" ht="15" customHeight="1" x14ac:dyDescent="0.25">
      <c r="A34" s="9">
        <v>10</v>
      </c>
      <c r="B34" s="11">
        <v>776</v>
      </c>
      <c r="C34" s="7" t="s">
        <v>269</v>
      </c>
      <c r="D34" s="7" t="s">
        <v>270</v>
      </c>
      <c r="E34" s="1" t="s">
        <v>722</v>
      </c>
      <c r="F34" s="94" t="s">
        <v>804</v>
      </c>
      <c r="G34" s="94" t="s">
        <v>804</v>
      </c>
      <c r="H34" s="145"/>
      <c r="I34" s="94" t="s">
        <v>804</v>
      </c>
      <c r="J34" s="94" t="s">
        <v>804</v>
      </c>
      <c r="K34" s="94" t="s">
        <v>804</v>
      </c>
      <c r="L34" s="94" t="s">
        <v>804</v>
      </c>
      <c r="M34" s="94" t="s">
        <v>804</v>
      </c>
      <c r="N34" s="165"/>
      <c r="O34" s="145"/>
      <c r="P34" s="94" t="s">
        <v>804</v>
      </c>
      <c r="Q34" s="94" t="s">
        <v>804</v>
      </c>
      <c r="R34" s="94" t="s">
        <v>804</v>
      </c>
      <c r="S34" s="165"/>
      <c r="T34" s="94" t="s">
        <v>804</v>
      </c>
      <c r="U34" s="94" t="s">
        <v>804</v>
      </c>
      <c r="V34" s="145"/>
      <c r="W34" s="5">
        <f>COUNTIF(F34:V34,"P")</f>
        <v>12</v>
      </c>
      <c r="X34" s="5">
        <f>COUNTIF(F34:V34,"A")</f>
        <v>0</v>
      </c>
    </row>
    <row r="35" spans="1:24" ht="16.5" x14ac:dyDescent="0.25">
      <c r="A35" s="9">
        <v>11</v>
      </c>
      <c r="B35" s="11">
        <v>820</v>
      </c>
      <c r="C35" s="7" t="s">
        <v>269</v>
      </c>
      <c r="D35" s="7" t="s">
        <v>197</v>
      </c>
      <c r="E35" s="1" t="s">
        <v>722</v>
      </c>
      <c r="F35" s="94" t="s">
        <v>803</v>
      </c>
      <c r="G35" s="94" t="s">
        <v>804</v>
      </c>
      <c r="H35" s="145"/>
      <c r="I35" s="94" t="s">
        <v>804</v>
      </c>
      <c r="J35" s="94" t="s">
        <v>804</v>
      </c>
      <c r="K35" s="94" t="s">
        <v>803</v>
      </c>
      <c r="L35" s="94" t="s">
        <v>804</v>
      </c>
      <c r="M35" s="94" t="s">
        <v>804</v>
      </c>
      <c r="N35" s="165"/>
      <c r="O35" s="145"/>
      <c r="P35" s="94" t="s">
        <v>804</v>
      </c>
      <c r="Q35" s="94" t="s">
        <v>803</v>
      </c>
      <c r="R35" s="94" t="s">
        <v>804</v>
      </c>
      <c r="S35" s="165"/>
      <c r="T35" s="94" t="s">
        <v>804</v>
      </c>
      <c r="U35" s="94" t="s">
        <v>804</v>
      </c>
      <c r="V35" s="145"/>
      <c r="W35" s="5">
        <f>COUNTIF(F35:V35,"P")</f>
        <v>9</v>
      </c>
      <c r="X35" s="5">
        <f>COUNTIF(F35:V35,"A")</f>
        <v>3</v>
      </c>
    </row>
    <row r="36" spans="1:24" ht="16.5" x14ac:dyDescent="0.25">
      <c r="A36" s="9">
        <v>12</v>
      </c>
      <c r="B36" s="11">
        <v>832</v>
      </c>
      <c r="C36" s="7" t="s">
        <v>185</v>
      </c>
      <c r="D36" s="7" t="s">
        <v>271</v>
      </c>
      <c r="E36" s="1" t="s">
        <v>722</v>
      </c>
      <c r="F36" s="94" t="s">
        <v>804</v>
      </c>
      <c r="G36" s="94" t="s">
        <v>804</v>
      </c>
      <c r="H36" s="145"/>
      <c r="I36" s="94" t="s">
        <v>804</v>
      </c>
      <c r="J36" s="94" t="s">
        <v>804</v>
      </c>
      <c r="K36" s="94" t="s">
        <v>804</v>
      </c>
      <c r="L36" s="94" t="s">
        <v>804</v>
      </c>
      <c r="M36" s="94" t="s">
        <v>804</v>
      </c>
      <c r="N36" s="165"/>
      <c r="O36" s="145"/>
      <c r="P36" s="94" t="s">
        <v>804</v>
      </c>
      <c r="Q36" s="94" t="s">
        <v>804</v>
      </c>
      <c r="R36" s="94" t="s">
        <v>804</v>
      </c>
      <c r="S36" s="165"/>
      <c r="T36" s="94" t="s">
        <v>804</v>
      </c>
      <c r="U36" s="94" t="s">
        <v>804</v>
      </c>
      <c r="V36" s="145"/>
      <c r="W36" s="5">
        <f>COUNTIF(F36:V36,"P")</f>
        <v>12</v>
      </c>
      <c r="X36" s="5">
        <f>COUNTIF(F36:V36,"A")</f>
        <v>0</v>
      </c>
    </row>
    <row r="37" spans="1:24" ht="16.5" x14ac:dyDescent="0.25">
      <c r="A37" s="9">
        <v>13</v>
      </c>
      <c r="B37" s="11">
        <v>818</v>
      </c>
      <c r="C37" s="7" t="s">
        <v>272</v>
      </c>
      <c r="D37" s="7" t="s">
        <v>273</v>
      </c>
      <c r="E37" s="1" t="s">
        <v>722</v>
      </c>
      <c r="F37" s="94" t="s">
        <v>804</v>
      </c>
      <c r="G37" s="94" t="s">
        <v>804</v>
      </c>
      <c r="H37" s="145"/>
      <c r="I37" s="94" t="s">
        <v>804</v>
      </c>
      <c r="J37" s="94" t="s">
        <v>804</v>
      </c>
      <c r="K37" s="94" t="s">
        <v>804</v>
      </c>
      <c r="L37" s="94" t="s">
        <v>804</v>
      </c>
      <c r="M37" s="94" t="s">
        <v>804</v>
      </c>
      <c r="N37" s="165"/>
      <c r="O37" s="145"/>
      <c r="P37" s="94" t="s">
        <v>804</v>
      </c>
      <c r="Q37" s="94" t="s">
        <v>804</v>
      </c>
      <c r="R37" s="94" t="s">
        <v>804</v>
      </c>
      <c r="S37" s="165"/>
      <c r="T37" s="94" t="s">
        <v>804</v>
      </c>
      <c r="U37" s="94" t="s">
        <v>804</v>
      </c>
      <c r="V37" s="145"/>
      <c r="W37" s="5">
        <f>COUNTIF(F37:V37,"P")</f>
        <v>12</v>
      </c>
      <c r="X37" s="5">
        <f>COUNTIF(F37:V37,"A")</f>
        <v>0</v>
      </c>
    </row>
    <row r="38" spans="1:24" ht="16.5" x14ac:dyDescent="0.25">
      <c r="A38" s="9">
        <v>14</v>
      </c>
      <c r="B38" s="11"/>
      <c r="C38" s="7" t="s">
        <v>274</v>
      </c>
      <c r="D38" s="7" t="s">
        <v>275</v>
      </c>
      <c r="E38" s="1" t="s">
        <v>722</v>
      </c>
      <c r="F38" s="94" t="s">
        <v>804</v>
      </c>
      <c r="G38" s="94" t="s">
        <v>804</v>
      </c>
      <c r="H38" s="145"/>
      <c r="I38" s="94" t="s">
        <v>804</v>
      </c>
      <c r="J38" s="94" t="s">
        <v>804</v>
      </c>
      <c r="K38" s="94" t="s">
        <v>804</v>
      </c>
      <c r="L38" s="94" t="s">
        <v>804</v>
      </c>
      <c r="M38" s="94" t="s">
        <v>804</v>
      </c>
      <c r="N38" s="165"/>
      <c r="O38" s="145"/>
      <c r="P38" s="94" t="s">
        <v>804</v>
      </c>
      <c r="Q38" s="94" t="s">
        <v>804</v>
      </c>
      <c r="R38" s="94" t="s">
        <v>804</v>
      </c>
      <c r="S38" s="165"/>
      <c r="T38" s="94" t="s">
        <v>804</v>
      </c>
      <c r="U38" s="94" t="s">
        <v>804</v>
      </c>
      <c r="V38" s="145"/>
      <c r="W38" s="5">
        <f>COUNTIF(F38:V38,"P")</f>
        <v>12</v>
      </c>
      <c r="X38" s="5">
        <f>COUNTIF(F38:V38,"A")</f>
        <v>0</v>
      </c>
    </row>
    <row r="39" spans="1:24" ht="16.5" x14ac:dyDescent="0.25">
      <c r="A39" s="9">
        <v>15</v>
      </c>
      <c r="B39" s="11">
        <v>825</v>
      </c>
      <c r="C39" s="7" t="s">
        <v>276</v>
      </c>
      <c r="D39" s="7" t="s">
        <v>223</v>
      </c>
      <c r="E39" s="1" t="s">
        <v>722</v>
      </c>
      <c r="F39" s="94" t="s">
        <v>804</v>
      </c>
      <c r="G39" s="94" t="s">
        <v>804</v>
      </c>
      <c r="H39" s="145"/>
      <c r="I39" s="94" t="s">
        <v>804</v>
      </c>
      <c r="J39" s="94" t="s">
        <v>804</v>
      </c>
      <c r="K39" s="94" t="s">
        <v>804</v>
      </c>
      <c r="L39" s="94" t="s">
        <v>803</v>
      </c>
      <c r="M39" s="94" t="s">
        <v>804</v>
      </c>
      <c r="N39" s="165"/>
      <c r="O39" s="145"/>
      <c r="P39" s="94" t="s">
        <v>804</v>
      </c>
      <c r="Q39" s="94" t="s">
        <v>804</v>
      </c>
      <c r="R39" s="94" t="s">
        <v>804</v>
      </c>
      <c r="S39" s="165"/>
      <c r="T39" s="94" t="s">
        <v>804</v>
      </c>
      <c r="U39" s="94" t="s">
        <v>804</v>
      </c>
      <c r="V39" s="145"/>
      <c r="W39" s="5">
        <f>COUNTIF(F39:V39,"P")</f>
        <v>11</v>
      </c>
      <c r="X39" s="5">
        <f>COUNTIF(F39:V39,"A")</f>
        <v>1</v>
      </c>
    </row>
    <row r="40" spans="1:24" ht="16.5" x14ac:dyDescent="0.25">
      <c r="A40" s="9">
        <v>16</v>
      </c>
      <c r="B40" s="11">
        <v>831</v>
      </c>
      <c r="C40" s="7" t="s">
        <v>277</v>
      </c>
      <c r="D40" s="7" t="s">
        <v>271</v>
      </c>
      <c r="E40" s="1" t="s">
        <v>722</v>
      </c>
      <c r="F40" s="94" t="s">
        <v>804</v>
      </c>
      <c r="G40" s="94" t="s">
        <v>804</v>
      </c>
      <c r="H40" s="145"/>
      <c r="I40" s="94" t="s">
        <v>804</v>
      </c>
      <c r="J40" s="94" t="s">
        <v>804</v>
      </c>
      <c r="K40" s="94" t="s">
        <v>804</v>
      </c>
      <c r="L40" s="94" t="s">
        <v>804</v>
      </c>
      <c r="M40" s="94" t="s">
        <v>804</v>
      </c>
      <c r="N40" s="165"/>
      <c r="O40" s="145"/>
      <c r="P40" s="94" t="s">
        <v>804</v>
      </c>
      <c r="Q40" s="94" t="s">
        <v>803</v>
      </c>
      <c r="R40" s="94" t="s">
        <v>804</v>
      </c>
      <c r="S40" s="165"/>
      <c r="T40" s="94" t="s">
        <v>804</v>
      </c>
      <c r="U40" s="94" t="s">
        <v>804</v>
      </c>
      <c r="V40" s="145"/>
      <c r="W40" s="5">
        <f>COUNTIF(F40:V40,"P")</f>
        <v>11</v>
      </c>
      <c r="X40" s="5">
        <f>COUNTIF(F40:V40,"A")</f>
        <v>1</v>
      </c>
    </row>
    <row r="41" spans="1:24" ht="16.5" x14ac:dyDescent="0.25">
      <c r="A41" s="9">
        <v>17</v>
      </c>
      <c r="B41" s="11">
        <v>833</v>
      </c>
      <c r="C41" s="7" t="s">
        <v>278</v>
      </c>
      <c r="D41" s="7" t="s">
        <v>279</v>
      </c>
      <c r="E41" s="1" t="s">
        <v>722</v>
      </c>
      <c r="F41" s="94" t="s">
        <v>804</v>
      </c>
      <c r="G41" s="94" t="s">
        <v>804</v>
      </c>
      <c r="H41" s="145"/>
      <c r="I41" s="94" t="s">
        <v>804</v>
      </c>
      <c r="J41" s="94" t="s">
        <v>804</v>
      </c>
      <c r="K41" s="94" t="s">
        <v>804</v>
      </c>
      <c r="L41" s="94" t="s">
        <v>804</v>
      </c>
      <c r="M41" s="94" t="s">
        <v>804</v>
      </c>
      <c r="N41" s="165"/>
      <c r="O41" s="145"/>
      <c r="P41" s="94" t="s">
        <v>804</v>
      </c>
      <c r="Q41" s="94" t="s">
        <v>804</v>
      </c>
      <c r="R41" s="94" t="s">
        <v>804</v>
      </c>
      <c r="S41" s="165"/>
      <c r="T41" s="94" t="s">
        <v>804</v>
      </c>
      <c r="U41" s="94" t="s">
        <v>804</v>
      </c>
      <c r="V41" s="145"/>
      <c r="W41" s="5">
        <f>COUNTIF(F41:V41,"P")</f>
        <v>12</v>
      </c>
      <c r="X41" s="5">
        <f>COUNTIF(F41:V41,"A")</f>
        <v>0</v>
      </c>
    </row>
    <row r="42" spans="1:24" ht="16.5" x14ac:dyDescent="0.25">
      <c r="A42" s="9">
        <v>18</v>
      </c>
      <c r="B42" s="11">
        <v>830</v>
      </c>
      <c r="C42" s="7" t="s">
        <v>280</v>
      </c>
      <c r="D42" s="7" t="s">
        <v>281</v>
      </c>
      <c r="E42" s="1" t="s">
        <v>722</v>
      </c>
      <c r="F42" s="94" t="s">
        <v>804</v>
      </c>
      <c r="G42" s="94" t="s">
        <v>804</v>
      </c>
      <c r="H42" s="145"/>
      <c r="I42" s="94" t="s">
        <v>804</v>
      </c>
      <c r="J42" s="94" t="s">
        <v>803</v>
      </c>
      <c r="K42" s="94" t="s">
        <v>804</v>
      </c>
      <c r="L42" s="94" t="s">
        <v>804</v>
      </c>
      <c r="M42" s="94" t="s">
        <v>804</v>
      </c>
      <c r="N42" s="165"/>
      <c r="O42" s="145"/>
      <c r="P42" s="94" t="s">
        <v>804</v>
      </c>
      <c r="Q42" s="94" t="s">
        <v>804</v>
      </c>
      <c r="R42" s="94" t="s">
        <v>804</v>
      </c>
      <c r="S42" s="165"/>
      <c r="T42" s="94" t="s">
        <v>804</v>
      </c>
      <c r="U42" s="94" t="s">
        <v>804</v>
      </c>
      <c r="V42" s="145"/>
      <c r="W42" s="5">
        <f>COUNTIF(F42:V42,"P")</f>
        <v>11</v>
      </c>
      <c r="X42" s="5">
        <f>COUNTIF(F42:V42,"A")</f>
        <v>1</v>
      </c>
    </row>
    <row r="43" spans="1:24" ht="16.5" x14ac:dyDescent="0.25">
      <c r="A43" s="9">
        <v>19</v>
      </c>
      <c r="B43" s="11">
        <v>813</v>
      </c>
      <c r="C43" s="7" t="s">
        <v>282</v>
      </c>
      <c r="D43" s="7" t="s">
        <v>283</v>
      </c>
      <c r="E43" s="1" t="s">
        <v>722</v>
      </c>
      <c r="F43" s="94" t="s">
        <v>804</v>
      </c>
      <c r="G43" s="94" t="s">
        <v>804</v>
      </c>
      <c r="H43" s="145"/>
      <c r="I43" s="94" t="s">
        <v>804</v>
      </c>
      <c r="J43" s="94" t="s">
        <v>804</v>
      </c>
      <c r="K43" s="94" t="s">
        <v>804</v>
      </c>
      <c r="L43" s="94" t="s">
        <v>804</v>
      </c>
      <c r="M43" s="94" t="s">
        <v>804</v>
      </c>
      <c r="N43" s="165"/>
      <c r="O43" s="145"/>
      <c r="P43" s="94" t="s">
        <v>804</v>
      </c>
      <c r="Q43" s="94" t="s">
        <v>804</v>
      </c>
      <c r="R43" s="94" t="s">
        <v>804</v>
      </c>
      <c r="S43" s="165"/>
      <c r="T43" s="94" t="s">
        <v>803</v>
      </c>
      <c r="U43" s="94" t="s">
        <v>804</v>
      </c>
      <c r="V43" s="145"/>
      <c r="W43" s="5">
        <f>COUNTIF(F43:V43,"P")</f>
        <v>11</v>
      </c>
      <c r="X43" s="5">
        <f>COUNTIF(F43:V43,"A")</f>
        <v>1</v>
      </c>
    </row>
    <row r="44" spans="1:24" ht="16.5" x14ac:dyDescent="0.25">
      <c r="A44" s="9">
        <v>20</v>
      </c>
      <c r="B44" s="11"/>
      <c r="C44" s="7" t="s">
        <v>284</v>
      </c>
      <c r="D44" s="7" t="s">
        <v>285</v>
      </c>
      <c r="E44" s="1" t="s">
        <v>722</v>
      </c>
      <c r="F44" s="94" t="s">
        <v>804</v>
      </c>
      <c r="G44" s="94" t="s">
        <v>804</v>
      </c>
      <c r="H44" s="145"/>
      <c r="I44" s="94" t="s">
        <v>804</v>
      </c>
      <c r="J44" s="94" t="s">
        <v>804</v>
      </c>
      <c r="K44" s="94" t="s">
        <v>804</v>
      </c>
      <c r="L44" s="94" t="s">
        <v>804</v>
      </c>
      <c r="M44" s="94" t="s">
        <v>804</v>
      </c>
      <c r="N44" s="165"/>
      <c r="O44" s="145"/>
      <c r="P44" s="94" t="s">
        <v>804</v>
      </c>
      <c r="Q44" s="94" t="s">
        <v>804</v>
      </c>
      <c r="R44" s="94" t="s">
        <v>804</v>
      </c>
      <c r="S44" s="165"/>
      <c r="T44" s="94" t="s">
        <v>804</v>
      </c>
      <c r="U44" s="94" t="s">
        <v>804</v>
      </c>
      <c r="V44" s="145"/>
      <c r="W44" s="5">
        <f>COUNTIF(F44:V44,"P")</f>
        <v>12</v>
      </c>
      <c r="X44" s="5">
        <f>COUNTIF(F44:V44,"A")</f>
        <v>0</v>
      </c>
    </row>
    <row r="45" spans="1:24" ht="16.5" x14ac:dyDescent="0.25">
      <c r="A45" s="9">
        <v>21</v>
      </c>
      <c r="B45" s="11">
        <v>804</v>
      </c>
      <c r="C45" s="7" t="s">
        <v>286</v>
      </c>
      <c r="D45" s="7" t="s">
        <v>287</v>
      </c>
      <c r="E45" s="1" t="s">
        <v>722</v>
      </c>
      <c r="F45" s="94" t="s">
        <v>804</v>
      </c>
      <c r="G45" s="94" t="s">
        <v>804</v>
      </c>
      <c r="H45" s="145"/>
      <c r="I45" s="94" t="s">
        <v>804</v>
      </c>
      <c r="J45" s="94" t="s">
        <v>804</v>
      </c>
      <c r="K45" s="94" t="s">
        <v>804</v>
      </c>
      <c r="L45" s="94" t="s">
        <v>804</v>
      </c>
      <c r="M45" s="94" t="s">
        <v>804</v>
      </c>
      <c r="N45" s="165"/>
      <c r="O45" s="145"/>
      <c r="P45" s="94" t="s">
        <v>804</v>
      </c>
      <c r="Q45" s="94" t="s">
        <v>804</v>
      </c>
      <c r="R45" s="94" t="s">
        <v>804</v>
      </c>
      <c r="S45" s="165"/>
      <c r="T45" s="94" t="s">
        <v>803</v>
      </c>
      <c r="U45" s="94" t="s">
        <v>804</v>
      </c>
      <c r="V45" s="145"/>
      <c r="W45" s="5">
        <f>COUNTIF(F45:V45,"P")</f>
        <v>11</v>
      </c>
      <c r="X45" s="5">
        <f>COUNTIF(F45:V45,"A")</f>
        <v>1</v>
      </c>
    </row>
    <row r="46" spans="1:24" ht="16.5" x14ac:dyDescent="0.25">
      <c r="A46" s="9">
        <v>22</v>
      </c>
      <c r="B46" s="11">
        <v>794</v>
      </c>
      <c r="C46" s="7" t="s">
        <v>288</v>
      </c>
      <c r="D46" s="7" t="s">
        <v>289</v>
      </c>
      <c r="E46" s="1" t="s">
        <v>722</v>
      </c>
      <c r="F46" s="94" t="s">
        <v>804</v>
      </c>
      <c r="G46" s="94" t="s">
        <v>804</v>
      </c>
      <c r="H46" s="145"/>
      <c r="I46" s="94" t="s">
        <v>804</v>
      </c>
      <c r="J46" s="94" t="s">
        <v>803</v>
      </c>
      <c r="K46" s="94" t="s">
        <v>804</v>
      </c>
      <c r="L46" s="94" t="s">
        <v>804</v>
      </c>
      <c r="M46" s="94" t="s">
        <v>804</v>
      </c>
      <c r="N46" s="165"/>
      <c r="O46" s="145"/>
      <c r="P46" s="94" t="s">
        <v>804</v>
      </c>
      <c r="Q46" s="94" t="s">
        <v>804</v>
      </c>
      <c r="R46" s="94" t="s">
        <v>804</v>
      </c>
      <c r="S46" s="165"/>
      <c r="T46" s="94" t="s">
        <v>804</v>
      </c>
      <c r="U46" s="94" t="s">
        <v>804</v>
      </c>
      <c r="V46" s="145"/>
      <c r="W46" s="5">
        <f>COUNTIF(F46:V46,"P")</f>
        <v>11</v>
      </c>
      <c r="X46" s="5">
        <f>COUNTIF(F46:V46,"A")</f>
        <v>1</v>
      </c>
    </row>
    <row r="47" spans="1:24" ht="16.5" x14ac:dyDescent="0.25">
      <c r="A47" s="9">
        <v>23</v>
      </c>
      <c r="B47" s="11">
        <v>826</v>
      </c>
      <c r="C47" s="7" t="s">
        <v>290</v>
      </c>
      <c r="D47" s="7" t="s">
        <v>291</v>
      </c>
      <c r="E47" s="1" t="s">
        <v>722</v>
      </c>
      <c r="F47" s="94" t="s">
        <v>804</v>
      </c>
      <c r="G47" s="94" t="s">
        <v>804</v>
      </c>
      <c r="H47" s="145"/>
      <c r="I47" s="94" t="s">
        <v>804</v>
      </c>
      <c r="J47" s="94" t="s">
        <v>804</v>
      </c>
      <c r="K47" s="94" t="s">
        <v>804</v>
      </c>
      <c r="L47" s="94" t="s">
        <v>804</v>
      </c>
      <c r="M47" s="94" t="s">
        <v>804</v>
      </c>
      <c r="N47" s="165"/>
      <c r="O47" s="145"/>
      <c r="P47" s="94" t="s">
        <v>804</v>
      </c>
      <c r="Q47" s="94" t="s">
        <v>804</v>
      </c>
      <c r="R47" s="94" t="s">
        <v>804</v>
      </c>
      <c r="S47" s="165"/>
      <c r="T47" s="94" t="s">
        <v>804</v>
      </c>
      <c r="U47" s="94" t="s">
        <v>804</v>
      </c>
      <c r="V47" s="145"/>
      <c r="W47" s="5">
        <f>COUNTIF(F47:V47,"P")</f>
        <v>12</v>
      </c>
      <c r="X47" s="5">
        <f>COUNTIF(F47:V47,"A")</f>
        <v>0</v>
      </c>
    </row>
    <row r="48" spans="1:24" ht="16.5" x14ac:dyDescent="0.25">
      <c r="A48" s="9">
        <v>24</v>
      </c>
      <c r="B48" s="11">
        <v>803</v>
      </c>
      <c r="C48" s="7" t="s">
        <v>292</v>
      </c>
      <c r="D48" s="7" t="s">
        <v>293</v>
      </c>
      <c r="E48" s="1" t="s">
        <v>722</v>
      </c>
      <c r="F48" s="94" t="s">
        <v>804</v>
      </c>
      <c r="G48" s="94" t="s">
        <v>804</v>
      </c>
      <c r="H48" s="145"/>
      <c r="I48" s="94" t="s">
        <v>804</v>
      </c>
      <c r="J48" s="94" t="s">
        <v>804</v>
      </c>
      <c r="K48" s="94" t="s">
        <v>804</v>
      </c>
      <c r="L48" s="94" t="s">
        <v>804</v>
      </c>
      <c r="M48" s="94" t="s">
        <v>804</v>
      </c>
      <c r="N48" s="165"/>
      <c r="O48" s="145"/>
      <c r="P48" s="94" t="s">
        <v>804</v>
      </c>
      <c r="Q48" s="94" t="s">
        <v>804</v>
      </c>
      <c r="R48" s="94" t="s">
        <v>804</v>
      </c>
      <c r="S48" s="165"/>
      <c r="T48" s="94" t="s">
        <v>804</v>
      </c>
      <c r="U48" s="94" t="s">
        <v>803</v>
      </c>
      <c r="V48" s="145"/>
      <c r="W48" s="5">
        <f>COUNTIF(F48:V48,"P")</f>
        <v>11</v>
      </c>
      <c r="X48" s="5">
        <f>COUNTIF(F48:V48,"A")</f>
        <v>1</v>
      </c>
    </row>
    <row r="49" spans="1:24" ht="16.5" x14ac:dyDescent="0.25">
      <c r="A49" s="9">
        <v>25</v>
      </c>
      <c r="B49" s="11">
        <v>810</v>
      </c>
      <c r="C49" s="7" t="s">
        <v>294</v>
      </c>
      <c r="D49" s="7" t="s">
        <v>295</v>
      </c>
      <c r="E49" s="1" t="s">
        <v>722</v>
      </c>
      <c r="F49" s="94" t="s">
        <v>804</v>
      </c>
      <c r="G49" s="94" t="s">
        <v>804</v>
      </c>
      <c r="H49" s="145"/>
      <c r="I49" s="94" t="s">
        <v>804</v>
      </c>
      <c r="J49" s="94" t="s">
        <v>804</v>
      </c>
      <c r="K49" s="94" t="s">
        <v>804</v>
      </c>
      <c r="L49" s="94" t="s">
        <v>803</v>
      </c>
      <c r="M49" s="94" t="s">
        <v>804</v>
      </c>
      <c r="N49" s="165"/>
      <c r="O49" s="145"/>
      <c r="P49" s="94" t="s">
        <v>804</v>
      </c>
      <c r="Q49" s="94" t="s">
        <v>804</v>
      </c>
      <c r="R49" s="94" t="s">
        <v>804</v>
      </c>
      <c r="S49" s="165"/>
      <c r="T49" s="94" t="s">
        <v>804</v>
      </c>
      <c r="U49" s="94" t="s">
        <v>804</v>
      </c>
      <c r="V49" s="145"/>
      <c r="W49" s="5">
        <f>COUNTIF(F49:V49,"P")</f>
        <v>11</v>
      </c>
      <c r="X49" s="5">
        <f>COUNTIF(F49:V49,"A")</f>
        <v>1</v>
      </c>
    </row>
    <row r="50" spans="1:24" ht="16.5" x14ac:dyDescent="0.25">
      <c r="A50" s="9">
        <v>26</v>
      </c>
      <c r="B50" s="11">
        <v>834</v>
      </c>
      <c r="C50" s="7" t="s">
        <v>296</v>
      </c>
      <c r="D50" s="7" t="s">
        <v>297</v>
      </c>
      <c r="E50" s="1" t="s">
        <v>722</v>
      </c>
      <c r="F50" s="94" t="s">
        <v>804</v>
      </c>
      <c r="G50" s="94" t="s">
        <v>804</v>
      </c>
      <c r="H50" s="145"/>
      <c r="I50" s="94" t="s">
        <v>804</v>
      </c>
      <c r="J50" s="94" t="s">
        <v>804</v>
      </c>
      <c r="K50" s="94" t="s">
        <v>804</v>
      </c>
      <c r="L50" s="94" t="s">
        <v>804</v>
      </c>
      <c r="M50" s="94" t="s">
        <v>804</v>
      </c>
      <c r="N50" s="165"/>
      <c r="O50" s="145"/>
      <c r="P50" s="94" t="s">
        <v>804</v>
      </c>
      <c r="Q50" s="94" t="s">
        <v>804</v>
      </c>
      <c r="R50" s="94" t="s">
        <v>804</v>
      </c>
      <c r="S50" s="165"/>
      <c r="T50" s="94" t="s">
        <v>804</v>
      </c>
      <c r="U50" s="94" t="s">
        <v>804</v>
      </c>
      <c r="V50" s="145"/>
      <c r="W50" s="5">
        <f>COUNTIF(F50:V50,"P")</f>
        <v>12</v>
      </c>
      <c r="X50" s="5">
        <f>COUNTIF(F50:V50,"A")</f>
        <v>0</v>
      </c>
    </row>
    <row r="51" spans="1:24" ht="16.5" x14ac:dyDescent="0.25">
      <c r="A51" s="9">
        <v>27</v>
      </c>
      <c r="B51" s="11">
        <v>806</v>
      </c>
      <c r="C51" s="7" t="s">
        <v>298</v>
      </c>
      <c r="D51" s="7" t="s">
        <v>34</v>
      </c>
      <c r="E51" s="1" t="s">
        <v>722</v>
      </c>
      <c r="F51" s="94" t="s">
        <v>804</v>
      </c>
      <c r="G51" s="94" t="s">
        <v>804</v>
      </c>
      <c r="H51" s="145"/>
      <c r="I51" s="94" t="s">
        <v>804</v>
      </c>
      <c r="J51" s="94" t="s">
        <v>804</v>
      </c>
      <c r="K51" s="94" t="s">
        <v>804</v>
      </c>
      <c r="L51" s="94" t="s">
        <v>804</v>
      </c>
      <c r="M51" s="94" t="s">
        <v>804</v>
      </c>
      <c r="N51" s="165"/>
      <c r="O51" s="145"/>
      <c r="P51" s="94" t="s">
        <v>804</v>
      </c>
      <c r="Q51" s="94" t="s">
        <v>804</v>
      </c>
      <c r="R51" s="94" t="s">
        <v>804</v>
      </c>
      <c r="S51" s="165"/>
      <c r="T51" s="94" t="s">
        <v>804</v>
      </c>
      <c r="U51" s="94" t="s">
        <v>803</v>
      </c>
      <c r="V51" s="145"/>
      <c r="W51" s="5">
        <f>COUNTIF(F51:V51,"P")</f>
        <v>11</v>
      </c>
      <c r="X51" s="5">
        <f>COUNTIF(F51:V51,"A")</f>
        <v>1</v>
      </c>
    </row>
    <row r="52" spans="1:24" ht="16.5" x14ac:dyDescent="0.25">
      <c r="A52" s="9">
        <v>28</v>
      </c>
      <c r="B52" s="11">
        <v>799</v>
      </c>
      <c r="C52" s="7" t="s">
        <v>299</v>
      </c>
      <c r="D52" s="7" t="s">
        <v>300</v>
      </c>
      <c r="E52" s="1" t="s">
        <v>722</v>
      </c>
      <c r="F52" s="94" t="s">
        <v>804</v>
      </c>
      <c r="G52" s="94" t="s">
        <v>804</v>
      </c>
      <c r="H52" s="145"/>
      <c r="I52" s="94" t="s">
        <v>804</v>
      </c>
      <c r="J52" s="94" t="s">
        <v>804</v>
      </c>
      <c r="K52" s="94" t="s">
        <v>803</v>
      </c>
      <c r="L52" s="94" t="s">
        <v>804</v>
      </c>
      <c r="M52" s="94" t="s">
        <v>804</v>
      </c>
      <c r="N52" s="165"/>
      <c r="O52" s="145"/>
      <c r="P52" s="94" t="s">
        <v>804</v>
      </c>
      <c r="Q52" s="94" t="s">
        <v>804</v>
      </c>
      <c r="R52" s="94" t="s">
        <v>804</v>
      </c>
      <c r="S52" s="165"/>
      <c r="T52" s="94" t="s">
        <v>804</v>
      </c>
      <c r="U52" s="94" t="s">
        <v>804</v>
      </c>
      <c r="V52" s="145"/>
      <c r="W52" s="5">
        <f>COUNTIF(F52:V52,"P")</f>
        <v>11</v>
      </c>
      <c r="X52" s="5">
        <f>COUNTIF(F52:V52,"A")</f>
        <v>1</v>
      </c>
    </row>
    <row r="53" spans="1:24" ht="16.5" x14ac:dyDescent="0.25">
      <c r="A53" s="9">
        <v>29</v>
      </c>
      <c r="B53" s="11">
        <v>805</v>
      </c>
      <c r="C53" s="7" t="s">
        <v>809</v>
      </c>
      <c r="D53" s="7" t="s">
        <v>139</v>
      </c>
      <c r="E53" s="1" t="s">
        <v>722</v>
      </c>
      <c r="F53" s="94" t="s">
        <v>804</v>
      </c>
      <c r="G53" s="94" t="s">
        <v>804</v>
      </c>
      <c r="H53" s="145"/>
      <c r="I53" s="94" t="s">
        <v>804</v>
      </c>
      <c r="J53" s="94" t="s">
        <v>804</v>
      </c>
      <c r="K53" s="94" t="s">
        <v>804</v>
      </c>
      <c r="L53" s="94" t="s">
        <v>804</v>
      </c>
      <c r="M53" s="94" t="s">
        <v>804</v>
      </c>
      <c r="N53" s="165"/>
      <c r="O53" s="145"/>
      <c r="P53" s="94" t="s">
        <v>804</v>
      </c>
      <c r="Q53" s="94" t="s">
        <v>804</v>
      </c>
      <c r="R53" s="94" t="s">
        <v>804</v>
      </c>
      <c r="S53" s="165"/>
      <c r="T53" s="94" t="s">
        <v>804</v>
      </c>
      <c r="U53" s="94" t="s">
        <v>804</v>
      </c>
      <c r="V53" s="145"/>
      <c r="W53" s="5">
        <f>COUNTIF(F53:V53,"P")</f>
        <v>12</v>
      </c>
      <c r="X53" s="5">
        <f>COUNTIF(F53:V53,"A")</f>
        <v>0</v>
      </c>
    </row>
    <row r="54" spans="1:24" ht="16.5" x14ac:dyDescent="0.25">
      <c r="A54" s="9">
        <v>30</v>
      </c>
      <c r="B54" s="11"/>
      <c r="C54" s="7" t="s">
        <v>302</v>
      </c>
      <c r="D54" s="7" t="s">
        <v>818</v>
      </c>
      <c r="E54" s="1" t="s">
        <v>722</v>
      </c>
      <c r="F54" s="94" t="s">
        <v>804</v>
      </c>
      <c r="G54" s="94" t="s">
        <v>804</v>
      </c>
      <c r="H54" s="146"/>
      <c r="I54" s="94" t="s">
        <v>804</v>
      </c>
      <c r="J54" s="94" t="s">
        <v>804</v>
      </c>
      <c r="K54" s="94" t="s">
        <v>804</v>
      </c>
      <c r="L54" s="94" t="s">
        <v>804</v>
      </c>
      <c r="M54" s="94" t="s">
        <v>804</v>
      </c>
      <c r="N54" s="165"/>
      <c r="O54" s="146"/>
      <c r="P54" s="94" t="s">
        <v>804</v>
      </c>
      <c r="Q54" s="94" t="s">
        <v>804</v>
      </c>
      <c r="R54" s="94" t="s">
        <v>804</v>
      </c>
      <c r="S54" s="165"/>
      <c r="T54" s="94" t="s">
        <v>804</v>
      </c>
      <c r="U54" s="94" t="s">
        <v>804</v>
      </c>
      <c r="V54" s="146"/>
      <c r="W54" s="5">
        <f>COUNTIF(F54:V54,"P")</f>
        <v>12</v>
      </c>
      <c r="X54" s="5">
        <f>COUNTIF(F54:V54,"A")</f>
        <v>0</v>
      </c>
    </row>
  </sheetData>
  <mergeCells count="16">
    <mergeCell ref="A1:X1"/>
    <mergeCell ref="A2:X2"/>
    <mergeCell ref="E3:E4"/>
    <mergeCell ref="W3:W4"/>
    <mergeCell ref="X3:X4"/>
    <mergeCell ref="Y18:AB18"/>
    <mergeCell ref="Y3:Z3"/>
    <mergeCell ref="A3:A4"/>
    <mergeCell ref="B3:B4"/>
    <mergeCell ref="C3:C4"/>
    <mergeCell ref="D3:D4"/>
    <mergeCell ref="H5:H54"/>
    <mergeCell ref="O5:O54"/>
    <mergeCell ref="V5:V54"/>
    <mergeCell ref="N5:N54"/>
    <mergeCell ref="S5:S54"/>
  </mergeCells>
  <conditionalFormatting sqref="F4:V4 G5:H5 G6:G54 F5:F54 O5 I5:M54 P5:P54">
    <cfRule type="cellIs" dxfId="486" priority="53" operator="equal">
      <formula>"L"</formula>
    </cfRule>
    <cfRule type="cellIs" dxfId="485" priority="54" operator="equal">
      <formula>"P"</formula>
    </cfRule>
    <cfRule type="cellIs" dxfId="484" priority="55" operator="equal">
      <formula>"A"</formula>
    </cfRule>
    <cfRule type="expression" dxfId="483" priority="56">
      <formula>F$4=TODAY()</formula>
    </cfRule>
    <cfRule type="expression" dxfId="482" priority="57">
      <formula>F$3="SUN"</formula>
    </cfRule>
  </conditionalFormatting>
  <conditionalFormatting sqref="W3:X3 W5:X54">
    <cfRule type="expression" dxfId="481" priority="70">
      <formula>#REF!="Sun"</formula>
    </cfRule>
  </conditionalFormatting>
  <conditionalFormatting sqref="Y5:Y9">
    <cfRule type="expression" dxfId="480" priority="61">
      <formula>Y$3="Sun"</formula>
    </cfRule>
  </conditionalFormatting>
  <conditionalFormatting sqref="Y11:Y14">
    <cfRule type="expression" dxfId="479" priority="59">
      <formula>Y$3="Sun"</formula>
    </cfRule>
  </conditionalFormatting>
  <conditionalFormatting sqref="Y19:Y21">
    <cfRule type="expression" dxfId="478" priority="58">
      <formula>Y$3="Sun"</formula>
    </cfRule>
  </conditionalFormatting>
  <conditionalFormatting sqref="Y4:Z4">
    <cfRule type="expression" dxfId="477" priority="62">
      <formula>Y$3="Sun"</formula>
    </cfRule>
  </conditionalFormatting>
  <conditionalFormatting sqref="Z11:AB11 Z19:AB19">
    <cfRule type="expression" dxfId="476" priority="63">
      <formula>Z$3="Sun"</formula>
    </cfRule>
  </conditionalFormatting>
  <conditionalFormatting sqref="AB20">
    <cfRule type="expression" dxfId="475" priority="60">
      <formula>AB$3="Sun"</formula>
    </cfRule>
  </conditionalFormatting>
  <conditionalFormatting sqref="F3:V3">
    <cfRule type="expression" dxfId="474" priority="41">
      <formula>F$4=TODAY()</formula>
    </cfRule>
    <cfRule type="expression" dxfId="473" priority="42">
      <formula>F$3="SUN"</formula>
    </cfRule>
  </conditionalFormatting>
  <conditionalFormatting sqref="V5">
    <cfRule type="cellIs" dxfId="472" priority="36" operator="equal">
      <formula>"L"</formula>
    </cfRule>
    <cfRule type="cellIs" dxfId="471" priority="37" operator="equal">
      <formula>"P"</formula>
    </cfRule>
    <cfRule type="cellIs" dxfId="470" priority="38" operator="equal">
      <formula>"A"</formula>
    </cfRule>
    <cfRule type="expression" dxfId="469" priority="39">
      <formula>V$4=TODAY()</formula>
    </cfRule>
    <cfRule type="expression" dxfId="468" priority="40">
      <formula>V$3="SUN"</formula>
    </cfRule>
  </conditionalFormatting>
  <conditionalFormatting sqref="Q5:Q54">
    <cfRule type="cellIs" dxfId="467" priority="31" operator="equal">
      <formula>"L"</formula>
    </cfRule>
    <cfRule type="cellIs" dxfId="466" priority="32" operator="equal">
      <formula>"P"</formula>
    </cfRule>
    <cfRule type="cellIs" dxfId="465" priority="33" operator="equal">
      <formula>"A"</formula>
    </cfRule>
    <cfRule type="expression" dxfId="464" priority="34">
      <formula>Q$4=TODAY()</formula>
    </cfRule>
    <cfRule type="expression" dxfId="463" priority="35">
      <formula>Q$3="SUN"</formula>
    </cfRule>
  </conditionalFormatting>
  <conditionalFormatting sqref="R5:R54">
    <cfRule type="cellIs" dxfId="462" priority="26" operator="equal">
      <formula>"L"</formula>
    </cfRule>
    <cfRule type="cellIs" dxfId="461" priority="27" operator="equal">
      <formula>"P"</formula>
    </cfRule>
    <cfRule type="cellIs" dxfId="460" priority="28" operator="equal">
      <formula>"A"</formula>
    </cfRule>
    <cfRule type="expression" dxfId="459" priority="29">
      <formula>R$4=TODAY()</formula>
    </cfRule>
    <cfRule type="expression" dxfId="458" priority="30">
      <formula>R$3="SUN"</formula>
    </cfRule>
  </conditionalFormatting>
  <conditionalFormatting sqref="T5:T54">
    <cfRule type="cellIs" dxfId="457" priority="16" operator="equal">
      <formula>"L"</formula>
    </cfRule>
    <cfRule type="cellIs" dxfId="456" priority="17" operator="equal">
      <formula>"P"</formula>
    </cfRule>
    <cfRule type="cellIs" dxfId="455" priority="18" operator="equal">
      <formula>"A"</formula>
    </cfRule>
    <cfRule type="expression" dxfId="454" priority="19">
      <formula>T$4=TODAY()</formula>
    </cfRule>
    <cfRule type="expression" dxfId="453" priority="20">
      <formula>T$3="SUN"</formula>
    </cfRule>
  </conditionalFormatting>
  <conditionalFormatting sqref="U5:U54">
    <cfRule type="cellIs" dxfId="452" priority="11" operator="equal">
      <formula>"L"</formula>
    </cfRule>
    <cfRule type="cellIs" dxfId="451" priority="12" operator="equal">
      <formula>"P"</formula>
    </cfRule>
    <cfRule type="cellIs" dxfId="450" priority="13" operator="equal">
      <formula>"A"</formula>
    </cfRule>
    <cfRule type="expression" dxfId="449" priority="14">
      <formula>U$4=TODAY()</formula>
    </cfRule>
    <cfRule type="expression" dxfId="448" priority="15">
      <formula>U$3="SUN"</formula>
    </cfRule>
  </conditionalFormatting>
  <conditionalFormatting sqref="N5">
    <cfRule type="expression" dxfId="447" priority="6">
      <formula>N$4=TODAY()</formula>
    </cfRule>
    <cfRule type="expression" dxfId="446" priority="7">
      <formula>N$3="SUN"</formula>
    </cfRule>
  </conditionalFormatting>
  <conditionalFormatting sqref="N5">
    <cfRule type="cellIs" dxfId="445" priority="8" operator="equal">
      <formula>"L"</formula>
    </cfRule>
    <cfRule type="cellIs" dxfId="444" priority="9" operator="equal">
      <formula>"A"</formula>
    </cfRule>
    <cfRule type="cellIs" dxfId="443" priority="10" operator="equal">
      <formula>"P"</formula>
    </cfRule>
  </conditionalFormatting>
  <conditionalFormatting sqref="S5">
    <cfRule type="expression" dxfId="442" priority="1">
      <formula>S$4=TODAY()</formula>
    </cfRule>
    <cfRule type="expression" dxfId="441" priority="2">
      <formula>S$3="SUN"</formula>
    </cfRule>
  </conditionalFormatting>
  <conditionalFormatting sqref="S5">
    <cfRule type="cellIs" dxfId="440" priority="3" operator="equal">
      <formula>"L"</formula>
    </cfRule>
    <cfRule type="cellIs" dxfId="439" priority="4" operator="equal">
      <formula>"A"</formula>
    </cfRule>
    <cfRule type="cellIs" dxfId="438" priority="5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2"/>
  <sheetViews>
    <sheetView workbookViewId="0">
      <selection activeCell="S5" sqref="S5:S52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40" t="s">
        <v>303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3">
      <c r="A2" s="143" t="s">
        <v>731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 spans="1:28" ht="15.75" x14ac:dyDescent="0.25">
      <c r="A3" s="132" t="s">
        <v>0</v>
      </c>
      <c r="B3" s="132" t="s">
        <v>713</v>
      </c>
      <c r="C3" s="132" t="s">
        <v>1</v>
      </c>
      <c r="D3" s="132" t="s">
        <v>2</v>
      </c>
      <c r="E3" s="132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34" t="s">
        <v>119</v>
      </c>
      <c r="Z3" s="135"/>
      <c r="AA3" s="3"/>
      <c r="AB3" s="3"/>
    </row>
    <row r="4" spans="1:28" ht="36.75" x14ac:dyDescent="0.25">
      <c r="A4" s="132"/>
      <c r="B4" s="132"/>
      <c r="C4" s="132"/>
      <c r="D4" s="132"/>
      <c r="E4" s="132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30</v>
      </c>
      <c r="AA4" s="3"/>
      <c r="AB4" s="3"/>
    </row>
    <row r="5" spans="1:28" ht="15" customHeight="1" x14ac:dyDescent="0.25">
      <c r="A5" s="9">
        <v>1</v>
      </c>
      <c r="B5" s="11">
        <v>772</v>
      </c>
      <c r="C5" s="7" t="s">
        <v>304</v>
      </c>
      <c r="D5" s="7" t="s">
        <v>305</v>
      </c>
      <c r="E5" s="8" t="s">
        <v>361</v>
      </c>
      <c r="F5" s="94" t="s">
        <v>803</v>
      </c>
      <c r="G5" s="94" t="s">
        <v>804</v>
      </c>
      <c r="H5" s="155" t="s">
        <v>734</v>
      </c>
      <c r="I5" s="94" t="s">
        <v>804</v>
      </c>
      <c r="J5" s="94" t="s">
        <v>804</v>
      </c>
      <c r="K5" s="94" t="s">
        <v>804</v>
      </c>
      <c r="L5" s="94" t="s">
        <v>804</v>
      </c>
      <c r="M5" s="94" t="s">
        <v>804</v>
      </c>
      <c r="N5" s="164" t="s">
        <v>879</v>
      </c>
      <c r="O5" s="155" t="s">
        <v>734</v>
      </c>
      <c r="P5" s="94" t="s">
        <v>804</v>
      </c>
      <c r="Q5" s="94" t="s">
        <v>804</v>
      </c>
      <c r="R5" s="94" t="s">
        <v>804</v>
      </c>
      <c r="S5" s="164" t="s">
        <v>880</v>
      </c>
      <c r="T5" s="94" t="s">
        <v>803</v>
      </c>
      <c r="U5" s="94" t="s">
        <v>804</v>
      </c>
      <c r="V5" s="155" t="s">
        <v>734</v>
      </c>
      <c r="W5" s="5">
        <f>COUNTIF(F5:V5,"P")</f>
        <v>10</v>
      </c>
      <c r="X5" s="5">
        <f>COUNTIF(F5:V5,"A")</f>
        <v>2</v>
      </c>
      <c r="Y5" s="5" t="s">
        <v>7</v>
      </c>
      <c r="Z5" s="9">
        <v>26</v>
      </c>
      <c r="AA5" s="10"/>
      <c r="AB5" s="3"/>
    </row>
    <row r="6" spans="1:28" ht="16.5" x14ac:dyDescent="0.25">
      <c r="A6" s="9">
        <v>2</v>
      </c>
      <c r="B6" s="11">
        <v>673</v>
      </c>
      <c r="C6" s="7" t="s">
        <v>307</v>
      </c>
      <c r="D6" s="7" t="s">
        <v>308</v>
      </c>
      <c r="E6" s="8" t="s">
        <v>361</v>
      </c>
      <c r="F6" s="94" t="s">
        <v>804</v>
      </c>
      <c r="G6" s="94" t="s">
        <v>804</v>
      </c>
      <c r="H6" s="145"/>
      <c r="I6" s="94" t="s">
        <v>803</v>
      </c>
      <c r="J6" s="94" t="s">
        <v>804</v>
      </c>
      <c r="K6" s="94" t="s">
        <v>803</v>
      </c>
      <c r="L6" s="94" t="s">
        <v>804</v>
      </c>
      <c r="M6" s="94" t="s">
        <v>804</v>
      </c>
      <c r="N6" s="165"/>
      <c r="O6" s="145"/>
      <c r="P6" s="94" t="s">
        <v>804</v>
      </c>
      <c r="Q6" s="94" t="s">
        <v>804</v>
      </c>
      <c r="R6" s="94" t="s">
        <v>804</v>
      </c>
      <c r="S6" s="165"/>
      <c r="T6" s="94" t="s">
        <v>804</v>
      </c>
      <c r="U6" s="94" t="s">
        <v>804</v>
      </c>
      <c r="V6" s="145"/>
      <c r="W6" s="5">
        <f>COUNTIF(F6:V6,"P")</f>
        <v>10</v>
      </c>
      <c r="X6" s="5">
        <f>COUNTIF(F6:V6,"A")</f>
        <v>2</v>
      </c>
      <c r="Y6" s="5" t="s">
        <v>8</v>
      </c>
      <c r="Z6" s="9">
        <v>4</v>
      </c>
      <c r="AA6" s="3"/>
      <c r="AB6" s="3"/>
    </row>
    <row r="7" spans="1:28" ht="16.5" x14ac:dyDescent="0.25">
      <c r="A7" s="9">
        <v>3</v>
      </c>
      <c r="B7" s="11">
        <v>6523</v>
      </c>
      <c r="C7" s="7" t="s">
        <v>309</v>
      </c>
      <c r="D7" s="7" t="s">
        <v>234</v>
      </c>
      <c r="E7" s="8" t="s">
        <v>361</v>
      </c>
      <c r="F7" s="94" t="s">
        <v>804</v>
      </c>
      <c r="G7" s="94" t="s">
        <v>804</v>
      </c>
      <c r="H7" s="145"/>
      <c r="I7" s="94" t="s">
        <v>804</v>
      </c>
      <c r="J7" s="94" t="s">
        <v>804</v>
      </c>
      <c r="K7" s="94" t="s">
        <v>804</v>
      </c>
      <c r="L7" s="94" t="s">
        <v>804</v>
      </c>
      <c r="M7" s="94" t="s">
        <v>804</v>
      </c>
      <c r="N7" s="165"/>
      <c r="O7" s="145"/>
      <c r="P7" s="94" t="s">
        <v>804</v>
      </c>
      <c r="Q7" s="94" t="s">
        <v>803</v>
      </c>
      <c r="R7" s="94" t="s">
        <v>804</v>
      </c>
      <c r="S7" s="165"/>
      <c r="T7" s="94" t="s">
        <v>804</v>
      </c>
      <c r="U7" s="94" t="s">
        <v>804</v>
      </c>
      <c r="V7" s="145"/>
      <c r="W7" s="5">
        <f>COUNTIF(F7:V7,"P")</f>
        <v>11</v>
      </c>
      <c r="X7" s="5">
        <f>COUNTIF(F7:V7,"A")</f>
        <v>1</v>
      </c>
      <c r="Y7" s="5"/>
      <c r="Z7" s="9"/>
      <c r="AA7" s="3"/>
      <c r="AB7" s="3"/>
    </row>
    <row r="8" spans="1:28" ht="16.5" x14ac:dyDescent="0.25">
      <c r="A8" s="9">
        <v>4</v>
      </c>
      <c r="B8" s="11">
        <v>665</v>
      </c>
      <c r="C8" s="7" t="s">
        <v>222</v>
      </c>
      <c r="D8" s="7" t="s">
        <v>26</v>
      </c>
      <c r="E8" s="8" t="s">
        <v>361</v>
      </c>
      <c r="F8" s="94" t="s">
        <v>804</v>
      </c>
      <c r="G8" s="94" t="s">
        <v>804</v>
      </c>
      <c r="H8" s="145"/>
      <c r="I8" s="94" t="s">
        <v>804</v>
      </c>
      <c r="J8" s="94" t="s">
        <v>804</v>
      </c>
      <c r="K8" s="94" t="s">
        <v>804</v>
      </c>
      <c r="L8" s="94" t="s">
        <v>804</v>
      </c>
      <c r="M8" s="94" t="s">
        <v>804</v>
      </c>
      <c r="N8" s="165"/>
      <c r="O8" s="145"/>
      <c r="P8" s="94" t="s">
        <v>804</v>
      </c>
      <c r="Q8" s="94" t="s">
        <v>804</v>
      </c>
      <c r="R8" s="94" t="s">
        <v>804</v>
      </c>
      <c r="S8" s="165"/>
      <c r="T8" s="94" t="s">
        <v>804</v>
      </c>
      <c r="U8" s="94" t="s">
        <v>804</v>
      </c>
      <c r="V8" s="145"/>
      <c r="W8" s="5">
        <f>COUNTIF(F8:V8,"P")</f>
        <v>12</v>
      </c>
      <c r="X8" s="5">
        <f>COUNTIF(F8:V8,"A")</f>
        <v>0</v>
      </c>
      <c r="Y8" s="5"/>
      <c r="Z8" s="9"/>
      <c r="AA8"/>
      <c r="AB8"/>
    </row>
    <row r="9" spans="1:28" ht="16.5" x14ac:dyDescent="0.25">
      <c r="A9" s="9">
        <v>5</v>
      </c>
      <c r="B9" s="11">
        <v>656</v>
      </c>
      <c r="C9" s="7" t="s">
        <v>254</v>
      </c>
      <c r="D9" s="7" t="s">
        <v>310</v>
      </c>
      <c r="E9" s="8" t="s">
        <v>361</v>
      </c>
      <c r="F9" s="94" t="s">
        <v>804</v>
      </c>
      <c r="G9" s="94" t="s">
        <v>803</v>
      </c>
      <c r="H9" s="145"/>
      <c r="I9" s="94" t="s">
        <v>804</v>
      </c>
      <c r="J9" s="94" t="s">
        <v>804</v>
      </c>
      <c r="K9" s="94" t="s">
        <v>803</v>
      </c>
      <c r="L9" s="94" t="s">
        <v>804</v>
      </c>
      <c r="M9" s="94" t="s">
        <v>804</v>
      </c>
      <c r="N9" s="165"/>
      <c r="O9" s="145"/>
      <c r="P9" s="94" t="s">
        <v>804</v>
      </c>
      <c r="Q9" s="94" t="s">
        <v>804</v>
      </c>
      <c r="R9" s="94" t="s">
        <v>804</v>
      </c>
      <c r="S9" s="165"/>
      <c r="T9" s="94" t="s">
        <v>804</v>
      </c>
      <c r="U9" s="94" t="s">
        <v>803</v>
      </c>
      <c r="V9" s="145"/>
      <c r="W9" s="5">
        <f>COUNTIF(F9:V9,"P")</f>
        <v>9</v>
      </c>
      <c r="X9" s="5">
        <f>COUNTIF(F9:V9,"A")</f>
        <v>3</v>
      </c>
      <c r="Y9" s="5"/>
      <c r="Z9" s="9"/>
    </row>
    <row r="10" spans="1:28" ht="16.5" x14ac:dyDescent="0.25">
      <c r="A10" s="9">
        <v>6</v>
      </c>
      <c r="B10" s="11">
        <v>910</v>
      </c>
      <c r="C10" s="7" t="s">
        <v>254</v>
      </c>
      <c r="D10" s="7" t="s">
        <v>251</v>
      </c>
      <c r="E10" s="8" t="s">
        <v>361</v>
      </c>
      <c r="F10" s="94" t="s">
        <v>804</v>
      </c>
      <c r="G10" s="94" t="s">
        <v>804</v>
      </c>
      <c r="H10" s="145"/>
      <c r="I10" s="94" t="s">
        <v>804</v>
      </c>
      <c r="J10" s="94" t="s">
        <v>804</v>
      </c>
      <c r="K10" s="94" t="s">
        <v>804</v>
      </c>
      <c r="L10" s="94" t="s">
        <v>804</v>
      </c>
      <c r="M10" s="94" t="s">
        <v>804</v>
      </c>
      <c r="N10" s="165"/>
      <c r="O10" s="145"/>
      <c r="P10" s="94" t="s">
        <v>804</v>
      </c>
      <c r="Q10" s="94" t="s">
        <v>804</v>
      </c>
      <c r="R10" s="94" t="s">
        <v>804</v>
      </c>
      <c r="S10" s="165"/>
      <c r="T10" s="94" t="s">
        <v>804</v>
      </c>
      <c r="U10" s="94" t="s">
        <v>804</v>
      </c>
      <c r="V10" s="145"/>
      <c r="W10" s="5">
        <f>COUNTIF(F10:V10,"P")</f>
        <v>12</v>
      </c>
      <c r="X10" s="5">
        <f>COUNTIF(F10:V10,"A")</f>
        <v>0</v>
      </c>
    </row>
    <row r="11" spans="1:28" ht="16.5" x14ac:dyDescent="0.25">
      <c r="A11" s="9">
        <v>7</v>
      </c>
      <c r="B11" s="11">
        <v>679</v>
      </c>
      <c r="C11" s="7" t="s">
        <v>132</v>
      </c>
      <c r="D11" s="7" t="s">
        <v>266</v>
      </c>
      <c r="E11" s="8" t="s">
        <v>361</v>
      </c>
      <c r="F11" s="94" t="s">
        <v>804</v>
      </c>
      <c r="G11" s="94" t="s">
        <v>803</v>
      </c>
      <c r="H11" s="145"/>
      <c r="I11" s="94" t="s">
        <v>804</v>
      </c>
      <c r="J11" s="94" t="s">
        <v>804</v>
      </c>
      <c r="K11" s="94" t="s">
        <v>804</v>
      </c>
      <c r="L11" s="94" t="s">
        <v>804</v>
      </c>
      <c r="M11" s="94" t="s">
        <v>804</v>
      </c>
      <c r="N11" s="165"/>
      <c r="O11" s="145"/>
      <c r="P11" s="94" t="s">
        <v>804</v>
      </c>
      <c r="Q11" s="94" t="s">
        <v>804</v>
      </c>
      <c r="R11" s="94" t="s">
        <v>804</v>
      </c>
      <c r="S11" s="165"/>
      <c r="T11" s="94" t="s">
        <v>804</v>
      </c>
      <c r="U11" s="94" t="s">
        <v>804</v>
      </c>
      <c r="V11" s="145"/>
      <c r="W11" s="5">
        <f>COUNTIF(F11:V11,"P")</f>
        <v>11</v>
      </c>
      <c r="X11" s="5">
        <f>COUNTIF(F11:V11,"A")</f>
        <v>1</v>
      </c>
      <c r="Y11" s="134" t="s">
        <v>9</v>
      </c>
      <c r="Z11" s="135"/>
      <c r="AA11" s="135"/>
      <c r="AB11" s="136"/>
    </row>
    <row r="12" spans="1:28" ht="16.5" x14ac:dyDescent="0.25">
      <c r="A12" s="9">
        <v>8</v>
      </c>
      <c r="B12" s="11">
        <v>675</v>
      </c>
      <c r="C12" s="7" t="s">
        <v>91</v>
      </c>
      <c r="D12" s="7" t="s">
        <v>266</v>
      </c>
      <c r="E12" s="8" t="s">
        <v>361</v>
      </c>
      <c r="F12" s="94" t="s">
        <v>804</v>
      </c>
      <c r="G12" s="94" t="s">
        <v>804</v>
      </c>
      <c r="H12" s="145"/>
      <c r="I12" s="94" t="s">
        <v>804</v>
      </c>
      <c r="J12" s="94" t="s">
        <v>803</v>
      </c>
      <c r="K12" s="94" t="s">
        <v>804</v>
      </c>
      <c r="L12" s="94" t="s">
        <v>804</v>
      </c>
      <c r="M12" s="94" t="s">
        <v>804</v>
      </c>
      <c r="N12" s="165"/>
      <c r="O12" s="145"/>
      <c r="P12" s="94" t="s">
        <v>804</v>
      </c>
      <c r="Q12" s="94" t="s">
        <v>804</v>
      </c>
      <c r="R12" s="94" t="s">
        <v>804</v>
      </c>
      <c r="S12" s="165"/>
      <c r="T12" s="94" t="s">
        <v>804</v>
      </c>
      <c r="U12" s="94" t="s">
        <v>804</v>
      </c>
      <c r="V12" s="145"/>
      <c r="W12" s="5">
        <f>COUNTIF(F12:V12,"P")</f>
        <v>11</v>
      </c>
      <c r="X12" s="5">
        <f>COUNTIF(F12:V12,"A")</f>
        <v>1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9">
        <v>9</v>
      </c>
      <c r="B13" s="11">
        <v>774</v>
      </c>
      <c r="C13" s="7" t="s">
        <v>312</v>
      </c>
      <c r="D13" s="7" t="s">
        <v>251</v>
      </c>
      <c r="E13" s="8" t="s">
        <v>361</v>
      </c>
      <c r="F13" s="94" t="s">
        <v>804</v>
      </c>
      <c r="G13" s="94" t="s">
        <v>804</v>
      </c>
      <c r="H13" s="145"/>
      <c r="I13" s="94" t="s">
        <v>804</v>
      </c>
      <c r="J13" s="94" t="s">
        <v>804</v>
      </c>
      <c r="K13" s="94" t="s">
        <v>804</v>
      </c>
      <c r="L13" s="94" t="s">
        <v>803</v>
      </c>
      <c r="M13" s="94" t="s">
        <v>804</v>
      </c>
      <c r="N13" s="165"/>
      <c r="O13" s="145"/>
      <c r="P13" s="94" t="s">
        <v>804</v>
      </c>
      <c r="Q13" s="94" t="s">
        <v>804</v>
      </c>
      <c r="R13" s="94" t="s">
        <v>804</v>
      </c>
      <c r="S13" s="165"/>
      <c r="T13" s="94" t="s">
        <v>804</v>
      </c>
      <c r="U13" s="94" t="s">
        <v>804</v>
      </c>
      <c r="V13" s="145"/>
      <c r="W13" s="5">
        <f>COUNTIF(F13:V13,"P")</f>
        <v>11</v>
      </c>
      <c r="X13" s="5">
        <f>COUNTIF(F13:V13,"A")</f>
        <v>1</v>
      </c>
      <c r="Y13" s="5" t="s">
        <v>14</v>
      </c>
      <c r="Z13" s="9">
        <f>26*$Z$5</f>
        <v>676</v>
      </c>
      <c r="AA13" s="9">
        <f>26*$Z$5</f>
        <v>676</v>
      </c>
      <c r="AB13" s="9">
        <f>SUM(Z13:AA13)</f>
        <v>1352</v>
      </c>
    </row>
    <row r="14" spans="1:28" ht="16.5" x14ac:dyDescent="0.25">
      <c r="A14" s="9">
        <v>10</v>
      </c>
      <c r="B14" s="95">
        <v>655</v>
      </c>
      <c r="C14" s="7" t="s">
        <v>313</v>
      </c>
      <c r="D14" s="7" t="s">
        <v>22</v>
      </c>
      <c r="E14" s="8" t="s">
        <v>361</v>
      </c>
      <c r="F14" s="94" t="s">
        <v>804</v>
      </c>
      <c r="G14" s="94" t="s">
        <v>803</v>
      </c>
      <c r="H14" s="145"/>
      <c r="I14" s="94" t="s">
        <v>804</v>
      </c>
      <c r="J14" s="94" t="s">
        <v>804</v>
      </c>
      <c r="K14" s="94" t="s">
        <v>804</v>
      </c>
      <c r="L14" s="94" t="s">
        <v>804</v>
      </c>
      <c r="M14" s="94" t="s">
        <v>804</v>
      </c>
      <c r="N14" s="165"/>
      <c r="O14" s="145"/>
      <c r="P14" s="94" t="s">
        <v>804</v>
      </c>
      <c r="Q14" s="94" t="s">
        <v>804</v>
      </c>
      <c r="R14" s="94" t="s">
        <v>803</v>
      </c>
      <c r="S14" s="165"/>
      <c r="T14" s="94" t="s">
        <v>804</v>
      </c>
      <c r="U14" s="94" t="s">
        <v>803</v>
      </c>
      <c r="V14" s="145"/>
      <c r="W14" s="5">
        <f>COUNTIF(F14:V14,"P")</f>
        <v>9</v>
      </c>
      <c r="X14" s="5">
        <f>COUNTIF(F14:V14,"A")</f>
        <v>3</v>
      </c>
      <c r="Y14" s="5" t="s">
        <v>15</v>
      </c>
      <c r="Z14" s="9">
        <f>SUM(W29:W52)</f>
        <v>266</v>
      </c>
      <c r="AA14" s="9">
        <f>SUM(W5:W28)</f>
        <v>263</v>
      </c>
      <c r="AB14" s="9">
        <f>Z14+AA14</f>
        <v>529</v>
      </c>
    </row>
    <row r="15" spans="1:28" ht="16.5" x14ac:dyDescent="0.25">
      <c r="A15" s="9">
        <v>11</v>
      </c>
      <c r="B15" s="95">
        <v>653</v>
      </c>
      <c r="C15" s="7" t="s">
        <v>314</v>
      </c>
      <c r="D15" s="7" t="s">
        <v>315</v>
      </c>
      <c r="E15" s="8" t="s">
        <v>361</v>
      </c>
      <c r="F15" s="94" t="s">
        <v>804</v>
      </c>
      <c r="G15" s="94" t="s">
        <v>804</v>
      </c>
      <c r="H15" s="145"/>
      <c r="I15" s="94" t="s">
        <v>804</v>
      </c>
      <c r="J15" s="94" t="s">
        <v>804</v>
      </c>
      <c r="K15" s="94" t="s">
        <v>804</v>
      </c>
      <c r="L15" s="94" t="s">
        <v>804</v>
      </c>
      <c r="M15" s="94" t="s">
        <v>804</v>
      </c>
      <c r="N15" s="165"/>
      <c r="O15" s="145"/>
      <c r="P15" s="94" t="s">
        <v>804</v>
      </c>
      <c r="Q15" s="94" t="s">
        <v>804</v>
      </c>
      <c r="R15" s="94" t="s">
        <v>804</v>
      </c>
      <c r="S15" s="165"/>
      <c r="T15" s="94" t="s">
        <v>804</v>
      </c>
      <c r="U15" s="94" t="s">
        <v>804</v>
      </c>
      <c r="V15" s="145"/>
      <c r="W15" s="5">
        <f>COUNTIF(F15:V15,"P")</f>
        <v>12</v>
      </c>
      <c r="X15" s="5">
        <f>COUNTIF(F15:V15,"A")</f>
        <v>0</v>
      </c>
      <c r="Y15" s="5" t="s">
        <v>16</v>
      </c>
      <c r="Z15" s="12">
        <f>Z14/Z13</f>
        <v>0.39349112426035504</v>
      </c>
      <c r="AA15" s="12">
        <f>AA14/AA13</f>
        <v>0.38905325443786981</v>
      </c>
      <c r="AB15" s="12">
        <f>AB14/AB13</f>
        <v>0.39127218934911245</v>
      </c>
    </row>
    <row r="16" spans="1:28" ht="16.5" x14ac:dyDescent="0.25">
      <c r="A16" s="9">
        <v>12</v>
      </c>
      <c r="B16" s="11">
        <v>657</v>
      </c>
      <c r="C16" s="7" t="s">
        <v>25</v>
      </c>
      <c r="D16" s="7" t="s">
        <v>275</v>
      </c>
      <c r="E16" s="8" t="s">
        <v>361</v>
      </c>
      <c r="F16" s="94" t="s">
        <v>803</v>
      </c>
      <c r="G16" s="94" t="s">
        <v>804</v>
      </c>
      <c r="H16" s="145"/>
      <c r="I16" s="94" t="s">
        <v>804</v>
      </c>
      <c r="J16" s="94" t="s">
        <v>804</v>
      </c>
      <c r="K16" s="94" t="s">
        <v>803</v>
      </c>
      <c r="L16" s="94" t="s">
        <v>804</v>
      </c>
      <c r="M16" s="94" t="s">
        <v>804</v>
      </c>
      <c r="N16" s="165"/>
      <c r="O16" s="145"/>
      <c r="P16" s="94" t="s">
        <v>804</v>
      </c>
      <c r="Q16" s="94" t="s">
        <v>804</v>
      </c>
      <c r="R16" s="94" t="s">
        <v>804</v>
      </c>
      <c r="S16" s="165"/>
      <c r="T16" s="94" t="s">
        <v>804</v>
      </c>
      <c r="U16" s="94" t="s">
        <v>804</v>
      </c>
      <c r="V16" s="145"/>
      <c r="W16" s="5">
        <f>COUNTIF(F16:V16,"P")</f>
        <v>10</v>
      </c>
      <c r="X16" s="5">
        <f>COUNTIF(F16:V16,"A")</f>
        <v>2</v>
      </c>
      <c r="Y16"/>
      <c r="Z16"/>
      <c r="AA16"/>
      <c r="AB16"/>
    </row>
    <row r="17" spans="1:28" ht="16.5" x14ac:dyDescent="0.25">
      <c r="A17" s="9">
        <v>13</v>
      </c>
      <c r="B17" s="11">
        <v>672</v>
      </c>
      <c r="C17" s="7" t="s">
        <v>316</v>
      </c>
      <c r="D17" s="7" t="s">
        <v>317</v>
      </c>
      <c r="E17" s="8" t="s">
        <v>361</v>
      </c>
      <c r="F17" s="94" t="s">
        <v>804</v>
      </c>
      <c r="G17" s="94" t="s">
        <v>804</v>
      </c>
      <c r="H17" s="145"/>
      <c r="I17" s="94" t="s">
        <v>804</v>
      </c>
      <c r="J17" s="94" t="s">
        <v>804</v>
      </c>
      <c r="K17" s="94" t="s">
        <v>804</v>
      </c>
      <c r="L17" s="94" t="s">
        <v>804</v>
      </c>
      <c r="M17" s="94" t="s">
        <v>804</v>
      </c>
      <c r="N17" s="165"/>
      <c r="O17" s="145"/>
      <c r="P17" s="94" t="s">
        <v>804</v>
      </c>
      <c r="Q17" s="94" t="s">
        <v>804</v>
      </c>
      <c r="R17" s="94" t="s">
        <v>804</v>
      </c>
      <c r="S17" s="165"/>
      <c r="T17" s="94" t="s">
        <v>804</v>
      </c>
      <c r="U17" s="94" t="s">
        <v>804</v>
      </c>
      <c r="V17" s="145"/>
      <c r="W17" s="5">
        <f>COUNTIF(F17:V17,"P")</f>
        <v>12</v>
      </c>
      <c r="X17" s="5">
        <f>COUNTIF(F17:V17,"A")</f>
        <v>0</v>
      </c>
      <c r="Y17"/>
      <c r="Z17"/>
      <c r="AA17"/>
      <c r="AB17"/>
    </row>
    <row r="18" spans="1:28" ht="16.5" x14ac:dyDescent="0.25">
      <c r="A18" s="9">
        <v>14</v>
      </c>
      <c r="B18" s="11">
        <v>702</v>
      </c>
      <c r="C18" s="7" t="s">
        <v>318</v>
      </c>
      <c r="D18" s="7" t="s">
        <v>133</v>
      </c>
      <c r="E18" s="8" t="s">
        <v>361</v>
      </c>
      <c r="F18" s="94" t="s">
        <v>804</v>
      </c>
      <c r="G18" s="94" t="s">
        <v>804</v>
      </c>
      <c r="H18" s="145"/>
      <c r="I18" s="94" t="s">
        <v>804</v>
      </c>
      <c r="J18" s="94" t="s">
        <v>804</v>
      </c>
      <c r="K18" s="94" t="s">
        <v>804</v>
      </c>
      <c r="L18" s="94" t="s">
        <v>804</v>
      </c>
      <c r="M18" s="94" t="s">
        <v>804</v>
      </c>
      <c r="N18" s="165"/>
      <c r="O18" s="145"/>
      <c r="P18" s="94" t="s">
        <v>804</v>
      </c>
      <c r="Q18" s="94" t="s">
        <v>804</v>
      </c>
      <c r="R18" s="94" t="s">
        <v>804</v>
      </c>
      <c r="S18" s="165"/>
      <c r="T18" s="94" t="s">
        <v>804</v>
      </c>
      <c r="U18" s="94" t="s">
        <v>804</v>
      </c>
      <c r="V18" s="145"/>
      <c r="W18" s="5">
        <f>COUNTIF(F18:V18,"P")</f>
        <v>12</v>
      </c>
      <c r="X18" s="5">
        <f>COUNTIF(F18:V18,"A")</f>
        <v>0</v>
      </c>
      <c r="Y18"/>
      <c r="Z18"/>
      <c r="AA18"/>
      <c r="AB18"/>
    </row>
    <row r="19" spans="1:28" ht="16.5" x14ac:dyDescent="0.25">
      <c r="A19" s="9">
        <v>15</v>
      </c>
      <c r="B19" s="11">
        <v>659</v>
      </c>
      <c r="C19" s="7" t="s">
        <v>319</v>
      </c>
      <c r="D19" s="7" t="s">
        <v>320</v>
      </c>
      <c r="E19" s="8" t="s">
        <v>361</v>
      </c>
      <c r="F19" s="94" t="s">
        <v>804</v>
      </c>
      <c r="G19" s="94" t="s">
        <v>804</v>
      </c>
      <c r="H19" s="145"/>
      <c r="I19" s="94" t="s">
        <v>804</v>
      </c>
      <c r="J19" s="94" t="s">
        <v>804</v>
      </c>
      <c r="K19" s="94" t="s">
        <v>804</v>
      </c>
      <c r="L19" s="94" t="s">
        <v>804</v>
      </c>
      <c r="M19" s="94" t="s">
        <v>804</v>
      </c>
      <c r="N19" s="165"/>
      <c r="O19" s="145"/>
      <c r="P19" s="94" t="s">
        <v>804</v>
      </c>
      <c r="Q19" s="94" t="s">
        <v>804</v>
      </c>
      <c r="R19" s="94" t="s">
        <v>804</v>
      </c>
      <c r="S19" s="165"/>
      <c r="T19" s="94" t="s">
        <v>804</v>
      </c>
      <c r="U19" s="94" t="s">
        <v>804</v>
      </c>
      <c r="V19" s="145"/>
      <c r="W19" s="5">
        <f>COUNTIF(F19:V19,"P")</f>
        <v>12</v>
      </c>
      <c r="X19" s="5">
        <f>COUNTIF(F19:V19,"A")</f>
        <v>0</v>
      </c>
      <c r="Y19" s="134" t="s">
        <v>121</v>
      </c>
      <c r="Z19" s="135"/>
      <c r="AA19" s="135"/>
      <c r="AB19" s="136"/>
    </row>
    <row r="20" spans="1:28" ht="16.5" x14ac:dyDescent="0.25">
      <c r="A20" s="9">
        <v>16</v>
      </c>
      <c r="B20" s="11">
        <v>661</v>
      </c>
      <c r="C20" s="7" t="s">
        <v>321</v>
      </c>
      <c r="D20" s="7" t="s">
        <v>322</v>
      </c>
      <c r="E20" s="8" t="s">
        <v>361</v>
      </c>
      <c r="F20" s="94" t="s">
        <v>804</v>
      </c>
      <c r="G20" s="94" t="s">
        <v>804</v>
      </c>
      <c r="H20" s="145"/>
      <c r="I20" s="94" t="s">
        <v>804</v>
      </c>
      <c r="J20" s="94" t="s">
        <v>803</v>
      </c>
      <c r="K20" s="94" t="s">
        <v>804</v>
      </c>
      <c r="L20" s="94" t="s">
        <v>804</v>
      </c>
      <c r="M20" s="94" t="s">
        <v>804</v>
      </c>
      <c r="N20" s="165"/>
      <c r="O20" s="145"/>
      <c r="P20" s="94" t="s">
        <v>804</v>
      </c>
      <c r="Q20" s="94" t="s">
        <v>803</v>
      </c>
      <c r="R20" s="94" t="s">
        <v>804</v>
      </c>
      <c r="S20" s="165"/>
      <c r="T20" s="94" t="s">
        <v>804</v>
      </c>
      <c r="U20" s="94" t="s">
        <v>804</v>
      </c>
      <c r="V20" s="145"/>
      <c r="W20" s="5">
        <f>COUNTIF(F20:V20,"P")</f>
        <v>10</v>
      </c>
      <c r="X20" s="5">
        <f>COUNTIF(F20:V20,"A")</f>
        <v>2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ht="16.5" x14ac:dyDescent="0.25">
      <c r="A21" s="9">
        <v>17</v>
      </c>
      <c r="B21" s="11">
        <v>522</v>
      </c>
      <c r="C21" s="7" t="s">
        <v>323</v>
      </c>
      <c r="D21" s="7" t="s">
        <v>219</v>
      </c>
      <c r="E21" s="8" t="s">
        <v>361</v>
      </c>
      <c r="F21" s="94" t="s">
        <v>803</v>
      </c>
      <c r="G21" s="94" t="s">
        <v>803</v>
      </c>
      <c r="H21" s="145"/>
      <c r="I21" s="94" t="s">
        <v>804</v>
      </c>
      <c r="J21" s="94" t="s">
        <v>804</v>
      </c>
      <c r="K21" s="94" t="s">
        <v>804</v>
      </c>
      <c r="L21" s="94" t="s">
        <v>804</v>
      </c>
      <c r="M21" s="94" t="s">
        <v>804</v>
      </c>
      <c r="N21" s="165"/>
      <c r="O21" s="145"/>
      <c r="P21" s="94" t="s">
        <v>804</v>
      </c>
      <c r="Q21" s="94" t="s">
        <v>804</v>
      </c>
      <c r="R21" s="94" t="s">
        <v>804</v>
      </c>
      <c r="S21" s="165"/>
      <c r="T21" s="94" t="s">
        <v>804</v>
      </c>
      <c r="U21" s="94" t="s">
        <v>804</v>
      </c>
      <c r="V21" s="145"/>
      <c r="W21" s="5">
        <f>COUNTIF(F21:V21,"P")</f>
        <v>10</v>
      </c>
      <c r="X21" s="5">
        <f>COUNTIF(F21:V21,"A")</f>
        <v>2</v>
      </c>
      <c r="Y21" s="5" t="s">
        <v>14</v>
      </c>
      <c r="Z21" s="9">
        <f>26*$Z$5</f>
        <v>676</v>
      </c>
      <c r="AA21" s="9">
        <f>26*$Z$5</f>
        <v>676</v>
      </c>
      <c r="AB21" s="9">
        <f>Z21+AA21</f>
        <v>1352</v>
      </c>
    </row>
    <row r="22" spans="1:28" ht="16.5" x14ac:dyDescent="0.25">
      <c r="A22" s="9">
        <v>18</v>
      </c>
      <c r="B22" s="11">
        <v>654</v>
      </c>
      <c r="C22" s="7" t="s">
        <v>324</v>
      </c>
      <c r="D22" s="7" t="s">
        <v>129</v>
      </c>
      <c r="E22" s="8" t="s">
        <v>361</v>
      </c>
      <c r="F22" s="94" t="s">
        <v>804</v>
      </c>
      <c r="G22" s="94" t="s">
        <v>804</v>
      </c>
      <c r="H22" s="145"/>
      <c r="I22" s="94" t="s">
        <v>804</v>
      </c>
      <c r="J22" s="94" t="s">
        <v>804</v>
      </c>
      <c r="K22" s="94" t="s">
        <v>804</v>
      </c>
      <c r="L22" s="94" t="s">
        <v>804</v>
      </c>
      <c r="M22" s="94" t="s">
        <v>804</v>
      </c>
      <c r="N22" s="165"/>
      <c r="O22" s="145"/>
      <c r="P22" s="94" t="s">
        <v>804</v>
      </c>
      <c r="Q22" s="94" t="s">
        <v>804</v>
      </c>
      <c r="R22" s="94" t="s">
        <v>804</v>
      </c>
      <c r="S22" s="165"/>
      <c r="T22" s="94" t="s">
        <v>804</v>
      </c>
      <c r="U22" s="94" t="s">
        <v>804</v>
      </c>
      <c r="V22" s="145"/>
      <c r="W22" s="5">
        <f>COUNTIF(F22:V22,"P")</f>
        <v>12</v>
      </c>
      <c r="X22" s="5">
        <f>COUNTIF(F22:V22,"A")</f>
        <v>0</v>
      </c>
      <c r="Y22" s="5" t="s">
        <v>17</v>
      </c>
      <c r="Z22" s="9">
        <f>Z21-Z14</f>
        <v>410</v>
      </c>
      <c r="AA22" s="9">
        <f>AA21-AA14</f>
        <v>413</v>
      </c>
      <c r="AB22" s="9">
        <f>Z22+AA22</f>
        <v>823</v>
      </c>
    </row>
    <row r="23" spans="1:28" ht="16.5" x14ac:dyDescent="0.25">
      <c r="A23" s="9">
        <v>19</v>
      </c>
      <c r="B23" s="11">
        <v>660</v>
      </c>
      <c r="C23" s="7" t="s">
        <v>325</v>
      </c>
      <c r="D23" s="7" t="s">
        <v>326</v>
      </c>
      <c r="E23" s="8" t="s">
        <v>361</v>
      </c>
      <c r="F23" s="94" t="s">
        <v>804</v>
      </c>
      <c r="G23" s="94" t="s">
        <v>804</v>
      </c>
      <c r="H23" s="145"/>
      <c r="I23" s="94" t="s">
        <v>804</v>
      </c>
      <c r="J23" s="94" t="s">
        <v>804</v>
      </c>
      <c r="K23" s="94" t="s">
        <v>804</v>
      </c>
      <c r="L23" s="94" t="s">
        <v>803</v>
      </c>
      <c r="M23" s="94" t="s">
        <v>804</v>
      </c>
      <c r="N23" s="165"/>
      <c r="O23" s="145"/>
      <c r="P23" s="94" t="s">
        <v>804</v>
      </c>
      <c r="Q23" s="94" t="s">
        <v>804</v>
      </c>
      <c r="R23" s="94" t="s">
        <v>804</v>
      </c>
      <c r="S23" s="165"/>
      <c r="T23" s="94" t="s">
        <v>804</v>
      </c>
      <c r="U23" s="94" t="s">
        <v>804</v>
      </c>
      <c r="V23" s="145"/>
      <c r="W23" s="5">
        <f>COUNTIF(F23:V23,"P")</f>
        <v>11</v>
      </c>
      <c r="X23" s="5">
        <f>COUNTIF(F23:V23,"A")</f>
        <v>1</v>
      </c>
      <c r="Y23" s="5" t="s">
        <v>16</v>
      </c>
      <c r="Z23" s="12">
        <f>Z22/Z21</f>
        <v>0.60650887573964496</v>
      </c>
      <c r="AA23" s="12">
        <f>AA22/AA21</f>
        <v>0.61094674556213013</v>
      </c>
      <c r="AB23" s="12">
        <f>AB22/AB21</f>
        <v>0.60872781065088755</v>
      </c>
    </row>
    <row r="24" spans="1:28" ht="16.5" x14ac:dyDescent="0.25">
      <c r="A24" s="9">
        <v>20</v>
      </c>
      <c r="B24" s="11">
        <v>841</v>
      </c>
      <c r="C24" s="7" t="s">
        <v>327</v>
      </c>
      <c r="D24" s="7" t="s">
        <v>328</v>
      </c>
      <c r="E24" s="8" t="s">
        <v>361</v>
      </c>
      <c r="F24" s="94" t="s">
        <v>804</v>
      </c>
      <c r="G24" s="94" t="s">
        <v>804</v>
      </c>
      <c r="H24" s="145"/>
      <c r="I24" s="94" t="s">
        <v>804</v>
      </c>
      <c r="J24" s="94" t="s">
        <v>804</v>
      </c>
      <c r="K24" s="94" t="s">
        <v>804</v>
      </c>
      <c r="L24" s="94" t="s">
        <v>804</v>
      </c>
      <c r="M24" s="94" t="s">
        <v>804</v>
      </c>
      <c r="N24" s="165"/>
      <c r="O24" s="145"/>
      <c r="P24" s="94" t="s">
        <v>804</v>
      </c>
      <c r="Q24" s="94" t="s">
        <v>803</v>
      </c>
      <c r="R24" s="94" t="s">
        <v>804</v>
      </c>
      <c r="S24" s="165"/>
      <c r="T24" s="94" t="s">
        <v>804</v>
      </c>
      <c r="U24" s="94" t="s">
        <v>804</v>
      </c>
      <c r="V24" s="145"/>
      <c r="W24" s="5">
        <f>COUNTIF(F24:V24,"P")</f>
        <v>11</v>
      </c>
      <c r="X24" s="5">
        <f>COUNTIF(F24:V24,"A")</f>
        <v>1</v>
      </c>
    </row>
    <row r="25" spans="1:28" ht="16.5" x14ac:dyDescent="0.25">
      <c r="A25" s="9">
        <v>21</v>
      </c>
      <c r="B25" s="11">
        <v>676</v>
      </c>
      <c r="C25" s="7" t="s">
        <v>329</v>
      </c>
      <c r="D25" s="7" t="s">
        <v>133</v>
      </c>
      <c r="E25" s="8" t="s">
        <v>361</v>
      </c>
      <c r="F25" s="94" t="s">
        <v>803</v>
      </c>
      <c r="G25" s="94" t="s">
        <v>804</v>
      </c>
      <c r="H25" s="145"/>
      <c r="I25" s="94" t="s">
        <v>804</v>
      </c>
      <c r="J25" s="94" t="s">
        <v>804</v>
      </c>
      <c r="K25" s="94" t="s">
        <v>804</v>
      </c>
      <c r="L25" s="94" t="s">
        <v>804</v>
      </c>
      <c r="M25" s="94" t="s">
        <v>804</v>
      </c>
      <c r="N25" s="165"/>
      <c r="O25" s="145"/>
      <c r="P25" s="94" t="s">
        <v>804</v>
      </c>
      <c r="Q25" s="94" t="s">
        <v>804</v>
      </c>
      <c r="R25" s="94" t="s">
        <v>804</v>
      </c>
      <c r="S25" s="165"/>
      <c r="T25" s="94" t="s">
        <v>804</v>
      </c>
      <c r="U25" s="94" t="s">
        <v>804</v>
      </c>
      <c r="V25" s="145"/>
      <c r="W25" s="5">
        <f>COUNTIF(F25:V25,"P")</f>
        <v>11</v>
      </c>
      <c r="X25" s="5">
        <f>COUNTIF(F25:V25,"A")</f>
        <v>1</v>
      </c>
    </row>
    <row r="26" spans="1:28" ht="16.5" x14ac:dyDescent="0.25">
      <c r="A26" s="9">
        <v>22</v>
      </c>
      <c r="B26" s="11">
        <v>658</v>
      </c>
      <c r="C26" s="7" t="s">
        <v>330</v>
      </c>
      <c r="D26" s="7" t="s">
        <v>131</v>
      </c>
      <c r="E26" s="8" t="s">
        <v>361</v>
      </c>
      <c r="F26" s="94" t="s">
        <v>804</v>
      </c>
      <c r="G26" s="94" t="s">
        <v>804</v>
      </c>
      <c r="H26" s="145"/>
      <c r="I26" s="94" t="s">
        <v>804</v>
      </c>
      <c r="J26" s="94" t="s">
        <v>804</v>
      </c>
      <c r="K26" s="94" t="s">
        <v>803</v>
      </c>
      <c r="L26" s="94" t="s">
        <v>804</v>
      </c>
      <c r="M26" s="94" t="s">
        <v>804</v>
      </c>
      <c r="N26" s="165"/>
      <c r="O26" s="145"/>
      <c r="P26" s="94" t="s">
        <v>804</v>
      </c>
      <c r="Q26" s="94" t="s">
        <v>804</v>
      </c>
      <c r="R26" s="94" t="s">
        <v>804</v>
      </c>
      <c r="S26" s="165"/>
      <c r="T26" s="94" t="s">
        <v>804</v>
      </c>
      <c r="U26" s="94" t="s">
        <v>804</v>
      </c>
      <c r="V26" s="145"/>
      <c r="W26" s="5">
        <f>COUNTIF(F26:V26,"P")</f>
        <v>11</v>
      </c>
      <c r="X26" s="5">
        <f>COUNTIF(F26:V26,"A")</f>
        <v>1</v>
      </c>
    </row>
    <row r="27" spans="1:28" ht="16.5" x14ac:dyDescent="0.25">
      <c r="A27" s="9">
        <v>23</v>
      </c>
      <c r="B27" s="11"/>
      <c r="C27" s="7" t="s">
        <v>834</v>
      </c>
      <c r="D27" s="7"/>
      <c r="E27" s="8" t="s">
        <v>361</v>
      </c>
      <c r="F27" s="94" t="s">
        <v>804</v>
      </c>
      <c r="G27" s="94" t="s">
        <v>804</v>
      </c>
      <c r="H27" s="145"/>
      <c r="I27" s="94" t="s">
        <v>804</v>
      </c>
      <c r="J27" s="94" t="s">
        <v>804</v>
      </c>
      <c r="K27" s="94" t="s">
        <v>804</v>
      </c>
      <c r="L27" s="94" t="s">
        <v>804</v>
      </c>
      <c r="M27" s="94" t="s">
        <v>804</v>
      </c>
      <c r="N27" s="165"/>
      <c r="O27" s="145"/>
      <c r="P27" s="94" t="s">
        <v>804</v>
      </c>
      <c r="Q27" s="94" t="s">
        <v>804</v>
      </c>
      <c r="R27" s="94" t="s">
        <v>804</v>
      </c>
      <c r="S27" s="165"/>
      <c r="T27" s="94" t="s">
        <v>804</v>
      </c>
      <c r="U27" s="94" t="s">
        <v>804</v>
      </c>
      <c r="V27" s="145"/>
      <c r="W27" s="5">
        <f>COUNTIF(F27:V27,"P")</f>
        <v>12</v>
      </c>
      <c r="X27" s="5">
        <f>COUNTIF(F27:V27,"A")</f>
        <v>0</v>
      </c>
    </row>
    <row r="28" spans="1:28" ht="16.5" x14ac:dyDescent="0.25">
      <c r="A28" s="9">
        <v>24</v>
      </c>
      <c r="B28" s="11">
        <v>785</v>
      </c>
      <c r="C28" s="7" t="s">
        <v>249</v>
      </c>
      <c r="D28" s="7" t="s">
        <v>176</v>
      </c>
      <c r="E28" s="8" t="s">
        <v>361</v>
      </c>
      <c r="F28" s="94" t="s">
        <v>804</v>
      </c>
      <c r="G28" s="94" t="s">
        <v>804</v>
      </c>
      <c r="H28" s="145"/>
      <c r="I28" s="94" t="s">
        <v>804</v>
      </c>
      <c r="J28" s="94" t="s">
        <v>804</v>
      </c>
      <c r="K28" s="94" t="s">
        <v>804</v>
      </c>
      <c r="L28" s="94" t="s">
        <v>804</v>
      </c>
      <c r="M28" s="94" t="s">
        <v>804</v>
      </c>
      <c r="N28" s="165"/>
      <c r="O28" s="145"/>
      <c r="P28" s="94" t="s">
        <v>804</v>
      </c>
      <c r="Q28" s="94" t="s">
        <v>803</v>
      </c>
      <c r="R28" s="94" t="s">
        <v>804</v>
      </c>
      <c r="S28" s="165"/>
      <c r="T28" s="94" t="s">
        <v>804</v>
      </c>
      <c r="U28" s="94" t="s">
        <v>804</v>
      </c>
      <c r="V28" s="145"/>
      <c r="W28" s="5">
        <f>COUNTIF(F28:V28,"P")</f>
        <v>11</v>
      </c>
      <c r="X28" s="5">
        <f>COUNTIF(F28:V28,"A")</f>
        <v>1</v>
      </c>
    </row>
    <row r="29" spans="1:28" ht="16.5" x14ac:dyDescent="0.25">
      <c r="A29" s="9">
        <v>1</v>
      </c>
      <c r="B29" s="11">
        <v>700</v>
      </c>
      <c r="C29" s="7" t="s">
        <v>22</v>
      </c>
      <c r="D29" s="7" t="s">
        <v>219</v>
      </c>
      <c r="E29" s="8" t="s">
        <v>361</v>
      </c>
      <c r="F29" s="94" t="s">
        <v>803</v>
      </c>
      <c r="G29" s="94" t="s">
        <v>804</v>
      </c>
      <c r="H29" s="145"/>
      <c r="I29" s="94" t="s">
        <v>804</v>
      </c>
      <c r="J29" s="94" t="s">
        <v>803</v>
      </c>
      <c r="K29" s="94" t="s">
        <v>804</v>
      </c>
      <c r="L29" s="94" t="s">
        <v>804</v>
      </c>
      <c r="M29" s="94" t="s">
        <v>804</v>
      </c>
      <c r="N29" s="165"/>
      <c r="O29" s="145"/>
      <c r="P29" s="94" t="s">
        <v>804</v>
      </c>
      <c r="Q29" s="94" t="s">
        <v>804</v>
      </c>
      <c r="R29" s="94" t="s">
        <v>804</v>
      </c>
      <c r="S29" s="165"/>
      <c r="T29" s="94" t="s">
        <v>804</v>
      </c>
      <c r="U29" s="94" t="s">
        <v>804</v>
      </c>
      <c r="V29" s="145"/>
      <c r="W29" s="5">
        <f>COUNTIF(F29:V29,"P")</f>
        <v>10</v>
      </c>
      <c r="X29" s="5">
        <f>COUNTIF(F29:V29,"A")</f>
        <v>2</v>
      </c>
    </row>
    <row r="30" spans="1:28" ht="16.5" x14ac:dyDescent="0.25">
      <c r="A30" s="9">
        <v>2</v>
      </c>
      <c r="B30" s="11">
        <v>680</v>
      </c>
      <c r="C30" s="7" t="s">
        <v>331</v>
      </c>
      <c r="D30" s="7" t="s">
        <v>311</v>
      </c>
      <c r="E30" s="8" t="s">
        <v>361</v>
      </c>
      <c r="F30" s="94" t="s">
        <v>804</v>
      </c>
      <c r="G30" s="94" t="s">
        <v>804</v>
      </c>
      <c r="H30" s="145"/>
      <c r="I30" s="94" t="s">
        <v>804</v>
      </c>
      <c r="J30" s="94" t="s">
        <v>804</v>
      </c>
      <c r="K30" s="94" t="s">
        <v>804</v>
      </c>
      <c r="L30" s="94" t="s">
        <v>804</v>
      </c>
      <c r="M30" s="94" t="s">
        <v>804</v>
      </c>
      <c r="N30" s="165"/>
      <c r="O30" s="145"/>
      <c r="P30" s="94" t="s">
        <v>804</v>
      </c>
      <c r="Q30" s="94" t="s">
        <v>804</v>
      </c>
      <c r="R30" s="94" t="s">
        <v>804</v>
      </c>
      <c r="S30" s="165"/>
      <c r="T30" s="94" t="s">
        <v>804</v>
      </c>
      <c r="U30" s="94" t="s">
        <v>804</v>
      </c>
      <c r="V30" s="145"/>
      <c r="W30" s="5">
        <f>COUNTIF(F30:V30,"P")</f>
        <v>12</v>
      </c>
      <c r="X30" s="5">
        <f>COUNTIF(F30:V30,"A")</f>
        <v>0</v>
      </c>
    </row>
    <row r="31" spans="1:28" ht="16.5" x14ac:dyDescent="0.25">
      <c r="A31" s="9">
        <v>3</v>
      </c>
      <c r="B31" s="11">
        <v>650</v>
      </c>
      <c r="C31" s="7" t="s">
        <v>111</v>
      </c>
      <c r="D31" s="7" t="s">
        <v>332</v>
      </c>
      <c r="E31" s="8" t="s">
        <v>361</v>
      </c>
      <c r="F31" s="94" t="s">
        <v>804</v>
      </c>
      <c r="G31" s="94" t="s">
        <v>804</v>
      </c>
      <c r="H31" s="145"/>
      <c r="I31" s="94" t="s">
        <v>804</v>
      </c>
      <c r="J31" s="94" t="s">
        <v>804</v>
      </c>
      <c r="K31" s="94" t="s">
        <v>804</v>
      </c>
      <c r="L31" s="94" t="s">
        <v>804</v>
      </c>
      <c r="M31" s="94" t="s">
        <v>804</v>
      </c>
      <c r="N31" s="165"/>
      <c r="O31" s="145"/>
      <c r="P31" s="94" t="s">
        <v>803</v>
      </c>
      <c r="Q31" s="94" t="s">
        <v>804</v>
      </c>
      <c r="R31" s="94" t="s">
        <v>804</v>
      </c>
      <c r="S31" s="165"/>
      <c r="T31" s="94" t="s">
        <v>804</v>
      </c>
      <c r="U31" s="94" t="s">
        <v>804</v>
      </c>
      <c r="V31" s="145"/>
      <c r="W31" s="5">
        <f>COUNTIF(F31:V31,"P")</f>
        <v>11</v>
      </c>
      <c r="X31" s="5">
        <f>COUNTIF(F31:V31,"A")</f>
        <v>1</v>
      </c>
    </row>
    <row r="32" spans="1:28" ht="16.5" x14ac:dyDescent="0.25">
      <c r="A32" s="9">
        <v>4</v>
      </c>
      <c r="B32" s="11">
        <v>911</v>
      </c>
      <c r="C32" s="7" t="s">
        <v>334</v>
      </c>
      <c r="D32" s="7" t="s">
        <v>335</v>
      </c>
      <c r="E32" s="8" t="s">
        <v>361</v>
      </c>
      <c r="F32" s="94" t="s">
        <v>804</v>
      </c>
      <c r="G32" s="94" t="s">
        <v>804</v>
      </c>
      <c r="H32" s="145"/>
      <c r="I32" s="94" t="s">
        <v>804</v>
      </c>
      <c r="J32" s="94" t="s">
        <v>804</v>
      </c>
      <c r="K32" s="94" t="s">
        <v>804</v>
      </c>
      <c r="L32" s="94" t="s">
        <v>804</v>
      </c>
      <c r="M32" s="94" t="s">
        <v>804</v>
      </c>
      <c r="N32" s="165"/>
      <c r="O32" s="145"/>
      <c r="P32" s="94" t="s">
        <v>804</v>
      </c>
      <c r="Q32" s="94" t="s">
        <v>804</v>
      </c>
      <c r="R32" s="94" t="s">
        <v>804</v>
      </c>
      <c r="S32" s="165"/>
      <c r="T32" s="94" t="s">
        <v>804</v>
      </c>
      <c r="U32" s="94" t="s">
        <v>804</v>
      </c>
      <c r="V32" s="145"/>
      <c r="W32" s="5">
        <f>COUNTIF(F32:V32,"P")</f>
        <v>12</v>
      </c>
      <c r="X32" s="5">
        <f>COUNTIF(F32:V32,"A")</f>
        <v>0</v>
      </c>
    </row>
    <row r="33" spans="1:24" ht="16.5" x14ac:dyDescent="0.25">
      <c r="A33" s="9">
        <v>5</v>
      </c>
      <c r="B33" s="11">
        <v>683</v>
      </c>
      <c r="C33" s="7" t="s">
        <v>336</v>
      </c>
      <c r="D33" s="7" t="s">
        <v>337</v>
      </c>
      <c r="E33" s="8" t="s">
        <v>361</v>
      </c>
      <c r="F33" s="94" t="s">
        <v>804</v>
      </c>
      <c r="G33" s="94" t="s">
        <v>804</v>
      </c>
      <c r="H33" s="145"/>
      <c r="I33" s="94" t="s">
        <v>804</v>
      </c>
      <c r="J33" s="94" t="s">
        <v>804</v>
      </c>
      <c r="K33" s="94" t="s">
        <v>803</v>
      </c>
      <c r="L33" s="94" t="s">
        <v>804</v>
      </c>
      <c r="M33" s="94" t="s">
        <v>804</v>
      </c>
      <c r="N33" s="165"/>
      <c r="O33" s="145"/>
      <c r="P33" s="94" t="s">
        <v>804</v>
      </c>
      <c r="Q33" s="94" t="s">
        <v>804</v>
      </c>
      <c r="R33" s="94" t="s">
        <v>804</v>
      </c>
      <c r="S33" s="165"/>
      <c r="T33" s="94" t="s">
        <v>804</v>
      </c>
      <c r="U33" s="94" t="s">
        <v>804</v>
      </c>
      <c r="V33" s="145"/>
      <c r="W33" s="5">
        <f>COUNTIF(F33:V33,"P")</f>
        <v>11</v>
      </c>
      <c r="X33" s="5">
        <f>COUNTIF(F33:V33,"A")</f>
        <v>1</v>
      </c>
    </row>
    <row r="34" spans="1:24" ht="16.5" x14ac:dyDescent="0.25">
      <c r="A34" s="9">
        <v>6</v>
      </c>
      <c r="B34" s="11">
        <v>662</v>
      </c>
      <c r="C34" s="7" t="s">
        <v>338</v>
      </c>
      <c r="D34" s="7" t="s">
        <v>339</v>
      </c>
      <c r="E34" s="8" t="s">
        <v>361</v>
      </c>
      <c r="F34" s="94" t="s">
        <v>803</v>
      </c>
      <c r="G34" s="94" t="s">
        <v>804</v>
      </c>
      <c r="H34" s="145"/>
      <c r="I34" s="94" t="s">
        <v>804</v>
      </c>
      <c r="J34" s="94" t="s">
        <v>804</v>
      </c>
      <c r="K34" s="94" t="s">
        <v>804</v>
      </c>
      <c r="L34" s="94" t="s">
        <v>804</v>
      </c>
      <c r="M34" s="94" t="s">
        <v>804</v>
      </c>
      <c r="N34" s="165"/>
      <c r="O34" s="145"/>
      <c r="P34" s="94" t="s">
        <v>804</v>
      </c>
      <c r="Q34" s="94" t="s">
        <v>804</v>
      </c>
      <c r="R34" s="94" t="s">
        <v>804</v>
      </c>
      <c r="S34" s="165"/>
      <c r="T34" s="94" t="s">
        <v>804</v>
      </c>
      <c r="U34" s="94" t="s">
        <v>804</v>
      </c>
      <c r="V34" s="145"/>
      <c r="W34" s="5">
        <f>COUNTIF(F34:V34,"P")</f>
        <v>11</v>
      </c>
      <c r="X34" s="5">
        <f>COUNTIF(F34:V34,"A")</f>
        <v>1</v>
      </c>
    </row>
    <row r="35" spans="1:24" ht="16.5" x14ac:dyDescent="0.25">
      <c r="A35" s="9">
        <v>7</v>
      </c>
      <c r="B35" s="11">
        <v>681</v>
      </c>
      <c r="C35" s="7" t="s">
        <v>340</v>
      </c>
      <c r="D35" s="7" t="s">
        <v>62</v>
      </c>
      <c r="E35" s="8" t="s">
        <v>361</v>
      </c>
      <c r="F35" s="94" t="s">
        <v>804</v>
      </c>
      <c r="G35" s="94" t="s">
        <v>803</v>
      </c>
      <c r="H35" s="145"/>
      <c r="I35" s="94" t="s">
        <v>804</v>
      </c>
      <c r="J35" s="94" t="s">
        <v>804</v>
      </c>
      <c r="K35" s="94" t="s">
        <v>804</v>
      </c>
      <c r="L35" s="94" t="s">
        <v>804</v>
      </c>
      <c r="M35" s="94" t="s">
        <v>804</v>
      </c>
      <c r="N35" s="165"/>
      <c r="O35" s="145"/>
      <c r="P35" s="94" t="s">
        <v>804</v>
      </c>
      <c r="Q35" s="94" t="s">
        <v>803</v>
      </c>
      <c r="R35" s="94" t="s">
        <v>804</v>
      </c>
      <c r="S35" s="165"/>
      <c r="T35" s="94" t="s">
        <v>804</v>
      </c>
      <c r="U35" s="94" t="s">
        <v>804</v>
      </c>
      <c r="V35" s="145"/>
      <c r="W35" s="5">
        <f>COUNTIF(F35:V35,"P")</f>
        <v>10</v>
      </c>
      <c r="X35" s="5">
        <f>COUNTIF(F35:V35,"A")</f>
        <v>2</v>
      </c>
    </row>
    <row r="36" spans="1:24" ht="16.5" x14ac:dyDescent="0.25">
      <c r="A36" s="9">
        <v>8</v>
      </c>
      <c r="B36" s="11">
        <v>664</v>
      </c>
      <c r="C36" s="7" t="s">
        <v>106</v>
      </c>
      <c r="D36" s="7" t="s">
        <v>341</v>
      </c>
      <c r="E36" s="8" t="s">
        <v>361</v>
      </c>
      <c r="F36" s="94" t="s">
        <v>804</v>
      </c>
      <c r="G36" s="94" t="s">
        <v>804</v>
      </c>
      <c r="H36" s="145"/>
      <c r="I36" s="94" t="s">
        <v>804</v>
      </c>
      <c r="J36" s="94" t="s">
        <v>804</v>
      </c>
      <c r="K36" s="94" t="s">
        <v>804</v>
      </c>
      <c r="L36" s="94" t="s">
        <v>804</v>
      </c>
      <c r="M36" s="94" t="s">
        <v>804</v>
      </c>
      <c r="N36" s="165"/>
      <c r="O36" s="145"/>
      <c r="P36" s="94" t="s">
        <v>804</v>
      </c>
      <c r="Q36" s="94" t="s">
        <v>804</v>
      </c>
      <c r="R36" s="94" t="s">
        <v>804</v>
      </c>
      <c r="S36" s="165"/>
      <c r="T36" s="94" t="s">
        <v>804</v>
      </c>
      <c r="U36" s="94" t="s">
        <v>804</v>
      </c>
      <c r="V36" s="145"/>
      <c r="W36" s="5">
        <f>COUNTIF(F36:V36,"P")</f>
        <v>12</v>
      </c>
      <c r="X36" s="5">
        <f>COUNTIF(F36:V36,"A")</f>
        <v>0</v>
      </c>
    </row>
    <row r="37" spans="1:24" ht="16.5" x14ac:dyDescent="0.25">
      <c r="A37" s="9">
        <v>9</v>
      </c>
      <c r="B37" s="11">
        <v>663</v>
      </c>
      <c r="C37" s="7" t="s">
        <v>342</v>
      </c>
      <c r="D37" s="7" t="s">
        <v>60</v>
      </c>
      <c r="E37" s="8" t="s">
        <v>361</v>
      </c>
      <c r="F37" s="94" t="s">
        <v>804</v>
      </c>
      <c r="G37" s="94" t="s">
        <v>804</v>
      </c>
      <c r="H37" s="145"/>
      <c r="I37" s="94" t="s">
        <v>804</v>
      </c>
      <c r="J37" s="94" t="s">
        <v>804</v>
      </c>
      <c r="K37" s="94" t="s">
        <v>804</v>
      </c>
      <c r="L37" s="94" t="s">
        <v>803</v>
      </c>
      <c r="M37" s="94" t="s">
        <v>804</v>
      </c>
      <c r="N37" s="165"/>
      <c r="O37" s="145"/>
      <c r="P37" s="94" t="s">
        <v>804</v>
      </c>
      <c r="Q37" s="94" t="s">
        <v>804</v>
      </c>
      <c r="R37" s="94" t="s">
        <v>804</v>
      </c>
      <c r="S37" s="165"/>
      <c r="T37" s="94" t="s">
        <v>804</v>
      </c>
      <c r="U37" s="94" t="s">
        <v>804</v>
      </c>
      <c r="V37" s="145"/>
      <c r="W37" s="5">
        <f>COUNTIF(F37:V37,"P")</f>
        <v>11</v>
      </c>
      <c r="X37" s="5">
        <f>COUNTIF(F37:V37,"A")</f>
        <v>1</v>
      </c>
    </row>
    <row r="38" spans="1:24" ht="16.5" x14ac:dyDescent="0.25">
      <c r="A38" s="9">
        <v>10</v>
      </c>
      <c r="B38" s="11">
        <v>771</v>
      </c>
      <c r="C38" s="7" t="s">
        <v>343</v>
      </c>
      <c r="D38" s="7" t="s">
        <v>266</v>
      </c>
      <c r="E38" s="8" t="s">
        <v>361</v>
      </c>
      <c r="F38" s="94" t="s">
        <v>804</v>
      </c>
      <c r="G38" s="94" t="s">
        <v>804</v>
      </c>
      <c r="H38" s="145"/>
      <c r="I38" s="94" t="s">
        <v>804</v>
      </c>
      <c r="J38" s="94" t="s">
        <v>804</v>
      </c>
      <c r="K38" s="94" t="s">
        <v>804</v>
      </c>
      <c r="L38" s="94" t="s">
        <v>804</v>
      </c>
      <c r="M38" s="94" t="s">
        <v>804</v>
      </c>
      <c r="N38" s="165"/>
      <c r="O38" s="145"/>
      <c r="P38" s="94" t="s">
        <v>804</v>
      </c>
      <c r="Q38" s="94" t="s">
        <v>804</v>
      </c>
      <c r="R38" s="94" t="s">
        <v>804</v>
      </c>
      <c r="S38" s="165"/>
      <c r="T38" s="94" t="s">
        <v>804</v>
      </c>
      <c r="U38" s="94" t="s">
        <v>804</v>
      </c>
      <c r="V38" s="145"/>
      <c r="W38" s="5">
        <f>COUNTIF(F38:V38,"P")</f>
        <v>12</v>
      </c>
      <c r="X38" s="5">
        <f>COUNTIF(F38:V38,"A")</f>
        <v>0</v>
      </c>
    </row>
    <row r="39" spans="1:24" ht="16.5" x14ac:dyDescent="0.25">
      <c r="A39" s="9">
        <v>11</v>
      </c>
      <c r="B39" s="11">
        <v>773</v>
      </c>
      <c r="C39" s="7" t="s">
        <v>185</v>
      </c>
      <c r="D39" s="7" t="s">
        <v>234</v>
      </c>
      <c r="E39" s="8" t="s">
        <v>361</v>
      </c>
      <c r="F39" s="94" t="s">
        <v>804</v>
      </c>
      <c r="G39" s="94" t="s">
        <v>803</v>
      </c>
      <c r="H39" s="145"/>
      <c r="I39" s="94" t="s">
        <v>804</v>
      </c>
      <c r="J39" s="94" t="s">
        <v>804</v>
      </c>
      <c r="K39" s="94" t="s">
        <v>804</v>
      </c>
      <c r="L39" s="94" t="s">
        <v>804</v>
      </c>
      <c r="M39" s="94" t="s">
        <v>804</v>
      </c>
      <c r="N39" s="165"/>
      <c r="O39" s="145"/>
      <c r="P39" s="94" t="s">
        <v>804</v>
      </c>
      <c r="Q39" s="94" t="s">
        <v>804</v>
      </c>
      <c r="R39" s="94" t="s">
        <v>803</v>
      </c>
      <c r="S39" s="165"/>
      <c r="T39" s="94" t="s">
        <v>804</v>
      </c>
      <c r="U39" s="94" t="s">
        <v>804</v>
      </c>
      <c r="V39" s="145"/>
      <c r="W39" s="5">
        <f>COUNTIF(F39:V39,"P")</f>
        <v>10</v>
      </c>
      <c r="X39" s="5">
        <f>COUNTIF(F39:V39,"A")</f>
        <v>2</v>
      </c>
    </row>
    <row r="40" spans="1:24" ht="16.5" x14ac:dyDescent="0.25">
      <c r="A40" s="9">
        <v>12</v>
      </c>
      <c r="B40" s="11">
        <v>775</v>
      </c>
      <c r="C40" s="7" t="s">
        <v>344</v>
      </c>
      <c r="D40" s="7" t="s">
        <v>345</v>
      </c>
      <c r="E40" s="8" t="s">
        <v>361</v>
      </c>
      <c r="F40" s="94" t="s">
        <v>804</v>
      </c>
      <c r="G40" s="94" t="s">
        <v>804</v>
      </c>
      <c r="H40" s="145"/>
      <c r="I40" s="94" t="s">
        <v>803</v>
      </c>
      <c r="J40" s="94" t="s">
        <v>804</v>
      </c>
      <c r="K40" s="94" t="s">
        <v>804</v>
      </c>
      <c r="L40" s="94" t="s">
        <v>804</v>
      </c>
      <c r="M40" s="94" t="s">
        <v>804</v>
      </c>
      <c r="N40" s="165"/>
      <c r="O40" s="145"/>
      <c r="P40" s="94" t="s">
        <v>804</v>
      </c>
      <c r="Q40" s="94" t="s">
        <v>804</v>
      </c>
      <c r="R40" s="94" t="s">
        <v>804</v>
      </c>
      <c r="S40" s="165"/>
      <c r="T40" s="94" t="s">
        <v>804</v>
      </c>
      <c r="U40" s="94" t="s">
        <v>804</v>
      </c>
      <c r="V40" s="145"/>
      <c r="W40" s="5">
        <f>COUNTIF(F40:V40,"P")</f>
        <v>11</v>
      </c>
      <c r="X40" s="5">
        <f>COUNTIF(F40:V40,"A")</f>
        <v>1</v>
      </c>
    </row>
    <row r="41" spans="1:24" ht="16.5" x14ac:dyDescent="0.25">
      <c r="A41" s="9">
        <v>13</v>
      </c>
      <c r="B41" s="11">
        <v>678</v>
      </c>
      <c r="C41" s="7" t="s">
        <v>346</v>
      </c>
      <c r="D41" s="7" t="s">
        <v>258</v>
      </c>
      <c r="E41" s="8" t="s">
        <v>361</v>
      </c>
      <c r="F41" s="94" t="s">
        <v>804</v>
      </c>
      <c r="G41" s="94" t="s">
        <v>804</v>
      </c>
      <c r="H41" s="145"/>
      <c r="I41" s="94" t="s">
        <v>804</v>
      </c>
      <c r="J41" s="94" t="s">
        <v>804</v>
      </c>
      <c r="K41" s="94" t="s">
        <v>804</v>
      </c>
      <c r="L41" s="94" t="s">
        <v>804</v>
      </c>
      <c r="M41" s="94" t="s">
        <v>804</v>
      </c>
      <c r="N41" s="165"/>
      <c r="O41" s="145"/>
      <c r="P41" s="94" t="s">
        <v>804</v>
      </c>
      <c r="Q41" s="94" t="s">
        <v>804</v>
      </c>
      <c r="R41" s="94" t="s">
        <v>804</v>
      </c>
      <c r="S41" s="165"/>
      <c r="T41" s="94" t="s">
        <v>804</v>
      </c>
      <c r="U41" s="94" t="s">
        <v>804</v>
      </c>
      <c r="V41" s="145"/>
      <c r="W41" s="5">
        <f>COUNTIF(F41:V41,"P")</f>
        <v>12</v>
      </c>
      <c r="X41" s="5">
        <f>COUNTIF(F41:V41,"A")</f>
        <v>0</v>
      </c>
    </row>
    <row r="42" spans="1:24" ht="16.5" x14ac:dyDescent="0.25">
      <c r="A42" s="9">
        <v>14</v>
      </c>
      <c r="B42" s="11">
        <v>674</v>
      </c>
      <c r="C42" s="7" t="s">
        <v>347</v>
      </c>
      <c r="D42" s="7" t="s">
        <v>58</v>
      </c>
      <c r="E42" s="8" t="s">
        <v>361</v>
      </c>
      <c r="F42" s="94" t="s">
        <v>803</v>
      </c>
      <c r="G42" s="94" t="s">
        <v>804</v>
      </c>
      <c r="H42" s="145"/>
      <c r="I42" s="94" t="s">
        <v>804</v>
      </c>
      <c r="J42" s="94" t="s">
        <v>804</v>
      </c>
      <c r="K42" s="94" t="s">
        <v>804</v>
      </c>
      <c r="L42" s="94" t="s">
        <v>804</v>
      </c>
      <c r="M42" s="94" t="s">
        <v>804</v>
      </c>
      <c r="N42" s="165"/>
      <c r="O42" s="145"/>
      <c r="P42" s="94" t="s">
        <v>804</v>
      </c>
      <c r="Q42" s="94" t="s">
        <v>803</v>
      </c>
      <c r="R42" s="94" t="s">
        <v>804</v>
      </c>
      <c r="S42" s="165"/>
      <c r="T42" s="94" t="s">
        <v>804</v>
      </c>
      <c r="U42" s="94" t="s">
        <v>804</v>
      </c>
      <c r="V42" s="145"/>
      <c r="W42" s="5">
        <f>COUNTIF(F42:V42,"P")</f>
        <v>10</v>
      </c>
      <c r="X42" s="5">
        <f>COUNTIF(F42:V42,"A")</f>
        <v>2</v>
      </c>
    </row>
    <row r="43" spans="1:24" ht="16.5" x14ac:dyDescent="0.25">
      <c r="A43" s="9">
        <v>15</v>
      </c>
      <c r="B43" s="11">
        <v>666</v>
      </c>
      <c r="C43" s="7" t="s">
        <v>348</v>
      </c>
      <c r="D43" s="7" t="s">
        <v>349</v>
      </c>
      <c r="E43" s="8" t="s">
        <v>361</v>
      </c>
      <c r="F43" s="94" t="s">
        <v>804</v>
      </c>
      <c r="G43" s="94" t="s">
        <v>804</v>
      </c>
      <c r="H43" s="145"/>
      <c r="I43" s="94" t="s">
        <v>804</v>
      </c>
      <c r="J43" s="94" t="s">
        <v>804</v>
      </c>
      <c r="K43" s="94" t="s">
        <v>804</v>
      </c>
      <c r="L43" s="94" t="s">
        <v>804</v>
      </c>
      <c r="M43" s="94" t="s">
        <v>804</v>
      </c>
      <c r="N43" s="165"/>
      <c r="O43" s="145"/>
      <c r="P43" s="94" t="s">
        <v>804</v>
      </c>
      <c r="Q43" s="94" t="s">
        <v>804</v>
      </c>
      <c r="R43" s="94" t="s">
        <v>804</v>
      </c>
      <c r="S43" s="165"/>
      <c r="T43" s="94" t="s">
        <v>804</v>
      </c>
      <c r="U43" s="94" t="s">
        <v>804</v>
      </c>
      <c r="V43" s="145"/>
      <c r="W43" s="5">
        <f>COUNTIF(F43:V43,"P")</f>
        <v>12</v>
      </c>
      <c r="X43" s="5">
        <f>COUNTIF(F43:V43,"A")</f>
        <v>0</v>
      </c>
    </row>
    <row r="44" spans="1:24" ht="16.5" x14ac:dyDescent="0.25">
      <c r="A44" s="9">
        <v>16</v>
      </c>
      <c r="B44" s="11">
        <v>786</v>
      </c>
      <c r="C44" s="7" t="s">
        <v>350</v>
      </c>
      <c r="D44" s="7" t="s">
        <v>351</v>
      </c>
      <c r="E44" s="8" t="s">
        <v>361</v>
      </c>
      <c r="F44" s="94" t="s">
        <v>804</v>
      </c>
      <c r="G44" s="94" t="s">
        <v>804</v>
      </c>
      <c r="H44" s="145"/>
      <c r="I44" s="94" t="s">
        <v>804</v>
      </c>
      <c r="J44" s="94" t="s">
        <v>803</v>
      </c>
      <c r="K44" s="94" t="s">
        <v>804</v>
      </c>
      <c r="L44" s="94" t="s">
        <v>804</v>
      </c>
      <c r="M44" s="94" t="s">
        <v>804</v>
      </c>
      <c r="N44" s="165"/>
      <c r="O44" s="145"/>
      <c r="P44" s="94" t="s">
        <v>803</v>
      </c>
      <c r="Q44" s="94" t="s">
        <v>804</v>
      </c>
      <c r="R44" s="94" t="s">
        <v>804</v>
      </c>
      <c r="S44" s="165"/>
      <c r="T44" s="94" t="s">
        <v>804</v>
      </c>
      <c r="U44" s="94" t="s">
        <v>804</v>
      </c>
      <c r="V44" s="145"/>
      <c r="W44" s="5">
        <f>COUNTIF(F44:V44,"P")</f>
        <v>10</v>
      </c>
      <c r="X44" s="5">
        <f>COUNTIF(F44:V44,"A")</f>
        <v>2</v>
      </c>
    </row>
    <row r="45" spans="1:24" ht="16.5" x14ac:dyDescent="0.25">
      <c r="A45" s="9">
        <v>17</v>
      </c>
      <c r="B45" s="11">
        <v>682</v>
      </c>
      <c r="C45" s="7" t="s">
        <v>352</v>
      </c>
      <c r="D45" s="7" t="s">
        <v>96</v>
      </c>
      <c r="E45" s="8" t="s">
        <v>361</v>
      </c>
      <c r="F45" s="94" t="s">
        <v>804</v>
      </c>
      <c r="G45" s="94" t="s">
        <v>804</v>
      </c>
      <c r="H45" s="145"/>
      <c r="I45" s="94" t="s">
        <v>804</v>
      </c>
      <c r="J45" s="94" t="s">
        <v>804</v>
      </c>
      <c r="K45" s="94" t="s">
        <v>804</v>
      </c>
      <c r="L45" s="94" t="s">
        <v>804</v>
      </c>
      <c r="M45" s="94" t="s">
        <v>804</v>
      </c>
      <c r="N45" s="165"/>
      <c r="O45" s="145"/>
      <c r="P45" s="94" t="s">
        <v>804</v>
      </c>
      <c r="Q45" s="94" t="s">
        <v>804</v>
      </c>
      <c r="R45" s="94" t="s">
        <v>804</v>
      </c>
      <c r="S45" s="165"/>
      <c r="T45" s="94" t="s">
        <v>804</v>
      </c>
      <c r="U45" s="94" t="s">
        <v>804</v>
      </c>
      <c r="V45" s="145"/>
      <c r="W45" s="5">
        <f>COUNTIF(F45:V45,"P")</f>
        <v>12</v>
      </c>
      <c r="X45" s="5">
        <f>COUNTIF(F45:V45,"A")</f>
        <v>0</v>
      </c>
    </row>
    <row r="46" spans="1:24" ht="16.5" x14ac:dyDescent="0.25">
      <c r="A46" s="9">
        <v>18</v>
      </c>
      <c r="B46" s="11">
        <v>651</v>
      </c>
      <c r="C46" s="7" t="s">
        <v>55</v>
      </c>
      <c r="D46" s="7" t="s">
        <v>172</v>
      </c>
      <c r="E46" s="8" t="s">
        <v>361</v>
      </c>
      <c r="F46" s="94" t="s">
        <v>804</v>
      </c>
      <c r="G46" s="94" t="s">
        <v>803</v>
      </c>
      <c r="H46" s="145"/>
      <c r="I46" s="94" t="s">
        <v>804</v>
      </c>
      <c r="J46" s="94" t="s">
        <v>804</v>
      </c>
      <c r="K46" s="94" t="s">
        <v>804</v>
      </c>
      <c r="L46" s="94" t="s">
        <v>804</v>
      </c>
      <c r="M46" s="94" t="s">
        <v>804</v>
      </c>
      <c r="N46" s="165"/>
      <c r="O46" s="145"/>
      <c r="P46" s="94" t="s">
        <v>804</v>
      </c>
      <c r="Q46" s="94" t="s">
        <v>804</v>
      </c>
      <c r="R46" s="94" t="s">
        <v>804</v>
      </c>
      <c r="S46" s="165"/>
      <c r="T46" s="94" t="s">
        <v>804</v>
      </c>
      <c r="U46" s="94" t="s">
        <v>804</v>
      </c>
      <c r="V46" s="145"/>
      <c r="W46" s="5">
        <f>COUNTIF(F46:V46,"P")</f>
        <v>11</v>
      </c>
      <c r="X46" s="5">
        <f>COUNTIF(F46:V46,"A")</f>
        <v>1</v>
      </c>
    </row>
    <row r="47" spans="1:24" ht="16.5" x14ac:dyDescent="0.25">
      <c r="A47" s="9">
        <v>19</v>
      </c>
      <c r="B47" s="11">
        <v>667</v>
      </c>
      <c r="C47" s="7" t="s">
        <v>292</v>
      </c>
      <c r="D47" s="7" t="s">
        <v>353</v>
      </c>
      <c r="E47" s="8" t="s">
        <v>361</v>
      </c>
      <c r="F47" s="94" t="s">
        <v>804</v>
      </c>
      <c r="G47" s="94" t="s">
        <v>804</v>
      </c>
      <c r="H47" s="145"/>
      <c r="I47" s="94" t="s">
        <v>804</v>
      </c>
      <c r="J47" s="94" t="s">
        <v>804</v>
      </c>
      <c r="K47" s="94" t="s">
        <v>804</v>
      </c>
      <c r="L47" s="94" t="s">
        <v>803</v>
      </c>
      <c r="M47" s="94" t="s">
        <v>804</v>
      </c>
      <c r="N47" s="165"/>
      <c r="O47" s="145"/>
      <c r="P47" s="94" t="s">
        <v>804</v>
      </c>
      <c r="Q47" s="94" t="s">
        <v>803</v>
      </c>
      <c r="R47" s="94" t="s">
        <v>804</v>
      </c>
      <c r="S47" s="165"/>
      <c r="T47" s="94" t="s">
        <v>804</v>
      </c>
      <c r="U47" s="94" t="s">
        <v>804</v>
      </c>
      <c r="V47" s="145"/>
      <c r="W47" s="5">
        <f>COUNTIF(F47:V47,"P")</f>
        <v>10</v>
      </c>
      <c r="X47" s="5">
        <f>COUNTIF(F47:V47,"A")</f>
        <v>2</v>
      </c>
    </row>
    <row r="48" spans="1:24" ht="16.5" x14ac:dyDescent="0.25">
      <c r="A48" s="9">
        <v>20</v>
      </c>
      <c r="B48" s="11">
        <v>669</v>
      </c>
      <c r="C48" s="7" t="s">
        <v>354</v>
      </c>
      <c r="D48" s="7" t="s">
        <v>355</v>
      </c>
      <c r="E48" s="8" t="s">
        <v>361</v>
      </c>
      <c r="F48" s="94" t="s">
        <v>804</v>
      </c>
      <c r="G48" s="94" t="s">
        <v>804</v>
      </c>
      <c r="H48" s="145"/>
      <c r="I48" s="94" t="s">
        <v>804</v>
      </c>
      <c r="J48" s="94" t="s">
        <v>804</v>
      </c>
      <c r="K48" s="94" t="s">
        <v>804</v>
      </c>
      <c r="L48" s="94" t="s">
        <v>804</v>
      </c>
      <c r="M48" s="94" t="s">
        <v>804</v>
      </c>
      <c r="N48" s="165"/>
      <c r="O48" s="145"/>
      <c r="P48" s="94" t="s">
        <v>804</v>
      </c>
      <c r="Q48" s="94" t="s">
        <v>804</v>
      </c>
      <c r="R48" s="94" t="s">
        <v>804</v>
      </c>
      <c r="S48" s="165"/>
      <c r="T48" s="94" t="s">
        <v>804</v>
      </c>
      <c r="U48" s="94" t="s">
        <v>804</v>
      </c>
      <c r="V48" s="145"/>
      <c r="W48" s="5">
        <f>COUNTIF(F48:V48,"P")</f>
        <v>12</v>
      </c>
      <c r="X48" s="5">
        <f>COUNTIF(F48:V48,"A")</f>
        <v>0</v>
      </c>
    </row>
    <row r="49" spans="1:24" ht="16.5" x14ac:dyDescent="0.25">
      <c r="A49" s="9">
        <v>21</v>
      </c>
      <c r="B49" s="11">
        <v>677</v>
      </c>
      <c r="C49" s="7" t="s">
        <v>356</v>
      </c>
      <c r="D49" s="7" t="s">
        <v>351</v>
      </c>
      <c r="E49" s="8" t="s">
        <v>361</v>
      </c>
      <c r="F49" s="94" t="s">
        <v>803</v>
      </c>
      <c r="G49" s="94" t="s">
        <v>804</v>
      </c>
      <c r="H49" s="145"/>
      <c r="I49" s="94" t="s">
        <v>804</v>
      </c>
      <c r="J49" s="94" t="s">
        <v>804</v>
      </c>
      <c r="K49" s="94" t="s">
        <v>804</v>
      </c>
      <c r="L49" s="94" t="s">
        <v>804</v>
      </c>
      <c r="M49" s="94" t="s">
        <v>804</v>
      </c>
      <c r="N49" s="165"/>
      <c r="O49" s="145"/>
      <c r="P49" s="94" t="s">
        <v>804</v>
      </c>
      <c r="Q49" s="94" t="s">
        <v>804</v>
      </c>
      <c r="R49" s="94" t="s">
        <v>804</v>
      </c>
      <c r="S49" s="165"/>
      <c r="T49" s="94" t="s">
        <v>804</v>
      </c>
      <c r="U49" s="94" t="s">
        <v>804</v>
      </c>
      <c r="V49" s="145"/>
      <c r="W49" s="5">
        <f>COUNTIF(F49:V49,"P")</f>
        <v>11</v>
      </c>
      <c r="X49" s="5">
        <f>COUNTIF(F49:V49,"A")</f>
        <v>1</v>
      </c>
    </row>
    <row r="50" spans="1:24" ht="16.5" x14ac:dyDescent="0.25">
      <c r="A50" s="9">
        <v>22</v>
      </c>
      <c r="B50" s="11"/>
      <c r="C50" s="7" t="s">
        <v>810</v>
      </c>
      <c r="D50" s="7" t="s">
        <v>124</v>
      </c>
      <c r="E50" s="8" t="s">
        <v>361</v>
      </c>
      <c r="F50" s="94" t="s">
        <v>804</v>
      </c>
      <c r="G50" s="94" t="s">
        <v>804</v>
      </c>
      <c r="H50" s="145"/>
      <c r="I50" s="94" t="s">
        <v>804</v>
      </c>
      <c r="J50" s="94" t="s">
        <v>804</v>
      </c>
      <c r="K50" s="94" t="s">
        <v>803</v>
      </c>
      <c r="L50" s="94" t="s">
        <v>804</v>
      </c>
      <c r="M50" s="94" t="s">
        <v>804</v>
      </c>
      <c r="N50" s="165"/>
      <c r="O50" s="145"/>
      <c r="P50" s="94" t="s">
        <v>804</v>
      </c>
      <c r="Q50" s="94" t="s">
        <v>803</v>
      </c>
      <c r="R50" s="94" t="s">
        <v>804</v>
      </c>
      <c r="S50" s="165"/>
      <c r="T50" s="94" t="s">
        <v>804</v>
      </c>
      <c r="U50" s="94" t="s">
        <v>804</v>
      </c>
      <c r="V50" s="145"/>
      <c r="W50" s="5">
        <f>COUNTIF(F50:V50,"P")</f>
        <v>10</v>
      </c>
      <c r="X50" s="5">
        <f>COUNTIF(F50:V50,"A")</f>
        <v>2</v>
      </c>
    </row>
    <row r="51" spans="1:24" ht="16.5" x14ac:dyDescent="0.25">
      <c r="A51" s="9">
        <v>23</v>
      </c>
      <c r="B51" s="11"/>
      <c r="C51" s="7" t="s">
        <v>811</v>
      </c>
      <c r="D51" s="7"/>
      <c r="E51" s="8" t="s">
        <v>361</v>
      </c>
      <c r="F51" s="94" t="s">
        <v>804</v>
      </c>
      <c r="G51" s="94" t="s">
        <v>804</v>
      </c>
      <c r="H51" s="145"/>
      <c r="I51" s="94" t="s">
        <v>804</v>
      </c>
      <c r="J51" s="94" t="s">
        <v>804</v>
      </c>
      <c r="K51" s="94" t="s">
        <v>804</v>
      </c>
      <c r="L51" s="94" t="s">
        <v>804</v>
      </c>
      <c r="M51" s="94" t="s">
        <v>804</v>
      </c>
      <c r="N51" s="165"/>
      <c r="O51" s="145"/>
      <c r="P51" s="94" t="s">
        <v>804</v>
      </c>
      <c r="Q51" s="94" t="s">
        <v>804</v>
      </c>
      <c r="R51" s="94" t="s">
        <v>804</v>
      </c>
      <c r="S51" s="165"/>
      <c r="T51" s="94" t="s">
        <v>804</v>
      </c>
      <c r="U51" s="94" t="s">
        <v>804</v>
      </c>
      <c r="V51" s="145"/>
      <c r="W51" s="5">
        <f>COUNTIF(F51:V51,"P")</f>
        <v>12</v>
      </c>
      <c r="X51" s="5">
        <f>COUNTIF(F51:V51,"A")</f>
        <v>0</v>
      </c>
    </row>
    <row r="52" spans="1:24" ht="16.5" x14ac:dyDescent="0.25">
      <c r="A52" s="9">
        <v>24</v>
      </c>
      <c r="B52" s="11">
        <v>783</v>
      </c>
      <c r="C52" s="7" t="s">
        <v>357</v>
      </c>
      <c r="D52" s="7" t="s">
        <v>358</v>
      </c>
      <c r="E52" s="8" t="s">
        <v>361</v>
      </c>
      <c r="F52" s="94" t="s">
        <v>804</v>
      </c>
      <c r="G52" s="94" t="s">
        <v>804</v>
      </c>
      <c r="H52" s="146"/>
      <c r="I52" s="94" t="s">
        <v>804</v>
      </c>
      <c r="J52" s="94" t="s">
        <v>804</v>
      </c>
      <c r="K52" s="94" t="s">
        <v>804</v>
      </c>
      <c r="L52" s="94" t="s">
        <v>804</v>
      </c>
      <c r="M52" s="94" t="s">
        <v>804</v>
      </c>
      <c r="N52" s="165"/>
      <c r="O52" s="146"/>
      <c r="P52" s="94" t="s">
        <v>803</v>
      </c>
      <c r="Q52" s="94" t="s">
        <v>804</v>
      </c>
      <c r="R52" s="94" t="s">
        <v>804</v>
      </c>
      <c r="S52" s="165"/>
      <c r="T52" s="94" t="s">
        <v>804</v>
      </c>
      <c r="U52" s="94" t="s">
        <v>804</v>
      </c>
      <c r="V52" s="146"/>
      <c r="W52" s="5">
        <f>COUNTIF(F52:V52,"P")</f>
        <v>11</v>
      </c>
      <c r="X52" s="5">
        <f>COUNTIF(F52:V52,"A")</f>
        <v>1</v>
      </c>
    </row>
  </sheetData>
  <mergeCells count="17">
    <mergeCell ref="Y3:Z3"/>
    <mergeCell ref="Y11:AB11"/>
    <mergeCell ref="Y19:AB19"/>
    <mergeCell ref="H5:H52"/>
    <mergeCell ref="O5:O52"/>
    <mergeCell ref="V5:V52"/>
    <mergeCell ref="N5:N52"/>
    <mergeCell ref="S5:S52"/>
    <mergeCell ref="A1:X1"/>
    <mergeCell ref="A2:X2"/>
    <mergeCell ref="W3:W4"/>
    <mergeCell ref="X3:X4"/>
    <mergeCell ref="E3:E4"/>
    <mergeCell ref="A3:A4"/>
    <mergeCell ref="B3:B4"/>
    <mergeCell ref="C3:C4"/>
    <mergeCell ref="D3:D4"/>
  </mergeCells>
  <conditionalFormatting sqref="G5:H5 G6:G52 F5:F52 O5 I5:M52 P5:P52">
    <cfRule type="expression" dxfId="437" priority="133">
      <formula>F$4=TODAY()</formula>
    </cfRule>
    <cfRule type="cellIs" dxfId="436" priority="134" operator="equal">
      <formula>"L"</formula>
    </cfRule>
    <cfRule type="cellIs" dxfId="435" priority="135" operator="equal">
      <formula>"A"</formula>
    </cfRule>
    <cfRule type="cellIs" dxfId="434" priority="136" operator="equal">
      <formula>"P"</formula>
    </cfRule>
    <cfRule type="expression" dxfId="433" priority="137">
      <formula>F$3="Sun"</formula>
    </cfRule>
  </conditionalFormatting>
  <conditionalFormatting sqref="F4:V4">
    <cfRule type="expression" dxfId="432" priority="141">
      <formula>F$4=TODAY()</formula>
    </cfRule>
  </conditionalFormatting>
  <conditionalFormatting sqref="F4:V4">
    <cfRule type="cellIs" dxfId="431" priority="138" operator="equal">
      <formula>"L"</formula>
    </cfRule>
    <cfRule type="cellIs" dxfId="430" priority="139" operator="equal">
      <formula>"P"</formula>
    </cfRule>
    <cfRule type="cellIs" dxfId="429" priority="140" operator="equal">
      <formula>"A"</formula>
    </cfRule>
    <cfRule type="expression" dxfId="428" priority="142">
      <formula>F$3="SUN"</formula>
    </cfRule>
  </conditionalFormatting>
  <conditionalFormatting sqref="W3:X3 W5:X52">
    <cfRule type="expression" dxfId="427" priority="155">
      <formula>#REF!="Sun"</formula>
    </cfRule>
  </conditionalFormatting>
  <conditionalFormatting sqref="Y5:Y9">
    <cfRule type="expression" dxfId="426" priority="146">
      <formula>Y$3="Sun"</formula>
    </cfRule>
  </conditionalFormatting>
  <conditionalFormatting sqref="Y12:Y15">
    <cfRule type="expression" dxfId="425" priority="144">
      <formula>Y$3="Sun"</formula>
    </cfRule>
  </conditionalFormatting>
  <conditionalFormatting sqref="Y20:Y23">
    <cfRule type="expression" dxfId="424" priority="143">
      <formula>Y$3="Sun"</formula>
    </cfRule>
  </conditionalFormatting>
  <conditionalFormatting sqref="Y4:Z4">
    <cfRule type="expression" dxfId="423" priority="147">
      <formula>Y$3="Sun"</formula>
    </cfRule>
  </conditionalFormatting>
  <conditionalFormatting sqref="Z12:AB12 Z20:AB20">
    <cfRule type="expression" dxfId="422" priority="148">
      <formula>Z$3="Sun"</formula>
    </cfRule>
  </conditionalFormatting>
  <conditionalFormatting sqref="AB21">
    <cfRule type="expression" dxfId="421" priority="145">
      <formula>AB$3="Sun"</formula>
    </cfRule>
  </conditionalFormatting>
  <conditionalFormatting sqref="F3:V3">
    <cfRule type="expression" dxfId="420" priority="121">
      <formula>F$4=TODAY()</formula>
    </cfRule>
    <cfRule type="expression" dxfId="419" priority="122">
      <formula>F$3="SUN"</formula>
    </cfRule>
  </conditionalFormatting>
  <conditionalFormatting sqref="V5">
    <cfRule type="expression" dxfId="418" priority="116">
      <formula>V$4=TODAY()</formula>
    </cfRule>
    <cfRule type="cellIs" dxfId="417" priority="117" operator="equal">
      <formula>"L"</formula>
    </cfRule>
    <cfRule type="cellIs" dxfId="416" priority="118" operator="equal">
      <formula>"A"</formula>
    </cfRule>
    <cfRule type="cellIs" dxfId="415" priority="119" operator="equal">
      <formula>"P"</formula>
    </cfRule>
    <cfRule type="expression" dxfId="414" priority="120">
      <formula>V$3="Sun"</formula>
    </cfRule>
  </conditionalFormatting>
  <conditionalFormatting sqref="Q5:Q52">
    <cfRule type="expression" dxfId="413" priority="101">
      <formula>Q$4=TODAY()</formula>
    </cfRule>
    <cfRule type="cellIs" dxfId="412" priority="102" operator="equal">
      <formula>"L"</formula>
    </cfRule>
    <cfRule type="cellIs" dxfId="411" priority="103" operator="equal">
      <formula>"A"</formula>
    </cfRule>
    <cfRule type="cellIs" dxfId="410" priority="104" operator="equal">
      <formula>"P"</formula>
    </cfRule>
    <cfRule type="expression" dxfId="409" priority="105">
      <formula>Q$3="Sun"</formula>
    </cfRule>
  </conditionalFormatting>
  <conditionalFormatting sqref="R5:R52">
    <cfRule type="expression" dxfId="408" priority="96">
      <formula>R$4=TODAY()</formula>
    </cfRule>
    <cfRule type="cellIs" dxfId="407" priority="97" operator="equal">
      <formula>"L"</formula>
    </cfRule>
    <cfRule type="cellIs" dxfId="406" priority="98" operator="equal">
      <formula>"A"</formula>
    </cfRule>
    <cfRule type="cellIs" dxfId="405" priority="99" operator="equal">
      <formula>"P"</formula>
    </cfRule>
    <cfRule type="expression" dxfId="404" priority="100">
      <formula>R$3="Sun"</formula>
    </cfRule>
  </conditionalFormatting>
  <conditionalFormatting sqref="T5:T52">
    <cfRule type="expression" dxfId="403" priority="86">
      <formula>T$4=TODAY()</formula>
    </cfRule>
    <cfRule type="cellIs" dxfId="402" priority="87" operator="equal">
      <formula>"L"</formula>
    </cfRule>
    <cfRule type="cellIs" dxfId="401" priority="88" operator="equal">
      <formula>"A"</formula>
    </cfRule>
    <cfRule type="cellIs" dxfId="400" priority="89" operator="equal">
      <formula>"P"</formula>
    </cfRule>
    <cfRule type="expression" dxfId="399" priority="90">
      <formula>T$3="Sun"</formula>
    </cfRule>
  </conditionalFormatting>
  <conditionalFormatting sqref="U5:U52">
    <cfRule type="expression" dxfId="398" priority="81">
      <formula>U$4=TODAY()</formula>
    </cfRule>
    <cfRule type="cellIs" dxfId="397" priority="82" operator="equal">
      <formula>"L"</formula>
    </cfRule>
    <cfRule type="cellIs" dxfId="396" priority="83" operator="equal">
      <formula>"A"</formula>
    </cfRule>
    <cfRule type="cellIs" dxfId="395" priority="84" operator="equal">
      <formula>"P"</formula>
    </cfRule>
    <cfRule type="expression" dxfId="394" priority="85">
      <formula>U$3="Sun"</formula>
    </cfRule>
  </conditionalFormatting>
  <conditionalFormatting sqref="N5">
    <cfRule type="expression" dxfId="393" priority="6">
      <formula>N$4=TODAY()</formula>
    </cfRule>
    <cfRule type="expression" dxfId="392" priority="7">
      <formula>N$3="SUN"</formula>
    </cfRule>
  </conditionalFormatting>
  <conditionalFormatting sqref="N5">
    <cfRule type="cellIs" dxfId="391" priority="8" operator="equal">
      <formula>"L"</formula>
    </cfRule>
    <cfRule type="cellIs" dxfId="390" priority="9" operator="equal">
      <formula>"A"</formula>
    </cfRule>
    <cfRule type="cellIs" dxfId="389" priority="10" operator="equal">
      <formula>"P"</formula>
    </cfRule>
  </conditionalFormatting>
  <conditionalFormatting sqref="S5">
    <cfRule type="expression" dxfId="388" priority="1">
      <formula>S$4=TODAY()</formula>
    </cfRule>
    <cfRule type="expression" dxfId="387" priority="2">
      <formula>S$3="SUN"</formula>
    </cfRule>
  </conditionalFormatting>
  <conditionalFormatting sqref="S5">
    <cfRule type="cellIs" dxfId="386" priority="3" operator="equal">
      <formula>"L"</formula>
    </cfRule>
    <cfRule type="cellIs" dxfId="385" priority="4" operator="equal">
      <formula>"A"</formula>
    </cfRule>
    <cfRule type="cellIs" dxfId="384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7"/>
  <sheetViews>
    <sheetView topLeftCell="A3" workbookViewId="0">
      <selection activeCell="S5" sqref="S5:S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1406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</row>
    <row r="2" spans="1:28" ht="17.25" x14ac:dyDescent="0.3">
      <c r="A2" s="143" t="s">
        <v>731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8" ht="15.75" x14ac:dyDescent="0.25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34" t="s">
        <v>119</v>
      </c>
      <c r="Z3" s="135"/>
      <c r="AA3" s="3"/>
      <c r="AB3" s="3"/>
    </row>
    <row r="4" spans="1:28" ht="36.75" x14ac:dyDescent="0.25">
      <c r="A4" s="154"/>
      <c r="B4" s="154"/>
      <c r="C4" s="154"/>
      <c r="D4" s="154"/>
      <c r="E4" s="154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SUM(Z5:Z7)</f>
        <v>26</v>
      </c>
      <c r="AA4" s="3"/>
      <c r="AB4" s="3"/>
    </row>
    <row r="5" spans="1:28" ht="15" customHeight="1" x14ac:dyDescent="0.25">
      <c r="A5" s="9">
        <v>1</v>
      </c>
      <c r="B5" s="11">
        <v>646</v>
      </c>
      <c r="C5" s="17" t="s">
        <v>399</v>
      </c>
      <c r="D5" s="18" t="s">
        <v>232</v>
      </c>
      <c r="E5" s="19" t="s">
        <v>430</v>
      </c>
      <c r="F5" s="94" t="s">
        <v>804</v>
      </c>
      <c r="G5" s="94" t="s">
        <v>804</v>
      </c>
      <c r="H5" s="155" t="s">
        <v>735</v>
      </c>
      <c r="I5" s="94" t="s">
        <v>804</v>
      </c>
      <c r="J5" s="94" t="s">
        <v>804</v>
      </c>
      <c r="K5" s="94" t="s">
        <v>804</v>
      </c>
      <c r="L5" s="94" t="s">
        <v>804</v>
      </c>
      <c r="M5" s="94" t="s">
        <v>803</v>
      </c>
      <c r="N5" s="164" t="s">
        <v>879</v>
      </c>
      <c r="O5" s="155" t="s">
        <v>735</v>
      </c>
      <c r="P5" s="94" t="s">
        <v>803</v>
      </c>
      <c r="Q5" s="94" t="s">
        <v>804</v>
      </c>
      <c r="R5" s="94" t="s">
        <v>804</v>
      </c>
      <c r="S5" s="164" t="s">
        <v>880</v>
      </c>
      <c r="T5" s="94" t="s">
        <v>804</v>
      </c>
      <c r="U5" s="94" t="s">
        <v>804</v>
      </c>
      <c r="V5" s="155" t="s">
        <v>735</v>
      </c>
      <c r="W5" s="5">
        <f>COUNTIF(F5:V5,"P")</f>
        <v>10</v>
      </c>
      <c r="X5" s="5">
        <f>COUNTIF(F5:V5,"A")</f>
        <v>2</v>
      </c>
      <c r="Y5" s="5" t="s">
        <v>7</v>
      </c>
      <c r="Z5" s="9">
        <v>26</v>
      </c>
      <c r="AA5" s="10"/>
      <c r="AB5" s="3"/>
    </row>
    <row r="6" spans="1:28" ht="16.5" x14ac:dyDescent="0.25">
      <c r="A6" s="9">
        <v>2</v>
      </c>
      <c r="B6" s="11">
        <v>684</v>
      </c>
      <c r="C6" s="17" t="s">
        <v>400</v>
      </c>
      <c r="D6" s="18" t="s">
        <v>311</v>
      </c>
      <c r="E6" s="19" t="s">
        <v>430</v>
      </c>
      <c r="F6" s="94" t="s">
        <v>803</v>
      </c>
      <c r="G6" s="94" t="s">
        <v>804</v>
      </c>
      <c r="H6" s="145"/>
      <c r="I6" s="94" t="s">
        <v>804</v>
      </c>
      <c r="J6" s="94" t="s">
        <v>804</v>
      </c>
      <c r="K6" s="94" t="s">
        <v>804</v>
      </c>
      <c r="L6" s="94" t="s">
        <v>804</v>
      </c>
      <c r="M6" s="94" t="s">
        <v>804</v>
      </c>
      <c r="N6" s="165"/>
      <c r="O6" s="145"/>
      <c r="P6" s="94" t="s">
        <v>804</v>
      </c>
      <c r="Q6" s="94" t="s">
        <v>804</v>
      </c>
      <c r="R6" s="94" t="s">
        <v>804</v>
      </c>
      <c r="S6" s="165"/>
      <c r="T6" s="94" t="s">
        <v>804</v>
      </c>
      <c r="U6" s="94" t="s">
        <v>804</v>
      </c>
      <c r="V6" s="145"/>
      <c r="W6" s="5">
        <f>COUNTIF(F6:V6,"P")</f>
        <v>11</v>
      </c>
      <c r="X6" s="5">
        <f>COUNTIF(F6:V6,"A")</f>
        <v>1</v>
      </c>
      <c r="Y6" s="5" t="s">
        <v>723</v>
      </c>
      <c r="Z6" s="9"/>
      <c r="AA6" s="3"/>
      <c r="AB6" s="3"/>
    </row>
    <row r="7" spans="1:28" ht="16.5" x14ac:dyDescent="0.25">
      <c r="A7" s="9">
        <v>3</v>
      </c>
      <c r="B7" s="11">
        <v>551</v>
      </c>
      <c r="C7" s="17" t="s">
        <v>111</v>
      </c>
      <c r="D7" s="18" t="s">
        <v>401</v>
      </c>
      <c r="E7" s="19" t="s">
        <v>430</v>
      </c>
      <c r="F7" s="94" t="s">
        <v>804</v>
      </c>
      <c r="G7" s="94" t="s">
        <v>804</v>
      </c>
      <c r="H7" s="145"/>
      <c r="I7" s="94" t="s">
        <v>804</v>
      </c>
      <c r="J7" s="94" t="s">
        <v>804</v>
      </c>
      <c r="K7" s="94" t="s">
        <v>804</v>
      </c>
      <c r="L7" s="94" t="s">
        <v>804</v>
      </c>
      <c r="M7" s="94" t="s">
        <v>804</v>
      </c>
      <c r="N7" s="165"/>
      <c r="O7" s="145"/>
      <c r="P7" s="94" t="s">
        <v>804</v>
      </c>
      <c r="Q7" s="94" t="s">
        <v>804</v>
      </c>
      <c r="R7" s="94" t="s">
        <v>804</v>
      </c>
      <c r="S7" s="165"/>
      <c r="T7" s="94" t="s">
        <v>804</v>
      </c>
      <c r="U7" s="94" t="s">
        <v>804</v>
      </c>
      <c r="V7" s="145"/>
      <c r="W7" s="5">
        <f>COUNTIF(F7:V7,"P")</f>
        <v>12</v>
      </c>
      <c r="X7" s="5">
        <f>COUNTIF(F7:V7,"A")</f>
        <v>0</v>
      </c>
      <c r="Y7" s="5"/>
      <c r="Z7" s="9"/>
      <c r="AA7"/>
      <c r="AB7"/>
    </row>
    <row r="8" spans="1:28" ht="16.5" x14ac:dyDescent="0.25">
      <c r="A8" s="9">
        <v>4</v>
      </c>
      <c r="B8" s="6">
        <v>490</v>
      </c>
      <c r="C8" s="7" t="s">
        <v>397</v>
      </c>
      <c r="D8" s="21" t="s">
        <v>398</v>
      </c>
      <c r="E8" s="19" t="s">
        <v>430</v>
      </c>
      <c r="F8" s="94" t="s">
        <v>804</v>
      </c>
      <c r="G8" s="94" t="s">
        <v>804</v>
      </c>
      <c r="H8" s="145"/>
      <c r="I8" s="94" t="s">
        <v>804</v>
      </c>
      <c r="J8" s="94" t="s">
        <v>804</v>
      </c>
      <c r="K8" s="94" t="s">
        <v>804</v>
      </c>
      <c r="L8" s="94" t="s">
        <v>804</v>
      </c>
      <c r="M8" s="94" t="s">
        <v>804</v>
      </c>
      <c r="N8" s="165"/>
      <c r="O8" s="145"/>
      <c r="P8" s="94" t="s">
        <v>804</v>
      </c>
      <c r="Q8" s="94" t="s">
        <v>803</v>
      </c>
      <c r="R8" s="94" t="s">
        <v>804</v>
      </c>
      <c r="S8" s="165"/>
      <c r="T8" s="94" t="s">
        <v>804</v>
      </c>
      <c r="U8" s="94" t="s">
        <v>804</v>
      </c>
      <c r="V8" s="145"/>
      <c r="W8" s="5">
        <f>COUNTIF(F8:V8,"P")</f>
        <v>11</v>
      </c>
      <c r="X8" s="5">
        <f>COUNTIF(F8:V8,"A")</f>
        <v>1</v>
      </c>
      <c r="Y8" s="5"/>
      <c r="Z8" s="9"/>
    </row>
    <row r="9" spans="1:28" ht="16.5" x14ac:dyDescent="0.25">
      <c r="A9" s="9">
        <v>5</v>
      </c>
      <c r="B9" s="11">
        <v>647</v>
      </c>
      <c r="C9" s="17" t="s">
        <v>402</v>
      </c>
      <c r="D9" s="18" t="s">
        <v>403</v>
      </c>
      <c r="E9" s="19" t="s">
        <v>430</v>
      </c>
      <c r="F9" s="94" t="s">
        <v>804</v>
      </c>
      <c r="G9" s="94" t="s">
        <v>803</v>
      </c>
      <c r="H9" s="145"/>
      <c r="I9" s="94" t="s">
        <v>804</v>
      </c>
      <c r="J9" s="94" t="s">
        <v>804</v>
      </c>
      <c r="K9" s="94" t="s">
        <v>804</v>
      </c>
      <c r="L9" s="94" t="s">
        <v>804</v>
      </c>
      <c r="M9" s="94" t="s">
        <v>803</v>
      </c>
      <c r="N9" s="165"/>
      <c r="O9" s="145"/>
      <c r="P9" s="94" t="s">
        <v>804</v>
      </c>
      <c r="Q9" s="94" t="s">
        <v>804</v>
      </c>
      <c r="R9" s="94" t="s">
        <v>804</v>
      </c>
      <c r="S9" s="165"/>
      <c r="T9" s="94" t="s">
        <v>804</v>
      </c>
      <c r="U9" s="94" t="s">
        <v>804</v>
      </c>
      <c r="V9" s="145"/>
      <c r="W9" s="5">
        <f>COUNTIF(F9:V9,"P")</f>
        <v>10</v>
      </c>
      <c r="X9" s="5">
        <f>COUNTIF(F9:V9,"A")</f>
        <v>2</v>
      </c>
    </row>
    <row r="10" spans="1:28" ht="16.5" x14ac:dyDescent="0.25">
      <c r="A10" s="9">
        <v>6</v>
      </c>
      <c r="B10" s="11">
        <v>908</v>
      </c>
      <c r="C10" s="17" t="s">
        <v>425</v>
      </c>
      <c r="D10" s="18" t="s">
        <v>426</v>
      </c>
      <c r="E10" s="19" t="s">
        <v>430</v>
      </c>
      <c r="F10" s="94" t="s">
        <v>804</v>
      </c>
      <c r="G10" s="94" t="s">
        <v>804</v>
      </c>
      <c r="H10" s="145"/>
      <c r="I10" s="94" t="s">
        <v>804</v>
      </c>
      <c r="J10" s="94" t="s">
        <v>804</v>
      </c>
      <c r="K10" s="94" t="s">
        <v>804</v>
      </c>
      <c r="L10" s="94" t="s">
        <v>804</v>
      </c>
      <c r="M10" s="94" t="s">
        <v>804</v>
      </c>
      <c r="N10" s="165"/>
      <c r="O10" s="145"/>
      <c r="P10" s="94" t="s">
        <v>804</v>
      </c>
      <c r="Q10" s="94" t="s">
        <v>804</v>
      </c>
      <c r="R10" s="94" t="s">
        <v>804</v>
      </c>
      <c r="S10" s="165"/>
      <c r="T10" s="94" t="s">
        <v>804</v>
      </c>
      <c r="U10" s="94" t="s">
        <v>804</v>
      </c>
      <c r="V10" s="145"/>
      <c r="W10" s="5">
        <f>COUNTIF(F10:V10,"P")</f>
        <v>12</v>
      </c>
      <c r="X10" s="5">
        <f>COUNTIF(F10:V10,"A")</f>
        <v>0</v>
      </c>
      <c r="Y10" s="134" t="s">
        <v>9</v>
      </c>
      <c r="Z10" s="135"/>
      <c r="AA10" s="135"/>
      <c r="AB10" s="136"/>
    </row>
    <row r="11" spans="1:28" ht="16.5" x14ac:dyDescent="0.25">
      <c r="A11" s="9">
        <v>7</v>
      </c>
      <c r="B11" s="11">
        <v>585</v>
      </c>
      <c r="C11" s="17" t="s">
        <v>404</v>
      </c>
      <c r="D11" s="18" t="s">
        <v>56</v>
      </c>
      <c r="E11" s="19" t="s">
        <v>430</v>
      </c>
      <c r="F11" s="94" t="s">
        <v>804</v>
      </c>
      <c r="G11" s="94" t="s">
        <v>804</v>
      </c>
      <c r="H11" s="145"/>
      <c r="I11" s="94" t="s">
        <v>804</v>
      </c>
      <c r="J11" s="94" t="s">
        <v>804</v>
      </c>
      <c r="K11" s="94" t="s">
        <v>804</v>
      </c>
      <c r="L11" s="94" t="s">
        <v>804</v>
      </c>
      <c r="M11" s="94" t="s">
        <v>804</v>
      </c>
      <c r="N11" s="165"/>
      <c r="O11" s="145"/>
      <c r="P11" s="94" t="s">
        <v>804</v>
      </c>
      <c r="Q11" s="94" t="s">
        <v>804</v>
      </c>
      <c r="R11" s="94" t="s">
        <v>804</v>
      </c>
      <c r="S11" s="165"/>
      <c r="T11" s="94" t="s">
        <v>804</v>
      </c>
      <c r="U11" s="94" t="s">
        <v>804</v>
      </c>
      <c r="V11" s="145"/>
      <c r="W11" s="5">
        <f>COUNTIF(F11:V11,"P")</f>
        <v>12</v>
      </c>
      <c r="X11" s="5">
        <f>COUNTIF(F11:V11,"A")</f>
        <v>0</v>
      </c>
      <c r="Y11" s="5" t="s">
        <v>10</v>
      </c>
      <c r="Z11" s="5" t="s">
        <v>11</v>
      </c>
      <c r="AA11" s="5" t="s">
        <v>12</v>
      </c>
      <c r="AB11" s="5" t="s">
        <v>13</v>
      </c>
    </row>
    <row r="12" spans="1:28" ht="16.5" x14ac:dyDescent="0.25">
      <c r="A12" s="9">
        <v>8</v>
      </c>
      <c r="B12" s="11">
        <v>555</v>
      </c>
      <c r="C12" s="17" t="s">
        <v>58</v>
      </c>
      <c r="D12" s="18" t="s">
        <v>238</v>
      </c>
      <c r="E12" s="19" t="s">
        <v>430</v>
      </c>
      <c r="F12" s="94" t="s">
        <v>804</v>
      </c>
      <c r="G12" s="94" t="s">
        <v>804</v>
      </c>
      <c r="H12" s="145"/>
      <c r="I12" s="94" t="s">
        <v>804</v>
      </c>
      <c r="J12" s="94" t="s">
        <v>804</v>
      </c>
      <c r="K12" s="94" t="s">
        <v>804</v>
      </c>
      <c r="L12" s="94" t="s">
        <v>803</v>
      </c>
      <c r="M12" s="94" t="s">
        <v>804</v>
      </c>
      <c r="N12" s="165"/>
      <c r="O12" s="145"/>
      <c r="P12" s="94" t="s">
        <v>804</v>
      </c>
      <c r="Q12" s="94" t="s">
        <v>804</v>
      </c>
      <c r="R12" s="94" t="s">
        <v>803</v>
      </c>
      <c r="S12" s="165"/>
      <c r="T12" s="94" t="s">
        <v>804</v>
      </c>
      <c r="U12" s="94" t="s">
        <v>804</v>
      </c>
      <c r="V12" s="145"/>
      <c r="W12" s="5">
        <f>COUNTIF(F12:V12,"P")</f>
        <v>10</v>
      </c>
      <c r="X12" s="5">
        <f>COUNTIF(F12:V12,"A")</f>
        <v>2</v>
      </c>
      <c r="Y12" s="5" t="s">
        <v>14</v>
      </c>
      <c r="Z12" s="9">
        <f>28*$Z$5</f>
        <v>728</v>
      </c>
      <c r="AA12" s="9">
        <f>24*$Z$5</f>
        <v>624</v>
      </c>
      <c r="AB12" s="9">
        <f>SUM(Z12:AA12)</f>
        <v>1352</v>
      </c>
    </row>
    <row r="13" spans="1:28" ht="16.5" x14ac:dyDescent="0.25">
      <c r="A13" s="9">
        <v>9</v>
      </c>
      <c r="B13" s="95">
        <v>691</v>
      </c>
      <c r="C13" s="17" t="s">
        <v>405</v>
      </c>
      <c r="D13" s="18" t="s">
        <v>406</v>
      </c>
      <c r="E13" s="19" t="s">
        <v>430</v>
      </c>
      <c r="F13" s="94" t="s">
        <v>803</v>
      </c>
      <c r="G13" s="94" t="s">
        <v>804</v>
      </c>
      <c r="H13" s="145"/>
      <c r="I13" s="94" t="s">
        <v>804</v>
      </c>
      <c r="J13" s="94" t="s">
        <v>804</v>
      </c>
      <c r="K13" s="94" t="s">
        <v>804</v>
      </c>
      <c r="L13" s="94" t="s">
        <v>804</v>
      </c>
      <c r="M13" s="94" t="s">
        <v>804</v>
      </c>
      <c r="N13" s="165"/>
      <c r="O13" s="145"/>
      <c r="P13" s="94" t="s">
        <v>804</v>
      </c>
      <c r="Q13" s="94" t="s">
        <v>804</v>
      </c>
      <c r="R13" s="94" t="s">
        <v>804</v>
      </c>
      <c r="S13" s="165"/>
      <c r="T13" s="94" t="s">
        <v>804</v>
      </c>
      <c r="U13" s="94" t="s">
        <v>804</v>
      </c>
      <c r="V13" s="145"/>
      <c r="W13" s="5">
        <f>COUNTIF(F13:V13,"P")</f>
        <v>11</v>
      </c>
      <c r="X13" s="5">
        <f>COUNTIF(F13:V13,"A")</f>
        <v>1</v>
      </c>
      <c r="Y13" s="5" t="s">
        <v>15</v>
      </c>
      <c r="Z13" s="9">
        <f>SUM(W5:W29)</f>
        <v>277</v>
      </c>
      <c r="AA13" s="9">
        <f>SUM(W31:W53)</f>
        <v>250</v>
      </c>
      <c r="AB13" s="9">
        <f>Z13+AA13</f>
        <v>527</v>
      </c>
    </row>
    <row r="14" spans="1:28" ht="16.5" x14ac:dyDescent="0.25">
      <c r="A14" s="9">
        <v>10</v>
      </c>
      <c r="B14" s="11">
        <v>913</v>
      </c>
      <c r="C14" s="17" t="s">
        <v>427</v>
      </c>
      <c r="D14" s="18" t="s">
        <v>730</v>
      </c>
      <c r="E14" s="19" t="s">
        <v>430</v>
      </c>
      <c r="F14" s="94" t="s">
        <v>804</v>
      </c>
      <c r="G14" s="94" t="s">
        <v>804</v>
      </c>
      <c r="H14" s="145"/>
      <c r="I14" s="94" t="s">
        <v>804</v>
      </c>
      <c r="J14" s="94" t="s">
        <v>804</v>
      </c>
      <c r="K14" s="94" t="s">
        <v>804</v>
      </c>
      <c r="L14" s="94" t="s">
        <v>804</v>
      </c>
      <c r="M14" s="94" t="s">
        <v>804</v>
      </c>
      <c r="N14" s="165"/>
      <c r="O14" s="145"/>
      <c r="P14" s="94" t="s">
        <v>804</v>
      </c>
      <c r="Q14" s="94" t="s">
        <v>803</v>
      </c>
      <c r="R14" s="94" t="s">
        <v>804</v>
      </c>
      <c r="S14" s="165"/>
      <c r="T14" s="94" t="s">
        <v>804</v>
      </c>
      <c r="U14" s="94" t="s">
        <v>804</v>
      </c>
      <c r="V14" s="145"/>
      <c r="W14" s="5">
        <f>COUNTIF(F14:V14,"P")</f>
        <v>11</v>
      </c>
      <c r="X14" s="5">
        <f>COUNTIF(F14:V14,"A")</f>
        <v>1</v>
      </c>
      <c r="Y14" s="5" t="s">
        <v>16</v>
      </c>
      <c r="Z14" s="12">
        <f>Z13/Z12</f>
        <v>0.38049450549450547</v>
      </c>
      <c r="AA14" s="12">
        <f>AA13/AA12</f>
        <v>0.40064102564102566</v>
      </c>
      <c r="AB14" s="12">
        <f>AB13/AB12</f>
        <v>0.38979289940828404</v>
      </c>
    </row>
    <row r="15" spans="1:28" ht="16.5" x14ac:dyDescent="0.25">
      <c r="A15" s="9">
        <v>11</v>
      </c>
      <c r="B15" s="11">
        <v>528</v>
      </c>
      <c r="C15" s="17" t="s">
        <v>407</v>
      </c>
      <c r="D15" s="18" t="s">
        <v>408</v>
      </c>
      <c r="E15" s="19" t="s">
        <v>430</v>
      </c>
      <c r="F15" s="94" t="s">
        <v>804</v>
      </c>
      <c r="G15" s="94" t="s">
        <v>804</v>
      </c>
      <c r="H15" s="145"/>
      <c r="I15" s="94" t="s">
        <v>804</v>
      </c>
      <c r="J15" s="94" t="s">
        <v>804</v>
      </c>
      <c r="K15" s="94" t="s">
        <v>804</v>
      </c>
      <c r="L15" s="94" t="s">
        <v>804</v>
      </c>
      <c r="M15" s="94" t="s">
        <v>804</v>
      </c>
      <c r="N15" s="165"/>
      <c r="O15" s="145"/>
      <c r="P15" s="94" t="s">
        <v>804</v>
      </c>
      <c r="Q15" s="94" t="s">
        <v>804</v>
      </c>
      <c r="R15" s="94" t="s">
        <v>804</v>
      </c>
      <c r="S15" s="165"/>
      <c r="T15" s="94" t="s">
        <v>804</v>
      </c>
      <c r="U15" s="94" t="s">
        <v>804</v>
      </c>
      <c r="V15" s="145"/>
      <c r="W15" s="5">
        <f>COUNTIF(F15:V15,"P")</f>
        <v>12</v>
      </c>
      <c r="X15" s="5">
        <f>COUNTIF(F15:V15,"A")</f>
        <v>0</v>
      </c>
      <c r="Y15"/>
      <c r="Z15"/>
      <c r="AA15"/>
      <c r="AB15"/>
    </row>
    <row r="16" spans="1:28" ht="16.5" x14ac:dyDescent="0.25">
      <c r="A16" s="9">
        <v>12</v>
      </c>
      <c r="B16" s="11">
        <v>689</v>
      </c>
      <c r="C16" s="17" t="s">
        <v>409</v>
      </c>
      <c r="D16" s="18" t="s">
        <v>166</v>
      </c>
      <c r="E16" s="19" t="s">
        <v>430</v>
      </c>
      <c r="F16" s="94" t="s">
        <v>804</v>
      </c>
      <c r="G16" s="94" t="s">
        <v>804</v>
      </c>
      <c r="H16" s="145"/>
      <c r="I16" s="94" t="s">
        <v>804</v>
      </c>
      <c r="J16" s="94" t="s">
        <v>804</v>
      </c>
      <c r="K16" s="94" t="s">
        <v>803</v>
      </c>
      <c r="L16" s="94" t="s">
        <v>804</v>
      </c>
      <c r="M16" s="94" t="s">
        <v>804</v>
      </c>
      <c r="N16" s="165"/>
      <c r="O16" s="145"/>
      <c r="P16" s="94" t="s">
        <v>804</v>
      </c>
      <c r="Q16" s="94" t="s">
        <v>804</v>
      </c>
      <c r="R16" s="94" t="s">
        <v>804</v>
      </c>
      <c r="S16" s="165"/>
      <c r="T16" s="94" t="s">
        <v>804</v>
      </c>
      <c r="U16" s="94" t="s">
        <v>804</v>
      </c>
      <c r="V16" s="145"/>
      <c r="W16" s="5">
        <f>COUNTIF(F16:V16,"P")</f>
        <v>11</v>
      </c>
      <c r="X16" s="5">
        <f>COUNTIF(F16:V16,"A")</f>
        <v>1</v>
      </c>
      <c r="Y16"/>
      <c r="Z16"/>
      <c r="AA16"/>
      <c r="AB16"/>
    </row>
    <row r="17" spans="1:28" ht="16.5" x14ac:dyDescent="0.25">
      <c r="A17" s="9">
        <v>13</v>
      </c>
      <c r="B17" s="11">
        <v>648</v>
      </c>
      <c r="C17" s="17" t="s">
        <v>411</v>
      </c>
      <c r="D17" s="18" t="s">
        <v>66</v>
      </c>
      <c r="E17" s="19" t="s">
        <v>430</v>
      </c>
      <c r="F17" s="94" t="s">
        <v>804</v>
      </c>
      <c r="G17" s="94" t="s">
        <v>804</v>
      </c>
      <c r="H17" s="145"/>
      <c r="I17" s="94" t="s">
        <v>804</v>
      </c>
      <c r="J17" s="94" t="s">
        <v>804</v>
      </c>
      <c r="K17" s="94" t="s">
        <v>804</v>
      </c>
      <c r="L17" s="94" t="s">
        <v>804</v>
      </c>
      <c r="M17" s="94" t="s">
        <v>804</v>
      </c>
      <c r="N17" s="165"/>
      <c r="O17" s="145"/>
      <c r="P17" s="94" t="s">
        <v>804</v>
      </c>
      <c r="Q17" s="94" t="s">
        <v>804</v>
      </c>
      <c r="R17" s="94" t="s">
        <v>804</v>
      </c>
      <c r="S17" s="165"/>
      <c r="T17" s="94" t="s">
        <v>804</v>
      </c>
      <c r="U17" s="94" t="s">
        <v>804</v>
      </c>
      <c r="V17" s="145"/>
      <c r="W17" s="5">
        <f>COUNTIF(F17:V17,"P")</f>
        <v>12</v>
      </c>
      <c r="X17" s="5">
        <f>COUNTIF(F17:V17,"A")</f>
        <v>0</v>
      </c>
      <c r="Y17"/>
      <c r="Z17"/>
      <c r="AA17"/>
      <c r="AB17"/>
    </row>
    <row r="18" spans="1:28" ht="16.5" x14ac:dyDescent="0.25">
      <c r="A18" s="9">
        <v>14</v>
      </c>
      <c r="B18" s="11">
        <v>578</v>
      </c>
      <c r="C18" s="17" t="s">
        <v>412</v>
      </c>
      <c r="D18" s="18" t="s">
        <v>221</v>
      </c>
      <c r="E18" s="19" t="s">
        <v>430</v>
      </c>
      <c r="F18" s="94" t="s">
        <v>804</v>
      </c>
      <c r="G18" s="94" t="s">
        <v>803</v>
      </c>
      <c r="H18" s="145"/>
      <c r="I18" s="94" t="s">
        <v>804</v>
      </c>
      <c r="J18" s="94" t="s">
        <v>804</v>
      </c>
      <c r="K18" s="94" t="s">
        <v>804</v>
      </c>
      <c r="L18" s="94" t="s">
        <v>804</v>
      </c>
      <c r="M18" s="94" t="s">
        <v>804</v>
      </c>
      <c r="N18" s="165"/>
      <c r="O18" s="145"/>
      <c r="P18" s="94" t="s">
        <v>803</v>
      </c>
      <c r="Q18" s="94" t="s">
        <v>804</v>
      </c>
      <c r="R18" s="94" t="s">
        <v>804</v>
      </c>
      <c r="S18" s="165"/>
      <c r="T18" s="94" t="s">
        <v>804</v>
      </c>
      <c r="U18" s="94" t="s">
        <v>804</v>
      </c>
      <c r="V18" s="145"/>
      <c r="W18" s="5">
        <f>COUNTIF(F18:V18,"P")</f>
        <v>10</v>
      </c>
      <c r="X18" s="5">
        <f>COUNTIF(F18:V18,"A")</f>
        <v>2</v>
      </c>
      <c r="Y18" s="134" t="s">
        <v>121</v>
      </c>
      <c r="Z18" s="135"/>
      <c r="AA18" s="135"/>
      <c r="AB18" s="136"/>
    </row>
    <row r="19" spans="1:28" ht="16.5" x14ac:dyDescent="0.25">
      <c r="A19" s="9">
        <v>15</v>
      </c>
      <c r="B19" s="11">
        <v>573</v>
      </c>
      <c r="C19" s="17" t="s">
        <v>97</v>
      </c>
      <c r="D19" s="18" t="s">
        <v>84</v>
      </c>
      <c r="E19" s="19" t="s">
        <v>430</v>
      </c>
      <c r="F19" s="94" t="s">
        <v>804</v>
      </c>
      <c r="G19" s="94" t="s">
        <v>804</v>
      </c>
      <c r="H19" s="145"/>
      <c r="I19" s="94" t="s">
        <v>804</v>
      </c>
      <c r="J19" s="94" t="s">
        <v>803</v>
      </c>
      <c r="K19" s="94" t="s">
        <v>804</v>
      </c>
      <c r="L19" s="94" t="s">
        <v>804</v>
      </c>
      <c r="M19" s="94" t="s">
        <v>804</v>
      </c>
      <c r="N19" s="165"/>
      <c r="O19" s="145"/>
      <c r="P19" s="94" t="s">
        <v>804</v>
      </c>
      <c r="Q19" s="94" t="s">
        <v>804</v>
      </c>
      <c r="R19" s="94" t="s">
        <v>804</v>
      </c>
      <c r="S19" s="165"/>
      <c r="T19" s="94" t="s">
        <v>804</v>
      </c>
      <c r="U19" s="94" t="s">
        <v>804</v>
      </c>
      <c r="V19" s="145"/>
      <c r="W19" s="5">
        <f>COUNTIF(F19:V19,"P")</f>
        <v>11</v>
      </c>
      <c r="X19" s="5">
        <f>COUNTIF(F19:V19,"A")</f>
        <v>1</v>
      </c>
      <c r="Y19" s="5" t="s">
        <v>10</v>
      </c>
      <c r="Z19" s="5" t="s">
        <v>11</v>
      </c>
      <c r="AA19" s="5" t="s">
        <v>12</v>
      </c>
      <c r="AB19" s="5" t="s">
        <v>13</v>
      </c>
    </row>
    <row r="20" spans="1:28" ht="16.5" x14ac:dyDescent="0.25">
      <c r="A20" s="9">
        <v>16</v>
      </c>
      <c r="B20" s="11">
        <v>479</v>
      </c>
      <c r="C20" s="17" t="s">
        <v>410</v>
      </c>
      <c r="D20" s="18" t="s">
        <v>114</v>
      </c>
      <c r="E20" s="19" t="s">
        <v>430</v>
      </c>
      <c r="F20" s="94" t="s">
        <v>804</v>
      </c>
      <c r="G20" s="94" t="s">
        <v>804</v>
      </c>
      <c r="H20" s="145"/>
      <c r="I20" s="94" t="s">
        <v>804</v>
      </c>
      <c r="J20" s="94" t="s">
        <v>804</v>
      </c>
      <c r="K20" s="94" t="s">
        <v>804</v>
      </c>
      <c r="L20" s="94" t="s">
        <v>804</v>
      </c>
      <c r="M20" s="94" t="s">
        <v>804</v>
      </c>
      <c r="N20" s="165"/>
      <c r="O20" s="145"/>
      <c r="P20" s="94" t="s">
        <v>804</v>
      </c>
      <c r="Q20" s="94" t="s">
        <v>804</v>
      </c>
      <c r="R20" s="94" t="s">
        <v>804</v>
      </c>
      <c r="S20" s="165"/>
      <c r="T20" s="94" t="s">
        <v>804</v>
      </c>
      <c r="U20" s="94" t="s">
        <v>804</v>
      </c>
      <c r="V20" s="145"/>
      <c r="W20" s="5">
        <f>COUNTIF(F20:V20,"P")</f>
        <v>12</v>
      </c>
      <c r="X20" s="5">
        <f>COUNTIF(F20:V20,"A")</f>
        <v>0</v>
      </c>
      <c r="Y20" s="5" t="s">
        <v>14</v>
      </c>
      <c r="Z20" s="9">
        <f>28*$Z$5</f>
        <v>728</v>
      </c>
      <c r="AA20" s="9">
        <f>24*$Z$5</f>
        <v>624</v>
      </c>
      <c r="AB20" s="9">
        <f>Z20+AA20</f>
        <v>1352</v>
      </c>
    </row>
    <row r="21" spans="1:28" ht="16.5" x14ac:dyDescent="0.25">
      <c r="A21" s="9">
        <v>17</v>
      </c>
      <c r="B21" s="11">
        <v>575</v>
      </c>
      <c r="C21" s="17" t="s">
        <v>413</v>
      </c>
      <c r="D21" s="18" t="s">
        <v>414</v>
      </c>
      <c r="E21" s="19" t="s">
        <v>430</v>
      </c>
      <c r="F21" s="94" t="s">
        <v>804</v>
      </c>
      <c r="G21" s="94" t="s">
        <v>804</v>
      </c>
      <c r="H21" s="145"/>
      <c r="I21" s="94" t="s">
        <v>804</v>
      </c>
      <c r="J21" s="94" t="s">
        <v>804</v>
      </c>
      <c r="K21" s="94" t="s">
        <v>804</v>
      </c>
      <c r="L21" s="94" t="s">
        <v>804</v>
      </c>
      <c r="M21" s="94" t="s">
        <v>804</v>
      </c>
      <c r="N21" s="165"/>
      <c r="O21" s="145"/>
      <c r="P21" s="94" t="s">
        <v>804</v>
      </c>
      <c r="Q21" s="94" t="s">
        <v>804</v>
      </c>
      <c r="R21" s="94" t="s">
        <v>804</v>
      </c>
      <c r="S21" s="165"/>
      <c r="T21" s="94" t="s">
        <v>804</v>
      </c>
      <c r="U21" s="94" t="s">
        <v>804</v>
      </c>
      <c r="V21" s="145"/>
      <c r="W21" s="5">
        <f>COUNTIF(F21:V21,"P")</f>
        <v>12</v>
      </c>
      <c r="X21" s="5">
        <f>COUNTIF(F21:V21,"A")</f>
        <v>0</v>
      </c>
      <c r="Y21" s="5" t="s">
        <v>17</v>
      </c>
      <c r="Z21" s="9">
        <f>Z20-Z13</f>
        <v>451</v>
      </c>
      <c r="AA21" s="9">
        <f>AA20-AA13</f>
        <v>374</v>
      </c>
      <c r="AB21" s="9">
        <f>Z21+AA21</f>
        <v>825</v>
      </c>
    </row>
    <row r="22" spans="1:28" ht="16.5" x14ac:dyDescent="0.25">
      <c r="A22" s="9">
        <v>18</v>
      </c>
      <c r="B22" s="11">
        <v>586</v>
      </c>
      <c r="C22" s="17" t="s">
        <v>415</v>
      </c>
      <c r="D22" s="18" t="s">
        <v>416</v>
      </c>
      <c r="E22" s="19" t="s">
        <v>430</v>
      </c>
      <c r="F22" s="94" t="s">
        <v>804</v>
      </c>
      <c r="G22" s="94" t="s">
        <v>804</v>
      </c>
      <c r="H22" s="145"/>
      <c r="I22" s="94" t="s">
        <v>804</v>
      </c>
      <c r="J22" s="94" t="s">
        <v>804</v>
      </c>
      <c r="K22" s="94" t="s">
        <v>804</v>
      </c>
      <c r="L22" s="94" t="s">
        <v>804</v>
      </c>
      <c r="M22" s="94" t="s">
        <v>804</v>
      </c>
      <c r="N22" s="165"/>
      <c r="O22" s="145"/>
      <c r="P22" s="94" t="s">
        <v>804</v>
      </c>
      <c r="Q22" s="94" t="s">
        <v>803</v>
      </c>
      <c r="R22" s="94" t="s">
        <v>804</v>
      </c>
      <c r="S22" s="165"/>
      <c r="T22" s="94" t="s">
        <v>804</v>
      </c>
      <c r="U22" s="94" t="s">
        <v>804</v>
      </c>
      <c r="V22" s="145"/>
      <c r="W22" s="5">
        <f>COUNTIF(F22:V22,"P")</f>
        <v>11</v>
      </c>
      <c r="X22" s="5">
        <f>COUNTIF(F22:V22,"A")</f>
        <v>1</v>
      </c>
      <c r="Y22" s="5" t="s">
        <v>16</v>
      </c>
      <c r="Z22" s="12">
        <f>Z21/Z20</f>
        <v>0.61950549450549453</v>
      </c>
      <c r="AA22" s="12">
        <f>AA21/AA20</f>
        <v>0.59935897435897434</v>
      </c>
      <c r="AB22" s="12">
        <f>AB21/AB20</f>
        <v>0.61020710059171601</v>
      </c>
    </row>
    <row r="23" spans="1:28" ht="16.5" x14ac:dyDescent="0.25">
      <c r="A23" s="9">
        <v>19</v>
      </c>
      <c r="B23" s="11">
        <v>580</v>
      </c>
      <c r="C23" s="17" t="s">
        <v>418</v>
      </c>
      <c r="D23" s="18" t="s">
        <v>419</v>
      </c>
      <c r="E23" s="19" t="s">
        <v>430</v>
      </c>
      <c r="F23" s="94" t="s">
        <v>804</v>
      </c>
      <c r="G23" s="94" t="s">
        <v>803</v>
      </c>
      <c r="H23" s="145"/>
      <c r="I23" s="94" t="s">
        <v>804</v>
      </c>
      <c r="J23" s="94" t="s">
        <v>804</v>
      </c>
      <c r="K23" s="94" t="s">
        <v>803</v>
      </c>
      <c r="L23" s="94" t="s">
        <v>804</v>
      </c>
      <c r="M23" s="94" t="s">
        <v>804</v>
      </c>
      <c r="N23" s="165"/>
      <c r="O23" s="145"/>
      <c r="P23" s="94" t="s">
        <v>804</v>
      </c>
      <c r="Q23" s="94" t="s">
        <v>804</v>
      </c>
      <c r="R23" s="94" t="s">
        <v>804</v>
      </c>
      <c r="S23" s="165"/>
      <c r="T23" s="94" t="s">
        <v>804</v>
      </c>
      <c r="U23" s="94" t="s">
        <v>804</v>
      </c>
      <c r="V23" s="145"/>
      <c r="W23" s="5">
        <f>COUNTIF(F23:V23,"P")</f>
        <v>10</v>
      </c>
      <c r="X23" s="5">
        <f>COUNTIF(F23:V23,"A")</f>
        <v>2</v>
      </c>
    </row>
    <row r="24" spans="1:28" ht="16.5" x14ac:dyDescent="0.25">
      <c r="A24" s="9">
        <v>20</v>
      </c>
      <c r="B24" s="11">
        <v>583</v>
      </c>
      <c r="C24" s="17" t="s">
        <v>417</v>
      </c>
      <c r="D24" s="18" t="s">
        <v>41</v>
      </c>
      <c r="E24" s="19" t="s">
        <v>430</v>
      </c>
      <c r="F24" s="94" t="s">
        <v>804</v>
      </c>
      <c r="G24" s="94" t="s">
        <v>804</v>
      </c>
      <c r="H24" s="145"/>
      <c r="I24" s="94" t="s">
        <v>804</v>
      </c>
      <c r="J24" s="94" t="s">
        <v>804</v>
      </c>
      <c r="K24" s="94" t="s">
        <v>804</v>
      </c>
      <c r="L24" s="94" t="s">
        <v>804</v>
      </c>
      <c r="M24" s="94" t="s">
        <v>804</v>
      </c>
      <c r="N24" s="165"/>
      <c r="O24" s="145"/>
      <c r="P24" s="94" t="s">
        <v>804</v>
      </c>
      <c r="Q24" s="94" t="s">
        <v>804</v>
      </c>
      <c r="R24" s="94" t="s">
        <v>804</v>
      </c>
      <c r="S24" s="165"/>
      <c r="T24" s="94" t="s">
        <v>804</v>
      </c>
      <c r="U24" s="94" t="s">
        <v>803</v>
      </c>
      <c r="V24" s="145"/>
      <c r="W24" s="5">
        <f>COUNTIF(F24:V24,"P")</f>
        <v>11</v>
      </c>
      <c r="X24" s="5">
        <f>COUNTIF(F24:V24,"A")</f>
        <v>1</v>
      </c>
    </row>
    <row r="25" spans="1:28" ht="16.5" x14ac:dyDescent="0.25">
      <c r="A25" s="9">
        <v>21</v>
      </c>
      <c r="B25" s="11">
        <v>480</v>
      </c>
      <c r="C25" s="17" t="s">
        <v>420</v>
      </c>
      <c r="D25" s="18" t="s">
        <v>234</v>
      </c>
      <c r="E25" s="19" t="s">
        <v>430</v>
      </c>
      <c r="F25" s="94" t="s">
        <v>804</v>
      </c>
      <c r="G25" s="94" t="s">
        <v>804</v>
      </c>
      <c r="H25" s="145"/>
      <c r="I25" s="94" t="s">
        <v>804</v>
      </c>
      <c r="J25" s="94" t="s">
        <v>804</v>
      </c>
      <c r="K25" s="94" t="s">
        <v>804</v>
      </c>
      <c r="L25" s="94" t="s">
        <v>804</v>
      </c>
      <c r="M25" s="94" t="s">
        <v>804</v>
      </c>
      <c r="N25" s="165"/>
      <c r="O25" s="145"/>
      <c r="P25" s="94" t="s">
        <v>804</v>
      </c>
      <c r="Q25" s="94" t="s">
        <v>804</v>
      </c>
      <c r="R25" s="94" t="s">
        <v>804</v>
      </c>
      <c r="S25" s="165"/>
      <c r="T25" s="94" t="s">
        <v>804</v>
      </c>
      <c r="U25" s="94" t="s">
        <v>804</v>
      </c>
      <c r="V25" s="145"/>
      <c r="W25" s="5">
        <f>COUNTIF(F25:V25,"P")</f>
        <v>12</v>
      </c>
      <c r="X25" s="5">
        <f>COUNTIF(F25:V25,"A")</f>
        <v>0</v>
      </c>
    </row>
    <row r="26" spans="1:28" ht="16.5" x14ac:dyDescent="0.25">
      <c r="A26" s="9">
        <v>22</v>
      </c>
      <c r="B26" s="11">
        <v>576</v>
      </c>
      <c r="C26" s="17" t="s">
        <v>302</v>
      </c>
      <c r="D26" s="18" t="s">
        <v>234</v>
      </c>
      <c r="E26" s="19" t="s">
        <v>430</v>
      </c>
      <c r="F26" s="94" t="s">
        <v>803</v>
      </c>
      <c r="G26" s="94" t="s">
        <v>804</v>
      </c>
      <c r="H26" s="145"/>
      <c r="I26" s="94" t="s">
        <v>804</v>
      </c>
      <c r="J26" s="94" t="s">
        <v>804</v>
      </c>
      <c r="K26" s="94" t="s">
        <v>804</v>
      </c>
      <c r="L26" s="94" t="s">
        <v>804</v>
      </c>
      <c r="M26" s="94" t="s">
        <v>804</v>
      </c>
      <c r="N26" s="165"/>
      <c r="O26" s="145"/>
      <c r="P26" s="94" t="s">
        <v>804</v>
      </c>
      <c r="Q26" s="94" t="s">
        <v>803</v>
      </c>
      <c r="R26" s="94" t="s">
        <v>804</v>
      </c>
      <c r="S26" s="165"/>
      <c r="T26" s="94" t="s">
        <v>804</v>
      </c>
      <c r="U26" s="94" t="s">
        <v>804</v>
      </c>
      <c r="V26" s="145"/>
      <c r="W26" s="5">
        <f>COUNTIF(F26:V26,"P")</f>
        <v>10</v>
      </c>
      <c r="X26" s="5">
        <f>COUNTIF(F26:V26,"A")</f>
        <v>2</v>
      </c>
    </row>
    <row r="27" spans="1:28" ht="16.5" x14ac:dyDescent="0.25">
      <c r="A27" s="9">
        <v>23</v>
      </c>
      <c r="B27" s="11">
        <v>685</v>
      </c>
      <c r="C27" s="17" t="s">
        <v>421</v>
      </c>
      <c r="D27" s="18" t="s">
        <v>422</v>
      </c>
      <c r="E27" s="19" t="s">
        <v>430</v>
      </c>
      <c r="F27" s="94" t="s">
        <v>804</v>
      </c>
      <c r="G27" s="94" t="s">
        <v>804</v>
      </c>
      <c r="H27" s="145"/>
      <c r="I27" s="94" t="s">
        <v>804</v>
      </c>
      <c r="J27" s="94" t="s">
        <v>804</v>
      </c>
      <c r="K27" s="94" t="s">
        <v>804</v>
      </c>
      <c r="L27" s="94" t="s">
        <v>803</v>
      </c>
      <c r="M27" s="94" t="s">
        <v>804</v>
      </c>
      <c r="N27" s="165"/>
      <c r="O27" s="145"/>
      <c r="P27" s="94" t="s">
        <v>804</v>
      </c>
      <c r="Q27" s="94" t="s">
        <v>804</v>
      </c>
      <c r="R27" s="94" t="s">
        <v>804</v>
      </c>
      <c r="S27" s="165"/>
      <c r="T27" s="94" t="s">
        <v>804</v>
      </c>
      <c r="U27" s="94" t="s">
        <v>804</v>
      </c>
      <c r="V27" s="145"/>
      <c r="W27" s="5">
        <f>COUNTIF(F27:V27,"P")</f>
        <v>11</v>
      </c>
      <c r="X27" s="5">
        <f>COUNTIF(F27:V27,"A")</f>
        <v>1</v>
      </c>
    </row>
    <row r="28" spans="1:28" ht="16.5" customHeight="1" x14ac:dyDescent="0.25">
      <c r="A28" s="9">
        <v>24</v>
      </c>
      <c r="B28" s="11">
        <v>688</v>
      </c>
      <c r="C28" s="17" t="s">
        <v>423</v>
      </c>
      <c r="D28" s="18" t="s">
        <v>415</v>
      </c>
      <c r="E28" s="19" t="s">
        <v>430</v>
      </c>
      <c r="F28" s="94" t="s">
        <v>804</v>
      </c>
      <c r="G28" s="94" t="s">
        <v>804</v>
      </c>
      <c r="H28" s="145"/>
      <c r="I28" s="94" t="s">
        <v>804</v>
      </c>
      <c r="J28" s="94" t="s">
        <v>804</v>
      </c>
      <c r="K28" s="94" t="s">
        <v>804</v>
      </c>
      <c r="L28" s="94" t="s">
        <v>804</v>
      </c>
      <c r="M28" s="94" t="s">
        <v>804</v>
      </c>
      <c r="N28" s="165"/>
      <c r="O28" s="145"/>
      <c r="P28" s="94" t="s">
        <v>804</v>
      </c>
      <c r="Q28" s="94" t="s">
        <v>804</v>
      </c>
      <c r="R28" s="94" t="s">
        <v>804</v>
      </c>
      <c r="S28" s="165"/>
      <c r="T28" s="94" t="s">
        <v>804</v>
      </c>
      <c r="U28" s="94" t="s">
        <v>803</v>
      </c>
      <c r="V28" s="145"/>
      <c r="W28" s="5">
        <f>COUNTIF(F28:V28,"P")</f>
        <v>11</v>
      </c>
      <c r="X28" s="5">
        <f>COUNTIF(F28:V28,"A")</f>
        <v>1</v>
      </c>
    </row>
    <row r="29" spans="1:28" ht="16.5" x14ac:dyDescent="0.25">
      <c r="A29" s="9">
        <v>25</v>
      </c>
      <c r="B29" s="11">
        <v>546</v>
      </c>
      <c r="C29" s="17" t="s">
        <v>423</v>
      </c>
      <c r="D29" s="18" t="s">
        <v>424</v>
      </c>
      <c r="E29" s="19" t="s">
        <v>430</v>
      </c>
      <c r="F29" s="94" t="s">
        <v>804</v>
      </c>
      <c r="G29" s="94" t="s">
        <v>804</v>
      </c>
      <c r="H29" s="145"/>
      <c r="I29" s="94" t="s">
        <v>804</v>
      </c>
      <c r="J29" s="94" t="s">
        <v>804</v>
      </c>
      <c r="K29" s="94" t="s">
        <v>804</v>
      </c>
      <c r="L29" s="94" t="s">
        <v>804</v>
      </c>
      <c r="M29" s="94" t="s">
        <v>804</v>
      </c>
      <c r="N29" s="165"/>
      <c r="O29" s="145"/>
      <c r="P29" s="94" t="s">
        <v>803</v>
      </c>
      <c r="Q29" s="94" t="s">
        <v>804</v>
      </c>
      <c r="R29" s="94" t="s">
        <v>804</v>
      </c>
      <c r="S29" s="165"/>
      <c r="T29" s="94" t="s">
        <v>804</v>
      </c>
      <c r="U29" s="94" t="s">
        <v>804</v>
      </c>
      <c r="V29" s="145"/>
      <c r="W29" s="5">
        <f>COUNTIF(F29:V29,"P")</f>
        <v>11</v>
      </c>
      <c r="X29" s="5">
        <f>COUNTIF(F29:V29,"A")</f>
        <v>1</v>
      </c>
    </row>
    <row r="30" spans="1:28" ht="16.5" x14ac:dyDescent="0.25">
      <c r="A30" s="20">
        <v>26</v>
      </c>
      <c r="B30" s="11">
        <v>472</v>
      </c>
      <c r="C30" s="17" t="s">
        <v>815</v>
      </c>
      <c r="D30" s="18" t="s">
        <v>816</v>
      </c>
      <c r="E30" s="19" t="s">
        <v>430</v>
      </c>
      <c r="F30" s="94" t="s">
        <v>803</v>
      </c>
      <c r="G30" s="94" t="s">
        <v>804</v>
      </c>
      <c r="H30" s="145"/>
      <c r="I30" s="94" t="s">
        <v>804</v>
      </c>
      <c r="J30" s="94" t="s">
        <v>803</v>
      </c>
      <c r="K30" s="94" t="s">
        <v>804</v>
      </c>
      <c r="L30" s="94" t="s">
        <v>804</v>
      </c>
      <c r="M30" s="94" t="s">
        <v>804</v>
      </c>
      <c r="N30" s="165"/>
      <c r="O30" s="145"/>
      <c r="P30" s="94" t="s">
        <v>804</v>
      </c>
      <c r="Q30" s="94" t="s">
        <v>804</v>
      </c>
      <c r="R30" s="94" t="s">
        <v>804</v>
      </c>
      <c r="S30" s="165"/>
      <c r="T30" s="94" t="s">
        <v>804</v>
      </c>
      <c r="U30" s="94" t="s">
        <v>804</v>
      </c>
      <c r="V30" s="145"/>
      <c r="W30" s="5">
        <f>COUNTIF(F30:V30,"P")</f>
        <v>10</v>
      </c>
      <c r="X30" s="5">
        <f>COUNTIF(F30:V30,"A")</f>
        <v>2</v>
      </c>
    </row>
    <row r="31" spans="1:28" ht="16.5" x14ac:dyDescent="0.25">
      <c r="A31" s="20">
        <v>1</v>
      </c>
      <c r="B31" s="11">
        <v>544</v>
      </c>
      <c r="C31" s="17" t="s">
        <v>359</v>
      </c>
      <c r="D31" s="18" t="s">
        <v>360</v>
      </c>
      <c r="E31" s="19" t="s">
        <v>430</v>
      </c>
      <c r="F31" s="94" t="s">
        <v>804</v>
      </c>
      <c r="G31" s="94" t="s">
        <v>804</v>
      </c>
      <c r="H31" s="145"/>
      <c r="I31" s="94" t="s">
        <v>804</v>
      </c>
      <c r="J31" s="94" t="s">
        <v>804</v>
      </c>
      <c r="K31" s="94" t="s">
        <v>804</v>
      </c>
      <c r="L31" s="94" t="s">
        <v>804</v>
      </c>
      <c r="M31" s="94" t="s">
        <v>804</v>
      </c>
      <c r="N31" s="165"/>
      <c r="O31" s="145"/>
      <c r="P31" s="94" t="s">
        <v>804</v>
      </c>
      <c r="Q31" s="94" t="s">
        <v>803</v>
      </c>
      <c r="R31" s="94" t="s">
        <v>804</v>
      </c>
      <c r="S31" s="165"/>
      <c r="T31" s="94" t="s">
        <v>803</v>
      </c>
      <c r="U31" s="94" t="s">
        <v>804</v>
      </c>
      <c r="V31" s="145"/>
      <c r="W31" s="5">
        <f>COUNTIF(F31:V31,"P")</f>
        <v>10</v>
      </c>
      <c r="X31" s="5">
        <f>COUNTIF(F31:V31,"A")</f>
        <v>2</v>
      </c>
    </row>
    <row r="32" spans="1:28" ht="16.5" x14ac:dyDescent="0.25">
      <c r="A32" s="20">
        <v>2</v>
      </c>
      <c r="B32" s="11">
        <v>780</v>
      </c>
      <c r="C32" s="17" t="s">
        <v>363</v>
      </c>
      <c r="D32" s="18" t="s">
        <v>364</v>
      </c>
      <c r="E32" s="19" t="s">
        <v>430</v>
      </c>
      <c r="F32" s="94" t="s">
        <v>804</v>
      </c>
      <c r="G32" s="94" t="s">
        <v>804</v>
      </c>
      <c r="H32" s="145"/>
      <c r="I32" s="94" t="s">
        <v>804</v>
      </c>
      <c r="J32" s="94" t="s">
        <v>804</v>
      </c>
      <c r="K32" s="94" t="s">
        <v>804</v>
      </c>
      <c r="L32" s="94" t="s">
        <v>804</v>
      </c>
      <c r="M32" s="94" t="s">
        <v>804</v>
      </c>
      <c r="N32" s="165"/>
      <c r="O32" s="145"/>
      <c r="P32" s="94" t="s">
        <v>804</v>
      </c>
      <c r="Q32" s="94" t="s">
        <v>804</v>
      </c>
      <c r="R32" s="94" t="s">
        <v>804</v>
      </c>
      <c r="S32" s="165"/>
      <c r="T32" s="94" t="s">
        <v>804</v>
      </c>
      <c r="U32" s="94" t="s">
        <v>804</v>
      </c>
      <c r="V32" s="145"/>
      <c r="W32" s="5">
        <f>COUNTIF(F32:V32,"P")</f>
        <v>12</v>
      </c>
      <c r="X32" s="5">
        <f>COUNTIF(F32:V32,"A")</f>
        <v>0</v>
      </c>
    </row>
    <row r="33" spans="1:24" ht="16.5" x14ac:dyDescent="0.25">
      <c r="A33" s="20">
        <v>3</v>
      </c>
      <c r="B33" s="11">
        <v>844</v>
      </c>
      <c r="C33" s="17" t="s">
        <v>393</v>
      </c>
      <c r="D33" s="18" t="s">
        <v>394</v>
      </c>
      <c r="E33" s="19" t="s">
        <v>430</v>
      </c>
      <c r="F33" s="94" t="s">
        <v>804</v>
      </c>
      <c r="G33" s="94" t="s">
        <v>803</v>
      </c>
      <c r="H33" s="145"/>
      <c r="I33" s="94" t="s">
        <v>803</v>
      </c>
      <c r="J33" s="94" t="s">
        <v>804</v>
      </c>
      <c r="K33" s="94" t="s">
        <v>804</v>
      </c>
      <c r="L33" s="94" t="s">
        <v>804</v>
      </c>
      <c r="M33" s="94" t="s">
        <v>804</v>
      </c>
      <c r="N33" s="165"/>
      <c r="O33" s="145"/>
      <c r="P33" s="94" t="s">
        <v>804</v>
      </c>
      <c r="Q33" s="94" t="s">
        <v>804</v>
      </c>
      <c r="R33" s="94" t="s">
        <v>804</v>
      </c>
      <c r="S33" s="165"/>
      <c r="T33" s="94" t="s">
        <v>804</v>
      </c>
      <c r="U33" s="94" t="s">
        <v>804</v>
      </c>
      <c r="V33" s="145"/>
      <c r="W33" s="5">
        <f>COUNTIF(F33:V33,"P")</f>
        <v>10</v>
      </c>
      <c r="X33" s="5">
        <f>COUNTIF(F33:V33,"A")</f>
        <v>2</v>
      </c>
    </row>
    <row r="34" spans="1:24" ht="16.5" x14ac:dyDescent="0.25">
      <c r="A34" s="20">
        <v>4</v>
      </c>
      <c r="B34" s="11">
        <v>569</v>
      </c>
      <c r="C34" s="17" t="s">
        <v>365</v>
      </c>
      <c r="D34" s="18" t="s">
        <v>366</v>
      </c>
      <c r="E34" s="19" t="s">
        <v>430</v>
      </c>
      <c r="F34" s="94" t="s">
        <v>804</v>
      </c>
      <c r="G34" s="94" t="s">
        <v>804</v>
      </c>
      <c r="H34" s="145"/>
      <c r="I34" s="94" t="s">
        <v>804</v>
      </c>
      <c r="J34" s="94" t="s">
        <v>804</v>
      </c>
      <c r="K34" s="94" t="s">
        <v>804</v>
      </c>
      <c r="L34" s="94" t="s">
        <v>804</v>
      </c>
      <c r="M34" s="94" t="s">
        <v>804</v>
      </c>
      <c r="N34" s="165"/>
      <c r="O34" s="145"/>
      <c r="P34" s="94" t="s">
        <v>804</v>
      </c>
      <c r="Q34" s="94" t="s">
        <v>804</v>
      </c>
      <c r="R34" s="94" t="s">
        <v>804</v>
      </c>
      <c r="S34" s="165"/>
      <c r="T34" s="94" t="s">
        <v>804</v>
      </c>
      <c r="U34" s="94" t="s">
        <v>804</v>
      </c>
      <c r="V34" s="145"/>
      <c r="W34" s="5">
        <f>COUNTIF(F34:V34,"P")</f>
        <v>12</v>
      </c>
      <c r="X34" s="5">
        <f>COUNTIF(F34:V34,"A")</f>
        <v>0</v>
      </c>
    </row>
    <row r="35" spans="1:24" ht="16.5" x14ac:dyDescent="0.25">
      <c r="A35" s="20">
        <v>5</v>
      </c>
      <c r="B35" s="11">
        <v>582</v>
      </c>
      <c r="C35" s="17" t="s">
        <v>91</v>
      </c>
      <c r="D35" s="18" t="s">
        <v>367</v>
      </c>
      <c r="E35" s="19" t="s">
        <v>430</v>
      </c>
      <c r="F35" s="94" t="s">
        <v>804</v>
      </c>
      <c r="G35" s="94" t="s">
        <v>804</v>
      </c>
      <c r="H35" s="145"/>
      <c r="I35" s="94" t="s">
        <v>804</v>
      </c>
      <c r="J35" s="94" t="s">
        <v>804</v>
      </c>
      <c r="K35" s="94" t="s">
        <v>804</v>
      </c>
      <c r="L35" s="94" t="s">
        <v>804</v>
      </c>
      <c r="M35" s="94" t="s">
        <v>804</v>
      </c>
      <c r="N35" s="165"/>
      <c r="O35" s="145"/>
      <c r="P35" s="94" t="s">
        <v>804</v>
      </c>
      <c r="Q35" s="94" t="s">
        <v>803</v>
      </c>
      <c r="R35" s="94" t="s">
        <v>804</v>
      </c>
      <c r="S35" s="165"/>
      <c r="T35" s="94" t="s">
        <v>803</v>
      </c>
      <c r="U35" s="94" t="s">
        <v>804</v>
      </c>
      <c r="V35" s="145"/>
      <c r="W35" s="5">
        <f>COUNTIF(F35:V35,"P")</f>
        <v>10</v>
      </c>
      <c r="X35" s="5">
        <f>COUNTIF(F35:V35,"A")</f>
        <v>2</v>
      </c>
    </row>
    <row r="36" spans="1:24" ht="16.5" x14ac:dyDescent="0.25">
      <c r="A36" s="20">
        <v>6</v>
      </c>
      <c r="B36" s="11">
        <v>574</v>
      </c>
      <c r="C36" s="17" t="s">
        <v>368</v>
      </c>
      <c r="D36" s="18" t="s">
        <v>369</v>
      </c>
      <c r="E36" s="19" t="s">
        <v>430</v>
      </c>
      <c r="F36" s="94" t="s">
        <v>804</v>
      </c>
      <c r="G36" s="94" t="s">
        <v>804</v>
      </c>
      <c r="H36" s="145"/>
      <c r="I36" s="94" t="s">
        <v>804</v>
      </c>
      <c r="J36" s="94" t="s">
        <v>804</v>
      </c>
      <c r="K36" s="94" t="s">
        <v>804</v>
      </c>
      <c r="L36" s="94" t="s">
        <v>804</v>
      </c>
      <c r="M36" s="94" t="s">
        <v>804</v>
      </c>
      <c r="N36" s="165"/>
      <c r="O36" s="145"/>
      <c r="P36" s="94" t="s">
        <v>804</v>
      </c>
      <c r="Q36" s="94" t="s">
        <v>804</v>
      </c>
      <c r="R36" s="94" t="s">
        <v>804</v>
      </c>
      <c r="S36" s="165"/>
      <c r="T36" s="94" t="s">
        <v>804</v>
      </c>
      <c r="U36" s="94" t="s">
        <v>804</v>
      </c>
      <c r="V36" s="145"/>
      <c r="W36" s="5">
        <f>COUNTIF(F36:V36,"P")</f>
        <v>12</v>
      </c>
      <c r="X36" s="5">
        <f>COUNTIF(F36:V36,"A")</f>
        <v>0</v>
      </c>
    </row>
    <row r="37" spans="1:24" ht="16.5" x14ac:dyDescent="0.25">
      <c r="A37" s="20">
        <v>7</v>
      </c>
      <c r="B37" s="11">
        <v>526</v>
      </c>
      <c r="C37" s="17" t="s">
        <v>372</v>
      </c>
      <c r="D37" s="18" t="s">
        <v>270</v>
      </c>
      <c r="E37" s="19" t="s">
        <v>430</v>
      </c>
      <c r="F37" s="94" t="s">
        <v>804</v>
      </c>
      <c r="G37" s="94" t="s">
        <v>803</v>
      </c>
      <c r="H37" s="145"/>
      <c r="I37" s="94" t="s">
        <v>804</v>
      </c>
      <c r="J37" s="94" t="s">
        <v>804</v>
      </c>
      <c r="K37" s="94" t="s">
        <v>803</v>
      </c>
      <c r="L37" s="94" t="s">
        <v>804</v>
      </c>
      <c r="M37" s="94" t="s">
        <v>804</v>
      </c>
      <c r="N37" s="165"/>
      <c r="O37" s="145"/>
      <c r="P37" s="94" t="s">
        <v>804</v>
      </c>
      <c r="Q37" s="94" t="s">
        <v>804</v>
      </c>
      <c r="R37" s="94" t="s">
        <v>804</v>
      </c>
      <c r="S37" s="165"/>
      <c r="T37" s="94" t="s">
        <v>804</v>
      </c>
      <c r="U37" s="94" t="s">
        <v>804</v>
      </c>
      <c r="V37" s="145"/>
      <c r="W37" s="5">
        <f>COUNTIF(F37:V37,"P")</f>
        <v>10</v>
      </c>
      <c r="X37" s="5">
        <f>COUNTIF(F37:V37,"A")</f>
        <v>2</v>
      </c>
    </row>
    <row r="38" spans="1:24" ht="16.5" x14ac:dyDescent="0.25">
      <c r="A38" s="20">
        <v>8</v>
      </c>
      <c r="B38" s="11">
        <v>914</v>
      </c>
      <c r="C38" s="17" t="s">
        <v>138</v>
      </c>
      <c r="D38" s="18" t="s">
        <v>183</v>
      </c>
      <c r="E38" s="19" t="s">
        <v>430</v>
      </c>
      <c r="F38" s="94" t="s">
        <v>804</v>
      </c>
      <c r="G38" s="94" t="s">
        <v>804</v>
      </c>
      <c r="H38" s="145"/>
      <c r="I38" s="94" t="s">
        <v>804</v>
      </c>
      <c r="J38" s="94" t="s">
        <v>804</v>
      </c>
      <c r="K38" s="94" t="s">
        <v>804</v>
      </c>
      <c r="L38" s="94" t="s">
        <v>804</v>
      </c>
      <c r="M38" s="94" t="s">
        <v>804</v>
      </c>
      <c r="N38" s="165"/>
      <c r="O38" s="145"/>
      <c r="P38" s="94" t="s">
        <v>803</v>
      </c>
      <c r="Q38" s="94" t="s">
        <v>804</v>
      </c>
      <c r="R38" s="94" t="s">
        <v>804</v>
      </c>
      <c r="S38" s="165"/>
      <c r="T38" s="94" t="s">
        <v>804</v>
      </c>
      <c r="U38" s="94" t="s">
        <v>804</v>
      </c>
      <c r="V38" s="145"/>
      <c r="W38" s="5">
        <f>COUNTIF(F38:V38,"P")</f>
        <v>11</v>
      </c>
      <c r="X38" s="5">
        <f>COUNTIF(F38:V38,"A")</f>
        <v>1</v>
      </c>
    </row>
    <row r="39" spans="1:24" ht="16.5" x14ac:dyDescent="0.25">
      <c r="A39" s="20">
        <v>9</v>
      </c>
      <c r="B39" s="11">
        <v>537</v>
      </c>
      <c r="C39" s="17" t="s">
        <v>373</v>
      </c>
      <c r="D39" s="18" t="s">
        <v>374</v>
      </c>
      <c r="E39" s="19" t="s">
        <v>430</v>
      </c>
      <c r="F39" s="94" t="s">
        <v>804</v>
      </c>
      <c r="G39" s="94" t="s">
        <v>804</v>
      </c>
      <c r="H39" s="145"/>
      <c r="I39" s="94" t="s">
        <v>804</v>
      </c>
      <c r="J39" s="94" t="s">
        <v>804</v>
      </c>
      <c r="K39" s="94" t="s">
        <v>804</v>
      </c>
      <c r="L39" s="94" t="s">
        <v>804</v>
      </c>
      <c r="M39" s="94" t="s">
        <v>804</v>
      </c>
      <c r="N39" s="165"/>
      <c r="O39" s="145"/>
      <c r="P39" s="94" t="s">
        <v>804</v>
      </c>
      <c r="Q39" s="94" t="s">
        <v>804</v>
      </c>
      <c r="R39" s="94" t="s">
        <v>804</v>
      </c>
      <c r="S39" s="165"/>
      <c r="T39" s="94" t="s">
        <v>804</v>
      </c>
      <c r="U39" s="94" t="s">
        <v>803</v>
      </c>
      <c r="V39" s="145"/>
      <c r="W39" s="5">
        <f>COUNTIF(F39:V39,"P")</f>
        <v>11</v>
      </c>
      <c r="X39" s="5">
        <f>COUNTIF(F39:V39,"A")</f>
        <v>1</v>
      </c>
    </row>
    <row r="40" spans="1:24" ht="16.5" x14ac:dyDescent="0.25">
      <c r="A40" s="20">
        <v>10</v>
      </c>
      <c r="B40" s="11">
        <v>584</v>
      </c>
      <c r="C40" s="17" t="s">
        <v>313</v>
      </c>
      <c r="D40" s="18" t="s">
        <v>315</v>
      </c>
      <c r="E40" s="19" t="s">
        <v>430</v>
      </c>
      <c r="F40" s="94" t="s">
        <v>804</v>
      </c>
      <c r="G40" s="94" t="s">
        <v>804</v>
      </c>
      <c r="H40" s="145"/>
      <c r="I40" s="94" t="s">
        <v>804</v>
      </c>
      <c r="J40" s="94" t="s">
        <v>804</v>
      </c>
      <c r="K40" s="94" t="s">
        <v>804</v>
      </c>
      <c r="L40" s="94" t="s">
        <v>804</v>
      </c>
      <c r="M40" s="94" t="s">
        <v>804</v>
      </c>
      <c r="N40" s="165"/>
      <c r="O40" s="145"/>
      <c r="P40" s="94" t="s">
        <v>804</v>
      </c>
      <c r="Q40" s="94" t="s">
        <v>804</v>
      </c>
      <c r="R40" s="94" t="s">
        <v>804</v>
      </c>
      <c r="S40" s="165"/>
      <c r="T40" s="94" t="s">
        <v>804</v>
      </c>
      <c r="U40" s="94" t="s">
        <v>804</v>
      </c>
      <c r="V40" s="145"/>
      <c r="W40" s="5">
        <f>COUNTIF(F40:V40,"P")</f>
        <v>12</v>
      </c>
      <c r="X40" s="5">
        <f>COUNTIF(F40:V40,"A")</f>
        <v>0</v>
      </c>
    </row>
    <row r="41" spans="1:24" ht="16.5" x14ac:dyDescent="0.25">
      <c r="A41" s="20">
        <v>11</v>
      </c>
      <c r="B41" s="11">
        <v>520</v>
      </c>
      <c r="C41" s="17" t="s">
        <v>313</v>
      </c>
      <c r="D41" s="18" t="s">
        <v>375</v>
      </c>
      <c r="E41" s="19" t="s">
        <v>430</v>
      </c>
      <c r="F41" s="94" t="s">
        <v>803</v>
      </c>
      <c r="G41" s="94" t="s">
        <v>804</v>
      </c>
      <c r="H41" s="145"/>
      <c r="I41" s="94" t="s">
        <v>804</v>
      </c>
      <c r="J41" s="94" t="s">
        <v>803</v>
      </c>
      <c r="K41" s="94" t="s">
        <v>804</v>
      </c>
      <c r="L41" s="94" t="s">
        <v>804</v>
      </c>
      <c r="M41" s="94" t="s">
        <v>804</v>
      </c>
      <c r="N41" s="165"/>
      <c r="O41" s="145"/>
      <c r="P41" s="94" t="s">
        <v>804</v>
      </c>
      <c r="Q41" s="94" t="s">
        <v>804</v>
      </c>
      <c r="R41" s="94" t="s">
        <v>804</v>
      </c>
      <c r="S41" s="165"/>
      <c r="T41" s="94" t="s">
        <v>804</v>
      </c>
      <c r="U41" s="94" t="s">
        <v>803</v>
      </c>
      <c r="V41" s="145"/>
      <c r="W41" s="5">
        <f>COUNTIF(F41:V41,"P")</f>
        <v>9</v>
      </c>
      <c r="X41" s="5">
        <f>COUNTIF(F41:V41,"A")</f>
        <v>3</v>
      </c>
    </row>
    <row r="42" spans="1:24" ht="16.5" x14ac:dyDescent="0.25">
      <c r="A42" s="20">
        <v>12</v>
      </c>
      <c r="B42" s="11">
        <v>915</v>
      </c>
      <c r="C42" s="17" t="s">
        <v>395</v>
      </c>
      <c r="D42" s="18" t="s">
        <v>396</v>
      </c>
      <c r="E42" s="19" t="s">
        <v>430</v>
      </c>
      <c r="F42" s="94" t="s">
        <v>804</v>
      </c>
      <c r="G42" s="94" t="s">
        <v>804</v>
      </c>
      <c r="H42" s="145"/>
      <c r="I42" s="94" t="s">
        <v>804</v>
      </c>
      <c r="J42" s="94" t="s">
        <v>804</v>
      </c>
      <c r="K42" s="94" t="s">
        <v>804</v>
      </c>
      <c r="L42" s="94" t="s">
        <v>804</v>
      </c>
      <c r="M42" s="94" t="s">
        <v>804</v>
      </c>
      <c r="N42" s="165"/>
      <c r="O42" s="145"/>
      <c r="P42" s="94" t="s">
        <v>804</v>
      </c>
      <c r="Q42" s="94" t="s">
        <v>803</v>
      </c>
      <c r="R42" s="94" t="s">
        <v>804</v>
      </c>
      <c r="S42" s="165"/>
      <c r="T42" s="94" t="s">
        <v>804</v>
      </c>
      <c r="U42" s="94" t="s">
        <v>804</v>
      </c>
      <c r="V42" s="145"/>
      <c r="W42" s="5">
        <f>COUNTIF(F42:V42,"P")</f>
        <v>11</v>
      </c>
      <c r="X42" s="5">
        <f>COUNTIF(F42:V42,"A")</f>
        <v>1</v>
      </c>
    </row>
    <row r="43" spans="1:24" ht="16.5" x14ac:dyDescent="0.25">
      <c r="A43" s="20">
        <v>13</v>
      </c>
      <c r="B43" s="11">
        <v>687</v>
      </c>
      <c r="C43" s="17" t="s">
        <v>376</v>
      </c>
      <c r="D43" s="18" t="s">
        <v>377</v>
      </c>
      <c r="E43" s="19" t="s">
        <v>430</v>
      </c>
      <c r="F43" s="94" t="s">
        <v>804</v>
      </c>
      <c r="G43" s="94" t="s">
        <v>804</v>
      </c>
      <c r="H43" s="145"/>
      <c r="I43" s="94" t="s">
        <v>804</v>
      </c>
      <c r="J43" s="94" t="s">
        <v>804</v>
      </c>
      <c r="K43" s="94" t="s">
        <v>804</v>
      </c>
      <c r="L43" s="94" t="s">
        <v>804</v>
      </c>
      <c r="M43" s="94" t="s">
        <v>804</v>
      </c>
      <c r="N43" s="165"/>
      <c r="O43" s="145"/>
      <c r="P43" s="94" t="s">
        <v>804</v>
      </c>
      <c r="Q43" s="94" t="s">
        <v>804</v>
      </c>
      <c r="R43" s="94" t="s">
        <v>804</v>
      </c>
      <c r="S43" s="165"/>
      <c r="T43" s="94" t="s">
        <v>804</v>
      </c>
      <c r="U43" s="94" t="s">
        <v>804</v>
      </c>
      <c r="V43" s="145"/>
      <c r="W43" s="5">
        <f>COUNTIF(F43:V43,"P")</f>
        <v>12</v>
      </c>
      <c r="X43" s="5">
        <f>COUNTIF(F43:V43,"A")</f>
        <v>0</v>
      </c>
    </row>
    <row r="44" spans="1:24" ht="16.5" x14ac:dyDescent="0.25">
      <c r="A44" s="20">
        <v>14</v>
      </c>
      <c r="B44" s="11">
        <v>649</v>
      </c>
      <c r="C44" s="17" t="s">
        <v>391</v>
      </c>
      <c r="D44" s="18" t="s">
        <v>392</v>
      </c>
      <c r="E44" s="19" t="s">
        <v>430</v>
      </c>
      <c r="F44" s="94" t="s">
        <v>804</v>
      </c>
      <c r="G44" s="94" t="s">
        <v>804</v>
      </c>
      <c r="H44" s="145"/>
      <c r="I44" s="94" t="s">
        <v>804</v>
      </c>
      <c r="J44" s="94" t="s">
        <v>804</v>
      </c>
      <c r="K44" s="94" t="s">
        <v>804</v>
      </c>
      <c r="L44" s="94" t="s">
        <v>804</v>
      </c>
      <c r="M44" s="94" t="s">
        <v>804</v>
      </c>
      <c r="N44" s="165"/>
      <c r="O44" s="145"/>
      <c r="P44" s="94" t="s">
        <v>804</v>
      </c>
      <c r="Q44" s="94" t="s">
        <v>804</v>
      </c>
      <c r="R44" s="94" t="s">
        <v>804</v>
      </c>
      <c r="S44" s="165"/>
      <c r="T44" s="94" t="s">
        <v>804</v>
      </c>
      <c r="U44" s="94" t="s">
        <v>804</v>
      </c>
      <c r="V44" s="145"/>
      <c r="W44" s="5">
        <f>COUNTIF(F44:V44,"P")</f>
        <v>12</v>
      </c>
      <c r="X44" s="5">
        <f>COUNTIF(F44:V44,"A")</f>
        <v>0</v>
      </c>
    </row>
    <row r="45" spans="1:24" ht="16.5" x14ac:dyDescent="0.25">
      <c r="A45" s="20">
        <v>15</v>
      </c>
      <c r="B45" s="11">
        <v>686</v>
      </c>
      <c r="C45" s="17" t="s">
        <v>381</v>
      </c>
      <c r="D45" s="18" t="s">
        <v>139</v>
      </c>
      <c r="E45" s="19" t="s">
        <v>430</v>
      </c>
      <c r="F45" s="94" t="s">
        <v>804</v>
      </c>
      <c r="G45" s="94" t="s">
        <v>804</v>
      </c>
      <c r="H45" s="145"/>
      <c r="I45" s="94" t="s">
        <v>804</v>
      </c>
      <c r="J45" s="94" t="s">
        <v>804</v>
      </c>
      <c r="K45" s="94" t="s">
        <v>803</v>
      </c>
      <c r="L45" s="94" t="s">
        <v>804</v>
      </c>
      <c r="M45" s="94" t="s">
        <v>804</v>
      </c>
      <c r="N45" s="165"/>
      <c r="O45" s="145"/>
      <c r="P45" s="94" t="s">
        <v>804</v>
      </c>
      <c r="Q45" s="94" t="s">
        <v>804</v>
      </c>
      <c r="R45" s="94" t="s">
        <v>804</v>
      </c>
      <c r="S45" s="165"/>
      <c r="T45" s="94" t="s">
        <v>804</v>
      </c>
      <c r="U45" s="94" t="s">
        <v>804</v>
      </c>
      <c r="V45" s="145"/>
      <c r="W45" s="5">
        <f>COUNTIF(F45:V45,"P")</f>
        <v>11</v>
      </c>
      <c r="X45" s="5">
        <f>COUNTIF(F45:V45,"A")</f>
        <v>1</v>
      </c>
    </row>
    <row r="46" spans="1:24" ht="16.5" x14ac:dyDescent="0.25">
      <c r="A46" s="20">
        <v>16</v>
      </c>
      <c r="B46" s="11">
        <v>581</v>
      </c>
      <c r="C46" s="17" t="s">
        <v>378</v>
      </c>
      <c r="D46" s="18" t="s">
        <v>161</v>
      </c>
      <c r="E46" s="19" t="s">
        <v>430</v>
      </c>
      <c r="F46" s="94" t="s">
        <v>804</v>
      </c>
      <c r="G46" s="94" t="s">
        <v>803</v>
      </c>
      <c r="H46" s="145"/>
      <c r="I46" s="94" t="s">
        <v>804</v>
      </c>
      <c r="J46" s="94" t="s">
        <v>804</v>
      </c>
      <c r="K46" s="94" t="s">
        <v>804</v>
      </c>
      <c r="L46" s="94" t="s">
        <v>804</v>
      </c>
      <c r="M46" s="94" t="s">
        <v>804</v>
      </c>
      <c r="N46" s="165"/>
      <c r="O46" s="145"/>
      <c r="P46" s="94" t="s">
        <v>804</v>
      </c>
      <c r="Q46" s="94" t="s">
        <v>804</v>
      </c>
      <c r="R46" s="94" t="s">
        <v>803</v>
      </c>
      <c r="S46" s="165"/>
      <c r="T46" s="94" t="s">
        <v>803</v>
      </c>
      <c r="U46" s="94" t="s">
        <v>804</v>
      </c>
      <c r="V46" s="145"/>
      <c r="W46" s="5">
        <f>COUNTIF(F46:V46,"P")</f>
        <v>9</v>
      </c>
      <c r="X46" s="5">
        <f>COUNTIF(F46:V46,"A")</f>
        <v>3</v>
      </c>
    </row>
    <row r="47" spans="1:24" ht="16.5" x14ac:dyDescent="0.25">
      <c r="A47" s="20">
        <v>17</v>
      </c>
      <c r="B47" s="11">
        <v>588</v>
      </c>
      <c r="C47" s="17" t="s">
        <v>379</v>
      </c>
      <c r="D47" s="18" t="s">
        <v>380</v>
      </c>
      <c r="E47" s="19" t="s">
        <v>430</v>
      </c>
      <c r="F47" s="94" t="s">
        <v>804</v>
      </c>
      <c r="G47" s="94" t="s">
        <v>804</v>
      </c>
      <c r="H47" s="145"/>
      <c r="I47" s="94" t="s">
        <v>804</v>
      </c>
      <c r="J47" s="94" t="s">
        <v>804</v>
      </c>
      <c r="K47" s="94" t="s">
        <v>804</v>
      </c>
      <c r="L47" s="94" t="s">
        <v>804</v>
      </c>
      <c r="M47" s="94" t="s">
        <v>804</v>
      </c>
      <c r="N47" s="165"/>
      <c r="O47" s="145"/>
      <c r="P47" s="94" t="s">
        <v>804</v>
      </c>
      <c r="Q47" s="94" t="s">
        <v>804</v>
      </c>
      <c r="R47" s="94" t="s">
        <v>804</v>
      </c>
      <c r="S47" s="165"/>
      <c r="T47" s="94" t="s">
        <v>804</v>
      </c>
      <c r="U47" s="94" t="s">
        <v>804</v>
      </c>
      <c r="V47" s="145"/>
      <c r="W47" s="5">
        <f>COUNTIF(F47:V47,"P")</f>
        <v>12</v>
      </c>
      <c r="X47" s="5">
        <f>COUNTIF(F47:V47,"A")</f>
        <v>0</v>
      </c>
    </row>
    <row r="48" spans="1:24" ht="16.5" x14ac:dyDescent="0.25">
      <c r="A48" s="20">
        <v>18</v>
      </c>
      <c r="B48" s="11">
        <v>525</v>
      </c>
      <c r="C48" s="17" t="s">
        <v>382</v>
      </c>
      <c r="D48" s="18" t="s">
        <v>383</v>
      </c>
      <c r="E48" s="19" t="s">
        <v>430</v>
      </c>
      <c r="F48" s="94" t="s">
        <v>804</v>
      </c>
      <c r="G48" s="94" t="s">
        <v>804</v>
      </c>
      <c r="H48" s="145"/>
      <c r="I48" s="94" t="s">
        <v>804</v>
      </c>
      <c r="J48" s="94" t="s">
        <v>804</v>
      </c>
      <c r="K48" s="94" t="s">
        <v>804</v>
      </c>
      <c r="L48" s="94" t="s">
        <v>803</v>
      </c>
      <c r="M48" s="94" t="s">
        <v>804</v>
      </c>
      <c r="N48" s="165"/>
      <c r="O48" s="145"/>
      <c r="P48" s="94" t="s">
        <v>804</v>
      </c>
      <c r="Q48" s="94" t="s">
        <v>804</v>
      </c>
      <c r="R48" s="94" t="s">
        <v>804</v>
      </c>
      <c r="S48" s="165"/>
      <c r="T48" s="94" t="s">
        <v>804</v>
      </c>
      <c r="U48" s="94" t="s">
        <v>804</v>
      </c>
      <c r="V48" s="145"/>
      <c r="W48" s="5">
        <f>COUNTIF(F48:V48,"P")</f>
        <v>11</v>
      </c>
      <c r="X48" s="5">
        <f>COUNTIF(F48:V48,"A")</f>
        <v>1</v>
      </c>
    </row>
    <row r="49" spans="1:24" ht="16.5" x14ac:dyDescent="0.25">
      <c r="A49" s="20">
        <v>19</v>
      </c>
      <c r="B49" s="11">
        <v>577</v>
      </c>
      <c r="C49" s="17" t="s">
        <v>384</v>
      </c>
      <c r="D49" s="18" t="s">
        <v>385</v>
      </c>
      <c r="E49" s="19" t="s">
        <v>430</v>
      </c>
      <c r="F49" s="94" t="s">
        <v>804</v>
      </c>
      <c r="G49" s="94" t="s">
        <v>804</v>
      </c>
      <c r="H49" s="145"/>
      <c r="I49" s="94" t="s">
        <v>804</v>
      </c>
      <c r="J49" s="94" t="s">
        <v>804</v>
      </c>
      <c r="K49" s="94" t="s">
        <v>804</v>
      </c>
      <c r="L49" s="94" t="s">
        <v>804</v>
      </c>
      <c r="M49" s="94" t="s">
        <v>804</v>
      </c>
      <c r="N49" s="165"/>
      <c r="O49" s="145"/>
      <c r="P49" s="94" t="s">
        <v>804</v>
      </c>
      <c r="Q49" s="94" t="s">
        <v>804</v>
      </c>
      <c r="R49" s="94" t="s">
        <v>804</v>
      </c>
      <c r="S49" s="165"/>
      <c r="T49" s="94" t="s">
        <v>804</v>
      </c>
      <c r="U49" s="94" t="s">
        <v>804</v>
      </c>
      <c r="V49" s="145"/>
      <c r="W49" s="5">
        <f>COUNTIF(F49:V49,"P")</f>
        <v>12</v>
      </c>
      <c r="X49" s="5">
        <f>COUNTIF(F49:V49,"A")</f>
        <v>0</v>
      </c>
    </row>
    <row r="50" spans="1:24" ht="16.5" x14ac:dyDescent="0.25">
      <c r="A50" s="20">
        <v>20</v>
      </c>
      <c r="B50" s="11">
        <v>589</v>
      </c>
      <c r="C50" s="17" t="s">
        <v>386</v>
      </c>
      <c r="D50" s="18" t="s">
        <v>387</v>
      </c>
      <c r="E50" s="19" t="s">
        <v>430</v>
      </c>
      <c r="F50" s="94" t="s">
        <v>804</v>
      </c>
      <c r="G50" s="94" t="s">
        <v>804</v>
      </c>
      <c r="H50" s="145"/>
      <c r="I50" s="94" t="s">
        <v>804</v>
      </c>
      <c r="J50" s="94" t="s">
        <v>803</v>
      </c>
      <c r="K50" s="94" t="s">
        <v>804</v>
      </c>
      <c r="L50" s="94" t="s">
        <v>804</v>
      </c>
      <c r="M50" s="94" t="s">
        <v>804</v>
      </c>
      <c r="N50" s="165"/>
      <c r="O50" s="145"/>
      <c r="P50" s="94" t="s">
        <v>803</v>
      </c>
      <c r="Q50" s="94" t="s">
        <v>804</v>
      </c>
      <c r="R50" s="94" t="s">
        <v>803</v>
      </c>
      <c r="S50" s="165"/>
      <c r="T50" s="94" t="s">
        <v>804</v>
      </c>
      <c r="U50" s="94" t="s">
        <v>803</v>
      </c>
      <c r="V50" s="145"/>
      <c r="W50" s="5">
        <f>COUNTIF(F50:V50,"P")</f>
        <v>8</v>
      </c>
      <c r="X50" s="5">
        <f>COUNTIF(F50:V50,"A")</f>
        <v>4</v>
      </c>
    </row>
    <row r="51" spans="1:24" ht="16.5" x14ac:dyDescent="0.25">
      <c r="A51" s="20">
        <v>21</v>
      </c>
      <c r="B51" s="11">
        <v>912</v>
      </c>
      <c r="C51" s="17" t="s">
        <v>388</v>
      </c>
      <c r="D51" s="18" t="s">
        <v>389</v>
      </c>
      <c r="E51" s="19" t="s">
        <v>430</v>
      </c>
      <c r="F51" s="94" t="s">
        <v>804</v>
      </c>
      <c r="G51" s="94" t="s">
        <v>804</v>
      </c>
      <c r="H51" s="145"/>
      <c r="I51" s="94" t="s">
        <v>804</v>
      </c>
      <c r="J51" s="94" t="s">
        <v>804</v>
      </c>
      <c r="K51" s="94" t="s">
        <v>804</v>
      </c>
      <c r="L51" s="94" t="s">
        <v>804</v>
      </c>
      <c r="M51" s="94" t="s">
        <v>804</v>
      </c>
      <c r="N51" s="165"/>
      <c r="O51" s="145"/>
      <c r="P51" s="94" t="s">
        <v>804</v>
      </c>
      <c r="Q51" s="94" t="s">
        <v>804</v>
      </c>
      <c r="R51" s="94" t="s">
        <v>804</v>
      </c>
      <c r="S51" s="165"/>
      <c r="T51" s="94" t="s">
        <v>804</v>
      </c>
      <c r="U51" s="94" t="s">
        <v>804</v>
      </c>
      <c r="V51" s="145"/>
      <c r="W51" s="5">
        <f>COUNTIF(F51:V51,"P")</f>
        <v>12</v>
      </c>
      <c r="X51" s="5">
        <f>COUNTIF(F51:V51,"A")</f>
        <v>0</v>
      </c>
    </row>
    <row r="52" spans="1:24" ht="16.5" x14ac:dyDescent="0.25">
      <c r="A52" s="20">
        <v>22</v>
      </c>
      <c r="B52" s="11">
        <v>571</v>
      </c>
      <c r="C52" s="17" t="s">
        <v>370</v>
      </c>
      <c r="D52" s="18" t="s">
        <v>371</v>
      </c>
      <c r="E52" s="19" t="s">
        <v>430</v>
      </c>
      <c r="F52" s="94" t="s">
        <v>804</v>
      </c>
      <c r="G52" s="94" t="s">
        <v>803</v>
      </c>
      <c r="H52" s="145"/>
      <c r="I52" s="94" t="s">
        <v>804</v>
      </c>
      <c r="J52" s="94" t="s">
        <v>804</v>
      </c>
      <c r="K52" s="94" t="s">
        <v>804</v>
      </c>
      <c r="L52" s="94" t="s">
        <v>804</v>
      </c>
      <c r="M52" s="94" t="s">
        <v>804</v>
      </c>
      <c r="N52" s="165"/>
      <c r="O52" s="145"/>
      <c r="P52" s="94" t="s">
        <v>804</v>
      </c>
      <c r="Q52" s="94" t="s">
        <v>804</v>
      </c>
      <c r="R52" s="94" t="s">
        <v>804</v>
      </c>
      <c r="S52" s="165"/>
      <c r="T52" s="94" t="s">
        <v>804</v>
      </c>
      <c r="U52" s="94" t="s">
        <v>804</v>
      </c>
      <c r="V52" s="145"/>
      <c r="W52" s="5">
        <f>COUNTIF(F52:V52,"P")</f>
        <v>11</v>
      </c>
      <c r="X52" s="5">
        <f>COUNTIF(F52:V52,"A")</f>
        <v>1</v>
      </c>
    </row>
    <row r="53" spans="1:24" ht="16.5" x14ac:dyDescent="0.25">
      <c r="A53" s="20">
        <v>23</v>
      </c>
      <c r="B53" s="110">
        <v>572</v>
      </c>
      <c r="C53" s="114" t="s">
        <v>390</v>
      </c>
      <c r="D53" s="115" t="s">
        <v>84</v>
      </c>
      <c r="E53" s="106" t="s">
        <v>430</v>
      </c>
      <c r="F53" s="94" t="s">
        <v>804</v>
      </c>
      <c r="G53" s="94" t="s">
        <v>804</v>
      </c>
      <c r="H53" s="145"/>
      <c r="I53" s="94" t="s">
        <v>803</v>
      </c>
      <c r="J53" s="94" t="s">
        <v>804</v>
      </c>
      <c r="K53" s="94" t="s">
        <v>804</v>
      </c>
      <c r="L53" s="94" t="s">
        <v>804</v>
      </c>
      <c r="M53" s="94" t="s">
        <v>804</v>
      </c>
      <c r="N53" s="165"/>
      <c r="O53" s="145"/>
      <c r="P53" s="94" t="s">
        <v>804</v>
      </c>
      <c r="Q53" s="94" t="s">
        <v>804</v>
      </c>
      <c r="R53" s="94" t="s">
        <v>804</v>
      </c>
      <c r="S53" s="165"/>
      <c r="T53" s="94" t="s">
        <v>803</v>
      </c>
      <c r="U53" s="94" t="s">
        <v>804</v>
      </c>
      <c r="V53" s="145"/>
      <c r="W53" s="107">
        <f>COUNTIF(F53:V53,"P")</f>
        <v>10</v>
      </c>
      <c r="X53" s="107">
        <f>COUNTIF(F53:V53,"A")</f>
        <v>2</v>
      </c>
    </row>
    <row r="54" spans="1:24" ht="16.5" x14ac:dyDescent="0.25">
      <c r="A54" s="20">
        <v>24</v>
      </c>
      <c r="B54" s="11"/>
      <c r="C54" s="7" t="s">
        <v>812</v>
      </c>
      <c r="D54" s="7"/>
      <c r="E54" s="106" t="s">
        <v>430</v>
      </c>
      <c r="F54" s="94" t="s">
        <v>804</v>
      </c>
      <c r="G54" s="94" t="s">
        <v>804</v>
      </c>
      <c r="H54" s="145"/>
      <c r="I54" s="94" t="s">
        <v>804</v>
      </c>
      <c r="J54" s="94" t="s">
        <v>804</v>
      </c>
      <c r="K54" s="94" t="s">
        <v>804</v>
      </c>
      <c r="L54" s="94" t="s">
        <v>804</v>
      </c>
      <c r="M54" s="94" t="s">
        <v>804</v>
      </c>
      <c r="N54" s="165"/>
      <c r="O54" s="145"/>
      <c r="P54" s="94" t="s">
        <v>804</v>
      </c>
      <c r="Q54" s="94" t="s">
        <v>804</v>
      </c>
      <c r="R54" s="94" t="s">
        <v>804</v>
      </c>
      <c r="S54" s="165"/>
      <c r="T54" s="94" t="s">
        <v>804</v>
      </c>
      <c r="U54" s="94" t="s">
        <v>804</v>
      </c>
      <c r="V54" s="145"/>
      <c r="W54" s="5">
        <f>COUNTIF(F54:V54,"P")</f>
        <v>12</v>
      </c>
      <c r="X54" s="5">
        <f>COUNTIF(F54:V54,"A")</f>
        <v>0</v>
      </c>
    </row>
    <row r="55" spans="1:24" ht="16.5" x14ac:dyDescent="0.25">
      <c r="A55" s="20">
        <v>25</v>
      </c>
      <c r="B55" s="11">
        <v>694</v>
      </c>
      <c r="C55" s="7" t="s">
        <v>813</v>
      </c>
      <c r="D55" s="7" t="s">
        <v>426</v>
      </c>
      <c r="E55" s="106" t="s">
        <v>430</v>
      </c>
      <c r="F55" s="94" t="s">
        <v>804</v>
      </c>
      <c r="G55" s="94" t="s">
        <v>804</v>
      </c>
      <c r="H55" s="145"/>
      <c r="I55" s="94" t="s">
        <v>804</v>
      </c>
      <c r="J55" s="94" t="s">
        <v>804</v>
      </c>
      <c r="K55" s="94" t="s">
        <v>804</v>
      </c>
      <c r="L55" s="94" t="s">
        <v>804</v>
      </c>
      <c r="M55" s="94" t="s">
        <v>804</v>
      </c>
      <c r="N55" s="165"/>
      <c r="O55" s="145"/>
      <c r="P55" s="94" t="s">
        <v>804</v>
      </c>
      <c r="Q55" s="94" t="s">
        <v>804</v>
      </c>
      <c r="R55" s="94" t="s">
        <v>804</v>
      </c>
      <c r="S55" s="165"/>
      <c r="T55" s="94" t="s">
        <v>804</v>
      </c>
      <c r="U55" s="94" t="s">
        <v>804</v>
      </c>
      <c r="V55" s="145"/>
      <c r="W55" s="5">
        <f>COUNTIF(F55:V55,"P")</f>
        <v>12</v>
      </c>
      <c r="X55" s="5">
        <f>COUNTIF(F55:V55,"A")</f>
        <v>0</v>
      </c>
    </row>
    <row r="56" spans="1:24" ht="16.5" x14ac:dyDescent="0.25">
      <c r="A56" s="20">
        <v>26</v>
      </c>
      <c r="B56" s="11">
        <v>612</v>
      </c>
      <c r="C56" s="7" t="s">
        <v>814</v>
      </c>
      <c r="D56" s="7" t="s">
        <v>817</v>
      </c>
      <c r="E56" s="106" t="s">
        <v>430</v>
      </c>
      <c r="F56" s="94" t="s">
        <v>804</v>
      </c>
      <c r="G56" s="94" t="s">
        <v>804</v>
      </c>
      <c r="H56" s="146"/>
      <c r="I56" s="94" t="s">
        <v>803</v>
      </c>
      <c r="J56" s="94" t="s">
        <v>804</v>
      </c>
      <c r="K56" s="94" t="s">
        <v>804</v>
      </c>
      <c r="L56" s="94" t="s">
        <v>804</v>
      </c>
      <c r="M56" s="94" t="s">
        <v>804</v>
      </c>
      <c r="N56" s="166"/>
      <c r="O56" s="146"/>
      <c r="P56" s="94" t="s">
        <v>804</v>
      </c>
      <c r="Q56" s="94" t="s">
        <v>804</v>
      </c>
      <c r="R56" s="94" t="s">
        <v>804</v>
      </c>
      <c r="S56" s="166"/>
      <c r="T56" s="94" t="s">
        <v>803</v>
      </c>
      <c r="U56" s="94" t="s">
        <v>804</v>
      </c>
      <c r="V56" s="146"/>
      <c r="W56" s="5">
        <f>COUNTIF(F56:V56,"P")</f>
        <v>10</v>
      </c>
      <c r="X56" s="5">
        <f>COUNTIF(F56:V56,"A")</f>
        <v>2</v>
      </c>
    </row>
    <row r="57" spans="1:24" x14ac:dyDescent="0.25">
      <c r="E57" s="19"/>
    </row>
  </sheetData>
  <mergeCells count="17">
    <mergeCell ref="N5:N56"/>
    <mergeCell ref="S5:S56"/>
    <mergeCell ref="A1:V1"/>
    <mergeCell ref="A2:V2"/>
    <mergeCell ref="E3:E4"/>
    <mergeCell ref="A3:A4"/>
    <mergeCell ref="B3:B4"/>
    <mergeCell ref="C3:C4"/>
    <mergeCell ref="D3:D4"/>
    <mergeCell ref="H5:H56"/>
    <mergeCell ref="O5:O56"/>
    <mergeCell ref="V5:V56"/>
    <mergeCell ref="Y10:AB10"/>
    <mergeCell ref="Y18:AB18"/>
    <mergeCell ref="W3:W4"/>
    <mergeCell ref="X3:X4"/>
    <mergeCell ref="Y3:Z3"/>
  </mergeCells>
  <conditionalFormatting sqref="B5:B30">
    <cfRule type="duplicateValues" dxfId="383" priority="451"/>
  </conditionalFormatting>
  <conditionalFormatting sqref="B31:B56">
    <cfRule type="duplicateValues" dxfId="382" priority="68"/>
  </conditionalFormatting>
  <conditionalFormatting sqref="G5:H5 G6:G56 F5:F56 O5 P5:P56 I5:M56">
    <cfRule type="expression" dxfId="381" priority="63">
      <formula>F$4=TODAY()</formula>
    </cfRule>
    <cfRule type="cellIs" dxfId="380" priority="64" operator="equal">
      <formula>"L"</formula>
    </cfRule>
    <cfRule type="cellIs" dxfId="379" priority="65" operator="equal">
      <formula>"A"</formula>
    </cfRule>
    <cfRule type="cellIs" dxfId="378" priority="66" operator="equal">
      <formula>"P"</formula>
    </cfRule>
    <cfRule type="expression" dxfId="377" priority="67">
      <formula>F$3="Sun"</formula>
    </cfRule>
  </conditionalFormatting>
  <conditionalFormatting sqref="F4:V4">
    <cfRule type="expression" dxfId="376" priority="73">
      <formula>F$4=TODAY()</formula>
    </cfRule>
  </conditionalFormatting>
  <conditionalFormatting sqref="F4:V4">
    <cfRule type="cellIs" dxfId="375" priority="70" operator="equal">
      <formula>"L"</formula>
    </cfRule>
    <cfRule type="cellIs" dxfId="374" priority="71" operator="equal">
      <formula>"P"</formula>
    </cfRule>
    <cfRule type="cellIs" dxfId="373" priority="72" operator="equal">
      <formula>"A"</formula>
    </cfRule>
    <cfRule type="expression" dxfId="372" priority="74">
      <formula>F$3="SUN"</formula>
    </cfRule>
  </conditionalFormatting>
  <conditionalFormatting sqref="Y5:Y8">
    <cfRule type="expression" dxfId="371" priority="89">
      <formula>Y$3="Sun"</formula>
    </cfRule>
  </conditionalFormatting>
  <conditionalFormatting sqref="W3:X3 W5:X56">
    <cfRule type="expression" dxfId="370" priority="90">
      <formula>#REF!="Sun"</formula>
    </cfRule>
  </conditionalFormatting>
  <conditionalFormatting sqref="Y11:Y14">
    <cfRule type="expression" dxfId="369" priority="77">
      <formula>Y$3="Sun"</formula>
    </cfRule>
  </conditionalFormatting>
  <conditionalFormatting sqref="Y19:Y22">
    <cfRule type="expression" dxfId="368" priority="76">
      <formula>Y$3="Sun"</formula>
    </cfRule>
  </conditionalFormatting>
  <conditionalFormatting sqref="Y4:Z4">
    <cfRule type="expression" dxfId="367" priority="80">
      <formula>Y$3="Sun"</formula>
    </cfRule>
  </conditionalFormatting>
  <conditionalFormatting sqref="Z11:AB11 Z19:AB19">
    <cfRule type="expression" dxfId="366" priority="81">
      <formula>Z$3="Sun"</formula>
    </cfRule>
  </conditionalFormatting>
  <conditionalFormatting sqref="AB20">
    <cfRule type="expression" dxfId="365" priority="78">
      <formula>AB$3="Sun"</formula>
    </cfRule>
  </conditionalFormatting>
  <conditionalFormatting sqref="F3:V3">
    <cfRule type="expression" dxfId="364" priority="51">
      <formula>F$4=TODAY()</formula>
    </cfRule>
    <cfRule type="expression" dxfId="363" priority="52">
      <formula>F$3="SUN"</formula>
    </cfRule>
  </conditionalFormatting>
  <conditionalFormatting sqref="V5">
    <cfRule type="expression" dxfId="362" priority="46">
      <formula>V$4=TODAY()</formula>
    </cfRule>
    <cfRule type="cellIs" dxfId="361" priority="47" operator="equal">
      <formula>"L"</formula>
    </cfRule>
    <cfRule type="cellIs" dxfId="360" priority="48" operator="equal">
      <formula>"A"</formula>
    </cfRule>
    <cfRule type="cellIs" dxfId="359" priority="49" operator="equal">
      <formula>"P"</formula>
    </cfRule>
    <cfRule type="expression" dxfId="358" priority="50">
      <formula>V$3="Sun"</formula>
    </cfRule>
  </conditionalFormatting>
  <conditionalFormatting sqref="Q5:Q56">
    <cfRule type="expression" dxfId="357" priority="31">
      <formula>Q$4=TODAY()</formula>
    </cfRule>
    <cfRule type="cellIs" dxfId="356" priority="32" operator="equal">
      <formula>"L"</formula>
    </cfRule>
    <cfRule type="cellIs" dxfId="355" priority="33" operator="equal">
      <formula>"A"</formula>
    </cfRule>
    <cfRule type="cellIs" dxfId="354" priority="34" operator="equal">
      <formula>"P"</formula>
    </cfRule>
    <cfRule type="expression" dxfId="353" priority="35">
      <formula>Q$3="Sun"</formula>
    </cfRule>
  </conditionalFormatting>
  <conditionalFormatting sqref="R5:R56">
    <cfRule type="expression" dxfId="352" priority="26">
      <formula>R$4=TODAY()</formula>
    </cfRule>
    <cfRule type="cellIs" dxfId="351" priority="27" operator="equal">
      <formula>"L"</formula>
    </cfRule>
    <cfRule type="cellIs" dxfId="350" priority="28" operator="equal">
      <formula>"A"</formula>
    </cfRule>
    <cfRule type="cellIs" dxfId="349" priority="29" operator="equal">
      <formula>"P"</formula>
    </cfRule>
    <cfRule type="expression" dxfId="348" priority="30">
      <formula>R$3="Sun"</formula>
    </cfRule>
  </conditionalFormatting>
  <conditionalFormatting sqref="T5:T56">
    <cfRule type="expression" dxfId="347" priority="16">
      <formula>T$4=TODAY()</formula>
    </cfRule>
    <cfRule type="cellIs" dxfId="346" priority="17" operator="equal">
      <formula>"L"</formula>
    </cfRule>
    <cfRule type="cellIs" dxfId="345" priority="18" operator="equal">
      <formula>"A"</formula>
    </cfRule>
    <cfRule type="cellIs" dxfId="344" priority="19" operator="equal">
      <formula>"P"</formula>
    </cfRule>
    <cfRule type="expression" dxfId="343" priority="20">
      <formula>T$3="Sun"</formula>
    </cfRule>
  </conditionalFormatting>
  <conditionalFormatting sqref="U5:U56">
    <cfRule type="expression" dxfId="342" priority="11">
      <formula>U$4=TODAY()</formula>
    </cfRule>
    <cfRule type="cellIs" dxfId="341" priority="12" operator="equal">
      <formula>"L"</formula>
    </cfRule>
    <cfRule type="cellIs" dxfId="340" priority="13" operator="equal">
      <formula>"A"</formula>
    </cfRule>
    <cfRule type="cellIs" dxfId="339" priority="14" operator="equal">
      <formula>"P"</formula>
    </cfRule>
    <cfRule type="expression" dxfId="338" priority="15">
      <formula>U$3="Sun"</formula>
    </cfRule>
  </conditionalFormatting>
  <conditionalFormatting sqref="N5">
    <cfRule type="expression" dxfId="337" priority="6">
      <formula>N$4=TODAY()</formula>
    </cfRule>
    <cfRule type="expression" dxfId="336" priority="7">
      <formula>N$3="SUN"</formula>
    </cfRule>
  </conditionalFormatting>
  <conditionalFormatting sqref="N5">
    <cfRule type="cellIs" dxfId="335" priority="8" operator="equal">
      <formula>"L"</formula>
    </cfRule>
    <cfRule type="cellIs" dxfId="334" priority="9" operator="equal">
      <formula>"A"</formula>
    </cfRule>
    <cfRule type="cellIs" dxfId="333" priority="10" operator="equal">
      <formula>"P"</formula>
    </cfRule>
  </conditionalFormatting>
  <conditionalFormatting sqref="S5">
    <cfRule type="expression" dxfId="332" priority="1">
      <formula>S$4=TODAY()</formula>
    </cfRule>
    <cfRule type="expression" dxfId="331" priority="2">
      <formula>S$3="SUN"</formula>
    </cfRule>
  </conditionalFormatting>
  <conditionalFormatting sqref="S5">
    <cfRule type="cellIs" dxfId="330" priority="3" operator="equal">
      <formula>"L"</formula>
    </cfRule>
    <cfRule type="cellIs" dxfId="329" priority="4" operator="equal">
      <formula>"A"</formula>
    </cfRule>
    <cfRule type="cellIs" dxfId="328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1"/>
  <sheetViews>
    <sheetView topLeftCell="A3" zoomScaleNormal="100" workbookViewId="0">
      <selection activeCell="S5" sqref="S5:S51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3">
      <c r="A2" s="143" t="s">
        <v>731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 spans="1:28" ht="15.75" x14ac:dyDescent="0.25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34" t="s">
        <v>119</v>
      </c>
      <c r="Z3" s="135"/>
      <c r="AA3" s="3"/>
      <c r="AB3" s="3"/>
    </row>
    <row r="4" spans="1:28" ht="36.75" x14ac:dyDescent="0.25">
      <c r="A4" s="154"/>
      <c r="B4" s="154"/>
      <c r="C4" s="154"/>
      <c r="D4" s="154"/>
      <c r="E4" s="154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30</v>
      </c>
      <c r="AA4" s="3"/>
      <c r="AB4" s="3"/>
    </row>
    <row r="5" spans="1:28" ht="15" customHeight="1" x14ac:dyDescent="0.25">
      <c r="A5" s="20">
        <v>1</v>
      </c>
      <c r="B5" s="20">
        <v>527</v>
      </c>
      <c r="C5" s="22" t="s">
        <v>428</v>
      </c>
      <c r="D5" s="23" t="s">
        <v>429</v>
      </c>
      <c r="E5" s="19" t="s">
        <v>497</v>
      </c>
      <c r="F5" s="8" t="s">
        <v>803</v>
      </c>
      <c r="G5" s="8" t="s">
        <v>804</v>
      </c>
      <c r="H5" s="156" t="s">
        <v>743</v>
      </c>
      <c r="I5" s="8" t="s">
        <v>804</v>
      </c>
      <c r="J5" s="8" t="s">
        <v>804</v>
      </c>
      <c r="K5" s="8" t="s">
        <v>804</v>
      </c>
      <c r="L5" s="8" t="s">
        <v>804</v>
      </c>
      <c r="M5" s="8" t="s">
        <v>804</v>
      </c>
      <c r="N5" s="164" t="s">
        <v>879</v>
      </c>
      <c r="O5" s="156" t="s">
        <v>743</v>
      </c>
      <c r="P5" s="8" t="s">
        <v>804</v>
      </c>
      <c r="Q5" s="8" t="s">
        <v>804</v>
      </c>
      <c r="R5" s="8" t="s">
        <v>804</v>
      </c>
      <c r="S5" s="164" t="s">
        <v>880</v>
      </c>
      <c r="T5" s="8" t="s">
        <v>804</v>
      </c>
      <c r="U5" s="8" t="s">
        <v>804</v>
      </c>
      <c r="V5" s="156" t="s">
        <v>743</v>
      </c>
      <c r="W5" s="5">
        <f>COUNTIF(F5:V5,"P")</f>
        <v>11</v>
      </c>
      <c r="X5" s="5">
        <f>COUNTIF(F5:V5,"A")</f>
        <v>1</v>
      </c>
      <c r="Y5" s="5" t="s">
        <v>7</v>
      </c>
      <c r="Z5" s="9">
        <v>26</v>
      </c>
      <c r="AA5" s="10"/>
      <c r="AB5" s="3"/>
    </row>
    <row r="6" spans="1:28" x14ac:dyDescent="0.25">
      <c r="A6" s="20">
        <v>2</v>
      </c>
      <c r="B6" s="20">
        <v>549</v>
      </c>
      <c r="C6" s="22" t="s">
        <v>432</v>
      </c>
      <c r="D6" s="23" t="s">
        <v>433</v>
      </c>
      <c r="E6" s="19" t="s">
        <v>497</v>
      </c>
      <c r="F6" s="8" t="s">
        <v>804</v>
      </c>
      <c r="G6" s="8" t="s">
        <v>804</v>
      </c>
      <c r="H6" s="157"/>
      <c r="I6" s="8" t="s">
        <v>804</v>
      </c>
      <c r="J6" s="8" t="s">
        <v>804</v>
      </c>
      <c r="K6" s="8" t="s">
        <v>804</v>
      </c>
      <c r="L6" s="8" t="s">
        <v>803</v>
      </c>
      <c r="M6" s="8" t="s">
        <v>804</v>
      </c>
      <c r="N6" s="165"/>
      <c r="O6" s="157"/>
      <c r="P6" s="8" t="s">
        <v>803</v>
      </c>
      <c r="Q6" s="8" t="s">
        <v>804</v>
      </c>
      <c r="R6" s="8" t="s">
        <v>804</v>
      </c>
      <c r="S6" s="165"/>
      <c r="T6" s="8" t="s">
        <v>804</v>
      </c>
      <c r="U6" s="8" t="s">
        <v>804</v>
      </c>
      <c r="V6" s="157"/>
      <c r="W6" s="5">
        <f>COUNTIF(F6:V6,"P")</f>
        <v>10</v>
      </c>
      <c r="X6" s="5">
        <f>COUNTIF(F6:V6,"A")</f>
        <v>2</v>
      </c>
      <c r="Y6" s="5" t="s">
        <v>8</v>
      </c>
      <c r="Z6" s="9">
        <v>4</v>
      </c>
      <c r="AA6" s="3"/>
      <c r="AB6" s="3"/>
    </row>
    <row r="7" spans="1:28" x14ac:dyDescent="0.25">
      <c r="A7" s="20">
        <v>3</v>
      </c>
      <c r="B7" s="20">
        <v>865</v>
      </c>
      <c r="C7" s="22" t="s">
        <v>449</v>
      </c>
      <c r="D7" s="23" t="s">
        <v>450</v>
      </c>
      <c r="E7" s="19" t="s">
        <v>497</v>
      </c>
      <c r="F7" s="8" t="s">
        <v>804</v>
      </c>
      <c r="G7" s="8" t="s">
        <v>804</v>
      </c>
      <c r="H7" s="157"/>
      <c r="I7" s="8" t="s">
        <v>804</v>
      </c>
      <c r="J7" s="8" t="s">
        <v>804</v>
      </c>
      <c r="K7" s="8" t="s">
        <v>804</v>
      </c>
      <c r="L7" s="8" t="s">
        <v>804</v>
      </c>
      <c r="M7" s="8" t="s">
        <v>804</v>
      </c>
      <c r="N7" s="165"/>
      <c r="O7" s="157"/>
      <c r="P7" s="8" t="s">
        <v>804</v>
      </c>
      <c r="Q7" s="8" t="s">
        <v>804</v>
      </c>
      <c r="R7" s="8" t="s">
        <v>803</v>
      </c>
      <c r="S7" s="165"/>
      <c r="T7" s="8" t="s">
        <v>804</v>
      </c>
      <c r="U7" s="8" t="s">
        <v>803</v>
      </c>
      <c r="V7" s="157"/>
      <c r="W7" s="5">
        <f>COUNTIF(F7:V7,"P")</f>
        <v>10</v>
      </c>
      <c r="X7" s="5">
        <f>COUNTIF(F7:V7,"A")</f>
        <v>2</v>
      </c>
      <c r="Y7" s="5"/>
      <c r="Z7" s="9"/>
      <c r="AA7" s="3"/>
      <c r="AB7" s="3"/>
    </row>
    <row r="8" spans="1:28" x14ac:dyDescent="0.25">
      <c r="A8" s="20">
        <v>4</v>
      </c>
      <c r="B8" s="20">
        <v>593</v>
      </c>
      <c r="C8" s="22" t="s">
        <v>434</v>
      </c>
      <c r="D8" s="23" t="s">
        <v>435</v>
      </c>
      <c r="E8" s="19" t="s">
        <v>497</v>
      </c>
      <c r="F8" s="8" t="s">
        <v>804</v>
      </c>
      <c r="G8" s="8" t="s">
        <v>803</v>
      </c>
      <c r="H8" s="157"/>
      <c r="I8" s="8" t="s">
        <v>804</v>
      </c>
      <c r="J8" s="8" t="s">
        <v>804</v>
      </c>
      <c r="K8" s="8" t="s">
        <v>804</v>
      </c>
      <c r="L8" s="8" t="s">
        <v>803</v>
      </c>
      <c r="M8" s="8" t="s">
        <v>804</v>
      </c>
      <c r="N8" s="165"/>
      <c r="O8" s="157"/>
      <c r="P8" s="8" t="s">
        <v>804</v>
      </c>
      <c r="Q8" s="8" t="s">
        <v>804</v>
      </c>
      <c r="R8" s="8" t="s">
        <v>804</v>
      </c>
      <c r="S8" s="165"/>
      <c r="T8" s="8" t="s">
        <v>804</v>
      </c>
      <c r="U8" s="8" t="s">
        <v>804</v>
      </c>
      <c r="V8" s="157"/>
      <c r="W8" s="5">
        <f>COUNTIF(F8:V8,"P")</f>
        <v>10</v>
      </c>
      <c r="X8" s="5">
        <f>COUNTIF(F8:V8,"A")</f>
        <v>2</v>
      </c>
      <c r="Y8" s="5"/>
      <c r="Z8" s="9"/>
      <c r="AA8"/>
      <c r="AB8"/>
    </row>
    <row r="9" spans="1:28" x14ac:dyDescent="0.25">
      <c r="A9" s="20">
        <v>5</v>
      </c>
      <c r="B9" s="20">
        <v>548</v>
      </c>
      <c r="C9" s="22" t="s">
        <v>436</v>
      </c>
      <c r="D9" s="23" t="s">
        <v>437</v>
      </c>
      <c r="E9" s="19" t="s">
        <v>497</v>
      </c>
      <c r="F9" s="8" t="s">
        <v>804</v>
      </c>
      <c r="G9" s="8" t="s">
        <v>804</v>
      </c>
      <c r="H9" s="157"/>
      <c r="I9" s="8" t="s">
        <v>804</v>
      </c>
      <c r="J9" s="8" t="s">
        <v>804</v>
      </c>
      <c r="K9" s="8" t="s">
        <v>804</v>
      </c>
      <c r="L9" s="8" t="s">
        <v>803</v>
      </c>
      <c r="M9" s="8" t="s">
        <v>804</v>
      </c>
      <c r="N9" s="165"/>
      <c r="O9" s="157"/>
      <c r="P9" s="8" t="s">
        <v>804</v>
      </c>
      <c r="Q9" s="8" t="s">
        <v>803</v>
      </c>
      <c r="R9" s="8" t="s">
        <v>804</v>
      </c>
      <c r="S9" s="165"/>
      <c r="T9" s="8" t="s">
        <v>804</v>
      </c>
      <c r="U9" s="8" t="s">
        <v>804</v>
      </c>
      <c r="V9" s="157"/>
      <c r="W9" s="5">
        <f>COUNTIF(F9:V9,"P")</f>
        <v>10</v>
      </c>
      <c r="X9" s="5">
        <f>COUNTIF(F9:V9,"A")</f>
        <v>2</v>
      </c>
      <c r="Y9" s="5"/>
      <c r="Z9" s="9"/>
    </row>
    <row r="10" spans="1:28" x14ac:dyDescent="0.25">
      <c r="A10" s="20">
        <v>6</v>
      </c>
      <c r="B10" s="20">
        <v>447</v>
      </c>
      <c r="C10" s="22" t="s">
        <v>438</v>
      </c>
      <c r="D10" s="23" t="s">
        <v>439</v>
      </c>
      <c r="E10" s="19" t="s">
        <v>497</v>
      </c>
      <c r="F10" s="8" t="s">
        <v>804</v>
      </c>
      <c r="G10" s="8" t="s">
        <v>804</v>
      </c>
      <c r="H10" s="157"/>
      <c r="I10" s="8" t="s">
        <v>804</v>
      </c>
      <c r="J10" s="8" t="s">
        <v>804</v>
      </c>
      <c r="K10" s="8" t="s">
        <v>804</v>
      </c>
      <c r="L10" s="8" t="s">
        <v>804</v>
      </c>
      <c r="M10" s="8" t="s">
        <v>804</v>
      </c>
      <c r="N10" s="165"/>
      <c r="O10" s="157"/>
      <c r="P10" s="8" t="s">
        <v>804</v>
      </c>
      <c r="Q10" s="8" t="s">
        <v>804</v>
      </c>
      <c r="R10" s="8" t="s">
        <v>804</v>
      </c>
      <c r="S10" s="165"/>
      <c r="T10" s="8" t="s">
        <v>804</v>
      </c>
      <c r="U10" s="8" t="s">
        <v>804</v>
      </c>
      <c r="V10" s="157"/>
      <c r="W10" s="5">
        <f>COUNTIF(F10:V10,"P")</f>
        <v>12</v>
      </c>
      <c r="X10" s="5">
        <f>COUNTIF(F10:V10,"A")</f>
        <v>0</v>
      </c>
    </row>
    <row r="11" spans="1:28" ht="15.75" x14ac:dyDescent="0.25">
      <c r="A11" s="20">
        <v>7</v>
      </c>
      <c r="B11" s="20">
        <v>501</v>
      </c>
      <c r="C11" s="22" t="s">
        <v>292</v>
      </c>
      <c r="D11" s="23" t="s">
        <v>232</v>
      </c>
      <c r="E11" s="19" t="s">
        <v>497</v>
      </c>
      <c r="F11" s="8" t="s">
        <v>804</v>
      </c>
      <c r="G11" s="8" t="s">
        <v>804</v>
      </c>
      <c r="H11" s="157"/>
      <c r="I11" s="8" t="s">
        <v>804</v>
      </c>
      <c r="J11" s="8" t="s">
        <v>803</v>
      </c>
      <c r="K11" s="8" t="s">
        <v>804</v>
      </c>
      <c r="L11" s="8" t="s">
        <v>804</v>
      </c>
      <c r="M11" s="8" t="s">
        <v>804</v>
      </c>
      <c r="N11" s="165"/>
      <c r="O11" s="157"/>
      <c r="P11" s="8" t="s">
        <v>804</v>
      </c>
      <c r="Q11" s="8" t="s">
        <v>803</v>
      </c>
      <c r="R11" s="8" t="s">
        <v>804</v>
      </c>
      <c r="S11" s="165"/>
      <c r="T11" s="8" t="s">
        <v>804</v>
      </c>
      <c r="U11" s="8" t="s">
        <v>804</v>
      </c>
      <c r="V11" s="157"/>
      <c r="W11" s="5">
        <f>COUNTIF(F11:V11,"P")</f>
        <v>10</v>
      </c>
      <c r="X11" s="5">
        <f>COUNTIF(F11:V11,"A")</f>
        <v>2</v>
      </c>
      <c r="Y11" s="134" t="s">
        <v>9</v>
      </c>
      <c r="Z11" s="135"/>
      <c r="AA11" s="135"/>
      <c r="AB11" s="136"/>
    </row>
    <row r="12" spans="1:28" x14ac:dyDescent="0.25">
      <c r="A12" s="20">
        <v>8</v>
      </c>
      <c r="B12" s="20">
        <v>497</v>
      </c>
      <c r="C12" s="22" t="s">
        <v>740</v>
      </c>
      <c r="D12" s="23" t="s">
        <v>736</v>
      </c>
      <c r="E12" s="19" t="s">
        <v>497</v>
      </c>
      <c r="F12" s="8" t="s">
        <v>804</v>
      </c>
      <c r="G12" s="8" t="s">
        <v>804</v>
      </c>
      <c r="H12" s="157"/>
      <c r="I12" s="8" t="s">
        <v>804</v>
      </c>
      <c r="J12" s="8" t="s">
        <v>804</v>
      </c>
      <c r="K12" s="8" t="s">
        <v>804</v>
      </c>
      <c r="L12" s="8" t="s">
        <v>804</v>
      </c>
      <c r="M12" s="8" t="s">
        <v>804</v>
      </c>
      <c r="N12" s="165"/>
      <c r="O12" s="157"/>
      <c r="P12" s="8" t="s">
        <v>804</v>
      </c>
      <c r="Q12" s="8" t="s">
        <v>804</v>
      </c>
      <c r="R12" s="8" t="s">
        <v>804</v>
      </c>
      <c r="S12" s="165"/>
      <c r="T12" s="8" t="s">
        <v>804</v>
      </c>
      <c r="U12" s="8" t="s">
        <v>804</v>
      </c>
      <c r="V12" s="157"/>
      <c r="W12" s="5">
        <f>COUNTIF(F12:V12,"P")</f>
        <v>12</v>
      </c>
      <c r="X12" s="5">
        <f>COUNTIF(F12:V12,"A")</f>
        <v>0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x14ac:dyDescent="0.25">
      <c r="A13" s="20">
        <v>9</v>
      </c>
      <c r="B13" s="20">
        <v>550</v>
      </c>
      <c r="C13" s="22" t="s">
        <v>441</v>
      </c>
      <c r="D13" s="23" t="s">
        <v>442</v>
      </c>
      <c r="E13" s="19" t="s">
        <v>497</v>
      </c>
      <c r="F13" s="8" t="s">
        <v>804</v>
      </c>
      <c r="G13" s="8" t="s">
        <v>803</v>
      </c>
      <c r="H13" s="157"/>
      <c r="I13" s="8" t="s">
        <v>804</v>
      </c>
      <c r="J13" s="8" t="s">
        <v>804</v>
      </c>
      <c r="K13" s="8" t="s">
        <v>803</v>
      </c>
      <c r="L13" s="8" t="s">
        <v>804</v>
      </c>
      <c r="M13" s="8" t="s">
        <v>804</v>
      </c>
      <c r="N13" s="165"/>
      <c r="O13" s="157"/>
      <c r="P13" s="8" t="s">
        <v>804</v>
      </c>
      <c r="Q13" s="8" t="s">
        <v>804</v>
      </c>
      <c r="R13" s="8" t="s">
        <v>804</v>
      </c>
      <c r="S13" s="165"/>
      <c r="T13" s="8" t="s">
        <v>804</v>
      </c>
      <c r="U13" s="8" t="s">
        <v>804</v>
      </c>
      <c r="V13" s="157"/>
      <c r="W13" s="5">
        <f>COUNTIF(F13:V13,"P")</f>
        <v>10</v>
      </c>
      <c r="X13" s="5">
        <f>COUNTIF(F13:V13,"A")</f>
        <v>2</v>
      </c>
      <c r="Y13" s="5" t="s">
        <v>14</v>
      </c>
      <c r="Z13" s="9">
        <f>21*$Z$5</f>
        <v>546</v>
      </c>
      <c r="AA13" s="9">
        <f>32*$Z$5</f>
        <v>832</v>
      </c>
      <c r="AB13" s="9">
        <f>SUM(Z13:AA13)</f>
        <v>1378</v>
      </c>
    </row>
    <row r="14" spans="1:28" x14ac:dyDescent="0.25">
      <c r="A14" s="20">
        <v>10</v>
      </c>
      <c r="B14" s="20">
        <v>595</v>
      </c>
      <c r="C14" s="22" t="s">
        <v>443</v>
      </c>
      <c r="D14" s="23" t="s">
        <v>444</v>
      </c>
      <c r="E14" s="19" t="s">
        <v>497</v>
      </c>
      <c r="F14" s="8" t="s">
        <v>804</v>
      </c>
      <c r="G14" s="8" t="s">
        <v>804</v>
      </c>
      <c r="H14" s="157"/>
      <c r="I14" s="8" t="s">
        <v>804</v>
      </c>
      <c r="J14" s="8" t="s">
        <v>804</v>
      </c>
      <c r="K14" s="8" t="s">
        <v>804</v>
      </c>
      <c r="L14" s="8" t="s">
        <v>804</v>
      </c>
      <c r="M14" s="8" t="s">
        <v>804</v>
      </c>
      <c r="N14" s="165"/>
      <c r="O14" s="157"/>
      <c r="P14" s="8" t="s">
        <v>804</v>
      </c>
      <c r="Q14" s="8" t="s">
        <v>804</v>
      </c>
      <c r="R14" s="8" t="s">
        <v>803</v>
      </c>
      <c r="S14" s="165"/>
      <c r="T14" s="8" t="s">
        <v>804</v>
      </c>
      <c r="U14" s="8" t="s">
        <v>804</v>
      </c>
      <c r="V14" s="157"/>
      <c r="W14" s="5">
        <f>COUNTIF(F14:V14,"P")</f>
        <v>11</v>
      </c>
      <c r="X14" s="5">
        <f>COUNTIF(F14:V14,"A")</f>
        <v>1</v>
      </c>
      <c r="Y14" s="5" t="s">
        <v>15</v>
      </c>
      <c r="Z14" s="9">
        <f>SUM(W5:W28)</f>
        <v>248</v>
      </c>
      <c r="AA14" s="9">
        <f>SUM(W30:W51)</f>
        <v>230</v>
      </c>
      <c r="AB14" s="9">
        <f>Z14+AA14</f>
        <v>478</v>
      </c>
    </row>
    <row r="15" spans="1:28" x14ac:dyDescent="0.25">
      <c r="A15" s="20">
        <v>11</v>
      </c>
      <c r="B15" s="20">
        <v>917</v>
      </c>
      <c r="C15" s="22" t="s">
        <v>445</v>
      </c>
      <c r="D15" s="23" t="s">
        <v>820</v>
      </c>
      <c r="E15" s="19" t="s">
        <v>497</v>
      </c>
      <c r="F15" s="8" t="s">
        <v>804</v>
      </c>
      <c r="G15" s="8" t="s">
        <v>804</v>
      </c>
      <c r="H15" s="157"/>
      <c r="I15" s="8" t="s">
        <v>804</v>
      </c>
      <c r="J15" s="8" t="s">
        <v>804</v>
      </c>
      <c r="K15" s="8" t="s">
        <v>804</v>
      </c>
      <c r="L15" s="8" t="s">
        <v>803</v>
      </c>
      <c r="M15" s="8" t="s">
        <v>804</v>
      </c>
      <c r="N15" s="165"/>
      <c r="O15" s="157"/>
      <c r="P15" s="8" t="s">
        <v>804</v>
      </c>
      <c r="Q15" s="8" t="s">
        <v>804</v>
      </c>
      <c r="R15" s="8" t="s">
        <v>804</v>
      </c>
      <c r="S15" s="165"/>
      <c r="T15" s="8" t="s">
        <v>804</v>
      </c>
      <c r="U15" s="8" t="s">
        <v>804</v>
      </c>
      <c r="V15" s="157"/>
      <c r="W15" s="5">
        <f>COUNTIF(F15:V15,"P")</f>
        <v>11</v>
      </c>
      <c r="X15" s="5">
        <f>COUNTIF(F15:V15,"A")</f>
        <v>1</v>
      </c>
      <c r="Y15" s="5" t="s">
        <v>16</v>
      </c>
      <c r="Z15" s="12">
        <f>Z14/Z13</f>
        <v>0.45421245421245421</v>
      </c>
      <c r="AA15" s="12">
        <f>AA14/AA13</f>
        <v>0.27644230769230771</v>
      </c>
      <c r="AB15" s="12">
        <f>AB14/AB13</f>
        <v>0.34687953555878082</v>
      </c>
    </row>
    <row r="16" spans="1:28" x14ac:dyDescent="0.25">
      <c r="A16" s="20">
        <v>12</v>
      </c>
      <c r="B16" s="20">
        <v>883</v>
      </c>
      <c r="C16" s="22" t="s">
        <v>447</v>
      </c>
      <c r="D16" s="23" t="s">
        <v>448</v>
      </c>
      <c r="E16" s="19" t="s">
        <v>497</v>
      </c>
      <c r="F16" s="8" t="s">
        <v>804</v>
      </c>
      <c r="G16" s="8" t="s">
        <v>804</v>
      </c>
      <c r="H16" s="157"/>
      <c r="I16" s="8" t="s">
        <v>804</v>
      </c>
      <c r="J16" s="8" t="s">
        <v>804</v>
      </c>
      <c r="K16" s="8" t="s">
        <v>804</v>
      </c>
      <c r="L16" s="8" t="s">
        <v>804</v>
      </c>
      <c r="M16" s="8" t="s">
        <v>804</v>
      </c>
      <c r="N16" s="165"/>
      <c r="O16" s="157"/>
      <c r="P16" s="8" t="s">
        <v>804</v>
      </c>
      <c r="Q16" s="8" t="s">
        <v>804</v>
      </c>
      <c r="R16" s="8" t="s">
        <v>804</v>
      </c>
      <c r="S16" s="165"/>
      <c r="T16" s="8" t="s">
        <v>804</v>
      </c>
      <c r="U16" s="8" t="s">
        <v>804</v>
      </c>
      <c r="V16" s="157"/>
      <c r="W16" s="5">
        <f>COUNTIF(F16:V16,"P")</f>
        <v>12</v>
      </c>
      <c r="X16" s="5">
        <f>COUNTIF(F16:V16,"A")</f>
        <v>0</v>
      </c>
      <c r="Y16"/>
      <c r="Z16"/>
      <c r="AA16"/>
      <c r="AB16"/>
    </row>
    <row r="17" spans="1:28" x14ac:dyDescent="0.25">
      <c r="A17" s="20">
        <v>13</v>
      </c>
      <c r="B17" s="20">
        <v>779</v>
      </c>
      <c r="C17" s="22" t="s">
        <v>424</v>
      </c>
      <c r="D17" s="23" t="s">
        <v>451</v>
      </c>
      <c r="E17" s="19" t="s">
        <v>497</v>
      </c>
      <c r="F17" s="8" t="s">
        <v>803</v>
      </c>
      <c r="G17" s="8" t="s">
        <v>804</v>
      </c>
      <c r="H17" s="157"/>
      <c r="I17" s="8" t="s">
        <v>804</v>
      </c>
      <c r="J17" s="8" t="s">
        <v>804</v>
      </c>
      <c r="K17" s="8" t="s">
        <v>804</v>
      </c>
      <c r="L17" s="8" t="s">
        <v>804</v>
      </c>
      <c r="M17" s="8" t="s">
        <v>804</v>
      </c>
      <c r="N17" s="165"/>
      <c r="O17" s="157"/>
      <c r="P17" s="8" t="s">
        <v>804</v>
      </c>
      <c r="Q17" s="8" t="s">
        <v>804</v>
      </c>
      <c r="R17" s="8" t="s">
        <v>803</v>
      </c>
      <c r="S17" s="165"/>
      <c r="T17" s="8" t="s">
        <v>804</v>
      </c>
      <c r="U17" s="8" t="s">
        <v>804</v>
      </c>
      <c r="V17" s="157"/>
      <c r="W17" s="5">
        <f>COUNTIF(F17:V17,"P")</f>
        <v>10</v>
      </c>
      <c r="X17" s="5">
        <f>COUNTIF(F17:V17,"A")</f>
        <v>2</v>
      </c>
      <c r="Y17"/>
      <c r="Z17"/>
      <c r="AA17"/>
      <c r="AB17"/>
    </row>
    <row r="18" spans="1:28" x14ac:dyDescent="0.25">
      <c r="A18" s="20">
        <v>14</v>
      </c>
      <c r="B18" s="20">
        <v>848</v>
      </c>
      <c r="C18" s="22" t="s">
        <v>452</v>
      </c>
      <c r="D18" s="23" t="s">
        <v>139</v>
      </c>
      <c r="E18" s="19" t="s">
        <v>497</v>
      </c>
      <c r="F18" s="8" t="s">
        <v>804</v>
      </c>
      <c r="G18" s="8" t="s">
        <v>804</v>
      </c>
      <c r="H18" s="157"/>
      <c r="I18" s="8" t="s">
        <v>804</v>
      </c>
      <c r="J18" s="8" t="s">
        <v>803</v>
      </c>
      <c r="K18" s="8" t="s">
        <v>804</v>
      </c>
      <c r="L18" s="8" t="s">
        <v>804</v>
      </c>
      <c r="M18" s="8" t="s">
        <v>804</v>
      </c>
      <c r="N18" s="165"/>
      <c r="O18" s="157"/>
      <c r="P18" s="8" t="s">
        <v>804</v>
      </c>
      <c r="Q18" s="8" t="s">
        <v>804</v>
      </c>
      <c r="R18" s="8" t="s">
        <v>803</v>
      </c>
      <c r="S18" s="165"/>
      <c r="T18" s="8" t="s">
        <v>804</v>
      </c>
      <c r="U18" s="8" t="s">
        <v>804</v>
      </c>
      <c r="V18" s="157"/>
      <c r="W18" s="5">
        <f>COUNTIF(F18:V18,"P")</f>
        <v>10</v>
      </c>
      <c r="X18" s="5">
        <f>COUNTIF(F18:V18,"A")</f>
        <v>2</v>
      </c>
      <c r="Y18"/>
      <c r="Z18"/>
      <c r="AA18"/>
      <c r="AB18"/>
    </row>
    <row r="19" spans="1:28" ht="15.75" x14ac:dyDescent="0.25">
      <c r="A19" s="20">
        <v>15</v>
      </c>
      <c r="B19" s="20">
        <v>916</v>
      </c>
      <c r="C19" s="22" t="s">
        <v>453</v>
      </c>
      <c r="D19" s="23" t="s">
        <v>454</v>
      </c>
      <c r="E19" s="19" t="s">
        <v>497</v>
      </c>
      <c r="F19" s="8" t="s">
        <v>804</v>
      </c>
      <c r="G19" s="8" t="s">
        <v>804</v>
      </c>
      <c r="H19" s="157"/>
      <c r="I19" s="8" t="s">
        <v>804</v>
      </c>
      <c r="J19" s="8" t="s">
        <v>804</v>
      </c>
      <c r="K19" s="8" t="s">
        <v>804</v>
      </c>
      <c r="L19" s="8" t="s">
        <v>804</v>
      </c>
      <c r="M19" s="8" t="s">
        <v>804</v>
      </c>
      <c r="N19" s="165"/>
      <c r="O19" s="157"/>
      <c r="P19" s="8" t="s">
        <v>804</v>
      </c>
      <c r="Q19" s="8" t="s">
        <v>804</v>
      </c>
      <c r="R19" s="8" t="s">
        <v>804</v>
      </c>
      <c r="S19" s="165"/>
      <c r="T19" s="8" t="s">
        <v>803</v>
      </c>
      <c r="U19" s="8" t="s">
        <v>804</v>
      </c>
      <c r="V19" s="157"/>
      <c r="W19" s="5">
        <f>COUNTIF(F19:V19,"P")</f>
        <v>11</v>
      </c>
      <c r="X19" s="5">
        <f>COUNTIF(F19:V19,"A")</f>
        <v>1</v>
      </c>
      <c r="Y19" s="134" t="s">
        <v>121</v>
      </c>
      <c r="Z19" s="135"/>
      <c r="AA19" s="135"/>
      <c r="AB19" s="136"/>
    </row>
    <row r="20" spans="1:28" x14ac:dyDescent="0.25">
      <c r="A20" s="20">
        <v>16</v>
      </c>
      <c r="B20" s="20">
        <v>904</v>
      </c>
      <c r="C20" s="24" t="s">
        <v>455</v>
      </c>
      <c r="D20" s="24" t="s">
        <v>456</v>
      </c>
      <c r="E20" s="19" t="s">
        <v>497</v>
      </c>
      <c r="F20" s="8" t="s">
        <v>804</v>
      </c>
      <c r="G20" s="8" t="s">
        <v>804</v>
      </c>
      <c r="H20" s="157"/>
      <c r="I20" s="8" t="s">
        <v>804</v>
      </c>
      <c r="J20" s="8" t="s">
        <v>804</v>
      </c>
      <c r="K20" s="8" t="s">
        <v>803</v>
      </c>
      <c r="L20" s="8" t="s">
        <v>804</v>
      </c>
      <c r="M20" s="8" t="s">
        <v>804</v>
      </c>
      <c r="N20" s="165"/>
      <c r="O20" s="157"/>
      <c r="P20" s="8" t="s">
        <v>804</v>
      </c>
      <c r="Q20" s="8" t="s">
        <v>803</v>
      </c>
      <c r="R20" s="8" t="s">
        <v>804</v>
      </c>
      <c r="S20" s="165"/>
      <c r="T20" s="8" t="s">
        <v>804</v>
      </c>
      <c r="U20" s="8" t="s">
        <v>804</v>
      </c>
      <c r="V20" s="157"/>
      <c r="W20" s="5">
        <f>COUNTIF(F20:V20,"P")</f>
        <v>10</v>
      </c>
      <c r="X20" s="5">
        <f>COUNTIF(F20:V20,"A")</f>
        <v>2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x14ac:dyDescent="0.25">
      <c r="A21" s="20">
        <v>17</v>
      </c>
      <c r="B21" s="20">
        <v>757</v>
      </c>
      <c r="C21" s="24" t="s">
        <v>741</v>
      </c>
      <c r="D21" s="24" t="s">
        <v>498</v>
      </c>
      <c r="E21" s="19" t="s">
        <v>497</v>
      </c>
      <c r="F21" s="8" t="s">
        <v>804</v>
      </c>
      <c r="G21" s="8" t="s">
        <v>804</v>
      </c>
      <c r="H21" s="157"/>
      <c r="I21" s="8" t="s">
        <v>804</v>
      </c>
      <c r="J21" s="8" t="s">
        <v>804</v>
      </c>
      <c r="K21" s="8" t="s">
        <v>804</v>
      </c>
      <c r="L21" s="8" t="s">
        <v>804</v>
      </c>
      <c r="M21" s="8" t="s">
        <v>804</v>
      </c>
      <c r="N21" s="165"/>
      <c r="O21" s="157"/>
      <c r="P21" s="8" t="s">
        <v>803</v>
      </c>
      <c r="Q21" s="8" t="s">
        <v>804</v>
      </c>
      <c r="R21" s="8" t="s">
        <v>804</v>
      </c>
      <c r="S21" s="165"/>
      <c r="T21" s="8" t="s">
        <v>804</v>
      </c>
      <c r="U21" s="8" t="s">
        <v>804</v>
      </c>
      <c r="V21" s="157"/>
      <c r="W21" s="5">
        <f>COUNTIF(F21:V21,"P")</f>
        <v>11</v>
      </c>
      <c r="X21" s="5">
        <f>COUNTIF(F21:V21,"A")</f>
        <v>1</v>
      </c>
      <c r="Y21" s="5" t="s">
        <v>14</v>
      </c>
      <c r="Z21" s="9">
        <f>21*$Z$5</f>
        <v>546</v>
      </c>
      <c r="AA21" s="9">
        <f>32*$Z$5</f>
        <v>832</v>
      </c>
      <c r="AB21" s="9">
        <f>Z21+AA21</f>
        <v>1378</v>
      </c>
    </row>
    <row r="22" spans="1:28" x14ac:dyDescent="0.25">
      <c r="A22" s="20">
        <v>18</v>
      </c>
      <c r="B22" s="20">
        <v>508</v>
      </c>
      <c r="C22" s="24" t="s">
        <v>504</v>
      </c>
      <c r="D22" s="24" t="s">
        <v>464</v>
      </c>
      <c r="E22" s="19" t="s">
        <v>497</v>
      </c>
      <c r="F22" s="8" t="s">
        <v>804</v>
      </c>
      <c r="G22" s="8" t="s">
        <v>804</v>
      </c>
      <c r="H22" s="157"/>
      <c r="I22" s="8" t="s">
        <v>804</v>
      </c>
      <c r="J22" s="8" t="s">
        <v>804</v>
      </c>
      <c r="K22" s="8" t="s">
        <v>804</v>
      </c>
      <c r="L22" s="8" t="s">
        <v>804</v>
      </c>
      <c r="M22" s="8" t="s">
        <v>804</v>
      </c>
      <c r="N22" s="165"/>
      <c r="O22" s="157"/>
      <c r="P22" s="8" t="s">
        <v>804</v>
      </c>
      <c r="Q22" s="8" t="s">
        <v>804</v>
      </c>
      <c r="R22" s="8" t="s">
        <v>804</v>
      </c>
      <c r="S22" s="165"/>
      <c r="T22" s="8" t="s">
        <v>804</v>
      </c>
      <c r="U22" s="8" t="s">
        <v>804</v>
      </c>
      <c r="V22" s="157"/>
      <c r="W22" s="5">
        <f>COUNTIF(F22:V22,"P")</f>
        <v>12</v>
      </c>
      <c r="X22" s="5">
        <f>COUNTIF(F22:V22,"A")</f>
        <v>0</v>
      </c>
      <c r="Y22" s="5" t="s">
        <v>17</v>
      </c>
      <c r="Z22" s="9">
        <f>Z21-Z14</f>
        <v>298</v>
      </c>
      <c r="AA22" s="9">
        <f>AA21-AA14</f>
        <v>602</v>
      </c>
      <c r="AB22" s="9">
        <f>Z22+AA22</f>
        <v>900</v>
      </c>
    </row>
    <row r="23" spans="1:28" x14ac:dyDescent="0.25">
      <c r="A23" s="20">
        <v>19</v>
      </c>
      <c r="B23" s="20"/>
      <c r="C23" s="24" t="s">
        <v>821</v>
      </c>
      <c r="D23" s="24" t="s">
        <v>133</v>
      </c>
      <c r="E23" s="19" t="s">
        <v>497</v>
      </c>
      <c r="F23" s="8" t="s">
        <v>803</v>
      </c>
      <c r="G23" s="8" t="s">
        <v>804</v>
      </c>
      <c r="H23" s="157"/>
      <c r="I23" s="8" t="s">
        <v>804</v>
      </c>
      <c r="J23" s="8" t="s">
        <v>804</v>
      </c>
      <c r="K23" s="8" t="s">
        <v>804</v>
      </c>
      <c r="L23" s="8" t="s">
        <v>804</v>
      </c>
      <c r="M23" s="8" t="s">
        <v>803</v>
      </c>
      <c r="N23" s="165"/>
      <c r="O23" s="157"/>
      <c r="P23" s="8" t="s">
        <v>803</v>
      </c>
      <c r="Q23" s="8" t="s">
        <v>804</v>
      </c>
      <c r="R23" s="8" t="s">
        <v>804</v>
      </c>
      <c r="S23" s="165"/>
      <c r="T23" s="8" t="s">
        <v>804</v>
      </c>
      <c r="U23" s="8" t="s">
        <v>804</v>
      </c>
      <c r="V23" s="157"/>
      <c r="W23" s="5">
        <f>COUNTIF(F23:V23,"P")</f>
        <v>9</v>
      </c>
      <c r="X23" s="5">
        <f>COUNTIF(F23:V23,"A")</f>
        <v>3</v>
      </c>
      <c r="Y23" s="5"/>
      <c r="Z23" s="9"/>
      <c r="AA23" s="9"/>
      <c r="AB23" s="9"/>
    </row>
    <row r="24" spans="1:28" x14ac:dyDescent="0.25">
      <c r="A24" s="20">
        <v>20</v>
      </c>
      <c r="B24" s="20"/>
      <c r="C24" s="24" t="s">
        <v>822</v>
      </c>
      <c r="D24" s="24" t="s">
        <v>824</v>
      </c>
      <c r="E24" s="19" t="s">
        <v>497</v>
      </c>
      <c r="F24" s="8" t="s">
        <v>804</v>
      </c>
      <c r="G24" s="8" t="s">
        <v>804</v>
      </c>
      <c r="H24" s="157"/>
      <c r="I24" s="8" t="s">
        <v>804</v>
      </c>
      <c r="J24" s="8" t="s">
        <v>804</v>
      </c>
      <c r="K24" s="8" t="s">
        <v>804</v>
      </c>
      <c r="L24" s="8" t="s">
        <v>804</v>
      </c>
      <c r="M24" s="8" t="s">
        <v>804</v>
      </c>
      <c r="N24" s="165"/>
      <c r="O24" s="157"/>
      <c r="P24" s="8" t="s">
        <v>804</v>
      </c>
      <c r="Q24" s="8" t="s">
        <v>804</v>
      </c>
      <c r="R24" s="8" t="s">
        <v>804</v>
      </c>
      <c r="S24" s="165"/>
      <c r="T24" s="8" t="s">
        <v>804</v>
      </c>
      <c r="U24" s="8" t="s">
        <v>804</v>
      </c>
      <c r="V24" s="157"/>
      <c r="W24" s="5">
        <f>COUNTIF(F24:V24,"P")</f>
        <v>12</v>
      </c>
      <c r="X24" s="5">
        <f>COUNTIF(F24:V24,"A")</f>
        <v>0</v>
      </c>
      <c r="Y24" s="5"/>
      <c r="Z24" s="9"/>
      <c r="AA24" s="9"/>
      <c r="AB24" s="9"/>
    </row>
    <row r="25" spans="1:28" x14ac:dyDescent="0.25">
      <c r="A25" s="20">
        <v>21</v>
      </c>
      <c r="B25" s="20"/>
      <c r="C25" s="24" t="s">
        <v>823</v>
      </c>
      <c r="D25" s="24" t="s">
        <v>824</v>
      </c>
      <c r="E25" s="19" t="s">
        <v>497</v>
      </c>
      <c r="F25" s="8" t="s">
        <v>804</v>
      </c>
      <c r="G25" s="8" t="s">
        <v>804</v>
      </c>
      <c r="H25" s="157"/>
      <c r="I25" s="8" t="s">
        <v>804</v>
      </c>
      <c r="J25" s="8" t="s">
        <v>803</v>
      </c>
      <c r="K25" s="8" t="s">
        <v>804</v>
      </c>
      <c r="L25" s="8" t="s">
        <v>804</v>
      </c>
      <c r="M25" s="8" t="s">
        <v>804</v>
      </c>
      <c r="N25" s="165"/>
      <c r="O25" s="157"/>
      <c r="P25" s="8" t="s">
        <v>804</v>
      </c>
      <c r="Q25" s="8" t="s">
        <v>804</v>
      </c>
      <c r="R25" s="8" t="s">
        <v>804</v>
      </c>
      <c r="S25" s="165"/>
      <c r="T25" s="8" t="s">
        <v>804</v>
      </c>
      <c r="U25" s="8" t="s">
        <v>804</v>
      </c>
      <c r="V25" s="157"/>
      <c r="W25" s="5">
        <f>COUNTIF(F25:V25,"P")</f>
        <v>11</v>
      </c>
      <c r="X25" s="5">
        <f>COUNTIF(F25:V25,"A")</f>
        <v>1</v>
      </c>
      <c r="Y25" s="5"/>
      <c r="Z25" s="9"/>
      <c r="AA25" s="9"/>
      <c r="AB25" s="9"/>
    </row>
    <row r="26" spans="1:28" ht="12.95" customHeight="1" x14ac:dyDescent="0.25">
      <c r="A26" s="20">
        <v>1</v>
      </c>
      <c r="B26" s="20">
        <v>358</v>
      </c>
      <c r="C26" s="24" t="s">
        <v>623</v>
      </c>
      <c r="D26" s="24" t="s">
        <v>737</v>
      </c>
      <c r="E26" s="19" t="s">
        <v>497</v>
      </c>
      <c r="F26" s="8" t="s">
        <v>804</v>
      </c>
      <c r="G26" s="8" t="s">
        <v>804</v>
      </c>
      <c r="H26" s="157"/>
      <c r="I26" s="8" t="s">
        <v>804</v>
      </c>
      <c r="J26" s="8" t="s">
        <v>804</v>
      </c>
      <c r="K26" s="8" t="s">
        <v>804</v>
      </c>
      <c r="L26" s="8" t="s">
        <v>804</v>
      </c>
      <c r="M26" s="8" t="s">
        <v>804</v>
      </c>
      <c r="N26" s="165"/>
      <c r="O26" s="157"/>
      <c r="P26" s="8" t="s">
        <v>804</v>
      </c>
      <c r="Q26" s="8" t="s">
        <v>803</v>
      </c>
      <c r="R26" s="8" t="s">
        <v>804</v>
      </c>
      <c r="S26" s="165"/>
      <c r="T26" s="8" t="s">
        <v>804</v>
      </c>
      <c r="U26" s="8" t="s">
        <v>804</v>
      </c>
      <c r="V26" s="157"/>
      <c r="W26" s="5">
        <f>COUNTIF(F26:V26,"P")</f>
        <v>11</v>
      </c>
      <c r="X26" s="5">
        <f>COUNTIF(F26:V26,"A")</f>
        <v>1</v>
      </c>
      <c r="Y26" s="5" t="s">
        <v>16</v>
      </c>
      <c r="Z26" s="12">
        <f>Z22/Z21</f>
        <v>0.54578754578754574</v>
      </c>
      <c r="AA26" s="12">
        <f>AA22/AA21</f>
        <v>0.72355769230769229</v>
      </c>
      <c r="AB26" s="12">
        <f>AB22/AB21</f>
        <v>0.65312046444121918</v>
      </c>
    </row>
    <row r="27" spans="1:28" x14ac:dyDescent="0.25">
      <c r="A27" s="20">
        <v>2</v>
      </c>
      <c r="B27" s="20">
        <v>543</v>
      </c>
      <c r="C27" s="24" t="s">
        <v>457</v>
      </c>
      <c r="D27" s="24" t="s">
        <v>458</v>
      </c>
      <c r="E27" s="19" t="s">
        <v>497</v>
      </c>
      <c r="F27" s="8" t="s">
        <v>804</v>
      </c>
      <c r="G27" s="8" t="s">
        <v>804</v>
      </c>
      <c r="H27" s="157"/>
      <c r="I27" s="8" t="s">
        <v>804</v>
      </c>
      <c r="J27" s="8" t="s">
        <v>804</v>
      </c>
      <c r="K27" s="8" t="s">
        <v>804</v>
      </c>
      <c r="L27" s="8" t="s">
        <v>804</v>
      </c>
      <c r="M27" s="8" t="s">
        <v>804</v>
      </c>
      <c r="N27" s="165"/>
      <c r="O27" s="157"/>
      <c r="P27" s="8" t="s">
        <v>804</v>
      </c>
      <c r="Q27" s="8" t="s">
        <v>804</v>
      </c>
      <c r="R27" s="8" t="s">
        <v>804</v>
      </c>
      <c r="S27" s="165"/>
      <c r="T27" s="8" t="s">
        <v>804</v>
      </c>
      <c r="U27" s="8" t="s">
        <v>804</v>
      </c>
      <c r="V27" s="157"/>
      <c r="W27" s="5">
        <f>COUNTIF(F27:V27,"P")</f>
        <v>12</v>
      </c>
      <c r="X27" s="5">
        <f>COUNTIF(F27:V27,"A")</f>
        <v>0</v>
      </c>
    </row>
    <row r="28" spans="1:28" x14ac:dyDescent="0.25">
      <c r="A28" s="20">
        <v>3</v>
      </c>
      <c r="B28" s="20">
        <v>594</v>
      </c>
      <c r="C28" s="24" t="s">
        <v>459</v>
      </c>
      <c r="D28" s="24" t="s">
        <v>460</v>
      </c>
      <c r="E28" s="19" t="s">
        <v>497</v>
      </c>
      <c r="F28" s="8" t="s">
        <v>804</v>
      </c>
      <c r="G28" s="8" t="s">
        <v>804</v>
      </c>
      <c r="H28" s="157"/>
      <c r="I28" s="8" t="s">
        <v>804</v>
      </c>
      <c r="J28" s="8" t="s">
        <v>804</v>
      </c>
      <c r="K28" s="8" t="s">
        <v>804</v>
      </c>
      <c r="L28" s="8" t="s">
        <v>804</v>
      </c>
      <c r="M28" s="8" t="s">
        <v>804</v>
      </c>
      <c r="N28" s="165"/>
      <c r="O28" s="157"/>
      <c r="P28" s="8" t="s">
        <v>804</v>
      </c>
      <c r="Q28" s="8" t="s">
        <v>804</v>
      </c>
      <c r="R28" s="8" t="s">
        <v>803</v>
      </c>
      <c r="S28" s="165"/>
      <c r="T28" s="8" t="s">
        <v>804</v>
      </c>
      <c r="U28" s="8" t="s">
        <v>804</v>
      </c>
      <c r="V28" s="157"/>
      <c r="W28" s="5" t="s">
        <v>715</v>
      </c>
      <c r="X28" s="5">
        <f>COUNTIF(F28:V28,"A")</f>
        <v>1</v>
      </c>
    </row>
    <row r="29" spans="1:28" x14ac:dyDescent="0.25">
      <c r="A29" s="20">
        <v>4</v>
      </c>
      <c r="B29" s="20">
        <v>432</v>
      </c>
      <c r="C29" s="24" t="s">
        <v>489</v>
      </c>
      <c r="D29" s="24" t="s">
        <v>490</v>
      </c>
      <c r="E29" s="19" t="s">
        <v>497</v>
      </c>
      <c r="F29" s="8" t="s">
        <v>804</v>
      </c>
      <c r="G29" s="8" t="s">
        <v>804</v>
      </c>
      <c r="H29" s="157"/>
      <c r="I29" s="8" t="s">
        <v>804</v>
      </c>
      <c r="J29" s="8" t="s">
        <v>804</v>
      </c>
      <c r="K29" s="8" t="s">
        <v>803</v>
      </c>
      <c r="L29" s="8" t="s">
        <v>804</v>
      </c>
      <c r="M29" s="8" t="s">
        <v>804</v>
      </c>
      <c r="N29" s="165"/>
      <c r="O29" s="157"/>
      <c r="P29" s="8" t="s">
        <v>804</v>
      </c>
      <c r="Q29" s="8" t="s">
        <v>804</v>
      </c>
      <c r="R29" s="8" t="s">
        <v>804</v>
      </c>
      <c r="S29" s="165"/>
      <c r="T29" s="8" t="s">
        <v>804</v>
      </c>
      <c r="U29" s="8" t="s">
        <v>803</v>
      </c>
      <c r="V29" s="157"/>
      <c r="W29" s="5">
        <f>COUNTIF(F29:V29,"P")</f>
        <v>10</v>
      </c>
      <c r="X29" s="5">
        <f>COUNTIF(F29:V29,"A")</f>
        <v>2</v>
      </c>
    </row>
    <row r="30" spans="1:28" x14ac:dyDescent="0.25">
      <c r="A30" s="20">
        <v>5</v>
      </c>
      <c r="B30" s="20">
        <v>590</v>
      </c>
      <c r="C30" s="24" t="s">
        <v>742</v>
      </c>
      <c r="D30" s="24" t="s">
        <v>738</v>
      </c>
      <c r="E30" s="19" t="s">
        <v>497</v>
      </c>
      <c r="F30" s="8" t="s">
        <v>804</v>
      </c>
      <c r="G30" s="8" t="s">
        <v>804</v>
      </c>
      <c r="H30" s="157"/>
      <c r="I30" s="8" t="s">
        <v>804</v>
      </c>
      <c r="J30" s="8" t="s">
        <v>804</v>
      </c>
      <c r="K30" s="8" t="s">
        <v>804</v>
      </c>
      <c r="L30" s="8" t="s">
        <v>804</v>
      </c>
      <c r="M30" s="8" t="s">
        <v>804</v>
      </c>
      <c r="N30" s="165"/>
      <c r="O30" s="157"/>
      <c r="P30" s="8" t="s">
        <v>804</v>
      </c>
      <c r="Q30" s="8" t="s">
        <v>804</v>
      </c>
      <c r="R30" s="8" t="s">
        <v>804</v>
      </c>
      <c r="S30" s="165"/>
      <c r="T30" s="8" t="s">
        <v>804</v>
      </c>
      <c r="U30" s="8" t="s">
        <v>804</v>
      </c>
      <c r="V30" s="157"/>
      <c r="W30" s="5">
        <f>COUNTIF(F30:V30,"P")</f>
        <v>12</v>
      </c>
      <c r="X30" s="5">
        <f>COUNTIF(F30:V30,"A")</f>
        <v>0</v>
      </c>
    </row>
    <row r="31" spans="1:28" x14ac:dyDescent="0.25">
      <c r="A31" s="20">
        <v>6</v>
      </c>
      <c r="B31" s="9">
        <v>554</v>
      </c>
      <c r="C31" s="24" t="s">
        <v>393</v>
      </c>
      <c r="D31" s="24" t="s">
        <v>461</v>
      </c>
      <c r="E31" s="19" t="s">
        <v>497</v>
      </c>
      <c r="F31" s="8" t="s">
        <v>804</v>
      </c>
      <c r="G31" s="8" t="s">
        <v>803</v>
      </c>
      <c r="H31" s="157"/>
      <c r="I31" s="8" t="s">
        <v>804</v>
      </c>
      <c r="J31" s="8" t="s">
        <v>804</v>
      </c>
      <c r="K31" s="8" t="s">
        <v>804</v>
      </c>
      <c r="L31" s="8" t="s">
        <v>804</v>
      </c>
      <c r="M31" s="8" t="s">
        <v>804</v>
      </c>
      <c r="N31" s="165"/>
      <c r="O31" s="157"/>
      <c r="P31" s="8" t="s">
        <v>804</v>
      </c>
      <c r="Q31" s="8" t="s">
        <v>803</v>
      </c>
      <c r="R31" s="8" t="s">
        <v>804</v>
      </c>
      <c r="S31" s="165"/>
      <c r="T31" s="8" t="s">
        <v>804</v>
      </c>
      <c r="U31" s="8" t="s">
        <v>804</v>
      </c>
      <c r="V31" s="157"/>
      <c r="W31" s="5">
        <f>COUNTIF(F31:V31,"P")</f>
        <v>10</v>
      </c>
      <c r="X31" s="5">
        <f>COUNTIF(F31:V31,"A")</f>
        <v>2</v>
      </c>
    </row>
    <row r="32" spans="1:28" x14ac:dyDescent="0.25">
      <c r="A32" s="20">
        <v>7</v>
      </c>
      <c r="B32" s="20">
        <v>496</v>
      </c>
      <c r="C32" s="24" t="s">
        <v>132</v>
      </c>
      <c r="D32" s="24" t="s">
        <v>431</v>
      </c>
      <c r="E32" s="19" t="s">
        <v>497</v>
      </c>
      <c r="F32" s="8" t="s">
        <v>804</v>
      </c>
      <c r="G32" s="8" t="s">
        <v>804</v>
      </c>
      <c r="H32" s="157"/>
      <c r="I32" s="8" t="s">
        <v>804</v>
      </c>
      <c r="J32" s="8" t="s">
        <v>804</v>
      </c>
      <c r="K32" s="8" t="s">
        <v>804</v>
      </c>
      <c r="L32" s="8" t="s">
        <v>803</v>
      </c>
      <c r="M32" s="8" t="s">
        <v>804</v>
      </c>
      <c r="N32" s="165"/>
      <c r="O32" s="157"/>
      <c r="P32" s="8" t="s">
        <v>804</v>
      </c>
      <c r="Q32" s="8" t="s">
        <v>804</v>
      </c>
      <c r="R32" s="8" t="s">
        <v>804</v>
      </c>
      <c r="S32" s="165"/>
      <c r="T32" s="8" t="s">
        <v>803</v>
      </c>
      <c r="U32" s="8" t="s">
        <v>804</v>
      </c>
      <c r="V32" s="157"/>
      <c r="W32" s="5">
        <f>COUNTIF(F32:V32,"P")</f>
        <v>10</v>
      </c>
      <c r="X32" s="5">
        <f>COUNTIF(F32:V32,"A")</f>
        <v>2</v>
      </c>
    </row>
    <row r="33" spans="1:24" x14ac:dyDescent="0.25">
      <c r="A33" s="20">
        <v>8</v>
      </c>
      <c r="B33" s="20">
        <v>599</v>
      </c>
      <c r="C33" s="22" t="s">
        <v>462</v>
      </c>
      <c r="D33" s="23" t="s">
        <v>463</v>
      </c>
      <c r="E33" s="19" t="s">
        <v>497</v>
      </c>
      <c r="F33" s="8" t="s">
        <v>804</v>
      </c>
      <c r="G33" s="8" t="s">
        <v>804</v>
      </c>
      <c r="H33" s="157"/>
      <c r="I33" s="8" t="s">
        <v>804</v>
      </c>
      <c r="J33" s="8" t="s">
        <v>804</v>
      </c>
      <c r="K33" s="8" t="s">
        <v>804</v>
      </c>
      <c r="L33" s="8" t="s">
        <v>804</v>
      </c>
      <c r="M33" s="8" t="s">
        <v>804</v>
      </c>
      <c r="N33" s="165"/>
      <c r="O33" s="157"/>
      <c r="P33" s="8" t="s">
        <v>803</v>
      </c>
      <c r="Q33" s="8" t="s">
        <v>804</v>
      </c>
      <c r="R33" s="8" t="s">
        <v>804</v>
      </c>
      <c r="S33" s="165"/>
      <c r="T33" s="8" t="s">
        <v>804</v>
      </c>
      <c r="U33" s="8" t="s">
        <v>804</v>
      </c>
      <c r="V33" s="157"/>
      <c r="W33" s="5">
        <f>COUNTIF(F33:V33,"P")</f>
        <v>11</v>
      </c>
      <c r="X33" s="5">
        <f>COUNTIF(F33:V33,"A")</f>
        <v>1</v>
      </c>
    </row>
    <row r="34" spans="1:24" x14ac:dyDescent="0.25">
      <c r="A34" s="20">
        <v>9</v>
      </c>
      <c r="B34" s="20">
        <v>471</v>
      </c>
      <c r="C34" s="22" t="s">
        <v>465</v>
      </c>
      <c r="D34" s="23" t="s">
        <v>466</v>
      </c>
      <c r="E34" s="19" t="s">
        <v>497</v>
      </c>
      <c r="F34" s="8" t="s">
        <v>804</v>
      </c>
      <c r="G34" s="8" t="s">
        <v>804</v>
      </c>
      <c r="H34" s="157"/>
      <c r="I34" s="8" t="s">
        <v>804</v>
      </c>
      <c r="J34" s="8" t="s">
        <v>804</v>
      </c>
      <c r="K34" s="8" t="s">
        <v>804</v>
      </c>
      <c r="L34" s="8" t="s">
        <v>804</v>
      </c>
      <c r="M34" s="8" t="s">
        <v>804</v>
      </c>
      <c r="N34" s="165"/>
      <c r="O34" s="157"/>
      <c r="P34" s="8" t="s">
        <v>804</v>
      </c>
      <c r="Q34" s="8" t="s">
        <v>804</v>
      </c>
      <c r="R34" s="8" t="s">
        <v>804</v>
      </c>
      <c r="S34" s="165"/>
      <c r="T34" s="8" t="s">
        <v>804</v>
      </c>
      <c r="U34" s="8" t="s">
        <v>804</v>
      </c>
      <c r="V34" s="157"/>
      <c r="W34" s="5">
        <f>COUNTIF(F34:V34,"P")</f>
        <v>12</v>
      </c>
      <c r="X34" s="5">
        <f>COUNTIF(F34:V34,"A")</f>
        <v>0</v>
      </c>
    </row>
    <row r="35" spans="1:24" x14ac:dyDescent="0.25">
      <c r="A35" s="20">
        <v>10</v>
      </c>
      <c r="B35" s="20">
        <v>537</v>
      </c>
      <c r="C35" s="22" t="s">
        <v>467</v>
      </c>
      <c r="D35" s="23" t="s">
        <v>468</v>
      </c>
      <c r="E35" s="19" t="s">
        <v>497</v>
      </c>
      <c r="F35" s="8" t="s">
        <v>804</v>
      </c>
      <c r="G35" s="8" t="s">
        <v>804</v>
      </c>
      <c r="H35" s="157"/>
      <c r="I35" s="8" t="s">
        <v>804</v>
      </c>
      <c r="J35" s="8" t="s">
        <v>804</v>
      </c>
      <c r="K35" s="8" t="s">
        <v>803</v>
      </c>
      <c r="L35" s="8" t="s">
        <v>804</v>
      </c>
      <c r="M35" s="8" t="s">
        <v>804</v>
      </c>
      <c r="N35" s="165"/>
      <c r="O35" s="157"/>
      <c r="P35" s="8" t="s">
        <v>804</v>
      </c>
      <c r="Q35" s="8" t="s">
        <v>803</v>
      </c>
      <c r="R35" s="8" t="s">
        <v>804</v>
      </c>
      <c r="S35" s="165"/>
      <c r="T35" s="8" t="s">
        <v>804</v>
      </c>
      <c r="U35" s="8" t="s">
        <v>804</v>
      </c>
      <c r="V35" s="157"/>
      <c r="W35" s="5">
        <f>COUNTIF(F35:V35,"P")</f>
        <v>10</v>
      </c>
      <c r="X35" s="5">
        <f>COUNTIF(F35:V35,"A")</f>
        <v>2</v>
      </c>
    </row>
    <row r="36" spans="1:24" x14ac:dyDescent="0.25">
      <c r="A36" s="20">
        <v>11</v>
      </c>
      <c r="B36" s="20">
        <v>698</v>
      </c>
      <c r="C36" s="22" t="s">
        <v>469</v>
      </c>
      <c r="D36" s="23" t="s">
        <v>470</v>
      </c>
      <c r="E36" s="19" t="s">
        <v>497</v>
      </c>
      <c r="F36" s="8" t="s">
        <v>804</v>
      </c>
      <c r="G36" s="8" t="s">
        <v>804</v>
      </c>
      <c r="H36" s="157"/>
      <c r="I36" s="8" t="s">
        <v>804</v>
      </c>
      <c r="J36" s="8" t="s">
        <v>804</v>
      </c>
      <c r="K36" s="8" t="s">
        <v>804</v>
      </c>
      <c r="L36" s="8" t="s">
        <v>804</v>
      </c>
      <c r="M36" s="8" t="s">
        <v>804</v>
      </c>
      <c r="N36" s="165"/>
      <c r="O36" s="157"/>
      <c r="P36" s="8" t="s">
        <v>804</v>
      </c>
      <c r="Q36" s="8" t="s">
        <v>804</v>
      </c>
      <c r="R36" s="8" t="s">
        <v>804</v>
      </c>
      <c r="S36" s="165"/>
      <c r="T36" s="8" t="s">
        <v>803</v>
      </c>
      <c r="U36" s="8" t="s">
        <v>804</v>
      </c>
      <c r="V36" s="157"/>
      <c r="W36" s="5">
        <f>COUNTIF(F36:V36,"P")</f>
        <v>11</v>
      </c>
      <c r="X36" s="5">
        <f>COUNTIF(F36:V36,"A")</f>
        <v>1</v>
      </c>
    </row>
    <row r="37" spans="1:24" x14ac:dyDescent="0.25">
      <c r="A37" s="20">
        <v>12</v>
      </c>
      <c r="B37" s="20">
        <v>524</v>
      </c>
      <c r="C37" s="22" t="s">
        <v>471</v>
      </c>
      <c r="D37" s="23" t="s">
        <v>472</v>
      </c>
      <c r="E37" s="19" t="s">
        <v>497</v>
      </c>
      <c r="F37" s="8" t="s">
        <v>804</v>
      </c>
      <c r="G37" s="8" t="s">
        <v>803</v>
      </c>
      <c r="H37" s="157"/>
      <c r="I37" s="8" t="s">
        <v>804</v>
      </c>
      <c r="J37" s="8" t="s">
        <v>804</v>
      </c>
      <c r="K37" s="8" t="s">
        <v>804</v>
      </c>
      <c r="L37" s="8" t="s">
        <v>804</v>
      </c>
      <c r="M37" s="8" t="s">
        <v>804</v>
      </c>
      <c r="N37" s="165"/>
      <c r="O37" s="157"/>
      <c r="P37" s="8" t="s">
        <v>804</v>
      </c>
      <c r="Q37" s="8" t="s">
        <v>804</v>
      </c>
      <c r="R37" s="8" t="s">
        <v>804</v>
      </c>
      <c r="S37" s="165"/>
      <c r="T37" s="8" t="s">
        <v>804</v>
      </c>
      <c r="U37" s="8" t="s">
        <v>804</v>
      </c>
      <c r="V37" s="157"/>
      <c r="W37" s="5">
        <f>COUNTIF(F37:V37,"P")</f>
        <v>11</v>
      </c>
      <c r="X37" s="5">
        <f>COUNTIF(F37:V37,"A")</f>
        <v>1</v>
      </c>
    </row>
    <row r="38" spans="1:24" x14ac:dyDescent="0.25">
      <c r="A38" s="20">
        <v>13</v>
      </c>
      <c r="B38" s="20">
        <v>438</v>
      </c>
      <c r="C38" s="22" t="s">
        <v>473</v>
      </c>
      <c r="D38" s="23" t="s">
        <v>251</v>
      </c>
      <c r="E38" s="19" t="s">
        <v>497</v>
      </c>
      <c r="F38" s="8" t="s">
        <v>804</v>
      </c>
      <c r="G38" s="8" t="s">
        <v>803</v>
      </c>
      <c r="H38" s="157"/>
      <c r="I38" s="8" t="s">
        <v>804</v>
      </c>
      <c r="J38" s="8" t="s">
        <v>804</v>
      </c>
      <c r="K38" s="8" t="s">
        <v>804</v>
      </c>
      <c r="L38" s="8" t="s">
        <v>804</v>
      </c>
      <c r="M38" s="8" t="s">
        <v>804</v>
      </c>
      <c r="N38" s="165"/>
      <c r="O38" s="157"/>
      <c r="P38" s="8" t="s">
        <v>804</v>
      </c>
      <c r="Q38" s="8" t="s">
        <v>804</v>
      </c>
      <c r="R38" s="8" t="s">
        <v>804</v>
      </c>
      <c r="S38" s="165"/>
      <c r="T38" s="8" t="s">
        <v>804</v>
      </c>
      <c r="U38" s="8" t="s">
        <v>803</v>
      </c>
      <c r="V38" s="157"/>
      <c r="W38" s="5">
        <f>COUNTIF(F38:V38,"P")</f>
        <v>10</v>
      </c>
      <c r="X38" s="5">
        <f>COUNTIF(F38:V38,"A")</f>
        <v>2</v>
      </c>
    </row>
    <row r="39" spans="1:24" x14ac:dyDescent="0.25">
      <c r="A39" s="20">
        <v>14</v>
      </c>
      <c r="B39" s="20">
        <v>532</v>
      </c>
      <c r="C39" s="22" t="s">
        <v>476</v>
      </c>
      <c r="D39" s="23" t="s">
        <v>89</v>
      </c>
      <c r="E39" s="19" t="s">
        <v>497</v>
      </c>
      <c r="F39" s="8" t="s">
        <v>804</v>
      </c>
      <c r="G39" s="8" t="s">
        <v>804</v>
      </c>
      <c r="H39" s="157"/>
      <c r="I39" s="8" t="s">
        <v>804</v>
      </c>
      <c r="J39" s="8" t="s">
        <v>803</v>
      </c>
      <c r="K39" s="8" t="s">
        <v>804</v>
      </c>
      <c r="L39" s="8" t="s">
        <v>804</v>
      </c>
      <c r="M39" s="8" t="s">
        <v>804</v>
      </c>
      <c r="N39" s="165"/>
      <c r="O39" s="157"/>
      <c r="P39" s="8" t="s">
        <v>804</v>
      </c>
      <c r="Q39" s="8" t="s">
        <v>803</v>
      </c>
      <c r="R39" s="8" t="s">
        <v>804</v>
      </c>
      <c r="S39" s="165"/>
      <c r="T39" s="8" t="s">
        <v>804</v>
      </c>
      <c r="U39" s="8" t="s">
        <v>804</v>
      </c>
      <c r="V39" s="157"/>
      <c r="W39" s="5">
        <f>COUNTIF(F39:V39,"P")</f>
        <v>10</v>
      </c>
      <c r="X39" s="5">
        <f>COUNTIF(F39:V39,"A")</f>
        <v>2</v>
      </c>
    </row>
    <row r="40" spans="1:24" x14ac:dyDescent="0.25">
      <c r="A40" s="20">
        <v>15</v>
      </c>
      <c r="B40" s="20">
        <v>643</v>
      </c>
      <c r="C40" s="22" t="s">
        <v>477</v>
      </c>
      <c r="D40" s="23" t="s">
        <v>478</v>
      </c>
      <c r="E40" s="19" t="s">
        <v>497</v>
      </c>
      <c r="F40" s="8" t="s">
        <v>804</v>
      </c>
      <c r="G40" s="8" t="s">
        <v>804</v>
      </c>
      <c r="H40" s="157"/>
      <c r="I40" s="8" t="s">
        <v>804</v>
      </c>
      <c r="J40" s="8" t="s">
        <v>804</v>
      </c>
      <c r="K40" s="8" t="s">
        <v>804</v>
      </c>
      <c r="L40" s="8" t="s">
        <v>803</v>
      </c>
      <c r="M40" s="8" t="s">
        <v>804</v>
      </c>
      <c r="N40" s="165"/>
      <c r="O40" s="157"/>
      <c r="P40" s="8" t="s">
        <v>804</v>
      </c>
      <c r="Q40" s="8" t="s">
        <v>804</v>
      </c>
      <c r="R40" s="8" t="s">
        <v>804</v>
      </c>
      <c r="S40" s="165"/>
      <c r="T40" s="8" t="s">
        <v>804</v>
      </c>
      <c r="U40" s="8" t="s">
        <v>803</v>
      </c>
      <c r="V40" s="157"/>
      <c r="W40" s="5">
        <f>COUNTIF(F40:V40,"P")</f>
        <v>10</v>
      </c>
      <c r="X40" s="5">
        <f>COUNTIF(F40:V40,"A")</f>
        <v>2</v>
      </c>
    </row>
    <row r="41" spans="1:24" x14ac:dyDescent="0.25">
      <c r="A41" s="20">
        <v>16</v>
      </c>
      <c r="B41" s="20">
        <v>519</v>
      </c>
      <c r="C41" s="22" t="s">
        <v>479</v>
      </c>
      <c r="D41" s="23" t="s">
        <v>480</v>
      </c>
      <c r="E41" s="19" t="s">
        <v>497</v>
      </c>
      <c r="F41" s="8" t="s">
        <v>803</v>
      </c>
      <c r="G41" s="8" t="s">
        <v>804</v>
      </c>
      <c r="H41" s="157"/>
      <c r="I41" s="8" t="s">
        <v>804</v>
      </c>
      <c r="J41" s="8" t="s">
        <v>804</v>
      </c>
      <c r="K41" s="8" t="s">
        <v>804</v>
      </c>
      <c r="L41" s="8" t="s">
        <v>804</v>
      </c>
      <c r="M41" s="8" t="s">
        <v>804</v>
      </c>
      <c r="N41" s="165"/>
      <c r="O41" s="157"/>
      <c r="P41" s="8" t="s">
        <v>804</v>
      </c>
      <c r="Q41" s="8" t="s">
        <v>803</v>
      </c>
      <c r="R41" s="8" t="s">
        <v>804</v>
      </c>
      <c r="S41" s="165"/>
      <c r="T41" s="8" t="s">
        <v>804</v>
      </c>
      <c r="U41" s="8" t="s">
        <v>804</v>
      </c>
      <c r="V41" s="157"/>
      <c r="W41" s="5">
        <f>COUNTIF(F41:V41,"P")</f>
        <v>10</v>
      </c>
      <c r="X41" s="5">
        <f>COUNTIF(F41:V41,"A")</f>
        <v>2</v>
      </c>
    </row>
    <row r="42" spans="1:24" x14ac:dyDescent="0.25">
      <c r="A42" s="20">
        <v>17</v>
      </c>
      <c r="B42" s="20">
        <v>611</v>
      </c>
      <c r="C42" s="22" t="s">
        <v>481</v>
      </c>
      <c r="D42" s="23" t="s">
        <v>64</v>
      </c>
      <c r="E42" s="19" t="s">
        <v>497</v>
      </c>
      <c r="F42" s="8" t="s">
        <v>804</v>
      </c>
      <c r="G42" s="8" t="s">
        <v>804</v>
      </c>
      <c r="H42" s="157"/>
      <c r="I42" s="8" t="s">
        <v>804</v>
      </c>
      <c r="J42" s="8" t="s">
        <v>804</v>
      </c>
      <c r="K42" s="8" t="s">
        <v>804</v>
      </c>
      <c r="L42" s="8" t="s">
        <v>804</v>
      </c>
      <c r="M42" s="8" t="s">
        <v>804</v>
      </c>
      <c r="N42" s="165"/>
      <c r="O42" s="157"/>
      <c r="P42" s="8" t="s">
        <v>804</v>
      </c>
      <c r="Q42" s="8" t="s">
        <v>804</v>
      </c>
      <c r="R42" s="8" t="s">
        <v>804</v>
      </c>
      <c r="S42" s="165"/>
      <c r="T42" s="8" t="s">
        <v>804</v>
      </c>
      <c r="U42" s="8" t="s">
        <v>804</v>
      </c>
      <c r="V42" s="157"/>
      <c r="W42" s="5">
        <f>COUNTIF(F42:V42,"P")</f>
        <v>12</v>
      </c>
      <c r="X42" s="5">
        <f>COUNTIF(F42:V42,"A")</f>
        <v>0</v>
      </c>
    </row>
    <row r="43" spans="1:24" x14ac:dyDescent="0.25">
      <c r="A43" s="20">
        <v>18</v>
      </c>
      <c r="B43" s="20">
        <v>695</v>
      </c>
      <c r="C43" s="22" t="s">
        <v>482</v>
      </c>
      <c r="D43" s="23" t="s">
        <v>483</v>
      </c>
      <c r="E43" s="19" t="s">
        <v>497</v>
      </c>
      <c r="F43" s="8" t="s">
        <v>804</v>
      </c>
      <c r="G43" s="8" t="s">
        <v>804</v>
      </c>
      <c r="H43" s="157"/>
      <c r="I43" s="8" t="s">
        <v>804</v>
      </c>
      <c r="J43" s="8" t="s">
        <v>804</v>
      </c>
      <c r="K43" s="8" t="s">
        <v>804</v>
      </c>
      <c r="L43" s="8" t="s">
        <v>803</v>
      </c>
      <c r="M43" s="8" t="s">
        <v>804</v>
      </c>
      <c r="N43" s="165"/>
      <c r="O43" s="157"/>
      <c r="P43" s="8" t="s">
        <v>804</v>
      </c>
      <c r="Q43" s="8" t="s">
        <v>804</v>
      </c>
      <c r="R43" s="8" t="s">
        <v>804</v>
      </c>
      <c r="S43" s="165"/>
      <c r="T43" s="8" t="s">
        <v>803</v>
      </c>
      <c r="U43" s="8" t="s">
        <v>804</v>
      </c>
      <c r="V43" s="157"/>
      <c r="W43" s="5">
        <f>COUNTIF(F43:V43,"P")</f>
        <v>10</v>
      </c>
      <c r="X43" s="5">
        <f>COUNTIF(F43:V43,"A")</f>
        <v>2</v>
      </c>
    </row>
    <row r="44" spans="1:24" x14ac:dyDescent="0.25">
      <c r="A44" s="20">
        <v>19</v>
      </c>
      <c r="B44" s="20">
        <v>598</v>
      </c>
      <c r="C44" s="22" t="s">
        <v>484</v>
      </c>
      <c r="D44" s="23" t="s">
        <v>141</v>
      </c>
      <c r="E44" s="19" t="s">
        <v>497</v>
      </c>
      <c r="F44" s="8" t="s">
        <v>803</v>
      </c>
      <c r="G44" s="8" t="s">
        <v>804</v>
      </c>
      <c r="H44" s="157"/>
      <c r="I44" s="8" t="s">
        <v>804</v>
      </c>
      <c r="J44" s="8" t="s">
        <v>804</v>
      </c>
      <c r="K44" s="8" t="s">
        <v>804</v>
      </c>
      <c r="L44" s="8" t="s">
        <v>804</v>
      </c>
      <c r="M44" s="8" t="s">
        <v>804</v>
      </c>
      <c r="N44" s="165"/>
      <c r="O44" s="157"/>
      <c r="P44" s="8" t="s">
        <v>804</v>
      </c>
      <c r="Q44" s="8" t="s">
        <v>804</v>
      </c>
      <c r="R44" s="8" t="s">
        <v>803</v>
      </c>
      <c r="S44" s="165"/>
      <c r="T44" s="8" t="s">
        <v>803</v>
      </c>
      <c r="U44" s="8" t="s">
        <v>804</v>
      </c>
      <c r="V44" s="157"/>
      <c r="W44" s="5">
        <f>COUNTIF(F44:V44,"P")</f>
        <v>9</v>
      </c>
      <c r="X44" s="5">
        <f>COUNTIF(F44:V44,"A")</f>
        <v>3</v>
      </c>
    </row>
    <row r="45" spans="1:24" x14ac:dyDescent="0.25">
      <c r="A45" s="20">
        <v>20</v>
      </c>
      <c r="B45" s="20">
        <v>699</v>
      </c>
      <c r="C45" s="22" t="s">
        <v>485</v>
      </c>
      <c r="D45" s="23" t="s">
        <v>133</v>
      </c>
      <c r="E45" s="19" t="s">
        <v>497</v>
      </c>
      <c r="F45" s="8" t="s">
        <v>804</v>
      </c>
      <c r="G45" s="8" t="s">
        <v>804</v>
      </c>
      <c r="H45" s="157"/>
      <c r="I45" s="8" t="s">
        <v>804</v>
      </c>
      <c r="J45" s="8" t="s">
        <v>804</v>
      </c>
      <c r="K45" s="8" t="s">
        <v>804</v>
      </c>
      <c r="L45" s="8" t="s">
        <v>804</v>
      </c>
      <c r="M45" s="8" t="s">
        <v>804</v>
      </c>
      <c r="N45" s="165"/>
      <c r="O45" s="157"/>
      <c r="P45" s="8" t="s">
        <v>804</v>
      </c>
      <c r="Q45" s="8" t="s">
        <v>804</v>
      </c>
      <c r="R45" s="8" t="s">
        <v>804</v>
      </c>
      <c r="S45" s="165"/>
      <c r="T45" s="8" t="s">
        <v>804</v>
      </c>
      <c r="U45" s="8" t="s">
        <v>804</v>
      </c>
      <c r="V45" s="157"/>
      <c r="W45" s="5">
        <f>COUNTIF(F45:V45,"P")</f>
        <v>12</v>
      </c>
      <c r="X45" s="5">
        <f>COUNTIF(F45:V45,"A")</f>
        <v>0</v>
      </c>
    </row>
    <row r="46" spans="1:24" x14ac:dyDescent="0.25">
      <c r="A46" s="20">
        <v>21</v>
      </c>
      <c r="B46" s="20">
        <v>638</v>
      </c>
      <c r="C46" s="22" t="s">
        <v>486</v>
      </c>
      <c r="D46" s="22" t="s">
        <v>739</v>
      </c>
      <c r="E46" s="19" t="s">
        <v>497</v>
      </c>
      <c r="F46" s="8" t="s">
        <v>804</v>
      </c>
      <c r="G46" s="8" t="s">
        <v>804</v>
      </c>
      <c r="H46" s="157"/>
      <c r="I46" s="8" t="s">
        <v>804</v>
      </c>
      <c r="J46" s="8" t="s">
        <v>804</v>
      </c>
      <c r="K46" s="8" t="s">
        <v>804</v>
      </c>
      <c r="L46" s="8" t="s">
        <v>804</v>
      </c>
      <c r="M46" s="8" t="s">
        <v>804</v>
      </c>
      <c r="N46" s="165"/>
      <c r="O46" s="157"/>
      <c r="P46" s="8" t="s">
        <v>804</v>
      </c>
      <c r="Q46" s="8" t="s">
        <v>804</v>
      </c>
      <c r="R46" s="8" t="s">
        <v>803</v>
      </c>
      <c r="S46" s="165"/>
      <c r="T46" s="8" t="s">
        <v>803</v>
      </c>
      <c r="U46" s="8" t="s">
        <v>804</v>
      </c>
      <c r="V46" s="157"/>
      <c r="W46" s="5">
        <f>COUNTIF(F46:V46,"P")</f>
        <v>10</v>
      </c>
      <c r="X46" s="5">
        <f>COUNTIF(F46:V46,"A")</f>
        <v>2</v>
      </c>
    </row>
    <row r="47" spans="1:24" x14ac:dyDescent="0.25">
      <c r="A47" s="20">
        <v>22</v>
      </c>
      <c r="B47" s="20">
        <v>697</v>
      </c>
      <c r="C47" s="24" t="s">
        <v>487</v>
      </c>
      <c r="D47" s="24" t="s">
        <v>358</v>
      </c>
      <c r="E47" s="19" t="s">
        <v>497</v>
      </c>
      <c r="F47" s="8" t="s">
        <v>804</v>
      </c>
      <c r="G47" s="8" t="s">
        <v>803</v>
      </c>
      <c r="H47" s="157"/>
      <c r="I47" s="8" t="s">
        <v>804</v>
      </c>
      <c r="J47" s="8" t="s">
        <v>804</v>
      </c>
      <c r="K47" s="8" t="s">
        <v>804</v>
      </c>
      <c r="L47" s="8" t="s">
        <v>803</v>
      </c>
      <c r="M47" s="8" t="s">
        <v>804</v>
      </c>
      <c r="N47" s="165"/>
      <c r="O47" s="157"/>
      <c r="P47" s="8" t="s">
        <v>804</v>
      </c>
      <c r="Q47" s="8" t="s">
        <v>804</v>
      </c>
      <c r="R47" s="8" t="s">
        <v>803</v>
      </c>
      <c r="S47" s="165"/>
      <c r="T47" s="8" t="s">
        <v>804</v>
      </c>
      <c r="U47" s="8" t="s">
        <v>804</v>
      </c>
      <c r="V47" s="157"/>
      <c r="W47" s="5">
        <f>COUNTIF(F47:V47,"P")</f>
        <v>9</v>
      </c>
      <c r="X47" s="5">
        <f>COUNTIF(F47:V47,"A")</f>
        <v>3</v>
      </c>
    </row>
    <row r="48" spans="1:24" x14ac:dyDescent="0.25">
      <c r="A48" s="20">
        <v>23</v>
      </c>
      <c r="B48" s="9">
        <v>558</v>
      </c>
      <c r="C48" s="24" t="s">
        <v>488</v>
      </c>
      <c r="D48" s="24" t="s">
        <v>406</v>
      </c>
      <c r="E48" s="19" t="s">
        <v>497</v>
      </c>
      <c r="F48" s="8" t="s">
        <v>804</v>
      </c>
      <c r="G48" s="8" t="s">
        <v>804</v>
      </c>
      <c r="H48" s="157"/>
      <c r="I48" s="8" t="s">
        <v>804</v>
      </c>
      <c r="J48" s="8" t="s">
        <v>803</v>
      </c>
      <c r="K48" s="8" t="s">
        <v>804</v>
      </c>
      <c r="L48" s="8" t="s">
        <v>804</v>
      </c>
      <c r="M48" s="8" t="s">
        <v>804</v>
      </c>
      <c r="N48" s="165"/>
      <c r="O48" s="157"/>
      <c r="P48" s="8" t="s">
        <v>804</v>
      </c>
      <c r="Q48" s="8" t="s">
        <v>804</v>
      </c>
      <c r="R48" s="8" t="s">
        <v>804</v>
      </c>
      <c r="S48" s="165"/>
      <c r="T48" s="8" t="s">
        <v>804</v>
      </c>
      <c r="U48" s="8" t="s">
        <v>803</v>
      </c>
      <c r="V48" s="157"/>
      <c r="W48" s="5">
        <f>COUNTIF(F48:V48,"P")</f>
        <v>10</v>
      </c>
      <c r="X48" s="5">
        <f>COUNTIF(F48:V48,"A")</f>
        <v>2</v>
      </c>
    </row>
    <row r="49" spans="1:24" x14ac:dyDescent="0.25">
      <c r="A49" s="20">
        <v>24</v>
      </c>
      <c r="B49" s="20">
        <v>592</v>
      </c>
      <c r="C49" s="24" t="s">
        <v>491</v>
      </c>
      <c r="D49" s="24" t="s">
        <v>197</v>
      </c>
      <c r="E49" s="19" t="s">
        <v>497</v>
      </c>
      <c r="F49" s="8" t="s">
        <v>804</v>
      </c>
      <c r="G49" s="8" t="s">
        <v>804</v>
      </c>
      <c r="H49" s="157"/>
      <c r="I49" s="8" t="s">
        <v>804</v>
      </c>
      <c r="J49" s="8" t="s">
        <v>804</v>
      </c>
      <c r="K49" s="8" t="s">
        <v>804</v>
      </c>
      <c r="L49" s="8" t="s">
        <v>804</v>
      </c>
      <c r="M49" s="8" t="s">
        <v>804</v>
      </c>
      <c r="N49" s="165"/>
      <c r="O49" s="157"/>
      <c r="P49" s="8" t="s">
        <v>804</v>
      </c>
      <c r="Q49" s="8" t="s">
        <v>803</v>
      </c>
      <c r="R49" s="8" t="s">
        <v>804</v>
      </c>
      <c r="S49" s="165"/>
      <c r="T49" s="8" t="s">
        <v>804</v>
      </c>
      <c r="U49" s="8" t="s">
        <v>804</v>
      </c>
      <c r="V49" s="157"/>
      <c r="W49" s="5">
        <f>COUNTIF(F49:V49,"P")</f>
        <v>11</v>
      </c>
      <c r="X49" s="5">
        <f>COUNTIF(F49:V49,"A")</f>
        <v>1</v>
      </c>
    </row>
    <row r="50" spans="1:24" x14ac:dyDescent="0.25">
      <c r="A50" s="20">
        <v>25</v>
      </c>
      <c r="B50" s="9">
        <v>864</v>
      </c>
      <c r="C50" s="24" t="s">
        <v>492</v>
      </c>
      <c r="D50" s="24" t="s">
        <v>112</v>
      </c>
      <c r="E50" s="19" t="s">
        <v>497</v>
      </c>
      <c r="F50" s="8" t="s">
        <v>803</v>
      </c>
      <c r="G50" s="8" t="s">
        <v>804</v>
      </c>
      <c r="H50" s="157"/>
      <c r="I50" s="8" t="s">
        <v>804</v>
      </c>
      <c r="J50" s="8" t="s">
        <v>804</v>
      </c>
      <c r="K50" s="8" t="s">
        <v>804</v>
      </c>
      <c r="L50" s="8" t="s">
        <v>804</v>
      </c>
      <c r="M50" s="8" t="s">
        <v>804</v>
      </c>
      <c r="N50" s="165"/>
      <c r="O50" s="157"/>
      <c r="P50" s="8" t="s">
        <v>803</v>
      </c>
      <c r="Q50" s="8" t="s">
        <v>804</v>
      </c>
      <c r="R50" s="8" t="s">
        <v>804</v>
      </c>
      <c r="S50" s="165"/>
      <c r="T50" s="8" t="s">
        <v>804</v>
      </c>
      <c r="U50" s="8" t="s">
        <v>804</v>
      </c>
      <c r="V50" s="157"/>
      <c r="W50" s="5">
        <f>COUNTIF(F50:V50,"P")</f>
        <v>10</v>
      </c>
      <c r="X50" s="5">
        <f>COUNTIF(F50:V50,"A")</f>
        <v>2</v>
      </c>
    </row>
    <row r="51" spans="1:24" x14ac:dyDescent="0.25">
      <c r="A51" s="20">
        <v>26</v>
      </c>
      <c r="B51" s="20">
        <v>874</v>
      </c>
      <c r="C51" s="24" t="s">
        <v>493</v>
      </c>
      <c r="D51" s="24" t="s">
        <v>494</v>
      </c>
      <c r="E51" s="19" t="s">
        <v>497</v>
      </c>
      <c r="F51" s="8" t="s">
        <v>804</v>
      </c>
      <c r="G51" s="8" t="s">
        <v>804</v>
      </c>
      <c r="H51" s="157"/>
      <c r="I51" s="8" t="s">
        <v>803</v>
      </c>
      <c r="J51" s="8" t="s">
        <v>804</v>
      </c>
      <c r="K51" s="8" t="s">
        <v>804</v>
      </c>
      <c r="L51" s="8" t="s">
        <v>804</v>
      </c>
      <c r="M51" s="8" t="s">
        <v>804</v>
      </c>
      <c r="N51" s="165"/>
      <c r="O51" s="157"/>
      <c r="P51" s="8" t="s">
        <v>804</v>
      </c>
      <c r="Q51" s="8" t="s">
        <v>804</v>
      </c>
      <c r="R51" s="8" t="s">
        <v>804</v>
      </c>
      <c r="S51" s="165"/>
      <c r="T51" s="8" t="s">
        <v>803</v>
      </c>
      <c r="U51" s="8" t="s">
        <v>804</v>
      </c>
      <c r="V51" s="157"/>
      <c r="W51" s="5">
        <f>COUNTIF(F51:V51,"P")</f>
        <v>10</v>
      </c>
      <c r="X51" s="5">
        <f>COUNTIF(F51:V51,"A")</f>
        <v>2</v>
      </c>
    </row>
  </sheetData>
  <mergeCells count="17">
    <mergeCell ref="Y3:Z3"/>
    <mergeCell ref="Y11:AB11"/>
    <mergeCell ref="Y19:AB19"/>
    <mergeCell ref="H5:H51"/>
    <mergeCell ref="O5:O51"/>
    <mergeCell ref="V5:V51"/>
    <mergeCell ref="N5:N51"/>
    <mergeCell ref="S5:S51"/>
    <mergeCell ref="A1:X1"/>
    <mergeCell ref="A2:X2"/>
    <mergeCell ref="A3:A4"/>
    <mergeCell ref="C3:C4"/>
    <mergeCell ref="D3:D4"/>
    <mergeCell ref="E3:E4"/>
    <mergeCell ref="W3:W4"/>
    <mergeCell ref="X3:X4"/>
    <mergeCell ref="B3:B4"/>
  </mergeCells>
  <conditionalFormatting sqref="G5:H5 G6:G51 F5:F51 I5:J51">
    <cfRule type="cellIs" dxfId="327" priority="278" operator="equal">
      <formula>"L"</formula>
    </cfRule>
    <cfRule type="cellIs" dxfId="326" priority="279" operator="equal">
      <formula>"A"</formula>
    </cfRule>
    <cfRule type="cellIs" dxfId="325" priority="280" operator="equal">
      <formula>"P"</formula>
    </cfRule>
    <cfRule type="expression" dxfId="324" priority="281">
      <formula>IF(F$4=TODAY(),TRUE,FALSE)</formula>
    </cfRule>
    <cfRule type="expression" dxfId="323" priority="282">
      <formula>F$3="Sun"</formula>
    </cfRule>
  </conditionalFormatting>
  <conditionalFormatting sqref="F4:V4">
    <cfRule type="cellIs" dxfId="322" priority="98" operator="equal">
      <formula>"L"</formula>
    </cfRule>
    <cfRule type="cellIs" dxfId="321" priority="99" operator="equal">
      <formula>"P"</formula>
    </cfRule>
    <cfRule type="cellIs" dxfId="320" priority="100" operator="equal">
      <formula>"A"</formula>
    </cfRule>
    <cfRule type="expression" dxfId="319" priority="101">
      <formula>F$4=TODAY()</formula>
    </cfRule>
    <cfRule type="expression" dxfId="318" priority="102">
      <formula>F$3="SUN"</formula>
    </cfRule>
  </conditionalFormatting>
  <conditionalFormatting sqref="W3:X3 W5:X51">
    <cfRule type="expression" dxfId="317" priority="330">
      <formula>#REF!="Sun"</formula>
    </cfRule>
  </conditionalFormatting>
  <conditionalFormatting sqref="Y5:Y9">
    <cfRule type="expression" dxfId="316" priority="301">
      <formula>Y$3="Sun"</formula>
    </cfRule>
  </conditionalFormatting>
  <conditionalFormatting sqref="Y12:Y15">
    <cfRule type="expression" dxfId="315" priority="299">
      <formula>Y$3="Sun"</formula>
    </cfRule>
  </conditionalFormatting>
  <conditionalFormatting sqref="Y20:Y26">
    <cfRule type="expression" dxfId="314" priority="298">
      <formula>Y$3="Sun"</formula>
    </cfRule>
  </conditionalFormatting>
  <conditionalFormatting sqref="Y4:Z4">
    <cfRule type="expression" dxfId="313" priority="302">
      <formula>Y$3="Sun"</formula>
    </cfRule>
  </conditionalFormatting>
  <conditionalFormatting sqref="Z12:AB12 Z20:AB20">
    <cfRule type="expression" dxfId="312" priority="303">
      <formula>Z$3="Sun"</formula>
    </cfRule>
  </conditionalFormatting>
  <conditionalFormatting sqref="AB21">
    <cfRule type="expression" dxfId="311" priority="300">
      <formula>AB$3="Sun"</formula>
    </cfRule>
  </conditionalFormatting>
  <conditionalFormatting sqref="F3:V3">
    <cfRule type="expression" dxfId="310" priority="81">
      <formula>F$4=TODAY()</formula>
    </cfRule>
    <cfRule type="expression" dxfId="309" priority="82">
      <formula>F$3="SUN"</formula>
    </cfRule>
  </conditionalFormatting>
  <conditionalFormatting sqref="O5">
    <cfRule type="cellIs" dxfId="308" priority="76" operator="equal">
      <formula>"L"</formula>
    </cfRule>
    <cfRule type="cellIs" dxfId="307" priority="77" operator="equal">
      <formula>"A"</formula>
    </cfRule>
    <cfRule type="cellIs" dxfId="306" priority="78" operator="equal">
      <formula>"P"</formula>
    </cfRule>
    <cfRule type="expression" dxfId="305" priority="79">
      <formula>IF(O$4=TODAY(),TRUE,FALSE)</formula>
    </cfRule>
    <cfRule type="expression" dxfId="304" priority="80">
      <formula>O$3="Sun"</formula>
    </cfRule>
  </conditionalFormatting>
  <conditionalFormatting sqref="V5">
    <cfRule type="cellIs" dxfId="303" priority="71" operator="equal">
      <formula>"L"</formula>
    </cfRule>
    <cfRule type="cellIs" dxfId="302" priority="72" operator="equal">
      <formula>"A"</formula>
    </cfRule>
    <cfRule type="cellIs" dxfId="301" priority="73" operator="equal">
      <formula>"P"</formula>
    </cfRule>
    <cfRule type="expression" dxfId="300" priority="74">
      <formula>IF(V$4=TODAY(),TRUE,FALSE)</formula>
    </cfRule>
    <cfRule type="expression" dxfId="299" priority="75">
      <formula>V$3="Sun"</formula>
    </cfRule>
  </conditionalFormatting>
  <conditionalFormatting sqref="K5:K51">
    <cfRule type="cellIs" dxfId="298" priority="56" operator="equal">
      <formula>"L"</formula>
    </cfRule>
    <cfRule type="cellIs" dxfId="297" priority="57" operator="equal">
      <formula>"A"</formula>
    </cfRule>
    <cfRule type="cellIs" dxfId="296" priority="58" operator="equal">
      <formula>"P"</formula>
    </cfRule>
    <cfRule type="expression" dxfId="295" priority="59">
      <formula>IF(K$4=TODAY(),TRUE,FALSE)</formula>
    </cfRule>
    <cfRule type="expression" dxfId="294" priority="60">
      <formula>K$3="Sun"</formula>
    </cfRule>
  </conditionalFormatting>
  <conditionalFormatting sqref="L5:L51">
    <cfRule type="cellIs" dxfId="293" priority="51" operator="equal">
      <formula>"L"</formula>
    </cfRule>
    <cfRule type="cellIs" dxfId="292" priority="52" operator="equal">
      <formula>"A"</formula>
    </cfRule>
    <cfRule type="cellIs" dxfId="291" priority="53" operator="equal">
      <formula>"P"</formula>
    </cfRule>
    <cfRule type="expression" dxfId="290" priority="54">
      <formula>IF(L$4=TODAY(),TRUE,FALSE)</formula>
    </cfRule>
    <cfRule type="expression" dxfId="289" priority="55">
      <formula>L$3="Sun"</formula>
    </cfRule>
  </conditionalFormatting>
  <conditionalFormatting sqref="M5:M51">
    <cfRule type="cellIs" dxfId="288" priority="46" operator="equal">
      <formula>"L"</formula>
    </cfRule>
    <cfRule type="cellIs" dxfId="287" priority="47" operator="equal">
      <formula>"A"</formula>
    </cfRule>
    <cfRule type="cellIs" dxfId="286" priority="48" operator="equal">
      <formula>"P"</formula>
    </cfRule>
    <cfRule type="expression" dxfId="285" priority="49">
      <formula>IF(M$4=TODAY(),TRUE,FALSE)</formula>
    </cfRule>
    <cfRule type="expression" dxfId="284" priority="50">
      <formula>M$3="Sun"</formula>
    </cfRule>
  </conditionalFormatting>
  <conditionalFormatting sqref="P5:P51">
    <cfRule type="cellIs" dxfId="283" priority="36" operator="equal">
      <formula>"L"</formula>
    </cfRule>
    <cfRule type="cellIs" dxfId="282" priority="37" operator="equal">
      <formula>"A"</formula>
    </cfRule>
    <cfRule type="cellIs" dxfId="281" priority="38" operator="equal">
      <formula>"P"</formula>
    </cfRule>
    <cfRule type="expression" dxfId="280" priority="39">
      <formula>IF(P$4=TODAY(),TRUE,FALSE)</formula>
    </cfRule>
    <cfRule type="expression" dxfId="279" priority="40">
      <formula>P$3="Sun"</formula>
    </cfRule>
  </conditionalFormatting>
  <conditionalFormatting sqref="Q5:Q51">
    <cfRule type="cellIs" dxfId="278" priority="31" operator="equal">
      <formula>"L"</formula>
    </cfRule>
    <cfRule type="cellIs" dxfId="277" priority="32" operator="equal">
      <formula>"A"</formula>
    </cfRule>
    <cfRule type="cellIs" dxfId="276" priority="33" operator="equal">
      <formula>"P"</formula>
    </cfRule>
    <cfRule type="expression" dxfId="275" priority="34">
      <formula>IF(Q$4=TODAY(),TRUE,FALSE)</formula>
    </cfRule>
    <cfRule type="expression" dxfId="274" priority="35">
      <formula>Q$3="Sun"</formula>
    </cfRule>
  </conditionalFormatting>
  <conditionalFormatting sqref="R5:R51">
    <cfRule type="cellIs" dxfId="273" priority="26" operator="equal">
      <formula>"L"</formula>
    </cfRule>
    <cfRule type="cellIs" dxfId="272" priority="27" operator="equal">
      <formula>"A"</formula>
    </cfRule>
    <cfRule type="cellIs" dxfId="271" priority="28" operator="equal">
      <formula>"P"</formula>
    </cfRule>
    <cfRule type="expression" dxfId="270" priority="29">
      <formula>IF(R$4=TODAY(),TRUE,FALSE)</formula>
    </cfRule>
    <cfRule type="expression" dxfId="269" priority="30">
      <formula>R$3="Sun"</formula>
    </cfRule>
  </conditionalFormatting>
  <conditionalFormatting sqref="T5:T51">
    <cfRule type="cellIs" dxfId="268" priority="16" operator="equal">
      <formula>"L"</formula>
    </cfRule>
    <cfRule type="cellIs" dxfId="267" priority="17" operator="equal">
      <formula>"A"</formula>
    </cfRule>
    <cfRule type="cellIs" dxfId="266" priority="18" operator="equal">
      <formula>"P"</formula>
    </cfRule>
    <cfRule type="expression" dxfId="265" priority="19">
      <formula>IF(T$4=TODAY(),TRUE,FALSE)</formula>
    </cfRule>
    <cfRule type="expression" dxfId="264" priority="20">
      <formula>T$3="Sun"</formula>
    </cfRule>
  </conditionalFormatting>
  <conditionalFormatting sqref="U5:U51">
    <cfRule type="cellIs" dxfId="263" priority="11" operator="equal">
      <formula>"L"</formula>
    </cfRule>
    <cfRule type="cellIs" dxfId="262" priority="12" operator="equal">
      <formula>"A"</formula>
    </cfRule>
    <cfRule type="cellIs" dxfId="261" priority="13" operator="equal">
      <formula>"P"</formula>
    </cfRule>
    <cfRule type="expression" dxfId="260" priority="14">
      <formula>IF(U$4=TODAY(),TRUE,FALSE)</formula>
    </cfRule>
    <cfRule type="expression" dxfId="259" priority="15">
      <formula>U$3="Sun"</formula>
    </cfRule>
  </conditionalFormatting>
  <conditionalFormatting sqref="N5">
    <cfRule type="expression" dxfId="258" priority="6">
      <formula>N$4=TODAY()</formula>
    </cfRule>
    <cfRule type="expression" dxfId="257" priority="7">
      <formula>N$3="SUN"</formula>
    </cfRule>
  </conditionalFormatting>
  <conditionalFormatting sqref="N5">
    <cfRule type="cellIs" dxfId="256" priority="8" operator="equal">
      <formula>"L"</formula>
    </cfRule>
    <cfRule type="cellIs" dxfId="255" priority="9" operator="equal">
      <formula>"A"</formula>
    </cfRule>
    <cfRule type="cellIs" dxfId="254" priority="10" operator="equal">
      <formula>"P"</formula>
    </cfRule>
  </conditionalFormatting>
  <conditionalFormatting sqref="S5">
    <cfRule type="expression" dxfId="253" priority="1">
      <formula>S$4=TODAY()</formula>
    </cfRule>
    <cfRule type="expression" dxfId="252" priority="2">
      <formula>S$3="SUN"</formula>
    </cfRule>
  </conditionalFormatting>
  <conditionalFormatting sqref="S5">
    <cfRule type="cellIs" dxfId="251" priority="3" operator="equal">
      <formula>"L"</formula>
    </cfRule>
    <cfRule type="cellIs" dxfId="250" priority="4" operator="equal">
      <formula>"A"</formula>
    </cfRule>
    <cfRule type="cellIs" dxfId="249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5"/>
  <sheetViews>
    <sheetView workbookViewId="0">
      <selection activeCell="S5" sqref="S5:S5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7.7109375" style="1" bestFit="1" customWidth="1"/>
    <col min="5" max="5" width="6.42578125" style="1" customWidth="1"/>
    <col min="6" max="6" width="3.7109375" style="1" bestFit="1" customWidth="1"/>
    <col min="7" max="7" width="3.4257812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3">
      <c r="A2" s="143" t="s">
        <v>731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 spans="1:28" ht="15.75" x14ac:dyDescent="0.25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34" t="s">
        <v>119</v>
      </c>
      <c r="Z3" s="135"/>
      <c r="AA3" s="3"/>
      <c r="AB3" s="3"/>
    </row>
    <row r="4" spans="1:28" ht="36.75" x14ac:dyDescent="0.25">
      <c r="A4" s="154"/>
      <c r="B4" s="154"/>
      <c r="C4" s="154"/>
      <c r="D4" s="154"/>
      <c r="E4" s="154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30</v>
      </c>
      <c r="AA4" s="3"/>
      <c r="AB4" s="3"/>
    </row>
    <row r="5" spans="1:28" ht="15" customHeight="1" x14ac:dyDescent="0.25">
      <c r="A5" s="20">
        <v>1</v>
      </c>
      <c r="B5" s="20">
        <v>605</v>
      </c>
      <c r="C5" s="22" t="s">
        <v>495</v>
      </c>
      <c r="D5" s="23" t="s">
        <v>496</v>
      </c>
      <c r="E5" s="19" t="s">
        <v>724</v>
      </c>
      <c r="F5" s="94" t="s">
        <v>804</v>
      </c>
      <c r="G5" s="8" t="s">
        <v>804</v>
      </c>
      <c r="H5" s="170" t="s">
        <v>756</v>
      </c>
      <c r="I5" s="8" t="s">
        <v>804</v>
      </c>
      <c r="J5" s="8" t="s">
        <v>804</v>
      </c>
      <c r="K5" s="94" t="s">
        <v>804</v>
      </c>
      <c r="L5" s="8" t="s">
        <v>804</v>
      </c>
      <c r="M5" s="8" t="s">
        <v>804</v>
      </c>
      <c r="N5" s="163" t="s">
        <v>879</v>
      </c>
      <c r="O5" s="170" t="s">
        <v>756</v>
      </c>
      <c r="P5" s="94" t="s">
        <v>804</v>
      </c>
      <c r="Q5" s="8" t="s">
        <v>804</v>
      </c>
      <c r="R5" s="94" t="s">
        <v>804</v>
      </c>
      <c r="S5" s="163" t="s">
        <v>880</v>
      </c>
      <c r="T5" s="8" t="s">
        <v>804</v>
      </c>
      <c r="U5" s="8" t="s">
        <v>803</v>
      </c>
      <c r="V5" s="169" t="s">
        <v>756</v>
      </c>
      <c r="W5" s="5">
        <f>COUNTIF(F5:V5,"P")</f>
        <v>11</v>
      </c>
      <c r="X5" s="5">
        <f>COUNTIF(F5:V5,"A")</f>
        <v>1</v>
      </c>
      <c r="Y5" s="5" t="s">
        <v>7</v>
      </c>
      <c r="Z5" s="9">
        <v>26</v>
      </c>
      <c r="AA5" s="10"/>
      <c r="AB5" s="3"/>
    </row>
    <row r="6" spans="1:28" ht="16.5" customHeight="1" x14ac:dyDescent="0.25">
      <c r="A6" s="20">
        <v>2</v>
      </c>
      <c r="B6" s="20">
        <v>609</v>
      </c>
      <c r="C6" s="22" t="s">
        <v>46</v>
      </c>
      <c r="D6" s="23" t="s">
        <v>398</v>
      </c>
      <c r="E6" s="19" t="s">
        <v>724</v>
      </c>
      <c r="F6" s="94" t="s">
        <v>804</v>
      </c>
      <c r="G6" s="8" t="s">
        <v>804</v>
      </c>
      <c r="H6" s="170"/>
      <c r="I6" s="8" t="s">
        <v>804</v>
      </c>
      <c r="J6" s="8" t="s">
        <v>804</v>
      </c>
      <c r="K6" s="94" t="s">
        <v>804</v>
      </c>
      <c r="L6" s="8" t="s">
        <v>804</v>
      </c>
      <c r="M6" s="8" t="s">
        <v>804</v>
      </c>
      <c r="N6" s="163"/>
      <c r="O6" s="170"/>
      <c r="P6" s="94" t="s">
        <v>804</v>
      </c>
      <c r="Q6" s="8" t="s">
        <v>804</v>
      </c>
      <c r="R6" s="94" t="s">
        <v>804</v>
      </c>
      <c r="S6" s="163"/>
      <c r="T6" s="8" t="s">
        <v>804</v>
      </c>
      <c r="U6" s="8" t="s">
        <v>804</v>
      </c>
      <c r="V6" s="158"/>
      <c r="W6" s="5">
        <f>COUNTIF(F6:V6,"P")</f>
        <v>12</v>
      </c>
      <c r="X6" s="5">
        <f>COUNTIF(F6:V6,"A")</f>
        <v>0</v>
      </c>
      <c r="Y6" s="5" t="s">
        <v>8</v>
      </c>
      <c r="Z6" s="9">
        <v>4</v>
      </c>
      <c r="AA6" s="3"/>
      <c r="AB6" s="3"/>
    </row>
    <row r="7" spans="1:28" ht="16.5" x14ac:dyDescent="0.25">
      <c r="A7" s="20">
        <v>3</v>
      </c>
      <c r="B7" s="20">
        <v>604</v>
      </c>
      <c r="C7" s="22" t="s">
        <v>499</v>
      </c>
      <c r="D7" s="23" t="s">
        <v>141</v>
      </c>
      <c r="E7" s="19" t="s">
        <v>724</v>
      </c>
      <c r="F7" s="94" t="s">
        <v>804</v>
      </c>
      <c r="G7" s="8" t="s">
        <v>803</v>
      </c>
      <c r="H7" s="170"/>
      <c r="I7" s="8" t="s">
        <v>804</v>
      </c>
      <c r="J7" s="8" t="s">
        <v>804</v>
      </c>
      <c r="K7" s="94" t="s">
        <v>804</v>
      </c>
      <c r="L7" s="8" t="s">
        <v>804</v>
      </c>
      <c r="M7" s="8" t="s">
        <v>804</v>
      </c>
      <c r="N7" s="163"/>
      <c r="O7" s="170"/>
      <c r="P7" s="94" t="s">
        <v>804</v>
      </c>
      <c r="Q7" s="8" t="s">
        <v>804</v>
      </c>
      <c r="R7" s="94" t="s">
        <v>804</v>
      </c>
      <c r="S7" s="163"/>
      <c r="T7" s="8" t="s">
        <v>804</v>
      </c>
      <c r="U7" s="8" t="s">
        <v>804</v>
      </c>
      <c r="V7" s="158"/>
      <c r="W7" s="5">
        <f>COUNTIF(F7:V7,"P")</f>
        <v>11</v>
      </c>
      <c r="X7" s="5">
        <f>COUNTIF(F7:V7,"A")</f>
        <v>1</v>
      </c>
      <c r="Y7" s="5"/>
      <c r="Z7" s="9"/>
      <c r="AA7" s="3"/>
      <c r="AB7" s="3"/>
    </row>
    <row r="8" spans="1:28" ht="16.5" x14ac:dyDescent="0.25">
      <c r="A8" s="20">
        <v>4</v>
      </c>
      <c r="B8" s="20">
        <v>464</v>
      </c>
      <c r="C8" s="22" t="s">
        <v>500</v>
      </c>
      <c r="D8" s="23" t="s">
        <v>89</v>
      </c>
      <c r="E8" s="19" t="s">
        <v>724</v>
      </c>
      <c r="F8" s="94" t="s">
        <v>804</v>
      </c>
      <c r="G8" s="8" t="s">
        <v>804</v>
      </c>
      <c r="H8" s="170"/>
      <c r="I8" s="8" t="s">
        <v>804</v>
      </c>
      <c r="J8" s="8" t="s">
        <v>804</v>
      </c>
      <c r="K8" s="94" t="s">
        <v>804</v>
      </c>
      <c r="L8" s="8" t="s">
        <v>804</v>
      </c>
      <c r="M8" s="8" t="s">
        <v>804</v>
      </c>
      <c r="N8" s="163"/>
      <c r="O8" s="170"/>
      <c r="P8" s="94" t="s">
        <v>803</v>
      </c>
      <c r="Q8" s="8" t="s">
        <v>803</v>
      </c>
      <c r="R8" s="94" t="s">
        <v>804</v>
      </c>
      <c r="S8" s="163"/>
      <c r="T8" s="8" t="s">
        <v>804</v>
      </c>
      <c r="U8" s="8" t="s">
        <v>803</v>
      </c>
      <c r="V8" s="158"/>
      <c r="W8" s="5">
        <f>COUNTIF(F8:V8,"P")</f>
        <v>9</v>
      </c>
      <c r="X8" s="5">
        <f>COUNTIF(F8:V8,"A")</f>
        <v>3</v>
      </c>
      <c r="Y8" s="5"/>
      <c r="Z8" s="9"/>
      <c r="AA8"/>
      <c r="AB8"/>
    </row>
    <row r="9" spans="1:28" ht="16.5" x14ac:dyDescent="0.25">
      <c r="A9" s="20">
        <v>5</v>
      </c>
      <c r="B9" s="20">
        <v>601</v>
      </c>
      <c r="C9" s="22" t="s">
        <v>501</v>
      </c>
      <c r="D9" s="23" t="s">
        <v>502</v>
      </c>
      <c r="E9" s="19" t="s">
        <v>724</v>
      </c>
      <c r="F9" s="94" t="s">
        <v>804</v>
      </c>
      <c r="G9" s="8" t="s">
        <v>803</v>
      </c>
      <c r="H9" s="170"/>
      <c r="I9" s="8" t="s">
        <v>804</v>
      </c>
      <c r="J9" s="8" t="s">
        <v>804</v>
      </c>
      <c r="K9" s="94" t="s">
        <v>803</v>
      </c>
      <c r="L9" s="8" t="s">
        <v>804</v>
      </c>
      <c r="M9" s="8" t="s">
        <v>804</v>
      </c>
      <c r="N9" s="163"/>
      <c r="O9" s="170"/>
      <c r="P9" s="94" t="s">
        <v>803</v>
      </c>
      <c r="Q9" s="8" t="s">
        <v>804</v>
      </c>
      <c r="R9" s="94" t="s">
        <v>804</v>
      </c>
      <c r="S9" s="163"/>
      <c r="T9" s="8" t="s">
        <v>804</v>
      </c>
      <c r="U9" s="8" t="s">
        <v>804</v>
      </c>
      <c r="V9" s="158"/>
      <c r="W9" s="5">
        <f>COUNTIF(F9:V9,"P")</f>
        <v>9</v>
      </c>
      <c r="X9" s="5">
        <f>COUNTIF(F9:V9,"A")</f>
        <v>3</v>
      </c>
      <c r="Y9" s="5"/>
      <c r="Z9" s="9"/>
    </row>
    <row r="10" spans="1:28" ht="16.5" x14ac:dyDescent="0.25">
      <c r="A10" s="20">
        <v>6</v>
      </c>
      <c r="B10" s="20">
        <v>494</v>
      </c>
      <c r="C10" s="22" t="s">
        <v>503</v>
      </c>
      <c r="D10" s="23" t="s">
        <v>50</v>
      </c>
      <c r="E10" s="19" t="s">
        <v>724</v>
      </c>
      <c r="F10" s="94" t="s">
        <v>804</v>
      </c>
      <c r="G10" s="8" t="s">
        <v>804</v>
      </c>
      <c r="H10" s="170"/>
      <c r="I10" s="8" t="s">
        <v>804</v>
      </c>
      <c r="J10" s="8" t="s">
        <v>804</v>
      </c>
      <c r="K10" s="94" t="s">
        <v>804</v>
      </c>
      <c r="L10" s="8" t="s">
        <v>804</v>
      </c>
      <c r="M10" s="8" t="s">
        <v>804</v>
      </c>
      <c r="N10" s="163"/>
      <c r="O10" s="170"/>
      <c r="P10" s="94" t="s">
        <v>803</v>
      </c>
      <c r="Q10" s="8" t="s">
        <v>804</v>
      </c>
      <c r="R10" s="94" t="s">
        <v>804</v>
      </c>
      <c r="S10" s="163"/>
      <c r="T10" s="8" t="s">
        <v>804</v>
      </c>
      <c r="U10" s="8" t="s">
        <v>804</v>
      </c>
      <c r="V10" s="158"/>
      <c r="W10" s="5">
        <f>COUNTIF(F10:V10,"P")</f>
        <v>11</v>
      </c>
      <c r="X10" s="5">
        <f>COUNTIF(F10:V10,"A")</f>
        <v>1</v>
      </c>
    </row>
    <row r="11" spans="1:28" ht="16.5" x14ac:dyDescent="0.25">
      <c r="A11" s="20">
        <v>7</v>
      </c>
      <c r="B11" s="20">
        <v>426</v>
      </c>
      <c r="C11" s="22" t="s">
        <v>744</v>
      </c>
      <c r="D11" s="23" t="s">
        <v>750</v>
      </c>
      <c r="E11" s="19" t="s">
        <v>724</v>
      </c>
      <c r="F11" s="94" t="s">
        <v>803</v>
      </c>
      <c r="G11" s="8" t="s">
        <v>803</v>
      </c>
      <c r="H11" s="170"/>
      <c r="I11" s="8" t="s">
        <v>803</v>
      </c>
      <c r="J11" s="8" t="s">
        <v>803</v>
      </c>
      <c r="K11" s="94" t="s">
        <v>803</v>
      </c>
      <c r="L11" s="8" t="s">
        <v>803</v>
      </c>
      <c r="M11" s="8" t="s">
        <v>804</v>
      </c>
      <c r="N11" s="163"/>
      <c r="O11" s="170"/>
      <c r="P11" s="94" t="s">
        <v>803</v>
      </c>
      <c r="Q11" s="8" t="s">
        <v>803</v>
      </c>
      <c r="R11" s="94" t="s">
        <v>803</v>
      </c>
      <c r="S11" s="163"/>
      <c r="T11" s="8" t="s">
        <v>803</v>
      </c>
      <c r="U11" s="8" t="s">
        <v>803</v>
      </c>
      <c r="V11" s="158"/>
      <c r="W11" s="5">
        <f>COUNTIF(F11:V11,"P")</f>
        <v>1</v>
      </c>
      <c r="X11" s="5">
        <f>COUNTIF(F11:V11,"A")</f>
        <v>11</v>
      </c>
      <c r="Y11" s="134" t="s">
        <v>9</v>
      </c>
      <c r="Z11" s="135"/>
      <c r="AA11" s="135"/>
      <c r="AB11" s="136"/>
    </row>
    <row r="12" spans="1:28" ht="16.5" x14ac:dyDescent="0.25">
      <c r="A12" s="20">
        <v>8</v>
      </c>
      <c r="B12" s="20">
        <v>710</v>
      </c>
      <c r="C12" s="22" t="s">
        <v>505</v>
      </c>
      <c r="D12" s="23" t="s">
        <v>506</v>
      </c>
      <c r="E12" s="19" t="s">
        <v>724</v>
      </c>
      <c r="F12" s="94" t="s">
        <v>804</v>
      </c>
      <c r="G12" s="8" t="s">
        <v>804</v>
      </c>
      <c r="H12" s="170"/>
      <c r="I12" s="8" t="s">
        <v>804</v>
      </c>
      <c r="J12" s="8" t="s">
        <v>804</v>
      </c>
      <c r="K12" s="94" t="s">
        <v>804</v>
      </c>
      <c r="L12" s="8" t="s">
        <v>804</v>
      </c>
      <c r="M12" s="8" t="s">
        <v>804</v>
      </c>
      <c r="N12" s="163"/>
      <c r="O12" s="170"/>
      <c r="P12" s="94" t="s">
        <v>804</v>
      </c>
      <c r="Q12" s="8" t="s">
        <v>804</v>
      </c>
      <c r="R12" s="94" t="s">
        <v>804</v>
      </c>
      <c r="S12" s="163"/>
      <c r="T12" s="8" t="s">
        <v>804</v>
      </c>
      <c r="U12" s="8" t="s">
        <v>804</v>
      </c>
      <c r="V12" s="158"/>
      <c r="W12" s="5">
        <f>COUNTIF(F12:V12,"P")</f>
        <v>12</v>
      </c>
      <c r="X12" s="5">
        <f>COUNTIF(F12:V12,"A")</f>
        <v>0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20">
        <v>9</v>
      </c>
      <c r="B13" s="20">
        <v>711</v>
      </c>
      <c r="C13" s="22" t="s">
        <v>507</v>
      </c>
      <c r="D13" s="23" t="s">
        <v>508</v>
      </c>
      <c r="E13" s="19" t="s">
        <v>724</v>
      </c>
      <c r="F13" s="94" t="s">
        <v>804</v>
      </c>
      <c r="G13" s="8" t="s">
        <v>804</v>
      </c>
      <c r="H13" s="170"/>
      <c r="I13" s="8" t="s">
        <v>804</v>
      </c>
      <c r="J13" s="8" t="s">
        <v>804</v>
      </c>
      <c r="K13" s="94" t="s">
        <v>804</v>
      </c>
      <c r="L13" s="8" t="s">
        <v>804</v>
      </c>
      <c r="M13" s="8" t="s">
        <v>804</v>
      </c>
      <c r="N13" s="163"/>
      <c r="O13" s="170"/>
      <c r="P13" s="94" t="s">
        <v>804</v>
      </c>
      <c r="Q13" s="8" t="s">
        <v>804</v>
      </c>
      <c r="R13" s="94" t="s">
        <v>804</v>
      </c>
      <c r="S13" s="163"/>
      <c r="T13" s="8" t="s">
        <v>804</v>
      </c>
      <c r="U13" s="8" t="s">
        <v>804</v>
      </c>
      <c r="V13" s="158"/>
      <c r="W13" s="5">
        <f>COUNTIF(F13:V13,"P")</f>
        <v>12</v>
      </c>
      <c r="X13" s="5">
        <f>COUNTIF(F13:V13,"A")</f>
        <v>0</v>
      </c>
      <c r="Y13" s="5" t="s">
        <v>14</v>
      </c>
      <c r="Z13" s="9">
        <f>23*$Z$5</f>
        <v>598</v>
      </c>
      <c r="AA13" s="9">
        <f>23*$Z$5</f>
        <v>598</v>
      </c>
      <c r="AB13" s="9">
        <f>SUM(Z13:AA13)</f>
        <v>1196</v>
      </c>
    </row>
    <row r="14" spans="1:28" ht="16.5" x14ac:dyDescent="0.25">
      <c r="A14" s="20">
        <v>10</v>
      </c>
      <c r="B14" s="20">
        <v>600</v>
      </c>
      <c r="C14" s="22" t="s">
        <v>509</v>
      </c>
      <c r="D14" s="23" t="s">
        <v>135</v>
      </c>
      <c r="E14" s="19" t="s">
        <v>724</v>
      </c>
      <c r="F14" s="94" t="s">
        <v>804</v>
      </c>
      <c r="G14" s="8" t="s">
        <v>803</v>
      </c>
      <c r="H14" s="170"/>
      <c r="I14" s="8" t="s">
        <v>804</v>
      </c>
      <c r="J14" s="8" t="s">
        <v>804</v>
      </c>
      <c r="K14" s="94" t="s">
        <v>804</v>
      </c>
      <c r="L14" s="8" t="s">
        <v>804</v>
      </c>
      <c r="M14" s="8" t="s">
        <v>803</v>
      </c>
      <c r="N14" s="163"/>
      <c r="O14" s="170"/>
      <c r="P14" s="94" t="s">
        <v>804</v>
      </c>
      <c r="Q14" s="8" t="s">
        <v>804</v>
      </c>
      <c r="R14" s="94" t="s">
        <v>804</v>
      </c>
      <c r="S14" s="163"/>
      <c r="T14" s="8" t="s">
        <v>804</v>
      </c>
      <c r="U14" s="8" t="s">
        <v>803</v>
      </c>
      <c r="V14" s="158"/>
      <c r="W14" s="5">
        <f>COUNTIF(F14:V14,"P")</f>
        <v>9</v>
      </c>
      <c r="X14" s="5">
        <f>COUNTIF(F14:V14,"A")</f>
        <v>3</v>
      </c>
      <c r="Y14" s="5" t="s">
        <v>15</v>
      </c>
      <c r="Z14" s="9">
        <f>SUM(W5:W27)</f>
        <v>239</v>
      </c>
      <c r="AA14" s="9">
        <f>SUM(W28:W51)</f>
        <v>201</v>
      </c>
      <c r="AB14" s="9">
        <f>Z14+AA14</f>
        <v>440</v>
      </c>
    </row>
    <row r="15" spans="1:28" ht="16.5" x14ac:dyDescent="0.25">
      <c r="A15" s="20">
        <v>11</v>
      </c>
      <c r="B15" s="20">
        <v>640</v>
      </c>
      <c r="C15" s="22" t="s">
        <v>352</v>
      </c>
      <c r="D15" s="23" t="s">
        <v>510</v>
      </c>
      <c r="E15" s="19" t="s">
        <v>724</v>
      </c>
      <c r="F15" s="94" t="s">
        <v>804</v>
      </c>
      <c r="G15" s="8" t="s">
        <v>803</v>
      </c>
      <c r="H15" s="170"/>
      <c r="I15" s="8" t="s">
        <v>804</v>
      </c>
      <c r="J15" s="8" t="s">
        <v>803</v>
      </c>
      <c r="K15" s="94" t="s">
        <v>803</v>
      </c>
      <c r="L15" s="8" t="s">
        <v>804</v>
      </c>
      <c r="M15" s="8" t="s">
        <v>804</v>
      </c>
      <c r="N15" s="163"/>
      <c r="O15" s="170"/>
      <c r="P15" s="94" t="s">
        <v>804</v>
      </c>
      <c r="Q15" s="8" t="s">
        <v>804</v>
      </c>
      <c r="R15" s="94" t="s">
        <v>804</v>
      </c>
      <c r="S15" s="163"/>
      <c r="T15" s="8" t="s">
        <v>803</v>
      </c>
      <c r="U15" s="8" t="s">
        <v>804</v>
      </c>
      <c r="V15" s="158"/>
      <c r="W15" s="5">
        <f>COUNTIF(F15:V15,"P")</f>
        <v>8</v>
      </c>
      <c r="X15" s="5">
        <f>COUNTIF(F15:V15,"A")</f>
        <v>4</v>
      </c>
      <c r="Y15" s="5" t="s">
        <v>16</v>
      </c>
      <c r="Z15" s="12">
        <f>Z14/Z13</f>
        <v>0.39966555183946489</v>
      </c>
      <c r="AA15" s="12">
        <f>AA14/AA13</f>
        <v>0.33612040133779264</v>
      </c>
      <c r="AB15" s="12">
        <f>AB14/AB13</f>
        <v>0.36789297658862874</v>
      </c>
    </row>
    <row r="16" spans="1:28" ht="16.5" x14ac:dyDescent="0.25">
      <c r="A16" s="20">
        <v>12</v>
      </c>
      <c r="B16" s="20">
        <v>761</v>
      </c>
      <c r="C16" s="22" t="s">
        <v>511</v>
      </c>
      <c r="D16" s="23" t="s">
        <v>512</v>
      </c>
      <c r="E16" s="19" t="s">
        <v>724</v>
      </c>
      <c r="F16" s="94" t="s">
        <v>804</v>
      </c>
      <c r="G16" s="8" t="s">
        <v>804</v>
      </c>
      <c r="H16" s="170"/>
      <c r="I16" s="8" t="s">
        <v>804</v>
      </c>
      <c r="J16" s="8" t="s">
        <v>804</v>
      </c>
      <c r="K16" s="94" t="s">
        <v>804</v>
      </c>
      <c r="L16" s="8" t="s">
        <v>804</v>
      </c>
      <c r="M16" s="8" t="s">
        <v>804</v>
      </c>
      <c r="N16" s="163"/>
      <c r="O16" s="170"/>
      <c r="P16" s="94" t="s">
        <v>804</v>
      </c>
      <c r="Q16" s="8" t="s">
        <v>804</v>
      </c>
      <c r="R16" s="94" t="s">
        <v>804</v>
      </c>
      <c r="S16" s="163"/>
      <c r="T16" s="8" t="s">
        <v>804</v>
      </c>
      <c r="U16" s="8" t="s">
        <v>804</v>
      </c>
      <c r="V16" s="158"/>
      <c r="W16" s="5">
        <f>COUNTIF(F16:V16,"P")</f>
        <v>12</v>
      </c>
      <c r="X16" s="5">
        <f>COUNTIF(F16:V16,"A")</f>
        <v>0</v>
      </c>
      <c r="Y16"/>
      <c r="Z16"/>
      <c r="AA16"/>
      <c r="AB16"/>
    </row>
    <row r="17" spans="1:28" ht="16.5" x14ac:dyDescent="0.25">
      <c r="A17" s="20">
        <v>13</v>
      </c>
      <c r="B17" s="20">
        <v>642</v>
      </c>
      <c r="C17" s="22" t="s">
        <v>84</v>
      </c>
      <c r="D17" s="23" t="s">
        <v>513</v>
      </c>
      <c r="E17" s="19" t="s">
        <v>724</v>
      </c>
      <c r="F17" s="94" t="s">
        <v>804</v>
      </c>
      <c r="G17" s="8" t="s">
        <v>804</v>
      </c>
      <c r="H17" s="170"/>
      <c r="I17" s="8" t="s">
        <v>804</v>
      </c>
      <c r="J17" s="8" t="s">
        <v>804</v>
      </c>
      <c r="K17" s="94" t="s">
        <v>804</v>
      </c>
      <c r="L17" s="8" t="s">
        <v>804</v>
      </c>
      <c r="M17" s="8" t="s">
        <v>804</v>
      </c>
      <c r="N17" s="163"/>
      <c r="O17" s="170"/>
      <c r="P17" s="94" t="s">
        <v>804</v>
      </c>
      <c r="Q17" s="8" t="s">
        <v>804</v>
      </c>
      <c r="R17" s="94" t="s">
        <v>804</v>
      </c>
      <c r="S17" s="163"/>
      <c r="T17" s="8" t="s">
        <v>804</v>
      </c>
      <c r="U17" s="8" t="s">
        <v>804</v>
      </c>
      <c r="V17" s="158"/>
      <c r="W17" s="5">
        <f>COUNTIF(F17:V17,"P")</f>
        <v>12</v>
      </c>
      <c r="X17" s="5">
        <f>COUNTIF(F17:V17,"A")</f>
        <v>0</v>
      </c>
      <c r="Y17"/>
      <c r="Z17"/>
      <c r="AA17"/>
      <c r="AB17"/>
    </row>
    <row r="18" spans="1:28" ht="16.5" x14ac:dyDescent="0.25">
      <c r="A18" s="20">
        <v>14</v>
      </c>
      <c r="B18" s="20">
        <v>607</v>
      </c>
      <c r="C18" s="22" t="s">
        <v>514</v>
      </c>
      <c r="D18" s="23" t="s">
        <v>515</v>
      </c>
      <c r="E18" s="19" t="s">
        <v>724</v>
      </c>
      <c r="F18" s="94" t="s">
        <v>804</v>
      </c>
      <c r="G18" s="8" t="s">
        <v>804</v>
      </c>
      <c r="H18" s="170"/>
      <c r="I18" s="8" t="s">
        <v>804</v>
      </c>
      <c r="J18" s="8" t="s">
        <v>804</v>
      </c>
      <c r="K18" s="94" t="s">
        <v>804</v>
      </c>
      <c r="L18" s="8" t="s">
        <v>804</v>
      </c>
      <c r="M18" s="8" t="s">
        <v>804</v>
      </c>
      <c r="N18" s="163"/>
      <c r="O18" s="170"/>
      <c r="P18" s="94" t="s">
        <v>804</v>
      </c>
      <c r="Q18" s="8" t="s">
        <v>804</v>
      </c>
      <c r="R18" s="94" t="s">
        <v>804</v>
      </c>
      <c r="S18" s="163"/>
      <c r="T18" s="8" t="s">
        <v>804</v>
      </c>
      <c r="U18" s="8" t="s">
        <v>804</v>
      </c>
      <c r="V18" s="158"/>
      <c r="W18" s="5">
        <f>COUNTIF(F18:V18,"P")</f>
        <v>12</v>
      </c>
      <c r="X18" s="5">
        <f>COUNTIF(F18:V18,"A")</f>
        <v>0</v>
      </c>
      <c r="Y18"/>
      <c r="Z18"/>
      <c r="AA18"/>
      <c r="AB18"/>
    </row>
    <row r="19" spans="1:28" ht="16.5" x14ac:dyDescent="0.25">
      <c r="A19" s="20">
        <v>15</v>
      </c>
      <c r="B19" s="20">
        <v>437</v>
      </c>
      <c r="C19" s="22" t="s">
        <v>516</v>
      </c>
      <c r="D19" s="23" t="s">
        <v>22</v>
      </c>
      <c r="E19" s="19" t="s">
        <v>724</v>
      </c>
      <c r="F19" s="94" t="s">
        <v>804</v>
      </c>
      <c r="G19" s="8" t="s">
        <v>804</v>
      </c>
      <c r="H19" s="170"/>
      <c r="I19" s="8" t="s">
        <v>804</v>
      </c>
      <c r="J19" s="8" t="s">
        <v>804</v>
      </c>
      <c r="K19" s="94" t="s">
        <v>804</v>
      </c>
      <c r="L19" s="8" t="s">
        <v>804</v>
      </c>
      <c r="M19" s="8" t="s">
        <v>804</v>
      </c>
      <c r="N19" s="163"/>
      <c r="O19" s="170"/>
      <c r="P19" s="94" t="s">
        <v>804</v>
      </c>
      <c r="Q19" s="8" t="s">
        <v>804</v>
      </c>
      <c r="R19" s="94" t="s">
        <v>804</v>
      </c>
      <c r="S19" s="163"/>
      <c r="T19" s="8" t="s">
        <v>804</v>
      </c>
      <c r="U19" s="8" t="s">
        <v>804</v>
      </c>
      <c r="V19" s="158"/>
      <c r="W19" s="5">
        <f>COUNTIF(F19:V19,"P")</f>
        <v>12</v>
      </c>
      <c r="X19" s="5">
        <f>COUNTIF(F19:V19,"A")</f>
        <v>0</v>
      </c>
      <c r="Y19" s="134" t="s">
        <v>121</v>
      </c>
      <c r="Z19" s="135"/>
      <c r="AA19" s="135"/>
      <c r="AB19" s="136"/>
    </row>
    <row r="20" spans="1:28" ht="16.5" x14ac:dyDescent="0.25">
      <c r="A20" s="20">
        <v>16</v>
      </c>
      <c r="B20" s="20">
        <v>504</v>
      </c>
      <c r="C20" s="22" t="s">
        <v>517</v>
      </c>
      <c r="D20" s="23" t="s">
        <v>518</v>
      </c>
      <c r="E20" s="19" t="s">
        <v>724</v>
      </c>
      <c r="F20" s="94" t="s">
        <v>804</v>
      </c>
      <c r="G20" s="8" t="s">
        <v>804</v>
      </c>
      <c r="H20" s="170"/>
      <c r="I20" s="8" t="s">
        <v>804</v>
      </c>
      <c r="J20" s="8" t="s">
        <v>804</v>
      </c>
      <c r="K20" s="94" t="s">
        <v>804</v>
      </c>
      <c r="L20" s="8" t="s">
        <v>804</v>
      </c>
      <c r="M20" s="8" t="s">
        <v>804</v>
      </c>
      <c r="N20" s="163"/>
      <c r="O20" s="170"/>
      <c r="P20" s="94" t="s">
        <v>804</v>
      </c>
      <c r="Q20" s="8" t="s">
        <v>804</v>
      </c>
      <c r="R20" s="94" t="s">
        <v>804</v>
      </c>
      <c r="S20" s="163"/>
      <c r="T20" s="8" t="s">
        <v>804</v>
      </c>
      <c r="U20" s="8" t="s">
        <v>804</v>
      </c>
      <c r="V20" s="158"/>
      <c r="W20" s="5">
        <f>COUNTIF(F20:V20,"P")</f>
        <v>12</v>
      </c>
      <c r="X20" s="5">
        <f>COUNTIF(F20:V20,"A")</f>
        <v>0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ht="16.5" x14ac:dyDescent="0.25">
      <c r="A21" s="20">
        <v>17</v>
      </c>
      <c r="B21" s="20">
        <v>705</v>
      </c>
      <c r="C21" s="24" t="s">
        <v>519</v>
      </c>
      <c r="D21" s="24" t="s">
        <v>96</v>
      </c>
      <c r="E21" s="19" t="s">
        <v>724</v>
      </c>
      <c r="F21" s="94" t="s">
        <v>804</v>
      </c>
      <c r="G21" s="8" t="s">
        <v>804</v>
      </c>
      <c r="H21" s="170"/>
      <c r="I21" s="8" t="s">
        <v>804</v>
      </c>
      <c r="J21" s="8" t="s">
        <v>804</v>
      </c>
      <c r="K21" s="94" t="s">
        <v>804</v>
      </c>
      <c r="L21" s="8" t="s">
        <v>804</v>
      </c>
      <c r="M21" s="8" t="s">
        <v>804</v>
      </c>
      <c r="N21" s="163"/>
      <c r="O21" s="170"/>
      <c r="P21" s="94" t="s">
        <v>804</v>
      </c>
      <c r="Q21" s="8" t="s">
        <v>804</v>
      </c>
      <c r="R21" s="94" t="s">
        <v>804</v>
      </c>
      <c r="S21" s="163"/>
      <c r="T21" s="8" t="s">
        <v>804</v>
      </c>
      <c r="U21" s="8" t="s">
        <v>804</v>
      </c>
      <c r="V21" s="158"/>
      <c r="W21" s="5">
        <f>COUNTIF(F21:V21,"P")</f>
        <v>12</v>
      </c>
      <c r="X21" s="5">
        <f>COUNTIF(F21:V21,"A")</f>
        <v>0</v>
      </c>
      <c r="Y21" s="5" t="s">
        <v>14</v>
      </c>
      <c r="Z21" s="9">
        <f>23*$Z$5</f>
        <v>598</v>
      </c>
      <c r="AA21" s="9">
        <f>23*$Z$5</f>
        <v>598</v>
      </c>
      <c r="AB21" s="9">
        <f>Z21+AA21</f>
        <v>1196</v>
      </c>
    </row>
    <row r="22" spans="1:28" ht="16.5" x14ac:dyDescent="0.25">
      <c r="A22" s="20">
        <v>18</v>
      </c>
      <c r="B22" s="9">
        <v>868</v>
      </c>
      <c r="C22" s="24" t="s">
        <v>520</v>
      </c>
      <c r="D22" s="24" t="s">
        <v>521</v>
      </c>
      <c r="E22" s="19" t="s">
        <v>724</v>
      </c>
      <c r="F22" s="94" t="s">
        <v>804</v>
      </c>
      <c r="G22" s="8" t="s">
        <v>804</v>
      </c>
      <c r="H22" s="170"/>
      <c r="I22" s="8" t="s">
        <v>804</v>
      </c>
      <c r="J22" s="8" t="s">
        <v>804</v>
      </c>
      <c r="K22" s="94" t="s">
        <v>804</v>
      </c>
      <c r="L22" s="8" t="s">
        <v>804</v>
      </c>
      <c r="M22" s="8" t="s">
        <v>803</v>
      </c>
      <c r="N22" s="163"/>
      <c r="O22" s="170"/>
      <c r="P22" s="94" t="s">
        <v>804</v>
      </c>
      <c r="Q22" s="8" t="s">
        <v>804</v>
      </c>
      <c r="R22" s="94" t="s">
        <v>804</v>
      </c>
      <c r="S22" s="163"/>
      <c r="T22" s="8" t="s">
        <v>804</v>
      </c>
      <c r="U22" s="8" t="s">
        <v>804</v>
      </c>
      <c r="V22" s="158"/>
      <c r="W22" s="5">
        <f>COUNTIF(F22:V22,"P")</f>
        <v>11</v>
      </c>
      <c r="X22" s="5">
        <f>COUNTIF(F22:V22,"A")</f>
        <v>1</v>
      </c>
      <c r="Y22" s="5" t="s">
        <v>17</v>
      </c>
      <c r="Z22" s="9">
        <f>Z21-Z14</f>
        <v>359</v>
      </c>
      <c r="AA22" s="9">
        <f>AA21-AA14</f>
        <v>397</v>
      </c>
      <c r="AB22" s="9">
        <f>Z22+AA22</f>
        <v>756</v>
      </c>
    </row>
    <row r="23" spans="1:28" ht="16.5" x14ac:dyDescent="0.25">
      <c r="A23" s="20">
        <v>19</v>
      </c>
      <c r="B23" s="20">
        <v>845</v>
      </c>
      <c r="C23" s="24" t="s">
        <v>522</v>
      </c>
      <c r="D23" s="24" t="s">
        <v>114</v>
      </c>
      <c r="E23" s="19" t="s">
        <v>724</v>
      </c>
      <c r="F23" s="94" t="s">
        <v>804</v>
      </c>
      <c r="G23" s="8" t="s">
        <v>804</v>
      </c>
      <c r="H23" s="170"/>
      <c r="I23" s="8" t="s">
        <v>804</v>
      </c>
      <c r="J23" s="8" t="s">
        <v>804</v>
      </c>
      <c r="K23" s="94" t="s">
        <v>803</v>
      </c>
      <c r="L23" s="8" t="s">
        <v>804</v>
      </c>
      <c r="M23" s="8" t="s">
        <v>804</v>
      </c>
      <c r="N23" s="163"/>
      <c r="O23" s="170"/>
      <c r="P23" s="94" t="s">
        <v>803</v>
      </c>
      <c r="Q23" s="8" t="s">
        <v>803</v>
      </c>
      <c r="R23" s="94" t="s">
        <v>804</v>
      </c>
      <c r="S23" s="163"/>
      <c r="T23" s="8" t="s">
        <v>804</v>
      </c>
      <c r="U23" s="8" t="s">
        <v>804</v>
      </c>
      <c r="V23" s="158"/>
      <c r="W23" s="5">
        <f>COUNTIF(F23:V23,"P")</f>
        <v>9</v>
      </c>
      <c r="X23" s="5">
        <f>COUNTIF(F23:V23,"A")</f>
        <v>3</v>
      </c>
      <c r="Y23" s="5" t="s">
        <v>16</v>
      </c>
      <c r="Z23" s="12">
        <f>Z22/Z21</f>
        <v>0.60033444816053516</v>
      </c>
      <c r="AA23" s="12">
        <f>AA22/AA21</f>
        <v>0.66387959866220736</v>
      </c>
      <c r="AB23" s="12">
        <f>AB22/AB21</f>
        <v>0.63210702341137126</v>
      </c>
    </row>
    <row r="24" spans="1:28" ht="16.5" x14ac:dyDescent="0.25">
      <c r="A24" s="20">
        <v>20</v>
      </c>
      <c r="B24" s="9">
        <v>860</v>
      </c>
      <c r="C24" s="24" t="s">
        <v>523</v>
      </c>
      <c r="D24" s="24" t="s">
        <v>396</v>
      </c>
      <c r="E24" s="19" t="s">
        <v>724</v>
      </c>
      <c r="F24" s="94" t="s">
        <v>804</v>
      </c>
      <c r="G24" s="8" t="s">
        <v>804</v>
      </c>
      <c r="H24" s="170"/>
      <c r="I24" s="8" t="s">
        <v>804</v>
      </c>
      <c r="J24" s="8" t="s">
        <v>804</v>
      </c>
      <c r="K24" s="94" t="s">
        <v>804</v>
      </c>
      <c r="L24" s="8" t="s">
        <v>804</v>
      </c>
      <c r="M24" s="8" t="s">
        <v>804</v>
      </c>
      <c r="N24" s="163"/>
      <c r="O24" s="170"/>
      <c r="P24" s="94" t="s">
        <v>804</v>
      </c>
      <c r="Q24" s="8" t="s">
        <v>804</v>
      </c>
      <c r="R24" s="94" t="s">
        <v>804</v>
      </c>
      <c r="S24" s="163"/>
      <c r="T24" s="8" t="s">
        <v>804</v>
      </c>
      <c r="U24" s="8" t="s">
        <v>804</v>
      </c>
      <c r="V24" s="158"/>
      <c r="W24" s="5">
        <f>COUNTIF(F24:V24,"P")</f>
        <v>12</v>
      </c>
      <c r="X24" s="5">
        <f>COUNTIF(F24:V24,"A")</f>
        <v>0</v>
      </c>
    </row>
    <row r="25" spans="1:28" ht="16.5" x14ac:dyDescent="0.25">
      <c r="A25" s="20">
        <v>21</v>
      </c>
      <c r="B25" s="20">
        <v>888</v>
      </c>
      <c r="C25" s="24" t="s">
        <v>524</v>
      </c>
      <c r="D25" s="24" t="s">
        <v>525</v>
      </c>
      <c r="E25" s="19" t="s">
        <v>724</v>
      </c>
      <c r="F25" s="94" t="s">
        <v>804</v>
      </c>
      <c r="G25" s="8" t="s">
        <v>804</v>
      </c>
      <c r="H25" s="170"/>
      <c r="I25" s="8" t="s">
        <v>804</v>
      </c>
      <c r="J25" s="8" t="s">
        <v>803</v>
      </c>
      <c r="K25" s="94" t="s">
        <v>803</v>
      </c>
      <c r="L25" s="8" t="s">
        <v>804</v>
      </c>
      <c r="M25" s="8" t="s">
        <v>804</v>
      </c>
      <c r="N25" s="163"/>
      <c r="O25" s="170"/>
      <c r="P25" s="94" t="s">
        <v>804</v>
      </c>
      <c r="Q25" s="8" t="s">
        <v>804</v>
      </c>
      <c r="R25" s="94" t="s">
        <v>804</v>
      </c>
      <c r="S25" s="163"/>
      <c r="T25" s="8" t="s">
        <v>804</v>
      </c>
      <c r="U25" s="8" t="s">
        <v>804</v>
      </c>
      <c r="V25" s="158"/>
      <c r="W25" s="5">
        <f>COUNTIF(F25:V25,"P")</f>
        <v>10</v>
      </c>
      <c r="X25" s="5">
        <f>COUNTIF(F25:V25,"A")</f>
        <v>2</v>
      </c>
    </row>
    <row r="26" spans="1:28" ht="16.5" x14ac:dyDescent="0.25">
      <c r="A26" s="20">
        <v>22</v>
      </c>
      <c r="B26" s="20">
        <v>470</v>
      </c>
      <c r="C26" s="24" t="s">
        <v>745</v>
      </c>
      <c r="D26" s="24" t="s">
        <v>751</v>
      </c>
      <c r="E26" s="19" t="s">
        <v>724</v>
      </c>
      <c r="F26" s="94" t="s">
        <v>804</v>
      </c>
      <c r="G26" s="8" t="s">
        <v>804</v>
      </c>
      <c r="H26" s="170"/>
      <c r="I26" s="8" t="s">
        <v>804</v>
      </c>
      <c r="J26" s="8" t="s">
        <v>804</v>
      </c>
      <c r="K26" s="94" t="s">
        <v>804</v>
      </c>
      <c r="L26" s="8" t="s">
        <v>804</v>
      </c>
      <c r="M26" s="8" t="s">
        <v>804</v>
      </c>
      <c r="N26" s="163"/>
      <c r="O26" s="170"/>
      <c r="P26" s="94" t="s">
        <v>803</v>
      </c>
      <c r="Q26" s="8" t="s">
        <v>804</v>
      </c>
      <c r="R26" s="94" t="s">
        <v>804</v>
      </c>
      <c r="S26" s="163"/>
      <c r="T26" s="8" t="s">
        <v>804</v>
      </c>
      <c r="U26" s="8" t="s">
        <v>804</v>
      </c>
      <c r="V26" s="158"/>
      <c r="W26" s="5">
        <f>COUNTIF(F26:V26,"P")</f>
        <v>11</v>
      </c>
      <c r="X26" s="5">
        <f>COUNTIF(F26:V26,"A")</f>
        <v>1</v>
      </c>
    </row>
    <row r="27" spans="1:28" ht="16.5" x14ac:dyDescent="0.25">
      <c r="A27" s="20">
        <v>23</v>
      </c>
      <c r="B27" s="20">
        <v>790</v>
      </c>
      <c r="C27" s="24" t="s">
        <v>566</v>
      </c>
      <c r="D27" s="24" t="s">
        <v>752</v>
      </c>
      <c r="E27" s="19" t="s">
        <v>724</v>
      </c>
      <c r="F27" s="94" t="s">
        <v>804</v>
      </c>
      <c r="G27" s="8" t="s">
        <v>803</v>
      </c>
      <c r="H27" s="170"/>
      <c r="I27" s="8" t="s">
        <v>804</v>
      </c>
      <c r="J27" s="8" t="s">
        <v>804</v>
      </c>
      <c r="K27" s="94" t="s">
        <v>804</v>
      </c>
      <c r="L27" s="8" t="s">
        <v>804</v>
      </c>
      <c r="M27" s="8" t="s">
        <v>804</v>
      </c>
      <c r="N27" s="163"/>
      <c r="O27" s="170"/>
      <c r="P27" s="94" t="s">
        <v>804</v>
      </c>
      <c r="Q27" s="8" t="s">
        <v>803</v>
      </c>
      <c r="R27" s="94" t="s">
        <v>804</v>
      </c>
      <c r="S27" s="163"/>
      <c r="T27" s="8" t="s">
        <v>804</v>
      </c>
      <c r="U27" s="8" t="s">
        <v>803</v>
      </c>
      <c r="V27" s="158"/>
      <c r="W27" s="5">
        <f>COUNTIF(F27:V27,"P")</f>
        <v>9</v>
      </c>
      <c r="X27" s="5">
        <f>COUNTIF(F27:V27,"A")</f>
        <v>3</v>
      </c>
    </row>
    <row r="28" spans="1:28" ht="16.5" x14ac:dyDescent="0.25">
      <c r="A28" s="20">
        <v>24</v>
      </c>
      <c r="B28" s="20"/>
      <c r="C28" s="24" t="s">
        <v>746</v>
      </c>
      <c r="D28" s="24" t="s">
        <v>753</v>
      </c>
      <c r="E28" s="19" t="s">
        <v>724</v>
      </c>
      <c r="F28" s="94" t="s">
        <v>804</v>
      </c>
      <c r="G28" s="8" t="s">
        <v>804</v>
      </c>
      <c r="H28" s="170"/>
      <c r="I28" s="8" t="s">
        <v>804</v>
      </c>
      <c r="J28" s="8" t="s">
        <v>804</v>
      </c>
      <c r="K28" s="94" t="s">
        <v>804</v>
      </c>
      <c r="L28" s="8" t="s">
        <v>804</v>
      </c>
      <c r="M28" s="8" t="s">
        <v>804</v>
      </c>
      <c r="N28" s="163"/>
      <c r="O28" s="170"/>
      <c r="P28" s="94" t="s">
        <v>803</v>
      </c>
      <c r="Q28" s="8" t="s">
        <v>804</v>
      </c>
      <c r="R28" s="94" t="s">
        <v>804</v>
      </c>
      <c r="S28" s="163"/>
      <c r="T28" s="8" t="s">
        <v>804</v>
      </c>
      <c r="U28" s="8" t="s">
        <v>804</v>
      </c>
      <c r="V28" s="158"/>
      <c r="W28" s="5">
        <f>COUNTIF(F28:V28,"P")</f>
        <v>11</v>
      </c>
      <c r="X28" s="5">
        <f>COUNTIF(F28:V28,"A")</f>
        <v>1</v>
      </c>
    </row>
    <row r="29" spans="1:28" ht="16.5" x14ac:dyDescent="0.25">
      <c r="A29" s="20">
        <v>25</v>
      </c>
      <c r="B29" s="20"/>
      <c r="C29" s="24" t="s">
        <v>835</v>
      </c>
      <c r="D29" s="24" t="s">
        <v>836</v>
      </c>
      <c r="E29" s="19" t="s">
        <v>724</v>
      </c>
      <c r="F29" s="94" t="s">
        <v>803</v>
      </c>
      <c r="G29" s="8" t="s">
        <v>804</v>
      </c>
      <c r="H29" s="170"/>
      <c r="I29" s="8" t="s">
        <v>804</v>
      </c>
      <c r="J29" s="8" t="s">
        <v>804</v>
      </c>
      <c r="K29" s="94" t="s">
        <v>803</v>
      </c>
      <c r="L29" s="8" t="s">
        <v>804</v>
      </c>
      <c r="M29" s="8" t="s">
        <v>804</v>
      </c>
      <c r="N29" s="163"/>
      <c r="O29" s="170"/>
      <c r="P29" s="94" t="s">
        <v>804</v>
      </c>
      <c r="Q29" s="8" t="s">
        <v>803</v>
      </c>
      <c r="R29" s="94" t="s">
        <v>803</v>
      </c>
      <c r="S29" s="163"/>
      <c r="T29" s="8" t="s">
        <v>804</v>
      </c>
      <c r="U29" s="8" t="s">
        <v>804</v>
      </c>
      <c r="V29" s="158"/>
      <c r="W29" s="5">
        <f>COUNTIF(F29:V29,"P")</f>
        <v>8</v>
      </c>
      <c r="X29" s="5">
        <f>COUNTIF(F29:V29,"A")</f>
        <v>4</v>
      </c>
    </row>
    <row r="30" spans="1:28" ht="16.5" x14ac:dyDescent="0.25">
      <c r="A30" s="20">
        <v>25</v>
      </c>
      <c r="B30" s="20">
        <v>250</v>
      </c>
      <c r="C30" s="24" t="s">
        <v>747</v>
      </c>
      <c r="D30" s="24" t="s">
        <v>754</v>
      </c>
      <c r="E30" s="19" t="s">
        <v>724</v>
      </c>
      <c r="F30" s="94" t="s">
        <v>804</v>
      </c>
      <c r="G30" s="8" t="s">
        <v>803</v>
      </c>
      <c r="H30" s="170"/>
      <c r="I30" s="8" t="s">
        <v>804</v>
      </c>
      <c r="J30" s="8" t="s">
        <v>804</v>
      </c>
      <c r="K30" s="94" t="s">
        <v>803</v>
      </c>
      <c r="L30" s="8" t="s">
        <v>804</v>
      </c>
      <c r="M30" s="8" t="s">
        <v>804</v>
      </c>
      <c r="N30" s="163"/>
      <c r="O30" s="170"/>
      <c r="P30" s="94" t="s">
        <v>803</v>
      </c>
      <c r="Q30" s="8" t="s">
        <v>803</v>
      </c>
      <c r="R30" s="94" t="s">
        <v>804</v>
      </c>
      <c r="S30" s="163"/>
      <c r="T30" s="8" t="s">
        <v>804</v>
      </c>
      <c r="U30" s="8" t="s">
        <v>803</v>
      </c>
      <c r="V30" s="158"/>
      <c r="W30" s="5">
        <f>COUNTIF(F30:V30,"P")</f>
        <v>7</v>
      </c>
      <c r="X30" s="5">
        <f>COUNTIF(F30:V30,"A")</f>
        <v>5</v>
      </c>
    </row>
    <row r="31" spans="1:28" ht="16.5" x14ac:dyDescent="0.25">
      <c r="A31" s="9">
        <v>1</v>
      </c>
      <c r="B31" s="9">
        <v>334</v>
      </c>
      <c r="C31" s="24" t="s">
        <v>526</v>
      </c>
      <c r="D31" s="24" t="s">
        <v>527</v>
      </c>
      <c r="E31" s="19" t="s">
        <v>724</v>
      </c>
      <c r="F31" s="94" t="s">
        <v>804</v>
      </c>
      <c r="G31" s="8" t="s">
        <v>804</v>
      </c>
      <c r="H31" s="170"/>
      <c r="I31" s="8" t="s">
        <v>803</v>
      </c>
      <c r="J31" s="8" t="s">
        <v>804</v>
      </c>
      <c r="K31" s="94" t="s">
        <v>803</v>
      </c>
      <c r="L31" s="8" t="s">
        <v>803</v>
      </c>
      <c r="M31" s="8" t="s">
        <v>804</v>
      </c>
      <c r="N31" s="163"/>
      <c r="O31" s="170"/>
      <c r="P31" s="94" t="s">
        <v>804</v>
      </c>
      <c r="Q31" s="8" t="s">
        <v>804</v>
      </c>
      <c r="R31" s="94" t="s">
        <v>804</v>
      </c>
      <c r="S31" s="163"/>
      <c r="T31" s="8" t="s">
        <v>804</v>
      </c>
      <c r="U31" s="8" t="s">
        <v>803</v>
      </c>
      <c r="V31" s="158"/>
      <c r="W31" s="5">
        <f>COUNTIF(F31:V31,"P")</f>
        <v>8</v>
      </c>
      <c r="X31" s="5">
        <f>COUNTIF(F31:V31,"A")</f>
        <v>4</v>
      </c>
    </row>
    <row r="32" spans="1:28" ht="16.5" x14ac:dyDescent="0.25">
      <c r="A32" s="9">
        <v>2</v>
      </c>
      <c r="B32" s="20">
        <v>507</v>
      </c>
      <c r="C32" s="22" t="s">
        <v>528</v>
      </c>
      <c r="D32" s="23" t="s">
        <v>464</v>
      </c>
      <c r="E32" s="19" t="s">
        <v>724</v>
      </c>
      <c r="F32" s="94" t="s">
        <v>803</v>
      </c>
      <c r="G32" s="8" t="s">
        <v>803</v>
      </c>
      <c r="H32" s="170"/>
      <c r="I32" s="8" t="s">
        <v>803</v>
      </c>
      <c r="J32" s="8" t="s">
        <v>803</v>
      </c>
      <c r="K32" s="94" t="s">
        <v>803</v>
      </c>
      <c r="L32" s="8" t="s">
        <v>803</v>
      </c>
      <c r="M32" s="8" t="s">
        <v>803</v>
      </c>
      <c r="N32" s="163"/>
      <c r="O32" s="170"/>
      <c r="P32" s="94" t="s">
        <v>803</v>
      </c>
      <c r="Q32" s="8" t="s">
        <v>803</v>
      </c>
      <c r="R32" s="94" t="s">
        <v>803</v>
      </c>
      <c r="S32" s="163"/>
      <c r="T32" s="8" t="s">
        <v>803</v>
      </c>
      <c r="U32" s="8" t="s">
        <v>803</v>
      </c>
      <c r="V32" s="158"/>
      <c r="W32" s="5">
        <f>COUNTIF(F32:V32,"P")</f>
        <v>0</v>
      </c>
      <c r="X32" s="5">
        <f>COUNTIF(F32:V32,"A")</f>
        <v>12</v>
      </c>
    </row>
    <row r="33" spans="1:24" ht="16.5" x14ac:dyDescent="0.25">
      <c r="A33" s="9">
        <v>3</v>
      </c>
      <c r="B33" s="20">
        <v>706</v>
      </c>
      <c r="C33" s="22" t="s">
        <v>529</v>
      </c>
      <c r="D33" s="23" t="s">
        <v>295</v>
      </c>
      <c r="E33" s="19" t="s">
        <v>724</v>
      </c>
      <c r="F33" s="94" t="s">
        <v>804</v>
      </c>
      <c r="G33" s="8" t="s">
        <v>803</v>
      </c>
      <c r="H33" s="170"/>
      <c r="I33" s="8" t="s">
        <v>803</v>
      </c>
      <c r="J33" s="8" t="s">
        <v>804</v>
      </c>
      <c r="K33" s="94" t="s">
        <v>803</v>
      </c>
      <c r="L33" s="8" t="s">
        <v>803</v>
      </c>
      <c r="M33" s="8" t="s">
        <v>804</v>
      </c>
      <c r="N33" s="163"/>
      <c r="O33" s="170"/>
      <c r="P33" s="94" t="s">
        <v>804</v>
      </c>
      <c r="Q33" s="8" t="s">
        <v>804</v>
      </c>
      <c r="R33" s="94" t="s">
        <v>804</v>
      </c>
      <c r="S33" s="163"/>
      <c r="T33" s="8" t="s">
        <v>804</v>
      </c>
      <c r="U33" s="8" t="s">
        <v>804</v>
      </c>
      <c r="V33" s="158"/>
      <c r="W33" s="5">
        <f>COUNTIF(F33:V33,"P")</f>
        <v>8</v>
      </c>
      <c r="X33" s="5">
        <f>COUNTIF(F33:V33,"A")</f>
        <v>4</v>
      </c>
    </row>
    <row r="34" spans="1:24" ht="16.5" x14ac:dyDescent="0.25">
      <c r="A34" s="9">
        <v>4</v>
      </c>
      <c r="B34" s="20">
        <v>608</v>
      </c>
      <c r="C34" s="22" t="s">
        <v>530</v>
      </c>
      <c r="D34" s="23" t="s">
        <v>129</v>
      </c>
      <c r="E34" s="19" t="s">
        <v>724</v>
      </c>
      <c r="F34" s="94" t="s">
        <v>803</v>
      </c>
      <c r="G34" s="8" t="s">
        <v>803</v>
      </c>
      <c r="H34" s="170"/>
      <c r="I34" s="8" t="s">
        <v>803</v>
      </c>
      <c r="J34" s="8" t="s">
        <v>803</v>
      </c>
      <c r="K34" s="94" t="s">
        <v>803</v>
      </c>
      <c r="L34" s="8" t="s">
        <v>803</v>
      </c>
      <c r="M34" s="8" t="s">
        <v>803</v>
      </c>
      <c r="N34" s="163"/>
      <c r="O34" s="170"/>
      <c r="P34" s="94" t="s">
        <v>804</v>
      </c>
      <c r="Q34" s="8" t="s">
        <v>803</v>
      </c>
      <c r="R34" s="94" t="s">
        <v>803</v>
      </c>
      <c r="S34" s="163"/>
      <c r="T34" s="8" t="s">
        <v>803</v>
      </c>
      <c r="U34" s="8" t="s">
        <v>804</v>
      </c>
      <c r="V34" s="158"/>
      <c r="W34" s="5">
        <f>COUNTIF(F34:V34,"P")</f>
        <v>2</v>
      </c>
      <c r="X34" s="5">
        <f>COUNTIF(F34:V34,"A")</f>
        <v>10</v>
      </c>
    </row>
    <row r="35" spans="1:24" ht="16.5" x14ac:dyDescent="0.25">
      <c r="A35" s="9">
        <v>5</v>
      </c>
      <c r="B35" s="20">
        <v>603</v>
      </c>
      <c r="C35" s="22" t="s">
        <v>365</v>
      </c>
      <c r="D35" s="23" t="s">
        <v>26</v>
      </c>
      <c r="E35" s="19" t="s">
        <v>724</v>
      </c>
      <c r="F35" s="94" t="s">
        <v>804</v>
      </c>
      <c r="G35" s="8" t="s">
        <v>804</v>
      </c>
      <c r="H35" s="170"/>
      <c r="I35" s="8" t="s">
        <v>804</v>
      </c>
      <c r="J35" s="8" t="s">
        <v>804</v>
      </c>
      <c r="K35" s="94" t="s">
        <v>804</v>
      </c>
      <c r="L35" s="8" t="s">
        <v>804</v>
      </c>
      <c r="M35" s="8" t="s">
        <v>804</v>
      </c>
      <c r="N35" s="163"/>
      <c r="O35" s="170"/>
      <c r="P35" s="94" t="s">
        <v>804</v>
      </c>
      <c r="Q35" s="8" t="s">
        <v>804</v>
      </c>
      <c r="R35" s="94" t="s">
        <v>804</v>
      </c>
      <c r="S35" s="163"/>
      <c r="T35" s="8" t="s">
        <v>804</v>
      </c>
      <c r="U35" s="8" t="s">
        <v>803</v>
      </c>
      <c r="V35" s="158"/>
      <c r="W35" s="5">
        <f>COUNTIF(F35:V35,"P")</f>
        <v>11</v>
      </c>
      <c r="X35" s="5">
        <f>COUNTIF(F35:V35,"A")</f>
        <v>1</v>
      </c>
    </row>
    <row r="36" spans="1:24" ht="16.5" x14ac:dyDescent="0.25">
      <c r="A36" s="9">
        <v>6</v>
      </c>
      <c r="B36" s="20">
        <v>503</v>
      </c>
      <c r="C36" s="22" t="s">
        <v>531</v>
      </c>
      <c r="D36" s="23" t="s">
        <v>518</v>
      </c>
      <c r="E36" s="19" t="s">
        <v>724</v>
      </c>
      <c r="F36" s="94" t="s">
        <v>804</v>
      </c>
      <c r="G36" s="8" t="s">
        <v>804</v>
      </c>
      <c r="H36" s="170"/>
      <c r="I36" s="8" t="s">
        <v>804</v>
      </c>
      <c r="J36" s="8" t="s">
        <v>804</v>
      </c>
      <c r="K36" s="94" t="s">
        <v>804</v>
      </c>
      <c r="L36" s="8" t="s">
        <v>804</v>
      </c>
      <c r="M36" s="8" t="s">
        <v>804</v>
      </c>
      <c r="N36" s="163"/>
      <c r="O36" s="170"/>
      <c r="P36" s="94" t="s">
        <v>804</v>
      </c>
      <c r="Q36" s="8" t="s">
        <v>804</v>
      </c>
      <c r="R36" s="94" t="s">
        <v>804</v>
      </c>
      <c r="S36" s="163"/>
      <c r="T36" s="8" t="s">
        <v>804</v>
      </c>
      <c r="U36" s="8" t="s">
        <v>803</v>
      </c>
      <c r="V36" s="158"/>
      <c r="W36" s="5">
        <f>COUNTIF(F36:V36,"P")</f>
        <v>11</v>
      </c>
      <c r="X36" s="5">
        <f>COUNTIF(F36:V36,"A")</f>
        <v>1</v>
      </c>
    </row>
    <row r="37" spans="1:24" ht="16.5" x14ac:dyDescent="0.25">
      <c r="A37" s="9">
        <v>7</v>
      </c>
      <c r="B37" s="20">
        <v>606</v>
      </c>
      <c r="C37" s="22" t="s">
        <v>532</v>
      </c>
      <c r="D37" s="23" t="s">
        <v>533</v>
      </c>
      <c r="E37" s="19" t="s">
        <v>724</v>
      </c>
      <c r="F37" s="94" t="s">
        <v>803</v>
      </c>
      <c r="G37" s="8" t="s">
        <v>804</v>
      </c>
      <c r="H37" s="170"/>
      <c r="I37" s="8" t="s">
        <v>803</v>
      </c>
      <c r="J37" s="8" t="s">
        <v>803</v>
      </c>
      <c r="K37" s="94" t="s">
        <v>803</v>
      </c>
      <c r="L37" s="8" t="s">
        <v>803</v>
      </c>
      <c r="M37" s="8" t="s">
        <v>803</v>
      </c>
      <c r="N37" s="163"/>
      <c r="O37" s="170"/>
      <c r="P37" s="94" t="s">
        <v>804</v>
      </c>
      <c r="Q37" s="8" t="s">
        <v>804</v>
      </c>
      <c r="R37" s="94" t="s">
        <v>803</v>
      </c>
      <c r="S37" s="163"/>
      <c r="T37" s="8" t="s">
        <v>803</v>
      </c>
      <c r="U37" s="8" t="s">
        <v>803</v>
      </c>
      <c r="V37" s="158"/>
      <c r="W37" s="5">
        <f>COUNTIF(F37:V37,"P")</f>
        <v>3</v>
      </c>
      <c r="X37" s="5">
        <f>COUNTIF(F37:V37,"A")</f>
        <v>9</v>
      </c>
    </row>
    <row r="38" spans="1:24" ht="16.5" x14ac:dyDescent="0.25">
      <c r="A38" s="9">
        <v>8</v>
      </c>
      <c r="B38" s="20">
        <v>641</v>
      </c>
      <c r="C38" s="22" t="s">
        <v>825</v>
      </c>
      <c r="D38" s="23" t="s">
        <v>826</v>
      </c>
      <c r="E38" s="19" t="s">
        <v>724</v>
      </c>
      <c r="F38" s="94" t="s">
        <v>803</v>
      </c>
      <c r="G38" s="8" t="s">
        <v>803</v>
      </c>
      <c r="H38" s="170"/>
      <c r="I38" s="8" t="s">
        <v>803</v>
      </c>
      <c r="J38" s="8" t="s">
        <v>803</v>
      </c>
      <c r="K38" s="94" t="s">
        <v>803</v>
      </c>
      <c r="L38" s="8" t="s">
        <v>803</v>
      </c>
      <c r="M38" s="8" t="s">
        <v>803</v>
      </c>
      <c r="N38" s="163"/>
      <c r="O38" s="170"/>
      <c r="P38" s="94" t="s">
        <v>803</v>
      </c>
      <c r="Q38" s="8" t="s">
        <v>803</v>
      </c>
      <c r="R38" s="94" t="s">
        <v>803</v>
      </c>
      <c r="S38" s="163"/>
      <c r="T38" s="8" t="s">
        <v>803</v>
      </c>
      <c r="U38" s="8" t="s">
        <v>803</v>
      </c>
      <c r="V38" s="158"/>
      <c r="W38" s="5">
        <f>COUNTIF(F38:V38,"P")</f>
        <v>0</v>
      </c>
      <c r="X38" s="5">
        <f>COUNTIF(F38:V38,"A")</f>
        <v>12</v>
      </c>
    </row>
    <row r="39" spans="1:24" ht="16.5" x14ac:dyDescent="0.25">
      <c r="A39" s="9">
        <v>9</v>
      </c>
      <c r="B39" s="20">
        <v>610</v>
      </c>
      <c r="C39" s="22" t="s">
        <v>535</v>
      </c>
      <c r="D39" s="23" t="s">
        <v>166</v>
      </c>
      <c r="E39" s="19" t="s">
        <v>724</v>
      </c>
      <c r="F39" s="94" t="s">
        <v>804</v>
      </c>
      <c r="G39" s="8" t="s">
        <v>803</v>
      </c>
      <c r="H39" s="170"/>
      <c r="I39" s="8" t="s">
        <v>803</v>
      </c>
      <c r="J39" s="8" t="s">
        <v>803</v>
      </c>
      <c r="K39" s="94" t="s">
        <v>803</v>
      </c>
      <c r="L39" s="8" t="s">
        <v>803</v>
      </c>
      <c r="M39" s="8" t="s">
        <v>804</v>
      </c>
      <c r="N39" s="163"/>
      <c r="O39" s="170"/>
      <c r="P39" s="94" t="s">
        <v>804</v>
      </c>
      <c r="Q39" s="8" t="s">
        <v>804</v>
      </c>
      <c r="R39" s="94" t="s">
        <v>804</v>
      </c>
      <c r="S39" s="163"/>
      <c r="T39" s="8" t="s">
        <v>804</v>
      </c>
      <c r="U39" s="8" t="s">
        <v>804</v>
      </c>
      <c r="V39" s="158"/>
      <c r="W39" s="5">
        <f>COUNTIF(F39:V39,"P")</f>
        <v>7</v>
      </c>
      <c r="X39" s="5">
        <f>COUNTIF(F39:V39,"A")</f>
        <v>5</v>
      </c>
    </row>
    <row r="40" spans="1:24" ht="16.5" x14ac:dyDescent="0.25">
      <c r="A40" s="9">
        <v>10</v>
      </c>
      <c r="B40" s="20">
        <v>709</v>
      </c>
      <c r="C40" s="22" t="s">
        <v>536</v>
      </c>
      <c r="D40" s="23" t="s">
        <v>537</v>
      </c>
      <c r="E40" s="19" t="s">
        <v>724</v>
      </c>
      <c r="F40" s="94" t="s">
        <v>804</v>
      </c>
      <c r="G40" s="8" t="s">
        <v>804</v>
      </c>
      <c r="H40" s="170"/>
      <c r="I40" s="8" t="s">
        <v>804</v>
      </c>
      <c r="J40" s="8" t="s">
        <v>804</v>
      </c>
      <c r="K40" s="94" t="s">
        <v>804</v>
      </c>
      <c r="L40" s="8" t="s">
        <v>804</v>
      </c>
      <c r="M40" s="8" t="s">
        <v>804</v>
      </c>
      <c r="N40" s="163"/>
      <c r="O40" s="170"/>
      <c r="P40" s="94" t="s">
        <v>804</v>
      </c>
      <c r="Q40" s="8" t="s">
        <v>804</v>
      </c>
      <c r="R40" s="94" t="s">
        <v>804</v>
      </c>
      <c r="S40" s="163"/>
      <c r="T40" s="8" t="s">
        <v>804</v>
      </c>
      <c r="U40" s="8" t="s">
        <v>804</v>
      </c>
      <c r="V40" s="158"/>
      <c r="W40" s="5">
        <f>COUNTIF(F40:V40,"P")</f>
        <v>12</v>
      </c>
      <c r="X40" s="5">
        <f>COUNTIF(F40:V40,"A")</f>
        <v>0</v>
      </c>
    </row>
    <row r="41" spans="1:24" ht="16.5" x14ac:dyDescent="0.25">
      <c r="A41" s="9">
        <v>11</v>
      </c>
      <c r="B41" s="20">
        <v>318</v>
      </c>
      <c r="C41" s="22" t="s">
        <v>538</v>
      </c>
      <c r="D41" s="23" t="s">
        <v>539</v>
      </c>
      <c r="E41" s="19" t="s">
        <v>724</v>
      </c>
      <c r="F41" s="94" t="s">
        <v>803</v>
      </c>
      <c r="G41" s="8" t="s">
        <v>803</v>
      </c>
      <c r="H41" s="170"/>
      <c r="I41" s="8" t="s">
        <v>803</v>
      </c>
      <c r="J41" s="8" t="s">
        <v>803</v>
      </c>
      <c r="K41" s="94" t="s">
        <v>803</v>
      </c>
      <c r="L41" s="8" t="s">
        <v>803</v>
      </c>
      <c r="M41" s="8" t="s">
        <v>803</v>
      </c>
      <c r="N41" s="163"/>
      <c r="O41" s="170"/>
      <c r="P41" s="94" t="s">
        <v>804</v>
      </c>
      <c r="Q41" s="8" t="s">
        <v>803</v>
      </c>
      <c r="R41" s="94" t="s">
        <v>803</v>
      </c>
      <c r="S41" s="163"/>
      <c r="T41" s="8" t="s">
        <v>803</v>
      </c>
      <c r="U41" s="8" t="s">
        <v>803</v>
      </c>
      <c r="V41" s="158"/>
      <c r="W41" s="5">
        <f>COUNTIF(F41:V41,"P")</f>
        <v>1</v>
      </c>
      <c r="X41" s="5">
        <f>COUNTIF(F41:V41,"A")</f>
        <v>11</v>
      </c>
    </row>
    <row r="42" spans="1:24" ht="16.5" x14ac:dyDescent="0.25">
      <c r="A42" s="9">
        <v>12</v>
      </c>
      <c r="B42" s="20">
        <v>707</v>
      </c>
      <c r="C42" s="22" t="s">
        <v>540</v>
      </c>
      <c r="D42" s="23" t="s">
        <v>184</v>
      </c>
      <c r="E42" s="19" t="s">
        <v>724</v>
      </c>
      <c r="F42" s="94" t="s">
        <v>804</v>
      </c>
      <c r="G42" s="8" t="s">
        <v>804</v>
      </c>
      <c r="H42" s="170"/>
      <c r="I42" s="8" t="s">
        <v>804</v>
      </c>
      <c r="J42" s="8" t="s">
        <v>804</v>
      </c>
      <c r="K42" s="94" t="s">
        <v>804</v>
      </c>
      <c r="L42" s="8" t="s">
        <v>804</v>
      </c>
      <c r="M42" s="8" t="s">
        <v>804</v>
      </c>
      <c r="N42" s="163"/>
      <c r="O42" s="170"/>
      <c r="P42" s="94" t="s">
        <v>803</v>
      </c>
      <c r="Q42" s="8" t="s">
        <v>804</v>
      </c>
      <c r="R42" s="94" t="s">
        <v>804</v>
      </c>
      <c r="S42" s="163"/>
      <c r="T42" s="8" t="s">
        <v>804</v>
      </c>
      <c r="U42" s="8" t="s">
        <v>804</v>
      </c>
      <c r="V42" s="158"/>
      <c r="W42" s="5">
        <f>COUNTIF(F42:V42,"P")</f>
        <v>11</v>
      </c>
      <c r="X42" s="5">
        <f>COUNTIF(F42:V42,"A")</f>
        <v>1</v>
      </c>
    </row>
    <row r="43" spans="1:24" ht="16.5" x14ac:dyDescent="0.25">
      <c r="A43" s="9">
        <v>13</v>
      </c>
      <c r="B43" s="20">
        <v>486</v>
      </c>
      <c r="C43" s="22" t="s">
        <v>541</v>
      </c>
      <c r="D43" s="23" t="s">
        <v>129</v>
      </c>
      <c r="E43" s="19" t="s">
        <v>724</v>
      </c>
      <c r="F43" s="94" t="s">
        <v>804</v>
      </c>
      <c r="G43" s="8" t="s">
        <v>804</v>
      </c>
      <c r="H43" s="170"/>
      <c r="I43" s="8" t="s">
        <v>804</v>
      </c>
      <c r="J43" s="8" t="s">
        <v>804</v>
      </c>
      <c r="K43" s="94" t="s">
        <v>804</v>
      </c>
      <c r="L43" s="8" t="s">
        <v>804</v>
      </c>
      <c r="M43" s="8" t="s">
        <v>804</v>
      </c>
      <c r="N43" s="163"/>
      <c r="O43" s="170"/>
      <c r="P43" s="94" t="s">
        <v>804</v>
      </c>
      <c r="Q43" s="8" t="s">
        <v>804</v>
      </c>
      <c r="R43" s="94" t="s">
        <v>804</v>
      </c>
      <c r="S43" s="163"/>
      <c r="T43" s="8" t="s">
        <v>804</v>
      </c>
      <c r="U43" s="8" t="s">
        <v>804</v>
      </c>
      <c r="V43" s="158"/>
      <c r="W43" s="5">
        <f>COUNTIF(F43:V43,"P")</f>
        <v>12</v>
      </c>
      <c r="X43" s="5">
        <f>COUNTIF(F43:V43,"A")</f>
        <v>0</v>
      </c>
    </row>
    <row r="44" spans="1:24" ht="16.5" x14ac:dyDescent="0.25">
      <c r="A44" s="9">
        <v>14</v>
      </c>
      <c r="B44" s="20">
        <v>602</v>
      </c>
      <c r="C44" s="22" t="s">
        <v>542</v>
      </c>
      <c r="D44" s="23" t="s">
        <v>50</v>
      </c>
      <c r="E44" s="19" t="s">
        <v>724</v>
      </c>
      <c r="F44" s="94" t="s">
        <v>804</v>
      </c>
      <c r="G44" s="8" t="s">
        <v>804</v>
      </c>
      <c r="H44" s="170"/>
      <c r="I44" s="8" t="s">
        <v>804</v>
      </c>
      <c r="J44" s="8" t="s">
        <v>804</v>
      </c>
      <c r="K44" s="94" t="s">
        <v>804</v>
      </c>
      <c r="L44" s="8" t="s">
        <v>804</v>
      </c>
      <c r="M44" s="8" t="s">
        <v>804</v>
      </c>
      <c r="N44" s="163"/>
      <c r="O44" s="170"/>
      <c r="P44" s="94" t="s">
        <v>803</v>
      </c>
      <c r="Q44" s="8" t="s">
        <v>804</v>
      </c>
      <c r="R44" s="94" t="s">
        <v>804</v>
      </c>
      <c r="S44" s="163"/>
      <c r="T44" s="8" t="s">
        <v>804</v>
      </c>
      <c r="U44" s="8" t="s">
        <v>804</v>
      </c>
      <c r="V44" s="158"/>
      <c r="W44" s="5">
        <f>COUNTIF(F44:V44,"P")</f>
        <v>11</v>
      </c>
      <c r="X44" s="5">
        <f>COUNTIF(F44:V44,"A")</f>
        <v>1</v>
      </c>
    </row>
    <row r="45" spans="1:24" ht="16.5" x14ac:dyDescent="0.25">
      <c r="A45" s="9">
        <v>15</v>
      </c>
      <c r="B45" s="20">
        <v>708</v>
      </c>
      <c r="C45" s="22" t="s">
        <v>543</v>
      </c>
      <c r="D45" s="23" t="s">
        <v>537</v>
      </c>
      <c r="E45" s="19" t="s">
        <v>724</v>
      </c>
      <c r="F45" s="94" t="s">
        <v>804</v>
      </c>
      <c r="G45" s="8" t="s">
        <v>804</v>
      </c>
      <c r="H45" s="170"/>
      <c r="I45" s="8" t="s">
        <v>804</v>
      </c>
      <c r="J45" s="8" t="s">
        <v>804</v>
      </c>
      <c r="K45" s="94" t="s">
        <v>804</v>
      </c>
      <c r="L45" s="8" t="s">
        <v>804</v>
      </c>
      <c r="M45" s="8" t="s">
        <v>804</v>
      </c>
      <c r="N45" s="163"/>
      <c r="O45" s="170"/>
      <c r="P45" s="94" t="s">
        <v>804</v>
      </c>
      <c r="Q45" s="8" t="s">
        <v>804</v>
      </c>
      <c r="R45" s="94" t="s">
        <v>804</v>
      </c>
      <c r="S45" s="163"/>
      <c r="T45" s="8" t="s">
        <v>804</v>
      </c>
      <c r="U45" s="8" t="s">
        <v>804</v>
      </c>
      <c r="V45" s="158"/>
      <c r="W45" s="5">
        <f>COUNTIF(F45:V45,"P")</f>
        <v>12</v>
      </c>
      <c r="X45" s="5">
        <f>COUNTIF(F45:V45,"A")</f>
        <v>0</v>
      </c>
    </row>
    <row r="46" spans="1:24" ht="16.5" x14ac:dyDescent="0.25">
      <c r="A46" s="9">
        <v>16</v>
      </c>
      <c r="B46" s="20"/>
      <c r="C46" s="22" t="s">
        <v>748</v>
      </c>
      <c r="D46" s="23" t="s">
        <v>527</v>
      </c>
      <c r="E46" s="19" t="s">
        <v>724</v>
      </c>
      <c r="F46" s="94" t="s">
        <v>804</v>
      </c>
      <c r="G46" s="8" t="s">
        <v>804</v>
      </c>
      <c r="H46" s="170"/>
      <c r="I46" s="8" t="s">
        <v>804</v>
      </c>
      <c r="J46" s="8" t="s">
        <v>804</v>
      </c>
      <c r="K46" s="94" t="s">
        <v>804</v>
      </c>
      <c r="L46" s="8" t="s">
        <v>804</v>
      </c>
      <c r="M46" s="8" t="s">
        <v>804</v>
      </c>
      <c r="N46" s="163"/>
      <c r="O46" s="170"/>
      <c r="P46" s="94" t="s">
        <v>804</v>
      </c>
      <c r="Q46" s="8" t="s">
        <v>804</v>
      </c>
      <c r="R46" s="94" t="s">
        <v>804</v>
      </c>
      <c r="S46" s="163"/>
      <c r="T46" s="8" t="s">
        <v>804</v>
      </c>
      <c r="U46" s="8" t="s">
        <v>803</v>
      </c>
      <c r="V46" s="158"/>
      <c r="W46" s="5">
        <f>COUNTIF(F46:V46,"P")</f>
        <v>11</v>
      </c>
      <c r="X46" s="5">
        <f>COUNTIF(F46:V46,"A")</f>
        <v>1</v>
      </c>
    </row>
    <row r="47" spans="1:24" ht="16.5" x14ac:dyDescent="0.25">
      <c r="A47" s="9">
        <v>17</v>
      </c>
      <c r="B47" s="9">
        <v>782</v>
      </c>
      <c r="C47" s="24" t="s">
        <v>544</v>
      </c>
      <c r="D47" s="24" t="s">
        <v>545</v>
      </c>
      <c r="E47" s="19" t="s">
        <v>724</v>
      </c>
      <c r="F47" s="94" t="s">
        <v>804</v>
      </c>
      <c r="G47" s="8" t="s">
        <v>804</v>
      </c>
      <c r="H47" s="170"/>
      <c r="I47" s="8" t="s">
        <v>804</v>
      </c>
      <c r="J47" s="8" t="s">
        <v>804</v>
      </c>
      <c r="K47" s="94" t="s">
        <v>804</v>
      </c>
      <c r="L47" s="8" t="s">
        <v>804</v>
      </c>
      <c r="M47" s="8" t="s">
        <v>804</v>
      </c>
      <c r="N47" s="163"/>
      <c r="O47" s="170"/>
      <c r="P47" s="94" t="s">
        <v>804</v>
      </c>
      <c r="Q47" s="8" t="s">
        <v>804</v>
      </c>
      <c r="R47" s="94" t="s">
        <v>804</v>
      </c>
      <c r="S47" s="163"/>
      <c r="T47" s="8" t="s">
        <v>803</v>
      </c>
      <c r="U47" s="8" t="s">
        <v>804</v>
      </c>
      <c r="V47" s="158"/>
      <c r="W47" s="5">
        <f>COUNTIF(F47:V47,"P")</f>
        <v>11</v>
      </c>
      <c r="X47" s="5">
        <f>COUNTIF(F47:V47,"A")</f>
        <v>1</v>
      </c>
    </row>
    <row r="48" spans="1:24" ht="16.5" x14ac:dyDescent="0.25">
      <c r="A48" s="9">
        <v>18</v>
      </c>
      <c r="B48" s="20">
        <v>469</v>
      </c>
      <c r="C48" s="24" t="s">
        <v>546</v>
      </c>
      <c r="D48" s="24" t="s">
        <v>129</v>
      </c>
      <c r="E48" s="19" t="s">
        <v>724</v>
      </c>
      <c r="F48" s="94" t="s">
        <v>804</v>
      </c>
      <c r="G48" s="8" t="s">
        <v>804</v>
      </c>
      <c r="H48" s="170"/>
      <c r="I48" s="8" t="s">
        <v>804</v>
      </c>
      <c r="J48" s="8" t="s">
        <v>804</v>
      </c>
      <c r="K48" s="94" t="s">
        <v>804</v>
      </c>
      <c r="L48" s="8" t="s">
        <v>804</v>
      </c>
      <c r="M48" s="8" t="s">
        <v>804</v>
      </c>
      <c r="N48" s="163"/>
      <c r="O48" s="170"/>
      <c r="P48" s="94" t="s">
        <v>804</v>
      </c>
      <c r="Q48" s="8" t="s">
        <v>804</v>
      </c>
      <c r="R48" s="94" t="s">
        <v>804</v>
      </c>
      <c r="S48" s="163"/>
      <c r="T48" s="8" t="s">
        <v>803</v>
      </c>
      <c r="U48" s="8" t="s">
        <v>804</v>
      </c>
      <c r="V48" s="158"/>
      <c r="W48" s="5">
        <f>COUNTIF(F48:V48,"P")</f>
        <v>11</v>
      </c>
      <c r="X48" s="5">
        <f>COUNTIF(F48:V48,"A")</f>
        <v>1</v>
      </c>
    </row>
    <row r="49" spans="1:24" ht="16.5" x14ac:dyDescent="0.25">
      <c r="A49" s="9">
        <v>19</v>
      </c>
      <c r="B49" s="9">
        <v>388</v>
      </c>
      <c r="C49" s="24" t="s">
        <v>547</v>
      </c>
      <c r="D49" s="24" t="s">
        <v>548</v>
      </c>
      <c r="E49" s="19" t="s">
        <v>724</v>
      </c>
      <c r="F49" s="94" t="s">
        <v>804</v>
      </c>
      <c r="G49" s="8" t="s">
        <v>804</v>
      </c>
      <c r="H49" s="170"/>
      <c r="I49" s="8" t="s">
        <v>804</v>
      </c>
      <c r="J49" s="8" t="s">
        <v>804</v>
      </c>
      <c r="K49" s="94" t="s">
        <v>804</v>
      </c>
      <c r="L49" s="8" t="s">
        <v>804</v>
      </c>
      <c r="M49" s="8" t="s">
        <v>804</v>
      </c>
      <c r="N49" s="163"/>
      <c r="O49" s="170"/>
      <c r="P49" s="94" t="s">
        <v>804</v>
      </c>
      <c r="Q49" s="8" t="s">
        <v>804</v>
      </c>
      <c r="R49" s="94" t="s">
        <v>804</v>
      </c>
      <c r="S49" s="163"/>
      <c r="T49" s="8" t="s">
        <v>803</v>
      </c>
      <c r="U49" s="8" t="s">
        <v>804</v>
      </c>
      <c r="V49" s="158"/>
      <c r="W49" s="5">
        <f>COUNTIF(F49:V49,"P")</f>
        <v>11</v>
      </c>
      <c r="X49" s="5">
        <f>COUNTIF(F49:V49,"A")</f>
        <v>1</v>
      </c>
    </row>
    <row r="50" spans="1:24" ht="16.5" x14ac:dyDescent="0.25">
      <c r="A50" s="9">
        <v>20</v>
      </c>
      <c r="B50" s="20">
        <v>510</v>
      </c>
      <c r="C50" s="24" t="s">
        <v>549</v>
      </c>
      <c r="D50" s="24" t="s">
        <v>518</v>
      </c>
      <c r="E50" s="19" t="s">
        <v>724</v>
      </c>
      <c r="F50" s="94" t="s">
        <v>804</v>
      </c>
      <c r="G50" s="8" t="s">
        <v>804</v>
      </c>
      <c r="H50" s="170"/>
      <c r="I50" s="8" t="s">
        <v>804</v>
      </c>
      <c r="J50" s="8" t="s">
        <v>804</v>
      </c>
      <c r="K50" s="94" t="s">
        <v>804</v>
      </c>
      <c r="L50" s="8" t="s">
        <v>804</v>
      </c>
      <c r="M50" s="8" t="s">
        <v>804</v>
      </c>
      <c r="N50" s="163"/>
      <c r="O50" s="170"/>
      <c r="P50" s="94" t="s">
        <v>804</v>
      </c>
      <c r="Q50" s="8" t="s">
        <v>803</v>
      </c>
      <c r="R50" s="94" t="s">
        <v>804</v>
      </c>
      <c r="S50" s="163"/>
      <c r="T50" s="8" t="s">
        <v>804</v>
      </c>
      <c r="U50" s="8" t="s">
        <v>804</v>
      </c>
      <c r="V50" s="158"/>
      <c r="W50" s="5">
        <f>COUNTIF(F50:V50,"P")</f>
        <v>11</v>
      </c>
      <c r="X50" s="5">
        <f>COUNTIF(F50:V50,"A")</f>
        <v>1</v>
      </c>
    </row>
    <row r="51" spans="1:24" ht="16.5" x14ac:dyDescent="0.25">
      <c r="A51" s="9">
        <v>21</v>
      </c>
      <c r="B51" s="9">
        <v>704</v>
      </c>
      <c r="C51" s="24" t="s">
        <v>550</v>
      </c>
      <c r="D51" s="24" t="s">
        <v>551</v>
      </c>
      <c r="E51" s="19" t="s">
        <v>724</v>
      </c>
      <c r="F51" s="94" t="s">
        <v>804</v>
      </c>
      <c r="G51" s="8" t="s">
        <v>804</v>
      </c>
      <c r="H51" s="170"/>
      <c r="I51" s="8" t="s">
        <v>804</v>
      </c>
      <c r="J51" s="8" t="s">
        <v>804</v>
      </c>
      <c r="K51" s="94" t="s">
        <v>804</v>
      </c>
      <c r="L51" s="8" t="s">
        <v>804</v>
      </c>
      <c r="M51" s="8" t="s">
        <v>804</v>
      </c>
      <c r="N51" s="163"/>
      <c r="O51" s="170"/>
      <c r="P51" s="94" t="s">
        <v>804</v>
      </c>
      <c r="Q51" s="8" t="s">
        <v>804</v>
      </c>
      <c r="R51" s="94" t="s">
        <v>804</v>
      </c>
      <c r="S51" s="163"/>
      <c r="T51" s="8" t="s">
        <v>804</v>
      </c>
      <c r="U51" s="8" t="s">
        <v>803</v>
      </c>
      <c r="V51" s="158"/>
      <c r="W51" s="5">
        <f>COUNTIF(F51:V51,"P")</f>
        <v>11</v>
      </c>
      <c r="X51" s="5">
        <f>COUNTIF(F51:V51,"A")</f>
        <v>1</v>
      </c>
    </row>
    <row r="52" spans="1:24" ht="16.5" x14ac:dyDescent="0.25">
      <c r="A52" s="9">
        <v>22</v>
      </c>
      <c r="B52" s="20">
        <v>852</v>
      </c>
      <c r="C52" s="24" t="s">
        <v>552</v>
      </c>
      <c r="D52" s="24" t="s">
        <v>553</v>
      </c>
      <c r="E52" s="19" t="s">
        <v>724</v>
      </c>
      <c r="F52" s="94" t="s">
        <v>804</v>
      </c>
      <c r="G52" s="8" t="s">
        <v>804</v>
      </c>
      <c r="H52" s="170"/>
      <c r="I52" s="8" t="s">
        <v>804</v>
      </c>
      <c r="J52" s="8" t="s">
        <v>804</v>
      </c>
      <c r="K52" s="94" t="s">
        <v>804</v>
      </c>
      <c r="L52" s="8" t="s">
        <v>804</v>
      </c>
      <c r="M52" s="8" t="s">
        <v>804</v>
      </c>
      <c r="N52" s="163"/>
      <c r="O52" s="170"/>
      <c r="P52" s="94" t="s">
        <v>804</v>
      </c>
      <c r="Q52" s="8" t="s">
        <v>804</v>
      </c>
      <c r="R52" s="94" t="s">
        <v>804</v>
      </c>
      <c r="S52" s="163"/>
      <c r="T52" s="8" t="s">
        <v>804</v>
      </c>
      <c r="U52" s="8" t="s">
        <v>804</v>
      </c>
      <c r="V52" s="158"/>
      <c r="W52" s="5">
        <f>COUNTIF(F52:V52,"P")</f>
        <v>12</v>
      </c>
      <c r="X52" s="5">
        <f>COUNTIF(F52:V52,"A")</f>
        <v>0</v>
      </c>
    </row>
    <row r="53" spans="1:24" ht="16.5" x14ac:dyDescent="0.25">
      <c r="A53" s="9">
        <v>23</v>
      </c>
      <c r="B53" s="20">
        <v>879</v>
      </c>
      <c r="C53" s="24" t="s">
        <v>591</v>
      </c>
      <c r="D53" s="24" t="s">
        <v>755</v>
      </c>
      <c r="E53" s="19" t="s">
        <v>724</v>
      </c>
      <c r="F53" s="94" t="s">
        <v>804</v>
      </c>
      <c r="G53" s="8" t="s">
        <v>803</v>
      </c>
      <c r="H53" s="170"/>
      <c r="I53" s="8" t="s">
        <v>804</v>
      </c>
      <c r="J53" s="8" t="s">
        <v>804</v>
      </c>
      <c r="K53" s="94" t="s">
        <v>804</v>
      </c>
      <c r="L53" s="8" t="s">
        <v>804</v>
      </c>
      <c r="M53" s="8" t="s">
        <v>804</v>
      </c>
      <c r="N53" s="163"/>
      <c r="O53" s="170"/>
      <c r="P53" s="94" t="s">
        <v>803</v>
      </c>
      <c r="Q53" s="8" t="s">
        <v>803</v>
      </c>
      <c r="R53" s="94" t="s">
        <v>804</v>
      </c>
      <c r="S53" s="163"/>
      <c r="T53" s="8" t="s">
        <v>804</v>
      </c>
      <c r="U53" s="8" t="s">
        <v>804</v>
      </c>
      <c r="V53" s="158"/>
      <c r="W53" s="5">
        <f>COUNTIF(F53:V53,"P")</f>
        <v>9</v>
      </c>
      <c r="X53" s="5">
        <f>COUNTIF(F53:V53,"A")</f>
        <v>3</v>
      </c>
    </row>
    <row r="54" spans="1:24" ht="16.5" x14ac:dyDescent="0.25">
      <c r="A54" s="9">
        <v>24</v>
      </c>
      <c r="B54" s="20">
        <v>435</v>
      </c>
      <c r="C54" s="24" t="s">
        <v>749</v>
      </c>
      <c r="D54" s="24" t="s">
        <v>89</v>
      </c>
      <c r="E54" s="19" t="s">
        <v>724</v>
      </c>
      <c r="F54" s="94" t="s">
        <v>804</v>
      </c>
      <c r="G54" s="8" t="s">
        <v>803</v>
      </c>
      <c r="H54" s="170"/>
      <c r="I54" s="8" t="s">
        <v>803</v>
      </c>
      <c r="J54" s="8" t="s">
        <v>804</v>
      </c>
      <c r="K54" s="94" t="s">
        <v>803</v>
      </c>
      <c r="L54" s="8" t="s">
        <v>803</v>
      </c>
      <c r="M54" s="8" t="s">
        <v>803</v>
      </c>
      <c r="N54" s="163"/>
      <c r="O54" s="170"/>
      <c r="P54" s="94" t="s">
        <v>804</v>
      </c>
      <c r="Q54" s="8" t="s">
        <v>804</v>
      </c>
      <c r="R54" s="94" t="s">
        <v>804</v>
      </c>
      <c r="S54" s="163"/>
      <c r="T54" s="8" t="s">
        <v>804</v>
      </c>
      <c r="U54" s="8" t="s">
        <v>804</v>
      </c>
      <c r="V54" s="158"/>
      <c r="W54" s="5">
        <f>COUNTIF(F54:V54,"P")</f>
        <v>7</v>
      </c>
      <c r="X54" s="5">
        <f>COUNTIF(F54:V54,"A")</f>
        <v>5</v>
      </c>
    </row>
    <row r="55" spans="1:24" ht="16.5" x14ac:dyDescent="0.25">
      <c r="A55" s="9">
        <v>25</v>
      </c>
      <c r="B55" s="9">
        <v>712</v>
      </c>
      <c r="C55" s="24" t="s">
        <v>554</v>
      </c>
      <c r="D55" s="24" t="s">
        <v>555</v>
      </c>
      <c r="E55" s="19" t="s">
        <v>724</v>
      </c>
      <c r="F55" s="94" t="s">
        <v>804</v>
      </c>
      <c r="G55" s="8" t="s">
        <v>804</v>
      </c>
      <c r="H55" s="170"/>
      <c r="I55" s="8" t="s">
        <v>804</v>
      </c>
      <c r="J55" s="8" t="s">
        <v>804</v>
      </c>
      <c r="K55" s="94" t="s">
        <v>804</v>
      </c>
      <c r="L55" s="8" t="s">
        <v>804</v>
      </c>
      <c r="M55" s="8" t="s">
        <v>803</v>
      </c>
      <c r="N55" s="163"/>
      <c r="O55" s="170"/>
      <c r="P55" s="94" t="s">
        <v>804</v>
      </c>
      <c r="Q55" s="8" t="s">
        <v>804</v>
      </c>
      <c r="R55" s="94" t="s">
        <v>804</v>
      </c>
      <c r="S55" s="163"/>
      <c r="T55" s="8" t="s">
        <v>804</v>
      </c>
      <c r="U55" s="8" t="s">
        <v>804</v>
      </c>
      <c r="V55" s="158"/>
      <c r="W55" s="5">
        <f>COUNTIF(F55:V55,"P")</f>
        <v>11</v>
      </c>
      <c r="X55" s="5">
        <f>COUNTIF(F55:V55,"A")</f>
        <v>1</v>
      </c>
    </row>
  </sheetData>
  <mergeCells count="17">
    <mergeCell ref="Y3:Z3"/>
    <mergeCell ref="Y11:AB11"/>
    <mergeCell ref="Y19:AB19"/>
    <mergeCell ref="H5:H55"/>
    <mergeCell ref="O5:O55"/>
    <mergeCell ref="V5:V55"/>
    <mergeCell ref="N5:N55"/>
    <mergeCell ref="S5:S55"/>
    <mergeCell ref="A1:X1"/>
    <mergeCell ref="A2:X2"/>
    <mergeCell ref="A3:A4"/>
    <mergeCell ref="C3:C4"/>
    <mergeCell ref="D3:D4"/>
    <mergeCell ref="E3:E4"/>
    <mergeCell ref="W3:W4"/>
    <mergeCell ref="X3:X4"/>
    <mergeCell ref="B3:B4"/>
  </mergeCells>
  <conditionalFormatting sqref="F5:G55 F4:V4 I5:M55 Q5:R55 T5:U55">
    <cfRule type="expression" dxfId="248" priority="53">
      <formula>IF(F$4=TODAY(),TRUE,FALSE)</formula>
    </cfRule>
  </conditionalFormatting>
  <conditionalFormatting sqref="F5:G55 I5:M55 Q5:R55 T5:U55">
    <cfRule type="cellIs" dxfId="247" priority="50" operator="equal">
      <formula>"L"</formula>
    </cfRule>
    <cfRule type="cellIs" dxfId="246" priority="51" operator="equal">
      <formula>"A"</formula>
    </cfRule>
    <cfRule type="cellIs" dxfId="245" priority="52" operator="equal">
      <formula>"P"</formula>
    </cfRule>
  </conditionalFormatting>
  <conditionalFormatting sqref="F5:G55 F4:V4 I5:M55 Q5:R55 T5:U55">
    <cfRule type="expression" dxfId="244" priority="54">
      <formula>F$3="Sun"</formula>
    </cfRule>
  </conditionalFormatting>
  <conditionalFormatting sqref="W3:X3 W5:X55">
    <cfRule type="expression" dxfId="243" priority="55">
      <formula>#REF!="Sun"</formula>
    </cfRule>
  </conditionalFormatting>
  <conditionalFormatting sqref="Y5:Y9">
    <cfRule type="expression" dxfId="242" priority="41">
      <formula>Y$3="Sun"</formula>
    </cfRule>
  </conditionalFormatting>
  <conditionalFormatting sqref="Y12:Y15">
    <cfRule type="expression" dxfId="241" priority="39">
      <formula>Y$3="Sun"</formula>
    </cfRule>
  </conditionalFormatting>
  <conditionalFormatting sqref="Y20:Y23">
    <cfRule type="expression" dxfId="240" priority="38">
      <formula>Y$3="Sun"</formula>
    </cfRule>
  </conditionalFormatting>
  <conditionalFormatting sqref="Y4:Z4">
    <cfRule type="expression" dxfId="239" priority="42">
      <formula>Y$3="Sun"</formula>
    </cfRule>
  </conditionalFormatting>
  <conditionalFormatting sqref="Z12:AB12 Z20:AB20">
    <cfRule type="expression" dxfId="238" priority="43">
      <formula>Z$3="Sun"</formula>
    </cfRule>
  </conditionalFormatting>
  <conditionalFormatting sqref="AB21">
    <cfRule type="expression" dxfId="237" priority="40">
      <formula>AB$3="Sun"</formula>
    </cfRule>
  </conditionalFormatting>
  <conditionalFormatting sqref="F3:V3">
    <cfRule type="expression" dxfId="236" priority="21">
      <formula>F$4=TODAY()</formula>
    </cfRule>
    <cfRule type="expression" dxfId="235" priority="22">
      <formula>F$3="SUN"</formula>
    </cfRule>
  </conditionalFormatting>
  <conditionalFormatting sqref="P5:P55">
    <cfRule type="cellIs" dxfId="234" priority="16" operator="equal">
      <formula>"L"</formula>
    </cfRule>
    <cfRule type="cellIs" dxfId="233" priority="17" operator="equal">
      <formula>"A"</formula>
    </cfRule>
    <cfRule type="cellIs" dxfId="232" priority="18" operator="equal">
      <formula>"P"</formula>
    </cfRule>
    <cfRule type="expression" dxfId="231" priority="19">
      <formula>IF(P$4=TODAY(),TRUE,FALSE)</formula>
    </cfRule>
    <cfRule type="expression" dxfId="230" priority="20">
      <formula>P$3="Sun"</formula>
    </cfRule>
  </conditionalFormatting>
  <conditionalFormatting sqref="N5">
    <cfRule type="expression" dxfId="229" priority="6">
      <formula>N$4=TODAY()</formula>
    </cfRule>
    <cfRule type="expression" dxfId="228" priority="7">
      <formula>N$3="SUN"</formula>
    </cfRule>
  </conditionalFormatting>
  <conditionalFormatting sqref="N5">
    <cfRule type="cellIs" dxfId="227" priority="8" operator="equal">
      <formula>"L"</formula>
    </cfRule>
    <cfRule type="cellIs" dxfId="226" priority="9" operator="equal">
      <formula>"A"</formula>
    </cfRule>
    <cfRule type="cellIs" dxfId="225" priority="10" operator="equal">
      <formula>"P"</formula>
    </cfRule>
  </conditionalFormatting>
  <conditionalFormatting sqref="S5">
    <cfRule type="expression" dxfId="224" priority="1">
      <formula>S$4=TODAY()</formula>
    </cfRule>
    <cfRule type="expression" dxfId="223" priority="2">
      <formula>S$3="SUN"</formula>
    </cfRule>
  </conditionalFormatting>
  <conditionalFormatting sqref="S5">
    <cfRule type="cellIs" dxfId="222" priority="3" operator="equal">
      <formula>"L"</formula>
    </cfRule>
    <cfRule type="cellIs" dxfId="221" priority="4" operator="equal">
      <formula>"A"</formula>
    </cfRule>
    <cfRule type="cellIs" dxfId="220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1"/>
  <sheetViews>
    <sheetView zoomScaleNormal="100" workbookViewId="0">
      <selection activeCell="S5" sqref="S5:S51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9.42578125" style="1" bestFit="1" customWidth="1"/>
    <col min="24" max="24" width="8.570312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30" t="s">
        <v>18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4"/>
      <c r="Z1" s="14"/>
      <c r="AA1" s="14"/>
      <c r="AB1" s="14"/>
    </row>
    <row r="2" spans="1:28" ht="17.25" x14ac:dyDescent="0.3">
      <c r="A2" s="131" t="s">
        <v>731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4"/>
      <c r="Z2" s="14"/>
      <c r="AA2" s="14"/>
      <c r="AB2" s="14"/>
    </row>
    <row r="3" spans="1:28" ht="15.75" x14ac:dyDescent="0.25">
      <c r="A3" s="132" t="s">
        <v>0</v>
      </c>
      <c r="B3" s="132" t="s">
        <v>713</v>
      </c>
      <c r="C3" s="132" t="s">
        <v>1</v>
      </c>
      <c r="D3" s="132" t="s">
        <v>2</v>
      </c>
      <c r="E3" s="132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28" t="s">
        <v>119</v>
      </c>
      <c r="Z3" s="128"/>
      <c r="AA3" s="117"/>
      <c r="AB3" s="117"/>
    </row>
    <row r="4" spans="1:28" ht="36.75" x14ac:dyDescent="0.25">
      <c r="A4" s="132"/>
      <c r="B4" s="132"/>
      <c r="C4" s="132"/>
      <c r="D4" s="132"/>
      <c r="E4" s="132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SUM(Z5:Z6)</f>
        <v>30</v>
      </c>
      <c r="AA4" s="117"/>
      <c r="AB4" s="117"/>
    </row>
    <row r="5" spans="1:28" ht="15" customHeight="1" x14ac:dyDescent="0.25">
      <c r="A5" s="9">
        <v>1</v>
      </c>
      <c r="B5" s="9">
        <v>474</v>
      </c>
      <c r="C5" s="24" t="s">
        <v>22</v>
      </c>
      <c r="D5" s="24" t="s">
        <v>95</v>
      </c>
      <c r="E5" s="8" t="s">
        <v>709</v>
      </c>
      <c r="F5" s="8" t="s">
        <v>804</v>
      </c>
      <c r="G5" s="8" t="s">
        <v>804</v>
      </c>
      <c r="H5" s="159" t="s">
        <v>770</v>
      </c>
      <c r="I5" s="8" t="s">
        <v>804</v>
      </c>
      <c r="J5" s="8" t="s">
        <v>804</v>
      </c>
      <c r="K5" s="94" t="s">
        <v>804</v>
      </c>
      <c r="L5" s="8" t="s">
        <v>804</v>
      </c>
      <c r="M5" s="8" t="s">
        <v>804</v>
      </c>
      <c r="N5" s="163" t="s">
        <v>879</v>
      </c>
      <c r="O5" s="159" t="s">
        <v>770</v>
      </c>
      <c r="P5" s="8" t="s">
        <v>804</v>
      </c>
      <c r="Q5" s="8" t="s">
        <v>803</v>
      </c>
      <c r="R5" s="94" t="s">
        <v>804</v>
      </c>
      <c r="S5" s="163" t="s">
        <v>880</v>
      </c>
      <c r="T5" s="8" t="s">
        <v>804</v>
      </c>
      <c r="U5" s="8" t="s">
        <v>804</v>
      </c>
      <c r="V5" s="159" t="s">
        <v>770</v>
      </c>
      <c r="W5" s="5">
        <f>COUNTIF(F5:V5,"P")</f>
        <v>11</v>
      </c>
      <c r="X5" s="5">
        <f>COUNTIF(F5:V5,"A")</f>
        <v>1</v>
      </c>
      <c r="Y5" s="5" t="s">
        <v>7</v>
      </c>
      <c r="Z5" s="9">
        <v>26</v>
      </c>
      <c r="AA5" s="118"/>
      <c r="AB5" s="117"/>
    </row>
    <row r="6" spans="1:28" ht="16.5" x14ac:dyDescent="0.25">
      <c r="A6" s="9">
        <v>2</v>
      </c>
      <c r="B6" s="9">
        <v>615</v>
      </c>
      <c r="C6" s="24" t="s">
        <v>557</v>
      </c>
      <c r="D6" s="24" t="s">
        <v>270</v>
      </c>
      <c r="E6" s="8" t="s">
        <v>709</v>
      </c>
      <c r="F6" s="8" t="s">
        <v>804</v>
      </c>
      <c r="G6" s="8" t="s">
        <v>804</v>
      </c>
      <c r="H6" s="160"/>
      <c r="I6" s="8" t="s">
        <v>804</v>
      </c>
      <c r="J6" s="8" t="s">
        <v>804</v>
      </c>
      <c r="K6" s="94" t="s">
        <v>804</v>
      </c>
      <c r="L6" s="8" t="s">
        <v>804</v>
      </c>
      <c r="M6" s="8" t="s">
        <v>804</v>
      </c>
      <c r="N6" s="163"/>
      <c r="O6" s="160"/>
      <c r="P6" s="8" t="s">
        <v>804</v>
      </c>
      <c r="Q6" s="8" t="s">
        <v>804</v>
      </c>
      <c r="R6" s="94" t="s">
        <v>804</v>
      </c>
      <c r="S6" s="163"/>
      <c r="T6" s="8" t="s">
        <v>804</v>
      </c>
      <c r="U6" s="8" t="s">
        <v>804</v>
      </c>
      <c r="V6" s="160"/>
      <c r="W6" s="5">
        <f>COUNTIF(F6:V6,"P")</f>
        <v>12</v>
      </c>
      <c r="X6" s="5">
        <f>COUNTIF(F6:V6,"A")</f>
        <v>0</v>
      </c>
      <c r="Y6" s="5" t="s">
        <v>8</v>
      </c>
      <c r="Z6" s="9">
        <v>4</v>
      </c>
      <c r="AA6" s="117"/>
      <c r="AB6" s="117"/>
    </row>
    <row r="7" spans="1:28" ht="16.5" x14ac:dyDescent="0.25">
      <c r="A7" s="9">
        <v>3</v>
      </c>
      <c r="B7" s="9">
        <v>635</v>
      </c>
      <c r="C7" s="24" t="s">
        <v>558</v>
      </c>
      <c r="D7" s="24" t="s">
        <v>559</v>
      </c>
      <c r="E7" s="8" t="s">
        <v>709</v>
      </c>
      <c r="F7" s="8" t="s">
        <v>803</v>
      </c>
      <c r="G7" s="8" t="s">
        <v>804</v>
      </c>
      <c r="H7" s="160"/>
      <c r="I7" s="8" t="s">
        <v>804</v>
      </c>
      <c r="J7" s="8" t="s">
        <v>803</v>
      </c>
      <c r="K7" s="94" t="s">
        <v>804</v>
      </c>
      <c r="L7" s="8" t="s">
        <v>803</v>
      </c>
      <c r="M7" s="8" t="s">
        <v>803</v>
      </c>
      <c r="N7" s="163"/>
      <c r="O7" s="160"/>
      <c r="P7" s="8" t="s">
        <v>804</v>
      </c>
      <c r="Q7" s="8" t="s">
        <v>804</v>
      </c>
      <c r="R7" s="94" t="s">
        <v>804</v>
      </c>
      <c r="S7" s="163"/>
      <c r="T7" s="8" t="s">
        <v>804</v>
      </c>
      <c r="U7" s="8" t="s">
        <v>804</v>
      </c>
      <c r="V7" s="160"/>
      <c r="W7" s="5">
        <f>COUNTIF(F7:V7,"P")</f>
        <v>8</v>
      </c>
      <c r="X7" s="5">
        <f>COUNTIF(F7:V7,"A")</f>
        <v>4</v>
      </c>
      <c r="Y7" s="5"/>
      <c r="Z7" s="9"/>
      <c r="AA7" s="117"/>
      <c r="AB7" s="117"/>
    </row>
    <row r="8" spans="1:28" ht="16.5" x14ac:dyDescent="0.25">
      <c r="A8" s="9">
        <v>4</v>
      </c>
      <c r="B8" s="9">
        <v>475</v>
      </c>
      <c r="C8" s="24" t="s">
        <v>560</v>
      </c>
      <c r="D8" s="24" t="s">
        <v>95</v>
      </c>
      <c r="E8" s="8" t="s">
        <v>709</v>
      </c>
      <c r="F8" s="116" t="s">
        <v>804</v>
      </c>
      <c r="G8" s="8" t="s">
        <v>804</v>
      </c>
      <c r="H8" s="160"/>
      <c r="I8" s="8" t="s">
        <v>804</v>
      </c>
      <c r="J8" s="8" t="s">
        <v>804</v>
      </c>
      <c r="K8" s="94" t="s">
        <v>804</v>
      </c>
      <c r="L8" s="116" t="s">
        <v>804</v>
      </c>
      <c r="M8" s="8" t="s">
        <v>804</v>
      </c>
      <c r="N8" s="163"/>
      <c r="O8" s="160"/>
      <c r="P8" s="8" t="s">
        <v>804</v>
      </c>
      <c r="Q8" s="8" t="s">
        <v>804</v>
      </c>
      <c r="R8" s="94" t="s">
        <v>804</v>
      </c>
      <c r="S8" s="163"/>
      <c r="T8" s="8" t="s">
        <v>804</v>
      </c>
      <c r="U8" s="8" t="s">
        <v>804</v>
      </c>
      <c r="V8" s="160"/>
      <c r="W8" s="5">
        <f>COUNTIF(F8:V8,"P")</f>
        <v>12</v>
      </c>
      <c r="X8" s="5">
        <f>COUNTIF(F8:V8,"A")</f>
        <v>0</v>
      </c>
      <c r="Y8" s="5"/>
      <c r="Z8" s="9"/>
      <c r="AA8" s="102"/>
      <c r="AB8" s="102"/>
    </row>
    <row r="9" spans="1:28" ht="16.5" x14ac:dyDescent="0.25">
      <c r="A9" s="9">
        <v>5</v>
      </c>
      <c r="B9" s="9"/>
      <c r="C9" s="24" t="s">
        <v>567</v>
      </c>
      <c r="D9" s="24" t="s">
        <v>768</v>
      </c>
      <c r="E9" s="8" t="s">
        <v>709</v>
      </c>
      <c r="F9" s="8" t="s">
        <v>804</v>
      </c>
      <c r="G9" s="8" t="s">
        <v>804</v>
      </c>
      <c r="H9" s="160"/>
      <c r="I9" s="8" t="s">
        <v>804</v>
      </c>
      <c r="J9" s="8" t="s">
        <v>804</v>
      </c>
      <c r="K9" s="94" t="s">
        <v>804</v>
      </c>
      <c r="L9" s="8" t="s">
        <v>804</v>
      </c>
      <c r="M9" s="8" t="s">
        <v>804</v>
      </c>
      <c r="N9" s="163"/>
      <c r="O9" s="160"/>
      <c r="P9" s="8" t="s">
        <v>804</v>
      </c>
      <c r="Q9" s="8" t="s">
        <v>804</v>
      </c>
      <c r="R9" s="94" t="s">
        <v>803</v>
      </c>
      <c r="S9" s="163"/>
      <c r="T9" s="8" t="s">
        <v>804</v>
      </c>
      <c r="U9" s="8" t="s">
        <v>804</v>
      </c>
      <c r="V9" s="160"/>
      <c r="W9" s="5">
        <f>COUNTIF(F9:V9,"P")</f>
        <v>11</v>
      </c>
      <c r="X9" s="5">
        <f>COUNTIF(F9:V9,"A")</f>
        <v>1</v>
      </c>
      <c r="Y9" s="5"/>
      <c r="Z9" s="9"/>
      <c r="AA9" s="14"/>
      <c r="AB9" s="14"/>
    </row>
    <row r="10" spans="1:28" ht="16.5" x14ac:dyDescent="0.25">
      <c r="A10" s="9">
        <v>6</v>
      </c>
      <c r="B10" s="9">
        <v>343</v>
      </c>
      <c r="C10" s="24" t="s">
        <v>757</v>
      </c>
      <c r="D10" s="24" t="s">
        <v>434</v>
      </c>
      <c r="E10" s="8" t="s">
        <v>709</v>
      </c>
      <c r="F10" s="8" t="s">
        <v>804</v>
      </c>
      <c r="G10" s="8" t="s">
        <v>804</v>
      </c>
      <c r="H10" s="160"/>
      <c r="I10" s="8" t="s">
        <v>803</v>
      </c>
      <c r="J10" s="8" t="s">
        <v>804</v>
      </c>
      <c r="K10" s="94" t="s">
        <v>804</v>
      </c>
      <c r="L10" s="8" t="s">
        <v>804</v>
      </c>
      <c r="M10" s="8" t="s">
        <v>804</v>
      </c>
      <c r="N10" s="163"/>
      <c r="O10" s="160"/>
      <c r="P10" s="8" t="s">
        <v>803</v>
      </c>
      <c r="Q10" s="8" t="s">
        <v>804</v>
      </c>
      <c r="R10" s="94" t="s">
        <v>804</v>
      </c>
      <c r="S10" s="163"/>
      <c r="T10" s="8" t="s">
        <v>803</v>
      </c>
      <c r="U10" s="8" t="s">
        <v>804</v>
      </c>
      <c r="V10" s="160"/>
      <c r="W10" s="5">
        <f>COUNTIF(F10:V10,"P")</f>
        <v>9</v>
      </c>
      <c r="X10" s="5">
        <f>COUNTIF(F10:V10,"A")</f>
        <v>3</v>
      </c>
      <c r="Y10" s="14"/>
      <c r="Z10" s="14"/>
      <c r="AA10" s="14"/>
      <c r="AB10" s="14"/>
    </row>
    <row r="11" spans="1:28" ht="16.5" x14ac:dyDescent="0.25">
      <c r="A11" s="9">
        <v>7</v>
      </c>
      <c r="B11" s="9">
        <v>565</v>
      </c>
      <c r="C11" s="24" t="s">
        <v>758</v>
      </c>
      <c r="D11" s="24" t="s">
        <v>468</v>
      </c>
      <c r="E11" s="8" t="s">
        <v>709</v>
      </c>
      <c r="F11" s="8" t="s">
        <v>804</v>
      </c>
      <c r="G11" s="8" t="s">
        <v>804</v>
      </c>
      <c r="H11" s="160"/>
      <c r="I11" s="8" t="s">
        <v>804</v>
      </c>
      <c r="J11" s="8" t="s">
        <v>804</v>
      </c>
      <c r="K11" s="94" t="s">
        <v>804</v>
      </c>
      <c r="L11" s="8" t="s">
        <v>804</v>
      </c>
      <c r="M11" s="8" t="s">
        <v>804</v>
      </c>
      <c r="N11" s="163"/>
      <c r="O11" s="160"/>
      <c r="P11" s="8" t="s">
        <v>804</v>
      </c>
      <c r="Q11" s="8" t="s">
        <v>804</v>
      </c>
      <c r="R11" s="94" t="s">
        <v>804</v>
      </c>
      <c r="S11" s="163"/>
      <c r="T11" s="8" t="s">
        <v>804</v>
      </c>
      <c r="U11" s="8" t="s">
        <v>804</v>
      </c>
      <c r="V11" s="160"/>
      <c r="W11" s="5">
        <f>COUNTIF(F11:V11,"P")</f>
        <v>12</v>
      </c>
      <c r="X11" s="5">
        <f>COUNTIF(F11:V11,"A")</f>
        <v>0</v>
      </c>
      <c r="Y11" s="128" t="s">
        <v>9</v>
      </c>
      <c r="Z11" s="128"/>
      <c r="AA11" s="128"/>
      <c r="AB11" s="128"/>
    </row>
    <row r="12" spans="1:28" ht="16.5" x14ac:dyDescent="0.25">
      <c r="A12" s="9">
        <v>8</v>
      </c>
      <c r="B12" s="9">
        <v>616</v>
      </c>
      <c r="C12" s="24" t="s">
        <v>759</v>
      </c>
      <c r="D12" s="24" t="s">
        <v>769</v>
      </c>
      <c r="E12" s="8" t="s">
        <v>709</v>
      </c>
      <c r="F12" s="8" t="s">
        <v>804</v>
      </c>
      <c r="G12" s="8" t="s">
        <v>804</v>
      </c>
      <c r="H12" s="160"/>
      <c r="I12" s="8" t="s">
        <v>804</v>
      </c>
      <c r="J12" s="8" t="s">
        <v>804</v>
      </c>
      <c r="K12" s="94" t="s">
        <v>804</v>
      </c>
      <c r="L12" s="8" t="s">
        <v>804</v>
      </c>
      <c r="M12" s="8" t="s">
        <v>804</v>
      </c>
      <c r="N12" s="163"/>
      <c r="O12" s="160"/>
      <c r="P12" s="8" t="s">
        <v>804</v>
      </c>
      <c r="Q12" s="8" t="s">
        <v>804</v>
      </c>
      <c r="R12" s="94" t="s">
        <v>804</v>
      </c>
      <c r="S12" s="163"/>
      <c r="T12" s="8" t="s">
        <v>804</v>
      </c>
      <c r="U12" s="8" t="s">
        <v>804</v>
      </c>
      <c r="V12" s="160"/>
      <c r="W12" s="5">
        <f>COUNTIF(F12:V12,"P")</f>
        <v>12</v>
      </c>
      <c r="X12" s="5">
        <f>COUNTIF(F12:V12,"A")</f>
        <v>0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9">
        <v>9</v>
      </c>
      <c r="B13" s="9"/>
      <c r="C13" s="24" t="s">
        <v>561</v>
      </c>
      <c r="D13" s="24" t="s">
        <v>562</v>
      </c>
      <c r="E13" s="8" t="s">
        <v>709</v>
      </c>
      <c r="F13" s="8" t="s">
        <v>803</v>
      </c>
      <c r="G13" s="8" t="s">
        <v>804</v>
      </c>
      <c r="H13" s="160"/>
      <c r="I13" s="8" t="s">
        <v>803</v>
      </c>
      <c r="J13" s="8" t="s">
        <v>803</v>
      </c>
      <c r="K13" s="94" t="s">
        <v>803</v>
      </c>
      <c r="L13" s="8" t="s">
        <v>803</v>
      </c>
      <c r="M13" s="8" t="s">
        <v>803</v>
      </c>
      <c r="N13" s="163"/>
      <c r="O13" s="160"/>
      <c r="P13" s="8" t="s">
        <v>803</v>
      </c>
      <c r="Q13" s="8" t="s">
        <v>803</v>
      </c>
      <c r="R13" s="94" t="s">
        <v>803</v>
      </c>
      <c r="S13" s="163"/>
      <c r="T13" s="8" t="s">
        <v>803</v>
      </c>
      <c r="U13" s="8" t="s">
        <v>803</v>
      </c>
      <c r="V13" s="160"/>
      <c r="W13" s="5">
        <f>COUNTIF(F13:V13,"P")</f>
        <v>1</v>
      </c>
      <c r="X13" s="5">
        <f>COUNTIF(F13:V13,"A")</f>
        <v>11</v>
      </c>
      <c r="Y13" s="5" t="s">
        <v>14</v>
      </c>
      <c r="Z13" s="9">
        <f>17*$Z$5</f>
        <v>442</v>
      </c>
      <c r="AA13" s="9">
        <f>28*$Z$5</f>
        <v>728</v>
      </c>
      <c r="AB13" s="9">
        <f>SUM(Z13:AA13)</f>
        <v>1170</v>
      </c>
    </row>
    <row r="14" spans="1:28" ht="16.5" x14ac:dyDescent="0.25">
      <c r="A14" s="9">
        <v>10</v>
      </c>
      <c r="B14" s="9">
        <v>715</v>
      </c>
      <c r="C14" s="24" t="s">
        <v>563</v>
      </c>
      <c r="D14" s="24" t="s">
        <v>506</v>
      </c>
      <c r="E14" s="8" t="s">
        <v>709</v>
      </c>
      <c r="F14" s="8" t="s">
        <v>804</v>
      </c>
      <c r="G14" s="8" t="s">
        <v>804</v>
      </c>
      <c r="H14" s="160"/>
      <c r="I14" s="8" t="s">
        <v>804</v>
      </c>
      <c r="J14" s="8" t="s">
        <v>804</v>
      </c>
      <c r="K14" s="94" t="s">
        <v>804</v>
      </c>
      <c r="L14" s="8" t="s">
        <v>804</v>
      </c>
      <c r="M14" s="8" t="s">
        <v>804</v>
      </c>
      <c r="N14" s="163"/>
      <c r="O14" s="160"/>
      <c r="P14" s="8" t="s">
        <v>804</v>
      </c>
      <c r="Q14" s="8" t="s">
        <v>804</v>
      </c>
      <c r="R14" s="94" t="s">
        <v>804</v>
      </c>
      <c r="S14" s="163"/>
      <c r="T14" s="8" t="s">
        <v>804</v>
      </c>
      <c r="U14" s="8" t="s">
        <v>804</v>
      </c>
      <c r="V14" s="160"/>
      <c r="W14" s="5">
        <f>COUNTIF(F14:V14,"P")</f>
        <v>12</v>
      </c>
      <c r="X14" s="5">
        <f>COUNTIF(F14:V14,"A")</f>
        <v>0</v>
      </c>
      <c r="Y14" s="5" t="s">
        <v>15</v>
      </c>
      <c r="Z14" s="9">
        <f>SUM(W5:W21)</f>
        <v>157</v>
      </c>
      <c r="AA14" s="9">
        <f>SUM(W22:W48)</f>
        <v>302</v>
      </c>
      <c r="AB14" s="9">
        <f>Z14+AA14</f>
        <v>459</v>
      </c>
    </row>
    <row r="15" spans="1:28" ht="16.5" x14ac:dyDescent="0.25">
      <c r="A15" s="9">
        <v>11</v>
      </c>
      <c r="B15" s="9">
        <v>568</v>
      </c>
      <c r="C15" s="24" t="s">
        <v>564</v>
      </c>
      <c r="D15" s="24" t="s">
        <v>565</v>
      </c>
      <c r="E15" s="8" t="s">
        <v>709</v>
      </c>
      <c r="F15" s="8" t="s">
        <v>803</v>
      </c>
      <c r="G15" s="8" t="s">
        <v>803</v>
      </c>
      <c r="H15" s="160"/>
      <c r="I15" s="8" t="s">
        <v>804</v>
      </c>
      <c r="J15" s="8" t="s">
        <v>803</v>
      </c>
      <c r="K15" s="94" t="s">
        <v>803</v>
      </c>
      <c r="L15" s="8" t="s">
        <v>803</v>
      </c>
      <c r="M15" s="8" t="s">
        <v>803</v>
      </c>
      <c r="N15" s="163"/>
      <c r="O15" s="160"/>
      <c r="P15" s="8" t="s">
        <v>804</v>
      </c>
      <c r="Q15" s="8" t="s">
        <v>803</v>
      </c>
      <c r="R15" s="94" t="s">
        <v>804</v>
      </c>
      <c r="S15" s="163"/>
      <c r="T15" s="8" t="s">
        <v>804</v>
      </c>
      <c r="U15" s="8" t="s">
        <v>804</v>
      </c>
      <c r="V15" s="160"/>
      <c r="W15" s="5">
        <f>COUNTIF(F15:V15,"P")</f>
        <v>5</v>
      </c>
      <c r="X15" s="5">
        <f>COUNTIF(F15:V15,"A")</f>
        <v>7</v>
      </c>
      <c r="Y15" s="5" t="s">
        <v>16</v>
      </c>
      <c r="Z15" s="12">
        <f>Z14/Z13</f>
        <v>0.35520361990950228</v>
      </c>
      <c r="AA15" s="12">
        <f>AA14/AA13</f>
        <v>0.41483516483516486</v>
      </c>
      <c r="AB15" s="12">
        <f>AB14/AB13</f>
        <v>0.3923076923076923</v>
      </c>
    </row>
    <row r="16" spans="1:28" ht="16.5" x14ac:dyDescent="0.25">
      <c r="A16" s="9">
        <v>12</v>
      </c>
      <c r="B16" s="9">
        <v>620</v>
      </c>
      <c r="C16" s="24" t="s">
        <v>760</v>
      </c>
      <c r="D16" s="24" t="s">
        <v>166</v>
      </c>
      <c r="E16" s="8" t="s">
        <v>709</v>
      </c>
      <c r="F16" s="8" t="s">
        <v>804</v>
      </c>
      <c r="G16" s="8" t="s">
        <v>803</v>
      </c>
      <c r="H16" s="160"/>
      <c r="I16" s="8" t="s">
        <v>804</v>
      </c>
      <c r="J16" s="8" t="s">
        <v>804</v>
      </c>
      <c r="K16" s="94" t="s">
        <v>804</v>
      </c>
      <c r="L16" s="8" t="s">
        <v>804</v>
      </c>
      <c r="M16" s="8" t="s">
        <v>803</v>
      </c>
      <c r="N16" s="163"/>
      <c r="O16" s="160"/>
      <c r="P16" s="8" t="s">
        <v>804</v>
      </c>
      <c r="Q16" s="8" t="s">
        <v>803</v>
      </c>
      <c r="R16" s="94" t="s">
        <v>804</v>
      </c>
      <c r="S16" s="163"/>
      <c r="T16" s="8" t="s">
        <v>804</v>
      </c>
      <c r="U16" s="8" t="s">
        <v>804</v>
      </c>
      <c r="V16" s="160"/>
      <c r="W16" s="5">
        <f>COUNTIF(F16:V16,"P")</f>
        <v>9</v>
      </c>
      <c r="X16" s="5">
        <f>COUNTIF(F16:V16,"A")</f>
        <v>3</v>
      </c>
      <c r="Y16" s="102"/>
      <c r="Z16" s="102"/>
      <c r="AA16" s="102"/>
      <c r="AB16" s="102"/>
    </row>
    <row r="17" spans="1:28" ht="16.5" x14ac:dyDescent="0.25">
      <c r="A17" s="9">
        <v>13</v>
      </c>
      <c r="B17" s="9"/>
      <c r="C17" s="24" t="s">
        <v>593</v>
      </c>
      <c r="D17" s="24"/>
      <c r="E17" s="8" t="s">
        <v>709</v>
      </c>
      <c r="F17" s="8" t="s">
        <v>804</v>
      </c>
      <c r="G17" s="8" t="s">
        <v>804</v>
      </c>
      <c r="H17" s="160"/>
      <c r="I17" s="8" t="s">
        <v>804</v>
      </c>
      <c r="J17" s="8" t="s">
        <v>804</v>
      </c>
      <c r="K17" s="94" t="s">
        <v>804</v>
      </c>
      <c r="L17" s="8" t="s">
        <v>804</v>
      </c>
      <c r="M17" s="8" t="s">
        <v>804</v>
      </c>
      <c r="N17" s="163"/>
      <c r="O17" s="160"/>
      <c r="P17" s="8" t="s">
        <v>804</v>
      </c>
      <c r="Q17" s="8" t="s">
        <v>804</v>
      </c>
      <c r="R17" s="94" t="s">
        <v>804</v>
      </c>
      <c r="S17" s="163"/>
      <c r="T17" s="8" t="s">
        <v>804</v>
      </c>
      <c r="U17" s="8" t="s">
        <v>804</v>
      </c>
      <c r="V17" s="160"/>
      <c r="W17" s="5">
        <f>COUNTIF(F17:V17,"P")</f>
        <v>12</v>
      </c>
      <c r="X17" s="5">
        <f>COUNTIF(F17:V17,"A")</f>
        <v>0</v>
      </c>
      <c r="Y17" s="102"/>
      <c r="Z17" s="102"/>
      <c r="AA17" s="102"/>
      <c r="AB17" s="102"/>
    </row>
    <row r="18" spans="1:28" ht="16.5" x14ac:dyDescent="0.25">
      <c r="A18" s="9">
        <v>14</v>
      </c>
      <c r="B18" s="9"/>
      <c r="C18" s="24" t="s">
        <v>594</v>
      </c>
      <c r="D18" s="24"/>
      <c r="E18" s="8" t="s">
        <v>709</v>
      </c>
      <c r="F18" s="8" t="s">
        <v>804</v>
      </c>
      <c r="G18" s="8" t="s">
        <v>804</v>
      </c>
      <c r="H18" s="160"/>
      <c r="I18" s="8" t="s">
        <v>804</v>
      </c>
      <c r="J18" s="8" t="s">
        <v>804</v>
      </c>
      <c r="K18" s="94" t="s">
        <v>804</v>
      </c>
      <c r="L18" s="8" t="s">
        <v>804</v>
      </c>
      <c r="M18" s="8" t="s">
        <v>805</v>
      </c>
      <c r="N18" s="163"/>
      <c r="O18" s="160"/>
      <c r="P18" s="8" t="s">
        <v>804</v>
      </c>
      <c r="Q18" s="8" t="s">
        <v>804</v>
      </c>
      <c r="R18" s="94" t="s">
        <v>804</v>
      </c>
      <c r="S18" s="163"/>
      <c r="T18" s="8" t="s">
        <v>804</v>
      </c>
      <c r="U18" s="8" t="s">
        <v>804</v>
      </c>
      <c r="V18" s="160"/>
      <c r="W18" s="5">
        <f>COUNTIF(F18:V18,"P")</f>
        <v>11</v>
      </c>
      <c r="X18" s="5">
        <f>COUNTIF(F18:V18,"A")</f>
        <v>0</v>
      </c>
      <c r="Y18" s="102"/>
      <c r="Z18" s="102"/>
      <c r="AA18" s="102"/>
      <c r="AB18" s="102"/>
    </row>
    <row r="19" spans="1:28" ht="16.5" x14ac:dyDescent="0.25">
      <c r="A19" s="9">
        <v>15</v>
      </c>
      <c r="B19" s="9"/>
      <c r="C19" s="24" t="s">
        <v>761</v>
      </c>
      <c r="D19" s="24"/>
      <c r="E19" s="8" t="s">
        <v>709</v>
      </c>
      <c r="F19" s="8" t="s">
        <v>803</v>
      </c>
      <c r="G19" s="8" t="s">
        <v>803</v>
      </c>
      <c r="H19" s="160"/>
      <c r="I19" s="8" t="s">
        <v>804</v>
      </c>
      <c r="J19" s="8" t="s">
        <v>803</v>
      </c>
      <c r="K19" s="94" t="s">
        <v>803</v>
      </c>
      <c r="L19" s="8" t="s">
        <v>803</v>
      </c>
      <c r="M19" s="8" t="s">
        <v>803</v>
      </c>
      <c r="N19" s="163"/>
      <c r="O19" s="160"/>
      <c r="P19" s="8" t="s">
        <v>804</v>
      </c>
      <c r="Q19" s="8" t="s">
        <v>804</v>
      </c>
      <c r="R19" s="94" t="s">
        <v>803</v>
      </c>
      <c r="S19" s="163"/>
      <c r="T19" s="8" t="s">
        <v>804</v>
      </c>
      <c r="U19" s="8" t="s">
        <v>804</v>
      </c>
      <c r="V19" s="160"/>
      <c r="W19" s="5">
        <f>COUNTIF(F19:V19,"P")</f>
        <v>5</v>
      </c>
      <c r="X19" s="5">
        <f>COUNTIF(F19:V19,"A")</f>
        <v>7</v>
      </c>
      <c r="Y19" s="128" t="s">
        <v>121</v>
      </c>
      <c r="Z19" s="128"/>
      <c r="AA19" s="128"/>
      <c r="AB19" s="128"/>
    </row>
    <row r="20" spans="1:28" ht="16.5" x14ac:dyDescent="0.25">
      <c r="A20" s="9">
        <v>16</v>
      </c>
      <c r="B20" s="9"/>
      <c r="C20" s="24" t="s">
        <v>762</v>
      </c>
      <c r="D20" s="24"/>
      <c r="E20" s="8" t="s">
        <v>709</v>
      </c>
      <c r="F20" s="8" t="s">
        <v>803</v>
      </c>
      <c r="G20" s="8" t="s">
        <v>803</v>
      </c>
      <c r="H20" s="160"/>
      <c r="I20" s="8" t="s">
        <v>804</v>
      </c>
      <c r="J20" s="8" t="s">
        <v>803</v>
      </c>
      <c r="K20" s="94" t="s">
        <v>803</v>
      </c>
      <c r="L20" s="8" t="s">
        <v>803</v>
      </c>
      <c r="M20" s="8" t="s">
        <v>803</v>
      </c>
      <c r="N20" s="163"/>
      <c r="O20" s="160"/>
      <c r="P20" s="8" t="s">
        <v>804</v>
      </c>
      <c r="Q20" s="8" t="s">
        <v>804</v>
      </c>
      <c r="R20" s="94" t="s">
        <v>803</v>
      </c>
      <c r="S20" s="163"/>
      <c r="T20" s="8" t="s">
        <v>804</v>
      </c>
      <c r="U20" s="8" t="s">
        <v>803</v>
      </c>
      <c r="V20" s="160"/>
      <c r="W20" s="5">
        <f>COUNTIF(F20:V20,"P")</f>
        <v>4</v>
      </c>
      <c r="X20" s="5">
        <f>COUNTIF(F20:V20,"A")</f>
        <v>8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ht="16.5" x14ac:dyDescent="0.25">
      <c r="A21" s="9">
        <v>17</v>
      </c>
      <c r="B21" s="9"/>
      <c r="C21" s="24" t="s">
        <v>605</v>
      </c>
      <c r="D21" s="24"/>
      <c r="E21" s="8" t="s">
        <v>709</v>
      </c>
      <c r="F21" s="8" t="s">
        <v>804</v>
      </c>
      <c r="G21" s="8" t="s">
        <v>804</v>
      </c>
      <c r="H21" s="160"/>
      <c r="I21" s="8" t="s">
        <v>804</v>
      </c>
      <c r="J21" s="8" t="s">
        <v>804</v>
      </c>
      <c r="K21" s="94" t="s">
        <v>804</v>
      </c>
      <c r="L21" s="8" t="s">
        <v>804</v>
      </c>
      <c r="M21" s="8" t="s">
        <v>804</v>
      </c>
      <c r="N21" s="163"/>
      <c r="O21" s="160"/>
      <c r="P21" s="8" t="s">
        <v>804</v>
      </c>
      <c r="Q21" s="8" t="s">
        <v>803</v>
      </c>
      <c r="R21" s="94" t="s">
        <v>804</v>
      </c>
      <c r="S21" s="163"/>
      <c r="T21" s="8" t="s">
        <v>804</v>
      </c>
      <c r="U21" s="8" t="s">
        <v>804</v>
      </c>
      <c r="V21" s="160"/>
      <c r="W21" s="5">
        <f>COUNTIF(F21:V21,"P")</f>
        <v>11</v>
      </c>
      <c r="X21" s="5">
        <f>COUNTIF(F21:V21,"A")</f>
        <v>1</v>
      </c>
      <c r="Y21" s="5" t="s">
        <v>14</v>
      </c>
      <c r="Z21" s="9">
        <f>17*$Z$5</f>
        <v>442</v>
      </c>
      <c r="AA21" s="9">
        <f>28*$Z$5</f>
        <v>728</v>
      </c>
      <c r="AB21" s="9">
        <f>Z21+AA21</f>
        <v>1170</v>
      </c>
    </row>
    <row r="22" spans="1:28" ht="16.5" x14ac:dyDescent="0.25">
      <c r="A22" s="9">
        <v>18</v>
      </c>
      <c r="B22" s="9"/>
      <c r="C22" s="24" t="s">
        <v>763</v>
      </c>
      <c r="D22" s="24"/>
      <c r="E22" s="8" t="s">
        <v>709</v>
      </c>
      <c r="F22" s="8" t="s">
        <v>803</v>
      </c>
      <c r="G22" s="8" t="s">
        <v>803</v>
      </c>
      <c r="H22" s="160"/>
      <c r="I22" s="8" t="s">
        <v>803</v>
      </c>
      <c r="J22" s="8" t="s">
        <v>803</v>
      </c>
      <c r="K22" s="94" t="s">
        <v>803</v>
      </c>
      <c r="L22" s="8" t="s">
        <v>803</v>
      </c>
      <c r="M22" s="8" t="s">
        <v>803</v>
      </c>
      <c r="N22" s="163"/>
      <c r="O22" s="160"/>
      <c r="P22" s="8" t="s">
        <v>803</v>
      </c>
      <c r="Q22" s="8" t="s">
        <v>803</v>
      </c>
      <c r="R22" s="94" t="s">
        <v>803</v>
      </c>
      <c r="S22" s="163"/>
      <c r="T22" s="8" t="s">
        <v>803</v>
      </c>
      <c r="U22" s="8" t="s">
        <v>803</v>
      </c>
      <c r="V22" s="160"/>
      <c r="W22" s="5">
        <f>COUNTIF(F22:V22,"P")</f>
        <v>0</v>
      </c>
      <c r="X22" s="5">
        <f>COUNTIF(F22:V22,"A")</f>
        <v>12</v>
      </c>
      <c r="Y22" s="5" t="s">
        <v>17</v>
      </c>
      <c r="Z22" s="9">
        <f>Z21-Z14</f>
        <v>285</v>
      </c>
      <c r="AA22" s="9">
        <f>AA21-AA14</f>
        <v>426</v>
      </c>
      <c r="AB22" s="9">
        <f>Z22+AA22</f>
        <v>711</v>
      </c>
    </row>
    <row r="23" spans="1:28" ht="16.5" x14ac:dyDescent="0.25">
      <c r="A23" s="9">
        <v>19</v>
      </c>
      <c r="B23" s="9"/>
      <c r="C23" s="24" t="s">
        <v>595</v>
      </c>
      <c r="D23" s="24"/>
      <c r="E23" s="8" t="s">
        <v>709</v>
      </c>
      <c r="F23" s="8" t="s">
        <v>804</v>
      </c>
      <c r="G23" s="8" t="s">
        <v>804</v>
      </c>
      <c r="H23" s="160"/>
      <c r="I23" s="8" t="s">
        <v>804</v>
      </c>
      <c r="J23" s="8" t="s">
        <v>804</v>
      </c>
      <c r="K23" s="94" t="s">
        <v>804</v>
      </c>
      <c r="L23" s="8" t="s">
        <v>804</v>
      </c>
      <c r="M23" s="8" t="s">
        <v>804</v>
      </c>
      <c r="N23" s="163"/>
      <c r="O23" s="160"/>
      <c r="P23" s="8" t="s">
        <v>804</v>
      </c>
      <c r="Q23" s="8" t="s">
        <v>804</v>
      </c>
      <c r="R23" s="94" t="s">
        <v>804</v>
      </c>
      <c r="S23" s="163"/>
      <c r="T23" s="8" t="s">
        <v>804</v>
      </c>
      <c r="U23" s="8" t="s">
        <v>804</v>
      </c>
      <c r="V23" s="160"/>
      <c r="W23" s="5">
        <f>COUNTIF(F23:V23,"P")</f>
        <v>12</v>
      </c>
      <c r="X23" s="5">
        <f>COUNTIF(F23:V23,"A")</f>
        <v>0</v>
      </c>
      <c r="Y23" s="5" t="s">
        <v>16</v>
      </c>
      <c r="Z23" s="12">
        <f>Z22/Z21</f>
        <v>0.64479638009049778</v>
      </c>
      <c r="AA23" s="12">
        <f>AA22/AA21</f>
        <v>0.5851648351648352</v>
      </c>
      <c r="AB23" s="12">
        <f>AB22/AB21</f>
        <v>0.60769230769230764</v>
      </c>
    </row>
    <row r="24" spans="1:28" ht="16.5" x14ac:dyDescent="0.25">
      <c r="A24" s="9">
        <v>20</v>
      </c>
      <c r="B24" s="9"/>
      <c r="C24" s="24" t="s">
        <v>764</v>
      </c>
      <c r="D24" s="24"/>
      <c r="E24" s="8" t="s">
        <v>709</v>
      </c>
      <c r="F24" s="8" t="s">
        <v>804</v>
      </c>
      <c r="G24" s="8" t="s">
        <v>804</v>
      </c>
      <c r="H24" s="160"/>
      <c r="I24" s="8" t="s">
        <v>804</v>
      </c>
      <c r="J24" s="8" t="s">
        <v>804</v>
      </c>
      <c r="K24" s="94" t="s">
        <v>804</v>
      </c>
      <c r="L24" s="8" t="s">
        <v>804</v>
      </c>
      <c r="M24" s="8" t="s">
        <v>804</v>
      </c>
      <c r="N24" s="163"/>
      <c r="O24" s="160"/>
      <c r="P24" s="8" t="s">
        <v>804</v>
      </c>
      <c r="Q24" s="8" t="s">
        <v>804</v>
      </c>
      <c r="R24" s="94" t="s">
        <v>804</v>
      </c>
      <c r="S24" s="163"/>
      <c r="T24" s="8" t="s">
        <v>804</v>
      </c>
      <c r="U24" s="8" t="s">
        <v>804</v>
      </c>
      <c r="V24" s="160"/>
      <c r="W24" s="5">
        <f>COUNTIF(F24:V24,"P")</f>
        <v>12</v>
      </c>
      <c r="X24" s="5">
        <f>COUNTIF(F24:V24,"A")</f>
        <v>0</v>
      </c>
      <c r="Y24" s="14"/>
      <c r="Z24" s="14"/>
      <c r="AA24" s="14"/>
      <c r="AB24" s="14"/>
    </row>
    <row r="25" spans="1:28" ht="16.5" x14ac:dyDescent="0.25">
      <c r="A25" s="9">
        <v>21</v>
      </c>
      <c r="B25" s="9"/>
      <c r="C25" s="24" t="s">
        <v>405</v>
      </c>
      <c r="D25" s="24"/>
      <c r="E25" s="8" t="s">
        <v>709</v>
      </c>
      <c r="F25" s="8" t="s">
        <v>804</v>
      </c>
      <c r="G25" s="8" t="s">
        <v>804</v>
      </c>
      <c r="H25" s="160"/>
      <c r="I25" s="8" t="s">
        <v>804</v>
      </c>
      <c r="J25" s="8" t="s">
        <v>804</v>
      </c>
      <c r="K25" s="94" t="s">
        <v>804</v>
      </c>
      <c r="L25" s="8" t="s">
        <v>804</v>
      </c>
      <c r="M25" s="8" t="s">
        <v>804</v>
      </c>
      <c r="N25" s="163"/>
      <c r="O25" s="160"/>
      <c r="P25" s="8" t="s">
        <v>804</v>
      </c>
      <c r="Q25" s="8" t="s">
        <v>804</v>
      </c>
      <c r="R25" s="94" t="s">
        <v>804</v>
      </c>
      <c r="S25" s="163"/>
      <c r="T25" s="8" t="s">
        <v>804</v>
      </c>
      <c r="U25" s="8" t="s">
        <v>804</v>
      </c>
      <c r="V25" s="160"/>
      <c r="W25" s="5">
        <f>COUNTIF(F25:V25,"P")</f>
        <v>12</v>
      </c>
      <c r="X25" s="5">
        <f>COUNTIF(F25:V25,"A")</f>
        <v>0</v>
      </c>
      <c r="Y25" s="14"/>
      <c r="Z25" s="14"/>
      <c r="AA25" s="14"/>
      <c r="AB25" s="14"/>
    </row>
    <row r="26" spans="1:28" ht="16.5" x14ac:dyDescent="0.25">
      <c r="A26" s="9">
        <v>22</v>
      </c>
      <c r="B26" s="9"/>
      <c r="C26" s="24" t="s">
        <v>765</v>
      </c>
      <c r="D26" s="24"/>
      <c r="E26" s="8" t="s">
        <v>709</v>
      </c>
      <c r="F26" s="8" t="s">
        <v>804</v>
      </c>
      <c r="G26" s="8" t="s">
        <v>804</v>
      </c>
      <c r="H26" s="160"/>
      <c r="I26" s="8" t="s">
        <v>804</v>
      </c>
      <c r="J26" s="8" t="s">
        <v>804</v>
      </c>
      <c r="K26" s="94" t="s">
        <v>804</v>
      </c>
      <c r="L26" s="8" t="s">
        <v>804</v>
      </c>
      <c r="M26" s="8" t="s">
        <v>804</v>
      </c>
      <c r="N26" s="163"/>
      <c r="O26" s="160"/>
      <c r="P26" s="8" t="s">
        <v>804</v>
      </c>
      <c r="Q26" s="8" t="s">
        <v>804</v>
      </c>
      <c r="R26" s="94" t="s">
        <v>804</v>
      </c>
      <c r="S26" s="163"/>
      <c r="T26" s="8" t="s">
        <v>804</v>
      </c>
      <c r="U26" s="8" t="s">
        <v>804</v>
      </c>
      <c r="V26" s="160"/>
      <c r="W26" s="5">
        <f>COUNTIF(F26:V26,"P")</f>
        <v>12</v>
      </c>
      <c r="X26" s="5">
        <f>COUNTIF(F26:V26,"A")</f>
        <v>0</v>
      </c>
      <c r="Y26" s="14"/>
      <c r="Z26" s="14"/>
      <c r="AA26" s="14"/>
      <c r="AB26" s="14"/>
    </row>
    <row r="27" spans="1:28" ht="16.5" x14ac:dyDescent="0.25">
      <c r="A27" s="9">
        <v>23</v>
      </c>
      <c r="B27" s="9"/>
      <c r="C27" s="24" t="s">
        <v>301</v>
      </c>
      <c r="D27" s="24"/>
      <c r="E27" s="8" t="s">
        <v>709</v>
      </c>
      <c r="F27" s="8" t="s">
        <v>729</v>
      </c>
      <c r="G27" s="8" t="s">
        <v>803</v>
      </c>
      <c r="H27" s="160"/>
      <c r="I27" s="8" t="s">
        <v>729</v>
      </c>
      <c r="J27" s="8" t="s">
        <v>729</v>
      </c>
      <c r="K27" s="94" t="s">
        <v>729</v>
      </c>
      <c r="L27" s="8" t="s">
        <v>729</v>
      </c>
      <c r="M27" s="8" t="s">
        <v>729</v>
      </c>
      <c r="N27" s="163"/>
      <c r="O27" s="160"/>
      <c r="P27" s="8" t="s">
        <v>729</v>
      </c>
      <c r="Q27" s="8" t="s">
        <v>729</v>
      </c>
      <c r="R27" s="94" t="s">
        <v>729</v>
      </c>
      <c r="S27" s="163"/>
      <c r="T27" s="8" t="s">
        <v>729</v>
      </c>
      <c r="U27" s="8" t="s">
        <v>729</v>
      </c>
      <c r="V27" s="160"/>
      <c r="W27" s="5">
        <f>COUNTIF(F27:V27,"P")</f>
        <v>11</v>
      </c>
      <c r="X27" s="5">
        <f>COUNTIF(F27:V27,"A")</f>
        <v>1</v>
      </c>
      <c r="Y27" s="14"/>
      <c r="Z27" s="14"/>
      <c r="AA27" s="14"/>
      <c r="AB27" s="14"/>
    </row>
    <row r="28" spans="1:28" ht="13.5" customHeight="1" x14ac:dyDescent="0.25">
      <c r="A28" s="9">
        <v>1</v>
      </c>
      <c r="B28" s="9">
        <v>713</v>
      </c>
      <c r="C28" s="24" t="s">
        <v>125</v>
      </c>
      <c r="D28" s="24" t="s">
        <v>96</v>
      </c>
      <c r="E28" s="8" t="s">
        <v>709</v>
      </c>
      <c r="F28" s="8" t="s">
        <v>729</v>
      </c>
      <c r="G28" s="8" t="s">
        <v>729</v>
      </c>
      <c r="H28" s="160"/>
      <c r="I28" s="8" t="s">
        <v>729</v>
      </c>
      <c r="J28" s="8" t="s">
        <v>729</v>
      </c>
      <c r="K28" s="94" t="s">
        <v>729</v>
      </c>
      <c r="L28" s="8" t="s">
        <v>729</v>
      </c>
      <c r="M28" s="8" t="s">
        <v>729</v>
      </c>
      <c r="N28" s="163"/>
      <c r="O28" s="160"/>
      <c r="P28" s="8" t="s">
        <v>729</v>
      </c>
      <c r="Q28" s="8" t="s">
        <v>729</v>
      </c>
      <c r="R28" s="94" t="s">
        <v>729</v>
      </c>
      <c r="S28" s="163"/>
      <c r="T28" s="8" t="s">
        <v>729</v>
      </c>
      <c r="U28" s="8" t="s">
        <v>729</v>
      </c>
      <c r="V28" s="160"/>
      <c r="W28" s="5">
        <f>COUNTIF(F28:V28,"P")</f>
        <v>12</v>
      </c>
      <c r="X28" s="5">
        <f>COUNTIF(F28:V28,"A")</f>
        <v>0</v>
      </c>
      <c r="Y28" s="14"/>
      <c r="Z28" s="14"/>
      <c r="AA28" s="14"/>
      <c r="AB28" s="14"/>
    </row>
    <row r="29" spans="1:28" ht="16.5" x14ac:dyDescent="0.25">
      <c r="A29" s="9">
        <v>2</v>
      </c>
      <c r="B29" s="9">
        <v>354</v>
      </c>
      <c r="C29" s="24" t="s">
        <v>130</v>
      </c>
      <c r="D29" s="24" t="s">
        <v>219</v>
      </c>
      <c r="E29" s="8" t="s">
        <v>709</v>
      </c>
      <c r="F29" s="8" t="s">
        <v>729</v>
      </c>
      <c r="G29" s="8" t="s">
        <v>729</v>
      </c>
      <c r="H29" s="160"/>
      <c r="I29" s="8" t="s">
        <v>729</v>
      </c>
      <c r="J29" s="8" t="s">
        <v>729</v>
      </c>
      <c r="K29" s="94" t="s">
        <v>729</v>
      </c>
      <c r="L29" s="8" t="s">
        <v>729</v>
      </c>
      <c r="M29" s="8" t="s">
        <v>729</v>
      </c>
      <c r="N29" s="163"/>
      <c r="O29" s="160"/>
      <c r="P29" s="8" t="s">
        <v>729</v>
      </c>
      <c r="Q29" s="8" t="s">
        <v>729</v>
      </c>
      <c r="R29" s="94" t="s">
        <v>729</v>
      </c>
      <c r="S29" s="163"/>
      <c r="T29" s="8" t="s">
        <v>729</v>
      </c>
      <c r="U29" s="8" t="s">
        <v>729</v>
      </c>
      <c r="V29" s="160"/>
      <c r="W29" s="5">
        <f>COUNTIF(F29:V29,"P")</f>
        <v>12</v>
      </c>
      <c r="X29" s="5">
        <f>COUNTIF(F29:V29,"A")</f>
        <v>0</v>
      </c>
      <c r="Y29" s="14"/>
      <c r="Z29" s="14"/>
      <c r="AA29" s="14"/>
      <c r="AB29" s="14"/>
    </row>
    <row r="30" spans="1:28" ht="16.5" x14ac:dyDescent="0.25">
      <c r="A30" s="9">
        <v>3</v>
      </c>
      <c r="B30" s="9">
        <v>716</v>
      </c>
      <c r="C30" s="24" t="s">
        <v>134</v>
      </c>
      <c r="D30" s="24" t="s">
        <v>440</v>
      </c>
      <c r="E30" s="8" t="s">
        <v>709</v>
      </c>
      <c r="F30" s="8" t="s">
        <v>804</v>
      </c>
      <c r="G30" s="8" t="s">
        <v>729</v>
      </c>
      <c r="H30" s="160"/>
      <c r="I30" s="8" t="s">
        <v>804</v>
      </c>
      <c r="J30" s="8" t="s">
        <v>804</v>
      </c>
      <c r="K30" s="94" t="s">
        <v>804</v>
      </c>
      <c r="L30" s="8" t="s">
        <v>804</v>
      </c>
      <c r="M30" s="8" t="s">
        <v>804</v>
      </c>
      <c r="N30" s="163"/>
      <c r="O30" s="160"/>
      <c r="P30" s="8" t="s">
        <v>804</v>
      </c>
      <c r="Q30" s="8" t="s">
        <v>804</v>
      </c>
      <c r="R30" s="94" t="s">
        <v>804</v>
      </c>
      <c r="S30" s="163"/>
      <c r="T30" s="8" t="s">
        <v>804</v>
      </c>
      <c r="U30" s="8" t="s">
        <v>804</v>
      </c>
      <c r="V30" s="160"/>
      <c r="W30" s="5">
        <f>COUNTIF(F30:V30,"P")</f>
        <v>12</v>
      </c>
      <c r="X30" s="5">
        <f>COUNTIF(F30:V30,"A")</f>
        <v>0</v>
      </c>
      <c r="Y30" s="14"/>
      <c r="Z30" s="14"/>
      <c r="AA30" s="14"/>
      <c r="AB30" s="14"/>
    </row>
    <row r="31" spans="1:28" ht="16.5" x14ac:dyDescent="0.25">
      <c r="A31" s="9">
        <v>4</v>
      </c>
      <c r="B31" s="9">
        <v>566</v>
      </c>
      <c r="C31" s="24" t="s">
        <v>136</v>
      </c>
      <c r="D31" s="24" t="s">
        <v>518</v>
      </c>
      <c r="E31" s="8" t="s">
        <v>709</v>
      </c>
      <c r="F31" s="8" t="s">
        <v>804</v>
      </c>
      <c r="G31" s="8" t="s">
        <v>804</v>
      </c>
      <c r="H31" s="160"/>
      <c r="I31" s="8" t="s">
        <v>804</v>
      </c>
      <c r="J31" s="8" t="s">
        <v>804</v>
      </c>
      <c r="K31" s="94" t="s">
        <v>804</v>
      </c>
      <c r="L31" s="8" t="s">
        <v>804</v>
      </c>
      <c r="M31" s="8" t="s">
        <v>804</v>
      </c>
      <c r="N31" s="163"/>
      <c r="O31" s="160"/>
      <c r="P31" s="8" t="s">
        <v>804</v>
      </c>
      <c r="Q31" s="8" t="s">
        <v>804</v>
      </c>
      <c r="R31" s="94" t="s">
        <v>804</v>
      </c>
      <c r="S31" s="163"/>
      <c r="T31" s="8" t="s">
        <v>804</v>
      </c>
      <c r="U31" s="8" t="s">
        <v>804</v>
      </c>
      <c r="V31" s="160"/>
      <c r="W31" s="5">
        <f>COUNTIF(F31:V31,"P")</f>
        <v>12</v>
      </c>
      <c r="X31" s="5">
        <f>COUNTIF(F31:V31,"A")</f>
        <v>0</v>
      </c>
      <c r="Y31" s="14"/>
      <c r="Z31" s="14"/>
      <c r="AA31" s="14"/>
      <c r="AB31" s="14"/>
    </row>
    <row r="32" spans="1:28" ht="16.5" x14ac:dyDescent="0.25">
      <c r="A32" s="9">
        <v>5</v>
      </c>
      <c r="B32" s="9">
        <v>348</v>
      </c>
      <c r="C32" s="24" t="s">
        <v>568</v>
      </c>
      <c r="D32" s="24" t="s">
        <v>569</v>
      </c>
      <c r="E32" s="8" t="s">
        <v>709</v>
      </c>
      <c r="F32" s="8" t="s">
        <v>804</v>
      </c>
      <c r="G32" s="8" t="s">
        <v>804</v>
      </c>
      <c r="H32" s="160"/>
      <c r="I32" s="8" t="s">
        <v>804</v>
      </c>
      <c r="J32" s="8" t="s">
        <v>804</v>
      </c>
      <c r="K32" s="94" t="s">
        <v>804</v>
      </c>
      <c r="L32" s="8" t="s">
        <v>804</v>
      </c>
      <c r="M32" s="8" t="s">
        <v>804</v>
      </c>
      <c r="N32" s="163"/>
      <c r="O32" s="160"/>
      <c r="P32" s="8" t="s">
        <v>804</v>
      </c>
      <c r="Q32" s="8" t="s">
        <v>804</v>
      </c>
      <c r="R32" s="94" t="s">
        <v>804</v>
      </c>
      <c r="S32" s="163"/>
      <c r="T32" s="8" t="s">
        <v>804</v>
      </c>
      <c r="U32" s="8" t="s">
        <v>804</v>
      </c>
      <c r="V32" s="160"/>
      <c r="W32" s="5">
        <f>COUNTIF(F32:V32,"P")</f>
        <v>12</v>
      </c>
      <c r="X32" s="5">
        <f>COUNTIF(F32:V32,"A")</f>
        <v>0</v>
      </c>
      <c r="Y32" s="14"/>
      <c r="Z32" s="14"/>
      <c r="AA32" s="14"/>
      <c r="AB32" s="14"/>
    </row>
    <row r="33" spans="1:28" ht="16.5" x14ac:dyDescent="0.25">
      <c r="A33" s="9">
        <v>6</v>
      </c>
      <c r="B33" s="9">
        <v>618</v>
      </c>
      <c r="C33" s="27" t="s">
        <v>570</v>
      </c>
      <c r="D33" s="27" t="s">
        <v>571</v>
      </c>
      <c r="E33" s="8" t="s">
        <v>709</v>
      </c>
      <c r="F33" s="8" t="s">
        <v>804</v>
      </c>
      <c r="G33" s="8" t="s">
        <v>804</v>
      </c>
      <c r="H33" s="160"/>
      <c r="I33" s="8" t="s">
        <v>804</v>
      </c>
      <c r="J33" s="8" t="s">
        <v>804</v>
      </c>
      <c r="K33" s="94" t="s">
        <v>804</v>
      </c>
      <c r="L33" s="8" t="s">
        <v>804</v>
      </c>
      <c r="M33" s="8" t="s">
        <v>804</v>
      </c>
      <c r="N33" s="163"/>
      <c r="O33" s="160"/>
      <c r="P33" s="8" t="s">
        <v>804</v>
      </c>
      <c r="Q33" s="8" t="s">
        <v>804</v>
      </c>
      <c r="R33" s="94" t="s">
        <v>804</v>
      </c>
      <c r="S33" s="163"/>
      <c r="T33" s="8" t="s">
        <v>804</v>
      </c>
      <c r="U33" s="8" t="s">
        <v>804</v>
      </c>
      <c r="V33" s="160"/>
      <c r="W33" s="5">
        <f>COUNTIF(F33:V33,"P")</f>
        <v>12</v>
      </c>
      <c r="X33" s="5">
        <f>COUNTIF(F33:V33,"A")</f>
        <v>0</v>
      </c>
      <c r="Y33" s="14"/>
      <c r="Z33" s="14"/>
      <c r="AA33" s="14"/>
      <c r="AB33" s="14"/>
    </row>
    <row r="34" spans="1:28" ht="16.5" x14ac:dyDescent="0.25">
      <c r="A34" s="9">
        <v>7</v>
      </c>
      <c r="B34" s="9">
        <v>443</v>
      </c>
      <c r="C34" s="27" t="s">
        <v>476</v>
      </c>
      <c r="D34" s="27" t="s">
        <v>270</v>
      </c>
      <c r="E34" s="8" t="s">
        <v>709</v>
      </c>
      <c r="F34" s="8" t="s">
        <v>804</v>
      </c>
      <c r="G34" s="8" t="s">
        <v>804</v>
      </c>
      <c r="H34" s="160"/>
      <c r="I34" s="8" t="s">
        <v>804</v>
      </c>
      <c r="J34" s="8" t="s">
        <v>804</v>
      </c>
      <c r="K34" s="94" t="s">
        <v>804</v>
      </c>
      <c r="L34" s="8" t="s">
        <v>804</v>
      </c>
      <c r="M34" s="8" t="s">
        <v>804</v>
      </c>
      <c r="N34" s="163"/>
      <c r="O34" s="160"/>
      <c r="P34" s="8" t="s">
        <v>804</v>
      </c>
      <c r="Q34" s="8" t="s">
        <v>804</v>
      </c>
      <c r="R34" s="94" t="s">
        <v>804</v>
      </c>
      <c r="S34" s="163"/>
      <c r="T34" s="8" t="s">
        <v>804</v>
      </c>
      <c r="U34" s="8" t="s">
        <v>804</v>
      </c>
      <c r="V34" s="160"/>
      <c r="W34" s="5">
        <f>COUNTIF(F34:V34,"P")</f>
        <v>12</v>
      </c>
      <c r="X34" s="5">
        <f>COUNTIF(F34:V34,"A")</f>
        <v>0</v>
      </c>
      <c r="Y34" s="14"/>
      <c r="Z34" s="14"/>
      <c r="AA34" s="14"/>
      <c r="AB34" s="14"/>
    </row>
    <row r="35" spans="1:28" ht="16.5" x14ac:dyDescent="0.25">
      <c r="A35" s="9">
        <v>8</v>
      </c>
      <c r="B35" s="9">
        <v>614</v>
      </c>
      <c r="C35" s="27" t="s">
        <v>476</v>
      </c>
      <c r="D35" s="27" t="s">
        <v>572</v>
      </c>
      <c r="E35" s="8" t="s">
        <v>709</v>
      </c>
      <c r="F35" s="8" t="s">
        <v>804</v>
      </c>
      <c r="G35" s="8" t="s">
        <v>804</v>
      </c>
      <c r="H35" s="160"/>
      <c r="I35" s="8" t="s">
        <v>804</v>
      </c>
      <c r="J35" s="8" t="s">
        <v>804</v>
      </c>
      <c r="K35" s="94" t="s">
        <v>804</v>
      </c>
      <c r="L35" s="8" t="s">
        <v>804</v>
      </c>
      <c r="M35" s="8" t="s">
        <v>804</v>
      </c>
      <c r="N35" s="163"/>
      <c r="O35" s="160"/>
      <c r="P35" s="8" t="s">
        <v>804</v>
      </c>
      <c r="Q35" s="8" t="s">
        <v>804</v>
      </c>
      <c r="R35" s="94" t="s">
        <v>804</v>
      </c>
      <c r="S35" s="163"/>
      <c r="T35" s="8" t="s">
        <v>804</v>
      </c>
      <c r="U35" s="8" t="s">
        <v>804</v>
      </c>
      <c r="V35" s="160"/>
      <c r="W35" s="5">
        <f>COUNTIF(F35:V35,"P")</f>
        <v>12</v>
      </c>
      <c r="X35" s="5">
        <f>COUNTIF(F35:V35,"A")</f>
        <v>0</v>
      </c>
      <c r="Y35" s="14"/>
      <c r="Z35" s="14"/>
      <c r="AA35" s="14"/>
      <c r="AB35" s="14"/>
    </row>
    <row r="36" spans="1:28" ht="16.5" x14ac:dyDescent="0.25">
      <c r="A36" s="9">
        <v>9</v>
      </c>
      <c r="B36" s="9">
        <v>778</v>
      </c>
      <c r="C36" s="27" t="s">
        <v>573</v>
      </c>
      <c r="D36" s="27" t="s">
        <v>574</v>
      </c>
      <c r="E36" s="8" t="s">
        <v>709</v>
      </c>
      <c r="F36" s="8" t="s">
        <v>804</v>
      </c>
      <c r="G36" s="8" t="s">
        <v>804</v>
      </c>
      <c r="H36" s="160"/>
      <c r="I36" s="8" t="s">
        <v>804</v>
      </c>
      <c r="J36" s="8" t="s">
        <v>804</v>
      </c>
      <c r="K36" s="94" t="s">
        <v>804</v>
      </c>
      <c r="L36" s="8" t="s">
        <v>804</v>
      </c>
      <c r="M36" s="8" t="s">
        <v>804</v>
      </c>
      <c r="N36" s="163"/>
      <c r="O36" s="160"/>
      <c r="P36" s="8" t="s">
        <v>804</v>
      </c>
      <c r="Q36" s="8" t="s">
        <v>804</v>
      </c>
      <c r="R36" s="94" t="s">
        <v>804</v>
      </c>
      <c r="S36" s="163"/>
      <c r="T36" s="8" t="s">
        <v>804</v>
      </c>
      <c r="U36" s="8" t="s">
        <v>804</v>
      </c>
      <c r="V36" s="160"/>
      <c r="W36" s="5">
        <f>COUNTIF(F36:V36,"P")</f>
        <v>12</v>
      </c>
      <c r="X36" s="5">
        <f>COUNTIF(F36:V36,"A")</f>
        <v>0</v>
      </c>
      <c r="Y36" s="14"/>
      <c r="Z36" s="14"/>
      <c r="AA36" s="14"/>
      <c r="AB36" s="14"/>
    </row>
    <row r="37" spans="1:28" ht="16.5" x14ac:dyDescent="0.25">
      <c r="A37" s="9">
        <v>10</v>
      </c>
      <c r="B37" s="9"/>
      <c r="C37" s="24" t="s">
        <v>575</v>
      </c>
      <c r="D37" s="24" t="s">
        <v>576</v>
      </c>
      <c r="E37" s="8" t="s">
        <v>709</v>
      </c>
      <c r="F37" s="8" t="s">
        <v>804</v>
      </c>
      <c r="G37" s="8" t="s">
        <v>804</v>
      </c>
      <c r="H37" s="160"/>
      <c r="I37" s="8" t="s">
        <v>804</v>
      </c>
      <c r="J37" s="8" t="s">
        <v>804</v>
      </c>
      <c r="K37" s="94" t="s">
        <v>804</v>
      </c>
      <c r="L37" s="8" t="s">
        <v>804</v>
      </c>
      <c r="M37" s="8" t="s">
        <v>804</v>
      </c>
      <c r="N37" s="163"/>
      <c r="O37" s="160"/>
      <c r="P37" s="8" t="s">
        <v>804</v>
      </c>
      <c r="Q37" s="8" t="s">
        <v>804</v>
      </c>
      <c r="R37" s="94" t="s">
        <v>804</v>
      </c>
      <c r="S37" s="163"/>
      <c r="T37" s="8" t="s">
        <v>804</v>
      </c>
      <c r="U37" s="8" t="s">
        <v>804</v>
      </c>
      <c r="V37" s="160"/>
      <c r="W37" s="5">
        <f>COUNTIF(F37:V37,"P")</f>
        <v>12</v>
      </c>
      <c r="X37" s="5">
        <f>COUNTIF(F37:V37,"A")</f>
        <v>0</v>
      </c>
      <c r="Y37" s="14"/>
      <c r="Z37" s="14"/>
      <c r="AA37" s="14"/>
      <c r="AB37" s="14"/>
    </row>
    <row r="38" spans="1:28" ht="16.5" x14ac:dyDescent="0.25">
      <c r="A38" s="9">
        <v>11</v>
      </c>
      <c r="B38" s="9"/>
      <c r="C38" s="24" t="s">
        <v>577</v>
      </c>
      <c r="D38" s="24" t="s">
        <v>572</v>
      </c>
      <c r="E38" s="8" t="s">
        <v>709</v>
      </c>
      <c r="F38" s="8" t="s">
        <v>804</v>
      </c>
      <c r="G38" s="8" t="s">
        <v>804</v>
      </c>
      <c r="H38" s="160"/>
      <c r="I38" s="8" t="s">
        <v>804</v>
      </c>
      <c r="J38" s="8" t="s">
        <v>804</v>
      </c>
      <c r="K38" s="94" t="s">
        <v>804</v>
      </c>
      <c r="L38" s="8" t="s">
        <v>804</v>
      </c>
      <c r="M38" s="8" t="s">
        <v>804</v>
      </c>
      <c r="N38" s="163"/>
      <c r="O38" s="160"/>
      <c r="P38" s="8" t="s">
        <v>804</v>
      </c>
      <c r="Q38" s="8" t="s">
        <v>804</v>
      </c>
      <c r="R38" s="94" t="s">
        <v>804</v>
      </c>
      <c r="S38" s="163"/>
      <c r="T38" s="8" t="s">
        <v>804</v>
      </c>
      <c r="U38" s="8" t="s">
        <v>804</v>
      </c>
      <c r="V38" s="160"/>
      <c r="W38" s="5">
        <f>COUNTIF(F38:V38,"P")</f>
        <v>12</v>
      </c>
      <c r="X38" s="5">
        <f>COUNTIF(F38:V38,"A")</f>
        <v>0</v>
      </c>
      <c r="Y38" s="14"/>
      <c r="Z38" s="14"/>
      <c r="AA38" s="14"/>
      <c r="AB38" s="14"/>
    </row>
    <row r="39" spans="1:28" ht="16.5" x14ac:dyDescent="0.25">
      <c r="A39" s="9">
        <v>12</v>
      </c>
      <c r="B39" s="9"/>
      <c r="C39" s="14" t="s">
        <v>578</v>
      </c>
      <c r="D39" s="14" t="s">
        <v>270</v>
      </c>
      <c r="E39" s="8" t="s">
        <v>709</v>
      </c>
      <c r="F39" s="8" t="s">
        <v>804</v>
      </c>
      <c r="G39" s="8" t="s">
        <v>804</v>
      </c>
      <c r="H39" s="160"/>
      <c r="I39" s="8" t="s">
        <v>804</v>
      </c>
      <c r="J39" s="8" t="s">
        <v>804</v>
      </c>
      <c r="K39" s="94" t="s">
        <v>804</v>
      </c>
      <c r="L39" s="8" t="s">
        <v>804</v>
      </c>
      <c r="M39" s="8" t="s">
        <v>804</v>
      </c>
      <c r="N39" s="163"/>
      <c r="O39" s="160"/>
      <c r="P39" s="8" t="s">
        <v>804</v>
      </c>
      <c r="Q39" s="8" t="s">
        <v>804</v>
      </c>
      <c r="R39" s="94" t="s">
        <v>804</v>
      </c>
      <c r="S39" s="163"/>
      <c r="T39" s="8" t="s">
        <v>804</v>
      </c>
      <c r="U39" s="8" t="s">
        <v>804</v>
      </c>
      <c r="V39" s="160"/>
      <c r="W39" s="5">
        <f>COUNTIF(F39:V39,"P")</f>
        <v>12</v>
      </c>
      <c r="X39" s="5">
        <f>COUNTIF(F39:V39,"A")</f>
        <v>0</v>
      </c>
      <c r="Y39" s="14"/>
      <c r="Z39" s="14"/>
      <c r="AA39" s="14"/>
      <c r="AB39" s="14"/>
    </row>
    <row r="40" spans="1:28" ht="16.5" x14ac:dyDescent="0.25">
      <c r="A40" s="9">
        <v>13</v>
      </c>
      <c r="B40" s="9"/>
      <c r="C40" s="14" t="s">
        <v>579</v>
      </c>
      <c r="D40" s="14" t="s">
        <v>580</v>
      </c>
      <c r="E40" s="8" t="s">
        <v>709</v>
      </c>
      <c r="F40" s="8" t="s">
        <v>804</v>
      </c>
      <c r="G40" s="8" t="s">
        <v>804</v>
      </c>
      <c r="H40" s="160"/>
      <c r="I40" s="8" t="s">
        <v>804</v>
      </c>
      <c r="J40" s="8" t="s">
        <v>804</v>
      </c>
      <c r="K40" s="94" t="s">
        <v>804</v>
      </c>
      <c r="L40" s="8" t="s">
        <v>804</v>
      </c>
      <c r="M40" s="8" t="s">
        <v>804</v>
      </c>
      <c r="N40" s="163"/>
      <c r="O40" s="160"/>
      <c r="P40" s="8" t="s">
        <v>804</v>
      </c>
      <c r="Q40" s="8" t="s">
        <v>804</v>
      </c>
      <c r="R40" s="94" t="s">
        <v>804</v>
      </c>
      <c r="S40" s="163"/>
      <c r="T40" s="8" t="s">
        <v>804</v>
      </c>
      <c r="U40" s="8" t="s">
        <v>804</v>
      </c>
      <c r="V40" s="160"/>
      <c r="W40" s="5">
        <f>COUNTIF(F40:V40,"P")</f>
        <v>12</v>
      </c>
      <c r="X40" s="5">
        <f>COUNTIF(F40:V40,"A")</f>
        <v>0</v>
      </c>
      <c r="Y40" s="14"/>
      <c r="Z40" s="14"/>
      <c r="AA40" s="14"/>
      <c r="AB40" s="14"/>
    </row>
    <row r="41" spans="1:28" ht="16.5" x14ac:dyDescent="0.25">
      <c r="A41" s="9">
        <v>14</v>
      </c>
      <c r="B41" s="9"/>
      <c r="C41" s="14" t="s">
        <v>581</v>
      </c>
      <c r="D41" s="14" t="s">
        <v>98</v>
      </c>
      <c r="E41" s="8" t="s">
        <v>709</v>
      </c>
      <c r="F41" s="8" t="s">
        <v>804</v>
      </c>
      <c r="G41" s="8" t="s">
        <v>804</v>
      </c>
      <c r="H41" s="160"/>
      <c r="I41" s="8" t="s">
        <v>804</v>
      </c>
      <c r="J41" s="8" t="s">
        <v>804</v>
      </c>
      <c r="K41" s="94" t="s">
        <v>804</v>
      </c>
      <c r="L41" s="8" t="s">
        <v>804</v>
      </c>
      <c r="M41" s="8" t="s">
        <v>804</v>
      </c>
      <c r="N41" s="163"/>
      <c r="O41" s="160"/>
      <c r="P41" s="8" t="s">
        <v>804</v>
      </c>
      <c r="Q41" s="8" t="s">
        <v>804</v>
      </c>
      <c r="R41" s="94" t="s">
        <v>804</v>
      </c>
      <c r="S41" s="163"/>
      <c r="T41" s="8" t="s">
        <v>804</v>
      </c>
      <c r="U41" s="8" t="s">
        <v>804</v>
      </c>
      <c r="V41" s="160"/>
      <c r="W41" s="5">
        <f>COUNTIF(F41:V41,"P")</f>
        <v>12</v>
      </c>
      <c r="X41" s="5">
        <f>COUNTIF(F41:V41,"A")</f>
        <v>0</v>
      </c>
      <c r="Y41" s="14"/>
      <c r="Z41" s="14"/>
      <c r="AA41" s="14"/>
      <c r="AB41" s="14"/>
    </row>
    <row r="42" spans="1:28" ht="16.5" x14ac:dyDescent="0.25">
      <c r="A42" s="9">
        <v>15</v>
      </c>
      <c r="B42" s="9"/>
      <c r="C42" s="14" t="s">
        <v>582</v>
      </c>
      <c r="D42" s="14" t="s">
        <v>583</v>
      </c>
      <c r="E42" s="8" t="s">
        <v>709</v>
      </c>
      <c r="F42" s="8" t="s">
        <v>804</v>
      </c>
      <c r="G42" s="8" t="s">
        <v>804</v>
      </c>
      <c r="H42" s="160"/>
      <c r="I42" s="8" t="s">
        <v>804</v>
      </c>
      <c r="J42" s="8" t="s">
        <v>804</v>
      </c>
      <c r="K42" s="94" t="s">
        <v>804</v>
      </c>
      <c r="L42" s="8" t="s">
        <v>804</v>
      </c>
      <c r="M42" s="8" t="s">
        <v>803</v>
      </c>
      <c r="N42" s="163"/>
      <c r="O42" s="160"/>
      <c r="P42" s="8" t="s">
        <v>804</v>
      </c>
      <c r="Q42" s="8" t="s">
        <v>804</v>
      </c>
      <c r="R42" s="94" t="s">
        <v>804</v>
      </c>
      <c r="S42" s="163"/>
      <c r="T42" s="8" t="s">
        <v>804</v>
      </c>
      <c r="U42" s="8" t="s">
        <v>804</v>
      </c>
      <c r="V42" s="160"/>
      <c r="W42" s="5">
        <f>COUNTIF(F42:V42,"P")</f>
        <v>11</v>
      </c>
      <c r="X42" s="5">
        <f>COUNTIF(F42:V42,"A")</f>
        <v>1</v>
      </c>
      <c r="Y42" s="14"/>
      <c r="Z42" s="14"/>
      <c r="AA42" s="14"/>
      <c r="AB42" s="14"/>
    </row>
    <row r="43" spans="1:28" ht="16.5" x14ac:dyDescent="0.25">
      <c r="A43" s="9">
        <v>16</v>
      </c>
      <c r="B43" s="9"/>
      <c r="C43" s="14" t="s">
        <v>584</v>
      </c>
      <c r="D43" s="14" t="s">
        <v>442</v>
      </c>
      <c r="E43" s="8" t="s">
        <v>709</v>
      </c>
      <c r="F43" s="8" t="s">
        <v>804</v>
      </c>
      <c r="G43" s="8" t="s">
        <v>804</v>
      </c>
      <c r="H43" s="160"/>
      <c r="I43" s="8" t="s">
        <v>804</v>
      </c>
      <c r="J43" s="8" t="s">
        <v>804</v>
      </c>
      <c r="K43" s="94" t="s">
        <v>804</v>
      </c>
      <c r="L43" s="8" t="s">
        <v>804</v>
      </c>
      <c r="M43" s="8" t="s">
        <v>804</v>
      </c>
      <c r="N43" s="163"/>
      <c r="O43" s="160"/>
      <c r="P43" s="8" t="s">
        <v>804</v>
      </c>
      <c r="Q43" s="8" t="s">
        <v>804</v>
      </c>
      <c r="R43" s="94" t="s">
        <v>804</v>
      </c>
      <c r="S43" s="163"/>
      <c r="T43" s="8" t="s">
        <v>804</v>
      </c>
      <c r="U43" s="8" t="s">
        <v>804</v>
      </c>
      <c r="V43" s="160"/>
      <c r="W43" s="5">
        <f>COUNTIF(F43:V43,"P")</f>
        <v>12</v>
      </c>
      <c r="X43" s="5">
        <f>COUNTIF(F43:V43,"A")</f>
        <v>0</v>
      </c>
      <c r="Y43" s="14"/>
      <c r="Z43" s="14"/>
      <c r="AA43" s="14"/>
      <c r="AB43" s="14"/>
    </row>
    <row r="44" spans="1:28" ht="16.5" x14ac:dyDescent="0.25">
      <c r="A44" s="9">
        <v>17</v>
      </c>
      <c r="B44" s="9"/>
      <c r="C44" s="14" t="s">
        <v>585</v>
      </c>
      <c r="D44" s="14" t="s">
        <v>586</v>
      </c>
      <c r="E44" s="8" t="s">
        <v>709</v>
      </c>
      <c r="F44" s="8" t="s">
        <v>804</v>
      </c>
      <c r="G44" s="8" t="s">
        <v>804</v>
      </c>
      <c r="H44" s="160"/>
      <c r="I44" s="8" t="s">
        <v>804</v>
      </c>
      <c r="J44" s="8" t="s">
        <v>804</v>
      </c>
      <c r="K44" s="94" t="s">
        <v>804</v>
      </c>
      <c r="L44" s="8" t="s">
        <v>804</v>
      </c>
      <c r="M44" s="8" t="s">
        <v>804</v>
      </c>
      <c r="N44" s="163"/>
      <c r="O44" s="160"/>
      <c r="P44" s="8" t="s">
        <v>804</v>
      </c>
      <c r="Q44" s="8" t="s">
        <v>804</v>
      </c>
      <c r="R44" s="94" t="s">
        <v>804</v>
      </c>
      <c r="S44" s="163"/>
      <c r="T44" s="8" t="s">
        <v>804</v>
      </c>
      <c r="U44" s="8" t="s">
        <v>804</v>
      </c>
      <c r="V44" s="160"/>
      <c r="W44" s="5">
        <f>COUNTIF(F44:V44,"P")</f>
        <v>12</v>
      </c>
      <c r="X44" s="5">
        <f>COUNTIF(F44:V44,"A")</f>
        <v>0</v>
      </c>
      <c r="Y44" s="14"/>
      <c r="Z44" s="14"/>
      <c r="AA44" s="14"/>
      <c r="AB44" s="14"/>
    </row>
    <row r="45" spans="1:28" ht="16.5" x14ac:dyDescent="0.25">
      <c r="A45" s="9">
        <v>18</v>
      </c>
      <c r="B45" s="9"/>
      <c r="C45" s="14" t="s">
        <v>587</v>
      </c>
      <c r="D45" s="14" t="s">
        <v>352</v>
      </c>
      <c r="E45" s="8" t="s">
        <v>709</v>
      </c>
      <c r="F45" s="8" t="s">
        <v>804</v>
      </c>
      <c r="G45" s="8" t="s">
        <v>803</v>
      </c>
      <c r="H45" s="160"/>
      <c r="I45" s="8" t="s">
        <v>804</v>
      </c>
      <c r="J45" s="8" t="s">
        <v>804</v>
      </c>
      <c r="K45" s="94" t="s">
        <v>804</v>
      </c>
      <c r="L45" s="8" t="s">
        <v>804</v>
      </c>
      <c r="M45" s="8" t="s">
        <v>804</v>
      </c>
      <c r="N45" s="163"/>
      <c r="O45" s="160"/>
      <c r="P45" s="8" t="s">
        <v>804</v>
      </c>
      <c r="Q45" s="8" t="s">
        <v>804</v>
      </c>
      <c r="R45" s="94" t="s">
        <v>804</v>
      </c>
      <c r="S45" s="163"/>
      <c r="T45" s="8" t="s">
        <v>804</v>
      </c>
      <c r="U45" s="8" t="s">
        <v>804</v>
      </c>
      <c r="V45" s="160"/>
      <c r="W45" s="5">
        <f>COUNTIF(F45:V45,"P")</f>
        <v>11</v>
      </c>
      <c r="X45" s="5">
        <f>COUNTIF(F45:V45,"A")</f>
        <v>1</v>
      </c>
      <c r="Y45" s="14"/>
      <c r="Z45" s="14"/>
      <c r="AA45" s="14"/>
      <c r="AB45" s="14"/>
    </row>
    <row r="46" spans="1:28" ht="16.5" x14ac:dyDescent="0.25">
      <c r="A46" s="9">
        <v>19</v>
      </c>
      <c r="B46" s="9"/>
      <c r="C46" s="14" t="s">
        <v>588</v>
      </c>
      <c r="D46" s="14" t="s">
        <v>589</v>
      </c>
      <c r="E46" s="8" t="s">
        <v>709</v>
      </c>
      <c r="F46" s="8" t="s">
        <v>804</v>
      </c>
      <c r="G46" s="8" t="s">
        <v>804</v>
      </c>
      <c r="H46" s="160"/>
      <c r="I46" s="8" t="s">
        <v>804</v>
      </c>
      <c r="J46" s="8" t="s">
        <v>804</v>
      </c>
      <c r="K46" s="94" t="s">
        <v>804</v>
      </c>
      <c r="L46" s="8" t="s">
        <v>804</v>
      </c>
      <c r="M46" s="8" t="s">
        <v>804</v>
      </c>
      <c r="N46" s="163"/>
      <c r="O46" s="160"/>
      <c r="P46" s="8" t="s">
        <v>804</v>
      </c>
      <c r="Q46" s="8" t="s">
        <v>804</v>
      </c>
      <c r="R46" s="94" t="s">
        <v>804</v>
      </c>
      <c r="S46" s="163"/>
      <c r="T46" s="8" t="s">
        <v>804</v>
      </c>
      <c r="U46" s="8" t="s">
        <v>804</v>
      </c>
      <c r="V46" s="160"/>
      <c r="W46" s="5">
        <f>COUNTIF(F46:V46,"P")</f>
        <v>12</v>
      </c>
      <c r="X46" s="5">
        <f>COUNTIF(F46:V46,"A")</f>
        <v>0</v>
      </c>
      <c r="Y46" s="14"/>
      <c r="Z46" s="14"/>
      <c r="AA46" s="14"/>
      <c r="AB46" s="14"/>
    </row>
    <row r="47" spans="1:28" ht="16.5" x14ac:dyDescent="0.25">
      <c r="A47" s="9">
        <v>20</v>
      </c>
      <c r="B47" s="9"/>
      <c r="C47" s="14" t="s">
        <v>615</v>
      </c>
      <c r="D47" s="14"/>
      <c r="E47" s="8" t="s">
        <v>709</v>
      </c>
      <c r="F47" s="8" t="s">
        <v>803</v>
      </c>
      <c r="G47" s="8" t="s">
        <v>803</v>
      </c>
      <c r="H47" s="160"/>
      <c r="I47" s="8" t="s">
        <v>804</v>
      </c>
      <c r="J47" s="8" t="s">
        <v>803</v>
      </c>
      <c r="K47" s="94" t="s">
        <v>803</v>
      </c>
      <c r="L47" s="8" t="s">
        <v>803</v>
      </c>
      <c r="M47" s="8" t="s">
        <v>803</v>
      </c>
      <c r="N47" s="163"/>
      <c r="O47" s="160"/>
      <c r="P47" s="8" t="s">
        <v>804</v>
      </c>
      <c r="Q47" s="8" t="s">
        <v>804</v>
      </c>
      <c r="R47" s="94" t="s">
        <v>803</v>
      </c>
      <c r="S47" s="163"/>
      <c r="T47" s="8" t="s">
        <v>804</v>
      </c>
      <c r="U47" s="8" t="s">
        <v>804</v>
      </c>
      <c r="V47" s="160"/>
      <c r="W47" s="5">
        <f>COUNTIF(F47:V47,"P")</f>
        <v>5</v>
      </c>
      <c r="X47" s="5">
        <f>COUNTIF(F47:V47,"A")</f>
        <v>7</v>
      </c>
      <c r="Y47" s="14"/>
      <c r="Z47" s="14"/>
      <c r="AA47" s="14"/>
      <c r="AB47" s="14"/>
    </row>
    <row r="48" spans="1:28" ht="16.5" x14ac:dyDescent="0.25">
      <c r="A48" s="9">
        <v>21</v>
      </c>
      <c r="B48" s="9"/>
      <c r="C48" s="14" t="s">
        <v>766</v>
      </c>
      <c r="D48" s="14"/>
      <c r="E48" s="8" t="s">
        <v>709</v>
      </c>
      <c r="F48" s="8" t="s">
        <v>804</v>
      </c>
      <c r="G48" s="8" t="s">
        <v>804</v>
      </c>
      <c r="H48" s="160"/>
      <c r="I48" s="8" t="s">
        <v>804</v>
      </c>
      <c r="J48" s="8" t="s">
        <v>804</v>
      </c>
      <c r="K48" s="94" t="s">
        <v>804</v>
      </c>
      <c r="L48" s="8" t="s">
        <v>804</v>
      </c>
      <c r="M48" s="8" t="s">
        <v>804</v>
      </c>
      <c r="N48" s="163"/>
      <c r="O48" s="160"/>
      <c r="P48" s="8" t="s">
        <v>804</v>
      </c>
      <c r="Q48" s="8" t="s">
        <v>804</v>
      </c>
      <c r="R48" s="94" t="s">
        <v>804</v>
      </c>
      <c r="S48" s="163"/>
      <c r="T48" s="8" t="s">
        <v>804</v>
      </c>
      <c r="U48" s="8" t="s">
        <v>804</v>
      </c>
      <c r="V48" s="160"/>
      <c r="W48" s="5">
        <f>COUNTIF(F48:V48,"P")</f>
        <v>12</v>
      </c>
      <c r="X48" s="5">
        <f>COUNTIF(F48:V48,"A")</f>
        <v>0</v>
      </c>
      <c r="Y48" s="14"/>
      <c r="Z48" s="14"/>
      <c r="AA48" s="14"/>
      <c r="AB48" s="14"/>
    </row>
    <row r="49" spans="1:28" ht="16.5" x14ac:dyDescent="0.25">
      <c r="A49" s="9">
        <v>22</v>
      </c>
      <c r="B49" s="14"/>
      <c r="C49" s="14" t="s">
        <v>767</v>
      </c>
      <c r="D49" s="14" t="s">
        <v>56</v>
      </c>
      <c r="E49" s="8" t="s">
        <v>709</v>
      </c>
      <c r="F49" s="94" t="s">
        <v>804</v>
      </c>
      <c r="G49" s="8" t="s">
        <v>804</v>
      </c>
      <c r="H49" s="160"/>
      <c r="I49" s="8" t="s">
        <v>804</v>
      </c>
      <c r="J49" s="94" t="s">
        <v>804</v>
      </c>
      <c r="K49" s="94" t="s">
        <v>804</v>
      </c>
      <c r="L49" s="94" t="s">
        <v>804</v>
      </c>
      <c r="M49" s="94" t="s">
        <v>804</v>
      </c>
      <c r="N49" s="163"/>
      <c r="O49" s="160"/>
      <c r="P49" s="8" t="s">
        <v>804</v>
      </c>
      <c r="Q49" s="94" t="s">
        <v>804</v>
      </c>
      <c r="R49" s="94" t="s">
        <v>804</v>
      </c>
      <c r="S49" s="163"/>
      <c r="T49" s="8" t="s">
        <v>804</v>
      </c>
      <c r="U49" s="8" t="s">
        <v>804</v>
      </c>
      <c r="V49" s="160"/>
      <c r="W49" s="14">
        <f>COUNTIF(F49:V49,"P")</f>
        <v>12</v>
      </c>
      <c r="X49" s="14">
        <f>COUNTIF(F49:V49,"A")</f>
        <v>0</v>
      </c>
      <c r="Y49" s="14"/>
      <c r="Z49" s="14"/>
      <c r="AA49" s="14"/>
      <c r="AB49" s="14"/>
    </row>
    <row r="50" spans="1:28" ht="16.5" x14ac:dyDescent="0.25">
      <c r="A50" s="9">
        <v>23</v>
      </c>
      <c r="B50" s="14"/>
      <c r="C50" s="14" t="s">
        <v>716</v>
      </c>
      <c r="D50" s="14" t="s">
        <v>590</v>
      </c>
      <c r="E50" s="8" t="s">
        <v>709</v>
      </c>
      <c r="F50" s="94" t="s">
        <v>804</v>
      </c>
      <c r="G50" s="8" t="s">
        <v>804</v>
      </c>
      <c r="H50" s="160"/>
      <c r="I50" s="8" t="s">
        <v>804</v>
      </c>
      <c r="J50" s="94" t="s">
        <v>804</v>
      </c>
      <c r="K50" s="94" t="s">
        <v>803</v>
      </c>
      <c r="L50" s="94" t="s">
        <v>804</v>
      </c>
      <c r="M50" s="94" t="s">
        <v>804</v>
      </c>
      <c r="N50" s="163"/>
      <c r="O50" s="160"/>
      <c r="P50" s="8" t="s">
        <v>804</v>
      </c>
      <c r="Q50" s="94" t="s">
        <v>804</v>
      </c>
      <c r="R50" s="94" t="s">
        <v>804</v>
      </c>
      <c r="S50" s="163"/>
      <c r="T50" s="8" t="s">
        <v>804</v>
      </c>
      <c r="U50" s="8" t="s">
        <v>804</v>
      </c>
      <c r="V50" s="160"/>
      <c r="W50" s="14">
        <f>COUNTIF(F50:V50,"P")</f>
        <v>11</v>
      </c>
      <c r="X50" s="14">
        <f>COUNTIF(F50:V50,"A")</f>
        <v>1</v>
      </c>
      <c r="Y50" s="14"/>
      <c r="Z50" s="14"/>
      <c r="AA50" s="14"/>
      <c r="AB50" s="14"/>
    </row>
    <row r="51" spans="1:28" ht="16.5" x14ac:dyDescent="0.25">
      <c r="A51" s="9">
        <v>24</v>
      </c>
      <c r="B51" s="14"/>
      <c r="C51" s="14" t="s">
        <v>479</v>
      </c>
      <c r="D51" s="14" t="s">
        <v>456</v>
      </c>
      <c r="E51" s="8" t="s">
        <v>709</v>
      </c>
      <c r="F51" s="94" t="s">
        <v>803</v>
      </c>
      <c r="G51" s="8" t="s">
        <v>803</v>
      </c>
      <c r="H51" s="160"/>
      <c r="I51" s="8" t="s">
        <v>804</v>
      </c>
      <c r="J51" s="94" t="s">
        <v>804</v>
      </c>
      <c r="K51" s="94" t="s">
        <v>804</v>
      </c>
      <c r="L51" s="94" t="s">
        <v>803</v>
      </c>
      <c r="M51" s="94" t="s">
        <v>804</v>
      </c>
      <c r="N51" s="163"/>
      <c r="O51" s="160"/>
      <c r="P51" s="8" t="s">
        <v>804</v>
      </c>
      <c r="Q51" s="94" t="s">
        <v>804</v>
      </c>
      <c r="R51" s="94" t="s">
        <v>804</v>
      </c>
      <c r="S51" s="163"/>
      <c r="T51" s="8" t="s">
        <v>804</v>
      </c>
      <c r="U51" s="8" t="s">
        <v>804</v>
      </c>
      <c r="V51" s="160"/>
      <c r="W51" s="14">
        <f>COUNTIF(F51:V51,"P")</f>
        <v>9</v>
      </c>
      <c r="X51" s="14">
        <f>COUNTIF(F51:V51,"A")</f>
        <v>3</v>
      </c>
      <c r="Y51" s="14"/>
      <c r="Z51" s="14"/>
      <c r="AA51" s="14"/>
      <c r="AB51" s="14"/>
    </row>
  </sheetData>
  <mergeCells count="17">
    <mergeCell ref="Y3:Z3"/>
    <mergeCell ref="Y11:AB11"/>
    <mergeCell ref="Y19:AB19"/>
    <mergeCell ref="H5:H51"/>
    <mergeCell ref="O5:O51"/>
    <mergeCell ref="V5:V51"/>
    <mergeCell ref="N5:N51"/>
    <mergeCell ref="S5:S51"/>
    <mergeCell ref="A1:X1"/>
    <mergeCell ref="A2:X2"/>
    <mergeCell ref="A3:A4"/>
    <mergeCell ref="C3:C4"/>
    <mergeCell ref="D3:D4"/>
    <mergeCell ref="E3:E4"/>
    <mergeCell ref="W3:W4"/>
    <mergeCell ref="X3:X4"/>
    <mergeCell ref="B3:B4"/>
  </mergeCells>
  <conditionalFormatting sqref="F5:M5 O5:R5 T5:V5">
    <cfRule type="cellIs" dxfId="219" priority="53" operator="equal">
      <formula>"L"</formula>
    </cfRule>
    <cfRule type="cellIs" dxfId="218" priority="54" operator="equal">
      <formula>"A"</formula>
    </cfRule>
    <cfRule type="cellIs" dxfId="217" priority="55" operator="equal">
      <formula>"P"</formula>
    </cfRule>
    <cfRule type="expression" dxfId="216" priority="56">
      <formula>IF(F$4=TODAY(),TRUE,FALSE)</formula>
    </cfRule>
    <cfRule type="expression" dxfId="215" priority="57">
      <formula>F$3="Sun"</formula>
    </cfRule>
  </conditionalFormatting>
  <conditionalFormatting sqref="F4:V4">
    <cfRule type="expression" dxfId="214" priority="89">
      <formula>F$3="Sun"</formula>
    </cfRule>
  </conditionalFormatting>
  <conditionalFormatting sqref="F4:V4">
    <cfRule type="expression" dxfId="213" priority="88">
      <formula>IF(F$4=TODAY(),TRUE,FALSE)</formula>
    </cfRule>
  </conditionalFormatting>
  <conditionalFormatting sqref="J49:J51 K51:M51">
    <cfRule type="cellIs" dxfId="212" priority="43" operator="equal">
      <formula>"L"</formula>
    </cfRule>
    <cfRule type="cellIs" dxfId="211" priority="44" operator="equal">
      <formula>"A"</formula>
    </cfRule>
    <cfRule type="cellIs" dxfId="210" priority="45" operator="equal">
      <formula>"P"</formula>
    </cfRule>
    <cfRule type="expression" dxfId="209" priority="46">
      <formula>IF(J$4=TODAY(),TRUE,FALSE)</formula>
    </cfRule>
    <cfRule type="expression" dxfId="208" priority="47">
      <formula>J$3="Sun"</formula>
    </cfRule>
  </conditionalFormatting>
  <conditionalFormatting sqref="J6:K48 L6:M50 G6:G51 K49:K50">
    <cfRule type="cellIs" dxfId="207" priority="103" operator="equal">
      <formula>"L"</formula>
    </cfRule>
    <cfRule type="cellIs" dxfId="206" priority="104" operator="equal">
      <formula>"A"</formula>
    </cfRule>
    <cfRule type="cellIs" dxfId="205" priority="105" operator="equal">
      <formula>"P"</formula>
    </cfRule>
    <cfRule type="expression" dxfId="204" priority="106">
      <formula>IF(G$4=TODAY(),TRUE,FALSE)</formula>
    </cfRule>
    <cfRule type="expression" dxfId="203" priority="107">
      <formula>G$3="Sun"</formula>
    </cfRule>
  </conditionalFormatting>
  <conditionalFormatting sqref="Q6:R51 T6:U51">
    <cfRule type="cellIs" dxfId="202" priority="38" operator="equal">
      <formula>"L"</formula>
    </cfRule>
    <cfRule type="cellIs" dxfId="201" priority="39" operator="equal">
      <formula>"A"</formula>
    </cfRule>
    <cfRule type="cellIs" dxfId="200" priority="40" operator="equal">
      <formula>"P"</formula>
    </cfRule>
    <cfRule type="expression" dxfId="199" priority="41">
      <formula>IF(Q$4=TODAY(),TRUE,FALSE)</formula>
    </cfRule>
    <cfRule type="expression" dxfId="198" priority="42">
      <formula>Q$3="Sun"</formula>
    </cfRule>
  </conditionalFormatting>
  <conditionalFormatting sqref="W3:X3 W5:X48">
    <cfRule type="expression" dxfId="197" priority="108">
      <formula>#REF!="Sun"</formula>
    </cfRule>
  </conditionalFormatting>
  <conditionalFormatting sqref="Y5:Y9">
    <cfRule type="expression" dxfId="196" priority="93">
      <formula>Y$3="Sun"</formula>
    </cfRule>
  </conditionalFormatting>
  <conditionalFormatting sqref="Y12:Y15">
    <cfRule type="expression" dxfId="195" priority="91">
      <formula>Y$3="Sun"</formula>
    </cfRule>
  </conditionalFormatting>
  <conditionalFormatting sqref="Y20:Y23">
    <cfRule type="expression" dxfId="194" priority="90">
      <formula>Y$3="Sun"</formula>
    </cfRule>
  </conditionalFormatting>
  <conditionalFormatting sqref="Y4:Z4">
    <cfRule type="expression" dxfId="193" priority="94">
      <formula>Y$3="Sun"</formula>
    </cfRule>
  </conditionalFormatting>
  <conditionalFormatting sqref="Z12:AB12 Z20:AB20">
    <cfRule type="expression" dxfId="192" priority="95">
      <formula>Z$3="Sun"</formula>
    </cfRule>
  </conditionalFormatting>
  <conditionalFormatting sqref="AB21">
    <cfRule type="expression" dxfId="191" priority="92">
      <formula>AB$3="Sun"</formula>
    </cfRule>
  </conditionalFormatting>
  <conditionalFormatting sqref="F3:V3">
    <cfRule type="expression" dxfId="190" priority="36">
      <formula>F$4=TODAY()</formula>
    </cfRule>
    <cfRule type="expression" dxfId="189" priority="37">
      <formula>F$3="SUN"</formula>
    </cfRule>
  </conditionalFormatting>
  <conditionalFormatting sqref="F51">
    <cfRule type="cellIs" dxfId="188" priority="21" operator="equal">
      <formula>"L"</formula>
    </cfRule>
    <cfRule type="cellIs" dxfId="187" priority="22" operator="equal">
      <formula>"A"</formula>
    </cfRule>
    <cfRule type="cellIs" dxfId="186" priority="23" operator="equal">
      <formula>"P"</formula>
    </cfRule>
    <cfRule type="expression" dxfId="185" priority="24">
      <formula>IF(F$4=TODAY(),TRUE,FALSE)</formula>
    </cfRule>
    <cfRule type="expression" dxfId="184" priority="25">
      <formula>F$3="Sun"</formula>
    </cfRule>
  </conditionalFormatting>
  <conditionalFormatting sqref="F6:F50">
    <cfRule type="cellIs" dxfId="183" priority="26" operator="equal">
      <formula>"L"</formula>
    </cfRule>
    <cfRule type="cellIs" dxfId="182" priority="27" operator="equal">
      <formula>"A"</formula>
    </cfRule>
    <cfRule type="cellIs" dxfId="181" priority="28" operator="equal">
      <formula>"P"</formula>
    </cfRule>
    <cfRule type="expression" dxfId="180" priority="29">
      <formula>IF(F$4=TODAY(),TRUE,FALSE)</formula>
    </cfRule>
    <cfRule type="expression" dxfId="179" priority="30">
      <formula>F$3="Sun"</formula>
    </cfRule>
  </conditionalFormatting>
  <conditionalFormatting sqref="I6:I51">
    <cfRule type="cellIs" dxfId="178" priority="16" operator="equal">
      <formula>"L"</formula>
    </cfRule>
    <cfRule type="cellIs" dxfId="177" priority="17" operator="equal">
      <formula>"A"</formula>
    </cfRule>
    <cfRule type="cellIs" dxfId="176" priority="18" operator="equal">
      <formula>"P"</formula>
    </cfRule>
    <cfRule type="expression" dxfId="175" priority="19">
      <formula>IF(I$4=TODAY(),TRUE,FALSE)</formula>
    </cfRule>
    <cfRule type="expression" dxfId="174" priority="20">
      <formula>I$3="Sun"</formula>
    </cfRule>
  </conditionalFormatting>
  <conditionalFormatting sqref="P6:P51">
    <cfRule type="cellIs" dxfId="173" priority="11" operator="equal">
      <formula>"L"</formula>
    </cfRule>
    <cfRule type="cellIs" dxfId="172" priority="12" operator="equal">
      <formula>"A"</formula>
    </cfRule>
    <cfRule type="cellIs" dxfId="171" priority="13" operator="equal">
      <formula>"P"</formula>
    </cfRule>
    <cfRule type="expression" dxfId="170" priority="14">
      <formula>IF(P$4=TODAY(),TRUE,FALSE)</formula>
    </cfRule>
    <cfRule type="expression" dxfId="169" priority="15">
      <formula>P$3="Sun"</formula>
    </cfRule>
  </conditionalFormatting>
  <conditionalFormatting sqref="N5">
    <cfRule type="expression" dxfId="168" priority="6">
      <formula>N$4=TODAY()</formula>
    </cfRule>
    <cfRule type="expression" dxfId="167" priority="7">
      <formula>N$3="SUN"</formula>
    </cfRule>
  </conditionalFormatting>
  <conditionalFormatting sqref="N5">
    <cfRule type="cellIs" dxfId="166" priority="8" operator="equal">
      <formula>"L"</formula>
    </cfRule>
    <cfRule type="cellIs" dxfId="165" priority="9" operator="equal">
      <formula>"A"</formula>
    </cfRule>
    <cfRule type="cellIs" dxfId="164" priority="10" operator="equal">
      <formula>"P"</formula>
    </cfRule>
  </conditionalFormatting>
  <conditionalFormatting sqref="S5">
    <cfRule type="expression" dxfId="163" priority="1">
      <formula>S$4=TODAY()</formula>
    </cfRule>
    <cfRule type="expression" dxfId="162" priority="2">
      <formula>S$3="SUN"</formula>
    </cfRule>
  </conditionalFormatting>
  <conditionalFormatting sqref="S5">
    <cfRule type="cellIs" dxfId="161" priority="3" operator="equal">
      <formula>"L"</formula>
    </cfRule>
    <cfRule type="cellIs" dxfId="160" priority="4" operator="equal">
      <formula>"A"</formula>
    </cfRule>
    <cfRule type="cellIs" dxfId="159" priority="5" operator="equal">
      <formula>"P"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6"/>
  <sheetViews>
    <sheetView workbookViewId="0">
      <selection activeCell="S5" sqref="S5:S4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6.42578125" style="1" customWidth="1"/>
    <col min="5" max="5" width="5.85546875" style="1" customWidth="1"/>
    <col min="6" max="6" width="3.85546875" style="1" bestFit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3" width="6.5703125" style="1" bestFit="1" customWidth="1"/>
    <col min="24" max="24" width="6.14062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3">
      <c r="A2" s="143" t="s">
        <v>731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 spans="1:28" ht="15.75" x14ac:dyDescent="0.25">
      <c r="A3" s="153" t="s">
        <v>0</v>
      </c>
      <c r="B3" s="153" t="s">
        <v>713</v>
      </c>
      <c r="C3" s="153" t="s">
        <v>1</v>
      </c>
      <c r="D3" s="153" t="s">
        <v>725</v>
      </c>
      <c r="E3" s="153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34" t="s">
        <v>119</v>
      </c>
      <c r="Z3" s="135"/>
      <c r="AA3" s="3"/>
      <c r="AB3" s="3"/>
    </row>
    <row r="4" spans="1:28" ht="36.75" x14ac:dyDescent="0.25">
      <c r="A4" s="154"/>
      <c r="B4" s="154"/>
      <c r="C4" s="154"/>
      <c r="D4" s="154"/>
      <c r="E4" s="154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30</v>
      </c>
      <c r="AA4" s="3"/>
      <c r="AB4" s="3"/>
    </row>
    <row r="5" spans="1:28" ht="15" customHeight="1" x14ac:dyDescent="0.25">
      <c r="A5" s="20">
        <v>1</v>
      </c>
      <c r="B5" s="20">
        <v>885</v>
      </c>
      <c r="C5" s="22" t="s">
        <v>111</v>
      </c>
      <c r="D5" s="22" t="s">
        <v>773</v>
      </c>
      <c r="E5" s="19" t="s">
        <v>710</v>
      </c>
      <c r="F5" s="8" t="s">
        <v>804</v>
      </c>
      <c r="G5" s="8" t="s">
        <v>804</v>
      </c>
      <c r="H5" s="156" t="s">
        <v>795</v>
      </c>
      <c r="I5" s="8" t="s">
        <v>804</v>
      </c>
      <c r="J5" s="8" t="s">
        <v>804</v>
      </c>
      <c r="K5" s="108" t="s">
        <v>804</v>
      </c>
      <c r="L5" s="8" t="s">
        <v>804</v>
      </c>
      <c r="M5" s="8" t="s">
        <v>803</v>
      </c>
      <c r="N5" s="163" t="s">
        <v>879</v>
      </c>
      <c r="O5" s="156" t="s">
        <v>795</v>
      </c>
      <c r="P5" s="8" t="s">
        <v>804</v>
      </c>
      <c r="Q5" s="8" t="s">
        <v>804</v>
      </c>
      <c r="R5" s="108" t="s">
        <v>804</v>
      </c>
      <c r="S5" s="163" t="s">
        <v>880</v>
      </c>
      <c r="T5" s="8" t="s">
        <v>804</v>
      </c>
      <c r="U5" s="8" t="s">
        <v>804</v>
      </c>
      <c r="V5" s="156" t="s">
        <v>795</v>
      </c>
      <c r="W5" s="5">
        <f>COUNTIF(F5:V5,"P")</f>
        <v>11</v>
      </c>
      <c r="X5" s="5">
        <f>COUNTIF(F5:V5,"A")</f>
        <v>1</v>
      </c>
      <c r="Y5" s="5" t="s">
        <v>7</v>
      </c>
      <c r="Z5" s="9">
        <v>26</v>
      </c>
      <c r="AA5" s="10"/>
      <c r="AB5" s="3"/>
    </row>
    <row r="6" spans="1:28" ht="16.5" x14ac:dyDescent="0.25">
      <c r="A6" s="20">
        <v>2</v>
      </c>
      <c r="B6" s="20">
        <v>482</v>
      </c>
      <c r="C6" s="22" t="s">
        <v>592</v>
      </c>
      <c r="D6" s="22" t="s">
        <v>774</v>
      </c>
      <c r="E6" s="19" t="s">
        <v>710</v>
      </c>
      <c r="F6" s="8" t="s">
        <v>803</v>
      </c>
      <c r="G6" s="8" t="s">
        <v>804</v>
      </c>
      <c r="H6" s="157"/>
      <c r="I6" s="8" t="s">
        <v>804</v>
      </c>
      <c r="J6" s="8" t="s">
        <v>804</v>
      </c>
      <c r="K6" s="108" t="s">
        <v>804</v>
      </c>
      <c r="L6" s="8" t="s">
        <v>803</v>
      </c>
      <c r="M6" s="8" t="s">
        <v>804</v>
      </c>
      <c r="N6" s="163"/>
      <c r="O6" s="157"/>
      <c r="P6" s="8" t="s">
        <v>804</v>
      </c>
      <c r="Q6" s="8" t="s">
        <v>803</v>
      </c>
      <c r="R6" s="108" t="s">
        <v>803</v>
      </c>
      <c r="S6" s="163"/>
      <c r="T6" s="8" t="s">
        <v>803</v>
      </c>
      <c r="U6" s="8" t="s">
        <v>804</v>
      </c>
      <c r="V6" s="157"/>
      <c r="W6" s="5">
        <f>COUNTIF(F6:V6,"P")</f>
        <v>7</v>
      </c>
      <c r="X6" s="5">
        <f>COUNTIF(F6:V6,"A")</f>
        <v>5</v>
      </c>
      <c r="Y6" s="5" t="s">
        <v>8</v>
      </c>
      <c r="Z6" s="9">
        <v>4</v>
      </c>
      <c r="AA6" s="3"/>
      <c r="AB6" s="3"/>
    </row>
    <row r="7" spans="1:28" ht="16.5" x14ac:dyDescent="0.25">
      <c r="A7" s="20">
        <v>3</v>
      </c>
      <c r="B7" s="20">
        <v>721</v>
      </c>
      <c r="C7" s="22" t="s">
        <v>57</v>
      </c>
      <c r="D7" s="22" t="s">
        <v>775</v>
      </c>
      <c r="E7" s="19" t="s">
        <v>710</v>
      </c>
      <c r="F7" s="8" t="s">
        <v>804</v>
      </c>
      <c r="G7" s="8" t="s">
        <v>804</v>
      </c>
      <c r="H7" s="157"/>
      <c r="I7" s="8" t="s">
        <v>804</v>
      </c>
      <c r="J7" s="8" t="s">
        <v>804</v>
      </c>
      <c r="K7" s="108" t="s">
        <v>804</v>
      </c>
      <c r="L7" s="8" t="s">
        <v>804</v>
      </c>
      <c r="M7" s="8" t="s">
        <v>804</v>
      </c>
      <c r="N7" s="163"/>
      <c r="O7" s="157"/>
      <c r="P7" s="8" t="s">
        <v>804</v>
      </c>
      <c r="Q7" s="8" t="s">
        <v>804</v>
      </c>
      <c r="R7" s="108" t="s">
        <v>804</v>
      </c>
      <c r="S7" s="163"/>
      <c r="T7" s="8" t="s">
        <v>804</v>
      </c>
      <c r="U7" s="8" t="s">
        <v>804</v>
      </c>
      <c r="V7" s="157"/>
      <c r="W7" s="5">
        <f>COUNTIF(F7:V7,"P")</f>
        <v>12</v>
      </c>
      <c r="X7" s="5">
        <f>COUNTIF(F7:V7,"A")</f>
        <v>0</v>
      </c>
      <c r="Y7" s="5"/>
      <c r="Z7" s="9"/>
      <c r="AA7" s="3"/>
      <c r="AB7" s="3"/>
    </row>
    <row r="8" spans="1:28" ht="16.5" x14ac:dyDescent="0.25">
      <c r="A8" s="20">
        <v>4</v>
      </c>
      <c r="B8" s="20">
        <v>342</v>
      </c>
      <c r="C8" s="22" t="s">
        <v>596</v>
      </c>
      <c r="D8" s="22" t="s">
        <v>434</v>
      </c>
      <c r="E8" s="19" t="s">
        <v>710</v>
      </c>
      <c r="F8" s="8" t="s">
        <v>804</v>
      </c>
      <c r="G8" s="8" t="s">
        <v>804</v>
      </c>
      <c r="H8" s="157"/>
      <c r="I8" s="8" t="s">
        <v>804</v>
      </c>
      <c r="J8" s="8" t="s">
        <v>804</v>
      </c>
      <c r="K8" s="108" t="s">
        <v>804</v>
      </c>
      <c r="L8" s="8" t="s">
        <v>804</v>
      </c>
      <c r="M8" s="8" t="s">
        <v>804</v>
      </c>
      <c r="N8" s="163"/>
      <c r="O8" s="157"/>
      <c r="P8" s="8" t="s">
        <v>804</v>
      </c>
      <c r="Q8" s="8" t="s">
        <v>803</v>
      </c>
      <c r="R8" s="108" t="s">
        <v>804</v>
      </c>
      <c r="S8" s="163"/>
      <c r="T8" s="8" t="s">
        <v>804</v>
      </c>
      <c r="U8" s="8" t="s">
        <v>804</v>
      </c>
      <c r="V8" s="157"/>
      <c r="W8" s="5">
        <f>COUNTIF(F8:V8,"P")</f>
        <v>11</v>
      </c>
      <c r="X8" s="5">
        <f>COUNTIF(F8:V8,"A")</f>
        <v>1</v>
      </c>
      <c r="Y8" s="5"/>
      <c r="Z8" s="9"/>
      <c r="AA8"/>
      <c r="AB8"/>
    </row>
    <row r="9" spans="1:28" ht="16.5" x14ac:dyDescent="0.25">
      <c r="A9" s="20">
        <v>5</v>
      </c>
      <c r="B9" s="20">
        <v>625</v>
      </c>
      <c r="C9" s="22" t="s">
        <v>597</v>
      </c>
      <c r="D9" s="103" t="s">
        <v>776</v>
      </c>
      <c r="E9" s="19" t="s">
        <v>710</v>
      </c>
      <c r="F9" s="8" t="s">
        <v>804</v>
      </c>
      <c r="G9" s="116" t="s">
        <v>803</v>
      </c>
      <c r="H9" s="157"/>
      <c r="I9" s="8" t="s">
        <v>804</v>
      </c>
      <c r="J9" s="8" t="s">
        <v>803</v>
      </c>
      <c r="K9" s="108" t="s">
        <v>804</v>
      </c>
      <c r="L9" s="8" t="s">
        <v>804</v>
      </c>
      <c r="M9" s="8" t="s">
        <v>804</v>
      </c>
      <c r="N9" s="163"/>
      <c r="O9" s="157"/>
      <c r="P9" s="8" t="s">
        <v>804</v>
      </c>
      <c r="Q9" s="8" t="s">
        <v>803</v>
      </c>
      <c r="R9" s="108" t="s">
        <v>804</v>
      </c>
      <c r="S9" s="163"/>
      <c r="T9" s="8" t="s">
        <v>803</v>
      </c>
      <c r="U9" s="8" t="s">
        <v>804</v>
      </c>
      <c r="V9" s="157"/>
      <c r="W9" s="5">
        <f>COUNTIF(F9:V9,"P")</f>
        <v>8</v>
      </c>
      <c r="X9" s="5">
        <f>COUNTIF(F9:V9,"A")</f>
        <v>4</v>
      </c>
      <c r="Y9" s="5"/>
      <c r="Z9" s="9"/>
    </row>
    <row r="10" spans="1:28" ht="16.5" x14ac:dyDescent="0.25">
      <c r="A10" s="20">
        <v>6</v>
      </c>
      <c r="B10" s="20">
        <v>627</v>
      </c>
      <c r="C10" s="22" t="s">
        <v>598</v>
      </c>
      <c r="D10" s="22" t="s">
        <v>496</v>
      </c>
      <c r="E10" s="19" t="s">
        <v>710</v>
      </c>
      <c r="F10" s="8" t="s">
        <v>804</v>
      </c>
      <c r="G10" s="8" t="s">
        <v>804</v>
      </c>
      <c r="H10" s="157"/>
      <c r="I10" s="8" t="s">
        <v>804</v>
      </c>
      <c r="J10" s="8" t="s">
        <v>804</v>
      </c>
      <c r="K10" s="108" t="s">
        <v>804</v>
      </c>
      <c r="L10" s="8" t="s">
        <v>804</v>
      </c>
      <c r="M10" s="8" t="s">
        <v>804</v>
      </c>
      <c r="N10" s="163"/>
      <c r="O10" s="157"/>
      <c r="P10" s="8" t="s">
        <v>804</v>
      </c>
      <c r="Q10" s="8" t="s">
        <v>804</v>
      </c>
      <c r="R10" s="108" t="s">
        <v>804</v>
      </c>
      <c r="S10" s="163"/>
      <c r="T10" s="8" t="s">
        <v>804</v>
      </c>
      <c r="U10" s="8" t="s">
        <v>804</v>
      </c>
      <c r="V10" s="157"/>
      <c r="W10" s="5">
        <f>COUNTIF(F10:V10,"P")</f>
        <v>12</v>
      </c>
      <c r="X10" s="5">
        <f>COUNTIF(F10:V10,"A")</f>
        <v>0</v>
      </c>
    </row>
    <row r="11" spans="1:28" ht="16.5" x14ac:dyDescent="0.25">
      <c r="A11" s="20">
        <v>7</v>
      </c>
      <c r="B11" s="20">
        <v>723</v>
      </c>
      <c r="C11" s="22" t="s">
        <v>599</v>
      </c>
      <c r="D11" s="22" t="s">
        <v>777</v>
      </c>
      <c r="E11" s="19" t="s">
        <v>710</v>
      </c>
      <c r="F11" s="8" t="s">
        <v>804</v>
      </c>
      <c r="G11" s="8" t="s">
        <v>804</v>
      </c>
      <c r="H11" s="157"/>
      <c r="I11" s="8" t="s">
        <v>804</v>
      </c>
      <c r="J11" s="8" t="s">
        <v>804</v>
      </c>
      <c r="K11" s="108" t="s">
        <v>804</v>
      </c>
      <c r="L11" s="8" t="s">
        <v>804</v>
      </c>
      <c r="M11" s="8" t="s">
        <v>804</v>
      </c>
      <c r="N11" s="163"/>
      <c r="O11" s="157"/>
      <c r="P11" s="8" t="s">
        <v>804</v>
      </c>
      <c r="Q11" s="8" t="s">
        <v>804</v>
      </c>
      <c r="R11" s="108" t="s">
        <v>804</v>
      </c>
      <c r="S11" s="163"/>
      <c r="T11" s="8" t="s">
        <v>804</v>
      </c>
      <c r="U11" s="8" t="s">
        <v>804</v>
      </c>
      <c r="V11" s="157"/>
      <c r="W11" s="5">
        <f>COUNTIF(F11:V11,"P")</f>
        <v>12</v>
      </c>
      <c r="X11" s="5">
        <f>COUNTIF(F11:V11,"A")</f>
        <v>0</v>
      </c>
      <c r="Y11" s="134" t="s">
        <v>9</v>
      </c>
      <c r="Z11" s="135"/>
      <c r="AA11" s="135"/>
      <c r="AB11" s="136"/>
    </row>
    <row r="12" spans="1:28" ht="16.5" x14ac:dyDescent="0.25">
      <c r="A12" s="20">
        <v>8</v>
      </c>
      <c r="B12" s="20">
        <v>624</v>
      </c>
      <c r="C12" s="22" t="s">
        <v>600</v>
      </c>
      <c r="D12" s="22" t="s">
        <v>95</v>
      </c>
      <c r="E12" s="19" t="s">
        <v>710</v>
      </c>
      <c r="F12" s="8" t="s">
        <v>804</v>
      </c>
      <c r="G12" s="8" t="s">
        <v>804</v>
      </c>
      <c r="H12" s="157"/>
      <c r="I12" s="8" t="s">
        <v>804</v>
      </c>
      <c r="J12" s="8" t="s">
        <v>804</v>
      </c>
      <c r="K12" s="108" t="s">
        <v>804</v>
      </c>
      <c r="L12" s="8" t="s">
        <v>804</v>
      </c>
      <c r="M12" s="8" t="s">
        <v>804</v>
      </c>
      <c r="N12" s="163"/>
      <c r="O12" s="157"/>
      <c r="P12" s="8" t="s">
        <v>804</v>
      </c>
      <c r="Q12" s="8" t="s">
        <v>804</v>
      </c>
      <c r="R12" s="108" t="s">
        <v>804</v>
      </c>
      <c r="S12" s="163"/>
      <c r="T12" s="8" t="s">
        <v>804</v>
      </c>
      <c r="U12" s="8" t="s">
        <v>804</v>
      </c>
      <c r="V12" s="157"/>
      <c r="W12" s="5">
        <f>COUNTIF(F12:V12,"P")</f>
        <v>12</v>
      </c>
      <c r="X12" s="5">
        <f>COUNTIF(F12:V12,"A")</f>
        <v>0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20">
        <v>9</v>
      </c>
      <c r="B13" s="20">
        <v>718</v>
      </c>
      <c r="C13" s="22" t="s">
        <v>601</v>
      </c>
      <c r="D13" s="22" t="s">
        <v>240</v>
      </c>
      <c r="E13" s="19" t="s">
        <v>710</v>
      </c>
      <c r="F13" s="8" t="s">
        <v>804</v>
      </c>
      <c r="G13" s="8" t="s">
        <v>803</v>
      </c>
      <c r="H13" s="157"/>
      <c r="I13" s="8" t="s">
        <v>804</v>
      </c>
      <c r="J13" s="8" t="s">
        <v>804</v>
      </c>
      <c r="K13" s="108" t="s">
        <v>804</v>
      </c>
      <c r="L13" s="8" t="s">
        <v>804</v>
      </c>
      <c r="M13" s="8" t="s">
        <v>804</v>
      </c>
      <c r="N13" s="163"/>
      <c r="O13" s="157"/>
      <c r="P13" s="8" t="s">
        <v>804</v>
      </c>
      <c r="Q13" s="8" t="s">
        <v>804</v>
      </c>
      <c r="R13" s="108" t="s">
        <v>804</v>
      </c>
      <c r="S13" s="163"/>
      <c r="T13" s="8" t="s">
        <v>804</v>
      </c>
      <c r="U13" s="8" t="s">
        <v>804</v>
      </c>
      <c r="V13" s="157"/>
      <c r="W13" s="5">
        <f>COUNTIF(F13:V13,"P")</f>
        <v>11</v>
      </c>
      <c r="X13" s="5">
        <f>COUNTIF(F13:V13,"A")</f>
        <v>1</v>
      </c>
      <c r="Y13" s="5" t="s">
        <v>14</v>
      </c>
      <c r="Z13" s="9">
        <f>29*$Z$5</f>
        <v>754</v>
      </c>
      <c r="AA13" s="9">
        <f>19*$Z$5</f>
        <v>494</v>
      </c>
      <c r="AB13" s="9">
        <f>SUM(Z13:AA13)</f>
        <v>1248</v>
      </c>
    </row>
    <row r="14" spans="1:28" ht="16.5" x14ac:dyDescent="0.25">
      <c r="A14" s="20">
        <v>10</v>
      </c>
      <c r="B14" s="20">
        <v>628</v>
      </c>
      <c r="C14" s="22" t="s">
        <v>124</v>
      </c>
      <c r="D14" s="22" t="s">
        <v>778</v>
      </c>
      <c r="E14" s="19" t="s">
        <v>710</v>
      </c>
      <c r="F14" s="8" t="s">
        <v>804</v>
      </c>
      <c r="G14" s="8" t="s">
        <v>804</v>
      </c>
      <c r="H14" s="157"/>
      <c r="I14" s="8" t="s">
        <v>804</v>
      </c>
      <c r="J14" s="8" t="s">
        <v>804</v>
      </c>
      <c r="K14" s="108" t="s">
        <v>804</v>
      </c>
      <c r="L14" s="8" t="s">
        <v>804</v>
      </c>
      <c r="M14" s="8" t="s">
        <v>805</v>
      </c>
      <c r="N14" s="163"/>
      <c r="O14" s="157"/>
      <c r="P14" s="8" t="s">
        <v>804</v>
      </c>
      <c r="Q14" s="8" t="s">
        <v>804</v>
      </c>
      <c r="R14" s="108" t="s">
        <v>804</v>
      </c>
      <c r="S14" s="163"/>
      <c r="T14" s="8" t="s">
        <v>804</v>
      </c>
      <c r="U14" s="8" t="s">
        <v>804</v>
      </c>
      <c r="V14" s="157"/>
      <c r="W14" s="5">
        <f>COUNTIF(F14:V14,"P")</f>
        <v>11</v>
      </c>
      <c r="X14" s="5">
        <f>COUNTIF(F14:V14,"A")</f>
        <v>0</v>
      </c>
      <c r="Y14" s="5" t="s">
        <v>15</v>
      </c>
      <c r="Z14" s="9">
        <f>SUM(W5:W32)</f>
        <v>288</v>
      </c>
      <c r="AA14" s="9">
        <f>SUM(W33:W46)</f>
        <v>138</v>
      </c>
      <c r="AB14" s="9">
        <f>Z14+AA14</f>
        <v>426</v>
      </c>
    </row>
    <row r="15" spans="1:28" ht="16.5" x14ac:dyDescent="0.25">
      <c r="A15" s="20">
        <v>11</v>
      </c>
      <c r="B15" s="20">
        <v>621</v>
      </c>
      <c r="C15" s="22" t="s">
        <v>602</v>
      </c>
      <c r="D15" s="22" t="s">
        <v>648</v>
      </c>
      <c r="E15" s="19" t="s">
        <v>710</v>
      </c>
      <c r="F15" s="8" t="s">
        <v>804</v>
      </c>
      <c r="G15" s="8" t="s">
        <v>804</v>
      </c>
      <c r="H15" s="157"/>
      <c r="I15" s="8" t="s">
        <v>804</v>
      </c>
      <c r="J15" s="8" t="s">
        <v>804</v>
      </c>
      <c r="K15" s="108" t="s">
        <v>804</v>
      </c>
      <c r="L15" s="8" t="s">
        <v>804</v>
      </c>
      <c r="M15" s="8" t="s">
        <v>804</v>
      </c>
      <c r="N15" s="163"/>
      <c r="O15" s="157"/>
      <c r="P15" s="8" t="s">
        <v>804</v>
      </c>
      <c r="Q15" s="8" t="s">
        <v>804</v>
      </c>
      <c r="R15" s="108" t="s">
        <v>804</v>
      </c>
      <c r="S15" s="163"/>
      <c r="T15" s="8" t="s">
        <v>804</v>
      </c>
      <c r="U15" s="8" t="s">
        <v>804</v>
      </c>
      <c r="V15" s="157"/>
      <c r="W15" s="5">
        <f>COUNTIF(F15:V15,"P")</f>
        <v>12</v>
      </c>
      <c r="X15" s="5">
        <f>COUNTIF(F15:V15,"A")</f>
        <v>0</v>
      </c>
      <c r="Y15" s="5" t="s">
        <v>16</v>
      </c>
      <c r="Z15" s="12">
        <f>Z14/Z13</f>
        <v>0.38196286472148538</v>
      </c>
      <c r="AA15" s="12">
        <f>AA14/AA13</f>
        <v>0.2793522267206478</v>
      </c>
      <c r="AB15" s="12">
        <f>AB14/AB13</f>
        <v>0.34134615384615385</v>
      </c>
    </row>
    <row r="16" spans="1:28" ht="16.5" x14ac:dyDescent="0.25">
      <c r="A16" s="20">
        <v>12</v>
      </c>
      <c r="B16" s="20">
        <v>639</v>
      </c>
      <c r="C16" s="22" t="s">
        <v>603</v>
      </c>
      <c r="D16" s="22" t="s">
        <v>779</v>
      </c>
      <c r="E16" s="19" t="s">
        <v>710</v>
      </c>
      <c r="F16" s="8" t="s">
        <v>804</v>
      </c>
      <c r="G16" s="8" t="s">
        <v>804</v>
      </c>
      <c r="H16" s="157"/>
      <c r="I16" s="8" t="s">
        <v>804</v>
      </c>
      <c r="J16" s="8" t="s">
        <v>804</v>
      </c>
      <c r="K16" s="108" t="s">
        <v>804</v>
      </c>
      <c r="L16" s="8" t="s">
        <v>804</v>
      </c>
      <c r="M16" s="8" t="s">
        <v>804</v>
      </c>
      <c r="N16" s="163"/>
      <c r="O16" s="157"/>
      <c r="P16" s="8" t="s">
        <v>804</v>
      </c>
      <c r="Q16" s="8" t="s">
        <v>804</v>
      </c>
      <c r="R16" s="108" t="s">
        <v>804</v>
      </c>
      <c r="S16" s="163"/>
      <c r="T16" s="8" t="s">
        <v>804</v>
      </c>
      <c r="U16" s="8" t="s">
        <v>804</v>
      </c>
      <c r="V16" s="157"/>
      <c r="W16" s="5">
        <f>COUNTIF(F16:V16,"P")</f>
        <v>12</v>
      </c>
      <c r="X16" s="5">
        <f>COUNTIF(F16:V16,"A")</f>
        <v>0</v>
      </c>
      <c r="Y16"/>
      <c r="Z16"/>
      <c r="AA16"/>
      <c r="AB16"/>
    </row>
    <row r="17" spans="1:28" ht="16.5" x14ac:dyDescent="0.25">
      <c r="A17" s="20">
        <v>13</v>
      </c>
      <c r="B17" s="20">
        <v>762</v>
      </c>
      <c r="C17" s="22" t="s">
        <v>282</v>
      </c>
      <c r="D17" s="22" t="s">
        <v>780</v>
      </c>
      <c r="E17" s="19" t="s">
        <v>710</v>
      </c>
      <c r="F17" s="8" t="s">
        <v>804</v>
      </c>
      <c r="G17" s="8" t="s">
        <v>804</v>
      </c>
      <c r="H17" s="157"/>
      <c r="I17" s="8" t="s">
        <v>804</v>
      </c>
      <c r="J17" s="8" t="s">
        <v>804</v>
      </c>
      <c r="K17" s="108" t="s">
        <v>804</v>
      </c>
      <c r="L17" s="8" t="s">
        <v>804</v>
      </c>
      <c r="M17" s="8" t="s">
        <v>804</v>
      </c>
      <c r="N17" s="163"/>
      <c r="O17" s="157"/>
      <c r="P17" s="8" t="s">
        <v>804</v>
      </c>
      <c r="Q17" s="8" t="s">
        <v>804</v>
      </c>
      <c r="R17" s="108" t="s">
        <v>804</v>
      </c>
      <c r="S17" s="163"/>
      <c r="T17" s="8" t="s">
        <v>804</v>
      </c>
      <c r="U17" s="8" t="s">
        <v>804</v>
      </c>
      <c r="V17" s="157"/>
      <c r="W17" s="5">
        <f>COUNTIF(F17:V17,"P")</f>
        <v>12</v>
      </c>
      <c r="X17" s="5">
        <f>COUNTIF(F17:V17,"A")</f>
        <v>0</v>
      </c>
      <c r="Y17"/>
      <c r="Z17"/>
      <c r="AA17"/>
      <c r="AB17"/>
    </row>
    <row r="18" spans="1:28" ht="16.5" x14ac:dyDescent="0.25">
      <c r="A18" s="20">
        <v>14</v>
      </c>
      <c r="B18" s="20">
        <v>719</v>
      </c>
      <c r="C18" s="22" t="s">
        <v>286</v>
      </c>
      <c r="D18" s="22" t="s">
        <v>648</v>
      </c>
      <c r="E18" s="19" t="s">
        <v>710</v>
      </c>
      <c r="F18" s="8" t="s">
        <v>803</v>
      </c>
      <c r="G18" s="8" t="s">
        <v>803</v>
      </c>
      <c r="H18" s="157"/>
      <c r="I18" s="8" t="s">
        <v>803</v>
      </c>
      <c r="J18" s="8" t="s">
        <v>803</v>
      </c>
      <c r="K18" s="108" t="s">
        <v>803</v>
      </c>
      <c r="L18" s="8" t="s">
        <v>803</v>
      </c>
      <c r="M18" s="8" t="s">
        <v>803</v>
      </c>
      <c r="N18" s="163"/>
      <c r="O18" s="157"/>
      <c r="P18" s="8" t="s">
        <v>803</v>
      </c>
      <c r="Q18" s="8" t="s">
        <v>803</v>
      </c>
      <c r="R18" s="108" t="s">
        <v>803</v>
      </c>
      <c r="S18" s="163"/>
      <c r="T18" s="8" t="s">
        <v>803</v>
      </c>
      <c r="U18" s="8" t="s">
        <v>803</v>
      </c>
      <c r="V18" s="157"/>
      <c r="W18" s="5">
        <f>COUNTIF(F18:V18,"P")</f>
        <v>0</v>
      </c>
      <c r="X18" s="5">
        <f>COUNTIF(F18:V18,"A")</f>
        <v>12</v>
      </c>
      <c r="Y18" s="134" t="s">
        <v>121</v>
      </c>
      <c r="Z18" s="135"/>
      <c r="AA18" s="135"/>
      <c r="AB18" s="136"/>
    </row>
    <row r="19" spans="1:28" ht="16.5" x14ac:dyDescent="0.25">
      <c r="A19" s="20">
        <v>15</v>
      </c>
      <c r="B19" s="20">
        <v>725</v>
      </c>
      <c r="C19" s="22" t="s">
        <v>604</v>
      </c>
      <c r="D19" s="22" t="s">
        <v>781</v>
      </c>
      <c r="E19" s="19" t="s">
        <v>710</v>
      </c>
      <c r="F19" s="8" t="s">
        <v>804</v>
      </c>
      <c r="G19" s="8" t="s">
        <v>803</v>
      </c>
      <c r="H19" s="157"/>
      <c r="I19" s="8" t="s">
        <v>804</v>
      </c>
      <c r="J19" s="8" t="s">
        <v>804</v>
      </c>
      <c r="K19" s="108" t="s">
        <v>804</v>
      </c>
      <c r="L19" s="8" t="s">
        <v>804</v>
      </c>
      <c r="M19" s="8" t="s">
        <v>804</v>
      </c>
      <c r="N19" s="163"/>
      <c r="O19" s="157"/>
      <c r="P19" s="8" t="s">
        <v>804</v>
      </c>
      <c r="Q19" s="8" t="s">
        <v>804</v>
      </c>
      <c r="R19" s="108" t="s">
        <v>804</v>
      </c>
      <c r="S19" s="163"/>
      <c r="T19" s="8" t="s">
        <v>804</v>
      </c>
      <c r="U19" s="8" t="s">
        <v>804</v>
      </c>
      <c r="V19" s="157"/>
      <c r="W19" s="5">
        <f>COUNTIF(F19:V19,"P")</f>
        <v>11</v>
      </c>
      <c r="X19" s="5">
        <f>COUNTIF(F19:V19,"A")</f>
        <v>1</v>
      </c>
      <c r="Y19" s="5" t="s">
        <v>10</v>
      </c>
      <c r="Z19" s="5" t="s">
        <v>11</v>
      </c>
      <c r="AA19" s="5" t="s">
        <v>12</v>
      </c>
      <c r="AB19" s="5" t="s">
        <v>13</v>
      </c>
    </row>
    <row r="20" spans="1:28" ht="16.5" x14ac:dyDescent="0.25">
      <c r="A20" s="20">
        <v>16</v>
      </c>
      <c r="B20" s="20">
        <v>724</v>
      </c>
      <c r="C20" s="22" t="s">
        <v>433</v>
      </c>
      <c r="D20" s="22" t="s">
        <v>781</v>
      </c>
      <c r="E20" s="19" t="s">
        <v>710</v>
      </c>
      <c r="F20" s="8" t="s">
        <v>804</v>
      </c>
      <c r="G20" s="8" t="s">
        <v>803</v>
      </c>
      <c r="H20" s="157"/>
      <c r="I20" s="8" t="s">
        <v>804</v>
      </c>
      <c r="J20" s="8" t="s">
        <v>804</v>
      </c>
      <c r="K20" s="108" t="s">
        <v>804</v>
      </c>
      <c r="L20" s="8" t="s">
        <v>804</v>
      </c>
      <c r="M20" s="8" t="s">
        <v>804</v>
      </c>
      <c r="N20" s="163"/>
      <c r="O20" s="157"/>
      <c r="P20" s="8" t="s">
        <v>804</v>
      </c>
      <c r="Q20" s="8" t="s">
        <v>804</v>
      </c>
      <c r="R20" s="108" t="s">
        <v>804</v>
      </c>
      <c r="S20" s="163"/>
      <c r="T20" s="8" t="s">
        <v>804</v>
      </c>
      <c r="U20" s="8" t="s">
        <v>804</v>
      </c>
      <c r="V20" s="157"/>
      <c r="W20" s="5">
        <f>COUNTIF(F20:V20,"P")</f>
        <v>11</v>
      </c>
      <c r="X20" s="5">
        <f>COUNTIF(F20:V20,"A")</f>
        <v>1</v>
      </c>
      <c r="Y20" s="5" t="s">
        <v>14</v>
      </c>
      <c r="Z20" s="9">
        <f>29*$Z$5</f>
        <v>754</v>
      </c>
      <c r="AA20" s="9">
        <f>19*$Z$5</f>
        <v>494</v>
      </c>
      <c r="AB20" s="9">
        <f>Z20+AA20</f>
        <v>1248</v>
      </c>
    </row>
    <row r="21" spans="1:28" ht="16.5" x14ac:dyDescent="0.25">
      <c r="A21" s="20">
        <v>17</v>
      </c>
      <c r="B21" s="20">
        <v>406</v>
      </c>
      <c r="C21" s="102" t="s">
        <v>569</v>
      </c>
      <c r="D21" s="104" t="s">
        <v>238</v>
      </c>
      <c r="E21" s="19" t="s">
        <v>710</v>
      </c>
      <c r="F21" s="8" t="s">
        <v>804</v>
      </c>
      <c r="G21" s="8" t="s">
        <v>804</v>
      </c>
      <c r="H21" s="157"/>
      <c r="I21" s="8" t="s">
        <v>804</v>
      </c>
      <c r="J21" s="8" t="s">
        <v>805</v>
      </c>
      <c r="K21" s="108" t="s">
        <v>804</v>
      </c>
      <c r="L21" s="8" t="s">
        <v>804</v>
      </c>
      <c r="M21" s="8" t="s">
        <v>804</v>
      </c>
      <c r="N21" s="163"/>
      <c r="O21" s="157"/>
      <c r="P21" s="8" t="s">
        <v>804</v>
      </c>
      <c r="Q21" s="8" t="s">
        <v>804</v>
      </c>
      <c r="R21" s="108" t="s">
        <v>804</v>
      </c>
      <c r="S21" s="163"/>
      <c r="T21" s="8" t="s">
        <v>804</v>
      </c>
      <c r="U21" s="8" t="s">
        <v>804</v>
      </c>
      <c r="V21" s="157"/>
      <c r="W21" s="5">
        <f>COUNTIF(F21:V21,"P")</f>
        <v>11</v>
      </c>
      <c r="X21" s="5">
        <f>COUNTIF(F21:V21,"A")</f>
        <v>0</v>
      </c>
      <c r="Y21" s="5" t="s">
        <v>17</v>
      </c>
      <c r="Z21" s="9">
        <f>Z20-Z14</f>
        <v>466</v>
      </c>
      <c r="AA21" s="9">
        <f>AA20-AA14</f>
        <v>356</v>
      </c>
      <c r="AB21" s="9">
        <f>Z21+AA21</f>
        <v>822</v>
      </c>
    </row>
    <row r="22" spans="1:28" ht="16.5" x14ac:dyDescent="0.25">
      <c r="A22" s="20">
        <v>18</v>
      </c>
      <c r="B22" s="20">
        <v>849</v>
      </c>
      <c r="C22" s="27" t="s">
        <v>606</v>
      </c>
      <c r="D22" s="104" t="s">
        <v>782</v>
      </c>
      <c r="E22" s="19" t="s">
        <v>710</v>
      </c>
      <c r="F22" s="8" t="s">
        <v>804</v>
      </c>
      <c r="G22" s="8" t="s">
        <v>803</v>
      </c>
      <c r="H22" s="157"/>
      <c r="I22" s="8" t="s">
        <v>804</v>
      </c>
      <c r="J22" s="8" t="s">
        <v>804</v>
      </c>
      <c r="K22" s="108" t="s">
        <v>803</v>
      </c>
      <c r="L22" s="8" t="s">
        <v>804</v>
      </c>
      <c r="M22" s="8" t="s">
        <v>804</v>
      </c>
      <c r="N22" s="163"/>
      <c r="O22" s="157"/>
      <c r="P22" s="8" t="s">
        <v>804</v>
      </c>
      <c r="Q22" s="8" t="s">
        <v>804</v>
      </c>
      <c r="R22" s="108" t="s">
        <v>804</v>
      </c>
      <c r="S22" s="163"/>
      <c r="T22" s="8" t="s">
        <v>804</v>
      </c>
      <c r="U22" s="8" t="s">
        <v>804</v>
      </c>
      <c r="V22" s="157"/>
      <c r="W22" s="5">
        <f>COUNTIF(F22:V22,"P")</f>
        <v>10</v>
      </c>
      <c r="X22" s="5">
        <f>COUNTIF(F22:V22,"A")</f>
        <v>2</v>
      </c>
      <c r="Y22" s="5" t="s">
        <v>16</v>
      </c>
      <c r="Z22" s="12">
        <f>Z21/Z20</f>
        <v>0.61803713527851456</v>
      </c>
      <c r="AA22" s="12">
        <f>AA21/AA20</f>
        <v>0.72064777327935226</v>
      </c>
      <c r="AB22" s="12">
        <f>AB21/AB20</f>
        <v>0.65865384615384615</v>
      </c>
    </row>
    <row r="23" spans="1:28" ht="16.5" x14ac:dyDescent="0.25">
      <c r="A23" s="20">
        <v>19</v>
      </c>
      <c r="B23" s="20">
        <v>514</v>
      </c>
      <c r="C23" s="27" t="s">
        <v>475</v>
      </c>
      <c r="D23" s="104" t="s">
        <v>95</v>
      </c>
      <c r="E23" s="19" t="s">
        <v>710</v>
      </c>
      <c r="F23" s="8" t="s">
        <v>804</v>
      </c>
      <c r="G23" s="8" t="s">
        <v>803</v>
      </c>
      <c r="H23" s="157"/>
      <c r="I23" s="8" t="s">
        <v>804</v>
      </c>
      <c r="J23" s="8" t="s">
        <v>804</v>
      </c>
      <c r="K23" s="108" t="s">
        <v>804</v>
      </c>
      <c r="L23" s="8" t="s">
        <v>803</v>
      </c>
      <c r="M23" s="8" t="s">
        <v>804</v>
      </c>
      <c r="N23" s="163"/>
      <c r="O23" s="157"/>
      <c r="P23" s="8" t="s">
        <v>804</v>
      </c>
      <c r="Q23" s="8" t="s">
        <v>803</v>
      </c>
      <c r="R23" s="108" t="s">
        <v>804</v>
      </c>
      <c r="S23" s="163"/>
      <c r="T23" s="8" t="s">
        <v>804</v>
      </c>
      <c r="U23" s="8" t="s">
        <v>804</v>
      </c>
      <c r="V23" s="157"/>
      <c r="W23" s="5">
        <f>COUNTIF(F23:V23,"P")</f>
        <v>9</v>
      </c>
      <c r="X23" s="5">
        <f>COUNTIF(F23:V23,"A")</f>
        <v>3</v>
      </c>
    </row>
    <row r="24" spans="1:28" ht="16.5" x14ac:dyDescent="0.25">
      <c r="A24" s="20">
        <v>20</v>
      </c>
      <c r="B24" s="20">
        <v>863</v>
      </c>
      <c r="C24" s="102" t="s">
        <v>657</v>
      </c>
      <c r="D24" s="104" t="s">
        <v>783</v>
      </c>
      <c r="E24" s="19" t="s">
        <v>710</v>
      </c>
      <c r="F24" s="8" t="s">
        <v>804</v>
      </c>
      <c r="G24" s="8" t="s">
        <v>804</v>
      </c>
      <c r="H24" s="157"/>
      <c r="I24" s="8" t="s">
        <v>804</v>
      </c>
      <c r="J24" s="8" t="s">
        <v>804</v>
      </c>
      <c r="K24" s="108" t="s">
        <v>804</v>
      </c>
      <c r="L24" s="8" t="s">
        <v>804</v>
      </c>
      <c r="M24" s="8" t="s">
        <v>803</v>
      </c>
      <c r="N24" s="163"/>
      <c r="O24" s="157"/>
      <c r="P24" s="8" t="s">
        <v>804</v>
      </c>
      <c r="Q24" s="8" t="s">
        <v>804</v>
      </c>
      <c r="R24" s="108" t="s">
        <v>804</v>
      </c>
      <c r="S24" s="163"/>
      <c r="T24" s="8" t="s">
        <v>804</v>
      </c>
      <c r="U24" s="8" t="s">
        <v>804</v>
      </c>
      <c r="V24" s="157"/>
      <c r="W24" s="5">
        <f>COUNTIF(F24:V24,"P")</f>
        <v>11</v>
      </c>
      <c r="X24" s="5">
        <f>COUNTIF(F24:V24,"A")</f>
        <v>1</v>
      </c>
    </row>
    <row r="25" spans="1:28" ht="16.5" x14ac:dyDescent="0.25">
      <c r="A25" s="20">
        <v>21</v>
      </c>
      <c r="B25" s="20"/>
      <c r="C25" s="102" t="s">
        <v>771</v>
      </c>
      <c r="D25" s="104" t="s">
        <v>784</v>
      </c>
      <c r="E25" s="19" t="s">
        <v>710</v>
      </c>
      <c r="F25" s="8" t="s">
        <v>805</v>
      </c>
      <c r="G25" s="8" t="s">
        <v>804</v>
      </c>
      <c r="H25" s="157"/>
      <c r="I25" s="8" t="s">
        <v>805</v>
      </c>
      <c r="J25" s="8" t="s">
        <v>804</v>
      </c>
      <c r="K25" s="108" t="s">
        <v>804</v>
      </c>
      <c r="L25" s="8" t="s">
        <v>804</v>
      </c>
      <c r="M25" s="8" t="s">
        <v>804</v>
      </c>
      <c r="N25" s="163"/>
      <c r="O25" s="157"/>
      <c r="P25" s="8" t="s">
        <v>805</v>
      </c>
      <c r="Q25" s="8" t="s">
        <v>805</v>
      </c>
      <c r="R25" s="108" t="s">
        <v>805</v>
      </c>
      <c r="S25" s="163"/>
      <c r="T25" s="8" t="s">
        <v>805</v>
      </c>
      <c r="U25" s="8" t="s">
        <v>805</v>
      </c>
      <c r="V25" s="157"/>
      <c r="W25" s="5">
        <f>COUNTIF(F25:V25,"P")</f>
        <v>5</v>
      </c>
      <c r="X25" s="5">
        <f>COUNTIF(F25:V25,"A")</f>
        <v>0</v>
      </c>
    </row>
    <row r="26" spans="1:28" ht="16.5" x14ac:dyDescent="0.25">
      <c r="A26" s="20">
        <v>22</v>
      </c>
      <c r="B26" s="20">
        <v>454</v>
      </c>
      <c r="C26" s="24" t="s">
        <v>518</v>
      </c>
      <c r="D26" s="22" t="s">
        <v>89</v>
      </c>
      <c r="E26" s="19" t="s">
        <v>710</v>
      </c>
      <c r="F26" s="8" t="s">
        <v>804</v>
      </c>
      <c r="G26" s="8" t="s">
        <v>804</v>
      </c>
      <c r="H26" s="157"/>
      <c r="I26" s="8" t="s">
        <v>804</v>
      </c>
      <c r="J26" s="8" t="s">
        <v>804</v>
      </c>
      <c r="K26" s="108" t="s">
        <v>804</v>
      </c>
      <c r="L26" s="8" t="s">
        <v>803</v>
      </c>
      <c r="M26" s="8" t="s">
        <v>804</v>
      </c>
      <c r="N26" s="163"/>
      <c r="O26" s="157"/>
      <c r="P26" s="8" t="s">
        <v>804</v>
      </c>
      <c r="Q26" s="8" t="s">
        <v>804</v>
      </c>
      <c r="R26" s="108" t="s">
        <v>804</v>
      </c>
      <c r="S26" s="163"/>
      <c r="T26" s="8" t="s">
        <v>804</v>
      </c>
      <c r="U26" s="8" t="s">
        <v>804</v>
      </c>
      <c r="V26" s="157"/>
      <c r="W26" s="5">
        <f>COUNTIF(F26:V26,"P")</f>
        <v>11</v>
      </c>
      <c r="X26" s="5">
        <f>COUNTIF(F26:V26,"A")</f>
        <v>1</v>
      </c>
    </row>
    <row r="27" spans="1:28" ht="16.5" x14ac:dyDescent="0.25">
      <c r="A27" s="20">
        <v>23</v>
      </c>
      <c r="B27" s="20"/>
      <c r="C27" s="22" t="s">
        <v>837</v>
      </c>
      <c r="D27" s="22"/>
      <c r="E27" s="19" t="s">
        <v>710</v>
      </c>
      <c r="F27" s="8" t="s">
        <v>804</v>
      </c>
      <c r="G27" s="8" t="s">
        <v>729</v>
      </c>
      <c r="H27" s="157"/>
      <c r="I27" s="8" t="s">
        <v>804</v>
      </c>
      <c r="J27" s="8" t="s">
        <v>729</v>
      </c>
      <c r="K27" s="108" t="s">
        <v>729</v>
      </c>
      <c r="L27" s="8" t="s">
        <v>729</v>
      </c>
      <c r="M27" s="8" t="s">
        <v>729</v>
      </c>
      <c r="N27" s="163"/>
      <c r="O27" s="157"/>
      <c r="P27" s="8" t="s">
        <v>804</v>
      </c>
      <c r="Q27" s="8" t="s">
        <v>804</v>
      </c>
      <c r="R27" s="108" t="s">
        <v>804</v>
      </c>
      <c r="S27" s="163"/>
      <c r="T27" s="8" t="s">
        <v>804</v>
      </c>
      <c r="U27" s="8" t="s">
        <v>804</v>
      </c>
      <c r="V27" s="157"/>
      <c r="W27" s="5">
        <f>COUNTIF(F27:V27,"P")</f>
        <v>12</v>
      </c>
      <c r="X27" s="5">
        <f>COUNTIF(F27:V27,"A")</f>
        <v>0</v>
      </c>
    </row>
    <row r="28" spans="1:28" ht="16.5" x14ac:dyDescent="0.25">
      <c r="A28" s="20">
        <v>1</v>
      </c>
      <c r="B28" s="20">
        <v>636</v>
      </c>
      <c r="C28" s="22" t="s">
        <v>607</v>
      </c>
      <c r="D28" s="22" t="s">
        <v>403</v>
      </c>
      <c r="E28" s="19" t="s">
        <v>710</v>
      </c>
      <c r="F28" s="8" t="s">
        <v>804</v>
      </c>
      <c r="G28" s="8" t="s">
        <v>804</v>
      </c>
      <c r="H28" s="157"/>
      <c r="I28" s="8" t="s">
        <v>804</v>
      </c>
      <c r="J28" s="8" t="s">
        <v>804</v>
      </c>
      <c r="K28" s="108" t="s">
        <v>804</v>
      </c>
      <c r="L28" s="8" t="s">
        <v>804</v>
      </c>
      <c r="M28" s="8" t="s">
        <v>804</v>
      </c>
      <c r="N28" s="163"/>
      <c r="O28" s="157"/>
      <c r="P28" s="8" t="s">
        <v>804</v>
      </c>
      <c r="Q28" s="8" t="s">
        <v>804</v>
      </c>
      <c r="R28" s="108" t="s">
        <v>804</v>
      </c>
      <c r="S28" s="163"/>
      <c r="T28" s="8" t="s">
        <v>804</v>
      </c>
      <c r="U28" s="8" t="s">
        <v>804</v>
      </c>
      <c r="V28" s="157"/>
      <c r="W28" s="5">
        <f>COUNTIF(F28:V28,"P")</f>
        <v>12</v>
      </c>
      <c r="X28" s="5">
        <f>COUNTIF(F28:V28,"A")</f>
        <v>0</v>
      </c>
    </row>
    <row r="29" spans="1:28" ht="16.5" x14ac:dyDescent="0.25">
      <c r="A29" s="20">
        <v>2</v>
      </c>
      <c r="B29" s="20">
        <v>862</v>
      </c>
      <c r="C29" s="22" t="s">
        <v>608</v>
      </c>
      <c r="D29" s="22" t="s">
        <v>785</v>
      </c>
      <c r="E29" s="19" t="s">
        <v>710</v>
      </c>
      <c r="F29" s="8" t="s">
        <v>804</v>
      </c>
      <c r="G29" s="8" t="s">
        <v>804</v>
      </c>
      <c r="H29" s="157"/>
      <c r="I29" s="8" t="s">
        <v>804</v>
      </c>
      <c r="J29" s="8" t="s">
        <v>804</v>
      </c>
      <c r="K29" s="108" t="s">
        <v>804</v>
      </c>
      <c r="L29" s="8" t="s">
        <v>803</v>
      </c>
      <c r="M29" s="8" t="s">
        <v>803</v>
      </c>
      <c r="N29" s="163"/>
      <c r="O29" s="157"/>
      <c r="P29" s="8" t="s">
        <v>804</v>
      </c>
      <c r="Q29" s="8" t="s">
        <v>804</v>
      </c>
      <c r="R29" s="108" t="s">
        <v>804</v>
      </c>
      <c r="S29" s="163"/>
      <c r="T29" s="8" t="s">
        <v>804</v>
      </c>
      <c r="U29" s="8" t="s">
        <v>803</v>
      </c>
      <c r="V29" s="157"/>
      <c r="W29" s="5">
        <f>COUNTIF(F29:V29,"P")</f>
        <v>9</v>
      </c>
      <c r="X29" s="5">
        <f>COUNTIF(F29:V29,"A")</f>
        <v>3</v>
      </c>
    </row>
    <row r="30" spans="1:28" ht="16.5" x14ac:dyDescent="0.25">
      <c r="A30" s="20">
        <v>3</v>
      </c>
      <c r="B30" s="20">
        <v>870</v>
      </c>
      <c r="C30" s="14" t="s">
        <v>609</v>
      </c>
      <c r="D30" s="101" t="s">
        <v>786</v>
      </c>
      <c r="E30" s="19" t="s">
        <v>710</v>
      </c>
      <c r="F30" s="8" t="s">
        <v>804</v>
      </c>
      <c r="G30" s="8" t="s">
        <v>804</v>
      </c>
      <c r="H30" s="157"/>
      <c r="I30" s="8" t="s">
        <v>804</v>
      </c>
      <c r="J30" s="8" t="s">
        <v>804</v>
      </c>
      <c r="K30" s="108" t="s">
        <v>804</v>
      </c>
      <c r="L30" s="8" t="s">
        <v>804</v>
      </c>
      <c r="M30" s="8" t="s">
        <v>805</v>
      </c>
      <c r="N30" s="163"/>
      <c r="O30" s="157"/>
      <c r="P30" s="8" t="s">
        <v>804</v>
      </c>
      <c r="Q30" s="8" t="s">
        <v>804</v>
      </c>
      <c r="R30" s="108" t="s">
        <v>804</v>
      </c>
      <c r="S30" s="163"/>
      <c r="T30" s="8" t="s">
        <v>803</v>
      </c>
      <c r="U30" s="8" t="s">
        <v>804</v>
      </c>
      <c r="V30" s="157"/>
      <c r="W30" s="5">
        <f>COUNTIF(F30:V30,"P")</f>
        <v>10</v>
      </c>
      <c r="X30" s="5">
        <f>COUNTIF(F30:V30,"A")</f>
        <v>1</v>
      </c>
    </row>
    <row r="31" spans="1:28" ht="16.5" x14ac:dyDescent="0.25">
      <c r="A31" s="20">
        <v>4</v>
      </c>
      <c r="B31" s="20">
        <v>626</v>
      </c>
      <c r="C31" s="14" t="s">
        <v>49</v>
      </c>
      <c r="D31" s="101" t="s">
        <v>141</v>
      </c>
      <c r="E31" s="19" t="s">
        <v>710</v>
      </c>
      <c r="F31" s="8" t="s">
        <v>804</v>
      </c>
      <c r="G31" s="8" t="s">
        <v>803</v>
      </c>
      <c r="H31" s="157"/>
      <c r="I31" s="8" t="s">
        <v>804</v>
      </c>
      <c r="J31" s="8" t="s">
        <v>804</v>
      </c>
      <c r="K31" s="108" t="s">
        <v>804</v>
      </c>
      <c r="L31" s="8" t="s">
        <v>804</v>
      </c>
      <c r="M31" s="8" t="s">
        <v>804</v>
      </c>
      <c r="N31" s="163"/>
      <c r="O31" s="157"/>
      <c r="P31" s="8" t="s">
        <v>804</v>
      </c>
      <c r="Q31" s="8" t="s">
        <v>804</v>
      </c>
      <c r="R31" s="108" t="s">
        <v>804</v>
      </c>
      <c r="S31" s="163"/>
      <c r="T31" s="8" t="s">
        <v>804</v>
      </c>
      <c r="U31" s="8" t="s">
        <v>804</v>
      </c>
      <c r="V31" s="157"/>
      <c r="W31" s="5">
        <f>COUNTIF(F31:V31,"P")</f>
        <v>11</v>
      </c>
      <c r="X31" s="5">
        <f>COUNTIF(F31:V31,"A")</f>
        <v>1</v>
      </c>
    </row>
    <row r="32" spans="1:28" ht="16.5" x14ac:dyDescent="0.25">
      <c r="A32" s="20">
        <v>5</v>
      </c>
      <c r="B32" s="20">
        <v>871</v>
      </c>
      <c r="C32" s="14" t="s">
        <v>610</v>
      </c>
      <c r="D32" s="101" t="s">
        <v>396</v>
      </c>
      <c r="E32" s="19" t="s">
        <v>710</v>
      </c>
      <c r="F32" s="8" t="s">
        <v>804</v>
      </c>
      <c r="G32" s="8" t="s">
        <v>804</v>
      </c>
      <c r="H32" s="157"/>
      <c r="I32" s="8" t="s">
        <v>804</v>
      </c>
      <c r="J32" s="8" t="s">
        <v>804</v>
      </c>
      <c r="K32" s="108" t="s">
        <v>804</v>
      </c>
      <c r="L32" s="8" t="s">
        <v>804</v>
      </c>
      <c r="M32" s="8" t="s">
        <v>804</v>
      </c>
      <c r="N32" s="163"/>
      <c r="O32" s="157"/>
      <c r="P32" s="8" t="s">
        <v>804</v>
      </c>
      <c r="Q32" s="8" t="s">
        <v>804</v>
      </c>
      <c r="R32" s="108" t="s">
        <v>804</v>
      </c>
      <c r="S32" s="163"/>
      <c r="T32" s="8" t="s">
        <v>804</v>
      </c>
      <c r="U32" s="8" t="s">
        <v>804</v>
      </c>
      <c r="V32" s="157"/>
      <c r="W32" s="5">
        <f>COUNTIF(F32:V32,"P")</f>
        <v>12</v>
      </c>
      <c r="X32" s="5">
        <f>COUNTIF(F32:V32,"A")</f>
        <v>0</v>
      </c>
    </row>
    <row r="33" spans="1:24" ht="16.5" x14ac:dyDescent="0.25">
      <c r="A33" s="20">
        <v>6</v>
      </c>
      <c r="B33" s="20">
        <v>637</v>
      </c>
      <c r="C33" s="14" t="s">
        <v>611</v>
      </c>
      <c r="D33" s="101" t="s">
        <v>234</v>
      </c>
      <c r="E33" s="19" t="s">
        <v>710</v>
      </c>
      <c r="F33" s="8" t="s">
        <v>804</v>
      </c>
      <c r="G33" s="8" t="s">
        <v>804</v>
      </c>
      <c r="H33" s="157"/>
      <c r="I33" s="8" t="s">
        <v>804</v>
      </c>
      <c r="J33" s="8" t="s">
        <v>804</v>
      </c>
      <c r="K33" s="108" t="s">
        <v>804</v>
      </c>
      <c r="L33" s="8" t="s">
        <v>804</v>
      </c>
      <c r="M33" s="8" t="s">
        <v>804</v>
      </c>
      <c r="N33" s="163"/>
      <c r="O33" s="157"/>
      <c r="P33" s="8" t="s">
        <v>804</v>
      </c>
      <c r="Q33" s="8" t="s">
        <v>804</v>
      </c>
      <c r="R33" s="108" t="s">
        <v>804</v>
      </c>
      <c r="S33" s="163"/>
      <c r="T33" s="8" t="s">
        <v>804</v>
      </c>
      <c r="U33" s="8" t="s">
        <v>804</v>
      </c>
      <c r="V33" s="157"/>
      <c r="W33" s="5">
        <f>COUNTIF(F33:V33,"P")</f>
        <v>12</v>
      </c>
      <c r="X33" s="5">
        <f>COUNTIF(F33:V33,"A")</f>
        <v>0</v>
      </c>
    </row>
    <row r="34" spans="1:24" ht="16.5" x14ac:dyDescent="0.25">
      <c r="A34" s="20">
        <v>7</v>
      </c>
      <c r="B34" s="20">
        <v>720</v>
      </c>
      <c r="C34" s="14" t="s">
        <v>612</v>
      </c>
      <c r="D34" s="101" t="s">
        <v>787</v>
      </c>
      <c r="E34" s="19" t="s">
        <v>710</v>
      </c>
      <c r="F34" s="8" t="s">
        <v>804</v>
      </c>
      <c r="G34" s="8" t="s">
        <v>803</v>
      </c>
      <c r="H34" s="157"/>
      <c r="I34" s="8" t="s">
        <v>804</v>
      </c>
      <c r="J34" s="8" t="s">
        <v>804</v>
      </c>
      <c r="K34" s="108" t="s">
        <v>804</v>
      </c>
      <c r="L34" s="8" t="s">
        <v>804</v>
      </c>
      <c r="M34" s="8" t="s">
        <v>804</v>
      </c>
      <c r="N34" s="163"/>
      <c r="O34" s="157"/>
      <c r="P34" s="8" t="s">
        <v>804</v>
      </c>
      <c r="Q34" s="8" t="s">
        <v>803</v>
      </c>
      <c r="R34" s="108" t="s">
        <v>804</v>
      </c>
      <c r="S34" s="163"/>
      <c r="T34" s="8" t="s">
        <v>804</v>
      </c>
      <c r="U34" s="8" t="s">
        <v>804</v>
      </c>
      <c r="V34" s="157"/>
      <c r="W34" s="5">
        <f>COUNTIF(F34:V34,"P")</f>
        <v>10</v>
      </c>
      <c r="X34" s="5">
        <f>COUNTIF(F34:V34,"A")</f>
        <v>2</v>
      </c>
    </row>
    <row r="35" spans="1:24" ht="16.5" x14ac:dyDescent="0.25">
      <c r="A35" s="20">
        <v>8</v>
      </c>
      <c r="B35" s="20">
        <v>722</v>
      </c>
      <c r="C35" s="14" t="s">
        <v>91</v>
      </c>
      <c r="D35" s="101" t="s">
        <v>788</v>
      </c>
      <c r="E35" s="19" t="s">
        <v>710</v>
      </c>
      <c r="F35" s="8" t="s">
        <v>804</v>
      </c>
      <c r="G35" s="8" t="s">
        <v>804</v>
      </c>
      <c r="H35" s="157"/>
      <c r="I35" s="8" t="s">
        <v>804</v>
      </c>
      <c r="J35" s="8" t="s">
        <v>804</v>
      </c>
      <c r="K35" s="108" t="s">
        <v>804</v>
      </c>
      <c r="L35" s="8" t="s">
        <v>804</v>
      </c>
      <c r="M35" s="8" t="s">
        <v>804</v>
      </c>
      <c r="N35" s="163"/>
      <c r="O35" s="157"/>
      <c r="P35" s="8" t="s">
        <v>804</v>
      </c>
      <c r="Q35" s="8" t="s">
        <v>804</v>
      </c>
      <c r="R35" s="108" t="s">
        <v>804</v>
      </c>
      <c r="S35" s="163"/>
      <c r="T35" s="8" t="s">
        <v>804</v>
      </c>
      <c r="U35" s="8" t="s">
        <v>804</v>
      </c>
      <c r="V35" s="157"/>
      <c r="W35" s="5">
        <f>COUNTIF(F35:V35,"P")</f>
        <v>12</v>
      </c>
      <c r="X35" s="5">
        <f>COUNTIF(F35:V35,"A")</f>
        <v>0</v>
      </c>
    </row>
    <row r="36" spans="1:24" ht="16.5" x14ac:dyDescent="0.25">
      <c r="A36" s="20">
        <v>9</v>
      </c>
      <c r="B36" s="20">
        <v>352</v>
      </c>
      <c r="C36" s="14" t="s">
        <v>613</v>
      </c>
      <c r="D36" s="101" t="s">
        <v>789</v>
      </c>
      <c r="E36" s="19" t="s">
        <v>710</v>
      </c>
      <c r="F36" s="8" t="s">
        <v>804</v>
      </c>
      <c r="G36" s="8" t="s">
        <v>804</v>
      </c>
      <c r="H36" s="157"/>
      <c r="I36" s="8" t="s">
        <v>804</v>
      </c>
      <c r="J36" s="8" t="s">
        <v>804</v>
      </c>
      <c r="K36" s="108" t="s">
        <v>804</v>
      </c>
      <c r="L36" s="8" t="s">
        <v>804</v>
      </c>
      <c r="M36" s="8" t="s">
        <v>804</v>
      </c>
      <c r="N36" s="163"/>
      <c r="O36" s="157"/>
      <c r="P36" s="8" t="s">
        <v>804</v>
      </c>
      <c r="Q36" s="8" t="s">
        <v>804</v>
      </c>
      <c r="R36" s="108" t="s">
        <v>803</v>
      </c>
      <c r="S36" s="163"/>
      <c r="T36" s="8" t="s">
        <v>804</v>
      </c>
      <c r="U36" s="8" t="s">
        <v>804</v>
      </c>
      <c r="V36" s="157"/>
      <c r="W36" s="5">
        <f>COUNTIF(F36:V36,"P")</f>
        <v>11</v>
      </c>
      <c r="X36" s="5">
        <f>COUNTIF(F36:V36,"A")</f>
        <v>1</v>
      </c>
    </row>
    <row r="37" spans="1:24" ht="16.5" x14ac:dyDescent="0.25">
      <c r="A37" s="20">
        <v>10</v>
      </c>
      <c r="B37" s="20">
        <v>350</v>
      </c>
      <c r="C37" s="14" t="s">
        <v>474</v>
      </c>
      <c r="D37" s="101" t="s">
        <v>238</v>
      </c>
      <c r="E37" s="19" t="s">
        <v>710</v>
      </c>
      <c r="F37" s="8" t="s">
        <v>804</v>
      </c>
      <c r="G37" s="8" t="s">
        <v>804</v>
      </c>
      <c r="H37" s="157"/>
      <c r="I37" s="8" t="s">
        <v>804</v>
      </c>
      <c r="J37" s="8" t="s">
        <v>803</v>
      </c>
      <c r="K37" s="108" t="s">
        <v>804</v>
      </c>
      <c r="L37" s="8" t="s">
        <v>804</v>
      </c>
      <c r="M37" s="8" t="s">
        <v>803</v>
      </c>
      <c r="N37" s="163"/>
      <c r="O37" s="157"/>
      <c r="P37" s="8" t="s">
        <v>804</v>
      </c>
      <c r="Q37" s="8" t="s">
        <v>804</v>
      </c>
      <c r="R37" s="108" t="s">
        <v>804</v>
      </c>
      <c r="S37" s="163"/>
      <c r="T37" s="8" t="s">
        <v>804</v>
      </c>
      <c r="U37" s="8" t="s">
        <v>804</v>
      </c>
      <c r="V37" s="157"/>
      <c r="W37" s="5">
        <f>COUNTIF(F37:V37,"P")</f>
        <v>10</v>
      </c>
      <c r="X37" s="5">
        <f>COUNTIF(F37:V37,"A")</f>
        <v>2</v>
      </c>
    </row>
    <row r="38" spans="1:24" ht="16.5" x14ac:dyDescent="0.25">
      <c r="A38" s="20">
        <v>11</v>
      </c>
      <c r="B38" s="20">
        <v>629</v>
      </c>
      <c r="C38" s="14" t="s">
        <v>587</v>
      </c>
      <c r="D38" s="14" t="s">
        <v>790</v>
      </c>
      <c r="E38" s="19" t="s">
        <v>710</v>
      </c>
      <c r="F38" s="8" t="s">
        <v>803</v>
      </c>
      <c r="G38" s="8" t="s">
        <v>803</v>
      </c>
      <c r="H38" s="157"/>
      <c r="I38" s="8" t="s">
        <v>803</v>
      </c>
      <c r="J38" s="8" t="s">
        <v>803</v>
      </c>
      <c r="K38" s="108" t="s">
        <v>803</v>
      </c>
      <c r="L38" s="8" t="s">
        <v>803</v>
      </c>
      <c r="M38" s="8" t="s">
        <v>803</v>
      </c>
      <c r="N38" s="163"/>
      <c r="O38" s="157"/>
      <c r="P38" s="8" t="s">
        <v>803</v>
      </c>
      <c r="Q38" s="8" t="s">
        <v>803</v>
      </c>
      <c r="R38" s="108" t="s">
        <v>803</v>
      </c>
      <c r="S38" s="163"/>
      <c r="T38" s="8" t="s">
        <v>803</v>
      </c>
      <c r="U38" s="8" t="s">
        <v>804</v>
      </c>
      <c r="V38" s="157"/>
      <c r="W38" s="5">
        <f>COUNTIF(F38:V38,"P")</f>
        <v>1</v>
      </c>
      <c r="X38" s="5">
        <f>COUNTIF(F38:V38,"A")</f>
        <v>11</v>
      </c>
    </row>
    <row r="39" spans="1:24" ht="16.5" x14ac:dyDescent="0.25">
      <c r="A39" s="20">
        <v>12</v>
      </c>
      <c r="B39" s="20">
        <v>869</v>
      </c>
      <c r="C39" s="14" t="s">
        <v>614</v>
      </c>
      <c r="D39" s="14" t="s">
        <v>103</v>
      </c>
      <c r="E39" s="19" t="s">
        <v>710</v>
      </c>
      <c r="F39" s="8" t="s">
        <v>804</v>
      </c>
      <c r="G39" s="8" t="s">
        <v>804</v>
      </c>
      <c r="H39" s="157"/>
      <c r="I39" s="8" t="s">
        <v>804</v>
      </c>
      <c r="J39" s="8" t="s">
        <v>804</v>
      </c>
      <c r="K39" s="108" t="s">
        <v>804</v>
      </c>
      <c r="L39" s="8" t="s">
        <v>804</v>
      </c>
      <c r="M39" s="8" t="s">
        <v>804</v>
      </c>
      <c r="N39" s="163"/>
      <c r="O39" s="157"/>
      <c r="P39" s="8" t="s">
        <v>804</v>
      </c>
      <c r="Q39" s="8" t="s">
        <v>804</v>
      </c>
      <c r="R39" s="108" t="s">
        <v>804</v>
      </c>
      <c r="S39" s="163"/>
      <c r="T39" s="8" t="s">
        <v>804</v>
      </c>
      <c r="U39" s="8" t="s">
        <v>804</v>
      </c>
      <c r="V39" s="157"/>
      <c r="W39" s="5">
        <f>COUNTIF(F39:V39,"P")</f>
        <v>12</v>
      </c>
      <c r="X39" s="5">
        <f>COUNTIF(F39:V39,"A")</f>
        <v>0</v>
      </c>
    </row>
    <row r="40" spans="1:24" ht="16.5" x14ac:dyDescent="0.25">
      <c r="A40" s="20">
        <v>13</v>
      </c>
      <c r="B40" s="20">
        <v>390</v>
      </c>
      <c r="C40" s="14" t="s">
        <v>616</v>
      </c>
      <c r="D40" s="14" t="s">
        <v>322</v>
      </c>
      <c r="E40" s="19" t="s">
        <v>710</v>
      </c>
      <c r="F40" s="8" t="s">
        <v>804</v>
      </c>
      <c r="G40" s="8" t="s">
        <v>804</v>
      </c>
      <c r="H40" s="157"/>
      <c r="I40" s="8" t="s">
        <v>804</v>
      </c>
      <c r="J40" s="8" t="s">
        <v>804</v>
      </c>
      <c r="K40" s="108" t="s">
        <v>804</v>
      </c>
      <c r="L40" s="8" t="s">
        <v>804</v>
      </c>
      <c r="M40" s="8" t="s">
        <v>804</v>
      </c>
      <c r="N40" s="163"/>
      <c r="O40" s="157"/>
      <c r="P40" s="8" t="s">
        <v>804</v>
      </c>
      <c r="Q40" s="8" t="s">
        <v>804</v>
      </c>
      <c r="R40" s="108" t="s">
        <v>804</v>
      </c>
      <c r="S40" s="163"/>
      <c r="T40" s="8" t="s">
        <v>804</v>
      </c>
      <c r="U40" s="8" t="s">
        <v>804</v>
      </c>
      <c r="V40" s="157"/>
      <c r="W40" s="5">
        <f>COUNTIF(F40:V40,"P")</f>
        <v>12</v>
      </c>
      <c r="X40" s="5">
        <f>COUNTIF(F40:V40,"A")</f>
        <v>0</v>
      </c>
    </row>
    <row r="41" spans="1:24" ht="16.5" x14ac:dyDescent="0.25">
      <c r="A41" s="20">
        <v>14</v>
      </c>
      <c r="B41" s="20">
        <v>357</v>
      </c>
      <c r="C41" s="14" t="s">
        <v>617</v>
      </c>
      <c r="D41" s="14" t="s">
        <v>400</v>
      </c>
      <c r="E41" s="19" t="s">
        <v>710</v>
      </c>
      <c r="F41" s="8" t="s">
        <v>804</v>
      </c>
      <c r="G41" s="8" t="s">
        <v>803</v>
      </c>
      <c r="H41" s="157"/>
      <c r="I41" s="8" t="s">
        <v>804</v>
      </c>
      <c r="J41" s="8" t="s">
        <v>804</v>
      </c>
      <c r="K41" s="108" t="s">
        <v>804</v>
      </c>
      <c r="L41" s="8" t="s">
        <v>804</v>
      </c>
      <c r="M41" s="8" t="s">
        <v>803</v>
      </c>
      <c r="N41" s="163"/>
      <c r="O41" s="157"/>
      <c r="P41" s="8" t="s">
        <v>804</v>
      </c>
      <c r="Q41" s="8" t="s">
        <v>804</v>
      </c>
      <c r="R41" s="108" t="s">
        <v>804</v>
      </c>
      <c r="S41" s="163"/>
      <c r="T41" s="8" t="s">
        <v>804</v>
      </c>
      <c r="U41" s="8" t="s">
        <v>804</v>
      </c>
      <c r="V41" s="157"/>
      <c r="W41" s="5">
        <f>COUNTIF(F41:V41,"P")</f>
        <v>10</v>
      </c>
      <c r="X41" s="5">
        <f>COUNTIF(F41:V41,"A")</f>
        <v>2</v>
      </c>
    </row>
    <row r="42" spans="1:24" ht="16.5" x14ac:dyDescent="0.25">
      <c r="A42" s="20">
        <v>15</v>
      </c>
      <c r="B42" s="20">
        <v>623</v>
      </c>
      <c r="C42" s="14" t="s">
        <v>618</v>
      </c>
      <c r="D42" s="14" t="s">
        <v>791</v>
      </c>
      <c r="E42" s="19" t="s">
        <v>710</v>
      </c>
      <c r="F42" s="8" t="s">
        <v>804</v>
      </c>
      <c r="G42" s="8" t="s">
        <v>804</v>
      </c>
      <c r="H42" s="157"/>
      <c r="I42" s="8" t="s">
        <v>804</v>
      </c>
      <c r="J42" s="8" t="s">
        <v>804</v>
      </c>
      <c r="K42" s="108" t="s">
        <v>804</v>
      </c>
      <c r="L42" s="8" t="s">
        <v>804</v>
      </c>
      <c r="M42" s="8" t="s">
        <v>804</v>
      </c>
      <c r="N42" s="163"/>
      <c r="O42" s="157"/>
      <c r="P42" s="8" t="s">
        <v>804</v>
      </c>
      <c r="Q42" s="8" t="s">
        <v>804</v>
      </c>
      <c r="R42" s="108" t="s">
        <v>804</v>
      </c>
      <c r="S42" s="163"/>
      <c r="T42" s="8" t="s">
        <v>804</v>
      </c>
      <c r="U42" s="8" t="s">
        <v>804</v>
      </c>
      <c r="V42" s="157"/>
      <c r="W42" s="5">
        <f>COUNTIF(F42:V42,"P")</f>
        <v>12</v>
      </c>
      <c r="X42" s="5">
        <f>COUNTIF(F42:V42,"A")</f>
        <v>0</v>
      </c>
    </row>
    <row r="43" spans="1:24" ht="16.5" x14ac:dyDescent="0.25">
      <c r="A43" s="20">
        <v>16</v>
      </c>
      <c r="B43" s="20">
        <v>738</v>
      </c>
      <c r="C43" s="14" t="s">
        <v>623</v>
      </c>
      <c r="D43" s="14" t="s">
        <v>792</v>
      </c>
      <c r="E43" s="19" t="s">
        <v>710</v>
      </c>
      <c r="F43" s="8" t="s">
        <v>803</v>
      </c>
      <c r="G43" s="8" t="s">
        <v>803</v>
      </c>
      <c r="H43" s="157"/>
      <c r="I43" s="8" t="s">
        <v>803</v>
      </c>
      <c r="J43" s="8" t="s">
        <v>804</v>
      </c>
      <c r="K43" s="108" t="s">
        <v>804</v>
      </c>
      <c r="L43" s="8" t="s">
        <v>804</v>
      </c>
      <c r="M43" s="8" t="s">
        <v>803</v>
      </c>
      <c r="N43" s="163"/>
      <c r="O43" s="157"/>
      <c r="P43" s="8" t="s">
        <v>803</v>
      </c>
      <c r="Q43" s="8" t="s">
        <v>803</v>
      </c>
      <c r="R43" s="108" t="s">
        <v>803</v>
      </c>
      <c r="S43" s="163"/>
      <c r="T43" s="8" t="s">
        <v>804</v>
      </c>
      <c r="U43" s="8" t="s">
        <v>804</v>
      </c>
      <c r="V43" s="157"/>
      <c r="W43" s="5">
        <f>COUNTIF(F43:V43,"P")</f>
        <v>5</v>
      </c>
      <c r="X43" s="5">
        <f>COUNTIF(F43:V43,"A")</f>
        <v>7</v>
      </c>
    </row>
    <row r="44" spans="1:24" ht="16.5" x14ac:dyDescent="0.25">
      <c r="A44" s="20">
        <v>18</v>
      </c>
      <c r="B44" s="20">
        <v>866</v>
      </c>
      <c r="C44" s="14" t="s">
        <v>587</v>
      </c>
      <c r="D44" s="14" t="s">
        <v>793</v>
      </c>
      <c r="E44" s="19" t="s">
        <v>710</v>
      </c>
      <c r="F44" s="8" t="s">
        <v>804</v>
      </c>
      <c r="G44" s="8" t="s">
        <v>804</v>
      </c>
      <c r="H44" s="157"/>
      <c r="I44" s="8" t="s">
        <v>804</v>
      </c>
      <c r="J44" s="8" t="s">
        <v>804</v>
      </c>
      <c r="K44" s="108" t="s">
        <v>804</v>
      </c>
      <c r="L44" s="8" t="s">
        <v>804</v>
      </c>
      <c r="M44" s="8" t="s">
        <v>804</v>
      </c>
      <c r="N44" s="163"/>
      <c r="O44" s="157"/>
      <c r="P44" s="8" t="s">
        <v>804</v>
      </c>
      <c r="Q44" s="8" t="s">
        <v>804</v>
      </c>
      <c r="R44" s="108" t="s">
        <v>804</v>
      </c>
      <c r="S44" s="163"/>
      <c r="T44" s="8" t="s">
        <v>804</v>
      </c>
      <c r="U44" s="8" t="s">
        <v>804</v>
      </c>
      <c r="V44" s="157"/>
      <c r="W44" s="5">
        <f>COUNTIF(F44:V44,"P")</f>
        <v>12</v>
      </c>
      <c r="X44" s="5">
        <f>COUNTIF(F44:V44,"A")</f>
        <v>0</v>
      </c>
    </row>
    <row r="45" spans="1:24" ht="16.5" x14ac:dyDescent="0.25">
      <c r="A45" s="20">
        <v>19</v>
      </c>
      <c r="B45" s="20"/>
      <c r="C45" s="14" t="s">
        <v>772</v>
      </c>
      <c r="D45" s="14"/>
      <c r="E45" s="19" t="s">
        <v>710</v>
      </c>
      <c r="F45" s="8" t="s">
        <v>804</v>
      </c>
      <c r="G45" s="8" t="s">
        <v>804</v>
      </c>
      <c r="H45" s="157"/>
      <c r="I45" s="8" t="s">
        <v>804</v>
      </c>
      <c r="J45" s="8" t="s">
        <v>804</v>
      </c>
      <c r="K45" s="108" t="s">
        <v>803</v>
      </c>
      <c r="L45" s="8" t="s">
        <v>804</v>
      </c>
      <c r="M45" s="8" t="s">
        <v>804</v>
      </c>
      <c r="N45" s="163"/>
      <c r="O45" s="157"/>
      <c r="P45" s="8" t="s">
        <v>804</v>
      </c>
      <c r="Q45" s="8" t="s">
        <v>805</v>
      </c>
      <c r="R45" s="108" t="s">
        <v>805</v>
      </c>
      <c r="S45" s="163"/>
      <c r="T45" s="8" t="s">
        <v>805</v>
      </c>
      <c r="U45" s="8" t="s">
        <v>805</v>
      </c>
      <c r="V45" s="157"/>
      <c r="W45" s="5">
        <f>COUNTIF(F45:V45,"P")</f>
        <v>7</v>
      </c>
      <c r="X45" s="5">
        <f>COUNTIF(F45:V45,"A")</f>
        <v>1</v>
      </c>
    </row>
    <row r="46" spans="1:24" ht="16.5" x14ac:dyDescent="0.25">
      <c r="A46" s="20">
        <v>20</v>
      </c>
      <c r="B46" s="20">
        <v>905</v>
      </c>
      <c r="C46" s="14" t="s">
        <v>619</v>
      </c>
      <c r="D46" s="14" t="s">
        <v>794</v>
      </c>
      <c r="E46" s="19" t="s">
        <v>710</v>
      </c>
      <c r="F46" s="8" t="s">
        <v>804</v>
      </c>
      <c r="G46" s="8" t="s">
        <v>804</v>
      </c>
      <c r="H46" s="161"/>
      <c r="I46" s="8" t="s">
        <v>804</v>
      </c>
      <c r="J46" s="8" t="s">
        <v>804</v>
      </c>
      <c r="K46" s="108" t="s">
        <v>804</v>
      </c>
      <c r="L46" s="8" t="s">
        <v>804</v>
      </c>
      <c r="M46" s="8" t="s">
        <v>804</v>
      </c>
      <c r="N46" s="163"/>
      <c r="O46" s="161"/>
      <c r="P46" s="8" t="s">
        <v>804</v>
      </c>
      <c r="Q46" s="8" t="s">
        <v>804</v>
      </c>
      <c r="R46" s="108" t="s">
        <v>804</v>
      </c>
      <c r="S46" s="163"/>
      <c r="T46" s="8" t="s">
        <v>804</v>
      </c>
      <c r="U46" s="8" t="s">
        <v>804</v>
      </c>
      <c r="V46" s="161"/>
      <c r="W46" s="5">
        <f>COUNTIF(F46:V46,"P")</f>
        <v>12</v>
      </c>
      <c r="X46" s="5">
        <f>COUNTIF(F46:V46,"A")</f>
        <v>0</v>
      </c>
    </row>
  </sheetData>
  <mergeCells count="17">
    <mergeCell ref="A1:X1"/>
    <mergeCell ref="A2:X2"/>
    <mergeCell ref="A3:A4"/>
    <mergeCell ref="C3:C4"/>
    <mergeCell ref="E3:E4"/>
    <mergeCell ref="W3:W4"/>
    <mergeCell ref="X3:X4"/>
    <mergeCell ref="D3:D4"/>
    <mergeCell ref="B3:B4"/>
    <mergeCell ref="Y3:Z3"/>
    <mergeCell ref="Y11:AB11"/>
    <mergeCell ref="Y18:AB18"/>
    <mergeCell ref="H5:H46"/>
    <mergeCell ref="O5:O46"/>
    <mergeCell ref="V5:V46"/>
    <mergeCell ref="N5:N46"/>
    <mergeCell ref="S5:S46"/>
  </mergeCells>
  <conditionalFormatting sqref="C5:C27">
    <cfRule type="duplicateValues" dxfId="158" priority="49"/>
  </conditionalFormatting>
  <conditionalFormatting sqref="D5:D27">
    <cfRule type="duplicateValues" dxfId="157" priority="48"/>
  </conditionalFormatting>
  <conditionalFormatting sqref="G5:H5 J5:M5 O5">
    <cfRule type="cellIs" dxfId="156" priority="43" operator="equal">
      <formula>"L"</formula>
    </cfRule>
    <cfRule type="cellIs" dxfId="155" priority="44" operator="equal">
      <formula>"A"</formula>
    </cfRule>
    <cfRule type="cellIs" dxfId="154" priority="45" operator="equal">
      <formula>"P"</formula>
    </cfRule>
    <cfRule type="expression" dxfId="153" priority="46">
      <formula>G$3="SUN"</formula>
    </cfRule>
    <cfRule type="expression" dxfId="152" priority="47">
      <formula>G$4=TODAY()</formula>
    </cfRule>
  </conditionalFormatting>
  <conditionalFormatting sqref="Q5:R46 G6:G46 J6:M46 F4:V4 T5:U46">
    <cfRule type="expression" dxfId="151" priority="54">
      <formula>F$4=TODAY()</formula>
    </cfRule>
  </conditionalFormatting>
  <conditionalFormatting sqref="Q5:R46 G6:G46 J6:M46 F4:V4 T5:U46">
    <cfRule type="expression" dxfId="150" priority="53">
      <formula>F$3="SUN"</formula>
    </cfRule>
  </conditionalFormatting>
  <conditionalFormatting sqref="Q5:R46 G6:G46 J6:M46 T5:U46">
    <cfRule type="cellIs" dxfId="149" priority="50" operator="equal">
      <formula>"L"</formula>
    </cfRule>
    <cfRule type="cellIs" dxfId="148" priority="51" operator="equal">
      <formula>"A"</formula>
    </cfRule>
    <cfRule type="cellIs" dxfId="147" priority="52" operator="equal">
      <formula>"P"</formula>
    </cfRule>
  </conditionalFormatting>
  <conditionalFormatting sqref="W3:X3 W5:X46">
    <cfRule type="expression" dxfId="146" priority="260">
      <formula>#REF!="Sun"</formula>
    </cfRule>
  </conditionalFormatting>
  <conditionalFormatting sqref="Y5:Y9">
    <cfRule type="expression" dxfId="145" priority="223">
      <formula>Y$3="Sun"</formula>
    </cfRule>
  </conditionalFormatting>
  <conditionalFormatting sqref="Y12:Y15">
    <cfRule type="expression" dxfId="144" priority="221">
      <formula>Y$3="Sun"</formula>
    </cfRule>
  </conditionalFormatting>
  <conditionalFormatting sqref="Y19:Y22">
    <cfRule type="expression" dxfId="143" priority="220">
      <formula>Y$3="Sun"</formula>
    </cfRule>
  </conditionalFormatting>
  <conditionalFormatting sqref="Y4:Z4">
    <cfRule type="expression" dxfId="142" priority="224">
      <formula>Y$3="Sun"</formula>
    </cfRule>
  </conditionalFormatting>
  <conditionalFormatting sqref="Z12:AB12 Z19:AB19">
    <cfRule type="expression" dxfId="141" priority="225">
      <formula>Z$3="Sun"</formula>
    </cfRule>
  </conditionalFormatting>
  <conditionalFormatting sqref="AB20">
    <cfRule type="expression" dxfId="140" priority="222">
      <formula>AB$3="Sun"</formula>
    </cfRule>
  </conditionalFormatting>
  <conditionalFormatting sqref="F3:V3">
    <cfRule type="expression" dxfId="139" priority="31">
      <formula>F$4=TODAY()</formula>
    </cfRule>
    <cfRule type="expression" dxfId="138" priority="32">
      <formula>F$3="SUN"</formula>
    </cfRule>
  </conditionalFormatting>
  <conditionalFormatting sqref="V5">
    <cfRule type="cellIs" dxfId="137" priority="26" operator="equal">
      <formula>"L"</formula>
    </cfRule>
    <cfRule type="cellIs" dxfId="136" priority="27" operator="equal">
      <formula>"A"</formula>
    </cfRule>
    <cfRule type="cellIs" dxfId="135" priority="28" operator="equal">
      <formula>"P"</formula>
    </cfRule>
    <cfRule type="expression" dxfId="134" priority="29">
      <formula>V$3="SUN"</formula>
    </cfRule>
    <cfRule type="expression" dxfId="133" priority="30">
      <formula>V$4=TODAY()</formula>
    </cfRule>
  </conditionalFormatting>
  <conditionalFormatting sqref="I5:I46">
    <cfRule type="expression" dxfId="132" priority="25">
      <formula>I$4=TODAY()</formula>
    </cfRule>
  </conditionalFormatting>
  <conditionalFormatting sqref="I5:I46">
    <cfRule type="expression" dxfId="131" priority="24">
      <formula>I$3="SUN"</formula>
    </cfRule>
  </conditionalFormatting>
  <conditionalFormatting sqref="I5:I46">
    <cfRule type="cellIs" dxfId="130" priority="21" operator="equal">
      <formula>"L"</formula>
    </cfRule>
    <cfRule type="cellIs" dxfId="129" priority="22" operator="equal">
      <formula>"A"</formula>
    </cfRule>
    <cfRule type="cellIs" dxfId="128" priority="23" operator="equal">
      <formula>"P"</formula>
    </cfRule>
  </conditionalFormatting>
  <conditionalFormatting sqref="P5:P46">
    <cfRule type="expression" dxfId="127" priority="20">
      <formula>P$4=TODAY()</formula>
    </cfRule>
  </conditionalFormatting>
  <conditionalFormatting sqref="P5:P46">
    <cfRule type="expression" dxfId="126" priority="19">
      <formula>P$3="SUN"</formula>
    </cfRule>
  </conditionalFormatting>
  <conditionalFormatting sqref="P5:P46">
    <cfRule type="cellIs" dxfId="125" priority="16" operator="equal">
      <formula>"L"</formula>
    </cfRule>
    <cfRule type="cellIs" dxfId="124" priority="17" operator="equal">
      <formula>"A"</formula>
    </cfRule>
    <cfRule type="cellIs" dxfId="123" priority="18" operator="equal">
      <formula>"P"</formula>
    </cfRule>
  </conditionalFormatting>
  <conditionalFormatting sqref="F5:F46">
    <cfRule type="expression" dxfId="122" priority="15">
      <formula>F$4=TODAY()</formula>
    </cfRule>
  </conditionalFormatting>
  <conditionalFormatting sqref="F5:F46">
    <cfRule type="expression" dxfId="121" priority="14">
      <formula>F$3="SUN"</formula>
    </cfRule>
  </conditionalFormatting>
  <conditionalFormatting sqref="F5:F46">
    <cfRule type="cellIs" dxfId="120" priority="11" operator="equal">
      <formula>"L"</formula>
    </cfRule>
    <cfRule type="cellIs" dxfId="119" priority="12" operator="equal">
      <formula>"A"</formula>
    </cfRule>
    <cfRule type="cellIs" dxfId="118" priority="13" operator="equal">
      <formula>"P"</formula>
    </cfRule>
  </conditionalFormatting>
  <conditionalFormatting sqref="N5">
    <cfRule type="expression" dxfId="117" priority="6">
      <formula>N$4=TODAY()</formula>
    </cfRule>
    <cfRule type="expression" dxfId="116" priority="7">
      <formula>N$3="SUN"</formula>
    </cfRule>
  </conditionalFormatting>
  <conditionalFormatting sqref="N5">
    <cfRule type="cellIs" dxfId="115" priority="8" operator="equal">
      <formula>"L"</formula>
    </cfRule>
    <cfRule type="cellIs" dxfId="114" priority="9" operator="equal">
      <formula>"A"</formula>
    </cfRule>
    <cfRule type="cellIs" dxfId="113" priority="10" operator="equal">
      <formula>"P"</formula>
    </cfRule>
  </conditionalFormatting>
  <conditionalFormatting sqref="S5">
    <cfRule type="expression" dxfId="112" priority="1">
      <formula>S$4=TODAY()</formula>
    </cfRule>
    <cfRule type="expression" dxfId="111" priority="2">
      <formula>S$3="SUN"</formula>
    </cfRule>
  </conditionalFormatting>
  <conditionalFormatting sqref="S5">
    <cfRule type="cellIs" dxfId="110" priority="3" operator="equal">
      <formula>"L"</formula>
    </cfRule>
    <cfRule type="cellIs" dxfId="109" priority="4" operator="equal">
      <formula>"A"</formula>
    </cfRule>
    <cfRule type="cellIs" dxfId="108" priority="5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9"/>
  <sheetViews>
    <sheetView workbookViewId="0">
      <selection activeCell="S5" sqref="S5:S3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3" width="9.42578125" style="1" bestFit="1" customWidth="1"/>
    <col min="24" max="24" width="8.570312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30" t="s">
        <v>18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4"/>
      <c r="Z1" s="14"/>
      <c r="AA1" s="14"/>
      <c r="AB1" s="14"/>
    </row>
    <row r="2" spans="1:28" ht="17.25" x14ac:dyDescent="0.3">
      <c r="A2" s="131" t="s">
        <v>731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4"/>
      <c r="Z2" s="14"/>
      <c r="AA2" s="14"/>
      <c r="AB2" s="14"/>
    </row>
    <row r="3" spans="1:28" ht="15.75" x14ac:dyDescent="0.25">
      <c r="A3" s="132" t="s">
        <v>0</v>
      </c>
      <c r="B3" s="132" t="s">
        <v>713</v>
      </c>
      <c r="C3" s="132" t="s">
        <v>1</v>
      </c>
      <c r="D3" s="132" t="s">
        <v>2</v>
      </c>
      <c r="E3" s="132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28" t="s">
        <v>119</v>
      </c>
      <c r="Z3" s="128"/>
      <c r="AA3" s="117"/>
      <c r="AB3" s="117"/>
    </row>
    <row r="4" spans="1:28" ht="36.75" x14ac:dyDescent="0.25">
      <c r="A4" s="132"/>
      <c r="B4" s="132"/>
      <c r="C4" s="132"/>
      <c r="D4" s="132"/>
      <c r="E4" s="132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30</v>
      </c>
      <c r="AA4" s="117"/>
      <c r="AB4" s="117"/>
    </row>
    <row r="5" spans="1:28" ht="15" customHeight="1" x14ac:dyDescent="0.25">
      <c r="A5" s="9">
        <v>1</v>
      </c>
      <c r="B5" s="9">
        <v>737</v>
      </c>
      <c r="C5" s="24" t="s">
        <v>620</v>
      </c>
      <c r="D5" s="24" t="s">
        <v>621</v>
      </c>
      <c r="E5" s="8" t="s">
        <v>726</v>
      </c>
      <c r="F5" s="8" t="s">
        <v>804</v>
      </c>
      <c r="G5" s="8" t="s">
        <v>804</v>
      </c>
      <c r="H5" s="159" t="s">
        <v>799</v>
      </c>
      <c r="I5" s="8" t="s">
        <v>804</v>
      </c>
      <c r="J5" s="8" t="s">
        <v>804</v>
      </c>
      <c r="K5" s="94" t="s">
        <v>804</v>
      </c>
      <c r="L5" s="8" t="s">
        <v>804</v>
      </c>
      <c r="M5" s="8" t="s">
        <v>804</v>
      </c>
      <c r="N5" s="163" t="s">
        <v>879</v>
      </c>
      <c r="O5" s="159" t="s">
        <v>799</v>
      </c>
      <c r="P5" s="8" t="s">
        <v>804</v>
      </c>
      <c r="Q5" s="8" t="s">
        <v>804</v>
      </c>
      <c r="R5" s="94" t="s">
        <v>804</v>
      </c>
      <c r="S5" s="163" t="s">
        <v>880</v>
      </c>
      <c r="T5" s="8" t="s">
        <v>804</v>
      </c>
      <c r="U5" s="8" t="s">
        <v>804</v>
      </c>
      <c r="V5" s="159" t="s">
        <v>799</v>
      </c>
      <c r="W5" s="5">
        <f>COUNTIF(F5:V5,"P")</f>
        <v>12</v>
      </c>
      <c r="X5" s="5">
        <f>COUNTIF(F5:V5,"A")</f>
        <v>0</v>
      </c>
      <c r="Y5" s="5" t="s">
        <v>7</v>
      </c>
      <c r="Z5" s="9">
        <v>25</v>
      </c>
      <c r="AA5" s="118"/>
      <c r="AB5" s="117"/>
    </row>
    <row r="6" spans="1:28" ht="16.5" x14ac:dyDescent="0.25">
      <c r="A6" s="9">
        <v>2</v>
      </c>
      <c r="B6" s="9">
        <v>734</v>
      </c>
      <c r="C6" s="24" t="s">
        <v>489</v>
      </c>
      <c r="D6" s="24" t="s">
        <v>406</v>
      </c>
      <c r="E6" s="8" t="s">
        <v>726</v>
      </c>
      <c r="F6" s="8" t="s">
        <v>804</v>
      </c>
      <c r="G6" s="8" t="s">
        <v>803</v>
      </c>
      <c r="H6" s="160"/>
      <c r="I6" s="8" t="s">
        <v>804</v>
      </c>
      <c r="J6" s="8" t="s">
        <v>803</v>
      </c>
      <c r="K6" s="94" t="s">
        <v>804</v>
      </c>
      <c r="L6" s="8" t="s">
        <v>804</v>
      </c>
      <c r="M6" s="8" t="s">
        <v>804</v>
      </c>
      <c r="N6" s="163"/>
      <c r="O6" s="160"/>
      <c r="P6" s="8" t="s">
        <v>804</v>
      </c>
      <c r="Q6" s="8" t="s">
        <v>803</v>
      </c>
      <c r="R6" s="94" t="s">
        <v>804</v>
      </c>
      <c r="S6" s="163"/>
      <c r="T6" s="8" t="s">
        <v>804</v>
      </c>
      <c r="U6" s="8" t="s">
        <v>804</v>
      </c>
      <c r="V6" s="160"/>
      <c r="W6" s="5">
        <f>COUNTIF(F6:V6,"P")</f>
        <v>9</v>
      </c>
      <c r="X6" s="5">
        <f>COUNTIF(F6:V6,"A")</f>
        <v>3</v>
      </c>
      <c r="Y6" s="5" t="s">
        <v>8</v>
      </c>
      <c r="Z6" s="9">
        <v>4</v>
      </c>
      <c r="AA6" s="117"/>
      <c r="AB6" s="117"/>
    </row>
    <row r="7" spans="1:28" ht="16.5" x14ac:dyDescent="0.25">
      <c r="A7" s="9">
        <v>3</v>
      </c>
      <c r="B7" s="9">
        <v>787</v>
      </c>
      <c r="C7" s="24" t="s">
        <v>125</v>
      </c>
      <c r="D7" s="24" t="s">
        <v>166</v>
      </c>
      <c r="E7" s="8" t="s">
        <v>726</v>
      </c>
      <c r="F7" s="8" t="s">
        <v>803</v>
      </c>
      <c r="G7" s="8" t="s">
        <v>804</v>
      </c>
      <c r="H7" s="160"/>
      <c r="I7" s="8" t="s">
        <v>804</v>
      </c>
      <c r="J7" s="8" t="s">
        <v>804</v>
      </c>
      <c r="K7" s="94" t="s">
        <v>804</v>
      </c>
      <c r="L7" s="8" t="s">
        <v>804</v>
      </c>
      <c r="M7" s="8" t="s">
        <v>804</v>
      </c>
      <c r="N7" s="163"/>
      <c r="O7" s="160"/>
      <c r="P7" s="8" t="s">
        <v>804</v>
      </c>
      <c r="Q7" s="8" t="s">
        <v>804</v>
      </c>
      <c r="R7" s="94" t="s">
        <v>804</v>
      </c>
      <c r="S7" s="163"/>
      <c r="T7" s="8" t="s">
        <v>804</v>
      </c>
      <c r="U7" s="8" t="s">
        <v>804</v>
      </c>
      <c r="V7" s="160"/>
      <c r="W7" s="5">
        <f>COUNTIF(F7:V7,"P")</f>
        <v>11</v>
      </c>
      <c r="X7" s="5">
        <f>COUNTIF(F7:V7,"A")</f>
        <v>1</v>
      </c>
      <c r="Y7" s="5" t="s">
        <v>122</v>
      </c>
      <c r="Z7" s="9">
        <v>1</v>
      </c>
      <c r="AA7" s="117"/>
      <c r="AB7" s="117"/>
    </row>
    <row r="8" spans="1:28" ht="16.5" x14ac:dyDescent="0.25">
      <c r="A8" s="9">
        <v>4</v>
      </c>
      <c r="B8" s="9">
        <v>742</v>
      </c>
      <c r="C8" s="24" t="s">
        <v>622</v>
      </c>
      <c r="D8" s="24" t="s">
        <v>101</v>
      </c>
      <c r="E8" s="8" t="s">
        <v>726</v>
      </c>
      <c r="F8" s="8" t="s">
        <v>804</v>
      </c>
      <c r="G8" s="8" t="s">
        <v>804</v>
      </c>
      <c r="H8" s="160"/>
      <c r="I8" s="8" t="s">
        <v>804</v>
      </c>
      <c r="J8" s="8" t="s">
        <v>804</v>
      </c>
      <c r="K8" s="94" t="s">
        <v>804</v>
      </c>
      <c r="L8" s="8" t="s">
        <v>804</v>
      </c>
      <c r="M8" s="8" t="s">
        <v>804</v>
      </c>
      <c r="N8" s="163"/>
      <c r="O8" s="160"/>
      <c r="P8" s="8" t="s">
        <v>804</v>
      </c>
      <c r="Q8" s="8" t="s">
        <v>804</v>
      </c>
      <c r="R8" s="94" t="s">
        <v>803</v>
      </c>
      <c r="S8" s="163"/>
      <c r="T8" s="8" t="s">
        <v>804</v>
      </c>
      <c r="U8" s="8" t="s">
        <v>804</v>
      </c>
      <c r="V8" s="160"/>
      <c r="W8" s="5">
        <f>COUNTIF(F8:V8,"P")</f>
        <v>11</v>
      </c>
      <c r="X8" s="5">
        <f>COUNTIF(F8:V8,"A")</f>
        <v>1</v>
      </c>
      <c r="Y8" s="5"/>
      <c r="Z8" s="9"/>
      <c r="AA8" s="102"/>
      <c r="AB8" s="102"/>
    </row>
    <row r="9" spans="1:28" ht="16.5" x14ac:dyDescent="0.25">
      <c r="A9" s="9">
        <v>5</v>
      </c>
      <c r="B9" s="9">
        <v>740</v>
      </c>
      <c r="C9" s="24" t="s">
        <v>534</v>
      </c>
      <c r="D9" s="24" t="s">
        <v>174</v>
      </c>
      <c r="E9" s="8" t="s">
        <v>726</v>
      </c>
      <c r="F9" s="8" t="s">
        <v>804</v>
      </c>
      <c r="G9" s="8" t="s">
        <v>804</v>
      </c>
      <c r="H9" s="160"/>
      <c r="I9" s="8" t="s">
        <v>804</v>
      </c>
      <c r="J9" s="8" t="s">
        <v>804</v>
      </c>
      <c r="K9" s="94" t="s">
        <v>804</v>
      </c>
      <c r="L9" s="8" t="s">
        <v>804</v>
      </c>
      <c r="M9" s="8" t="s">
        <v>804</v>
      </c>
      <c r="N9" s="163"/>
      <c r="O9" s="160"/>
      <c r="P9" s="8" t="s">
        <v>804</v>
      </c>
      <c r="Q9" s="8" t="s">
        <v>804</v>
      </c>
      <c r="R9" s="94" t="s">
        <v>804</v>
      </c>
      <c r="S9" s="163"/>
      <c r="T9" s="8" t="s">
        <v>805</v>
      </c>
      <c r="U9" s="8" t="s">
        <v>805</v>
      </c>
      <c r="V9" s="160"/>
      <c r="W9" s="5">
        <f>COUNTIF(F9:V9,"P")</f>
        <v>10</v>
      </c>
      <c r="X9" s="5">
        <f>COUNTIF(F9:V9,"A")</f>
        <v>0</v>
      </c>
      <c r="Y9" s="5"/>
      <c r="Z9" s="9"/>
      <c r="AA9" s="14"/>
      <c r="AB9" s="14"/>
    </row>
    <row r="10" spans="1:28" ht="16.5" x14ac:dyDescent="0.25">
      <c r="A10" s="9">
        <v>6</v>
      </c>
      <c r="B10" s="9">
        <v>738</v>
      </c>
      <c r="C10" s="24" t="s">
        <v>623</v>
      </c>
      <c r="D10" s="24" t="s">
        <v>621</v>
      </c>
      <c r="E10" s="8" t="s">
        <v>726</v>
      </c>
      <c r="F10" s="8" t="s">
        <v>804</v>
      </c>
      <c r="G10" s="8" t="s">
        <v>804</v>
      </c>
      <c r="H10" s="160"/>
      <c r="I10" s="8" t="s">
        <v>804</v>
      </c>
      <c r="J10" s="8" t="s">
        <v>803</v>
      </c>
      <c r="K10" s="94" t="s">
        <v>803</v>
      </c>
      <c r="L10" s="8" t="s">
        <v>804</v>
      </c>
      <c r="M10" s="8" t="s">
        <v>803</v>
      </c>
      <c r="N10" s="163"/>
      <c r="O10" s="160"/>
      <c r="P10" s="8" t="s">
        <v>804</v>
      </c>
      <c r="Q10" s="8" t="s">
        <v>804</v>
      </c>
      <c r="R10" s="94" t="s">
        <v>804</v>
      </c>
      <c r="S10" s="163"/>
      <c r="T10" s="8" t="s">
        <v>804</v>
      </c>
      <c r="U10" s="8" t="s">
        <v>804</v>
      </c>
      <c r="V10" s="160"/>
      <c r="W10" s="5">
        <f>COUNTIF(F10:V10,"P")</f>
        <v>9</v>
      </c>
      <c r="X10" s="5">
        <f>COUNTIF(F10:V10,"A")</f>
        <v>3</v>
      </c>
      <c r="Y10" s="14"/>
      <c r="Z10" s="14"/>
      <c r="AA10" s="14"/>
      <c r="AB10" s="14"/>
    </row>
    <row r="11" spans="1:28" ht="16.5" x14ac:dyDescent="0.25">
      <c r="A11" s="9">
        <v>7</v>
      </c>
      <c r="B11" s="9">
        <v>739</v>
      </c>
      <c r="C11" s="24" t="s">
        <v>624</v>
      </c>
      <c r="D11" s="24" t="s">
        <v>518</v>
      </c>
      <c r="E11" s="8" t="s">
        <v>726</v>
      </c>
      <c r="F11" s="8" t="s">
        <v>804</v>
      </c>
      <c r="G11" s="8" t="s">
        <v>804</v>
      </c>
      <c r="H11" s="160"/>
      <c r="I11" s="8" t="s">
        <v>804</v>
      </c>
      <c r="J11" s="8" t="s">
        <v>804</v>
      </c>
      <c r="K11" s="94" t="s">
        <v>804</v>
      </c>
      <c r="L11" s="8" t="s">
        <v>804</v>
      </c>
      <c r="M11" s="8" t="s">
        <v>804</v>
      </c>
      <c r="N11" s="163"/>
      <c r="O11" s="160"/>
      <c r="P11" s="8" t="s">
        <v>804</v>
      </c>
      <c r="Q11" s="8" t="s">
        <v>804</v>
      </c>
      <c r="R11" s="94" t="s">
        <v>805</v>
      </c>
      <c r="S11" s="163"/>
      <c r="T11" s="8" t="s">
        <v>804</v>
      </c>
      <c r="U11" s="8" t="s">
        <v>804</v>
      </c>
      <c r="V11" s="160"/>
      <c r="W11" s="5">
        <f>COUNTIF(F11:V11,"P")</f>
        <v>11</v>
      </c>
      <c r="X11" s="5">
        <f>COUNTIF(F11:V11,"A")</f>
        <v>0</v>
      </c>
      <c r="Y11" s="128" t="s">
        <v>9</v>
      </c>
      <c r="Z11" s="128"/>
      <c r="AA11" s="128"/>
      <c r="AB11" s="128"/>
    </row>
    <row r="12" spans="1:28" ht="16.5" x14ac:dyDescent="0.25">
      <c r="A12" s="9">
        <v>8</v>
      </c>
      <c r="B12" s="9">
        <v>743</v>
      </c>
      <c r="C12" s="24" t="s">
        <v>235</v>
      </c>
      <c r="D12" s="24" t="s">
        <v>625</v>
      </c>
      <c r="E12" s="8" t="s">
        <v>726</v>
      </c>
      <c r="F12" s="8" t="s">
        <v>804</v>
      </c>
      <c r="G12" s="8" t="s">
        <v>804</v>
      </c>
      <c r="H12" s="160"/>
      <c r="I12" s="8" t="s">
        <v>804</v>
      </c>
      <c r="J12" s="8" t="s">
        <v>804</v>
      </c>
      <c r="K12" s="94" t="s">
        <v>804</v>
      </c>
      <c r="L12" s="8" t="s">
        <v>804</v>
      </c>
      <c r="M12" s="8" t="s">
        <v>804</v>
      </c>
      <c r="N12" s="163"/>
      <c r="O12" s="160"/>
      <c r="P12" s="8" t="s">
        <v>804</v>
      </c>
      <c r="Q12" s="8" t="s">
        <v>804</v>
      </c>
      <c r="R12" s="94" t="s">
        <v>804</v>
      </c>
      <c r="S12" s="163"/>
      <c r="T12" s="8" t="s">
        <v>804</v>
      </c>
      <c r="U12" s="8" t="s">
        <v>804</v>
      </c>
      <c r="V12" s="160"/>
      <c r="W12" s="5">
        <f>COUNTIF(F12:V12,"P")</f>
        <v>12</v>
      </c>
      <c r="X12" s="5">
        <f>COUNTIF(F12:V12,"A")</f>
        <v>0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9">
        <v>9</v>
      </c>
      <c r="B13" s="9">
        <v>729</v>
      </c>
      <c r="C13" s="24" t="s">
        <v>626</v>
      </c>
      <c r="D13" s="24" t="s">
        <v>293</v>
      </c>
      <c r="E13" s="8" t="s">
        <v>726</v>
      </c>
      <c r="F13" s="8" t="s">
        <v>804</v>
      </c>
      <c r="G13" s="8" t="s">
        <v>804</v>
      </c>
      <c r="H13" s="160"/>
      <c r="I13" s="8" t="s">
        <v>804</v>
      </c>
      <c r="J13" s="8" t="s">
        <v>804</v>
      </c>
      <c r="K13" s="94" t="s">
        <v>804</v>
      </c>
      <c r="L13" s="8" t="s">
        <v>804</v>
      </c>
      <c r="M13" s="8" t="s">
        <v>804</v>
      </c>
      <c r="N13" s="163"/>
      <c r="O13" s="160"/>
      <c r="P13" s="8" t="s">
        <v>804</v>
      </c>
      <c r="Q13" s="8" t="s">
        <v>804</v>
      </c>
      <c r="R13" s="94" t="s">
        <v>804</v>
      </c>
      <c r="S13" s="163"/>
      <c r="T13" s="8" t="s">
        <v>804</v>
      </c>
      <c r="U13" s="8" t="s">
        <v>804</v>
      </c>
      <c r="V13" s="160"/>
      <c r="W13" s="5">
        <f>COUNTIF(F13:V13,"P")</f>
        <v>12</v>
      </c>
      <c r="X13" s="5">
        <f>COUNTIF(F13:V13,"A")</f>
        <v>0</v>
      </c>
      <c r="Y13" s="5" t="s">
        <v>14</v>
      </c>
      <c r="Z13" s="9">
        <f>19*$Z$5</f>
        <v>475</v>
      </c>
      <c r="AA13" s="9">
        <f>23*$Z$5</f>
        <v>575</v>
      </c>
      <c r="AB13" s="9">
        <f>SUM(Z13:AA13)</f>
        <v>1050</v>
      </c>
    </row>
    <row r="14" spans="1:28" ht="16.5" x14ac:dyDescent="0.25">
      <c r="A14" s="9">
        <v>10</v>
      </c>
      <c r="B14" s="9">
        <v>736</v>
      </c>
      <c r="C14" s="24" t="s">
        <v>627</v>
      </c>
      <c r="D14" s="24" t="s">
        <v>322</v>
      </c>
      <c r="E14" s="8" t="s">
        <v>726</v>
      </c>
      <c r="F14" s="8" t="s">
        <v>804</v>
      </c>
      <c r="G14" s="8" t="s">
        <v>803</v>
      </c>
      <c r="H14" s="160"/>
      <c r="I14" s="8" t="s">
        <v>804</v>
      </c>
      <c r="J14" s="8" t="s">
        <v>804</v>
      </c>
      <c r="K14" s="94" t="s">
        <v>804</v>
      </c>
      <c r="L14" s="8" t="s">
        <v>804</v>
      </c>
      <c r="M14" s="8" t="s">
        <v>804</v>
      </c>
      <c r="N14" s="163"/>
      <c r="O14" s="160"/>
      <c r="P14" s="8" t="s">
        <v>804</v>
      </c>
      <c r="Q14" s="8" t="s">
        <v>804</v>
      </c>
      <c r="R14" s="94" t="s">
        <v>804</v>
      </c>
      <c r="S14" s="163"/>
      <c r="T14" s="8" t="s">
        <v>804</v>
      </c>
      <c r="U14" s="8" t="s">
        <v>804</v>
      </c>
      <c r="V14" s="160"/>
      <c r="W14" s="5">
        <f>COUNTIF(F14:V14,"P")</f>
        <v>11</v>
      </c>
      <c r="X14" s="5">
        <f>COUNTIF(F14:V14,"A")</f>
        <v>1</v>
      </c>
      <c r="Y14" s="5" t="s">
        <v>15</v>
      </c>
      <c r="Z14" s="9">
        <f>SUM(W25:W37)</f>
        <v>128</v>
      </c>
      <c r="AA14" s="9">
        <f>SUM(W5:W24)</f>
        <v>200</v>
      </c>
      <c r="AB14" s="9">
        <f>Z14+AA14</f>
        <v>328</v>
      </c>
    </row>
    <row r="15" spans="1:28" ht="16.5" x14ac:dyDescent="0.25">
      <c r="A15" s="9">
        <v>11</v>
      </c>
      <c r="B15" s="9">
        <v>746</v>
      </c>
      <c r="C15" s="24" t="s">
        <v>628</v>
      </c>
      <c r="D15" s="24" t="s">
        <v>629</v>
      </c>
      <c r="E15" s="8" t="s">
        <v>726</v>
      </c>
      <c r="F15" s="8" t="s">
        <v>804</v>
      </c>
      <c r="G15" s="8" t="s">
        <v>803</v>
      </c>
      <c r="H15" s="160"/>
      <c r="I15" s="8" t="s">
        <v>804</v>
      </c>
      <c r="J15" s="8" t="s">
        <v>804</v>
      </c>
      <c r="K15" s="94" t="s">
        <v>804</v>
      </c>
      <c r="L15" s="8" t="s">
        <v>804</v>
      </c>
      <c r="M15" s="8" t="s">
        <v>804</v>
      </c>
      <c r="N15" s="163"/>
      <c r="O15" s="160"/>
      <c r="P15" s="8" t="s">
        <v>804</v>
      </c>
      <c r="Q15" s="8" t="s">
        <v>804</v>
      </c>
      <c r="R15" s="94" t="s">
        <v>804</v>
      </c>
      <c r="S15" s="163"/>
      <c r="T15" s="8" t="s">
        <v>804</v>
      </c>
      <c r="U15" s="8" t="s">
        <v>804</v>
      </c>
      <c r="V15" s="160"/>
      <c r="W15" s="5">
        <f>COUNTIF(F15:V15,"P")</f>
        <v>11</v>
      </c>
      <c r="X15" s="5">
        <f>COUNTIF(F15:V15,"A")</f>
        <v>1</v>
      </c>
      <c r="Y15" s="102"/>
      <c r="Z15" s="102"/>
      <c r="AA15" s="102"/>
      <c r="AB15" s="102"/>
    </row>
    <row r="16" spans="1:28" ht="16.5" x14ac:dyDescent="0.25">
      <c r="A16" s="9">
        <v>12</v>
      </c>
      <c r="B16" s="9">
        <v>745</v>
      </c>
      <c r="C16" s="24" t="s">
        <v>630</v>
      </c>
      <c r="D16" s="24" t="s">
        <v>629</v>
      </c>
      <c r="E16" s="8" t="s">
        <v>726</v>
      </c>
      <c r="F16" s="8" t="s">
        <v>803</v>
      </c>
      <c r="G16" s="8" t="s">
        <v>803</v>
      </c>
      <c r="H16" s="160"/>
      <c r="I16" s="8" t="s">
        <v>803</v>
      </c>
      <c r="J16" s="8" t="s">
        <v>803</v>
      </c>
      <c r="K16" s="94" t="s">
        <v>803</v>
      </c>
      <c r="L16" s="8" t="s">
        <v>803</v>
      </c>
      <c r="M16" s="8" t="s">
        <v>803</v>
      </c>
      <c r="N16" s="163"/>
      <c r="O16" s="160"/>
      <c r="P16" s="8" t="s">
        <v>803</v>
      </c>
      <c r="Q16" s="8" t="s">
        <v>803</v>
      </c>
      <c r="R16" s="94" t="s">
        <v>803</v>
      </c>
      <c r="S16" s="163"/>
      <c r="T16" s="8" t="s">
        <v>803</v>
      </c>
      <c r="U16" s="8" t="s">
        <v>803</v>
      </c>
      <c r="V16" s="160"/>
      <c r="W16" s="5">
        <f>COUNTIF(F16:V16,"P")</f>
        <v>0</v>
      </c>
      <c r="X16" s="5">
        <f>COUNTIF(F16:V16,"A")</f>
        <v>12</v>
      </c>
      <c r="Y16" s="102"/>
      <c r="Z16" s="102"/>
      <c r="AA16" s="102"/>
      <c r="AB16" s="102"/>
    </row>
    <row r="17" spans="1:28" ht="16.5" x14ac:dyDescent="0.25">
      <c r="A17" s="9">
        <v>13</v>
      </c>
      <c r="B17" s="9">
        <v>731</v>
      </c>
      <c r="C17" s="24" t="s">
        <v>631</v>
      </c>
      <c r="D17" s="24" t="s">
        <v>632</v>
      </c>
      <c r="E17" s="8" t="s">
        <v>726</v>
      </c>
      <c r="F17" s="8" t="s">
        <v>803</v>
      </c>
      <c r="G17" s="8" t="s">
        <v>804</v>
      </c>
      <c r="H17" s="160"/>
      <c r="I17" s="8" t="s">
        <v>803</v>
      </c>
      <c r="J17" s="8" t="s">
        <v>804</v>
      </c>
      <c r="K17" s="94" t="s">
        <v>804</v>
      </c>
      <c r="L17" s="8" t="s">
        <v>804</v>
      </c>
      <c r="M17" s="8" t="s">
        <v>803</v>
      </c>
      <c r="N17" s="163"/>
      <c r="O17" s="160"/>
      <c r="P17" s="8" t="s">
        <v>803</v>
      </c>
      <c r="Q17" s="8" t="s">
        <v>803</v>
      </c>
      <c r="R17" s="94" t="s">
        <v>803</v>
      </c>
      <c r="S17" s="163"/>
      <c r="T17" s="8" t="s">
        <v>804</v>
      </c>
      <c r="U17" s="8" t="s">
        <v>803</v>
      </c>
      <c r="V17" s="160"/>
      <c r="W17" s="5">
        <f>COUNTIF(F17:V17,"P")</f>
        <v>5</v>
      </c>
      <c r="X17" s="5">
        <f>COUNTIF(F17:V17,"A")</f>
        <v>7</v>
      </c>
      <c r="Y17" s="102"/>
      <c r="Z17" s="102"/>
      <c r="AA17" s="102"/>
      <c r="AB17" s="102"/>
    </row>
    <row r="18" spans="1:28" ht="16.5" x14ac:dyDescent="0.25">
      <c r="A18" s="9">
        <v>14</v>
      </c>
      <c r="B18" s="9">
        <v>856</v>
      </c>
      <c r="C18" s="24" t="s">
        <v>633</v>
      </c>
      <c r="D18" s="24" t="s">
        <v>518</v>
      </c>
      <c r="E18" s="8" t="s">
        <v>726</v>
      </c>
      <c r="F18" s="8" t="s">
        <v>804</v>
      </c>
      <c r="G18" s="8" t="s">
        <v>804</v>
      </c>
      <c r="H18" s="160"/>
      <c r="I18" s="8" t="s">
        <v>804</v>
      </c>
      <c r="J18" s="8" t="s">
        <v>804</v>
      </c>
      <c r="K18" s="94" t="s">
        <v>804</v>
      </c>
      <c r="L18" s="8" t="s">
        <v>804</v>
      </c>
      <c r="M18" s="8" t="s">
        <v>804</v>
      </c>
      <c r="N18" s="163"/>
      <c r="O18" s="160"/>
      <c r="P18" s="8" t="s">
        <v>804</v>
      </c>
      <c r="Q18" s="8" t="s">
        <v>804</v>
      </c>
      <c r="R18" s="94" t="s">
        <v>804</v>
      </c>
      <c r="S18" s="163"/>
      <c r="T18" s="8" t="s">
        <v>804</v>
      </c>
      <c r="U18" s="8" t="s">
        <v>804</v>
      </c>
      <c r="V18" s="160"/>
      <c r="W18" s="5">
        <f>COUNTIF(F18:V18,"P")</f>
        <v>12</v>
      </c>
      <c r="X18" s="5">
        <f>COUNTIF(F18:V18,"A")</f>
        <v>0</v>
      </c>
      <c r="Y18" s="5" t="s">
        <v>10</v>
      </c>
      <c r="Z18" s="5" t="s">
        <v>11</v>
      </c>
      <c r="AA18" s="5" t="s">
        <v>12</v>
      </c>
      <c r="AB18" s="5" t="s">
        <v>13</v>
      </c>
    </row>
    <row r="19" spans="1:28" ht="16.5" x14ac:dyDescent="0.25">
      <c r="A19" s="9">
        <v>15</v>
      </c>
      <c r="B19" s="9">
        <v>906</v>
      </c>
      <c r="C19" s="24" t="s">
        <v>796</v>
      </c>
      <c r="D19" s="24" t="s">
        <v>797</v>
      </c>
      <c r="E19" s="8" t="s">
        <v>726</v>
      </c>
      <c r="F19" s="8" t="s">
        <v>804</v>
      </c>
      <c r="G19" s="8" t="s">
        <v>804</v>
      </c>
      <c r="H19" s="160"/>
      <c r="I19" s="8" t="s">
        <v>804</v>
      </c>
      <c r="J19" s="8" t="s">
        <v>804</v>
      </c>
      <c r="K19" s="94" t="s">
        <v>804</v>
      </c>
      <c r="L19" s="8" t="s">
        <v>804</v>
      </c>
      <c r="M19" s="8" t="s">
        <v>804</v>
      </c>
      <c r="N19" s="163"/>
      <c r="O19" s="160"/>
      <c r="P19" s="8" t="s">
        <v>804</v>
      </c>
      <c r="Q19" s="8" t="s">
        <v>804</v>
      </c>
      <c r="R19" s="94" t="s">
        <v>804</v>
      </c>
      <c r="S19" s="163"/>
      <c r="T19" s="8" t="s">
        <v>804</v>
      </c>
      <c r="U19" s="8" t="s">
        <v>804</v>
      </c>
      <c r="V19" s="160"/>
      <c r="W19" s="5">
        <f>COUNTIF(F19:V19,"P")</f>
        <v>12</v>
      </c>
      <c r="X19" s="5">
        <f>COUNTIF(F19:V19,"A")</f>
        <v>0</v>
      </c>
      <c r="Y19" s="5" t="s">
        <v>14</v>
      </c>
      <c r="Z19" s="9">
        <f>19*$Z$5</f>
        <v>475</v>
      </c>
      <c r="AA19" s="9">
        <f>23*$Z$5</f>
        <v>575</v>
      </c>
      <c r="AB19" s="9">
        <f>Z19+AA19</f>
        <v>1050</v>
      </c>
    </row>
    <row r="20" spans="1:28" ht="16.5" x14ac:dyDescent="0.25">
      <c r="A20" s="9">
        <v>16</v>
      </c>
      <c r="B20" s="9"/>
      <c r="C20" s="24" t="s">
        <v>828</v>
      </c>
      <c r="D20" s="24" t="s">
        <v>829</v>
      </c>
      <c r="E20" s="8" t="s">
        <v>726</v>
      </c>
      <c r="F20" s="8" t="s">
        <v>729</v>
      </c>
      <c r="G20" s="8" t="s">
        <v>729</v>
      </c>
      <c r="H20" s="160"/>
      <c r="I20" s="8" t="s">
        <v>729</v>
      </c>
      <c r="J20" s="8" t="s">
        <v>729</v>
      </c>
      <c r="K20" s="94" t="s">
        <v>729</v>
      </c>
      <c r="L20" s="8" t="s">
        <v>729</v>
      </c>
      <c r="M20" s="8" t="s">
        <v>729</v>
      </c>
      <c r="N20" s="163"/>
      <c r="O20" s="160"/>
      <c r="P20" s="8" t="s">
        <v>729</v>
      </c>
      <c r="Q20" s="8" t="s">
        <v>729</v>
      </c>
      <c r="R20" s="94" t="s">
        <v>729</v>
      </c>
      <c r="S20" s="163"/>
      <c r="T20" s="8" t="s">
        <v>729</v>
      </c>
      <c r="U20" s="8" t="s">
        <v>729</v>
      </c>
      <c r="V20" s="160"/>
      <c r="W20" s="5">
        <f>COUNTIF(F20:V20,"P")</f>
        <v>12</v>
      </c>
      <c r="X20" s="5">
        <f>COUNTIF(F20:V20,"A")</f>
        <v>0</v>
      </c>
      <c r="Y20" s="5" t="s">
        <v>17</v>
      </c>
      <c r="Z20" s="9">
        <f>Z19-Z14</f>
        <v>347</v>
      </c>
      <c r="AA20" s="9">
        <f>AA19-AA14</f>
        <v>375</v>
      </c>
      <c r="AB20" s="9">
        <f>Z20+AA20</f>
        <v>722</v>
      </c>
    </row>
    <row r="21" spans="1:28" ht="16.5" x14ac:dyDescent="0.25">
      <c r="A21" s="9">
        <v>17</v>
      </c>
      <c r="B21" s="9"/>
      <c r="C21" s="24" t="s">
        <v>151</v>
      </c>
      <c r="D21" s="24" t="s">
        <v>830</v>
      </c>
      <c r="E21" s="8" t="s">
        <v>726</v>
      </c>
      <c r="F21" s="8" t="s">
        <v>804</v>
      </c>
      <c r="G21" s="8" t="s">
        <v>729</v>
      </c>
      <c r="H21" s="160"/>
      <c r="I21" s="8" t="s">
        <v>804</v>
      </c>
      <c r="J21" s="8" t="s">
        <v>729</v>
      </c>
      <c r="K21" s="94" t="s">
        <v>803</v>
      </c>
      <c r="L21" s="8" t="s">
        <v>804</v>
      </c>
      <c r="M21" s="8" t="s">
        <v>803</v>
      </c>
      <c r="N21" s="163"/>
      <c r="O21" s="160"/>
      <c r="P21" s="8" t="s">
        <v>804</v>
      </c>
      <c r="Q21" s="8" t="s">
        <v>804</v>
      </c>
      <c r="R21" s="94" t="s">
        <v>804</v>
      </c>
      <c r="S21" s="163"/>
      <c r="T21" s="8" t="s">
        <v>804</v>
      </c>
      <c r="U21" s="8" t="s">
        <v>804</v>
      </c>
      <c r="V21" s="160"/>
      <c r="W21" s="5">
        <f>COUNTIF(F21:V21,"P")</f>
        <v>10</v>
      </c>
      <c r="X21" s="5">
        <f>COUNTIF(F21:V21,"A")</f>
        <v>2</v>
      </c>
      <c r="Y21" s="14"/>
      <c r="Z21" s="14"/>
      <c r="AA21" s="14"/>
      <c r="AB21" s="14"/>
    </row>
    <row r="22" spans="1:28" ht="16.5" x14ac:dyDescent="0.25">
      <c r="A22" s="9">
        <v>18</v>
      </c>
      <c r="B22" s="9">
        <v>846</v>
      </c>
      <c r="C22" s="24" t="s">
        <v>635</v>
      </c>
      <c r="D22" s="24" t="s">
        <v>636</v>
      </c>
      <c r="E22" s="8" t="s">
        <v>726</v>
      </c>
      <c r="F22" s="8" t="s">
        <v>804</v>
      </c>
      <c r="G22" s="8" t="s">
        <v>804</v>
      </c>
      <c r="H22" s="160"/>
      <c r="I22" s="8" t="s">
        <v>804</v>
      </c>
      <c r="J22" s="8" t="s">
        <v>804</v>
      </c>
      <c r="K22" s="94" t="s">
        <v>804</v>
      </c>
      <c r="L22" s="8" t="s">
        <v>804</v>
      </c>
      <c r="M22" s="8" t="s">
        <v>804</v>
      </c>
      <c r="N22" s="163"/>
      <c r="O22" s="160"/>
      <c r="P22" s="8" t="s">
        <v>804</v>
      </c>
      <c r="Q22" s="8" t="s">
        <v>804</v>
      </c>
      <c r="R22" s="94" t="s">
        <v>804</v>
      </c>
      <c r="S22" s="163"/>
      <c r="T22" s="8" t="s">
        <v>804</v>
      </c>
      <c r="U22" s="8" t="s">
        <v>804</v>
      </c>
      <c r="V22" s="160"/>
      <c r="W22" s="5">
        <f>COUNTIF(F22:V22,"P")</f>
        <v>12</v>
      </c>
      <c r="X22" s="5">
        <f>COUNTIF(F22:V22,"A")</f>
        <v>0</v>
      </c>
      <c r="Y22" s="14"/>
      <c r="Z22" s="14"/>
      <c r="AA22" s="14"/>
      <c r="AB22" s="14"/>
    </row>
    <row r="23" spans="1:28" ht="16.5" x14ac:dyDescent="0.25">
      <c r="A23" s="9">
        <v>19</v>
      </c>
      <c r="B23" s="9">
        <v>857</v>
      </c>
      <c r="C23" s="24" t="s">
        <v>634</v>
      </c>
      <c r="D23" s="24" t="s">
        <v>301</v>
      </c>
      <c r="E23" s="8" t="s">
        <v>726</v>
      </c>
      <c r="F23" s="8" t="s">
        <v>804</v>
      </c>
      <c r="G23" s="8" t="s">
        <v>804</v>
      </c>
      <c r="H23" s="160"/>
      <c r="I23" s="8" t="s">
        <v>804</v>
      </c>
      <c r="J23" s="8" t="s">
        <v>804</v>
      </c>
      <c r="K23" s="94" t="s">
        <v>804</v>
      </c>
      <c r="L23" s="8" t="s">
        <v>804</v>
      </c>
      <c r="M23" s="8" t="s">
        <v>804</v>
      </c>
      <c r="N23" s="163"/>
      <c r="O23" s="160"/>
      <c r="P23" s="8" t="s">
        <v>804</v>
      </c>
      <c r="Q23" s="8" t="s">
        <v>804</v>
      </c>
      <c r="R23" s="94" t="s">
        <v>804</v>
      </c>
      <c r="S23" s="163"/>
      <c r="T23" s="8" t="s">
        <v>804</v>
      </c>
      <c r="U23" s="8" t="s">
        <v>804</v>
      </c>
      <c r="V23" s="160"/>
      <c r="W23" s="5">
        <f>COUNTIF(F23:V23,"P")</f>
        <v>12</v>
      </c>
      <c r="X23" s="5">
        <f>COUNTIF(F23:V23,"A")</f>
        <v>0</v>
      </c>
      <c r="Y23" s="14"/>
      <c r="Z23" s="14"/>
      <c r="AA23" s="14"/>
      <c r="AB23" s="14"/>
    </row>
    <row r="24" spans="1:28" ht="16.5" x14ac:dyDescent="0.25">
      <c r="A24" s="9">
        <v>1</v>
      </c>
      <c r="B24" s="9">
        <v>730</v>
      </c>
      <c r="C24" s="24" t="s">
        <v>637</v>
      </c>
      <c r="D24" s="24" t="s">
        <v>22</v>
      </c>
      <c r="E24" s="8" t="s">
        <v>726</v>
      </c>
      <c r="F24" s="8" t="s">
        <v>803</v>
      </c>
      <c r="G24" s="8" t="s">
        <v>804</v>
      </c>
      <c r="H24" s="160"/>
      <c r="I24" s="8" t="s">
        <v>803</v>
      </c>
      <c r="J24" s="8" t="s">
        <v>803</v>
      </c>
      <c r="K24" s="94" t="s">
        <v>804</v>
      </c>
      <c r="L24" s="8" t="s">
        <v>804</v>
      </c>
      <c r="M24" s="8" t="s">
        <v>803</v>
      </c>
      <c r="N24" s="163"/>
      <c r="O24" s="160"/>
      <c r="P24" s="8" t="s">
        <v>803</v>
      </c>
      <c r="Q24" s="8" t="s">
        <v>804</v>
      </c>
      <c r="R24" s="94" t="s">
        <v>803</v>
      </c>
      <c r="S24" s="163"/>
      <c r="T24" s="8" t="s">
        <v>804</v>
      </c>
      <c r="U24" s="8" t="s">
        <v>804</v>
      </c>
      <c r="V24" s="160"/>
      <c r="W24" s="5">
        <f>COUNTIF(F24:V24,"P")</f>
        <v>6</v>
      </c>
      <c r="X24" s="5">
        <f>COUNTIF(F24:V24,"A")</f>
        <v>6</v>
      </c>
      <c r="Y24" s="14"/>
      <c r="Z24" s="14"/>
      <c r="AA24" s="14"/>
      <c r="AB24" s="14"/>
    </row>
    <row r="25" spans="1:28" ht="16.5" x14ac:dyDescent="0.25">
      <c r="A25" s="9">
        <v>2</v>
      </c>
      <c r="B25" s="9">
        <v>732</v>
      </c>
      <c r="C25" s="24" t="s">
        <v>638</v>
      </c>
      <c r="D25" s="24" t="s">
        <v>446</v>
      </c>
      <c r="E25" s="8" t="s">
        <v>726</v>
      </c>
      <c r="F25" s="8" t="s">
        <v>803</v>
      </c>
      <c r="G25" s="8" t="s">
        <v>804</v>
      </c>
      <c r="H25" s="160"/>
      <c r="I25" s="8" t="s">
        <v>803</v>
      </c>
      <c r="J25" s="8" t="s">
        <v>804</v>
      </c>
      <c r="K25" s="94" t="s">
        <v>804</v>
      </c>
      <c r="L25" s="8" t="s">
        <v>804</v>
      </c>
      <c r="M25" s="8" t="s">
        <v>804</v>
      </c>
      <c r="N25" s="163"/>
      <c r="O25" s="160"/>
      <c r="P25" s="8" t="s">
        <v>803</v>
      </c>
      <c r="Q25" s="8" t="s">
        <v>803</v>
      </c>
      <c r="R25" s="94" t="s">
        <v>803</v>
      </c>
      <c r="S25" s="163"/>
      <c r="T25" s="8" t="s">
        <v>804</v>
      </c>
      <c r="U25" s="8" t="s">
        <v>803</v>
      </c>
      <c r="V25" s="160"/>
      <c r="W25" s="5">
        <f>COUNTIF(F25:V25,"P")</f>
        <v>6</v>
      </c>
      <c r="X25" s="5">
        <f>COUNTIF(F25:V25,"A")</f>
        <v>6</v>
      </c>
      <c r="Y25" s="14"/>
      <c r="Z25" s="14"/>
      <c r="AA25" s="14"/>
      <c r="AB25" s="14"/>
    </row>
    <row r="26" spans="1:28" ht="16.5" x14ac:dyDescent="0.25">
      <c r="A26" s="9">
        <v>3</v>
      </c>
      <c r="B26" s="9">
        <v>728</v>
      </c>
      <c r="C26" s="24" t="s">
        <v>639</v>
      </c>
      <c r="D26" s="24" t="s">
        <v>475</v>
      </c>
      <c r="E26" s="8" t="s">
        <v>726</v>
      </c>
      <c r="F26" s="8" t="s">
        <v>804</v>
      </c>
      <c r="G26" s="8" t="s">
        <v>804</v>
      </c>
      <c r="H26" s="160"/>
      <c r="I26" s="8" t="s">
        <v>804</v>
      </c>
      <c r="J26" s="8" t="s">
        <v>804</v>
      </c>
      <c r="K26" s="94" t="s">
        <v>804</v>
      </c>
      <c r="L26" s="8" t="s">
        <v>804</v>
      </c>
      <c r="M26" s="8" t="s">
        <v>804</v>
      </c>
      <c r="N26" s="163"/>
      <c r="O26" s="160"/>
      <c r="P26" s="8" t="s">
        <v>804</v>
      </c>
      <c r="Q26" s="8" t="s">
        <v>804</v>
      </c>
      <c r="R26" s="94" t="s">
        <v>804</v>
      </c>
      <c r="S26" s="163"/>
      <c r="T26" s="8" t="s">
        <v>804</v>
      </c>
      <c r="U26" s="8" t="s">
        <v>804</v>
      </c>
      <c r="V26" s="160"/>
      <c r="W26" s="5">
        <f>COUNTIF(F26:V26,"P")</f>
        <v>12</v>
      </c>
      <c r="X26" s="5">
        <f>COUNTIF(F26:V26,"A")</f>
        <v>0</v>
      </c>
      <c r="Y26" s="14"/>
      <c r="Z26" s="14"/>
      <c r="AA26" s="14"/>
      <c r="AB26" s="14"/>
    </row>
    <row r="27" spans="1:28" ht="16.5" x14ac:dyDescent="0.25">
      <c r="A27" s="9">
        <v>4</v>
      </c>
      <c r="B27" s="9">
        <v>760</v>
      </c>
      <c r="C27" s="24" t="s">
        <v>640</v>
      </c>
      <c r="D27" s="24" t="s">
        <v>565</v>
      </c>
      <c r="E27" s="8" t="s">
        <v>726</v>
      </c>
      <c r="F27" s="8" t="s">
        <v>804</v>
      </c>
      <c r="G27" s="8" t="s">
        <v>804</v>
      </c>
      <c r="H27" s="160"/>
      <c r="I27" s="8" t="s">
        <v>804</v>
      </c>
      <c r="J27" s="8" t="s">
        <v>804</v>
      </c>
      <c r="K27" s="94" t="s">
        <v>804</v>
      </c>
      <c r="L27" s="8" t="s">
        <v>804</v>
      </c>
      <c r="M27" s="8" t="s">
        <v>804</v>
      </c>
      <c r="N27" s="163"/>
      <c r="O27" s="160"/>
      <c r="P27" s="8" t="s">
        <v>804</v>
      </c>
      <c r="Q27" s="8" t="s">
        <v>803</v>
      </c>
      <c r="R27" s="94" t="s">
        <v>804</v>
      </c>
      <c r="S27" s="163"/>
      <c r="T27" s="8" t="s">
        <v>804</v>
      </c>
      <c r="U27" s="8" t="s">
        <v>804</v>
      </c>
      <c r="V27" s="160"/>
      <c r="W27" s="5">
        <f>COUNTIF(F27:V27,"P")</f>
        <v>11</v>
      </c>
      <c r="X27" s="5">
        <f>COUNTIF(F27:V27,"A")</f>
        <v>1</v>
      </c>
      <c r="Y27" s="14"/>
      <c r="Z27" s="14"/>
      <c r="AA27" s="14"/>
      <c r="AB27" s="14"/>
    </row>
    <row r="28" spans="1:28" ht="16.5" x14ac:dyDescent="0.25">
      <c r="A28" s="9">
        <v>5</v>
      </c>
      <c r="B28" s="9">
        <v>741</v>
      </c>
      <c r="C28" s="24" t="s">
        <v>641</v>
      </c>
      <c r="D28" s="24" t="s">
        <v>533</v>
      </c>
      <c r="E28" s="8" t="s">
        <v>726</v>
      </c>
      <c r="F28" s="8" t="s">
        <v>803</v>
      </c>
      <c r="G28" s="8" t="s">
        <v>803</v>
      </c>
      <c r="H28" s="160"/>
      <c r="I28" s="8" t="s">
        <v>803</v>
      </c>
      <c r="J28" s="8" t="s">
        <v>803</v>
      </c>
      <c r="K28" s="94" t="s">
        <v>803</v>
      </c>
      <c r="L28" s="8" t="s">
        <v>803</v>
      </c>
      <c r="M28" s="8" t="s">
        <v>803</v>
      </c>
      <c r="N28" s="163"/>
      <c r="O28" s="160"/>
      <c r="P28" s="8" t="s">
        <v>803</v>
      </c>
      <c r="Q28" s="8" t="s">
        <v>803</v>
      </c>
      <c r="R28" s="94" t="s">
        <v>803</v>
      </c>
      <c r="S28" s="163"/>
      <c r="T28" s="8" t="s">
        <v>804</v>
      </c>
      <c r="U28" s="8" t="s">
        <v>804</v>
      </c>
      <c r="V28" s="160"/>
      <c r="W28" s="5">
        <f>COUNTIF(F28:V28,"P")</f>
        <v>2</v>
      </c>
      <c r="X28" s="5">
        <f>COUNTIF(F28:V28,"A")</f>
        <v>10</v>
      </c>
      <c r="Y28" s="14"/>
      <c r="Z28" s="14"/>
      <c r="AA28" s="14"/>
      <c r="AB28" s="14"/>
    </row>
    <row r="29" spans="1:28" ht="16.5" x14ac:dyDescent="0.25">
      <c r="A29" s="9">
        <v>6</v>
      </c>
      <c r="B29" s="9">
        <v>744</v>
      </c>
      <c r="C29" s="27" t="s">
        <v>642</v>
      </c>
      <c r="D29" s="27" t="s">
        <v>133</v>
      </c>
      <c r="E29" s="8" t="s">
        <v>726</v>
      </c>
      <c r="F29" s="8" t="s">
        <v>804</v>
      </c>
      <c r="G29" s="8" t="s">
        <v>804</v>
      </c>
      <c r="H29" s="160"/>
      <c r="I29" s="8" t="s">
        <v>804</v>
      </c>
      <c r="J29" s="8" t="s">
        <v>804</v>
      </c>
      <c r="K29" s="94" t="s">
        <v>804</v>
      </c>
      <c r="L29" s="8" t="s">
        <v>804</v>
      </c>
      <c r="M29" s="8" t="s">
        <v>804</v>
      </c>
      <c r="N29" s="163"/>
      <c r="O29" s="160"/>
      <c r="P29" s="8" t="s">
        <v>804</v>
      </c>
      <c r="Q29" s="8" t="s">
        <v>804</v>
      </c>
      <c r="R29" s="94" t="s">
        <v>804</v>
      </c>
      <c r="S29" s="163"/>
      <c r="T29" s="8" t="s">
        <v>804</v>
      </c>
      <c r="U29" s="8" t="s">
        <v>804</v>
      </c>
      <c r="V29" s="160"/>
      <c r="W29" s="5">
        <f>COUNTIF(F29:V29,"P")</f>
        <v>12</v>
      </c>
      <c r="X29" s="5">
        <f>COUNTIF(F29:V29,"A")</f>
        <v>0</v>
      </c>
      <c r="Y29" s="14"/>
      <c r="Z29" s="14"/>
      <c r="AA29" s="14"/>
      <c r="AB29" s="14"/>
    </row>
    <row r="30" spans="1:28" ht="16.5" x14ac:dyDescent="0.25">
      <c r="A30" s="9">
        <v>7</v>
      </c>
      <c r="B30" s="9">
        <v>850</v>
      </c>
      <c r="C30" s="24" t="s">
        <v>643</v>
      </c>
      <c r="D30" s="24" t="s">
        <v>644</v>
      </c>
      <c r="E30" s="8" t="s">
        <v>726</v>
      </c>
      <c r="F30" s="8" t="s">
        <v>804</v>
      </c>
      <c r="G30" s="8" t="s">
        <v>804</v>
      </c>
      <c r="H30" s="160"/>
      <c r="I30" s="8" t="s">
        <v>804</v>
      </c>
      <c r="J30" s="8" t="s">
        <v>804</v>
      </c>
      <c r="K30" s="94" t="s">
        <v>804</v>
      </c>
      <c r="L30" s="8" t="s">
        <v>804</v>
      </c>
      <c r="M30" s="8" t="s">
        <v>804</v>
      </c>
      <c r="N30" s="163"/>
      <c r="O30" s="160"/>
      <c r="P30" s="8" t="s">
        <v>804</v>
      </c>
      <c r="Q30" s="8" t="s">
        <v>804</v>
      </c>
      <c r="R30" s="94" t="s">
        <v>804</v>
      </c>
      <c r="S30" s="163"/>
      <c r="T30" s="8" t="s">
        <v>804</v>
      </c>
      <c r="U30" s="8" t="s">
        <v>804</v>
      </c>
      <c r="V30" s="160"/>
      <c r="W30" s="5">
        <f>COUNTIF(F30:V30,"P")</f>
        <v>12</v>
      </c>
      <c r="X30" s="5">
        <f>COUNTIF(F30:V30,"A")</f>
        <v>0</v>
      </c>
      <c r="Y30" s="14"/>
      <c r="Z30" s="14"/>
      <c r="AA30" s="14"/>
      <c r="AB30" s="14"/>
    </row>
    <row r="31" spans="1:28" ht="16.5" x14ac:dyDescent="0.25">
      <c r="A31" s="9">
        <v>8</v>
      </c>
      <c r="B31" s="9">
        <v>875</v>
      </c>
      <c r="C31" s="14" t="s">
        <v>645</v>
      </c>
      <c r="D31" s="14" t="s">
        <v>646</v>
      </c>
      <c r="E31" s="8" t="s">
        <v>726</v>
      </c>
      <c r="F31" s="8" t="s">
        <v>804</v>
      </c>
      <c r="G31" s="8" t="s">
        <v>804</v>
      </c>
      <c r="H31" s="160"/>
      <c r="I31" s="8" t="s">
        <v>804</v>
      </c>
      <c r="J31" s="8" t="s">
        <v>804</v>
      </c>
      <c r="K31" s="94" t="s">
        <v>804</v>
      </c>
      <c r="L31" s="8" t="s">
        <v>804</v>
      </c>
      <c r="M31" s="8" t="s">
        <v>804</v>
      </c>
      <c r="N31" s="163"/>
      <c r="O31" s="160"/>
      <c r="P31" s="8" t="s">
        <v>804</v>
      </c>
      <c r="Q31" s="8" t="s">
        <v>804</v>
      </c>
      <c r="R31" s="94" t="s">
        <v>804</v>
      </c>
      <c r="S31" s="163"/>
      <c r="T31" s="8" t="s">
        <v>804</v>
      </c>
      <c r="U31" s="8" t="s">
        <v>804</v>
      </c>
      <c r="V31" s="160"/>
      <c r="W31" s="5">
        <f>COUNTIF(F31:V31,"P")</f>
        <v>12</v>
      </c>
      <c r="X31" s="5">
        <f>COUNTIF(F31:V31,"A")</f>
        <v>0</v>
      </c>
      <c r="Y31" s="14"/>
      <c r="Z31" s="14"/>
      <c r="AA31" s="14"/>
      <c r="AB31" s="14"/>
    </row>
    <row r="32" spans="1:28" ht="16.5" x14ac:dyDescent="0.25">
      <c r="A32" s="9">
        <v>9</v>
      </c>
      <c r="B32" s="9">
        <v>727</v>
      </c>
      <c r="C32" s="14" t="s">
        <v>647</v>
      </c>
      <c r="D32" s="14" t="s">
        <v>648</v>
      </c>
      <c r="E32" s="8" t="s">
        <v>726</v>
      </c>
      <c r="F32" s="8" t="s">
        <v>804</v>
      </c>
      <c r="G32" s="8" t="s">
        <v>804</v>
      </c>
      <c r="H32" s="160"/>
      <c r="I32" s="8" t="s">
        <v>804</v>
      </c>
      <c r="J32" s="8" t="s">
        <v>804</v>
      </c>
      <c r="K32" s="94" t="s">
        <v>804</v>
      </c>
      <c r="L32" s="8" t="s">
        <v>804</v>
      </c>
      <c r="M32" s="8" t="s">
        <v>804</v>
      </c>
      <c r="N32" s="163"/>
      <c r="O32" s="160"/>
      <c r="P32" s="8" t="s">
        <v>804</v>
      </c>
      <c r="Q32" s="8" t="s">
        <v>804</v>
      </c>
      <c r="R32" s="94" t="s">
        <v>804</v>
      </c>
      <c r="S32" s="163"/>
      <c r="T32" s="8" t="s">
        <v>804</v>
      </c>
      <c r="U32" s="8" t="s">
        <v>804</v>
      </c>
      <c r="V32" s="160"/>
      <c r="W32" s="5">
        <f>COUNTIF(F32:V32,"P")</f>
        <v>12</v>
      </c>
      <c r="X32" s="5">
        <f>COUNTIF(F32:V32,"A")</f>
        <v>0</v>
      </c>
      <c r="Y32" s="14"/>
      <c r="Z32" s="14"/>
      <c r="AA32" s="14"/>
      <c r="AB32" s="14"/>
    </row>
    <row r="33" spans="1:28" ht="16.5" x14ac:dyDescent="0.25">
      <c r="A33" s="9">
        <v>10</v>
      </c>
      <c r="B33" s="9">
        <v>880</v>
      </c>
      <c r="C33" s="14" t="s">
        <v>649</v>
      </c>
      <c r="D33" s="14" t="s">
        <v>650</v>
      </c>
      <c r="E33" s="8" t="s">
        <v>726</v>
      </c>
      <c r="F33" s="8" t="s">
        <v>804</v>
      </c>
      <c r="G33" s="8" t="s">
        <v>803</v>
      </c>
      <c r="H33" s="160"/>
      <c r="I33" s="8" t="s">
        <v>804</v>
      </c>
      <c r="J33" s="8" t="s">
        <v>804</v>
      </c>
      <c r="K33" s="94" t="s">
        <v>804</v>
      </c>
      <c r="L33" s="8" t="s">
        <v>804</v>
      </c>
      <c r="M33" s="8" t="s">
        <v>804</v>
      </c>
      <c r="N33" s="163"/>
      <c r="O33" s="160"/>
      <c r="P33" s="8" t="s">
        <v>804</v>
      </c>
      <c r="Q33" s="8" t="s">
        <v>804</v>
      </c>
      <c r="R33" s="94" t="s">
        <v>804</v>
      </c>
      <c r="S33" s="163"/>
      <c r="T33" s="8" t="s">
        <v>804</v>
      </c>
      <c r="U33" s="8" t="s">
        <v>804</v>
      </c>
      <c r="V33" s="160"/>
      <c r="W33" s="5">
        <f>COUNTIF(F33:V33,"P")</f>
        <v>11</v>
      </c>
      <c r="X33" s="5">
        <f>COUNTIF(F33:V33,"A")</f>
        <v>1</v>
      </c>
      <c r="Y33" s="14"/>
      <c r="Z33" s="14"/>
      <c r="AA33" s="14"/>
      <c r="AB33" s="14"/>
    </row>
    <row r="34" spans="1:28" ht="16.5" x14ac:dyDescent="0.25">
      <c r="A34" s="9">
        <v>11</v>
      </c>
      <c r="B34" s="9">
        <v>777</v>
      </c>
      <c r="C34" s="14" t="s">
        <v>651</v>
      </c>
      <c r="D34" s="14" t="s">
        <v>652</v>
      </c>
      <c r="E34" s="8" t="s">
        <v>726</v>
      </c>
      <c r="F34" s="8" t="s">
        <v>804</v>
      </c>
      <c r="G34" s="8" t="s">
        <v>804</v>
      </c>
      <c r="H34" s="160"/>
      <c r="I34" s="8" t="s">
        <v>804</v>
      </c>
      <c r="J34" s="8" t="s">
        <v>804</v>
      </c>
      <c r="K34" s="94" t="s">
        <v>804</v>
      </c>
      <c r="L34" s="8" t="s">
        <v>804</v>
      </c>
      <c r="M34" s="8" t="s">
        <v>804</v>
      </c>
      <c r="N34" s="163"/>
      <c r="O34" s="160"/>
      <c r="P34" s="8" t="s">
        <v>804</v>
      </c>
      <c r="Q34" s="8" t="s">
        <v>804</v>
      </c>
      <c r="R34" s="94" t="s">
        <v>804</v>
      </c>
      <c r="S34" s="163"/>
      <c r="T34" s="8" t="s">
        <v>804</v>
      </c>
      <c r="U34" s="8" t="s">
        <v>804</v>
      </c>
      <c r="V34" s="160"/>
      <c r="W34" s="5">
        <f>COUNTIF(F34:V34,"P")</f>
        <v>12</v>
      </c>
      <c r="X34" s="5">
        <f>COUNTIF(F34:V34,"A")</f>
        <v>0</v>
      </c>
      <c r="Y34" s="14"/>
      <c r="Z34" s="14"/>
      <c r="AA34" s="14"/>
      <c r="AB34" s="14"/>
    </row>
    <row r="35" spans="1:28" ht="16.5" x14ac:dyDescent="0.25">
      <c r="A35" s="9">
        <v>12</v>
      </c>
      <c r="B35" s="9">
        <v>873</v>
      </c>
      <c r="C35" s="14" t="s">
        <v>653</v>
      </c>
      <c r="D35" s="14" t="s">
        <v>34</v>
      </c>
      <c r="E35" s="8" t="s">
        <v>726</v>
      </c>
      <c r="F35" s="8" t="s">
        <v>804</v>
      </c>
      <c r="G35" s="8" t="s">
        <v>803</v>
      </c>
      <c r="H35" s="160"/>
      <c r="I35" s="8" t="s">
        <v>804</v>
      </c>
      <c r="J35" s="8" t="s">
        <v>804</v>
      </c>
      <c r="K35" s="94" t="s">
        <v>804</v>
      </c>
      <c r="L35" s="8" t="s">
        <v>804</v>
      </c>
      <c r="M35" s="8" t="s">
        <v>803</v>
      </c>
      <c r="N35" s="163"/>
      <c r="O35" s="160"/>
      <c r="P35" s="8" t="s">
        <v>804</v>
      </c>
      <c r="Q35" s="8" t="s">
        <v>804</v>
      </c>
      <c r="R35" s="94" t="s">
        <v>804</v>
      </c>
      <c r="S35" s="163"/>
      <c r="T35" s="8" t="s">
        <v>804</v>
      </c>
      <c r="U35" s="8" t="s">
        <v>804</v>
      </c>
      <c r="V35" s="160"/>
      <c r="W35" s="5">
        <f>COUNTIF(F35:V35,"P")</f>
        <v>10</v>
      </c>
      <c r="X35" s="5">
        <f>COUNTIF(F35:V35,"A")</f>
        <v>2</v>
      </c>
      <c r="Y35" s="14"/>
      <c r="Z35" s="14"/>
      <c r="AA35" s="14"/>
      <c r="AB35" s="14"/>
    </row>
    <row r="36" spans="1:28" ht="16.5" x14ac:dyDescent="0.25">
      <c r="A36" s="9">
        <v>13</v>
      </c>
      <c r="B36" s="9">
        <v>909</v>
      </c>
      <c r="C36" s="14" t="s">
        <v>654</v>
      </c>
      <c r="D36" s="14" t="s">
        <v>655</v>
      </c>
      <c r="E36" s="8" t="s">
        <v>726</v>
      </c>
      <c r="F36" s="8" t="s">
        <v>804</v>
      </c>
      <c r="G36" s="8" t="s">
        <v>804</v>
      </c>
      <c r="H36" s="160"/>
      <c r="I36" s="8" t="s">
        <v>804</v>
      </c>
      <c r="J36" s="8" t="s">
        <v>804</v>
      </c>
      <c r="K36" s="94" t="s">
        <v>804</v>
      </c>
      <c r="L36" s="8" t="s">
        <v>804</v>
      </c>
      <c r="M36" s="8" t="s">
        <v>804</v>
      </c>
      <c r="N36" s="163"/>
      <c r="O36" s="160"/>
      <c r="P36" s="8" t="s">
        <v>804</v>
      </c>
      <c r="Q36" s="8" t="s">
        <v>804</v>
      </c>
      <c r="R36" s="94" t="s">
        <v>804</v>
      </c>
      <c r="S36" s="163"/>
      <c r="T36" s="8" t="s">
        <v>804</v>
      </c>
      <c r="U36" s="8" t="s">
        <v>804</v>
      </c>
      <c r="V36" s="160"/>
      <c r="W36" s="5">
        <f>COUNTIF(F36:V36,"P")</f>
        <v>12</v>
      </c>
      <c r="X36" s="5">
        <f>COUNTIF(F36:V36,"A")</f>
        <v>0</v>
      </c>
      <c r="Y36" s="14"/>
      <c r="Z36" s="14"/>
      <c r="AA36" s="14"/>
      <c r="AB36" s="14"/>
    </row>
    <row r="37" spans="1:28" ht="16.5" x14ac:dyDescent="0.25">
      <c r="A37" s="9">
        <v>14</v>
      </c>
      <c r="B37" s="9">
        <v>854</v>
      </c>
      <c r="C37" s="14" t="s">
        <v>656</v>
      </c>
      <c r="D37" s="14" t="s">
        <v>831</v>
      </c>
      <c r="E37" s="8" t="s">
        <v>726</v>
      </c>
      <c r="F37" s="8" t="s">
        <v>827</v>
      </c>
      <c r="G37" s="8" t="s">
        <v>827</v>
      </c>
      <c r="H37" s="160"/>
      <c r="I37" s="8" t="s">
        <v>827</v>
      </c>
      <c r="J37" s="8" t="s">
        <v>827</v>
      </c>
      <c r="K37" s="94" t="s">
        <v>827</v>
      </c>
      <c r="L37" s="8" t="s">
        <v>827</v>
      </c>
      <c r="M37" s="8" t="s">
        <v>827</v>
      </c>
      <c r="N37" s="163"/>
      <c r="O37" s="160"/>
      <c r="P37" s="8" t="s">
        <v>827</v>
      </c>
      <c r="Q37" s="8" t="s">
        <v>804</v>
      </c>
      <c r="R37" s="94" t="s">
        <v>804</v>
      </c>
      <c r="S37" s="163"/>
      <c r="T37" s="8" t="s">
        <v>804</v>
      </c>
      <c r="U37" s="8" t="s">
        <v>804</v>
      </c>
      <c r="V37" s="160"/>
      <c r="W37" s="5">
        <f>COUNTIF(F37:V37,"P")</f>
        <v>4</v>
      </c>
      <c r="X37" s="5">
        <f>COUNTIF(F37:V37,"A")</f>
        <v>0</v>
      </c>
      <c r="Y37" s="14"/>
      <c r="Z37" s="14"/>
      <c r="AA37" s="14"/>
      <c r="AB37" s="14"/>
    </row>
    <row r="38" spans="1:28" ht="16.5" x14ac:dyDescent="0.25">
      <c r="A38" s="9">
        <v>15</v>
      </c>
      <c r="B38" s="9"/>
      <c r="C38" s="14" t="s">
        <v>832</v>
      </c>
      <c r="D38" s="14" t="s">
        <v>490</v>
      </c>
      <c r="E38" s="8" t="s">
        <v>726</v>
      </c>
      <c r="F38" s="8" t="s">
        <v>729</v>
      </c>
      <c r="G38" s="8" t="s">
        <v>729</v>
      </c>
      <c r="H38" s="160"/>
      <c r="I38" s="8" t="s">
        <v>729</v>
      </c>
      <c r="J38" s="8" t="s">
        <v>729</v>
      </c>
      <c r="K38" s="94" t="s">
        <v>729</v>
      </c>
      <c r="L38" s="8" t="s">
        <v>729</v>
      </c>
      <c r="M38" s="8" t="s">
        <v>729</v>
      </c>
      <c r="N38" s="163"/>
      <c r="O38" s="160"/>
      <c r="P38" s="8" t="s">
        <v>729</v>
      </c>
      <c r="Q38" s="8" t="s">
        <v>804</v>
      </c>
      <c r="R38" s="94" t="s">
        <v>729</v>
      </c>
      <c r="S38" s="163"/>
      <c r="T38" s="8" t="s">
        <v>804</v>
      </c>
      <c r="U38" s="8" t="s">
        <v>804</v>
      </c>
      <c r="V38" s="160"/>
      <c r="W38" s="5">
        <f>COUNTIF(F38:V38,"P")</f>
        <v>12</v>
      </c>
      <c r="X38" s="5">
        <f>COUNTIF(F38:V38,"A")</f>
        <v>0</v>
      </c>
      <c r="Y38" s="14"/>
      <c r="Z38" s="14"/>
      <c r="AA38" s="14"/>
      <c r="AB38" s="14"/>
    </row>
    <row r="39" spans="1:28" ht="14.1" customHeight="1" x14ac:dyDescent="0.25">
      <c r="A39" s="9">
        <v>16</v>
      </c>
      <c r="B39" s="9">
        <v>902</v>
      </c>
      <c r="C39" s="14" t="s">
        <v>798</v>
      </c>
      <c r="D39" s="14" t="s">
        <v>658</v>
      </c>
      <c r="E39" s="8" t="s">
        <v>726</v>
      </c>
      <c r="F39" s="94" t="s">
        <v>804</v>
      </c>
      <c r="G39" s="8" t="s">
        <v>803</v>
      </c>
      <c r="H39" s="160"/>
      <c r="I39" s="94" t="s">
        <v>804</v>
      </c>
      <c r="J39" s="8" t="s">
        <v>803</v>
      </c>
      <c r="K39" s="94" t="s">
        <v>804</v>
      </c>
      <c r="L39" s="94" t="s">
        <v>804</v>
      </c>
      <c r="M39" s="94" t="s">
        <v>804</v>
      </c>
      <c r="N39" s="163"/>
      <c r="O39" s="160"/>
      <c r="P39" s="94" t="s">
        <v>804</v>
      </c>
      <c r="Q39" s="8" t="s">
        <v>803</v>
      </c>
      <c r="R39" s="94" t="s">
        <v>804</v>
      </c>
      <c r="S39" s="163"/>
      <c r="T39" s="8" t="s">
        <v>804</v>
      </c>
      <c r="U39" s="8" t="s">
        <v>804</v>
      </c>
      <c r="V39" s="160"/>
      <c r="W39" s="14">
        <f>COUNTIF(F39:V39,"P")</f>
        <v>9</v>
      </c>
      <c r="X39" s="14">
        <f>COUNTIF(F39:V39,"A")</f>
        <v>3</v>
      </c>
      <c r="Y39" s="14"/>
      <c r="Z39" s="14"/>
      <c r="AA39" s="14"/>
      <c r="AB39" s="14"/>
    </row>
  </sheetData>
  <mergeCells count="16">
    <mergeCell ref="A1:X1"/>
    <mergeCell ref="A2:X2"/>
    <mergeCell ref="A3:A4"/>
    <mergeCell ref="C3:C4"/>
    <mergeCell ref="D3:D4"/>
    <mergeCell ref="E3:E4"/>
    <mergeCell ref="W3:W4"/>
    <mergeCell ref="X3:X4"/>
    <mergeCell ref="B3:B4"/>
    <mergeCell ref="Y3:Z3"/>
    <mergeCell ref="Y11:AB11"/>
    <mergeCell ref="H5:H39"/>
    <mergeCell ref="O5:O39"/>
    <mergeCell ref="V5:V39"/>
    <mergeCell ref="N5:N39"/>
    <mergeCell ref="S5:S39"/>
  </mergeCells>
  <conditionalFormatting sqref="F5:M5 O5:P5">
    <cfRule type="cellIs" dxfId="107" priority="63" operator="equal">
      <formula>"L"</formula>
    </cfRule>
    <cfRule type="cellIs" dxfId="106" priority="64" operator="equal">
      <formula>"A"</formula>
    </cfRule>
    <cfRule type="cellIs" dxfId="105" priority="65" operator="equal">
      <formula>"P"</formula>
    </cfRule>
    <cfRule type="expression" dxfId="104" priority="66">
      <formula>F$3="SUN"</formula>
    </cfRule>
    <cfRule type="expression" dxfId="103" priority="67">
      <formula>F$4=TODAY()</formula>
    </cfRule>
  </conditionalFormatting>
  <conditionalFormatting sqref="Q5:R39 G6:G39 J6:M39 F4:V4 T5:U39">
    <cfRule type="expression" dxfId="102" priority="72">
      <formula>F$4=TODAY()</formula>
    </cfRule>
  </conditionalFormatting>
  <conditionalFormatting sqref="Q5:R39 G6:G39 J6:M39 F4:V4 T5:U39">
    <cfRule type="expression" dxfId="101" priority="71">
      <formula>F$3="SUN"</formula>
    </cfRule>
  </conditionalFormatting>
  <conditionalFormatting sqref="Q5:R39 G6:G39 J6:M39 T5:U39">
    <cfRule type="cellIs" dxfId="100" priority="68" operator="equal">
      <formula>"L"</formula>
    </cfRule>
    <cfRule type="cellIs" dxfId="99" priority="69" operator="equal">
      <formula>"A"</formula>
    </cfRule>
    <cfRule type="cellIs" dxfId="98" priority="70" operator="equal">
      <formula>"P"</formula>
    </cfRule>
  </conditionalFormatting>
  <conditionalFormatting sqref="W3:X3 W5:X38">
    <cfRule type="expression" dxfId="97" priority="269">
      <formula>#REF!="Sun"</formula>
    </cfRule>
  </conditionalFormatting>
  <conditionalFormatting sqref="Y5:Y9">
    <cfRule type="expression" dxfId="96" priority="226">
      <formula>Y$3="Sun"</formula>
    </cfRule>
  </conditionalFormatting>
  <conditionalFormatting sqref="Y12:Y14">
    <cfRule type="expression" dxfId="95" priority="224">
      <formula>Y$3="Sun"</formula>
    </cfRule>
  </conditionalFormatting>
  <conditionalFormatting sqref="Y18:Y20">
    <cfRule type="expression" dxfId="94" priority="223">
      <formula>Y$3="Sun"</formula>
    </cfRule>
  </conditionalFormatting>
  <conditionalFormatting sqref="Y4:Z4">
    <cfRule type="expression" dxfId="93" priority="227">
      <formula>Y$3="Sun"</formula>
    </cfRule>
  </conditionalFormatting>
  <conditionalFormatting sqref="Z12:AB12 Z18:AB18">
    <cfRule type="expression" dxfId="92" priority="228">
      <formula>Z$3="Sun"</formula>
    </cfRule>
  </conditionalFormatting>
  <conditionalFormatting sqref="AB19">
    <cfRule type="expression" dxfId="91" priority="225">
      <formula>AB$3="Sun"</formula>
    </cfRule>
  </conditionalFormatting>
  <conditionalFormatting sqref="F3:V3">
    <cfRule type="expression" dxfId="90" priority="41">
      <formula>F$4=TODAY()</formula>
    </cfRule>
    <cfRule type="expression" dxfId="89" priority="42">
      <formula>F$3="SUN"</formula>
    </cfRule>
  </conditionalFormatting>
  <conditionalFormatting sqref="V5">
    <cfRule type="cellIs" dxfId="88" priority="36" operator="equal">
      <formula>"L"</formula>
    </cfRule>
    <cfRule type="cellIs" dxfId="87" priority="37" operator="equal">
      <formula>"A"</formula>
    </cfRule>
    <cfRule type="cellIs" dxfId="86" priority="38" operator="equal">
      <formula>"P"</formula>
    </cfRule>
    <cfRule type="expression" dxfId="85" priority="39">
      <formula>V$3="SUN"</formula>
    </cfRule>
    <cfRule type="expression" dxfId="84" priority="40">
      <formula>V$4=TODAY()</formula>
    </cfRule>
  </conditionalFormatting>
  <conditionalFormatting sqref="I6:I39">
    <cfRule type="expression" dxfId="83" priority="25">
      <formula>I$4=TODAY()</formula>
    </cfRule>
  </conditionalFormatting>
  <conditionalFormatting sqref="I6:I39">
    <cfRule type="expression" dxfId="82" priority="24">
      <formula>I$3="SUN"</formula>
    </cfRule>
  </conditionalFormatting>
  <conditionalFormatting sqref="I6:I39">
    <cfRule type="cellIs" dxfId="81" priority="21" operator="equal">
      <formula>"L"</formula>
    </cfRule>
    <cfRule type="cellIs" dxfId="80" priority="22" operator="equal">
      <formula>"A"</formula>
    </cfRule>
    <cfRule type="cellIs" dxfId="79" priority="23" operator="equal">
      <formula>"P"</formula>
    </cfRule>
  </conditionalFormatting>
  <conditionalFormatting sqref="P6:P39">
    <cfRule type="expression" dxfId="78" priority="20">
      <formula>P$4=TODAY()</formula>
    </cfRule>
  </conditionalFormatting>
  <conditionalFormatting sqref="P6:P39">
    <cfRule type="expression" dxfId="77" priority="19">
      <formula>P$3="SUN"</formula>
    </cfRule>
  </conditionalFormatting>
  <conditionalFormatting sqref="P6:P39">
    <cfRule type="cellIs" dxfId="76" priority="16" operator="equal">
      <formula>"L"</formula>
    </cfRule>
    <cfRule type="cellIs" dxfId="75" priority="17" operator="equal">
      <formula>"A"</formula>
    </cfRule>
    <cfRule type="cellIs" dxfId="74" priority="18" operator="equal">
      <formula>"P"</formula>
    </cfRule>
  </conditionalFormatting>
  <conditionalFormatting sqref="F6:F39">
    <cfRule type="expression" dxfId="73" priority="15">
      <formula>F$4=TODAY()</formula>
    </cfRule>
  </conditionalFormatting>
  <conditionalFormatting sqref="F6:F39">
    <cfRule type="expression" dxfId="72" priority="14">
      <formula>F$3="SUN"</formula>
    </cfRule>
  </conditionalFormatting>
  <conditionalFormatting sqref="F6:F39">
    <cfRule type="cellIs" dxfId="71" priority="11" operator="equal">
      <formula>"L"</formula>
    </cfRule>
    <cfRule type="cellIs" dxfId="70" priority="12" operator="equal">
      <formula>"A"</formula>
    </cfRule>
    <cfRule type="cellIs" dxfId="69" priority="13" operator="equal">
      <formula>"P"</formula>
    </cfRule>
  </conditionalFormatting>
  <conditionalFormatting sqref="N5">
    <cfRule type="expression" dxfId="68" priority="6">
      <formula>N$4=TODAY()</formula>
    </cfRule>
    <cfRule type="expression" dxfId="67" priority="7">
      <formula>N$3="SUN"</formula>
    </cfRule>
  </conditionalFormatting>
  <conditionalFormatting sqref="N5">
    <cfRule type="cellIs" dxfId="66" priority="8" operator="equal">
      <formula>"L"</formula>
    </cfRule>
    <cfRule type="cellIs" dxfId="65" priority="9" operator="equal">
      <formula>"A"</formula>
    </cfRule>
    <cfRule type="cellIs" dxfId="64" priority="10" operator="equal">
      <formula>"P"</formula>
    </cfRule>
  </conditionalFormatting>
  <conditionalFormatting sqref="S5">
    <cfRule type="expression" dxfId="63" priority="1">
      <formula>S$4=TODAY()</formula>
    </cfRule>
    <cfRule type="expression" dxfId="62" priority="2">
      <formula>S$3="SUN"</formula>
    </cfRule>
  </conditionalFormatting>
  <conditionalFormatting sqref="S5">
    <cfRule type="cellIs" dxfId="61" priority="3" operator="equal">
      <formula>"L"</formula>
    </cfRule>
    <cfRule type="cellIs" dxfId="60" priority="4" operator="equal">
      <formula>"A"</formula>
    </cfRule>
    <cfRule type="cellIs" dxfId="59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9"/>
  <sheetViews>
    <sheetView tabSelected="1" workbookViewId="0">
      <selection activeCell="S5" sqref="S5:S3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3" width="9.42578125" style="1" bestFit="1" customWidth="1"/>
    <col min="24" max="24" width="8.570312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140" t="s">
        <v>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7.25" x14ac:dyDescent="0.3">
      <c r="A2" s="143" t="s">
        <v>731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 spans="1:28" ht="15.75" x14ac:dyDescent="0.25">
      <c r="A3" s="153" t="s">
        <v>0</v>
      </c>
      <c r="B3" s="153" t="s">
        <v>713</v>
      </c>
      <c r="C3" s="153" t="s">
        <v>1</v>
      </c>
      <c r="D3" s="153" t="s">
        <v>2</v>
      </c>
      <c r="E3" s="153" t="s">
        <v>3</v>
      </c>
      <c r="F3" s="2" t="str">
        <f t="shared" ref="F3:V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133" t="s">
        <v>4</v>
      </c>
      <c r="X3" s="133" t="s">
        <v>5</v>
      </c>
      <c r="Y3" s="134" t="s">
        <v>119</v>
      </c>
      <c r="Z3" s="135"/>
      <c r="AA3" s="3"/>
      <c r="AB3" s="3"/>
    </row>
    <row r="4" spans="1:28" ht="36.75" x14ac:dyDescent="0.25">
      <c r="A4" s="154"/>
      <c r="B4" s="154"/>
      <c r="C4" s="154"/>
      <c r="D4" s="154"/>
      <c r="E4" s="154"/>
      <c r="F4" s="13">
        <v>45870</v>
      </c>
      <c r="G4" s="13">
        <v>45871</v>
      </c>
      <c r="H4" s="13">
        <v>45872</v>
      </c>
      <c r="I4" s="13">
        <v>45873</v>
      </c>
      <c r="J4" s="13">
        <v>45874</v>
      </c>
      <c r="K4" s="13">
        <v>45875</v>
      </c>
      <c r="L4" s="13">
        <v>45876</v>
      </c>
      <c r="M4" s="13">
        <v>45877</v>
      </c>
      <c r="N4" s="13">
        <v>45878</v>
      </c>
      <c r="O4" s="13">
        <v>45879</v>
      </c>
      <c r="P4" s="13">
        <v>45880</v>
      </c>
      <c r="Q4" s="13">
        <v>45881</v>
      </c>
      <c r="R4" s="13">
        <v>45882</v>
      </c>
      <c r="S4" s="13">
        <v>45883</v>
      </c>
      <c r="T4" s="13">
        <v>45884</v>
      </c>
      <c r="U4" s="13">
        <v>45885</v>
      </c>
      <c r="V4" s="13">
        <v>45886</v>
      </c>
      <c r="W4" s="133"/>
      <c r="X4" s="133"/>
      <c r="Y4" s="5" t="s">
        <v>120</v>
      </c>
      <c r="Z4" s="5">
        <f>SUM(Z5:Z8)</f>
        <v>30</v>
      </c>
      <c r="AA4" s="3"/>
      <c r="AB4" s="3"/>
    </row>
    <row r="5" spans="1:28" ht="15" customHeight="1" x14ac:dyDescent="0.25">
      <c r="A5" s="20">
        <v>1</v>
      </c>
      <c r="B5" s="20">
        <v>750</v>
      </c>
      <c r="C5" s="22" t="s">
        <v>659</v>
      </c>
      <c r="D5" s="23" t="s">
        <v>660</v>
      </c>
      <c r="E5" s="19" t="s">
        <v>727</v>
      </c>
      <c r="F5" s="8" t="s">
        <v>804</v>
      </c>
      <c r="G5" s="8" t="s">
        <v>804</v>
      </c>
      <c r="H5" s="162" t="s">
        <v>802</v>
      </c>
      <c r="I5" s="8" t="s">
        <v>804</v>
      </c>
      <c r="J5" s="8" t="s">
        <v>804</v>
      </c>
      <c r="K5" s="108" t="s">
        <v>804</v>
      </c>
      <c r="L5" s="8" t="s">
        <v>803</v>
      </c>
      <c r="M5" s="8" t="s">
        <v>803</v>
      </c>
      <c r="N5" s="163" t="s">
        <v>879</v>
      </c>
      <c r="O5" s="162" t="s">
        <v>802</v>
      </c>
      <c r="P5" s="8" t="s">
        <v>804</v>
      </c>
      <c r="Q5" s="8" t="s">
        <v>804</v>
      </c>
      <c r="R5" s="108" t="s">
        <v>804</v>
      </c>
      <c r="S5" s="163" t="s">
        <v>880</v>
      </c>
      <c r="T5" s="8" t="s">
        <v>804</v>
      </c>
      <c r="U5" s="8" t="s">
        <v>804</v>
      </c>
      <c r="V5" s="162" t="s">
        <v>802</v>
      </c>
      <c r="W5" s="5">
        <f>COUNTIF(F5:V5,"P")</f>
        <v>10</v>
      </c>
      <c r="X5" s="5">
        <f>COUNTIF(F5:V5,"A")</f>
        <v>2</v>
      </c>
      <c r="Y5" s="5" t="s">
        <v>7</v>
      </c>
      <c r="Z5" s="9">
        <v>25</v>
      </c>
      <c r="AA5" s="10"/>
      <c r="AB5" s="3"/>
    </row>
    <row r="6" spans="1:28" ht="16.5" x14ac:dyDescent="0.25">
      <c r="A6" s="20">
        <v>2</v>
      </c>
      <c r="B6" s="20">
        <v>867</v>
      </c>
      <c r="C6" s="22" t="s">
        <v>661</v>
      </c>
      <c r="D6" s="23" t="s">
        <v>662</v>
      </c>
      <c r="E6" s="19" t="s">
        <v>727</v>
      </c>
      <c r="F6" s="8" t="s">
        <v>804</v>
      </c>
      <c r="G6" s="8" t="s">
        <v>804</v>
      </c>
      <c r="H6" s="157"/>
      <c r="I6" s="8" t="s">
        <v>804</v>
      </c>
      <c r="J6" s="8" t="s">
        <v>804</v>
      </c>
      <c r="K6" s="108" t="s">
        <v>804</v>
      </c>
      <c r="L6" s="8" t="s">
        <v>804</v>
      </c>
      <c r="M6" s="8" t="s">
        <v>804</v>
      </c>
      <c r="N6" s="163"/>
      <c r="O6" s="157"/>
      <c r="P6" s="8" t="s">
        <v>804</v>
      </c>
      <c r="Q6" s="8" t="s">
        <v>804</v>
      </c>
      <c r="R6" s="108" t="s">
        <v>804</v>
      </c>
      <c r="S6" s="163"/>
      <c r="T6" s="8" t="s">
        <v>804</v>
      </c>
      <c r="U6" s="8" t="s">
        <v>805</v>
      </c>
      <c r="V6" s="157"/>
      <c r="W6" s="5">
        <f>COUNTIF(F6:V6,"P")</f>
        <v>11</v>
      </c>
      <c r="X6" s="5">
        <f>COUNTIF(F6:V6,"A")</f>
        <v>0</v>
      </c>
      <c r="Y6" s="5" t="s">
        <v>8</v>
      </c>
      <c r="Z6" s="9">
        <v>4</v>
      </c>
      <c r="AA6" s="3"/>
      <c r="AB6" s="3"/>
    </row>
    <row r="7" spans="1:28" ht="16.5" x14ac:dyDescent="0.25">
      <c r="A7" s="20">
        <v>3</v>
      </c>
      <c r="B7" s="20">
        <v>754</v>
      </c>
      <c r="C7" s="22" t="s">
        <v>663</v>
      </c>
      <c r="D7" s="23" t="s">
        <v>664</v>
      </c>
      <c r="E7" s="19" t="s">
        <v>727</v>
      </c>
      <c r="F7" s="8" t="s">
        <v>804</v>
      </c>
      <c r="G7" s="8" t="s">
        <v>804</v>
      </c>
      <c r="H7" s="157"/>
      <c r="I7" s="8" t="s">
        <v>804</v>
      </c>
      <c r="J7" s="8" t="s">
        <v>804</v>
      </c>
      <c r="K7" s="108" t="s">
        <v>803</v>
      </c>
      <c r="L7" s="8" t="s">
        <v>804</v>
      </c>
      <c r="M7" s="8" t="s">
        <v>804</v>
      </c>
      <c r="N7" s="163"/>
      <c r="O7" s="157"/>
      <c r="P7" s="8" t="s">
        <v>804</v>
      </c>
      <c r="Q7" s="8" t="s">
        <v>804</v>
      </c>
      <c r="R7" s="108" t="s">
        <v>804</v>
      </c>
      <c r="S7" s="163"/>
      <c r="T7" s="8" t="s">
        <v>804</v>
      </c>
      <c r="U7" s="8" t="s">
        <v>804</v>
      </c>
      <c r="V7" s="157"/>
      <c r="W7" s="5">
        <f>COUNTIF(F7:V7,"P")</f>
        <v>11</v>
      </c>
      <c r="X7" s="5">
        <f>COUNTIF(F7:V7,"A")</f>
        <v>1</v>
      </c>
      <c r="Y7" s="5" t="s">
        <v>122</v>
      </c>
      <c r="Z7" s="9">
        <v>1</v>
      </c>
      <c r="AA7" s="3"/>
      <c r="AB7" s="3"/>
    </row>
    <row r="8" spans="1:28" ht="16.5" x14ac:dyDescent="0.25">
      <c r="A8" s="20">
        <v>4</v>
      </c>
      <c r="B8" s="20">
        <v>747</v>
      </c>
      <c r="C8" s="22" t="s">
        <v>665</v>
      </c>
      <c r="D8" s="23" t="s">
        <v>648</v>
      </c>
      <c r="E8" s="19" t="s">
        <v>727</v>
      </c>
      <c r="F8" s="8" t="s">
        <v>804</v>
      </c>
      <c r="G8" s="8" t="s">
        <v>804</v>
      </c>
      <c r="H8" s="157"/>
      <c r="I8" s="8" t="s">
        <v>804</v>
      </c>
      <c r="J8" s="8" t="s">
        <v>804</v>
      </c>
      <c r="K8" s="108" t="s">
        <v>804</v>
      </c>
      <c r="L8" s="8" t="s">
        <v>804</v>
      </c>
      <c r="M8" s="8" t="s">
        <v>804</v>
      </c>
      <c r="N8" s="163"/>
      <c r="O8" s="157"/>
      <c r="P8" s="8" t="s">
        <v>804</v>
      </c>
      <c r="Q8" s="8" t="s">
        <v>804</v>
      </c>
      <c r="R8" s="108" t="s">
        <v>804</v>
      </c>
      <c r="S8" s="163"/>
      <c r="T8" s="8" t="s">
        <v>804</v>
      </c>
      <c r="U8" s="8" t="s">
        <v>804</v>
      </c>
      <c r="V8" s="157"/>
      <c r="W8" s="5">
        <f>COUNTIF(F8:V8,"P")</f>
        <v>12</v>
      </c>
      <c r="X8" s="5">
        <f>COUNTIF(F8:V8,"A")</f>
        <v>0</v>
      </c>
      <c r="Y8" s="5"/>
      <c r="Z8" s="9"/>
      <c r="AA8"/>
      <c r="AB8"/>
    </row>
    <row r="9" spans="1:28" ht="16.5" x14ac:dyDescent="0.25">
      <c r="A9" s="20">
        <v>5</v>
      </c>
      <c r="B9" s="20">
        <v>765</v>
      </c>
      <c r="C9" s="22" t="s">
        <v>204</v>
      </c>
      <c r="D9" s="23" t="s">
        <v>406</v>
      </c>
      <c r="E9" s="19" t="s">
        <v>727</v>
      </c>
      <c r="F9" s="8" t="s">
        <v>804</v>
      </c>
      <c r="G9" s="8" t="s">
        <v>804</v>
      </c>
      <c r="H9" s="157"/>
      <c r="I9" s="8" t="s">
        <v>804</v>
      </c>
      <c r="J9" s="8" t="s">
        <v>804</v>
      </c>
      <c r="K9" s="108" t="s">
        <v>804</v>
      </c>
      <c r="L9" s="8" t="s">
        <v>804</v>
      </c>
      <c r="M9" s="8" t="s">
        <v>804</v>
      </c>
      <c r="N9" s="163"/>
      <c r="O9" s="157"/>
      <c r="P9" s="8" t="s">
        <v>804</v>
      </c>
      <c r="Q9" s="8" t="s">
        <v>804</v>
      </c>
      <c r="R9" s="108" t="s">
        <v>804</v>
      </c>
      <c r="S9" s="163"/>
      <c r="T9" s="8" t="s">
        <v>804</v>
      </c>
      <c r="U9" s="8" t="s">
        <v>804</v>
      </c>
      <c r="V9" s="157"/>
      <c r="W9" s="5">
        <f>COUNTIF(F9:V9,"P")</f>
        <v>12</v>
      </c>
      <c r="X9" s="5">
        <f>COUNTIF(F9:V9,"A")</f>
        <v>0</v>
      </c>
      <c r="Y9" s="5"/>
      <c r="Z9" s="9"/>
    </row>
    <row r="10" spans="1:28" ht="16.5" x14ac:dyDescent="0.25">
      <c r="A10" s="20">
        <v>6</v>
      </c>
      <c r="B10" s="20">
        <v>877</v>
      </c>
      <c r="C10" s="22" t="s">
        <v>666</v>
      </c>
      <c r="D10" s="23" t="s">
        <v>667</v>
      </c>
      <c r="E10" s="19" t="s">
        <v>727</v>
      </c>
      <c r="F10" s="8" t="s">
        <v>804</v>
      </c>
      <c r="G10" s="8" t="s">
        <v>804</v>
      </c>
      <c r="H10" s="157"/>
      <c r="I10" s="8" t="s">
        <v>804</v>
      </c>
      <c r="J10" s="8" t="s">
        <v>803</v>
      </c>
      <c r="K10" s="108" t="s">
        <v>804</v>
      </c>
      <c r="L10" s="8" t="s">
        <v>804</v>
      </c>
      <c r="M10" s="8" t="s">
        <v>804</v>
      </c>
      <c r="N10" s="163"/>
      <c r="O10" s="157"/>
      <c r="P10" s="8" t="s">
        <v>804</v>
      </c>
      <c r="Q10" s="8" t="s">
        <v>803</v>
      </c>
      <c r="R10" s="108" t="s">
        <v>804</v>
      </c>
      <c r="S10" s="163"/>
      <c r="T10" s="8" t="s">
        <v>803</v>
      </c>
      <c r="U10" s="8" t="s">
        <v>804</v>
      </c>
      <c r="V10" s="157"/>
      <c r="W10" s="5">
        <f>COUNTIF(F10:V10,"P")</f>
        <v>9</v>
      </c>
      <c r="X10" s="5">
        <f>COUNTIF(F10:V10,"A")</f>
        <v>3</v>
      </c>
    </row>
    <row r="11" spans="1:28" ht="16.5" x14ac:dyDescent="0.25">
      <c r="A11" s="20">
        <v>7</v>
      </c>
      <c r="B11" s="20">
        <v>878</v>
      </c>
      <c r="C11" s="22" t="s">
        <v>668</v>
      </c>
      <c r="D11" s="23" t="s">
        <v>669</v>
      </c>
      <c r="E11" s="19" t="s">
        <v>727</v>
      </c>
      <c r="F11" s="8" t="s">
        <v>804</v>
      </c>
      <c r="G11" s="8" t="s">
        <v>804</v>
      </c>
      <c r="H11" s="157"/>
      <c r="I11" s="8" t="s">
        <v>804</v>
      </c>
      <c r="J11" s="8" t="s">
        <v>803</v>
      </c>
      <c r="K11" s="108" t="s">
        <v>803</v>
      </c>
      <c r="L11" s="8" t="s">
        <v>803</v>
      </c>
      <c r="M11" s="8" t="s">
        <v>803</v>
      </c>
      <c r="N11" s="163"/>
      <c r="O11" s="157"/>
      <c r="P11" s="8" t="s">
        <v>804</v>
      </c>
      <c r="Q11" s="8" t="s">
        <v>803</v>
      </c>
      <c r="R11" s="108" t="s">
        <v>803</v>
      </c>
      <c r="S11" s="163"/>
      <c r="T11" s="8" t="s">
        <v>803</v>
      </c>
      <c r="U11" s="8" t="s">
        <v>803</v>
      </c>
      <c r="V11" s="157"/>
      <c r="W11" s="5">
        <f>COUNTIF(F11:V11,"P")</f>
        <v>4</v>
      </c>
      <c r="X11" s="5">
        <f>COUNTIF(F11:V11,"A")</f>
        <v>8</v>
      </c>
      <c r="Y11" s="134" t="s">
        <v>9</v>
      </c>
      <c r="Z11" s="135"/>
      <c r="AA11" s="135"/>
      <c r="AB11" s="136"/>
    </row>
    <row r="12" spans="1:28" ht="16.5" x14ac:dyDescent="0.25">
      <c r="A12" s="20">
        <v>8</v>
      </c>
      <c r="B12" s="20">
        <v>851</v>
      </c>
      <c r="C12" s="22" t="s">
        <v>670</v>
      </c>
      <c r="D12" s="23" t="s">
        <v>64</v>
      </c>
      <c r="E12" s="19" t="s">
        <v>727</v>
      </c>
      <c r="F12" s="8" t="s">
        <v>803</v>
      </c>
      <c r="G12" s="8" t="s">
        <v>803</v>
      </c>
      <c r="H12" s="157"/>
      <c r="I12" s="8" t="s">
        <v>803</v>
      </c>
      <c r="J12" s="8" t="s">
        <v>803</v>
      </c>
      <c r="K12" s="108" t="s">
        <v>803</v>
      </c>
      <c r="L12" s="8" t="s">
        <v>803</v>
      </c>
      <c r="M12" s="8" t="s">
        <v>803</v>
      </c>
      <c r="N12" s="163"/>
      <c r="O12" s="157"/>
      <c r="P12" s="8" t="s">
        <v>803</v>
      </c>
      <c r="Q12" s="8" t="s">
        <v>803</v>
      </c>
      <c r="R12" s="108" t="s">
        <v>803</v>
      </c>
      <c r="S12" s="163"/>
      <c r="T12" s="8" t="s">
        <v>803</v>
      </c>
      <c r="U12" s="8" t="s">
        <v>803</v>
      </c>
      <c r="V12" s="157"/>
      <c r="W12" s="5">
        <f>COUNTIF(F12:V12,"P")</f>
        <v>0</v>
      </c>
      <c r="X12" s="5">
        <f>COUNTIF(F12:V12,"A")</f>
        <v>12</v>
      </c>
      <c r="Y12" s="5" t="s">
        <v>10</v>
      </c>
      <c r="Z12" s="5" t="s">
        <v>11</v>
      </c>
      <c r="AA12" s="5" t="s">
        <v>12</v>
      </c>
      <c r="AB12" s="5" t="s">
        <v>13</v>
      </c>
    </row>
    <row r="13" spans="1:28" ht="16.5" x14ac:dyDescent="0.25">
      <c r="A13" s="20">
        <v>9</v>
      </c>
      <c r="B13" s="20">
        <v>882</v>
      </c>
      <c r="C13" s="27" t="s">
        <v>671</v>
      </c>
      <c r="D13" s="28" t="s">
        <v>644</v>
      </c>
      <c r="E13" s="19" t="s">
        <v>727</v>
      </c>
      <c r="F13" s="8" t="s">
        <v>804</v>
      </c>
      <c r="G13" s="8" t="s">
        <v>804</v>
      </c>
      <c r="H13" s="157"/>
      <c r="I13" s="8" t="s">
        <v>804</v>
      </c>
      <c r="J13" s="8" t="s">
        <v>804</v>
      </c>
      <c r="K13" s="108" t="s">
        <v>804</v>
      </c>
      <c r="L13" s="8" t="s">
        <v>804</v>
      </c>
      <c r="M13" s="8" t="s">
        <v>804</v>
      </c>
      <c r="N13" s="163"/>
      <c r="O13" s="157"/>
      <c r="P13" s="8" t="s">
        <v>804</v>
      </c>
      <c r="Q13" s="8" t="s">
        <v>804</v>
      </c>
      <c r="R13" s="108" t="s">
        <v>804</v>
      </c>
      <c r="S13" s="163"/>
      <c r="T13" s="8" t="s">
        <v>804</v>
      </c>
      <c r="U13" s="8" t="s">
        <v>803</v>
      </c>
      <c r="V13" s="157"/>
      <c r="W13" s="5">
        <f>COUNTIF(F13:V13,"P")</f>
        <v>11</v>
      </c>
      <c r="X13" s="5">
        <f>COUNTIF(F13:V13,"A")</f>
        <v>1</v>
      </c>
      <c r="Y13" s="5" t="s">
        <v>14</v>
      </c>
      <c r="Z13" s="9">
        <f>16*$Z$5</f>
        <v>400</v>
      </c>
      <c r="AA13" s="9">
        <f>19*$Z$5</f>
        <v>475</v>
      </c>
      <c r="AB13" s="9">
        <f>SUM(Z13:AA13)</f>
        <v>875</v>
      </c>
    </row>
    <row r="14" spans="1:28" ht="16.5" x14ac:dyDescent="0.25">
      <c r="A14" s="20">
        <v>10</v>
      </c>
      <c r="B14" s="20">
        <v>896</v>
      </c>
      <c r="C14" s="24" t="s">
        <v>672</v>
      </c>
      <c r="D14" s="29" t="s">
        <v>673</v>
      </c>
      <c r="E14" s="19" t="s">
        <v>727</v>
      </c>
      <c r="F14" s="8" t="s">
        <v>804</v>
      </c>
      <c r="G14" s="8" t="s">
        <v>804</v>
      </c>
      <c r="H14" s="157"/>
      <c r="I14" s="8" t="s">
        <v>804</v>
      </c>
      <c r="J14" s="8" t="s">
        <v>804</v>
      </c>
      <c r="K14" s="108" t="s">
        <v>803</v>
      </c>
      <c r="L14" s="8" t="s">
        <v>804</v>
      </c>
      <c r="M14" s="8" t="s">
        <v>803</v>
      </c>
      <c r="N14" s="163"/>
      <c r="O14" s="157"/>
      <c r="P14" s="8" t="s">
        <v>804</v>
      </c>
      <c r="Q14" s="8" t="s">
        <v>804</v>
      </c>
      <c r="R14" s="108" t="s">
        <v>804</v>
      </c>
      <c r="S14" s="163"/>
      <c r="T14" s="8" t="s">
        <v>804</v>
      </c>
      <c r="U14" s="8" t="s">
        <v>804</v>
      </c>
      <c r="V14" s="157"/>
      <c r="W14" s="5">
        <f>COUNTIF(F14:V14,"P")</f>
        <v>10</v>
      </c>
      <c r="X14" s="5">
        <f>COUNTIF(F14:V14,"A")</f>
        <v>2</v>
      </c>
      <c r="Y14" s="5" t="s">
        <v>15</v>
      </c>
      <c r="Z14" s="9">
        <f>SUM(W5:W20)</f>
        <v>128</v>
      </c>
      <c r="AA14" s="9">
        <f>SUM(W21:W36)</f>
        <v>106</v>
      </c>
      <c r="AB14" s="9">
        <f>Z14+AA14</f>
        <v>234</v>
      </c>
    </row>
    <row r="15" spans="1:28" ht="16.5" x14ac:dyDescent="0.25">
      <c r="A15" s="20">
        <v>11</v>
      </c>
      <c r="B15" s="20">
        <v>891</v>
      </c>
      <c r="C15" s="22" t="s">
        <v>674</v>
      </c>
      <c r="D15" s="23" t="s">
        <v>675</v>
      </c>
      <c r="E15" s="19" t="s">
        <v>727</v>
      </c>
      <c r="F15" s="8" t="s">
        <v>803</v>
      </c>
      <c r="G15" s="8" t="s">
        <v>803</v>
      </c>
      <c r="H15" s="157"/>
      <c r="I15" s="8" t="s">
        <v>803</v>
      </c>
      <c r="J15" s="8" t="s">
        <v>803</v>
      </c>
      <c r="K15" s="108" t="s">
        <v>804</v>
      </c>
      <c r="L15" s="8" t="s">
        <v>803</v>
      </c>
      <c r="M15" s="8" t="s">
        <v>803</v>
      </c>
      <c r="N15" s="163"/>
      <c r="O15" s="157"/>
      <c r="P15" s="8" t="s">
        <v>803</v>
      </c>
      <c r="Q15" s="8" t="s">
        <v>803</v>
      </c>
      <c r="R15" s="108" t="s">
        <v>803</v>
      </c>
      <c r="S15" s="163"/>
      <c r="T15" s="8" t="s">
        <v>803</v>
      </c>
      <c r="U15" s="8" t="s">
        <v>804</v>
      </c>
      <c r="V15" s="157"/>
      <c r="W15" s="5">
        <f>COUNTIF(F15:V15,"P")</f>
        <v>2</v>
      </c>
      <c r="X15" s="5">
        <f>COUNTIF(F15:V15,"A")</f>
        <v>10</v>
      </c>
      <c r="Y15" s="5" t="s">
        <v>16</v>
      </c>
      <c r="Z15" s="12">
        <f>Z14/Z13</f>
        <v>0.32</v>
      </c>
      <c r="AA15" s="12">
        <f>AA14/AA13</f>
        <v>0.22315789473684211</v>
      </c>
      <c r="AB15" s="12">
        <f>AB14/AB13</f>
        <v>0.2674285714285714</v>
      </c>
    </row>
    <row r="16" spans="1:28" ht="16.5" x14ac:dyDescent="0.25">
      <c r="A16" s="20">
        <v>12</v>
      </c>
      <c r="B16" s="20">
        <v>847</v>
      </c>
      <c r="C16" s="22" t="s">
        <v>676</v>
      </c>
      <c r="D16" s="23" t="s">
        <v>677</v>
      </c>
      <c r="E16" s="19" t="s">
        <v>727</v>
      </c>
      <c r="F16" s="8" t="s">
        <v>804</v>
      </c>
      <c r="G16" s="8" t="s">
        <v>804</v>
      </c>
      <c r="H16" s="157"/>
      <c r="I16" s="8" t="s">
        <v>804</v>
      </c>
      <c r="J16" s="8" t="s">
        <v>803</v>
      </c>
      <c r="K16" s="108" t="s">
        <v>803</v>
      </c>
      <c r="L16" s="8" t="s">
        <v>804</v>
      </c>
      <c r="M16" s="8" t="s">
        <v>804</v>
      </c>
      <c r="N16" s="163"/>
      <c r="O16" s="157"/>
      <c r="P16" s="8" t="s">
        <v>804</v>
      </c>
      <c r="Q16" s="8" t="s">
        <v>804</v>
      </c>
      <c r="R16" s="108" t="s">
        <v>804</v>
      </c>
      <c r="S16" s="163"/>
      <c r="T16" s="8" t="s">
        <v>803</v>
      </c>
      <c r="U16" s="8" t="s">
        <v>804</v>
      </c>
      <c r="V16" s="157"/>
      <c r="W16" s="5">
        <f>COUNTIF(F16:V16,"P")</f>
        <v>9</v>
      </c>
      <c r="X16" s="5">
        <f>COUNTIF(F16:V16,"A")</f>
        <v>3</v>
      </c>
      <c r="Y16"/>
      <c r="Z16"/>
      <c r="AA16"/>
      <c r="AB16"/>
    </row>
    <row r="17" spans="1:28" ht="16.5" x14ac:dyDescent="0.25">
      <c r="A17" s="20">
        <v>13</v>
      </c>
      <c r="B17" s="20">
        <v>881</v>
      </c>
      <c r="C17" s="22" t="s">
        <v>678</v>
      </c>
      <c r="D17" s="23" t="s">
        <v>679</v>
      </c>
      <c r="E17" s="19" t="s">
        <v>727</v>
      </c>
      <c r="F17" s="8" t="s">
        <v>804</v>
      </c>
      <c r="G17" s="8" t="s">
        <v>804</v>
      </c>
      <c r="H17" s="157"/>
      <c r="I17" s="8" t="s">
        <v>804</v>
      </c>
      <c r="J17" s="8" t="s">
        <v>803</v>
      </c>
      <c r="K17" s="108" t="s">
        <v>803</v>
      </c>
      <c r="L17" s="8" t="s">
        <v>804</v>
      </c>
      <c r="M17" s="8" t="s">
        <v>804</v>
      </c>
      <c r="N17" s="163"/>
      <c r="O17" s="157"/>
      <c r="P17" s="8" t="s">
        <v>804</v>
      </c>
      <c r="Q17" s="8" t="s">
        <v>804</v>
      </c>
      <c r="R17" s="108" t="s">
        <v>804</v>
      </c>
      <c r="S17" s="163"/>
      <c r="T17" s="8" t="s">
        <v>803</v>
      </c>
      <c r="U17" s="8" t="s">
        <v>804</v>
      </c>
      <c r="V17" s="157"/>
      <c r="W17" s="5">
        <f>COUNTIF(F17:V17,"P")</f>
        <v>9</v>
      </c>
      <c r="X17" s="5">
        <f>COUNTIF(F17:V17,"A")</f>
        <v>3</v>
      </c>
      <c r="Y17"/>
      <c r="Z17"/>
      <c r="AA17"/>
      <c r="AB17"/>
    </row>
    <row r="18" spans="1:28" ht="16.5" x14ac:dyDescent="0.25">
      <c r="A18" s="20">
        <v>14</v>
      </c>
      <c r="B18" s="20">
        <v>859</v>
      </c>
      <c r="C18" s="22" t="s">
        <v>410</v>
      </c>
      <c r="D18" s="23" t="s">
        <v>655</v>
      </c>
      <c r="E18" s="19" t="s">
        <v>727</v>
      </c>
      <c r="F18" s="8" t="s">
        <v>804</v>
      </c>
      <c r="G18" s="8" t="s">
        <v>804</v>
      </c>
      <c r="H18" s="157"/>
      <c r="I18" s="8" t="s">
        <v>804</v>
      </c>
      <c r="J18" s="8" t="s">
        <v>804</v>
      </c>
      <c r="K18" s="108" t="s">
        <v>804</v>
      </c>
      <c r="L18" s="8" t="s">
        <v>804</v>
      </c>
      <c r="M18" s="8" t="s">
        <v>804</v>
      </c>
      <c r="N18" s="163"/>
      <c r="O18" s="157"/>
      <c r="P18" s="8" t="s">
        <v>804</v>
      </c>
      <c r="Q18" s="8" t="s">
        <v>804</v>
      </c>
      <c r="R18" s="108" t="s">
        <v>803</v>
      </c>
      <c r="S18" s="163"/>
      <c r="T18" s="8" t="s">
        <v>803</v>
      </c>
      <c r="U18" s="8" t="s">
        <v>804</v>
      </c>
      <c r="V18" s="157"/>
      <c r="W18" s="5">
        <f>COUNTIF(F18:V18,"P")</f>
        <v>10</v>
      </c>
      <c r="X18" s="5">
        <f>COUNTIF(F18:V18,"A")</f>
        <v>2</v>
      </c>
      <c r="Y18"/>
      <c r="Z18"/>
      <c r="AA18"/>
      <c r="AB18"/>
    </row>
    <row r="19" spans="1:28" ht="16.5" x14ac:dyDescent="0.25">
      <c r="A19" s="20">
        <v>15</v>
      </c>
      <c r="B19" s="20">
        <v>849</v>
      </c>
      <c r="C19" s="22" t="s">
        <v>800</v>
      </c>
      <c r="D19" s="23"/>
      <c r="E19" s="19" t="s">
        <v>727</v>
      </c>
      <c r="F19" s="8" t="s">
        <v>803</v>
      </c>
      <c r="G19" s="8" t="s">
        <v>803</v>
      </c>
      <c r="H19" s="157"/>
      <c r="I19" s="8" t="s">
        <v>803</v>
      </c>
      <c r="J19" s="8" t="s">
        <v>803</v>
      </c>
      <c r="K19" s="108" t="s">
        <v>804</v>
      </c>
      <c r="L19" s="8" t="s">
        <v>803</v>
      </c>
      <c r="M19" s="8" t="s">
        <v>803</v>
      </c>
      <c r="N19" s="163"/>
      <c r="O19" s="157"/>
      <c r="P19" s="8" t="s">
        <v>803</v>
      </c>
      <c r="Q19" s="8" t="s">
        <v>803</v>
      </c>
      <c r="R19" s="108" t="s">
        <v>803</v>
      </c>
      <c r="S19" s="163"/>
      <c r="T19" s="8" t="s">
        <v>803</v>
      </c>
      <c r="U19" s="8" t="s">
        <v>803</v>
      </c>
      <c r="V19" s="157"/>
      <c r="W19" s="5">
        <f>COUNTIF(F19:V19,"P")</f>
        <v>1</v>
      </c>
      <c r="X19" s="5">
        <f>COUNTIF(F19:V19,"A")</f>
        <v>11</v>
      </c>
      <c r="Y19" s="134" t="s">
        <v>121</v>
      </c>
      <c r="Z19" s="135"/>
      <c r="AA19" s="135"/>
      <c r="AB19" s="136"/>
    </row>
    <row r="20" spans="1:28" ht="16.5" x14ac:dyDescent="0.25">
      <c r="A20" s="20">
        <v>1</v>
      </c>
      <c r="B20" s="20">
        <v>752</v>
      </c>
      <c r="C20" s="22" t="s">
        <v>680</v>
      </c>
      <c r="D20" s="23" t="s">
        <v>681</v>
      </c>
      <c r="E20" s="19" t="s">
        <v>727</v>
      </c>
      <c r="F20" s="8" t="s">
        <v>804</v>
      </c>
      <c r="G20" s="8" t="s">
        <v>804</v>
      </c>
      <c r="H20" s="157"/>
      <c r="I20" s="8" t="s">
        <v>804</v>
      </c>
      <c r="J20" s="8" t="s">
        <v>803</v>
      </c>
      <c r="K20" s="108" t="s">
        <v>803</v>
      </c>
      <c r="L20" s="8" t="s">
        <v>803</v>
      </c>
      <c r="M20" s="8" t="s">
        <v>804</v>
      </c>
      <c r="N20" s="163"/>
      <c r="O20" s="157"/>
      <c r="P20" s="8" t="s">
        <v>804</v>
      </c>
      <c r="Q20" s="8" t="s">
        <v>803</v>
      </c>
      <c r="R20" s="108" t="s">
        <v>804</v>
      </c>
      <c r="S20" s="163"/>
      <c r="T20" s="8" t="s">
        <v>803</v>
      </c>
      <c r="U20" s="8" t="s">
        <v>804</v>
      </c>
      <c r="V20" s="157"/>
      <c r="W20" s="5">
        <f>COUNTIF(F20:V20,"P")</f>
        <v>7</v>
      </c>
      <c r="X20" s="5">
        <f>COUNTIF(F20:V20,"A")</f>
        <v>5</v>
      </c>
      <c r="Y20" s="5" t="s">
        <v>10</v>
      </c>
      <c r="Z20" s="5" t="s">
        <v>11</v>
      </c>
      <c r="AA20" s="5" t="s">
        <v>12</v>
      </c>
      <c r="AB20" s="5" t="s">
        <v>13</v>
      </c>
    </row>
    <row r="21" spans="1:28" ht="16.5" x14ac:dyDescent="0.25">
      <c r="A21" s="20">
        <v>2</v>
      </c>
      <c r="B21" s="20">
        <v>751</v>
      </c>
      <c r="C21" s="22" t="s">
        <v>682</v>
      </c>
      <c r="D21" s="23" t="s">
        <v>114</v>
      </c>
      <c r="E21" s="19" t="s">
        <v>727</v>
      </c>
      <c r="F21" s="8" t="s">
        <v>804</v>
      </c>
      <c r="G21" s="8" t="s">
        <v>804</v>
      </c>
      <c r="H21" s="157"/>
      <c r="I21" s="8" t="s">
        <v>804</v>
      </c>
      <c r="J21" s="8" t="s">
        <v>803</v>
      </c>
      <c r="K21" s="108" t="s">
        <v>803</v>
      </c>
      <c r="L21" s="8" t="s">
        <v>803</v>
      </c>
      <c r="M21" s="8" t="s">
        <v>804</v>
      </c>
      <c r="N21" s="163"/>
      <c r="O21" s="157"/>
      <c r="P21" s="8" t="s">
        <v>804</v>
      </c>
      <c r="Q21" s="8" t="s">
        <v>804</v>
      </c>
      <c r="R21" s="108" t="s">
        <v>804</v>
      </c>
      <c r="S21" s="163"/>
      <c r="T21" s="8" t="s">
        <v>803</v>
      </c>
      <c r="U21" s="8" t="s">
        <v>804</v>
      </c>
      <c r="V21" s="157"/>
      <c r="W21" s="5">
        <f>COUNTIF(F21:V21,"P")</f>
        <v>8</v>
      </c>
      <c r="X21" s="5">
        <f>COUNTIF(F21:V21,"A")</f>
        <v>4</v>
      </c>
      <c r="Y21" s="5" t="s">
        <v>14</v>
      </c>
      <c r="Z21" s="9">
        <f>16*$Z$5</f>
        <v>400</v>
      </c>
      <c r="AA21" s="9">
        <f>19*$Z$5</f>
        <v>475</v>
      </c>
      <c r="AB21" s="9">
        <f>Z21+AA21</f>
        <v>875</v>
      </c>
    </row>
    <row r="22" spans="1:28" ht="16.5" x14ac:dyDescent="0.25">
      <c r="A22" s="20">
        <v>3</v>
      </c>
      <c r="B22" s="20">
        <v>763</v>
      </c>
      <c r="C22" s="22" t="s">
        <v>683</v>
      </c>
      <c r="D22" s="23" t="s">
        <v>684</v>
      </c>
      <c r="E22" s="19" t="s">
        <v>727</v>
      </c>
      <c r="F22" s="8" t="s">
        <v>803</v>
      </c>
      <c r="G22" s="8" t="s">
        <v>803</v>
      </c>
      <c r="H22" s="157"/>
      <c r="I22" s="8" t="s">
        <v>803</v>
      </c>
      <c r="J22" s="8" t="s">
        <v>803</v>
      </c>
      <c r="K22" s="108" t="s">
        <v>803</v>
      </c>
      <c r="L22" s="8" t="s">
        <v>803</v>
      </c>
      <c r="M22" s="8" t="s">
        <v>803</v>
      </c>
      <c r="N22" s="163"/>
      <c r="O22" s="157"/>
      <c r="P22" s="8" t="s">
        <v>803</v>
      </c>
      <c r="Q22" s="8" t="s">
        <v>803</v>
      </c>
      <c r="R22" s="108" t="s">
        <v>803</v>
      </c>
      <c r="S22" s="163"/>
      <c r="T22" s="8" t="s">
        <v>803</v>
      </c>
      <c r="U22" s="8" t="s">
        <v>803</v>
      </c>
      <c r="V22" s="157"/>
      <c r="W22" s="5">
        <f>COUNTIF(F22:V22,"P")</f>
        <v>0</v>
      </c>
      <c r="X22" s="5">
        <f>COUNTIF(F22:V22,"A")</f>
        <v>12</v>
      </c>
      <c r="Y22" s="5" t="s">
        <v>17</v>
      </c>
      <c r="Z22" s="9">
        <f>Z21-Z14</f>
        <v>272</v>
      </c>
      <c r="AA22" s="9">
        <f>AA21-AA14</f>
        <v>369</v>
      </c>
      <c r="AB22" s="9">
        <f>Z22+AA22</f>
        <v>641</v>
      </c>
    </row>
    <row r="23" spans="1:28" ht="16.5" x14ac:dyDescent="0.25">
      <c r="A23" s="20">
        <v>4</v>
      </c>
      <c r="B23" s="20">
        <v>749</v>
      </c>
      <c r="C23" s="22" t="s">
        <v>685</v>
      </c>
      <c r="D23" s="23" t="s">
        <v>371</v>
      </c>
      <c r="E23" s="19" t="s">
        <v>727</v>
      </c>
      <c r="F23" s="8" t="s">
        <v>803</v>
      </c>
      <c r="G23" s="8" t="s">
        <v>803</v>
      </c>
      <c r="H23" s="157"/>
      <c r="I23" s="8" t="s">
        <v>803</v>
      </c>
      <c r="J23" s="8" t="s">
        <v>803</v>
      </c>
      <c r="K23" s="108" t="s">
        <v>803</v>
      </c>
      <c r="L23" s="8" t="s">
        <v>803</v>
      </c>
      <c r="M23" s="8" t="s">
        <v>803</v>
      </c>
      <c r="N23" s="163"/>
      <c r="O23" s="157"/>
      <c r="P23" s="8" t="s">
        <v>803</v>
      </c>
      <c r="Q23" s="8" t="s">
        <v>803</v>
      </c>
      <c r="R23" s="108" t="s">
        <v>803</v>
      </c>
      <c r="S23" s="163"/>
      <c r="T23" s="8" t="s">
        <v>803</v>
      </c>
      <c r="U23" s="8" t="s">
        <v>803</v>
      </c>
      <c r="V23" s="157"/>
      <c r="W23" s="5">
        <f>COUNTIF(F23:V23,"P")</f>
        <v>0</v>
      </c>
      <c r="X23" s="5">
        <f>COUNTIF(F23:V23,"A")</f>
        <v>12</v>
      </c>
      <c r="Y23" s="5" t="s">
        <v>16</v>
      </c>
      <c r="Z23" s="12">
        <f>Z22/Z21</f>
        <v>0.68</v>
      </c>
      <c r="AA23" s="12">
        <f>AA22/AA21</f>
        <v>0.77684210526315789</v>
      </c>
      <c r="AB23" s="12">
        <f>AB22/AB21</f>
        <v>0.73257142857142854</v>
      </c>
    </row>
    <row r="24" spans="1:28" ht="16.5" x14ac:dyDescent="0.25">
      <c r="A24" s="20">
        <v>5</v>
      </c>
      <c r="B24" s="20">
        <v>756</v>
      </c>
      <c r="C24" s="22" t="s">
        <v>249</v>
      </c>
      <c r="D24" s="23" t="s">
        <v>686</v>
      </c>
      <c r="E24" s="19" t="s">
        <v>727</v>
      </c>
      <c r="F24" s="8" t="s">
        <v>803</v>
      </c>
      <c r="G24" s="8" t="s">
        <v>803</v>
      </c>
      <c r="H24" s="157"/>
      <c r="I24" s="8" t="s">
        <v>803</v>
      </c>
      <c r="J24" s="8" t="s">
        <v>803</v>
      </c>
      <c r="K24" s="108" t="s">
        <v>803</v>
      </c>
      <c r="L24" s="8" t="s">
        <v>803</v>
      </c>
      <c r="M24" s="8" t="s">
        <v>803</v>
      </c>
      <c r="N24" s="163"/>
      <c r="O24" s="157"/>
      <c r="P24" s="8" t="s">
        <v>803</v>
      </c>
      <c r="Q24" s="8" t="s">
        <v>803</v>
      </c>
      <c r="R24" s="108" t="s">
        <v>804</v>
      </c>
      <c r="S24" s="163"/>
      <c r="T24" s="8" t="s">
        <v>804</v>
      </c>
      <c r="U24" s="8" t="s">
        <v>804</v>
      </c>
      <c r="V24" s="157"/>
      <c r="W24" s="5">
        <f>COUNTIF(F24:V24,"P")</f>
        <v>3</v>
      </c>
      <c r="X24" s="5">
        <f>COUNTIF(F24:V24,"A")</f>
        <v>9</v>
      </c>
    </row>
    <row r="25" spans="1:28" ht="16.5" x14ac:dyDescent="0.25">
      <c r="A25" s="20">
        <v>6</v>
      </c>
      <c r="B25" s="20">
        <v>876</v>
      </c>
      <c r="C25" s="22" t="s">
        <v>687</v>
      </c>
      <c r="D25" s="23" t="s">
        <v>667</v>
      </c>
      <c r="E25" s="19" t="s">
        <v>727</v>
      </c>
      <c r="F25" s="8" t="s">
        <v>803</v>
      </c>
      <c r="G25" s="8" t="s">
        <v>803</v>
      </c>
      <c r="H25" s="157"/>
      <c r="I25" s="8" t="s">
        <v>803</v>
      </c>
      <c r="J25" s="8" t="s">
        <v>803</v>
      </c>
      <c r="K25" s="108" t="s">
        <v>804</v>
      </c>
      <c r="L25" s="8" t="s">
        <v>804</v>
      </c>
      <c r="M25" s="8" t="s">
        <v>804</v>
      </c>
      <c r="N25" s="163"/>
      <c r="O25" s="157"/>
      <c r="P25" s="8" t="s">
        <v>803</v>
      </c>
      <c r="Q25" s="8" t="s">
        <v>803</v>
      </c>
      <c r="R25" s="108" t="s">
        <v>804</v>
      </c>
      <c r="S25" s="163"/>
      <c r="T25" s="8" t="s">
        <v>804</v>
      </c>
      <c r="U25" s="8" t="s">
        <v>804</v>
      </c>
      <c r="V25" s="157"/>
      <c r="W25" s="5">
        <f>COUNTIF(F25:V25,"P")</f>
        <v>6</v>
      </c>
      <c r="X25" s="5">
        <f>COUNTIF(F25:V25,"A")</f>
        <v>6</v>
      </c>
    </row>
    <row r="26" spans="1:28" ht="16.5" x14ac:dyDescent="0.25">
      <c r="A26" s="20">
        <v>7</v>
      </c>
      <c r="B26" s="20">
        <v>900</v>
      </c>
      <c r="C26" s="22" t="s">
        <v>688</v>
      </c>
      <c r="D26" s="23" t="s">
        <v>240</v>
      </c>
      <c r="E26" s="19" t="s">
        <v>727</v>
      </c>
      <c r="F26" s="8" t="s">
        <v>804</v>
      </c>
      <c r="G26" s="8" t="s">
        <v>804</v>
      </c>
      <c r="H26" s="157"/>
      <c r="I26" s="8" t="s">
        <v>804</v>
      </c>
      <c r="J26" s="8" t="s">
        <v>804</v>
      </c>
      <c r="K26" s="108" t="s">
        <v>804</v>
      </c>
      <c r="L26" s="8" t="s">
        <v>804</v>
      </c>
      <c r="M26" s="8" t="s">
        <v>804</v>
      </c>
      <c r="N26" s="163"/>
      <c r="O26" s="157"/>
      <c r="P26" s="8" t="s">
        <v>804</v>
      </c>
      <c r="Q26" s="8" t="s">
        <v>804</v>
      </c>
      <c r="R26" s="108" t="s">
        <v>804</v>
      </c>
      <c r="S26" s="163"/>
      <c r="T26" s="8" t="s">
        <v>804</v>
      </c>
      <c r="U26" s="8" t="s">
        <v>804</v>
      </c>
      <c r="V26" s="157"/>
      <c r="W26" s="5">
        <f>COUNTIF(F26:V26,"P")</f>
        <v>12</v>
      </c>
      <c r="X26" s="5">
        <f>COUNTIF(F26:V26,"A")</f>
        <v>0</v>
      </c>
    </row>
    <row r="27" spans="1:28" ht="16.5" x14ac:dyDescent="0.25">
      <c r="A27" s="20">
        <v>8</v>
      </c>
      <c r="B27" s="20">
        <v>888</v>
      </c>
      <c r="C27" s="22" t="s">
        <v>689</v>
      </c>
      <c r="D27" s="23" t="s">
        <v>396</v>
      </c>
      <c r="E27" s="19" t="s">
        <v>727</v>
      </c>
      <c r="F27" s="8" t="s">
        <v>803</v>
      </c>
      <c r="G27" s="8" t="s">
        <v>803</v>
      </c>
      <c r="H27" s="157"/>
      <c r="I27" s="8" t="s">
        <v>803</v>
      </c>
      <c r="J27" s="8" t="s">
        <v>803</v>
      </c>
      <c r="K27" s="108" t="s">
        <v>803</v>
      </c>
      <c r="L27" s="8" t="s">
        <v>803</v>
      </c>
      <c r="M27" s="8" t="s">
        <v>803</v>
      </c>
      <c r="N27" s="163"/>
      <c r="O27" s="157"/>
      <c r="P27" s="8" t="s">
        <v>803</v>
      </c>
      <c r="Q27" s="8" t="s">
        <v>803</v>
      </c>
      <c r="R27" s="108" t="s">
        <v>803</v>
      </c>
      <c r="S27" s="163"/>
      <c r="T27" s="8" t="s">
        <v>803</v>
      </c>
      <c r="U27" s="8" t="s">
        <v>803</v>
      </c>
      <c r="V27" s="157"/>
      <c r="W27" s="5">
        <f>COUNTIF(F27:V27,"P")</f>
        <v>0</v>
      </c>
      <c r="X27" s="5">
        <f>COUNTIF(F27:V27,"A")</f>
        <v>12</v>
      </c>
    </row>
    <row r="28" spans="1:28" ht="16.5" x14ac:dyDescent="0.25">
      <c r="A28" s="20">
        <v>9</v>
      </c>
      <c r="B28" s="20">
        <v>901</v>
      </c>
      <c r="C28" s="22" t="s">
        <v>690</v>
      </c>
      <c r="D28" s="23" t="s">
        <v>396</v>
      </c>
      <c r="E28" s="19" t="s">
        <v>727</v>
      </c>
      <c r="F28" s="8" t="s">
        <v>803</v>
      </c>
      <c r="G28" s="8" t="s">
        <v>803</v>
      </c>
      <c r="H28" s="157"/>
      <c r="I28" s="8" t="s">
        <v>803</v>
      </c>
      <c r="J28" s="8" t="s">
        <v>803</v>
      </c>
      <c r="K28" s="108" t="s">
        <v>803</v>
      </c>
      <c r="L28" s="8" t="s">
        <v>803</v>
      </c>
      <c r="M28" s="8" t="s">
        <v>803</v>
      </c>
      <c r="N28" s="163"/>
      <c r="O28" s="157"/>
      <c r="P28" s="8" t="s">
        <v>803</v>
      </c>
      <c r="Q28" s="8" t="s">
        <v>804</v>
      </c>
      <c r="R28" s="108" t="s">
        <v>804</v>
      </c>
      <c r="S28" s="163"/>
      <c r="T28" s="8" t="s">
        <v>804</v>
      </c>
      <c r="U28" s="8" t="s">
        <v>804</v>
      </c>
      <c r="V28" s="157"/>
      <c r="W28" s="5">
        <f>COUNTIF(F28:V28,"P")</f>
        <v>4</v>
      </c>
      <c r="X28" s="5">
        <f>COUNTIF(F28:V28,"A")</f>
        <v>8</v>
      </c>
    </row>
    <row r="29" spans="1:28" ht="16.5" x14ac:dyDescent="0.25">
      <c r="A29" s="20">
        <v>10</v>
      </c>
      <c r="B29" s="20">
        <v>887</v>
      </c>
      <c r="C29" s="22" t="s">
        <v>691</v>
      </c>
      <c r="D29" s="23" t="s">
        <v>692</v>
      </c>
      <c r="E29" s="19" t="s">
        <v>727</v>
      </c>
      <c r="F29" s="8" t="s">
        <v>804</v>
      </c>
      <c r="G29" s="8" t="s">
        <v>804</v>
      </c>
      <c r="H29" s="157"/>
      <c r="I29" s="8" t="s">
        <v>804</v>
      </c>
      <c r="J29" s="8" t="s">
        <v>803</v>
      </c>
      <c r="K29" s="108" t="s">
        <v>803</v>
      </c>
      <c r="L29" s="8" t="s">
        <v>803</v>
      </c>
      <c r="M29" s="8" t="s">
        <v>804</v>
      </c>
      <c r="N29" s="163"/>
      <c r="O29" s="157"/>
      <c r="P29" s="8" t="s">
        <v>804</v>
      </c>
      <c r="Q29" s="8" t="s">
        <v>803</v>
      </c>
      <c r="R29" s="108" t="s">
        <v>803</v>
      </c>
      <c r="S29" s="163"/>
      <c r="T29" s="8" t="s">
        <v>804</v>
      </c>
      <c r="U29" s="8" t="s">
        <v>804</v>
      </c>
      <c r="V29" s="157"/>
      <c r="W29" s="5">
        <f>COUNTIF(F29:V29,"P")</f>
        <v>7</v>
      </c>
      <c r="X29" s="5">
        <f>COUNTIF(F29:V29,"A")</f>
        <v>5</v>
      </c>
    </row>
    <row r="30" spans="1:28" ht="16.5" x14ac:dyDescent="0.25">
      <c r="A30" s="20">
        <v>11</v>
      </c>
      <c r="B30" s="100">
        <v>884</v>
      </c>
      <c r="C30" s="25" t="s">
        <v>801</v>
      </c>
      <c r="D30" s="26" t="s">
        <v>333</v>
      </c>
      <c r="E30" s="19" t="s">
        <v>727</v>
      </c>
      <c r="F30" s="8" t="s">
        <v>804</v>
      </c>
      <c r="G30" s="8" t="s">
        <v>804</v>
      </c>
      <c r="H30" s="157"/>
      <c r="I30" s="8" t="s">
        <v>804</v>
      </c>
      <c r="J30" s="8" t="s">
        <v>804</v>
      </c>
      <c r="K30" s="108" t="s">
        <v>804</v>
      </c>
      <c r="L30" s="8" t="s">
        <v>804</v>
      </c>
      <c r="M30" s="8" t="s">
        <v>804</v>
      </c>
      <c r="N30" s="163"/>
      <c r="O30" s="157"/>
      <c r="P30" s="8" t="s">
        <v>804</v>
      </c>
      <c r="Q30" s="8" t="s">
        <v>804</v>
      </c>
      <c r="R30" s="108" t="s">
        <v>804</v>
      </c>
      <c r="S30" s="163"/>
      <c r="T30" s="8" t="s">
        <v>804</v>
      </c>
      <c r="U30" s="8" t="s">
        <v>804</v>
      </c>
      <c r="V30" s="157"/>
      <c r="W30" s="5">
        <f>COUNTIF(F30:V30,"P")</f>
        <v>12</v>
      </c>
      <c r="X30" s="5">
        <f>COUNTIF(F30:V30,"A")</f>
        <v>0</v>
      </c>
    </row>
    <row r="31" spans="1:28" ht="16.5" x14ac:dyDescent="0.25">
      <c r="A31" s="20">
        <v>12</v>
      </c>
      <c r="B31" s="20">
        <v>898</v>
      </c>
      <c r="C31" s="27" t="s">
        <v>693</v>
      </c>
      <c r="D31" s="27" t="s">
        <v>673</v>
      </c>
      <c r="E31" s="19" t="s">
        <v>727</v>
      </c>
      <c r="F31" s="8" t="s">
        <v>804</v>
      </c>
      <c r="G31" s="8" t="s">
        <v>804</v>
      </c>
      <c r="H31" s="157"/>
      <c r="I31" s="8" t="s">
        <v>804</v>
      </c>
      <c r="J31" s="8" t="s">
        <v>804</v>
      </c>
      <c r="K31" s="108" t="s">
        <v>804</v>
      </c>
      <c r="L31" s="8" t="s">
        <v>804</v>
      </c>
      <c r="M31" s="8" t="s">
        <v>804</v>
      </c>
      <c r="N31" s="163"/>
      <c r="O31" s="157"/>
      <c r="P31" s="8" t="s">
        <v>804</v>
      </c>
      <c r="Q31" s="8" t="s">
        <v>804</v>
      </c>
      <c r="R31" s="108" t="s">
        <v>804</v>
      </c>
      <c r="S31" s="163"/>
      <c r="T31" s="8" t="s">
        <v>803</v>
      </c>
      <c r="U31" s="8" t="s">
        <v>804</v>
      </c>
      <c r="V31" s="157"/>
      <c r="W31" s="5">
        <f>COUNTIF(F31:V31,"P")</f>
        <v>11</v>
      </c>
      <c r="X31" s="5">
        <f>COUNTIF(F31:V31,"A")</f>
        <v>1</v>
      </c>
    </row>
    <row r="32" spans="1:28" ht="16.5" x14ac:dyDescent="0.25">
      <c r="A32" s="20">
        <v>13</v>
      </c>
      <c r="B32" s="20">
        <v>899</v>
      </c>
      <c r="C32" s="14" t="s">
        <v>388</v>
      </c>
      <c r="D32" s="14" t="s">
        <v>139</v>
      </c>
      <c r="E32" s="19" t="s">
        <v>727</v>
      </c>
      <c r="F32" s="8" t="s">
        <v>804</v>
      </c>
      <c r="G32" s="8" t="s">
        <v>804</v>
      </c>
      <c r="H32" s="157"/>
      <c r="I32" s="8" t="s">
        <v>804</v>
      </c>
      <c r="J32" s="8" t="s">
        <v>803</v>
      </c>
      <c r="K32" s="108" t="s">
        <v>803</v>
      </c>
      <c r="L32" s="8" t="s">
        <v>804</v>
      </c>
      <c r="M32" s="8" t="s">
        <v>804</v>
      </c>
      <c r="N32" s="163"/>
      <c r="O32" s="157"/>
      <c r="P32" s="8" t="s">
        <v>804</v>
      </c>
      <c r="Q32" s="8" t="s">
        <v>804</v>
      </c>
      <c r="R32" s="108" t="s">
        <v>805</v>
      </c>
      <c r="S32" s="163"/>
      <c r="T32" s="8" t="s">
        <v>804</v>
      </c>
      <c r="U32" s="8" t="s">
        <v>804</v>
      </c>
      <c r="V32" s="157"/>
      <c r="W32" s="5">
        <f>COUNTIF(F32:V32,"P")</f>
        <v>9</v>
      </c>
      <c r="X32" s="5">
        <f>COUNTIF(F32:V32,"A")</f>
        <v>2</v>
      </c>
    </row>
    <row r="33" spans="1:24" ht="16.5" x14ac:dyDescent="0.25">
      <c r="A33" s="20">
        <v>14</v>
      </c>
      <c r="B33" s="20">
        <v>888</v>
      </c>
      <c r="C33" s="14" t="s">
        <v>254</v>
      </c>
      <c r="D33" s="14"/>
      <c r="E33" s="19" t="s">
        <v>727</v>
      </c>
      <c r="F33" s="8" t="s">
        <v>803</v>
      </c>
      <c r="G33" s="8" t="s">
        <v>803</v>
      </c>
      <c r="H33" s="157"/>
      <c r="I33" s="8" t="s">
        <v>803</v>
      </c>
      <c r="J33" s="8" t="s">
        <v>803</v>
      </c>
      <c r="K33" s="108" t="s">
        <v>803</v>
      </c>
      <c r="L33" s="8" t="s">
        <v>803</v>
      </c>
      <c r="M33" s="8" t="s">
        <v>803</v>
      </c>
      <c r="N33" s="163"/>
      <c r="O33" s="157"/>
      <c r="P33" s="8" t="s">
        <v>803</v>
      </c>
      <c r="Q33" s="8" t="s">
        <v>804</v>
      </c>
      <c r="R33" s="108" t="s">
        <v>804</v>
      </c>
      <c r="S33" s="163"/>
      <c r="T33" s="8" t="s">
        <v>804</v>
      </c>
      <c r="U33" s="8" t="s">
        <v>804</v>
      </c>
      <c r="V33" s="157"/>
      <c r="W33" s="5">
        <f>COUNTIF(F33:V33,"P")</f>
        <v>4</v>
      </c>
      <c r="X33" s="5">
        <f>COUNTIF(F33:V33,"A")</f>
        <v>8</v>
      </c>
    </row>
    <row r="34" spans="1:24" ht="16.5" x14ac:dyDescent="0.25">
      <c r="A34" s="20">
        <v>15</v>
      </c>
      <c r="B34" s="20">
        <v>893</v>
      </c>
      <c r="C34" s="14" t="s">
        <v>694</v>
      </c>
      <c r="D34" s="14"/>
      <c r="E34" s="19" t="s">
        <v>727</v>
      </c>
      <c r="F34" s="8" t="s">
        <v>804</v>
      </c>
      <c r="G34" s="8" t="s">
        <v>804</v>
      </c>
      <c r="H34" s="157"/>
      <c r="I34" s="8" t="s">
        <v>804</v>
      </c>
      <c r="J34" s="8" t="s">
        <v>803</v>
      </c>
      <c r="K34" s="108" t="s">
        <v>804</v>
      </c>
      <c r="L34" s="8" t="s">
        <v>804</v>
      </c>
      <c r="M34" s="8" t="s">
        <v>804</v>
      </c>
      <c r="N34" s="163"/>
      <c r="O34" s="157"/>
      <c r="P34" s="8" t="s">
        <v>804</v>
      </c>
      <c r="Q34" s="8" t="s">
        <v>804</v>
      </c>
      <c r="R34" s="108" t="s">
        <v>804</v>
      </c>
      <c r="S34" s="163"/>
      <c r="T34" s="8" t="s">
        <v>804</v>
      </c>
      <c r="U34" s="8" t="s">
        <v>804</v>
      </c>
      <c r="V34" s="157"/>
      <c r="W34" s="5">
        <f>COUNTIF(F34:V34,"P")</f>
        <v>11</v>
      </c>
      <c r="X34" s="5">
        <f>COUNTIF(F34:V34,"A")</f>
        <v>1</v>
      </c>
    </row>
    <row r="35" spans="1:24" ht="16.5" x14ac:dyDescent="0.25">
      <c r="A35" s="20">
        <v>16</v>
      </c>
      <c r="B35" s="20">
        <v>890</v>
      </c>
      <c r="C35" s="14" t="s">
        <v>151</v>
      </c>
      <c r="D35" s="14" t="s">
        <v>328</v>
      </c>
      <c r="E35" s="19" t="s">
        <v>727</v>
      </c>
      <c r="F35" s="8" t="s">
        <v>804</v>
      </c>
      <c r="G35" s="8" t="s">
        <v>804</v>
      </c>
      <c r="H35" s="157"/>
      <c r="I35" s="8" t="s">
        <v>804</v>
      </c>
      <c r="J35" s="8" t="s">
        <v>803</v>
      </c>
      <c r="K35" s="108" t="s">
        <v>804</v>
      </c>
      <c r="L35" s="8" t="s">
        <v>804</v>
      </c>
      <c r="M35" s="8" t="s">
        <v>804</v>
      </c>
      <c r="N35" s="163"/>
      <c r="O35" s="157"/>
      <c r="P35" s="8" t="s">
        <v>804</v>
      </c>
      <c r="Q35" s="8" t="s">
        <v>803</v>
      </c>
      <c r="R35" s="108" t="s">
        <v>804</v>
      </c>
      <c r="S35" s="163"/>
      <c r="T35" s="8" t="s">
        <v>804</v>
      </c>
      <c r="U35" s="8" t="s">
        <v>804</v>
      </c>
      <c r="V35" s="157"/>
      <c r="W35" s="5">
        <f>COUNTIF(F35:V35,"P")</f>
        <v>10</v>
      </c>
      <c r="X35" s="5">
        <f>COUNTIF(F35:V35,"A")</f>
        <v>2</v>
      </c>
    </row>
    <row r="36" spans="1:24" ht="16.5" x14ac:dyDescent="0.25">
      <c r="A36" s="20">
        <v>17</v>
      </c>
      <c r="B36" s="20">
        <v>889</v>
      </c>
      <c r="C36" s="14" t="s">
        <v>695</v>
      </c>
      <c r="D36" s="14" t="s">
        <v>436</v>
      </c>
      <c r="E36" s="19" t="s">
        <v>727</v>
      </c>
      <c r="F36" s="108" t="s">
        <v>803</v>
      </c>
      <c r="G36" s="108" t="s">
        <v>804</v>
      </c>
      <c r="H36" s="161"/>
      <c r="I36" s="108" t="s">
        <v>804</v>
      </c>
      <c r="J36" s="8" t="s">
        <v>804</v>
      </c>
      <c r="K36" s="108" t="s">
        <v>804</v>
      </c>
      <c r="L36" s="8" t="s">
        <v>804</v>
      </c>
      <c r="M36" s="8" t="s">
        <v>804</v>
      </c>
      <c r="N36" s="163"/>
      <c r="O36" s="161"/>
      <c r="P36" s="108" t="s">
        <v>805</v>
      </c>
      <c r="Q36" s="8" t="s">
        <v>805</v>
      </c>
      <c r="R36" s="108" t="s">
        <v>804</v>
      </c>
      <c r="S36" s="163"/>
      <c r="T36" s="8" t="s">
        <v>804</v>
      </c>
      <c r="U36" s="8" t="s">
        <v>804</v>
      </c>
      <c r="V36" s="161"/>
      <c r="W36" s="5">
        <f>COUNTIF(F36:V36,"P")</f>
        <v>9</v>
      </c>
      <c r="X36" s="5">
        <f>COUNTIF(F36:V36,"A")</f>
        <v>1</v>
      </c>
    </row>
    <row r="37" spans="1:24" x14ac:dyDescent="0.25">
      <c r="N37" s="163"/>
      <c r="S37" s="163"/>
    </row>
    <row r="38" spans="1:24" x14ac:dyDescent="0.25">
      <c r="N38" s="163"/>
      <c r="S38" s="163"/>
    </row>
    <row r="39" spans="1:24" x14ac:dyDescent="0.25">
      <c r="N39" s="163"/>
      <c r="S39" s="163"/>
    </row>
  </sheetData>
  <mergeCells count="17">
    <mergeCell ref="A1:X1"/>
    <mergeCell ref="A2:X2"/>
    <mergeCell ref="A3:A4"/>
    <mergeCell ref="C3:C4"/>
    <mergeCell ref="D3:D4"/>
    <mergeCell ref="E3:E4"/>
    <mergeCell ref="W3:W4"/>
    <mergeCell ref="X3:X4"/>
    <mergeCell ref="B3:B4"/>
    <mergeCell ref="Y3:Z3"/>
    <mergeCell ref="Y11:AB11"/>
    <mergeCell ref="Y19:AB19"/>
    <mergeCell ref="H5:H36"/>
    <mergeCell ref="O5:O36"/>
    <mergeCell ref="V5:V36"/>
    <mergeCell ref="N5:N39"/>
    <mergeCell ref="S5:S39"/>
  </mergeCells>
  <phoneticPr fontId="11" type="noConversion"/>
  <conditionalFormatting sqref="F5:M5 O5:P5">
    <cfRule type="cellIs" dxfId="58" priority="51" operator="equal">
      <formula>"L"</formula>
    </cfRule>
    <cfRule type="cellIs" dxfId="57" priority="52" operator="equal">
      <formula>"A"</formula>
    </cfRule>
    <cfRule type="cellIs" dxfId="56" priority="53" operator="equal">
      <formula>"P"</formula>
    </cfRule>
    <cfRule type="expression" dxfId="55" priority="54">
      <formula>F$3="SUN"</formula>
    </cfRule>
    <cfRule type="expression" dxfId="54" priority="55">
      <formula>F$4=TODAY()</formula>
    </cfRule>
  </conditionalFormatting>
  <conditionalFormatting sqref="Q5:R36 J6:M36 F4:V4 G6:G35 T5:U36">
    <cfRule type="expression" dxfId="53" priority="60">
      <formula>F$4=TODAY()</formula>
    </cfRule>
  </conditionalFormatting>
  <conditionalFormatting sqref="Q5:R36 J6:M36 G6:G36 T5:U36">
    <cfRule type="cellIs" dxfId="50" priority="56" operator="equal">
      <formula>"L"</formula>
    </cfRule>
    <cfRule type="cellIs" dxfId="49" priority="57" operator="equal">
      <formula>"A"</formula>
    </cfRule>
    <cfRule type="cellIs" dxfId="48" priority="58" operator="equal">
      <formula>"P"</formula>
    </cfRule>
  </conditionalFormatting>
  <conditionalFormatting sqref="Q5:R36 J6:M36 F4:V4 G6:G35 T5:U36">
    <cfRule type="expression" dxfId="47" priority="59">
      <formula>F$3="SUN"</formula>
    </cfRule>
  </conditionalFormatting>
  <conditionalFormatting sqref="W3:X3 W5:X36">
    <cfRule type="expression" dxfId="46" priority="257">
      <formula>#REF!="Sun"</formula>
    </cfRule>
  </conditionalFormatting>
  <conditionalFormatting sqref="Y5:Y9">
    <cfRule type="expression" dxfId="45" priority="214">
      <formula>Y$3="Sun"</formula>
    </cfRule>
  </conditionalFormatting>
  <conditionalFormatting sqref="Y12:Y15">
    <cfRule type="expression" dxfId="44" priority="212">
      <formula>Y$3="Sun"</formula>
    </cfRule>
  </conditionalFormatting>
  <conditionalFormatting sqref="Y20:Y23">
    <cfRule type="expression" dxfId="43" priority="211">
      <formula>Y$3="Sun"</formula>
    </cfRule>
  </conditionalFormatting>
  <conditionalFormatting sqref="Y4:Z4">
    <cfRule type="expression" dxfId="42" priority="215">
      <formula>Y$3="Sun"</formula>
    </cfRule>
  </conditionalFormatting>
  <conditionalFormatting sqref="Z12:AB12 Z20:AB20">
    <cfRule type="expression" dxfId="41" priority="216">
      <formula>Z$3="Sun"</formula>
    </cfRule>
  </conditionalFormatting>
  <conditionalFormatting sqref="AB21">
    <cfRule type="expression" dxfId="40" priority="213">
      <formula>AB$3="Sun"</formula>
    </cfRule>
  </conditionalFormatting>
  <conditionalFormatting sqref="F3:V3">
    <cfRule type="expression" dxfId="39" priority="39">
      <formula>F$4=TODAY()</formula>
    </cfRule>
    <cfRule type="expression" dxfId="38" priority="40">
      <formula>F$3="SUN"</formula>
    </cfRule>
  </conditionalFormatting>
  <conditionalFormatting sqref="V5">
    <cfRule type="cellIs" dxfId="37" priority="34" operator="equal">
      <formula>"L"</formula>
    </cfRule>
    <cfRule type="cellIs" dxfId="36" priority="35" operator="equal">
      <formula>"A"</formula>
    </cfRule>
    <cfRule type="cellIs" dxfId="35" priority="36" operator="equal">
      <formula>"P"</formula>
    </cfRule>
    <cfRule type="expression" dxfId="34" priority="37">
      <formula>V$3="SUN"</formula>
    </cfRule>
    <cfRule type="expression" dxfId="33" priority="38">
      <formula>V$4=TODAY()</formula>
    </cfRule>
  </conditionalFormatting>
  <conditionalFormatting sqref="I6:I35">
    <cfRule type="expression" dxfId="32" priority="31">
      <formula>I$4=TODAY()</formula>
    </cfRule>
  </conditionalFormatting>
  <conditionalFormatting sqref="I36">
    <cfRule type="expression" dxfId="31" priority="32">
      <formula>F$3="SUN"</formula>
    </cfRule>
    <cfRule type="expression" dxfId="30" priority="33">
      <formula>F$4=TODAY()</formula>
    </cfRule>
  </conditionalFormatting>
  <conditionalFormatting sqref="I6:I36">
    <cfRule type="cellIs" dxfId="29" priority="27" operator="equal">
      <formula>"L"</formula>
    </cfRule>
    <cfRule type="cellIs" dxfId="28" priority="28" operator="equal">
      <formula>"A"</formula>
    </cfRule>
    <cfRule type="cellIs" dxfId="27" priority="29" operator="equal">
      <formula>"P"</formula>
    </cfRule>
  </conditionalFormatting>
  <conditionalFormatting sqref="I6:I35">
    <cfRule type="expression" dxfId="26" priority="30">
      <formula>I$3="SUN"</formula>
    </cfRule>
  </conditionalFormatting>
  <conditionalFormatting sqref="P6:P35">
    <cfRule type="expression" dxfId="25" priority="24">
      <formula>P$4=TODAY()</formula>
    </cfRule>
  </conditionalFormatting>
  <conditionalFormatting sqref="P36">
    <cfRule type="expression" dxfId="24" priority="25">
      <formula>M$3="SUN"</formula>
    </cfRule>
    <cfRule type="expression" dxfId="23" priority="26">
      <formula>M$4=TODAY()</formula>
    </cfRule>
  </conditionalFormatting>
  <conditionalFormatting sqref="P6:P36">
    <cfRule type="cellIs" dxfId="22" priority="20" operator="equal">
      <formula>"L"</formula>
    </cfRule>
    <cfRule type="cellIs" dxfId="21" priority="21" operator="equal">
      <formula>"A"</formula>
    </cfRule>
    <cfRule type="cellIs" dxfId="20" priority="22" operator="equal">
      <formula>"P"</formula>
    </cfRule>
  </conditionalFormatting>
  <conditionalFormatting sqref="P6:P35">
    <cfRule type="expression" dxfId="19" priority="23">
      <formula>P$3="SUN"</formula>
    </cfRule>
  </conditionalFormatting>
  <conditionalFormatting sqref="F6:F35">
    <cfRule type="expression" dxfId="18" priority="17">
      <formula>F$4=TODAY()</formula>
    </cfRule>
  </conditionalFormatting>
  <conditionalFormatting sqref="F36">
    <cfRule type="expression" dxfId="17" priority="18">
      <formula>C$3="SUN"</formula>
    </cfRule>
    <cfRule type="expression" dxfId="16" priority="19">
      <formula>C$4=TODAY()</formula>
    </cfRule>
  </conditionalFormatting>
  <conditionalFormatting sqref="F6:F36">
    <cfRule type="cellIs" dxfId="15" priority="13" operator="equal">
      <formula>"L"</formula>
    </cfRule>
    <cfRule type="cellIs" dxfId="14" priority="14" operator="equal">
      <formula>"A"</formula>
    </cfRule>
    <cfRule type="cellIs" dxfId="13" priority="15" operator="equal">
      <formula>"P"</formula>
    </cfRule>
  </conditionalFormatting>
  <conditionalFormatting sqref="F6:F35">
    <cfRule type="expression" dxfId="12" priority="16">
      <formula>F$3="SUN"</formula>
    </cfRule>
  </conditionalFormatting>
  <conditionalFormatting sqref="G36">
    <cfRule type="expression" dxfId="11" priority="11">
      <formula>D$3="SUN"</formula>
    </cfRule>
    <cfRule type="expression" dxfId="10" priority="12">
      <formula>D$4=TODAY()</formula>
    </cfRule>
  </conditionalFormatting>
  <conditionalFormatting sqref="N5">
    <cfRule type="expression" dxfId="9" priority="6">
      <formula>N$4=TODAY()</formula>
    </cfRule>
    <cfRule type="expression" dxfId="8" priority="7">
      <formula>N$3="SUN"</formula>
    </cfRule>
  </conditionalFormatting>
  <conditionalFormatting sqref="N5">
    <cfRule type="cellIs" dxfId="7" priority="8" operator="equal">
      <formula>"L"</formula>
    </cfRule>
    <cfRule type="cellIs" dxfId="6" priority="9" operator="equal">
      <formula>"A"</formula>
    </cfRule>
    <cfRule type="cellIs" dxfId="5" priority="10" operator="equal">
      <formula>"P"</formula>
    </cfRule>
  </conditionalFormatting>
  <conditionalFormatting sqref="S5">
    <cfRule type="expression" dxfId="4" priority="1">
      <formula>S$4=TODAY()</formula>
    </cfRule>
    <cfRule type="expression" dxfId="3" priority="2">
      <formula>S$3="SUN"</formula>
    </cfRule>
  </conditionalFormatting>
  <conditionalFormatting sqref="S5">
    <cfRule type="cellIs" dxfId="2" priority="3" operator="equal">
      <formula>"L"</formula>
    </cfRule>
    <cfRule type="cellIs" dxfId="1" priority="4" operator="equal">
      <formula>"A"</formula>
    </cfRule>
    <cfRule type="cellIs" dxfId="0" priority="5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 Sheet-November-2024</vt:lpstr>
      <vt:lpstr>ECE ROSE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cp:lastPrinted>2025-05-13T05:05:56Z</cp:lastPrinted>
  <dcterms:created xsi:type="dcterms:W3CDTF">2015-06-05T18:17:20Z</dcterms:created>
  <dcterms:modified xsi:type="dcterms:W3CDTF">2025-09-18T06:34:22Z</dcterms:modified>
</cp:coreProperties>
</file>