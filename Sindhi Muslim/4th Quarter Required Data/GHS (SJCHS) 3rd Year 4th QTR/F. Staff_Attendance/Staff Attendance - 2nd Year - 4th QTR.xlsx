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4th Quarter Required Data\GHS (SJCHS) 3rd Year 4th QTR\F. Staff_Attendance\"/>
    </mc:Choice>
  </mc:AlternateContent>
  <xr:revisionPtr revIDLastSave="0" documentId="8_{8C333879-8709-4BDE-9955-B737CE0AA42C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MAY-2025" sheetId="14" r:id="rId1"/>
    <sheet name="JUN-2025" sheetId="15" r:id="rId2"/>
    <sheet name="JUL-2025" sheetId="16" r:id="rId3"/>
    <sheet name="AUG-2025" sheetId="1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17" l="1"/>
  <c r="T6" i="17"/>
  <c r="T7" i="17"/>
  <c r="T8" i="17"/>
  <c r="T9" i="17"/>
  <c r="T10" i="17"/>
  <c r="T11" i="17"/>
  <c r="T12" i="17"/>
  <c r="T13" i="17"/>
  <c r="V26" i="17"/>
  <c r="U26" i="17"/>
  <c r="T26" i="17"/>
  <c r="Y26" i="17" s="1"/>
  <c r="V25" i="17"/>
  <c r="U25" i="17"/>
  <c r="T25" i="17"/>
  <c r="V24" i="17"/>
  <c r="U24" i="17"/>
  <c r="T24" i="17"/>
  <c r="V23" i="17"/>
  <c r="U23" i="17"/>
  <c r="T23" i="17"/>
  <c r="V22" i="17"/>
  <c r="U22" i="17"/>
  <c r="T22" i="17"/>
  <c r="Y22" i="17" s="1"/>
  <c r="V21" i="17"/>
  <c r="U21" i="17"/>
  <c r="T21" i="17"/>
  <c r="Y21" i="17" s="1"/>
  <c r="V20" i="17"/>
  <c r="U20" i="17"/>
  <c r="T20" i="17"/>
  <c r="V19" i="17"/>
  <c r="U19" i="17"/>
  <c r="T19" i="17"/>
  <c r="V18" i="17"/>
  <c r="U18" i="17"/>
  <c r="T18" i="17"/>
  <c r="A18" i="17"/>
  <c r="A19" i="17" s="1"/>
  <c r="A20" i="17" s="1"/>
  <c r="A21" i="17" s="1"/>
  <c r="A22" i="17" s="1"/>
  <c r="A23" i="17" s="1"/>
  <c r="A24" i="17" s="1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V13" i="17"/>
  <c r="Y13" i="17" s="1"/>
  <c r="U13" i="17"/>
  <c r="V12" i="17"/>
  <c r="U12" i="17"/>
  <c r="V11" i="17"/>
  <c r="U11" i="17"/>
  <c r="V10" i="17"/>
  <c r="U10" i="17"/>
  <c r="V9" i="17"/>
  <c r="Y9" i="17" s="1"/>
  <c r="U9" i="17"/>
  <c r="V8" i="17"/>
  <c r="U8" i="17"/>
  <c r="V7" i="17"/>
  <c r="U7" i="17"/>
  <c r="V6" i="17"/>
  <c r="U6" i="17"/>
  <c r="V5" i="17"/>
  <c r="Y5" i="17" s="1"/>
  <c r="U5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AI18" i="16"/>
  <c r="AI19" i="16"/>
  <c r="AI20" i="16"/>
  <c r="AI21" i="16"/>
  <c r="AI22" i="16"/>
  <c r="AI23" i="16"/>
  <c r="AI24" i="16"/>
  <c r="AI25" i="16"/>
  <c r="AI26" i="16"/>
  <c r="AC3" i="16"/>
  <c r="AD3" i="16"/>
  <c r="AE3" i="16"/>
  <c r="AF3" i="16"/>
  <c r="AG3" i="16"/>
  <c r="Z16" i="16"/>
  <c r="AA16" i="16"/>
  <c r="AB16" i="16"/>
  <c r="AC16" i="16"/>
  <c r="AD16" i="16"/>
  <c r="AE16" i="16"/>
  <c r="AF16" i="16"/>
  <c r="AK26" i="16"/>
  <c r="AJ26" i="16"/>
  <c r="AN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18" i="16"/>
  <c r="A19" i="16" s="1"/>
  <c r="A20" i="16" s="1"/>
  <c r="A21" i="16" s="1"/>
  <c r="A22" i="16" s="1"/>
  <c r="A23" i="16" s="1"/>
  <c r="A24" i="16" s="1"/>
  <c r="AH16" i="16"/>
  <c r="AG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AK13" i="16"/>
  <c r="AJ13" i="16"/>
  <c r="AI13" i="16"/>
  <c r="AK12" i="16"/>
  <c r="AJ12" i="16"/>
  <c r="AI12" i="16"/>
  <c r="AN12" i="16" s="1"/>
  <c r="AK11" i="16"/>
  <c r="AJ11" i="16"/>
  <c r="AI11" i="16"/>
  <c r="AK10" i="16"/>
  <c r="AJ10" i="16"/>
  <c r="AI10" i="16"/>
  <c r="AK9" i="16"/>
  <c r="AJ9" i="16"/>
  <c r="AI9" i="16"/>
  <c r="AK8" i="16"/>
  <c r="AJ8" i="16"/>
  <c r="AI8" i="16"/>
  <c r="AN8" i="16" s="1"/>
  <c r="AK7" i="16"/>
  <c r="AJ7" i="16"/>
  <c r="AI7" i="16"/>
  <c r="AK6" i="16"/>
  <c r="AJ6" i="16"/>
  <c r="AI6" i="16"/>
  <c r="AK5" i="16"/>
  <c r="AJ5" i="16"/>
  <c r="AI5" i="16"/>
  <c r="AH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J26" i="15"/>
  <c r="AI26" i="15"/>
  <c r="AH26" i="15"/>
  <c r="AJ25" i="15"/>
  <c r="AI25" i="15"/>
  <c r="AH25" i="15"/>
  <c r="AJ24" i="15"/>
  <c r="AI24" i="15"/>
  <c r="AH24" i="15"/>
  <c r="AJ23" i="15"/>
  <c r="AI23" i="15"/>
  <c r="AH23" i="15"/>
  <c r="AJ22" i="15"/>
  <c r="AI22" i="15"/>
  <c r="AH22" i="15"/>
  <c r="AJ21" i="15"/>
  <c r="AI21" i="15"/>
  <c r="AH21" i="15"/>
  <c r="AJ20" i="15"/>
  <c r="AI20" i="15"/>
  <c r="AH20" i="15"/>
  <c r="AJ19" i="15"/>
  <c r="AI19" i="15"/>
  <c r="AH19" i="15"/>
  <c r="AJ18" i="15"/>
  <c r="AI18" i="15"/>
  <c r="AH18" i="15"/>
  <c r="A18" i="15"/>
  <c r="A19" i="15" s="1"/>
  <c r="A20" i="15" s="1"/>
  <c r="A21" i="15" s="1"/>
  <c r="A22" i="15" s="1"/>
  <c r="A23" i="15" s="1"/>
  <c r="A24" i="15" s="1"/>
  <c r="E16" i="15"/>
  <c r="D16" i="15"/>
  <c r="AJ13" i="15"/>
  <c r="AI13" i="15"/>
  <c r="AH13" i="15"/>
  <c r="AJ12" i="15"/>
  <c r="AI12" i="15"/>
  <c r="AH12" i="15"/>
  <c r="AJ11" i="15"/>
  <c r="AI11" i="15"/>
  <c r="AH11" i="15"/>
  <c r="AJ10" i="15"/>
  <c r="AI10" i="15"/>
  <c r="AH10" i="15"/>
  <c r="AJ9" i="15"/>
  <c r="AI9" i="15"/>
  <c r="AH9" i="15"/>
  <c r="AJ8" i="15"/>
  <c r="AI8" i="15"/>
  <c r="AH8" i="15"/>
  <c r="AJ7" i="15"/>
  <c r="AI7" i="15"/>
  <c r="AH7" i="15"/>
  <c r="AJ6" i="15"/>
  <c r="AI6" i="15"/>
  <c r="AH6" i="15"/>
  <c r="AJ5" i="15"/>
  <c r="AI5" i="15"/>
  <c r="AH5" i="15"/>
  <c r="E3" i="15"/>
  <c r="D3" i="15"/>
  <c r="U25" i="14"/>
  <c r="T25" i="14"/>
  <c r="S25" i="14"/>
  <c r="X25" i="14" s="1"/>
  <c r="U12" i="14"/>
  <c r="T12" i="14"/>
  <c r="S12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U26" i="14"/>
  <c r="T26" i="14"/>
  <c r="S26" i="14"/>
  <c r="U24" i="14"/>
  <c r="T24" i="14"/>
  <c r="S24" i="14"/>
  <c r="U23" i="14"/>
  <c r="T23" i="14"/>
  <c r="S23" i="14"/>
  <c r="U22" i="14"/>
  <c r="T22" i="14"/>
  <c r="S22" i="14"/>
  <c r="U21" i="14"/>
  <c r="T21" i="14"/>
  <c r="S21" i="14"/>
  <c r="U20" i="14"/>
  <c r="T20" i="14"/>
  <c r="S20" i="14"/>
  <c r="U19" i="14"/>
  <c r="T19" i="14"/>
  <c r="S19" i="14"/>
  <c r="U18" i="14"/>
  <c r="T18" i="14"/>
  <c r="S18" i="14"/>
  <c r="A18" i="14"/>
  <c r="A19" i="14" s="1"/>
  <c r="A20" i="14" s="1"/>
  <c r="A21" i="14" s="1"/>
  <c r="A22" i="14" s="1"/>
  <c r="A23" i="14" s="1"/>
  <c r="A24" i="14" s="1"/>
  <c r="D16" i="14"/>
  <c r="U13" i="14"/>
  <c r="T13" i="14"/>
  <c r="S13" i="14"/>
  <c r="U11" i="14"/>
  <c r="T11" i="14"/>
  <c r="S11" i="14"/>
  <c r="U10" i="14"/>
  <c r="T10" i="14"/>
  <c r="S10" i="14"/>
  <c r="U9" i="14"/>
  <c r="T9" i="14"/>
  <c r="S9" i="14"/>
  <c r="U8" i="14"/>
  <c r="T8" i="14"/>
  <c r="S8" i="14"/>
  <c r="U7" i="14"/>
  <c r="T7" i="14"/>
  <c r="S7" i="14"/>
  <c r="U6" i="14"/>
  <c r="T6" i="14"/>
  <c r="S6" i="14"/>
  <c r="U5" i="14"/>
  <c r="T5" i="14"/>
  <c r="S5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Y19" i="17" l="1"/>
  <c r="Y20" i="17"/>
  <c r="Y18" i="17"/>
  <c r="Y23" i="17"/>
  <c r="Y6" i="17"/>
  <c r="Y10" i="17"/>
  <c r="Y8" i="17"/>
  <c r="Y12" i="17"/>
  <c r="Y25" i="17"/>
  <c r="Y7" i="17"/>
  <c r="Y11" i="17"/>
  <c r="Y24" i="17"/>
  <c r="AN24" i="16"/>
  <c r="AN21" i="16"/>
  <c r="AN6" i="16"/>
  <c r="AN7" i="16"/>
  <c r="AN11" i="16"/>
  <c r="AN10" i="16"/>
  <c r="AN19" i="16"/>
  <c r="AN5" i="16"/>
  <c r="AN9" i="16"/>
  <c r="AN13" i="16"/>
  <c r="AN18" i="16"/>
  <c r="AN20" i="16"/>
  <c r="AN23" i="16"/>
  <c r="AN25" i="16"/>
  <c r="AN22" i="16"/>
  <c r="AM21" i="15"/>
  <c r="AM5" i="15"/>
  <c r="AM8" i="15"/>
  <c r="AM12" i="15"/>
  <c r="AM9" i="15"/>
  <c r="AM13" i="15"/>
  <c r="AM22" i="15"/>
  <c r="AM24" i="15"/>
  <c r="AM7" i="15"/>
  <c r="AM11" i="15"/>
  <c r="AM19" i="15"/>
  <c r="AM26" i="15"/>
  <c r="AM6" i="15"/>
  <c r="AM10" i="15"/>
  <c r="AM18" i="15"/>
  <c r="AM20" i="15"/>
  <c r="AM23" i="15"/>
  <c r="AM25" i="15"/>
  <c r="X5" i="14"/>
  <c r="X9" i="14"/>
  <c r="X8" i="14"/>
  <c r="X13" i="14"/>
  <c r="X7" i="14"/>
  <c r="X6" i="14"/>
  <c r="X12" i="14"/>
  <c r="X10" i="14"/>
  <c r="X18" i="14"/>
  <c r="X22" i="14"/>
  <c r="X11" i="14"/>
  <c r="X24" i="14"/>
  <c r="X23" i="14"/>
  <c r="X21" i="14"/>
  <c r="X20" i="14"/>
  <c r="X26" i="14"/>
  <c r="X19" i="14"/>
</calcChain>
</file>

<file path=xl/sharedStrings.xml><?xml version="1.0" encoding="utf-8"?>
<sst xmlns="http://schemas.openxmlformats.org/spreadsheetml/2006/main" count="920" uniqueCount="43">
  <si>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</si>
  <si>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</si>
  <si>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</si>
  <si>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</si>
  <si>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</si>
  <si>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</si>
  <si>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</si>
  <si>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</si>
  <si>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Teacher</t>
  </si>
  <si>
    <t>Miss Parwish Fatima</t>
  </si>
  <si>
    <t>Miss Saba</t>
  </si>
  <si>
    <t>Miss Shaila Bhatti</t>
  </si>
  <si>
    <t>L</t>
  </si>
  <si>
    <t>Syeda Samiya</t>
  </si>
  <si>
    <t>Co-Ordinator</t>
  </si>
  <si>
    <t>Naeem Ahmed</t>
  </si>
  <si>
    <t>Guard</t>
  </si>
  <si>
    <t>Ijaz Ahmed</t>
  </si>
  <si>
    <t>Gardner</t>
  </si>
  <si>
    <t>Maid</t>
  </si>
  <si>
    <t>Tahira Bibi</t>
  </si>
  <si>
    <t>Rimsha Bibi</t>
  </si>
  <si>
    <t>Cleaner</t>
  </si>
  <si>
    <t>SUN</t>
  </si>
  <si>
    <t>SUNDAY</t>
  </si>
  <si>
    <t>Miss Saiqa</t>
  </si>
  <si>
    <t>Sir Fayyaz</t>
  </si>
  <si>
    <t>IT Teacher</t>
  </si>
  <si>
    <t>Haleema</t>
  </si>
  <si>
    <t>Nusrat</t>
  </si>
  <si>
    <t>TEACHING STAFF</t>
  </si>
  <si>
    <t>NON-TEACHING STAFF</t>
  </si>
  <si>
    <t>LHV</t>
  </si>
  <si>
    <t>Miss Hussan Bano</t>
  </si>
  <si>
    <t>Directress</t>
  </si>
  <si>
    <t>Librarion</t>
  </si>
  <si>
    <t>Shumaila Habib</t>
  </si>
  <si>
    <t>O.Off</t>
  </si>
  <si>
    <t>Miss Tasneem</t>
  </si>
  <si>
    <t>Miss Shagufta</t>
  </si>
  <si>
    <t>Miss Tania</t>
  </si>
  <si>
    <t>Sameena</t>
  </si>
  <si>
    <t>Summer Vocations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</si>
</sst>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1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5" xfId="0" applyFill="1" applyBorder="1"/>
    <xf numFmtId="0" fontId="0" fillId="3" borderId="12" xfId="0" applyFill="1" applyBorder="1"/>
    <xf numFmtId="0" fontId="0" fillId="3" borderId="7" xfId="0" applyFill="1" applyBorder="1"/>
    <xf numFmtId="0" fontId="0" fillId="3" borderId="4" xfId="0" applyFill="1" applyBorder="1" applyAlignment="1">
      <alignment horizontal="center" vertical="center" textRotation="90"/>
    </xf>
    <xf numFmtId="164" fontId="0" fillId="3" borderId="6" xfId="0" applyNumberForma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textRotation="90"/>
    </xf>
    <xf numFmtId="164" fontId="0" fillId="3" borderId="5" xfId="0" applyNumberForma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textRotation="255"/>
    </xf>
    <xf numFmtId="0" fontId="2" fillId="3" borderId="11" xfId="0" applyFont="1" applyFill="1" applyBorder="1" applyAlignment="1">
      <alignment horizontal="center" vertical="center" textRotation="255"/>
    </xf>
    <xf numFmtId="0" fontId="2" fillId="3" borderId="13" xfId="0" applyFont="1" applyFill="1" applyBorder="1" applyAlignment="1">
      <alignment horizontal="center" vertical="center" textRotation="255"/>
    </xf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1" fillId="2" borderId="17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 textRotation="90"/>
    </xf>
    <xf numFmtId="0" fontId="0" fillId="3" borderId="27" xfId="0" applyFill="1" applyBorder="1" applyAlignment="1">
      <alignment horizontal="center" vertical="center" textRotation="90"/>
    </xf>
    <xf numFmtId="0" fontId="0" fillId="3" borderId="28" xfId="0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 textRotation="255"/>
    </xf>
    <xf numFmtId="0" fontId="3" fillId="2" borderId="22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 textRotation="90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/>
    </xf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164" fontId="0" fillId="3" borderId="7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164" fontId="0" fillId="3" borderId="21" xfId="0" applyNumberFormat="1" applyFill="1" applyBorder="1" applyAlignment="1">
      <alignment horizontal="center" vertical="center"/>
    </xf>
  </cellXfs>
  <cellStyles count="1">
    <cellStyle name="Normal" xfId="0" builtinId="0"/>
  </cellStyles>
  <dxfs count="6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833A-10BB-4BBD-BF3B-FA5A852C0C4E}">
  <dimension ref="A1:X26"/>
  <sheetViews>
    <sheetView topLeftCell="A10" workbookViewId="0">
      <selection activeCell="L18" sqref="L18:L2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2.5703125" bestFit="1" customWidth="1"/>
    <col min="4" max="9" width="3.7109375" bestFit="1" customWidth="1"/>
    <col min="10" max="18" width="3.7109375" customWidth="1"/>
    <col min="19" max="23" width="5.7109375" customWidth="1"/>
    <col min="24" max="24" width="7.42578125" bestFit="1" customWidth="1"/>
  </cols>
  <sheetData>
    <row r="1" spans="1:24" ht="15.75" thickBot="1" x14ac:dyDescent="0.3"/>
    <row r="2" spans="1:24" ht="32.25" thickBot="1" x14ac:dyDescent="0.55000000000000004">
      <c r="A2" s="37" t="s">
        <v>30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9"/>
    </row>
    <row r="3" spans="1:24" ht="27" x14ac:dyDescent="0.25">
      <c r="A3" s="40" t="s">
        <v>0</v>
      </c>
      <c r="B3" s="41"/>
      <c r="C3" s="48"/>
      <c r="D3" s="50" t="str">
        <f>TEXT(D4,"ddd")</f>
        <v>Sat</v>
      </c>
      <c r="E3" s="51" t="str">
        <f t="shared" ref="E3:R3" si="0">TEXT(E4,"ddd")</f>
        <v>Sun</v>
      </c>
      <c r="F3" s="51" t="str">
        <f t="shared" si="0"/>
        <v>Mon</v>
      </c>
      <c r="G3" s="51" t="str">
        <f t="shared" si="0"/>
        <v>Tue</v>
      </c>
      <c r="H3" s="51" t="str">
        <f t="shared" si="0"/>
        <v>Wed</v>
      </c>
      <c r="I3" s="51" t="str">
        <f t="shared" si="0"/>
        <v>Thu</v>
      </c>
      <c r="J3" s="51" t="str">
        <f t="shared" si="0"/>
        <v>Fri</v>
      </c>
      <c r="K3" s="51" t="str">
        <f t="shared" si="0"/>
        <v>Sat</v>
      </c>
      <c r="L3" s="51" t="str">
        <f t="shared" si="0"/>
        <v>Sun</v>
      </c>
      <c r="M3" s="51" t="str">
        <f t="shared" si="0"/>
        <v>Mon</v>
      </c>
      <c r="N3" s="51" t="str">
        <f t="shared" si="0"/>
        <v>Tue</v>
      </c>
      <c r="O3" s="51" t="str">
        <f t="shared" si="0"/>
        <v>Wed</v>
      </c>
      <c r="P3" s="51" t="str">
        <f t="shared" si="0"/>
        <v>Thu</v>
      </c>
      <c r="Q3" s="51" t="str">
        <f t="shared" si="0"/>
        <v>Fri</v>
      </c>
      <c r="R3" s="55" t="str">
        <f t="shared" si="0"/>
        <v>Sat</v>
      </c>
      <c r="S3" s="54" t="s">
        <v>1</v>
      </c>
      <c r="T3" s="44"/>
      <c r="U3" s="44"/>
      <c r="V3" s="44"/>
      <c r="W3" s="44"/>
      <c r="X3" s="45"/>
    </row>
    <row r="4" spans="1:24" x14ac:dyDescent="0.25">
      <c r="A4" s="1" t="s">
        <v>2</v>
      </c>
      <c r="B4" s="2" t="s">
        <v>3</v>
      </c>
      <c r="C4" s="27" t="s">
        <v>4</v>
      </c>
      <c r="D4" s="29">
        <v>45794</v>
      </c>
      <c r="E4" s="7">
        <v>45795</v>
      </c>
      <c r="F4" s="7">
        <v>45796</v>
      </c>
      <c r="G4" s="7">
        <v>45797</v>
      </c>
      <c r="H4" s="7">
        <v>45798</v>
      </c>
      <c r="I4" s="7">
        <v>45799</v>
      </c>
      <c r="J4" s="7">
        <v>45800</v>
      </c>
      <c r="K4" s="7">
        <v>45801</v>
      </c>
      <c r="L4" s="7">
        <v>45802</v>
      </c>
      <c r="M4" s="7">
        <v>45803</v>
      </c>
      <c r="N4" s="7">
        <v>45804</v>
      </c>
      <c r="O4" s="7">
        <v>45805</v>
      </c>
      <c r="P4" s="7">
        <v>45806</v>
      </c>
      <c r="Q4" s="7">
        <v>45807</v>
      </c>
      <c r="R4" s="26">
        <v>45808</v>
      </c>
      <c r="S4" s="49" t="s">
        <v>6</v>
      </c>
      <c r="T4" s="13" t="s">
        <v>7</v>
      </c>
      <c r="U4" s="13" t="s">
        <v>12</v>
      </c>
      <c r="V4" s="13" t="s">
        <v>37</v>
      </c>
      <c r="W4" s="13" t="s">
        <v>23</v>
      </c>
      <c r="X4" s="14" t="s">
        <v>5</v>
      </c>
    </row>
    <row r="5" spans="1:24" ht="15" customHeight="1" x14ac:dyDescent="0.25">
      <c r="A5" s="3">
        <v>1</v>
      </c>
      <c r="B5" s="4" t="s">
        <v>25</v>
      </c>
      <c r="C5" s="18" t="s">
        <v>8</v>
      </c>
      <c r="D5" s="56" t="s">
        <v>6</v>
      </c>
      <c r="E5" s="53" t="s">
        <v>24</v>
      </c>
      <c r="F5" s="52" t="s">
        <v>6</v>
      </c>
      <c r="G5" s="52" t="s">
        <v>6</v>
      </c>
      <c r="H5" s="52" t="s">
        <v>6</v>
      </c>
      <c r="I5" s="52" t="s">
        <v>6</v>
      </c>
      <c r="J5" s="52" t="s">
        <v>6</v>
      </c>
      <c r="K5" s="52" t="s">
        <v>6</v>
      </c>
      <c r="L5" s="53" t="s">
        <v>24</v>
      </c>
      <c r="M5" s="52" t="s">
        <v>6</v>
      </c>
      <c r="N5" s="52" t="s">
        <v>6</v>
      </c>
      <c r="O5" s="52" t="s">
        <v>6</v>
      </c>
      <c r="P5" s="52" t="s">
        <v>6</v>
      </c>
      <c r="Q5" s="52" t="s">
        <v>6</v>
      </c>
      <c r="R5" s="57" t="s">
        <v>6</v>
      </c>
      <c r="S5" s="32">
        <f>COUNTIF(D5:R5,"P")</f>
        <v>13</v>
      </c>
      <c r="T5" s="4">
        <f>COUNTIF(D5:R5,"A")</f>
        <v>0</v>
      </c>
      <c r="U5" s="4">
        <f>COUNTIF(D5:R5,"L")</f>
        <v>0</v>
      </c>
      <c r="V5" s="4">
        <v>1</v>
      </c>
      <c r="W5" s="4">
        <v>2</v>
      </c>
      <c r="X5" s="16">
        <f t="shared" ref="X5:X13" si="1">S5+U5+V5+W5</f>
        <v>16</v>
      </c>
    </row>
    <row r="6" spans="1:24" x14ac:dyDescent="0.25">
      <c r="A6" s="3">
        <v>2</v>
      </c>
      <c r="B6" s="4" t="s">
        <v>10</v>
      </c>
      <c r="C6" s="18" t="s">
        <v>8</v>
      </c>
      <c r="D6" s="3" t="s">
        <v>6</v>
      </c>
      <c r="E6" s="46"/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6"/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16" t="s">
        <v>6</v>
      </c>
      <c r="S6" s="32">
        <f>COUNTIF(D6:R6,"P")</f>
        <v>13</v>
      </c>
      <c r="T6" s="4">
        <f>COUNTIF(D6:R6,"A")</f>
        <v>0</v>
      </c>
      <c r="U6" s="4">
        <f>COUNTIF(D6:R6,"L")</f>
        <v>0</v>
      </c>
      <c r="V6" s="4">
        <v>1</v>
      </c>
      <c r="W6" s="4">
        <v>2</v>
      </c>
      <c r="X6" s="16">
        <f t="shared" si="1"/>
        <v>16</v>
      </c>
    </row>
    <row r="7" spans="1:24" x14ac:dyDescent="0.25">
      <c r="A7" s="3">
        <v>3</v>
      </c>
      <c r="B7" s="4" t="s">
        <v>9</v>
      </c>
      <c r="C7" s="18" t="s">
        <v>8</v>
      </c>
      <c r="D7" s="3" t="s">
        <v>6</v>
      </c>
      <c r="E7" s="46"/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6"/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16" t="s">
        <v>6</v>
      </c>
      <c r="S7" s="32">
        <f>COUNTIF(D7:R7,"P")</f>
        <v>13</v>
      </c>
      <c r="T7" s="4">
        <f>COUNTIF(D7:R7,"A")</f>
        <v>0</v>
      </c>
      <c r="U7" s="4">
        <f>COUNTIF(D7:R7,"L")</f>
        <v>0</v>
      </c>
      <c r="V7" s="4">
        <v>1</v>
      </c>
      <c r="W7" s="4">
        <v>2</v>
      </c>
      <c r="X7" s="16">
        <f t="shared" si="1"/>
        <v>16</v>
      </c>
    </row>
    <row r="8" spans="1:24" x14ac:dyDescent="0.25">
      <c r="A8" s="3">
        <v>4</v>
      </c>
      <c r="B8" s="4" t="s">
        <v>11</v>
      </c>
      <c r="C8" s="18" t="s">
        <v>35</v>
      </c>
      <c r="D8" s="3" t="s">
        <v>6</v>
      </c>
      <c r="E8" s="46"/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6"/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16" t="s">
        <v>6</v>
      </c>
      <c r="S8" s="32">
        <f>COUNTIF(D8:R8,"P")</f>
        <v>13</v>
      </c>
      <c r="T8" s="4">
        <f>COUNTIF(D8:R8,"A")</f>
        <v>0</v>
      </c>
      <c r="U8" s="4">
        <f>COUNTIF(D8:R8,"L")</f>
        <v>0</v>
      </c>
      <c r="V8" s="4">
        <v>1</v>
      </c>
      <c r="W8" s="4">
        <v>2</v>
      </c>
      <c r="X8" s="16">
        <f t="shared" si="1"/>
        <v>16</v>
      </c>
    </row>
    <row r="9" spans="1:24" x14ac:dyDescent="0.25">
      <c r="A9" s="3">
        <v>5</v>
      </c>
      <c r="B9" s="4" t="s">
        <v>26</v>
      </c>
      <c r="C9" s="18" t="s">
        <v>27</v>
      </c>
      <c r="D9" s="3" t="s">
        <v>6</v>
      </c>
      <c r="E9" s="46"/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6"/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16" t="s">
        <v>6</v>
      </c>
      <c r="S9" s="32">
        <f>COUNTIF(D9:R9,"P")</f>
        <v>13</v>
      </c>
      <c r="T9" s="4">
        <f>COUNTIF(D9:R9,"A")</f>
        <v>0</v>
      </c>
      <c r="U9" s="4">
        <f>COUNTIF(D9:R9,"L")</f>
        <v>0</v>
      </c>
      <c r="V9" s="4">
        <v>1</v>
      </c>
      <c r="W9" s="4">
        <v>2</v>
      </c>
      <c r="X9" s="16">
        <f t="shared" si="1"/>
        <v>16</v>
      </c>
    </row>
    <row r="10" spans="1:24" x14ac:dyDescent="0.25">
      <c r="A10" s="3">
        <v>6</v>
      </c>
      <c r="B10" s="4" t="s">
        <v>33</v>
      </c>
      <c r="C10" s="18" t="s">
        <v>34</v>
      </c>
      <c r="D10" s="3" t="s">
        <v>6</v>
      </c>
      <c r="E10" s="46"/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6"/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16" t="s">
        <v>6</v>
      </c>
      <c r="S10" s="32">
        <f>COUNTIF(D10:R10,"P")</f>
        <v>13</v>
      </c>
      <c r="T10" s="4">
        <f>COUNTIF(D10:R10,"A")</f>
        <v>0</v>
      </c>
      <c r="U10" s="4">
        <f>COUNTIF(D10:R10,"L")</f>
        <v>0</v>
      </c>
      <c r="V10" s="4">
        <v>1</v>
      </c>
      <c r="W10" s="4">
        <v>2</v>
      </c>
      <c r="X10" s="16">
        <f t="shared" si="1"/>
        <v>16</v>
      </c>
    </row>
    <row r="11" spans="1:24" x14ac:dyDescent="0.25">
      <c r="A11" s="3">
        <v>7</v>
      </c>
      <c r="B11" s="11" t="s">
        <v>38</v>
      </c>
      <c r="C11" s="18" t="s">
        <v>8</v>
      </c>
      <c r="D11" s="3" t="s">
        <v>6</v>
      </c>
      <c r="E11" s="34"/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34"/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16" t="s">
        <v>6</v>
      </c>
      <c r="S11" s="32">
        <f>COUNTIF(D11:R11,"P")</f>
        <v>13</v>
      </c>
      <c r="T11" s="4">
        <f>COUNTIF(D11:R11,"A")</f>
        <v>0</v>
      </c>
      <c r="U11" s="4">
        <f>COUNTIF(D11:R11,"L")</f>
        <v>0</v>
      </c>
      <c r="V11" s="4">
        <v>1</v>
      </c>
      <c r="W11" s="4">
        <v>2</v>
      </c>
      <c r="X11" s="16">
        <f t="shared" si="1"/>
        <v>16</v>
      </c>
    </row>
    <row r="12" spans="1:24" x14ac:dyDescent="0.25">
      <c r="A12" s="3">
        <v>8</v>
      </c>
      <c r="B12" s="11" t="s">
        <v>39</v>
      </c>
      <c r="C12" s="18" t="s">
        <v>8</v>
      </c>
      <c r="D12" s="3" t="s">
        <v>6</v>
      </c>
      <c r="E12" s="34"/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34"/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16" t="s">
        <v>6</v>
      </c>
      <c r="S12" s="32">
        <f>COUNTIF(D12:R12,"P")</f>
        <v>13</v>
      </c>
      <c r="T12" s="4">
        <f>COUNTIF(D12:R12,"A")</f>
        <v>0</v>
      </c>
      <c r="U12" s="4">
        <f>COUNTIF(D12:R12,"L")</f>
        <v>0</v>
      </c>
      <c r="V12" s="4">
        <v>1</v>
      </c>
      <c r="W12" s="4">
        <v>2</v>
      </c>
      <c r="X12" s="16">
        <f t="shared" si="1"/>
        <v>16</v>
      </c>
    </row>
    <row r="13" spans="1:24" ht="15.75" thickBot="1" x14ac:dyDescent="0.3">
      <c r="A13" s="5">
        <v>9</v>
      </c>
      <c r="B13" s="6" t="s">
        <v>40</v>
      </c>
      <c r="C13" s="19" t="s">
        <v>8</v>
      </c>
      <c r="D13" s="5" t="s">
        <v>6</v>
      </c>
      <c r="E13" s="47"/>
      <c r="F13" s="6" t="s">
        <v>6</v>
      </c>
      <c r="G13" s="6" t="s">
        <v>6</v>
      </c>
      <c r="H13" s="6" t="s">
        <v>6</v>
      </c>
      <c r="I13" s="6" t="s">
        <v>6</v>
      </c>
      <c r="J13" s="6" t="s">
        <v>6</v>
      </c>
      <c r="K13" s="6" t="s">
        <v>6</v>
      </c>
      <c r="L13" s="47"/>
      <c r="M13" s="6" t="s">
        <v>6</v>
      </c>
      <c r="N13" s="6" t="s">
        <v>6</v>
      </c>
      <c r="O13" s="6" t="s">
        <v>6</v>
      </c>
      <c r="P13" s="6" t="s">
        <v>6</v>
      </c>
      <c r="Q13" s="6" t="s">
        <v>6</v>
      </c>
      <c r="R13" s="17" t="s">
        <v>6</v>
      </c>
      <c r="S13" s="33">
        <f>COUNTIF(D13:R13,"P")</f>
        <v>13</v>
      </c>
      <c r="T13" s="6">
        <f>COUNTIF(D13:R13,"A")</f>
        <v>0</v>
      </c>
      <c r="U13" s="6">
        <f>COUNTIF(D13:R13,"L")</f>
        <v>0</v>
      </c>
      <c r="V13" s="6">
        <v>1</v>
      </c>
      <c r="W13" s="6">
        <v>2</v>
      </c>
      <c r="X13" s="17">
        <f t="shared" si="1"/>
        <v>16</v>
      </c>
    </row>
    <row r="14" spans="1:24" ht="15.75" thickBot="1" x14ac:dyDescent="0.3"/>
    <row r="15" spans="1:24" ht="32.25" thickBot="1" x14ac:dyDescent="0.55000000000000004">
      <c r="A15" s="37" t="s">
        <v>31</v>
      </c>
      <c r="B15" s="38"/>
      <c r="C15" s="3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38"/>
      <c r="T15" s="38"/>
      <c r="U15" s="38"/>
      <c r="V15" s="38"/>
      <c r="W15" s="38"/>
      <c r="X15" s="39"/>
    </row>
    <row r="16" spans="1:24" ht="27" x14ac:dyDescent="0.25">
      <c r="A16" s="40" t="s">
        <v>0</v>
      </c>
      <c r="B16" s="41"/>
      <c r="C16" s="48"/>
      <c r="D16" s="28" t="str">
        <f>TEXT(D17,"ddd")</f>
        <v>Sat</v>
      </c>
      <c r="E16" s="15" t="str">
        <f t="shared" ref="E16:R16" si="2">TEXT(E17,"ddd")</f>
        <v>Sun</v>
      </c>
      <c r="F16" s="15" t="str">
        <f t="shared" si="2"/>
        <v>Mon</v>
      </c>
      <c r="G16" s="15" t="str">
        <f t="shared" si="2"/>
        <v>Tue</v>
      </c>
      <c r="H16" s="15" t="str">
        <f t="shared" si="2"/>
        <v>Wed</v>
      </c>
      <c r="I16" s="15" t="str">
        <f t="shared" si="2"/>
        <v>Thu</v>
      </c>
      <c r="J16" s="15" t="str">
        <f t="shared" si="2"/>
        <v>Fri</v>
      </c>
      <c r="K16" s="15" t="str">
        <f t="shared" si="2"/>
        <v>Sat</v>
      </c>
      <c r="L16" s="15" t="str">
        <f t="shared" si="2"/>
        <v>Sun</v>
      </c>
      <c r="M16" s="15" t="str">
        <f t="shared" si="2"/>
        <v>Mon</v>
      </c>
      <c r="N16" s="15" t="str">
        <f t="shared" si="2"/>
        <v>Tue</v>
      </c>
      <c r="O16" s="15" t="str">
        <f t="shared" si="2"/>
        <v>Wed</v>
      </c>
      <c r="P16" s="15" t="str">
        <f t="shared" si="2"/>
        <v>Thu</v>
      </c>
      <c r="Q16" s="15" t="str">
        <f t="shared" si="2"/>
        <v>Fri</v>
      </c>
      <c r="R16" s="25" t="str">
        <f t="shared" si="2"/>
        <v>Sat</v>
      </c>
      <c r="S16" s="54" t="s">
        <v>1</v>
      </c>
      <c r="T16" s="44"/>
      <c r="U16" s="44"/>
      <c r="V16" s="44"/>
      <c r="W16" s="44"/>
      <c r="X16" s="45"/>
    </row>
    <row r="17" spans="1:24" ht="15.75" thickBot="1" x14ac:dyDescent="0.3">
      <c r="A17" s="1" t="s">
        <v>2</v>
      </c>
      <c r="B17" s="2" t="s">
        <v>3</v>
      </c>
      <c r="C17" s="27" t="s">
        <v>4</v>
      </c>
      <c r="D17" s="62">
        <v>45794</v>
      </c>
      <c r="E17" s="63">
        <v>45795</v>
      </c>
      <c r="F17" s="63">
        <v>45796</v>
      </c>
      <c r="G17" s="63">
        <v>45797</v>
      </c>
      <c r="H17" s="63">
        <v>45798</v>
      </c>
      <c r="I17" s="63">
        <v>45799</v>
      </c>
      <c r="J17" s="63">
        <v>45800</v>
      </c>
      <c r="K17" s="63">
        <v>45801</v>
      </c>
      <c r="L17" s="63">
        <v>45802</v>
      </c>
      <c r="M17" s="63">
        <v>45803</v>
      </c>
      <c r="N17" s="63">
        <v>45804</v>
      </c>
      <c r="O17" s="63">
        <v>45805</v>
      </c>
      <c r="P17" s="63">
        <v>45806</v>
      </c>
      <c r="Q17" s="63">
        <v>45807</v>
      </c>
      <c r="R17" s="64">
        <v>45808</v>
      </c>
      <c r="S17" s="49" t="s">
        <v>6</v>
      </c>
      <c r="T17" s="13" t="s">
        <v>7</v>
      </c>
      <c r="U17" s="13" t="s">
        <v>12</v>
      </c>
      <c r="V17" s="13" t="s">
        <v>37</v>
      </c>
      <c r="W17" s="13" t="s">
        <v>23</v>
      </c>
      <c r="X17" s="14" t="s">
        <v>5</v>
      </c>
    </row>
    <row r="18" spans="1:24" ht="15" customHeight="1" x14ac:dyDescent="0.25">
      <c r="A18" s="3">
        <f>IF(B18="","",1)</f>
        <v>1</v>
      </c>
      <c r="B18" s="4" t="s">
        <v>13</v>
      </c>
      <c r="C18" s="18" t="s">
        <v>14</v>
      </c>
      <c r="D18" s="56" t="s">
        <v>6</v>
      </c>
      <c r="E18" s="35" t="s">
        <v>24</v>
      </c>
      <c r="F18" s="52" t="s">
        <v>6</v>
      </c>
      <c r="G18" s="52" t="s">
        <v>6</v>
      </c>
      <c r="H18" s="52" t="s">
        <v>6</v>
      </c>
      <c r="I18" s="52" t="s">
        <v>6</v>
      </c>
      <c r="J18" s="52" t="s">
        <v>6</v>
      </c>
      <c r="K18" s="52" t="s">
        <v>6</v>
      </c>
      <c r="L18" s="35" t="s">
        <v>24</v>
      </c>
      <c r="M18" s="52" t="s">
        <v>6</v>
      </c>
      <c r="N18" s="52" t="s">
        <v>6</v>
      </c>
      <c r="O18" s="52" t="s">
        <v>6</v>
      </c>
      <c r="P18" s="52" t="s">
        <v>6</v>
      </c>
      <c r="Q18" s="52" t="s">
        <v>6</v>
      </c>
      <c r="R18" s="57" t="s">
        <v>6</v>
      </c>
      <c r="S18" s="59">
        <f>COUNTIF(D18:R18,"P")</f>
        <v>13</v>
      </c>
      <c r="T18" s="8">
        <f>COUNTIF(D18:R18,"A")</f>
        <v>0</v>
      </c>
      <c r="U18" s="8">
        <f>COUNTIF(D18:R18,"L")</f>
        <v>0</v>
      </c>
      <c r="V18" s="4">
        <v>1</v>
      </c>
      <c r="W18" s="8">
        <v>2</v>
      </c>
      <c r="X18" s="16">
        <f>S18+U18+V18+W18</f>
        <v>16</v>
      </c>
    </row>
    <row r="19" spans="1:24" x14ac:dyDescent="0.25">
      <c r="A19" s="3">
        <f>IF(B19="","",A18+1)</f>
        <v>2</v>
      </c>
      <c r="B19" s="4" t="s">
        <v>15</v>
      </c>
      <c r="C19" s="18" t="s">
        <v>16</v>
      </c>
      <c r="D19" s="3" t="s">
        <v>6</v>
      </c>
      <c r="E19" s="35"/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35"/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16" t="s">
        <v>6</v>
      </c>
      <c r="S19" s="59">
        <f>COUNTIF(D19:R19,"P")</f>
        <v>13</v>
      </c>
      <c r="T19" s="8">
        <f>COUNTIF(D19:R19,"A")</f>
        <v>0</v>
      </c>
      <c r="U19" s="8">
        <f>COUNTIF(D19:R19,"L")</f>
        <v>0</v>
      </c>
      <c r="V19" s="4">
        <v>1</v>
      </c>
      <c r="W19" s="8">
        <v>2</v>
      </c>
      <c r="X19" s="16">
        <f t="shared" ref="X19:X26" si="3">S19+U19+V19+W19</f>
        <v>16</v>
      </c>
    </row>
    <row r="20" spans="1:24" x14ac:dyDescent="0.25">
      <c r="A20" s="3">
        <f t="shared" ref="A20:A24" si="4">IF(B20="","",A19+1)</f>
        <v>3</v>
      </c>
      <c r="B20" s="4" t="s">
        <v>17</v>
      </c>
      <c r="C20" s="18" t="s">
        <v>18</v>
      </c>
      <c r="D20" s="3" t="s">
        <v>6</v>
      </c>
      <c r="E20" s="35"/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35"/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16" t="s">
        <v>6</v>
      </c>
      <c r="S20" s="59">
        <f>COUNTIF(D20:R20,"P")</f>
        <v>13</v>
      </c>
      <c r="T20" s="8">
        <f>COUNTIF(D20:R20,"A")</f>
        <v>0</v>
      </c>
      <c r="U20" s="8">
        <f>COUNTIF(D20:R20,"L")</f>
        <v>0</v>
      </c>
      <c r="V20" s="4">
        <v>1</v>
      </c>
      <c r="W20" s="8">
        <v>2</v>
      </c>
      <c r="X20" s="16">
        <f t="shared" si="3"/>
        <v>16</v>
      </c>
    </row>
    <row r="21" spans="1:24" x14ac:dyDescent="0.25">
      <c r="A21" s="3">
        <f t="shared" si="4"/>
        <v>4</v>
      </c>
      <c r="B21" s="4" t="s">
        <v>20</v>
      </c>
      <c r="C21" s="18" t="s">
        <v>19</v>
      </c>
      <c r="D21" s="3" t="s">
        <v>6</v>
      </c>
      <c r="E21" s="35"/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35"/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16" t="s">
        <v>6</v>
      </c>
      <c r="S21" s="59">
        <f>COUNTIF(D21:R21,"P")</f>
        <v>13</v>
      </c>
      <c r="T21" s="8">
        <f>COUNTIF(D21:R21,"A")</f>
        <v>0</v>
      </c>
      <c r="U21" s="8">
        <f>COUNTIF(D21:R21,"L")</f>
        <v>0</v>
      </c>
      <c r="V21" s="4">
        <v>1</v>
      </c>
      <c r="W21" s="8">
        <v>2</v>
      </c>
      <c r="X21" s="16">
        <f t="shared" si="3"/>
        <v>16</v>
      </c>
    </row>
    <row r="22" spans="1:24" x14ac:dyDescent="0.25">
      <c r="A22" s="3">
        <f t="shared" si="4"/>
        <v>5</v>
      </c>
      <c r="B22" s="4" t="s">
        <v>21</v>
      </c>
      <c r="C22" s="18" t="s">
        <v>22</v>
      </c>
      <c r="D22" s="3" t="s">
        <v>6</v>
      </c>
      <c r="E22" s="35"/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35"/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16" t="s">
        <v>6</v>
      </c>
      <c r="S22" s="59">
        <f>COUNTIF(D22:R22,"P")</f>
        <v>13</v>
      </c>
      <c r="T22" s="8">
        <f>COUNTIF(D22:R22,"A")</f>
        <v>0</v>
      </c>
      <c r="U22" s="8">
        <f>COUNTIF(D22:R22,"L")</f>
        <v>0</v>
      </c>
      <c r="V22" s="4">
        <v>1</v>
      </c>
      <c r="W22" s="8">
        <v>2</v>
      </c>
      <c r="X22" s="16">
        <f t="shared" si="3"/>
        <v>16</v>
      </c>
    </row>
    <row r="23" spans="1:24" x14ac:dyDescent="0.25">
      <c r="A23" s="3">
        <f t="shared" si="4"/>
        <v>6</v>
      </c>
      <c r="B23" s="11" t="s">
        <v>28</v>
      </c>
      <c r="C23" s="18" t="s">
        <v>19</v>
      </c>
      <c r="D23" s="3" t="s">
        <v>6</v>
      </c>
      <c r="E23" s="35"/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35"/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  <c r="R23" s="16" t="s">
        <v>6</v>
      </c>
      <c r="S23" s="59">
        <f>COUNTIF(D23:R23,"P")</f>
        <v>13</v>
      </c>
      <c r="T23" s="8">
        <f>COUNTIF(D23:R23,"A")</f>
        <v>0</v>
      </c>
      <c r="U23" s="8">
        <f>COUNTIF(D23:R23,"L")</f>
        <v>0</v>
      </c>
      <c r="V23" s="4">
        <v>1</v>
      </c>
      <c r="W23" s="8">
        <v>2</v>
      </c>
      <c r="X23" s="16">
        <f t="shared" si="3"/>
        <v>16</v>
      </c>
    </row>
    <row r="24" spans="1:24" x14ac:dyDescent="0.25">
      <c r="A24" s="3">
        <f t="shared" si="4"/>
        <v>7</v>
      </c>
      <c r="B24" s="11" t="s">
        <v>29</v>
      </c>
      <c r="C24" s="18" t="s">
        <v>19</v>
      </c>
      <c r="D24" s="10" t="s">
        <v>6</v>
      </c>
      <c r="E24" s="35"/>
      <c r="F24" s="11" t="s">
        <v>6</v>
      </c>
      <c r="G24" s="11" t="s">
        <v>6</v>
      </c>
      <c r="H24" s="11" t="s">
        <v>6</v>
      </c>
      <c r="I24" s="11" t="s">
        <v>6</v>
      </c>
      <c r="J24" s="11" t="s">
        <v>6</v>
      </c>
      <c r="K24" s="11" t="s">
        <v>6</v>
      </c>
      <c r="L24" s="35"/>
      <c r="M24" s="11" t="s">
        <v>6</v>
      </c>
      <c r="N24" s="11" t="s">
        <v>6</v>
      </c>
      <c r="O24" s="11" t="s">
        <v>6</v>
      </c>
      <c r="P24" s="11" t="s">
        <v>6</v>
      </c>
      <c r="Q24" s="11" t="s">
        <v>6</v>
      </c>
      <c r="R24" s="30" t="s">
        <v>6</v>
      </c>
      <c r="S24" s="60">
        <f>COUNTIF(D24:R24,"P")</f>
        <v>13</v>
      </c>
      <c r="T24" s="12">
        <f>COUNTIF(D24:R24,"A")</f>
        <v>0</v>
      </c>
      <c r="U24" s="8">
        <f>COUNTIF(D24:R24,"L")</f>
        <v>0</v>
      </c>
      <c r="V24" s="11">
        <v>1</v>
      </c>
      <c r="W24" s="12">
        <v>2</v>
      </c>
      <c r="X24" s="16">
        <f t="shared" si="3"/>
        <v>16</v>
      </c>
    </row>
    <row r="25" spans="1:24" x14ac:dyDescent="0.25">
      <c r="A25" s="10">
        <v>8</v>
      </c>
      <c r="B25" s="11" t="s">
        <v>36</v>
      </c>
      <c r="C25" s="21" t="s">
        <v>32</v>
      </c>
      <c r="D25" s="10" t="s">
        <v>6</v>
      </c>
      <c r="E25" s="35"/>
      <c r="F25" s="11" t="s">
        <v>6</v>
      </c>
      <c r="G25" s="11" t="s">
        <v>6</v>
      </c>
      <c r="H25" s="11" t="s">
        <v>6</v>
      </c>
      <c r="I25" s="11" t="s">
        <v>6</v>
      </c>
      <c r="J25" s="11" t="s">
        <v>6</v>
      </c>
      <c r="K25" s="11" t="s">
        <v>6</v>
      </c>
      <c r="L25" s="35"/>
      <c r="M25" s="11" t="s">
        <v>6</v>
      </c>
      <c r="N25" s="11" t="s">
        <v>6</v>
      </c>
      <c r="O25" s="11" t="s">
        <v>6</v>
      </c>
      <c r="P25" s="11" t="s">
        <v>6</v>
      </c>
      <c r="Q25" s="11" t="s">
        <v>6</v>
      </c>
      <c r="R25" s="30" t="s">
        <v>6</v>
      </c>
      <c r="S25" s="60">
        <f>COUNTIF(D25:R25,"P")</f>
        <v>13</v>
      </c>
      <c r="T25" s="12">
        <f>COUNTIF(D25:R25,"A")</f>
        <v>0</v>
      </c>
      <c r="U25" s="8">
        <f>COUNTIF(D25:R25,"L")</f>
        <v>0</v>
      </c>
      <c r="V25" s="11">
        <v>1</v>
      </c>
      <c r="W25" s="12">
        <v>2</v>
      </c>
      <c r="X25" s="16">
        <f t="shared" si="3"/>
        <v>16</v>
      </c>
    </row>
    <row r="26" spans="1:24" ht="15.75" thickBot="1" x14ac:dyDescent="0.3">
      <c r="A26" s="5">
        <v>9</v>
      </c>
      <c r="B26" s="6" t="s">
        <v>41</v>
      </c>
      <c r="C26" s="19" t="s">
        <v>19</v>
      </c>
      <c r="D26" s="5" t="s">
        <v>6</v>
      </c>
      <c r="E26" s="36"/>
      <c r="F26" s="6" t="s">
        <v>6</v>
      </c>
      <c r="G26" s="6" t="s">
        <v>6</v>
      </c>
      <c r="H26" s="6" t="s">
        <v>6</v>
      </c>
      <c r="I26" s="6" t="s">
        <v>6</v>
      </c>
      <c r="J26" s="6" t="s">
        <v>6</v>
      </c>
      <c r="K26" s="6" t="s">
        <v>6</v>
      </c>
      <c r="L26" s="36"/>
      <c r="M26" s="6" t="s">
        <v>6</v>
      </c>
      <c r="N26" s="6" t="s">
        <v>6</v>
      </c>
      <c r="O26" s="6" t="s">
        <v>6</v>
      </c>
      <c r="P26" s="6" t="s">
        <v>6</v>
      </c>
      <c r="Q26" s="6" t="s">
        <v>6</v>
      </c>
      <c r="R26" s="17" t="s">
        <v>6</v>
      </c>
      <c r="S26" s="61">
        <f>COUNTIF(D26:R26,"P")</f>
        <v>13</v>
      </c>
      <c r="T26" s="9">
        <f>COUNTIF(D26:R26,"A")</f>
        <v>0</v>
      </c>
      <c r="U26" s="9">
        <f>COUNTIF(D26:R26,"L")</f>
        <v>0</v>
      </c>
      <c r="V26" s="6">
        <v>1</v>
      </c>
      <c r="W26" s="9">
        <v>2</v>
      </c>
      <c r="X26" s="17">
        <f t="shared" si="3"/>
        <v>16</v>
      </c>
    </row>
  </sheetData>
  <mergeCells count="10">
    <mergeCell ref="A15:X15"/>
    <mergeCell ref="A16:C16"/>
    <mergeCell ref="S16:X16"/>
    <mergeCell ref="E5:E13"/>
    <mergeCell ref="L5:L13"/>
    <mergeCell ref="E18:E26"/>
    <mergeCell ref="L18:L26"/>
    <mergeCell ref="A2:X2"/>
    <mergeCell ref="A3:C3"/>
    <mergeCell ref="S3:X3"/>
  </mergeCells>
  <conditionalFormatting sqref="D18:D26">
    <cfRule type="cellIs" dxfId="625" priority="35" operator="equal">
      <formula>"L"</formula>
    </cfRule>
  </conditionalFormatting>
  <conditionalFormatting sqref="D18:F26">
    <cfRule type="expression" dxfId="624" priority="36">
      <formula>D$3="SUN"</formula>
    </cfRule>
    <cfRule type="cellIs" dxfId="623" priority="37" operator="equal">
      <formula>"A"</formula>
    </cfRule>
    <cfRule type="cellIs" dxfId="622" priority="38" operator="equal">
      <formula>"P"</formula>
    </cfRule>
  </conditionalFormatting>
  <conditionalFormatting sqref="D3:R13 D16:R17">
    <cfRule type="expression" dxfId="621" priority="40">
      <formula>D$3="SUN"</formula>
    </cfRule>
  </conditionalFormatting>
  <conditionalFormatting sqref="D5:R13">
    <cfRule type="cellIs" dxfId="620" priority="39" operator="equal">
      <formula>"L"</formula>
    </cfRule>
    <cfRule type="cellIs" dxfId="619" priority="41" operator="equal">
      <formula>"A"</formula>
    </cfRule>
    <cfRule type="cellIs" dxfId="618" priority="42" operator="equal">
      <formula>"P"</formula>
    </cfRule>
  </conditionalFormatting>
  <conditionalFormatting sqref="E18">
    <cfRule type="expression" dxfId="617" priority="136">
      <formula>E$3="SUN"</formula>
    </cfRule>
    <cfRule type="cellIs" dxfId="616" priority="137" operator="equal">
      <formula>"A"</formula>
    </cfRule>
    <cfRule type="cellIs" dxfId="615" priority="138" operator="equal">
      <formula>"P"</formula>
    </cfRule>
  </conditionalFormatting>
  <conditionalFormatting sqref="E18:R26">
    <cfRule type="cellIs" dxfId="614" priority="107" operator="equal">
      <formula>"L"</formula>
    </cfRule>
  </conditionalFormatting>
  <conditionalFormatting sqref="F18:K26">
    <cfRule type="expression" dxfId="613" priority="124">
      <formula>F$3="SUN"</formula>
    </cfRule>
    <cfRule type="cellIs" dxfId="612" priority="125" operator="equal">
      <formula>"A"</formula>
    </cfRule>
    <cfRule type="cellIs" dxfId="611" priority="126" operator="equal">
      <formula>"P"</formula>
    </cfRule>
  </conditionalFormatting>
  <conditionalFormatting sqref="G18">
    <cfRule type="expression" dxfId="610" priority="55">
      <formula>G$3="SUN"</formula>
    </cfRule>
    <cfRule type="cellIs" dxfId="609" priority="56" operator="equal">
      <formula>"A"</formula>
    </cfRule>
    <cfRule type="cellIs" dxfId="608" priority="57" operator="equal">
      <formula>"P"</formula>
    </cfRule>
  </conditionalFormatting>
  <conditionalFormatting sqref="I18">
    <cfRule type="expression" dxfId="607" priority="100">
      <formula>I$3="SUN"</formula>
    </cfRule>
    <cfRule type="cellIs" dxfId="606" priority="101" operator="equal">
      <formula>"A"</formula>
    </cfRule>
    <cfRule type="cellIs" dxfId="605" priority="102" operator="equal">
      <formula>"P"</formula>
    </cfRule>
  </conditionalFormatting>
  <conditionalFormatting sqref="I18:L26">
    <cfRule type="expression" dxfId="604" priority="46">
      <formula>I$3="SUN"</formula>
    </cfRule>
    <cfRule type="cellIs" dxfId="603" priority="47" operator="equal">
      <formula>"A"</formula>
    </cfRule>
    <cfRule type="cellIs" dxfId="602" priority="48" operator="equal">
      <formula>"P"</formula>
    </cfRule>
  </conditionalFormatting>
  <conditionalFormatting sqref="L18">
    <cfRule type="expression" dxfId="601" priority="133">
      <formula>L$3="SUN"</formula>
    </cfRule>
    <cfRule type="cellIs" dxfId="600" priority="134" operator="equal">
      <formula>"A"</formula>
    </cfRule>
    <cfRule type="cellIs" dxfId="599" priority="135" operator="equal">
      <formula>"P"</formula>
    </cfRule>
  </conditionalFormatting>
  <conditionalFormatting sqref="M18:R26">
    <cfRule type="expression" dxfId="598" priority="121">
      <formula>M$3="SUN"</formula>
    </cfRule>
    <cfRule type="cellIs" dxfId="597" priority="122" operator="equal">
      <formula>"A"</formula>
    </cfRule>
    <cfRule type="cellIs" dxfId="596" priority="123" operator="equal">
      <formula>"P"</formula>
    </cfRule>
  </conditionalFormatting>
  <conditionalFormatting sqref="N18">
    <cfRule type="expression" dxfId="595" priority="49">
      <formula>N$3="SUN"</formula>
    </cfRule>
    <cfRule type="cellIs" dxfId="594" priority="50" operator="equal">
      <formula>"A"</formula>
    </cfRule>
    <cfRule type="cellIs" dxfId="593" priority="51" operator="equal">
      <formula>"P"</formula>
    </cfRule>
  </conditionalFormatting>
  <conditionalFormatting sqref="N18:N26">
    <cfRule type="expression" dxfId="592" priority="52">
      <formula>N$3="SUN"</formula>
    </cfRule>
    <cfRule type="cellIs" dxfId="591" priority="53" operator="equal">
      <formula>"A"</formula>
    </cfRule>
    <cfRule type="cellIs" dxfId="590" priority="54" operator="equal">
      <formula>"P"</formula>
    </cfRule>
  </conditionalFormatting>
  <conditionalFormatting sqref="P18">
    <cfRule type="expression" dxfId="589" priority="97">
      <formula>P$3="SUN"</formula>
    </cfRule>
    <cfRule type="cellIs" dxfId="588" priority="98" operator="equal">
      <formula>"A"</formula>
    </cfRule>
    <cfRule type="cellIs" dxfId="587" priority="99" operator="equal">
      <formula>"P"</formula>
    </cfRule>
  </conditionalFormatting>
  <conditionalFormatting sqref="P18:P26">
    <cfRule type="expression" dxfId="586" priority="43">
      <formula>P$3="SUN"</formula>
    </cfRule>
    <cfRule type="cellIs" dxfId="585" priority="44" operator="equal">
      <formula>"A"</formula>
    </cfRule>
    <cfRule type="cellIs" dxfId="584" priority="45" operator="equal">
      <formula>"P"</formula>
    </cfRule>
  </conditionalFormatting>
  <conditionalFormatting sqref="X5:X13">
    <cfRule type="cellIs" dxfId="583" priority="103" operator="equal">
      <formula>"L"</formula>
    </cfRule>
    <cfRule type="expression" dxfId="582" priority="104">
      <formula>X$3="SUN"</formula>
    </cfRule>
    <cfRule type="cellIs" dxfId="581" priority="105" operator="equal">
      <formula>"A"</formula>
    </cfRule>
    <cfRule type="cellIs" dxfId="580" priority="106" operator="equal">
      <formula>"P"</formula>
    </cfRule>
  </conditionalFormatting>
  <conditionalFormatting sqref="D18:D26">
    <cfRule type="cellIs" dxfId="579" priority="31" operator="equal">
      <formula>"L"</formula>
    </cfRule>
  </conditionalFormatting>
  <conditionalFormatting sqref="D18:D26">
    <cfRule type="expression" dxfId="578" priority="32">
      <formula>D$3="SUN"</formula>
    </cfRule>
    <cfRule type="cellIs" dxfId="577" priority="33" operator="equal">
      <formula>"A"</formula>
    </cfRule>
    <cfRule type="cellIs" dxfId="576" priority="34" operator="equal">
      <formula>"P"</formula>
    </cfRule>
  </conditionalFormatting>
  <conditionalFormatting sqref="E18:E26">
    <cfRule type="expression" dxfId="575" priority="28">
      <formula>E$3="SUN"</formula>
    </cfRule>
    <cfRule type="cellIs" dxfId="574" priority="29" operator="equal">
      <formula>"A"</formula>
    </cfRule>
    <cfRule type="cellIs" dxfId="573" priority="30" operator="equal">
      <formula>"P"</formula>
    </cfRule>
  </conditionalFormatting>
  <conditionalFormatting sqref="E18">
    <cfRule type="expression" dxfId="572" priority="25">
      <formula>E$3="SUN"</formula>
    </cfRule>
    <cfRule type="cellIs" dxfId="571" priority="26" operator="equal">
      <formula>"A"</formula>
    </cfRule>
    <cfRule type="cellIs" dxfId="570" priority="27" operator="equal">
      <formula>"P"</formula>
    </cfRule>
  </conditionalFormatting>
  <conditionalFormatting sqref="G18:G26">
    <cfRule type="expression" dxfId="569" priority="22">
      <formula>G$3="SUN"</formula>
    </cfRule>
    <cfRule type="cellIs" dxfId="568" priority="23" operator="equal">
      <formula>"A"</formula>
    </cfRule>
    <cfRule type="cellIs" dxfId="567" priority="24" operator="equal">
      <formula>"P"</formula>
    </cfRule>
  </conditionalFormatting>
  <conditionalFormatting sqref="K18:K26">
    <cfRule type="expression" dxfId="566" priority="19">
      <formula>K$3="SUN"</formula>
    </cfRule>
    <cfRule type="cellIs" dxfId="565" priority="20" operator="equal">
      <formula>"A"</formula>
    </cfRule>
    <cfRule type="cellIs" dxfId="564" priority="21" operator="equal">
      <formula>"P"</formula>
    </cfRule>
  </conditionalFormatting>
  <conditionalFormatting sqref="N18:N26">
    <cfRule type="expression" dxfId="563" priority="13">
      <formula>N$3="SUN"</formula>
    </cfRule>
    <cfRule type="cellIs" dxfId="562" priority="14" operator="equal">
      <formula>"A"</formula>
    </cfRule>
    <cfRule type="cellIs" dxfId="561" priority="15" operator="equal">
      <formula>"P"</formula>
    </cfRule>
  </conditionalFormatting>
  <conditionalFormatting sqref="N18:N26">
    <cfRule type="expression" dxfId="560" priority="16">
      <formula>N$3="SUN"</formula>
    </cfRule>
    <cfRule type="cellIs" dxfId="559" priority="17" operator="equal">
      <formula>"A"</formula>
    </cfRule>
    <cfRule type="cellIs" dxfId="558" priority="18" operator="equal">
      <formula>"P"</formula>
    </cfRule>
  </conditionalFormatting>
  <conditionalFormatting sqref="L18:L26">
    <cfRule type="expression" dxfId="557" priority="7">
      <formula>L$3="SUN"</formula>
    </cfRule>
    <cfRule type="cellIs" dxfId="556" priority="8" operator="equal">
      <formula>"A"</formula>
    </cfRule>
    <cfRule type="cellIs" dxfId="555" priority="9" operator="equal">
      <formula>"P"</formula>
    </cfRule>
  </conditionalFormatting>
  <conditionalFormatting sqref="L18">
    <cfRule type="expression" dxfId="554" priority="10">
      <formula>L$3="SUN"</formula>
    </cfRule>
    <cfRule type="cellIs" dxfId="553" priority="11" operator="equal">
      <formula>"A"</formula>
    </cfRule>
    <cfRule type="cellIs" dxfId="552" priority="12" operator="equal">
      <formula>"P"</formula>
    </cfRule>
  </conditionalFormatting>
  <conditionalFormatting sqref="L18:L26">
    <cfRule type="expression" dxfId="551" priority="4">
      <formula>L$3="SUN"</formula>
    </cfRule>
    <cfRule type="cellIs" dxfId="550" priority="5" operator="equal">
      <formula>"A"</formula>
    </cfRule>
    <cfRule type="cellIs" dxfId="549" priority="6" operator="equal">
      <formula>"P"</formula>
    </cfRule>
  </conditionalFormatting>
  <conditionalFormatting sqref="L18">
    <cfRule type="expression" dxfId="548" priority="1">
      <formula>L$3="SUN"</formula>
    </cfRule>
    <cfRule type="cellIs" dxfId="547" priority="2" operator="equal">
      <formula>"A"</formula>
    </cfRule>
    <cfRule type="cellIs" dxfId="546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BEEF-FC8E-4A09-9078-535C3D7939F8}">
  <dimension ref="A1:AM26"/>
  <sheetViews>
    <sheetView workbookViewId="0">
      <selection activeCell="D18" sqref="D18:AG2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2.5703125" bestFit="1" customWidth="1"/>
    <col min="4" max="5" width="3.7109375" bestFit="1" customWidth="1"/>
    <col min="6" max="16" width="3.7109375" customWidth="1"/>
    <col min="17" max="20" width="3.7109375" bestFit="1" customWidth="1"/>
    <col min="21" max="33" width="3.7109375" customWidth="1"/>
    <col min="34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37" t="s">
        <v>30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9"/>
    </row>
    <row r="3" spans="1:39" ht="26.25" x14ac:dyDescent="0.25">
      <c r="A3" s="65" t="s">
        <v>0</v>
      </c>
      <c r="B3" s="66"/>
      <c r="C3" s="67"/>
      <c r="D3" s="28" t="str">
        <f>TEXT(D4,"ddd")</f>
        <v>Sun</v>
      </c>
      <c r="E3" s="15" t="str">
        <f t="shared" ref="E3:AG3" si="0">TEXT(E4,"ddd")</f>
        <v>Mon</v>
      </c>
      <c r="F3" s="15" t="str">
        <f t="shared" si="0"/>
        <v>Tue</v>
      </c>
      <c r="G3" s="15" t="str">
        <f t="shared" si="0"/>
        <v>Wed</v>
      </c>
      <c r="H3" s="15" t="str">
        <f t="shared" si="0"/>
        <v>Thu</v>
      </c>
      <c r="I3" s="15" t="str">
        <f t="shared" si="0"/>
        <v>Fri</v>
      </c>
      <c r="J3" s="15" t="str">
        <f t="shared" si="0"/>
        <v>Sat</v>
      </c>
      <c r="K3" s="15" t="str">
        <f t="shared" si="0"/>
        <v>Sun</v>
      </c>
      <c r="L3" s="15" t="str">
        <f t="shared" si="0"/>
        <v>Mon</v>
      </c>
      <c r="M3" s="15" t="str">
        <f t="shared" si="0"/>
        <v>Tue</v>
      </c>
      <c r="N3" s="15" t="str">
        <f t="shared" si="0"/>
        <v>Wed</v>
      </c>
      <c r="O3" s="15" t="str">
        <f t="shared" si="0"/>
        <v>Thu</v>
      </c>
      <c r="P3" s="15" t="str">
        <f t="shared" si="0"/>
        <v>Fri</v>
      </c>
      <c r="Q3" s="15" t="str">
        <f t="shared" si="0"/>
        <v>Sat</v>
      </c>
      <c r="R3" s="15" t="str">
        <f t="shared" si="0"/>
        <v>Sun</v>
      </c>
      <c r="S3" s="15" t="str">
        <f t="shared" si="0"/>
        <v>Mon</v>
      </c>
      <c r="T3" s="15" t="str">
        <f t="shared" si="0"/>
        <v>Tue</v>
      </c>
      <c r="U3" s="15" t="str">
        <f t="shared" si="0"/>
        <v>Wed</v>
      </c>
      <c r="V3" s="15" t="str">
        <f t="shared" si="0"/>
        <v>Thu</v>
      </c>
      <c r="W3" s="15" t="str">
        <f t="shared" si="0"/>
        <v>Fri</v>
      </c>
      <c r="X3" s="15" t="str">
        <f t="shared" si="0"/>
        <v>Sat</v>
      </c>
      <c r="Y3" s="15" t="str">
        <f t="shared" si="0"/>
        <v>Sun</v>
      </c>
      <c r="Z3" s="15" t="str">
        <f t="shared" si="0"/>
        <v>Mon</v>
      </c>
      <c r="AA3" s="15" t="str">
        <f t="shared" si="0"/>
        <v>Tue</v>
      </c>
      <c r="AB3" s="15" t="str">
        <f t="shared" si="0"/>
        <v>Wed</v>
      </c>
      <c r="AC3" s="15" t="str">
        <f t="shared" si="0"/>
        <v>Thu</v>
      </c>
      <c r="AD3" s="15" t="str">
        <f t="shared" si="0"/>
        <v>Fri</v>
      </c>
      <c r="AE3" s="15" t="str">
        <f t="shared" si="0"/>
        <v>Sat</v>
      </c>
      <c r="AF3" s="15" t="str">
        <f t="shared" si="0"/>
        <v>Sun</v>
      </c>
      <c r="AG3" s="25" t="str">
        <f t="shared" si="0"/>
        <v>Mon</v>
      </c>
      <c r="AH3" s="68" t="s">
        <v>1</v>
      </c>
      <c r="AI3" s="69"/>
      <c r="AJ3" s="69"/>
      <c r="AK3" s="69"/>
      <c r="AL3" s="69"/>
      <c r="AM3" s="70"/>
    </row>
    <row r="4" spans="1:39" ht="15.75" thickBot="1" x14ac:dyDescent="0.3">
      <c r="A4" s="1" t="s">
        <v>2</v>
      </c>
      <c r="B4" s="2" t="s">
        <v>3</v>
      </c>
      <c r="C4" s="27" t="s">
        <v>4</v>
      </c>
      <c r="D4" s="62">
        <v>45809</v>
      </c>
      <c r="E4" s="63">
        <v>45810</v>
      </c>
      <c r="F4" s="63">
        <v>45811</v>
      </c>
      <c r="G4" s="63">
        <v>45812</v>
      </c>
      <c r="H4" s="63">
        <v>45813</v>
      </c>
      <c r="I4" s="63">
        <v>45814</v>
      </c>
      <c r="J4" s="63">
        <v>45815</v>
      </c>
      <c r="K4" s="63">
        <v>45816</v>
      </c>
      <c r="L4" s="63">
        <v>45817</v>
      </c>
      <c r="M4" s="63">
        <v>45818</v>
      </c>
      <c r="N4" s="63">
        <v>45819</v>
      </c>
      <c r="O4" s="63">
        <v>45820</v>
      </c>
      <c r="P4" s="63">
        <v>45821</v>
      </c>
      <c r="Q4" s="63">
        <v>45822</v>
      </c>
      <c r="R4" s="63">
        <v>45823</v>
      </c>
      <c r="S4" s="63">
        <v>45824</v>
      </c>
      <c r="T4" s="63">
        <v>45825</v>
      </c>
      <c r="U4" s="63">
        <v>45826</v>
      </c>
      <c r="V4" s="63">
        <v>45827</v>
      </c>
      <c r="W4" s="63">
        <v>45828</v>
      </c>
      <c r="X4" s="63">
        <v>45829</v>
      </c>
      <c r="Y4" s="63">
        <v>45830</v>
      </c>
      <c r="Z4" s="63">
        <v>45831</v>
      </c>
      <c r="AA4" s="63">
        <v>45832</v>
      </c>
      <c r="AB4" s="63">
        <v>45833</v>
      </c>
      <c r="AC4" s="63">
        <v>45834</v>
      </c>
      <c r="AD4" s="63">
        <v>45835</v>
      </c>
      <c r="AE4" s="63">
        <v>45836</v>
      </c>
      <c r="AF4" s="63">
        <v>45837</v>
      </c>
      <c r="AG4" s="64">
        <v>45838</v>
      </c>
      <c r="AH4" s="49" t="s">
        <v>6</v>
      </c>
      <c r="AI4" s="13" t="s">
        <v>7</v>
      </c>
      <c r="AJ4" s="13" t="s">
        <v>12</v>
      </c>
      <c r="AK4" s="13" t="s">
        <v>37</v>
      </c>
      <c r="AL4" s="13" t="s">
        <v>23</v>
      </c>
      <c r="AM4" s="14" t="s">
        <v>5</v>
      </c>
    </row>
    <row r="5" spans="1:39" ht="15" customHeight="1" x14ac:dyDescent="0.25">
      <c r="A5" s="3">
        <v>1</v>
      </c>
      <c r="B5" s="4" t="s">
        <v>25</v>
      </c>
      <c r="C5" s="18" t="s">
        <v>8</v>
      </c>
      <c r="D5" s="77" t="s">
        <v>42</v>
      </c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9"/>
      <c r="AH5" s="32">
        <f>COUNTIF(D5:AG5,"P")</f>
        <v>0</v>
      </c>
      <c r="AI5" s="4">
        <f>COUNTIF(D5:AG5,"A")</f>
        <v>0</v>
      </c>
      <c r="AJ5" s="4">
        <f>COUNTIF(D5:AG5,"L")</f>
        <v>0</v>
      </c>
      <c r="AK5" s="4">
        <v>1</v>
      </c>
      <c r="AL5" s="4">
        <v>2</v>
      </c>
      <c r="AM5" s="16">
        <f t="shared" ref="AM5:AM13" si="1">AH5+AJ5+AK5+AL5</f>
        <v>3</v>
      </c>
    </row>
    <row r="6" spans="1:39" x14ac:dyDescent="0.25">
      <c r="A6" s="3">
        <v>2</v>
      </c>
      <c r="B6" s="4" t="s">
        <v>10</v>
      </c>
      <c r="C6" s="18" t="s">
        <v>8</v>
      </c>
      <c r="D6" s="80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2"/>
      <c r="AH6" s="32">
        <f>COUNTIF(D6:AG6,"P")</f>
        <v>0</v>
      </c>
      <c r="AI6" s="4">
        <f>COUNTIF(D6:AG6,"A")</f>
        <v>0</v>
      </c>
      <c r="AJ6" s="4">
        <f>COUNTIF(D6:AG6,"L")</f>
        <v>0</v>
      </c>
      <c r="AK6" s="4">
        <v>1</v>
      </c>
      <c r="AL6" s="4">
        <v>2</v>
      </c>
      <c r="AM6" s="16">
        <f t="shared" si="1"/>
        <v>3</v>
      </c>
    </row>
    <row r="7" spans="1:39" x14ac:dyDescent="0.25">
      <c r="A7" s="3">
        <v>3</v>
      </c>
      <c r="B7" s="4" t="s">
        <v>9</v>
      </c>
      <c r="C7" s="18" t="s">
        <v>8</v>
      </c>
      <c r="D7" s="80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2"/>
      <c r="AH7" s="32">
        <f>COUNTIF(D7:AG7,"P")</f>
        <v>0</v>
      </c>
      <c r="AI7" s="4">
        <f>COUNTIF(D7:AG7,"A")</f>
        <v>0</v>
      </c>
      <c r="AJ7" s="4">
        <f>COUNTIF(D7:AG7,"L")</f>
        <v>0</v>
      </c>
      <c r="AK7" s="4">
        <v>1</v>
      </c>
      <c r="AL7" s="4">
        <v>2</v>
      </c>
      <c r="AM7" s="16">
        <f t="shared" si="1"/>
        <v>3</v>
      </c>
    </row>
    <row r="8" spans="1:39" x14ac:dyDescent="0.25">
      <c r="A8" s="3">
        <v>4</v>
      </c>
      <c r="B8" s="4" t="s">
        <v>11</v>
      </c>
      <c r="C8" s="18" t="s">
        <v>35</v>
      </c>
      <c r="D8" s="80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2"/>
      <c r="AH8" s="32">
        <f>COUNTIF(D8:AG8,"P")</f>
        <v>0</v>
      </c>
      <c r="AI8" s="4">
        <f>COUNTIF(D8:AG8,"A")</f>
        <v>0</v>
      </c>
      <c r="AJ8" s="4">
        <f>COUNTIF(D8:AG8,"L")</f>
        <v>0</v>
      </c>
      <c r="AK8" s="4">
        <v>1</v>
      </c>
      <c r="AL8" s="4">
        <v>2</v>
      </c>
      <c r="AM8" s="16">
        <f t="shared" si="1"/>
        <v>3</v>
      </c>
    </row>
    <row r="9" spans="1:39" x14ac:dyDescent="0.25">
      <c r="A9" s="3">
        <v>5</v>
      </c>
      <c r="B9" s="4" t="s">
        <v>26</v>
      </c>
      <c r="C9" s="18" t="s">
        <v>27</v>
      </c>
      <c r="D9" s="80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2"/>
      <c r="AH9" s="32">
        <f>COUNTIF(D9:AG9,"P")</f>
        <v>0</v>
      </c>
      <c r="AI9" s="4">
        <f>COUNTIF(D9:AG9,"A")</f>
        <v>0</v>
      </c>
      <c r="AJ9" s="4">
        <f>COUNTIF(D9:AG9,"L")</f>
        <v>0</v>
      </c>
      <c r="AK9" s="4">
        <v>1</v>
      </c>
      <c r="AL9" s="4">
        <v>2</v>
      </c>
      <c r="AM9" s="16">
        <f t="shared" si="1"/>
        <v>3</v>
      </c>
    </row>
    <row r="10" spans="1:39" x14ac:dyDescent="0.25">
      <c r="A10" s="3">
        <v>6</v>
      </c>
      <c r="B10" s="4" t="s">
        <v>33</v>
      </c>
      <c r="C10" s="18" t="s">
        <v>34</v>
      </c>
      <c r="D10" s="80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2"/>
      <c r="AH10" s="32">
        <f>COUNTIF(D10:AG10,"P")</f>
        <v>0</v>
      </c>
      <c r="AI10" s="4">
        <f>COUNTIF(D10:AG10,"A")</f>
        <v>0</v>
      </c>
      <c r="AJ10" s="4">
        <f>COUNTIF(D10:AG10,"L")</f>
        <v>0</v>
      </c>
      <c r="AK10" s="4">
        <v>1</v>
      </c>
      <c r="AL10" s="4">
        <v>2</v>
      </c>
      <c r="AM10" s="16">
        <f t="shared" si="1"/>
        <v>3</v>
      </c>
    </row>
    <row r="11" spans="1:39" x14ac:dyDescent="0.25">
      <c r="A11" s="3">
        <v>7</v>
      </c>
      <c r="B11" s="11" t="s">
        <v>38</v>
      </c>
      <c r="C11" s="18" t="s">
        <v>8</v>
      </c>
      <c r="D11" s="80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2"/>
      <c r="AH11" s="32">
        <f>COUNTIF(D11:AG11,"P")</f>
        <v>0</v>
      </c>
      <c r="AI11" s="4">
        <f>COUNTIF(D11:AG11,"A")</f>
        <v>0</v>
      </c>
      <c r="AJ11" s="4">
        <f>COUNTIF(D11:AG11,"L")</f>
        <v>0</v>
      </c>
      <c r="AK11" s="4">
        <v>1</v>
      </c>
      <c r="AL11" s="4">
        <v>2</v>
      </c>
      <c r="AM11" s="16">
        <f t="shared" si="1"/>
        <v>3</v>
      </c>
    </row>
    <row r="12" spans="1:39" x14ac:dyDescent="0.25">
      <c r="A12" s="3">
        <v>8</v>
      </c>
      <c r="B12" s="11" t="s">
        <v>39</v>
      </c>
      <c r="C12" s="18" t="s">
        <v>8</v>
      </c>
      <c r="D12" s="80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2"/>
      <c r="AH12" s="32">
        <f>COUNTIF(D12:AG12,"P")</f>
        <v>0</v>
      </c>
      <c r="AI12" s="4">
        <f>COUNTIF(D12:AG12,"A")</f>
        <v>0</v>
      </c>
      <c r="AJ12" s="4">
        <f>COUNTIF(D12:AG12,"L")</f>
        <v>0</v>
      </c>
      <c r="AK12" s="4">
        <v>1</v>
      </c>
      <c r="AL12" s="4">
        <v>2</v>
      </c>
      <c r="AM12" s="16">
        <f t="shared" si="1"/>
        <v>3</v>
      </c>
    </row>
    <row r="13" spans="1:39" ht="15.75" thickBot="1" x14ac:dyDescent="0.3">
      <c r="A13" s="5">
        <v>9</v>
      </c>
      <c r="B13" s="6" t="s">
        <v>40</v>
      </c>
      <c r="C13" s="19" t="s">
        <v>8</v>
      </c>
      <c r="D13" s="83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5"/>
      <c r="AH13" s="33">
        <f>COUNTIF(D13:AG13,"P")</f>
        <v>0</v>
      </c>
      <c r="AI13" s="6">
        <f>COUNTIF(D13:AG13,"A")</f>
        <v>0</v>
      </c>
      <c r="AJ13" s="6">
        <f>COUNTIF(D13:AG13,"L")</f>
        <v>0</v>
      </c>
      <c r="AK13" s="6">
        <v>1</v>
      </c>
      <c r="AL13" s="6">
        <v>2</v>
      </c>
      <c r="AM13" s="17">
        <f t="shared" si="1"/>
        <v>3</v>
      </c>
    </row>
    <row r="14" spans="1:39" ht="15.75" thickBot="1" x14ac:dyDescent="0.3"/>
    <row r="15" spans="1:39" ht="32.25" thickBot="1" x14ac:dyDescent="0.55000000000000004">
      <c r="A15" s="37" t="s">
        <v>31</v>
      </c>
      <c r="B15" s="38"/>
      <c r="C15" s="3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38"/>
      <c r="AI15" s="38"/>
      <c r="AJ15" s="38"/>
      <c r="AK15" s="38"/>
      <c r="AL15" s="38"/>
      <c r="AM15" s="39"/>
    </row>
    <row r="16" spans="1:39" ht="27" x14ac:dyDescent="0.25">
      <c r="A16" s="40" t="s">
        <v>0</v>
      </c>
      <c r="B16" s="41"/>
      <c r="C16" s="42"/>
      <c r="D16" s="28" t="str">
        <f>TEXT(D17,"ddd")</f>
        <v>Sun</v>
      </c>
      <c r="E16" s="15" t="str">
        <f t="shared" ref="E16:AG16" si="2">TEXT(E17,"ddd")</f>
        <v>Mon</v>
      </c>
      <c r="F16" s="15" t="str">
        <f t="shared" si="2"/>
        <v>Tue</v>
      </c>
      <c r="G16" s="15" t="str">
        <f t="shared" si="2"/>
        <v>Wed</v>
      </c>
      <c r="H16" s="15" t="str">
        <f t="shared" si="2"/>
        <v>Thu</v>
      </c>
      <c r="I16" s="15" t="str">
        <f t="shared" si="2"/>
        <v>Fri</v>
      </c>
      <c r="J16" s="15" t="str">
        <f t="shared" si="2"/>
        <v>Sat</v>
      </c>
      <c r="K16" s="15" t="str">
        <f t="shared" si="2"/>
        <v>Sun</v>
      </c>
      <c r="L16" s="15" t="str">
        <f t="shared" si="2"/>
        <v>Mon</v>
      </c>
      <c r="M16" s="15" t="str">
        <f t="shared" si="2"/>
        <v>Tue</v>
      </c>
      <c r="N16" s="15" t="str">
        <f t="shared" si="2"/>
        <v>Wed</v>
      </c>
      <c r="O16" s="15" t="str">
        <f t="shared" si="2"/>
        <v>Thu</v>
      </c>
      <c r="P16" s="15" t="str">
        <f t="shared" si="2"/>
        <v>Fri</v>
      </c>
      <c r="Q16" s="15" t="str">
        <f t="shared" si="2"/>
        <v>Sat</v>
      </c>
      <c r="R16" s="15" t="str">
        <f t="shared" si="2"/>
        <v>Sun</v>
      </c>
      <c r="S16" s="15" t="str">
        <f t="shared" si="2"/>
        <v>Mon</v>
      </c>
      <c r="T16" s="15" t="str">
        <f t="shared" si="2"/>
        <v>Tue</v>
      </c>
      <c r="U16" s="15" t="str">
        <f t="shared" si="2"/>
        <v>Wed</v>
      </c>
      <c r="V16" s="15" t="str">
        <f t="shared" si="2"/>
        <v>Thu</v>
      </c>
      <c r="W16" s="15" t="str">
        <f t="shared" si="2"/>
        <v>Fri</v>
      </c>
      <c r="X16" s="15" t="str">
        <f t="shared" si="2"/>
        <v>Sat</v>
      </c>
      <c r="Y16" s="15" t="str">
        <f t="shared" si="2"/>
        <v>Sun</v>
      </c>
      <c r="Z16" s="15" t="str">
        <f t="shared" si="2"/>
        <v>Mon</v>
      </c>
      <c r="AA16" s="15" t="str">
        <f t="shared" si="2"/>
        <v>Tue</v>
      </c>
      <c r="AB16" s="15" t="str">
        <f t="shared" si="2"/>
        <v>Wed</v>
      </c>
      <c r="AC16" s="15" t="str">
        <f t="shared" si="2"/>
        <v>Thu</v>
      </c>
      <c r="AD16" s="15" t="str">
        <f t="shared" si="2"/>
        <v>Fri</v>
      </c>
      <c r="AE16" s="15" t="str">
        <f t="shared" si="2"/>
        <v>Sat</v>
      </c>
      <c r="AF16" s="15" t="str">
        <f t="shared" si="2"/>
        <v>Sun</v>
      </c>
      <c r="AG16" s="25" t="str">
        <f t="shared" si="2"/>
        <v>Mon</v>
      </c>
      <c r="AH16" s="43" t="s">
        <v>1</v>
      </c>
      <c r="AI16" s="44"/>
      <c r="AJ16" s="44"/>
      <c r="AK16" s="44"/>
      <c r="AL16" s="44"/>
      <c r="AM16" s="45"/>
    </row>
    <row r="17" spans="1:39" ht="15.75" thickBot="1" x14ac:dyDescent="0.3">
      <c r="A17" s="1" t="s">
        <v>2</v>
      </c>
      <c r="B17" s="2" t="s">
        <v>3</v>
      </c>
      <c r="C17" s="31" t="s">
        <v>4</v>
      </c>
      <c r="D17" s="62">
        <v>45809</v>
      </c>
      <c r="E17" s="63">
        <v>45810</v>
      </c>
      <c r="F17" s="63">
        <v>45811</v>
      </c>
      <c r="G17" s="63">
        <v>45812</v>
      </c>
      <c r="H17" s="63">
        <v>45813</v>
      </c>
      <c r="I17" s="63">
        <v>45814</v>
      </c>
      <c r="J17" s="63">
        <v>45815</v>
      </c>
      <c r="K17" s="63">
        <v>45816</v>
      </c>
      <c r="L17" s="63">
        <v>45817</v>
      </c>
      <c r="M17" s="63">
        <v>45818</v>
      </c>
      <c r="N17" s="63">
        <v>45819</v>
      </c>
      <c r="O17" s="63">
        <v>45820</v>
      </c>
      <c r="P17" s="63">
        <v>45821</v>
      </c>
      <c r="Q17" s="63">
        <v>45822</v>
      </c>
      <c r="R17" s="63">
        <v>45823</v>
      </c>
      <c r="S17" s="63">
        <v>45824</v>
      </c>
      <c r="T17" s="63">
        <v>45825</v>
      </c>
      <c r="U17" s="63">
        <v>45826</v>
      </c>
      <c r="V17" s="63">
        <v>45827</v>
      </c>
      <c r="W17" s="63">
        <v>45828</v>
      </c>
      <c r="X17" s="63">
        <v>45829</v>
      </c>
      <c r="Y17" s="63">
        <v>45830</v>
      </c>
      <c r="Z17" s="63">
        <v>45831</v>
      </c>
      <c r="AA17" s="63">
        <v>45832</v>
      </c>
      <c r="AB17" s="63">
        <v>45833</v>
      </c>
      <c r="AC17" s="63">
        <v>45834</v>
      </c>
      <c r="AD17" s="63">
        <v>45835</v>
      </c>
      <c r="AE17" s="63">
        <v>45836</v>
      </c>
      <c r="AF17" s="63">
        <v>45837</v>
      </c>
      <c r="AG17" s="64">
        <v>45838</v>
      </c>
      <c r="AH17" s="20" t="s">
        <v>6</v>
      </c>
      <c r="AI17" s="13" t="s">
        <v>7</v>
      </c>
      <c r="AJ17" s="13" t="s">
        <v>12</v>
      </c>
      <c r="AK17" s="13" t="s">
        <v>37</v>
      </c>
      <c r="AL17" s="13" t="s">
        <v>23</v>
      </c>
      <c r="AM17" s="14" t="s">
        <v>5</v>
      </c>
    </row>
    <row r="18" spans="1:39" ht="15" customHeight="1" x14ac:dyDescent="0.25">
      <c r="A18" s="3">
        <f>IF(B18="","",1)</f>
        <v>1</v>
      </c>
      <c r="B18" s="4" t="s">
        <v>13</v>
      </c>
      <c r="C18" s="16" t="s">
        <v>14</v>
      </c>
      <c r="D18" s="77" t="s">
        <v>42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9"/>
      <c r="AH18" s="22">
        <f>COUNTIF(D18:AG18,"P")</f>
        <v>0</v>
      </c>
      <c r="AI18" s="8">
        <f>COUNTIF(D18:AG18,"A")</f>
        <v>0</v>
      </c>
      <c r="AJ18" s="8">
        <f>COUNTIF(D18:AG18,"L")</f>
        <v>0</v>
      </c>
      <c r="AK18" s="4">
        <v>1</v>
      </c>
      <c r="AL18" s="8">
        <v>2</v>
      </c>
      <c r="AM18" s="16">
        <f>AH18+AJ18+AK18+AL18</f>
        <v>3</v>
      </c>
    </row>
    <row r="19" spans="1:39" x14ac:dyDescent="0.25">
      <c r="A19" s="3">
        <f>IF(B19="","",A18+1)</f>
        <v>2</v>
      </c>
      <c r="B19" s="4" t="s">
        <v>15</v>
      </c>
      <c r="C19" s="16" t="s">
        <v>16</v>
      </c>
      <c r="D19" s="80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2"/>
      <c r="AH19" s="22">
        <f>COUNTIF(D19:AG19,"P")</f>
        <v>0</v>
      </c>
      <c r="AI19" s="8">
        <f>COUNTIF(D19:AG19,"A")</f>
        <v>0</v>
      </c>
      <c r="AJ19" s="8">
        <f>COUNTIF(D19:AG19,"L")</f>
        <v>0</v>
      </c>
      <c r="AK19" s="4">
        <v>1</v>
      </c>
      <c r="AL19" s="8">
        <v>2</v>
      </c>
      <c r="AM19" s="16">
        <f t="shared" ref="AM19:AM26" si="3">AH19+AJ19+AK19+AL19</f>
        <v>3</v>
      </c>
    </row>
    <row r="20" spans="1:39" x14ac:dyDescent="0.25">
      <c r="A20" s="3">
        <f t="shared" ref="A20:A24" si="4">IF(B20="","",A19+1)</f>
        <v>3</v>
      </c>
      <c r="B20" s="4" t="s">
        <v>17</v>
      </c>
      <c r="C20" s="16" t="s">
        <v>18</v>
      </c>
      <c r="D20" s="80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2"/>
      <c r="AH20" s="22">
        <f>COUNTIF(D20:AG20,"P")</f>
        <v>0</v>
      </c>
      <c r="AI20" s="8">
        <f>COUNTIF(D20:AG20,"A")</f>
        <v>0</v>
      </c>
      <c r="AJ20" s="8">
        <f>COUNTIF(D20:AG20,"L")</f>
        <v>0</v>
      </c>
      <c r="AK20" s="4">
        <v>1</v>
      </c>
      <c r="AL20" s="8">
        <v>2</v>
      </c>
      <c r="AM20" s="16">
        <f t="shared" si="3"/>
        <v>3</v>
      </c>
    </row>
    <row r="21" spans="1:39" x14ac:dyDescent="0.25">
      <c r="A21" s="3">
        <f t="shared" si="4"/>
        <v>4</v>
      </c>
      <c r="B21" s="4" t="s">
        <v>20</v>
      </c>
      <c r="C21" s="16" t="s">
        <v>19</v>
      </c>
      <c r="D21" s="80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2"/>
      <c r="AH21" s="22">
        <f>COUNTIF(D21:AG21,"P")</f>
        <v>0</v>
      </c>
      <c r="AI21" s="8">
        <f>COUNTIF(D21:AG21,"A")</f>
        <v>0</v>
      </c>
      <c r="AJ21" s="8">
        <f>COUNTIF(D21:AG21,"L")</f>
        <v>0</v>
      </c>
      <c r="AK21" s="4">
        <v>1</v>
      </c>
      <c r="AL21" s="8">
        <v>2</v>
      </c>
      <c r="AM21" s="16">
        <f t="shared" si="3"/>
        <v>3</v>
      </c>
    </row>
    <row r="22" spans="1:39" x14ac:dyDescent="0.25">
      <c r="A22" s="3">
        <f t="shared" si="4"/>
        <v>5</v>
      </c>
      <c r="B22" s="4" t="s">
        <v>21</v>
      </c>
      <c r="C22" s="16" t="s">
        <v>22</v>
      </c>
      <c r="D22" s="80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2"/>
      <c r="AH22" s="22">
        <f>COUNTIF(D22:AG22,"P")</f>
        <v>0</v>
      </c>
      <c r="AI22" s="8">
        <f>COUNTIF(D22:AG22,"A")</f>
        <v>0</v>
      </c>
      <c r="AJ22" s="8">
        <f>COUNTIF(D22:AG22,"L")</f>
        <v>0</v>
      </c>
      <c r="AK22" s="4">
        <v>1</v>
      </c>
      <c r="AL22" s="8">
        <v>2</v>
      </c>
      <c r="AM22" s="16">
        <f t="shared" si="3"/>
        <v>3</v>
      </c>
    </row>
    <row r="23" spans="1:39" x14ac:dyDescent="0.25">
      <c r="A23" s="3">
        <f t="shared" si="4"/>
        <v>6</v>
      </c>
      <c r="B23" s="11" t="s">
        <v>28</v>
      </c>
      <c r="C23" s="16" t="s">
        <v>19</v>
      </c>
      <c r="D23" s="80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2"/>
      <c r="AH23" s="22">
        <f>COUNTIF(D23:AG23,"P")</f>
        <v>0</v>
      </c>
      <c r="AI23" s="8">
        <f>COUNTIF(D23:AG23,"A")</f>
        <v>0</v>
      </c>
      <c r="AJ23" s="8">
        <f>COUNTIF(D23:AG23,"L")</f>
        <v>0</v>
      </c>
      <c r="AK23" s="4">
        <v>1</v>
      </c>
      <c r="AL23" s="8">
        <v>2</v>
      </c>
      <c r="AM23" s="16">
        <f t="shared" si="3"/>
        <v>3</v>
      </c>
    </row>
    <row r="24" spans="1:39" x14ac:dyDescent="0.25">
      <c r="A24" s="3">
        <f t="shared" si="4"/>
        <v>7</v>
      </c>
      <c r="B24" s="11" t="s">
        <v>29</v>
      </c>
      <c r="C24" s="16" t="s">
        <v>19</v>
      </c>
      <c r="D24" s="80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2"/>
      <c r="AH24" s="23">
        <f>COUNTIF(D24:AG24,"P")</f>
        <v>0</v>
      </c>
      <c r="AI24" s="12">
        <f>COUNTIF(D24:AG24,"A")</f>
        <v>0</v>
      </c>
      <c r="AJ24" s="8">
        <f>COUNTIF(D24:AG24,"L")</f>
        <v>0</v>
      </c>
      <c r="AK24" s="11">
        <v>1</v>
      </c>
      <c r="AL24" s="12">
        <v>2</v>
      </c>
      <c r="AM24" s="16">
        <f t="shared" si="3"/>
        <v>3</v>
      </c>
    </row>
    <row r="25" spans="1:39" x14ac:dyDescent="0.25">
      <c r="A25" s="10">
        <v>8</v>
      </c>
      <c r="B25" s="11" t="s">
        <v>36</v>
      </c>
      <c r="C25" s="30" t="s">
        <v>32</v>
      </c>
      <c r="D25" s="80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2"/>
      <c r="AH25" s="23">
        <f>COUNTIF(D25:AG25,"P")</f>
        <v>0</v>
      </c>
      <c r="AI25" s="12">
        <f>COUNTIF(D25:AG25,"A")</f>
        <v>0</v>
      </c>
      <c r="AJ25" s="8">
        <f>COUNTIF(D25:AG25,"L")</f>
        <v>0</v>
      </c>
      <c r="AK25" s="11">
        <v>1</v>
      </c>
      <c r="AL25" s="12">
        <v>2</v>
      </c>
      <c r="AM25" s="16">
        <f t="shared" si="3"/>
        <v>3</v>
      </c>
    </row>
    <row r="26" spans="1:39" ht="15.75" thickBot="1" x14ac:dyDescent="0.3">
      <c r="A26" s="5">
        <v>9</v>
      </c>
      <c r="B26" s="6" t="s">
        <v>41</v>
      </c>
      <c r="C26" s="17" t="s">
        <v>19</v>
      </c>
      <c r="D26" s="83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5"/>
      <c r="AH26" s="24">
        <f>COUNTIF(D26:AG26,"P")</f>
        <v>0</v>
      </c>
      <c r="AI26" s="9">
        <f>COUNTIF(D26:AG26,"A")</f>
        <v>0</v>
      </c>
      <c r="AJ26" s="9">
        <f>COUNTIF(D26:AG26,"L")</f>
        <v>0</v>
      </c>
      <c r="AK26" s="6">
        <v>1</v>
      </c>
      <c r="AL26" s="9">
        <v>2</v>
      </c>
      <c r="AM26" s="17">
        <f t="shared" si="3"/>
        <v>3</v>
      </c>
    </row>
  </sheetData>
  <mergeCells count="8">
    <mergeCell ref="D5:AG13"/>
    <mergeCell ref="D18:AG26"/>
    <mergeCell ref="A16:C16"/>
    <mergeCell ref="AH16:AM16"/>
    <mergeCell ref="A2:AM2"/>
    <mergeCell ref="A3:C3"/>
    <mergeCell ref="AH3:AM3"/>
    <mergeCell ref="A15:AM15"/>
  </mergeCells>
  <conditionalFormatting sqref="D18">
    <cfRule type="cellIs" dxfId="545" priority="174" operator="equal">
      <formula>"L"</formula>
    </cfRule>
  </conditionalFormatting>
  <conditionalFormatting sqref="D18">
    <cfRule type="expression" dxfId="544" priority="175">
      <formula>D$3="SUN"</formula>
    </cfRule>
    <cfRule type="cellIs" dxfId="543" priority="176" operator="equal">
      <formula>"A"</formula>
    </cfRule>
    <cfRule type="cellIs" dxfId="542" priority="177" operator="equal">
      <formula>"P"</formula>
    </cfRule>
  </conditionalFormatting>
  <conditionalFormatting sqref="D3:AG4 D16:AG17 D5">
    <cfRule type="expression" dxfId="541" priority="179">
      <formula>D$3="SUN"</formula>
    </cfRule>
  </conditionalFormatting>
  <conditionalFormatting sqref="D5">
    <cfRule type="cellIs" dxfId="540" priority="178" operator="equal">
      <formula>"L"</formula>
    </cfRule>
    <cfRule type="cellIs" dxfId="539" priority="180" operator="equal">
      <formula>"A"</formula>
    </cfRule>
    <cfRule type="cellIs" dxfId="538" priority="181" operator="equal">
      <formula>"P"</formula>
    </cfRule>
  </conditionalFormatting>
  <conditionalFormatting sqref="D18">
    <cfRule type="expression" dxfId="537" priority="217">
      <formula>D$3="SUN"</formula>
    </cfRule>
    <cfRule type="cellIs" dxfId="536" priority="218" operator="equal">
      <formula>"A"</formula>
    </cfRule>
    <cfRule type="cellIs" dxfId="535" priority="219" operator="equal">
      <formula>"P"</formula>
    </cfRule>
  </conditionalFormatting>
  <conditionalFormatting sqref="AM5:AM13">
    <cfRule type="cellIs" dxfId="534" priority="203" operator="equal">
      <formula>"L"</formula>
    </cfRule>
    <cfRule type="expression" dxfId="533" priority="204">
      <formula>AM$3="SUN"</formula>
    </cfRule>
    <cfRule type="cellIs" dxfId="532" priority="205" operator="equal">
      <formula>"A"</formula>
    </cfRule>
    <cfRule type="cellIs" dxfId="531" priority="206" operator="equal">
      <formula>"P"</formula>
    </cfRule>
  </conditionalFormatting>
  <conditionalFormatting sqref="D18">
    <cfRule type="cellIs" dxfId="530" priority="170" operator="equal">
      <formula>"L"</formula>
    </cfRule>
  </conditionalFormatting>
  <conditionalFormatting sqref="D18">
    <cfRule type="expression" dxfId="529" priority="171">
      <formula>D$3="SUN"</formula>
    </cfRule>
    <cfRule type="cellIs" dxfId="528" priority="172" operator="equal">
      <formula>"A"</formula>
    </cfRule>
    <cfRule type="cellIs" dxfId="527" priority="173" operator="equal">
      <formula>"P"</formula>
    </cfRule>
  </conditionalFormatting>
  <conditionalFormatting sqref="D18">
    <cfRule type="expression" dxfId="526" priority="164">
      <formula>D$3="SUN"</formula>
    </cfRule>
    <cfRule type="cellIs" dxfId="525" priority="165" operator="equal">
      <formula>"A"</formula>
    </cfRule>
    <cfRule type="cellIs" dxfId="524" priority="166" operator="equal">
      <formula>"P"</formula>
    </cfRule>
  </conditionalFormatting>
  <conditionalFormatting sqref="D18">
    <cfRule type="cellIs" dxfId="523" priority="139" operator="equal">
      <formula>"L"</formula>
    </cfRule>
  </conditionalFormatting>
  <conditionalFormatting sqref="D18">
    <cfRule type="expression" dxfId="522" priority="136">
      <formula>D$3="SUN"</formula>
    </cfRule>
    <cfRule type="cellIs" dxfId="521" priority="137" operator="equal">
      <formula>"A"</formula>
    </cfRule>
    <cfRule type="cellIs" dxfId="520" priority="138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5F30-C1ED-4014-A14F-EC24FF89E583}">
  <dimension ref="A1:AN26"/>
  <sheetViews>
    <sheetView topLeftCell="A13" workbookViewId="0">
      <selection activeCell="AD18" sqref="AD18:AD2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2.5703125" bestFit="1" customWidth="1"/>
    <col min="4" max="5" width="3.7109375" bestFit="1" customWidth="1"/>
    <col min="6" max="16" width="3.7109375" customWidth="1"/>
    <col min="17" max="20" width="3.7109375" bestFit="1" customWidth="1"/>
    <col min="21" max="34" width="3.7109375" customWidth="1"/>
    <col min="35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37" t="s">
        <v>30</v>
      </c>
      <c r="B2" s="38"/>
      <c r="C2" s="3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38"/>
      <c r="AJ2" s="38"/>
      <c r="AK2" s="38"/>
      <c r="AL2" s="38"/>
      <c r="AM2" s="38"/>
      <c r="AN2" s="39"/>
    </row>
    <row r="3" spans="1:40" ht="27" x14ac:dyDescent="0.25">
      <c r="A3" s="65" t="s">
        <v>0</v>
      </c>
      <c r="B3" s="66"/>
      <c r="C3" s="67"/>
      <c r="D3" s="28" t="str">
        <f>TEXT(D4,"ddd")</f>
        <v>Tue</v>
      </c>
      <c r="E3" s="15" t="str">
        <f t="shared" ref="E3:AH3" si="0">TEXT(E4,"ddd")</f>
        <v>Wed</v>
      </c>
      <c r="F3" s="15" t="str">
        <f t="shared" si="0"/>
        <v>Thu</v>
      </c>
      <c r="G3" s="15" t="str">
        <f t="shared" si="0"/>
        <v>Fri</v>
      </c>
      <c r="H3" s="15" t="str">
        <f t="shared" si="0"/>
        <v>Sat</v>
      </c>
      <c r="I3" s="15" t="str">
        <f t="shared" si="0"/>
        <v>Sun</v>
      </c>
      <c r="J3" s="15" t="str">
        <f t="shared" si="0"/>
        <v>Mon</v>
      </c>
      <c r="K3" s="15" t="str">
        <f t="shared" si="0"/>
        <v>Tue</v>
      </c>
      <c r="L3" s="15" t="str">
        <f t="shared" si="0"/>
        <v>Wed</v>
      </c>
      <c r="M3" s="15" t="str">
        <f t="shared" si="0"/>
        <v>Thu</v>
      </c>
      <c r="N3" s="15" t="str">
        <f t="shared" si="0"/>
        <v>Fri</v>
      </c>
      <c r="O3" s="15" t="str">
        <f t="shared" si="0"/>
        <v>Sat</v>
      </c>
      <c r="P3" s="15" t="str">
        <f t="shared" si="0"/>
        <v>Sun</v>
      </c>
      <c r="Q3" s="15" t="str">
        <f t="shared" si="0"/>
        <v>Mon</v>
      </c>
      <c r="R3" s="15" t="str">
        <f t="shared" si="0"/>
        <v>Tue</v>
      </c>
      <c r="S3" s="15" t="str">
        <f t="shared" si="0"/>
        <v>Wed</v>
      </c>
      <c r="T3" s="15" t="str">
        <f t="shared" si="0"/>
        <v>Thu</v>
      </c>
      <c r="U3" s="15" t="str">
        <f t="shared" si="0"/>
        <v>Fri</v>
      </c>
      <c r="V3" s="15" t="str">
        <f t="shared" si="0"/>
        <v>Sat</v>
      </c>
      <c r="W3" s="15" t="str">
        <f t="shared" si="0"/>
        <v>Sun</v>
      </c>
      <c r="X3" s="15" t="str">
        <f t="shared" si="0"/>
        <v>Mon</v>
      </c>
      <c r="Y3" s="15" t="str">
        <f t="shared" si="0"/>
        <v>Tue</v>
      </c>
      <c r="Z3" s="15" t="str">
        <f t="shared" si="0"/>
        <v>Wed</v>
      </c>
      <c r="AA3" s="15" t="str">
        <f t="shared" si="0"/>
        <v>Thu</v>
      </c>
      <c r="AB3" s="15" t="str">
        <f t="shared" si="0"/>
        <v>Fri</v>
      </c>
      <c r="AC3" s="15" t="str">
        <f t="shared" si="0"/>
        <v>Sat</v>
      </c>
      <c r="AD3" s="15" t="str">
        <f t="shared" si="0"/>
        <v>Sun</v>
      </c>
      <c r="AE3" s="15" t="str">
        <f t="shared" si="0"/>
        <v>Mon</v>
      </c>
      <c r="AF3" s="15" t="str">
        <f t="shared" si="0"/>
        <v>Tue</v>
      </c>
      <c r="AG3" s="15" t="str">
        <f t="shared" si="0"/>
        <v>Wed</v>
      </c>
      <c r="AH3" s="25" t="str">
        <f t="shared" si="0"/>
        <v>Thu</v>
      </c>
      <c r="AI3" s="68" t="s">
        <v>1</v>
      </c>
      <c r="AJ3" s="69"/>
      <c r="AK3" s="69"/>
      <c r="AL3" s="69"/>
      <c r="AM3" s="69"/>
      <c r="AN3" s="70"/>
    </row>
    <row r="4" spans="1:40" ht="15.75" thickBot="1" x14ac:dyDescent="0.3">
      <c r="A4" s="1" t="s">
        <v>2</v>
      </c>
      <c r="B4" s="2" t="s">
        <v>3</v>
      </c>
      <c r="C4" s="27" t="s">
        <v>4</v>
      </c>
      <c r="D4" s="62">
        <v>45839</v>
      </c>
      <c r="E4" s="63">
        <v>45840</v>
      </c>
      <c r="F4" s="63">
        <v>45841</v>
      </c>
      <c r="G4" s="63">
        <v>45842</v>
      </c>
      <c r="H4" s="63">
        <v>45843</v>
      </c>
      <c r="I4" s="63">
        <v>45844</v>
      </c>
      <c r="J4" s="63">
        <v>45845</v>
      </c>
      <c r="K4" s="63">
        <v>45846</v>
      </c>
      <c r="L4" s="63">
        <v>45847</v>
      </c>
      <c r="M4" s="63">
        <v>45848</v>
      </c>
      <c r="N4" s="63">
        <v>45849</v>
      </c>
      <c r="O4" s="63">
        <v>45850</v>
      </c>
      <c r="P4" s="63">
        <v>45851</v>
      </c>
      <c r="Q4" s="63">
        <v>45852</v>
      </c>
      <c r="R4" s="63">
        <v>45853</v>
      </c>
      <c r="S4" s="63">
        <v>45854</v>
      </c>
      <c r="T4" s="63">
        <v>45855</v>
      </c>
      <c r="U4" s="63">
        <v>45856</v>
      </c>
      <c r="V4" s="63">
        <v>45857</v>
      </c>
      <c r="W4" s="63">
        <v>45858</v>
      </c>
      <c r="X4" s="86">
        <v>45859</v>
      </c>
      <c r="Y4" s="86">
        <v>45860</v>
      </c>
      <c r="Z4" s="86">
        <v>45861</v>
      </c>
      <c r="AA4" s="86">
        <v>45862</v>
      </c>
      <c r="AB4" s="86">
        <v>45863</v>
      </c>
      <c r="AC4" s="86">
        <v>45864</v>
      </c>
      <c r="AD4" s="86">
        <v>45865</v>
      </c>
      <c r="AE4" s="86">
        <v>45866</v>
      </c>
      <c r="AF4" s="86">
        <v>45867</v>
      </c>
      <c r="AG4" s="86">
        <v>45868</v>
      </c>
      <c r="AH4" s="87">
        <v>45869</v>
      </c>
      <c r="AI4" s="49" t="s">
        <v>6</v>
      </c>
      <c r="AJ4" s="13" t="s">
        <v>7</v>
      </c>
      <c r="AK4" s="13" t="s">
        <v>12</v>
      </c>
      <c r="AL4" s="13" t="s">
        <v>37</v>
      </c>
      <c r="AM4" s="13" t="s">
        <v>23</v>
      </c>
      <c r="AN4" s="14" t="s">
        <v>5</v>
      </c>
    </row>
    <row r="5" spans="1:40" ht="15" customHeight="1" x14ac:dyDescent="0.25">
      <c r="A5" s="3">
        <v>1</v>
      </c>
      <c r="B5" s="4" t="s">
        <v>25</v>
      </c>
      <c r="C5" s="18" t="s">
        <v>8</v>
      </c>
      <c r="D5" s="71" t="s">
        <v>42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52" t="s">
        <v>6</v>
      </c>
      <c r="Y5" s="52" t="s">
        <v>6</v>
      </c>
      <c r="Z5" s="52" t="s">
        <v>6</v>
      </c>
      <c r="AA5" s="52" t="s">
        <v>6</v>
      </c>
      <c r="AB5" s="52" t="s">
        <v>6</v>
      </c>
      <c r="AC5" s="52" t="s">
        <v>6</v>
      </c>
      <c r="AD5" s="35" t="s">
        <v>24</v>
      </c>
      <c r="AE5" s="52" t="s">
        <v>6</v>
      </c>
      <c r="AF5" s="52" t="s">
        <v>6</v>
      </c>
      <c r="AG5" s="52" t="s">
        <v>6</v>
      </c>
      <c r="AH5" s="52" t="s">
        <v>6</v>
      </c>
      <c r="AI5" s="32">
        <f>COUNTIF(D5:AH5,"P")</f>
        <v>10</v>
      </c>
      <c r="AJ5" s="4">
        <f>COUNTIF(D5:AH5,"A")</f>
        <v>0</v>
      </c>
      <c r="AK5" s="4">
        <f>COUNTIF(D5:AH5,"L")</f>
        <v>0</v>
      </c>
      <c r="AL5" s="4">
        <v>1</v>
      </c>
      <c r="AM5" s="4">
        <v>2</v>
      </c>
      <c r="AN5" s="16">
        <f t="shared" ref="AN5:AN13" si="1">AI5+AK5+AL5+AM5</f>
        <v>13</v>
      </c>
    </row>
    <row r="6" spans="1:40" ht="15" customHeight="1" x14ac:dyDescent="0.25">
      <c r="A6" s="3">
        <v>2</v>
      </c>
      <c r="B6" s="4" t="s">
        <v>10</v>
      </c>
      <c r="C6" s="18" t="s">
        <v>8</v>
      </c>
      <c r="D6" s="73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35"/>
      <c r="AE6" s="4" t="s">
        <v>6</v>
      </c>
      <c r="AF6" s="4" t="s">
        <v>6</v>
      </c>
      <c r="AG6" s="4" t="s">
        <v>6</v>
      </c>
      <c r="AH6" s="4" t="s">
        <v>6</v>
      </c>
      <c r="AI6" s="32">
        <f>COUNTIF(D6:AH6,"P")</f>
        <v>10</v>
      </c>
      <c r="AJ6" s="4">
        <f>COUNTIF(D6:AH6,"A")</f>
        <v>0</v>
      </c>
      <c r="AK6" s="4">
        <f>COUNTIF(D6:AH6,"L")</f>
        <v>0</v>
      </c>
      <c r="AL6" s="4">
        <v>1</v>
      </c>
      <c r="AM6" s="4">
        <v>2</v>
      </c>
      <c r="AN6" s="16">
        <f t="shared" si="1"/>
        <v>13</v>
      </c>
    </row>
    <row r="7" spans="1:40" ht="15" customHeight="1" x14ac:dyDescent="0.25">
      <c r="A7" s="3">
        <v>3</v>
      </c>
      <c r="B7" s="4" t="s">
        <v>9</v>
      </c>
      <c r="C7" s="18" t="s">
        <v>8</v>
      </c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4" t="s">
        <v>6</v>
      </c>
      <c r="Y7" s="4" t="s">
        <v>6</v>
      </c>
      <c r="Z7" s="4" t="s">
        <v>6</v>
      </c>
      <c r="AA7" s="4" t="s">
        <v>6</v>
      </c>
      <c r="AB7" s="4" t="s">
        <v>6</v>
      </c>
      <c r="AC7" s="4" t="s">
        <v>6</v>
      </c>
      <c r="AD7" s="35"/>
      <c r="AE7" s="4" t="s">
        <v>6</v>
      </c>
      <c r="AF7" s="4" t="s">
        <v>6</v>
      </c>
      <c r="AG7" s="4" t="s">
        <v>6</v>
      </c>
      <c r="AH7" s="4" t="s">
        <v>6</v>
      </c>
      <c r="AI7" s="32">
        <f>COUNTIF(D7:AH7,"P")</f>
        <v>10</v>
      </c>
      <c r="AJ7" s="4">
        <f>COUNTIF(D7:AH7,"A")</f>
        <v>0</v>
      </c>
      <c r="AK7" s="4">
        <f>COUNTIF(D7:AH7,"L")</f>
        <v>0</v>
      </c>
      <c r="AL7" s="4">
        <v>1</v>
      </c>
      <c r="AM7" s="4">
        <v>2</v>
      </c>
      <c r="AN7" s="16">
        <f t="shared" si="1"/>
        <v>13</v>
      </c>
    </row>
    <row r="8" spans="1:40" ht="15" customHeight="1" x14ac:dyDescent="0.25">
      <c r="A8" s="3">
        <v>4</v>
      </c>
      <c r="B8" s="4" t="s">
        <v>11</v>
      </c>
      <c r="C8" s="18" t="s">
        <v>35</v>
      </c>
      <c r="D8" s="73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4" t="s">
        <v>6</v>
      </c>
      <c r="Y8" s="4" t="s">
        <v>6</v>
      </c>
      <c r="Z8" s="4" t="s">
        <v>6</v>
      </c>
      <c r="AA8" s="4" t="s">
        <v>6</v>
      </c>
      <c r="AB8" s="4" t="s">
        <v>6</v>
      </c>
      <c r="AC8" s="4" t="s">
        <v>6</v>
      </c>
      <c r="AD8" s="35"/>
      <c r="AE8" s="4" t="s">
        <v>6</v>
      </c>
      <c r="AF8" s="4" t="s">
        <v>6</v>
      </c>
      <c r="AG8" s="4" t="s">
        <v>6</v>
      </c>
      <c r="AH8" s="4" t="s">
        <v>6</v>
      </c>
      <c r="AI8" s="32">
        <f>COUNTIF(D8:AH8,"P")</f>
        <v>10</v>
      </c>
      <c r="AJ8" s="4">
        <f>COUNTIF(D8:AH8,"A")</f>
        <v>0</v>
      </c>
      <c r="AK8" s="4">
        <f>COUNTIF(D8:AH8,"L")</f>
        <v>0</v>
      </c>
      <c r="AL8" s="4">
        <v>1</v>
      </c>
      <c r="AM8" s="4">
        <v>2</v>
      </c>
      <c r="AN8" s="16">
        <f t="shared" si="1"/>
        <v>13</v>
      </c>
    </row>
    <row r="9" spans="1:40" ht="15" customHeight="1" x14ac:dyDescent="0.25">
      <c r="A9" s="3">
        <v>5</v>
      </c>
      <c r="B9" s="4" t="s">
        <v>26</v>
      </c>
      <c r="C9" s="18" t="s">
        <v>27</v>
      </c>
      <c r="D9" s="73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4" t="s">
        <v>6</v>
      </c>
      <c r="AD9" s="35"/>
      <c r="AE9" s="4" t="s">
        <v>6</v>
      </c>
      <c r="AF9" s="4" t="s">
        <v>6</v>
      </c>
      <c r="AG9" s="4" t="s">
        <v>6</v>
      </c>
      <c r="AH9" s="4" t="s">
        <v>6</v>
      </c>
      <c r="AI9" s="32">
        <f>COUNTIF(D9:AH9,"P")</f>
        <v>10</v>
      </c>
      <c r="AJ9" s="4">
        <f>COUNTIF(D9:AH9,"A")</f>
        <v>0</v>
      </c>
      <c r="AK9" s="4">
        <f>COUNTIF(D9:AH9,"L")</f>
        <v>0</v>
      </c>
      <c r="AL9" s="4">
        <v>1</v>
      </c>
      <c r="AM9" s="4">
        <v>2</v>
      </c>
      <c r="AN9" s="16">
        <f t="shared" si="1"/>
        <v>13</v>
      </c>
    </row>
    <row r="10" spans="1:40" ht="15" customHeight="1" x14ac:dyDescent="0.25">
      <c r="A10" s="3">
        <v>6</v>
      </c>
      <c r="B10" s="4" t="s">
        <v>33</v>
      </c>
      <c r="C10" s="18" t="s">
        <v>34</v>
      </c>
      <c r="D10" s="73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4" t="s">
        <v>6</v>
      </c>
      <c r="Y10" s="4" t="s">
        <v>6</v>
      </c>
      <c r="Z10" s="4" t="s">
        <v>6</v>
      </c>
      <c r="AA10" s="4" t="s">
        <v>6</v>
      </c>
      <c r="AB10" s="4" t="s">
        <v>6</v>
      </c>
      <c r="AC10" s="4" t="s">
        <v>6</v>
      </c>
      <c r="AD10" s="35"/>
      <c r="AE10" s="4" t="s">
        <v>6</v>
      </c>
      <c r="AF10" s="4" t="s">
        <v>6</v>
      </c>
      <c r="AG10" s="4" t="s">
        <v>6</v>
      </c>
      <c r="AH10" s="4" t="s">
        <v>6</v>
      </c>
      <c r="AI10" s="32">
        <f>COUNTIF(D10:AH10,"P")</f>
        <v>10</v>
      </c>
      <c r="AJ10" s="4">
        <f>COUNTIF(D10:AH10,"A")</f>
        <v>0</v>
      </c>
      <c r="AK10" s="4">
        <f>COUNTIF(D10:AH10,"L")</f>
        <v>0</v>
      </c>
      <c r="AL10" s="4">
        <v>1</v>
      </c>
      <c r="AM10" s="4">
        <v>2</v>
      </c>
      <c r="AN10" s="16">
        <f t="shared" si="1"/>
        <v>13</v>
      </c>
    </row>
    <row r="11" spans="1:40" ht="15" customHeight="1" x14ac:dyDescent="0.25">
      <c r="A11" s="3">
        <v>7</v>
      </c>
      <c r="B11" s="11" t="s">
        <v>38</v>
      </c>
      <c r="C11" s="18" t="s">
        <v>8</v>
      </c>
      <c r="D11" s="73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4" t="s">
        <v>6</v>
      </c>
      <c r="Y11" s="4" t="s">
        <v>6</v>
      </c>
      <c r="Z11" s="4" t="s">
        <v>6</v>
      </c>
      <c r="AA11" s="4" t="s">
        <v>6</v>
      </c>
      <c r="AB11" s="4" t="s">
        <v>6</v>
      </c>
      <c r="AC11" s="4" t="s">
        <v>6</v>
      </c>
      <c r="AD11" s="35"/>
      <c r="AE11" s="4" t="s">
        <v>6</v>
      </c>
      <c r="AF11" s="4" t="s">
        <v>6</v>
      </c>
      <c r="AG11" s="4" t="s">
        <v>6</v>
      </c>
      <c r="AH11" s="4" t="s">
        <v>6</v>
      </c>
      <c r="AI11" s="32">
        <f>COUNTIF(D11:AH11,"P")</f>
        <v>10</v>
      </c>
      <c r="AJ11" s="4">
        <f>COUNTIF(D11:AH11,"A")</f>
        <v>0</v>
      </c>
      <c r="AK11" s="4">
        <f>COUNTIF(D11:AH11,"L")</f>
        <v>0</v>
      </c>
      <c r="AL11" s="4">
        <v>1</v>
      </c>
      <c r="AM11" s="4">
        <v>2</v>
      </c>
      <c r="AN11" s="16">
        <f t="shared" si="1"/>
        <v>13</v>
      </c>
    </row>
    <row r="12" spans="1:40" ht="15" customHeight="1" x14ac:dyDescent="0.25">
      <c r="A12" s="3">
        <v>8</v>
      </c>
      <c r="B12" s="11" t="s">
        <v>39</v>
      </c>
      <c r="C12" s="18" t="s">
        <v>8</v>
      </c>
      <c r="D12" s="73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4" t="s">
        <v>6</v>
      </c>
      <c r="Y12" s="4" t="s">
        <v>6</v>
      </c>
      <c r="Z12" s="4" t="s">
        <v>6</v>
      </c>
      <c r="AA12" s="4" t="s">
        <v>6</v>
      </c>
      <c r="AB12" s="4" t="s">
        <v>6</v>
      </c>
      <c r="AC12" s="4" t="s">
        <v>6</v>
      </c>
      <c r="AD12" s="35"/>
      <c r="AE12" s="4" t="s">
        <v>6</v>
      </c>
      <c r="AF12" s="4" t="s">
        <v>6</v>
      </c>
      <c r="AG12" s="4" t="s">
        <v>6</v>
      </c>
      <c r="AH12" s="4" t="s">
        <v>6</v>
      </c>
      <c r="AI12" s="32">
        <f>COUNTIF(D12:AH12,"P")</f>
        <v>10</v>
      </c>
      <c r="AJ12" s="4">
        <f>COUNTIF(D12:AH12,"A")</f>
        <v>0</v>
      </c>
      <c r="AK12" s="4">
        <f>COUNTIF(D12:AH12,"L")</f>
        <v>0</v>
      </c>
      <c r="AL12" s="4">
        <v>1</v>
      </c>
      <c r="AM12" s="4">
        <v>2</v>
      </c>
      <c r="AN12" s="16">
        <f t="shared" si="1"/>
        <v>13</v>
      </c>
    </row>
    <row r="13" spans="1:40" ht="15.75" customHeight="1" thickBot="1" x14ac:dyDescent="0.3">
      <c r="A13" s="5">
        <v>9</v>
      </c>
      <c r="B13" s="6" t="s">
        <v>40</v>
      </c>
      <c r="C13" s="19" t="s">
        <v>8</v>
      </c>
      <c r="D13" s="75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6" t="s">
        <v>6</v>
      </c>
      <c r="Y13" s="6" t="s">
        <v>6</v>
      </c>
      <c r="Z13" s="6" t="s">
        <v>6</v>
      </c>
      <c r="AA13" s="6" t="s">
        <v>6</v>
      </c>
      <c r="AB13" s="6" t="s">
        <v>6</v>
      </c>
      <c r="AC13" s="6" t="s">
        <v>6</v>
      </c>
      <c r="AD13" s="36"/>
      <c r="AE13" s="6" t="s">
        <v>6</v>
      </c>
      <c r="AF13" s="6" t="s">
        <v>6</v>
      </c>
      <c r="AG13" s="6" t="s">
        <v>6</v>
      </c>
      <c r="AH13" s="6" t="s">
        <v>6</v>
      </c>
      <c r="AI13" s="33">
        <f>COUNTIF(D13:AH13,"P")</f>
        <v>10</v>
      </c>
      <c r="AJ13" s="6">
        <f>COUNTIF(D13:AH13,"A")</f>
        <v>0</v>
      </c>
      <c r="AK13" s="6">
        <f>COUNTIF(D13:AH13,"L")</f>
        <v>0</v>
      </c>
      <c r="AL13" s="6">
        <v>1</v>
      </c>
      <c r="AM13" s="6">
        <v>2</v>
      </c>
      <c r="AN13" s="17">
        <f t="shared" si="1"/>
        <v>13</v>
      </c>
    </row>
    <row r="14" spans="1:40" ht="15.75" thickBot="1" x14ac:dyDescent="0.3"/>
    <row r="15" spans="1:40" ht="32.25" thickBot="1" x14ac:dyDescent="0.55000000000000004">
      <c r="A15" s="37" t="s">
        <v>31</v>
      </c>
      <c r="B15" s="38"/>
      <c r="C15" s="3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38"/>
      <c r="AJ15" s="38"/>
      <c r="AK15" s="38"/>
      <c r="AL15" s="38"/>
      <c r="AM15" s="38"/>
      <c r="AN15" s="39"/>
    </row>
    <row r="16" spans="1:40" ht="27" x14ac:dyDescent="0.25">
      <c r="A16" s="40" t="s">
        <v>0</v>
      </c>
      <c r="B16" s="41"/>
      <c r="C16" s="48"/>
      <c r="D16" s="28" t="str">
        <f>TEXT(D17,"ddd")</f>
        <v>Tue</v>
      </c>
      <c r="E16" s="15" t="str">
        <f t="shared" ref="E16:AH16" si="2">TEXT(E17,"ddd")</f>
        <v>Wed</v>
      </c>
      <c r="F16" s="15" t="str">
        <f t="shared" si="2"/>
        <v>Thu</v>
      </c>
      <c r="G16" s="15" t="str">
        <f t="shared" si="2"/>
        <v>Fri</v>
      </c>
      <c r="H16" s="15" t="str">
        <f t="shared" si="2"/>
        <v>Sat</v>
      </c>
      <c r="I16" s="15" t="str">
        <f t="shared" si="2"/>
        <v>Sun</v>
      </c>
      <c r="J16" s="15" t="str">
        <f t="shared" si="2"/>
        <v>Mon</v>
      </c>
      <c r="K16" s="15" t="str">
        <f t="shared" si="2"/>
        <v>Tue</v>
      </c>
      <c r="L16" s="15" t="str">
        <f t="shared" si="2"/>
        <v>Wed</v>
      </c>
      <c r="M16" s="15" t="str">
        <f t="shared" si="2"/>
        <v>Thu</v>
      </c>
      <c r="N16" s="15" t="str">
        <f t="shared" si="2"/>
        <v>Fri</v>
      </c>
      <c r="O16" s="15" t="str">
        <f t="shared" si="2"/>
        <v>Sat</v>
      </c>
      <c r="P16" s="15" t="str">
        <f t="shared" si="2"/>
        <v>Sun</v>
      </c>
      <c r="Q16" s="15" t="str">
        <f t="shared" si="2"/>
        <v>Mon</v>
      </c>
      <c r="R16" s="15" t="str">
        <f t="shared" si="2"/>
        <v>Tue</v>
      </c>
      <c r="S16" s="15" t="str">
        <f t="shared" si="2"/>
        <v>Wed</v>
      </c>
      <c r="T16" s="15" t="str">
        <f t="shared" si="2"/>
        <v>Thu</v>
      </c>
      <c r="U16" s="15" t="str">
        <f t="shared" si="2"/>
        <v>Fri</v>
      </c>
      <c r="V16" s="15" t="str">
        <f t="shared" si="2"/>
        <v>Sat</v>
      </c>
      <c r="W16" s="15" t="str">
        <f t="shared" si="2"/>
        <v>Sun</v>
      </c>
      <c r="X16" s="15" t="str">
        <f t="shared" si="2"/>
        <v>Mon</v>
      </c>
      <c r="Y16" s="15" t="str">
        <f t="shared" si="2"/>
        <v>Tue</v>
      </c>
      <c r="Z16" s="15" t="str">
        <f t="shared" si="2"/>
        <v>Wed</v>
      </c>
      <c r="AA16" s="15" t="str">
        <f t="shared" si="2"/>
        <v>Thu</v>
      </c>
      <c r="AB16" s="15" t="str">
        <f t="shared" si="2"/>
        <v>Fri</v>
      </c>
      <c r="AC16" s="15" t="str">
        <f t="shared" si="2"/>
        <v>Sat</v>
      </c>
      <c r="AD16" s="15" t="str">
        <f t="shared" si="2"/>
        <v>Sun</v>
      </c>
      <c r="AE16" s="15" t="str">
        <f t="shared" si="2"/>
        <v>Mon</v>
      </c>
      <c r="AF16" s="15" t="str">
        <f t="shared" si="2"/>
        <v>Tue</v>
      </c>
      <c r="AG16" s="15" t="str">
        <f t="shared" si="2"/>
        <v>Wed</v>
      </c>
      <c r="AH16" s="25" t="str">
        <f t="shared" si="2"/>
        <v>Thu</v>
      </c>
      <c r="AI16" s="54" t="s">
        <v>1</v>
      </c>
      <c r="AJ16" s="44"/>
      <c r="AK16" s="44"/>
      <c r="AL16" s="44"/>
      <c r="AM16" s="44"/>
      <c r="AN16" s="45"/>
    </row>
    <row r="17" spans="1:40" ht="15.75" thickBot="1" x14ac:dyDescent="0.3">
      <c r="A17" s="1" t="s">
        <v>2</v>
      </c>
      <c r="B17" s="2" t="s">
        <v>3</v>
      </c>
      <c r="C17" s="27" t="s">
        <v>4</v>
      </c>
      <c r="D17" s="62">
        <v>45839</v>
      </c>
      <c r="E17" s="63">
        <v>45840</v>
      </c>
      <c r="F17" s="63">
        <v>45841</v>
      </c>
      <c r="G17" s="63">
        <v>45842</v>
      </c>
      <c r="H17" s="63">
        <v>45843</v>
      </c>
      <c r="I17" s="63">
        <v>45844</v>
      </c>
      <c r="J17" s="63">
        <v>45845</v>
      </c>
      <c r="K17" s="63">
        <v>45846</v>
      </c>
      <c r="L17" s="63">
        <v>45847</v>
      </c>
      <c r="M17" s="63">
        <v>45848</v>
      </c>
      <c r="N17" s="63">
        <v>45849</v>
      </c>
      <c r="O17" s="63">
        <v>45850</v>
      </c>
      <c r="P17" s="63">
        <v>45851</v>
      </c>
      <c r="Q17" s="63">
        <v>45852</v>
      </c>
      <c r="R17" s="63">
        <v>45853</v>
      </c>
      <c r="S17" s="63">
        <v>45854</v>
      </c>
      <c r="T17" s="63">
        <v>45855</v>
      </c>
      <c r="U17" s="63">
        <v>45856</v>
      </c>
      <c r="V17" s="63">
        <v>45857</v>
      </c>
      <c r="W17" s="63">
        <v>45858</v>
      </c>
      <c r="X17" s="63">
        <v>45859</v>
      </c>
      <c r="Y17" s="63">
        <v>45860</v>
      </c>
      <c r="Z17" s="63">
        <v>45861</v>
      </c>
      <c r="AA17" s="63">
        <v>45862</v>
      </c>
      <c r="AB17" s="63">
        <v>45863</v>
      </c>
      <c r="AC17" s="63">
        <v>45864</v>
      </c>
      <c r="AD17" s="63">
        <v>45865</v>
      </c>
      <c r="AE17" s="63">
        <v>45866</v>
      </c>
      <c r="AF17" s="63">
        <v>45867</v>
      </c>
      <c r="AG17" s="63">
        <v>45868</v>
      </c>
      <c r="AH17" s="64">
        <v>45869</v>
      </c>
      <c r="AI17" s="49" t="s">
        <v>6</v>
      </c>
      <c r="AJ17" s="13" t="s">
        <v>7</v>
      </c>
      <c r="AK17" s="13" t="s">
        <v>12</v>
      </c>
      <c r="AL17" s="13" t="s">
        <v>37</v>
      </c>
      <c r="AM17" s="13" t="s">
        <v>23</v>
      </c>
      <c r="AN17" s="14" t="s">
        <v>5</v>
      </c>
    </row>
    <row r="18" spans="1:40" ht="15" customHeight="1" x14ac:dyDescent="0.25">
      <c r="A18" s="3">
        <f>IF(B18="","",1)</f>
        <v>1</v>
      </c>
      <c r="B18" s="4" t="s">
        <v>13</v>
      </c>
      <c r="C18" s="16" t="s">
        <v>14</v>
      </c>
      <c r="D18" s="71" t="s">
        <v>42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52" t="s">
        <v>6</v>
      </c>
      <c r="Y18" s="52" t="s">
        <v>6</v>
      </c>
      <c r="Z18" s="52" t="s">
        <v>6</v>
      </c>
      <c r="AA18" s="52" t="s">
        <v>6</v>
      </c>
      <c r="AB18" s="52" t="s">
        <v>6</v>
      </c>
      <c r="AC18" s="52" t="s">
        <v>6</v>
      </c>
      <c r="AD18" s="35" t="s">
        <v>24</v>
      </c>
      <c r="AE18" s="52" t="s">
        <v>6</v>
      </c>
      <c r="AF18" s="52" t="s">
        <v>6</v>
      </c>
      <c r="AG18" s="52" t="s">
        <v>6</v>
      </c>
      <c r="AH18" s="52" t="s">
        <v>6</v>
      </c>
      <c r="AI18" s="22">
        <f>COUNTIF(D18:AH18,"P")</f>
        <v>10</v>
      </c>
      <c r="AJ18" s="8">
        <f>COUNTIF(D18:AH18,"A")</f>
        <v>0</v>
      </c>
      <c r="AK18" s="8">
        <f>COUNTIF(D18:AH18,"L")</f>
        <v>0</v>
      </c>
      <c r="AL18" s="4">
        <v>1</v>
      </c>
      <c r="AM18" s="8">
        <v>2</v>
      </c>
      <c r="AN18" s="16">
        <f>AI18+AK18+AL18+AM18</f>
        <v>13</v>
      </c>
    </row>
    <row r="19" spans="1:40" ht="15" customHeight="1" x14ac:dyDescent="0.25">
      <c r="A19" s="3">
        <f>IF(B19="","",A18+1)</f>
        <v>2</v>
      </c>
      <c r="B19" s="4" t="s">
        <v>15</v>
      </c>
      <c r="C19" s="16" t="s">
        <v>16</v>
      </c>
      <c r="D19" s="73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4" t="s">
        <v>6</v>
      </c>
      <c r="Y19" s="4" t="s">
        <v>6</v>
      </c>
      <c r="Z19" s="4" t="s">
        <v>6</v>
      </c>
      <c r="AA19" s="4" t="s">
        <v>6</v>
      </c>
      <c r="AB19" s="4" t="s">
        <v>6</v>
      </c>
      <c r="AC19" s="4" t="s">
        <v>6</v>
      </c>
      <c r="AD19" s="35"/>
      <c r="AE19" s="4" t="s">
        <v>6</v>
      </c>
      <c r="AF19" s="4" t="s">
        <v>6</v>
      </c>
      <c r="AG19" s="4" t="s">
        <v>6</v>
      </c>
      <c r="AH19" s="4" t="s">
        <v>6</v>
      </c>
      <c r="AI19" s="22">
        <f>COUNTIF(D19:AH19,"P")</f>
        <v>10</v>
      </c>
      <c r="AJ19" s="8">
        <f>COUNTIF(D19:AH19,"A")</f>
        <v>0</v>
      </c>
      <c r="AK19" s="8">
        <f>COUNTIF(D19:AH19,"L")</f>
        <v>0</v>
      </c>
      <c r="AL19" s="4">
        <v>1</v>
      </c>
      <c r="AM19" s="8">
        <v>2</v>
      </c>
      <c r="AN19" s="16">
        <f t="shared" ref="AN19:AN26" si="3">AI19+AK19+AL19+AM19</f>
        <v>13</v>
      </c>
    </row>
    <row r="20" spans="1:40" ht="15" customHeight="1" x14ac:dyDescent="0.25">
      <c r="A20" s="3">
        <f t="shared" ref="A20:A24" si="4">IF(B20="","",A19+1)</f>
        <v>3</v>
      </c>
      <c r="B20" s="4" t="s">
        <v>17</v>
      </c>
      <c r="C20" s="16" t="s">
        <v>18</v>
      </c>
      <c r="D20" s="73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4" t="s">
        <v>6</v>
      </c>
      <c r="AD20" s="35"/>
      <c r="AE20" s="4" t="s">
        <v>6</v>
      </c>
      <c r="AF20" s="4" t="s">
        <v>6</v>
      </c>
      <c r="AG20" s="4" t="s">
        <v>6</v>
      </c>
      <c r="AH20" s="4" t="s">
        <v>6</v>
      </c>
      <c r="AI20" s="22">
        <f>COUNTIF(D20:AH20,"P")</f>
        <v>10</v>
      </c>
      <c r="AJ20" s="8">
        <f>COUNTIF(D20:AH20,"A")</f>
        <v>0</v>
      </c>
      <c r="AK20" s="8">
        <f>COUNTIF(D20:AH20,"L")</f>
        <v>0</v>
      </c>
      <c r="AL20" s="4">
        <v>1</v>
      </c>
      <c r="AM20" s="8">
        <v>2</v>
      </c>
      <c r="AN20" s="16">
        <f t="shared" si="3"/>
        <v>13</v>
      </c>
    </row>
    <row r="21" spans="1:40" ht="15" customHeight="1" x14ac:dyDescent="0.25">
      <c r="A21" s="3">
        <f t="shared" si="4"/>
        <v>4</v>
      </c>
      <c r="B21" s="4" t="s">
        <v>20</v>
      </c>
      <c r="C21" s="16" t="s">
        <v>19</v>
      </c>
      <c r="D21" s="73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4" t="s">
        <v>6</v>
      </c>
      <c r="Y21" s="4" t="s">
        <v>6</v>
      </c>
      <c r="Z21" s="4" t="s">
        <v>6</v>
      </c>
      <c r="AA21" s="4" t="s">
        <v>6</v>
      </c>
      <c r="AB21" s="4" t="s">
        <v>6</v>
      </c>
      <c r="AC21" s="4" t="s">
        <v>6</v>
      </c>
      <c r="AD21" s="35"/>
      <c r="AE21" s="4" t="s">
        <v>6</v>
      </c>
      <c r="AF21" s="4" t="s">
        <v>6</v>
      </c>
      <c r="AG21" s="4" t="s">
        <v>6</v>
      </c>
      <c r="AH21" s="4" t="s">
        <v>6</v>
      </c>
      <c r="AI21" s="22">
        <f>COUNTIF(D21:AH21,"P")</f>
        <v>10</v>
      </c>
      <c r="AJ21" s="8">
        <f>COUNTIF(D21:AH21,"A")</f>
        <v>0</v>
      </c>
      <c r="AK21" s="8">
        <f>COUNTIF(D21:AH21,"L")</f>
        <v>0</v>
      </c>
      <c r="AL21" s="4">
        <v>1</v>
      </c>
      <c r="AM21" s="8">
        <v>2</v>
      </c>
      <c r="AN21" s="16">
        <f t="shared" si="3"/>
        <v>13</v>
      </c>
    </row>
    <row r="22" spans="1:40" ht="15" customHeight="1" x14ac:dyDescent="0.25">
      <c r="A22" s="3">
        <f t="shared" si="4"/>
        <v>5</v>
      </c>
      <c r="B22" s="4" t="s">
        <v>21</v>
      </c>
      <c r="C22" s="16" t="s">
        <v>22</v>
      </c>
      <c r="D22" s="73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4" t="s">
        <v>6</v>
      </c>
      <c r="Y22" s="4" t="s">
        <v>6</v>
      </c>
      <c r="Z22" s="4" t="s">
        <v>6</v>
      </c>
      <c r="AA22" s="4" t="s">
        <v>6</v>
      </c>
      <c r="AB22" s="4" t="s">
        <v>6</v>
      </c>
      <c r="AC22" s="4" t="s">
        <v>6</v>
      </c>
      <c r="AD22" s="35"/>
      <c r="AE22" s="4" t="s">
        <v>6</v>
      </c>
      <c r="AF22" s="4" t="s">
        <v>6</v>
      </c>
      <c r="AG22" s="4" t="s">
        <v>6</v>
      </c>
      <c r="AH22" s="4" t="s">
        <v>6</v>
      </c>
      <c r="AI22" s="22">
        <f>COUNTIF(D22:AH22,"P")</f>
        <v>10</v>
      </c>
      <c r="AJ22" s="8">
        <f>COUNTIF(D22:AH22,"A")</f>
        <v>0</v>
      </c>
      <c r="AK22" s="8">
        <f>COUNTIF(D22:AH22,"L")</f>
        <v>0</v>
      </c>
      <c r="AL22" s="4">
        <v>1</v>
      </c>
      <c r="AM22" s="8">
        <v>2</v>
      </c>
      <c r="AN22" s="16">
        <f t="shared" si="3"/>
        <v>13</v>
      </c>
    </row>
    <row r="23" spans="1:40" ht="15" customHeight="1" x14ac:dyDescent="0.25">
      <c r="A23" s="3">
        <f t="shared" si="4"/>
        <v>6</v>
      </c>
      <c r="B23" s="11" t="s">
        <v>28</v>
      </c>
      <c r="C23" s="16" t="s">
        <v>19</v>
      </c>
      <c r="D23" s="73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4" t="s">
        <v>6</v>
      </c>
      <c r="Y23" s="4" t="s">
        <v>6</v>
      </c>
      <c r="Z23" s="4" t="s">
        <v>6</v>
      </c>
      <c r="AA23" s="4" t="s">
        <v>6</v>
      </c>
      <c r="AB23" s="4" t="s">
        <v>6</v>
      </c>
      <c r="AC23" s="4" t="s">
        <v>6</v>
      </c>
      <c r="AD23" s="35"/>
      <c r="AE23" s="4" t="s">
        <v>6</v>
      </c>
      <c r="AF23" s="4" t="s">
        <v>6</v>
      </c>
      <c r="AG23" s="4" t="s">
        <v>6</v>
      </c>
      <c r="AH23" s="4" t="s">
        <v>6</v>
      </c>
      <c r="AI23" s="22">
        <f>COUNTIF(D23:AH23,"P")</f>
        <v>10</v>
      </c>
      <c r="AJ23" s="8">
        <f>COUNTIF(D23:AH23,"A")</f>
        <v>0</v>
      </c>
      <c r="AK23" s="8">
        <f>COUNTIF(D23:AH23,"L")</f>
        <v>0</v>
      </c>
      <c r="AL23" s="4">
        <v>1</v>
      </c>
      <c r="AM23" s="8">
        <v>2</v>
      </c>
      <c r="AN23" s="16">
        <f t="shared" si="3"/>
        <v>13</v>
      </c>
    </row>
    <row r="24" spans="1:40" ht="15" customHeight="1" x14ac:dyDescent="0.25">
      <c r="A24" s="3">
        <f t="shared" si="4"/>
        <v>7</v>
      </c>
      <c r="B24" s="11" t="s">
        <v>29</v>
      </c>
      <c r="C24" s="16" t="s">
        <v>19</v>
      </c>
      <c r="D24" s="73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11" t="s">
        <v>6</v>
      </c>
      <c r="Y24" s="11" t="s">
        <v>6</v>
      </c>
      <c r="Z24" s="11" t="s">
        <v>6</v>
      </c>
      <c r="AA24" s="11" t="s">
        <v>6</v>
      </c>
      <c r="AB24" s="11" t="s">
        <v>6</v>
      </c>
      <c r="AC24" s="11" t="s">
        <v>6</v>
      </c>
      <c r="AD24" s="35"/>
      <c r="AE24" s="11" t="s">
        <v>6</v>
      </c>
      <c r="AF24" s="11" t="s">
        <v>6</v>
      </c>
      <c r="AG24" s="11" t="s">
        <v>6</v>
      </c>
      <c r="AH24" s="11" t="s">
        <v>6</v>
      </c>
      <c r="AI24" s="23">
        <f>COUNTIF(D24:AH24,"P")</f>
        <v>10</v>
      </c>
      <c r="AJ24" s="12">
        <f>COUNTIF(D24:AH24,"A")</f>
        <v>0</v>
      </c>
      <c r="AK24" s="8">
        <f>COUNTIF(D24:AH24,"L")</f>
        <v>0</v>
      </c>
      <c r="AL24" s="11">
        <v>1</v>
      </c>
      <c r="AM24" s="12">
        <v>2</v>
      </c>
      <c r="AN24" s="16">
        <f t="shared" si="3"/>
        <v>13</v>
      </c>
    </row>
    <row r="25" spans="1:40" ht="15" customHeight="1" x14ac:dyDescent="0.25">
      <c r="A25" s="10">
        <v>8</v>
      </c>
      <c r="B25" s="11" t="s">
        <v>36</v>
      </c>
      <c r="C25" s="30" t="s">
        <v>32</v>
      </c>
      <c r="D25" s="73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11" t="s">
        <v>6</v>
      </c>
      <c r="Y25" s="11" t="s">
        <v>6</v>
      </c>
      <c r="Z25" s="11" t="s">
        <v>6</v>
      </c>
      <c r="AA25" s="11" t="s">
        <v>6</v>
      </c>
      <c r="AB25" s="11" t="s">
        <v>6</v>
      </c>
      <c r="AC25" s="11" t="s">
        <v>6</v>
      </c>
      <c r="AD25" s="35"/>
      <c r="AE25" s="11" t="s">
        <v>6</v>
      </c>
      <c r="AF25" s="11" t="s">
        <v>6</v>
      </c>
      <c r="AG25" s="11" t="s">
        <v>6</v>
      </c>
      <c r="AH25" s="11" t="s">
        <v>6</v>
      </c>
      <c r="AI25" s="23">
        <f>COUNTIF(D25:AH25,"P")</f>
        <v>10</v>
      </c>
      <c r="AJ25" s="12">
        <f>COUNTIF(D25:AH25,"A")</f>
        <v>0</v>
      </c>
      <c r="AK25" s="8">
        <f>COUNTIF(D25:AH25,"L")</f>
        <v>0</v>
      </c>
      <c r="AL25" s="11">
        <v>1</v>
      </c>
      <c r="AM25" s="12">
        <v>2</v>
      </c>
      <c r="AN25" s="16">
        <f t="shared" si="3"/>
        <v>13</v>
      </c>
    </row>
    <row r="26" spans="1:40" ht="15.75" customHeight="1" thickBot="1" x14ac:dyDescent="0.3">
      <c r="A26" s="5">
        <v>9</v>
      </c>
      <c r="B26" s="6" t="s">
        <v>41</v>
      </c>
      <c r="C26" s="17" t="s">
        <v>19</v>
      </c>
      <c r="D26" s="75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6" t="s">
        <v>6</v>
      </c>
      <c r="Y26" s="6" t="s">
        <v>6</v>
      </c>
      <c r="Z26" s="6" t="s">
        <v>6</v>
      </c>
      <c r="AA26" s="6" t="s">
        <v>6</v>
      </c>
      <c r="AB26" s="6" t="s">
        <v>6</v>
      </c>
      <c r="AC26" s="6" t="s">
        <v>6</v>
      </c>
      <c r="AD26" s="36"/>
      <c r="AE26" s="6" t="s">
        <v>6</v>
      </c>
      <c r="AF26" s="6" t="s">
        <v>6</v>
      </c>
      <c r="AG26" s="6" t="s">
        <v>6</v>
      </c>
      <c r="AH26" s="6" t="s">
        <v>6</v>
      </c>
      <c r="AI26" s="24">
        <f>COUNTIF(D26:AH26,"P")</f>
        <v>10</v>
      </c>
      <c r="AJ26" s="9">
        <f>COUNTIF(D26:AH26,"A")</f>
        <v>0</v>
      </c>
      <c r="AK26" s="9">
        <f>COUNTIF(D26:AH26,"L")</f>
        <v>0</v>
      </c>
      <c r="AL26" s="6">
        <v>1</v>
      </c>
      <c r="AM26" s="9">
        <v>2</v>
      </c>
      <c r="AN26" s="17">
        <f t="shared" si="3"/>
        <v>13</v>
      </c>
    </row>
  </sheetData>
  <mergeCells count="10">
    <mergeCell ref="D5:W13"/>
    <mergeCell ref="AD5:AD13"/>
    <mergeCell ref="D18:W26"/>
    <mergeCell ref="AD18:AD26"/>
    <mergeCell ref="A2:AN2"/>
    <mergeCell ref="A3:C3"/>
    <mergeCell ref="AI3:AN3"/>
    <mergeCell ref="A15:AN15"/>
    <mergeCell ref="A16:C16"/>
    <mergeCell ref="AI16:AN16"/>
  </mergeCells>
  <conditionalFormatting sqref="D18">
    <cfRule type="cellIs" dxfId="519" priority="184" operator="equal">
      <formula>"L"</formula>
    </cfRule>
  </conditionalFormatting>
  <conditionalFormatting sqref="D18">
    <cfRule type="expression" dxfId="518" priority="185">
      <formula>D$3="SUN"</formula>
    </cfRule>
    <cfRule type="cellIs" dxfId="517" priority="186" operator="equal">
      <formula>"A"</formula>
    </cfRule>
    <cfRule type="cellIs" dxfId="516" priority="187" operator="equal">
      <formula>"P"</formula>
    </cfRule>
  </conditionalFormatting>
  <conditionalFormatting sqref="D5 D16:AH17 D3:AH4">
    <cfRule type="expression" dxfId="515" priority="189">
      <formula>D$3="SUN"</formula>
    </cfRule>
  </conditionalFormatting>
  <conditionalFormatting sqref="D5">
    <cfRule type="cellIs" dxfId="514" priority="188" operator="equal">
      <formula>"L"</formula>
    </cfRule>
    <cfRule type="cellIs" dxfId="513" priority="190" operator="equal">
      <formula>"A"</formula>
    </cfRule>
    <cfRule type="cellIs" dxfId="512" priority="191" operator="equal">
      <formula>"P"</formula>
    </cfRule>
  </conditionalFormatting>
  <conditionalFormatting sqref="D18">
    <cfRule type="expression" dxfId="511" priority="196">
      <formula>D$3="SUN"</formula>
    </cfRule>
    <cfRule type="cellIs" dxfId="510" priority="197" operator="equal">
      <formula>"A"</formula>
    </cfRule>
    <cfRule type="cellIs" dxfId="509" priority="198" operator="equal">
      <formula>"P"</formula>
    </cfRule>
  </conditionalFormatting>
  <conditionalFormatting sqref="AN5:AN13">
    <cfRule type="cellIs" dxfId="508" priority="192" operator="equal">
      <formula>"L"</formula>
    </cfRule>
    <cfRule type="expression" dxfId="507" priority="193">
      <formula>AN$3="SUN"</formula>
    </cfRule>
    <cfRule type="cellIs" dxfId="506" priority="194" operator="equal">
      <formula>"A"</formula>
    </cfRule>
    <cfRule type="cellIs" dxfId="505" priority="195" operator="equal">
      <formula>"P"</formula>
    </cfRule>
  </conditionalFormatting>
  <conditionalFormatting sqref="D18">
    <cfRule type="cellIs" dxfId="504" priority="180" operator="equal">
      <formula>"L"</formula>
    </cfRule>
  </conditionalFormatting>
  <conditionalFormatting sqref="D18">
    <cfRule type="expression" dxfId="503" priority="181">
      <formula>D$3="SUN"</formula>
    </cfRule>
    <cfRule type="cellIs" dxfId="502" priority="182" operator="equal">
      <formula>"A"</formula>
    </cfRule>
    <cfRule type="cellIs" dxfId="501" priority="183" operator="equal">
      <formula>"P"</formula>
    </cfRule>
  </conditionalFormatting>
  <conditionalFormatting sqref="D18">
    <cfRule type="expression" dxfId="500" priority="177">
      <formula>D$3="SUN"</formula>
    </cfRule>
    <cfRule type="cellIs" dxfId="499" priority="178" operator="equal">
      <formula>"A"</formula>
    </cfRule>
    <cfRule type="cellIs" dxfId="498" priority="179" operator="equal">
      <formula>"P"</formula>
    </cfRule>
  </conditionalFormatting>
  <conditionalFormatting sqref="D18">
    <cfRule type="cellIs" dxfId="497" priority="176" operator="equal">
      <formula>"L"</formula>
    </cfRule>
  </conditionalFormatting>
  <conditionalFormatting sqref="D18">
    <cfRule type="expression" dxfId="496" priority="173">
      <formula>D$3="SUN"</formula>
    </cfRule>
    <cfRule type="cellIs" dxfId="495" priority="174" operator="equal">
      <formula>"A"</formula>
    </cfRule>
    <cfRule type="cellIs" dxfId="494" priority="175" operator="equal">
      <formula>"P"</formula>
    </cfRule>
  </conditionalFormatting>
  <conditionalFormatting sqref="AD5:AD13">
    <cfRule type="expression" dxfId="493" priority="166">
      <formula>AD$3="SUN"</formula>
    </cfRule>
    <cfRule type="cellIs" dxfId="492" priority="167" operator="equal">
      <formula>"A"</formula>
    </cfRule>
    <cfRule type="cellIs" dxfId="491" priority="168" operator="equal">
      <formula>"P"</formula>
    </cfRule>
  </conditionalFormatting>
  <conditionalFormatting sqref="AD5">
    <cfRule type="expression" dxfId="490" priority="170">
      <formula>AD$3="SUN"</formula>
    </cfRule>
    <cfRule type="cellIs" dxfId="489" priority="171" operator="equal">
      <formula>"A"</formula>
    </cfRule>
    <cfRule type="cellIs" dxfId="488" priority="172" operator="equal">
      <formula>"P"</formula>
    </cfRule>
  </conditionalFormatting>
  <conditionalFormatting sqref="AD5:AD13">
    <cfRule type="cellIs" dxfId="487" priority="169" operator="equal">
      <formula>"L"</formula>
    </cfRule>
  </conditionalFormatting>
  <conditionalFormatting sqref="AD5:AD13">
    <cfRule type="expression" dxfId="486" priority="163">
      <formula>AD$3="SUN"</formula>
    </cfRule>
    <cfRule type="cellIs" dxfId="485" priority="164" operator="equal">
      <formula>"A"</formula>
    </cfRule>
    <cfRule type="cellIs" dxfId="484" priority="165" operator="equal">
      <formula>"P"</formula>
    </cfRule>
  </conditionalFormatting>
  <conditionalFormatting sqref="AD5">
    <cfRule type="expression" dxfId="483" priority="160">
      <formula>AD$3="SUN"</formula>
    </cfRule>
    <cfRule type="cellIs" dxfId="482" priority="161" operator="equal">
      <formula>"A"</formula>
    </cfRule>
    <cfRule type="cellIs" dxfId="481" priority="162" operator="equal">
      <formula>"P"</formula>
    </cfRule>
  </conditionalFormatting>
  <conditionalFormatting sqref="X5:X13">
    <cfRule type="expression" dxfId="480" priority="157">
      <formula>X$3="SUN"</formula>
    </cfRule>
  </conditionalFormatting>
  <conditionalFormatting sqref="X5:X13">
    <cfRule type="cellIs" dxfId="479" priority="156" operator="equal">
      <formula>"L"</formula>
    </cfRule>
    <cfRule type="cellIs" dxfId="478" priority="158" operator="equal">
      <formula>"A"</formula>
    </cfRule>
    <cfRule type="cellIs" dxfId="477" priority="159" operator="equal">
      <formula>"P"</formula>
    </cfRule>
  </conditionalFormatting>
  <conditionalFormatting sqref="Y5:Y13">
    <cfRule type="expression" dxfId="476" priority="153">
      <formula>Y$3="SUN"</formula>
    </cfRule>
  </conditionalFormatting>
  <conditionalFormatting sqref="Y5:Y13">
    <cfRule type="cellIs" dxfId="475" priority="152" operator="equal">
      <formula>"L"</formula>
    </cfRule>
    <cfRule type="cellIs" dxfId="474" priority="154" operator="equal">
      <formula>"A"</formula>
    </cfRule>
    <cfRule type="cellIs" dxfId="473" priority="155" operator="equal">
      <formula>"P"</formula>
    </cfRule>
  </conditionalFormatting>
  <conditionalFormatting sqref="Z5:Z13">
    <cfRule type="expression" dxfId="472" priority="149">
      <formula>Z$3="SUN"</formula>
    </cfRule>
  </conditionalFormatting>
  <conditionalFormatting sqref="Z5:Z13">
    <cfRule type="cellIs" dxfId="471" priority="148" operator="equal">
      <formula>"L"</formula>
    </cfRule>
    <cfRule type="cellIs" dxfId="470" priority="150" operator="equal">
      <formula>"A"</formula>
    </cfRule>
    <cfRule type="cellIs" dxfId="469" priority="151" operator="equal">
      <formula>"P"</formula>
    </cfRule>
  </conditionalFormatting>
  <conditionalFormatting sqref="AA5:AA13">
    <cfRule type="expression" dxfId="468" priority="145">
      <formula>AA$3="SUN"</formula>
    </cfRule>
  </conditionalFormatting>
  <conditionalFormatting sqref="AA5:AA13">
    <cfRule type="cellIs" dxfId="467" priority="144" operator="equal">
      <formula>"L"</formula>
    </cfRule>
    <cfRule type="cellIs" dxfId="466" priority="146" operator="equal">
      <formula>"A"</formula>
    </cfRule>
    <cfRule type="cellIs" dxfId="465" priority="147" operator="equal">
      <formula>"P"</formula>
    </cfRule>
  </conditionalFormatting>
  <conditionalFormatting sqref="AB5:AB13">
    <cfRule type="expression" dxfId="464" priority="141">
      <formula>AB$3="SUN"</formula>
    </cfRule>
  </conditionalFormatting>
  <conditionalFormatting sqref="AB5:AB13">
    <cfRule type="cellIs" dxfId="463" priority="140" operator="equal">
      <formula>"L"</formula>
    </cfRule>
    <cfRule type="cellIs" dxfId="462" priority="142" operator="equal">
      <formula>"A"</formula>
    </cfRule>
    <cfRule type="cellIs" dxfId="461" priority="143" operator="equal">
      <formula>"P"</formula>
    </cfRule>
  </conditionalFormatting>
  <conditionalFormatting sqref="AC5:AC13">
    <cfRule type="expression" dxfId="460" priority="137">
      <formula>AC$3="SUN"</formula>
    </cfRule>
  </conditionalFormatting>
  <conditionalFormatting sqref="AC5:AC13">
    <cfRule type="cellIs" dxfId="459" priority="136" operator="equal">
      <formula>"L"</formula>
    </cfRule>
    <cfRule type="cellIs" dxfId="458" priority="138" operator="equal">
      <formula>"A"</formula>
    </cfRule>
    <cfRule type="cellIs" dxfId="457" priority="139" operator="equal">
      <formula>"P"</formula>
    </cfRule>
  </conditionalFormatting>
  <conditionalFormatting sqref="AE5:AE13">
    <cfRule type="expression" dxfId="456" priority="133">
      <formula>AE$3="SUN"</formula>
    </cfRule>
  </conditionalFormatting>
  <conditionalFormatting sqref="AE5:AE13">
    <cfRule type="cellIs" dxfId="455" priority="132" operator="equal">
      <formula>"L"</formula>
    </cfRule>
    <cfRule type="cellIs" dxfId="454" priority="134" operator="equal">
      <formula>"A"</formula>
    </cfRule>
    <cfRule type="cellIs" dxfId="453" priority="135" operator="equal">
      <formula>"P"</formula>
    </cfRule>
  </conditionalFormatting>
  <conditionalFormatting sqref="AF5:AF13">
    <cfRule type="expression" dxfId="452" priority="129">
      <formula>AF$3="SUN"</formula>
    </cfRule>
  </conditionalFormatting>
  <conditionalFormatting sqref="AF5:AF13">
    <cfRule type="cellIs" dxfId="451" priority="128" operator="equal">
      <formula>"L"</formula>
    </cfRule>
    <cfRule type="cellIs" dxfId="450" priority="130" operator="equal">
      <formula>"A"</formula>
    </cfRule>
    <cfRule type="cellIs" dxfId="449" priority="131" operator="equal">
      <formula>"P"</formula>
    </cfRule>
  </conditionalFormatting>
  <conditionalFormatting sqref="AG5:AG13">
    <cfRule type="expression" dxfId="448" priority="125">
      <formula>AG$3="SUN"</formula>
    </cfRule>
  </conditionalFormatting>
  <conditionalFormatting sqref="AG5:AG13">
    <cfRule type="cellIs" dxfId="447" priority="124" operator="equal">
      <formula>"L"</formula>
    </cfRule>
    <cfRule type="cellIs" dxfId="446" priority="126" operator="equal">
      <formula>"A"</formula>
    </cfRule>
    <cfRule type="cellIs" dxfId="445" priority="127" operator="equal">
      <formula>"P"</formula>
    </cfRule>
  </conditionalFormatting>
  <conditionalFormatting sqref="AH5:AH13">
    <cfRule type="expression" dxfId="444" priority="121">
      <formula>AH$3="SUN"</formula>
    </cfRule>
  </conditionalFormatting>
  <conditionalFormatting sqref="AH5:AH13">
    <cfRule type="cellIs" dxfId="443" priority="120" operator="equal">
      <formula>"L"</formula>
    </cfRule>
    <cfRule type="cellIs" dxfId="442" priority="122" operator="equal">
      <formula>"A"</formula>
    </cfRule>
    <cfRule type="cellIs" dxfId="441" priority="123" operator="equal">
      <formula>"P"</formula>
    </cfRule>
  </conditionalFormatting>
  <conditionalFormatting sqref="X18:X26">
    <cfRule type="cellIs" dxfId="440" priority="116" operator="equal">
      <formula>"L"</formula>
    </cfRule>
  </conditionalFormatting>
  <conditionalFormatting sqref="X18:X26">
    <cfRule type="expression" dxfId="439" priority="117">
      <formula>X$3="SUN"</formula>
    </cfRule>
    <cfRule type="cellIs" dxfId="438" priority="118" operator="equal">
      <formula>"A"</formula>
    </cfRule>
    <cfRule type="cellIs" dxfId="437" priority="119" operator="equal">
      <formula>"P"</formula>
    </cfRule>
  </conditionalFormatting>
  <conditionalFormatting sqref="X18">
    <cfRule type="expression" dxfId="436" priority="113">
      <formula>X$3="SUN"</formula>
    </cfRule>
    <cfRule type="cellIs" dxfId="435" priority="114" operator="equal">
      <formula>"A"</formula>
    </cfRule>
    <cfRule type="cellIs" dxfId="434" priority="115" operator="equal">
      <formula>"P"</formula>
    </cfRule>
  </conditionalFormatting>
  <conditionalFormatting sqref="X18:X26">
    <cfRule type="expression" dxfId="433" priority="110">
      <formula>X$3="SUN"</formula>
    </cfRule>
    <cfRule type="cellIs" dxfId="432" priority="111" operator="equal">
      <formula>"A"</formula>
    </cfRule>
    <cfRule type="cellIs" dxfId="431" priority="112" operator="equal">
      <formula>"P"</formula>
    </cfRule>
  </conditionalFormatting>
  <conditionalFormatting sqref="Y18:Y26">
    <cfRule type="cellIs" dxfId="430" priority="106" operator="equal">
      <formula>"L"</formula>
    </cfRule>
  </conditionalFormatting>
  <conditionalFormatting sqref="Y18:Y26">
    <cfRule type="expression" dxfId="429" priority="107">
      <formula>Y$3="SUN"</formula>
    </cfRule>
    <cfRule type="cellIs" dxfId="428" priority="108" operator="equal">
      <formula>"A"</formula>
    </cfRule>
    <cfRule type="cellIs" dxfId="427" priority="109" operator="equal">
      <formula>"P"</formula>
    </cfRule>
  </conditionalFormatting>
  <conditionalFormatting sqref="Y18">
    <cfRule type="expression" dxfId="426" priority="103">
      <formula>Y$3="SUN"</formula>
    </cfRule>
    <cfRule type="cellIs" dxfId="425" priority="104" operator="equal">
      <formula>"A"</formula>
    </cfRule>
    <cfRule type="cellIs" dxfId="424" priority="105" operator="equal">
      <formula>"P"</formula>
    </cfRule>
  </conditionalFormatting>
  <conditionalFormatting sqref="Y18:Y26">
    <cfRule type="expression" dxfId="423" priority="100">
      <formula>Y$3="SUN"</formula>
    </cfRule>
    <cfRule type="cellIs" dxfId="422" priority="101" operator="equal">
      <formula>"A"</formula>
    </cfRule>
    <cfRule type="cellIs" dxfId="421" priority="102" operator="equal">
      <formula>"P"</formula>
    </cfRule>
  </conditionalFormatting>
  <conditionalFormatting sqref="Z18:Z26">
    <cfRule type="cellIs" dxfId="420" priority="96" operator="equal">
      <formula>"L"</formula>
    </cfRule>
  </conditionalFormatting>
  <conditionalFormatting sqref="Z18:Z26">
    <cfRule type="expression" dxfId="419" priority="97">
      <formula>Z$3="SUN"</formula>
    </cfRule>
    <cfRule type="cellIs" dxfId="418" priority="98" operator="equal">
      <formula>"A"</formula>
    </cfRule>
    <cfRule type="cellIs" dxfId="417" priority="99" operator="equal">
      <formula>"P"</formula>
    </cfRule>
  </conditionalFormatting>
  <conditionalFormatting sqref="Z18">
    <cfRule type="expression" dxfId="416" priority="93">
      <formula>Z$3="SUN"</formula>
    </cfRule>
    <cfRule type="cellIs" dxfId="415" priority="94" operator="equal">
      <formula>"A"</formula>
    </cfRule>
    <cfRule type="cellIs" dxfId="414" priority="95" operator="equal">
      <formula>"P"</formula>
    </cfRule>
  </conditionalFormatting>
  <conditionalFormatting sqref="Z18:Z26">
    <cfRule type="expression" dxfId="413" priority="90">
      <formula>Z$3="SUN"</formula>
    </cfRule>
    <cfRule type="cellIs" dxfId="412" priority="91" operator="equal">
      <formula>"A"</formula>
    </cfRule>
    <cfRule type="cellIs" dxfId="411" priority="92" operator="equal">
      <formula>"P"</formula>
    </cfRule>
  </conditionalFormatting>
  <conditionalFormatting sqref="AA18:AA26">
    <cfRule type="cellIs" dxfId="410" priority="86" operator="equal">
      <formula>"L"</formula>
    </cfRule>
  </conditionalFormatting>
  <conditionalFormatting sqref="AA18:AA26">
    <cfRule type="expression" dxfId="409" priority="87">
      <formula>AA$3="SUN"</formula>
    </cfRule>
    <cfRule type="cellIs" dxfId="408" priority="88" operator="equal">
      <formula>"A"</formula>
    </cfRule>
    <cfRule type="cellIs" dxfId="407" priority="89" operator="equal">
      <formula>"P"</formula>
    </cfRule>
  </conditionalFormatting>
  <conditionalFormatting sqref="AA18">
    <cfRule type="expression" dxfId="406" priority="83">
      <formula>AA$3="SUN"</formula>
    </cfRule>
    <cfRule type="cellIs" dxfId="405" priority="84" operator="equal">
      <formula>"A"</formula>
    </cfRule>
    <cfRule type="cellIs" dxfId="404" priority="85" operator="equal">
      <formula>"P"</formula>
    </cfRule>
  </conditionalFormatting>
  <conditionalFormatting sqref="AA18:AA26">
    <cfRule type="expression" dxfId="403" priority="80">
      <formula>AA$3="SUN"</formula>
    </cfRule>
    <cfRule type="cellIs" dxfId="402" priority="81" operator="equal">
      <formula>"A"</formula>
    </cfRule>
    <cfRule type="cellIs" dxfId="401" priority="82" operator="equal">
      <formula>"P"</formula>
    </cfRule>
  </conditionalFormatting>
  <conditionalFormatting sqref="AB18:AB26">
    <cfRule type="cellIs" dxfId="400" priority="76" operator="equal">
      <formula>"L"</formula>
    </cfRule>
  </conditionalFormatting>
  <conditionalFormatting sqref="AB18:AB26">
    <cfRule type="expression" dxfId="399" priority="77">
      <formula>AB$3="SUN"</formula>
    </cfRule>
    <cfRule type="cellIs" dxfId="398" priority="78" operator="equal">
      <formula>"A"</formula>
    </cfRule>
    <cfRule type="cellIs" dxfId="397" priority="79" operator="equal">
      <formula>"P"</formula>
    </cfRule>
  </conditionalFormatting>
  <conditionalFormatting sqref="AB18">
    <cfRule type="expression" dxfId="396" priority="73">
      <formula>AB$3="SUN"</formula>
    </cfRule>
    <cfRule type="cellIs" dxfId="395" priority="74" operator="equal">
      <formula>"A"</formula>
    </cfRule>
    <cfRule type="cellIs" dxfId="394" priority="75" operator="equal">
      <formula>"P"</formula>
    </cfRule>
  </conditionalFormatting>
  <conditionalFormatting sqref="AB18:AB26">
    <cfRule type="expression" dxfId="393" priority="70">
      <formula>AB$3="SUN"</formula>
    </cfRule>
    <cfRule type="cellIs" dxfId="392" priority="71" operator="equal">
      <formula>"A"</formula>
    </cfRule>
    <cfRule type="cellIs" dxfId="391" priority="72" operator="equal">
      <formula>"P"</formula>
    </cfRule>
  </conditionalFormatting>
  <conditionalFormatting sqref="AC18:AC26">
    <cfRule type="cellIs" dxfId="390" priority="66" operator="equal">
      <formula>"L"</formula>
    </cfRule>
  </conditionalFormatting>
  <conditionalFormatting sqref="AC18:AC26">
    <cfRule type="expression" dxfId="389" priority="67">
      <formula>AC$3="SUN"</formula>
    </cfRule>
    <cfRule type="cellIs" dxfId="388" priority="68" operator="equal">
      <formula>"A"</formula>
    </cfRule>
    <cfRule type="cellIs" dxfId="387" priority="69" operator="equal">
      <formula>"P"</formula>
    </cfRule>
  </conditionalFormatting>
  <conditionalFormatting sqref="AC18">
    <cfRule type="expression" dxfId="386" priority="63">
      <formula>AC$3="SUN"</formula>
    </cfRule>
    <cfRule type="cellIs" dxfId="385" priority="64" operator="equal">
      <formula>"A"</formula>
    </cfRule>
    <cfRule type="cellIs" dxfId="384" priority="65" operator="equal">
      <formula>"P"</formula>
    </cfRule>
  </conditionalFormatting>
  <conditionalFormatting sqref="AC18:AC26">
    <cfRule type="expression" dxfId="383" priority="60">
      <formula>AC$3="SUN"</formula>
    </cfRule>
    <cfRule type="cellIs" dxfId="382" priority="61" operator="equal">
      <formula>"A"</formula>
    </cfRule>
    <cfRule type="cellIs" dxfId="381" priority="62" operator="equal">
      <formula>"P"</formula>
    </cfRule>
  </conditionalFormatting>
  <conditionalFormatting sqref="AE18:AE26">
    <cfRule type="cellIs" dxfId="380" priority="56" operator="equal">
      <formula>"L"</formula>
    </cfRule>
  </conditionalFormatting>
  <conditionalFormatting sqref="AE18:AE26">
    <cfRule type="expression" dxfId="379" priority="57">
      <formula>AE$3="SUN"</formula>
    </cfRule>
    <cfRule type="cellIs" dxfId="378" priority="58" operator="equal">
      <formula>"A"</formula>
    </cfRule>
    <cfRule type="cellIs" dxfId="377" priority="59" operator="equal">
      <formula>"P"</formula>
    </cfRule>
  </conditionalFormatting>
  <conditionalFormatting sqref="AE18">
    <cfRule type="expression" dxfId="376" priority="53">
      <formula>AE$3="SUN"</formula>
    </cfRule>
    <cfRule type="cellIs" dxfId="375" priority="54" operator="equal">
      <formula>"A"</formula>
    </cfRule>
    <cfRule type="cellIs" dxfId="374" priority="55" operator="equal">
      <formula>"P"</formula>
    </cfRule>
  </conditionalFormatting>
  <conditionalFormatting sqref="AE18:AE26">
    <cfRule type="expression" dxfId="373" priority="50">
      <formula>AE$3="SUN"</formula>
    </cfRule>
    <cfRule type="cellIs" dxfId="372" priority="51" operator="equal">
      <formula>"A"</formula>
    </cfRule>
    <cfRule type="cellIs" dxfId="371" priority="52" operator="equal">
      <formula>"P"</formula>
    </cfRule>
  </conditionalFormatting>
  <conditionalFormatting sqref="AF18:AF26">
    <cfRule type="cellIs" dxfId="370" priority="46" operator="equal">
      <formula>"L"</formula>
    </cfRule>
  </conditionalFormatting>
  <conditionalFormatting sqref="AF18:AF26">
    <cfRule type="expression" dxfId="369" priority="47">
      <formula>AF$3="SUN"</formula>
    </cfRule>
    <cfRule type="cellIs" dxfId="368" priority="48" operator="equal">
      <formula>"A"</formula>
    </cfRule>
    <cfRule type="cellIs" dxfId="367" priority="49" operator="equal">
      <formula>"P"</formula>
    </cfRule>
  </conditionalFormatting>
  <conditionalFormatting sqref="AF18">
    <cfRule type="expression" dxfId="366" priority="43">
      <formula>AF$3="SUN"</formula>
    </cfRule>
    <cfRule type="cellIs" dxfId="365" priority="44" operator="equal">
      <formula>"A"</formula>
    </cfRule>
    <cfRule type="cellIs" dxfId="364" priority="45" operator="equal">
      <formula>"P"</formula>
    </cfRule>
  </conditionalFormatting>
  <conditionalFormatting sqref="AF18:AF26">
    <cfRule type="expression" dxfId="363" priority="40">
      <formula>AF$3="SUN"</formula>
    </cfRule>
    <cfRule type="cellIs" dxfId="362" priority="41" operator="equal">
      <formula>"A"</formula>
    </cfRule>
    <cfRule type="cellIs" dxfId="361" priority="42" operator="equal">
      <formula>"P"</formula>
    </cfRule>
  </conditionalFormatting>
  <conditionalFormatting sqref="AG18:AG26">
    <cfRule type="cellIs" dxfId="360" priority="36" operator="equal">
      <formula>"L"</formula>
    </cfRule>
  </conditionalFormatting>
  <conditionalFormatting sqref="AG18:AG26">
    <cfRule type="expression" dxfId="359" priority="37">
      <formula>AG$3="SUN"</formula>
    </cfRule>
    <cfRule type="cellIs" dxfId="358" priority="38" operator="equal">
      <formula>"A"</formula>
    </cfRule>
    <cfRule type="cellIs" dxfId="357" priority="39" operator="equal">
      <formula>"P"</formula>
    </cfRule>
  </conditionalFormatting>
  <conditionalFormatting sqref="AG18">
    <cfRule type="expression" dxfId="356" priority="33">
      <formula>AG$3="SUN"</formula>
    </cfRule>
    <cfRule type="cellIs" dxfId="355" priority="34" operator="equal">
      <formula>"A"</formula>
    </cfRule>
    <cfRule type="cellIs" dxfId="354" priority="35" operator="equal">
      <formula>"P"</formula>
    </cfRule>
  </conditionalFormatting>
  <conditionalFormatting sqref="AG18:AG26">
    <cfRule type="expression" dxfId="353" priority="30">
      <formula>AG$3="SUN"</formula>
    </cfRule>
    <cfRule type="cellIs" dxfId="352" priority="31" operator="equal">
      <formula>"A"</formula>
    </cfRule>
    <cfRule type="cellIs" dxfId="351" priority="32" operator="equal">
      <formula>"P"</formula>
    </cfRule>
  </conditionalFormatting>
  <conditionalFormatting sqref="AH18:AH26">
    <cfRule type="cellIs" dxfId="350" priority="26" operator="equal">
      <formula>"L"</formula>
    </cfRule>
  </conditionalFormatting>
  <conditionalFormatting sqref="AH18:AH26">
    <cfRule type="expression" dxfId="349" priority="27">
      <formula>AH$3="SUN"</formula>
    </cfRule>
    <cfRule type="cellIs" dxfId="348" priority="28" operator="equal">
      <formula>"A"</formula>
    </cfRule>
    <cfRule type="cellIs" dxfId="347" priority="29" operator="equal">
      <formula>"P"</formula>
    </cfRule>
  </conditionalFormatting>
  <conditionalFormatting sqref="AH18">
    <cfRule type="expression" dxfId="346" priority="23">
      <formula>AH$3="SUN"</formula>
    </cfRule>
    <cfRule type="cellIs" dxfId="345" priority="24" operator="equal">
      <formula>"A"</formula>
    </cfRule>
    <cfRule type="cellIs" dxfId="344" priority="25" operator="equal">
      <formula>"P"</formula>
    </cfRule>
  </conditionalFormatting>
  <conditionalFormatting sqref="AH18:AH26">
    <cfRule type="expression" dxfId="343" priority="20">
      <formula>AH$3="SUN"</formula>
    </cfRule>
    <cfRule type="cellIs" dxfId="342" priority="21" operator="equal">
      <formula>"A"</formula>
    </cfRule>
    <cfRule type="cellIs" dxfId="341" priority="22" operator="equal">
      <formula>"P"</formula>
    </cfRule>
  </conditionalFormatting>
  <conditionalFormatting sqref="AD18:AD26">
    <cfRule type="cellIs" dxfId="340" priority="16" operator="equal">
      <formula>"L"</formula>
    </cfRule>
  </conditionalFormatting>
  <conditionalFormatting sqref="AD18:AD26">
    <cfRule type="expression" dxfId="339" priority="13">
      <formula>AD$3="SUN"</formula>
    </cfRule>
    <cfRule type="cellIs" dxfId="338" priority="14" operator="equal">
      <formula>"A"</formula>
    </cfRule>
    <cfRule type="cellIs" dxfId="337" priority="15" operator="equal">
      <formula>"P"</formula>
    </cfRule>
  </conditionalFormatting>
  <conditionalFormatting sqref="AD18">
    <cfRule type="expression" dxfId="336" priority="17">
      <formula>AD$3="SUN"</formula>
    </cfRule>
    <cfRule type="cellIs" dxfId="335" priority="18" operator="equal">
      <formula>"A"</formula>
    </cfRule>
    <cfRule type="cellIs" dxfId="334" priority="19" operator="equal">
      <formula>"P"</formula>
    </cfRule>
  </conditionalFormatting>
  <conditionalFormatting sqref="AD18:AD26">
    <cfRule type="expression" dxfId="333" priority="7">
      <formula>AD$3="SUN"</formula>
    </cfRule>
    <cfRule type="cellIs" dxfId="332" priority="8" operator="equal">
      <formula>"A"</formula>
    </cfRule>
    <cfRule type="cellIs" dxfId="331" priority="9" operator="equal">
      <formula>"P"</formula>
    </cfRule>
  </conditionalFormatting>
  <conditionalFormatting sqref="AD18">
    <cfRule type="expression" dxfId="330" priority="10">
      <formula>AD$3="SUN"</formula>
    </cfRule>
    <cfRule type="cellIs" dxfId="329" priority="11" operator="equal">
      <formula>"A"</formula>
    </cfRule>
    <cfRule type="cellIs" dxfId="328" priority="12" operator="equal">
      <formula>"P"</formula>
    </cfRule>
  </conditionalFormatting>
  <conditionalFormatting sqref="AD18:AD26">
    <cfRule type="expression" dxfId="327" priority="4">
      <formula>AD$3="SUN"</formula>
    </cfRule>
    <cfRule type="cellIs" dxfId="326" priority="5" operator="equal">
      <formula>"A"</formula>
    </cfRule>
    <cfRule type="cellIs" dxfId="325" priority="6" operator="equal">
      <formula>"P"</formula>
    </cfRule>
  </conditionalFormatting>
  <conditionalFormatting sqref="AD18">
    <cfRule type="expression" dxfId="324" priority="1">
      <formula>AD$3="SUN"</formula>
    </cfRule>
    <cfRule type="cellIs" dxfId="323" priority="2" operator="equal">
      <formula>"A"</formula>
    </cfRule>
    <cfRule type="cellIs" dxfId="322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2069-1C0D-4B52-9EE2-F9ACCBF17BA1}">
  <dimension ref="A1:Y26"/>
  <sheetViews>
    <sheetView tabSelected="1" workbookViewId="0">
      <selection activeCell="M18" sqref="M18:M2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2.5703125" bestFit="1" customWidth="1"/>
    <col min="4" max="5" width="3.7109375" bestFit="1" customWidth="1"/>
    <col min="6" max="16" width="3.7109375" customWidth="1"/>
    <col min="17" max="19" width="3.7109375" bestFit="1" customWidth="1"/>
    <col min="20" max="24" width="5.7109375" customWidth="1"/>
    <col min="25" max="25" width="7.42578125" bestFit="1" customWidth="1"/>
  </cols>
  <sheetData>
    <row r="1" spans="1:25" ht="15.75" thickBot="1" x14ac:dyDescent="0.3"/>
    <row r="2" spans="1:25" ht="32.25" thickBot="1" x14ac:dyDescent="0.55000000000000004">
      <c r="A2" s="37" t="s">
        <v>30</v>
      </c>
      <c r="B2" s="38"/>
      <c r="C2" s="3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38"/>
      <c r="U2" s="38"/>
      <c r="V2" s="38"/>
      <c r="W2" s="38"/>
      <c r="X2" s="38"/>
      <c r="Y2" s="39"/>
    </row>
    <row r="3" spans="1:25" ht="27" x14ac:dyDescent="0.25">
      <c r="A3" s="65" t="s">
        <v>0</v>
      </c>
      <c r="B3" s="66"/>
      <c r="C3" s="67"/>
      <c r="D3" s="28" t="str">
        <f>TEXT(D4,"ddd")</f>
        <v>Fri</v>
      </c>
      <c r="E3" s="15" t="str">
        <f t="shared" ref="E3:S3" si="0">TEXT(E4,"ddd")</f>
        <v>Sat</v>
      </c>
      <c r="F3" s="15" t="str">
        <f t="shared" si="0"/>
        <v>Sun</v>
      </c>
      <c r="G3" s="15" t="str">
        <f t="shared" si="0"/>
        <v>Mon</v>
      </c>
      <c r="H3" s="15" t="str">
        <f t="shared" si="0"/>
        <v>Tue</v>
      </c>
      <c r="I3" s="15" t="str">
        <f t="shared" si="0"/>
        <v>Wed</v>
      </c>
      <c r="J3" s="15" t="str">
        <f t="shared" si="0"/>
        <v>Thu</v>
      </c>
      <c r="K3" s="15" t="str">
        <f t="shared" si="0"/>
        <v>Fri</v>
      </c>
      <c r="L3" s="15" t="str">
        <f t="shared" si="0"/>
        <v>Sat</v>
      </c>
      <c r="M3" s="15" t="str">
        <f t="shared" si="0"/>
        <v>Sun</v>
      </c>
      <c r="N3" s="15" t="str">
        <f t="shared" si="0"/>
        <v>Mon</v>
      </c>
      <c r="O3" s="15" t="str">
        <f t="shared" si="0"/>
        <v>Tue</v>
      </c>
      <c r="P3" s="15" t="str">
        <f t="shared" si="0"/>
        <v>Wed</v>
      </c>
      <c r="Q3" s="15" t="str">
        <f t="shared" si="0"/>
        <v>Thu</v>
      </c>
      <c r="R3" s="15" t="str">
        <f t="shared" si="0"/>
        <v>Fri</v>
      </c>
      <c r="S3" s="15" t="str">
        <f t="shared" si="0"/>
        <v>Sat</v>
      </c>
      <c r="T3" s="68" t="s">
        <v>1</v>
      </c>
      <c r="U3" s="69"/>
      <c r="V3" s="69"/>
      <c r="W3" s="69"/>
      <c r="X3" s="69"/>
      <c r="Y3" s="70"/>
    </row>
    <row r="4" spans="1:25" ht="15.75" thickBot="1" x14ac:dyDescent="0.3">
      <c r="A4" s="1" t="s">
        <v>2</v>
      </c>
      <c r="B4" s="2" t="s">
        <v>3</v>
      </c>
      <c r="C4" s="27" t="s">
        <v>4</v>
      </c>
      <c r="D4" s="62">
        <v>45870</v>
      </c>
      <c r="E4" s="62">
        <v>45871</v>
      </c>
      <c r="F4" s="62">
        <v>45872</v>
      </c>
      <c r="G4" s="62">
        <v>45873</v>
      </c>
      <c r="H4" s="62">
        <v>45874</v>
      </c>
      <c r="I4" s="62">
        <v>45875</v>
      </c>
      <c r="J4" s="62">
        <v>45876</v>
      </c>
      <c r="K4" s="62">
        <v>45877</v>
      </c>
      <c r="L4" s="62">
        <v>45878</v>
      </c>
      <c r="M4" s="62">
        <v>45879</v>
      </c>
      <c r="N4" s="62">
        <v>45880</v>
      </c>
      <c r="O4" s="62">
        <v>45881</v>
      </c>
      <c r="P4" s="62">
        <v>45882</v>
      </c>
      <c r="Q4" s="62">
        <v>45883</v>
      </c>
      <c r="R4" s="62">
        <v>45884</v>
      </c>
      <c r="S4" s="62">
        <v>45885</v>
      </c>
      <c r="T4" s="49" t="s">
        <v>6</v>
      </c>
      <c r="U4" s="13" t="s">
        <v>7</v>
      </c>
      <c r="V4" s="13" t="s">
        <v>12</v>
      </c>
      <c r="W4" s="13" t="s">
        <v>37</v>
      </c>
      <c r="X4" s="13" t="s">
        <v>23</v>
      </c>
      <c r="Y4" s="14" t="s">
        <v>5</v>
      </c>
    </row>
    <row r="5" spans="1:25" ht="15" customHeight="1" x14ac:dyDescent="0.25">
      <c r="A5" s="3">
        <v>1</v>
      </c>
      <c r="B5" s="4" t="s">
        <v>25</v>
      </c>
      <c r="C5" s="18" t="s">
        <v>8</v>
      </c>
      <c r="D5" s="52" t="s">
        <v>6</v>
      </c>
      <c r="E5" s="52" t="s">
        <v>6</v>
      </c>
      <c r="F5" s="35" t="s">
        <v>24</v>
      </c>
      <c r="G5" s="52" t="s">
        <v>6</v>
      </c>
      <c r="H5" s="52" t="s">
        <v>6</v>
      </c>
      <c r="I5" s="52" t="s">
        <v>6</v>
      </c>
      <c r="J5" s="52" t="s">
        <v>6</v>
      </c>
      <c r="K5" s="52" t="s">
        <v>6</v>
      </c>
      <c r="L5" s="52" t="s">
        <v>6</v>
      </c>
      <c r="M5" s="35" t="s">
        <v>24</v>
      </c>
      <c r="N5" s="52" t="s">
        <v>6</v>
      </c>
      <c r="O5" s="52" t="s">
        <v>6</v>
      </c>
      <c r="P5" s="52" t="s">
        <v>6</v>
      </c>
      <c r="Q5" s="52" t="s">
        <v>6</v>
      </c>
      <c r="R5" s="52" t="s">
        <v>6</v>
      </c>
      <c r="S5" s="52" t="s">
        <v>6</v>
      </c>
      <c r="T5" s="32">
        <f>COUNTIF(D5:S5,"P")</f>
        <v>14</v>
      </c>
      <c r="U5" s="4">
        <f>COUNTIF(D5:S5,"A")</f>
        <v>0</v>
      </c>
      <c r="V5" s="4">
        <f>COUNTIF(D5:S5,"L")</f>
        <v>0</v>
      </c>
      <c r="W5" s="4">
        <v>1</v>
      </c>
      <c r="X5" s="4">
        <v>2</v>
      </c>
      <c r="Y5" s="16">
        <f t="shared" ref="Y5:Y13" si="1">T5+V5+W5+X5</f>
        <v>17</v>
      </c>
    </row>
    <row r="6" spans="1:25" ht="15" customHeight="1" x14ac:dyDescent="0.25">
      <c r="A6" s="3">
        <v>2</v>
      </c>
      <c r="B6" s="4" t="s">
        <v>10</v>
      </c>
      <c r="C6" s="18" t="s">
        <v>8</v>
      </c>
      <c r="D6" s="4" t="s">
        <v>6</v>
      </c>
      <c r="E6" s="4" t="s">
        <v>6</v>
      </c>
      <c r="F6" s="35"/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35"/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32">
        <f>COUNTIF(D6:S6,"P")</f>
        <v>14</v>
      </c>
      <c r="U6" s="4">
        <f>COUNTIF(D6:S6,"A")</f>
        <v>0</v>
      </c>
      <c r="V6" s="4">
        <f>COUNTIF(D6:S6,"L")</f>
        <v>0</v>
      </c>
      <c r="W6" s="4">
        <v>1</v>
      </c>
      <c r="X6" s="4">
        <v>2</v>
      </c>
      <c r="Y6" s="16">
        <f t="shared" si="1"/>
        <v>17</v>
      </c>
    </row>
    <row r="7" spans="1:25" ht="15" customHeight="1" x14ac:dyDescent="0.25">
      <c r="A7" s="3">
        <v>3</v>
      </c>
      <c r="B7" s="4" t="s">
        <v>9</v>
      </c>
      <c r="C7" s="18" t="s">
        <v>8</v>
      </c>
      <c r="D7" s="4" t="s">
        <v>6</v>
      </c>
      <c r="E7" s="4" t="s">
        <v>6</v>
      </c>
      <c r="F7" s="35"/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35"/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32">
        <f>COUNTIF(D7:S7,"P")</f>
        <v>14</v>
      </c>
      <c r="U7" s="4">
        <f>COUNTIF(D7:S7,"A")</f>
        <v>0</v>
      </c>
      <c r="V7" s="4">
        <f>COUNTIF(D7:S7,"L")</f>
        <v>0</v>
      </c>
      <c r="W7" s="4">
        <v>1</v>
      </c>
      <c r="X7" s="4">
        <v>2</v>
      </c>
      <c r="Y7" s="16">
        <f t="shared" si="1"/>
        <v>17</v>
      </c>
    </row>
    <row r="8" spans="1:25" ht="15" customHeight="1" x14ac:dyDescent="0.25">
      <c r="A8" s="3">
        <v>4</v>
      </c>
      <c r="B8" s="4" t="s">
        <v>11</v>
      </c>
      <c r="C8" s="18" t="s">
        <v>35</v>
      </c>
      <c r="D8" s="4" t="s">
        <v>6</v>
      </c>
      <c r="E8" s="4" t="s">
        <v>6</v>
      </c>
      <c r="F8" s="35"/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35"/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32">
        <f>COUNTIF(D8:S8,"P")</f>
        <v>14</v>
      </c>
      <c r="U8" s="4">
        <f>COUNTIF(D8:S8,"A")</f>
        <v>0</v>
      </c>
      <c r="V8" s="4">
        <f>COUNTIF(D8:S8,"L")</f>
        <v>0</v>
      </c>
      <c r="W8" s="4">
        <v>1</v>
      </c>
      <c r="X8" s="4">
        <v>2</v>
      </c>
      <c r="Y8" s="16">
        <f t="shared" si="1"/>
        <v>17</v>
      </c>
    </row>
    <row r="9" spans="1:25" ht="15" customHeight="1" x14ac:dyDescent="0.25">
      <c r="A9" s="3">
        <v>5</v>
      </c>
      <c r="B9" s="4" t="s">
        <v>26</v>
      </c>
      <c r="C9" s="18" t="s">
        <v>27</v>
      </c>
      <c r="D9" s="4" t="s">
        <v>6</v>
      </c>
      <c r="E9" s="4" t="s">
        <v>6</v>
      </c>
      <c r="F9" s="35"/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35"/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32">
        <f>COUNTIF(D9:S9,"P")</f>
        <v>14</v>
      </c>
      <c r="U9" s="4">
        <f>COUNTIF(D9:S9,"A")</f>
        <v>0</v>
      </c>
      <c r="V9" s="4">
        <f>COUNTIF(D9:S9,"L")</f>
        <v>0</v>
      </c>
      <c r="W9" s="4">
        <v>1</v>
      </c>
      <c r="X9" s="4">
        <v>2</v>
      </c>
      <c r="Y9" s="16">
        <f t="shared" si="1"/>
        <v>17</v>
      </c>
    </row>
    <row r="10" spans="1:25" ht="15" customHeight="1" x14ac:dyDescent="0.25">
      <c r="A10" s="3">
        <v>6</v>
      </c>
      <c r="B10" s="4" t="s">
        <v>33</v>
      </c>
      <c r="C10" s="18" t="s">
        <v>34</v>
      </c>
      <c r="D10" s="4" t="s">
        <v>6</v>
      </c>
      <c r="E10" s="4" t="s">
        <v>6</v>
      </c>
      <c r="F10" s="35"/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35"/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  <c r="T10" s="32">
        <f>COUNTIF(D10:S10,"P")</f>
        <v>14</v>
      </c>
      <c r="U10" s="4">
        <f>COUNTIF(D10:S10,"A")</f>
        <v>0</v>
      </c>
      <c r="V10" s="4">
        <f>COUNTIF(D10:S10,"L")</f>
        <v>0</v>
      </c>
      <c r="W10" s="4">
        <v>1</v>
      </c>
      <c r="X10" s="4">
        <v>2</v>
      </c>
      <c r="Y10" s="16">
        <f t="shared" si="1"/>
        <v>17</v>
      </c>
    </row>
    <row r="11" spans="1:25" ht="15" customHeight="1" x14ac:dyDescent="0.25">
      <c r="A11" s="3">
        <v>7</v>
      </c>
      <c r="B11" s="11" t="s">
        <v>38</v>
      </c>
      <c r="C11" s="18" t="s">
        <v>8</v>
      </c>
      <c r="D11" s="4" t="s">
        <v>6</v>
      </c>
      <c r="E11" s="4" t="s">
        <v>6</v>
      </c>
      <c r="F11" s="35"/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35"/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32">
        <f>COUNTIF(D11:S11,"P")</f>
        <v>14</v>
      </c>
      <c r="U11" s="4">
        <f>COUNTIF(D11:S11,"A")</f>
        <v>0</v>
      </c>
      <c r="V11" s="4">
        <f>COUNTIF(D11:S11,"L")</f>
        <v>0</v>
      </c>
      <c r="W11" s="4">
        <v>1</v>
      </c>
      <c r="X11" s="4">
        <v>2</v>
      </c>
      <c r="Y11" s="16">
        <f t="shared" si="1"/>
        <v>17</v>
      </c>
    </row>
    <row r="12" spans="1:25" ht="15" customHeight="1" x14ac:dyDescent="0.25">
      <c r="A12" s="3">
        <v>8</v>
      </c>
      <c r="B12" s="11" t="s">
        <v>39</v>
      </c>
      <c r="C12" s="18" t="s">
        <v>8</v>
      </c>
      <c r="D12" s="4" t="s">
        <v>6</v>
      </c>
      <c r="E12" s="4" t="s">
        <v>6</v>
      </c>
      <c r="F12" s="35"/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35"/>
      <c r="N12" s="4" t="s">
        <v>6</v>
      </c>
      <c r="O12" s="4" t="s">
        <v>6</v>
      </c>
      <c r="P12" s="4" t="s">
        <v>6</v>
      </c>
      <c r="Q12" s="4" t="s">
        <v>6</v>
      </c>
      <c r="R12" s="4" t="s">
        <v>6</v>
      </c>
      <c r="S12" s="4" t="s">
        <v>6</v>
      </c>
      <c r="T12" s="32">
        <f>COUNTIF(D12:S12,"P")</f>
        <v>14</v>
      </c>
      <c r="U12" s="4">
        <f>COUNTIF(D12:S12,"A")</f>
        <v>0</v>
      </c>
      <c r="V12" s="4">
        <f>COUNTIF(D12:S12,"L")</f>
        <v>0</v>
      </c>
      <c r="W12" s="4">
        <v>1</v>
      </c>
      <c r="X12" s="4">
        <v>2</v>
      </c>
      <c r="Y12" s="16">
        <f t="shared" si="1"/>
        <v>17</v>
      </c>
    </row>
    <row r="13" spans="1:25" ht="15.75" customHeight="1" thickBot="1" x14ac:dyDescent="0.3">
      <c r="A13" s="5">
        <v>9</v>
      </c>
      <c r="B13" s="6" t="s">
        <v>40</v>
      </c>
      <c r="C13" s="19" t="s">
        <v>8</v>
      </c>
      <c r="D13" s="6" t="s">
        <v>6</v>
      </c>
      <c r="E13" s="6" t="s">
        <v>6</v>
      </c>
      <c r="F13" s="36"/>
      <c r="G13" s="6" t="s">
        <v>6</v>
      </c>
      <c r="H13" s="6" t="s">
        <v>6</v>
      </c>
      <c r="I13" s="6" t="s">
        <v>6</v>
      </c>
      <c r="J13" s="6" t="s">
        <v>6</v>
      </c>
      <c r="K13" s="6" t="s">
        <v>6</v>
      </c>
      <c r="L13" s="6" t="s">
        <v>6</v>
      </c>
      <c r="M13" s="36"/>
      <c r="N13" s="6" t="s">
        <v>6</v>
      </c>
      <c r="O13" s="6" t="s">
        <v>6</v>
      </c>
      <c r="P13" s="6" t="s">
        <v>6</v>
      </c>
      <c r="Q13" s="6" t="s">
        <v>6</v>
      </c>
      <c r="R13" s="6" t="s">
        <v>6</v>
      </c>
      <c r="S13" s="6" t="s">
        <v>6</v>
      </c>
      <c r="T13" s="33">
        <f>COUNTIF(D13:S13,"P")</f>
        <v>14</v>
      </c>
      <c r="U13" s="6">
        <f>COUNTIF(D13:S13,"A")</f>
        <v>0</v>
      </c>
      <c r="V13" s="6">
        <f>COUNTIF(D13:S13,"L")</f>
        <v>0</v>
      </c>
      <c r="W13" s="6">
        <v>1</v>
      </c>
      <c r="X13" s="6">
        <v>2</v>
      </c>
      <c r="Y13" s="17">
        <f t="shared" si="1"/>
        <v>17</v>
      </c>
    </row>
    <row r="14" spans="1:25" ht="15.75" thickBot="1" x14ac:dyDescent="0.3"/>
    <row r="15" spans="1:25" ht="32.25" thickBot="1" x14ac:dyDescent="0.55000000000000004">
      <c r="A15" s="37" t="s">
        <v>31</v>
      </c>
      <c r="B15" s="38"/>
      <c r="C15" s="3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38"/>
      <c r="U15" s="38"/>
      <c r="V15" s="38"/>
      <c r="W15" s="38"/>
      <c r="X15" s="38"/>
      <c r="Y15" s="39"/>
    </row>
    <row r="16" spans="1:25" ht="27" x14ac:dyDescent="0.25">
      <c r="A16" s="40" t="s">
        <v>0</v>
      </c>
      <c r="B16" s="41"/>
      <c r="C16" s="48"/>
      <c r="D16" s="28" t="str">
        <f>TEXT(D17,"ddd")</f>
        <v>Tue</v>
      </c>
      <c r="E16" s="15" t="str">
        <f t="shared" ref="E16:S16" si="2">TEXT(E17,"ddd")</f>
        <v>Wed</v>
      </c>
      <c r="F16" s="15" t="str">
        <f t="shared" si="2"/>
        <v>Thu</v>
      </c>
      <c r="G16" s="15" t="str">
        <f t="shared" si="2"/>
        <v>Fri</v>
      </c>
      <c r="H16" s="15" t="str">
        <f t="shared" si="2"/>
        <v>Sat</v>
      </c>
      <c r="I16" s="15" t="str">
        <f t="shared" si="2"/>
        <v>Sun</v>
      </c>
      <c r="J16" s="15" t="str">
        <f t="shared" si="2"/>
        <v>Mon</v>
      </c>
      <c r="K16" s="15" t="str">
        <f t="shared" si="2"/>
        <v>Tue</v>
      </c>
      <c r="L16" s="15" t="str">
        <f t="shared" si="2"/>
        <v>Wed</v>
      </c>
      <c r="M16" s="15" t="str">
        <f t="shared" si="2"/>
        <v>Thu</v>
      </c>
      <c r="N16" s="15" t="str">
        <f t="shared" si="2"/>
        <v>Fri</v>
      </c>
      <c r="O16" s="15" t="str">
        <f t="shared" si="2"/>
        <v>Sat</v>
      </c>
      <c r="P16" s="15" t="str">
        <f t="shared" si="2"/>
        <v>Sun</v>
      </c>
      <c r="Q16" s="15" t="str">
        <f t="shared" si="2"/>
        <v>Mon</v>
      </c>
      <c r="R16" s="15" t="str">
        <f t="shared" si="2"/>
        <v>Tue</v>
      </c>
      <c r="S16" s="15" t="str">
        <f t="shared" si="2"/>
        <v>Wed</v>
      </c>
      <c r="T16" s="54" t="s">
        <v>1</v>
      </c>
      <c r="U16" s="44"/>
      <c r="V16" s="44"/>
      <c r="W16" s="44"/>
      <c r="X16" s="44"/>
      <c r="Y16" s="45"/>
    </row>
    <row r="17" spans="1:25" ht="15.75" thickBot="1" x14ac:dyDescent="0.3">
      <c r="A17" s="1" t="s">
        <v>2</v>
      </c>
      <c r="B17" s="2" t="s">
        <v>3</v>
      </c>
      <c r="C17" s="27" t="s">
        <v>4</v>
      </c>
      <c r="D17" s="62">
        <v>45839</v>
      </c>
      <c r="E17" s="63">
        <v>45840</v>
      </c>
      <c r="F17" s="63">
        <v>45841</v>
      </c>
      <c r="G17" s="63">
        <v>45842</v>
      </c>
      <c r="H17" s="63">
        <v>45843</v>
      </c>
      <c r="I17" s="63">
        <v>45844</v>
      </c>
      <c r="J17" s="63">
        <v>45845</v>
      </c>
      <c r="K17" s="63">
        <v>45846</v>
      </c>
      <c r="L17" s="63">
        <v>45847</v>
      </c>
      <c r="M17" s="63">
        <v>45848</v>
      </c>
      <c r="N17" s="63">
        <v>45849</v>
      </c>
      <c r="O17" s="63">
        <v>45850</v>
      </c>
      <c r="P17" s="63">
        <v>45851</v>
      </c>
      <c r="Q17" s="63">
        <v>45852</v>
      </c>
      <c r="R17" s="63">
        <v>45853</v>
      </c>
      <c r="S17" s="63">
        <v>45854</v>
      </c>
      <c r="T17" s="49" t="s">
        <v>6</v>
      </c>
      <c r="U17" s="13" t="s">
        <v>7</v>
      </c>
      <c r="V17" s="13" t="s">
        <v>12</v>
      </c>
      <c r="W17" s="13" t="s">
        <v>37</v>
      </c>
      <c r="X17" s="13" t="s">
        <v>23</v>
      </c>
      <c r="Y17" s="14" t="s">
        <v>5</v>
      </c>
    </row>
    <row r="18" spans="1:25" ht="15" customHeight="1" x14ac:dyDescent="0.25">
      <c r="A18" s="3">
        <f>IF(B18="","",1)</f>
        <v>1</v>
      </c>
      <c r="B18" s="4" t="s">
        <v>13</v>
      </c>
      <c r="C18" s="16" t="s">
        <v>14</v>
      </c>
      <c r="D18" s="52" t="s">
        <v>6</v>
      </c>
      <c r="E18" s="52" t="s">
        <v>6</v>
      </c>
      <c r="F18" s="35" t="s">
        <v>24</v>
      </c>
      <c r="G18" s="52" t="s">
        <v>6</v>
      </c>
      <c r="H18" s="52" t="s">
        <v>6</v>
      </c>
      <c r="I18" s="52" t="s">
        <v>6</v>
      </c>
      <c r="J18" s="52" t="s">
        <v>6</v>
      </c>
      <c r="K18" s="52" t="s">
        <v>6</v>
      </c>
      <c r="L18" s="52" t="s">
        <v>6</v>
      </c>
      <c r="M18" s="35" t="s">
        <v>24</v>
      </c>
      <c r="N18" s="52" t="s">
        <v>6</v>
      </c>
      <c r="O18" s="52" t="s">
        <v>6</v>
      </c>
      <c r="P18" s="52" t="s">
        <v>6</v>
      </c>
      <c r="Q18" s="52" t="s">
        <v>6</v>
      </c>
      <c r="R18" s="52" t="s">
        <v>6</v>
      </c>
      <c r="S18" s="52" t="s">
        <v>6</v>
      </c>
      <c r="T18" s="22">
        <f>COUNTIF(D18:S18,"P")</f>
        <v>14</v>
      </c>
      <c r="U18" s="8">
        <f>COUNTIF(D18:S18,"A")</f>
        <v>0</v>
      </c>
      <c r="V18" s="8">
        <f>COUNTIF(D18:S18,"L")</f>
        <v>0</v>
      </c>
      <c r="W18" s="4">
        <v>1</v>
      </c>
      <c r="X18" s="8">
        <v>2</v>
      </c>
      <c r="Y18" s="16">
        <f>T18+V18+W18+X18</f>
        <v>17</v>
      </c>
    </row>
    <row r="19" spans="1:25" ht="15" customHeight="1" x14ac:dyDescent="0.25">
      <c r="A19" s="3">
        <f>IF(B19="","",A18+1)</f>
        <v>2</v>
      </c>
      <c r="B19" s="4" t="s">
        <v>15</v>
      </c>
      <c r="C19" s="16" t="s">
        <v>16</v>
      </c>
      <c r="D19" s="4" t="s">
        <v>6</v>
      </c>
      <c r="E19" s="4" t="s">
        <v>6</v>
      </c>
      <c r="F19" s="35"/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35"/>
      <c r="N19" s="4" t="s">
        <v>6</v>
      </c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22">
        <f>COUNTIF(D19:S19,"P")</f>
        <v>14</v>
      </c>
      <c r="U19" s="8">
        <f>COUNTIF(D19:S19,"A")</f>
        <v>0</v>
      </c>
      <c r="V19" s="8">
        <f>COUNTIF(D19:S19,"L")</f>
        <v>0</v>
      </c>
      <c r="W19" s="4">
        <v>1</v>
      </c>
      <c r="X19" s="8">
        <v>2</v>
      </c>
      <c r="Y19" s="16">
        <f t="shared" ref="Y19:Y26" si="3">T19+V19+W19+X19</f>
        <v>17</v>
      </c>
    </row>
    <row r="20" spans="1:25" ht="15" customHeight="1" x14ac:dyDescent="0.25">
      <c r="A20" s="3">
        <f t="shared" ref="A20:A24" si="4">IF(B20="","",A19+1)</f>
        <v>3</v>
      </c>
      <c r="B20" s="4" t="s">
        <v>17</v>
      </c>
      <c r="C20" s="16" t="s">
        <v>18</v>
      </c>
      <c r="D20" s="4" t="s">
        <v>6</v>
      </c>
      <c r="E20" s="4" t="s">
        <v>6</v>
      </c>
      <c r="F20" s="35"/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35"/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22">
        <f>COUNTIF(D20:S20,"P")</f>
        <v>14</v>
      </c>
      <c r="U20" s="8">
        <f>COUNTIF(D20:S20,"A")</f>
        <v>0</v>
      </c>
      <c r="V20" s="8">
        <f>COUNTIF(D20:S20,"L")</f>
        <v>0</v>
      </c>
      <c r="W20" s="4">
        <v>1</v>
      </c>
      <c r="X20" s="8">
        <v>2</v>
      </c>
      <c r="Y20" s="16">
        <f t="shared" si="3"/>
        <v>17</v>
      </c>
    </row>
    <row r="21" spans="1:25" ht="15" customHeight="1" x14ac:dyDescent="0.25">
      <c r="A21" s="3">
        <f t="shared" si="4"/>
        <v>4</v>
      </c>
      <c r="B21" s="4" t="s">
        <v>20</v>
      </c>
      <c r="C21" s="16" t="s">
        <v>19</v>
      </c>
      <c r="D21" s="4" t="s">
        <v>6</v>
      </c>
      <c r="E21" s="4" t="s">
        <v>6</v>
      </c>
      <c r="F21" s="35"/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35"/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22">
        <f>COUNTIF(D21:S21,"P")</f>
        <v>14</v>
      </c>
      <c r="U21" s="8">
        <f>COUNTIF(D21:S21,"A")</f>
        <v>0</v>
      </c>
      <c r="V21" s="8">
        <f>COUNTIF(D21:S21,"L")</f>
        <v>0</v>
      </c>
      <c r="W21" s="4">
        <v>1</v>
      </c>
      <c r="X21" s="8">
        <v>2</v>
      </c>
      <c r="Y21" s="16">
        <f t="shared" si="3"/>
        <v>17</v>
      </c>
    </row>
    <row r="22" spans="1:25" ht="15" customHeight="1" x14ac:dyDescent="0.25">
      <c r="A22" s="3">
        <f t="shared" si="4"/>
        <v>5</v>
      </c>
      <c r="B22" s="4" t="s">
        <v>21</v>
      </c>
      <c r="C22" s="16" t="s">
        <v>22</v>
      </c>
      <c r="D22" s="4" t="s">
        <v>6</v>
      </c>
      <c r="E22" s="4" t="s">
        <v>6</v>
      </c>
      <c r="F22" s="35"/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35"/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" t="s">
        <v>6</v>
      </c>
      <c r="T22" s="22">
        <f>COUNTIF(D22:S22,"P")</f>
        <v>14</v>
      </c>
      <c r="U22" s="8">
        <f>COUNTIF(D22:S22,"A")</f>
        <v>0</v>
      </c>
      <c r="V22" s="8">
        <f>COUNTIF(D22:S22,"L")</f>
        <v>0</v>
      </c>
      <c r="W22" s="4">
        <v>1</v>
      </c>
      <c r="X22" s="8">
        <v>2</v>
      </c>
      <c r="Y22" s="16">
        <f t="shared" si="3"/>
        <v>17</v>
      </c>
    </row>
    <row r="23" spans="1:25" ht="15" customHeight="1" x14ac:dyDescent="0.25">
      <c r="A23" s="3">
        <f t="shared" si="4"/>
        <v>6</v>
      </c>
      <c r="B23" s="11" t="s">
        <v>28</v>
      </c>
      <c r="C23" s="16" t="s">
        <v>19</v>
      </c>
      <c r="D23" s="4" t="s">
        <v>6</v>
      </c>
      <c r="E23" s="4" t="s">
        <v>6</v>
      </c>
      <c r="F23" s="35"/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35"/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22">
        <f>COUNTIF(D23:S23,"P")</f>
        <v>14</v>
      </c>
      <c r="U23" s="8">
        <f>COUNTIF(D23:S23,"A")</f>
        <v>0</v>
      </c>
      <c r="V23" s="8">
        <f>COUNTIF(D23:S23,"L")</f>
        <v>0</v>
      </c>
      <c r="W23" s="4">
        <v>1</v>
      </c>
      <c r="X23" s="8">
        <v>2</v>
      </c>
      <c r="Y23" s="16">
        <f t="shared" si="3"/>
        <v>17</v>
      </c>
    </row>
    <row r="24" spans="1:25" ht="15" customHeight="1" x14ac:dyDescent="0.25">
      <c r="A24" s="3">
        <f t="shared" si="4"/>
        <v>7</v>
      </c>
      <c r="B24" s="11" t="s">
        <v>29</v>
      </c>
      <c r="C24" s="16" t="s">
        <v>19</v>
      </c>
      <c r="D24" s="11" t="s">
        <v>6</v>
      </c>
      <c r="E24" s="11" t="s">
        <v>6</v>
      </c>
      <c r="F24" s="35"/>
      <c r="G24" s="11" t="s">
        <v>6</v>
      </c>
      <c r="H24" s="11" t="s">
        <v>6</v>
      </c>
      <c r="I24" s="11" t="s">
        <v>6</v>
      </c>
      <c r="J24" s="11" t="s">
        <v>6</v>
      </c>
      <c r="K24" s="11" t="s">
        <v>6</v>
      </c>
      <c r="L24" s="11" t="s">
        <v>6</v>
      </c>
      <c r="M24" s="35"/>
      <c r="N24" s="11" t="s">
        <v>6</v>
      </c>
      <c r="O24" s="11" t="s">
        <v>6</v>
      </c>
      <c r="P24" s="11" t="s">
        <v>6</v>
      </c>
      <c r="Q24" s="11" t="s">
        <v>6</v>
      </c>
      <c r="R24" s="11" t="s">
        <v>6</v>
      </c>
      <c r="S24" s="11" t="s">
        <v>6</v>
      </c>
      <c r="T24" s="23">
        <f>COUNTIF(D24:S24,"P")</f>
        <v>14</v>
      </c>
      <c r="U24" s="12">
        <f>COUNTIF(D24:S24,"A")</f>
        <v>0</v>
      </c>
      <c r="V24" s="8">
        <f>COUNTIF(D24:S24,"L")</f>
        <v>0</v>
      </c>
      <c r="W24" s="11">
        <v>1</v>
      </c>
      <c r="X24" s="12">
        <v>2</v>
      </c>
      <c r="Y24" s="16">
        <f t="shared" si="3"/>
        <v>17</v>
      </c>
    </row>
    <row r="25" spans="1:25" ht="15" customHeight="1" x14ac:dyDescent="0.25">
      <c r="A25" s="10">
        <v>8</v>
      </c>
      <c r="B25" s="11" t="s">
        <v>36</v>
      </c>
      <c r="C25" s="30" t="s">
        <v>32</v>
      </c>
      <c r="D25" s="11" t="s">
        <v>6</v>
      </c>
      <c r="E25" s="11" t="s">
        <v>6</v>
      </c>
      <c r="F25" s="35"/>
      <c r="G25" s="11" t="s">
        <v>6</v>
      </c>
      <c r="H25" s="11" t="s">
        <v>6</v>
      </c>
      <c r="I25" s="11" t="s">
        <v>6</v>
      </c>
      <c r="J25" s="11" t="s">
        <v>6</v>
      </c>
      <c r="K25" s="11" t="s">
        <v>6</v>
      </c>
      <c r="L25" s="11" t="s">
        <v>6</v>
      </c>
      <c r="M25" s="35"/>
      <c r="N25" s="11" t="s">
        <v>6</v>
      </c>
      <c r="O25" s="11" t="s">
        <v>6</v>
      </c>
      <c r="P25" s="11" t="s">
        <v>6</v>
      </c>
      <c r="Q25" s="11" t="s">
        <v>6</v>
      </c>
      <c r="R25" s="11" t="s">
        <v>6</v>
      </c>
      <c r="S25" s="11" t="s">
        <v>6</v>
      </c>
      <c r="T25" s="23">
        <f>COUNTIF(D25:S25,"P")</f>
        <v>14</v>
      </c>
      <c r="U25" s="12">
        <f>COUNTIF(D25:S25,"A")</f>
        <v>0</v>
      </c>
      <c r="V25" s="8">
        <f>COUNTIF(D25:S25,"L")</f>
        <v>0</v>
      </c>
      <c r="W25" s="11">
        <v>1</v>
      </c>
      <c r="X25" s="12">
        <v>2</v>
      </c>
      <c r="Y25" s="16">
        <f t="shared" si="3"/>
        <v>17</v>
      </c>
    </row>
    <row r="26" spans="1:25" ht="15.75" customHeight="1" thickBot="1" x14ac:dyDescent="0.3">
      <c r="A26" s="5">
        <v>9</v>
      </c>
      <c r="B26" s="6" t="s">
        <v>41</v>
      </c>
      <c r="C26" s="17" t="s">
        <v>19</v>
      </c>
      <c r="D26" s="6" t="s">
        <v>6</v>
      </c>
      <c r="E26" s="6" t="s">
        <v>6</v>
      </c>
      <c r="F26" s="36"/>
      <c r="G26" s="6" t="s">
        <v>6</v>
      </c>
      <c r="H26" s="6" t="s">
        <v>6</v>
      </c>
      <c r="I26" s="6" t="s">
        <v>6</v>
      </c>
      <c r="J26" s="6" t="s">
        <v>6</v>
      </c>
      <c r="K26" s="6" t="s">
        <v>6</v>
      </c>
      <c r="L26" s="6" t="s">
        <v>6</v>
      </c>
      <c r="M26" s="36"/>
      <c r="N26" s="6" t="s">
        <v>6</v>
      </c>
      <c r="O26" s="6" t="s">
        <v>6</v>
      </c>
      <c r="P26" s="6" t="s">
        <v>6</v>
      </c>
      <c r="Q26" s="6" t="s">
        <v>6</v>
      </c>
      <c r="R26" s="6" t="s">
        <v>6</v>
      </c>
      <c r="S26" s="6" t="s">
        <v>6</v>
      </c>
      <c r="T26" s="24">
        <f>COUNTIF(D26:S26,"P")</f>
        <v>14</v>
      </c>
      <c r="U26" s="9">
        <f>COUNTIF(D26:S26,"A")</f>
        <v>0</v>
      </c>
      <c r="V26" s="9">
        <f>COUNTIF(D26:S26,"L")</f>
        <v>0</v>
      </c>
      <c r="W26" s="6">
        <v>1</v>
      </c>
      <c r="X26" s="9">
        <v>2</v>
      </c>
      <c r="Y26" s="17">
        <f t="shared" si="3"/>
        <v>17</v>
      </c>
    </row>
  </sheetData>
  <mergeCells count="10">
    <mergeCell ref="A16:C16"/>
    <mergeCell ref="T16:Y16"/>
    <mergeCell ref="F5:F13"/>
    <mergeCell ref="M5:M13"/>
    <mergeCell ref="F18:F26"/>
    <mergeCell ref="M18:M26"/>
    <mergeCell ref="A2:Y2"/>
    <mergeCell ref="A3:C3"/>
    <mergeCell ref="T3:Y3"/>
    <mergeCell ref="A15:Y15"/>
  </mergeCells>
  <conditionalFormatting sqref="D16:S17 D3:S4">
    <cfRule type="expression" dxfId="317" priority="477">
      <formula>D$3="SUN"</formula>
    </cfRule>
  </conditionalFormatting>
  <conditionalFormatting sqref="Y5:Y13">
    <cfRule type="cellIs" dxfId="310" priority="480" operator="equal">
      <formula>"L"</formula>
    </cfRule>
    <cfRule type="expression" dxfId="309" priority="481">
      <formula>Y$3="SUN"</formula>
    </cfRule>
    <cfRule type="cellIs" dxfId="308" priority="482" operator="equal">
      <formula>"A"</formula>
    </cfRule>
    <cfRule type="cellIs" dxfId="307" priority="483" operator="equal">
      <formula>"P"</formula>
    </cfRule>
  </conditionalFormatting>
  <conditionalFormatting sqref="D5:D13">
    <cfRule type="expression" dxfId="295" priority="286">
      <formula>D$3="SUN"</formula>
    </cfRule>
  </conditionalFormatting>
  <conditionalFormatting sqref="D5:D13">
    <cfRule type="cellIs" dxfId="294" priority="285" operator="equal">
      <formula>"L"</formula>
    </cfRule>
    <cfRule type="cellIs" dxfId="293" priority="287" operator="equal">
      <formula>"A"</formula>
    </cfRule>
    <cfRule type="cellIs" dxfId="292" priority="288" operator="equal">
      <formula>"P"</formula>
    </cfRule>
  </conditionalFormatting>
  <conditionalFormatting sqref="E5:E13">
    <cfRule type="expression" dxfId="291" priority="282">
      <formula>E$3="SUN"</formula>
    </cfRule>
  </conditionalFormatting>
  <conditionalFormatting sqref="E5:E13">
    <cfRule type="cellIs" dxfId="290" priority="281" operator="equal">
      <formula>"L"</formula>
    </cfRule>
    <cfRule type="cellIs" dxfId="289" priority="283" operator="equal">
      <formula>"A"</formula>
    </cfRule>
    <cfRule type="cellIs" dxfId="288" priority="284" operator="equal">
      <formula>"P"</formula>
    </cfRule>
  </conditionalFormatting>
  <conditionalFormatting sqref="G5:G13">
    <cfRule type="expression" dxfId="283" priority="274">
      <formula>G$3="SUN"</formula>
    </cfRule>
  </conditionalFormatting>
  <conditionalFormatting sqref="G5:G13">
    <cfRule type="cellIs" dxfId="282" priority="273" operator="equal">
      <formula>"L"</formula>
    </cfRule>
    <cfRule type="cellIs" dxfId="281" priority="275" operator="equal">
      <formula>"A"</formula>
    </cfRule>
    <cfRule type="cellIs" dxfId="280" priority="276" operator="equal">
      <formula>"P"</formula>
    </cfRule>
  </conditionalFormatting>
  <conditionalFormatting sqref="H5:H13">
    <cfRule type="expression" dxfId="279" priority="270">
      <formula>H$3="SUN"</formula>
    </cfRule>
  </conditionalFormatting>
  <conditionalFormatting sqref="H5:H13">
    <cfRule type="cellIs" dxfId="278" priority="269" operator="equal">
      <formula>"L"</formula>
    </cfRule>
    <cfRule type="cellIs" dxfId="277" priority="271" operator="equal">
      <formula>"A"</formula>
    </cfRule>
    <cfRule type="cellIs" dxfId="276" priority="272" operator="equal">
      <formula>"P"</formula>
    </cfRule>
  </conditionalFormatting>
  <conditionalFormatting sqref="I5:I13">
    <cfRule type="expression" dxfId="271" priority="266">
      <formula>I$3="SUN"</formula>
    </cfRule>
  </conditionalFormatting>
  <conditionalFormatting sqref="I5:I13">
    <cfRule type="cellIs" dxfId="270" priority="265" operator="equal">
      <formula>"L"</formula>
    </cfRule>
    <cfRule type="cellIs" dxfId="269" priority="267" operator="equal">
      <formula>"A"</formula>
    </cfRule>
    <cfRule type="cellIs" dxfId="268" priority="268" operator="equal">
      <formula>"P"</formula>
    </cfRule>
  </conditionalFormatting>
  <conditionalFormatting sqref="J5:J13">
    <cfRule type="expression" dxfId="267" priority="262">
      <formula>J$3="SUN"</formula>
    </cfRule>
  </conditionalFormatting>
  <conditionalFormatting sqref="J5:J13">
    <cfRule type="cellIs" dxfId="266" priority="261" operator="equal">
      <formula>"L"</formula>
    </cfRule>
    <cfRule type="cellIs" dxfId="265" priority="263" operator="equal">
      <formula>"A"</formula>
    </cfRule>
    <cfRule type="cellIs" dxfId="264" priority="264" operator="equal">
      <formula>"P"</formula>
    </cfRule>
  </conditionalFormatting>
  <conditionalFormatting sqref="K5:K13">
    <cfRule type="expression" dxfId="263" priority="258">
      <formula>K$3="SUN"</formula>
    </cfRule>
  </conditionalFormatting>
  <conditionalFormatting sqref="K5:K13">
    <cfRule type="cellIs" dxfId="262" priority="257" operator="equal">
      <formula>"L"</formula>
    </cfRule>
    <cfRule type="cellIs" dxfId="261" priority="259" operator="equal">
      <formula>"A"</formula>
    </cfRule>
    <cfRule type="cellIs" dxfId="260" priority="260" operator="equal">
      <formula>"P"</formula>
    </cfRule>
  </conditionalFormatting>
  <conditionalFormatting sqref="L5:L13">
    <cfRule type="expression" dxfId="259" priority="254">
      <formula>L$3="SUN"</formula>
    </cfRule>
  </conditionalFormatting>
  <conditionalFormatting sqref="L5:L13">
    <cfRule type="cellIs" dxfId="258" priority="253" operator="equal">
      <formula>"L"</formula>
    </cfRule>
    <cfRule type="cellIs" dxfId="257" priority="255" operator="equal">
      <formula>"A"</formula>
    </cfRule>
    <cfRule type="cellIs" dxfId="256" priority="256" operator="equal">
      <formula>"P"</formula>
    </cfRule>
  </conditionalFormatting>
  <conditionalFormatting sqref="N5:N13">
    <cfRule type="expression" dxfId="251" priority="246">
      <formula>N$3="SUN"</formula>
    </cfRule>
  </conditionalFormatting>
  <conditionalFormatting sqref="N5:N13">
    <cfRule type="cellIs" dxfId="250" priority="245" operator="equal">
      <formula>"L"</formula>
    </cfRule>
    <cfRule type="cellIs" dxfId="249" priority="247" operator="equal">
      <formula>"A"</formula>
    </cfRule>
    <cfRule type="cellIs" dxfId="248" priority="248" operator="equal">
      <formula>"P"</formula>
    </cfRule>
  </conditionalFormatting>
  <conditionalFormatting sqref="O5:O13">
    <cfRule type="expression" dxfId="247" priority="242">
      <formula>O$3="SUN"</formula>
    </cfRule>
  </conditionalFormatting>
  <conditionalFormatting sqref="O5:O13">
    <cfRule type="cellIs" dxfId="246" priority="241" operator="equal">
      <formula>"L"</formula>
    </cfRule>
    <cfRule type="cellIs" dxfId="245" priority="243" operator="equal">
      <formula>"A"</formula>
    </cfRule>
    <cfRule type="cellIs" dxfId="244" priority="244" operator="equal">
      <formula>"P"</formula>
    </cfRule>
  </conditionalFormatting>
  <conditionalFormatting sqref="P5:P13">
    <cfRule type="expression" dxfId="243" priority="238">
      <formula>P$3="SUN"</formula>
    </cfRule>
  </conditionalFormatting>
  <conditionalFormatting sqref="P5:P13">
    <cfRule type="cellIs" dxfId="242" priority="237" operator="equal">
      <formula>"L"</formula>
    </cfRule>
    <cfRule type="cellIs" dxfId="241" priority="239" operator="equal">
      <formula>"A"</formula>
    </cfRule>
    <cfRule type="cellIs" dxfId="240" priority="240" operator="equal">
      <formula>"P"</formula>
    </cfRule>
  </conditionalFormatting>
  <conditionalFormatting sqref="Q5:Q13">
    <cfRule type="expression" dxfId="239" priority="234">
      <formula>Q$3="SUN"</formula>
    </cfRule>
  </conditionalFormatting>
  <conditionalFormatting sqref="Q5:Q13">
    <cfRule type="cellIs" dxfId="238" priority="233" operator="equal">
      <formula>"L"</formula>
    </cfRule>
    <cfRule type="cellIs" dxfId="237" priority="235" operator="equal">
      <formula>"A"</formula>
    </cfRule>
    <cfRule type="cellIs" dxfId="236" priority="236" operator="equal">
      <formula>"P"</formula>
    </cfRule>
  </conditionalFormatting>
  <conditionalFormatting sqref="R5:R13">
    <cfRule type="expression" dxfId="235" priority="230">
      <formula>R$3="SUN"</formula>
    </cfRule>
  </conditionalFormatting>
  <conditionalFormatting sqref="R5:R13">
    <cfRule type="cellIs" dxfId="234" priority="229" operator="equal">
      <formula>"L"</formula>
    </cfRule>
    <cfRule type="cellIs" dxfId="233" priority="231" operator="equal">
      <formula>"A"</formula>
    </cfRule>
    <cfRule type="cellIs" dxfId="232" priority="232" operator="equal">
      <formula>"P"</formula>
    </cfRule>
  </conditionalFormatting>
  <conditionalFormatting sqref="S5:S13">
    <cfRule type="expression" dxfId="231" priority="226">
      <formula>S$3="SUN"</formula>
    </cfRule>
  </conditionalFormatting>
  <conditionalFormatting sqref="S5:S13">
    <cfRule type="cellIs" dxfId="230" priority="225" operator="equal">
      <formula>"L"</formula>
    </cfRule>
    <cfRule type="cellIs" dxfId="229" priority="227" operator="equal">
      <formula>"A"</formula>
    </cfRule>
    <cfRule type="cellIs" dxfId="228" priority="228" operator="equal">
      <formula>"P"</formula>
    </cfRule>
  </conditionalFormatting>
  <conditionalFormatting sqref="F5:F13">
    <cfRule type="expression" dxfId="223" priority="218">
      <formula>F$3="SUN"</formula>
    </cfRule>
    <cfRule type="cellIs" dxfId="222" priority="219" operator="equal">
      <formula>"A"</formula>
    </cfRule>
    <cfRule type="cellIs" dxfId="221" priority="220" operator="equal">
      <formula>"P"</formula>
    </cfRule>
  </conditionalFormatting>
  <conditionalFormatting sqref="F5">
    <cfRule type="expression" dxfId="220" priority="222">
      <formula>F$3="SUN"</formula>
    </cfRule>
    <cfRule type="cellIs" dxfId="219" priority="223" operator="equal">
      <formula>"A"</formula>
    </cfRule>
    <cfRule type="cellIs" dxfId="218" priority="224" operator="equal">
      <formula>"P"</formula>
    </cfRule>
  </conditionalFormatting>
  <conditionalFormatting sqref="F5:F13">
    <cfRule type="cellIs" dxfId="217" priority="221" operator="equal">
      <formula>"L"</formula>
    </cfRule>
  </conditionalFormatting>
  <conditionalFormatting sqref="F5:F13">
    <cfRule type="expression" dxfId="216" priority="215">
      <formula>F$3="SUN"</formula>
    </cfRule>
    <cfRule type="cellIs" dxfId="215" priority="216" operator="equal">
      <formula>"A"</formula>
    </cfRule>
    <cfRule type="cellIs" dxfId="214" priority="217" operator="equal">
      <formula>"P"</formula>
    </cfRule>
  </conditionalFormatting>
  <conditionalFormatting sqref="F5">
    <cfRule type="expression" dxfId="213" priority="212">
      <formula>F$3="SUN"</formula>
    </cfRule>
    <cfRule type="cellIs" dxfId="212" priority="213" operator="equal">
      <formula>"A"</formula>
    </cfRule>
    <cfRule type="cellIs" dxfId="211" priority="214" operator="equal">
      <formula>"P"</formula>
    </cfRule>
  </conditionalFormatting>
  <conditionalFormatting sqref="M5:M13">
    <cfRule type="expression" dxfId="210" priority="205">
      <formula>M$3="SUN"</formula>
    </cfRule>
    <cfRule type="cellIs" dxfId="209" priority="206" operator="equal">
      <formula>"A"</formula>
    </cfRule>
    <cfRule type="cellIs" dxfId="208" priority="207" operator="equal">
      <formula>"P"</formula>
    </cfRule>
  </conditionalFormatting>
  <conditionalFormatting sqref="M5">
    <cfRule type="expression" dxfId="207" priority="209">
      <formula>M$3="SUN"</formula>
    </cfRule>
    <cfRule type="cellIs" dxfId="206" priority="210" operator="equal">
      <formula>"A"</formula>
    </cfRule>
    <cfRule type="cellIs" dxfId="205" priority="211" operator="equal">
      <formula>"P"</formula>
    </cfRule>
  </conditionalFormatting>
  <conditionalFormatting sqref="M5:M13">
    <cfRule type="cellIs" dxfId="204" priority="208" operator="equal">
      <formula>"L"</formula>
    </cfRule>
  </conditionalFormatting>
  <conditionalFormatting sqref="M5:M13">
    <cfRule type="expression" dxfId="203" priority="202">
      <formula>M$3="SUN"</formula>
    </cfRule>
    <cfRule type="cellIs" dxfId="202" priority="203" operator="equal">
      <formula>"A"</formula>
    </cfRule>
    <cfRule type="cellIs" dxfId="201" priority="204" operator="equal">
      <formula>"P"</formula>
    </cfRule>
  </conditionalFormatting>
  <conditionalFormatting sqref="M5">
    <cfRule type="expression" dxfId="200" priority="199">
      <formula>M$3="SUN"</formula>
    </cfRule>
    <cfRule type="cellIs" dxfId="199" priority="200" operator="equal">
      <formula>"A"</formula>
    </cfRule>
    <cfRule type="cellIs" dxfId="198" priority="201" operator="equal">
      <formula>"P"</formula>
    </cfRule>
  </conditionalFormatting>
  <conditionalFormatting sqref="D18:D26">
    <cfRule type="cellIs" dxfId="197" priority="195" operator="equal">
      <formula>"L"</formula>
    </cfRule>
  </conditionalFormatting>
  <conditionalFormatting sqref="D18:D26">
    <cfRule type="expression" dxfId="196" priority="196">
      <formula>D$3="SUN"</formula>
    </cfRule>
    <cfRule type="cellIs" dxfId="195" priority="197" operator="equal">
      <formula>"A"</formula>
    </cfRule>
    <cfRule type="cellIs" dxfId="194" priority="198" operator="equal">
      <formula>"P"</formula>
    </cfRule>
  </conditionalFormatting>
  <conditionalFormatting sqref="D18">
    <cfRule type="expression" dxfId="193" priority="192">
      <formula>D$3="SUN"</formula>
    </cfRule>
    <cfRule type="cellIs" dxfId="192" priority="193" operator="equal">
      <formula>"A"</formula>
    </cfRule>
    <cfRule type="cellIs" dxfId="191" priority="194" operator="equal">
      <formula>"P"</formula>
    </cfRule>
  </conditionalFormatting>
  <conditionalFormatting sqref="D18:D26">
    <cfRule type="expression" dxfId="190" priority="189">
      <formula>D$3="SUN"</formula>
    </cfRule>
    <cfRule type="cellIs" dxfId="189" priority="190" operator="equal">
      <formula>"A"</formula>
    </cfRule>
    <cfRule type="cellIs" dxfId="188" priority="191" operator="equal">
      <formula>"P"</formula>
    </cfRule>
  </conditionalFormatting>
  <conditionalFormatting sqref="E18:E26">
    <cfRule type="cellIs" dxfId="187" priority="185" operator="equal">
      <formula>"L"</formula>
    </cfRule>
  </conditionalFormatting>
  <conditionalFormatting sqref="E18:E26">
    <cfRule type="expression" dxfId="186" priority="186">
      <formula>E$3="SUN"</formula>
    </cfRule>
    <cfRule type="cellIs" dxfId="185" priority="187" operator="equal">
      <formula>"A"</formula>
    </cfRule>
    <cfRule type="cellIs" dxfId="184" priority="188" operator="equal">
      <formula>"P"</formula>
    </cfRule>
  </conditionalFormatting>
  <conditionalFormatting sqref="E18">
    <cfRule type="expression" dxfId="183" priority="182">
      <formula>E$3="SUN"</formula>
    </cfRule>
    <cfRule type="cellIs" dxfId="182" priority="183" operator="equal">
      <formula>"A"</formula>
    </cfRule>
    <cfRule type="cellIs" dxfId="181" priority="184" operator="equal">
      <formula>"P"</formula>
    </cfRule>
  </conditionalFormatting>
  <conditionalFormatting sqref="E18:E26">
    <cfRule type="expression" dxfId="180" priority="179">
      <formula>E$3="SUN"</formula>
    </cfRule>
    <cfRule type="cellIs" dxfId="179" priority="180" operator="equal">
      <formula>"A"</formula>
    </cfRule>
    <cfRule type="cellIs" dxfId="178" priority="181" operator="equal">
      <formula>"P"</formula>
    </cfRule>
  </conditionalFormatting>
  <conditionalFormatting sqref="G18:G26">
    <cfRule type="cellIs" dxfId="167" priority="165" operator="equal">
      <formula>"L"</formula>
    </cfRule>
  </conditionalFormatting>
  <conditionalFormatting sqref="G18:G26">
    <cfRule type="expression" dxfId="166" priority="166">
      <formula>G$3="SUN"</formula>
    </cfRule>
    <cfRule type="cellIs" dxfId="165" priority="167" operator="equal">
      <formula>"A"</formula>
    </cfRule>
    <cfRule type="cellIs" dxfId="164" priority="168" operator="equal">
      <formula>"P"</formula>
    </cfRule>
  </conditionalFormatting>
  <conditionalFormatting sqref="G18">
    <cfRule type="expression" dxfId="163" priority="162">
      <formula>G$3="SUN"</formula>
    </cfRule>
    <cfRule type="cellIs" dxfId="162" priority="163" operator="equal">
      <formula>"A"</formula>
    </cfRule>
    <cfRule type="cellIs" dxfId="161" priority="164" operator="equal">
      <formula>"P"</formula>
    </cfRule>
  </conditionalFormatting>
  <conditionalFormatting sqref="G18:G26">
    <cfRule type="expression" dxfId="160" priority="159">
      <formula>G$3="SUN"</formula>
    </cfRule>
    <cfRule type="cellIs" dxfId="159" priority="160" operator="equal">
      <formula>"A"</formula>
    </cfRule>
    <cfRule type="cellIs" dxfId="158" priority="161" operator="equal">
      <formula>"P"</formula>
    </cfRule>
  </conditionalFormatting>
  <conditionalFormatting sqref="H18:H26">
    <cfRule type="cellIs" dxfId="157" priority="155" operator="equal">
      <formula>"L"</formula>
    </cfRule>
  </conditionalFormatting>
  <conditionalFormatting sqref="H18:H26">
    <cfRule type="expression" dxfId="156" priority="156">
      <formula>H$3="SUN"</formula>
    </cfRule>
    <cfRule type="cellIs" dxfId="155" priority="157" operator="equal">
      <formula>"A"</formula>
    </cfRule>
    <cfRule type="cellIs" dxfId="154" priority="158" operator="equal">
      <formula>"P"</formula>
    </cfRule>
  </conditionalFormatting>
  <conditionalFormatting sqref="H18">
    <cfRule type="expression" dxfId="153" priority="152">
      <formula>H$3="SUN"</formula>
    </cfRule>
    <cfRule type="cellIs" dxfId="152" priority="153" operator="equal">
      <formula>"A"</formula>
    </cfRule>
    <cfRule type="cellIs" dxfId="151" priority="154" operator="equal">
      <formula>"P"</formula>
    </cfRule>
  </conditionalFormatting>
  <conditionalFormatting sqref="H18:H26">
    <cfRule type="expression" dxfId="150" priority="149">
      <formula>H$3="SUN"</formula>
    </cfRule>
    <cfRule type="cellIs" dxfId="149" priority="150" operator="equal">
      <formula>"A"</formula>
    </cfRule>
    <cfRule type="cellIs" dxfId="148" priority="151" operator="equal">
      <formula>"P"</formula>
    </cfRule>
  </conditionalFormatting>
  <conditionalFormatting sqref="I18:I26">
    <cfRule type="cellIs" dxfId="147" priority="145" operator="equal">
      <formula>"L"</formula>
    </cfRule>
  </conditionalFormatting>
  <conditionalFormatting sqref="I18:I26">
    <cfRule type="expression" dxfId="146" priority="146">
      <formula>I$3="SUN"</formula>
    </cfRule>
    <cfRule type="cellIs" dxfId="145" priority="147" operator="equal">
      <formula>"A"</formula>
    </cfRule>
    <cfRule type="cellIs" dxfId="144" priority="148" operator="equal">
      <formula>"P"</formula>
    </cfRule>
  </conditionalFormatting>
  <conditionalFormatting sqref="I18">
    <cfRule type="expression" dxfId="143" priority="142">
      <formula>I$3="SUN"</formula>
    </cfRule>
    <cfRule type="cellIs" dxfId="142" priority="143" operator="equal">
      <formula>"A"</formula>
    </cfRule>
    <cfRule type="cellIs" dxfId="141" priority="144" operator="equal">
      <formula>"P"</formula>
    </cfRule>
  </conditionalFormatting>
  <conditionalFormatting sqref="I18:I26">
    <cfRule type="expression" dxfId="140" priority="139">
      <formula>I$3="SUN"</formula>
    </cfRule>
    <cfRule type="cellIs" dxfId="139" priority="140" operator="equal">
      <formula>"A"</formula>
    </cfRule>
    <cfRule type="cellIs" dxfId="138" priority="141" operator="equal">
      <formula>"P"</formula>
    </cfRule>
  </conditionalFormatting>
  <conditionalFormatting sqref="J18:J26">
    <cfRule type="cellIs" dxfId="137" priority="135" operator="equal">
      <formula>"L"</formula>
    </cfRule>
  </conditionalFormatting>
  <conditionalFormatting sqref="J18:J26">
    <cfRule type="expression" dxfId="136" priority="136">
      <formula>J$3="SUN"</formula>
    </cfRule>
    <cfRule type="cellIs" dxfId="135" priority="137" operator="equal">
      <formula>"A"</formula>
    </cfRule>
    <cfRule type="cellIs" dxfId="134" priority="138" operator="equal">
      <formula>"P"</formula>
    </cfRule>
  </conditionalFormatting>
  <conditionalFormatting sqref="J18">
    <cfRule type="expression" dxfId="133" priority="132">
      <formula>J$3="SUN"</formula>
    </cfRule>
    <cfRule type="cellIs" dxfId="132" priority="133" operator="equal">
      <formula>"A"</formula>
    </cfRule>
    <cfRule type="cellIs" dxfId="131" priority="134" operator="equal">
      <formula>"P"</formula>
    </cfRule>
  </conditionalFormatting>
  <conditionalFormatting sqref="J18:J26">
    <cfRule type="expression" dxfId="130" priority="129">
      <formula>J$3="SUN"</formula>
    </cfRule>
    <cfRule type="cellIs" dxfId="129" priority="130" operator="equal">
      <formula>"A"</formula>
    </cfRule>
    <cfRule type="cellIs" dxfId="128" priority="131" operator="equal">
      <formula>"P"</formula>
    </cfRule>
  </conditionalFormatting>
  <conditionalFormatting sqref="K18:K26">
    <cfRule type="cellIs" dxfId="127" priority="125" operator="equal">
      <formula>"L"</formula>
    </cfRule>
  </conditionalFormatting>
  <conditionalFormatting sqref="K18:K26">
    <cfRule type="expression" dxfId="126" priority="126">
      <formula>K$3="SUN"</formula>
    </cfRule>
    <cfRule type="cellIs" dxfId="125" priority="127" operator="equal">
      <formula>"A"</formula>
    </cfRule>
    <cfRule type="cellIs" dxfId="124" priority="128" operator="equal">
      <formula>"P"</formula>
    </cfRule>
  </conditionalFormatting>
  <conditionalFormatting sqref="K18">
    <cfRule type="expression" dxfId="123" priority="122">
      <formula>K$3="SUN"</formula>
    </cfRule>
    <cfRule type="cellIs" dxfId="122" priority="123" operator="equal">
      <formula>"A"</formula>
    </cfRule>
    <cfRule type="cellIs" dxfId="121" priority="124" operator="equal">
      <formula>"P"</formula>
    </cfRule>
  </conditionalFormatting>
  <conditionalFormatting sqref="K18:K26">
    <cfRule type="expression" dxfId="120" priority="119">
      <formula>K$3="SUN"</formula>
    </cfRule>
    <cfRule type="cellIs" dxfId="119" priority="120" operator="equal">
      <formula>"A"</formula>
    </cfRule>
    <cfRule type="cellIs" dxfId="118" priority="121" operator="equal">
      <formula>"P"</formula>
    </cfRule>
  </conditionalFormatting>
  <conditionalFormatting sqref="L18:L26">
    <cfRule type="cellIs" dxfId="117" priority="115" operator="equal">
      <formula>"L"</formula>
    </cfRule>
  </conditionalFormatting>
  <conditionalFormatting sqref="L18:L26">
    <cfRule type="expression" dxfId="116" priority="116">
      <formula>L$3="SUN"</formula>
    </cfRule>
    <cfRule type="cellIs" dxfId="115" priority="117" operator="equal">
      <formula>"A"</formula>
    </cfRule>
    <cfRule type="cellIs" dxfId="114" priority="118" operator="equal">
      <formula>"P"</formula>
    </cfRule>
  </conditionalFormatting>
  <conditionalFormatting sqref="L18">
    <cfRule type="expression" dxfId="113" priority="112">
      <formula>L$3="SUN"</formula>
    </cfRule>
    <cfRule type="cellIs" dxfId="112" priority="113" operator="equal">
      <formula>"A"</formula>
    </cfRule>
    <cfRule type="cellIs" dxfId="111" priority="114" operator="equal">
      <formula>"P"</formula>
    </cfRule>
  </conditionalFormatting>
  <conditionalFormatting sqref="L18:L26">
    <cfRule type="expression" dxfId="110" priority="109">
      <formula>L$3="SUN"</formula>
    </cfRule>
    <cfRule type="cellIs" dxfId="109" priority="110" operator="equal">
      <formula>"A"</formula>
    </cfRule>
    <cfRule type="cellIs" dxfId="108" priority="111" operator="equal">
      <formula>"P"</formula>
    </cfRule>
  </conditionalFormatting>
  <conditionalFormatting sqref="N18:N26">
    <cfRule type="cellIs" dxfId="97" priority="95" operator="equal">
      <formula>"L"</formula>
    </cfRule>
  </conditionalFormatting>
  <conditionalFormatting sqref="N18:N26">
    <cfRule type="expression" dxfId="96" priority="96">
      <formula>N$3="SUN"</formula>
    </cfRule>
    <cfRule type="cellIs" dxfId="95" priority="97" operator="equal">
      <formula>"A"</formula>
    </cfRule>
    <cfRule type="cellIs" dxfId="94" priority="98" operator="equal">
      <formula>"P"</formula>
    </cfRule>
  </conditionalFormatting>
  <conditionalFormatting sqref="N18">
    <cfRule type="expression" dxfId="93" priority="92">
      <formula>N$3="SUN"</formula>
    </cfRule>
    <cfRule type="cellIs" dxfId="92" priority="93" operator="equal">
      <formula>"A"</formula>
    </cfRule>
    <cfRule type="cellIs" dxfId="91" priority="94" operator="equal">
      <formula>"P"</formula>
    </cfRule>
  </conditionalFormatting>
  <conditionalFormatting sqref="N18:N26">
    <cfRule type="expression" dxfId="90" priority="89">
      <formula>N$3="SUN"</formula>
    </cfRule>
    <cfRule type="cellIs" dxfId="89" priority="90" operator="equal">
      <formula>"A"</formula>
    </cfRule>
    <cfRule type="cellIs" dxfId="88" priority="91" operator="equal">
      <formula>"P"</formula>
    </cfRule>
  </conditionalFormatting>
  <conditionalFormatting sqref="O18:O26">
    <cfRule type="cellIs" dxfId="87" priority="85" operator="equal">
      <formula>"L"</formula>
    </cfRule>
  </conditionalFormatting>
  <conditionalFormatting sqref="O18:O26">
    <cfRule type="expression" dxfId="86" priority="86">
      <formula>O$3="SUN"</formula>
    </cfRule>
    <cfRule type="cellIs" dxfId="85" priority="87" operator="equal">
      <formula>"A"</formula>
    </cfRule>
    <cfRule type="cellIs" dxfId="84" priority="88" operator="equal">
      <formula>"P"</formula>
    </cfRule>
  </conditionalFormatting>
  <conditionalFormatting sqref="O18">
    <cfRule type="expression" dxfId="83" priority="82">
      <formula>O$3="SUN"</formula>
    </cfRule>
    <cfRule type="cellIs" dxfId="82" priority="83" operator="equal">
      <formula>"A"</formula>
    </cfRule>
    <cfRule type="cellIs" dxfId="81" priority="84" operator="equal">
      <formula>"P"</formula>
    </cfRule>
  </conditionalFormatting>
  <conditionalFormatting sqref="O18:O26">
    <cfRule type="expression" dxfId="80" priority="79">
      <formula>O$3="SUN"</formula>
    </cfRule>
    <cfRule type="cellIs" dxfId="79" priority="80" operator="equal">
      <formula>"A"</formula>
    </cfRule>
    <cfRule type="cellIs" dxfId="78" priority="81" operator="equal">
      <formula>"P"</formula>
    </cfRule>
  </conditionalFormatting>
  <conditionalFormatting sqref="P18:P26">
    <cfRule type="cellIs" dxfId="77" priority="75" operator="equal">
      <formula>"L"</formula>
    </cfRule>
  </conditionalFormatting>
  <conditionalFormatting sqref="P18:P26">
    <cfRule type="expression" dxfId="76" priority="76">
      <formula>P$3="SUN"</formula>
    </cfRule>
    <cfRule type="cellIs" dxfId="75" priority="77" operator="equal">
      <formula>"A"</formula>
    </cfRule>
    <cfRule type="cellIs" dxfId="74" priority="78" operator="equal">
      <formula>"P"</formula>
    </cfRule>
  </conditionalFormatting>
  <conditionalFormatting sqref="P18">
    <cfRule type="expression" dxfId="73" priority="72">
      <formula>P$3="SUN"</formula>
    </cfRule>
    <cfRule type="cellIs" dxfId="72" priority="73" operator="equal">
      <formula>"A"</formula>
    </cfRule>
    <cfRule type="cellIs" dxfId="71" priority="74" operator="equal">
      <formula>"P"</formula>
    </cfRule>
  </conditionalFormatting>
  <conditionalFormatting sqref="P18:P26">
    <cfRule type="expression" dxfId="70" priority="69">
      <formula>P$3="SUN"</formula>
    </cfRule>
    <cfRule type="cellIs" dxfId="69" priority="70" operator="equal">
      <formula>"A"</formula>
    </cfRule>
    <cfRule type="cellIs" dxfId="68" priority="71" operator="equal">
      <formula>"P"</formula>
    </cfRule>
  </conditionalFormatting>
  <conditionalFormatting sqref="Q18:Q26">
    <cfRule type="cellIs" dxfId="67" priority="65" operator="equal">
      <formula>"L"</formula>
    </cfRule>
  </conditionalFormatting>
  <conditionalFormatting sqref="Q18:Q26">
    <cfRule type="expression" dxfId="66" priority="66">
      <formula>Q$3="SUN"</formula>
    </cfRule>
    <cfRule type="cellIs" dxfId="65" priority="67" operator="equal">
      <formula>"A"</formula>
    </cfRule>
    <cfRule type="cellIs" dxfId="64" priority="68" operator="equal">
      <formula>"P"</formula>
    </cfRule>
  </conditionalFormatting>
  <conditionalFormatting sqref="Q18">
    <cfRule type="expression" dxfId="63" priority="62">
      <formula>Q$3="SUN"</formula>
    </cfRule>
    <cfRule type="cellIs" dxfId="62" priority="63" operator="equal">
      <formula>"A"</formula>
    </cfRule>
    <cfRule type="cellIs" dxfId="61" priority="64" operator="equal">
      <formula>"P"</formula>
    </cfRule>
  </conditionalFormatting>
  <conditionalFormatting sqref="Q18:Q26">
    <cfRule type="expression" dxfId="60" priority="59">
      <formula>Q$3="SUN"</formula>
    </cfRule>
    <cfRule type="cellIs" dxfId="59" priority="60" operator="equal">
      <formula>"A"</formula>
    </cfRule>
    <cfRule type="cellIs" dxfId="58" priority="61" operator="equal">
      <formula>"P"</formula>
    </cfRule>
  </conditionalFormatting>
  <conditionalFormatting sqref="R18:R26">
    <cfRule type="cellIs" dxfId="57" priority="55" operator="equal">
      <formula>"L"</formula>
    </cfRule>
  </conditionalFormatting>
  <conditionalFormatting sqref="R18:R26">
    <cfRule type="expression" dxfId="56" priority="56">
      <formula>R$3="SUN"</formula>
    </cfRule>
    <cfRule type="cellIs" dxfId="55" priority="57" operator="equal">
      <formula>"A"</formula>
    </cfRule>
    <cfRule type="cellIs" dxfId="54" priority="58" operator="equal">
      <formula>"P"</formula>
    </cfRule>
  </conditionalFormatting>
  <conditionalFormatting sqref="R18">
    <cfRule type="expression" dxfId="53" priority="52">
      <formula>R$3="SUN"</formula>
    </cfRule>
    <cfRule type="cellIs" dxfId="52" priority="53" operator="equal">
      <formula>"A"</formula>
    </cfRule>
    <cfRule type="cellIs" dxfId="51" priority="54" operator="equal">
      <formula>"P"</formula>
    </cfRule>
  </conditionalFormatting>
  <conditionalFormatting sqref="R18:R26">
    <cfRule type="expression" dxfId="50" priority="49">
      <formula>R$3="SUN"</formula>
    </cfRule>
    <cfRule type="cellIs" dxfId="49" priority="50" operator="equal">
      <formula>"A"</formula>
    </cfRule>
    <cfRule type="cellIs" dxfId="48" priority="51" operator="equal">
      <formula>"P"</formula>
    </cfRule>
  </conditionalFormatting>
  <conditionalFormatting sqref="S18:S26">
    <cfRule type="cellIs" dxfId="47" priority="45" operator="equal">
      <formula>"L"</formula>
    </cfRule>
  </conditionalFormatting>
  <conditionalFormatting sqref="S18:S26">
    <cfRule type="expression" dxfId="46" priority="46">
      <formula>S$3="SUN"</formula>
    </cfRule>
    <cfRule type="cellIs" dxfId="45" priority="47" operator="equal">
      <formula>"A"</formula>
    </cfRule>
    <cfRule type="cellIs" dxfId="44" priority="48" operator="equal">
      <formula>"P"</formula>
    </cfRule>
  </conditionalFormatting>
  <conditionalFormatting sqref="S18">
    <cfRule type="expression" dxfId="43" priority="42">
      <formula>S$3="SUN"</formula>
    </cfRule>
    <cfRule type="cellIs" dxfId="42" priority="43" operator="equal">
      <formula>"A"</formula>
    </cfRule>
    <cfRule type="cellIs" dxfId="41" priority="44" operator="equal">
      <formula>"P"</formula>
    </cfRule>
  </conditionalFormatting>
  <conditionalFormatting sqref="S18:S26">
    <cfRule type="expression" dxfId="40" priority="39">
      <formula>S$3="SUN"</formula>
    </cfRule>
    <cfRule type="cellIs" dxfId="39" priority="40" operator="equal">
      <formula>"A"</formula>
    </cfRule>
    <cfRule type="cellIs" dxfId="38" priority="41" operator="equal">
      <formula>"P"</formula>
    </cfRule>
  </conditionalFormatting>
  <conditionalFormatting sqref="F18:F26">
    <cfRule type="cellIs" dxfId="37" priority="35" operator="equal">
      <formula>"L"</formula>
    </cfRule>
  </conditionalFormatting>
  <conditionalFormatting sqref="F18:F26">
    <cfRule type="expression" dxfId="36" priority="32">
      <formula>F$3="SUN"</formula>
    </cfRule>
    <cfRule type="cellIs" dxfId="35" priority="33" operator="equal">
      <formula>"A"</formula>
    </cfRule>
    <cfRule type="cellIs" dxfId="34" priority="34" operator="equal">
      <formula>"P"</formula>
    </cfRule>
  </conditionalFormatting>
  <conditionalFormatting sqref="F18">
    <cfRule type="expression" dxfId="33" priority="36">
      <formula>F$3="SUN"</formula>
    </cfRule>
    <cfRule type="cellIs" dxfId="32" priority="37" operator="equal">
      <formula>"A"</formula>
    </cfRule>
    <cfRule type="cellIs" dxfId="31" priority="38" operator="equal">
      <formula>"P"</formula>
    </cfRule>
  </conditionalFormatting>
  <conditionalFormatting sqref="F18:F26">
    <cfRule type="expression" dxfId="30" priority="26">
      <formula>F$3="SUN"</formula>
    </cfRule>
    <cfRule type="cellIs" dxfId="29" priority="27" operator="equal">
      <formula>"A"</formula>
    </cfRule>
    <cfRule type="cellIs" dxfId="28" priority="28" operator="equal">
      <formula>"P"</formula>
    </cfRule>
  </conditionalFormatting>
  <conditionalFormatting sqref="F18">
    <cfRule type="expression" dxfId="27" priority="29">
      <formula>F$3="SUN"</formula>
    </cfRule>
    <cfRule type="cellIs" dxfId="26" priority="30" operator="equal">
      <formula>"A"</formula>
    </cfRule>
    <cfRule type="cellIs" dxfId="25" priority="31" operator="equal">
      <formula>"P"</formula>
    </cfRule>
  </conditionalFormatting>
  <conditionalFormatting sqref="F18:F26">
    <cfRule type="expression" dxfId="24" priority="23">
      <formula>F$3="SUN"</formula>
    </cfRule>
    <cfRule type="cellIs" dxfId="23" priority="24" operator="equal">
      <formula>"A"</formula>
    </cfRule>
    <cfRule type="cellIs" dxfId="22" priority="25" operator="equal">
      <formula>"P"</formula>
    </cfRule>
  </conditionalFormatting>
  <conditionalFormatting sqref="F18">
    <cfRule type="expression" dxfId="21" priority="20">
      <formula>F$3="SUN"</formula>
    </cfRule>
    <cfRule type="cellIs" dxfId="20" priority="21" operator="equal">
      <formula>"A"</formula>
    </cfRule>
    <cfRule type="cellIs" dxfId="19" priority="22" operator="equal">
      <formula>"P"</formula>
    </cfRule>
  </conditionalFormatting>
  <conditionalFormatting sqref="M18:M26">
    <cfRule type="cellIs" dxfId="18" priority="16" operator="equal">
      <formula>"L"</formula>
    </cfRule>
  </conditionalFormatting>
  <conditionalFormatting sqref="M18:M26">
    <cfRule type="expression" dxfId="17" priority="13">
      <formula>M$3="SUN"</formula>
    </cfRule>
    <cfRule type="cellIs" dxfId="16" priority="14" operator="equal">
      <formula>"A"</formula>
    </cfRule>
    <cfRule type="cellIs" dxfId="15" priority="15" operator="equal">
      <formula>"P"</formula>
    </cfRule>
  </conditionalFormatting>
  <conditionalFormatting sqref="M18">
    <cfRule type="expression" dxfId="14" priority="17">
      <formula>M$3="SUN"</formula>
    </cfRule>
    <cfRule type="cellIs" dxfId="13" priority="18" operator="equal">
      <formula>"A"</formula>
    </cfRule>
    <cfRule type="cellIs" dxfId="12" priority="19" operator="equal">
      <formula>"P"</formula>
    </cfRule>
  </conditionalFormatting>
  <conditionalFormatting sqref="M18:M26">
    <cfRule type="expression" dxfId="11" priority="7">
      <formula>M$3="SUN"</formula>
    </cfRule>
    <cfRule type="cellIs" dxfId="10" priority="8" operator="equal">
      <formula>"A"</formula>
    </cfRule>
    <cfRule type="cellIs" dxfId="9" priority="9" operator="equal">
      <formula>"P"</formula>
    </cfRule>
  </conditionalFormatting>
  <conditionalFormatting sqref="M18">
    <cfRule type="expression" dxfId="8" priority="10">
      <formula>M$3="SUN"</formula>
    </cfRule>
    <cfRule type="cellIs" dxfId="7" priority="11" operator="equal">
      <formula>"A"</formula>
    </cfRule>
    <cfRule type="cellIs" dxfId="6" priority="12" operator="equal">
      <formula>"P"</formula>
    </cfRule>
  </conditionalFormatting>
  <conditionalFormatting sqref="M18:M26">
    <cfRule type="expression" dxfId="5" priority="4">
      <formula>M$3="SUN"</formula>
    </cfRule>
    <cfRule type="cellIs" dxfId="4" priority="5" operator="equal">
      <formula>"A"</formula>
    </cfRule>
    <cfRule type="cellIs" dxfId="3" priority="6" operator="equal">
      <formula>"P"</formula>
    </cfRule>
  </conditionalFormatting>
  <conditionalFormatting sqref="M18">
    <cfRule type="expression" dxfId="2" priority="1">
      <formula>M$3="SUN"</formula>
    </cfRule>
    <cfRule type="cellIs" dxfId="1" priority="2" operator="equal">
      <formula>"A"</formula>
    </cfRule>
    <cfRule type="cellIs" dxfId="0" priority="3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MAY-2025</vt:lpstr>
      <vt:lpstr>JUN-2025</vt:lpstr>
      <vt:lpstr>JUL-2025</vt:lpstr>
      <vt:lpstr>AUG-2025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2025-08-23T09:17:54Z</dcterms:modified>
</cp:coreProperties>
</file>