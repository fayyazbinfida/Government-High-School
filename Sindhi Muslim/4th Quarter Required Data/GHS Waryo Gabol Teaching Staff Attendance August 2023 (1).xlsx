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Roshan\Desktop\SMB QPR 4\"/>
    </mc:Choice>
  </mc:AlternateContent>
  <xr:revisionPtr revIDLastSave="0" documentId="13_ncr:1_{19B3CECE-D1C4-4E9E-8038-4BE2C97B96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 2023" sheetId="3" r:id="rId1"/>
    <sheet name="June 2023" sheetId="5" r:id="rId2"/>
    <sheet name="July 2023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6" i="5" l="1"/>
  <c r="AL26" i="5"/>
  <c r="AK26" i="5"/>
  <c r="AN26" i="5" s="1"/>
  <c r="AM25" i="5"/>
  <c r="AL25" i="5"/>
  <c r="AK25" i="5"/>
  <c r="AN25" i="5" s="1"/>
  <c r="AM24" i="5"/>
  <c r="AL24" i="5"/>
  <c r="AK24" i="5"/>
  <c r="AN24" i="5" s="1"/>
  <c r="AM23" i="5"/>
  <c r="AL23" i="5"/>
  <c r="AK23" i="5"/>
  <c r="AN23" i="5" s="1"/>
  <c r="AM22" i="5"/>
  <c r="AL22" i="5"/>
  <c r="AK22" i="5"/>
  <c r="AN22" i="5" s="1"/>
  <c r="AM20" i="5"/>
  <c r="AL20" i="5"/>
  <c r="AK20" i="5"/>
  <c r="AN20" i="5" s="1"/>
  <c r="AM19" i="5"/>
  <c r="AL19" i="5"/>
  <c r="AK19" i="5"/>
  <c r="AN19" i="5" s="1"/>
  <c r="AM18" i="5"/>
  <c r="AL18" i="5"/>
  <c r="AK18" i="5"/>
  <c r="AN18" i="5" s="1"/>
  <c r="AM17" i="5"/>
  <c r="AL17" i="5"/>
  <c r="AK17" i="5"/>
  <c r="AN17" i="5" s="1"/>
  <c r="AM16" i="5"/>
  <c r="AL16" i="5"/>
  <c r="AK16" i="5"/>
  <c r="AN16" i="5" s="1"/>
  <c r="AM15" i="5"/>
  <c r="AL15" i="5"/>
  <c r="AK15" i="5"/>
  <c r="AN15" i="5" s="1"/>
  <c r="AM14" i="5"/>
  <c r="AL14" i="5"/>
  <c r="AK14" i="5"/>
  <c r="AN14" i="5" s="1"/>
  <c r="AM13" i="5"/>
  <c r="AL13" i="5"/>
  <c r="AK13" i="5"/>
  <c r="AN13" i="5" s="1"/>
  <c r="AM12" i="5"/>
  <c r="AL12" i="5"/>
  <c r="AK12" i="5"/>
  <c r="AN12" i="5" s="1"/>
  <c r="AM11" i="5"/>
  <c r="AL11" i="5"/>
  <c r="AK11" i="5"/>
  <c r="AN11" i="5" s="1"/>
  <c r="AM10" i="5"/>
  <c r="AL10" i="5"/>
  <c r="AK10" i="5"/>
  <c r="AN10" i="5" s="1"/>
  <c r="AM9" i="5"/>
  <c r="AL9" i="5"/>
  <c r="AK9" i="5"/>
  <c r="AN9" i="5" s="1"/>
  <c r="AM8" i="5"/>
  <c r="AL8" i="5"/>
  <c r="AK8" i="5"/>
  <c r="AN8" i="5" s="1"/>
  <c r="AM26" i="4"/>
  <c r="AL26" i="4"/>
  <c r="AK26" i="4"/>
  <c r="AN26" i="4" s="1"/>
  <c r="AM25" i="4"/>
  <c r="AL25" i="4"/>
  <c r="AK25" i="4"/>
  <c r="AN25" i="4" s="1"/>
  <c r="AM24" i="4"/>
  <c r="AL24" i="4"/>
  <c r="AK24" i="4"/>
  <c r="AN24" i="4" s="1"/>
  <c r="AM23" i="4"/>
  <c r="AL23" i="4"/>
  <c r="AK23" i="4"/>
  <c r="AN23" i="4" s="1"/>
  <c r="AM22" i="4"/>
  <c r="AL22" i="4"/>
  <c r="AK22" i="4"/>
  <c r="AN22" i="4" s="1"/>
  <c r="AM20" i="4"/>
  <c r="AL20" i="4"/>
  <c r="AK20" i="4"/>
  <c r="AN20" i="4" s="1"/>
  <c r="AM19" i="4"/>
  <c r="AL19" i="4"/>
  <c r="AK19" i="4"/>
  <c r="AN19" i="4" s="1"/>
  <c r="AM18" i="4"/>
  <c r="AL18" i="4"/>
  <c r="AK18" i="4"/>
  <c r="AN18" i="4" s="1"/>
  <c r="AM17" i="4"/>
  <c r="AL17" i="4"/>
  <c r="AK17" i="4"/>
  <c r="AN17" i="4" s="1"/>
  <c r="AM16" i="4"/>
  <c r="AL16" i="4"/>
  <c r="AK16" i="4"/>
  <c r="AN16" i="4" s="1"/>
  <c r="AM15" i="4"/>
  <c r="AL15" i="4"/>
  <c r="AK15" i="4"/>
  <c r="AN15" i="4" s="1"/>
  <c r="AM14" i="4"/>
  <c r="AL14" i="4"/>
  <c r="AK14" i="4"/>
  <c r="AN14" i="4" s="1"/>
  <c r="AM13" i="4"/>
  <c r="AL13" i="4"/>
  <c r="AK13" i="4"/>
  <c r="AN13" i="4" s="1"/>
  <c r="AM12" i="4"/>
  <c r="AL12" i="4"/>
  <c r="AK12" i="4"/>
  <c r="AN12" i="4" s="1"/>
  <c r="AM11" i="4"/>
  <c r="AL11" i="4"/>
  <c r="AK11" i="4"/>
  <c r="AN11" i="4" s="1"/>
  <c r="AM10" i="4"/>
  <c r="AL10" i="4"/>
  <c r="AK10" i="4"/>
  <c r="AN10" i="4" s="1"/>
  <c r="AM9" i="4"/>
  <c r="AL9" i="4"/>
  <c r="AK9" i="4"/>
  <c r="AN9" i="4" s="1"/>
  <c r="AM8" i="4"/>
  <c r="AL8" i="4"/>
  <c r="AK8" i="4"/>
  <c r="AN8" i="4" s="1"/>
  <c r="AN10" i="3"/>
  <c r="AN8" i="3"/>
  <c r="AM26" i="3"/>
  <c r="AL26" i="3"/>
  <c r="AK26" i="3"/>
  <c r="AN26" i="3" s="1"/>
  <c r="AM25" i="3"/>
  <c r="AL25" i="3"/>
  <c r="AK25" i="3"/>
  <c r="AN25" i="3" s="1"/>
  <c r="AM24" i="3"/>
  <c r="AL24" i="3"/>
  <c r="AK24" i="3"/>
  <c r="AN24" i="3" s="1"/>
  <c r="AM23" i="3"/>
  <c r="AL23" i="3"/>
  <c r="AK23" i="3"/>
  <c r="AN23" i="3" s="1"/>
  <c r="AM22" i="3"/>
  <c r="AL22" i="3"/>
  <c r="AK22" i="3"/>
  <c r="AN22" i="3" s="1"/>
  <c r="AM20" i="3"/>
  <c r="AL20" i="3"/>
  <c r="AK20" i="3"/>
  <c r="AN20" i="3" s="1"/>
  <c r="AM19" i="3"/>
  <c r="AL19" i="3"/>
  <c r="AK19" i="3"/>
  <c r="AN19" i="3" s="1"/>
  <c r="AM18" i="3"/>
  <c r="AL18" i="3"/>
  <c r="AK18" i="3"/>
  <c r="AN18" i="3" s="1"/>
  <c r="AM17" i="3"/>
  <c r="AL17" i="3"/>
  <c r="AK17" i="3"/>
  <c r="AN17" i="3" s="1"/>
  <c r="AM16" i="3"/>
  <c r="AL16" i="3"/>
  <c r="AK16" i="3"/>
  <c r="AN16" i="3" s="1"/>
  <c r="AM15" i="3"/>
  <c r="AL15" i="3"/>
  <c r="AK15" i="3"/>
  <c r="AN15" i="3" s="1"/>
  <c r="AM14" i="3"/>
  <c r="AL14" i="3"/>
  <c r="AK14" i="3"/>
  <c r="AN14" i="3" s="1"/>
  <c r="AM13" i="3"/>
  <c r="AL13" i="3"/>
  <c r="AK13" i="3"/>
  <c r="AN13" i="3" s="1"/>
  <c r="AM12" i="3"/>
  <c r="AL12" i="3"/>
  <c r="AK12" i="3"/>
  <c r="AN12" i="3" s="1"/>
  <c r="AM11" i="3"/>
  <c r="AL11" i="3"/>
  <c r="AK11" i="3"/>
  <c r="AN11" i="3" s="1"/>
  <c r="AM10" i="3"/>
  <c r="AL10" i="3"/>
  <c r="AK10" i="3"/>
  <c r="AM9" i="3"/>
  <c r="AL9" i="3"/>
  <c r="AK9" i="3"/>
  <c r="AN9" i="3" s="1"/>
  <c r="AM8" i="3"/>
  <c r="AL8" i="3"/>
  <c r="AK8" i="3"/>
</calcChain>
</file>

<file path=xl/sharedStrings.xml><?xml version="1.0" encoding="utf-8"?>
<sst xmlns="http://schemas.openxmlformats.org/spreadsheetml/2006/main" count="1296" uniqueCount="21">
  <si>
    <t xml:space="preserve">S.No </t>
  </si>
  <si>
    <t xml:space="preserve">Name </t>
  </si>
  <si>
    <t>Gender</t>
  </si>
  <si>
    <t>Category</t>
  </si>
  <si>
    <t>Des:</t>
  </si>
  <si>
    <t xml:space="preserve">Total Working Days </t>
  </si>
  <si>
    <t>Total Present days</t>
  </si>
  <si>
    <t xml:space="preserve">Total Absent Days </t>
  </si>
  <si>
    <t>Total Leaves</t>
  </si>
  <si>
    <t>Percentage %</t>
  </si>
  <si>
    <t>P</t>
  </si>
  <si>
    <t>L</t>
  </si>
  <si>
    <t>A</t>
  </si>
  <si>
    <r>
      <t>Daily Teachers Attendance for the month of June</t>
    </r>
    <r>
      <rPr>
        <u/>
        <sz val="10"/>
        <color theme="1"/>
        <rFont val="Times New Roman"/>
        <family val="1"/>
      </rPr>
      <t xml:space="preserve"> 2023                  </t>
    </r>
  </si>
  <si>
    <t xml:space="preserve">EMO Schools Projects </t>
  </si>
  <si>
    <t>District Package-1 RFP-6</t>
  </si>
  <si>
    <r>
      <t>GHS:</t>
    </r>
    <r>
      <rPr>
        <u/>
        <sz val="10"/>
        <color theme="1"/>
        <rFont val="Times New Roman"/>
        <family val="1"/>
      </rPr>
      <t xml:space="preserve">                                           </t>
    </r>
    <r>
      <rPr>
        <sz val="10"/>
        <color theme="1"/>
        <rFont val="Times New Roman"/>
        <family val="1"/>
      </rPr>
      <t xml:space="preserve"> SEMIS Code: </t>
    </r>
    <r>
      <rPr>
        <u/>
        <sz val="10"/>
        <color theme="1"/>
        <rFont val="Times New Roman"/>
        <family val="1"/>
      </rPr>
      <t xml:space="preserve">41                                </t>
    </r>
    <r>
      <rPr>
        <sz val="10"/>
        <color theme="1"/>
        <rFont val="Times New Roman"/>
        <family val="1"/>
      </rPr>
      <t xml:space="preserve">District: </t>
    </r>
  </si>
  <si>
    <t xml:space="preserve">Huma </t>
  </si>
  <si>
    <t xml:space="preserve">EMO/Government </t>
  </si>
  <si>
    <t>Male or Female</t>
  </si>
  <si>
    <t>HST/JST/PST/ECE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</si>
</sst>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top"/>
    </xf>
    <xf numFmtId="0" fontId="2" fillId="0" borderId="3" xfId="0" applyFont="1" applyBorder="1"/>
    <xf numFmtId="9" fontId="2" fillId="3" borderId="2" xfId="1" applyFont="1" applyFill="1" applyBorder="1"/>
    <xf numFmtId="0" fontId="2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276225</xdr:colOff>
      <xdr:row>2</xdr:row>
      <xdr:rowOff>85726</xdr:rowOff>
    </xdr:from>
    <xdr:to>
      <xdr:col>37</xdr:col>
      <xdr:colOff>736600</xdr:colOff>
      <xdr:row>4</xdr:row>
      <xdr:rowOff>149226</xdr:rowOff>
    </xdr:to>
    <xdr:pic>
      <xdr:nvPicPr>
        <xdr:cNvPr id="2" name="Picture 1" descr="Sindh Logo.png">
          <a:extLst>
            <a:ext uri="{FF2B5EF4-FFF2-40B4-BE49-F238E27FC236}">
              <a16:creationId xmlns:a16="http://schemas.microsoft.com/office/drawing/2014/main" id="{9CF82154-E570-4DE2-95D0-23C8351E71B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2075" y="454026"/>
          <a:ext cx="460375" cy="43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276225</xdr:colOff>
      <xdr:row>2</xdr:row>
      <xdr:rowOff>85726</xdr:rowOff>
    </xdr:from>
    <xdr:to>
      <xdr:col>37</xdr:col>
      <xdr:colOff>736600</xdr:colOff>
      <xdr:row>4</xdr:row>
      <xdr:rowOff>149226</xdr:rowOff>
    </xdr:to>
    <xdr:pic>
      <xdr:nvPicPr>
        <xdr:cNvPr id="2" name="Picture 1" descr="Sindh Logo.png">
          <a:extLst>
            <a:ext uri="{FF2B5EF4-FFF2-40B4-BE49-F238E27FC236}">
              <a16:creationId xmlns:a16="http://schemas.microsoft.com/office/drawing/2014/main" id="{3F33EDFA-43D2-4EB4-B6F5-01CBA0F4223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2675" y="454026"/>
          <a:ext cx="460375" cy="431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276225</xdr:colOff>
      <xdr:row>2</xdr:row>
      <xdr:rowOff>85726</xdr:rowOff>
    </xdr:from>
    <xdr:to>
      <xdr:col>37</xdr:col>
      <xdr:colOff>736600</xdr:colOff>
      <xdr:row>4</xdr:row>
      <xdr:rowOff>149226</xdr:rowOff>
    </xdr:to>
    <xdr:pic>
      <xdr:nvPicPr>
        <xdr:cNvPr id="2" name="Picture 1" descr="Sindh Logo.png">
          <a:extLst>
            <a:ext uri="{FF2B5EF4-FFF2-40B4-BE49-F238E27FC236}">
              <a16:creationId xmlns:a16="http://schemas.microsoft.com/office/drawing/2014/main" id="{D9113861-E1F0-4D99-8C5B-0ED2246E0AF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2675" y="454026"/>
          <a:ext cx="460375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C174-D1D7-4B9F-9B16-78384A971FCA}">
  <dimension ref="A3:AN26"/>
  <sheetViews>
    <sheetView tabSelected="1" workbookViewId="0">
      <selection activeCell="J11" sqref="J11"/>
    </sheetView>
  </sheetViews>
  <sheetFormatPr defaultRowHeight="14.5" x14ac:dyDescent="0.35"/>
  <cols>
    <col min="1" max="1" width="6.90625" style="6" customWidth="1"/>
    <col min="2" max="2" width="19.26953125" style="6" bestFit="1" customWidth="1"/>
    <col min="3" max="3" width="9.1796875" style="6" customWidth="1"/>
    <col min="4" max="4" width="11.26953125" style="6" customWidth="1"/>
    <col min="5" max="5" width="11.1796875" style="6" customWidth="1"/>
    <col min="6" max="35" width="4.7265625" style="6" customWidth="1"/>
    <col min="36" max="36" width="15.90625" style="6" bestFit="1" customWidth="1"/>
    <col min="37" max="37" width="14.1796875" style="6" bestFit="1" customWidth="1"/>
    <col min="38" max="38" width="14.7265625" style="6" bestFit="1" customWidth="1"/>
    <col min="39" max="39" width="10.1796875" style="6" bestFit="1" customWidth="1"/>
    <col min="40" max="40" width="10.6328125" style="6" bestFit="1" customWidth="1"/>
  </cols>
  <sheetData>
    <row r="3" spans="1:40" x14ac:dyDescent="0.35">
      <c r="A3" s="9" t="s">
        <v>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x14ac:dyDescent="0.35">
      <c r="A4" s="9" t="s">
        <v>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x14ac:dyDescent="0.3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x14ac:dyDescent="0.35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ht="38.5" customHeight="1" x14ac:dyDescent="0.35">
      <c r="A7" s="1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>
        <v>1</v>
      </c>
      <c r="G7" s="8">
        <v>2</v>
      </c>
      <c r="H7" s="8">
        <v>3</v>
      </c>
      <c r="I7" s="8">
        <v>4</v>
      </c>
      <c r="J7" s="8">
        <v>5</v>
      </c>
      <c r="K7" s="8">
        <v>6</v>
      </c>
      <c r="L7" s="8">
        <v>7</v>
      </c>
      <c r="M7" s="8">
        <v>8</v>
      </c>
      <c r="N7" s="8">
        <v>9</v>
      </c>
      <c r="O7" s="8">
        <v>10</v>
      </c>
      <c r="P7" s="8">
        <v>11</v>
      </c>
      <c r="Q7" s="8">
        <v>12</v>
      </c>
      <c r="R7" s="8">
        <v>13</v>
      </c>
      <c r="S7" s="8">
        <v>14</v>
      </c>
      <c r="T7" s="8">
        <v>15</v>
      </c>
      <c r="U7" s="8">
        <v>16</v>
      </c>
      <c r="V7" s="8">
        <v>17</v>
      </c>
      <c r="W7" s="8">
        <v>18</v>
      </c>
      <c r="X7" s="8">
        <v>19</v>
      </c>
      <c r="Y7" s="8">
        <v>20</v>
      </c>
      <c r="Z7" s="8">
        <v>21</v>
      </c>
      <c r="AA7" s="8">
        <v>22</v>
      </c>
      <c r="AB7" s="8">
        <v>23</v>
      </c>
      <c r="AC7" s="8">
        <v>24</v>
      </c>
      <c r="AD7" s="8">
        <v>25</v>
      </c>
      <c r="AE7" s="8">
        <v>26</v>
      </c>
      <c r="AF7" s="8">
        <v>27</v>
      </c>
      <c r="AG7" s="8">
        <v>28</v>
      </c>
      <c r="AH7" s="8">
        <v>29</v>
      </c>
      <c r="AI7" s="8">
        <v>30</v>
      </c>
      <c r="AJ7" s="8" t="s">
        <v>5</v>
      </c>
      <c r="AK7" s="8" t="s">
        <v>6</v>
      </c>
      <c r="AL7" s="8" t="s">
        <v>7</v>
      </c>
      <c r="AM7" s="8" t="s">
        <v>8</v>
      </c>
      <c r="AN7" s="8" t="s">
        <v>9</v>
      </c>
    </row>
    <row r="8" spans="1:40" ht="26.5" customHeight="1" x14ac:dyDescent="0.35">
      <c r="A8" s="2">
        <v>1</v>
      </c>
      <c r="B8" s="3" t="s">
        <v>17</v>
      </c>
      <c r="C8" s="11" t="s">
        <v>19</v>
      </c>
      <c r="D8" s="11" t="s">
        <v>18</v>
      </c>
      <c r="E8" s="11" t="s">
        <v>20</v>
      </c>
      <c r="F8" s="7"/>
      <c r="G8" s="7" t="s">
        <v>10</v>
      </c>
      <c r="H8" s="7"/>
      <c r="I8" s="7" t="s">
        <v>10</v>
      </c>
      <c r="J8" s="7" t="s">
        <v>10</v>
      </c>
      <c r="K8" s="7" t="s">
        <v>10</v>
      </c>
      <c r="L8" s="7"/>
      <c r="M8" s="7" t="s">
        <v>10</v>
      </c>
      <c r="N8" s="7" t="s">
        <v>10</v>
      </c>
      <c r="O8" s="7"/>
      <c r="P8" s="7" t="s">
        <v>10</v>
      </c>
      <c r="Q8" s="7" t="s">
        <v>10</v>
      </c>
      <c r="R8" s="7" t="s">
        <v>10</v>
      </c>
      <c r="S8" s="7" t="s">
        <v>10</v>
      </c>
      <c r="T8" s="7" t="s">
        <v>10</v>
      </c>
      <c r="U8" s="7" t="s">
        <v>10</v>
      </c>
      <c r="V8" s="7"/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/>
      <c r="AD8" s="7" t="s">
        <v>10</v>
      </c>
      <c r="AE8" s="7" t="s">
        <v>10</v>
      </c>
      <c r="AF8" s="7" t="s">
        <v>10</v>
      </c>
      <c r="AG8" s="7" t="s">
        <v>10</v>
      </c>
      <c r="AH8" s="7"/>
      <c r="AI8" s="7" t="s">
        <v>10</v>
      </c>
      <c r="AJ8" s="7">
        <v>23</v>
      </c>
      <c r="AK8" s="7">
        <f t="shared" ref="AK8:AK26" si="0">COUNTIF(F8:AI8,"P")</f>
        <v>23</v>
      </c>
      <c r="AL8" s="7">
        <f t="shared" ref="AL8:AL25" si="1">COUNTIF(F8:AI8,"A")</f>
        <v>0</v>
      </c>
      <c r="AM8" s="7">
        <f t="shared" ref="AM8:AM26" si="2">COUNTIF(F8:AI8,"L")</f>
        <v>0</v>
      </c>
      <c r="AN8" s="4">
        <f>AK8/AJ8</f>
        <v>1</v>
      </c>
    </row>
    <row r="9" spans="1:40" x14ac:dyDescent="0.35">
      <c r="A9" s="2">
        <v>2</v>
      </c>
      <c r="B9" s="3"/>
      <c r="C9" s="3"/>
      <c r="D9" s="3"/>
      <c r="E9" s="3"/>
      <c r="F9" s="7"/>
      <c r="G9" s="7" t="s">
        <v>10</v>
      </c>
      <c r="H9" s="7"/>
      <c r="I9" s="7" t="s">
        <v>10</v>
      </c>
      <c r="J9" s="7" t="s">
        <v>10</v>
      </c>
      <c r="K9" s="7" t="s">
        <v>10</v>
      </c>
      <c r="L9" s="7"/>
      <c r="M9" s="7" t="s">
        <v>10</v>
      </c>
      <c r="N9" s="7" t="s">
        <v>10</v>
      </c>
      <c r="O9" s="7"/>
      <c r="P9" s="7" t="s">
        <v>10</v>
      </c>
      <c r="Q9" s="7" t="s">
        <v>10</v>
      </c>
      <c r="R9" s="7" t="s">
        <v>10</v>
      </c>
      <c r="S9" s="7" t="s">
        <v>10</v>
      </c>
      <c r="T9" s="7" t="s">
        <v>10</v>
      </c>
      <c r="U9" s="7" t="s">
        <v>10</v>
      </c>
      <c r="V9" s="7"/>
      <c r="W9" s="7" t="s">
        <v>10</v>
      </c>
      <c r="X9" s="7" t="s">
        <v>10</v>
      </c>
      <c r="Y9" s="7" t="s">
        <v>10</v>
      </c>
      <c r="Z9" s="7" t="s">
        <v>10</v>
      </c>
      <c r="AA9" s="7" t="s">
        <v>10</v>
      </c>
      <c r="AB9" s="7" t="s">
        <v>10</v>
      </c>
      <c r="AC9" s="7"/>
      <c r="AD9" s="7" t="s">
        <v>10</v>
      </c>
      <c r="AE9" s="7" t="s">
        <v>10</v>
      </c>
      <c r="AF9" s="7" t="s">
        <v>10</v>
      </c>
      <c r="AG9" s="7" t="s">
        <v>10</v>
      </c>
      <c r="AH9" s="7"/>
      <c r="AI9" s="7" t="s">
        <v>10</v>
      </c>
      <c r="AJ9" s="7">
        <v>23</v>
      </c>
      <c r="AK9" s="7">
        <f t="shared" si="0"/>
        <v>23</v>
      </c>
      <c r="AL9" s="7">
        <f t="shared" si="1"/>
        <v>0</v>
      </c>
      <c r="AM9" s="7">
        <f t="shared" si="2"/>
        <v>0</v>
      </c>
      <c r="AN9" s="4">
        <f t="shared" ref="AN9:AN26" si="3">AK9/AJ9</f>
        <v>1</v>
      </c>
    </row>
    <row r="10" spans="1:40" x14ac:dyDescent="0.35">
      <c r="A10" s="2">
        <v>3</v>
      </c>
      <c r="B10" s="3"/>
      <c r="C10" s="3"/>
      <c r="D10" s="3"/>
      <c r="E10" s="3"/>
      <c r="F10" s="7"/>
      <c r="G10" s="7" t="s">
        <v>10</v>
      </c>
      <c r="H10" s="7"/>
      <c r="I10" s="7" t="s">
        <v>10</v>
      </c>
      <c r="J10" s="7" t="s">
        <v>10</v>
      </c>
      <c r="K10" s="7" t="s">
        <v>10</v>
      </c>
      <c r="L10" s="7"/>
      <c r="M10" s="7" t="s">
        <v>10</v>
      </c>
      <c r="N10" s="7" t="s">
        <v>10</v>
      </c>
      <c r="O10" s="7"/>
      <c r="P10" s="7" t="s">
        <v>11</v>
      </c>
      <c r="Q10" s="7" t="s">
        <v>10</v>
      </c>
      <c r="R10" s="7" t="s">
        <v>10</v>
      </c>
      <c r="S10" s="7" t="s">
        <v>10</v>
      </c>
      <c r="T10" s="7" t="s">
        <v>10</v>
      </c>
      <c r="U10" s="7" t="s">
        <v>11</v>
      </c>
      <c r="V10" s="7"/>
      <c r="W10" s="7" t="s">
        <v>11</v>
      </c>
      <c r="X10" s="7" t="s">
        <v>10</v>
      </c>
      <c r="Y10" s="7" t="s">
        <v>10</v>
      </c>
      <c r="Z10" s="7" t="s">
        <v>10</v>
      </c>
      <c r="AA10" s="7" t="s">
        <v>10</v>
      </c>
      <c r="AB10" s="7" t="s">
        <v>10</v>
      </c>
      <c r="AC10" s="7"/>
      <c r="AD10" s="7" t="s">
        <v>10</v>
      </c>
      <c r="AE10" s="7" t="s">
        <v>10</v>
      </c>
      <c r="AF10" s="7" t="s">
        <v>10</v>
      </c>
      <c r="AG10" s="7" t="s">
        <v>10</v>
      </c>
      <c r="AH10" s="7"/>
      <c r="AI10" s="7" t="s">
        <v>10</v>
      </c>
      <c r="AJ10" s="7">
        <v>23</v>
      </c>
      <c r="AK10" s="7">
        <f t="shared" si="0"/>
        <v>20</v>
      </c>
      <c r="AL10" s="7">
        <f t="shared" si="1"/>
        <v>0</v>
      </c>
      <c r="AM10" s="7">
        <f t="shared" si="2"/>
        <v>3</v>
      </c>
      <c r="AN10" s="4">
        <f>AK10/AJ10</f>
        <v>0.86956521739130432</v>
      </c>
    </row>
    <row r="11" spans="1:40" x14ac:dyDescent="0.35">
      <c r="A11" s="2">
        <v>4</v>
      </c>
      <c r="B11" s="3"/>
      <c r="C11" s="3"/>
      <c r="D11" s="3"/>
      <c r="E11" s="3"/>
      <c r="F11" s="7"/>
      <c r="G11" s="7" t="s">
        <v>10</v>
      </c>
      <c r="H11" s="7"/>
      <c r="I11" s="7" t="s">
        <v>10</v>
      </c>
      <c r="J11" s="7" t="s">
        <v>10</v>
      </c>
      <c r="K11" s="7" t="s">
        <v>10</v>
      </c>
      <c r="L11" s="7"/>
      <c r="M11" s="7" t="s">
        <v>10</v>
      </c>
      <c r="N11" s="7" t="s">
        <v>10</v>
      </c>
      <c r="O11" s="7"/>
      <c r="P11" s="7" t="s">
        <v>10</v>
      </c>
      <c r="Q11" s="7" t="s">
        <v>10</v>
      </c>
      <c r="R11" s="7" t="s">
        <v>10</v>
      </c>
      <c r="S11" s="7" t="s">
        <v>10</v>
      </c>
      <c r="T11" s="7" t="s">
        <v>10</v>
      </c>
      <c r="U11" s="7" t="s">
        <v>10</v>
      </c>
      <c r="V11" s="7"/>
      <c r="W11" s="7" t="s">
        <v>10</v>
      </c>
      <c r="X11" s="7" t="s">
        <v>10</v>
      </c>
      <c r="Y11" s="7" t="s">
        <v>10</v>
      </c>
      <c r="Z11" s="7" t="s">
        <v>10</v>
      </c>
      <c r="AA11" s="7" t="s">
        <v>10</v>
      </c>
      <c r="AB11" s="7" t="s">
        <v>10</v>
      </c>
      <c r="AC11" s="7"/>
      <c r="AD11" s="7" t="s">
        <v>10</v>
      </c>
      <c r="AE11" s="7" t="s">
        <v>10</v>
      </c>
      <c r="AF11" s="7" t="s">
        <v>10</v>
      </c>
      <c r="AG11" s="7" t="s">
        <v>10</v>
      </c>
      <c r="AH11" s="7"/>
      <c r="AI11" s="7" t="s">
        <v>10</v>
      </c>
      <c r="AJ11" s="7">
        <v>23</v>
      </c>
      <c r="AK11" s="7">
        <f t="shared" si="0"/>
        <v>23</v>
      </c>
      <c r="AL11" s="7">
        <f t="shared" si="1"/>
        <v>0</v>
      </c>
      <c r="AM11" s="7">
        <f t="shared" si="2"/>
        <v>0</v>
      </c>
      <c r="AN11" s="4">
        <f t="shared" si="3"/>
        <v>1</v>
      </c>
    </row>
    <row r="12" spans="1:40" x14ac:dyDescent="0.35">
      <c r="A12" s="2">
        <v>5</v>
      </c>
      <c r="B12" s="3"/>
      <c r="C12" s="3"/>
      <c r="D12" s="3"/>
      <c r="E12" s="3"/>
      <c r="F12" s="7"/>
      <c r="G12" s="7" t="s">
        <v>10</v>
      </c>
      <c r="H12" s="7"/>
      <c r="I12" s="7" t="s">
        <v>12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/>
      <c r="P12" s="7" t="s">
        <v>10</v>
      </c>
      <c r="Q12" s="7" t="s">
        <v>10</v>
      </c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 t="s">
        <v>10</v>
      </c>
      <c r="AB12" s="7" t="s">
        <v>10</v>
      </c>
      <c r="AC12" s="7"/>
      <c r="AD12" s="7" t="s">
        <v>10</v>
      </c>
      <c r="AE12" s="7" t="s">
        <v>10</v>
      </c>
      <c r="AF12" s="7" t="s">
        <v>10</v>
      </c>
      <c r="AG12" s="7" t="s">
        <v>10</v>
      </c>
      <c r="AH12" s="7"/>
      <c r="AI12" s="7" t="s">
        <v>10</v>
      </c>
      <c r="AJ12" s="7">
        <v>23</v>
      </c>
      <c r="AK12" s="7">
        <f t="shared" si="0"/>
        <v>22</v>
      </c>
      <c r="AL12" s="7">
        <f t="shared" si="1"/>
        <v>1</v>
      </c>
      <c r="AM12" s="7">
        <f t="shared" si="2"/>
        <v>0</v>
      </c>
      <c r="AN12" s="4">
        <f t="shared" si="3"/>
        <v>0.95652173913043481</v>
      </c>
    </row>
    <row r="13" spans="1:40" x14ac:dyDescent="0.35">
      <c r="A13" s="2">
        <v>6</v>
      </c>
      <c r="B13" s="3"/>
      <c r="C13" s="3"/>
      <c r="D13" s="3"/>
      <c r="E13" s="3"/>
      <c r="F13" s="7"/>
      <c r="G13" s="7" t="s">
        <v>10</v>
      </c>
      <c r="H13" s="7"/>
      <c r="I13" s="7" t="s">
        <v>10</v>
      </c>
      <c r="J13" s="7" t="s">
        <v>10</v>
      </c>
      <c r="K13" s="7" t="s">
        <v>12</v>
      </c>
      <c r="L13" s="7"/>
      <c r="M13" s="7" t="s">
        <v>10</v>
      </c>
      <c r="N13" s="7" t="s">
        <v>10</v>
      </c>
      <c r="O13" s="7"/>
      <c r="P13" s="7" t="s">
        <v>10</v>
      </c>
      <c r="Q13" s="7" t="s">
        <v>11</v>
      </c>
      <c r="R13" s="7" t="s">
        <v>10</v>
      </c>
      <c r="S13" s="7" t="s">
        <v>10</v>
      </c>
      <c r="T13" s="7" t="s">
        <v>10</v>
      </c>
      <c r="U13" s="7" t="s">
        <v>10</v>
      </c>
      <c r="V13" s="7"/>
      <c r="W13" s="7" t="s">
        <v>10</v>
      </c>
      <c r="X13" s="7" t="s">
        <v>10</v>
      </c>
      <c r="Y13" s="7" t="s">
        <v>11</v>
      </c>
      <c r="Z13" s="7" t="s">
        <v>10</v>
      </c>
      <c r="AA13" s="7" t="s">
        <v>10</v>
      </c>
      <c r="AB13" s="7" t="s">
        <v>10</v>
      </c>
      <c r="AC13" s="7"/>
      <c r="AD13" s="7" t="s">
        <v>10</v>
      </c>
      <c r="AE13" s="7" t="s">
        <v>10</v>
      </c>
      <c r="AF13" s="7" t="s">
        <v>10</v>
      </c>
      <c r="AG13" s="7" t="s">
        <v>10</v>
      </c>
      <c r="AH13" s="7"/>
      <c r="AI13" s="7" t="s">
        <v>10</v>
      </c>
      <c r="AJ13" s="7">
        <v>23</v>
      </c>
      <c r="AK13" s="7">
        <f t="shared" si="0"/>
        <v>20</v>
      </c>
      <c r="AL13" s="7">
        <f t="shared" si="1"/>
        <v>1</v>
      </c>
      <c r="AM13" s="7">
        <f t="shared" si="2"/>
        <v>2</v>
      </c>
      <c r="AN13" s="4">
        <f t="shared" si="3"/>
        <v>0.86956521739130432</v>
      </c>
    </row>
    <row r="14" spans="1:40" x14ac:dyDescent="0.35">
      <c r="A14" s="2">
        <v>7</v>
      </c>
      <c r="B14" s="3"/>
      <c r="C14" s="3"/>
      <c r="D14" s="3"/>
      <c r="E14" s="5"/>
      <c r="F14" s="7"/>
      <c r="G14" s="7" t="s">
        <v>10</v>
      </c>
      <c r="H14" s="7"/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/>
      <c r="P14" s="7" t="s">
        <v>10</v>
      </c>
      <c r="Q14" s="7" t="s">
        <v>10</v>
      </c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11</v>
      </c>
      <c r="Y14" s="7" t="s">
        <v>10</v>
      </c>
      <c r="Z14" s="7" t="s">
        <v>10</v>
      </c>
      <c r="AA14" s="7" t="s">
        <v>10</v>
      </c>
      <c r="AB14" s="7" t="s">
        <v>10</v>
      </c>
      <c r="AC14" s="7"/>
      <c r="AD14" s="7" t="s">
        <v>10</v>
      </c>
      <c r="AE14" s="7" t="s">
        <v>10</v>
      </c>
      <c r="AF14" s="7" t="s">
        <v>10</v>
      </c>
      <c r="AG14" s="7" t="s">
        <v>10</v>
      </c>
      <c r="AH14" s="7"/>
      <c r="AI14" s="7" t="s">
        <v>10</v>
      </c>
      <c r="AJ14" s="7">
        <v>23</v>
      </c>
      <c r="AK14" s="7">
        <f t="shared" si="0"/>
        <v>22</v>
      </c>
      <c r="AL14" s="7">
        <f t="shared" si="1"/>
        <v>0</v>
      </c>
      <c r="AM14" s="7">
        <f t="shared" si="2"/>
        <v>1</v>
      </c>
      <c r="AN14" s="4">
        <f t="shared" si="3"/>
        <v>0.95652173913043481</v>
      </c>
    </row>
    <row r="15" spans="1:40" x14ac:dyDescent="0.35">
      <c r="A15" s="2">
        <v>8</v>
      </c>
      <c r="B15" s="3"/>
      <c r="C15" s="3"/>
      <c r="D15" s="3"/>
      <c r="E15" s="3"/>
      <c r="F15" s="7"/>
      <c r="G15" s="7" t="s">
        <v>10</v>
      </c>
      <c r="H15" s="7"/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/>
      <c r="P15" s="7" t="s">
        <v>10</v>
      </c>
      <c r="Q15" s="7" t="s">
        <v>10</v>
      </c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 t="s">
        <v>10</v>
      </c>
      <c r="AB15" s="7" t="s">
        <v>10</v>
      </c>
      <c r="AC15" s="7"/>
      <c r="AD15" s="7" t="s">
        <v>10</v>
      </c>
      <c r="AE15" s="7" t="s">
        <v>10</v>
      </c>
      <c r="AF15" s="7" t="s">
        <v>10</v>
      </c>
      <c r="AG15" s="7" t="s">
        <v>10</v>
      </c>
      <c r="AH15" s="7"/>
      <c r="AI15" s="7" t="s">
        <v>10</v>
      </c>
      <c r="AJ15" s="7">
        <v>23</v>
      </c>
      <c r="AK15" s="7">
        <f t="shared" si="0"/>
        <v>23</v>
      </c>
      <c r="AL15" s="7">
        <f t="shared" si="1"/>
        <v>0</v>
      </c>
      <c r="AM15" s="7">
        <f t="shared" si="2"/>
        <v>0</v>
      </c>
      <c r="AN15" s="4">
        <f t="shared" si="3"/>
        <v>1</v>
      </c>
    </row>
    <row r="16" spans="1:40" x14ac:dyDescent="0.35">
      <c r="A16" s="2">
        <v>9</v>
      </c>
      <c r="B16" s="3"/>
      <c r="C16" s="3"/>
      <c r="D16" s="3"/>
      <c r="E16" s="3"/>
      <c r="F16" s="7"/>
      <c r="G16" s="7" t="s">
        <v>12</v>
      </c>
      <c r="H16" s="7"/>
      <c r="I16" s="7" t="s">
        <v>10</v>
      </c>
      <c r="J16" s="7" t="s">
        <v>10</v>
      </c>
      <c r="K16" s="7" t="s">
        <v>12</v>
      </c>
      <c r="L16" s="7"/>
      <c r="M16" s="7" t="s">
        <v>10</v>
      </c>
      <c r="N16" s="7" t="s">
        <v>10</v>
      </c>
      <c r="O16" s="7"/>
      <c r="P16" s="7" t="s">
        <v>10</v>
      </c>
      <c r="Q16" s="7" t="s">
        <v>10</v>
      </c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11</v>
      </c>
      <c r="Y16" s="7" t="s">
        <v>11</v>
      </c>
      <c r="Z16" s="7" t="s">
        <v>10</v>
      </c>
      <c r="AA16" s="7" t="s">
        <v>10</v>
      </c>
      <c r="AB16" s="7" t="s">
        <v>10</v>
      </c>
      <c r="AC16" s="7"/>
      <c r="AD16" s="7" t="s">
        <v>10</v>
      </c>
      <c r="AE16" s="7" t="s">
        <v>10</v>
      </c>
      <c r="AF16" s="7" t="s">
        <v>10</v>
      </c>
      <c r="AG16" s="7" t="s">
        <v>10</v>
      </c>
      <c r="AH16" s="7"/>
      <c r="AI16" s="7" t="s">
        <v>10</v>
      </c>
      <c r="AJ16" s="7">
        <v>23</v>
      </c>
      <c r="AK16" s="7">
        <f t="shared" si="0"/>
        <v>19</v>
      </c>
      <c r="AL16" s="7">
        <f t="shared" si="1"/>
        <v>2</v>
      </c>
      <c r="AM16" s="7">
        <f t="shared" si="2"/>
        <v>2</v>
      </c>
      <c r="AN16" s="4">
        <f t="shared" si="3"/>
        <v>0.82608695652173914</v>
      </c>
    </row>
    <row r="17" spans="1:40" x14ac:dyDescent="0.35">
      <c r="A17" s="2">
        <v>10</v>
      </c>
      <c r="B17" s="3"/>
      <c r="C17" s="3"/>
      <c r="D17" s="3"/>
      <c r="E17" s="3"/>
      <c r="F17" s="7"/>
      <c r="G17" s="7" t="s">
        <v>10</v>
      </c>
      <c r="H17" s="7"/>
      <c r="I17" s="7" t="s">
        <v>12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/>
      <c r="P17" s="7" t="s">
        <v>11</v>
      </c>
      <c r="Q17" s="7" t="s">
        <v>10</v>
      </c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11</v>
      </c>
      <c r="X17" s="7" t="s">
        <v>10</v>
      </c>
      <c r="Y17" s="7" t="s">
        <v>11</v>
      </c>
      <c r="Z17" s="7" t="s">
        <v>10</v>
      </c>
      <c r="AA17" s="7" t="s">
        <v>10</v>
      </c>
      <c r="AB17" s="7" t="s">
        <v>10</v>
      </c>
      <c r="AC17" s="7"/>
      <c r="AD17" s="7" t="s">
        <v>10</v>
      </c>
      <c r="AE17" s="7" t="s">
        <v>10</v>
      </c>
      <c r="AF17" s="7" t="s">
        <v>10</v>
      </c>
      <c r="AG17" s="7" t="s">
        <v>10</v>
      </c>
      <c r="AH17" s="7"/>
      <c r="AI17" s="7" t="s">
        <v>10</v>
      </c>
      <c r="AJ17" s="7">
        <v>23</v>
      </c>
      <c r="AK17" s="7">
        <f t="shared" si="0"/>
        <v>19</v>
      </c>
      <c r="AL17" s="7">
        <f t="shared" si="1"/>
        <v>1</v>
      </c>
      <c r="AM17" s="7">
        <f t="shared" si="2"/>
        <v>3</v>
      </c>
      <c r="AN17" s="4">
        <f t="shared" si="3"/>
        <v>0.82608695652173914</v>
      </c>
    </row>
    <row r="18" spans="1:40" x14ac:dyDescent="0.35">
      <c r="A18" s="2">
        <v>11</v>
      </c>
      <c r="B18" s="3"/>
      <c r="C18" s="3"/>
      <c r="D18" s="3"/>
      <c r="E18" s="3"/>
      <c r="F18" s="7"/>
      <c r="G18" s="7" t="s">
        <v>10</v>
      </c>
      <c r="H18" s="7"/>
      <c r="I18" s="7" t="s">
        <v>10</v>
      </c>
      <c r="J18" s="7" t="s">
        <v>11</v>
      </c>
      <c r="K18" s="7" t="s">
        <v>10</v>
      </c>
      <c r="L18" s="7"/>
      <c r="M18" s="7" t="s">
        <v>10</v>
      </c>
      <c r="N18" s="7" t="s">
        <v>10</v>
      </c>
      <c r="O18" s="7"/>
      <c r="P18" s="7" t="s">
        <v>10</v>
      </c>
      <c r="Q18" s="7" t="s">
        <v>10</v>
      </c>
      <c r="R18" s="7" t="s">
        <v>11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 t="s">
        <v>10</v>
      </c>
      <c r="AB18" s="7" t="s">
        <v>10</v>
      </c>
      <c r="AC18" s="7"/>
      <c r="AD18" s="7" t="s">
        <v>10</v>
      </c>
      <c r="AE18" s="7" t="s">
        <v>10</v>
      </c>
      <c r="AF18" s="7" t="s">
        <v>10</v>
      </c>
      <c r="AG18" s="7" t="s">
        <v>10</v>
      </c>
      <c r="AH18" s="7"/>
      <c r="AI18" s="7" t="s">
        <v>10</v>
      </c>
      <c r="AJ18" s="7">
        <v>23</v>
      </c>
      <c r="AK18" s="7">
        <f t="shared" si="0"/>
        <v>21</v>
      </c>
      <c r="AL18" s="7">
        <f t="shared" si="1"/>
        <v>0</v>
      </c>
      <c r="AM18" s="7">
        <f t="shared" si="2"/>
        <v>2</v>
      </c>
      <c r="AN18" s="4">
        <f t="shared" si="3"/>
        <v>0.91304347826086951</v>
      </c>
    </row>
    <row r="19" spans="1:40" x14ac:dyDescent="0.35">
      <c r="A19" s="2">
        <v>13</v>
      </c>
      <c r="B19" s="3"/>
      <c r="C19" s="3"/>
      <c r="D19" s="3"/>
      <c r="E19" s="3"/>
      <c r="F19" s="7"/>
      <c r="G19" s="7" t="s">
        <v>10</v>
      </c>
      <c r="H19" s="7"/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/>
      <c r="P19" s="7" t="s">
        <v>10</v>
      </c>
      <c r="Q19" s="7" t="s">
        <v>10</v>
      </c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 t="s">
        <v>10</v>
      </c>
      <c r="AB19" s="7" t="s">
        <v>10</v>
      </c>
      <c r="AC19" s="7"/>
      <c r="AD19" s="7" t="s">
        <v>10</v>
      </c>
      <c r="AE19" s="7" t="s">
        <v>10</v>
      </c>
      <c r="AF19" s="7" t="s">
        <v>10</v>
      </c>
      <c r="AG19" s="7" t="s">
        <v>10</v>
      </c>
      <c r="AH19" s="7"/>
      <c r="AI19" s="7" t="s">
        <v>10</v>
      </c>
      <c r="AJ19" s="7">
        <v>23</v>
      </c>
      <c r="AK19" s="7">
        <f t="shared" si="0"/>
        <v>23</v>
      </c>
      <c r="AL19" s="7">
        <f t="shared" si="1"/>
        <v>0</v>
      </c>
      <c r="AM19" s="7">
        <f t="shared" si="2"/>
        <v>0</v>
      </c>
      <c r="AN19" s="4">
        <f t="shared" si="3"/>
        <v>1</v>
      </c>
    </row>
    <row r="20" spans="1:40" x14ac:dyDescent="0.35">
      <c r="A20" s="2">
        <v>14</v>
      </c>
      <c r="B20" s="3"/>
      <c r="C20" s="3"/>
      <c r="D20" s="3"/>
      <c r="E20" s="3"/>
      <c r="F20" s="7"/>
      <c r="G20" s="7" t="s">
        <v>10</v>
      </c>
      <c r="H20" s="7"/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/>
      <c r="P20" s="7" t="s">
        <v>11</v>
      </c>
      <c r="Q20" s="7" t="s">
        <v>10</v>
      </c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 t="s">
        <v>10</v>
      </c>
      <c r="AB20" s="7" t="s">
        <v>10</v>
      </c>
      <c r="AC20" s="7"/>
      <c r="AD20" s="7" t="s">
        <v>10</v>
      </c>
      <c r="AE20" s="7" t="s">
        <v>10</v>
      </c>
      <c r="AF20" s="7" t="s">
        <v>10</v>
      </c>
      <c r="AG20" s="7" t="s">
        <v>10</v>
      </c>
      <c r="AH20" s="7"/>
      <c r="AI20" s="7" t="s">
        <v>11</v>
      </c>
      <c r="AJ20" s="7">
        <v>23</v>
      </c>
      <c r="AK20" s="7">
        <f t="shared" si="0"/>
        <v>21</v>
      </c>
      <c r="AL20" s="7">
        <f t="shared" si="1"/>
        <v>0</v>
      </c>
      <c r="AM20" s="7">
        <f t="shared" si="2"/>
        <v>2</v>
      </c>
      <c r="AN20" s="4">
        <f t="shared" si="3"/>
        <v>0.91304347826086951</v>
      </c>
    </row>
    <row r="21" spans="1:40" x14ac:dyDescent="0.35">
      <c r="A21" s="2">
        <v>15</v>
      </c>
      <c r="B21" s="3"/>
      <c r="C21" s="3"/>
      <c r="D21" s="3"/>
      <c r="E21" s="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4"/>
    </row>
    <row r="22" spans="1:40" x14ac:dyDescent="0.35">
      <c r="A22" s="2">
        <v>16</v>
      </c>
      <c r="B22" s="3"/>
      <c r="C22" s="3"/>
      <c r="D22" s="3"/>
      <c r="E22" s="3"/>
      <c r="F22" s="7"/>
      <c r="G22" s="7" t="s">
        <v>10</v>
      </c>
      <c r="H22" s="7"/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/>
      <c r="P22" s="7" t="s">
        <v>10</v>
      </c>
      <c r="Q22" s="7" t="s">
        <v>10</v>
      </c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 t="s">
        <v>10</v>
      </c>
      <c r="AB22" s="7" t="s">
        <v>10</v>
      </c>
      <c r="AC22" s="7"/>
      <c r="AD22" s="7" t="s">
        <v>10</v>
      </c>
      <c r="AE22" s="7" t="s">
        <v>10</v>
      </c>
      <c r="AF22" s="7" t="s">
        <v>10</v>
      </c>
      <c r="AG22" s="7" t="s">
        <v>11</v>
      </c>
      <c r="AH22" s="7"/>
      <c r="AI22" s="7" t="s">
        <v>10</v>
      </c>
      <c r="AJ22" s="7">
        <v>23</v>
      </c>
      <c r="AK22" s="7">
        <f t="shared" si="0"/>
        <v>22</v>
      </c>
      <c r="AL22" s="7">
        <f t="shared" si="1"/>
        <v>0</v>
      </c>
      <c r="AM22" s="7">
        <f t="shared" si="2"/>
        <v>1</v>
      </c>
      <c r="AN22" s="4">
        <f t="shared" si="3"/>
        <v>0.95652173913043481</v>
      </c>
    </row>
    <row r="23" spans="1:40" x14ac:dyDescent="0.35">
      <c r="A23" s="2">
        <v>17</v>
      </c>
      <c r="B23" s="3"/>
      <c r="C23" s="3"/>
      <c r="D23" s="3"/>
      <c r="E23" s="3"/>
      <c r="F23" s="7"/>
      <c r="G23" s="7" t="s">
        <v>10</v>
      </c>
      <c r="H23" s="7"/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/>
      <c r="P23" s="7" t="s">
        <v>10</v>
      </c>
      <c r="Q23" s="7" t="s">
        <v>10</v>
      </c>
      <c r="R23" s="7" t="s">
        <v>11</v>
      </c>
      <c r="S23" s="7" t="s">
        <v>11</v>
      </c>
      <c r="T23" s="7" t="s">
        <v>11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 t="s">
        <v>10</v>
      </c>
      <c r="AB23" s="7" t="s">
        <v>10</v>
      </c>
      <c r="AC23" s="7"/>
      <c r="AD23" s="7" t="s">
        <v>10</v>
      </c>
      <c r="AE23" s="7" t="s">
        <v>10</v>
      </c>
      <c r="AF23" s="7" t="s">
        <v>10</v>
      </c>
      <c r="AG23" s="7" t="s">
        <v>10</v>
      </c>
      <c r="AH23" s="7"/>
      <c r="AI23" s="7" t="s">
        <v>10</v>
      </c>
      <c r="AJ23" s="7">
        <v>23</v>
      </c>
      <c r="AK23" s="7">
        <f t="shared" si="0"/>
        <v>20</v>
      </c>
      <c r="AL23" s="7">
        <f t="shared" si="1"/>
        <v>0</v>
      </c>
      <c r="AM23" s="7">
        <f t="shared" si="2"/>
        <v>3</v>
      </c>
      <c r="AN23" s="4">
        <f t="shared" si="3"/>
        <v>0.86956521739130432</v>
      </c>
    </row>
    <row r="24" spans="1:40" x14ac:dyDescent="0.35">
      <c r="A24" s="2">
        <v>18</v>
      </c>
      <c r="B24" s="3"/>
      <c r="C24" s="3"/>
      <c r="D24" s="3"/>
      <c r="E24" s="3"/>
      <c r="F24" s="7"/>
      <c r="G24" s="7" t="s">
        <v>10</v>
      </c>
      <c r="H24" s="7"/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/>
      <c r="P24" s="7" t="s">
        <v>10</v>
      </c>
      <c r="Q24" s="7" t="s">
        <v>10</v>
      </c>
      <c r="R24" s="7" t="s">
        <v>10</v>
      </c>
      <c r="S24" s="7" t="s">
        <v>11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 t="s">
        <v>10</v>
      </c>
      <c r="AB24" s="7" t="s">
        <v>11</v>
      </c>
      <c r="AC24" s="7"/>
      <c r="AD24" s="7" t="s">
        <v>10</v>
      </c>
      <c r="AE24" s="7" t="s">
        <v>10</v>
      </c>
      <c r="AF24" s="7" t="s">
        <v>10</v>
      </c>
      <c r="AG24" s="7" t="s">
        <v>10</v>
      </c>
      <c r="AH24" s="7"/>
      <c r="AI24" s="7" t="s">
        <v>10</v>
      </c>
      <c r="AJ24" s="7">
        <v>23</v>
      </c>
      <c r="AK24" s="7">
        <f t="shared" si="0"/>
        <v>21</v>
      </c>
      <c r="AL24" s="7">
        <f t="shared" si="1"/>
        <v>0</v>
      </c>
      <c r="AM24" s="7">
        <f t="shared" si="2"/>
        <v>2</v>
      </c>
      <c r="AN24" s="4">
        <f t="shared" si="3"/>
        <v>0.91304347826086951</v>
      </c>
    </row>
    <row r="25" spans="1:40" x14ac:dyDescent="0.35">
      <c r="A25" s="2"/>
      <c r="B25" s="3"/>
      <c r="C25" s="3"/>
      <c r="D25" s="3"/>
      <c r="E25" s="5"/>
      <c r="F25" s="7"/>
      <c r="G25" s="7" t="s">
        <v>10</v>
      </c>
      <c r="H25" s="7"/>
      <c r="I25" s="7" t="s">
        <v>10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/>
      <c r="P25" s="7" t="s">
        <v>10</v>
      </c>
      <c r="Q25" s="7" t="s">
        <v>10</v>
      </c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 t="s">
        <v>11</v>
      </c>
      <c r="AB25" s="7" t="s">
        <v>10</v>
      </c>
      <c r="AC25" s="7"/>
      <c r="AD25" s="7" t="s">
        <v>10</v>
      </c>
      <c r="AE25" s="7" t="s">
        <v>10</v>
      </c>
      <c r="AF25" s="7" t="s">
        <v>10</v>
      </c>
      <c r="AG25" s="7" t="s">
        <v>10</v>
      </c>
      <c r="AH25" s="7"/>
      <c r="AI25" s="7" t="s">
        <v>10</v>
      </c>
      <c r="AJ25" s="7">
        <v>23</v>
      </c>
      <c r="AK25" s="7">
        <f t="shared" si="0"/>
        <v>22</v>
      </c>
      <c r="AL25" s="7">
        <f t="shared" si="1"/>
        <v>0</v>
      </c>
      <c r="AM25" s="7">
        <f t="shared" si="2"/>
        <v>1</v>
      </c>
      <c r="AN25" s="4">
        <f t="shared" si="3"/>
        <v>0.95652173913043481</v>
      </c>
    </row>
    <row r="26" spans="1:40" x14ac:dyDescent="0.35">
      <c r="A26" s="2">
        <v>19</v>
      </c>
      <c r="B26" s="3"/>
      <c r="C26" s="3"/>
      <c r="D26" s="3"/>
      <c r="E26" s="5"/>
      <c r="F26" s="7"/>
      <c r="G26" s="7" t="s">
        <v>12</v>
      </c>
      <c r="H26" s="7"/>
      <c r="I26" s="7" t="s">
        <v>10</v>
      </c>
      <c r="J26" s="7" t="s">
        <v>10</v>
      </c>
      <c r="K26" s="7" t="s">
        <v>12</v>
      </c>
      <c r="L26" s="7"/>
      <c r="M26" s="7" t="s">
        <v>12</v>
      </c>
      <c r="N26" s="7" t="s">
        <v>10</v>
      </c>
      <c r="O26" s="7"/>
      <c r="P26" s="7" t="s">
        <v>10</v>
      </c>
      <c r="Q26" s="7" t="s">
        <v>10</v>
      </c>
      <c r="R26" s="7" t="s">
        <v>10</v>
      </c>
      <c r="S26" s="7" t="s">
        <v>12</v>
      </c>
      <c r="T26" s="7" t="s">
        <v>12</v>
      </c>
      <c r="U26" s="7" t="s">
        <v>10</v>
      </c>
      <c r="V26" s="7"/>
      <c r="W26" s="7" t="s">
        <v>10</v>
      </c>
      <c r="X26" s="7" t="s">
        <v>11</v>
      </c>
      <c r="Y26" s="7" t="s">
        <v>10</v>
      </c>
      <c r="Z26" s="7" t="s">
        <v>10</v>
      </c>
      <c r="AA26" s="7" t="s">
        <v>10</v>
      </c>
      <c r="AB26" s="7" t="s">
        <v>12</v>
      </c>
      <c r="AC26" s="7"/>
      <c r="AD26" s="7" t="s">
        <v>10</v>
      </c>
      <c r="AE26" s="7" t="s">
        <v>10</v>
      </c>
      <c r="AF26" s="7" t="s">
        <v>10</v>
      </c>
      <c r="AG26" s="7" t="s">
        <v>10</v>
      </c>
      <c r="AH26" s="7"/>
      <c r="AI26" s="7" t="s">
        <v>10</v>
      </c>
      <c r="AJ26" s="7">
        <v>23</v>
      </c>
      <c r="AK26" s="7">
        <f t="shared" si="0"/>
        <v>16</v>
      </c>
      <c r="AL26" s="7">
        <f>COUNTIF(F26:AI26,"A")</f>
        <v>6</v>
      </c>
      <c r="AM26" s="7">
        <f t="shared" si="2"/>
        <v>1</v>
      </c>
      <c r="AN26" s="4">
        <f t="shared" si="3"/>
        <v>0.69565217391304346</v>
      </c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26" xr:uid="{E41EC70E-6618-4618-A956-A2DC04FF2307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4F6E-6624-4D07-A3D1-0D5782CA5343}">
  <dimension ref="A3:AN26"/>
  <sheetViews>
    <sheetView workbookViewId="0">
      <selection activeCell="E13" sqref="E13"/>
    </sheetView>
  </sheetViews>
  <sheetFormatPr defaultRowHeight="14.5" x14ac:dyDescent="0.35"/>
  <cols>
    <col min="1" max="1" width="6.90625" style="6" customWidth="1"/>
    <col min="2" max="2" width="19.26953125" style="6" bestFit="1" customWidth="1"/>
    <col min="3" max="3" width="9.1796875" style="6" customWidth="1"/>
    <col min="4" max="4" width="11.26953125" style="6" customWidth="1"/>
    <col min="5" max="5" width="11.1796875" style="6" customWidth="1"/>
    <col min="6" max="35" width="4.7265625" style="6" customWidth="1"/>
    <col min="36" max="36" width="15.90625" style="6" bestFit="1" customWidth="1"/>
    <col min="37" max="37" width="14.1796875" style="6" bestFit="1" customWidth="1"/>
    <col min="38" max="38" width="14.7265625" style="6" bestFit="1" customWidth="1"/>
    <col min="39" max="39" width="10.1796875" style="6" bestFit="1" customWidth="1"/>
    <col min="40" max="40" width="10.6328125" style="6" bestFit="1" customWidth="1"/>
  </cols>
  <sheetData>
    <row r="3" spans="1:40" x14ac:dyDescent="0.35">
      <c r="A3" s="9" t="s">
        <v>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x14ac:dyDescent="0.35">
      <c r="A4" s="9" t="s">
        <v>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x14ac:dyDescent="0.3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x14ac:dyDescent="0.35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ht="38.5" customHeight="1" x14ac:dyDescent="0.35">
      <c r="A7" s="1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>
        <v>1</v>
      </c>
      <c r="G7" s="8">
        <v>2</v>
      </c>
      <c r="H7" s="8">
        <v>3</v>
      </c>
      <c r="I7" s="8">
        <v>4</v>
      </c>
      <c r="J7" s="8">
        <v>5</v>
      </c>
      <c r="K7" s="8">
        <v>6</v>
      </c>
      <c r="L7" s="8">
        <v>7</v>
      </c>
      <c r="M7" s="8">
        <v>8</v>
      </c>
      <c r="N7" s="8">
        <v>9</v>
      </c>
      <c r="O7" s="8">
        <v>10</v>
      </c>
      <c r="P7" s="8">
        <v>11</v>
      </c>
      <c r="Q7" s="8">
        <v>12</v>
      </c>
      <c r="R7" s="8">
        <v>13</v>
      </c>
      <c r="S7" s="8">
        <v>14</v>
      </c>
      <c r="T7" s="8">
        <v>15</v>
      </c>
      <c r="U7" s="8">
        <v>16</v>
      </c>
      <c r="V7" s="8">
        <v>17</v>
      </c>
      <c r="W7" s="8">
        <v>18</v>
      </c>
      <c r="X7" s="8">
        <v>19</v>
      </c>
      <c r="Y7" s="8">
        <v>20</v>
      </c>
      <c r="Z7" s="8">
        <v>21</v>
      </c>
      <c r="AA7" s="8">
        <v>22</v>
      </c>
      <c r="AB7" s="8">
        <v>23</v>
      </c>
      <c r="AC7" s="8">
        <v>24</v>
      </c>
      <c r="AD7" s="8">
        <v>25</v>
      </c>
      <c r="AE7" s="8">
        <v>26</v>
      </c>
      <c r="AF7" s="8">
        <v>27</v>
      </c>
      <c r="AG7" s="8">
        <v>28</v>
      </c>
      <c r="AH7" s="8">
        <v>29</v>
      </c>
      <c r="AI7" s="8">
        <v>30</v>
      </c>
      <c r="AJ7" s="8" t="s">
        <v>5</v>
      </c>
      <c r="AK7" s="8" t="s">
        <v>6</v>
      </c>
      <c r="AL7" s="8" t="s">
        <v>7</v>
      </c>
      <c r="AM7" s="8" t="s">
        <v>8</v>
      </c>
      <c r="AN7" s="8" t="s">
        <v>9</v>
      </c>
    </row>
    <row r="8" spans="1:40" ht="26.5" customHeight="1" x14ac:dyDescent="0.35">
      <c r="A8" s="2">
        <v>1</v>
      </c>
      <c r="B8" s="3" t="s">
        <v>17</v>
      </c>
      <c r="C8" s="11" t="s">
        <v>19</v>
      </c>
      <c r="D8" s="11" t="s">
        <v>18</v>
      </c>
      <c r="E8" s="11" t="s">
        <v>20</v>
      </c>
      <c r="F8" s="7"/>
      <c r="G8" s="7" t="s">
        <v>10</v>
      </c>
      <c r="H8" s="7"/>
      <c r="I8" s="7" t="s">
        <v>10</v>
      </c>
      <c r="J8" s="7" t="s">
        <v>10</v>
      </c>
      <c r="K8" s="7" t="s">
        <v>10</v>
      </c>
      <c r="L8" s="7"/>
      <c r="M8" s="7" t="s">
        <v>10</v>
      </c>
      <c r="N8" s="7" t="s">
        <v>10</v>
      </c>
      <c r="O8" s="7"/>
      <c r="P8" s="7" t="s">
        <v>10</v>
      </c>
      <c r="Q8" s="7" t="s">
        <v>10</v>
      </c>
      <c r="R8" s="7" t="s">
        <v>10</v>
      </c>
      <c r="S8" s="7" t="s">
        <v>10</v>
      </c>
      <c r="T8" s="7" t="s">
        <v>10</v>
      </c>
      <c r="U8" s="7" t="s">
        <v>10</v>
      </c>
      <c r="V8" s="7"/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/>
      <c r="AD8" s="7" t="s">
        <v>10</v>
      </c>
      <c r="AE8" s="7" t="s">
        <v>10</v>
      </c>
      <c r="AF8" s="7" t="s">
        <v>10</v>
      </c>
      <c r="AG8" s="7" t="s">
        <v>10</v>
      </c>
      <c r="AH8" s="7"/>
      <c r="AI8" s="7" t="s">
        <v>10</v>
      </c>
      <c r="AJ8" s="7">
        <v>23</v>
      </c>
      <c r="AK8" s="7">
        <f t="shared" ref="AK8:AK26" si="0">COUNTIF(F8:AI8,"P")</f>
        <v>23</v>
      </c>
      <c r="AL8" s="7">
        <f t="shared" ref="AL8:AL25" si="1">COUNTIF(F8:AI8,"A")</f>
        <v>0</v>
      </c>
      <c r="AM8" s="7">
        <f t="shared" ref="AM8:AM26" si="2">COUNTIF(F8:AI8,"L")</f>
        <v>0</v>
      </c>
      <c r="AN8" s="4">
        <f>AK8/AJ8</f>
        <v>1</v>
      </c>
    </row>
    <row r="9" spans="1:40" x14ac:dyDescent="0.35">
      <c r="A9" s="2">
        <v>2</v>
      </c>
      <c r="B9" s="3"/>
      <c r="C9" s="3"/>
      <c r="D9" s="3"/>
      <c r="E9" s="3"/>
      <c r="F9" s="7"/>
      <c r="G9" s="7" t="s">
        <v>10</v>
      </c>
      <c r="H9" s="7"/>
      <c r="I9" s="7" t="s">
        <v>10</v>
      </c>
      <c r="J9" s="7" t="s">
        <v>10</v>
      </c>
      <c r="K9" s="7" t="s">
        <v>10</v>
      </c>
      <c r="L9" s="7"/>
      <c r="M9" s="7" t="s">
        <v>10</v>
      </c>
      <c r="N9" s="7" t="s">
        <v>10</v>
      </c>
      <c r="O9" s="7"/>
      <c r="P9" s="7" t="s">
        <v>10</v>
      </c>
      <c r="Q9" s="7" t="s">
        <v>10</v>
      </c>
      <c r="R9" s="7" t="s">
        <v>10</v>
      </c>
      <c r="S9" s="7" t="s">
        <v>10</v>
      </c>
      <c r="T9" s="7" t="s">
        <v>10</v>
      </c>
      <c r="U9" s="7" t="s">
        <v>10</v>
      </c>
      <c r="V9" s="7"/>
      <c r="W9" s="7" t="s">
        <v>10</v>
      </c>
      <c r="X9" s="7" t="s">
        <v>10</v>
      </c>
      <c r="Y9" s="7" t="s">
        <v>10</v>
      </c>
      <c r="Z9" s="7" t="s">
        <v>10</v>
      </c>
      <c r="AA9" s="7" t="s">
        <v>10</v>
      </c>
      <c r="AB9" s="7" t="s">
        <v>10</v>
      </c>
      <c r="AC9" s="7"/>
      <c r="AD9" s="7" t="s">
        <v>10</v>
      </c>
      <c r="AE9" s="7" t="s">
        <v>10</v>
      </c>
      <c r="AF9" s="7" t="s">
        <v>10</v>
      </c>
      <c r="AG9" s="7" t="s">
        <v>10</v>
      </c>
      <c r="AH9" s="7"/>
      <c r="AI9" s="7" t="s">
        <v>10</v>
      </c>
      <c r="AJ9" s="7">
        <v>23</v>
      </c>
      <c r="AK9" s="7">
        <f t="shared" si="0"/>
        <v>23</v>
      </c>
      <c r="AL9" s="7">
        <f t="shared" si="1"/>
        <v>0</v>
      </c>
      <c r="AM9" s="7">
        <f t="shared" si="2"/>
        <v>0</v>
      </c>
      <c r="AN9" s="4">
        <f t="shared" ref="AN9:AN26" si="3">AK9/AJ9</f>
        <v>1</v>
      </c>
    </row>
    <row r="10" spans="1:40" x14ac:dyDescent="0.35">
      <c r="A10" s="2">
        <v>3</v>
      </c>
      <c r="B10" s="3"/>
      <c r="C10" s="3"/>
      <c r="D10" s="3"/>
      <c r="E10" s="3"/>
      <c r="F10" s="7"/>
      <c r="G10" s="7" t="s">
        <v>10</v>
      </c>
      <c r="H10" s="7"/>
      <c r="I10" s="7" t="s">
        <v>10</v>
      </c>
      <c r="J10" s="7" t="s">
        <v>10</v>
      </c>
      <c r="K10" s="7" t="s">
        <v>10</v>
      </c>
      <c r="L10" s="7"/>
      <c r="M10" s="7" t="s">
        <v>10</v>
      </c>
      <c r="N10" s="7" t="s">
        <v>10</v>
      </c>
      <c r="O10" s="7"/>
      <c r="P10" s="7" t="s">
        <v>11</v>
      </c>
      <c r="Q10" s="7" t="s">
        <v>10</v>
      </c>
      <c r="R10" s="7" t="s">
        <v>10</v>
      </c>
      <c r="S10" s="7" t="s">
        <v>10</v>
      </c>
      <c r="T10" s="7" t="s">
        <v>10</v>
      </c>
      <c r="U10" s="7" t="s">
        <v>11</v>
      </c>
      <c r="V10" s="7"/>
      <c r="W10" s="7" t="s">
        <v>11</v>
      </c>
      <c r="X10" s="7" t="s">
        <v>10</v>
      </c>
      <c r="Y10" s="7" t="s">
        <v>10</v>
      </c>
      <c r="Z10" s="7" t="s">
        <v>10</v>
      </c>
      <c r="AA10" s="7" t="s">
        <v>10</v>
      </c>
      <c r="AB10" s="7" t="s">
        <v>10</v>
      </c>
      <c r="AC10" s="7"/>
      <c r="AD10" s="7" t="s">
        <v>10</v>
      </c>
      <c r="AE10" s="7" t="s">
        <v>10</v>
      </c>
      <c r="AF10" s="7" t="s">
        <v>10</v>
      </c>
      <c r="AG10" s="7" t="s">
        <v>10</v>
      </c>
      <c r="AH10" s="7"/>
      <c r="AI10" s="7" t="s">
        <v>10</v>
      </c>
      <c r="AJ10" s="7">
        <v>23</v>
      </c>
      <c r="AK10" s="7">
        <f t="shared" si="0"/>
        <v>20</v>
      </c>
      <c r="AL10" s="7">
        <f t="shared" si="1"/>
        <v>0</v>
      </c>
      <c r="AM10" s="7">
        <f t="shared" si="2"/>
        <v>3</v>
      </c>
      <c r="AN10" s="4">
        <f>AK10/AJ10</f>
        <v>0.86956521739130432</v>
      </c>
    </row>
    <row r="11" spans="1:40" x14ac:dyDescent="0.35">
      <c r="A11" s="2">
        <v>4</v>
      </c>
      <c r="B11" s="3"/>
      <c r="C11" s="3"/>
      <c r="D11" s="3"/>
      <c r="E11" s="3"/>
      <c r="F11" s="7"/>
      <c r="G11" s="7" t="s">
        <v>10</v>
      </c>
      <c r="H11" s="7"/>
      <c r="I11" s="7" t="s">
        <v>10</v>
      </c>
      <c r="J11" s="7" t="s">
        <v>10</v>
      </c>
      <c r="K11" s="7" t="s">
        <v>10</v>
      </c>
      <c r="L11" s="7"/>
      <c r="M11" s="7" t="s">
        <v>10</v>
      </c>
      <c r="N11" s="7" t="s">
        <v>10</v>
      </c>
      <c r="O11" s="7"/>
      <c r="P11" s="7" t="s">
        <v>10</v>
      </c>
      <c r="Q11" s="7" t="s">
        <v>10</v>
      </c>
      <c r="R11" s="7" t="s">
        <v>10</v>
      </c>
      <c r="S11" s="7" t="s">
        <v>10</v>
      </c>
      <c r="T11" s="7" t="s">
        <v>10</v>
      </c>
      <c r="U11" s="7" t="s">
        <v>10</v>
      </c>
      <c r="V11" s="7"/>
      <c r="W11" s="7" t="s">
        <v>10</v>
      </c>
      <c r="X11" s="7" t="s">
        <v>10</v>
      </c>
      <c r="Y11" s="7" t="s">
        <v>10</v>
      </c>
      <c r="Z11" s="7" t="s">
        <v>10</v>
      </c>
      <c r="AA11" s="7" t="s">
        <v>10</v>
      </c>
      <c r="AB11" s="7" t="s">
        <v>10</v>
      </c>
      <c r="AC11" s="7"/>
      <c r="AD11" s="7" t="s">
        <v>10</v>
      </c>
      <c r="AE11" s="7" t="s">
        <v>10</v>
      </c>
      <c r="AF11" s="7" t="s">
        <v>10</v>
      </c>
      <c r="AG11" s="7" t="s">
        <v>10</v>
      </c>
      <c r="AH11" s="7"/>
      <c r="AI11" s="7" t="s">
        <v>10</v>
      </c>
      <c r="AJ11" s="7">
        <v>23</v>
      </c>
      <c r="AK11" s="7">
        <f t="shared" si="0"/>
        <v>23</v>
      </c>
      <c r="AL11" s="7">
        <f t="shared" si="1"/>
        <v>0</v>
      </c>
      <c r="AM11" s="7">
        <f t="shared" si="2"/>
        <v>0</v>
      </c>
      <c r="AN11" s="4">
        <f t="shared" si="3"/>
        <v>1</v>
      </c>
    </row>
    <row r="12" spans="1:40" x14ac:dyDescent="0.35">
      <c r="A12" s="2">
        <v>5</v>
      </c>
      <c r="B12" s="3"/>
      <c r="C12" s="3"/>
      <c r="D12" s="3"/>
      <c r="E12" s="3"/>
      <c r="F12" s="7"/>
      <c r="G12" s="7" t="s">
        <v>10</v>
      </c>
      <c r="H12" s="7"/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/>
      <c r="P12" s="7" t="s">
        <v>10</v>
      </c>
      <c r="Q12" s="7" t="s">
        <v>10</v>
      </c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 t="s">
        <v>10</v>
      </c>
      <c r="AB12" s="7" t="s">
        <v>10</v>
      </c>
      <c r="AC12" s="7"/>
      <c r="AD12" s="7" t="s">
        <v>10</v>
      </c>
      <c r="AE12" s="7" t="s">
        <v>10</v>
      </c>
      <c r="AF12" s="7" t="s">
        <v>10</v>
      </c>
      <c r="AG12" s="7" t="s">
        <v>10</v>
      </c>
      <c r="AH12" s="7"/>
      <c r="AI12" s="7" t="s">
        <v>10</v>
      </c>
      <c r="AJ12" s="7">
        <v>23</v>
      </c>
      <c r="AK12" s="7">
        <f t="shared" si="0"/>
        <v>23</v>
      </c>
      <c r="AL12" s="7">
        <f t="shared" si="1"/>
        <v>0</v>
      </c>
      <c r="AM12" s="7">
        <f t="shared" si="2"/>
        <v>0</v>
      </c>
      <c r="AN12" s="4">
        <f t="shared" si="3"/>
        <v>1</v>
      </c>
    </row>
    <row r="13" spans="1:40" x14ac:dyDescent="0.35">
      <c r="A13" s="2">
        <v>6</v>
      </c>
      <c r="B13" s="3"/>
      <c r="C13" s="3"/>
      <c r="D13" s="3"/>
      <c r="E13" s="3"/>
      <c r="F13" s="7"/>
      <c r="G13" s="7" t="s">
        <v>10</v>
      </c>
      <c r="H13" s="7"/>
      <c r="I13" s="7" t="s">
        <v>10</v>
      </c>
      <c r="J13" s="7" t="s">
        <v>10</v>
      </c>
      <c r="K13" s="7" t="s">
        <v>10</v>
      </c>
      <c r="L13" s="7"/>
      <c r="M13" s="7" t="s">
        <v>10</v>
      </c>
      <c r="N13" s="7" t="s">
        <v>10</v>
      </c>
      <c r="O13" s="7"/>
      <c r="P13" s="7" t="s">
        <v>10</v>
      </c>
      <c r="Q13" s="7" t="s">
        <v>11</v>
      </c>
      <c r="R13" s="7" t="s">
        <v>10</v>
      </c>
      <c r="S13" s="7" t="s">
        <v>10</v>
      </c>
      <c r="T13" s="7" t="s">
        <v>10</v>
      </c>
      <c r="U13" s="7" t="s">
        <v>10</v>
      </c>
      <c r="V13" s="7"/>
      <c r="W13" s="7" t="s">
        <v>10</v>
      </c>
      <c r="X13" s="7" t="s">
        <v>10</v>
      </c>
      <c r="Y13" s="7" t="s">
        <v>11</v>
      </c>
      <c r="Z13" s="7" t="s">
        <v>10</v>
      </c>
      <c r="AA13" s="7" t="s">
        <v>10</v>
      </c>
      <c r="AB13" s="7" t="s">
        <v>10</v>
      </c>
      <c r="AC13" s="7"/>
      <c r="AD13" s="7" t="s">
        <v>10</v>
      </c>
      <c r="AE13" s="7" t="s">
        <v>10</v>
      </c>
      <c r="AF13" s="7" t="s">
        <v>10</v>
      </c>
      <c r="AG13" s="7" t="s">
        <v>10</v>
      </c>
      <c r="AH13" s="7"/>
      <c r="AI13" s="7" t="s">
        <v>10</v>
      </c>
      <c r="AJ13" s="7">
        <v>23</v>
      </c>
      <c r="AK13" s="7">
        <f t="shared" si="0"/>
        <v>21</v>
      </c>
      <c r="AL13" s="7">
        <f t="shared" si="1"/>
        <v>0</v>
      </c>
      <c r="AM13" s="7">
        <f t="shared" si="2"/>
        <v>2</v>
      </c>
      <c r="AN13" s="4">
        <f t="shared" si="3"/>
        <v>0.91304347826086951</v>
      </c>
    </row>
    <row r="14" spans="1:40" x14ac:dyDescent="0.35">
      <c r="A14" s="2">
        <v>7</v>
      </c>
      <c r="B14" s="3"/>
      <c r="C14" s="3"/>
      <c r="D14" s="3"/>
      <c r="E14" s="5"/>
      <c r="F14" s="7"/>
      <c r="G14" s="7" t="s">
        <v>10</v>
      </c>
      <c r="H14" s="7"/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/>
      <c r="P14" s="7" t="s">
        <v>10</v>
      </c>
      <c r="Q14" s="7" t="s">
        <v>10</v>
      </c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11</v>
      </c>
      <c r="Y14" s="7" t="s">
        <v>10</v>
      </c>
      <c r="Z14" s="7" t="s">
        <v>10</v>
      </c>
      <c r="AA14" s="7" t="s">
        <v>10</v>
      </c>
      <c r="AB14" s="7" t="s">
        <v>10</v>
      </c>
      <c r="AC14" s="7"/>
      <c r="AD14" s="7" t="s">
        <v>10</v>
      </c>
      <c r="AE14" s="7" t="s">
        <v>10</v>
      </c>
      <c r="AF14" s="7" t="s">
        <v>10</v>
      </c>
      <c r="AG14" s="7" t="s">
        <v>10</v>
      </c>
      <c r="AH14" s="7"/>
      <c r="AI14" s="7" t="s">
        <v>10</v>
      </c>
      <c r="AJ14" s="7">
        <v>23</v>
      </c>
      <c r="AK14" s="7">
        <f t="shared" si="0"/>
        <v>22</v>
      </c>
      <c r="AL14" s="7">
        <f t="shared" si="1"/>
        <v>0</v>
      </c>
      <c r="AM14" s="7">
        <f t="shared" si="2"/>
        <v>1</v>
      </c>
      <c r="AN14" s="4">
        <f t="shared" si="3"/>
        <v>0.95652173913043481</v>
      </c>
    </row>
    <row r="15" spans="1:40" x14ac:dyDescent="0.35">
      <c r="A15" s="2">
        <v>8</v>
      </c>
      <c r="B15" s="3"/>
      <c r="C15" s="3"/>
      <c r="D15" s="3"/>
      <c r="E15" s="3"/>
      <c r="F15" s="7"/>
      <c r="G15" s="7" t="s">
        <v>10</v>
      </c>
      <c r="H15" s="7"/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/>
      <c r="P15" s="7" t="s">
        <v>10</v>
      </c>
      <c r="Q15" s="7" t="s">
        <v>10</v>
      </c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 t="s">
        <v>10</v>
      </c>
      <c r="AB15" s="7" t="s">
        <v>10</v>
      </c>
      <c r="AC15" s="7"/>
      <c r="AD15" s="7" t="s">
        <v>10</v>
      </c>
      <c r="AE15" s="7" t="s">
        <v>10</v>
      </c>
      <c r="AF15" s="7" t="s">
        <v>10</v>
      </c>
      <c r="AG15" s="7" t="s">
        <v>10</v>
      </c>
      <c r="AH15" s="7"/>
      <c r="AI15" s="7" t="s">
        <v>10</v>
      </c>
      <c r="AJ15" s="7">
        <v>23</v>
      </c>
      <c r="AK15" s="7">
        <f t="shared" si="0"/>
        <v>23</v>
      </c>
      <c r="AL15" s="7">
        <f t="shared" si="1"/>
        <v>0</v>
      </c>
      <c r="AM15" s="7">
        <f t="shared" si="2"/>
        <v>0</v>
      </c>
      <c r="AN15" s="4">
        <f t="shared" si="3"/>
        <v>1</v>
      </c>
    </row>
    <row r="16" spans="1:40" x14ac:dyDescent="0.35">
      <c r="A16" s="2">
        <v>9</v>
      </c>
      <c r="B16" s="3"/>
      <c r="C16" s="3"/>
      <c r="D16" s="3"/>
      <c r="E16" s="3"/>
      <c r="F16" s="7"/>
      <c r="G16" s="7" t="s">
        <v>10</v>
      </c>
      <c r="H16" s="7"/>
      <c r="I16" s="7" t="s">
        <v>10</v>
      </c>
      <c r="J16" s="7" t="s">
        <v>10</v>
      </c>
      <c r="K16" s="7" t="s">
        <v>10</v>
      </c>
      <c r="L16" s="7"/>
      <c r="M16" s="7" t="s">
        <v>10</v>
      </c>
      <c r="N16" s="7" t="s">
        <v>10</v>
      </c>
      <c r="O16" s="7"/>
      <c r="P16" s="7" t="s">
        <v>10</v>
      </c>
      <c r="Q16" s="7" t="s">
        <v>10</v>
      </c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11</v>
      </c>
      <c r="Y16" s="7" t="s">
        <v>11</v>
      </c>
      <c r="Z16" s="7" t="s">
        <v>10</v>
      </c>
      <c r="AA16" s="7" t="s">
        <v>10</v>
      </c>
      <c r="AB16" s="7" t="s">
        <v>10</v>
      </c>
      <c r="AC16" s="7"/>
      <c r="AD16" s="7" t="s">
        <v>10</v>
      </c>
      <c r="AE16" s="7" t="s">
        <v>10</v>
      </c>
      <c r="AF16" s="7" t="s">
        <v>10</v>
      </c>
      <c r="AG16" s="7" t="s">
        <v>10</v>
      </c>
      <c r="AH16" s="7"/>
      <c r="AI16" s="7" t="s">
        <v>10</v>
      </c>
      <c r="AJ16" s="7">
        <v>23</v>
      </c>
      <c r="AK16" s="7">
        <f t="shared" si="0"/>
        <v>21</v>
      </c>
      <c r="AL16" s="7">
        <f t="shared" si="1"/>
        <v>0</v>
      </c>
      <c r="AM16" s="7">
        <f t="shared" si="2"/>
        <v>2</v>
      </c>
      <c r="AN16" s="4">
        <f t="shared" si="3"/>
        <v>0.91304347826086951</v>
      </c>
    </row>
    <row r="17" spans="1:40" x14ac:dyDescent="0.35">
      <c r="A17" s="2">
        <v>10</v>
      </c>
      <c r="B17" s="3"/>
      <c r="C17" s="3"/>
      <c r="D17" s="3"/>
      <c r="E17" s="3"/>
      <c r="F17" s="7"/>
      <c r="G17" s="7" t="s">
        <v>10</v>
      </c>
      <c r="H17" s="7"/>
      <c r="I17" s="7" t="s">
        <v>10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/>
      <c r="P17" s="7" t="s">
        <v>11</v>
      </c>
      <c r="Q17" s="7" t="s">
        <v>10</v>
      </c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11</v>
      </c>
      <c r="X17" s="7" t="s">
        <v>10</v>
      </c>
      <c r="Y17" s="7" t="s">
        <v>11</v>
      </c>
      <c r="Z17" s="7" t="s">
        <v>10</v>
      </c>
      <c r="AA17" s="7" t="s">
        <v>10</v>
      </c>
      <c r="AB17" s="7" t="s">
        <v>10</v>
      </c>
      <c r="AC17" s="7"/>
      <c r="AD17" s="7" t="s">
        <v>10</v>
      </c>
      <c r="AE17" s="7" t="s">
        <v>10</v>
      </c>
      <c r="AF17" s="7" t="s">
        <v>10</v>
      </c>
      <c r="AG17" s="7" t="s">
        <v>10</v>
      </c>
      <c r="AH17" s="7"/>
      <c r="AI17" s="7" t="s">
        <v>10</v>
      </c>
      <c r="AJ17" s="7">
        <v>23</v>
      </c>
      <c r="AK17" s="7">
        <f t="shared" si="0"/>
        <v>20</v>
      </c>
      <c r="AL17" s="7">
        <f t="shared" si="1"/>
        <v>0</v>
      </c>
      <c r="AM17" s="7">
        <f t="shared" si="2"/>
        <v>3</v>
      </c>
      <c r="AN17" s="4">
        <f t="shared" si="3"/>
        <v>0.86956521739130432</v>
      </c>
    </row>
    <row r="18" spans="1:40" x14ac:dyDescent="0.35">
      <c r="A18" s="2">
        <v>11</v>
      </c>
      <c r="B18" s="3"/>
      <c r="C18" s="3"/>
      <c r="D18" s="3"/>
      <c r="E18" s="3"/>
      <c r="F18" s="7"/>
      <c r="G18" s="7" t="s">
        <v>10</v>
      </c>
      <c r="H18" s="7"/>
      <c r="I18" s="7" t="s">
        <v>10</v>
      </c>
      <c r="J18" s="7" t="s">
        <v>11</v>
      </c>
      <c r="K18" s="7" t="s">
        <v>10</v>
      </c>
      <c r="L18" s="7"/>
      <c r="M18" s="7" t="s">
        <v>10</v>
      </c>
      <c r="N18" s="7" t="s">
        <v>10</v>
      </c>
      <c r="O18" s="7"/>
      <c r="P18" s="7" t="s">
        <v>10</v>
      </c>
      <c r="Q18" s="7" t="s">
        <v>10</v>
      </c>
      <c r="R18" s="7" t="s">
        <v>11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 t="s">
        <v>10</v>
      </c>
      <c r="AB18" s="7" t="s">
        <v>10</v>
      </c>
      <c r="AC18" s="7"/>
      <c r="AD18" s="7" t="s">
        <v>10</v>
      </c>
      <c r="AE18" s="7" t="s">
        <v>10</v>
      </c>
      <c r="AF18" s="7" t="s">
        <v>10</v>
      </c>
      <c r="AG18" s="7" t="s">
        <v>10</v>
      </c>
      <c r="AH18" s="7"/>
      <c r="AI18" s="7" t="s">
        <v>10</v>
      </c>
      <c r="AJ18" s="7">
        <v>23</v>
      </c>
      <c r="AK18" s="7">
        <f t="shared" si="0"/>
        <v>21</v>
      </c>
      <c r="AL18" s="7">
        <f t="shared" si="1"/>
        <v>0</v>
      </c>
      <c r="AM18" s="7">
        <f t="shared" si="2"/>
        <v>2</v>
      </c>
      <c r="AN18" s="4">
        <f t="shared" si="3"/>
        <v>0.91304347826086951</v>
      </c>
    </row>
    <row r="19" spans="1:40" x14ac:dyDescent="0.35">
      <c r="A19" s="2">
        <v>13</v>
      </c>
      <c r="B19" s="3"/>
      <c r="C19" s="3"/>
      <c r="D19" s="3"/>
      <c r="E19" s="3"/>
      <c r="F19" s="7"/>
      <c r="G19" s="7" t="s">
        <v>10</v>
      </c>
      <c r="H19" s="7"/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/>
      <c r="P19" s="7" t="s">
        <v>10</v>
      </c>
      <c r="Q19" s="7" t="s">
        <v>10</v>
      </c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 t="s">
        <v>10</v>
      </c>
      <c r="AB19" s="7" t="s">
        <v>10</v>
      </c>
      <c r="AC19" s="7"/>
      <c r="AD19" s="7" t="s">
        <v>10</v>
      </c>
      <c r="AE19" s="7" t="s">
        <v>10</v>
      </c>
      <c r="AF19" s="7" t="s">
        <v>10</v>
      </c>
      <c r="AG19" s="7" t="s">
        <v>10</v>
      </c>
      <c r="AH19" s="7"/>
      <c r="AI19" s="7" t="s">
        <v>10</v>
      </c>
      <c r="AJ19" s="7">
        <v>23</v>
      </c>
      <c r="AK19" s="7">
        <f t="shared" si="0"/>
        <v>23</v>
      </c>
      <c r="AL19" s="7">
        <f t="shared" si="1"/>
        <v>0</v>
      </c>
      <c r="AM19" s="7">
        <f t="shared" si="2"/>
        <v>0</v>
      </c>
      <c r="AN19" s="4">
        <f t="shared" si="3"/>
        <v>1</v>
      </c>
    </row>
    <row r="20" spans="1:40" x14ac:dyDescent="0.35">
      <c r="A20" s="2">
        <v>14</v>
      </c>
      <c r="B20" s="3"/>
      <c r="C20" s="3"/>
      <c r="D20" s="3"/>
      <c r="E20" s="3"/>
      <c r="F20" s="7"/>
      <c r="G20" s="7" t="s">
        <v>10</v>
      </c>
      <c r="H20" s="7"/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/>
      <c r="P20" s="7" t="s">
        <v>11</v>
      </c>
      <c r="Q20" s="7" t="s">
        <v>10</v>
      </c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 t="s">
        <v>10</v>
      </c>
      <c r="AB20" s="7" t="s">
        <v>10</v>
      </c>
      <c r="AC20" s="7"/>
      <c r="AD20" s="7" t="s">
        <v>10</v>
      </c>
      <c r="AE20" s="7" t="s">
        <v>10</v>
      </c>
      <c r="AF20" s="7" t="s">
        <v>10</v>
      </c>
      <c r="AG20" s="7" t="s">
        <v>10</v>
      </c>
      <c r="AH20" s="7"/>
      <c r="AI20" s="7" t="s">
        <v>11</v>
      </c>
      <c r="AJ20" s="7">
        <v>23</v>
      </c>
      <c r="AK20" s="7">
        <f t="shared" si="0"/>
        <v>21</v>
      </c>
      <c r="AL20" s="7">
        <f t="shared" si="1"/>
        <v>0</v>
      </c>
      <c r="AM20" s="7">
        <f t="shared" si="2"/>
        <v>2</v>
      </c>
      <c r="AN20" s="4">
        <f t="shared" si="3"/>
        <v>0.91304347826086951</v>
      </c>
    </row>
    <row r="21" spans="1:40" x14ac:dyDescent="0.35">
      <c r="A21" s="2">
        <v>15</v>
      </c>
      <c r="B21" s="3"/>
      <c r="C21" s="3"/>
      <c r="D21" s="3"/>
      <c r="E21" s="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4"/>
    </row>
    <row r="22" spans="1:40" x14ac:dyDescent="0.35">
      <c r="A22" s="2">
        <v>16</v>
      </c>
      <c r="B22" s="3"/>
      <c r="C22" s="3"/>
      <c r="D22" s="3"/>
      <c r="E22" s="3"/>
      <c r="F22" s="7"/>
      <c r="G22" s="7" t="s">
        <v>10</v>
      </c>
      <c r="H22" s="7"/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/>
      <c r="P22" s="7" t="s">
        <v>10</v>
      </c>
      <c r="Q22" s="7" t="s">
        <v>10</v>
      </c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 t="s">
        <v>10</v>
      </c>
      <c r="AB22" s="7" t="s">
        <v>10</v>
      </c>
      <c r="AC22" s="7"/>
      <c r="AD22" s="7" t="s">
        <v>10</v>
      </c>
      <c r="AE22" s="7" t="s">
        <v>10</v>
      </c>
      <c r="AF22" s="7" t="s">
        <v>10</v>
      </c>
      <c r="AG22" s="7" t="s">
        <v>11</v>
      </c>
      <c r="AH22" s="7"/>
      <c r="AI22" s="7" t="s">
        <v>10</v>
      </c>
      <c r="AJ22" s="7">
        <v>23</v>
      </c>
      <c r="AK22" s="7">
        <f t="shared" si="0"/>
        <v>22</v>
      </c>
      <c r="AL22" s="7">
        <f t="shared" si="1"/>
        <v>0</v>
      </c>
      <c r="AM22" s="7">
        <f t="shared" si="2"/>
        <v>1</v>
      </c>
      <c r="AN22" s="4">
        <f t="shared" si="3"/>
        <v>0.95652173913043481</v>
      </c>
    </row>
    <row r="23" spans="1:40" x14ac:dyDescent="0.35">
      <c r="A23" s="2">
        <v>17</v>
      </c>
      <c r="B23" s="3"/>
      <c r="C23" s="3"/>
      <c r="D23" s="3"/>
      <c r="E23" s="3"/>
      <c r="F23" s="7"/>
      <c r="G23" s="7" t="s">
        <v>10</v>
      </c>
      <c r="H23" s="7"/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/>
      <c r="P23" s="7" t="s">
        <v>10</v>
      </c>
      <c r="Q23" s="7" t="s">
        <v>10</v>
      </c>
      <c r="R23" s="7" t="s">
        <v>11</v>
      </c>
      <c r="S23" s="7" t="s">
        <v>11</v>
      </c>
      <c r="T23" s="7" t="s">
        <v>11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 t="s">
        <v>10</v>
      </c>
      <c r="AB23" s="7" t="s">
        <v>10</v>
      </c>
      <c r="AC23" s="7"/>
      <c r="AD23" s="7" t="s">
        <v>10</v>
      </c>
      <c r="AE23" s="7" t="s">
        <v>10</v>
      </c>
      <c r="AF23" s="7" t="s">
        <v>10</v>
      </c>
      <c r="AG23" s="7" t="s">
        <v>10</v>
      </c>
      <c r="AH23" s="7"/>
      <c r="AI23" s="7" t="s">
        <v>10</v>
      </c>
      <c r="AJ23" s="7">
        <v>23</v>
      </c>
      <c r="AK23" s="7">
        <f t="shared" si="0"/>
        <v>20</v>
      </c>
      <c r="AL23" s="7">
        <f t="shared" si="1"/>
        <v>0</v>
      </c>
      <c r="AM23" s="7">
        <f t="shared" si="2"/>
        <v>3</v>
      </c>
      <c r="AN23" s="4">
        <f t="shared" si="3"/>
        <v>0.86956521739130432</v>
      </c>
    </row>
    <row r="24" spans="1:40" x14ac:dyDescent="0.35">
      <c r="A24" s="2">
        <v>18</v>
      </c>
      <c r="B24" s="3"/>
      <c r="C24" s="3"/>
      <c r="D24" s="3"/>
      <c r="E24" s="3"/>
      <c r="F24" s="7"/>
      <c r="G24" s="7" t="s">
        <v>10</v>
      </c>
      <c r="H24" s="7"/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/>
      <c r="P24" s="7" t="s">
        <v>10</v>
      </c>
      <c r="Q24" s="7" t="s">
        <v>10</v>
      </c>
      <c r="R24" s="7" t="s">
        <v>10</v>
      </c>
      <c r="S24" s="7" t="s">
        <v>11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 t="s">
        <v>10</v>
      </c>
      <c r="AB24" s="7" t="s">
        <v>11</v>
      </c>
      <c r="AC24" s="7"/>
      <c r="AD24" s="7" t="s">
        <v>10</v>
      </c>
      <c r="AE24" s="7" t="s">
        <v>10</v>
      </c>
      <c r="AF24" s="7" t="s">
        <v>10</v>
      </c>
      <c r="AG24" s="7" t="s">
        <v>10</v>
      </c>
      <c r="AH24" s="7"/>
      <c r="AI24" s="7" t="s">
        <v>10</v>
      </c>
      <c r="AJ24" s="7">
        <v>23</v>
      </c>
      <c r="AK24" s="7">
        <f t="shared" si="0"/>
        <v>21</v>
      </c>
      <c r="AL24" s="7">
        <f t="shared" si="1"/>
        <v>0</v>
      </c>
      <c r="AM24" s="7">
        <f t="shared" si="2"/>
        <v>2</v>
      </c>
      <c r="AN24" s="4">
        <f t="shared" si="3"/>
        <v>0.91304347826086951</v>
      </c>
    </row>
    <row r="25" spans="1:40" x14ac:dyDescent="0.35">
      <c r="A25" s="2"/>
      <c r="B25" s="3"/>
      <c r="C25" s="3"/>
      <c r="D25" s="3"/>
      <c r="E25" s="5"/>
      <c r="F25" s="7"/>
      <c r="G25" s="7" t="s">
        <v>10</v>
      </c>
      <c r="H25" s="7"/>
      <c r="I25" s="7" t="s">
        <v>10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/>
      <c r="P25" s="7" t="s">
        <v>10</v>
      </c>
      <c r="Q25" s="7" t="s">
        <v>10</v>
      </c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 t="s">
        <v>11</v>
      </c>
      <c r="AB25" s="7" t="s">
        <v>10</v>
      </c>
      <c r="AC25" s="7"/>
      <c r="AD25" s="7" t="s">
        <v>10</v>
      </c>
      <c r="AE25" s="7" t="s">
        <v>10</v>
      </c>
      <c r="AF25" s="7" t="s">
        <v>10</v>
      </c>
      <c r="AG25" s="7" t="s">
        <v>10</v>
      </c>
      <c r="AH25" s="7"/>
      <c r="AI25" s="7" t="s">
        <v>10</v>
      </c>
      <c r="AJ25" s="7">
        <v>23</v>
      </c>
      <c r="AK25" s="7">
        <f t="shared" si="0"/>
        <v>22</v>
      </c>
      <c r="AL25" s="7">
        <f t="shared" si="1"/>
        <v>0</v>
      </c>
      <c r="AM25" s="7">
        <f t="shared" si="2"/>
        <v>1</v>
      </c>
      <c r="AN25" s="4">
        <f t="shared" si="3"/>
        <v>0.95652173913043481</v>
      </c>
    </row>
    <row r="26" spans="1:40" x14ac:dyDescent="0.35">
      <c r="A26" s="2">
        <v>19</v>
      </c>
      <c r="B26" s="3"/>
      <c r="C26" s="3"/>
      <c r="D26" s="3"/>
      <c r="E26" s="5"/>
      <c r="F26" s="7"/>
      <c r="G26" s="7" t="s">
        <v>12</v>
      </c>
      <c r="H26" s="7"/>
      <c r="I26" s="7" t="s">
        <v>10</v>
      </c>
      <c r="J26" s="7" t="s">
        <v>10</v>
      </c>
      <c r="K26" s="7" t="s">
        <v>12</v>
      </c>
      <c r="L26" s="7"/>
      <c r="M26" s="7" t="s">
        <v>12</v>
      </c>
      <c r="N26" s="7" t="s">
        <v>10</v>
      </c>
      <c r="O26" s="7"/>
      <c r="P26" s="7" t="s">
        <v>10</v>
      </c>
      <c r="Q26" s="7" t="s">
        <v>10</v>
      </c>
      <c r="R26" s="7" t="s">
        <v>10</v>
      </c>
      <c r="S26" s="7" t="s">
        <v>12</v>
      </c>
      <c r="T26" s="7" t="s">
        <v>12</v>
      </c>
      <c r="U26" s="7" t="s">
        <v>10</v>
      </c>
      <c r="V26" s="7"/>
      <c r="W26" s="7" t="s">
        <v>10</v>
      </c>
      <c r="X26" s="7" t="s">
        <v>11</v>
      </c>
      <c r="Y26" s="7" t="s">
        <v>10</v>
      </c>
      <c r="Z26" s="7" t="s">
        <v>10</v>
      </c>
      <c r="AA26" s="7" t="s">
        <v>10</v>
      </c>
      <c r="AB26" s="7" t="s">
        <v>12</v>
      </c>
      <c r="AC26" s="7"/>
      <c r="AD26" s="7" t="s">
        <v>10</v>
      </c>
      <c r="AE26" s="7" t="s">
        <v>10</v>
      </c>
      <c r="AF26" s="7" t="s">
        <v>10</v>
      </c>
      <c r="AG26" s="7" t="s">
        <v>10</v>
      </c>
      <c r="AH26" s="7"/>
      <c r="AI26" s="7" t="s">
        <v>10</v>
      </c>
      <c r="AJ26" s="7">
        <v>23</v>
      </c>
      <c r="AK26" s="7">
        <f t="shared" si="0"/>
        <v>16</v>
      </c>
      <c r="AL26" s="7">
        <f>COUNTIF(F26:AI26,"A")</f>
        <v>6</v>
      </c>
      <c r="AM26" s="7">
        <f t="shared" si="2"/>
        <v>1</v>
      </c>
      <c r="AN26" s="4">
        <f t="shared" si="3"/>
        <v>0.69565217391304346</v>
      </c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26" xr:uid="{F9C64BCF-41F5-4B07-8F31-361ECE4CE86D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092A-0C43-42A0-95CF-EC6EB9E6CEE2}">
  <dimension ref="A3:AN26"/>
  <sheetViews>
    <sheetView workbookViewId="0">
      <selection activeCell="C16" sqref="C16"/>
    </sheetView>
  </sheetViews>
  <sheetFormatPr defaultRowHeight="14.5" x14ac:dyDescent="0.35"/>
  <cols>
    <col min="1" max="1" width="6.90625" style="6" customWidth="1"/>
    <col min="2" max="2" width="19.26953125" style="6" bestFit="1" customWidth="1"/>
    <col min="3" max="3" width="9.1796875" style="6" customWidth="1"/>
    <col min="4" max="4" width="11.26953125" style="6" customWidth="1"/>
    <col min="5" max="5" width="11.1796875" style="6" customWidth="1"/>
    <col min="6" max="35" width="4.7265625" style="6" customWidth="1"/>
    <col min="36" max="36" width="15.90625" style="6" bestFit="1" customWidth="1"/>
    <col min="37" max="37" width="14.1796875" style="6" bestFit="1" customWidth="1"/>
    <col min="38" max="38" width="14.7265625" style="6" bestFit="1" customWidth="1"/>
    <col min="39" max="39" width="10.1796875" style="6" bestFit="1" customWidth="1"/>
    <col min="40" max="40" width="10.6328125" style="6" bestFit="1" customWidth="1"/>
  </cols>
  <sheetData>
    <row r="3" spans="1:40" x14ac:dyDescent="0.35">
      <c r="A3" s="9" t="s">
        <v>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x14ac:dyDescent="0.35">
      <c r="A4" s="9" t="s">
        <v>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x14ac:dyDescent="0.3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x14ac:dyDescent="0.35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ht="38.5" customHeight="1" x14ac:dyDescent="0.35">
      <c r="A7" s="1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>
        <v>1</v>
      </c>
      <c r="G7" s="8">
        <v>2</v>
      </c>
      <c r="H7" s="8">
        <v>3</v>
      </c>
      <c r="I7" s="8">
        <v>4</v>
      </c>
      <c r="J7" s="8">
        <v>5</v>
      </c>
      <c r="K7" s="8">
        <v>6</v>
      </c>
      <c r="L7" s="8">
        <v>7</v>
      </c>
      <c r="M7" s="8">
        <v>8</v>
      </c>
      <c r="N7" s="8">
        <v>9</v>
      </c>
      <c r="O7" s="8">
        <v>10</v>
      </c>
      <c r="P7" s="8">
        <v>11</v>
      </c>
      <c r="Q7" s="8">
        <v>12</v>
      </c>
      <c r="R7" s="8">
        <v>13</v>
      </c>
      <c r="S7" s="8">
        <v>14</v>
      </c>
      <c r="T7" s="8">
        <v>15</v>
      </c>
      <c r="U7" s="8">
        <v>16</v>
      </c>
      <c r="V7" s="8">
        <v>17</v>
      </c>
      <c r="W7" s="8">
        <v>18</v>
      </c>
      <c r="X7" s="8">
        <v>19</v>
      </c>
      <c r="Y7" s="8">
        <v>20</v>
      </c>
      <c r="Z7" s="8">
        <v>21</v>
      </c>
      <c r="AA7" s="8">
        <v>22</v>
      </c>
      <c r="AB7" s="8">
        <v>23</v>
      </c>
      <c r="AC7" s="8">
        <v>24</v>
      </c>
      <c r="AD7" s="8">
        <v>25</v>
      </c>
      <c r="AE7" s="8">
        <v>26</v>
      </c>
      <c r="AF7" s="8">
        <v>27</v>
      </c>
      <c r="AG7" s="8">
        <v>28</v>
      </c>
      <c r="AH7" s="8">
        <v>29</v>
      </c>
      <c r="AI7" s="8">
        <v>30</v>
      </c>
      <c r="AJ7" s="8" t="s">
        <v>5</v>
      </c>
      <c r="AK7" s="8" t="s">
        <v>6</v>
      </c>
      <c r="AL7" s="8" t="s">
        <v>7</v>
      </c>
      <c r="AM7" s="8" t="s">
        <v>8</v>
      </c>
      <c r="AN7" s="8" t="s">
        <v>9</v>
      </c>
    </row>
    <row r="8" spans="1:40" ht="26.5" customHeight="1" x14ac:dyDescent="0.35">
      <c r="A8" s="2">
        <v>1</v>
      </c>
      <c r="B8" s="3" t="s">
        <v>17</v>
      </c>
      <c r="C8" s="11" t="s">
        <v>19</v>
      </c>
      <c r="D8" s="11" t="s">
        <v>18</v>
      </c>
      <c r="E8" s="11" t="s">
        <v>20</v>
      </c>
      <c r="F8" s="7"/>
      <c r="G8" s="7" t="s">
        <v>10</v>
      </c>
      <c r="H8" s="7"/>
      <c r="I8" s="7" t="s">
        <v>10</v>
      </c>
      <c r="J8" s="7" t="s">
        <v>10</v>
      </c>
      <c r="K8" s="7" t="s">
        <v>10</v>
      </c>
      <c r="L8" s="7"/>
      <c r="M8" s="7" t="s">
        <v>10</v>
      </c>
      <c r="N8" s="7" t="s">
        <v>10</v>
      </c>
      <c r="O8" s="7"/>
      <c r="P8" s="7" t="s">
        <v>10</v>
      </c>
      <c r="Q8" s="7" t="s">
        <v>10</v>
      </c>
      <c r="R8" s="7" t="s">
        <v>10</v>
      </c>
      <c r="S8" s="7" t="s">
        <v>10</v>
      </c>
      <c r="T8" s="7" t="s">
        <v>10</v>
      </c>
      <c r="U8" s="7" t="s">
        <v>10</v>
      </c>
      <c r="V8" s="7"/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/>
      <c r="AD8" s="7" t="s">
        <v>10</v>
      </c>
      <c r="AE8" s="7" t="s">
        <v>10</v>
      </c>
      <c r="AF8" s="7" t="s">
        <v>10</v>
      </c>
      <c r="AG8" s="7" t="s">
        <v>10</v>
      </c>
      <c r="AH8" s="7"/>
      <c r="AI8" s="7" t="s">
        <v>10</v>
      </c>
      <c r="AJ8" s="7">
        <v>23</v>
      </c>
      <c r="AK8" s="7">
        <f t="shared" ref="AK8:AK26" si="0">COUNTIF(F8:AI8,"P")</f>
        <v>23</v>
      </c>
      <c r="AL8" s="7">
        <f t="shared" ref="AL8:AL25" si="1">COUNTIF(F8:AI8,"A")</f>
        <v>0</v>
      </c>
      <c r="AM8" s="7">
        <f t="shared" ref="AM8:AM26" si="2">COUNTIF(F8:AI8,"L")</f>
        <v>0</v>
      </c>
      <c r="AN8" s="4">
        <f>AK8/AJ8</f>
        <v>1</v>
      </c>
    </row>
    <row r="9" spans="1:40" x14ac:dyDescent="0.35">
      <c r="A9" s="2">
        <v>2</v>
      </c>
      <c r="B9" s="3"/>
      <c r="C9" s="3"/>
      <c r="D9" s="3"/>
      <c r="E9" s="3"/>
      <c r="F9" s="7"/>
      <c r="G9" s="7" t="s">
        <v>10</v>
      </c>
      <c r="H9" s="7"/>
      <c r="I9" s="7" t="s">
        <v>10</v>
      </c>
      <c r="J9" s="7" t="s">
        <v>10</v>
      </c>
      <c r="K9" s="7" t="s">
        <v>10</v>
      </c>
      <c r="L9" s="7"/>
      <c r="M9" s="7" t="s">
        <v>10</v>
      </c>
      <c r="N9" s="7" t="s">
        <v>10</v>
      </c>
      <c r="O9" s="7"/>
      <c r="P9" s="7" t="s">
        <v>10</v>
      </c>
      <c r="Q9" s="7" t="s">
        <v>10</v>
      </c>
      <c r="R9" s="7" t="s">
        <v>10</v>
      </c>
      <c r="S9" s="7" t="s">
        <v>10</v>
      </c>
      <c r="T9" s="7" t="s">
        <v>10</v>
      </c>
      <c r="U9" s="7" t="s">
        <v>10</v>
      </c>
      <c r="V9" s="7"/>
      <c r="W9" s="7" t="s">
        <v>10</v>
      </c>
      <c r="X9" s="7" t="s">
        <v>10</v>
      </c>
      <c r="Y9" s="7" t="s">
        <v>10</v>
      </c>
      <c r="Z9" s="7" t="s">
        <v>10</v>
      </c>
      <c r="AA9" s="7" t="s">
        <v>10</v>
      </c>
      <c r="AB9" s="7" t="s">
        <v>10</v>
      </c>
      <c r="AC9" s="7"/>
      <c r="AD9" s="7" t="s">
        <v>10</v>
      </c>
      <c r="AE9" s="7" t="s">
        <v>10</v>
      </c>
      <c r="AF9" s="7" t="s">
        <v>10</v>
      </c>
      <c r="AG9" s="7" t="s">
        <v>10</v>
      </c>
      <c r="AH9" s="7"/>
      <c r="AI9" s="7" t="s">
        <v>10</v>
      </c>
      <c r="AJ9" s="7">
        <v>23</v>
      </c>
      <c r="AK9" s="7">
        <f t="shared" si="0"/>
        <v>23</v>
      </c>
      <c r="AL9" s="7">
        <f t="shared" si="1"/>
        <v>0</v>
      </c>
      <c r="AM9" s="7">
        <f t="shared" si="2"/>
        <v>0</v>
      </c>
      <c r="AN9" s="4">
        <f t="shared" ref="AN9:AN26" si="3">AK9/AJ9</f>
        <v>1</v>
      </c>
    </row>
    <row r="10" spans="1:40" x14ac:dyDescent="0.35">
      <c r="A10" s="2">
        <v>3</v>
      </c>
      <c r="B10" s="3"/>
      <c r="C10" s="3"/>
      <c r="D10" s="3"/>
      <c r="E10" s="3"/>
      <c r="F10" s="7"/>
      <c r="G10" s="7" t="s">
        <v>10</v>
      </c>
      <c r="H10" s="7"/>
      <c r="I10" s="7" t="s">
        <v>10</v>
      </c>
      <c r="J10" s="7" t="s">
        <v>10</v>
      </c>
      <c r="K10" s="7" t="s">
        <v>10</v>
      </c>
      <c r="L10" s="7"/>
      <c r="M10" s="7" t="s">
        <v>10</v>
      </c>
      <c r="N10" s="7" t="s">
        <v>10</v>
      </c>
      <c r="O10" s="7"/>
      <c r="P10" s="7" t="s">
        <v>11</v>
      </c>
      <c r="Q10" s="7" t="s">
        <v>10</v>
      </c>
      <c r="R10" s="7" t="s">
        <v>10</v>
      </c>
      <c r="S10" s="7" t="s">
        <v>10</v>
      </c>
      <c r="T10" s="7" t="s">
        <v>10</v>
      </c>
      <c r="U10" s="7" t="s">
        <v>11</v>
      </c>
      <c r="V10" s="7"/>
      <c r="W10" s="7" t="s">
        <v>11</v>
      </c>
      <c r="X10" s="7" t="s">
        <v>10</v>
      </c>
      <c r="Y10" s="7" t="s">
        <v>10</v>
      </c>
      <c r="Z10" s="7" t="s">
        <v>10</v>
      </c>
      <c r="AA10" s="7" t="s">
        <v>10</v>
      </c>
      <c r="AB10" s="7" t="s">
        <v>10</v>
      </c>
      <c r="AC10" s="7"/>
      <c r="AD10" s="7" t="s">
        <v>10</v>
      </c>
      <c r="AE10" s="7" t="s">
        <v>10</v>
      </c>
      <c r="AF10" s="7" t="s">
        <v>10</v>
      </c>
      <c r="AG10" s="7" t="s">
        <v>10</v>
      </c>
      <c r="AH10" s="7"/>
      <c r="AI10" s="7" t="s">
        <v>10</v>
      </c>
      <c r="AJ10" s="7">
        <v>23</v>
      </c>
      <c r="AK10" s="7">
        <f t="shared" si="0"/>
        <v>20</v>
      </c>
      <c r="AL10" s="7">
        <f t="shared" si="1"/>
        <v>0</v>
      </c>
      <c r="AM10" s="7">
        <f t="shared" si="2"/>
        <v>3</v>
      </c>
      <c r="AN10" s="4">
        <f>AK10/AJ10</f>
        <v>0.86956521739130432</v>
      </c>
    </row>
    <row r="11" spans="1:40" x14ac:dyDescent="0.35">
      <c r="A11" s="2">
        <v>4</v>
      </c>
      <c r="B11" s="3"/>
      <c r="C11" s="3"/>
      <c r="D11" s="3"/>
      <c r="E11" s="3"/>
      <c r="F11" s="7"/>
      <c r="G11" s="7" t="s">
        <v>10</v>
      </c>
      <c r="H11" s="7"/>
      <c r="I11" s="7" t="s">
        <v>10</v>
      </c>
      <c r="J11" s="7" t="s">
        <v>10</v>
      </c>
      <c r="K11" s="7" t="s">
        <v>10</v>
      </c>
      <c r="L11" s="7"/>
      <c r="M11" s="7" t="s">
        <v>10</v>
      </c>
      <c r="N11" s="7" t="s">
        <v>10</v>
      </c>
      <c r="O11" s="7"/>
      <c r="P11" s="7" t="s">
        <v>10</v>
      </c>
      <c r="Q11" s="7" t="s">
        <v>10</v>
      </c>
      <c r="R11" s="7" t="s">
        <v>10</v>
      </c>
      <c r="S11" s="7" t="s">
        <v>10</v>
      </c>
      <c r="T11" s="7" t="s">
        <v>10</v>
      </c>
      <c r="U11" s="7" t="s">
        <v>10</v>
      </c>
      <c r="V11" s="7"/>
      <c r="W11" s="7" t="s">
        <v>10</v>
      </c>
      <c r="X11" s="7" t="s">
        <v>10</v>
      </c>
      <c r="Y11" s="7" t="s">
        <v>10</v>
      </c>
      <c r="Z11" s="7" t="s">
        <v>10</v>
      </c>
      <c r="AA11" s="7" t="s">
        <v>10</v>
      </c>
      <c r="AB11" s="7" t="s">
        <v>10</v>
      </c>
      <c r="AC11" s="7"/>
      <c r="AD11" s="7" t="s">
        <v>10</v>
      </c>
      <c r="AE11" s="7" t="s">
        <v>10</v>
      </c>
      <c r="AF11" s="7" t="s">
        <v>10</v>
      </c>
      <c r="AG11" s="7" t="s">
        <v>10</v>
      </c>
      <c r="AH11" s="7"/>
      <c r="AI11" s="7" t="s">
        <v>10</v>
      </c>
      <c r="AJ11" s="7">
        <v>23</v>
      </c>
      <c r="AK11" s="7">
        <f t="shared" si="0"/>
        <v>23</v>
      </c>
      <c r="AL11" s="7">
        <f t="shared" si="1"/>
        <v>0</v>
      </c>
      <c r="AM11" s="7">
        <f t="shared" si="2"/>
        <v>0</v>
      </c>
      <c r="AN11" s="4">
        <f t="shared" si="3"/>
        <v>1</v>
      </c>
    </row>
    <row r="12" spans="1:40" x14ac:dyDescent="0.35">
      <c r="A12" s="2">
        <v>5</v>
      </c>
      <c r="B12" s="3"/>
      <c r="C12" s="3"/>
      <c r="D12" s="3"/>
      <c r="E12" s="3"/>
      <c r="F12" s="7"/>
      <c r="G12" s="7" t="s">
        <v>10</v>
      </c>
      <c r="H12" s="7"/>
      <c r="I12" s="7" t="s">
        <v>10</v>
      </c>
      <c r="J12" s="7" t="s">
        <v>10</v>
      </c>
      <c r="K12" s="7" t="s">
        <v>10</v>
      </c>
      <c r="L12" s="7"/>
      <c r="M12" s="7" t="s">
        <v>10</v>
      </c>
      <c r="N12" s="7" t="s">
        <v>10</v>
      </c>
      <c r="O12" s="7"/>
      <c r="P12" s="7" t="s">
        <v>10</v>
      </c>
      <c r="Q12" s="7" t="s">
        <v>10</v>
      </c>
      <c r="R12" s="7" t="s">
        <v>10</v>
      </c>
      <c r="S12" s="7" t="s">
        <v>10</v>
      </c>
      <c r="T12" s="7" t="s">
        <v>10</v>
      </c>
      <c r="U12" s="7" t="s">
        <v>10</v>
      </c>
      <c r="V12" s="7"/>
      <c r="W12" s="7" t="s">
        <v>10</v>
      </c>
      <c r="X12" s="7" t="s">
        <v>10</v>
      </c>
      <c r="Y12" s="7" t="s">
        <v>10</v>
      </c>
      <c r="Z12" s="7" t="s">
        <v>10</v>
      </c>
      <c r="AA12" s="7" t="s">
        <v>10</v>
      </c>
      <c r="AB12" s="7" t="s">
        <v>10</v>
      </c>
      <c r="AC12" s="7"/>
      <c r="AD12" s="7" t="s">
        <v>10</v>
      </c>
      <c r="AE12" s="7" t="s">
        <v>10</v>
      </c>
      <c r="AF12" s="7" t="s">
        <v>10</v>
      </c>
      <c r="AG12" s="7" t="s">
        <v>10</v>
      </c>
      <c r="AH12" s="7"/>
      <c r="AI12" s="7" t="s">
        <v>10</v>
      </c>
      <c r="AJ12" s="7">
        <v>23</v>
      </c>
      <c r="AK12" s="7">
        <f t="shared" si="0"/>
        <v>23</v>
      </c>
      <c r="AL12" s="7">
        <f t="shared" si="1"/>
        <v>0</v>
      </c>
      <c r="AM12" s="7">
        <f t="shared" si="2"/>
        <v>0</v>
      </c>
      <c r="AN12" s="4">
        <f t="shared" si="3"/>
        <v>1</v>
      </c>
    </row>
    <row r="13" spans="1:40" x14ac:dyDescent="0.35">
      <c r="A13" s="2">
        <v>6</v>
      </c>
      <c r="B13" s="3"/>
      <c r="C13" s="3"/>
      <c r="D13" s="3"/>
      <c r="E13" s="3"/>
      <c r="F13" s="7"/>
      <c r="G13" s="7" t="s">
        <v>10</v>
      </c>
      <c r="H13" s="7"/>
      <c r="I13" s="7" t="s">
        <v>10</v>
      </c>
      <c r="J13" s="7" t="s">
        <v>10</v>
      </c>
      <c r="K13" s="7" t="s">
        <v>10</v>
      </c>
      <c r="L13" s="7"/>
      <c r="M13" s="7" t="s">
        <v>10</v>
      </c>
      <c r="N13" s="7" t="s">
        <v>10</v>
      </c>
      <c r="O13" s="7"/>
      <c r="P13" s="7" t="s">
        <v>10</v>
      </c>
      <c r="Q13" s="7" t="s">
        <v>11</v>
      </c>
      <c r="R13" s="7" t="s">
        <v>10</v>
      </c>
      <c r="S13" s="7" t="s">
        <v>10</v>
      </c>
      <c r="T13" s="7" t="s">
        <v>10</v>
      </c>
      <c r="U13" s="7" t="s">
        <v>10</v>
      </c>
      <c r="V13" s="7"/>
      <c r="W13" s="7" t="s">
        <v>10</v>
      </c>
      <c r="X13" s="7" t="s">
        <v>10</v>
      </c>
      <c r="Y13" s="7" t="s">
        <v>11</v>
      </c>
      <c r="Z13" s="7" t="s">
        <v>10</v>
      </c>
      <c r="AA13" s="7" t="s">
        <v>10</v>
      </c>
      <c r="AB13" s="7" t="s">
        <v>10</v>
      </c>
      <c r="AC13" s="7"/>
      <c r="AD13" s="7" t="s">
        <v>10</v>
      </c>
      <c r="AE13" s="7" t="s">
        <v>10</v>
      </c>
      <c r="AF13" s="7" t="s">
        <v>10</v>
      </c>
      <c r="AG13" s="7" t="s">
        <v>10</v>
      </c>
      <c r="AH13" s="7"/>
      <c r="AI13" s="7" t="s">
        <v>10</v>
      </c>
      <c r="AJ13" s="7">
        <v>23</v>
      </c>
      <c r="AK13" s="7">
        <f t="shared" si="0"/>
        <v>21</v>
      </c>
      <c r="AL13" s="7">
        <f t="shared" si="1"/>
        <v>0</v>
      </c>
      <c r="AM13" s="7">
        <f t="shared" si="2"/>
        <v>2</v>
      </c>
      <c r="AN13" s="4">
        <f t="shared" si="3"/>
        <v>0.91304347826086951</v>
      </c>
    </row>
    <row r="14" spans="1:40" x14ac:dyDescent="0.35">
      <c r="A14" s="2">
        <v>7</v>
      </c>
      <c r="B14" s="3"/>
      <c r="C14" s="3"/>
      <c r="D14" s="3"/>
      <c r="E14" s="5"/>
      <c r="F14" s="7"/>
      <c r="G14" s="7" t="s">
        <v>10</v>
      </c>
      <c r="H14" s="7"/>
      <c r="I14" s="7" t="s">
        <v>10</v>
      </c>
      <c r="J14" s="7" t="s">
        <v>10</v>
      </c>
      <c r="K14" s="7" t="s">
        <v>10</v>
      </c>
      <c r="L14" s="7"/>
      <c r="M14" s="7" t="s">
        <v>10</v>
      </c>
      <c r="N14" s="7" t="s">
        <v>10</v>
      </c>
      <c r="O14" s="7"/>
      <c r="P14" s="7" t="s">
        <v>10</v>
      </c>
      <c r="Q14" s="7" t="s">
        <v>10</v>
      </c>
      <c r="R14" s="7" t="s">
        <v>10</v>
      </c>
      <c r="S14" s="7" t="s">
        <v>10</v>
      </c>
      <c r="T14" s="7" t="s">
        <v>10</v>
      </c>
      <c r="U14" s="7" t="s">
        <v>10</v>
      </c>
      <c r="V14" s="7"/>
      <c r="W14" s="7" t="s">
        <v>10</v>
      </c>
      <c r="X14" s="7" t="s">
        <v>11</v>
      </c>
      <c r="Y14" s="7" t="s">
        <v>10</v>
      </c>
      <c r="Z14" s="7" t="s">
        <v>10</v>
      </c>
      <c r="AA14" s="7" t="s">
        <v>10</v>
      </c>
      <c r="AB14" s="7" t="s">
        <v>10</v>
      </c>
      <c r="AC14" s="7"/>
      <c r="AD14" s="7" t="s">
        <v>10</v>
      </c>
      <c r="AE14" s="7" t="s">
        <v>10</v>
      </c>
      <c r="AF14" s="7" t="s">
        <v>10</v>
      </c>
      <c r="AG14" s="7" t="s">
        <v>10</v>
      </c>
      <c r="AH14" s="7"/>
      <c r="AI14" s="7" t="s">
        <v>10</v>
      </c>
      <c r="AJ14" s="7">
        <v>23</v>
      </c>
      <c r="AK14" s="7">
        <f t="shared" si="0"/>
        <v>22</v>
      </c>
      <c r="AL14" s="7">
        <f t="shared" si="1"/>
        <v>0</v>
      </c>
      <c r="AM14" s="7">
        <f t="shared" si="2"/>
        <v>1</v>
      </c>
      <c r="AN14" s="4">
        <f t="shared" si="3"/>
        <v>0.95652173913043481</v>
      </c>
    </row>
    <row r="15" spans="1:40" x14ac:dyDescent="0.35">
      <c r="A15" s="2">
        <v>8</v>
      </c>
      <c r="B15" s="3"/>
      <c r="C15" s="3"/>
      <c r="D15" s="3"/>
      <c r="E15" s="3"/>
      <c r="F15" s="7"/>
      <c r="G15" s="7" t="s">
        <v>10</v>
      </c>
      <c r="H15" s="7"/>
      <c r="I15" s="7" t="s">
        <v>10</v>
      </c>
      <c r="J15" s="7" t="s">
        <v>10</v>
      </c>
      <c r="K15" s="7" t="s">
        <v>10</v>
      </c>
      <c r="L15" s="7"/>
      <c r="M15" s="7" t="s">
        <v>10</v>
      </c>
      <c r="N15" s="7" t="s">
        <v>10</v>
      </c>
      <c r="O15" s="7"/>
      <c r="P15" s="7" t="s">
        <v>10</v>
      </c>
      <c r="Q15" s="7" t="s">
        <v>10</v>
      </c>
      <c r="R15" s="7" t="s">
        <v>10</v>
      </c>
      <c r="S15" s="7" t="s">
        <v>10</v>
      </c>
      <c r="T15" s="7" t="s">
        <v>10</v>
      </c>
      <c r="U15" s="7" t="s">
        <v>10</v>
      </c>
      <c r="V15" s="7"/>
      <c r="W15" s="7" t="s">
        <v>10</v>
      </c>
      <c r="X15" s="7" t="s">
        <v>10</v>
      </c>
      <c r="Y15" s="7" t="s">
        <v>10</v>
      </c>
      <c r="Z15" s="7" t="s">
        <v>10</v>
      </c>
      <c r="AA15" s="7" t="s">
        <v>10</v>
      </c>
      <c r="AB15" s="7" t="s">
        <v>10</v>
      </c>
      <c r="AC15" s="7"/>
      <c r="AD15" s="7" t="s">
        <v>10</v>
      </c>
      <c r="AE15" s="7" t="s">
        <v>10</v>
      </c>
      <c r="AF15" s="7" t="s">
        <v>10</v>
      </c>
      <c r="AG15" s="7" t="s">
        <v>10</v>
      </c>
      <c r="AH15" s="7"/>
      <c r="AI15" s="7" t="s">
        <v>10</v>
      </c>
      <c r="AJ15" s="7">
        <v>23</v>
      </c>
      <c r="AK15" s="7">
        <f t="shared" si="0"/>
        <v>23</v>
      </c>
      <c r="AL15" s="7">
        <f t="shared" si="1"/>
        <v>0</v>
      </c>
      <c r="AM15" s="7">
        <f t="shared" si="2"/>
        <v>0</v>
      </c>
      <c r="AN15" s="4">
        <f t="shared" si="3"/>
        <v>1</v>
      </c>
    </row>
    <row r="16" spans="1:40" x14ac:dyDescent="0.35">
      <c r="A16" s="2">
        <v>9</v>
      </c>
      <c r="B16" s="3"/>
      <c r="C16" s="3"/>
      <c r="D16" s="3"/>
      <c r="E16" s="3"/>
      <c r="F16" s="7"/>
      <c r="G16" s="7" t="s">
        <v>10</v>
      </c>
      <c r="H16" s="7"/>
      <c r="I16" s="7" t="s">
        <v>10</v>
      </c>
      <c r="J16" s="7" t="s">
        <v>10</v>
      </c>
      <c r="K16" s="7" t="s">
        <v>10</v>
      </c>
      <c r="L16" s="7"/>
      <c r="M16" s="7" t="s">
        <v>10</v>
      </c>
      <c r="N16" s="7" t="s">
        <v>10</v>
      </c>
      <c r="O16" s="7"/>
      <c r="P16" s="7" t="s">
        <v>10</v>
      </c>
      <c r="Q16" s="7" t="s">
        <v>10</v>
      </c>
      <c r="R16" s="7" t="s">
        <v>10</v>
      </c>
      <c r="S16" s="7" t="s">
        <v>10</v>
      </c>
      <c r="T16" s="7" t="s">
        <v>10</v>
      </c>
      <c r="U16" s="7" t="s">
        <v>10</v>
      </c>
      <c r="V16" s="7"/>
      <c r="W16" s="7" t="s">
        <v>10</v>
      </c>
      <c r="X16" s="7" t="s">
        <v>11</v>
      </c>
      <c r="Y16" s="7" t="s">
        <v>11</v>
      </c>
      <c r="Z16" s="7" t="s">
        <v>10</v>
      </c>
      <c r="AA16" s="7" t="s">
        <v>10</v>
      </c>
      <c r="AB16" s="7" t="s">
        <v>10</v>
      </c>
      <c r="AC16" s="7"/>
      <c r="AD16" s="7" t="s">
        <v>10</v>
      </c>
      <c r="AE16" s="7" t="s">
        <v>10</v>
      </c>
      <c r="AF16" s="7" t="s">
        <v>10</v>
      </c>
      <c r="AG16" s="7" t="s">
        <v>10</v>
      </c>
      <c r="AH16" s="7"/>
      <c r="AI16" s="7" t="s">
        <v>10</v>
      </c>
      <c r="AJ16" s="7">
        <v>23</v>
      </c>
      <c r="AK16" s="7">
        <f t="shared" si="0"/>
        <v>21</v>
      </c>
      <c r="AL16" s="7">
        <f t="shared" si="1"/>
        <v>0</v>
      </c>
      <c r="AM16" s="7">
        <f t="shared" si="2"/>
        <v>2</v>
      </c>
      <c r="AN16" s="4">
        <f t="shared" si="3"/>
        <v>0.91304347826086951</v>
      </c>
    </row>
    <row r="17" spans="1:40" x14ac:dyDescent="0.35">
      <c r="A17" s="2">
        <v>10</v>
      </c>
      <c r="B17" s="3"/>
      <c r="C17" s="3"/>
      <c r="D17" s="3"/>
      <c r="E17" s="3"/>
      <c r="F17" s="7"/>
      <c r="G17" s="7" t="s">
        <v>10</v>
      </c>
      <c r="H17" s="7"/>
      <c r="I17" s="7" t="s">
        <v>10</v>
      </c>
      <c r="J17" s="7" t="s">
        <v>10</v>
      </c>
      <c r="K17" s="7" t="s">
        <v>10</v>
      </c>
      <c r="L17" s="7"/>
      <c r="M17" s="7" t="s">
        <v>10</v>
      </c>
      <c r="N17" s="7" t="s">
        <v>10</v>
      </c>
      <c r="O17" s="7"/>
      <c r="P17" s="7" t="s">
        <v>11</v>
      </c>
      <c r="Q17" s="7" t="s">
        <v>10</v>
      </c>
      <c r="R17" s="7" t="s">
        <v>10</v>
      </c>
      <c r="S17" s="7" t="s">
        <v>10</v>
      </c>
      <c r="T17" s="7" t="s">
        <v>10</v>
      </c>
      <c r="U17" s="7" t="s">
        <v>10</v>
      </c>
      <c r="V17" s="7"/>
      <c r="W17" s="7" t="s">
        <v>11</v>
      </c>
      <c r="X17" s="7" t="s">
        <v>10</v>
      </c>
      <c r="Y17" s="7" t="s">
        <v>11</v>
      </c>
      <c r="Z17" s="7" t="s">
        <v>10</v>
      </c>
      <c r="AA17" s="7" t="s">
        <v>10</v>
      </c>
      <c r="AB17" s="7" t="s">
        <v>10</v>
      </c>
      <c r="AC17" s="7"/>
      <c r="AD17" s="7" t="s">
        <v>10</v>
      </c>
      <c r="AE17" s="7" t="s">
        <v>10</v>
      </c>
      <c r="AF17" s="7" t="s">
        <v>10</v>
      </c>
      <c r="AG17" s="7" t="s">
        <v>10</v>
      </c>
      <c r="AH17" s="7"/>
      <c r="AI17" s="7" t="s">
        <v>10</v>
      </c>
      <c r="AJ17" s="7">
        <v>23</v>
      </c>
      <c r="AK17" s="7">
        <f t="shared" si="0"/>
        <v>20</v>
      </c>
      <c r="AL17" s="7">
        <f t="shared" si="1"/>
        <v>0</v>
      </c>
      <c r="AM17" s="7">
        <f t="shared" si="2"/>
        <v>3</v>
      </c>
      <c r="AN17" s="4">
        <f t="shared" si="3"/>
        <v>0.86956521739130432</v>
      </c>
    </row>
    <row r="18" spans="1:40" x14ac:dyDescent="0.35">
      <c r="A18" s="2">
        <v>11</v>
      </c>
      <c r="B18" s="3"/>
      <c r="C18" s="3"/>
      <c r="D18" s="3"/>
      <c r="E18" s="3"/>
      <c r="F18" s="7"/>
      <c r="G18" s="7" t="s">
        <v>10</v>
      </c>
      <c r="H18" s="7"/>
      <c r="I18" s="7" t="s">
        <v>10</v>
      </c>
      <c r="J18" s="7" t="s">
        <v>11</v>
      </c>
      <c r="K18" s="7" t="s">
        <v>10</v>
      </c>
      <c r="L18" s="7"/>
      <c r="M18" s="7" t="s">
        <v>10</v>
      </c>
      <c r="N18" s="7" t="s">
        <v>10</v>
      </c>
      <c r="O18" s="7"/>
      <c r="P18" s="7" t="s">
        <v>10</v>
      </c>
      <c r="Q18" s="7" t="s">
        <v>10</v>
      </c>
      <c r="R18" s="7" t="s">
        <v>11</v>
      </c>
      <c r="S18" s="7" t="s">
        <v>10</v>
      </c>
      <c r="T18" s="7" t="s">
        <v>10</v>
      </c>
      <c r="U18" s="7" t="s">
        <v>10</v>
      </c>
      <c r="V18" s="7"/>
      <c r="W18" s="7" t="s">
        <v>10</v>
      </c>
      <c r="X18" s="7" t="s">
        <v>10</v>
      </c>
      <c r="Y18" s="7" t="s">
        <v>10</v>
      </c>
      <c r="Z18" s="7" t="s">
        <v>10</v>
      </c>
      <c r="AA18" s="7" t="s">
        <v>10</v>
      </c>
      <c r="AB18" s="7" t="s">
        <v>10</v>
      </c>
      <c r="AC18" s="7"/>
      <c r="AD18" s="7" t="s">
        <v>10</v>
      </c>
      <c r="AE18" s="7" t="s">
        <v>10</v>
      </c>
      <c r="AF18" s="7" t="s">
        <v>10</v>
      </c>
      <c r="AG18" s="7" t="s">
        <v>10</v>
      </c>
      <c r="AH18" s="7"/>
      <c r="AI18" s="7" t="s">
        <v>10</v>
      </c>
      <c r="AJ18" s="7">
        <v>23</v>
      </c>
      <c r="AK18" s="7">
        <f t="shared" si="0"/>
        <v>21</v>
      </c>
      <c r="AL18" s="7">
        <f t="shared" si="1"/>
        <v>0</v>
      </c>
      <c r="AM18" s="7">
        <f t="shared" si="2"/>
        <v>2</v>
      </c>
      <c r="AN18" s="4">
        <f t="shared" si="3"/>
        <v>0.91304347826086951</v>
      </c>
    </row>
    <row r="19" spans="1:40" x14ac:dyDescent="0.35">
      <c r="A19" s="2">
        <v>13</v>
      </c>
      <c r="B19" s="3"/>
      <c r="C19" s="3"/>
      <c r="D19" s="3"/>
      <c r="E19" s="3"/>
      <c r="F19" s="7"/>
      <c r="G19" s="7" t="s">
        <v>10</v>
      </c>
      <c r="H19" s="7"/>
      <c r="I19" s="7" t="s">
        <v>10</v>
      </c>
      <c r="J19" s="7" t="s">
        <v>10</v>
      </c>
      <c r="K19" s="7" t="s">
        <v>10</v>
      </c>
      <c r="L19" s="7"/>
      <c r="M19" s="7" t="s">
        <v>10</v>
      </c>
      <c r="N19" s="7" t="s">
        <v>10</v>
      </c>
      <c r="O19" s="7"/>
      <c r="P19" s="7" t="s">
        <v>10</v>
      </c>
      <c r="Q19" s="7" t="s">
        <v>10</v>
      </c>
      <c r="R19" s="7" t="s">
        <v>10</v>
      </c>
      <c r="S19" s="7" t="s">
        <v>10</v>
      </c>
      <c r="T19" s="7" t="s">
        <v>10</v>
      </c>
      <c r="U19" s="7" t="s">
        <v>10</v>
      </c>
      <c r="V19" s="7"/>
      <c r="W19" s="7" t="s">
        <v>10</v>
      </c>
      <c r="X19" s="7" t="s">
        <v>10</v>
      </c>
      <c r="Y19" s="7" t="s">
        <v>10</v>
      </c>
      <c r="Z19" s="7" t="s">
        <v>10</v>
      </c>
      <c r="AA19" s="7" t="s">
        <v>10</v>
      </c>
      <c r="AB19" s="7" t="s">
        <v>10</v>
      </c>
      <c r="AC19" s="7"/>
      <c r="AD19" s="7" t="s">
        <v>10</v>
      </c>
      <c r="AE19" s="7" t="s">
        <v>10</v>
      </c>
      <c r="AF19" s="7" t="s">
        <v>10</v>
      </c>
      <c r="AG19" s="7" t="s">
        <v>10</v>
      </c>
      <c r="AH19" s="7"/>
      <c r="AI19" s="7" t="s">
        <v>10</v>
      </c>
      <c r="AJ19" s="7">
        <v>23</v>
      </c>
      <c r="AK19" s="7">
        <f t="shared" si="0"/>
        <v>23</v>
      </c>
      <c r="AL19" s="7">
        <f t="shared" si="1"/>
        <v>0</v>
      </c>
      <c r="AM19" s="7">
        <f t="shared" si="2"/>
        <v>0</v>
      </c>
      <c r="AN19" s="4">
        <f t="shared" si="3"/>
        <v>1</v>
      </c>
    </row>
    <row r="20" spans="1:40" x14ac:dyDescent="0.35">
      <c r="A20" s="2">
        <v>14</v>
      </c>
      <c r="B20" s="3"/>
      <c r="C20" s="3"/>
      <c r="D20" s="3"/>
      <c r="E20" s="3"/>
      <c r="F20" s="7"/>
      <c r="G20" s="7" t="s">
        <v>10</v>
      </c>
      <c r="H20" s="7"/>
      <c r="I20" s="7" t="s">
        <v>10</v>
      </c>
      <c r="J20" s="7" t="s">
        <v>10</v>
      </c>
      <c r="K20" s="7" t="s">
        <v>10</v>
      </c>
      <c r="L20" s="7"/>
      <c r="M20" s="7" t="s">
        <v>10</v>
      </c>
      <c r="N20" s="7" t="s">
        <v>10</v>
      </c>
      <c r="O20" s="7"/>
      <c r="P20" s="7" t="s">
        <v>11</v>
      </c>
      <c r="Q20" s="7" t="s">
        <v>10</v>
      </c>
      <c r="R20" s="7" t="s">
        <v>10</v>
      </c>
      <c r="S20" s="7" t="s">
        <v>10</v>
      </c>
      <c r="T20" s="7" t="s">
        <v>10</v>
      </c>
      <c r="U20" s="7" t="s">
        <v>10</v>
      </c>
      <c r="V20" s="7"/>
      <c r="W20" s="7" t="s">
        <v>10</v>
      </c>
      <c r="X20" s="7" t="s">
        <v>10</v>
      </c>
      <c r="Y20" s="7" t="s">
        <v>10</v>
      </c>
      <c r="Z20" s="7" t="s">
        <v>10</v>
      </c>
      <c r="AA20" s="7" t="s">
        <v>10</v>
      </c>
      <c r="AB20" s="7" t="s">
        <v>10</v>
      </c>
      <c r="AC20" s="7"/>
      <c r="AD20" s="7" t="s">
        <v>10</v>
      </c>
      <c r="AE20" s="7" t="s">
        <v>10</v>
      </c>
      <c r="AF20" s="7" t="s">
        <v>10</v>
      </c>
      <c r="AG20" s="7" t="s">
        <v>10</v>
      </c>
      <c r="AH20" s="7"/>
      <c r="AI20" s="7" t="s">
        <v>11</v>
      </c>
      <c r="AJ20" s="7">
        <v>23</v>
      </c>
      <c r="AK20" s="7">
        <f t="shared" si="0"/>
        <v>21</v>
      </c>
      <c r="AL20" s="7">
        <f t="shared" si="1"/>
        <v>0</v>
      </c>
      <c r="AM20" s="7">
        <f t="shared" si="2"/>
        <v>2</v>
      </c>
      <c r="AN20" s="4">
        <f t="shared" si="3"/>
        <v>0.91304347826086951</v>
      </c>
    </row>
    <row r="21" spans="1:40" x14ac:dyDescent="0.35">
      <c r="A21" s="2">
        <v>15</v>
      </c>
      <c r="B21" s="3"/>
      <c r="C21" s="3"/>
      <c r="D21" s="3"/>
      <c r="E21" s="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4"/>
    </row>
    <row r="22" spans="1:40" x14ac:dyDescent="0.35">
      <c r="A22" s="2">
        <v>16</v>
      </c>
      <c r="B22" s="3"/>
      <c r="C22" s="3"/>
      <c r="D22" s="3"/>
      <c r="E22" s="3"/>
      <c r="F22" s="7"/>
      <c r="G22" s="7" t="s">
        <v>10</v>
      </c>
      <c r="H22" s="7"/>
      <c r="I22" s="7" t="s">
        <v>10</v>
      </c>
      <c r="J22" s="7" t="s">
        <v>10</v>
      </c>
      <c r="K22" s="7" t="s">
        <v>10</v>
      </c>
      <c r="L22" s="7"/>
      <c r="M22" s="7" t="s">
        <v>10</v>
      </c>
      <c r="N22" s="7" t="s">
        <v>10</v>
      </c>
      <c r="O22" s="7"/>
      <c r="P22" s="7" t="s">
        <v>10</v>
      </c>
      <c r="Q22" s="7" t="s">
        <v>10</v>
      </c>
      <c r="R22" s="7" t="s">
        <v>10</v>
      </c>
      <c r="S22" s="7" t="s">
        <v>10</v>
      </c>
      <c r="T22" s="7" t="s">
        <v>10</v>
      </c>
      <c r="U22" s="7" t="s">
        <v>10</v>
      </c>
      <c r="V22" s="7"/>
      <c r="W22" s="7" t="s">
        <v>10</v>
      </c>
      <c r="X22" s="7" t="s">
        <v>10</v>
      </c>
      <c r="Y22" s="7" t="s">
        <v>10</v>
      </c>
      <c r="Z22" s="7" t="s">
        <v>10</v>
      </c>
      <c r="AA22" s="7" t="s">
        <v>10</v>
      </c>
      <c r="AB22" s="7" t="s">
        <v>10</v>
      </c>
      <c r="AC22" s="7"/>
      <c r="AD22" s="7" t="s">
        <v>10</v>
      </c>
      <c r="AE22" s="7" t="s">
        <v>10</v>
      </c>
      <c r="AF22" s="7" t="s">
        <v>10</v>
      </c>
      <c r="AG22" s="7" t="s">
        <v>11</v>
      </c>
      <c r="AH22" s="7"/>
      <c r="AI22" s="7" t="s">
        <v>10</v>
      </c>
      <c r="AJ22" s="7">
        <v>23</v>
      </c>
      <c r="AK22" s="7">
        <f t="shared" si="0"/>
        <v>22</v>
      </c>
      <c r="AL22" s="7">
        <f t="shared" si="1"/>
        <v>0</v>
      </c>
      <c r="AM22" s="7">
        <f t="shared" si="2"/>
        <v>1</v>
      </c>
      <c r="AN22" s="4">
        <f t="shared" si="3"/>
        <v>0.95652173913043481</v>
      </c>
    </row>
    <row r="23" spans="1:40" x14ac:dyDescent="0.35">
      <c r="A23" s="2">
        <v>17</v>
      </c>
      <c r="B23" s="3"/>
      <c r="C23" s="3"/>
      <c r="D23" s="3"/>
      <c r="E23" s="3"/>
      <c r="F23" s="7"/>
      <c r="G23" s="7" t="s">
        <v>10</v>
      </c>
      <c r="H23" s="7"/>
      <c r="I23" s="7" t="s">
        <v>10</v>
      </c>
      <c r="J23" s="7" t="s">
        <v>10</v>
      </c>
      <c r="K23" s="7" t="s">
        <v>10</v>
      </c>
      <c r="L23" s="7"/>
      <c r="M23" s="7" t="s">
        <v>10</v>
      </c>
      <c r="N23" s="7" t="s">
        <v>10</v>
      </c>
      <c r="O23" s="7"/>
      <c r="P23" s="7" t="s">
        <v>10</v>
      </c>
      <c r="Q23" s="7" t="s">
        <v>10</v>
      </c>
      <c r="R23" s="7" t="s">
        <v>11</v>
      </c>
      <c r="S23" s="7" t="s">
        <v>11</v>
      </c>
      <c r="T23" s="7" t="s">
        <v>11</v>
      </c>
      <c r="U23" s="7" t="s">
        <v>10</v>
      </c>
      <c r="V23" s="7"/>
      <c r="W23" s="7" t="s">
        <v>10</v>
      </c>
      <c r="X23" s="7" t="s">
        <v>10</v>
      </c>
      <c r="Y23" s="7" t="s">
        <v>10</v>
      </c>
      <c r="Z23" s="7" t="s">
        <v>10</v>
      </c>
      <c r="AA23" s="7" t="s">
        <v>10</v>
      </c>
      <c r="AB23" s="7" t="s">
        <v>10</v>
      </c>
      <c r="AC23" s="7"/>
      <c r="AD23" s="7" t="s">
        <v>10</v>
      </c>
      <c r="AE23" s="7" t="s">
        <v>10</v>
      </c>
      <c r="AF23" s="7" t="s">
        <v>10</v>
      </c>
      <c r="AG23" s="7" t="s">
        <v>10</v>
      </c>
      <c r="AH23" s="7"/>
      <c r="AI23" s="7" t="s">
        <v>10</v>
      </c>
      <c r="AJ23" s="7">
        <v>23</v>
      </c>
      <c r="AK23" s="7">
        <f t="shared" si="0"/>
        <v>20</v>
      </c>
      <c r="AL23" s="7">
        <f t="shared" si="1"/>
        <v>0</v>
      </c>
      <c r="AM23" s="7">
        <f t="shared" si="2"/>
        <v>3</v>
      </c>
      <c r="AN23" s="4">
        <f t="shared" si="3"/>
        <v>0.86956521739130432</v>
      </c>
    </row>
    <row r="24" spans="1:40" x14ac:dyDescent="0.35">
      <c r="A24" s="2">
        <v>18</v>
      </c>
      <c r="B24" s="3"/>
      <c r="C24" s="3"/>
      <c r="D24" s="3"/>
      <c r="E24" s="3"/>
      <c r="F24" s="7"/>
      <c r="G24" s="7" t="s">
        <v>10</v>
      </c>
      <c r="H24" s="7"/>
      <c r="I24" s="7" t="s">
        <v>10</v>
      </c>
      <c r="J24" s="7" t="s">
        <v>10</v>
      </c>
      <c r="K24" s="7" t="s">
        <v>10</v>
      </c>
      <c r="L24" s="7"/>
      <c r="M24" s="7" t="s">
        <v>10</v>
      </c>
      <c r="N24" s="7" t="s">
        <v>10</v>
      </c>
      <c r="O24" s="7"/>
      <c r="P24" s="7" t="s">
        <v>10</v>
      </c>
      <c r="Q24" s="7" t="s">
        <v>10</v>
      </c>
      <c r="R24" s="7" t="s">
        <v>10</v>
      </c>
      <c r="S24" s="7" t="s">
        <v>11</v>
      </c>
      <c r="T24" s="7" t="s">
        <v>10</v>
      </c>
      <c r="U24" s="7" t="s">
        <v>10</v>
      </c>
      <c r="V24" s="7"/>
      <c r="W24" s="7" t="s">
        <v>10</v>
      </c>
      <c r="X24" s="7" t="s">
        <v>10</v>
      </c>
      <c r="Y24" s="7" t="s">
        <v>10</v>
      </c>
      <c r="Z24" s="7" t="s">
        <v>10</v>
      </c>
      <c r="AA24" s="7" t="s">
        <v>10</v>
      </c>
      <c r="AB24" s="7" t="s">
        <v>11</v>
      </c>
      <c r="AC24" s="7"/>
      <c r="AD24" s="7" t="s">
        <v>10</v>
      </c>
      <c r="AE24" s="7" t="s">
        <v>10</v>
      </c>
      <c r="AF24" s="7" t="s">
        <v>10</v>
      </c>
      <c r="AG24" s="7" t="s">
        <v>10</v>
      </c>
      <c r="AH24" s="7"/>
      <c r="AI24" s="7" t="s">
        <v>10</v>
      </c>
      <c r="AJ24" s="7">
        <v>23</v>
      </c>
      <c r="AK24" s="7">
        <f t="shared" si="0"/>
        <v>21</v>
      </c>
      <c r="AL24" s="7">
        <f t="shared" si="1"/>
        <v>0</v>
      </c>
      <c r="AM24" s="7">
        <f t="shared" si="2"/>
        <v>2</v>
      </c>
      <c r="AN24" s="4">
        <f t="shared" si="3"/>
        <v>0.91304347826086951</v>
      </c>
    </row>
    <row r="25" spans="1:40" x14ac:dyDescent="0.35">
      <c r="A25" s="2"/>
      <c r="B25" s="3"/>
      <c r="C25" s="3"/>
      <c r="D25" s="3"/>
      <c r="E25" s="5"/>
      <c r="F25" s="7"/>
      <c r="G25" s="7" t="s">
        <v>10</v>
      </c>
      <c r="H25" s="7"/>
      <c r="I25" s="7" t="s">
        <v>10</v>
      </c>
      <c r="J25" s="7" t="s">
        <v>10</v>
      </c>
      <c r="K25" s="7" t="s">
        <v>10</v>
      </c>
      <c r="L25" s="7"/>
      <c r="M25" s="7" t="s">
        <v>10</v>
      </c>
      <c r="N25" s="7" t="s">
        <v>10</v>
      </c>
      <c r="O25" s="7"/>
      <c r="P25" s="7" t="s">
        <v>10</v>
      </c>
      <c r="Q25" s="7" t="s">
        <v>10</v>
      </c>
      <c r="R25" s="7" t="s">
        <v>10</v>
      </c>
      <c r="S25" s="7" t="s">
        <v>10</v>
      </c>
      <c r="T25" s="7" t="s">
        <v>10</v>
      </c>
      <c r="U25" s="7" t="s">
        <v>10</v>
      </c>
      <c r="V25" s="7"/>
      <c r="W25" s="7" t="s">
        <v>10</v>
      </c>
      <c r="X25" s="7" t="s">
        <v>10</v>
      </c>
      <c r="Y25" s="7" t="s">
        <v>10</v>
      </c>
      <c r="Z25" s="7" t="s">
        <v>10</v>
      </c>
      <c r="AA25" s="7" t="s">
        <v>11</v>
      </c>
      <c r="AB25" s="7" t="s">
        <v>10</v>
      </c>
      <c r="AC25" s="7"/>
      <c r="AD25" s="7" t="s">
        <v>10</v>
      </c>
      <c r="AE25" s="7" t="s">
        <v>10</v>
      </c>
      <c r="AF25" s="7" t="s">
        <v>10</v>
      </c>
      <c r="AG25" s="7" t="s">
        <v>10</v>
      </c>
      <c r="AH25" s="7"/>
      <c r="AI25" s="7" t="s">
        <v>10</v>
      </c>
      <c r="AJ25" s="7">
        <v>23</v>
      </c>
      <c r="AK25" s="7">
        <f t="shared" si="0"/>
        <v>22</v>
      </c>
      <c r="AL25" s="7">
        <f t="shared" si="1"/>
        <v>0</v>
      </c>
      <c r="AM25" s="7">
        <f t="shared" si="2"/>
        <v>1</v>
      </c>
      <c r="AN25" s="4">
        <f t="shared" si="3"/>
        <v>0.95652173913043481</v>
      </c>
    </row>
    <row r="26" spans="1:40" x14ac:dyDescent="0.35">
      <c r="A26" s="2">
        <v>19</v>
      </c>
      <c r="B26" s="3"/>
      <c r="C26" s="3"/>
      <c r="D26" s="3"/>
      <c r="E26" s="5"/>
      <c r="F26" s="7"/>
      <c r="G26" s="7" t="s">
        <v>12</v>
      </c>
      <c r="H26" s="7"/>
      <c r="I26" s="7" t="s">
        <v>10</v>
      </c>
      <c r="J26" s="7" t="s">
        <v>10</v>
      </c>
      <c r="K26" s="7" t="s">
        <v>12</v>
      </c>
      <c r="L26" s="7"/>
      <c r="M26" s="7" t="s">
        <v>12</v>
      </c>
      <c r="N26" s="7" t="s">
        <v>10</v>
      </c>
      <c r="O26" s="7"/>
      <c r="P26" s="7" t="s">
        <v>10</v>
      </c>
      <c r="Q26" s="7" t="s">
        <v>10</v>
      </c>
      <c r="R26" s="7" t="s">
        <v>10</v>
      </c>
      <c r="S26" s="7" t="s">
        <v>12</v>
      </c>
      <c r="T26" s="7" t="s">
        <v>12</v>
      </c>
      <c r="U26" s="7" t="s">
        <v>10</v>
      </c>
      <c r="V26" s="7"/>
      <c r="W26" s="7" t="s">
        <v>10</v>
      </c>
      <c r="X26" s="7" t="s">
        <v>11</v>
      </c>
      <c r="Y26" s="7" t="s">
        <v>10</v>
      </c>
      <c r="Z26" s="7" t="s">
        <v>10</v>
      </c>
      <c r="AA26" s="7" t="s">
        <v>10</v>
      </c>
      <c r="AB26" s="7" t="s">
        <v>12</v>
      </c>
      <c r="AC26" s="7"/>
      <c r="AD26" s="7" t="s">
        <v>10</v>
      </c>
      <c r="AE26" s="7" t="s">
        <v>10</v>
      </c>
      <c r="AF26" s="7" t="s">
        <v>10</v>
      </c>
      <c r="AG26" s="7" t="s">
        <v>10</v>
      </c>
      <c r="AH26" s="7"/>
      <c r="AI26" s="7" t="s">
        <v>10</v>
      </c>
      <c r="AJ26" s="7">
        <v>23</v>
      </c>
      <c r="AK26" s="7">
        <f t="shared" si="0"/>
        <v>16</v>
      </c>
      <c r="AL26" s="7">
        <f>COUNTIF(F26:AI26,"A")</f>
        <v>6</v>
      </c>
      <c r="AM26" s="7">
        <f t="shared" si="2"/>
        <v>1</v>
      </c>
      <c r="AN26" s="4">
        <f t="shared" si="3"/>
        <v>0.69565217391304346</v>
      </c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26" xr:uid="{627C38F3-00AE-47BB-B2AF-9B86A01AFC28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 2023</vt:lpstr>
      <vt:lpstr>June 2023</vt:lpstr>
      <vt:lpstr>July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 Naz</dc:creator>
  <cp:lastModifiedBy>Aisha  Naz</cp:lastModifiedBy>
  <dcterms:created xsi:type="dcterms:W3CDTF">2015-06-05T18:17:20Z</dcterms:created>
  <dcterms:modified xsi:type="dcterms:W3CDTF">2024-06-02T11:48:29Z</dcterms:modified>
</cp:coreProperties>
</file>