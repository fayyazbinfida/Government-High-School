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02671956-1483-4753-9562-F905CFC68621}" xr6:coauthVersionLast="47" xr6:coauthVersionMax="47" xr10:uidLastSave="{00000000-0000-0000-0000-000000000000}"/>
  <bookViews>
    <workbookView xWindow="-120" yWindow="-120" windowWidth="20730" windowHeight="11160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9" r:id="rId6"/>
    <sheet name="Drop Out" sheetId="8" r:id="rId7"/>
  </sheets>
  <definedNames>
    <definedName name="_xlnm._FilterDatabase" localSheetId="1" hidden="1">Admissions!$A$2:$O$34</definedName>
    <definedName name="_xlnm._FilterDatabase" localSheetId="0" hidden="1">Registration!$A$1:$J$91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9" l="1"/>
  <c r="E4" i="9"/>
  <c r="E5" i="9"/>
  <c r="E6" i="9"/>
  <c r="E7" i="9"/>
  <c r="E8" i="9"/>
  <c r="E9" i="9"/>
  <c r="E10" i="9"/>
  <c r="E11" i="9"/>
  <c r="E12" i="9"/>
  <c r="E3" i="9"/>
</calcChain>
</file>

<file path=xl/sharedStrings.xml><?xml version="1.0" encoding="utf-8"?>
<sst xmlns="http://schemas.openxmlformats.org/spreadsheetml/2006/main" count="709" uniqueCount="285">
  <si>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</si>
  <si>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</si>
  <si>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</si>
  <si>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</si>
  <si>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</si>
  <si>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</si>
  <si>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</si>
  <si>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</si>
  <si>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</si>
  <si>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</si>
  <si>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</si>
  <si>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</si>
  <si>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</si>
  <si>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</si>
  <si>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</si>
  <si>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</si>
  <si>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</si>
  <si>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</si>
  <si>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</si>
  <si>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</si>
  <si>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</si>
  <si>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</si>
  <si>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</si>
  <si>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</si>
  <si>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</si>
  <si>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</si>
  <si>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</si>
  <si>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</si>
  <si>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</si>
  <si>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</si>
  <si>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</si>
  <si>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</si>
  <si>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</si>
  <si>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</si>
  <si>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</si>
  <si>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</si>
  <si>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</si>
  <si>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</si>
  <si>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</si>
  <si>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</si>
  <si>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</si>
  <si>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</si>
  <si>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</si>
  <si>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</si>
  <si>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</si>
  <si>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</si>
  <si>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</si>
  <si>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</si>
  <si>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</si>
  <si>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</si>
  <si>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</si>
  <si>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</si>
  <si>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</si>
  <si>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</si>
  <si>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</si>
  <si>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</si>
  <si>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</si>
  <si>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</si>
  <si>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</si>
  <si>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</si>
  <si>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</si>
  <si>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</si>
  <si>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</si>
  <si>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</si>
  <si>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</si>
  <si>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</si>
  <si>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</si>
  <si>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</si>
  <si>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</si>
  <si>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</si>
  <si>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</si>
  <si>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</si>
  <si>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</si>
  <si>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</si>
  <si>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</si>
  <si>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</si>
  <si>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</si>
  <si>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</si>
  <si>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</si>
  <si>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</si>
  <si>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</si>
  <si>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</si>
  <si>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</si>
  <si>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</si>
  <si>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</si>
  <si>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</si>
  <si>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</si>
  <si>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</si>
  <si>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</si>
  <si>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</si>
  <si>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</si>
  <si>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</si>
  <si>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</si>
  <si>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</si>
  <si>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</si>
  <si>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</si>
  <si>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</si>
  <si>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</si>
  <si>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</si>
  <si>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</si>
  <si>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</si>
  <si>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</si>
  <si>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</si>
  <si>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</si>
  <si>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</si>
  <si>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</si>
  <si>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</si>
  <si>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</si>
  <si>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</si>
  <si>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</si>
  <si>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</si>
  <si>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</si>
  <si>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</si>
  <si>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</si>
  <si>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</si>
  <si>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</si>
  <si>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</si>
  <si>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</si>
  <si>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</si>
  <si>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</si>
  <si>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</si>
  <si>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</si>
  <si>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</si>
  <si>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</si>
  <si>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</si>
  <si>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</si>
  <si>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</si>
  <si>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</si>
  <si>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</si>
  <si>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</si>
  <si>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</si>
  <si>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</si>
  <si>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</si>
  <si>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</si>
  <si>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</si>
  <si>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</si>
  <si>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</si>
  <si>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</si>
  <si>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</si>
  <si>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</si>
  <si>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</si>
  <si>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</si>
  <si>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</si>
  <si>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</si>
  <si>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</si>
  <si>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</si>
  <si>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</si>
  <si>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</si>
  <si>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</si>
  <si>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</si>
  <si>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</si>
  <si>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</si>
  <si>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</si>
  <si>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</si>
  <si>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</si>
  <si>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</si>
  <si>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</si>
  <si>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</si>
  <si>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</si>
  <si>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</si>
  <si>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</si>
  <si>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</si>
  <si>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</si>
  <si>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</si>
  <si>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</si>
  <si>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</si>
  <si>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</si>
  <si>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</si>
  <si>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</si>
  <si>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</si>
  <si>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</si>
  <si>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</si>
  <si>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</si>
  <si>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</si>
  <si>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</si>
  <si>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</si>
  <si>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</si>
  <si>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</si>
  <si>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</si>
  <si>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</si>
  <si>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</si>
  <si>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</si>
  <si>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</si>
  <si>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</si>
  <si>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</si>
  <si>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</si>
  <si>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</si>
  <si>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</si>
  <si>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</si>
  <si>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</si>
  <si>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</si>
  <si>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</si>
  <si>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</si>
  <si>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</si>
  <si>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</si>
  <si>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</si>
  <si>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</si>
  <si>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</si>
  <si>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</si>
  <si>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</si>
  <si>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</si>
  <si>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</si>
  <si>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</si>
  <si>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</si>
  <si>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</si>
  <si>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</si>
  <si>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</si>
  <si>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</si>
  <si>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</si>
  <si>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</si>
  <si>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</si>
  <si>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</si>
  <si>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</si>
  <si>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</si>
  <si>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</si>
  <si>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</si>
  <si>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</si>
  <si>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</si>
  <si>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</si>
  <si>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</si>
  <si>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</si>
  <si>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</si>
  <si>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</si>
  <si>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</si>
  <si>
    <t>Level-I</t>
  </si>
  <si>
    <t>42401-9632491-3</t>
  </si>
  <si>
    <t>Arwa Fatima</t>
  </si>
  <si>
    <t>Mantasha Fatima</t>
  </si>
  <si>
    <t>Almas Hussain Shah</t>
  </si>
  <si>
    <t>45104-9914165-1</t>
  </si>
  <si>
    <t>Level-II</t>
  </si>
  <si>
    <t>Aqib</t>
  </si>
  <si>
    <t>Muhammad Aqib</t>
  </si>
  <si>
    <t>Ghulam Sarwar</t>
  </si>
  <si>
    <t>42501-2744658-8</t>
  </si>
  <si>
    <t>Maryam Magsi</t>
  </si>
  <si>
    <t>c/o miss naila</t>
  </si>
  <si>
    <t>c/o sir shunail</t>
  </si>
  <si>
    <t>ECE (Daffodils)</t>
  </si>
  <si>
    <t>Noor Fajar Manzil</t>
  </si>
  <si>
    <t>Ashiq Ali</t>
  </si>
  <si>
    <t>45402-8515435-1</t>
  </si>
  <si>
    <t>Yashba Dharejo</t>
  </si>
  <si>
    <t>Mahnoor Manzil</t>
  </si>
  <si>
    <t>Kinza</t>
  </si>
  <si>
    <t>Sohail Khan</t>
  </si>
  <si>
    <t>43205-3254253-5</t>
  </si>
  <si>
    <t>Class-3</t>
  </si>
  <si>
    <t>Class-2</t>
  </si>
  <si>
    <t>Boys</t>
  </si>
  <si>
    <t>Girls</t>
  </si>
  <si>
    <t>Total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</si>
  <si>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</si>
  <si>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</si>
  <si>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</si>
  <si>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</si>
  <si>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</si>
  <si>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</si>
  <si>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</si>
  <si>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</si>
  <si>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</si>
  <si>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Muhammad Awais</t>
  </si>
  <si>
    <t>Abdul Aziz</t>
  </si>
  <si>
    <t>42501-7115644-5</t>
  </si>
  <si>
    <t>Qadir Bux</t>
  </si>
  <si>
    <t>43402-0958608-4</t>
  </si>
  <si>
    <t>Muhammad Shayan</t>
  </si>
  <si>
    <t>Ansar Ahmed</t>
  </si>
  <si>
    <t>45204-5217782-8</t>
  </si>
  <si>
    <t>Shanzy Fatima</t>
  </si>
  <si>
    <t>43402-0471187-3</t>
  </si>
  <si>
    <t>45204-8108080-3</t>
  </si>
  <si>
    <t>Aneeta</t>
  </si>
  <si>
    <t>Naeem Ahmed</t>
  </si>
  <si>
    <t>Class-4</t>
  </si>
  <si>
    <t>45203-9721947-3</t>
  </si>
  <si>
    <t>Anosha</t>
  </si>
  <si>
    <t>Faheem</t>
  </si>
  <si>
    <t>Yes</t>
  </si>
  <si>
    <t>Alina</t>
  </si>
  <si>
    <t>Aqeel Ahmd Soomro</t>
  </si>
  <si>
    <t>43205-8732569-3</t>
  </si>
  <si>
    <t>Meesum Abbas</t>
  </si>
  <si>
    <t>Mohsin Ali Sethar</t>
  </si>
  <si>
    <t>42501-8572369-1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</si>
</sst>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4" fontId="0" fillId="0" borderId="0" xfId="0" applyNumberFormat="1"/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K91"/>
  <sheetViews>
    <sheetView tabSelected="1" topLeftCell="A67" zoomScaleNormal="100" workbookViewId="0">
      <selection activeCell="B75" sqref="B75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217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>
        <v>45780</v>
      </c>
      <c r="I21" s="6">
        <v>0.39583333333333331</v>
      </c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216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211</v>
      </c>
      <c r="C62" s="3" t="s">
        <v>212</v>
      </c>
      <c r="D62" s="3" t="s">
        <v>213</v>
      </c>
      <c r="E62" s="3" t="s">
        <v>214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218</v>
      </c>
      <c r="C63" s="3" t="s">
        <v>219</v>
      </c>
      <c r="D63" s="3" t="s">
        <v>11</v>
      </c>
      <c r="E63" s="3" t="s">
        <v>220</v>
      </c>
      <c r="F63" s="4">
        <v>3151184877</v>
      </c>
      <c r="G63" s="5">
        <v>45772</v>
      </c>
      <c r="H63" s="5">
        <v>45780</v>
      </c>
      <c r="I63" s="6">
        <v>0.39583333333333331</v>
      </c>
    </row>
    <row r="64" spans="1:10" x14ac:dyDescent="0.25">
      <c r="A64" s="2">
        <v>63</v>
      </c>
      <c r="B64" s="3" t="s">
        <v>221</v>
      </c>
      <c r="C64" s="3" t="s">
        <v>222</v>
      </c>
      <c r="D64" s="3" t="s">
        <v>11</v>
      </c>
      <c r="E64" s="3" t="s">
        <v>223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11" x14ac:dyDescent="0.25">
      <c r="A65" s="2">
        <v>64</v>
      </c>
      <c r="B65" s="3" t="s">
        <v>227</v>
      </c>
      <c r="C65" s="3" t="s">
        <v>228</v>
      </c>
      <c r="D65" s="3" t="s">
        <v>230</v>
      </c>
      <c r="E65" s="3" t="s">
        <v>229</v>
      </c>
      <c r="F65" s="4">
        <v>3323425295</v>
      </c>
      <c r="G65" s="5">
        <v>45779</v>
      </c>
      <c r="H65" s="5">
        <v>45782</v>
      </c>
      <c r="I65" s="6">
        <v>0.39583333333333331</v>
      </c>
      <c r="J65" t="s">
        <v>237</v>
      </c>
    </row>
    <row r="66" spans="1:11" x14ac:dyDescent="0.25">
      <c r="A66" s="2">
        <v>65</v>
      </c>
      <c r="B66" s="3" t="s">
        <v>231</v>
      </c>
      <c r="C66" s="3"/>
      <c r="D66" s="3" t="s">
        <v>11</v>
      </c>
      <c r="E66" s="3"/>
      <c r="F66" s="4"/>
      <c r="G66" s="5">
        <v>45779</v>
      </c>
      <c r="H66" s="5">
        <v>45780</v>
      </c>
      <c r="I66" s="6">
        <v>0.39583333333333331</v>
      </c>
    </row>
    <row r="67" spans="1:11" x14ac:dyDescent="0.25">
      <c r="A67" s="2">
        <v>66</v>
      </c>
      <c r="B67" s="3" t="s">
        <v>232</v>
      </c>
      <c r="C67" s="3" t="s">
        <v>233</v>
      </c>
      <c r="D67" s="3" t="s">
        <v>11</v>
      </c>
      <c r="E67" s="3" t="s">
        <v>234</v>
      </c>
      <c r="F67" s="4">
        <v>3360576896</v>
      </c>
      <c r="G67" s="5">
        <v>45779</v>
      </c>
      <c r="H67" s="5">
        <v>45782</v>
      </c>
      <c r="I67" s="6">
        <v>0.39583333333333331</v>
      </c>
      <c r="J67" s="16">
        <v>43949</v>
      </c>
      <c r="K67" t="s">
        <v>236</v>
      </c>
    </row>
    <row r="68" spans="1:11" x14ac:dyDescent="0.25">
      <c r="A68" s="2">
        <v>67</v>
      </c>
      <c r="B68" s="3" t="s">
        <v>235</v>
      </c>
      <c r="C68" s="3" t="s">
        <v>233</v>
      </c>
      <c r="D68" s="3" t="s">
        <v>224</v>
      </c>
      <c r="E68" s="3" t="s">
        <v>234</v>
      </c>
      <c r="F68" s="4">
        <v>3360576896</v>
      </c>
      <c r="G68" s="5">
        <v>45779</v>
      </c>
      <c r="H68" s="5">
        <v>45782</v>
      </c>
      <c r="I68" s="6">
        <v>0.39583333333333331</v>
      </c>
      <c r="J68" s="16">
        <v>42958</v>
      </c>
    </row>
    <row r="69" spans="1:11" x14ac:dyDescent="0.25">
      <c r="A69" s="2">
        <v>68</v>
      </c>
      <c r="B69" s="24" t="s">
        <v>261</v>
      </c>
      <c r="C69" s="19" t="s">
        <v>262</v>
      </c>
      <c r="D69" s="3" t="s">
        <v>11</v>
      </c>
      <c r="E69" s="3" t="s">
        <v>263</v>
      </c>
      <c r="F69" s="4">
        <v>3013313553</v>
      </c>
      <c r="G69" s="5">
        <v>45874</v>
      </c>
      <c r="H69" s="5">
        <v>45876</v>
      </c>
      <c r="I69" s="6">
        <v>0.39583333333333331</v>
      </c>
    </row>
    <row r="70" spans="1:11" x14ac:dyDescent="0.25">
      <c r="A70" s="2">
        <v>69</v>
      </c>
      <c r="B70" s="3" t="s">
        <v>65</v>
      </c>
      <c r="C70" s="3" t="s">
        <v>264</v>
      </c>
      <c r="D70" s="3" t="s">
        <v>11</v>
      </c>
      <c r="E70" s="3" t="s">
        <v>265</v>
      </c>
      <c r="F70" s="4">
        <v>3363396753</v>
      </c>
      <c r="G70" s="5">
        <v>45874</v>
      </c>
      <c r="H70" s="5">
        <v>45876</v>
      </c>
      <c r="I70" s="6">
        <v>0.39583333333333331</v>
      </c>
    </row>
    <row r="71" spans="1:11" x14ac:dyDescent="0.25">
      <c r="A71" s="2">
        <v>70</v>
      </c>
      <c r="B71" s="3" t="s">
        <v>266</v>
      </c>
      <c r="C71" s="3" t="s">
        <v>267</v>
      </c>
      <c r="D71" s="3" t="s">
        <v>247</v>
      </c>
      <c r="E71" s="3" t="s">
        <v>268</v>
      </c>
      <c r="F71" s="4">
        <v>3337112133</v>
      </c>
      <c r="G71" s="5">
        <v>45874</v>
      </c>
      <c r="H71" s="5">
        <v>45876</v>
      </c>
      <c r="I71" s="6">
        <v>0.39583333333333331</v>
      </c>
    </row>
    <row r="72" spans="1:11" x14ac:dyDescent="0.25">
      <c r="A72" s="2">
        <v>71</v>
      </c>
      <c r="B72" s="3" t="s">
        <v>269</v>
      </c>
      <c r="C72" s="3" t="s">
        <v>267</v>
      </c>
      <c r="D72" s="3" t="s">
        <v>196</v>
      </c>
      <c r="E72" s="3" t="s">
        <v>268</v>
      </c>
      <c r="F72" s="4">
        <v>3337112133</v>
      </c>
      <c r="G72" s="5">
        <v>45874</v>
      </c>
      <c r="H72" s="5">
        <v>45876</v>
      </c>
      <c r="I72" s="6">
        <v>0.39583333333333331</v>
      </c>
    </row>
    <row r="73" spans="1:11" x14ac:dyDescent="0.25">
      <c r="A73" s="2">
        <v>72</v>
      </c>
      <c r="B73" s="3" t="s">
        <v>279</v>
      </c>
      <c r="C73" s="3" t="s">
        <v>280</v>
      </c>
      <c r="D73" s="3" t="s">
        <v>274</v>
      </c>
      <c r="E73" s="3" t="s">
        <v>281</v>
      </c>
      <c r="F73" s="4">
        <v>3022655366</v>
      </c>
      <c r="G73" s="5">
        <v>45887</v>
      </c>
      <c r="H73" s="5">
        <v>45890</v>
      </c>
      <c r="I73" s="6">
        <v>0.39583333333333331</v>
      </c>
      <c r="J73" s="5">
        <v>42917</v>
      </c>
    </row>
    <row r="74" spans="1:11" x14ac:dyDescent="0.25">
      <c r="A74" s="2">
        <v>73</v>
      </c>
      <c r="B74" s="3" t="s">
        <v>282</v>
      </c>
      <c r="C74" s="3" t="s">
        <v>283</v>
      </c>
      <c r="D74" s="3" t="s">
        <v>11</v>
      </c>
      <c r="E74" s="3" t="s">
        <v>284</v>
      </c>
      <c r="F74" s="4">
        <v>3310351080</v>
      </c>
      <c r="G74" s="5">
        <v>45887</v>
      </c>
      <c r="H74" s="5">
        <v>45890</v>
      </c>
      <c r="I74" s="6">
        <v>0.39583333333333331</v>
      </c>
      <c r="J74" s="5">
        <v>44071</v>
      </c>
    </row>
    <row r="75" spans="1:11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11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11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11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11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11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</sheetData>
  <conditionalFormatting sqref="A1:I68 A69 D69:I69 A70:I91">
    <cfRule type="expression" dxfId="6" priority="4">
      <formula>$H1&lt;TODAY()</formula>
    </cfRule>
  </conditionalFormatting>
  <conditionalFormatting sqref="J73:J74">
    <cfRule type="expression" dxfId="5" priority="1">
      <formula>$H73&lt;TODAY()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sheetPr>
    <pageSetUpPr fitToPage="1"/>
  </sheetPr>
  <dimension ref="A1:O34"/>
  <sheetViews>
    <sheetView topLeftCell="A18" zoomScaleNormal="100" workbookViewId="0">
      <selection sqref="A1:O34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6" bestFit="1" customWidth="1"/>
    <col min="7" max="7" width="8.140625" bestFit="1" customWidth="1"/>
    <col min="8" max="8" width="14.1406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1" t="s">
        <v>182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25" t="s">
        <v>170</v>
      </c>
      <c r="J2" s="26" t="s">
        <v>171</v>
      </c>
      <c r="K2" s="14" t="s">
        <v>172</v>
      </c>
      <c r="L2" s="27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7">
        <v>1</v>
      </c>
      <c r="B3" s="17">
        <v>408170153</v>
      </c>
      <c r="C3" s="17" t="s">
        <v>177</v>
      </c>
      <c r="D3" s="18"/>
      <c r="E3" s="28" t="s">
        <v>102</v>
      </c>
      <c r="F3" s="19" t="s">
        <v>103</v>
      </c>
      <c r="G3" s="17" t="s">
        <v>178</v>
      </c>
      <c r="H3" s="17" t="s">
        <v>196</v>
      </c>
      <c r="I3" s="20">
        <v>43088</v>
      </c>
      <c r="J3" s="21" t="s">
        <v>180</v>
      </c>
      <c r="K3" s="17" t="s">
        <v>181</v>
      </c>
      <c r="L3" s="22">
        <v>45770</v>
      </c>
      <c r="M3" s="23" t="s">
        <v>105</v>
      </c>
      <c r="N3" s="23"/>
      <c r="O3" s="23" t="s">
        <v>189</v>
      </c>
    </row>
    <row r="4" spans="1:15" ht="15.75" x14ac:dyDescent="0.25">
      <c r="A4" s="17">
        <v>2</v>
      </c>
      <c r="B4" s="17">
        <v>408170153</v>
      </c>
      <c r="C4" s="17" t="s">
        <v>177</v>
      </c>
      <c r="D4" s="21"/>
      <c r="E4" s="24" t="s">
        <v>32</v>
      </c>
      <c r="F4" s="19" t="s">
        <v>108</v>
      </c>
      <c r="G4" s="17" t="s">
        <v>184</v>
      </c>
      <c r="H4" s="17" t="s">
        <v>196</v>
      </c>
      <c r="I4" s="20">
        <v>42853</v>
      </c>
      <c r="J4" s="21" t="s">
        <v>180</v>
      </c>
      <c r="K4" s="17" t="s">
        <v>181</v>
      </c>
      <c r="L4" s="22">
        <v>45775</v>
      </c>
      <c r="M4" s="23" t="s">
        <v>225</v>
      </c>
      <c r="N4" s="23"/>
      <c r="O4" s="23" t="s">
        <v>189</v>
      </c>
    </row>
    <row r="5" spans="1:15" ht="15.75" x14ac:dyDescent="0.25">
      <c r="A5" s="17">
        <v>3</v>
      </c>
      <c r="B5" s="17">
        <v>408170153</v>
      </c>
      <c r="C5" s="17" t="s">
        <v>177</v>
      </c>
      <c r="D5" s="18"/>
      <c r="E5" s="24" t="s">
        <v>242</v>
      </c>
      <c r="F5" s="19" t="s">
        <v>240</v>
      </c>
      <c r="G5" s="17" t="s">
        <v>178</v>
      </c>
      <c r="H5" s="17" t="s">
        <v>196</v>
      </c>
      <c r="I5" s="20">
        <v>43906</v>
      </c>
      <c r="J5" s="21" t="s">
        <v>180</v>
      </c>
      <c r="K5" s="17" t="s">
        <v>181</v>
      </c>
      <c r="L5" s="22">
        <v>45801</v>
      </c>
      <c r="M5" s="23" t="s">
        <v>241</v>
      </c>
      <c r="N5" s="23">
        <v>3083905874</v>
      </c>
      <c r="O5" s="23" t="s">
        <v>278</v>
      </c>
    </row>
    <row r="6" spans="1:15" ht="15.75" x14ac:dyDescent="0.25">
      <c r="A6" s="17">
        <v>4</v>
      </c>
      <c r="B6" s="17">
        <v>408170153</v>
      </c>
      <c r="C6" s="17" t="s">
        <v>177</v>
      </c>
      <c r="D6" s="21"/>
      <c r="E6" s="24" t="s">
        <v>269</v>
      </c>
      <c r="F6" s="19" t="s">
        <v>267</v>
      </c>
      <c r="G6" s="17" t="s">
        <v>178</v>
      </c>
      <c r="H6" s="3" t="s">
        <v>196</v>
      </c>
      <c r="I6" s="20">
        <v>43267</v>
      </c>
      <c r="J6" s="21" t="s">
        <v>180</v>
      </c>
      <c r="K6" s="17" t="s">
        <v>181</v>
      </c>
      <c r="L6" s="22">
        <v>45876</v>
      </c>
      <c r="M6" s="23" t="s">
        <v>271</v>
      </c>
      <c r="N6" s="23">
        <v>3337112133</v>
      </c>
      <c r="O6" s="23" t="s">
        <v>278</v>
      </c>
    </row>
    <row r="7" spans="1:15" ht="15.75" x14ac:dyDescent="0.25">
      <c r="A7" s="17">
        <v>5</v>
      </c>
      <c r="B7" s="17">
        <v>408170153</v>
      </c>
      <c r="C7" s="17" t="s">
        <v>177</v>
      </c>
      <c r="D7" s="18"/>
      <c r="E7" s="24" t="s">
        <v>276</v>
      </c>
      <c r="F7" s="19" t="s">
        <v>273</v>
      </c>
      <c r="G7" s="17" t="s">
        <v>178</v>
      </c>
      <c r="H7" s="17" t="s">
        <v>196</v>
      </c>
      <c r="I7" s="20">
        <v>43101</v>
      </c>
      <c r="J7" s="21" t="s">
        <v>180</v>
      </c>
      <c r="K7" s="17" t="s">
        <v>181</v>
      </c>
      <c r="L7" s="22">
        <v>45757</v>
      </c>
      <c r="M7" s="23" t="s">
        <v>275</v>
      </c>
      <c r="N7" s="23">
        <v>3080471611</v>
      </c>
      <c r="O7" s="23" t="s">
        <v>278</v>
      </c>
    </row>
    <row r="8" spans="1:15" ht="15.75" x14ac:dyDescent="0.25">
      <c r="A8" s="17">
        <v>6</v>
      </c>
      <c r="B8" s="17">
        <v>408170153</v>
      </c>
      <c r="C8" s="17" t="s">
        <v>177</v>
      </c>
      <c r="D8" s="21"/>
      <c r="E8" s="24" t="s">
        <v>277</v>
      </c>
      <c r="F8" s="19" t="s">
        <v>273</v>
      </c>
      <c r="G8" s="17" t="s">
        <v>184</v>
      </c>
      <c r="H8" s="17" t="s">
        <v>196</v>
      </c>
      <c r="I8" s="20">
        <v>43466</v>
      </c>
      <c r="J8" s="21" t="s">
        <v>180</v>
      </c>
      <c r="K8" s="17" t="s">
        <v>181</v>
      </c>
      <c r="L8" s="22">
        <v>45757</v>
      </c>
      <c r="M8" s="23" t="s">
        <v>275</v>
      </c>
      <c r="N8" s="23">
        <v>3080471611</v>
      </c>
      <c r="O8" s="23" t="s">
        <v>278</v>
      </c>
    </row>
    <row r="9" spans="1:15" ht="15.75" x14ac:dyDescent="0.25">
      <c r="A9" s="17">
        <v>7</v>
      </c>
      <c r="B9" s="17">
        <v>408170153</v>
      </c>
      <c r="C9" s="17" t="s">
        <v>177</v>
      </c>
      <c r="D9" s="18"/>
      <c r="E9" s="24" t="s">
        <v>243</v>
      </c>
      <c r="F9" s="19" t="s">
        <v>240</v>
      </c>
      <c r="G9" s="17" t="s">
        <v>178</v>
      </c>
      <c r="H9" s="17" t="s">
        <v>248</v>
      </c>
      <c r="I9" s="20">
        <v>43516</v>
      </c>
      <c r="J9" s="21" t="s">
        <v>180</v>
      </c>
      <c r="K9" s="17" t="s">
        <v>181</v>
      </c>
      <c r="L9" s="22">
        <v>45801</v>
      </c>
      <c r="M9" s="23" t="s">
        <v>241</v>
      </c>
      <c r="N9" s="23">
        <v>3083905874</v>
      </c>
      <c r="O9" s="23" t="s">
        <v>278</v>
      </c>
    </row>
    <row r="10" spans="1:15" ht="15.75" x14ac:dyDescent="0.25">
      <c r="A10" s="17">
        <v>8</v>
      </c>
      <c r="B10" s="17">
        <v>408170153</v>
      </c>
      <c r="C10" s="17" t="s">
        <v>177</v>
      </c>
      <c r="D10" s="21"/>
      <c r="E10" s="29" t="s">
        <v>211</v>
      </c>
      <c r="F10" s="30" t="s">
        <v>212</v>
      </c>
      <c r="G10" s="17" t="s">
        <v>184</v>
      </c>
      <c r="H10" s="17" t="s">
        <v>247</v>
      </c>
      <c r="I10" s="20">
        <v>42956</v>
      </c>
      <c r="J10" s="21" t="s">
        <v>180</v>
      </c>
      <c r="K10" s="17" t="s">
        <v>181</v>
      </c>
      <c r="L10" s="22">
        <v>45776</v>
      </c>
      <c r="M10" s="23" t="s">
        <v>214</v>
      </c>
      <c r="N10" s="23">
        <v>3030439230</v>
      </c>
      <c r="O10" s="23" t="s">
        <v>189</v>
      </c>
    </row>
    <row r="11" spans="1:15" ht="15.75" x14ac:dyDescent="0.25">
      <c r="A11" s="17">
        <v>9</v>
      </c>
      <c r="B11" s="17">
        <v>408170153</v>
      </c>
      <c r="C11" s="17" t="s">
        <v>177</v>
      </c>
      <c r="D11" s="18"/>
      <c r="E11" s="24" t="s">
        <v>266</v>
      </c>
      <c r="F11" s="19" t="s">
        <v>267</v>
      </c>
      <c r="G11" s="17" t="s">
        <v>184</v>
      </c>
      <c r="H11" s="3" t="s">
        <v>247</v>
      </c>
      <c r="I11" s="20">
        <v>42424</v>
      </c>
      <c r="J11" s="21" t="s">
        <v>180</v>
      </c>
      <c r="K11" s="17" t="s">
        <v>181</v>
      </c>
      <c r="L11" s="22">
        <v>45876</v>
      </c>
      <c r="M11" s="23" t="s">
        <v>271</v>
      </c>
      <c r="N11" s="23">
        <v>3337112133</v>
      </c>
      <c r="O11" s="23" t="s">
        <v>278</v>
      </c>
    </row>
    <row r="12" spans="1:15" ht="15.75" x14ac:dyDescent="0.25">
      <c r="A12" s="17">
        <v>10</v>
      </c>
      <c r="B12" s="17">
        <v>408170153</v>
      </c>
      <c r="C12" s="17" t="s">
        <v>177</v>
      </c>
      <c r="D12" s="21"/>
      <c r="E12" s="24" t="s">
        <v>272</v>
      </c>
      <c r="F12" s="19" t="s">
        <v>273</v>
      </c>
      <c r="G12" s="17" t="s">
        <v>178</v>
      </c>
      <c r="H12" s="17" t="s">
        <v>274</v>
      </c>
      <c r="I12" s="20">
        <v>42095</v>
      </c>
      <c r="J12" s="21" t="s">
        <v>180</v>
      </c>
      <c r="K12" s="17" t="s">
        <v>181</v>
      </c>
      <c r="L12" s="22">
        <v>45757</v>
      </c>
      <c r="M12" s="23" t="s">
        <v>275</v>
      </c>
      <c r="N12" s="23">
        <v>3080471611</v>
      </c>
      <c r="O12" s="23" t="s">
        <v>278</v>
      </c>
    </row>
    <row r="13" spans="1:15" ht="15.75" x14ac:dyDescent="0.25">
      <c r="A13" s="17">
        <v>11</v>
      </c>
      <c r="B13" s="17">
        <v>408170153</v>
      </c>
      <c r="C13" s="17" t="s">
        <v>177</v>
      </c>
      <c r="D13" s="21"/>
      <c r="E13" s="24" t="s">
        <v>244</v>
      </c>
      <c r="F13" s="19" t="s">
        <v>245</v>
      </c>
      <c r="G13" s="17" t="s">
        <v>178</v>
      </c>
      <c r="H13" s="17" t="s">
        <v>238</v>
      </c>
      <c r="I13" s="20">
        <v>43824</v>
      </c>
      <c r="J13" s="21" t="s">
        <v>180</v>
      </c>
      <c r="K13" s="17" t="s">
        <v>181</v>
      </c>
      <c r="L13" s="22">
        <v>45806</v>
      </c>
      <c r="M13" s="23" t="s">
        <v>246</v>
      </c>
      <c r="N13" s="23">
        <v>3331249111</v>
      </c>
      <c r="O13" s="23" t="s">
        <v>189</v>
      </c>
    </row>
    <row r="14" spans="1:15" ht="15.75" x14ac:dyDescent="0.25">
      <c r="A14" s="17">
        <v>12</v>
      </c>
      <c r="B14" s="17">
        <v>408170153</v>
      </c>
      <c r="C14" s="17" t="s">
        <v>177</v>
      </c>
      <c r="D14" s="18"/>
      <c r="E14" s="24" t="s">
        <v>124</v>
      </c>
      <c r="F14" s="19" t="s">
        <v>133</v>
      </c>
      <c r="G14" s="17" t="s">
        <v>178</v>
      </c>
      <c r="H14" s="17" t="s">
        <v>179</v>
      </c>
      <c r="I14" s="20">
        <v>43711</v>
      </c>
      <c r="J14" s="21" t="s">
        <v>180</v>
      </c>
      <c r="K14" s="17" t="s">
        <v>181</v>
      </c>
      <c r="L14" s="22">
        <v>45770</v>
      </c>
      <c r="M14" s="23" t="s">
        <v>126</v>
      </c>
      <c r="N14" s="23">
        <v>3008912581</v>
      </c>
      <c r="O14" s="23" t="s">
        <v>189</v>
      </c>
    </row>
    <row r="15" spans="1:15" ht="15.75" x14ac:dyDescent="0.25">
      <c r="A15" s="17">
        <v>13</v>
      </c>
      <c r="B15" s="17">
        <v>408170153</v>
      </c>
      <c r="C15" s="17" t="s">
        <v>177</v>
      </c>
      <c r="D15" s="21"/>
      <c r="E15" s="24" t="s">
        <v>183</v>
      </c>
      <c r="F15" s="19" t="s">
        <v>50</v>
      </c>
      <c r="G15" s="17" t="s">
        <v>184</v>
      </c>
      <c r="H15" s="17" t="s">
        <v>179</v>
      </c>
      <c r="I15" s="20">
        <v>44013</v>
      </c>
      <c r="J15" s="21" t="s">
        <v>180</v>
      </c>
      <c r="K15" s="17" t="s">
        <v>181</v>
      </c>
      <c r="L15" s="22">
        <v>45770</v>
      </c>
      <c r="M15" s="23" t="s">
        <v>185</v>
      </c>
      <c r="N15" s="23">
        <v>3408550574</v>
      </c>
      <c r="O15" s="23" t="s">
        <v>189</v>
      </c>
    </row>
    <row r="16" spans="1:15" ht="15.75" x14ac:dyDescent="0.25">
      <c r="A16" s="17">
        <v>14</v>
      </c>
      <c r="B16" s="17">
        <v>408170153</v>
      </c>
      <c r="C16" s="17" t="s">
        <v>177</v>
      </c>
      <c r="D16" s="18"/>
      <c r="E16" s="24" t="s">
        <v>87</v>
      </c>
      <c r="F16" s="19" t="s">
        <v>88</v>
      </c>
      <c r="G16" s="17" t="s">
        <v>184</v>
      </c>
      <c r="H16" s="17" t="s">
        <v>179</v>
      </c>
      <c r="I16" s="20">
        <v>43832</v>
      </c>
      <c r="J16" s="21" t="s">
        <v>180</v>
      </c>
      <c r="K16" s="17" t="s">
        <v>181</v>
      </c>
      <c r="L16" s="22">
        <v>45770</v>
      </c>
      <c r="M16" s="23" t="s">
        <v>89</v>
      </c>
      <c r="N16" s="23">
        <v>3022345160</v>
      </c>
      <c r="O16" s="23" t="s">
        <v>189</v>
      </c>
    </row>
    <row r="17" spans="1:15" ht="15.75" x14ac:dyDescent="0.25">
      <c r="A17" s="17">
        <v>15</v>
      </c>
      <c r="B17" s="17">
        <v>408170153</v>
      </c>
      <c r="C17" s="17" t="s">
        <v>177</v>
      </c>
      <c r="D17" s="21"/>
      <c r="E17" s="24" t="s">
        <v>186</v>
      </c>
      <c r="F17" s="19" t="s">
        <v>187</v>
      </c>
      <c r="G17" s="17" t="s">
        <v>184</v>
      </c>
      <c r="H17" s="17" t="s">
        <v>179</v>
      </c>
      <c r="I17" s="20">
        <v>43574</v>
      </c>
      <c r="J17" s="21" t="s">
        <v>180</v>
      </c>
      <c r="K17" s="17" t="s">
        <v>181</v>
      </c>
      <c r="L17" s="22">
        <v>45770</v>
      </c>
      <c r="M17" s="23" t="s">
        <v>188</v>
      </c>
      <c r="N17" s="23">
        <v>3152717911</v>
      </c>
      <c r="O17" s="23" t="s">
        <v>189</v>
      </c>
    </row>
    <row r="18" spans="1:15" ht="15.75" x14ac:dyDescent="0.25">
      <c r="A18" s="17">
        <v>16</v>
      </c>
      <c r="B18" s="17">
        <v>408170153</v>
      </c>
      <c r="C18" s="17" t="s">
        <v>177</v>
      </c>
      <c r="D18" s="18"/>
      <c r="E18" s="24" t="s">
        <v>68</v>
      </c>
      <c r="F18" s="19" t="s">
        <v>69</v>
      </c>
      <c r="G18" s="17" t="s">
        <v>178</v>
      </c>
      <c r="H18" s="17" t="s">
        <v>179</v>
      </c>
      <c r="I18" s="20">
        <v>43879</v>
      </c>
      <c r="J18" s="21" t="s">
        <v>180</v>
      </c>
      <c r="K18" s="17" t="s">
        <v>181</v>
      </c>
      <c r="L18" s="22">
        <v>45770</v>
      </c>
      <c r="M18" s="23" t="s">
        <v>190</v>
      </c>
      <c r="N18" s="23">
        <v>3213522748</v>
      </c>
      <c r="O18" s="23" t="s">
        <v>189</v>
      </c>
    </row>
    <row r="19" spans="1:15" ht="15.75" x14ac:dyDescent="0.25">
      <c r="A19" s="17">
        <v>17</v>
      </c>
      <c r="B19" s="17">
        <v>408170153</v>
      </c>
      <c r="C19" s="17" t="s">
        <v>177</v>
      </c>
      <c r="D19" s="21"/>
      <c r="E19" s="24" t="s">
        <v>36</v>
      </c>
      <c r="F19" s="19" t="s">
        <v>130</v>
      </c>
      <c r="G19" s="17" t="s">
        <v>178</v>
      </c>
      <c r="H19" s="17" t="s">
        <v>179</v>
      </c>
      <c r="I19" s="20">
        <v>43471</v>
      </c>
      <c r="J19" s="21" t="s">
        <v>180</v>
      </c>
      <c r="K19" s="17" t="s">
        <v>181</v>
      </c>
      <c r="L19" s="22">
        <v>45770</v>
      </c>
      <c r="M19" s="23" t="s">
        <v>191</v>
      </c>
      <c r="N19" s="23">
        <v>3472586633</v>
      </c>
      <c r="O19" s="23" t="s">
        <v>189</v>
      </c>
    </row>
    <row r="20" spans="1:15" ht="15.75" x14ac:dyDescent="0.25">
      <c r="A20" s="17">
        <v>18</v>
      </c>
      <c r="B20" s="17">
        <v>408170153</v>
      </c>
      <c r="C20" s="17" t="s">
        <v>177</v>
      </c>
      <c r="D20" s="18"/>
      <c r="E20" s="24" t="s">
        <v>70</v>
      </c>
      <c r="F20" s="19" t="s">
        <v>192</v>
      </c>
      <c r="G20" s="17" t="s">
        <v>178</v>
      </c>
      <c r="H20" s="17" t="s">
        <v>179</v>
      </c>
      <c r="I20" s="20">
        <v>44143</v>
      </c>
      <c r="J20" s="21" t="s">
        <v>180</v>
      </c>
      <c r="K20" s="17" t="s">
        <v>181</v>
      </c>
      <c r="L20" s="22">
        <v>45770</v>
      </c>
      <c r="M20" s="23" t="s">
        <v>72</v>
      </c>
      <c r="N20" s="23">
        <v>3368603595</v>
      </c>
      <c r="O20" s="23" t="s">
        <v>189</v>
      </c>
    </row>
    <row r="21" spans="1:15" ht="15.75" x14ac:dyDescent="0.25">
      <c r="A21" s="17">
        <v>19</v>
      </c>
      <c r="B21" s="17">
        <v>408170153</v>
      </c>
      <c r="C21" s="17" t="s">
        <v>177</v>
      </c>
      <c r="D21" s="21"/>
      <c r="E21" s="28" t="s">
        <v>193</v>
      </c>
      <c r="F21" s="28" t="s">
        <v>194</v>
      </c>
      <c r="G21" s="17" t="s">
        <v>178</v>
      </c>
      <c r="H21" s="17" t="s">
        <v>179</v>
      </c>
      <c r="I21" s="20">
        <v>44096</v>
      </c>
      <c r="J21" s="21" t="s">
        <v>180</v>
      </c>
      <c r="K21" s="17" t="s">
        <v>181</v>
      </c>
      <c r="L21" s="22">
        <v>45770</v>
      </c>
      <c r="M21" s="23" t="s">
        <v>195</v>
      </c>
      <c r="N21" s="23">
        <v>3158719338</v>
      </c>
      <c r="O21" s="23" t="s">
        <v>189</v>
      </c>
    </row>
    <row r="22" spans="1:15" ht="15.75" x14ac:dyDescent="0.25">
      <c r="A22" s="17">
        <v>20</v>
      </c>
      <c r="B22" s="17">
        <v>408170153</v>
      </c>
      <c r="C22" s="17" t="s">
        <v>177</v>
      </c>
      <c r="D22" s="18"/>
      <c r="E22" s="24" t="s">
        <v>197</v>
      </c>
      <c r="F22" s="19" t="s">
        <v>110</v>
      </c>
      <c r="G22" s="17" t="s">
        <v>184</v>
      </c>
      <c r="H22" s="17" t="s">
        <v>179</v>
      </c>
      <c r="I22" s="20">
        <v>44069</v>
      </c>
      <c r="J22" s="21" t="s">
        <v>180</v>
      </c>
      <c r="K22" s="17" t="s">
        <v>181</v>
      </c>
      <c r="L22" s="22">
        <v>45770</v>
      </c>
      <c r="M22" s="23" t="s">
        <v>111</v>
      </c>
      <c r="N22" s="23">
        <v>3333115124</v>
      </c>
      <c r="O22" s="23" t="s">
        <v>189</v>
      </c>
    </row>
    <row r="23" spans="1:15" ht="15.75" x14ac:dyDescent="0.25">
      <c r="A23" s="17">
        <v>21</v>
      </c>
      <c r="B23" s="17">
        <v>408170153</v>
      </c>
      <c r="C23" s="17" t="s">
        <v>177</v>
      </c>
      <c r="D23" s="21"/>
      <c r="E23" s="24" t="s">
        <v>198</v>
      </c>
      <c r="F23" s="19" t="s">
        <v>199</v>
      </c>
      <c r="G23" s="17" t="s">
        <v>178</v>
      </c>
      <c r="H23" s="17" t="s">
        <v>179</v>
      </c>
      <c r="I23" s="20">
        <v>43881</v>
      </c>
      <c r="J23" s="21" t="s">
        <v>180</v>
      </c>
      <c r="K23" s="17" t="s">
        <v>181</v>
      </c>
      <c r="L23" s="22">
        <v>45770</v>
      </c>
      <c r="M23" s="23" t="s">
        <v>200</v>
      </c>
      <c r="N23" s="23">
        <v>3412510302</v>
      </c>
      <c r="O23" s="23" t="s">
        <v>189</v>
      </c>
    </row>
    <row r="24" spans="1:15" ht="15.75" x14ac:dyDescent="0.25">
      <c r="A24" s="17">
        <v>22</v>
      </c>
      <c r="B24" s="17">
        <v>408170153</v>
      </c>
      <c r="C24" s="17" t="s">
        <v>177</v>
      </c>
      <c r="D24" s="18"/>
      <c r="E24" s="24" t="s">
        <v>25</v>
      </c>
      <c r="F24" s="19" t="s">
        <v>26</v>
      </c>
      <c r="G24" s="17" t="s">
        <v>178</v>
      </c>
      <c r="H24" s="17" t="s">
        <v>179</v>
      </c>
      <c r="I24" s="20">
        <v>43936</v>
      </c>
      <c r="J24" s="21" t="s">
        <v>180</v>
      </c>
      <c r="K24" s="17" t="s">
        <v>181</v>
      </c>
      <c r="L24" s="22">
        <v>45770</v>
      </c>
      <c r="M24" s="23" t="s">
        <v>27</v>
      </c>
      <c r="N24" s="23">
        <v>3471801620</v>
      </c>
      <c r="O24" s="23" t="s">
        <v>189</v>
      </c>
    </row>
    <row r="25" spans="1:15" ht="15.75" x14ac:dyDescent="0.25">
      <c r="A25" s="17">
        <v>23</v>
      </c>
      <c r="B25" s="17">
        <v>408170153</v>
      </c>
      <c r="C25" s="17" t="s">
        <v>177</v>
      </c>
      <c r="D25" s="21"/>
      <c r="E25" s="24" t="s">
        <v>201</v>
      </c>
      <c r="F25" s="19" t="s">
        <v>20</v>
      </c>
      <c r="G25" s="17" t="s">
        <v>178</v>
      </c>
      <c r="H25" s="17" t="s">
        <v>179</v>
      </c>
      <c r="I25" s="20">
        <v>43871</v>
      </c>
      <c r="J25" s="21" t="s">
        <v>180</v>
      </c>
      <c r="K25" s="17" t="s">
        <v>181</v>
      </c>
      <c r="L25" s="22">
        <v>45770</v>
      </c>
      <c r="M25" s="23" t="s">
        <v>21</v>
      </c>
      <c r="N25" s="23">
        <v>3471801620</v>
      </c>
      <c r="O25" s="23" t="s">
        <v>189</v>
      </c>
    </row>
    <row r="26" spans="1:15" ht="15.75" x14ac:dyDescent="0.25">
      <c r="A26" s="17">
        <v>24</v>
      </c>
      <c r="B26" s="17">
        <v>408170153</v>
      </c>
      <c r="C26" s="17" t="s">
        <v>177</v>
      </c>
      <c r="D26" s="18"/>
      <c r="E26" s="24" t="s">
        <v>202</v>
      </c>
      <c r="F26" s="19" t="s">
        <v>203</v>
      </c>
      <c r="G26" s="17" t="s">
        <v>184</v>
      </c>
      <c r="H26" s="17" t="s">
        <v>179</v>
      </c>
      <c r="I26" s="20">
        <v>43936</v>
      </c>
      <c r="J26" s="21" t="s">
        <v>180</v>
      </c>
      <c r="K26" s="17" t="s">
        <v>181</v>
      </c>
      <c r="L26" s="22">
        <v>45770</v>
      </c>
      <c r="M26" s="23" t="s">
        <v>18</v>
      </c>
      <c r="N26" s="23">
        <v>3471801620</v>
      </c>
      <c r="O26" s="23" t="s">
        <v>189</v>
      </c>
    </row>
    <row r="27" spans="1:15" ht="15.75" x14ac:dyDescent="0.25">
      <c r="A27" s="17">
        <v>25</v>
      </c>
      <c r="B27" s="17">
        <v>408170153</v>
      </c>
      <c r="C27" s="17" t="s">
        <v>177</v>
      </c>
      <c r="D27" s="21"/>
      <c r="E27" s="24" t="s">
        <v>160</v>
      </c>
      <c r="F27" s="19" t="s">
        <v>161</v>
      </c>
      <c r="G27" s="17" t="s">
        <v>184</v>
      </c>
      <c r="H27" s="17" t="s">
        <v>179</v>
      </c>
      <c r="I27" s="20">
        <v>43723</v>
      </c>
      <c r="J27" s="21" t="s">
        <v>180</v>
      </c>
      <c r="K27" s="17" t="s">
        <v>181</v>
      </c>
      <c r="L27" s="22">
        <v>45770</v>
      </c>
      <c r="M27" s="23" t="s">
        <v>162</v>
      </c>
      <c r="N27" s="23">
        <v>3146147223</v>
      </c>
      <c r="O27" s="23" t="s">
        <v>189</v>
      </c>
    </row>
    <row r="28" spans="1:15" ht="15.75" x14ac:dyDescent="0.25">
      <c r="A28" s="17">
        <v>26</v>
      </c>
      <c r="B28" s="17">
        <v>408170153</v>
      </c>
      <c r="C28" s="17" t="s">
        <v>177</v>
      </c>
      <c r="D28" s="18"/>
      <c r="E28" s="24" t="s">
        <v>9</v>
      </c>
      <c r="F28" s="19" t="s">
        <v>10</v>
      </c>
      <c r="G28" s="17" t="s">
        <v>184</v>
      </c>
      <c r="H28" s="17" t="s">
        <v>179</v>
      </c>
      <c r="I28" s="20">
        <v>43930</v>
      </c>
      <c r="J28" s="21" t="s">
        <v>180</v>
      </c>
      <c r="K28" s="17" t="s">
        <v>181</v>
      </c>
      <c r="L28" s="22">
        <v>45770</v>
      </c>
      <c r="M28" s="23" t="s">
        <v>12</v>
      </c>
      <c r="N28" s="23">
        <v>3437668872</v>
      </c>
      <c r="O28" s="23" t="s">
        <v>189</v>
      </c>
    </row>
    <row r="29" spans="1:15" ht="15.75" x14ac:dyDescent="0.25">
      <c r="A29" s="17">
        <v>27</v>
      </c>
      <c r="B29" s="17">
        <v>408170153</v>
      </c>
      <c r="C29" s="17" t="s">
        <v>177</v>
      </c>
      <c r="D29" s="21"/>
      <c r="E29" s="24" t="s">
        <v>13</v>
      </c>
      <c r="F29" s="19" t="s">
        <v>215</v>
      </c>
      <c r="G29" s="17" t="s">
        <v>178</v>
      </c>
      <c r="H29" s="17" t="s">
        <v>179</v>
      </c>
      <c r="I29" s="20">
        <v>43830</v>
      </c>
      <c r="J29" s="21" t="s">
        <v>180</v>
      </c>
      <c r="K29" s="17" t="s">
        <v>181</v>
      </c>
      <c r="L29" s="22">
        <v>45771</v>
      </c>
      <c r="M29" s="23" t="s">
        <v>15</v>
      </c>
      <c r="N29" s="23">
        <v>3018250207</v>
      </c>
      <c r="O29" s="23" t="s">
        <v>189</v>
      </c>
    </row>
    <row r="30" spans="1:15" ht="15.75" x14ac:dyDescent="0.25">
      <c r="A30" s="17">
        <v>28</v>
      </c>
      <c r="B30" s="17">
        <v>408170153</v>
      </c>
      <c r="C30" s="17" t="s">
        <v>177</v>
      </c>
      <c r="D30" s="18"/>
      <c r="E30" s="24" t="s">
        <v>163</v>
      </c>
      <c r="F30" s="19" t="s">
        <v>115</v>
      </c>
      <c r="G30" s="17" t="s">
        <v>184</v>
      </c>
      <c r="H30" s="17" t="s">
        <v>179</v>
      </c>
      <c r="I30" s="20">
        <v>43626</v>
      </c>
      <c r="J30" s="21" t="s">
        <v>180</v>
      </c>
      <c r="K30" s="17" t="s">
        <v>181</v>
      </c>
      <c r="L30" s="22">
        <v>45771</v>
      </c>
      <c r="M30" s="23" t="s">
        <v>164</v>
      </c>
      <c r="N30" s="23">
        <v>3012244916</v>
      </c>
      <c r="O30" s="23" t="s">
        <v>189</v>
      </c>
    </row>
    <row r="31" spans="1:15" ht="15.75" x14ac:dyDescent="0.25">
      <c r="A31" s="17">
        <v>29</v>
      </c>
      <c r="B31" s="17">
        <v>408170153</v>
      </c>
      <c r="C31" s="17" t="s">
        <v>177</v>
      </c>
      <c r="D31" s="18"/>
      <c r="E31" s="24" t="s">
        <v>226</v>
      </c>
      <c r="F31" s="19" t="s">
        <v>148</v>
      </c>
      <c r="G31" s="17" t="s">
        <v>178</v>
      </c>
      <c r="H31" s="17" t="s">
        <v>179</v>
      </c>
      <c r="I31" s="20">
        <v>44419</v>
      </c>
      <c r="J31" s="21" t="s">
        <v>180</v>
      </c>
      <c r="K31" s="17" t="s">
        <v>181</v>
      </c>
      <c r="L31" s="22">
        <v>45776</v>
      </c>
      <c r="M31" s="23" t="s">
        <v>149</v>
      </c>
      <c r="N31" s="23"/>
      <c r="O31" s="23" t="s">
        <v>189</v>
      </c>
    </row>
    <row r="32" spans="1:15" ht="15.75" x14ac:dyDescent="0.25">
      <c r="A32" s="17">
        <v>30</v>
      </c>
      <c r="B32" s="17">
        <v>408170153</v>
      </c>
      <c r="C32" s="17" t="s">
        <v>177</v>
      </c>
      <c r="D32" s="21"/>
      <c r="E32" s="24" t="s">
        <v>221</v>
      </c>
      <c r="F32" s="19" t="s">
        <v>222</v>
      </c>
      <c r="G32" s="17" t="s">
        <v>184</v>
      </c>
      <c r="H32" s="17" t="s">
        <v>179</v>
      </c>
      <c r="I32" s="20">
        <v>43419</v>
      </c>
      <c r="J32" s="21" t="s">
        <v>180</v>
      </c>
      <c r="K32" s="17" t="s">
        <v>181</v>
      </c>
      <c r="L32" s="22">
        <v>45779</v>
      </c>
      <c r="M32" s="23" t="s">
        <v>223</v>
      </c>
      <c r="N32" s="23">
        <v>3178789685</v>
      </c>
      <c r="O32" s="23" t="s">
        <v>189</v>
      </c>
    </row>
    <row r="33" spans="1:15" ht="15.75" x14ac:dyDescent="0.25">
      <c r="A33" s="17">
        <v>31</v>
      </c>
      <c r="B33" s="17">
        <v>408170153</v>
      </c>
      <c r="C33" s="17" t="s">
        <v>177</v>
      </c>
      <c r="D33" s="21"/>
      <c r="E33" s="24" t="s">
        <v>239</v>
      </c>
      <c r="F33" s="19" t="s">
        <v>240</v>
      </c>
      <c r="G33" s="17" t="s">
        <v>178</v>
      </c>
      <c r="H33" s="17" t="s">
        <v>179</v>
      </c>
      <c r="I33" s="20">
        <v>44427</v>
      </c>
      <c r="J33" s="21" t="s">
        <v>180</v>
      </c>
      <c r="K33" s="17" t="s">
        <v>181</v>
      </c>
      <c r="L33" s="22">
        <v>45801</v>
      </c>
      <c r="M33" s="23" t="s">
        <v>241</v>
      </c>
      <c r="N33" s="23">
        <v>3083905874</v>
      </c>
      <c r="O33" s="23" t="s">
        <v>278</v>
      </c>
    </row>
    <row r="34" spans="1:15" ht="15.75" x14ac:dyDescent="0.25">
      <c r="A34" s="17">
        <v>32</v>
      </c>
      <c r="B34" s="17">
        <v>408170153</v>
      </c>
      <c r="C34" s="17" t="s">
        <v>177</v>
      </c>
      <c r="D34" s="21"/>
      <c r="E34" s="24" t="s">
        <v>65</v>
      </c>
      <c r="F34" s="19" t="s">
        <v>264</v>
      </c>
      <c r="G34" s="17" t="s">
        <v>178</v>
      </c>
      <c r="H34" s="3" t="s">
        <v>179</v>
      </c>
      <c r="I34" s="20">
        <v>44159</v>
      </c>
      <c r="J34" s="21" t="s">
        <v>180</v>
      </c>
      <c r="K34" s="17" t="s">
        <v>181</v>
      </c>
      <c r="L34" s="22">
        <v>45876</v>
      </c>
      <c r="M34" s="23" t="s">
        <v>270</v>
      </c>
      <c r="N34" s="23">
        <v>3363396753</v>
      </c>
      <c r="O34" s="23" t="s">
        <v>189</v>
      </c>
    </row>
  </sheetData>
  <sortState xmlns:xlrd2="http://schemas.microsoft.com/office/spreadsheetml/2017/richdata2" ref="A3:O34">
    <sortCondition ref="H3:H34"/>
  </sortState>
  <mergeCells count="1">
    <mergeCell ref="A1:O1"/>
  </mergeCells>
  <conditionalFormatting sqref="D1:D34">
    <cfRule type="duplicateValues" dxfId="4" priority="34"/>
  </conditionalFormatting>
  <conditionalFormatting sqref="E21:F21">
    <cfRule type="expression" dxfId="3" priority="12">
      <formula>$H21&lt;TODAY()</formula>
    </cfRule>
  </conditionalFormatting>
  <conditionalFormatting sqref="M1:M34">
    <cfRule type="duplicateValues" dxfId="2" priority="36"/>
  </conditionalFormatting>
  <conditionalFormatting sqref="N1:N32">
    <cfRule type="duplicateValues" dxfId="1" priority="32"/>
  </conditionalFormatting>
  <conditionalFormatting sqref="N33:N34">
    <cfRule type="duplicateValues" dxfId="0" priority="25"/>
  </conditionalFormatting>
  <pageMargins left="0.25" right="0.25" top="0.75" bottom="0.75" header="0.3" footer="0.3"/>
  <pageSetup paperSize="9" scale="68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topLeftCell="A10"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34" t="s">
        <v>134</v>
      </c>
      <c r="B1" s="35"/>
      <c r="C1" s="35"/>
      <c r="D1" s="35"/>
      <c r="E1" s="36"/>
    </row>
    <row r="2" spans="1:5" ht="35.1" customHeight="1" x14ac:dyDescent="0.25">
      <c r="A2" s="12" t="s">
        <v>135</v>
      </c>
      <c r="B2" s="32"/>
      <c r="C2" s="32"/>
      <c r="D2" s="32"/>
      <c r="E2" s="33"/>
    </row>
    <row r="3" spans="1:5" ht="35.1" customHeight="1" x14ac:dyDescent="0.25">
      <c r="A3" s="12" t="s">
        <v>136</v>
      </c>
      <c r="B3" s="32"/>
      <c r="C3" s="32"/>
      <c r="D3" s="32"/>
      <c r="E3" s="33"/>
    </row>
    <row r="4" spans="1:5" ht="35.1" customHeight="1" x14ac:dyDescent="0.25">
      <c r="A4" s="12" t="s">
        <v>3</v>
      </c>
      <c r="B4" s="32"/>
      <c r="C4" s="32"/>
      <c r="D4" s="32"/>
      <c r="E4" s="33"/>
    </row>
    <row r="5" spans="1:5" ht="35.1" customHeight="1" x14ac:dyDescent="0.25">
      <c r="A5" s="12" t="s">
        <v>137</v>
      </c>
      <c r="B5" s="32"/>
      <c r="C5" s="32"/>
      <c r="D5" s="32"/>
      <c r="E5" s="33"/>
    </row>
    <row r="6" spans="1:5" ht="35.1" customHeight="1" x14ac:dyDescent="0.25">
      <c r="A6" s="12" t="s">
        <v>138</v>
      </c>
      <c r="B6" s="32"/>
      <c r="C6" s="32"/>
      <c r="D6" s="32"/>
      <c r="E6" s="33"/>
    </row>
    <row r="7" spans="1:5" ht="35.1" customHeight="1" thickBot="1" x14ac:dyDescent="0.3">
      <c r="A7" s="13" t="s">
        <v>139</v>
      </c>
      <c r="B7" s="37"/>
      <c r="C7" s="37"/>
      <c r="D7" s="37"/>
      <c r="E7" s="38"/>
    </row>
    <row r="20" spans="1:5" ht="15.75" thickBot="1" x14ac:dyDescent="0.3"/>
    <row r="21" spans="1:5" ht="39.950000000000003" customHeight="1" x14ac:dyDescent="0.25">
      <c r="A21" s="34" t="s">
        <v>134</v>
      </c>
      <c r="B21" s="35"/>
      <c r="C21" s="35"/>
      <c r="D21" s="35"/>
      <c r="E21" s="36"/>
    </row>
    <row r="22" spans="1:5" ht="35.1" customHeight="1" x14ac:dyDescent="0.25">
      <c r="A22" s="12" t="s">
        <v>135</v>
      </c>
      <c r="B22" s="32"/>
      <c r="C22" s="32"/>
      <c r="D22" s="32"/>
      <c r="E22" s="33"/>
    </row>
    <row r="23" spans="1:5" ht="35.1" customHeight="1" x14ac:dyDescent="0.25">
      <c r="A23" s="12" t="s">
        <v>136</v>
      </c>
      <c r="B23" s="32"/>
      <c r="C23" s="32"/>
      <c r="D23" s="32"/>
      <c r="E23" s="33"/>
    </row>
    <row r="24" spans="1:5" ht="35.1" customHeight="1" x14ac:dyDescent="0.25">
      <c r="A24" s="12" t="s">
        <v>3</v>
      </c>
      <c r="B24" s="32"/>
      <c r="C24" s="32"/>
      <c r="D24" s="32"/>
      <c r="E24" s="33"/>
    </row>
    <row r="25" spans="1:5" ht="35.1" customHeight="1" x14ac:dyDescent="0.25">
      <c r="A25" s="12" t="s">
        <v>137</v>
      </c>
      <c r="B25" s="32"/>
      <c r="C25" s="32"/>
      <c r="D25" s="32"/>
      <c r="E25" s="33"/>
    </row>
    <row r="26" spans="1:5" ht="35.1" customHeight="1" x14ac:dyDescent="0.25">
      <c r="A26" s="12" t="s">
        <v>138</v>
      </c>
      <c r="B26" s="32"/>
      <c r="C26" s="32"/>
      <c r="D26" s="32"/>
      <c r="E26" s="33"/>
    </row>
    <row r="27" spans="1:5" ht="35.1" customHeight="1" thickBot="1" x14ac:dyDescent="0.3">
      <c r="A27" s="13" t="s">
        <v>139</v>
      </c>
      <c r="B27" s="37"/>
      <c r="C27" s="37"/>
      <c r="D27" s="37"/>
      <c r="E27" s="38"/>
    </row>
  </sheetData>
  <mergeCells count="14">
    <mergeCell ref="B26:E26"/>
    <mergeCell ref="B27:E27"/>
    <mergeCell ref="B7:E7"/>
    <mergeCell ref="A21:E21"/>
    <mergeCell ref="B22:E22"/>
    <mergeCell ref="B23:E23"/>
    <mergeCell ref="B24:E24"/>
    <mergeCell ref="B25:E25"/>
    <mergeCell ref="B6:E6"/>
    <mergeCell ref="A1:E1"/>
    <mergeCell ref="B2:E2"/>
    <mergeCell ref="B3:E3"/>
    <mergeCell ref="B4:E4"/>
    <mergeCell ref="B5:E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C12" sqref="C12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39" t="s">
        <v>134</v>
      </c>
      <c r="B1" s="40"/>
      <c r="C1" s="40"/>
      <c r="D1" s="40"/>
      <c r="E1" s="40"/>
      <c r="F1" s="40"/>
    </row>
    <row r="2" spans="1:6" ht="36.75" x14ac:dyDescent="0.25">
      <c r="A2" s="39" t="s">
        <v>140</v>
      </c>
      <c r="B2" s="40"/>
      <c r="C2" s="40"/>
      <c r="D2" s="40"/>
      <c r="E2" s="40"/>
      <c r="F2" s="40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09A81-97BE-47C2-BB6D-F73DC0D1202E}">
  <dimension ref="A2:E13"/>
  <sheetViews>
    <sheetView workbookViewId="0">
      <selection activeCell="E22" sqref="E22"/>
    </sheetView>
  </sheetViews>
  <sheetFormatPr defaultRowHeight="15" x14ac:dyDescent="0.25"/>
  <sheetData>
    <row r="2" spans="1:5" x14ac:dyDescent="0.25">
      <c r="A2" t="s">
        <v>0</v>
      </c>
      <c r="B2" t="s">
        <v>3</v>
      </c>
      <c r="C2" t="s">
        <v>249</v>
      </c>
      <c r="D2" t="s">
        <v>250</v>
      </c>
      <c r="E2" t="s">
        <v>251</v>
      </c>
    </row>
    <row r="3" spans="1:5" x14ac:dyDescent="0.25">
      <c r="A3">
        <v>1</v>
      </c>
      <c r="B3" t="s">
        <v>11</v>
      </c>
      <c r="E3">
        <f>C3+D3</f>
        <v>0</v>
      </c>
    </row>
    <row r="4" spans="1:5" x14ac:dyDescent="0.25">
      <c r="A4">
        <v>2</v>
      </c>
      <c r="B4" t="s">
        <v>252</v>
      </c>
      <c r="C4">
        <v>2</v>
      </c>
      <c r="D4">
        <v>3</v>
      </c>
      <c r="E4">
        <f t="shared" ref="E4:E12" si="0">C4+D4</f>
        <v>5</v>
      </c>
    </row>
    <row r="5" spans="1:5" x14ac:dyDescent="0.25">
      <c r="A5">
        <v>3</v>
      </c>
      <c r="B5" t="s">
        <v>253</v>
      </c>
      <c r="E5">
        <f t="shared" si="0"/>
        <v>0</v>
      </c>
    </row>
    <row r="6" spans="1:5" x14ac:dyDescent="0.25">
      <c r="A6">
        <v>4</v>
      </c>
      <c r="B6" t="s">
        <v>254</v>
      </c>
      <c r="C6">
        <v>1</v>
      </c>
      <c r="D6">
        <v>1</v>
      </c>
      <c r="E6">
        <f t="shared" si="0"/>
        <v>2</v>
      </c>
    </row>
    <row r="7" spans="1:5" x14ac:dyDescent="0.25">
      <c r="A7">
        <v>5</v>
      </c>
      <c r="B7" t="s">
        <v>255</v>
      </c>
      <c r="E7">
        <f t="shared" si="0"/>
        <v>0</v>
      </c>
    </row>
    <row r="8" spans="1:5" x14ac:dyDescent="0.25">
      <c r="A8">
        <v>6</v>
      </c>
      <c r="B8" t="s">
        <v>256</v>
      </c>
      <c r="C8">
        <v>5</v>
      </c>
      <c r="D8">
        <v>1</v>
      </c>
      <c r="E8">
        <f t="shared" si="0"/>
        <v>6</v>
      </c>
    </row>
    <row r="9" spans="1:5" x14ac:dyDescent="0.25">
      <c r="A9">
        <v>7</v>
      </c>
      <c r="B9" t="s">
        <v>257</v>
      </c>
      <c r="E9">
        <f t="shared" si="0"/>
        <v>0</v>
      </c>
    </row>
    <row r="10" spans="1:5" x14ac:dyDescent="0.25">
      <c r="A10">
        <v>8</v>
      </c>
      <c r="B10" t="s">
        <v>258</v>
      </c>
      <c r="C10">
        <v>5</v>
      </c>
      <c r="D10">
        <v>2</v>
      </c>
      <c r="E10">
        <f t="shared" si="0"/>
        <v>7</v>
      </c>
    </row>
    <row r="11" spans="1:5" x14ac:dyDescent="0.25">
      <c r="A11">
        <v>9</v>
      </c>
      <c r="B11" t="s">
        <v>259</v>
      </c>
      <c r="C11">
        <v>2</v>
      </c>
      <c r="D11">
        <v>2</v>
      </c>
      <c r="E11">
        <f t="shared" si="0"/>
        <v>4</v>
      </c>
    </row>
    <row r="12" spans="1:5" x14ac:dyDescent="0.25">
      <c r="A12">
        <v>10</v>
      </c>
      <c r="B12" t="s">
        <v>260</v>
      </c>
      <c r="C12">
        <v>2</v>
      </c>
      <c r="D12">
        <v>4</v>
      </c>
      <c r="E12">
        <f t="shared" si="0"/>
        <v>6</v>
      </c>
    </row>
    <row r="13" spans="1:5" x14ac:dyDescent="0.25">
      <c r="E13">
        <f>SUM(E3:E12)</f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204</v>
      </c>
      <c r="B1" t="s">
        <v>205</v>
      </c>
    </row>
    <row r="2" spans="1:2" x14ac:dyDescent="0.25">
      <c r="A2" t="s">
        <v>70</v>
      </c>
      <c r="B2" t="s">
        <v>205</v>
      </c>
    </row>
    <row r="3" spans="1:2" x14ac:dyDescent="0.25">
      <c r="A3" t="s">
        <v>206</v>
      </c>
      <c r="B3" t="s">
        <v>207</v>
      </c>
    </row>
    <row r="4" spans="1:2" x14ac:dyDescent="0.25">
      <c r="A4" t="s">
        <v>208</v>
      </c>
      <c r="B4" t="s">
        <v>207</v>
      </c>
    </row>
    <row r="5" spans="1:2" x14ac:dyDescent="0.25">
      <c r="A5" t="s">
        <v>209</v>
      </c>
      <c r="B5" t="s">
        <v>207</v>
      </c>
    </row>
    <row r="6" spans="1:2" x14ac:dyDescent="0.25">
      <c r="A6" t="s">
        <v>210</v>
      </c>
      <c r="B6" t="s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Registration</vt:lpstr>
      <vt:lpstr>Admissions</vt:lpstr>
      <vt:lpstr>Test Date</vt:lpstr>
      <vt:lpstr>Test</vt:lpstr>
      <vt:lpstr>Sheet5</vt:lpstr>
      <vt:lpstr>Sheet1</vt:lpstr>
      <vt:lpstr>Drop 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2025-05-19T07:22:16Z</cp:lastPrinted>
  <dcterms:created xsi:type="dcterms:W3CDTF">2025-04-15T06:50:14Z</dcterms:created>
  <dcterms:modified xsi:type="dcterms:W3CDTF">2025-08-18T08:09:01Z</dcterms:modified>
</cp:coreProperties>
</file>