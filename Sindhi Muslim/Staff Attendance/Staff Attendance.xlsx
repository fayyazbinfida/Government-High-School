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76E6AF57-A663-42F1-968A-A38048F9C2DB}" xr6:coauthVersionLast="47" xr6:coauthVersionMax="47" xr10:uidLastSave="{00000000-0000-0000-0000-000000000000}"/>
  <bookViews>
    <workbookView xWindow="0" yWindow="0" windowWidth="20490" windowHeight="10920" activeTab="3" xr2:uid="{00000000-000D-0000-FFFF-FFFF00000000}"/>
  </bookViews>
  <sheets>
    <sheet name="AUGUST-2024" sheetId="3" r:id="rId1"/>
    <sheet name="SEPTEMBER-2024" sheetId="6" r:id="rId2"/>
    <sheet name="OCTOBER-2024" sheetId="7" r:id="rId3"/>
    <sheet name="NOVEMBER-2024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6" i="8" l="1"/>
  <c r="W26" i="8"/>
  <c r="V26" i="8"/>
  <c r="U26" i="8"/>
  <c r="Y26" i="8" s="1"/>
  <c r="W13" i="8"/>
  <c r="W12" i="8"/>
  <c r="W11" i="8"/>
  <c r="V13" i="8"/>
  <c r="V12" i="8"/>
  <c r="U13" i="8"/>
  <c r="U12" i="8"/>
  <c r="Y12" i="8" s="1"/>
  <c r="W6" i="8"/>
  <c r="V6" i="8"/>
  <c r="U6" i="8"/>
  <c r="X25" i="8"/>
  <c r="W25" i="8"/>
  <c r="V25" i="8"/>
  <c r="U25" i="8"/>
  <c r="X24" i="8"/>
  <c r="W24" i="8"/>
  <c r="V24" i="8"/>
  <c r="U24" i="8"/>
  <c r="X23" i="8"/>
  <c r="W23" i="8"/>
  <c r="V23" i="8"/>
  <c r="U23" i="8"/>
  <c r="X22" i="8"/>
  <c r="W22" i="8"/>
  <c r="V22" i="8"/>
  <c r="U22" i="8"/>
  <c r="X21" i="8"/>
  <c r="W21" i="8"/>
  <c r="V21" i="8"/>
  <c r="U21" i="8"/>
  <c r="X20" i="8"/>
  <c r="W20" i="8"/>
  <c r="V20" i="8"/>
  <c r="U20" i="8"/>
  <c r="W19" i="8"/>
  <c r="V19" i="8"/>
  <c r="U19" i="8"/>
  <c r="A19" i="8"/>
  <c r="A20" i="8" s="1"/>
  <c r="A21" i="8" s="1"/>
  <c r="A22" i="8" s="1"/>
  <c r="A23" i="8" s="1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V11" i="8"/>
  <c r="U11" i="8"/>
  <c r="W10" i="8"/>
  <c r="V10" i="8"/>
  <c r="U10" i="8"/>
  <c r="W9" i="8"/>
  <c r="V9" i="8"/>
  <c r="U9" i="8"/>
  <c r="W8" i="8"/>
  <c r="V8" i="8"/>
  <c r="U8" i="8"/>
  <c r="W7" i="8"/>
  <c r="V7" i="8"/>
  <c r="U7" i="8"/>
  <c r="W5" i="8"/>
  <c r="V5" i="8"/>
  <c r="U5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AG16" i="7"/>
  <c r="AH16" i="7"/>
  <c r="AM13" i="7"/>
  <c r="AL13" i="7"/>
  <c r="AK13" i="7"/>
  <c r="AJ13" i="7"/>
  <c r="AI13" i="7"/>
  <c r="AF3" i="7"/>
  <c r="AG3" i="7"/>
  <c r="AH3" i="7"/>
  <c r="AL24" i="7"/>
  <c r="AK24" i="7"/>
  <c r="AJ24" i="7"/>
  <c r="AI24" i="7"/>
  <c r="AL23" i="7"/>
  <c r="AK23" i="7"/>
  <c r="AJ23" i="7"/>
  <c r="AI23" i="7"/>
  <c r="AL22" i="7"/>
  <c r="AK22" i="7"/>
  <c r="AJ22" i="7"/>
  <c r="AI22" i="7"/>
  <c r="AL21" i="7"/>
  <c r="AK21" i="7"/>
  <c r="AJ21" i="7"/>
  <c r="AI21" i="7"/>
  <c r="AL20" i="7"/>
  <c r="AK20" i="7"/>
  <c r="AJ20" i="7"/>
  <c r="AI20" i="7"/>
  <c r="AL19" i="7"/>
  <c r="AK19" i="7"/>
  <c r="AJ19" i="7"/>
  <c r="AI19" i="7"/>
  <c r="AK18" i="7"/>
  <c r="AJ18" i="7"/>
  <c r="AI18" i="7"/>
  <c r="A18" i="7"/>
  <c r="A19" i="7" s="1"/>
  <c r="A20" i="7" s="1"/>
  <c r="A21" i="7" s="1"/>
  <c r="A22" i="7" s="1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L12" i="7"/>
  <c r="AK12" i="7"/>
  <c r="AJ12" i="7"/>
  <c r="AI12" i="7"/>
  <c r="AL11" i="7"/>
  <c r="AK11" i="7"/>
  <c r="AJ11" i="7"/>
  <c r="AI11" i="7"/>
  <c r="AL10" i="7"/>
  <c r="AK10" i="7"/>
  <c r="AJ10" i="7"/>
  <c r="AI10" i="7"/>
  <c r="AL9" i="7"/>
  <c r="AK9" i="7"/>
  <c r="AJ9" i="7"/>
  <c r="AI9" i="7"/>
  <c r="AL8" i="7"/>
  <c r="AK8" i="7"/>
  <c r="AJ8" i="7"/>
  <c r="AI8" i="7"/>
  <c r="AL7" i="7"/>
  <c r="AK7" i="7"/>
  <c r="AJ7" i="7"/>
  <c r="AI7" i="7"/>
  <c r="AL6" i="7"/>
  <c r="AK6" i="7"/>
  <c r="AJ6" i="7"/>
  <c r="AI6" i="7"/>
  <c r="AK5" i="7"/>
  <c r="AJ5" i="7"/>
  <c r="AI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AK18" i="6"/>
  <c r="AK19" i="6"/>
  <c r="AK20" i="6"/>
  <c r="AK21" i="6"/>
  <c r="AK12" i="6"/>
  <c r="AJ12" i="6"/>
  <c r="AI12" i="6"/>
  <c r="AH12" i="6"/>
  <c r="AK23" i="6"/>
  <c r="AJ23" i="6"/>
  <c r="AI23" i="6"/>
  <c r="AH23" i="6"/>
  <c r="AK22" i="6"/>
  <c r="AJ22" i="6"/>
  <c r="AI22" i="6"/>
  <c r="AH22" i="6"/>
  <c r="AJ21" i="6"/>
  <c r="AI21" i="6"/>
  <c r="AH21" i="6"/>
  <c r="AJ20" i="6"/>
  <c r="AI20" i="6"/>
  <c r="AH20" i="6"/>
  <c r="AJ19" i="6"/>
  <c r="AI19" i="6"/>
  <c r="AH19" i="6"/>
  <c r="AL19" i="6" s="1"/>
  <c r="AJ18" i="6"/>
  <c r="AI18" i="6"/>
  <c r="AH18" i="6"/>
  <c r="AJ17" i="6"/>
  <c r="AI17" i="6"/>
  <c r="AH17" i="6"/>
  <c r="A17" i="6"/>
  <c r="A18" i="6" s="1"/>
  <c r="A19" i="6" s="1"/>
  <c r="A20" i="6" s="1"/>
  <c r="A21" i="6" s="1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K11" i="6"/>
  <c r="AJ11" i="6"/>
  <c r="AI11" i="6"/>
  <c r="AH11" i="6"/>
  <c r="AK10" i="6"/>
  <c r="AJ10" i="6"/>
  <c r="AI10" i="6"/>
  <c r="AH10" i="6"/>
  <c r="AK9" i="6"/>
  <c r="AJ9" i="6"/>
  <c r="AI9" i="6"/>
  <c r="AH9" i="6"/>
  <c r="AK8" i="6"/>
  <c r="AJ8" i="6"/>
  <c r="AI8" i="6"/>
  <c r="AH8" i="6"/>
  <c r="AK7" i="6"/>
  <c r="AJ7" i="6"/>
  <c r="AI7" i="6"/>
  <c r="AH7" i="6"/>
  <c r="AK6" i="6"/>
  <c r="AJ6" i="6"/>
  <c r="AI6" i="6"/>
  <c r="AH6" i="6"/>
  <c r="AJ5" i="6"/>
  <c r="AI5" i="6"/>
  <c r="AH5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AK22" i="3"/>
  <c r="AK17" i="3"/>
  <c r="AK18" i="3"/>
  <c r="AK19" i="3"/>
  <c r="AK20" i="3"/>
  <c r="AK21" i="3"/>
  <c r="AK16" i="3"/>
  <c r="AJ7" i="3"/>
  <c r="AL18" i="6" l="1"/>
  <c r="AL22" i="6"/>
  <c r="AL23" i="6"/>
  <c r="Y11" i="8"/>
  <c r="Y6" i="8"/>
  <c r="Y13" i="8"/>
  <c r="Y20" i="8"/>
  <c r="Y21" i="8"/>
  <c r="Y22" i="8"/>
  <c r="Y23" i="8"/>
  <c r="Y24" i="8"/>
  <c r="Y25" i="8"/>
  <c r="Y7" i="8"/>
  <c r="Y9" i="8"/>
  <c r="Y5" i="8"/>
  <c r="Y8" i="8"/>
  <c r="Y10" i="8"/>
  <c r="Y19" i="8"/>
  <c r="AM18" i="7"/>
  <c r="AM19" i="7"/>
  <c r="AM20" i="7"/>
  <c r="AM21" i="7"/>
  <c r="AM22" i="7"/>
  <c r="AM23" i="7"/>
  <c r="AM24" i="7"/>
  <c r="AM6" i="7"/>
  <c r="AM7" i="7"/>
  <c r="AM8" i="7"/>
  <c r="AM9" i="7"/>
  <c r="AM10" i="7"/>
  <c r="AM11" i="7"/>
  <c r="AM12" i="7"/>
  <c r="AM5" i="7"/>
  <c r="AL21" i="6"/>
  <c r="AL17" i="6"/>
  <c r="AL20" i="6"/>
  <c r="AL12" i="6"/>
  <c r="AL5" i="6"/>
  <c r="AL8" i="6"/>
  <c r="AL6" i="6"/>
  <c r="AL7" i="6"/>
  <c r="AL11" i="6"/>
  <c r="AL10" i="6"/>
  <c r="AL9" i="6"/>
  <c r="AI21" i="3"/>
  <c r="AJ21" i="3"/>
  <c r="AK6" i="3"/>
  <c r="AK7" i="3"/>
  <c r="AK8" i="3"/>
  <c r="AK9" i="3"/>
  <c r="AK10" i="3"/>
  <c r="AK11" i="3"/>
  <c r="AK5" i="3"/>
  <c r="AL22" i="3"/>
  <c r="AJ22" i="3"/>
  <c r="AI22" i="3"/>
  <c r="AJ20" i="3"/>
  <c r="AI20" i="3"/>
  <c r="AJ19" i="3"/>
  <c r="AI19" i="3"/>
  <c r="AJ18" i="3"/>
  <c r="AI18" i="3"/>
  <c r="AJ17" i="3"/>
  <c r="AI17" i="3"/>
  <c r="AJ16" i="3"/>
  <c r="AI16" i="3"/>
  <c r="A16" i="3"/>
  <c r="A17" i="3" s="1"/>
  <c r="A18" i="3" s="1"/>
  <c r="A19" i="3" s="1"/>
  <c r="A20" i="3" s="1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M21" i="3" l="1"/>
  <c r="AM18" i="3"/>
  <c r="AM22" i="3"/>
  <c r="AM20" i="3"/>
  <c r="AM19" i="3"/>
  <c r="AM17" i="3"/>
  <c r="AM16" i="3"/>
  <c r="AJ6" i="3"/>
  <c r="AJ8" i="3"/>
  <c r="AJ9" i="3"/>
  <c r="AJ10" i="3"/>
  <c r="AJ11" i="3"/>
  <c r="AJ5" i="3"/>
  <c r="AI6" i="3"/>
  <c r="AI7" i="3"/>
  <c r="AI8" i="3"/>
  <c r="AI9" i="3"/>
  <c r="AI10" i="3"/>
  <c r="AI11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M6" i="3" l="1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<sst xmlns="http://schemas.openxmlformats.org/spreadsheetml/2006/main" count="1634" uniqueCount="46">
  <si>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</si>
  <si>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</si>
  <si>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</si>
  <si>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</si>
  <si>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</si>
  <si>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</si>
  <si>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</si>
  <si>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</si>
  <si>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</si>
  <si>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</si>
  <si>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</si>
  <si>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</si>
  <si>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</si>
  <si>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</si>
  <si>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</si>
  <si>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</si>
  <si>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</si>
  <si>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</si>
  <si>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</si>
  <si>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</si>
  <si>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</si>
  <si>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</si>
  <si>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</si>
  <si>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</si>
  <si>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</si>
  <si>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</si>
  <si>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</si>
  <si>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-</t>
  </si>
  <si>
    <t>SUN</t>
  </si>
  <si>
    <t>SUNDAY</t>
  </si>
  <si>
    <t>LATIF DAY</t>
  </si>
  <si>
    <t>CHEHLUM</t>
  </si>
  <si>
    <t>OFF DUE TO WEATHER</t>
  </si>
  <si>
    <t>Rabiya</t>
  </si>
  <si>
    <t>Miss Saiqa</t>
  </si>
  <si>
    <t>Sir Fayyaz</t>
  </si>
  <si>
    <t>IT Teacher</t>
  </si>
  <si>
    <t>Hussan Bano</t>
  </si>
  <si>
    <t>Haleema</t>
  </si>
  <si>
    <t>Miss Uzma Sheeraz</t>
  </si>
  <si>
    <t>Miss Shumaila</t>
  </si>
  <si>
    <t>ECE Director</t>
  </si>
  <si>
    <t>IQBAL DAY</t>
  </si>
  <si>
    <t>Nusrat</t>
  </si>
  <si>
    <t>TEACHING STAFF</t>
  </si>
  <si>
    <t>NON-TEACHING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</si>
</sst>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13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textRotation="255"/>
    </xf>
    <xf numFmtId="0" fontId="2" fillId="3" borderId="12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4" borderId="10" xfId="0" applyFont="1" applyFill="1" applyBorder="1" applyAlignment="1">
      <alignment horizontal="center" vertical="center" textRotation="90"/>
    </xf>
    <xf numFmtId="0" fontId="2" fillId="4" borderId="12" xfId="0" applyFont="1" applyFill="1" applyBorder="1" applyAlignment="1">
      <alignment horizontal="center" vertical="center" textRotation="90"/>
    </xf>
    <xf numFmtId="0" fontId="2" fillId="4" borderId="11" xfId="0" applyFont="1" applyFill="1" applyBorder="1" applyAlignment="1">
      <alignment horizontal="center" vertical="center" textRotation="90"/>
    </xf>
    <xf numFmtId="0" fontId="2" fillId="3" borderId="15" xfId="0" applyFont="1" applyFill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4" borderId="10" xfId="0" applyFont="1" applyFill="1" applyBorder="1" applyAlignment="1">
      <alignment horizontal="center" vertical="center" textRotation="255"/>
    </xf>
    <xf numFmtId="0" fontId="2" fillId="4" borderId="12" xfId="0" applyFont="1" applyFill="1" applyBorder="1" applyAlignment="1">
      <alignment horizontal="center" vertical="center" textRotation="255"/>
    </xf>
    <xf numFmtId="0" fontId="2" fillId="4" borderId="15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1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"/>
  <sheetViews>
    <sheetView topLeftCell="B8" workbookViewId="0">
      <selection activeCell="T3" sqref="T3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3" t="s">
        <v>44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5"/>
    </row>
    <row r="3" spans="1:39" ht="27" x14ac:dyDescent="0.25">
      <c r="A3" s="28" t="s">
        <v>0</v>
      </c>
      <c r="B3" s="29"/>
      <c r="C3" s="29"/>
      <c r="D3" s="18" t="str">
        <f>TEXT(D4,"ddd")</f>
        <v>Thu</v>
      </c>
      <c r="E3" s="18" t="str">
        <f t="shared" ref="E3:AH3" si="0">TEXT(E4,"ddd")</f>
        <v>Fri</v>
      </c>
      <c r="F3" s="18" t="str">
        <f t="shared" si="0"/>
        <v>Sat</v>
      </c>
      <c r="G3" s="18" t="str">
        <f t="shared" si="0"/>
        <v>Sun</v>
      </c>
      <c r="H3" s="18" t="str">
        <f t="shared" si="0"/>
        <v>Mon</v>
      </c>
      <c r="I3" s="18" t="str">
        <f t="shared" si="0"/>
        <v>Tue</v>
      </c>
      <c r="J3" s="18" t="str">
        <f t="shared" si="0"/>
        <v>Wed</v>
      </c>
      <c r="K3" s="18" t="str">
        <f t="shared" si="0"/>
        <v>Thu</v>
      </c>
      <c r="L3" s="18" t="str">
        <f t="shared" si="0"/>
        <v>Fri</v>
      </c>
      <c r="M3" s="18" t="str">
        <f t="shared" si="0"/>
        <v>Sat</v>
      </c>
      <c r="N3" s="18" t="str">
        <f t="shared" si="0"/>
        <v>Sun</v>
      </c>
      <c r="O3" s="18" t="str">
        <f t="shared" si="0"/>
        <v>Mon</v>
      </c>
      <c r="P3" s="18" t="str">
        <f t="shared" si="0"/>
        <v>Tue</v>
      </c>
      <c r="Q3" s="18" t="str">
        <f t="shared" si="0"/>
        <v>Wed</v>
      </c>
      <c r="R3" s="18" t="str">
        <f t="shared" si="0"/>
        <v>Thu</v>
      </c>
      <c r="S3" s="18" t="str">
        <f t="shared" si="0"/>
        <v>Fri</v>
      </c>
      <c r="T3" s="18" t="str">
        <f t="shared" si="0"/>
        <v>Sat</v>
      </c>
      <c r="U3" s="18" t="str">
        <f t="shared" si="0"/>
        <v>Sun</v>
      </c>
      <c r="V3" s="18" t="str">
        <f t="shared" si="0"/>
        <v>Mon</v>
      </c>
      <c r="W3" s="18" t="str">
        <f t="shared" si="0"/>
        <v>Tue</v>
      </c>
      <c r="X3" s="18" t="str">
        <f t="shared" si="0"/>
        <v>Wed</v>
      </c>
      <c r="Y3" s="18" t="str">
        <f t="shared" si="0"/>
        <v>Thu</v>
      </c>
      <c r="Z3" s="18" t="str">
        <f t="shared" si="0"/>
        <v>Fri</v>
      </c>
      <c r="AA3" s="18" t="str">
        <f t="shared" si="0"/>
        <v>Sat</v>
      </c>
      <c r="AB3" s="18" t="str">
        <f t="shared" si="0"/>
        <v>Sun</v>
      </c>
      <c r="AC3" s="18" t="str">
        <f t="shared" si="0"/>
        <v>Mon</v>
      </c>
      <c r="AD3" s="18" t="str">
        <f t="shared" si="0"/>
        <v>Tue</v>
      </c>
      <c r="AE3" s="18" t="str">
        <f t="shared" si="0"/>
        <v>Wed</v>
      </c>
      <c r="AF3" s="18" t="str">
        <f t="shared" si="0"/>
        <v>Thu</v>
      </c>
      <c r="AG3" s="18" t="str">
        <f t="shared" si="0"/>
        <v>Fri</v>
      </c>
      <c r="AH3" s="18" t="str">
        <f t="shared" si="0"/>
        <v>Sat</v>
      </c>
      <c r="AI3" s="26" t="s">
        <v>1</v>
      </c>
      <c r="AJ3" s="26"/>
      <c r="AK3" s="26"/>
      <c r="AL3" s="26"/>
      <c r="AM3" s="27"/>
    </row>
    <row r="4" spans="1:39" x14ac:dyDescent="0.25">
      <c r="A4" s="1" t="s">
        <v>2</v>
      </c>
      <c r="B4" s="2" t="s">
        <v>3</v>
      </c>
      <c r="C4" s="2" t="s">
        <v>4</v>
      </c>
      <c r="D4" s="7">
        <v>45505</v>
      </c>
      <c r="E4" s="7">
        <v>45506</v>
      </c>
      <c r="F4" s="7">
        <v>45507</v>
      </c>
      <c r="G4" s="7">
        <v>45508</v>
      </c>
      <c r="H4" s="7">
        <v>45509</v>
      </c>
      <c r="I4" s="7">
        <v>45510</v>
      </c>
      <c r="J4" s="7">
        <v>45511</v>
      </c>
      <c r="K4" s="7">
        <v>45512</v>
      </c>
      <c r="L4" s="7">
        <v>45513</v>
      </c>
      <c r="M4" s="7">
        <v>45514</v>
      </c>
      <c r="N4" s="7">
        <v>45515</v>
      </c>
      <c r="O4" s="7">
        <v>45516</v>
      </c>
      <c r="P4" s="7">
        <v>45517</v>
      </c>
      <c r="Q4" s="7">
        <v>45518</v>
      </c>
      <c r="R4" s="7">
        <v>45519</v>
      </c>
      <c r="S4" s="7">
        <v>45520</v>
      </c>
      <c r="T4" s="7">
        <v>45521</v>
      </c>
      <c r="U4" s="7">
        <v>45522</v>
      </c>
      <c r="V4" s="7">
        <v>45523</v>
      </c>
      <c r="W4" s="7">
        <v>45524</v>
      </c>
      <c r="X4" s="7">
        <v>45525</v>
      </c>
      <c r="Y4" s="7">
        <v>45526</v>
      </c>
      <c r="Z4" s="7">
        <v>45527</v>
      </c>
      <c r="AA4" s="7">
        <v>45528</v>
      </c>
      <c r="AB4" s="7">
        <v>45529</v>
      </c>
      <c r="AC4" s="7">
        <v>45530</v>
      </c>
      <c r="AD4" s="7">
        <v>45531</v>
      </c>
      <c r="AE4" s="7">
        <v>45532</v>
      </c>
      <c r="AF4" s="7">
        <v>45533</v>
      </c>
      <c r="AG4" s="7">
        <v>45534</v>
      </c>
      <c r="AH4" s="7">
        <v>45535</v>
      </c>
      <c r="AI4" s="16" t="s">
        <v>6</v>
      </c>
      <c r="AJ4" s="16" t="s">
        <v>7</v>
      </c>
      <c r="AK4" s="16" t="s">
        <v>15</v>
      </c>
      <c r="AL4" s="16" t="s">
        <v>28</v>
      </c>
      <c r="AM4" s="17" t="s">
        <v>5</v>
      </c>
    </row>
    <row r="5" spans="1:39" ht="15" customHeight="1" x14ac:dyDescent="0.25">
      <c r="A5" s="3">
        <v>1</v>
      </c>
      <c r="B5" s="4" t="s">
        <v>34</v>
      </c>
      <c r="C5" s="4" t="s">
        <v>8</v>
      </c>
      <c r="D5" s="4" t="s">
        <v>6</v>
      </c>
      <c r="E5" s="4" t="s">
        <v>6</v>
      </c>
      <c r="F5" s="4" t="s">
        <v>6</v>
      </c>
      <c r="G5" s="30" t="s">
        <v>29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30" t="s">
        <v>29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30" t="s">
        <v>29</v>
      </c>
      <c r="V5" s="4" t="s">
        <v>6</v>
      </c>
      <c r="W5" s="33" t="s">
        <v>30</v>
      </c>
      <c r="X5" s="4" t="s">
        <v>6</v>
      </c>
      <c r="Y5" s="4" t="s">
        <v>6</v>
      </c>
      <c r="Z5" s="4" t="s">
        <v>6</v>
      </c>
      <c r="AA5" s="4" t="s">
        <v>6</v>
      </c>
      <c r="AB5" s="30" t="s">
        <v>29</v>
      </c>
      <c r="AC5" s="33" t="s">
        <v>31</v>
      </c>
      <c r="AD5" s="19" t="s">
        <v>6</v>
      </c>
      <c r="AE5" s="4" t="s">
        <v>6</v>
      </c>
      <c r="AF5" s="4" t="s">
        <v>6</v>
      </c>
      <c r="AG5" s="33" t="s">
        <v>32</v>
      </c>
      <c r="AH5" s="4" t="s">
        <v>6</v>
      </c>
      <c r="AI5" s="4">
        <f>COUNTIF(D5:AH5,"P")</f>
        <v>24</v>
      </c>
      <c r="AJ5" s="4">
        <f>COUNTIF(D5:AH5,"A")</f>
        <v>0</v>
      </c>
      <c r="AK5" s="4">
        <f>COUNTIF(D5:AH5,"L")</f>
        <v>0</v>
      </c>
      <c r="AL5" s="4">
        <v>4</v>
      </c>
      <c r="AM5" s="20">
        <f>AI5+AK5+AL5</f>
        <v>28</v>
      </c>
    </row>
    <row r="6" spans="1:39" x14ac:dyDescent="0.25">
      <c r="A6" s="3">
        <v>2</v>
      </c>
      <c r="B6" s="4" t="s">
        <v>9</v>
      </c>
      <c r="C6" s="4" t="s">
        <v>8</v>
      </c>
      <c r="D6" s="4" t="s">
        <v>6</v>
      </c>
      <c r="E6" s="4" t="s">
        <v>6</v>
      </c>
      <c r="F6" s="4" t="s">
        <v>6</v>
      </c>
      <c r="G6" s="31"/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31"/>
      <c r="O6" s="4" t="s">
        <v>6</v>
      </c>
      <c r="P6" s="4" t="s">
        <v>6</v>
      </c>
      <c r="Q6" s="4" t="s">
        <v>6</v>
      </c>
      <c r="R6" s="4" t="s">
        <v>6</v>
      </c>
      <c r="S6" s="4" t="s">
        <v>6</v>
      </c>
      <c r="T6" s="4" t="s">
        <v>6</v>
      </c>
      <c r="U6" s="31"/>
      <c r="V6" s="4" t="s">
        <v>6</v>
      </c>
      <c r="W6" s="34"/>
      <c r="X6" s="4" t="s">
        <v>6</v>
      </c>
      <c r="Y6" s="4" t="s">
        <v>6</v>
      </c>
      <c r="Z6" s="4" t="s">
        <v>6</v>
      </c>
      <c r="AA6" s="4" t="s">
        <v>6</v>
      </c>
      <c r="AB6" s="31"/>
      <c r="AC6" s="34"/>
      <c r="AD6" s="19" t="s">
        <v>6</v>
      </c>
      <c r="AE6" s="4" t="s">
        <v>6</v>
      </c>
      <c r="AF6" s="4" t="s">
        <v>6</v>
      </c>
      <c r="AG6" s="34"/>
      <c r="AH6" s="4" t="s">
        <v>6</v>
      </c>
      <c r="AI6" s="4">
        <f t="shared" ref="AI6:AI11" si="1">COUNTIF(D6:AH6,"P")</f>
        <v>24</v>
      </c>
      <c r="AJ6" s="4">
        <f t="shared" ref="AJ6:AJ11" si="2">COUNTIF(D6:AH6,"A")</f>
        <v>0</v>
      </c>
      <c r="AK6" s="4">
        <f t="shared" ref="AK6:AK11" si="3">COUNTIF(D6:AH6,"L")</f>
        <v>0</v>
      </c>
      <c r="AL6" s="4">
        <v>4</v>
      </c>
      <c r="AM6" s="20">
        <f t="shared" ref="AM6:AM11" si="4">AI6+AK6+AL6</f>
        <v>28</v>
      </c>
    </row>
    <row r="7" spans="1:39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" t="s">
        <v>6</v>
      </c>
      <c r="G7" s="31"/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31"/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31"/>
      <c r="V7" s="4" t="s">
        <v>6</v>
      </c>
      <c r="W7" s="34"/>
      <c r="X7" s="4" t="s">
        <v>6</v>
      </c>
      <c r="Y7" s="4" t="s">
        <v>6</v>
      </c>
      <c r="Z7" s="4" t="s">
        <v>6</v>
      </c>
      <c r="AA7" s="4" t="s">
        <v>6</v>
      </c>
      <c r="AB7" s="31"/>
      <c r="AC7" s="34"/>
      <c r="AD7" s="19" t="s">
        <v>6</v>
      </c>
      <c r="AE7" s="4" t="s">
        <v>6</v>
      </c>
      <c r="AF7" s="4" t="s">
        <v>6</v>
      </c>
      <c r="AG7" s="34"/>
      <c r="AH7" s="4" t="s">
        <v>6</v>
      </c>
      <c r="AI7" s="4">
        <f t="shared" si="1"/>
        <v>24</v>
      </c>
      <c r="AJ7" s="4">
        <f t="shared" si="2"/>
        <v>0</v>
      </c>
      <c r="AK7" s="4">
        <f t="shared" si="3"/>
        <v>0</v>
      </c>
      <c r="AL7" s="4">
        <v>4</v>
      </c>
      <c r="AM7" s="20">
        <f t="shared" si="4"/>
        <v>28</v>
      </c>
    </row>
    <row r="8" spans="1:39" x14ac:dyDescent="0.25">
      <c r="A8" s="3">
        <v>4</v>
      </c>
      <c r="B8" s="4" t="s">
        <v>11</v>
      </c>
      <c r="C8" s="4" t="s">
        <v>8</v>
      </c>
      <c r="D8" s="4" t="s">
        <v>6</v>
      </c>
      <c r="E8" s="4" t="s">
        <v>6</v>
      </c>
      <c r="F8" s="4" t="s">
        <v>6</v>
      </c>
      <c r="G8" s="31"/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31"/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31"/>
      <c r="V8" s="4" t="s">
        <v>6</v>
      </c>
      <c r="W8" s="34"/>
      <c r="X8" s="4" t="s">
        <v>6</v>
      </c>
      <c r="Y8" s="4" t="s">
        <v>6</v>
      </c>
      <c r="Z8" s="4" t="s">
        <v>6</v>
      </c>
      <c r="AA8" s="4" t="s">
        <v>6</v>
      </c>
      <c r="AB8" s="31"/>
      <c r="AC8" s="34"/>
      <c r="AD8" s="19" t="s">
        <v>6</v>
      </c>
      <c r="AE8" s="4" t="s">
        <v>6</v>
      </c>
      <c r="AF8" s="4" t="s">
        <v>6</v>
      </c>
      <c r="AG8" s="34"/>
      <c r="AH8" s="4" t="s">
        <v>6</v>
      </c>
      <c r="AI8" s="4">
        <f t="shared" si="1"/>
        <v>24</v>
      </c>
      <c r="AJ8" s="4">
        <f t="shared" si="2"/>
        <v>0</v>
      </c>
      <c r="AK8" s="4">
        <f t="shared" si="3"/>
        <v>0</v>
      </c>
      <c r="AL8" s="4">
        <v>4</v>
      </c>
      <c r="AM8" s="20">
        <f t="shared" si="4"/>
        <v>28</v>
      </c>
    </row>
    <row r="9" spans="1:39" x14ac:dyDescent="0.25">
      <c r="A9" s="3">
        <v>5</v>
      </c>
      <c r="B9" s="4" t="s">
        <v>12</v>
      </c>
      <c r="C9" s="4" t="s">
        <v>8</v>
      </c>
      <c r="D9" s="4" t="s">
        <v>6</v>
      </c>
      <c r="E9" s="4" t="s">
        <v>6</v>
      </c>
      <c r="F9" s="4" t="s">
        <v>6</v>
      </c>
      <c r="G9" s="31"/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31"/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31"/>
      <c r="V9" s="4" t="s">
        <v>6</v>
      </c>
      <c r="W9" s="34"/>
      <c r="X9" s="4" t="s">
        <v>6</v>
      </c>
      <c r="Y9" s="4" t="s">
        <v>6</v>
      </c>
      <c r="Z9" s="4" t="s">
        <v>6</v>
      </c>
      <c r="AA9" s="4" t="s">
        <v>6</v>
      </c>
      <c r="AB9" s="31"/>
      <c r="AC9" s="34"/>
      <c r="AD9" s="19" t="s">
        <v>6</v>
      </c>
      <c r="AE9" s="4" t="s">
        <v>6</v>
      </c>
      <c r="AF9" s="4" t="s">
        <v>6</v>
      </c>
      <c r="AG9" s="34"/>
      <c r="AH9" s="4" t="s">
        <v>6</v>
      </c>
      <c r="AI9" s="4">
        <f t="shared" si="1"/>
        <v>24</v>
      </c>
      <c r="AJ9" s="4">
        <f t="shared" si="2"/>
        <v>0</v>
      </c>
      <c r="AK9" s="4">
        <f t="shared" si="3"/>
        <v>0</v>
      </c>
      <c r="AL9" s="4">
        <v>4</v>
      </c>
      <c r="AM9" s="20">
        <f t="shared" si="4"/>
        <v>28</v>
      </c>
    </row>
    <row r="10" spans="1:39" x14ac:dyDescent="0.25">
      <c r="A10" s="3">
        <v>6</v>
      </c>
      <c r="B10" s="4" t="s">
        <v>13</v>
      </c>
      <c r="C10" s="4" t="s">
        <v>8</v>
      </c>
      <c r="D10" s="4" t="s">
        <v>6</v>
      </c>
      <c r="E10" s="4" t="s">
        <v>6</v>
      </c>
      <c r="F10" s="4" t="s">
        <v>6</v>
      </c>
      <c r="G10" s="31"/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31"/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31"/>
      <c r="V10" s="4" t="s">
        <v>6</v>
      </c>
      <c r="W10" s="34"/>
      <c r="X10" s="4" t="s">
        <v>6</v>
      </c>
      <c r="Y10" s="4" t="s">
        <v>6</v>
      </c>
      <c r="Z10" s="4" t="s">
        <v>6</v>
      </c>
      <c r="AA10" s="4" t="s">
        <v>6</v>
      </c>
      <c r="AB10" s="31"/>
      <c r="AC10" s="34"/>
      <c r="AD10" s="19" t="s">
        <v>6</v>
      </c>
      <c r="AE10" s="4" t="s">
        <v>6</v>
      </c>
      <c r="AF10" s="4" t="s">
        <v>6</v>
      </c>
      <c r="AG10" s="34"/>
      <c r="AH10" s="4" t="s">
        <v>6</v>
      </c>
      <c r="AI10" s="4">
        <f t="shared" si="1"/>
        <v>24</v>
      </c>
      <c r="AJ10" s="4">
        <f t="shared" si="2"/>
        <v>0</v>
      </c>
      <c r="AK10" s="4">
        <f t="shared" si="3"/>
        <v>0</v>
      </c>
      <c r="AL10" s="4">
        <v>4</v>
      </c>
      <c r="AM10" s="20">
        <f t="shared" si="4"/>
        <v>28</v>
      </c>
    </row>
    <row r="11" spans="1:39" x14ac:dyDescent="0.25">
      <c r="A11" s="3">
        <v>7</v>
      </c>
      <c r="B11" s="4" t="s">
        <v>14</v>
      </c>
      <c r="C11" s="4" t="s">
        <v>8</v>
      </c>
      <c r="D11" s="4" t="s">
        <v>6</v>
      </c>
      <c r="E11" s="4" t="s">
        <v>6</v>
      </c>
      <c r="F11" s="4" t="s">
        <v>6</v>
      </c>
      <c r="G11" s="32"/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32"/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32"/>
      <c r="V11" s="4" t="s">
        <v>6</v>
      </c>
      <c r="W11" s="35"/>
      <c r="X11" s="4" t="s">
        <v>6</v>
      </c>
      <c r="Y11" s="4" t="s">
        <v>6</v>
      </c>
      <c r="Z11" s="4" t="s">
        <v>6</v>
      </c>
      <c r="AA11" s="4" t="s">
        <v>6</v>
      </c>
      <c r="AB11" s="32"/>
      <c r="AC11" s="35"/>
      <c r="AD11" s="19" t="s">
        <v>6</v>
      </c>
      <c r="AE11" s="4" t="s">
        <v>6</v>
      </c>
      <c r="AF11" s="4" t="s">
        <v>6</v>
      </c>
      <c r="AG11" s="35"/>
      <c r="AH11" s="4" t="s">
        <v>6</v>
      </c>
      <c r="AI11" s="4">
        <f t="shared" si="1"/>
        <v>24</v>
      </c>
      <c r="AJ11" s="4">
        <f t="shared" si="2"/>
        <v>0</v>
      </c>
      <c r="AK11" s="4">
        <f t="shared" si="3"/>
        <v>0</v>
      </c>
      <c r="AL11" s="4">
        <v>4</v>
      </c>
      <c r="AM11" s="20">
        <f t="shared" si="4"/>
        <v>28</v>
      </c>
    </row>
    <row r="12" spans="1:39" ht="15.75" thickBot="1" x14ac:dyDescent="0.3"/>
    <row r="13" spans="1:39" ht="32.25" thickBot="1" x14ac:dyDescent="0.55000000000000004">
      <c r="A13" s="23" t="s">
        <v>45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5"/>
    </row>
    <row r="14" spans="1:39" ht="27" x14ac:dyDescent="0.25">
      <c r="A14" s="28" t="s">
        <v>0</v>
      </c>
      <c r="B14" s="29"/>
      <c r="C14" s="29"/>
      <c r="D14" s="18" t="str">
        <f>TEXT(D15,"ddd")</f>
        <v>Tue</v>
      </c>
      <c r="E14" s="18" t="str">
        <f t="shared" ref="E14:AH14" si="5">TEXT(E15,"ddd")</f>
        <v>Wed</v>
      </c>
      <c r="F14" s="18" t="str">
        <f t="shared" si="5"/>
        <v>Thu</v>
      </c>
      <c r="G14" s="18" t="str">
        <f t="shared" si="5"/>
        <v>Fri</v>
      </c>
      <c r="H14" s="18" t="str">
        <f t="shared" si="5"/>
        <v>Sat</v>
      </c>
      <c r="I14" s="18" t="str">
        <f t="shared" si="5"/>
        <v>Sun</v>
      </c>
      <c r="J14" s="18" t="str">
        <f t="shared" si="5"/>
        <v>Mon</v>
      </c>
      <c r="K14" s="18" t="str">
        <f t="shared" si="5"/>
        <v>Tue</v>
      </c>
      <c r="L14" s="18" t="str">
        <f t="shared" si="5"/>
        <v>Wed</v>
      </c>
      <c r="M14" s="18" t="str">
        <f t="shared" si="5"/>
        <v>Thu</v>
      </c>
      <c r="N14" s="18" t="str">
        <f t="shared" si="5"/>
        <v>Fri</v>
      </c>
      <c r="O14" s="18" t="str">
        <f t="shared" si="5"/>
        <v>Sat</v>
      </c>
      <c r="P14" s="18" t="str">
        <f t="shared" si="5"/>
        <v>Sun</v>
      </c>
      <c r="Q14" s="18" t="str">
        <f t="shared" si="5"/>
        <v>Mon</v>
      </c>
      <c r="R14" s="18" t="str">
        <f t="shared" si="5"/>
        <v>Tue</v>
      </c>
      <c r="S14" s="18" t="str">
        <f t="shared" si="5"/>
        <v>Wed</v>
      </c>
      <c r="T14" s="18" t="str">
        <f t="shared" si="5"/>
        <v>Thu</v>
      </c>
      <c r="U14" s="18" t="str">
        <f t="shared" si="5"/>
        <v>Fri</v>
      </c>
      <c r="V14" s="18" t="str">
        <f t="shared" si="5"/>
        <v>Sat</v>
      </c>
      <c r="W14" s="18" t="str">
        <f t="shared" si="5"/>
        <v>Sun</v>
      </c>
      <c r="X14" s="18" t="str">
        <f t="shared" si="5"/>
        <v>Mon</v>
      </c>
      <c r="Y14" s="18" t="str">
        <f t="shared" si="5"/>
        <v>Tue</v>
      </c>
      <c r="Z14" s="18" t="str">
        <f t="shared" si="5"/>
        <v>Wed</v>
      </c>
      <c r="AA14" s="18" t="str">
        <f t="shared" si="5"/>
        <v>Thu</v>
      </c>
      <c r="AB14" s="18" t="str">
        <f t="shared" si="5"/>
        <v>Fri</v>
      </c>
      <c r="AC14" s="18" t="str">
        <f t="shared" si="5"/>
        <v>Sat</v>
      </c>
      <c r="AD14" s="18" t="str">
        <f t="shared" si="5"/>
        <v>Sun</v>
      </c>
      <c r="AE14" s="18" t="str">
        <f t="shared" si="5"/>
        <v>Mon</v>
      </c>
      <c r="AF14" s="18" t="str">
        <f t="shared" si="5"/>
        <v>Tue</v>
      </c>
      <c r="AG14" s="18" t="str">
        <f t="shared" si="5"/>
        <v>Wed</v>
      </c>
      <c r="AH14" s="18" t="str">
        <f t="shared" si="5"/>
        <v>Thu</v>
      </c>
      <c r="AI14" s="26" t="s">
        <v>1</v>
      </c>
      <c r="AJ14" s="26"/>
      <c r="AK14" s="26"/>
      <c r="AL14" s="26"/>
      <c r="AM14" s="27"/>
    </row>
    <row r="15" spans="1:39" x14ac:dyDescent="0.25">
      <c r="A15" s="1" t="s">
        <v>2</v>
      </c>
      <c r="B15" s="2" t="s">
        <v>3</v>
      </c>
      <c r="C15" s="2" t="s">
        <v>4</v>
      </c>
      <c r="D15" s="7">
        <v>45566</v>
      </c>
      <c r="E15" s="7">
        <v>45567</v>
      </c>
      <c r="F15" s="7">
        <v>45568</v>
      </c>
      <c r="G15" s="7">
        <v>45569</v>
      </c>
      <c r="H15" s="7">
        <v>45570</v>
      </c>
      <c r="I15" s="7">
        <v>45571</v>
      </c>
      <c r="J15" s="7">
        <v>45572</v>
      </c>
      <c r="K15" s="7">
        <v>45573</v>
      </c>
      <c r="L15" s="7">
        <v>45574</v>
      </c>
      <c r="M15" s="7">
        <v>45575</v>
      </c>
      <c r="N15" s="7">
        <v>45576</v>
      </c>
      <c r="O15" s="7">
        <v>45577</v>
      </c>
      <c r="P15" s="7">
        <v>45578</v>
      </c>
      <c r="Q15" s="7">
        <v>45579</v>
      </c>
      <c r="R15" s="7">
        <v>45580</v>
      </c>
      <c r="S15" s="7">
        <v>45581</v>
      </c>
      <c r="T15" s="7">
        <v>45582</v>
      </c>
      <c r="U15" s="7">
        <v>45583</v>
      </c>
      <c r="V15" s="7">
        <v>45584</v>
      </c>
      <c r="W15" s="7">
        <v>45585</v>
      </c>
      <c r="X15" s="7">
        <v>45586</v>
      </c>
      <c r="Y15" s="7">
        <v>45587</v>
      </c>
      <c r="Z15" s="7">
        <v>45588</v>
      </c>
      <c r="AA15" s="7">
        <v>45589</v>
      </c>
      <c r="AB15" s="7">
        <v>45590</v>
      </c>
      <c r="AC15" s="7">
        <v>45591</v>
      </c>
      <c r="AD15" s="7">
        <v>45592</v>
      </c>
      <c r="AE15" s="7">
        <v>45593</v>
      </c>
      <c r="AF15" s="7">
        <v>45594</v>
      </c>
      <c r="AG15" s="7">
        <v>45595</v>
      </c>
      <c r="AH15" s="7">
        <v>45596</v>
      </c>
      <c r="AI15" s="16" t="s">
        <v>6</v>
      </c>
      <c r="AJ15" s="16" t="s">
        <v>7</v>
      </c>
      <c r="AK15" s="16" t="s">
        <v>15</v>
      </c>
      <c r="AL15" s="16" t="s">
        <v>28</v>
      </c>
      <c r="AM15" s="17" t="s">
        <v>5</v>
      </c>
    </row>
    <row r="16" spans="1:39" ht="15" customHeight="1" x14ac:dyDescent="0.25">
      <c r="A16" s="3">
        <f>IF(B16="","",1)</f>
        <v>1</v>
      </c>
      <c r="B16" s="4" t="s">
        <v>16</v>
      </c>
      <c r="C16" s="4" t="s">
        <v>17</v>
      </c>
      <c r="D16" s="4" t="s">
        <v>6</v>
      </c>
      <c r="E16" s="4" t="s">
        <v>6</v>
      </c>
      <c r="F16" s="4" t="s">
        <v>6</v>
      </c>
      <c r="G16" s="30" t="s">
        <v>29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4" t="s">
        <v>6</v>
      </c>
      <c r="N16" s="30" t="s">
        <v>29</v>
      </c>
      <c r="O16" s="4" t="s">
        <v>6</v>
      </c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30" t="s">
        <v>29</v>
      </c>
      <c r="V16" s="4" t="s">
        <v>6</v>
      </c>
      <c r="W16" s="4" t="s">
        <v>27</v>
      </c>
      <c r="X16" s="4" t="s">
        <v>6</v>
      </c>
      <c r="Y16" s="4" t="s">
        <v>6</v>
      </c>
      <c r="Z16" s="4" t="s">
        <v>6</v>
      </c>
      <c r="AA16" s="4" t="s">
        <v>6</v>
      </c>
      <c r="AB16" s="30" t="s">
        <v>29</v>
      </c>
      <c r="AC16" s="4" t="s">
        <v>27</v>
      </c>
      <c r="AD16" s="4" t="s">
        <v>6</v>
      </c>
      <c r="AE16" s="4" t="s">
        <v>6</v>
      </c>
      <c r="AF16" s="4" t="s">
        <v>6</v>
      </c>
      <c r="AG16" s="4" t="s">
        <v>27</v>
      </c>
      <c r="AH16" s="4" t="s">
        <v>6</v>
      </c>
      <c r="AI16" s="8">
        <f>COUNTIF(D16:AH16,"P")</f>
        <v>24</v>
      </c>
      <c r="AJ16" s="8">
        <f>COUNTIF(D16:AH16,"A")</f>
        <v>0</v>
      </c>
      <c r="AK16" s="8">
        <f>COUNTIF(D16:AH16,"L")</f>
        <v>0</v>
      </c>
      <c r="AL16" s="8">
        <v>4</v>
      </c>
      <c r="AM16" s="10">
        <f>AI16+AK16+AL16</f>
        <v>28</v>
      </c>
    </row>
    <row r="17" spans="1:39" x14ac:dyDescent="0.25">
      <c r="A17" s="3">
        <f>IF(B17="","",A16+1)</f>
        <v>2</v>
      </c>
      <c r="B17" s="4" t="s">
        <v>18</v>
      </c>
      <c r="C17" s="4" t="s">
        <v>19</v>
      </c>
      <c r="D17" s="4" t="s">
        <v>6</v>
      </c>
      <c r="E17" s="4" t="s">
        <v>6</v>
      </c>
      <c r="F17" s="4" t="s">
        <v>6</v>
      </c>
      <c r="G17" s="31"/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31"/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31"/>
      <c r="V17" s="4" t="s">
        <v>6</v>
      </c>
      <c r="W17" s="4" t="s">
        <v>6</v>
      </c>
      <c r="X17" s="4" t="s">
        <v>6</v>
      </c>
      <c r="Y17" s="4" t="s">
        <v>6</v>
      </c>
      <c r="Z17" s="4" t="s">
        <v>6</v>
      </c>
      <c r="AA17" s="4" t="s">
        <v>6</v>
      </c>
      <c r="AB17" s="31"/>
      <c r="AC17" s="4" t="s">
        <v>6</v>
      </c>
      <c r="AD17" s="4" t="s">
        <v>6</v>
      </c>
      <c r="AE17" s="4" t="s">
        <v>6</v>
      </c>
      <c r="AF17" s="4" t="s">
        <v>6</v>
      </c>
      <c r="AG17" s="4" t="s">
        <v>6</v>
      </c>
      <c r="AH17" s="4" t="s">
        <v>6</v>
      </c>
      <c r="AI17" s="8">
        <f t="shared" ref="AI17:AI22" si="6">COUNTIF(D17:AH17,"P")</f>
        <v>27</v>
      </c>
      <c r="AJ17" s="8">
        <f t="shared" ref="AJ17:AJ22" si="7">COUNTIF(D17:AH17,"A")</f>
        <v>0</v>
      </c>
      <c r="AK17" s="8">
        <f t="shared" ref="AK17:AK22" si="8">COUNTIF(D17:AH17,"L")</f>
        <v>0</v>
      </c>
      <c r="AL17" s="8">
        <v>4</v>
      </c>
      <c r="AM17" s="10">
        <f t="shared" ref="AM17:AM22" si="9">AI17+AK17+AL17</f>
        <v>31</v>
      </c>
    </row>
    <row r="18" spans="1:39" x14ac:dyDescent="0.25">
      <c r="A18" s="3">
        <f t="shared" ref="A18:A20" si="10">IF(B18="","",A17+1)</f>
        <v>3</v>
      </c>
      <c r="B18" s="4" t="s">
        <v>20</v>
      </c>
      <c r="C18" s="4" t="s">
        <v>21</v>
      </c>
      <c r="D18" s="4" t="s">
        <v>6</v>
      </c>
      <c r="E18" s="4" t="s">
        <v>6</v>
      </c>
      <c r="F18" s="4" t="s">
        <v>6</v>
      </c>
      <c r="G18" s="31"/>
      <c r="H18" s="4" t="s">
        <v>6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31"/>
      <c r="O18" s="4" t="s">
        <v>6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31"/>
      <c r="V18" s="4" t="s">
        <v>6</v>
      </c>
      <c r="W18" s="4" t="s">
        <v>6</v>
      </c>
      <c r="X18" s="4" t="s">
        <v>6</v>
      </c>
      <c r="Y18" s="4" t="s">
        <v>6</v>
      </c>
      <c r="Z18" s="4" t="s">
        <v>6</v>
      </c>
      <c r="AA18" s="4" t="s">
        <v>6</v>
      </c>
      <c r="AB18" s="31"/>
      <c r="AC18" s="4" t="s">
        <v>27</v>
      </c>
      <c r="AD18" s="4" t="s">
        <v>6</v>
      </c>
      <c r="AE18" s="4" t="s">
        <v>6</v>
      </c>
      <c r="AF18" s="4" t="s">
        <v>6</v>
      </c>
      <c r="AG18" s="4" t="s">
        <v>6</v>
      </c>
      <c r="AH18" s="4" t="s">
        <v>6</v>
      </c>
      <c r="AI18" s="8">
        <f t="shared" si="6"/>
        <v>26</v>
      </c>
      <c r="AJ18" s="8">
        <f t="shared" si="7"/>
        <v>0</v>
      </c>
      <c r="AK18" s="8">
        <f t="shared" si="8"/>
        <v>0</v>
      </c>
      <c r="AL18" s="8">
        <v>4</v>
      </c>
      <c r="AM18" s="10">
        <f t="shared" si="9"/>
        <v>30</v>
      </c>
    </row>
    <row r="19" spans="1:39" x14ac:dyDescent="0.25">
      <c r="A19" s="3">
        <f t="shared" si="10"/>
        <v>4</v>
      </c>
      <c r="B19" s="4" t="s">
        <v>22</v>
      </c>
      <c r="C19" s="4" t="s">
        <v>23</v>
      </c>
      <c r="D19" s="4" t="s">
        <v>6</v>
      </c>
      <c r="E19" s="4" t="s">
        <v>6</v>
      </c>
      <c r="F19" s="4" t="s">
        <v>6</v>
      </c>
      <c r="G19" s="31"/>
      <c r="H19" s="4" t="s">
        <v>6</v>
      </c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31"/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31"/>
      <c r="V19" s="4" t="s">
        <v>6</v>
      </c>
      <c r="W19" s="4" t="s">
        <v>6</v>
      </c>
      <c r="X19" s="4" t="s">
        <v>6</v>
      </c>
      <c r="Y19" s="4" t="s">
        <v>6</v>
      </c>
      <c r="Z19" s="4" t="s">
        <v>6</v>
      </c>
      <c r="AA19" s="4" t="s">
        <v>6</v>
      </c>
      <c r="AB19" s="31"/>
      <c r="AC19" s="4" t="s">
        <v>27</v>
      </c>
      <c r="AD19" s="4" t="s">
        <v>6</v>
      </c>
      <c r="AE19" s="4" t="s">
        <v>6</v>
      </c>
      <c r="AF19" s="4" t="s">
        <v>6</v>
      </c>
      <c r="AG19" s="4" t="s">
        <v>6</v>
      </c>
      <c r="AH19" s="4" t="s">
        <v>6</v>
      </c>
      <c r="AI19" s="8">
        <f t="shared" si="6"/>
        <v>26</v>
      </c>
      <c r="AJ19" s="8">
        <f t="shared" si="7"/>
        <v>0</v>
      </c>
      <c r="AK19" s="8">
        <f t="shared" si="8"/>
        <v>0</v>
      </c>
      <c r="AL19" s="8">
        <v>4</v>
      </c>
      <c r="AM19" s="10">
        <f t="shared" si="9"/>
        <v>30</v>
      </c>
    </row>
    <row r="20" spans="1:39" x14ac:dyDescent="0.25">
      <c r="A20" s="3">
        <f t="shared" si="10"/>
        <v>5</v>
      </c>
      <c r="B20" s="4" t="s">
        <v>24</v>
      </c>
      <c r="C20" s="4" t="s">
        <v>23</v>
      </c>
      <c r="D20" s="4" t="s">
        <v>6</v>
      </c>
      <c r="E20" s="4" t="s">
        <v>6</v>
      </c>
      <c r="F20" s="4" t="s">
        <v>6</v>
      </c>
      <c r="G20" s="31"/>
      <c r="H20" s="4" t="s">
        <v>6</v>
      </c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31"/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31"/>
      <c r="V20" s="4" t="s">
        <v>6</v>
      </c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31"/>
      <c r="AC20" s="4" t="s">
        <v>27</v>
      </c>
      <c r="AD20" s="4" t="s">
        <v>6</v>
      </c>
      <c r="AE20" s="4" t="s">
        <v>6</v>
      </c>
      <c r="AF20" s="4" t="s">
        <v>6</v>
      </c>
      <c r="AG20" s="4" t="s">
        <v>6</v>
      </c>
      <c r="AH20" s="4" t="s">
        <v>6</v>
      </c>
      <c r="AI20" s="8">
        <f t="shared" si="6"/>
        <v>26</v>
      </c>
      <c r="AJ20" s="8">
        <f t="shared" si="7"/>
        <v>0</v>
      </c>
      <c r="AK20" s="8">
        <f t="shared" si="8"/>
        <v>0</v>
      </c>
      <c r="AL20" s="8">
        <v>4</v>
      </c>
      <c r="AM20" s="10">
        <f t="shared" si="9"/>
        <v>30</v>
      </c>
    </row>
    <row r="21" spans="1:39" x14ac:dyDescent="0.25">
      <c r="A21" s="12">
        <v>6</v>
      </c>
      <c r="B21" s="13" t="s">
        <v>25</v>
      </c>
      <c r="C21" s="4" t="s">
        <v>26</v>
      </c>
      <c r="D21" s="13" t="s">
        <v>6</v>
      </c>
      <c r="E21" s="13" t="s">
        <v>6</v>
      </c>
      <c r="F21" s="13" t="s">
        <v>6</v>
      </c>
      <c r="G21" s="31"/>
      <c r="H21" s="13" t="s">
        <v>6</v>
      </c>
      <c r="I21" s="13" t="s">
        <v>6</v>
      </c>
      <c r="J21" s="13" t="s">
        <v>6</v>
      </c>
      <c r="K21" s="13" t="s">
        <v>6</v>
      </c>
      <c r="L21" s="13" t="s">
        <v>6</v>
      </c>
      <c r="M21" s="13" t="s">
        <v>6</v>
      </c>
      <c r="N21" s="31"/>
      <c r="O21" s="13" t="s">
        <v>6</v>
      </c>
      <c r="P21" s="13" t="s">
        <v>6</v>
      </c>
      <c r="Q21" s="13" t="s">
        <v>6</v>
      </c>
      <c r="R21" s="13" t="s">
        <v>6</v>
      </c>
      <c r="S21" s="13" t="s">
        <v>6</v>
      </c>
      <c r="T21" s="13" t="s">
        <v>6</v>
      </c>
      <c r="U21" s="31"/>
      <c r="V21" s="13" t="s">
        <v>6</v>
      </c>
      <c r="W21" s="13" t="s">
        <v>6</v>
      </c>
      <c r="X21" s="13" t="s">
        <v>6</v>
      </c>
      <c r="Y21" s="13" t="s">
        <v>6</v>
      </c>
      <c r="Z21" s="13" t="s">
        <v>6</v>
      </c>
      <c r="AA21" s="13" t="s">
        <v>6</v>
      </c>
      <c r="AB21" s="31"/>
      <c r="AC21" s="13" t="s">
        <v>27</v>
      </c>
      <c r="AD21" s="13" t="s">
        <v>6</v>
      </c>
      <c r="AE21" s="13" t="s">
        <v>6</v>
      </c>
      <c r="AF21" s="13" t="s">
        <v>6</v>
      </c>
      <c r="AG21" s="13" t="s">
        <v>6</v>
      </c>
      <c r="AH21" s="13" t="s">
        <v>6</v>
      </c>
      <c r="AI21" s="14">
        <f t="shared" si="6"/>
        <v>26</v>
      </c>
      <c r="AJ21" s="14">
        <f t="shared" si="7"/>
        <v>0</v>
      </c>
      <c r="AK21" s="8">
        <f t="shared" si="8"/>
        <v>0</v>
      </c>
      <c r="AL21" s="14">
        <v>4</v>
      </c>
      <c r="AM21" s="15">
        <f t="shared" si="9"/>
        <v>30</v>
      </c>
    </row>
    <row r="22" spans="1:39" ht="15.75" thickBot="1" x14ac:dyDescent="0.3">
      <c r="A22" s="5">
        <v>7</v>
      </c>
      <c r="B22" s="6" t="s">
        <v>33</v>
      </c>
      <c r="C22" s="6" t="s">
        <v>26</v>
      </c>
      <c r="D22" s="6" t="s">
        <v>6</v>
      </c>
      <c r="E22" s="6" t="s">
        <v>6</v>
      </c>
      <c r="F22" s="6" t="s">
        <v>6</v>
      </c>
      <c r="G22" s="32"/>
      <c r="H22" s="6" t="s">
        <v>6</v>
      </c>
      <c r="I22" s="6" t="s">
        <v>6</v>
      </c>
      <c r="J22" s="6" t="s">
        <v>6</v>
      </c>
      <c r="K22" s="6" t="s">
        <v>6</v>
      </c>
      <c r="L22" s="6" t="s">
        <v>6</v>
      </c>
      <c r="M22" s="6" t="s">
        <v>6</v>
      </c>
      <c r="N22" s="32"/>
      <c r="O22" s="6" t="s">
        <v>6</v>
      </c>
      <c r="P22" s="6" t="s">
        <v>6</v>
      </c>
      <c r="Q22" s="6" t="s">
        <v>6</v>
      </c>
      <c r="R22" s="6" t="s">
        <v>6</v>
      </c>
      <c r="S22" s="6" t="s">
        <v>6</v>
      </c>
      <c r="T22" s="6" t="s">
        <v>6</v>
      </c>
      <c r="U22" s="32"/>
      <c r="V22" s="6" t="s">
        <v>6</v>
      </c>
      <c r="W22" s="6" t="s">
        <v>6</v>
      </c>
      <c r="X22" s="6" t="s">
        <v>6</v>
      </c>
      <c r="Y22" s="6" t="s">
        <v>6</v>
      </c>
      <c r="Z22" s="6" t="s">
        <v>6</v>
      </c>
      <c r="AA22" s="6" t="s">
        <v>6</v>
      </c>
      <c r="AB22" s="32"/>
      <c r="AC22" s="6" t="s">
        <v>27</v>
      </c>
      <c r="AD22" s="6" t="s">
        <v>6</v>
      </c>
      <c r="AE22" s="6" t="s">
        <v>6</v>
      </c>
      <c r="AF22" s="6" t="s">
        <v>6</v>
      </c>
      <c r="AG22" s="6" t="s">
        <v>6</v>
      </c>
      <c r="AH22" s="6" t="s">
        <v>6</v>
      </c>
      <c r="AI22" s="9">
        <f t="shared" si="6"/>
        <v>26</v>
      </c>
      <c r="AJ22" s="9">
        <f t="shared" si="7"/>
        <v>0</v>
      </c>
      <c r="AK22" s="9">
        <f t="shared" si="8"/>
        <v>0</v>
      </c>
      <c r="AL22" s="9">
        <f t="shared" ref="AL22" si="11">COUNTBLANK(D22:AH22)</f>
        <v>4</v>
      </c>
      <c r="AM22" s="11">
        <f t="shared" si="9"/>
        <v>30</v>
      </c>
    </row>
  </sheetData>
  <mergeCells count="17">
    <mergeCell ref="G16:G22"/>
    <mergeCell ref="N16:N22"/>
    <mergeCell ref="U16:U22"/>
    <mergeCell ref="AB16:AB22"/>
    <mergeCell ref="A3:C3"/>
    <mergeCell ref="A2:AM2"/>
    <mergeCell ref="A13:AM13"/>
    <mergeCell ref="AI3:AM3"/>
    <mergeCell ref="A14:C14"/>
    <mergeCell ref="AI14:AM14"/>
    <mergeCell ref="G5:G11"/>
    <mergeCell ref="N5:N11"/>
    <mergeCell ref="U5:U11"/>
    <mergeCell ref="AB5:AB11"/>
    <mergeCell ref="W5:W11"/>
    <mergeCell ref="AC5:AC11"/>
    <mergeCell ref="AG5:AG11"/>
  </mergeCells>
  <conditionalFormatting sqref="D16:F22 H16:M22 O16:T22">
    <cfRule type="cellIs" dxfId="113" priority="32" operator="equal">
      <formula>"A"</formula>
    </cfRule>
    <cfRule type="cellIs" dxfId="112" priority="33" operator="equal">
      <formula>"P"</formula>
    </cfRule>
  </conditionalFormatting>
  <conditionalFormatting sqref="D5:N5 U5:AC5 AG5 O5:T11 AD5:AF11 AH5:AH11 D6:F11 H6:M11 V6:V11 X6:AA11">
    <cfRule type="cellIs" dxfId="111" priority="35" operator="equal">
      <formula>"A"</formula>
    </cfRule>
    <cfRule type="cellIs" dxfId="110" priority="36" operator="equal">
      <formula>"P"</formula>
    </cfRule>
  </conditionalFormatting>
  <conditionalFormatting sqref="D3:AH4 D5:N5 U5:AC5 AG5 O5:T11 AD5:AF11 AH5:AH11 D6:F11 H6:M11 V6:V11 X6:AA11">
    <cfRule type="expression" dxfId="109" priority="34">
      <formula>D$3="SUN"</formula>
    </cfRule>
  </conditionalFormatting>
  <conditionalFormatting sqref="D14:AH15 D16:F22 H16:M22 O16:T22">
    <cfRule type="expression" dxfId="108" priority="31">
      <formula>D$3="SUN"</formula>
    </cfRule>
  </conditionalFormatting>
  <conditionalFormatting sqref="G16">
    <cfRule type="expression" dxfId="107" priority="28">
      <formula>G$3="SUN"</formula>
    </cfRule>
    <cfRule type="cellIs" dxfId="106" priority="29" operator="equal">
      <formula>"A"</formula>
    </cfRule>
    <cfRule type="cellIs" dxfId="105" priority="30" operator="equal">
      <formula>"P"</formula>
    </cfRule>
  </conditionalFormatting>
  <conditionalFormatting sqref="N16">
    <cfRule type="expression" dxfId="104" priority="25">
      <formula>N$3="SUN"</formula>
    </cfRule>
    <cfRule type="cellIs" dxfId="103" priority="26" operator="equal">
      <formula>"A"</formula>
    </cfRule>
    <cfRule type="cellIs" dxfId="102" priority="27" operator="equal">
      <formula>"P"</formula>
    </cfRule>
  </conditionalFormatting>
  <conditionalFormatting sqref="U16">
    <cfRule type="expression" dxfId="101" priority="22">
      <formula>U$3="SUN"</formula>
    </cfRule>
    <cfRule type="cellIs" dxfId="100" priority="23" operator="equal">
      <formula>"A"</formula>
    </cfRule>
    <cfRule type="cellIs" dxfId="99" priority="24" operator="equal">
      <formula>"P"</formula>
    </cfRule>
  </conditionalFormatting>
  <conditionalFormatting sqref="V16:AA22">
    <cfRule type="expression" dxfId="98" priority="7">
      <formula>V$3="SUN"</formula>
    </cfRule>
    <cfRule type="cellIs" dxfId="97" priority="8" operator="equal">
      <formula>"A"</formula>
    </cfRule>
    <cfRule type="cellIs" dxfId="96" priority="9" operator="equal">
      <formula>"P"</formula>
    </cfRule>
  </conditionalFormatting>
  <conditionalFormatting sqref="AB16">
    <cfRule type="expression" dxfId="95" priority="19">
      <formula>AB$3="SUN"</formula>
    </cfRule>
    <cfRule type="cellIs" dxfId="94" priority="20" operator="equal">
      <formula>"A"</formula>
    </cfRule>
    <cfRule type="cellIs" dxfId="93" priority="21" operator="equal">
      <formula>"P"</formula>
    </cfRule>
  </conditionalFormatting>
  <conditionalFormatting sqref="AC16:AH22">
    <cfRule type="expression" dxfId="92" priority="1">
      <formula>AC$3="SUN"</formula>
    </cfRule>
    <cfRule type="cellIs" dxfId="91" priority="2" operator="equal">
      <formula>"A"</formula>
    </cfRule>
    <cfRule type="cellIs" dxfId="90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D503-94B1-4E19-89CB-BB8583762EC1}">
  <dimension ref="A1:AL23"/>
  <sheetViews>
    <sheetView workbookViewId="0">
      <selection activeCell="A2" sqref="A2:AL2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3" width="3.7109375" bestFit="1" customWidth="1"/>
    <col min="34" max="37" width="5.7109375" customWidth="1"/>
    <col min="38" max="38" width="7.42578125" bestFit="1" customWidth="1"/>
  </cols>
  <sheetData>
    <row r="1" spans="1:38" ht="15.75" thickBot="1" x14ac:dyDescent="0.3"/>
    <row r="2" spans="1:38" ht="32.25" thickBot="1" x14ac:dyDescent="0.55000000000000004">
      <c r="A2" s="23" t="s">
        <v>44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ht="27" x14ac:dyDescent="0.25">
      <c r="A3" s="28" t="s">
        <v>0</v>
      </c>
      <c r="B3" s="29"/>
      <c r="C3" s="29"/>
      <c r="D3" s="18" t="str">
        <f>TEXT(D4,"ddd")</f>
        <v>Sun</v>
      </c>
      <c r="E3" s="18" t="str">
        <f t="shared" ref="E3:AG3" si="0">TEXT(E4,"ddd")</f>
        <v>Mon</v>
      </c>
      <c r="F3" s="18" t="str">
        <f t="shared" si="0"/>
        <v>Tue</v>
      </c>
      <c r="G3" s="18" t="str">
        <f t="shared" si="0"/>
        <v>Wed</v>
      </c>
      <c r="H3" s="18" t="str">
        <f t="shared" si="0"/>
        <v>Thu</v>
      </c>
      <c r="I3" s="18" t="str">
        <f t="shared" si="0"/>
        <v>Fri</v>
      </c>
      <c r="J3" s="18" t="str">
        <f t="shared" si="0"/>
        <v>Sat</v>
      </c>
      <c r="K3" s="18" t="str">
        <f t="shared" si="0"/>
        <v>Sun</v>
      </c>
      <c r="L3" s="18" t="str">
        <f t="shared" si="0"/>
        <v>Mon</v>
      </c>
      <c r="M3" s="18" t="str">
        <f t="shared" si="0"/>
        <v>Tue</v>
      </c>
      <c r="N3" s="18" t="str">
        <f t="shared" si="0"/>
        <v>Wed</v>
      </c>
      <c r="O3" s="18" t="str">
        <f t="shared" si="0"/>
        <v>Thu</v>
      </c>
      <c r="P3" s="18" t="str">
        <f t="shared" si="0"/>
        <v>Fri</v>
      </c>
      <c r="Q3" s="18" t="str">
        <f t="shared" si="0"/>
        <v>Sat</v>
      </c>
      <c r="R3" s="18" t="str">
        <f t="shared" si="0"/>
        <v>Sun</v>
      </c>
      <c r="S3" s="18" t="str">
        <f t="shared" si="0"/>
        <v>Mon</v>
      </c>
      <c r="T3" s="18" t="str">
        <f t="shared" si="0"/>
        <v>Tue</v>
      </c>
      <c r="U3" s="18" t="str">
        <f t="shared" si="0"/>
        <v>Wed</v>
      </c>
      <c r="V3" s="18" t="str">
        <f t="shared" si="0"/>
        <v>Thu</v>
      </c>
      <c r="W3" s="18" t="str">
        <f t="shared" si="0"/>
        <v>Fri</v>
      </c>
      <c r="X3" s="18" t="str">
        <f t="shared" si="0"/>
        <v>Sat</v>
      </c>
      <c r="Y3" s="18" t="str">
        <f t="shared" si="0"/>
        <v>Sun</v>
      </c>
      <c r="Z3" s="18" t="str">
        <f t="shared" si="0"/>
        <v>Mon</v>
      </c>
      <c r="AA3" s="18" t="str">
        <f t="shared" si="0"/>
        <v>Tue</v>
      </c>
      <c r="AB3" s="18" t="str">
        <f t="shared" si="0"/>
        <v>Wed</v>
      </c>
      <c r="AC3" s="18" t="str">
        <f t="shared" si="0"/>
        <v>Thu</v>
      </c>
      <c r="AD3" s="18" t="str">
        <f t="shared" si="0"/>
        <v>Fri</v>
      </c>
      <c r="AE3" s="18" t="str">
        <f t="shared" si="0"/>
        <v>Sat</v>
      </c>
      <c r="AF3" s="18" t="str">
        <f t="shared" si="0"/>
        <v>Sun</v>
      </c>
      <c r="AG3" s="18" t="str">
        <f t="shared" si="0"/>
        <v>Mon</v>
      </c>
      <c r="AH3" s="26" t="s">
        <v>1</v>
      </c>
      <c r="AI3" s="26"/>
      <c r="AJ3" s="26"/>
      <c r="AK3" s="26"/>
      <c r="AL3" s="27"/>
    </row>
    <row r="4" spans="1:38" x14ac:dyDescent="0.25">
      <c r="A4" s="1" t="s">
        <v>2</v>
      </c>
      <c r="B4" s="2" t="s">
        <v>3</v>
      </c>
      <c r="C4" s="2" t="s">
        <v>4</v>
      </c>
      <c r="D4" s="7">
        <v>45536</v>
      </c>
      <c r="E4" s="7">
        <v>45537</v>
      </c>
      <c r="F4" s="7">
        <v>45538</v>
      </c>
      <c r="G4" s="7">
        <v>45539</v>
      </c>
      <c r="H4" s="7">
        <v>45540</v>
      </c>
      <c r="I4" s="7">
        <v>45541</v>
      </c>
      <c r="J4" s="7">
        <v>45542</v>
      </c>
      <c r="K4" s="7">
        <v>45543</v>
      </c>
      <c r="L4" s="7">
        <v>45544</v>
      </c>
      <c r="M4" s="7">
        <v>45545</v>
      </c>
      <c r="N4" s="7">
        <v>45546</v>
      </c>
      <c r="O4" s="7">
        <v>45547</v>
      </c>
      <c r="P4" s="7">
        <v>45548</v>
      </c>
      <c r="Q4" s="7">
        <v>45549</v>
      </c>
      <c r="R4" s="7">
        <v>45550</v>
      </c>
      <c r="S4" s="7">
        <v>45551</v>
      </c>
      <c r="T4" s="7">
        <v>45552</v>
      </c>
      <c r="U4" s="7">
        <v>45553</v>
      </c>
      <c r="V4" s="7">
        <v>45554</v>
      </c>
      <c r="W4" s="7">
        <v>45555</v>
      </c>
      <c r="X4" s="7">
        <v>45556</v>
      </c>
      <c r="Y4" s="7">
        <v>45557</v>
      </c>
      <c r="Z4" s="7">
        <v>45558</v>
      </c>
      <c r="AA4" s="7">
        <v>45559</v>
      </c>
      <c r="AB4" s="7">
        <v>45560</v>
      </c>
      <c r="AC4" s="7">
        <v>45561</v>
      </c>
      <c r="AD4" s="7">
        <v>45562</v>
      </c>
      <c r="AE4" s="7">
        <v>45563</v>
      </c>
      <c r="AF4" s="7">
        <v>45564</v>
      </c>
      <c r="AG4" s="7">
        <v>45565</v>
      </c>
      <c r="AH4" s="16" t="s">
        <v>6</v>
      </c>
      <c r="AI4" s="16" t="s">
        <v>7</v>
      </c>
      <c r="AJ4" s="16" t="s">
        <v>15</v>
      </c>
      <c r="AK4" s="16" t="s">
        <v>28</v>
      </c>
      <c r="AL4" s="17" t="s">
        <v>5</v>
      </c>
    </row>
    <row r="5" spans="1:38" ht="15" customHeight="1" x14ac:dyDescent="0.25">
      <c r="A5" s="3">
        <v>1</v>
      </c>
      <c r="B5" s="4" t="s">
        <v>34</v>
      </c>
      <c r="C5" s="4" t="s">
        <v>8</v>
      </c>
      <c r="D5" s="30" t="s">
        <v>29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30" t="s">
        <v>29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30" t="s">
        <v>29</v>
      </c>
      <c r="S5" s="4" t="s">
        <v>6</v>
      </c>
      <c r="T5" s="4" t="s">
        <v>27</v>
      </c>
      <c r="U5" s="4" t="s">
        <v>6</v>
      </c>
      <c r="V5" s="4" t="s">
        <v>6</v>
      </c>
      <c r="W5" s="4" t="s">
        <v>6</v>
      </c>
      <c r="X5" s="4" t="s">
        <v>6</v>
      </c>
      <c r="Y5" s="30" t="s">
        <v>29</v>
      </c>
      <c r="Z5" s="4" t="s">
        <v>6</v>
      </c>
      <c r="AA5" s="4" t="s">
        <v>6</v>
      </c>
      <c r="AB5" s="4" t="s">
        <v>6</v>
      </c>
      <c r="AC5" s="4" t="s">
        <v>6</v>
      </c>
      <c r="AD5" s="19" t="s">
        <v>6</v>
      </c>
      <c r="AE5" s="4" t="s">
        <v>6</v>
      </c>
      <c r="AF5" s="30" t="s">
        <v>29</v>
      </c>
      <c r="AG5" s="4" t="s">
        <v>6</v>
      </c>
      <c r="AH5" s="4">
        <f t="shared" ref="AH5:AH12" si="1">COUNTIF(D5:AG5,"P")</f>
        <v>24</v>
      </c>
      <c r="AI5" s="4">
        <f t="shared" ref="AI5:AI12" si="2">COUNTIF(D5:AG5,"A")</f>
        <v>0</v>
      </c>
      <c r="AJ5" s="4">
        <f t="shared" ref="AJ5:AJ12" si="3">COUNTIF(D5:AG5,"L")</f>
        <v>0</v>
      </c>
      <c r="AK5" s="4">
        <v>5</v>
      </c>
      <c r="AL5" s="20">
        <f>AH5+AJ5+AK5</f>
        <v>29</v>
      </c>
    </row>
    <row r="6" spans="1:38" x14ac:dyDescent="0.25">
      <c r="A6" s="3">
        <v>2</v>
      </c>
      <c r="B6" s="4" t="s">
        <v>9</v>
      </c>
      <c r="C6" s="4" t="s">
        <v>8</v>
      </c>
      <c r="D6" s="31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31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31"/>
      <c r="S6" s="4" t="s">
        <v>6</v>
      </c>
      <c r="T6" s="4" t="s">
        <v>27</v>
      </c>
      <c r="U6" s="4" t="s">
        <v>6</v>
      </c>
      <c r="V6" s="4" t="s">
        <v>6</v>
      </c>
      <c r="W6" s="4" t="s">
        <v>6</v>
      </c>
      <c r="X6" s="4" t="s">
        <v>6</v>
      </c>
      <c r="Y6" s="31"/>
      <c r="Z6" s="4" t="s">
        <v>6</v>
      </c>
      <c r="AA6" s="4" t="s">
        <v>6</v>
      </c>
      <c r="AB6" s="4" t="s">
        <v>6</v>
      </c>
      <c r="AC6" s="4" t="s">
        <v>6</v>
      </c>
      <c r="AD6" s="19" t="s">
        <v>6</v>
      </c>
      <c r="AE6" s="4" t="s">
        <v>6</v>
      </c>
      <c r="AF6" s="31"/>
      <c r="AG6" s="4" t="s">
        <v>6</v>
      </c>
      <c r="AH6" s="4">
        <f t="shared" si="1"/>
        <v>24</v>
      </c>
      <c r="AI6" s="4">
        <f t="shared" si="2"/>
        <v>0</v>
      </c>
      <c r="AJ6" s="4">
        <f t="shared" si="3"/>
        <v>0</v>
      </c>
      <c r="AK6" s="4">
        <f t="shared" ref="AK6:AK12" si="4">COUNTBLANK(D6:AG6)</f>
        <v>5</v>
      </c>
      <c r="AL6" s="20">
        <f t="shared" ref="AL6:AL12" si="5">AH6+AJ6+AK6</f>
        <v>29</v>
      </c>
    </row>
    <row r="7" spans="1:38" x14ac:dyDescent="0.25">
      <c r="A7" s="3">
        <v>3</v>
      </c>
      <c r="B7" s="4" t="s">
        <v>10</v>
      </c>
      <c r="C7" s="4" t="s">
        <v>8</v>
      </c>
      <c r="D7" s="31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31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31"/>
      <c r="S7" s="4" t="s">
        <v>6</v>
      </c>
      <c r="T7" s="4" t="s">
        <v>27</v>
      </c>
      <c r="U7" s="4" t="s">
        <v>6</v>
      </c>
      <c r="V7" s="4" t="s">
        <v>6</v>
      </c>
      <c r="W7" s="4" t="s">
        <v>6</v>
      </c>
      <c r="X7" s="4" t="s">
        <v>6</v>
      </c>
      <c r="Y7" s="31"/>
      <c r="Z7" s="4" t="s">
        <v>6</v>
      </c>
      <c r="AA7" s="4" t="s">
        <v>6</v>
      </c>
      <c r="AB7" s="4" t="s">
        <v>6</v>
      </c>
      <c r="AC7" s="4" t="s">
        <v>6</v>
      </c>
      <c r="AD7" s="19" t="s">
        <v>6</v>
      </c>
      <c r="AE7" s="4" t="s">
        <v>6</v>
      </c>
      <c r="AF7" s="31"/>
      <c r="AG7" s="4" t="s">
        <v>6</v>
      </c>
      <c r="AH7" s="4">
        <f t="shared" si="1"/>
        <v>24</v>
      </c>
      <c r="AI7" s="4">
        <f t="shared" si="2"/>
        <v>0</v>
      </c>
      <c r="AJ7" s="4">
        <f t="shared" si="3"/>
        <v>0</v>
      </c>
      <c r="AK7" s="4">
        <f t="shared" si="4"/>
        <v>5</v>
      </c>
      <c r="AL7" s="20">
        <f t="shared" si="5"/>
        <v>29</v>
      </c>
    </row>
    <row r="8" spans="1:38" x14ac:dyDescent="0.25">
      <c r="A8" s="3">
        <v>4</v>
      </c>
      <c r="B8" s="4" t="s">
        <v>11</v>
      </c>
      <c r="C8" s="4" t="s">
        <v>8</v>
      </c>
      <c r="D8" s="31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31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31"/>
      <c r="S8" s="4" t="s">
        <v>6</v>
      </c>
      <c r="T8" s="4" t="s">
        <v>27</v>
      </c>
      <c r="U8" s="4" t="s">
        <v>6</v>
      </c>
      <c r="V8" s="4" t="s">
        <v>6</v>
      </c>
      <c r="W8" s="4" t="s">
        <v>6</v>
      </c>
      <c r="X8" s="4" t="s">
        <v>6</v>
      </c>
      <c r="Y8" s="31"/>
      <c r="Z8" s="4" t="s">
        <v>6</v>
      </c>
      <c r="AA8" s="4" t="s">
        <v>6</v>
      </c>
      <c r="AB8" s="4" t="s">
        <v>6</v>
      </c>
      <c r="AC8" s="4" t="s">
        <v>6</v>
      </c>
      <c r="AD8" s="19" t="s">
        <v>6</v>
      </c>
      <c r="AE8" s="4" t="s">
        <v>6</v>
      </c>
      <c r="AF8" s="31"/>
      <c r="AG8" s="4" t="s">
        <v>6</v>
      </c>
      <c r="AH8" s="4">
        <f t="shared" si="1"/>
        <v>24</v>
      </c>
      <c r="AI8" s="4">
        <f t="shared" si="2"/>
        <v>0</v>
      </c>
      <c r="AJ8" s="4">
        <f t="shared" si="3"/>
        <v>0</v>
      </c>
      <c r="AK8" s="4">
        <f t="shared" si="4"/>
        <v>5</v>
      </c>
      <c r="AL8" s="20">
        <f t="shared" si="5"/>
        <v>29</v>
      </c>
    </row>
    <row r="9" spans="1:38" x14ac:dyDescent="0.25">
      <c r="A9" s="3">
        <v>5</v>
      </c>
      <c r="B9" s="4" t="s">
        <v>12</v>
      </c>
      <c r="C9" s="4" t="s">
        <v>8</v>
      </c>
      <c r="D9" s="31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31"/>
      <c r="L9" s="4" t="s">
        <v>6</v>
      </c>
      <c r="M9" s="4" t="s">
        <v>6</v>
      </c>
      <c r="N9" s="4" t="s">
        <v>7</v>
      </c>
      <c r="O9" s="4" t="s">
        <v>6</v>
      </c>
      <c r="P9" s="4" t="s">
        <v>6</v>
      </c>
      <c r="Q9" s="4" t="s">
        <v>6</v>
      </c>
      <c r="R9" s="31"/>
      <c r="S9" s="4" t="s">
        <v>6</v>
      </c>
      <c r="T9" s="4" t="s">
        <v>27</v>
      </c>
      <c r="U9" s="4" t="s">
        <v>6</v>
      </c>
      <c r="V9" s="4" t="s">
        <v>6</v>
      </c>
      <c r="W9" s="4" t="s">
        <v>6</v>
      </c>
      <c r="X9" s="4" t="s">
        <v>6</v>
      </c>
      <c r="Y9" s="31"/>
      <c r="Z9" s="4" t="s">
        <v>6</v>
      </c>
      <c r="AA9" s="4" t="s">
        <v>6</v>
      </c>
      <c r="AB9" s="4" t="s">
        <v>6</v>
      </c>
      <c r="AC9" s="4" t="s">
        <v>6</v>
      </c>
      <c r="AD9" s="19" t="s">
        <v>6</v>
      </c>
      <c r="AE9" s="4" t="s">
        <v>6</v>
      </c>
      <c r="AF9" s="31"/>
      <c r="AG9" s="4" t="s">
        <v>6</v>
      </c>
      <c r="AH9" s="4">
        <f t="shared" si="1"/>
        <v>23</v>
      </c>
      <c r="AI9" s="4">
        <f t="shared" si="2"/>
        <v>1</v>
      </c>
      <c r="AJ9" s="4">
        <f t="shared" si="3"/>
        <v>0</v>
      </c>
      <c r="AK9" s="4">
        <f t="shared" si="4"/>
        <v>5</v>
      </c>
      <c r="AL9" s="20">
        <f t="shared" si="5"/>
        <v>28</v>
      </c>
    </row>
    <row r="10" spans="1:38" x14ac:dyDescent="0.25">
      <c r="A10" s="3">
        <v>6</v>
      </c>
      <c r="B10" s="4" t="s">
        <v>13</v>
      </c>
      <c r="C10" s="4" t="s">
        <v>8</v>
      </c>
      <c r="D10" s="31"/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31"/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31"/>
      <c r="S10" s="4" t="s">
        <v>6</v>
      </c>
      <c r="T10" s="4" t="s">
        <v>27</v>
      </c>
      <c r="U10" s="4" t="s">
        <v>6</v>
      </c>
      <c r="V10" s="4" t="s">
        <v>6</v>
      </c>
      <c r="W10" s="4" t="s">
        <v>6</v>
      </c>
      <c r="X10" s="4" t="s">
        <v>6</v>
      </c>
      <c r="Y10" s="31"/>
      <c r="Z10" s="4" t="s">
        <v>6</v>
      </c>
      <c r="AA10" s="4" t="s">
        <v>6</v>
      </c>
      <c r="AB10" s="4" t="s">
        <v>6</v>
      </c>
      <c r="AC10" s="4" t="s">
        <v>6</v>
      </c>
      <c r="AD10" s="19" t="s">
        <v>6</v>
      </c>
      <c r="AE10" s="4" t="s">
        <v>6</v>
      </c>
      <c r="AF10" s="31"/>
      <c r="AG10" s="4" t="s">
        <v>6</v>
      </c>
      <c r="AH10" s="4">
        <f t="shared" si="1"/>
        <v>24</v>
      </c>
      <c r="AI10" s="4">
        <f t="shared" si="2"/>
        <v>0</v>
      </c>
      <c r="AJ10" s="4">
        <f t="shared" si="3"/>
        <v>0</v>
      </c>
      <c r="AK10" s="4">
        <f t="shared" si="4"/>
        <v>5</v>
      </c>
      <c r="AL10" s="20">
        <f t="shared" si="5"/>
        <v>29</v>
      </c>
    </row>
    <row r="11" spans="1:38" x14ac:dyDescent="0.25">
      <c r="A11" s="3">
        <v>7</v>
      </c>
      <c r="B11" s="4" t="s">
        <v>14</v>
      </c>
      <c r="C11" s="4" t="s">
        <v>8</v>
      </c>
      <c r="D11" s="31"/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31"/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31"/>
      <c r="S11" s="4" t="s">
        <v>6</v>
      </c>
      <c r="T11" s="4" t="s">
        <v>27</v>
      </c>
      <c r="U11" s="4" t="s">
        <v>6</v>
      </c>
      <c r="V11" s="4" t="s">
        <v>6</v>
      </c>
      <c r="W11" s="4" t="s">
        <v>6</v>
      </c>
      <c r="X11" s="4" t="s">
        <v>6</v>
      </c>
      <c r="Y11" s="31"/>
      <c r="Z11" s="4" t="s">
        <v>6</v>
      </c>
      <c r="AA11" s="4" t="s">
        <v>6</v>
      </c>
      <c r="AB11" s="4" t="s">
        <v>6</v>
      </c>
      <c r="AC11" s="4" t="s">
        <v>6</v>
      </c>
      <c r="AD11" s="19" t="s">
        <v>6</v>
      </c>
      <c r="AE11" s="4" t="s">
        <v>6</v>
      </c>
      <c r="AF11" s="31"/>
      <c r="AG11" s="4" t="s">
        <v>6</v>
      </c>
      <c r="AH11" s="4">
        <f t="shared" si="1"/>
        <v>24</v>
      </c>
      <c r="AI11" s="4">
        <f t="shared" si="2"/>
        <v>0</v>
      </c>
      <c r="AJ11" s="4">
        <f t="shared" si="3"/>
        <v>0</v>
      </c>
      <c r="AK11" s="4">
        <f t="shared" si="4"/>
        <v>5</v>
      </c>
      <c r="AL11" s="20">
        <f t="shared" si="5"/>
        <v>29</v>
      </c>
    </row>
    <row r="12" spans="1:38" ht="15.75" thickBot="1" x14ac:dyDescent="0.3">
      <c r="A12" s="5">
        <v>8</v>
      </c>
      <c r="B12" s="6" t="s">
        <v>35</v>
      </c>
      <c r="C12" s="6" t="s">
        <v>36</v>
      </c>
      <c r="D12" s="36"/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36"/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36"/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  <c r="X12" s="6" t="s">
        <v>27</v>
      </c>
      <c r="Y12" s="36"/>
      <c r="Z12" s="6" t="s">
        <v>27</v>
      </c>
      <c r="AA12" s="6" t="s">
        <v>6</v>
      </c>
      <c r="AB12" s="6" t="s">
        <v>6</v>
      </c>
      <c r="AC12" s="6" t="s">
        <v>6</v>
      </c>
      <c r="AD12" s="21" t="s">
        <v>6</v>
      </c>
      <c r="AE12" s="6" t="s">
        <v>6</v>
      </c>
      <c r="AF12" s="36"/>
      <c r="AG12" s="6" t="s">
        <v>6</v>
      </c>
      <c r="AH12" s="6">
        <f t="shared" si="1"/>
        <v>6</v>
      </c>
      <c r="AI12" s="6">
        <f t="shared" si="2"/>
        <v>0</v>
      </c>
      <c r="AJ12" s="6">
        <f t="shared" si="3"/>
        <v>0</v>
      </c>
      <c r="AK12" s="6">
        <f t="shared" si="4"/>
        <v>5</v>
      </c>
      <c r="AL12" s="22">
        <f t="shared" si="5"/>
        <v>11</v>
      </c>
    </row>
    <row r="13" spans="1:38" ht="15.75" thickBot="1" x14ac:dyDescent="0.3"/>
    <row r="14" spans="1:38" ht="32.25" thickBot="1" x14ac:dyDescent="0.55000000000000004">
      <c r="A14" s="23" t="s">
        <v>45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1:38" ht="27" x14ac:dyDescent="0.25">
      <c r="A15" s="28" t="s">
        <v>0</v>
      </c>
      <c r="B15" s="29"/>
      <c r="C15" s="29"/>
      <c r="D15" s="18" t="str">
        <f>TEXT(D16,"ddd")</f>
        <v>Tue</v>
      </c>
      <c r="E15" s="18" t="str">
        <f t="shared" ref="E15:AG15" si="6">TEXT(E16,"ddd")</f>
        <v>Wed</v>
      </c>
      <c r="F15" s="18" t="str">
        <f t="shared" si="6"/>
        <v>Thu</v>
      </c>
      <c r="G15" s="18" t="str">
        <f t="shared" si="6"/>
        <v>Fri</v>
      </c>
      <c r="H15" s="18" t="str">
        <f t="shared" si="6"/>
        <v>Sat</v>
      </c>
      <c r="I15" s="18" t="str">
        <f t="shared" si="6"/>
        <v>Sun</v>
      </c>
      <c r="J15" s="18" t="str">
        <f t="shared" si="6"/>
        <v>Mon</v>
      </c>
      <c r="K15" s="18" t="str">
        <f t="shared" si="6"/>
        <v>Tue</v>
      </c>
      <c r="L15" s="18" t="str">
        <f t="shared" si="6"/>
        <v>Wed</v>
      </c>
      <c r="M15" s="18" t="str">
        <f t="shared" si="6"/>
        <v>Thu</v>
      </c>
      <c r="N15" s="18" t="str">
        <f t="shared" si="6"/>
        <v>Fri</v>
      </c>
      <c r="O15" s="18" t="str">
        <f t="shared" si="6"/>
        <v>Sat</v>
      </c>
      <c r="P15" s="18" t="str">
        <f t="shared" si="6"/>
        <v>Sun</v>
      </c>
      <c r="Q15" s="18" t="str">
        <f t="shared" si="6"/>
        <v>Mon</v>
      </c>
      <c r="R15" s="18" t="str">
        <f t="shared" si="6"/>
        <v>Tue</v>
      </c>
      <c r="S15" s="18" t="str">
        <f t="shared" si="6"/>
        <v>Wed</v>
      </c>
      <c r="T15" s="18" t="str">
        <f t="shared" si="6"/>
        <v>Thu</v>
      </c>
      <c r="U15" s="18" t="str">
        <f t="shared" si="6"/>
        <v>Fri</v>
      </c>
      <c r="V15" s="18" t="str">
        <f t="shared" si="6"/>
        <v>Sat</v>
      </c>
      <c r="W15" s="18" t="str">
        <f t="shared" si="6"/>
        <v>Sun</v>
      </c>
      <c r="X15" s="18" t="str">
        <f t="shared" si="6"/>
        <v>Mon</v>
      </c>
      <c r="Y15" s="18" t="str">
        <f t="shared" si="6"/>
        <v>Tue</v>
      </c>
      <c r="Z15" s="18" t="str">
        <f t="shared" si="6"/>
        <v>Wed</v>
      </c>
      <c r="AA15" s="18" t="str">
        <f t="shared" si="6"/>
        <v>Thu</v>
      </c>
      <c r="AB15" s="18" t="str">
        <f t="shared" si="6"/>
        <v>Fri</v>
      </c>
      <c r="AC15" s="18" t="str">
        <f t="shared" si="6"/>
        <v>Sat</v>
      </c>
      <c r="AD15" s="18" t="str">
        <f t="shared" si="6"/>
        <v>Sun</v>
      </c>
      <c r="AE15" s="18" t="str">
        <f t="shared" si="6"/>
        <v>Mon</v>
      </c>
      <c r="AF15" s="18" t="str">
        <f t="shared" si="6"/>
        <v>Tue</v>
      </c>
      <c r="AG15" s="18" t="str">
        <f t="shared" si="6"/>
        <v>Wed</v>
      </c>
      <c r="AH15" s="26" t="s">
        <v>1</v>
      </c>
      <c r="AI15" s="26"/>
      <c r="AJ15" s="26"/>
      <c r="AK15" s="26"/>
      <c r="AL15" s="27"/>
    </row>
    <row r="16" spans="1:38" x14ac:dyDescent="0.25">
      <c r="A16" s="1" t="s">
        <v>2</v>
      </c>
      <c r="B16" s="2" t="s">
        <v>3</v>
      </c>
      <c r="C16" s="2" t="s">
        <v>4</v>
      </c>
      <c r="D16" s="7">
        <v>45566</v>
      </c>
      <c r="E16" s="7">
        <v>45567</v>
      </c>
      <c r="F16" s="7">
        <v>45568</v>
      </c>
      <c r="G16" s="7">
        <v>45569</v>
      </c>
      <c r="H16" s="7">
        <v>45570</v>
      </c>
      <c r="I16" s="7">
        <v>45571</v>
      </c>
      <c r="J16" s="7">
        <v>45572</v>
      </c>
      <c r="K16" s="7">
        <v>45573</v>
      </c>
      <c r="L16" s="7">
        <v>45574</v>
      </c>
      <c r="M16" s="7">
        <v>45575</v>
      </c>
      <c r="N16" s="7">
        <v>45576</v>
      </c>
      <c r="O16" s="7">
        <v>45577</v>
      </c>
      <c r="P16" s="7">
        <v>45578</v>
      </c>
      <c r="Q16" s="7">
        <v>45579</v>
      </c>
      <c r="R16" s="7">
        <v>45580</v>
      </c>
      <c r="S16" s="7">
        <v>45581</v>
      </c>
      <c r="T16" s="7">
        <v>45582</v>
      </c>
      <c r="U16" s="7">
        <v>45583</v>
      </c>
      <c r="V16" s="7">
        <v>45584</v>
      </c>
      <c r="W16" s="7">
        <v>45585</v>
      </c>
      <c r="X16" s="7">
        <v>45586</v>
      </c>
      <c r="Y16" s="7">
        <v>45587</v>
      </c>
      <c r="Z16" s="7">
        <v>45588</v>
      </c>
      <c r="AA16" s="7">
        <v>45589</v>
      </c>
      <c r="AB16" s="7">
        <v>45590</v>
      </c>
      <c r="AC16" s="7">
        <v>45591</v>
      </c>
      <c r="AD16" s="7">
        <v>45592</v>
      </c>
      <c r="AE16" s="7">
        <v>45593</v>
      </c>
      <c r="AF16" s="7">
        <v>45594</v>
      </c>
      <c r="AG16" s="7">
        <v>45595</v>
      </c>
      <c r="AH16" s="16" t="s">
        <v>6</v>
      </c>
      <c r="AI16" s="16" t="s">
        <v>7</v>
      </c>
      <c r="AJ16" s="16" t="s">
        <v>15</v>
      </c>
      <c r="AK16" s="16" t="s">
        <v>28</v>
      </c>
      <c r="AL16" s="17" t="s">
        <v>5</v>
      </c>
    </row>
    <row r="17" spans="1:38" ht="15" customHeight="1" x14ac:dyDescent="0.25">
      <c r="A17" s="3">
        <f>IF(B17="","",1)</f>
        <v>1</v>
      </c>
      <c r="B17" s="4" t="s">
        <v>16</v>
      </c>
      <c r="C17" s="4" t="s">
        <v>17</v>
      </c>
      <c r="D17" s="30" t="s">
        <v>29</v>
      </c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30" t="s">
        <v>29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30" t="s">
        <v>29</v>
      </c>
      <c r="S17" s="4" t="s">
        <v>6</v>
      </c>
      <c r="T17" s="4" t="s">
        <v>27</v>
      </c>
      <c r="U17" s="4" t="s">
        <v>6</v>
      </c>
      <c r="V17" s="4" t="s">
        <v>6</v>
      </c>
      <c r="W17" s="4" t="s">
        <v>6</v>
      </c>
      <c r="X17" s="4" t="s">
        <v>6</v>
      </c>
      <c r="Y17" s="30" t="s">
        <v>29</v>
      </c>
      <c r="Z17" s="4" t="s">
        <v>6</v>
      </c>
      <c r="AA17" s="4" t="s">
        <v>6</v>
      </c>
      <c r="AB17" s="4" t="s">
        <v>6</v>
      </c>
      <c r="AC17" s="4" t="s">
        <v>6</v>
      </c>
      <c r="AD17" s="4" t="s">
        <v>6</v>
      </c>
      <c r="AE17" s="4" t="s">
        <v>6</v>
      </c>
      <c r="AF17" s="30" t="s">
        <v>29</v>
      </c>
      <c r="AG17" s="4" t="s">
        <v>6</v>
      </c>
      <c r="AH17" s="8">
        <f t="shared" ref="AH17:AH23" si="7">COUNTIF(D17:AG17,"P")</f>
        <v>24</v>
      </c>
      <c r="AI17" s="8">
        <f t="shared" ref="AI17:AI23" si="8">COUNTIF(D17:AG17,"A")</f>
        <v>0</v>
      </c>
      <c r="AJ17" s="8">
        <f t="shared" ref="AJ17:AJ23" si="9">COUNTIF(D17:AG17,"L")</f>
        <v>0</v>
      </c>
      <c r="AK17" s="8">
        <v>5</v>
      </c>
      <c r="AL17" s="10">
        <f>AH17+AJ17+AK17</f>
        <v>29</v>
      </c>
    </row>
    <row r="18" spans="1:38" x14ac:dyDescent="0.25">
      <c r="A18" s="3">
        <f>IF(B18="","",A17+1)</f>
        <v>2</v>
      </c>
      <c r="B18" s="4" t="s">
        <v>18</v>
      </c>
      <c r="C18" s="4" t="s">
        <v>19</v>
      </c>
      <c r="D18" s="31"/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31"/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31"/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31"/>
      <c r="Z18" s="4" t="s">
        <v>6</v>
      </c>
      <c r="AA18" s="4" t="s">
        <v>6</v>
      </c>
      <c r="AB18" s="4" t="s">
        <v>6</v>
      </c>
      <c r="AC18" s="4" t="s">
        <v>6</v>
      </c>
      <c r="AD18" s="4" t="s">
        <v>6</v>
      </c>
      <c r="AE18" s="4" t="s">
        <v>6</v>
      </c>
      <c r="AF18" s="31"/>
      <c r="AG18" s="4" t="s">
        <v>6</v>
      </c>
      <c r="AH18" s="8">
        <f t="shared" si="7"/>
        <v>25</v>
      </c>
      <c r="AI18" s="8">
        <f t="shared" si="8"/>
        <v>0</v>
      </c>
      <c r="AJ18" s="8">
        <f t="shared" si="9"/>
        <v>0</v>
      </c>
      <c r="AK18" s="8">
        <f t="shared" ref="AK18:AK21" si="10">COUNTBLANK(D18:AG18)</f>
        <v>5</v>
      </c>
      <c r="AL18" s="10">
        <f t="shared" ref="AL18:AL23" si="11">AH18+AJ18+AK18</f>
        <v>30</v>
      </c>
    </row>
    <row r="19" spans="1:38" x14ac:dyDescent="0.25">
      <c r="A19" s="3">
        <f t="shared" ref="A19:A21" si="12">IF(B19="","",A18+1)</f>
        <v>3</v>
      </c>
      <c r="B19" s="4" t="s">
        <v>20</v>
      </c>
      <c r="C19" s="4" t="s">
        <v>21</v>
      </c>
      <c r="D19" s="31"/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31"/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31"/>
      <c r="S19" s="4" t="s">
        <v>6</v>
      </c>
      <c r="T19" s="4" t="s">
        <v>27</v>
      </c>
      <c r="U19" s="4" t="s">
        <v>6</v>
      </c>
      <c r="V19" s="4" t="s">
        <v>6</v>
      </c>
      <c r="W19" s="4" t="s">
        <v>6</v>
      </c>
      <c r="X19" s="4" t="s">
        <v>6</v>
      </c>
      <c r="Y19" s="31"/>
      <c r="Z19" s="4" t="s">
        <v>6</v>
      </c>
      <c r="AA19" s="4" t="s">
        <v>6</v>
      </c>
      <c r="AB19" s="4" t="s">
        <v>6</v>
      </c>
      <c r="AC19" s="4" t="s">
        <v>6</v>
      </c>
      <c r="AD19" s="4" t="s">
        <v>6</v>
      </c>
      <c r="AE19" s="4" t="s">
        <v>6</v>
      </c>
      <c r="AF19" s="31"/>
      <c r="AG19" s="4" t="s">
        <v>6</v>
      </c>
      <c r="AH19" s="8">
        <f t="shared" si="7"/>
        <v>24</v>
      </c>
      <c r="AI19" s="8">
        <f t="shared" si="8"/>
        <v>0</v>
      </c>
      <c r="AJ19" s="8">
        <f t="shared" si="9"/>
        <v>0</v>
      </c>
      <c r="AK19" s="8">
        <f t="shared" si="10"/>
        <v>5</v>
      </c>
      <c r="AL19" s="10">
        <f t="shared" si="11"/>
        <v>29</v>
      </c>
    </row>
    <row r="20" spans="1:38" x14ac:dyDescent="0.25">
      <c r="A20" s="3">
        <f t="shared" si="12"/>
        <v>4</v>
      </c>
      <c r="B20" s="4" t="s">
        <v>22</v>
      </c>
      <c r="C20" s="4" t="s">
        <v>23</v>
      </c>
      <c r="D20" s="31"/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31"/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31"/>
      <c r="S20" s="4" t="s">
        <v>6</v>
      </c>
      <c r="T20" s="4" t="s">
        <v>27</v>
      </c>
      <c r="U20" s="4" t="s">
        <v>6</v>
      </c>
      <c r="V20" s="4" t="s">
        <v>6</v>
      </c>
      <c r="W20" s="4" t="s">
        <v>6</v>
      </c>
      <c r="X20" s="4" t="s">
        <v>6</v>
      </c>
      <c r="Y20" s="31"/>
      <c r="Z20" s="4" t="s">
        <v>6</v>
      </c>
      <c r="AA20" s="4" t="s">
        <v>6</v>
      </c>
      <c r="AB20" s="4" t="s">
        <v>6</v>
      </c>
      <c r="AC20" s="4" t="s">
        <v>6</v>
      </c>
      <c r="AD20" s="4" t="s">
        <v>6</v>
      </c>
      <c r="AE20" s="4" t="s">
        <v>6</v>
      </c>
      <c r="AF20" s="31"/>
      <c r="AG20" s="4" t="s">
        <v>6</v>
      </c>
      <c r="AH20" s="8">
        <f t="shared" si="7"/>
        <v>24</v>
      </c>
      <c r="AI20" s="8">
        <f t="shared" si="8"/>
        <v>0</v>
      </c>
      <c r="AJ20" s="8">
        <f t="shared" si="9"/>
        <v>0</v>
      </c>
      <c r="AK20" s="8">
        <f t="shared" si="10"/>
        <v>5</v>
      </c>
      <c r="AL20" s="10">
        <f t="shared" si="11"/>
        <v>29</v>
      </c>
    </row>
    <row r="21" spans="1:38" x14ac:dyDescent="0.25">
      <c r="A21" s="3">
        <f t="shared" si="12"/>
        <v>5</v>
      </c>
      <c r="B21" s="4" t="s">
        <v>24</v>
      </c>
      <c r="C21" s="4" t="s">
        <v>23</v>
      </c>
      <c r="D21" s="31"/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31"/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31"/>
      <c r="S21" s="4" t="s">
        <v>6</v>
      </c>
      <c r="T21" s="4" t="s">
        <v>27</v>
      </c>
      <c r="U21" s="4" t="s">
        <v>6</v>
      </c>
      <c r="V21" s="4" t="s">
        <v>6</v>
      </c>
      <c r="W21" s="4" t="s">
        <v>6</v>
      </c>
      <c r="X21" s="4" t="s">
        <v>6</v>
      </c>
      <c r="Y21" s="31"/>
      <c r="Z21" s="4" t="s">
        <v>6</v>
      </c>
      <c r="AA21" s="4" t="s">
        <v>6</v>
      </c>
      <c r="AB21" s="4" t="s">
        <v>6</v>
      </c>
      <c r="AC21" s="4" t="s">
        <v>6</v>
      </c>
      <c r="AD21" s="4" t="s">
        <v>6</v>
      </c>
      <c r="AE21" s="4" t="s">
        <v>6</v>
      </c>
      <c r="AF21" s="31"/>
      <c r="AG21" s="4" t="s">
        <v>6</v>
      </c>
      <c r="AH21" s="8">
        <f t="shared" si="7"/>
        <v>24</v>
      </c>
      <c r="AI21" s="8">
        <f t="shared" si="8"/>
        <v>0</v>
      </c>
      <c r="AJ21" s="8">
        <f t="shared" si="9"/>
        <v>0</v>
      </c>
      <c r="AK21" s="8">
        <f t="shared" si="10"/>
        <v>5</v>
      </c>
      <c r="AL21" s="10">
        <f t="shared" si="11"/>
        <v>29</v>
      </c>
    </row>
    <row r="22" spans="1:38" x14ac:dyDescent="0.25">
      <c r="A22" s="12">
        <v>6</v>
      </c>
      <c r="B22" s="13" t="s">
        <v>25</v>
      </c>
      <c r="C22" s="4" t="s">
        <v>26</v>
      </c>
      <c r="D22" s="31"/>
      <c r="E22" s="13" t="s">
        <v>6</v>
      </c>
      <c r="F22" s="13" t="s">
        <v>6</v>
      </c>
      <c r="G22" s="13" t="s">
        <v>6</v>
      </c>
      <c r="H22" s="13" t="s">
        <v>6</v>
      </c>
      <c r="I22" s="13" t="s">
        <v>6</v>
      </c>
      <c r="J22" s="13" t="s">
        <v>6</v>
      </c>
      <c r="K22" s="31"/>
      <c r="L22" s="13" t="s">
        <v>6</v>
      </c>
      <c r="M22" s="13" t="s">
        <v>6</v>
      </c>
      <c r="N22" s="13" t="s">
        <v>6</v>
      </c>
      <c r="O22" s="13" t="s">
        <v>6</v>
      </c>
      <c r="P22" s="13" t="s">
        <v>6</v>
      </c>
      <c r="Q22" s="13" t="s">
        <v>6</v>
      </c>
      <c r="R22" s="31"/>
      <c r="S22" s="13" t="s">
        <v>6</v>
      </c>
      <c r="T22" s="13" t="s">
        <v>27</v>
      </c>
      <c r="U22" s="13" t="s">
        <v>6</v>
      </c>
      <c r="V22" s="13" t="s">
        <v>6</v>
      </c>
      <c r="W22" s="13" t="s">
        <v>6</v>
      </c>
      <c r="X22" s="13" t="s">
        <v>6</v>
      </c>
      <c r="Y22" s="31"/>
      <c r="Z22" s="13" t="s">
        <v>6</v>
      </c>
      <c r="AA22" s="13" t="s">
        <v>6</v>
      </c>
      <c r="AB22" s="13" t="s">
        <v>6</v>
      </c>
      <c r="AC22" s="13" t="s">
        <v>6</v>
      </c>
      <c r="AD22" s="13" t="s">
        <v>6</v>
      </c>
      <c r="AE22" s="13" t="s">
        <v>6</v>
      </c>
      <c r="AF22" s="31"/>
      <c r="AG22" s="13" t="s">
        <v>6</v>
      </c>
      <c r="AH22" s="14">
        <f t="shared" si="7"/>
        <v>24</v>
      </c>
      <c r="AI22" s="14">
        <f t="shared" si="8"/>
        <v>0</v>
      </c>
      <c r="AJ22" s="8">
        <f t="shared" si="9"/>
        <v>0</v>
      </c>
      <c r="AK22" s="14">
        <f>COUNTBLANK(D22:AG22)</f>
        <v>5</v>
      </c>
      <c r="AL22" s="15">
        <f t="shared" si="11"/>
        <v>29</v>
      </c>
    </row>
    <row r="23" spans="1:38" ht="15.75" thickBot="1" x14ac:dyDescent="0.3">
      <c r="A23" s="5">
        <v>7</v>
      </c>
      <c r="B23" s="6" t="s">
        <v>33</v>
      </c>
      <c r="C23" s="6" t="s">
        <v>26</v>
      </c>
      <c r="D23" s="32"/>
      <c r="E23" s="6" t="s">
        <v>6</v>
      </c>
      <c r="F23" s="6" t="s">
        <v>6</v>
      </c>
      <c r="G23" s="6" t="s">
        <v>6</v>
      </c>
      <c r="H23" s="6" t="s">
        <v>6</v>
      </c>
      <c r="I23" s="6" t="s">
        <v>6</v>
      </c>
      <c r="J23" s="6" t="s">
        <v>6</v>
      </c>
      <c r="K23" s="32"/>
      <c r="L23" s="6" t="s">
        <v>6</v>
      </c>
      <c r="M23" s="6" t="s">
        <v>6</v>
      </c>
      <c r="N23" s="6" t="s">
        <v>6</v>
      </c>
      <c r="O23" s="6" t="s">
        <v>6</v>
      </c>
      <c r="P23" s="6" t="s">
        <v>6</v>
      </c>
      <c r="Q23" s="6" t="s">
        <v>6</v>
      </c>
      <c r="R23" s="32"/>
      <c r="S23" s="6" t="s">
        <v>6</v>
      </c>
      <c r="T23" s="6" t="s">
        <v>27</v>
      </c>
      <c r="U23" s="6" t="s">
        <v>6</v>
      </c>
      <c r="V23" s="6" t="s">
        <v>6</v>
      </c>
      <c r="W23" s="6" t="s">
        <v>6</v>
      </c>
      <c r="X23" s="6" t="s">
        <v>6</v>
      </c>
      <c r="Y23" s="32"/>
      <c r="Z23" s="6" t="s">
        <v>6</v>
      </c>
      <c r="AA23" s="6" t="s">
        <v>6</v>
      </c>
      <c r="AB23" s="6" t="s">
        <v>6</v>
      </c>
      <c r="AC23" s="6" t="s">
        <v>7</v>
      </c>
      <c r="AD23" s="6" t="s">
        <v>7</v>
      </c>
      <c r="AE23" s="6" t="s">
        <v>7</v>
      </c>
      <c r="AF23" s="32"/>
      <c r="AG23" s="6" t="s">
        <v>7</v>
      </c>
      <c r="AH23" s="9">
        <f t="shared" si="7"/>
        <v>20</v>
      </c>
      <c r="AI23" s="9">
        <f t="shared" si="8"/>
        <v>4</v>
      </c>
      <c r="AJ23" s="9">
        <f t="shared" si="9"/>
        <v>0</v>
      </c>
      <c r="AK23" s="9">
        <f>COUNTBLANK(D23:AG23)</f>
        <v>5</v>
      </c>
      <c r="AL23" s="11">
        <f t="shared" si="11"/>
        <v>25</v>
      </c>
    </row>
  </sheetData>
  <mergeCells count="16">
    <mergeCell ref="A15:C15"/>
    <mergeCell ref="AH15:AL15"/>
    <mergeCell ref="D17:D23"/>
    <mergeCell ref="K17:K23"/>
    <mergeCell ref="R17:R23"/>
    <mergeCell ref="Y17:Y23"/>
    <mergeCell ref="AF17:AF23"/>
    <mergeCell ref="A14:AL14"/>
    <mergeCell ref="R5:R12"/>
    <mergeCell ref="Y5:Y12"/>
    <mergeCell ref="AF5:AF12"/>
    <mergeCell ref="A2:AL2"/>
    <mergeCell ref="A3:C3"/>
    <mergeCell ref="AH3:AL3"/>
    <mergeCell ref="D5:D12"/>
    <mergeCell ref="K5:K12"/>
  </mergeCells>
  <conditionalFormatting sqref="D17">
    <cfRule type="cellIs" dxfId="89" priority="39" operator="equal">
      <formula>"P"</formula>
    </cfRule>
    <cfRule type="cellIs" dxfId="88" priority="38" operator="equal">
      <formula>"A"</formula>
    </cfRule>
    <cfRule type="expression" dxfId="87" priority="37">
      <formula>D$3="SUN"</formula>
    </cfRule>
  </conditionalFormatting>
  <conditionalFormatting sqref="D5:F5 H5:M5 R5 X5:AA5 AF5 G5:G12 N5:Q12 S5:W12 AB5:AE12 AG5:AG12 E6:F12 H6:J12 L6:M12 X6:X12 Z6:AA12">
    <cfRule type="cellIs" dxfId="86" priority="66" operator="equal">
      <formula>"P"</formula>
    </cfRule>
    <cfRule type="cellIs" dxfId="85" priority="65" operator="equal">
      <formula>"A"</formula>
    </cfRule>
  </conditionalFormatting>
  <conditionalFormatting sqref="D3:AG4 D5:F5 H5:M5 R5 X5:AA5 AF5 G5:G12 N5:Q12 S5:W12 AB5:AE12 AG5:AG12 E6:F12 H6:J12 L6:M12 X6:X12 Z6:AA12 D15:AG16">
    <cfRule type="expression" dxfId="84" priority="64">
      <formula>D$3="SUN"</formula>
    </cfRule>
  </conditionalFormatting>
  <conditionalFormatting sqref="E17:J23">
    <cfRule type="cellIs" dxfId="83" priority="23" operator="equal">
      <formula>"A"</formula>
    </cfRule>
    <cfRule type="cellIs" dxfId="82" priority="24" operator="equal">
      <formula>"P"</formula>
    </cfRule>
    <cfRule type="expression" dxfId="81" priority="22">
      <formula>E$3="SUN"</formula>
    </cfRule>
  </conditionalFormatting>
  <conditionalFormatting sqref="K17">
    <cfRule type="cellIs" dxfId="80" priority="36" operator="equal">
      <formula>"P"</formula>
    </cfRule>
    <cfRule type="cellIs" dxfId="79" priority="35" operator="equal">
      <formula>"A"</formula>
    </cfRule>
    <cfRule type="expression" dxfId="78" priority="34">
      <formula>K$3="SUN"</formula>
    </cfRule>
  </conditionalFormatting>
  <conditionalFormatting sqref="L17:Q23">
    <cfRule type="expression" dxfId="77" priority="19">
      <formula>L$3="SUN"</formula>
    </cfRule>
    <cfRule type="cellIs" dxfId="76" priority="20" operator="equal">
      <formula>"A"</formula>
    </cfRule>
    <cfRule type="cellIs" dxfId="75" priority="21" operator="equal">
      <formula>"P"</formula>
    </cfRule>
  </conditionalFormatting>
  <conditionalFormatting sqref="R17">
    <cfRule type="expression" dxfId="74" priority="28">
      <formula>R$3="SUN"</formula>
    </cfRule>
    <cfRule type="cellIs" dxfId="73" priority="29" operator="equal">
      <formula>"A"</formula>
    </cfRule>
    <cfRule type="cellIs" dxfId="72" priority="30" operator="equal">
      <formula>"P"</formula>
    </cfRule>
  </conditionalFormatting>
  <conditionalFormatting sqref="S17:X23">
    <cfRule type="expression" dxfId="71" priority="13">
      <formula>S$3="SUN"</formula>
    </cfRule>
    <cfRule type="cellIs" dxfId="70" priority="14" operator="equal">
      <formula>"A"</formula>
    </cfRule>
    <cfRule type="cellIs" dxfId="69" priority="15" operator="equal">
      <formula>"P"</formula>
    </cfRule>
  </conditionalFormatting>
  <conditionalFormatting sqref="Y17">
    <cfRule type="expression" dxfId="68" priority="25">
      <formula>Y$3="SUN"</formula>
    </cfRule>
    <cfRule type="cellIs" dxfId="67" priority="26" operator="equal">
      <formula>"A"</formula>
    </cfRule>
    <cfRule type="cellIs" dxfId="66" priority="27" operator="equal">
      <formula>"P"</formula>
    </cfRule>
  </conditionalFormatting>
  <conditionalFormatting sqref="Z17:AE23">
    <cfRule type="expression" dxfId="65" priority="4">
      <formula>Z$3="SUN"</formula>
    </cfRule>
    <cfRule type="cellIs" dxfId="64" priority="5" operator="equal">
      <formula>"A"</formula>
    </cfRule>
    <cfRule type="cellIs" dxfId="63" priority="6" operator="equal">
      <formula>"P"</formula>
    </cfRule>
  </conditionalFormatting>
  <conditionalFormatting sqref="AF17">
    <cfRule type="cellIs" dxfId="62" priority="59" operator="equal">
      <formula>"A"</formula>
    </cfRule>
    <cfRule type="cellIs" dxfId="61" priority="60" operator="equal">
      <formula>"P"</formula>
    </cfRule>
    <cfRule type="expression" dxfId="60" priority="58">
      <formula>AF$3="SUN"</formula>
    </cfRule>
  </conditionalFormatting>
  <conditionalFormatting sqref="AG17:AG23">
    <cfRule type="cellIs" dxfId="59" priority="2" operator="equal">
      <formula>"A"</formula>
    </cfRule>
    <cfRule type="cellIs" dxfId="58" priority="3" operator="equal">
      <formula>"P"</formula>
    </cfRule>
    <cfRule type="expression" dxfId="57" priority="1">
      <formula>AG$3="SUN"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B517-2E03-4FCC-BF68-13C50D42FB6C}">
  <dimension ref="A1:AM24"/>
  <sheetViews>
    <sheetView topLeftCell="A4" workbookViewId="0">
      <selection activeCell="A15" sqref="A15:AM1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3" t="s">
        <v>44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5"/>
    </row>
    <row r="3" spans="1:39" ht="27" x14ac:dyDescent="0.25">
      <c r="A3" s="28" t="s">
        <v>0</v>
      </c>
      <c r="B3" s="29"/>
      <c r="C3" s="29"/>
      <c r="D3" s="18" t="str">
        <f>TEXT(D4,"ddd")</f>
        <v>Tue</v>
      </c>
      <c r="E3" s="18" t="str">
        <f t="shared" ref="E3:AH3" si="0">TEXT(E4,"ddd")</f>
        <v>Wed</v>
      </c>
      <c r="F3" s="18" t="str">
        <f t="shared" si="0"/>
        <v>Thu</v>
      </c>
      <c r="G3" s="18" t="str">
        <f t="shared" si="0"/>
        <v>Fri</v>
      </c>
      <c r="H3" s="18" t="str">
        <f t="shared" si="0"/>
        <v>Sat</v>
      </c>
      <c r="I3" s="18" t="str">
        <f t="shared" si="0"/>
        <v>Sun</v>
      </c>
      <c r="J3" s="18" t="str">
        <f t="shared" si="0"/>
        <v>Mon</v>
      </c>
      <c r="K3" s="18" t="str">
        <f t="shared" si="0"/>
        <v>Tue</v>
      </c>
      <c r="L3" s="18" t="str">
        <f t="shared" si="0"/>
        <v>Wed</v>
      </c>
      <c r="M3" s="18" t="str">
        <f t="shared" si="0"/>
        <v>Thu</v>
      </c>
      <c r="N3" s="18" t="str">
        <f t="shared" si="0"/>
        <v>Fri</v>
      </c>
      <c r="O3" s="18" t="str">
        <f t="shared" si="0"/>
        <v>Sat</v>
      </c>
      <c r="P3" s="18" t="str">
        <f t="shared" si="0"/>
        <v>Sun</v>
      </c>
      <c r="Q3" s="18" t="str">
        <f t="shared" si="0"/>
        <v>Mon</v>
      </c>
      <c r="R3" s="18" t="str">
        <f t="shared" si="0"/>
        <v>Tue</v>
      </c>
      <c r="S3" s="18" t="str">
        <f t="shared" si="0"/>
        <v>Wed</v>
      </c>
      <c r="T3" s="18" t="str">
        <f t="shared" si="0"/>
        <v>Thu</v>
      </c>
      <c r="U3" s="18" t="str">
        <f t="shared" si="0"/>
        <v>Fri</v>
      </c>
      <c r="V3" s="18" t="str">
        <f t="shared" si="0"/>
        <v>Sat</v>
      </c>
      <c r="W3" s="18" t="str">
        <f t="shared" si="0"/>
        <v>Sun</v>
      </c>
      <c r="X3" s="18" t="str">
        <f t="shared" si="0"/>
        <v>Mon</v>
      </c>
      <c r="Y3" s="18" t="str">
        <f t="shared" si="0"/>
        <v>Tue</v>
      </c>
      <c r="Z3" s="18" t="str">
        <f t="shared" si="0"/>
        <v>Wed</v>
      </c>
      <c r="AA3" s="18" t="str">
        <f t="shared" si="0"/>
        <v>Thu</v>
      </c>
      <c r="AB3" s="18" t="str">
        <f t="shared" si="0"/>
        <v>Fri</v>
      </c>
      <c r="AC3" s="18" t="str">
        <f t="shared" si="0"/>
        <v>Sat</v>
      </c>
      <c r="AD3" s="18" t="str">
        <f t="shared" si="0"/>
        <v>Sun</v>
      </c>
      <c r="AE3" s="18" t="str">
        <f t="shared" si="0"/>
        <v>Mon</v>
      </c>
      <c r="AF3" s="18" t="str">
        <f t="shared" si="0"/>
        <v>Tue</v>
      </c>
      <c r="AG3" s="18" t="str">
        <f t="shared" si="0"/>
        <v>Wed</v>
      </c>
      <c r="AH3" s="18" t="str">
        <f t="shared" si="0"/>
        <v>Thu</v>
      </c>
      <c r="AI3" s="26" t="s">
        <v>1</v>
      </c>
      <c r="AJ3" s="26"/>
      <c r="AK3" s="26"/>
      <c r="AL3" s="26"/>
      <c r="AM3" s="27"/>
    </row>
    <row r="4" spans="1:39" x14ac:dyDescent="0.25">
      <c r="A4" s="1" t="s">
        <v>2</v>
      </c>
      <c r="B4" s="2" t="s">
        <v>3</v>
      </c>
      <c r="C4" s="2" t="s">
        <v>4</v>
      </c>
      <c r="D4" s="7">
        <v>45566</v>
      </c>
      <c r="E4" s="7">
        <v>45567</v>
      </c>
      <c r="F4" s="7">
        <v>45568</v>
      </c>
      <c r="G4" s="7">
        <v>45569</v>
      </c>
      <c r="H4" s="7">
        <v>45570</v>
      </c>
      <c r="I4" s="7">
        <v>45571</v>
      </c>
      <c r="J4" s="7">
        <v>45572</v>
      </c>
      <c r="K4" s="7">
        <v>45573</v>
      </c>
      <c r="L4" s="7">
        <v>45574</v>
      </c>
      <c r="M4" s="7">
        <v>45575</v>
      </c>
      <c r="N4" s="7">
        <v>45576</v>
      </c>
      <c r="O4" s="7">
        <v>45577</v>
      </c>
      <c r="P4" s="7">
        <v>45578</v>
      </c>
      <c r="Q4" s="7">
        <v>45579</v>
      </c>
      <c r="R4" s="7">
        <v>45580</v>
      </c>
      <c r="S4" s="7">
        <v>45581</v>
      </c>
      <c r="T4" s="7">
        <v>45582</v>
      </c>
      <c r="U4" s="7">
        <v>45583</v>
      </c>
      <c r="V4" s="7">
        <v>45584</v>
      </c>
      <c r="W4" s="7">
        <v>45585</v>
      </c>
      <c r="X4" s="7">
        <v>45586</v>
      </c>
      <c r="Y4" s="7">
        <v>45587</v>
      </c>
      <c r="Z4" s="7">
        <v>45588</v>
      </c>
      <c r="AA4" s="7">
        <v>45589</v>
      </c>
      <c r="AB4" s="7">
        <v>45590</v>
      </c>
      <c r="AC4" s="7">
        <v>45591</v>
      </c>
      <c r="AD4" s="7">
        <v>45592</v>
      </c>
      <c r="AE4" s="7">
        <v>45593</v>
      </c>
      <c r="AF4" s="7">
        <v>45594</v>
      </c>
      <c r="AG4" s="7">
        <v>45595</v>
      </c>
      <c r="AH4" s="7">
        <v>45596</v>
      </c>
      <c r="AI4" s="16" t="s">
        <v>6</v>
      </c>
      <c r="AJ4" s="16" t="s">
        <v>7</v>
      </c>
      <c r="AK4" s="16" t="s">
        <v>15</v>
      </c>
      <c r="AL4" s="16" t="s">
        <v>28</v>
      </c>
      <c r="AM4" s="17" t="s">
        <v>5</v>
      </c>
    </row>
    <row r="5" spans="1:39" ht="15" customHeight="1" x14ac:dyDescent="0.25">
      <c r="A5" s="3">
        <v>1</v>
      </c>
      <c r="B5" s="4" t="s">
        <v>34</v>
      </c>
      <c r="C5" s="4" t="s">
        <v>8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37" t="s">
        <v>29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37" t="s">
        <v>29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37" t="s">
        <v>29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37" t="s">
        <v>29</v>
      </c>
      <c r="AE5" s="4" t="s">
        <v>6</v>
      </c>
      <c r="AF5" s="4" t="s">
        <v>6</v>
      </c>
      <c r="AG5" s="4" t="s">
        <v>6</v>
      </c>
      <c r="AH5" s="4" t="s">
        <v>6</v>
      </c>
      <c r="AI5" s="4">
        <f t="shared" ref="AI5:AI13" si="1">COUNTIF(D5:AH5,"P")</f>
        <v>27</v>
      </c>
      <c r="AJ5" s="4">
        <f t="shared" ref="AJ5:AJ13" si="2">COUNTIF(D5:AH5,"A")</f>
        <v>0</v>
      </c>
      <c r="AK5" s="4">
        <f t="shared" ref="AK5:AK13" si="3">COUNTIF(D5:AH5,"L")</f>
        <v>0</v>
      </c>
      <c r="AL5" s="4">
        <v>5</v>
      </c>
      <c r="AM5" s="20">
        <f>AI5+AK5+AL5</f>
        <v>32</v>
      </c>
    </row>
    <row r="6" spans="1:39" x14ac:dyDescent="0.25">
      <c r="A6" s="3">
        <v>2</v>
      </c>
      <c r="B6" s="4" t="s">
        <v>9</v>
      </c>
      <c r="C6" s="4" t="s">
        <v>8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37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37"/>
      <c r="Q6" s="4" t="s">
        <v>6</v>
      </c>
      <c r="R6" s="4" t="s">
        <v>15</v>
      </c>
      <c r="S6" s="4" t="s">
        <v>6</v>
      </c>
      <c r="T6" s="4" t="s">
        <v>6</v>
      </c>
      <c r="U6" s="4" t="s">
        <v>6</v>
      </c>
      <c r="V6" s="4" t="s">
        <v>6</v>
      </c>
      <c r="W6" s="37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37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si="1"/>
        <v>26</v>
      </c>
      <c r="AJ6" s="4">
        <f t="shared" si="2"/>
        <v>0</v>
      </c>
      <c r="AK6" s="4">
        <f t="shared" si="3"/>
        <v>1</v>
      </c>
      <c r="AL6" s="4">
        <f t="shared" ref="AL6:AL13" si="4">COUNTBLANK(D6:AH6)</f>
        <v>4</v>
      </c>
      <c r="AM6" s="20">
        <f t="shared" ref="AM6:AM13" si="5">AI6+AK6+AL6</f>
        <v>31</v>
      </c>
    </row>
    <row r="7" spans="1:39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37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37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37"/>
      <c r="X7" s="4" t="s">
        <v>6</v>
      </c>
      <c r="Y7" s="4" t="s">
        <v>6</v>
      </c>
      <c r="Z7" s="4" t="s">
        <v>6</v>
      </c>
      <c r="AA7" s="4" t="s">
        <v>15</v>
      </c>
      <c r="AB7" s="4" t="s">
        <v>7</v>
      </c>
      <c r="AC7" s="4" t="s">
        <v>7</v>
      </c>
      <c r="AD7" s="37"/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6</v>
      </c>
      <c r="AK7" s="4">
        <f t="shared" si="3"/>
        <v>1</v>
      </c>
      <c r="AL7" s="4">
        <f t="shared" si="4"/>
        <v>4</v>
      </c>
      <c r="AM7" s="20">
        <f t="shared" si="5"/>
        <v>25</v>
      </c>
    </row>
    <row r="8" spans="1:39" x14ac:dyDescent="0.25">
      <c r="A8" s="3">
        <v>4</v>
      </c>
      <c r="B8" s="4" t="s">
        <v>11</v>
      </c>
      <c r="C8" s="4" t="s">
        <v>8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37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37"/>
      <c r="Q8" s="4" t="s">
        <v>15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37"/>
      <c r="X8" s="4" t="s">
        <v>6</v>
      </c>
      <c r="Y8" s="4" t="s">
        <v>7</v>
      </c>
      <c r="Z8" s="4" t="s">
        <v>6</v>
      </c>
      <c r="AA8" s="4" t="s">
        <v>6</v>
      </c>
      <c r="AB8" s="4" t="s">
        <v>6</v>
      </c>
      <c r="AC8" s="4" t="s">
        <v>6</v>
      </c>
      <c r="AD8" s="37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20">
        <f t="shared" si="5"/>
        <v>29</v>
      </c>
    </row>
    <row r="9" spans="1:39" x14ac:dyDescent="0.25">
      <c r="A9" s="3">
        <v>5</v>
      </c>
      <c r="B9" s="4" t="s">
        <v>12</v>
      </c>
      <c r="C9" s="4" t="s">
        <v>8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37"/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37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37"/>
      <c r="X9" s="4" t="s">
        <v>6</v>
      </c>
      <c r="Y9" s="4" t="s">
        <v>6</v>
      </c>
      <c r="Z9" s="4" t="s">
        <v>15</v>
      </c>
      <c r="AA9" s="4" t="s">
        <v>6</v>
      </c>
      <c r="AB9" s="4" t="s">
        <v>6</v>
      </c>
      <c r="AC9" s="4" t="s">
        <v>7</v>
      </c>
      <c r="AD9" s="37"/>
      <c r="AE9" s="4" t="s">
        <v>7</v>
      </c>
      <c r="AF9" s="4" t="s">
        <v>6</v>
      </c>
      <c r="AG9" s="4" t="s">
        <v>6</v>
      </c>
      <c r="AH9" s="4" t="s">
        <v>6</v>
      </c>
      <c r="AI9" s="4">
        <f t="shared" si="1"/>
        <v>23</v>
      </c>
      <c r="AJ9" s="4">
        <f t="shared" si="2"/>
        <v>3</v>
      </c>
      <c r="AK9" s="4">
        <f t="shared" si="3"/>
        <v>1</v>
      </c>
      <c r="AL9" s="4">
        <f t="shared" si="4"/>
        <v>4</v>
      </c>
      <c r="AM9" s="20">
        <f t="shared" si="5"/>
        <v>28</v>
      </c>
    </row>
    <row r="10" spans="1:39" x14ac:dyDescent="0.25">
      <c r="A10" s="3">
        <v>6</v>
      </c>
      <c r="B10" s="4" t="s">
        <v>13</v>
      </c>
      <c r="C10" s="4" t="s">
        <v>8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37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37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37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37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20">
        <f t="shared" si="5"/>
        <v>31</v>
      </c>
    </row>
    <row r="11" spans="1:39" x14ac:dyDescent="0.25">
      <c r="A11" s="3">
        <v>7</v>
      </c>
      <c r="B11" s="4" t="s">
        <v>14</v>
      </c>
      <c r="C11" s="4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37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37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37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37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20">
        <f t="shared" si="5"/>
        <v>31</v>
      </c>
    </row>
    <row r="12" spans="1:39" x14ac:dyDescent="0.25">
      <c r="A12" s="3">
        <v>8</v>
      </c>
      <c r="B12" s="4" t="s">
        <v>35</v>
      </c>
      <c r="C12" s="4" t="s">
        <v>36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37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37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37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4" t="s">
        <v>6</v>
      </c>
      <c r="AD12" s="37"/>
      <c r="AE12" s="4" t="s">
        <v>6</v>
      </c>
      <c r="AF12" s="4" t="s">
        <v>6</v>
      </c>
      <c r="AG12" s="4" t="s">
        <v>6</v>
      </c>
      <c r="AH12" s="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20">
        <f t="shared" si="5"/>
        <v>31</v>
      </c>
    </row>
    <row r="13" spans="1:39" ht="15.75" thickBot="1" x14ac:dyDescent="0.3">
      <c r="A13" s="5">
        <v>9</v>
      </c>
      <c r="B13" s="6" t="s">
        <v>37</v>
      </c>
      <c r="C13" s="6" t="s">
        <v>8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38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38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38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38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 t="shared" si="3"/>
        <v>0</v>
      </c>
      <c r="AL13" s="6">
        <f t="shared" si="4"/>
        <v>4</v>
      </c>
      <c r="AM13" s="22">
        <f t="shared" si="5"/>
        <v>31</v>
      </c>
    </row>
    <row r="14" spans="1:39" ht="15.75" thickBot="1" x14ac:dyDescent="0.3"/>
    <row r="15" spans="1:39" ht="32.25" thickBot="1" x14ac:dyDescent="0.55000000000000004">
      <c r="A15" s="23" t="s">
        <v>45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5"/>
    </row>
    <row r="16" spans="1:39" ht="27" x14ac:dyDescent="0.25">
      <c r="A16" s="28" t="s">
        <v>0</v>
      </c>
      <c r="B16" s="29"/>
      <c r="C16" s="29"/>
      <c r="D16" s="18" t="str">
        <f>TEXT(D17,"ddd")</f>
        <v>Tue</v>
      </c>
      <c r="E16" s="18" t="str">
        <f t="shared" ref="E16:AH16" si="6">TEXT(E17,"ddd")</f>
        <v>Wed</v>
      </c>
      <c r="F16" s="18" t="str">
        <f t="shared" si="6"/>
        <v>Thu</v>
      </c>
      <c r="G16" s="18" t="str">
        <f t="shared" si="6"/>
        <v>Fri</v>
      </c>
      <c r="H16" s="18" t="str">
        <f t="shared" si="6"/>
        <v>Sat</v>
      </c>
      <c r="I16" s="18" t="str">
        <f t="shared" si="6"/>
        <v>Sun</v>
      </c>
      <c r="J16" s="18" t="str">
        <f t="shared" si="6"/>
        <v>Mon</v>
      </c>
      <c r="K16" s="18" t="str">
        <f t="shared" si="6"/>
        <v>Tue</v>
      </c>
      <c r="L16" s="18" t="str">
        <f t="shared" si="6"/>
        <v>Wed</v>
      </c>
      <c r="M16" s="18" t="str">
        <f t="shared" si="6"/>
        <v>Thu</v>
      </c>
      <c r="N16" s="18" t="str">
        <f t="shared" si="6"/>
        <v>Fri</v>
      </c>
      <c r="O16" s="18" t="str">
        <f t="shared" si="6"/>
        <v>Sat</v>
      </c>
      <c r="P16" s="18" t="str">
        <f t="shared" si="6"/>
        <v>Sun</v>
      </c>
      <c r="Q16" s="18" t="str">
        <f t="shared" si="6"/>
        <v>Mon</v>
      </c>
      <c r="R16" s="18" t="str">
        <f t="shared" si="6"/>
        <v>Tue</v>
      </c>
      <c r="S16" s="18" t="str">
        <f t="shared" si="6"/>
        <v>Wed</v>
      </c>
      <c r="T16" s="18" t="str">
        <f t="shared" si="6"/>
        <v>Thu</v>
      </c>
      <c r="U16" s="18" t="str">
        <f t="shared" si="6"/>
        <v>Fri</v>
      </c>
      <c r="V16" s="18" t="str">
        <f t="shared" si="6"/>
        <v>Sat</v>
      </c>
      <c r="W16" s="18" t="str">
        <f t="shared" si="6"/>
        <v>Sun</v>
      </c>
      <c r="X16" s="18" t="str">
        <f t="shared" si="6"/>
        <v>Mon</v>
      </c>
      <c r="Y16" s="18" t="str">
        <f t="shared" si="6"/>
        <v>Tue</v>
      </c>
      <c r="Z16" s="18" t="str">
        <f t="shared" si="6"/>
        <v>Wed</v>
      </c>
      <c r="AA16" s="18" t="str">
        <f t="shared" si="6"/>
        <v>Thu</v>
      </c>
      <c r="AB16" s="18" t="str">
        <f t="shared" si="6"/>
        <v>Fri</v>
      </c>
      <c r="AC16" s="18" t="str">
        <f t="shared" si="6"/>
        <v>Sat</v>
      </c>
      <c r="AD16" s="18" t="str">
        <f t="shared" si="6"/>
        <v>Sun</v>
      </c>
      <c r="AE16" s="18" t="str">
        <f t="shared" si="6"/>
        <v>Mon</v>
      </c>
      <c r="AF16" s="18" t="str">
        <f t="shared" si="6"/>
        <v>Tue</v>
      </c>
      <c r="AG16" s="18" t="str">
        <f t="shared" si="6"/>
        <v>Wed</v>
      </c>
      <c r="AH16" s="18" t="str">
        <f t="shared" si="6"/>
        <v>Thu</v>
      </c>
      <c r="AI16" s="26" t="s">
        <v>1</v>
      </c>
      <c r="AJ16" s="26"/>
      <c r="AK16" s="26"/>
      <c r="AL16" s="26"/>
      <c r="AM16" s="27"/>
    </row>
    <row r="17" spans="1:39" x14ac:dyDescent="0.25">
      <c r="A17" s="1" t="s">
        <v>2</v>
      </c>
      <c r="B17" s="2" t="s">
        <v>3</v>
      </c>
      <c r="C17" s="2" t="s">
        <v>4</v>
      </c>
      <c r="D17" s="7">
        <v>45566</v>
      </c>
      <c r="E17" s="7">
        <v>45567</v>
      </c>
      <c r="F17" s="7">
        <v>45568</v>
      </c>
      <c r="G17" s="7">
        <v>45569</v>
      </c>
      <c r="H17" s="7">
        <v>45570</v>
      </c>
      <c r="I17" s="7">
        <v>45571</v>
      </c>
      <c r="J17" s="7">
        <v>45572</v>
      </c>
      <c r="K17" s="7">
        <v>45573</v>
      </c>
      <c r="L17" s="7">
        <v>45574</v>
      </c>
      <c r="M17" s="7">
        <v>45575</v>
      </c>
      <c r="N17" s="7">
        <v>45576</v>
      </c>
      <c r="O17" s="7">
        <v>45577</v>
      </c>
      <c r="P17" s="7">
        <v>45578</v>
      </c>
      <c r="Q17" s="7">
        <v>45579</v>
      </c>
      <c r="R17" s="7">
        <v>45580</v>
      </c>
      <c r="S17" s="7">
        <v>45581</v>
      </c>
      <c r="T17" s="7">
        <v>45582</v>
      </c>
      <c r="U17" s="7">
        <v>45583</v>
      </c>
      <c r="V17" s="7">
        <v>45584</v>
      </c>
      <c r="W17" s="7">
        <v>45585</v>
      </c>
      <c r="X17" s="7">
        <v>45586</v>
      </c>
      <c r="Y17" s="7">
        <v>45587</v>
      </c>
      <c r="Z17" s="7">
        <v>45588</v>
      </c>
      <c r="AA17" s="7">
        <v>45589</v>
      </c>
      <c r="AB17" s="7">
        <v>45590</v>
      </c>
      <c r="AC17" s="7">
        <v>45591</v>
      </c>
      <c r="AD17" s="7">
        <v>45592</v>
      </c>
      <c r="AE17" s="7">
        <v>45593</v>
      </c>
      <c r="AF17" s="7">
        <v>45594</v>
      </c>
      <c r="AG17" s="7">
        <v>45595</v>
      </c>
      <c r="AH17" s="7">
        <v>45596</v>
      </c>
      <c r="AI17" s="16" t="s">
        <v>6</v>
      </c>
      <c r="AJ17" s="16" t="s">
        <v>7</v>
      </c>
      <c r="AK17" s="16" t="s">
        <v>15</v>
      </c>
      <c r="AL17" s="16" t="s">
        <v>28</v>
      </c>
      <c r="AM17" s="17" t="s">
        <v>5</v>
      </c>
    </row>
    <row r="18" spans="1:39" ht="15" customHeight="1" x14ac:dyDescent="0.25">
      <c r="A18" s="3">
        <f>IF(B18="","",1)</f>
        <v>1</v>
      </c>
      <c r="B18" s="4" t="s">
        <v>16</v>
      </c>
      <c r="C18" s="4" t="s">
        <v>17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6</v>
      </c>
      <c r="I18" s="30" t="s">
        <v>29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4" t="s">
        <v>6</v>
      </c>
      <c r="P18" s="30" t="s">
        <v>29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4" t="s">
        <v>6</v>
      </c>
      <c r="W18" s="30" t="s">
        <v>29</v>
      </c>
      <c r="X18" s="4" t="s">
        <v>6</v>
      </c>
      <c r="Y18" s="4" t="s">
        <v>15</v>
      </c>
      <c r="Z18" s="4" t="s">
        <v>6</v>
      </c>
      <c r="AA18" s="4" t="s">
        <v>6</v>
      </c>
      <c r="AB18" s="4" t="s">
        <v>6</v>
      </c>
      <c r="AC18" s="4" t="s">
        <v>6</v>
      </c>
      <c r="AD18" s="30" t="s">
        <v>29</v>
      </c>
      <c r="AE18" s="4" t="s">
        <v>6</v>
      </c>
      <c r="AF18" s="4" t="s">
        <v>6</v>
      </c>
      <c r="AG18" s="4" t="s">
        <v>6</v>
      </c>
      <c r="AH18" s="4" t="s">
        <v>6</v>
      </c>
      <c r="AI18" s="8">
        <f t="shared" ref="AI18:AI24" si="7">COUNTIF(D18:AH18,"P")</f>
        <v>26</v>
      </c>
      <c r="AJ18" s="8">
        <f t="shared" ref="AJ18:AJ24" si="8">COUNTIF(D18:AH18,"A")</f>
        <v>0</v>
      </c>
      <c r="AK18" s="8">
        <f t="shared" ref="AK18:AK24" si="9">COUNTIF(D18:AH18,"L")</f>
        <v>1</v>
      </c>
      <c r="AL18" s="8">
        <v>5</v>
      </c>
      <c r="AM18" s="10">
        <f>AI18+AK18+AL18</f>
        <v>32</v>
      </c>
    </row>
    <row r="19" spans="1:39" x14ac:dyDescent="0.25">
      <c r="A19" s="3">
        <f>IF(B19="","",A18+1)</f>
        <v>2</v>
      </c>
      <c r="B19" s="4" t="s">
        <v>18</v>
      </c>
      <c r="C19" s="4" t="s">
        <v>19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31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31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31"/>
      <c r="X19" s="4" t="s">
        <v>6</v>
      </c>
      <c r="Y19" s="4" t="s">
        <v>6</v>
      </c>
      <c r="Z19" s="4" t="s">
        <v>6</v>
      </c>
      <c r="AA19" s="4" t="s">
        <v>6</v>
      </c>
      <c r="AB19" s="4" t="s">
        <v>6</v>
      </c>
      <c r="AC19" s="4" t="s">
        <v>6</v>
      </c>
      <c r="AD19" s="31"/>
      <c r="AE19" s="4" t="s">
        <v>6</v>
      </c>
      <c r="AF19" s="4" t="s">
        <v>6</v>
      </c>
      <c r="AG19" s="4" t="s">
        <v>6</v>
      </c>
      <c r="AH19" s="4" t="s">
        <v>6</v>
      </c>
      <c r="AI19" s="8">
        <f t="shared" si="7"/>
        <v>27</v>
      </c>
      <c r="AJ19" s="8">
        <f t="shared" si="8"/>
        <v>0</v>
      </c>
      <c r="AK19" s="8">
        <f t="shared" si="9"/>
        <v>0</v>
      </c>
      <c r="AL19" s="8">
        <f t="shared" ref="AL19:AL22" si="10">COUNTBLANK(D19:AH19)</f>
        <v>4</v>
      </c>
      <c r="AM19" s="10">
        <f t="shared" ref="AM19:AM24" si="11">AI19+AK19+AL19</f>
        <v>31</v>
      </c>
    </row>
    <row r="20" spans="1:39" x14ac:dyDescent="0.25">
      <c r="A20" s="3">
        <f t="shared" ref="A20:A22" si="12">IF(B20="","",A19+1)</f>
        <v>3</v>
      </c>
      <c r="B20" s="4" t="s">
        <v>20</v>
      </c>
      <c r="C20" s="4" t="s">
        <v>21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31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31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31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31"/>
      <c r="AE20" s="4" t="s">
        <v>6</v>
      </c>
      <c r="AF20" s="4" t="s">
        <v>6</v>
      </c>
      <c r="AG20" s="4" t="s">
        <v>6</v>
      </c>
      <c r="AH20" s="4" t="s">
        <v>6</v>
      </c>
      <c r="AI20" s="8">
        <f t="shared" si="7"/>
        <v>27</v>
      </c>
      <c r="AJ20" s="8">
        <f t="shared" si="8"/>
        <v>0</v>
      </c>
      <c r="AK20" s="8">
        <f t="shared" si="9"/>
        <v>0</v>
      </c>
      <c r="AL20" s="8">
        <f t="shared" si="10"/>
        <v>4</v>
      </c>
      <c r="AM20" s="10">
        <f t="shared" si="11"/>
        <v>31</v>
      </c>
    </row>
    <row r="21" spans="1:39" x14ac:dyDescent="0.25">
      <c r="A21" s="3">
        <f t="shared" si="12"/>
        <v>4</v>
      </c>
      <c r="B21" s="4" t="s">
        <v>22</v>
      </c>
      <c r="C21" s="4" t="s">
        <v>23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31"/>
      <c r="J21" s="4" t="s">
        <v>6</v>
      </c>
      <c r="K21" s="4" t="s">
        <v>27</v>
      </c>
      <c r="L21" s="4" t="s">
        <v>27</v>
      </c>
      <c r="M21" s="4" t="s">
        <v>27</v>
      </c>
      <c r="N21" s="4" t="s">
        <v>27</v>
      </c>
      <c r="O21" s="4" t="s">
        <v>27</v>
      </c>
      <c r="P21" s="31"/>
      <c r="Q21" s="4" t="s">
        <v>27</v>
      </c>
      <c r="R21" s="4" t="s">
        <v>27</v>
      </c>
      <c r="S21" s="4" t="s">
        <v>27</v>
      </c>
      <c r="T21" s="4" t="s">
        <v>27</v>
      </c>
      <c r="U21" s="4" t="s">
        <v>27</v>
      </c>
      <c r="V21" s="4" t="s">
        <v>27</v>
      </c>
      <c r="W21" s="31"/>
      <c r="X21" s="4" t="s">
        <v>27</v>
      </c>
      <c r="Y21" s="4" t="s">
        <v>27</v>
      </c>
      <c r="Z21" s="4" t="s">
        <v>27</v>
      </c>
      <c r="AA21" s="4" t="s">
        <v>27</v>
      </c>
      <c r="AB21" s="4" t="s">
        <v>27</v>
      </c>
      <c r="AC21" s="4" t="s">
        <v>27</v>
      </c>
      <c r="AD21" s="31"/>
      <c r="AE21" s="4" t="s">
        <v>27</v>
      </c>
      <c r="AF21" s="4" t="s">
        <v>27</v>
      </c>
      <c r="AG21" s="4" t="s">
        <v>27</v>
      </c>
      <c r="AH21" s="4" t="s">
        <v>27</v>
      </c>
      <c r="AI21" s="8">
        <f t="shared" si="7"/>
        <v>6</v>
      </c>
      <c r="AJ21" s="8">
        <f t="shared" si="8"/>
        <v>0</v>
      </c>
      <c r="AK21" s="8">
        <f t="shared" si="9"/>
        <v>0</v>
      </c>
      <c r="AL21" s="8">
        <f t="shared" si="10"/>
        <v>4</v>
      </c>
      <c r="AM21" s="10">
        <f t="shared" si="11"/>
        <v>10</v>
      </c>
    </row>
    <row r="22" spans="1:39" x14ac:dyDescent="0.25">
      <c r="A22" s="3">
        <f t="shared" si="12"/>
        <v>5</v>
      </c>
      <c r="B22" s="4" t="s">
        <v>24</v>
      </c>
      <c r="C22" s="4" t="s">
        <v>23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31"/>
      <c r="J22" s="4" t="s">
        <v>6</v>
      </c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31"/>
      <c r="Q22" s="4" t="s">
        <v>6</v>
      </c>
      <c r="R22" s="4" t="s">
        <v>6</v>
      </c>
      <c r="S22" s="4" t="s">
        <v>6</v>
      </c>
      <c r="T22" s="4" t="s">
        <v>6</v>
      </c>
      <c r="U22" s="4" t="s">
        <v>6</v>
      </c>
      <c r="V22" s="4" t="s">
        <v>6</v>
      </c>
      <c r="W22" s="31"/>
      <c r="X22" s="4" t="s">
        <v>6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6</v>
      </c>
      <c r="AD22" s="31"/>
      <c r="AE22" s="4" t="s">
        <v>6</v>
      </c>
      <c r="AF22" s="4" t="s">
        <v>6</v>
      </c>
      <c r="AG22" s="4" t="s">
        <v>6</v>
      </c>
      <c r="AH22" s="4" t="s">
        <v>6</v>
      </c>
      <c r="AI22" s="8">
        <f t="shared" si="7"/>
        <v>27</v>
      </c>
      <c r="AJ22" s="8">
        <f t="shared" si="8"/>
        <v>0</v>
      </c>
      <c r="AK22" s="8">
        <f t="shared" si="9"/>
        <v>0</v>
      </c>
      <c r="AL22" s="8">
        <f t="shared" si="10"/>
        <v>4</v>
      </c>
      <c r="AM22" s="10">
        <f t="shared" si="11"/>
        <v>31</v>
      </c>
    </row>
    <row r="23" spans="1:39" x14ac:dyDescent="0.25">
      <c r="A23" s="12">
        <v>6</v>
      </c>
      <c r="B23" s="13" t="s">
        <v>25</v>
      </c>
      <c r="C23" s="4" t="s">
        <v>26</v>
      </c>
      <c r="D23" s="13" t="s">
        <v>6</v>
      </c>
      <c r="E23" s="13" t="s">
        <v>6</v>
      </c>
      <c r="F23" s="13" t="s">
        <v>6</v>
      </c>
      <c r="G23" s="13" t="s">
        <v>6</v>
      </c>
      <c r="H23" s="13" t="s">
        <v>6</v>
      </c>
      <c r="I23" s="31"/>
      <c r="J23" s="13" t="s">
        <v>6</v>
      </c>
      <c r="K23" s="13" t="s">
        <v>6</v>
      </c>
      <c r="L23" s="13" t="s">
        <v>6</v>
      </c>
      <c r="M23" s="13" t="s">
        <v>6</v>
      </c>
      <c r="N23" s="13" t="s">
        <v>6</v>
      </c>
      <c r="O23" s="13" t="s">
        <v>6</v>
      </c>
      <c r="P23" s="31"/>
      <c r="Q23" s="13" t="s">
        <v>6</v>
      </c>
      <c r="R23" s="13" t="s">
        <v>6</v>
      </c>
      <c r="S23" s="13" t="s">
        <v>6</v>
      </c>
      <c r="T23" s="13" t="s">
        <v>6</v>
      </c>
      <c r="U23" s="13" t="s">
        <v>6</v>
      </c>
      <c r="V23" s="13" t="s">
        <v>6</v>
      </c>
      <c r="W23" s="31"/>
      <c r="X23" s="13" t="s">
        <v>6</v>
      </c>
      <c r="Y23" s="13" t="s">
        <v>6</v>
      </c>
      <c r="Z23" s="13" t="s">
        <v>6</v>
      </c>
      <c r="AA23" s="13" t="s">
        <v>6</v>
      </c>
      <c r="AB23" s="13" t="s">
        <v>6</v>
      </c>
      <c r="AC23" s="13" t="s">
        <v>6</v>
      </c>
      <c r="AD23" s="31"/>
      <c r="AE23" s="13" t="s">
        <v>6</v>
      </c>
      <c r="AF23" s="13" t="s">
        <v>6</v>
      </c>
      <c r="AG23" s="13" t="s">
        <v>6</v>
      </c>
      <c r="AH23" s="13" t="s">
        <v>6</v>
      </c>
      <c r="AI23" s="14">
        <f t="shared" si="7"/>
        <v>27</v>
      </c>
      <c r="AJ23" s="14">
        <f t="shared" si="8"/>
        <v>0</v>
      </c>
      <c r="AK23" s="8">
        <f t="shared" si="9"/>
        <v>0</v>
      </c>
      <c r="AL23" s="14">
        <f>COUNTBLANK(D23:AH23)</f>
        <v>4</v>
      </c>
      <c r="AM23" s="15">
        <f t="shared" si="11"/>
        <v>31</v>
      </c>
    </row>
    <row r="24" spans="1:39" ht="15.75" thickBot="1" x14ac:dyDescent="0.3">
      <c r="A24" s="5">
        <v>7</v>
      </c>
      <c r="B24" s="6" t="s">
        <v>38</v>
      </c>
      <c r="C24" s="6" t="s">
        <v>23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32"/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32"/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32"/>
      <c r="X24" s="6" t="s">
        <v>6</v>
      </c>
      <c r="Y24" s="6" t="s">
        <v>6</v>
      </c>
      <c r="Z24" s="6" t="s">
        <v>6</v>
      </c>
      <c r="AA24" s="6" t="s">
        <v>6</v>
      </c>
      <c r="AB24" s="6" t="s">
        <v>6</v>
      </c>
      <c r="AC24" s="6" t="s">
        <v>6</v>
      </c>
      <c r="AD24" s="32"/>
      <c r="AE24" s="6" t="s">
        <v>6</v>
      </c>
      <c r="AF24" s="6" t="s">
        <v>6</v>
      </c>
      <c r="AG24" s="6" t="s">
        <v>6</v>
      </c>
      <c r="AH24" s="6" t="s">
        <v>6</v>
      </c>
      <c r="AI24" s="9">
        <f t="shared" si="7"/>
        <v>10</v>
      </c>
      <c r="AJ24" s="9">
        <f t="shared" si="8"/>
        <v>0</v>
      </c>
      <c r="AK24" s="9">
        <f t="shared" si="9"/>
        <v>0</v>
      </c>
      <c r="AL24" s="9">
        <f>COUNTBLANK(D24:AH24)</f>
        <v>4</v>
      </c>
      <c r="AM24" s="11">
        <f t="shared" si="11"/>
        <v>14</v>
      </c>
    </row>
  </sheetData>
  <mergeCells count="14">
    <mergeCell ref="A2:AM2"/>
    <mergeCell ref="A15:AM15"/>
    <mergeCell ref="W5:W13"/>
    <mergeCell ref="AD5:AD13"/>
    <mergeCell ref="I18:I24"/>
    <mergeCell ref="P18:P24"/>
    <mergeCell ref="AD18:AD24"/>
    <mergeCell ref="W18:W24"/>
    <mergeCell ref="A16:C16"/>
    <mergeCell ref="AI16:AM16"/>
    <mergeCell ref="A3:C3"/>
    <mergeCell ref="AI3:AM3"/>
    <mergeCell ref="I5:I13"/>
    <mergeCell ref="P5:P13"/>
  </mergeCells>
  <conditionalFormatting sqref="D18:H24">
    <cfRule type="expression" dxfId="56" priority="1">
      <formula>D$3="SUN"</formula>
    </cfRule>
    <cfRule type="cellIs" dxfId="55" priority="2" operator="equal">
      <formula>"A"</formula>
    </cfRule>
    <cfRule type="cellIs" dxfId="54" priority="3" operator="equal">
      <formula>"P"</formula>
    </cfRule>
  </conditionalFormatting>
  <conditionalFormatting sqref="D3:AH4 I5 P5 W5 AD5 D5:H13 J5:O13 Q5:V13 X5:AC13 AE5:AH13 D16:AH17">
    <cfRule type="expression" dxfId="53" priority="85">
      <formula>D$3="SUN"</formula>
    </cfRule>
  </conditionalFormatting>
  <conditionalFormatting sqref="I5 P5 W5 AD5 D5:H13 J5:O13 Q5:V13 X5:AC13 AE5:AH13">
    <cfRule type="cellIs" dxfId="52" priority="86" operator="equal">
      <formula>"A"</formula>
    </cfRule>
    <cfRule type="cellIs" dxfId="51" priority="87" operator="equal">
      <formula>"P"</formula>
    </cfRule>
  </conditionalFormatting>
  <conditionalFormatting sqref="I18">
    <cfRule type="cellIs" dxfId="50" priority="39" operator="equal">
      <formula>"P"</formula>
    </cfRule>
    <cfRule type="expression" dxfId="49" priority="37">
      <formula>I$3="SUN"</formula>
    </cfRule>
    <cfRule type="cellIs" dxfId="48" priority="38" operator="equal">
      <formula>"A"</formula>
    </cfRule>
  </conditionalFormatting>
  <conditionalFormatting sqref="J18:O24">
    <cfRule type="expression" dxfId="47" priority="25">
      <formula>J$3="SUN"</formula>
    </cfRule>
    <cfRule type="cellIs" dxfId="46" priority="26" operator="equal">
      <formula>"A"</formula>
    </cfRule>
    <cfRule type="cellIs" dxfId="45" priority="27" operator="equal">
      <formula>"P"</formula>
    </cfRule>
  </conditionalFormatting>
  <conditionalFormatting sqref="P18">
    <cfRule type="cellIs" dxfId="44" priority="36" operator="equal">
      <formula>"P"</formula>
    </cfRule>
    <cfRule type="cellIs" dxfId="43" priority="35" operator="equal">
      <formula>"A"</formula>
    </cfRule>
    <cfRule type="expression" dxfId="42" priority="34">
      <formula>P$3="SUN"</formula>
    </cfRule>
  </conditionalFormatting>
  <conditionalFormatting sqref="Q18:V24">
    <cfRule type="cellIs" dxfId="41" priority="24" operator="equal">
      <formula>"P"</formula>
    </cfRule>
    <cfRule type="expression" dxfId="40" priority="22">
      <formula>Q$3="SUN"</formula>
    </cfRule>
    <cfRule type="cellIs" dxfId="39" priority="23" operator="equal">
      <formula>"A"</formula>
    </cfRule>
  </conditionalFormatting>
  <conditionalFormatting sqref="W18">
    <cfRule type="expression" dxfId="38" priority="28">
      <formula>W$3="SUN"</formula>
    </cfRule>
    <cfRule type="cellIs" dxfId="37" priority="29" operator="equal">
      <formula>"A"</formula>
    </cfRule>
    <cfRule type="cellIs" dxfId="36" priority="30" operator="equal">
      <formula>"P"</formula>
    </cfRule>
  </conditionalFormatting>
  <conditionalFormatting sqref="X18:AC24">
    <cfRule type="expression" dxfId="35" priority="4">
      <formula>X$3="SUN"</formula>
    </cfRule>
    <cfRule type="cellIs" dxfId="34" priority="5" operator="equal">
      <formula>"A"</formula>
    </cfRule>
    <cfRule type="cellIs" dxfId="33" priority="6" operator="equal">
      <formula>"P"</formula>
    </cfRule>
  </conditionalFormatting>
  <conditionalFormatting sqref="AD18">
    <cfRule type="expression" dxfId="32" priority="31">
      <formula>AD$3="SUN"</formula>
    </cfRule>
    <cfRule type="cellIs" dxfId="31" priority="33" operator="equal">
      <formula>"P"</formula>
    </cfRule>
    <cfRule type="cellIs" dxfId="30" priority="32" operator="equal">
      <formula>"A"</formula>
    </cfRule>
  </conditionalFormatting>
  <conditionalFormatting sqref="AE18:AH24">
    <cfRule type="expression" dxfId="29" priority="7">
      <formula>AE$3="SUN"</formula>
    </cfRule>
    <cfRule type="cellIs" dxfId="28" priority="9" operator="equal">
      <formula>"P"</formula>
    </cfRule>
    <cfRule type="cellIs" dxfId="27" priority="8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DAB5-41AE-4980-8466-A5D7AD1F8A07}">
  <dimension ref="A1:Y26"/>
  <sheetViews>
    <sheetView tabSelected="1" workbookViewId="0">
      <selection activeCell="A2" sqref="A2:Y2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20" width="3.7109375" bestFit="1" customWidth="1"/>
    <col min="21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23" t="s">
        <v>44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5"/>
    </row>
    <row r="3" spans="1:25" ht="27" x14ac:dyDescent="0.25">
      <c r="A3" s="28" t="s">
        <v>0</v>
      </c>
      <c r="B3" s="29"/>
      <c r="C3" s="29"/>
      <c r="D3" s="18" t="str">
        <f>TEXT(D4,"ddd")</f>
        <v>Fri</v>
      </c>
      <c r="E3" s="18" t="str">
        <f t="shared" ref="E3:T3" si="0">TEXT(E4,"ddd")</f>
        <v>Sat</v>
      </c>
      <c r="F3" s="18" t="str">
        <f t="shared" si="0"/>
        <v>Sun</v>
      </c>
      <c r="G3" s="18" t="str">
        <f t="shared" si="0"/>
        <v>Mon</v>
      </c>
      <c r="H3" s="18" t="str">
        <f t="shared" si="0"/>
        <v>Tue</v>
      </c>
      <c r="I3" s="18" t="str">
        <f t="shared" si="0"/>
        <v>Wed</v>
      </c>
      <c r="J3" s="18" t="str">
        <f t="shared" si="0"/>
        <v>Thu</v>
      </c>
      <c r="K3" s="18" t="str">
        <f t="shared" si="0"/>
        <v>Fri</v>
      </c>
      <c r="L3" s="18" t="str">
        <f t="shared" si="0"/>
        <v>Sat</v>
      </c>
      <c r="M3" s="18" t="str">
        <f t="shared" si="0"/>
        <v>Sun</v>
      </c>
      <c r="N3" s="18" t="str">
        <f t="shared" si="0"/>
        <v>Mon</v>
      </c>
      <c r="O3" s="18" t="str">
        <f t="shared" si="0"/>
        <v>Tue</v>
      </c>
      <c r="P3" s="18" t="str">
        <f t="shared" si="0"/>
        <v>Wed</v>
      </c>
      <c r="Q3" s="18" t="str">
        <f t="shared" si="0"/>
        <v>Thu</v>
      </c>
      <c r="R3" s="18" t="str">
        <f t="shared" si="0"/>
        <v>Fri</v>
      </c>
      <c r="S3" s="18" t="str">
        <f t="shared" si="0"/>
        <v>Sat</v>
      </c>
      <c r="T3" s="18" t="str">
        <f t="shared" si="0"/>
        <v>Sun</v>
      </c>
      <c r="U3" s="26" t="s">
        <v>1</v>
      </c>
      <c r="V3" s="26"/>
      <c r="W3" s="26"/>
      <c r="X3" s="26"/>
      <c r="Y3" s="27"/>
    </row>
    <row r="4" spans="1:25" x14ac:dyDescent="0.25">
      <c r="A4" s="1" t="s">
        <v>2</v>
      </c>
      <c r="B4" s="2" t="s">
        <v>3</v>
      </c>
      <c r="C4" s="2" t="s">
        <v>4</v>
      </c>
      <c r="D4" s="7">
        <v>45597</v>
      </c>
      <c r="E4" s="7">
        <v>45598</v>
      </c>
      <c r="F4" s="7">
        <v>45599</v>
      </c>
      <c r="G4" s="7">
        <v>45600</v>
      </c>
      <c r="H4" s="7">
        <v>45601</v>
      </c>
      <c r="I4" s="7">
        <v>45602</v>
      </c>
      <c r="J4" s="7">
        <v>45603</v>
      </c>
      <c r="K4" s="7">
        <v>45604</v>
      </c>
      <c r="L4" s="7">
        <v>45605</v>
      </c>
      <c r="M4" s="7">
        <v>45606</v>
      </c>
      <c r="N4" s="7">
        <v>45607</v>
      </c>
      <c r="O4" s="7">
        <v>45608</v>
      </c>
      <c r="P4" s="7">
        <v>45609</v>
      </c>
      <c r="Q4" s="7">
        <v>45610</v>
      </c>
      <c r="R4" s="7">
        <v>45611</v>
      </c>
      <c r="S4" s="7">
        <v>45612</v>
      </c>
      <c r="T4" s="7">
        <v>45613</v>
      </c>
      <c r="U4" s="16" t="s">
        <v>6</v>
      </c>
      <c r="V4" s="16" t="s">
        <v>7</v>
      </c>
      <c r="W4" s="16" t="s">
        <v>15</v>
      </c>
      <c r="X4" s="16" t="s">
        <v>28</v>
      </c>
      <c r="Y4" s="17" t="s">
        <v>5</v>
      </c>
    </row>
    <row r="5" spans="1:25" ht="15" customHeight="1" x14ac:dyDescent="0.25">
      <c r="A5" s="3">
        <v>1</v>
      </c>
      <c r="B5" s="4" t="s">
        <v>34</v>
      </c>
      <c r="C5" s="4" t="s">
        <v>8</v>
      </c>
      <c r="D5" s="4" t="s">
        <v>6</v>
      </c>
      <c r="E5" s="4" t="s">
        <v>6</v>
      </c>
      <c r="F5" s="30" t="s">
        <v>29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39" t="s">
        <v>42</v>
      </c>
      <c r="M5" s="30" t="s">
        <v>29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30" t="s">
        <v>29</v>
      </c>
      <c r="U5" s="4">
        <f t="shared" ref="U5:U13" si="1">COUNTIF(D5:T5,"P")</f>
        <v>13</v>
      </c>
      <c r="V5" s="4">
        <f t="shared" ref="V5:V13" si="2">COUNTIF(D5:T5,"A")</f>
        <v>0</v>
      </c>
      <c r="W5" s="4">
        <f t="shared" ref="W5:W13" si="3">COUNTIF(D5:T5,"L")</f>
        <v>0</v>
      </c>
      <c r="X5" s="4">
        <v>4</v>
      </c>
      <c r="Y5" s="20">
        <f>U5+W5+X5</f>
        <v>17</v>
      </c>
    </row>
    <row r="6" spans="1:25" x14ac:dyDescent="0.25">
      <c r="A6" s="3">
        <v>2</v>
      </c>
      <c r="B6" s="4" t="s">
        <v>13</v>
      </c>
      <c r="C6" s="4" t="s">
        <v>8</v>
      </c>
      <c r="D6" s="4" t="s">
        <v>6</v>
      </c>
      <c r="E6" s="4" t="s">
        <v>6</v>
      </c>
      <c r="F6" s="31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0"/>
      <c r="M6" s="31"/>
      <c r="N6" s="4" t="s">
        <v>6</v>
      </c>
      <c r="O6" s="4" t="s">
        <v>6</v>
      </c>
      <c r="P6" s="4" t="s">
        <v>6</v>
      </c>
      <c r="Q6" s="4" t="s">
        <v>6</v>
      </c>
      <c r="R6" s="4" t="s">
        <v>6</v>
      </c>
      <c r="S6" s="4" t="s">
        <v>7</v>
      </c>
      <c r="T6" s="31"/>
      <c r="U6" s="4">
        <f t="shared" si="1"/>
        <v>12</v>
      </c>
      <c r="V6" s="4">
        <f t="shared" si="2"/>
        <v>1</v>
      </c>
      <c r="W6" s="4">
        <f t="shared" si="3"/>
        <v>0</v>
      </c>
      <c r="X6" s="4">
        <v>4</v>
      </c>
      <c r="Y6" s="20">
        <f t="shared" ref="Y6" si="4">U6+W6+X6</f>
        <v>16</v>
      </c>
    </row>
    <row r="7" spans="1:25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31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0"/>
      <c r="M7" s="31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31"/>
      <c r="U7" s="4">
        <f t="shared" si="1"/>
        <v>13</v>
      </c>
      <c r="V7" s="4">
        <f t="shared" si="2"/>
        <v>0</v>
      </c>
      <c r="W7" s="4">
        <f t="shared" si="3"/>
        <v>0</v>
      </c>
      <c r="X7" s="4">
        <v>4</v>
      </c>
      <c r="Y7" s="20">
        <f t="shared" ref="Y7:Y13" si="5">U7+W7+X7</f>
        <v>17</v>
      </c>
    </row>
    <row r="8" spans="1:25" x14ac:dyDescent="0.25">
      <c r="A8" s="3">
        <v>4</v>
      </c>
      <c r="B8" s="4" t="s">
        <v>11</v>
      </c>
      <c r="C8" s="4" t="s">
        <v>8</v>
      </c>
      <c r="D8" s="4" t="s">
        <v>6</v>
      </c>
      <c r="E8" s="4" t="s">
        <v>6</v>
      </c>
      <c r="F8" s="31"/>
      <c r="G8" s="4" t="s">
        <v>6</v>
      </c>
      <c r="H8" s="4" t="s">
        <v>6</v>
      </c>
      <c r="I8" s="4" t="s">
        <v>15</v>
      </c>
      <c r="J8" s="4" t="s">
        <v>6</v>
      </c>
      <c r="K8" s="4" t="s">
        <v>6</v>
      </c>
      <c r="L8" s="40"/>
      <c r="M8" s="31"/>
      <c r="N8" s="4" t="s">
        <v>6</v>
      </c>
      <c r="O8" s="4" t="s">
        <v>6</v>
      </c>
      <c r="P8" s="4" t="s">
        <v>6</v>
      </c>
      <c r="Q8" s="4" t="s">
        <v>6</v>
      </c>
      <c r="R8" s="4" t="s">
        <v>7</v>
      </c>
      <c r="S8" s="4" t="s">
        <v>7</v>
      </c>
      <c r="T8" s="31"/>
      <c r="U8" s="4">
        <f t="shared" si="1"/>
        <v>10</v>
      </c>
      <c r="V8" s="4">
        <f t="shared" si="2"/>
        <v>2</v>
      </c>
      <c r="W8" s="4">
        <f t="shared" si="3"/>
        <v>1</v>
      </c>
      <c r="X8" s="4">
        <v>4</v>
      </c>
      <c r="Y8" s="20">
        <f t="shared" si="5"/>
        <v>15</v>
      </c>
    </row>
    <row r="9" spans="1:25" x14ac:dyDescent="0.25">
      <c r="A9" s="3">
        <v>5</v>
      </c>
      <c r="B9" s="4" t="s">
        <v>14</v>
      </c>
      <c r="C9" s="4" t="s">
        <v>8</v>
      </c>
      <c r="D9" s="4" t="s">
        <v>6</v>
      </c>
      <c r="E9" s="4" t="s">
        <v>6</v>
      </c>
      <c r="F9" s="31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0"/>
      <c r="M9" s="31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31"/>
      <c r="U9" s="4">
        <f t="shared" si="1"/>
        <v>13</v>
      </c>
      <c r="V9" s="4">
        <f t="shared" si="2"/>
        <v>0</v>
      </c>
      <c r="W9" s="4">
        <f t="shared" si="3"/>
        <v>0</v>
      </c>
      <c r="X9" s="4">
        <v>4</v>
      </c>
      <c r="Y9" s="20">
        <f t="shared" si="5"/>
        <v>17</v>
      </c>
    </row>
    <row r="10" spans="1:25" x14ac:dyDescent="0.25">
      <c r="A10" s="3">
        <v>6</v>
      </c>
      <c r="B10" s="4" t="s">
        <v>35</v>
      </c>
      <c r="C10" s="4" t="s">
        <v>36</v>
      </c>
      <c r="D10" s="4" t="s">
        <v>6</v>
      </c>
      <c r="E10" s="4" t="s">
        <v>6</v>
      </c>
      <c r="F10" s="31"/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0"/>
      <c r="M10" s="31"/>
      <c r="N10" s="4" t="s">
        <v>6</v>
      </c>
      <c r="O10" s="4" t="s">
        <v>6</v>
      </c>
      <c r="P10" s="4" t="s">
        <v>6</v>
      </c>
      <c r="Q10" s="4" t="s">
        <v>6</v>
      </c>
      <c r="R10" s="4" t="s">
        <v>15</v>
      </c>
      <c r="S10" s="4" t="s">
        <v>6</v>
      </c>
      <c r="T10" s="31"/>
      <c r="U10" s="4">
        <f t="shared" si="1"/>
        <v>12</v>
      </c>
      <c r="V10" s="4">
        <f t="shared" si="2"/>
        <v>0</v>
      </c>
      <c r="W10" s="4">
        <f t="shared" si="3"/>
        <v>1</v>
      </c>
      <c r="X10" s="4">
        <v>4</v>
      </c>
      <c r="Y10" s="20">
        <f t="shared" si="5"/>
        <v>17</v>
      </c>
    </row>
    <row r="11" spans="1:25" x14ac:dyDescent="0.25">
      <c r="A11" s="3">
        <v>7</v>
      </c>
      <c r="B11" s="4" t="s">
        <v>37</v>
      </c>
      <c r="C11" s="4" t="s">
        <v>8</v>
      </c>
      <c r="D11" s="4" t="s">
        <v>6</v>
      </c>
      <c r="E11" s="4" t="s">
        <v>6</v>
      </c>
      <c r="F11" s="31"/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0"/>
      <c r="M11" s="31"/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31"/>
      <c r="U11" s="4">
        <f t="shared" si="1"/>
        <v>13</v>
      </c>
      <c r="V11" s="4">
        <f t="shared" si="2"/>
        <v>0</v>
      </c>
      <c r="W11" s="4">
        <f t="shared" si="3"/>
        <v>0</v>
      </c>
      <c r="X11" s="4">
        <v>4</v>
      </c>
      <c r="Y11" s="20">
        <f t="shared" si="5"/>
        <v>17</v>
      </c>
    </row>
    <row r="12" spans="1:25" x14ac:dyDescent="0.25">
      <c r="A12" s="3">
        <v>8</v>
      </c>
      <c r="B12" s="4" t="s">
        <v>39</v>
      </c>
      <c r="C12" s="4" t="s">
        <v>8</v>
      </c>
      <c r="D12" s="4" t="s">
        <v>6</v>
      </c>
      <c r="E12" s="4" t="s">
        <v>6</v>
      </c>
      <c r="F12" s="31"/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0"/>
      <c r="M12" s="31"/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31"/>
      <c r="U12" s="4">
        <f t="shared" si="1"/>
        <v>13</v>
      </c>
      <c r="V12" s="4">
        <f t="shared" si="2"/>
        <v>0</v>
      </c>
      <c r="W12" s="4">
        <f t="shared" si="3"/>
        <v>0</v>
      </c>
      <c r="X12" s="4">
        <v>4</v>
      </c>
      <c r="Y12" s="20">
        <f t="shared" si="5"/>
        <v>17</v>
      </c>
    </row>
    <row r="13" spans="1:25" ht="15.75" thickBot="1" x14ac:dyDescent="0.3">
      <c r="A13" s="5">
        <v>9</v>
      </c>
      <c r="B13" s="6" t="s">
        <v>40</v>
      </c>
      <c r="C13" s="6" t="s">
        <v>41</v>
      </c>
      <c r="D13" s="6" t="s">
        <v>27</v>
      </c>
      <c r="E13" s="6" t="s">
        <v>27</v>
      </c>
      <c r="F13" s="36"/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41"/>
      <c r="M13" s="36"/>
      <c r="N13" s="6" t="s">
        <v>6</v>
      </c>
      <c r="O13" s="6" t="s">
        <v>6</v>
      </c>
      <c r="P13" s="6" t="s">
        <v>6</v>
      </c>
      <c r="Q13" s="6" t="s">
        <v>6</v>
      </c>
      <c r="R13" s="6" t="s">
        <v>6</v>
      </c>
      <c r="S13" s="6" t="s">
        <v>6</v>
      </c>
      <c r="T13" s="36"/>
      <c r="U13" s="6">
        <f t="shared" si="1"/>
        <v>6</v>
      </c>
      <c r="V13" s="6">
        <f t="shared" si="2"/>
        <v>0</v>
      </c>
      <c r="W13" s="6">
        <f t="shared" si="3"/>
        <v>0</v>
      </c>
      <c r="X13" s="6">
        <v>4</v>
      </c>
      <c r="Y13" s="22">
        <f t="shared" si="5"/>
        <v>10</v>
      </c>
    </row>
    <row r="15" spans="1:25" ht="15.75" thickBot="1" x14ac:dyDescent="0.3"/>
    <row r="16" spans="1:25" ht="32.25" thickBot="1" x14ac:dyDescent="0.55000000000000004">
      <c r="A16" s="23" t="s">
        <v>45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5"/>
    </row>
    <row r="17" spans="1:25" ht="27" x14ac:dyDescent="0.25">
      <c r="A17" s="28" t="s">
        <v>0</v>
      </c>
      <c r="B17" s="29"/>
      <c r="C17" s="29"/>
      <c r="D17" s="18" t="str">
        <f>TEXT(D18,"ddd")</f>
        <v>Fri</v>
      </c>
      <c r="E17" s="18" t="str">
        <f t="shared" ref="E17:T17" si="6">TEXT(E18,"ddd")</f>
        <v>Sat</v>
      </c>
      <c r="F17" s="18" t="str">
        <f t="shared" si="6"/>
        <v>Sun</v>
      </c>
      <c r="G17" s="18" t="str">
        <f t="shared" si="6"/>
        <v>Mon</v>
      </c>
      <c r="H17" s="18" t="str">
        <f t="shared" si="6"/>
        <v>Tue</v>
      </c>
      <c r="I17" s="18" t="str">
        <f t="shared" si="6"/>
        <v>Wed</v>
      </c>
      <c r="J17" s="18" t="str">
        <f t="shared" si="6"/>
        <v>Thu</v>
      </c>
      <c r="K17" s="18" t="str">
        <f t="shared" si="6"/>
        <v>Fri</v>
      </c>
      <c r="L17" s="18" t="str">
        <f t="shared" si="6"/>
        <v>Sat</v>
      </c>
      <c r="M17" s="18" t="str">
        <f t="shared" si="6"/>
        <v>Sun</v>
      </c>
      <c r="N17" s="18" t="str">
        <f t="shared" si="6"/>
        <v>Mon</v>
      </c>
      <c r="O17" s="18" t="str">
        <f t="shared" si="6"/>
        <v>Tue</v>
      </c>
      <c r="P17" s="18" t="str">
        <f t="shared" si="6"/>
        <v>Wed</v>
      </c>
      <c r="Q17" s="18" t="str">
        <f t="shared" si="6"/>
        <v>Thu</v>
      </c>
      <c r="R17" s="18" t="str">
        <f t="shared" si="6"/>
        <v>Fri</v>
      </c>
      <c r="S17" s="18" t="str">
        <f t="shared" si="6"/>
        <v>Sat</v>
      </c>
      <c r="T17" s="18" t="str">
        <f t="shared" si="6"/>
        <v>Sun</v>
      </c>
      <c r="U17" s="26" t="s">
        <v>1</v>
      </c>
      <c r="V17" s="26"/>
      <c r="W17" s="26"/>
      <c r="X17" s="26"/>
      <c r="Y17" s="27"/>
    </row>
    <row r="18" spans="1:25" x14ac:dyDescent="0.25">
      <c r="A18" s="1" t="s">
        <v>2</v>
      </c>
      <c r="B18" s="2" t="s">
        <v>3</v>
      </c>
      <c r="C18" s="2" t="s">
        <v>4</v>
      </c>
      <c r="D18" s="7">
        <v>45597</v>
      </c>
      <c r="E18" s="7">
        <v>45598</v>
      </c>
      <c r="F18" s="7">
        <v>45599</v>
      </c>
      <c r="G18" s="7">
        <v>45600</v>
      </c>
      <c r="H18" s="7">
        <v>45601</v>
      </c>
      <c r="I18" s="7">
        <v>45602</v>
      </c>
      <c r="J18" s="7">
        <v>45603</v>
      </c>
      <c r="K18" s="7">
        <v>45604</v>
      </c>
      <c r="L18" s="7">
        <v>45605</v>
      </c>
      <c r="M18" s="7">
        <v>45606</v>
      </c>
      <c r="N18" s="7">
        <v>45607</v>
      </c>
      <c r="O18" s="7">
        <v>45608</v>
      </c>
      <c r="P18" s="7">
        <v>45609</v>
      </c>
      <c r="Q18" s="7">
        <v>45610</v>
      </c>
      <c r="R18" s="7">
        <v>45611</v>
      </c>
      <c r="S18" s="7">
        <v>45612</v>
      </c>
      <c r="T18" s="7">
        <v>45613</v>
      </c>
      <c r="U18" s="16" t="s">
        <v>6</v>
      </c>
      <c r="V18" s="16" t="s">
        <v>7</v>
      </c>
      <c r="W18" s="16" t="s">
        <v>15</v>
      </c>
      <c r="X18" s="16" t="s">
        <v>28</v>
      </c>
      <c r="Y18" s="17" t="s">
        <v>5</v>
      </c>
    </row>
    <row r="19" spans="1:25" ht="15" customHeight="1" x14ac:dyDescent="0.25">
      <c r="A19" s="3">
        <f>IF(B19="","",1)</f>
        <v>1</v>
      </c>
      <c r="B19" s="4" t="s">
        <v>16</v>
      </c>
      <c r="C19" s="4" t="s">
        <v>17</v>
      </c>
      <c r="D19" s="4" t="s">
        <v>6</v>
      </c>
      <c r="E19" s="4" t="s">
        <v>6</v>
      </c>
      <c r="F19" s="30" t="s">
        <v>29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  <c r="L19" s="39" t="s">
        <v>42</v>
      </c>
      <c r="M19" s="30" t="s">
        <v>29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30" t="s">
        <v>29</v>
      </c>
      <c r="U19" s="8">
        <f t="shared" ref="U19:U26" si="7">COUNTIF(D19:T19,"P")</f>
        <v>13</v>
      </c>
      <c r="V19" s="8">
        <f t="shared" ref="V19:V26" si="8">COUNTIF(D19:T19,"A")</f>
        <v>0</v>
      </c>
      <c r="W19" s="8">
        <f t="shared" ref="W19:W26" si="9">COUNTIF(D19:T19,"L")</f>
        <v>0</v>
      </c>
      <c r="X19" s="8">
        <v>5</v>
      </c>
      <c r="Y19" s="10">
        <f>U19+W19+X19</f>
        <v>18</v>
      </c>
    </row>
    <row r="20" spans="1:25" x14ac:dyDescent="0.25">
      <c r="A20" s="3">
        <f>IF(B20="","",A19+1)</f>
        <v>2</v>
      </c>
      <c r="B20" s="4" t="s">
        <v>18</v>
      </c>
      <c r="C20" s="4" t="s">
        <v>19</v>
      </c>
      <c r="D20" s="4" t="s">
        <v>6</v>
      </c>
      <c r="E20" s="4" t="s">
        <v>6</v>
      </c>
      <c r="F20" s="31"/>
      <c r="G20" s="4" t="s">
        <v>6</v>
      </c>
      <c r="H20" s="4" t="s">
        <v>6</v>
      </c>
      <c r="I20" s="4" t="s">
        <v>6</v>
      </c>
      <c r="J20" s="4" t="s">
        <v>6</v>
      </c>
      <c r="K20" s="4" t="s">
        <v>6</v>
      </c>
      <c r="L20" s="40"/>
      <c r="M20" s="31"/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31"/>
      <c r="U20" s="8">
        <f t="shared" si="7"/>
        <v>13</v>
      </c>
      <c r="V20" s="8">
        <f t="shared" si="8"/>
        <v>0</v>
      </c>
      <c r="W20" s="8">
        <f t="shared" si="9"/>
        <v>0</v>
      </c>
      <c r="X20" s="8">
        <f t="shared" ref="X20:X26" si="10">COUNTBLANK(D20:T20)</f>
        <v>4</v>
      </c>
      <c r="Y20" s="10">
        <f t="shared" ref="Y20:Y26" si="11">U20+W20+X20</f>
        <v>17</v>
      </c>
    </row>
    <row r="21" spans="1:25" x14ac:dyDescent="0.25">
      <c r="A21" s="3">
        <f t="shared" ref="A21:A23" si="12">IF(B21="","",A20+1)</f>
        <v>3</v>
      </c>
      <c r="B21" s="4" t="s">
        <v>20</v>
      </c>
      <c r="C21" s="4" t="s">
        <v>21</v>
      </c>
      <c r="D21" s="4" t="s">
        <v>6</v>
      </c>
      <c r="E21" s="4" t="s">
        <v>6</v>
      </c>
      <c r="F21" s="31"/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0"/>
      <c r="M21" s="31"/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31"/>
      <c r="U21" s="8">
        <f t="shared" si="7"/>
        <v>13</v>
      </c>
      <c r="V21" s="8">
        <f t="shared" si="8"/>
        <v>0</v>
      </c>
      <c r="W21" s="8">
        <f t="shared" si="9"/>
        <v>0</v>
      </c>
      <c r="X21" s="8">
        <f t="shared" si="10"/>
        <v>4</v>
      </c>
      <c r="Y21" s="10">
        <f t="shared" si="11"/>
        <v>17</v>
      </c>
    </row>
    <row r="22" spans="1:25" x14ac:dyDescent="0.25">
      <c r="A22" s="3">
        <f t="shared" si="12"/>
        <v>4</v>
      </c>
      <c r="B22" s="4" t="s">
        <v>24</v>
      </c>
      <c r="C22" s="4" t="s">
        <v>23</v>
      </c>
      <c r="D22" s="4" t="s">
        <v>6</v>
      </c>
      <c r="E22" s="4" t="s">
        <v>6</v>
      </c>
      <c r="F22" s="31"/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0"/>
      <c r="M22" s="31"/>
      <c r="N22" s="4" t="s">
        <v>6</v>
      </c>
      <c r="O22" s="4" t="s">
        <v>6</v>
      </c>
      <c r="P22" s="4" t="s">
        <v>6</v>
      </c>
      <c r="Q22" s="4" t="s">
        <v>6</v>
      </c>
      <c r="R22" s="4" t="s">
        <v>6</v>
      </c>
      <c r="S22" s="4" t="s">
        <v>6</v>
      </c>
      <c r="T22" s="31"/>
      <c r="U22" s="8">
        <f t="shared" si="7"/>
        <v>13</v>
      </c>
      <c r="V22" s="8">
        <f t="shared" si="8"/>
        <v>0</v>
      </c>
      <c r="W22" s="8">
        <f t="shared" si="9"/>
        <v>0</v>
      </c>
      <c r="X22" s="8">
        <f t="shared" si="10"/>
        <v>4</v>
      </c>
      <c r="Y22" s="10">
        <f t="shared" si="11"/>
        <v>17</v>
      </c>
    </row>
    <row r="23" spans="1:25" x14ac:dyDescent="0.25">
      <c r="A23" s="3">
        <f t="shared" si="12"/>
        <v>5</v>
      </c>
      <c r="B23" s="4" t="s">
        <v>25</v>
      </c>
      <c r="C23" s="4" t="s">
        <v>23</v>
      </c>
      <c r="D23" s="4" t="s">
        <v>6</v>
      </c>
      <c r="E23" s="4" t="s">
        <v>6</v>
      </c>
      <c r="F23" s="31"/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0"/>
      <c r="M23" s="31"/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31"/>
      <c r="U23" s="8">
        <f t="shared" si="7"/>
        <v>13</v>
      </c>
      <c r="V23" s="8">
        <f t="shared" si="8"/>
        <v>0</v>
      </c>
      <c r="W23" s="8">
        <f t="shared" si="9"/>
        <v>0</v>
      </c>
      <c r="X23" s="8">
        <f t="shared" si="10"/>
        <v>4</v>
      </c>
      <c r="Y23" s="10">
        <f t="shared" si="11"/>
        <v>17</v>
      </c>
    </row>
    <row r="24" spans="1:25" x14ac:dyDescent="0.25">
      <c r="A24" s="3">
        <v>6</v>
      </c>
      <c r="B24" s="4" t="s">
        <v>38</v>
      </c>
      <c r="C24" s="4" t="s">
        <v>26</v>
      </c>
      <c r="D24" s="4" t="s">
        <v>6</v>
      </c>
      <c r="E24" s="4" t="s">
        <v>6</v>
      </c>
      <c r="F24" s="31"/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  <c r="L24" s="40"/>
      <c r="M24" s="31"/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31"/>
      <c r="U24" s="8">
        <f t="shared" si="7"/>
        <v>13</v>
      </c>
      <c r="V24" s="8">
        <f t="shared" si="8"/>
        <v>0</v>
      </c>
      <c r="W24" s="8">
        <f t="shared" si="9"/>
        <v>0</v>
      </c>
      <c r="X24" s="8">
        <f t="shared" si="10"/>
        <v>4</v>
      </c>
      <c r="Y24" s="10">
        <f t="shared" si="11"/>
        <v>17</v>
      </c>
    </row>
    <row r="25" spans="1:25" x14ac:dyDescent="0.25">
      <c r="A25" s="3">
        <v>7</v>
      </c>
      <c r="B25" s="4" t="s">
        <v>38</v>
      </c>
      <c r="C25" s="4" t="s">
        <v>23</v>
      </c>
      <c r="D25" s="4" t="s">
        <v>6</v>
      </c>
      <c r="E25" s="4" t="s">
        <v>6</v>
      </c>
      <c r="F25" s="31"/>
      <c r="G25" s="4" t="s">
        <v>6</v>
      </c>
      <c r="H25" s="4" t="s">
        <v>6</v>
      </c>
      <c r="I25" s="4" t="s">
        <v>27</v>
      </c>
      <c r="J25" s="4" t="s">
        <v>27</v>
      </c>
      <c r="K25" s="4" t="s">
        <v>27</v>
      </c>
      <c r="L25" s="40"/>
      <c r="M25" s="31"/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31"/>
      <c r="U25" s="8">
        <f t="shared" si="7"/>
        <v>4</v>
      </c>
      <c r="V25" s="8">
        <f t="shared" si="8"/>
        <v>0</v>
      </c>
      <c r="W25" s="8">
        <f t="shared" si="9"/>
        <v>0</v>
      </c>
      <c r="X25" s="8">
        <f t="shared" si="10"/>
        <v>4</v>
      </c>
      <c r="Y25" s="10">
        <f t="shared" si="11"/>
        <v>8</v>
      </c>
    </row>
    <row r="26" spans="1:25" ht="15.75" thickBot="1" x14ac:dyDescent="0.3">
      <c r="A26" s="5">
        <v>7</v>
      </c>
      <c r="B26" s="6" t="s">
        <v>43</v>
      </c>
      <c r="C26" s="6" t="s">
        <v>23</v>
      </c>
      <c r="D26" s="6" t="s">
        <v>27</v>
      </c>
      <c r="E26" s="6" t="s">
        <v>27</v>
      </c>
      <c r="F26" s="36"/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41"/>
      <c r="M26" s="36"/>
      <c r="N26" s="6" t="s">
        <v>6</v>
      </c>
      <c r="O26" s="6" t="s">
        <v>6</v>
      </c>
      <c r="P26" s="6" t="s">
        <v>6</v>
      </c>
      <c r="Q26" s="6" t="s">
        <v>6</v>
      </c>
      <c r="R26" s="6" t="s">
        <v>6</v>
      </c>
      <c r="S26" s="6" t="s">
        <v>6</v>
      </c>
      <c r="T26" s="36"/>
      <c r="U26" s="9">
        <f t="shared" si="7"/>
        <v>6</v>
      </c>
      <c r="V26" s="9">
        <f t="shared" si="8"/>
        <v>0</v>
      </c>
      <c r="W26" s="9">
        <f t="shared" si="9"/>
        <v>0</v>
      </c>
      <c r="X26" s="9">
        <f t="shared" si="10"/>
        <v>4</v>
      </c>
      <c r="Y26" s="11">
        <f t="shared" si="11"/>
        <v>10</v>
      </c>
    </row>
  </sheetData>
  <mergeCells count="14">
    <mergeCell ref="A2:Y2"/>
    <mergeCell ref="A16:Y16"/>
    <mergeCell ref="L5:L13"/>
    <mergeCell ref="T19:T26"/>
    <mergeCell ref="M19:M26"/>
    <mergeCell ref="F19:F26"/>
    <mergeCell ref="L19:L26"/>
    <mergeCell ref="A17:C17"/>
    <mergeCell ref="U17:Y17"/>
    <mergeCell ref="A3:C3"/>
    <mergeCell ref="U3:Y3"/>
    <mergeCell ref="F5:F13"/>
    <mergeCell ref="M5:M13"/>
    <mergeCell ref="T5:T13"/>
  </mergeCells>
  <conditionalFormatting sqref="D6:E13 I5:K13 G6:H13 N5:S13 D3:T4 D5:H5 L5:M5 T5 D17:T18">
    <cfRule type="expression" dxfId="26" priority="90">
      <formula>D$3="SUN"</formula>
    </cfRule>
  </conditionalFormatting>
  <conditionalFormatting sqref="D6:E13">
    <cfRule type="cellIs" dxfId="25" priority="89" operator="equal">
      <formula>"P"</formula>
    </cfRule>
    <cfRule type="cellIs" dxfId="24" priority="88" operator="equal">
      <formula>"A"</formula>
    </cfRule>
  </conditionalFormatting>
  <conditionalFormatting sqref="D19:E26">
    <cfRule type="cellIs" dxfId="23" priority="35" operator="equal">
      <formula>"P"</formula>
    </cfRule>
    <cfRule type="cellIs" dxfId="22" priority="34" operator="equal">
      <formula>"A"</formula>
    </cfRule>
    <cfRule type="expression" dxfId="21" priority="33">
      <formula>D$3="SUN"</formula>
    </cfRule>
  </conditionalFormatting>
  <conditionalFormatting sqref="D5:H5 L5:M5 T5 I5:K13 N5:S13 D6:E13 G6:H13">
    <cfRule type="cellIs" dxfId="20" priority="92" operator="equal">
      <formula>"P"</formula>
    </cfRule>
    <cfRule type="cellIs" dxfId="19" priority="91" operator="equal">
      <formula>"A"</formula>
    </cfRule>
  </conditionalFormatting>
  <conditionalFormatting sqref="F19">
    <cfRule type="cellIs" dxfId="18" priority="17" operator="equal">
      <formula>"A"</formula>
    </cfRule>
    <cfRule type="cellIs" dxfId="17" priority="18" operator="equal">
      <formula>"P"</formula>
    </cfRule>
    <cfRule type="expression" dxfId="16" priority="16">
      <formula>F$3="SUN"</formula>
    </cfRule>
  </conditionalFormatting>
  <conditionalFormatting sqref="G6:K13">
    <cfRule type="cellIs" dxfId="15" priority="32" operator="equal">
      <formula>"P"</formula>
    </cfRule>
    <cfRule type="cellIs" dxfId="14" priority="31" operator="equal">
      <formula>"A"</formula>
    </cfRule>
  </conditionalFormatting>
  <conditionalFormatting sqref="G19:K26">
    <cfRule type="expression" dxfId="13" priority="10">
      <formula>G$3="SUN"</formula>
    </cfRule>
    <cfRule type="cellIs" dxfId="12" priority="11" operator="equal">
      <formula>"A"</formula>
    </cfRule>
    <cfRule type="cellIs" dxfId="11" priority="12" operator="equal">
      <formula>"P"</formula>
    </cfRule>
  </conditionalFormatting>
  <conditionalFormatting sqref="L19:M19">
    <cfRule type="cellIs" dxfId="10" priority="20" operator="equal">
      <formula>"A"</formula>
    </cfRule>
    <cfRule type="cellIs" dxfId="9" priority="21" operator="equal">
      <formula>"P"</formula>
    </cfRule>
    <cfRule type="expression" dxfId="8" priority="19">
      <formula>L$3="SUN"</formula>
    </cfRule>
  </conditionalFormatting>
  <conditionalFormatting sqref="N6:S13">
    <cfRule type="cellIs" dxfId="7" priority="29" operator="equal">
      <formula>"A"</formula>
    </cfRule>
    <cfRule type="cellIs" dxfId="6" priority="30" operator="equal">
      <formula>"P"</formula>
    </cfRule>
  </conditionalFormatting>
  <conditionalFormatting sqref="N19:S26">
    <cfRule type="cellIs" dxfId="5" priority="2" operator="equal">
      <formula>"A"</formula>
    </cfRule>
    <cfRule type="cellIs" dxfId="4" priority="3" operator="equal">
      <formula>"P"</formula>
    </cfRule>
    <cfRule type="expression" dxfId="3" priority="1">
      <formula>N$3="SUN"</formula>
    </cfRule>
  </conditionalFormatting>
  <conditionalFormatting sqref="T19">
    <cfRule type="expression" dxfId="2" priority="22">
      <formula>T$3="SUN"</formula>
    </cfRule>
    <cfRule type="cellIs" dxfId="1" priority="23" operator="equal">
      <formula>"A"</formula>
    </cfRule>
    <cfRule type="cellIs" dxfId="0" priority="24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AUGUST-2024</vt:lpstr>
      <vt:lpstr>SEPTEMBER-2024</vt:lpstr>
      <vt:lpstr>OCTOBER-2024</vt:lpstr>
      <vt:lpstr>NOVEMBER-2024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2024-11-30T06:39:45Z</dcterms:modified>
</cp:coreProperties>
</file>