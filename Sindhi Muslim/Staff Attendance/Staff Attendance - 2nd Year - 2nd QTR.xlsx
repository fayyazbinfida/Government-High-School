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Attendance\"/>
    </mc:Choice>
  </mc:AlternateContent>
  <xr:revisionPtr revIDLastSave="0" documentId="13_ncr:1_{6483CBD6-3B98-4F61-87FC-0BCFD57800B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OVEMBER-2024" sheetId="8" r:id="rId1"/>
    <sheet name="DECEMBER-2024" sheetId="9" r:id="rId2"/>
    <sheet name="JANUARY-2025" sheetId="10" r:id="rId3"/>
    <sheet name="FEBRUARY-2025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8" i="10" l="1"/>
  <c r="AN19" i="10"/>
  <c r="AN20" i="10"/>
  <c r="AN21" i="10"/>
  <c r="AN22" i="10"/>
  <c r="AN23" i="10"/>
  <c r="AN17" i="10"/>
  <c r="AN6" i="10"/>
  <c r="AN7" i="10"/>
  <c r="AN8" i="10"/>
  <c r="AN9" i="10"/>
  <c r="AN10" i="10"/>
  <c r="AN11" i="10"/>
  <c r="AN12" i="10"/>
  <c r="AN5" i="10"/>
  <c r="AN19" i="9"/>
  <c r="AN20" i="9"/>
  <c r="AN21" i="9"/>
  <c r="AN22" i="9"/>
  <c r="AN23" i="9"/>
  <c r="AN24" i="9"/>
  <c r="AN18" i="9"/>
  <c r="AN12" i="9"/>
  <c r="AN6" i="9"/>
  <c r="AN7" i="9"/>
  <c r="AN8" i="9"/>
  <c r="AN9" i="9"/>
  <c r="AN10" i="9"/>
  <c r="AN11" i="9"/>
  <c r="AN5" i="9"/>
  <c r="V22" i="11"/>
  <c r="U22" i="11"/>
  <c r="T22" i="11"/>
  <c r="Y22" i="11" s="1"/>
  <c r="J15" i="11"/>
  <c r="K15" i="11"/>
  <c r="L15" i="11"/>
  <c r="M15" i="11"/>
  <c r="N15" i="11"/>
  <c r="O15" i="11"/>
  <c r="P15" i="11"/>
  <c r="Q15" i="11"/>
  <c r="R15" i="11"/>
  <c r="S15" i="11"/>
  <c r="J3" i="11"/>
  <c r="K3" i="11"/>
  <c r="L3" i="11"/>
  <c r="M3" i="11"/>
  <c r="N3" i="11"/>
  <c r="O3" i="11"/>
  <c r="P3" i="11"/>
  <c r="Q3" i="11"/>
  <c r="R3" i="11"/>
  <c r="S3" i="11"/>
  <c r="I3" i="11"/>
  <c r="G3" i="11"/>
  <c r="H3" i="11"/>
  <c r="E3" i="8"/>
  <c r="F3" i="8"/>
  <c r="G3" i="8"/>
  <c r="H3" i="8"/>
  <c r="I3" i="8"/>
  <c r="J3" i="8"/>
  <c r="K3" i="8"/>
  <c r="L3" i="8"/>
  <c r="M3" i="8"/>
  <c r="N3" i="8"/>
  <c r="O3" i="8"/>
  <c r="P3" i="8"/>
  <c r="V24" i="11"/>
  <c r="U24" i="11"/>
  <c r="T24" i="11"/>
  <c r="Y24" i="11" s="1"/>
  <c r="V23" i="11"/>
  <c r="U23" i="11"/>
  <c r="T23" i="11"/>
  <c r="Y23" i="11" s="1"/>
  <c r="V21" i="11"/>
  <c r="U21" i="11"/>
  <c r="T21" i="11"/>
  <c r="Y21" i="11" s="1"/>
  <c r="V20" i="11"/>
  <c r="U20" i="11"/>
  <c r="T20" i="11"/>
  <c r="Y20" i="11" s="1"/>
  <c r="V19" i="11"/>
  <c r="U19" i="11"/>
  <c r="T19" i="11"/>
  <c r="Y19" i="11" s="1"/>
  <c r="V18" i="11"/>
  <c r="U18" i="11"/>
  <c r="T18" i="11"/>
  <c r="Y18" i="11" s="1"/>
  <c r="V17" i="11"/>
  <c r="U17" i="11"/>
  <c r="T17" i="11"/>
  <c r="Y17" i="11" s="1"/>
  <c r="A17" i="11"/>
  <c r="A18" i="11" s="1"/>
  <c r="A19" i="11" s="1"/>
  <c r="A20" i="11" s="1"/>
  <c r="A21" i="11" s="1"/>
  <c r="A22" i="11" s="1"/>
  <c r="A23" i="11" s="1"/>
  <c r="A24" i="11" s="1"/>
  <c r="I15" i="11"/>
  <c r="H15" i="11"/>
  <c r="G15" i="11"/>
  <c r="F15" i="11"/>
  <c r="E15" i="11"/>
  <c r="D15" i="11"/>
  <c r="V12" i="11"/>
  <c r="U12" i="11"/>
  <c r="T12" i="11"/>
  <c r="Y12" i="11" s="1"/>
  <c r="V11" i="11"/>
  <c r="U11" i="11"/>
  <c r="T11" i="11"/>
  <c r="Y11" i="11" s="1"/>
  <c r="V10" i="11"/>
  <c r="U10" i="11"/>
  <c r="T10" i="11"/>
  <c r="Y10" i="11" s="1"/>
  <c r="V9" i="11"/>
  <c r="U9" i="11"/>
  <c r="T9" i="11"/>
  <c r="Y9" i="11" s="1"/>
  <c r="V8" i="11"/>
  <c r="U8" i="11"/>
  <c r="T8" i="11"/>
  <c r="Y8" i="11" s="1"/>
  <c r="V7" i="11"/>
  <c r="U7" i="11"/>
  <c r="T7" i="11"/>
  <c r="Y7" i="11" s="1"/>
  <c r="V6" i="11"/>
  <c r="U6" i="11"/>
  <c r="T6" i="11"/>
  <c r="Y6" i="11" s="1"/>
  <c r="V5" i="11"/>
  <c r="U5" i="11"/>
  <c r="T5" i="11"/>
  <c r="Y5" i="11" s="1"/>
  <c r="F3" i="11"/>
  <c r="E3" i="11"/>
  <c r="D3" i="11"/>
  <c r="AK23" i="10"/>
  <c r="AJ23" i="10"/>
  <c r="AI23" i="10"/>
  <c r="AK22" i="10"/>
  <c r="AJ22" i="10"/>
  <c r="AI22" i="10"/>
  <c r="AK21" i="10"/>
  <c r="AJ21" i="10"/>
  <c r="AI21" i="10"/>
  <c r="AK20" i="10"/>
  <c r="AJ20" i="10"/>
  <c r="AI20" i="10"/>
  <c r="AK19" i="10"/>
  <c r="AJ19" i="10"/>
  <c r="AI19" i="10"/>
  <c r="AK18" i="10"/>
  <c r="AJ18" i="10"/>
  <c r="AI18" i="10"/>
  <c r="AK17" i="10"/>
  <c r="AJ17" i="10"/>
  <c r="AI17" i="10"/>
  <c r="A17" i="10"/>
  <c r="A18" i="10" s="1"/>
  <c r="A19" i="10" s="1"/>
  <c r="A20" i="10" s="1"/>
  <c r="A21" i="10" s="1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AK12" i="10"/>
  <c r="AJ12" i="10"/>
  <c r="AI12" i="10"/>
  <c r="AK11" i="10"/>
  <c r="AJ11" i="10"/>
  <c r="AI11" i="10"/>
  <c r="AK10" i="10"/>
  <c r="AJ10" i="10"/>
  <c r="AI10" i="10"/>
  <c r="AK9" i="10"/>
  <c r="AJ9" i="10"/>
  <c r="AI9" i="10"/>
  <c r="AK8" i="10"/>
  <c r="AJ8" i="10"/>
  <c r="AI8" i="10"/>
  <c r="AK7" i="10"/>
  <c r="AJ7" i="10"/>
  <c r="AI7" i="10"/>
  <c r="AK6" i="10"/>
  <c r="AJ6" i="10"/>
  <c r="AI6" i="10"/>
  <c r="AK5" i="10"/>
  <c r="AJ5" i="10"/>
  <c r="AI5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AK24" i="9"/>
  <c r="AJ24" i="9"/>
  <c r="AI24" i="9"/>
  <c r="AK23" i="9"/>
  <c r="AJ23" i="9"/>
  <c r="AI23" i="9"/>
  <c r="AK22" i="9"/>
  <c r="AJ22" i="9"/>
  <c r="AI22" i="9"/>
  <c r="AK21" i="9"/>
  <c r="AJ21" i="9"/>
  <c r="AI21" i="9"/>
  <c r="AK20" i="9"/>
  <c r="AJ20" i="9"/>
  <c r="AI20" i="9"/>
  <c r="AK19" i="9"/>
  <c r="AJ19" i="9"/>
  <c r="AI19" i="9"/>
  <c r="AK18" i="9"/>
  <c r="AJ18" i="9"/>
  <c r="AI18" i="9"/>
  <c r="A18" i="9"/>
  <c r="A19" i="9" s="1"/>
  <c r="A20" i="9" s="1"/>
  <c r="A21" i="9" s="1"/>
  <c r="A22" i="9" s="1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AI13" i="9"/>
  <c r="AK12" i="9"/>
  <c r="AJ12" i="9"/>
  <c r="AI12" i="9"/>
  <c r="AK11" i="9"/>
  <c r="AJ11" i="9"/>
  <c r="AI11" i="9"/>
  <c r="AK10" i="9"/>
  <c r="AJ10" i="9"/>
  <c r="AI10" i="9"/>
  <c r="AK9" i="9"/>
  <c r="AJ9" i="9"/>
  <c r="AI9" i="9"/>
  <c r="AK8" i="9"/>
  <c r="AJ8" i="9"/>
  <c r="AI8" i="9"/>
  <c r="AK7" i="9"/>
  <c r="AJ7" i="9"/>
  <c r="AI7" i="9"/>
  <c r="AK6" i="9"/>
  <c r="AJ6" i="9"/>
  <c r="AI6" i="9"/>
  <c r="AK5" i="9"/>
  <c r="AJ5" i="9"/>
  <c r="AI5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S25" i="8" l="1"/>
  <c r="R25" i="8"/>
  <c r="Q25" i="8"/>
  <c r="S13" i="8"/>
  <c r="S12" i="8"/>
  <c r="S11" i="8"/>
  <c r="R13" i="8"/>
  <c r="R12" i="8"/>
  <c r="Q13" i="8"/>
  <c r="Q12" i="8"/>
  <c r="S6" i="8"/>
  <c r="R6" i="8"/>
  <c r="Q6" i="8"/>
  <c r="S24" i="8"/>
  <c r="R24" i="8"/>
  <c r="Q24" i="8"/>
  <c r="S23" i="8"/>
  <c r="R23" i="8"/>
  <c r="Q23" i="8"/>
  <c r="S22" i="8"/>
  <c r="R22" i="8"/>
  <c r="Q22" i="8"/>
  <c r="S21" i="8"/>
  <c r="R21" i="8"/>
  <c r="Q21" i="8"/>
  <c r="S20" i="8"/>
  <c r="R20" i="8"/>
  <c r="Q20" i="8"/>
  <c r="S19" i="8"/>
  <c r="R19" i="8"/>
  <c r="Q19" i="8"/>
  <c r="A19" i="8"/>
  <c r="A20" i="8" s="1"/>
  <c r="A21" i="8" s="1"/>
  <c r="A22" i="8" s="1"/>
  <c r="A23" i="8" s="1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R11" i="8"/>
  <c r="Q11" i="8"/>
  <c r="S10" i="8"/>
  <c r="R10" i="8"/>
  <c r="Q10" i="8"/>
  <c r="S9" i="8"/>
  <c r="R9" i="8"/>
  <c r="Q9" i="8"/>
  <c r="S8" i="8"/>
  <c r="R8" i="8"/>
  <c r="Q8" i="8"/>
  <c r="S7" i="8"/>
  <c r="R7" i="8"/>
  <c r="Q7" i="8"/>
  <c r="S5" i="8"/>
  <c r="R5" i="8"/>
  <c r="Q5" i="8"/>
  <c r="D3" i="8"/>
  <c r="U25" i="8" l="1"/>
  <c r="U12" i="8"/>
  <c r="U11" i="8"/>
  <c r="U6" i="8"/>
  <c r="U13" i="8"/>
  <c r="U20" i="8"/>
  <c r="U21" i="8"/>
  <c r="U22" i="8"/>
  <c r="U23" i="8"/>
  <c r="U24" i="8"/>
  <c r="U7" i="8"/>
  <c r="U9" i="8"/>
  <c r="U5" i="8"/>
  <c r="U8" i="8"/>
  <c r="U10" i="8"/>
  <c r="U19" i="8"/>
</calcChain>
</file>

<file path=xl/sharedStrings.xml><?xml version="1.0" encoding="utf-8"?>
<sst xmlns="http://schemas.openxmlformats.org/spreadsheetml/2006/main" count="1356" uniqueCount="50">
  <si>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</si>
  <si>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</si>
  <si>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</si>
  <si>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</si>
  <si>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</si>
  <si>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</si>
  <si>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</si>
  <si>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</si>
  <si>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Teacher</t>
  </si>
  <si>
    <t>Miss Tooba</t>
  </si>
  <si>
    <t>Miss Parwish Fatima</t>
  </si>
  <si>
    <t>Miss Saba</t>
  </si>
  <si>
    <t>Miss Shaila Bhatti</t>
  </si>
  <si>
    <t>L</t>
  </si>
  <si>
    <t>Syeda Samiya</t>
  </si>
  <si>
    <t>Co-Ordinator</t>
  </si>
  <si>
    <t>Naeem Ahmed</t>
  </si>
  <si>
    <t>Guard</t>
  </si>
  <si>
    <t>Ijaz Ahmed</t>
  </si>
  <si>
    <t>Gardner</t>
  </si>
  <si>
    <t>Maid</t>
  </si>
  <si>
    <t>Tahira Bibi</t>
  </si>
  <si>
    <t>Rimsha Bibi</t>
  </si>
  <si>
    <t>Cleaner</t>
  </si>
  <si>
    <t>-</t>
  </si>
  <si>
    <t>SUN</t>
  </si>
  <si>
    <t>SUNDAY</t>
  </si>
  <si>
    <t>Miss Saiqa</t>
  </si>
  <si>
    <t>Sir Fayyaz</t>
  </si>
  <si>
    <t>IT Teacher</t>
  </si>
  <si>
    <t>Hussan Bano</t>
  </si>
  <si>
    <t>Haleema</t>
  </si>
  <si>
    <t>Miss Uzma Sheeraz</t>
  </si>
  <si>
    <t>Miss Shumaila</t>
  </si>
  <si>
    <t>Nusrat</t>
  </si>
  <si>
    <t>TEACHING STAFF</t>
  </si>
  <si>
    <t>NON-TEACHING STAFF</t>
  </si>
  <si>
    <t>LHV</t>
  </si>
  <si>
    <t>Miss Hussan Bano</t>
  </si>
  <si>
    <t>Miss Uzma</t>
  </si>
  <si>
    <t>Directress</t>
  </si>
  <si>
    <t>Official Holiday</t>
  </si>
  <si>
    <t>Winter</t>
  </si>
  <si>
    <t>Miss Mehak</t>
  </si>
  <si>
    <t>Librarion</t>
  </si>
  <si>
    <t>Shab-E-Mairaj</t>
  </si>
  <si>
    <t>Shumaila Habib</t>
  </si>
  <si>
    <t>Shab-E-Baraat</t>
  </si>
  <si>
    <t>Kashmir Day</t>
  </si>
  <si>
    <t>O.Off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</si>
</sst>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textRotation="90"/>
    </xf>
    <xf numFmtId="164" fontId="0" fillId="3" borderId="19" xfId="0" applyNumberForma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5" xfId="0" applyFill="1" applyBorder="1"/>
    <xf numFmtId="0" fontId="0" fillId="3" borderId="13" xfId="0" applyFill="1" applyBorder="1"/>
    <xf numFmtId="0" fontId="0" fillId="3" borderId="7" xfId="0" applyFill="1" applyBorder="1"/>
    <xf numFmtId="0" fontId="2" fillId="3" borderId="10" xfId="0" applyFont="1" applyFill="1" applyBorder="1" applyAlignment="1">
      <alignment horizontal="center" vertical="center" textRotation="255"/>
    </xf>
    <xf numFmtId="0" fontId="2" fillId="3" borderId="12" xfId="0" applyFont="1" applyFill="1" applyBorder="1" applyAlignment="1">
      <alignment horizontal="center" vertical="center" textRotation="255"/>
    </xf>
    <xf numFmtId="0" fontId="2" fillId="3" borderId="14" xfId="0" applyFont="1" applyFill="1" applyBorder="1" applyAlignment="1">
      <alignment horizontal="center" vertical="center" textRotation="255"/>
    </xf>
    <xf numFmtId="0" fontId="4" fillId="5" borderId="15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textRotation="180"/>
    </xf>
    <xf numFmtId="0" fontId="2" fillId="3" borderId="8" xfId="0" applyFont="1" applyFill="1" applyBorder="1" applyAlignment="1">
      <alignment horizontal="center" vertical="center" textRotation="180"/>
    </xf>
    <xf numFmtId="0" fontId="2" fillId="3" borderId="1" xfId="0" applyFont="1" applyFill="1" applyBorder="1" applyAlignment="1">
      <alignment horizontal="center" vertical="center" textRotation="255"/>
    </xf>
    <xf numFmtId="0" fontId="2" fillId="3" borderId="8" xfId="0" applyFont="1" applyFill="1" applyBorder="1" applyAlignment="1">
      <alignment horizontal="center" vertical="center" textRotation="255"/>
    </xf>
    <xf numFmtId="0" fontId="2" fillId="3" borderId="10" xfId="0" applyFont="1" applyFill="1" applyBorder="1" applyAlignment="1">
      <alignment horizontal="center" vertical="center" textRotation="180"/>
    </xf>
    <xf numFmtId="0" fontId="2" fillId="3" borderId="12" xfId="0" applyFont="1" applyFill="1" applyBorder="1" applyAlignment="1">
      <alignment horizontal="center" vertical="center" textRotation="180"/>
    </xf>
    <xf numFmtId="0" fontId="2" fillId="3" borderId="11" xfId="0" applyFont="1" applyFill="1" applyBorder="1" applyAlignment="1">
      <alignment horizontal="center" vertical="center" textRotation="180"/>
    </xf>
    <xf numFmtId="0" fontId="2" fillId="3" borderId="11" xfId="0" applyFont="1" applyFill="1" applyBorder="1" applyAlignment="1">
      <alignment horizontal="center" vertical="center" textRotation="255"/>
    </xf>
    <xf numFmtId="0" fontId="2" fillId="4" borderId="10" xfId="0" applyFont="1" applyFill="1" applyBorder="1" applyAlignment="1">
      <alignment horizontal="center" vertical="center" textRotation="180"/>
    </xf>
    <xf numFmtId="0" fontId="2" fillId="4" borderId="12" xfId="0" applyFont="1" applyFill="1" applyBorder="1" applyAlignment="1">
      <alignment horizontal="center" vertical="center" textRotation="180"/>
    </xf>
    <xf numFmtId="0" fontId="2" fillId="4" borderId="14" xfId="0" applyFont="1" applyFill="1" applyBorder="1" applyAlignment="1">
      <alignment horizontal="center" vertical="center" textRotation="180"/>
    </xf>
    <xf numFmtId="0" fontId="2" fillId="4" borderId="1" xfId="0" applyFont="1" applyFill="1" applyBorder="1" applyAlignment="1">
      <alignment horizontal="center" vertical="center" textRotation="180"/>
    </xf>
    <xf numFmtId="0" fontId="2" fillId="4" borderId="8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1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DAB5-41AE-4980-8466-A5D7AD1F8A07}">
  <dimension ref="A1:U25"/>
  <sheetViews>
    <sheetView topLeftCell="A8" workbookViewId="0">
      <selection activeCell="S25" sqref="S2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16" width="3.7109375" bestFit="1" customWidth="1"/>
    <col min="17" max="20" width="5.7109375" customWidth="1"/>
    <col min="21" max="21" width="7.42578125" bestFit="1" customWidth="1"/>
  </cols>
  <sheetData>
    <row r="1" spans="1:21" ht="15.75" thickBot="1" x14ac:dyDescent="0.3"/>
    <row r="2" spans="1:21" ht="32.25" thickBot="1" x14ac:dyDescent="0.55000000000000004">
      <c r="A2" s="32" t="s">
        <v>35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4"/>
    </row>
    <row r="3" spans="1:21" ht="27" x14ac:dyDescent="0.25">
      <c r="A3" s="35" t="s">
        <v>0</v>
      </c>
      <c r="B3" s="36"/>
      <c r="C3" s="36"/>
      <c r="D3" s="17" t="str">
        <f>TEXT(D4,"ddd")</f>
        <v>Mon</v>
      </c>
      <c r="E3" s="17" t="str">
        <f t="shared" ref="E3:P3" si="0">TEXT(E4,"ddd")</f>
        <v>Tue</v>
      </c>
      <c r="F3" s="17" t="str">
        <f t="shared" si="0"/>
        <v>Wed</v>
      </c>
      <c r="G3" s="17" t="str">
        <f t="shared" si="0"/>
        <v>Thu</v>
      </c>
      <c r="H3" s="17" t="str">
        <f t="shared" si="0"/>
        <v>Fri</v>
      </c>
      <c r="I3" s="17" t="str">
        <f t="shared" si="0"/>
        <v>Sat</v>
      </c>
      <c r="J3" s="17" t="str">
        <f t="shared" si="0"/>
        <v>Sun</v>
      </c>
      <c r="K3" s="17" t="str">
        <f t="shared" si="0"/>
        <v>Mon</v>
      </c>
      <c r="L3" s="17" t="str">
        <f t="shared" si="0"/>
        <v>Tue</v>
      </c>
      <c r="M3" s="17" t="str">
        <f t="shared" si="0"/>
        <v>Wed</v>
      </c>
      <c r="N3" s="17" t="str">
        <f t="shared" si="0"/>
        <v>Thu</v>
      </c>
      <c r="O3" s="17" t="str">
        <f t="shared" si="0"/>
        <v>Fri</v>
      </c>
      <c r="P3" s="17" t="str">
        <f t="shared" si="0"/>
        <v>Sat</v>
      </c>
      <c r="Q3" s="37" t="s">
        <v>1</v>
      </c>
      <c r="R3" s="37"/>
      <c r="S3" s="37"/>
      <c r="T3" s="37"/>
      <c r="U3" s="38"/>
    </row>
    <row r="4" spans="1:21" x14ac:dyDescent="0.25">
      <c r="A4" s="1" t="s">
        <v>2</v>
      </c>
      <c r="B4" s="2" t="s">
        <v>3</v>
      </c>
      <c r="C4" s="2" t="s">
        <v>4</v>
      </c>
      <c r="D4" s="7">
        <v>45614</v>
      </c>
      <c r="E4" s="7">
        <v>45615</v>
      </c>
      <c r="F4" s="7">
        <v>45616</v>
      </c>
      <c r="G4" s="7">
        <v>45617</v>
      </c>
      <c r="H4" s="7">
        <v>45618</v>
      </c>
      <c r="I4" s="7">
        <v>45619</v>
      </c>
      <c r="J4" s="7">
        <v>45620</v>
      </c>
      <c r="K4" s="7">
        <v>45621</v>
      </c>
      <c r="L4" s="7">
        <v>45622</v>
      </c>
      <c r="M4" s="7">
        <v>45623</v>
      </c>
      <c r="N4" s="7">
        <v>45624</v>
      </c>
      <c r="O4" s="7">
        <v>45625</v>
      </c>
      <c r="P4" s="7">
        <v>45626</v>
      </c>
      <c r="Q4" s="15" t="s">
        <v>6</v>
      </c>
      <c r="R4" s="15" t="s">
        <v>7</v>
      </c>
      <c r="S4" s="15" t="s">
        <v>13</v>
      </c>
      <c r="T4" s="15" t="s">
        <v>25</v>
      </c>
      <c r="U4" s="16" t="s">
        <v>5</v>
      </c>
    </row>
    <row r="5" spans="1:21" ht="15" customHeight="1" x14ac:dyDescent="0.25">
      <c r="A5" s="3">
        <v>1</v>
      </c>
      <c r="B5" s="4" t="s">
        <v>27</v>
      </c>
      <c r="C5" s="4" t="s">
        <v>8</v>
      </c>
      <c r="D5" s="4" t="s">
        <v>6</v>
      </c>
      <c r="E5" s="4" t="s">
        <v>6</v>
      </c>
      <c r="F5" s="4" t="s">
        <v>6</v>
      </c>
      <c r="G5" s="4" t="s">
        <v>13</v>
      </c>
      <c r="H5" s="4" t="s">
        <v>13</v>
      </c>
      <c r="I5" s="4" t="s">
        <v>13</v>
      </c>
      <c r="J5" s="29" t="s">
        <v>26</v>
      </c>
      <c r="K5" s="4" t="s">
        <v>13</v>
      </c>
      <c r="L5" s="4" t="s">
        <v>13</v>
      </c>
      <c r="M5" s="4" t="s">
        <v>13</v>
      </c>
      <c r="N5" s="4" t="s">
        <v>6</v>
      </c>
      <c r="O5" s="4" t="s">
        <v>6</v>
      </c>
      <c r="P5" s="4" t="s">
        <v>6</v>
      </c>
      <c r="Q5" s="4">
        <f t="shared" ref="Q5:Q13" si="1">COUNTIF(D5:P5,"P")</f>
        <v>6</v>
      </c>
      <c r="R5" s="4">
        <f t="shared" ref="R5:R13" si="2">COUNTIF(D5:P5,"A")</f>
        <v>0</v>
      </c>
      <c r="S5" s="4">
        <f t="shared" ref="S5:S13" si="3">COUNTIF(D5:P5,"L")</f>
        <v>6</v>
      </c>
      <c r="T5" s="4">
        <v>1</v>
      </c>
      <c r="U5" s="18">
        <f>Q5+S5+T5</f>
        <v>13</v>
      </c>
    </row>
    <row r="6" spans="1:21" x14ac:dyDescent="0.25">
      <c r="A6" s="3">
        <v>2</v>
      </c>
      <c r="B6" s="4" t="s">
        <v>11</v>
      </c>
      <c r="C6" s="4" t="s">
        <v>8</v>
      </c>
      <c r="D6" s="4" t="s">
        <v>7</v>
      </c>
      <c r="E6" s="4" t="s">
        <v>6</v>
      </c>
      <c r="F6" s="4" t="s">
        <v>6</v>
      </c>
      <c r="G6" s="4" t="s">
        <v>6</v>
      </c>
      <c r="H6" s="4" t="s">
        <v>6</v>
      </c>
      <c r="I6" s="4" t="s">
        <v>6</v>
      </c>
      <c r="J6" s="30"/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>
        <f t="shared" si="1"/>
        <v>11</v>
      </c>
      <c r="R6" s="4">
        <f t="shared" si="2"/>
        <v>1</v>
      </c>
      <c r="S6" s="4">
        <f t="shared" si="3"/>
        <v>0</v>
      </c>
      <c r="T6" s="4">
        <v>1</v>
      </c>
      <c r="U6" s="18">
        <f t="shared" ref="U6" si="4">Q6+S6+T6</f>
        <v>12</v>
      </c>
    </row>
    <row r="7" spans="1:21" x14ac:dyDescent="0.25">
      <c r="A7" s="3">
        <v>3</v>
      </c>
      <c r="B7" s="4" t="s">
        <v>9</v>
      </c>
      <c r="C7" s="4" t="s">
        <v>8</v>
      </c>
      <c r="D7" s="4" t="s">
        <v>6</v>
      </c>
      <c r="E7" s="4" t="s">
        <v>6</v>
      </c>
      <c r="F7" s="4" t="s">
        <v>6</v>
      </c>
      <c r="G7" s="4" t="s">
        <v>13</v>
      </c>
      <c r="H7" s="4" t="s">
        <v>7</v>
      </c>
      <c r="I7" s="4" t="s">
        <v>7</v>
      </c>
      <c r="J7" s="30"/>
      <c r="K7" s="4" t="s">
        <v>7</v>
      </c>
      <c r="L7" s="4" t="s">
        <v>7</v>
      </c>
      <c r="M7" s="4" t="s">
        <v>7</v>
      </c>
      <c r="N7" s="4" t="s">
        <v>7</v>
      </c>
      <c r="O7" s="4" t="s">
        <v>7</v>
      </c>
      <c r="P7" s="4" t="s">
        <v>7</v>
      </c>
      <c r="Q7" s="4">
        <f t="shared" si="1"/>
        <v>3</v>
      </c>
      <c r="R7" s="4">
        <f t="shared" si="2"/>
        <v>8</v>
      </c>
      <c r="S7" s="4">
        <f t="shared" si="3"/>
        <v>1</v>
      </c>
      <c r="T7" s="4">
        <v>1</v>
      </c>
      <c r="U7" s="18">
        <f t="shared" ref="U7:U13" si="5">Q7+S7+T7</f>
        <v>5</v>
      </c>
    </row>
    <row r="8" spans="1:21" x14ac:dyDescent="0.25">
      <c r="A8" s="3">
        <v>4</v>
      </c>
      <c r="B8" s="4" t="s">
        <v>10</v>
      </c>
      <c r="C8" s="4" t="s">
        <v>8</v>
      </c>
      <c r="D8" s="4" t="s">
        <v>7</v>
      </c>
      <c r="E8" s="4" t="s">
        <v>7</v>
      </c>
      <c r="F8" s="4" t="s">
        <v>7</v>
      </c>
      <c r="G8" s="4" t="s">
        <v>6</v>
      </c>
      <c r="H8" s="4" t="s">
        <v>6</v>
      </c>
      <c r="I8" s="4" t="s">
        <v>6</v>
      </c>
      <c r="J8" s="30"/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>
        <f t="shared" si="1"/>
        <v>9</v>
      </c>
      <c r="R8" s="4">
        <f t="shared" si="2"/>
        <v>3</v>
      </c>
      <c r="S8" s="4">
        <f t="shared" si="3"/>
        <v>0</v>
      </c>
      <c r="T8" s="4">
        <v>1</v>
      </c>
      <c r="U8" s="18">
        <f t="shared" si="5"/>
        <v>10</v>
      </c>
    </row>
    <row r="9" spans="1:21" x14ac:dyDescent="0.25">
      <c r="A9" s="3">
        <v>5</v>
      </c>
      <c r="B9" s="4" t="s">
        <v>12</v>
      </c>
      <c r="C9" s="4" t="s">
        <v>44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30"/>
      <c r="K9" s="4" t="s">
        <v>6</v>
      </c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>
        <f t="shared" si="1"/>
        <v>12</v>
      </c>
      <c r="R9" s="4">
        <f t="shared" si="2"/>
        <v>0</v>
      </c>
      <c r="S9" s="4">
        <f t="shared" si="3"/>
        <v>0</v>
      </c>
      <c r="T9" s="4">
        <v>1</v>
      </c>
      <c r="U9" s="18">
        <f t="shared" si="5"/>
        <v>13</v>
      </c>
    </row>
    <row r="10" spans="1:21" x14ac:dyDescent="0.25">
      <c r="A10" s="3">
        <v>6</v>
      </c>
      <c r="B10" s="4" t="s">
        <v>28</v>
      </c>
      <c r="C10" s="4" t="s">
        <v>29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30"/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>
        <f t="shared" si="1"/>
        <v>12</v>
      </c>
      <c r="R10" s="4">
        <f t="shared" si="2"/>
        <v>0</v>
      </c>
      <c r="S10" s="4">
        <f t="shared" si="3"/>
        <v>0</v>
      </c>
      <c r="T10" s="4">
        <v>1</v>
      </c>
      <c r="U10" s="18">
        <f t="shared" si="5"/>
        <v>13</v>
      </c>
    </row>
    <row r="11" spans="1:21" x14ac:dyDescent="0.25">
      <c r="A11" s="3">
        <v>7</v>
      </c>
      <c r="B11" s="4" t="s">
        <v>30</v>
      </c>
      <c r="C11" s="4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30"/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 t="s">
        <v>6</v>
      </c>
      <c r="Q11" s="4">
        <f t="shared" si="1"/>
        <v>12</v>
      </c>
      <c r="R11" s="4">
        <f t="shared" si="2"/>
        <v>0</v>
      </c>
      <c r="S11" s="4">
        <f t="shared" si="3"/>
        <v>0</v>
      </c>
      <c r="T11" s="4">
        <v>1</v>
      </c>
      <c r="U11" s="18">
        <f t="shared" si="5"/>
        <v>13</v>
      </c>
    </row>
    <row r="12" spans="1:21" x14ac:dyDescent="0.25">
      <c r="A12" s="3">
        <v>8</v>
      </c>
      <c r="B12" s="4" t="s">
        <v>32</v>
      </c>
      <c r="C12" s="4" t="s">
        <v>8</v>
      </c>
      <c r="D12" s="4" t="s">
        <v>6</v>
      </c>
      <c r="E12" s="4" t="s">
        <v>6</v>
      </c>
      <c r="F12" s="4" t="s">
        <v>6</v>
      </c>
      <c r="G12" s="4" t="s">
        <v>13</v>
      </c>
      <c r="H12" s="4" t="s">
        <v>6</v>
      </c>
      <c r="I12" s="4" t="s">
        <v>6</v>
      </c>
      <c r="J12" s="30"/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>
        <f t="shared" si="1"/>
        <v>11</v>
      </c>
      <c r="R12" s="4">
        <f t="shared" si="2"/>
        <v>0</v>
      </c>
      <c r="S12" s="4">
        <f t="shared" si="3"/>
        <v>1</v>
      </c>
      <c r="T12" s="4">
        <v>1</v>
      </c>
      <c r="U12" s="18">
        <f t="shared" si="5"/>
        <v>13</v>
      </c>
    </row>
    <row r="13" spans="1:21" ht="15.75" thickBot="1" x14ac:dyDescent="0.3">
      <c r="A13" s="5">
        <v>9</v>
      </c>
      <c r="B13" s="6" t="s">
        <v>33</v>
      </c>
      <c r="C13" s="6" t="s">
        <v>37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6" t="s">
        <v>6</v>
      </c>
      <c r="J13" s="31"/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6" t="s">
        <v>6</v>
      </c>
      <c r="Q13" s="6">
        <f t="shared" si="1"/>
        <v>12</v>
      </c>
      <c r="R13" s="6">
        <f t="shared" si="2"/>
        <v>0</v>
      </c>
      <c r="S13" s="6">
        <f t="shared" si="3"/>
        <v>0</v>
      </c>
      <c r="T13" s="6">
        <v>1</v>
      </c>
      <c r="U13" s="19">
        <f t="shared" si="5"/>
        <v>13</v>
      </c>
    </row>
    <row r="15" spans="1:21" ht="15.75" thickBot="1" x14ac:dyDescent="0.3"/>
    <row r="16" spans="1:21" ht="32.25" thickBot="1" x14ac:dyDescent="0.55000000000000004">
      <c r="A16" s="32" t="s">
        <v>36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</row>
    <row r="17" spans="1:21" ht="27" x14ac:dyDescent="0.25">
      <c r="A17" s="35" t="s">
        <v>0</v>
      </c>
      <c r="B17" s="36"/>
      <c r="C17" s="36"/>
      <c r="D17" s="17" t="str">
        <f>TEXT(D18,"ddd")</f>
        <v>Mon</v>
      </c>
      <c r="E17" s="17" t="str">
        <f t="shared" ref="E17:P17" si="6">TEXT(E18,"ddd")</f>
        <v>Tue</v>
      </c>
      <c r="F17" s="17" t="str">
        <f t="shared" si="6"/>
        <v>Wed</v>
      </c>
      <c r="G17" s="17" t="str">
        <f t="shared" si="6"/>
        <v>Thu</v>
      </c>
      <c r="H17" s="17" t="str">
        <f t="shared" si="6"/>
        <v>Fri</v>
      </c>
      <c r="I17" s="17" t="str">
        <f t="shared" si="6"/>
        <v>Sat</v>
      </c>
      <c r="J17" s="17" t="str">
        <f t="shared" si="6"/>
        <v>Sun</v>
      </c>
      <c r="K17" s="17" t="str">
        <f t="shared" si="6"/>
        <v>Mon</v>
      </c>
      <c r="L17" s="17" t="str">
        <f t="shared" si="6"/>
        <v>Tue</v>
      </c>
      <c r="M17" s="17" t="str">
        <f t="shared" si="6"/>
        <v>Wed</v>
      </c>
      <c r="N17" s="17" t="str">
        <f t="shared" si="6"/>
        <v>Thu</v>
      </c>
      <c r="O17" s="17" t="str">
        <f t="shared" si="6"/>
        <v>Fri</v>
      </c>
      <c r="P17" s="17" t="str">
        <f t="shared" si="6"/>
        <v>Sat</v>
      </c>
      <c r="Q17" s="37" t="s">
        <v>1</v>
      </c>
      <c r="R17" s="37"/>
      <c r="S17" s="37"/>
      <c r="T17" s="37"/>
      <c r="U17" s="38"/>
    </row>
    <row r="18" spans="1:21" x14ac:dyDescent="0.25">
      <c r="A18" s="1" t="s">
        <v>2</v>
      </c>
      <c r="B18" s="2" t="s">
        <v>3</v>
      </c>
      <c r="C18" s="2" t="s">
        <v>4</v>
      </c>
      <c r="D18" s="7">
        <v>45614</v>
      </c>
      <c r="E18" s="7">
        <v>45615</v>
      </c>
      <c r="F18" s="7">
        <v>45616</v>
      </c>
      <c r="G18" s="7">
        <v>45617</v>
      </c>
      <c r="H18" s="7">
        <v>45618</v>
      </c>
      <c r="I18" s="7">
        <v>45619</v>
      </c>
      <c r="J18" s="7">
        <v>45620</v>
      </c>
      <c r="K18" s="7">
        <v>45621</v>
      </c>
      <c r="L18" s="7">
        <v>45622</v>
      </c>
      <c r="M18" s="7">
        <v>45623</v>
      </c>
      <c r="N18" s="7">
        <v>45624</v>
      </c>
      <c r="O18" s="7">
        <v>45625</v>
      </c>
      <c r="P18" s="7">
        <v>45626</v>
      </c>
      <c r="Q18" s="15" t="s">
        <v>6</v>
      </c>
      <c r="R18" s="15" t="s">
        <v>7</v>
      </c>
      <c r="S18" s="15" t="s">
        <v>13</v>
      </c>
      <c r="T18" s="15" t="s">
        <v>25</v>
      </c>
      <c r="U18" s="16" t="s">
        <v>5</v>
      </c>
    </row>
    <row r="19" spans="1:21" ht="15" customHeight="1" x14ac:dyDescent="0.25">
      <c r="A19" s="3">
        <f>IF(B19="","",1)</f>
        <v>1</v>
      </c>
      <c r="B19" s="4" t="s">
        <v>14</v>
      </c>
      <c r="C19" s="4" t="s">
        <v>15</v>
      </c>
      <c r="D19" s="4" t="s">
        <v>13</v>
      </c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29" t="s">
        <v>26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8">
        <f t="shared" ref="Q19:Q25" si="7">COUNTIF(D19:P19,"P")</f>
        <v>11</v>
      </c>
      <c r="R19" s="8">
        <f t="shared" ref="R19:R25" si="8">COUNTIF(D19:P19,"A")</f>
        <v>0</v>
      </c>
      <c r="S19" s="8">
        <f t="shared" ref="S19:S25" si="9">COUNTIF(D19:P19,"L")</f>
        <v>1</v>
      </c>
      <c r="T19" s="8">
        <v>1</v>
      </c>
      <c r="U19" s="10">
        <f>Q19+S19+T19</f>
        <v>13</v>
      </c>
    </row>
    <row r="20" spans="1:21" x14ac:dyDescent="0.25">
      <c r="A20" s="3">
        <f>IF(B20="","",A19+1)</f>
        <v>2</v>
      </c>
      <c r="B20" s="4" t="s">
        <v>16</v>
      </c>
      <c r="C20" s="4" t="s">
        <v>17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30"/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8">
        <f t="shared" si="7"/>
        <v>12</v>
      </c>
      <c r="R20" s="8">
        <f t="shared" si="8"/>
        <v>0</v>
      </c>
      <c r="S20" s="8">
        <f t="shared" si="9"/>
        <v>0</v>
      </c>
      <c r="T20" s="8">
        <v>1</v>
      </c>
      <c r="U20" s="10">
        <f t="shared" ref="U20:U25" si="10">Q20+S20+T20</f>
        <v>13</v>
      </c>
    </row>
    <row r="21" spans="1:21" x14ac:dyDescent="0.25">
      <c r="A21" s="3">
        <f t="shared" ref="A21:A23" si="11">IF(B21="","",A20+1)</f>
        <v>3</v>
      </c>
      <c r="B21" s="4" t="s">
        <v>18</v>
      </c>
      <c r="C21" s="4" t="s">
        <v>19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30"/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8">
        <f t="shared" si="7"/>
        <v>12</v>
      </c>
      <c r="R21" s="8">
        <f t="shared" si="8"/>
        <v>0</v>
      </c>
      <c r="S21" s="8">
        <f t="shared" si="9"/>
        <v>0</v>
      </c>
      <c r="T21" s="8">
        <v>1</v>
      </c>
      <c r="U21" s="10">
        <f t="shared" si="10"/>
        <v>13</v>
      </c>
    </row>
    <row r="22" spans="1:21" x14ac:dyDescent="0.25">
      <c r="A22" s="3">
        <f t="shared" si="11"/>
        <v>4</v>
      </c>
      <c r="B22" s="4" t="s">
        <v>21</v>
      </c>
      <c r="C22" s="4" t="s">
        <v>20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30"/>
      <c r="K22" s="4" t="s">
        <v>6</v>
      </c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8">
        <f t="shared" si="7"/>
        <v>12</v>
      </c>
      <c r="R22" s="8">
        <f t="shared" si="8"/>
        <v>0</v>
      </c>
      <c r="S22" s="8">
        <f t="shared" si="9"/>
        <v>0</v>
      </c>
      <c r="T22" s="8">
        <v>1</v>
      </c>
      <c r="U22" s="10">
        <f t="shared" si="10"/>
        <v>13</v>
      </c>
    </row>
    <row r="23" spans="1:21" x14ac:dyDescent="0.25">
      <c r="A23" s="3">
        <f t="shared" si="11"/>
        <v>5</v>
      </c>
      <c r="B23" s="4" t="s">
        <v>22</v>
      </c>
      <c r="C23" s="4" t="s">
        <v>20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 t="s">
        <v>6</v>
      </c>
      <c r="J23" s="30"/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 t="s">
        <v>6</v>
      </c>
      <c r="Q23" s="8">
        <f t="shared" si="7"/>
        <v>12</v>
      </c>
      <c r="R23" s="8">
        <f t="shared" si="8"/>
        <v>0</v>
      </c>
      <c r="S23" s="8">
        <f t="shared" si="9"/>
        <v>0</v>
      </c>
      <c r="T23" s="8">
        <v>1</v>
      </c>
      <c r="U23" s="10">
        <f t="shared" si="10"/>
        <v>13</v>
      </c>
    </row>
    <row r="24" spans="1:21" x14ac:dyDescent="0.25">
      <c r="A24" s="3">
        <v>6</v>
      </c>
      <c r="B24" s="4" t="s">
        <v>31</v>
      </c>
      <c r="C24" s="4" t="s">
        <v>23</v>
      </c>
      <c r="D24" s="4" t="s">
        <v>6</v>
      </c>
      <c r="E24" s="4" t="s">
        <v>6</v>
      </c>
      <c r="F24" s="4" t="s">
        <v>6</v>
      </c>
      <c r="G24" s="4" t="s">
        <v>6</v>
      </c>
      <c r="H24" s="4" t="s">
        <v>6</v>
      </c>
      <c r="I24" s="4" t="s">
        <v>6</v>
      </c>
      <c r="J24" s="30"/>
      <c r="K24" s="4" t="s">
        <v>6</v>
      </c>
      <c r="L24" s="4" t="s">
        <v>6</v>
      </c>
      <c r="M24" s="4" t="s">
        <v>6</v>
      </c>
      <c r="N24" s="4" t="s">
        <v>6</v>
      </c>
      <c r="O24" s="4" t="s">
        <v>6</v>
      </c>
      <c r="P24" s="4" t="s">
        <v>6</v>
      </c>
      <c r="Q24" s="8">
        <f t="shared" si="7"/>
        <v>12</v>
      </c>
      <c r="R24" s="8">
        <f t="shared" si="8"/>
        <v>0</v>
      </c>
      <c r="S24" s="8">
        <f t="shared" si="9"/>
        <v>0</v>
      </c>
      <c r="T24" s="8">
        <v>1</v>
      </c>
      <c r="U24" s="10">
        <f t="shared" si="10"/>
        <v>13</v>
      </c>
    </row>
    <row r="25" spans="1:21" ht="15.75" thickBot="1" x14ac:dyDescent="0.3">
      <c r="A25" s="5">
        <v>7</v>
      </c>
      <c r="B25" s="6" t="s">
        <v>34</v>
      </c>
      <c r="C25" s="6" t="s">
        <v>20</v>
      </c>
      <c r="D25" s="6" t="s">
        <v>6</v>
      </c>
      <c r="E25" s="6" t="s">
        <v>6</v>
      </c>
      <c r="F25" s="6" t="s">
        <v>6</v>
      </c>
      <c r="G25" s="6" t="s">
        <v>6</v>
      </c>
      <c r="H25" s="6" t="s">
        <v>6</v>
      </c>
      <c r="I25" s="6" t="s">
        <v>6</v>
      </c>
      <c r="J25" s="31"/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6" t="s">
        <v>6</v>
      </c>
      <c r="Q25" s="9">
        <f t="shared" si="7"/>
        <v>12</v>
      </c>
      <c r="R25" s="9">
        <f t="shared" si="8"/>
        <v>0</v>
      </c>
      <c r="S25" s="9">
        <f t="shared" si="9"/>
        <v>0</v>
      </c>
      <c r="T25" s="9">
        <v>1</v>
      </c>
      <c r="U25" s="11">
        <f t="shared" si="10"/>
        <v>13</v>
      </c>
    </row>
  </sheetData>
  <mergeCells count="8">
    <mergeCell ref="J19:J25"/>
    <mergeCell ref="A2:U2"/>
    <mergeCell ref="A16:U16"/>
    <mergeCell ref="A17:C17"/>
    <mergeCell ref="Q17:U17"/>
    <mergeCell ref="A3:C3"/>
    <mergeCell ref="Q3:U3"/>
    <mergeCell ref="J5:J13"/>
  </mergeCells>
  <conditionalFormatting sqref="D5:I13 K5:P13 D3:P4 J5 D17:P18">
    <cfRule type="expression" dxfId="114" priority="120">
      <formula>D$3="SUN"</formula>
    </cfRule>
  </conditionalFormatting>
  <conditionalFormatting sqref="D6:I13">
    <cfRule type="cellIs" dxfId="113" priority="23" operator="equal">
      <formula>"A"</formula>
    </cfRule>
    <cfRule type="cellIs" dxfId="112" priority="24" operator="equal">
      <formula>"P"</formula>
    </cfRule>
  </conditionalFormatting>
  <conditionalFormatting sqref="D19:I25">
    <cfRule type="expression" dxfId="111" priority="10">
      <formula>D$3="SUN"</formula>
    </cfRule>
    <cfRule type="cellIs" dxfId="110" priority="11" operator="equal">
      <formula>"A"</formula>
    </cfRule>
    <cfRule type="cellIs" dxfId="109" priority="12" operator="equal">
      <formula>"P"</formula>
    </cfRule>
  </conditionalFormatting>
  <conditionalFormatting sqref="J5 D5:I13 K5:P13">
    <cfRule type="cellIs" dxfId="108" priority="121" operator="equal">
      <formula>"A"</formula>
    </cfRule>
    <cfRule type="cellIs" dxfId="107" priority="122" operator="equal">
      <formula>"P"</formula>
    </cfRule>
  </conditionalFormatting>
  <conditionalFormatting sqref="J19">
    <cfRule type="expression" dxfId="106" priority="4">
      <formula>J$3="SUN"</formula>
    </cfRule>
    <cfRule type="cellIs" dxfId="105" priority="5" operator="equal">
      <formula>"A"</formula>
    </cfRule>
    <cfRule type="cellIs" dxfId="104" priority="6" operator="equal">
      <formula>"P"</formula>
    </cfRule>
  </conditionalFormatting>
  <conditionalFormatting sqref="K6:P13">
    <cfRule type="cellIs" dxfId="103" priority="13" operator="equal">
      <formula>"A"</formula>
    </cfRule>
    <cfRule type="cellIs" dxfId="102" priority="14" operator="equal">
      <formula>"P"</formula>
    </cfRule>
  </conditionalFormatting>
  <conditionalFormatting sqref="K19:P25">
    <cfRule type="expression" dxfId="101" priority="1">
      <formula>K$3="SUN"</formula>
    </cfRule>
    <cfRule type="cellIs" dxfId="100" priority="2" operator="equal">
      <formula>"A"</formula>
    </cfRule>
    <cfRule type="cellIs" dxfId="99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5578-9A71-4DB0-B861-FB7B360029CD}">
  <dimension ref="A1:AN24"/>
  <sheetViews>
    <sheetView tabSelected="1" topLeftCell="B7" workbookViewId="0">
      <selection activeCell="AD5" sqref="AD5:AD13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2" width="3.7109375" bestFit="1" customWidth="1"/>
    <col min="33" max="33" width="3.7109375" customWidth="1"/>
    <col min="34" max="34" width="3.7109375" bestFit="1" customWidth="1"/>
    <col min="35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32" t="s">
        <v>35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4"/>
    </row>
    <row r="3" spans="1:40" ht="27" x14ac:dyDescent="0.25">
      <c r="A3" s="35" t="s">
        <v>0</v>
      </c>
      <c r="B3" s="36"/>
      <c r="C3" s="36"/>
      <c r="D3" s="17" t="str">
        <f>TEXT(D4,"ddd")</f>
        <v>Sun</v>
      </c>
      <c r="E3" s="17" t="str">
        <f t="shared" ref="E3:AH3" si="0">TEXT(E4,"ddd")</f>
        <v>Mon</v>
      </c>
      <c r="F3" s="17" t="str">
        <f t="shared" si="0"/>
        <v>Tue</v>
      </c>
      <c r="G3" s="17" t="str">
        <f t="shared" si="0"/>
        <v>Wed</v>
      </c>
      <c r="H3" s="17" t="str">
        <f t="shared" si="0"/>
        <v>Thu</v>
      </c>
      <c r="I3" s="17" t="str">
        <f t="shared" si="0"/>
        <v>Fri</v>
      </c>
      <c r="J3" s="17" t="str">
        <f t="shared" si="0"/>
        <v>Sat</v>
      </c>
      <c r="K3" s="17" t="str">
        <f t="shared" si="0"/>
        <v>Sun</v>
      </c>
      <c r="L3" s="17" t="str">
        <f t="shared" si="0"/>
        <v>Mon</v>
      </c>
      <c r="M3" s="17" t="str">
        <f t="shared" si="0"/>
        <v>Tue</v>
      </c>
      <c r="N3" s="17" t="str">
        <f t="shared" si="0"/>
        <v>Wed</v>
      </c>
      <c r="O3" s="17" t="str">
        <f t="shared" si="0"/>
        <v>Thu</v>
      </c>
      <c r="P3" s="17" t="str">
        <f t="shared" si="0"/>
        <v>Fri</v>
      </c>
      <c r="Q3" s="17" t="str">
        <f t="shared" si="0"/>
        <v>Sat</v>
      </c>
      <c r="R3" s="17" t="str">
        <f t="shared" si="0"/>
        <v>Sun</v>
      </c>
      <c r="S3" s="17" t="str">
        <f t="shared" si="0"/>
        <v>Mon</v>
      </c>
      <c r="T3" s="17" t="str">
        <f t="shared" si="0"/>
        <v>Tue</v>
      </c>
      <c r="U3" s="17" t="str">
        <f t="shared" si="0"/>
        <v>Wed</v>
      </c>
      <c r="V3" s="17" t="str">
        <f t="shared" si="0"/>
        <v>Thu</v>
      </c>
      <c r="W3" s="17" t="str">
        <f t="shared" si="0"/>
        <v>Fri</v>
      </c>
      <c r="X3" s="17" t="str">
        <f t="shared" si="0"/>
        <v>Sat</v>
      </c>
      <c r="Y3" s="17" t="str">
        <f t="shared" si="0"/>
        <v>Sun</v>
      </c>
      <c r="Z3" s="17" t="str">
        <f t="shared" si="0"/>
        <v>Mon</v>
      </c>
      <c r="AA3" s="17" t="str">
        <f t="shared" si="0"/>
        <v>Tue</v>
      </c>
      <c r="AB3" s="17" t="str">
        <f t="shared" si="0"/>
        <v>Wed</v>
      </c>
      <c r="AC3" s="17" t="str">
        <f t="shared" si="0"/>
        <v>Thu</v>
      </c>
      <c r="AD3" s="17" t="str">
        <f t="shared" si="0"/>
        <v>Fri</v>
      </c>
      <c r="AE3" s="17" t="str">
        <f t="shared" si="0"/>
        <v>Sat</v>
      </c>
      <c r="AF3" s="17" t="str">
        <f t="shared" si="0"/>
        <v>Sun</v>
      </c>
      <c r="AG3" s="17" t="str">
        <f t="shared" si="0"/>
        <v>Mon</v>
      </c>
      <c r="AH3" s="20" t="str">
        <f t="shared" si="0"/>
        <v>Tue</v>
      </c>
      <c r="AI3" s="39" t="s">
        <v>1</v>
      </c>
      <c r="AJ3" s="37"/>
      <c r="AK3" s="37"/>
      <c r="AL3" s="37"/>
      <c r="AM3" s="37"/>
      <c r="AN3" s="38"/>
    </row>
    <row r="4" spans="1:40" x14ac:dyDescent="0.25">
      <c r="A4" s="1" t="s">
        <v>2</v>
      </c>
      <c r="B4" s="2" t="s">
        <v>3</v>
      </c>
      <c r="C4" s="2" t="s">
        <v>4</v>
      </c>
      <c r="D4" s="7">
        <v>45627</v>
      </c>
      <c r="E4" s="7">
        <v>45628</v>
      </c>
      <c r="F4" s="7">
        <v>45629</v>
      </c>
      <c r="G4" s="7">
        <v>45630</v>
      </c>
      <c r="H4" s="7">
        <v>45631</v>
      </c>
      <c r="I4" s="7">
        <v>45632</v>
      </c>
      <c r="J4" s="7">
        <v>45633</v>
      </c>
      <c r="K4" s="7">
        <v>45634</v>
      </c>
      <c r="L4" s="7">
        <v>45635</v>
      </c>
      <c r="M4" s="7">
        <v>45636</v>
      </c>
      <c r="N4" s="7">
        <v>45637</v>
      </c>
      <c r="O4" s="7">
        <v>45638</v>
      </c>
      <c r="P4" s="7">
        <v>45639</v>
      </c>
      <c r="Q4" s="7">
        <v>45640</v>
      </c>
      <c r="R4" s="7">
        <v>45641</v>
      </c>
      <c r="S4" s="7">
        <v>45642</v>
      </c>
      <c r="T4" s="7">
        <v>45643</v>
      </c>
      <c r="U4" s="7">
        <v>45644</v>
      </c>
      <c r="V4" s="7">
        <v>45645</v>
      </c>
      <c r="W4" s="7">
        <v>45646</v>
      </c>
      <c r="X4" s="7">
        <v>45647</v>
      </c>
      <c r="Y4" s="7">
        <v>45648</v>
      </c>
      <c r="Z4" s="7">
        <v>45649</v>
      </c>
      <c r="AA4" s="7">
        <v>45650</v>
      </c>
      <c r="AB4" s="7">
        <v>45651</v>
      </c>
      <c r="AC4" s="7">
        <v>45652</v>
      </c>
      <c r="AD4" s="7">
        <v>45653</v>
      </c>
      <c r="AE4" s="7">
        <v>45654</v>
      </c>
      <c r="AF4" s="7">
        <v>45655</v>
      </c>
      <c r="AG4" s="7">
        <v>45656</v>
      </c>
      <c r="AH4" s="21">
        <v>45657</v>
      </c>
      <c r="AI4" s="24" t="s">
        <v>6</v>
      </c>
      <c r="AJ4" s="15" t="s">
        <v>7</v>
      </c>
      <c r="AK4" s="15" t="s">
        <v>13</v>
      </c>
      <c r="AL4" s="15" t="s">
        <v>49</v>
      </c>
      <c r="AM4" s="15" t="s">
        <v>25</v>
      </c>
      <c r="AN4" s="16" t="s">
        <v>5</v>
      </c>
    </row>
    <row r="5" spans="1:40" ht="15" customHeight="1" x14ac:dyDescent="0.25">
      <c r="A5" s="3">
        <v>1</v>
      </c>
      <c r="B5" s="4" t="s">
        <v>27</v>
      </c>
      <c r="C5" s="4" t="s">
        <v>8</v>
      </c>
      <c r="D5" s="42" t="s">
        <v>26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2" t="s">
        <v>26</v>
      </c>
      <c r="L5" s="4" t="s">
        <v>6</v>
      </c>
      <c r="M5" s="4" t="s">
        <v>6</v>
      </c>
      <c r="N5" s="4" t="s">
        <v>6</v>
      </c>
      <c r="O5" s="4" t="s">
        <v>6</v>
      </c>
      <c r="P5" s="4" t="s">
        <v>6</v>
      </c>
      <c r="Q5" s="4" t="s">
        <v>6</v>
      </c>
      <c r="R5" s="42" t="s">
        <v>26</v>
      </c>
      <c r="S5" s="4" t="s">
        <v>6</v>
      </c>
      <c r="T5" s="4" t="s">
        <v>6</v>
      </c>
      <c r="U5" s="4" t="s">
        <v>6</v>
      </c>
      <c r="V5" s="4" t="s">
        <v>6</v>
      </c>
      <c r="W5" s="4" t="s">
        <v>6</v>
      </c>
      <c r="X5" s="4" t="s">
        <v>6</v>
      </c>
      <c r="Y5" s="42" t="s">
        <v>26</v>
      </c>
      <c r="Z5" s="4" t="s">
        <v>6</v>
      </c>
      <c r="AA5" s="4" t="s">
        <v>6</v>
      </c>
      <c r="AB5" s="40" t="s">
        <v>41</v>
      </c>
      <c r="AC5" s="40" t="s">
        <v>41</v>
      </c>
      <c r="AD5" s="40" t="s">
        <v>41</v>
      </c>
      <c r="AE5" s="42" t="s">
        <v>42</v>
      </c>
      <c r="AF5" s="42" t="s">
        <v>42</v>
      </c>
      <c r="AG5" s="42" t="s">
        <v>42</v>
      </c>
      <c r="AH5" s="22" t="s">
        <v>6</v>
      </c>
      <c r="AI5" s="3">
        <f t="shared" ref="AI5:AI13" si="1">COUNTIF(D5:AH5,"P")</f>
        <v>21</v>
      </c>
      <c r="AJ5" s="4">
        <f t="shared" ref="AJ5:AJ12" si="2">COUNTIF(D5:AH5,"A")</f>
        <v>0</v>
      </c>
      <c r="AK5" s="4">
        <f t="shared" ref="AK5:AK12" si="3">COUNTIF(D5:AH5,"L")</f>
        <v>0</v>
      </c>
      <c r="AL5" s="4">
        <v>5</v>
      </c>
      <c r="AM5" s="4">
        <v>5</v>
      </c>
      <c r="AN5" s="18">
        <f>AI5+AK5+AL5+AM5</f>
        <v>31</v>
      </c>
    </row>
    <row r="6" spans="1:40" x14ac:dyDescent="0.25">
      <c r="A6" s="3">
        <v>2</v>
      </c>
      <c r="B6" s="4" t="s">
        <v>11</v>
      </c>
      <c r="C6" s="4" t="s">
        <v>8</v>
      </c>
      <c r="D6" s="42"/>
      <c r="E6" s="4" t="s">
        <v>6</v>
      </c>
      <c r="F6" s="4" t="s">
        <v>6</v>
      </c>
      <c r="G6" s="4" t="s">
        <v>13</v>
      </c>
      <c r="H6" s="4" t="s">
        <v>6</v>
      </c>
      <c r="I6" s="4" t="s">
        <v>6</v>
      </c>
      <c r="J6" s="4" t="s">
        <v>6</v>
      </c>
      <c r="K6" s="42"/>
      <c r="L6" s="4" t="s">
        <v>6</v>
      </c>
      <c r="M6" s="4" t="s">
        <v>6</v>
      </c>
      <c r="N6" s="4" t="s">
        <v>6</v>
      </c>
      <c r="O6" s="4" t="s">
        <v>6</v>
      </c>
      <c r="P6" s="4" t="s">
        <v>6</v>
      </c>
      <c r="Q6" s="4" t="s">
        <v>6</v>
      </c>
      <c r="R6" s="42"/>
      <c r="S6" s="4" t="s">
        <v>6</v>
      </c>
      <c r="T6" s="4" t="s">
        <v>6</v>
      </c>
      <c r="U6" s="4" t="s">
        <v>6</v>
      </c>
      <c r="V6" s="4" t="s">
        <v>6</v>
      </c>
      <c r="W6" s="4" t="s">
        <v>6</v>
      </c>
      <c r="X6" s="4" t="s">
        <v>6</v>
      </c>
      <c r="Y6" s="42"/>
      <c r="Z6" s="4" t="s">
        <v>6</v>
      </c>
      <c r="AA6" s="4" t="s">
        <v>6</v>
      </c>
      <c r="AB6" s="40"/>
      <c r="AC6" s="40"/>
      <c r="AD6" s="40"/>
      <c r="AE6" s="42"/>
      <c r="AF6" s="42"/>
      <c r="AG6" s="42"/>
      <c r="AH6" s="22" t="s">
        <v>6</v>
      </c>
      <c r="AI6" s="3">
        <f t="shared" si="1"/>
        <v>20</v>
      </c>
      <c r="AJ6" s="4">
        <f t="shared" si="2"/>
        <v>0</v>
      </c>
      <c r="AK6" s="4">
        <f t="shared" si="3"/>
        <v>1</v>
      </c>
      <c r="AL6" s="4">
        <v>5</v>
      </c>
      <c r="AM6" s="4">
        <v>5</v>
      </c>
      <c r="AN6" s="18">
        <f t="shared" ref="AN6:AN12" si="4">AI6+AK6+AL6+AM6</f>
        <v>31</v>
      </c>
    </row>
    <row r="7" spans="1:40" x14ac:dyDescent="0.25">
      <c r="A7" s="3">
        <v>3</v>
      </c>
      <c r="B7" s="4" t="s">
        <v>10</v>
      </c>
      <c r="C7" s="4" t="s">
        <v>8</v>
      </c>
      <c r="D7" s="42"/>
      <c r="E7" s="4" t="s">
        <v>6</v>
      </c>
      <c r="F7" s="4" t="s">
        <v>6</v>
      </c>
      <c r="G7" s="4" t="s">
        <v>6</v>
      </c>
      <c r="H7" s="4" t="s">
        <v>6</v>
      </c>
      <c r="I7" s="4" t="s">
        <v>6</v>
      </c>
      <c r="J7" s="4" t="s">
        <v>6</v>
      </c>
      <c r="K7" s="42"/>
      <c r="L7" s="4" t="s">
        <v>6</v>
      </c>
      <c r="M7" s="4" t="s">
        <v>6</v>
      </c>
      <c r="N7" s="4" t="s">
        <v>6</v>
      </c>
      <c r="O7" s="4" t="s">
        <v>6</v>
      </c>
      <c r="P7" s="4" t="s">
        <v>6</v>
      </c>
      <c r="Q7" s="4" t="s">
        <v>6</v>
      </c>
      <c r="R7" s="42"/>
      <c r="S7" s="4" t="s">
        <v>6</v>
      </c>
      <c r="T7" s="4" t="s">
        <v>6</v>
      </c>
      <c r="U7" s="4" t="s">
        <v>6</v>
      </c>
      <c r="V7" s="4" t="s">
        <v>6</v>
      </c>
      <c r="W7" s="4" t="s">
        <v>6</v>
      </c>
      <c r="X7" s="4" t="s">
        <v>6</v>
      </c>
      <c r="Y7" s="42"/>
      <c r="Z7" s="4" t="s">
        <v>6</v>
      </c>
      <c r="AA7" s="4" t="s">
        <v>6</v>
      </c>
      <c r="AB7" s="40"/>
      <c r="AC7" s="40"/>
      <c r="AD7" s="40"/>
      <c r="AE7" s="42"/>
      <c r="AF7" s="42"/>
      <c r="AG7" s="42"/>
      <c r="AH7" s="22" t="s">
        <v>6</v>
      </c>
      <c r="AI7" s="3">
        <f t="shared" si="1"/>
        <v>21</v>
      </c>
      <c r="AJ7" s="4">
        <f t="shared" si="2"/>
        <v>0</v>
      </c>
      <c r="AK7" s="4">
        <f t="shared" si="3"/>
        <v>0</v>
      </c>
      <c r="AL7" s="4">
        <v>5</v>
      </c>
      <c r="AM7" s="4">
        <v>5</v>
      </c>
      <c r="AN7" s="18">
        <f t="shared" si="4"/>
        <v>31</v>
      </c>
    </row>
    <row r="8" spans="1:40" x14ac:dyDescent="0.25">
      <c r="A8" s="3">
        <v>4</v>
      </c>
      <c r="B8" s="4" t="s">
        <v>12</v>
      </c>
      <c r="C8" s="4" t="s">
        <v>44</v>
      </c>
      <c r="D8" s="42"/>
      <c r="E8" s="4" t="s">
        <v>6</v>
      </c>
      <c r="F8" s="4" t="s">
        <v>6</v>
      </c>
      <c r="G8" s="4" t="s">
        <v>6</v>
      </c>
      <c r="H8" s="4" t="s">
        <v>6</v>
      </c>
      <c r="I8" s="4" t="s">
        <v>6</v>
      </c>
      <c r="J8" s="4" t="s">
        <v>6</v>
      </c>
      <c r="K8" s="42"/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2"/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4" t="s">
        <v>6</v>
      </c>
      <c r="Y8" s="42"/>
      <c r="Z8" s="4" t="s">
        <v>6</v>
      </c>
      <c r="AA8" s="4" t="s">
        <v>6</v>
      </c>
      <c r="AB8" s="40"/>
      <c r="AC8" s="40"/>
      <c r="AD8" s="40"/>
      <c r="AE8" s="42"/>
      <c r="AF8" s="42"/>
      <c r="AG8" s="42"/>
      <c r="AH8" s="22" t="s">
        <v>6</v>
      </c>
      <c r="AI8" s="3">
        <f t="shared" si="1"/>
        <v>21</v>
      </c>
      <c r="AJ8" s="4">
        <f t="shared" si="2"/>
        <v>0</v>
      </c>
      <c r="AK8" s="4">
        <f t="shared" si="3"/>
        <v>0</v>
      </c>
      <c r="AL8" s="4">
        <v>5</v>
      </c>
      <c r="AM8" s="4">
        <v>5</v>
      </c>
      <c r="AN8" s="18">
        <f t="shared" si="4"/>
        <v>31</v>
      </c>
    </row>
    <row r="9" spans="1:40" x14ac:dyDescent="0.25">
      <c r="A9" s="3">
        <v>5</v>
      </c>
      <c r="B9" s="4" t="s">
        <v>28</v>
      </c>
      <c r="C9" s="4" t="s">
        <v>29</v>
      </c>
      <c r="D9" s="42"/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  <c r="J9" s="4" t="s">
        <v>6</v>
      </c>
      <c r="K9" s="42"/>
      <c r="L9" s="4" t="s">
        <v>6</v>
      </c>
      <c r="M9" s="4" t="s">
        <v>6</v>
      </c>
      <c r="N9" s="4" t="s">
        <v>6</v>
      </c>
      <c r="O9" s="4" t="s">
        <v>6</v>
      </c>
      <c r="P9" s="4" t="s">
        <v>6</v>
      </c>
      <c r="Q9" s="4" t="s">
        <v>6</v>
      </c>
      <c r="R9" s="42"/>
      <c r="S9" s="4" t="s">
        <v>6</v>
      </c>
      <c r="T9" s="4" t="s">
        <v>6</v>
      </c>
      <c r="U9" s="4" t="s">
        <v>6</v>
      </c>
      <c r="V9" s="4" t="s">
        <v>6</v>
      </c>
      <c r="W9" s="4" t="s">
        <v>6</v>
      </c>
      <c r="X9" s="4" t="s">
        <v>6</v>
      </c>
      <c r="Y9" s="42"/>
      <c r="Z9" s="4" t="s">
        <v>6</v>
      </c>
      <c r="AA9" s="4" t="s">
        <v>6</v>
      </c>
      <c r="AB9" s="40"/>
      <c r="AC9" s="40"/>
      <c r="AD9" s="40"/>
      <c r="AE9" s="42"/>
      <c r="AF9" s="42"/>
      <c r="AG9" s="42"/>
      <c r="AH9" s="22" t="s">
        <v>6</v>
      </c>
      <c r="AI9" s="3">
        <f t="shared" si="1"/>
        <v>21</v>
      </c>
      <c r="AJ9" s="4">
        <f t="shared" si="2"/>
        <v>0</v>
      </c>
      <c r="AK9" s="4">
        <f t="shared" si="3"/>
        <v>0</v>
      </c>
      <c r="AL9" s="4">
        <v>5</v>
      </c>
      <c r="AM9" s="4">
        <v>5</v>
      </c>
      <c r="AN9" s="18">
        <f t="shared" si="4"/>
        <v>31</v>
      </c>
    </row>
    <row r="10" spans="1:40" x14ac:dyDescent="0.25">
      <c r="A10" s="3">
        <v>6</v>
      </c>
      <c r="B10" s="4" t="s">
        <v>38</v>
      </c>
      <c r="C10" s="4" t="s">
        <v>40</v>
      </c>
      <c r="D10" s="42"/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  <c r="J10" s="4" t="s">
        <v>6</v>
      </c>
      <c r="K10" s="42"/>
      <c r="L10" s="4" t="s">
        <v>6</v>
      </c>
      <c r="M10" s="4" t="s">
        <v>6</v>
      </c>
      <c r="N10" s="4" t="s">
        <v>6</v>
      </c>
      <c r="O10" s="4" t="s">
        <v>6</v>
      </c>
      <c r="P10" s="4" t="s">
        <v>6</v>
      </c>
      <c r="Q10" s="4" t="s">
        <v>6</v>
      </c>
      <c r="R10" s="42"/>
      <c r="S10" s="4" t="s">
        <v>6</v>
      </c>
      <c r="T10" s="4" t="s">
        <v>6</v>
      </c>
      <c r="U10" s="4" t="s">
        <v>6</v>
      </c>
      <c r="V10" s="4" t="s">
        <v>6</v>
      </c>
      <c r="W10" s="4" t="s">
        <v>6</v>
      </c>
      <c r="X10" s="4" t="s">
        <v>6</v>
      </c>
      <c r="Y10" s="42"/>
      <c r="Z10" s="4" t="s">
        <v>6</v>
      </c>
      <c r="AA10" s="4" t="s">
        <v>6</v>
      </c>
      <c r="AB10" s="40"/>
      <c r="AC10" s="40"/>
      <c r="AD10" s="40"/>
      <c r="AE10" s="42"/>
      <c r="AF10" s="42"/>
      <c r="AG10" s="42"/>
      <c r="AH10" s="22" t="s">
        <v>6</v>
      </c>
      <c r="AI10" s="3">
        <f t="shared" si="1"/>
        <v>21</v>
      </c>
      <c r="AJ10" s="4">
        <f t="shared" si="2"/>
        <v>0</v>
      </c>
      <c r="AK10" s="4">
        <f t="shared" si="3"/>
        <v>0</v>
      </c>
      <c r="AL10" s="4">
        <v>5</v>
      </c>
      <c r="AM10" s="4">
        <v>5</v>
      </c>
      <c r="AN10" s="18">
        <f t="shared" si="4"/>
        <v>31</v>
      </c>
    </row>
    <row r="11" spans="1:40" x14ac:dyDescent="0.25">
      <c r="A11" s="3">
        <v>7</v>
      </c>
      <c r="B11" s="4" t="s">
        <v>39</v>
      </c>
      <c r="C11" s="4" t="s">
        <v>8</v>
      </c>
      <c r="D11" s="42"/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  <c r="J11" s="4" t="s">
        <v>6</v>
      </c>
      <c r="K11" s="42"/>
      <c r="L11" s="4" t="s">
        <v>6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2"/>
      <c r="S11" s="4" t="s">
        <v>24</v>
      </c>
      <c r="T11" s="4" t="s">
        <v>24</v>
      </c>
      <c r="U11" s="4" t="s">
        <v>24</v>
      </c>
      <c r="V11" s="4" t="s">
        <v>24</v>
      </c>
      <c r="W11" s="4" t="s">
        <v>24</v>
      </c>
      <c r="X11" s="4" t="s">
        <v>24</v>
      </c>
      <c r="Y11" s="42"/>
      <c r="Z11" s="4" t="s">
        <v>24</v>
      </c>
      <c r="AA11" s="4" t="s">
        <v>24</v>
      </c>
      <c r="AB11" s="40"/>
      <c r="AC11" s="40"/>
      <c r="AD11" s="40"/>
      <c r="AE11" s="42"/>
      <c r="AF11" s="42"/>
      <c r="AG11" s="42"/>
      <c r="AH11" s="22" t="s">
        <v>24</v>
      </c>
      <c r="AI11" s="3">
        <f t="shared" si="1"/>
        <v>7</v>
      </c>
      <c r="AJ11" s="4">
        <f t="shared" si="2"/>
        <v>0</v>
      </c>
      <c r="AK11" s="4">
        <f t="shared" si="3"/>
        <v>0</v>
      </c>
      <c r="AL11" s="4">
        <v>0</v>
      </c>
      <c r="AM11" s="4">
        <v>2</v>
      </c>
      <c r="AN11" s="18">
        <f t="shared" si="4"/>
        <v>9</v>
      </c>
    </row>
    <row r="12" spans="1:40" x14ac:dyDescent="0.25">
      <c r="A12" s="3">
        <v>8</v>
      </c>
      <c r="B12" s="4" t="s">
        <v>33</v>
      </c>
      <c r="C12" s="4" t="s">
        <v>37</v>
      </c>
      <c r="D12" s="42"/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6</v>
      </c>
      <c r="K12" s="42"/>
      <c r="L12" s="4" t="s">
        <v>6</v>
      </c>
      <c r="M12" s="4" t="s">
        <v>6</v>
      </c>
      <c r="N12" s="4" t="s">
        <v>6</v>
      </c>
      <c r="O12" s="4" t="s">
        <v>6</v>
      </c>
      <c r="P12" s="4" t="s">
        <v>6</v>
      </c>
      <c r="Q12" s="4" t="s">
        <v>6</v>
      </c>
      <c r="R12" s="42"/>
      <c r="S12" s="4" t="s">
        <v>6</v>
      </c>
      <c r="T12" s="4" t="s">
        <v>6</v>
      </c>
      <c r="U12" s="4" t="s">
        <v>6</v>
      </c>
      <c r="V12" s="4" t="s">
        <v>6</v>
      </c>
      <c r="W12" s="4" t="s">
        <v>6</v>
      </c>
      <c r="X12" s="4" t="s">
        <v>6</v>
      </c>
      <c r="Y12" s="42"/>
      <c r="Z12" s="4" t="s">
        <v>6</v>
      </c>
      <c r="AA12" s="4" t="s">
        <v>6</v>
      </c>
      <c r="AB12" s="40"/>
      <c r="AC12" s="40"/>
      <c r="AD12" s="40"/>
      <c r="AE12" s="42"/>
      <c r="AF12" s="42"/>
      <c r="AG12" s="42"/>
      <c r="AH12" s="22" t="s">
        <v>6</v>
      </c>
      <c r="AI12" s="3">
        <f t="shared" si="1"/>
        <v>21</v>
      </c>
      <c r="AJ12" s="4">
        <f t="shared" si="2"/>
        <v>0</v>
      </c>
      <c r="AK12" s="4">
        <f t="shared" si="3"/>
        <v>0</v>
      </c>
      <c r="AL12" s="4">
        <v>5</v>
      </c>
      <c r="AM12" s="4">
        <v>5</v>
      </c>
      <c r="AN12" s="18">
        <f t="shared" si="4"/>
        <v>31</v>
      </c>
    </row>
    <row r="13" spans="1:40" ht="15.75" thickBot="1" x14ac:dyDescent="0.3">
      <c r="A13" s="5">
        <v>9</v>
      </c>
      <c r="B13" s="6" t="s">
        <v>9</v>
      </c>
      <c r="C13" s="6" t="s">
        <v>8</v>
      </c>
      <c r="D13" s="43"/>
      <c r="E13" s="6" t="s">
        <v>13</v>
      </c>
      <c r="F13" s="6" t="s">
        <v>13</v>
      </c>
      <c r="G13" s="6" t="s">
        <v>13</v>
      </c>
      <c r="H13" s="6" t="s">
        <v>13</v>
      </c>
      <c r="I13" s="6" t="s">
        <v>13</v>
      </c>
      <c r="J13" s="6" t="s">
        <v>13</v>
      </c>
      <c r="K13" s="43"/>
      <c r="L13" s="6" t="s">
        <v>13</v>
      </c>
      <c r="M13" s="6" t="s">
        <v>13</v>
      </c>
      <c r="N13" s="6" t="s">
        <v>13</v>
      </c>
      <c r="O13" s="6" t="s">
        <v>13</v>
      </c>
      <c r="P13" s="6" t="s">
        <v>13</v>
      </c>
      <c r="Q13" s="6" t="s">
        <v>13</v>
      </c>
      <c r="R13" s="43"/>
      <c r="S13" s="6" t="s">
        <v>13</v>
      </c>
      <c r="T13" s="6" t="s">
        <v>13</v>
      </c>
      <c r="U13" s="6" t="s">
        <v>13</v>
      </c>
      <c r="V13" s="6" t="s">
        <v>13</v>
      </c>
      <c r="W13" s="6" t="s">
        <v>13</v>
      </c>
      <c r="X13" s="6" t="s">
        <v>13</v>
      </c>
      <c r="Y13" s="43"/>
      <c r="Z13" s="6" t="s">
        <v>13</v>
      </c>
      <c r="AA13" s="6" t="s">
        <v>13</v>
      </c>
      <c r="AB13" s="41"/>
      <c r="AC13" s="41"/>
      <c r="AD13" s="41"/>
      <c r="AE13" s="43"/>
      <c r="AF13" s="43"/>
      <c r="AG13" s="43"/>
      <c r="AH13" s="23" t="s">
        <v>6</v>
      </c>
      <c r="AI13" s="5">
        <f t="shared" si="1"/>
        <v>1</v>
      </c>
      <c r="AJ13" s="6">
        <v>20</v>
      </c>
      <c r="AK13" s="6">
        <v>0</v>
      </c>
      <c r="AL13" s="6">
        <v>5</v>
      </c>
      <c r="AM13" s="6">
        <v>5</v>
      </c>
      <c r="AN13" s="19">
        <v>0</v>
      </c>
    </row>
    <row r="14" spans="1:40" ht="15.75" thickBot="1" x14ac:dyDescent="0.3"/>
    <row r="15" spans="1:40" ht="32.25" thickBot="1" x14ac:dyDescent="0.55000000000000004">
      <c r="A15" s="32" t="s">
        <v>36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4"/>
    </row>
    <row r="16" spans="1:40" ht="27" x14ac:dyDescent="0.25">
      <c r="A16" s="35" t="s">
        <v>0</v>
      </c>
      <c r="B16" s="36"/>
      <c r="C16" s="36"/>
      <c r="D16" s="17" t="str">
        <f>TEXT(D17,"ddd")</f>
        <v>Sun</v>
      </c>
      <c r="E16" s="17" t="str">
        <f t="shared" ref="E16:AH16" si="5">TEXT(E17,"ddd")</f>
        <v>Mon</v>
      </c>
      <c r="F16" s="17" t="str">
        <f t="shared" si="5"/>
        <v>Tue</v>
      </c>
      <c r="G16" s="17" t="str">
        <f t="shared" si="5"/>
        <v>Wed</v>
      </c>
      <c r="H16" s="17" t="str">
        <f t="shared" si="5"/>
        <v>Thu</v>
      </c>
      <c r="I16" s="17" t="str">
        <f t="shared" si="5"/>
        <v>Fri</v>
      </c>
      <c r="J16" s="17" t="str">
        <f t="shared" si="5"/>
        <v>Sat</v>
      </c>
      <c r="K16" s="17" t="str">
        <f t="shared" si="5"/>
        <v>Sun</v>
      </c>
      <c r="L16" s="17" t="str">
        <f t="shared" si="5"/>
        <v>Mon</v>
      </c>
      <c r="M16" s="17" t="str">
        <f t="shared" si="5"/>
        <v>Tue</v>
      </c>
      <c r="N16" s="17" t="str">
        <f t="shared" si="5"/>
        <v>Wed</v>
      </c>
      <c r="O16" s="17" t="str">
        <f t="shared" si="5"/>
        <v>Thu</v>
      </c>
      <c r="P16" s="17" t="str">
        <f t="shared" si="5"/>
        <v>Fri</v>
      </c>
      <c r="Q16" s="17" t="str">
        <f t="shared" si="5"/>
        <v>Sat</v>
      </c>
      <c r="R16" s="17" t="str">
        <f t="shared" si="5"/>
        <v>Sun</v>
      </c>
      <c r="S16" s="17" t="str">
        <f t="shared" si="5"/>
        <v>Mon</v>
      </c>
      <c r="T16" s="17" t="str">
        <f t="shared" si="5"/>
        <v>Tue</v>
      </c>
      <c r="U16" s="17" t="str">
        <f t="shared" si="5"/>
        <v>Wed</v>
      </c>
      <c r="V16" s="17" t="str">
        <f t="shared" si="5"/>
        <v>Thu</v>
      </c>
      <c r="W16" s="17" t="str">
        <f t="shared" si="5"/>
        <v>Fri</v>
      </c>
      <c r="X16" s="17" t="str">
        <f t="shared" si="5"/>
        <v>Sat</v>
      </c>
      <c r="Y16" s="17" t="str">
        <f t="shared" si="5"/>
        <v>Sun</v>
      </c>
      <c r="Z16" s="17" t="str">
        <f t="shared" si="5"/>
        <v>Mon</v>
      </c>
      <c r="AA16" s="17" t="str">
        <f t="shared" si="5"/>
        <v>Tue</v>
      </c>
      <c r="AB16" s="17" t="str">
        <f t="shared" si="5"/>
        <v>Wed</v>
      </c>
      <c r="AC16" s="17" t="str">
        <f t="shared" si="5"/>
        <v>Thu</v>
      </c>
      <c r="AD16" s="17" t="str">
        <f t="shared" si="5"/>
        <v>Fri</v>
      </c>
      <c r="AE16" s="17" t="str">
        <f t="shared" si="5"/>
        <v>Sat</v>
      </c>
      <c r="AF16" s="17" t="str">
        <f t="shared" si="5"/>
        <v>Sun</v>
      </c>
      <c r="AG16" s="17" t="str">
        <f t="shared" si="5"/>
        <v>Mon</v>
      </c>
      <c r="AH16" s="20" t="str">
        <f t="shared" si="5"/>
        <v>Tue</v>
      </c>
      <c r="AI16" s="39" t="s">
        <v>1</v>
      </c>
      <c r="AJ16" s="37"/>
      <c r="AK16" s="37"/>
      <c r="AL16" s="37"/>
      <c r="AM16" s="37"/>
      <c r="AN16" s="38"/>
    </row>
    <row r="17" spans="1:40" x14ac:dyDescent="0.25">
      <c r="A17" s="1" t="s">
        <v>2</v>
      </c>
      <c r="B17" s="2" t="s">
        <v>3</v>
      </c>
      <c r="C17" s="2" t="s">
        <v>4</v>
      </c>
      <c r="D17" s="7">
        <v>45627</v>
      </c>
      <c r="E17" s="7">
        <v>45628</v>
      </c>
      <c r="F17" s="7">
        <v>45629</v>
      </c>
      <c r="G17" s="7">
        <v>45630</v>
      </c>
      <c r="H17" s="7">
        <v>45631</v>
      </c>
      <c r="I17" s="7">
        <v>45632</v>
      </c>
      <c r="J17" s="7">
        <v>45633</v>
      </c>
      <c r="K17" s="7">
        <v>45634</v>
      </c>
      <c r="L17" s="7">
        <v>45635</v>
      </c>
      <c r="M17" s="7">
        <v>45636</v>
      </c>
      <c r="N17" s="7">
        <v>45637</v>
      </c>
      <c r="O17" s="7">
        <v>45638</v>
      </c>
      <c r="P17" s="7">
        <v>45639</v>
      </c>
      <c r="Q17" s="7">
        <v>45640</v>
      </c>
      <c r="R17" s="7">
        <v>45641</v>
      </c>
      <c r="S17" s="7">
        <v>45642</v>
      </c>
      <c r="T17" s="7">
        <v>45643</v>
      </c>
      <c r="U17" s="7">
        <v>45644</v>
      </c>
      <c r="V17" s="7">
        <v>45645</v>
      </c>
      <c r="W17" s="7">
        <v>45646</v>
      </c>
      <c r="X17" s="7">
        <v>45647</v>
      </c>
      <c r="Y17" s="7">
        <v>45648</v>
      </c>
      <c r="Z17" s="7">
        <v>45649</v>
      </c>
      <c r="AA17" s="7">
        <v>45650</v>
      </c>
      <c r="AB17" s="7">
        <v>45651</v>
      </c>
      <c r="AC17" s="7">
        <v>45652</v>
      </c>
      <c r="AD17" s="7">
        <v>45653</v>
      </c>
      <c r="AE17" s="7">
        <v>45654</v>
      </c>
      <c r="AF17" s="7">
        <v>45655</v>
      </c>
      <c r="AG17" s="7">
        <v>45656</v>
      </c>
      <c r="AH17" s="21">
        <v>45657</v>
      </c>
      <c r="AI17" s="24" t="s">
        <v>6</v>
      </c>
      <c r="AJ17" s="15" t="s">
        <v>7</v>
      </c>
      <c r="AK17" s="15" t="s">
        <v>13</v>
      </c>
      <c r="AL17" s="15" t="s">
        <v>49</v>
      </c>
      <c r="AM17" s="15" t="s">
        <v>25</v>
      </c>
      <c r="AN17" s="16" t="s">
        <v>5</v>
      </c>
    </row>
    <row r="18" spans="1:40" ht="15" customHeight="1" x14ac:dyDescent="0.25">
      <c r="A18" s="3">
        <f>IF(B18="","",1)</f>
        <v>1</v>
      </c>
      <c r="B18" s="4" t="s">
        <v>14</v>
      </c>
      <c r="C18" s="4" t="s">
        <v>15</v>
      </c>
      <c r="D18" s="29" t="s">
        <v>26</v>
      </c>
      <c r="E18" s="4" t="s">
        <v>6</v>
      </c>
      <c r="F18" s="4" t="s">
        <v>6</v>
      </c>
      <c r="G18" s="4" t="s">
        <v>6</v>
      </c>
      <c r="H18" s="4" t="s">
        <v>6</v>
      </c>
      <c r="I18" s="4" t="s">
        <v>6</v>
      </c>
      <c r="J18" s="4" t="s">
        <v>6</v>
      </c>
      <c r="K18" s="29" t="s">
        <v>26</v>
      </c>
      <c r="L18" s="4" t="s">
        <v>6</v>
      </c>
      <c r="M18" s="4" t="s">
        <v>6</v>
      </c>
      <c r="N18" s="4" t="s">
        <v>6</v>
      </c>
      <c r="O18" s="4" t="s">
        <v>6</v>
      </c>
      <c r="P18" s="4" t="s">
        <v>6</v>
      </c>
      <c r="Q18" s="4" t="s">
        <v>6</v>
      </c>
      <c r="R18" s="29" t="s">
        <v>26</v>
      </c>
      <c r="S18" s="4" t="s">
        <v>6</v>
      </c>
      <c r="T18" s="4" t="s">
        <v>6</v>
      </c>
      <c r="U18" s="4" t="s">
        <v>6</v>
      </c>
      <c r="V18" s="4" t="s">
        <v>6</v>
      </c>
      <c r="W18" s="4" t="s">
        <v>6</v>
      </c>
      <c r="X18" s="4" t="s">
        <v>6</v>
      </c>
      <c r="Y18" s="29" t="s">
        <v>26</v>
      </c>
      <c r="Z18" s="4" t="s">
        <v>6</v>
      </c>
      <c r="AA18" s="4" t="s">
        <v>6</v>
      </c>
      <c r="AB18" s="44" t="s">
        <v>41</v>
      </c>
      <c r="AC18" s="44" t="s">
        <v>41</v>
      </c>
      <c r="AD18" s="44" t="s">
        <v>41</v>
      </c>
      <c r="AE18" s="29" t="s">
        <v>42</v>
      </c>
      <c r="AF18" s="29" t="s">
        <v>42</v>
      </c>
      <c r="AG18" s="29" t="s">
        <v>42</v>
      </c>
      <c r="AH18" s="22" t="s">
        <v>6</v>
      </c>
      <c r="AI18" s="26">
        <f t="shared" ref="AI18:AI24" si="6">COUNTIF(D18:AH18,"P")</f>
        <v>21</v>
      </c>
      <c r="AJ18" s="8">
        <f t="shared" ref="AJ18:AJ24" si="7">COUNTIF(D18:AH18,"A")</f>
        <v>0</v>
      </c>
      <c r="AK18" s="8">
        <f t="shared" ref="AK18:AK24" si="8">COUNTIF(D18:AH18,"L")</f>
        <v>0</v>
      </c>
      <c r="AL18" s="8">
        <v>5</v>
      </c>
      <c r="AM18" s="8">
        <v>5</v>
      </c>
      <c r="AN18" s="10">
        <f>AI18+AK18+AL18+AM18</f>
        <v>31</v>
      </c>
    </row>
    <row r="19" spans="1:40" x14ac:dyDescent="0.25">
      <c r="A19" s="3">
        <f>IF(B19="","",A18+1)</f>
        <v>2</v>
      </c>
      <c r="B19" s="4" t="s">
        <v>16</v>
      </c>
      <c r="C19" s="4" t="s">
        <v>17</v>
      </c>
      <c r="D19" s="30"/>
      <c r="E19" s="4" t="s">
        <v>6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6</v>
      </c>
      <c r="K19" s="30"/>
      <c r="L19" s="4" t="s">
        <v>6</v>
      </c>
      <c r="M19" s="4" t="s">
        <v>6</v>
      </c>
      <c r="N19" s="4" t="s">
        <v>6</v>
      </c>
      <c r="O19" s="4" t="s">
        <v>6</v>
      </c>
      <c r="P19" s="4" t="s">
        <v>6</v>
      </c>
      <c r="Q19" s="4" t="s">
        <v>6</v>
      </c>
      <c r="R19" s="30"/>
      <c r="S19" s="4" t="s">
        <v>6</v>
      </c>
      <c r="T19" s="4" t="s">
        <v>6</v>
      </c>
      <c r="U19" s="4" t="s">
        <v>6</v>
      </c>
      <c r="V19" s="4" t="s">
        <v>6</v>
      </c>
      <c r="W19" s="4" t="s">
        <v>6</v>
      </c>
      <c r="X19" s="4" t="s">
        <v>6</v>
      </c>
      <c r="Y19" s="30"/>
      <c r="Z19" s="4" t="s">
        <v>6</v>
      </c>
      <c r="AA19" s="4" t="s">
        <v>6</v>
      </c>
      <c r="AB19" s="45"/>
      <c r="AC19" s="45"/>
      <c r="AD19" s="45"/>
      <c r="AE19" s="30"/>
      <c r="AF19" s="30"/>
      <c r="AG19" s="30"/>
      <c r="AH19" s="22" t="s">
        <v>6</v>
      </c>
      <c r="AI19" s="26">
        <f t="shared" si="6"/>
        <v>21</v>
      </c>
      <c r="AJ19" s="8">
        <f t="shared" si="7"/>
        <v>0</v>
      </c>
      <c r="AK19" s="8">
        <f t="shared" si="8"/>
        <v>0</v>
      </c>
      <c r="AL19" s="8">
        <v>5</v>
      </c>
      <c r="AM19" s="8">
        <v>5</v>
      </c>
      <c r="AN19" s="10">
        <f t="shared" ref="AN19:AN24" si="9">AI19+AK19+AL19+AM19</f>
        <v>31</v>
      </c>
    </row>
    <row r="20" spans="1:40" x14ac:dyDescent="0.25">
      <c r="A20" s="3">
        <f t="shared" ref="A20:A22" si="10">IF(B20="","",A19+1)</f>
        <v>3</v>
      </c>
      <c r="B20" s="4" t="s">
        <v>18</v>
      </c>
      <c r="C20" s="4" t="s">
        <v>19</v>
      </c>
      <c r="D20" s="30"/>
      <c r="E20" s="4" t="s">
        <v>6</v>
      </c>
      <c r="F20" s="4" t="s">
        <v>6</v>
      </c>
      <c r="G20" s="4" t="s">
        <v>6</v>
      </c>
      <c r="H20" s="4" t="s">
        <v>6</v>
      </c>
      <c r="I20" s="4" t="s">
        <v>6</v>
      </c>
      <c r="J20" s="4" t="s">
        <v>6</v>
      </c>
      <c r="K20" s="30"/>
      <c r="L20" s="4" t="s">
        <v>6</v>
      </c>
      <c r="M20" s="4" t="s">
        <v>6</v>
      </c>
      <c r="N20" s="4" t="s">
        <v>6</v>
      </c>
      <c r="O20" s="4" t="s">
        <v>6</v>
      </c>
      <c r="P20" s="4" t="s">
        <v>6</v>
      </c>
      <c r="Q20" s="4" t="s">
        <v>6</v>
      </c>
      <c r="R20" s="30"/>
      <c r="S20" s="4" t="s">
        <v>6</v>
      </c>
      <c r="T20" s="4" t="s">
        <v>6</v>
      </c>
      <c r="U20" s="4" t="s">
        <v>6</v>
      </c>
      <c r="V20" s="4" t="s">
        <v>6</v>
      </c>
      <c r="W20" s="4" t="s">
        <v>6</v>
      </c>
      <c r="X20" s="4" t="s">
        <v>6</v>
      </c>
      <c r="Y20" s="30"/>
      <c r="Z20" s="4" t="s">
        <v>6</v>
      </c>
      <c r="AA20" s="4" t="s">
        <v>6</v>
      </c>
      <c r="AB20" s="45"/>
      <c r="AC20" s="45"/>
      <c r="AD20" s="45"/>
      <c r="AE20" s="30"/>
      <c r="AF20" s="30"/>
      <c r="AG20" s="30"/>
      <c r="AH20" s="22" t="s">
        <v>6</v>
      </c>
      <c r="AI20" s="26">
        <f t="shared" si="6"/>
        <v>21</v>
      </c>
      <c r="AJ20" s="8">
        <f t="shared" si="7"/>
        <v>0</v>
      </c>
      <c r="AK20" s="8">
        <f t="shared" si="8"/>
        <v>0</v>
      </c>
      <c r="AL20" s="8">
        <v>5</v>
      </c>
      <c r="AM20" s="8">
        <v>5</v>
      </c>
      <c r="AN20" s="10">
        <f t="shared" si="9"/>
        <v>31</v>
      </c>
    </row>
    <row r="21" spans="1:40" x14ac:dyDescent="0.25">
      <c r="A21" s="3">
        <f t="shared" si="10"/>
        <v>4</v>
      </c>
      <c r="B21" s="4" t="s">
        <v>21</v>
      </c>
      <c r="C21" s="4" t="s">
        <v>20</v>
      </c>
      <c r="D21" s="30"/>
      <c r="E21" s="4" t="s">
        <v>6</v>
      </c>
      <c r="F21" s="4" t="s">
        <v>6</v>
      </c>
      <c r="G21" s="4" t="s">
        <v>6</v>
      </c>
      <c r="H21" s="4" t="s">
        <v>6</v>
      </c>
      <c r="I21" s="4" t="s">
        <v>6</v>
      </c>
      <c r="J21" s="4" t="s">
        <v>6</v>
      </c>
      <c r="K21" s="30"/>
      <c r="L21" s="4" t="s">
        <v>6</v>
      </c>
      <c r="M21" s="4" t="s">
        <v>6</v>
      </c>
      <c r="N21" s="4" t="s">
        <v>6</v>
      </c>
      <c r="O21" s="4" t="s">
        <v>6</v>
      </c>
      <c r="P21" s="4" t="s">
        <v>6</v>
      </c>
      <c r="Q21" s="4" t="s">
        <v>6</v>
      </c>
      <c r="R21" s="30"/>
      <c r="S21" s="4" t="s">
        <v>6</v>
      </c>
      <c r="T21" s="4" t="s">
        <v>6</v>
      </c>
      <c r="U21" s="4" t="s">
        <v>6</v>
      </c>
      <c r="V21" s="4" t="s">
        <v>6</v>
      </c>
      <c r="W21" s="4" t="s">
        <v>6</v>
      </c>
      <c r="X21" s="4" t="s">
        <v>6</v>
      </c>
      <c r="Y21" s="30"/>
      <c r="Z21" s="4" t="s">
        <v>6</v>
      </c>
      <c r="AA21" s="4" t="s">
        <v>6</v>
      </c>
      <c r="AB21" s="45"/>
      <c r="AC21" s="45"/>
      <c r="AD21" s="45"/>
      <c r="AE21" s="30"/>
      <c r="AF21" s="30"/>
      <c r="AG21" s="30"/>
      <c r="AH21" s="22" t="s">
        <v>6</v>
      </c>
      <c r="AI21" s="26">
        <f t="shared" si="6"/>
        <v>21</v>
      </c>
      <c r="AJ21" s="8">
        <f t="shared" si="7"/>
        <v>0</v>
      </c>
      <c r="AK21" s="8">
        <f t="shared" si="8"/>
        <v>0</v>
      </c>
      <c r="AL21" s="8">
        <v>5</v>
      </c>
      <c r="AM21" s="8">
        <v>5</v>
      </c>
      <c r="AN21" s="10">
        <f t="shared" si="9"/>
        <v>31</v>
      </c>
    </row>
    <row r="22" spans="1:40" x14ac:dyDescent="0.25">
      <c r="A22" s="3">
        <f t="shared" si="10"/>
        <v>5</v>
      </c>
      <c r="B22" s="4" t="s">
        <v>22</v>
      </c>
      <c r="C22" s="4" t="s">
        <v>23</v>
      </c>
      <c r="D22" s="30"/>
      <c r="E22" s="4" t="s">
        <v>6</v>
      </c>
      <c r="F22" s="4" t="s">
        <v>6</v>
      </c>
      <c r="G22" s="4" t="s">
        <v>6</v>
      </c>
      <c r="H22" s="4" t="s">
        <v>6</v>
      </c>
      <c r="I22" s="4" t="s">
        <v>6</v>
      </c>
      <c r="J22" s="4" t="s">
        <v>6</v>
      </c>
      <c r="K22" s="30"/>
      <c r="L22" s="4" t="s">
        <v>6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6</v>
      </c>
      <c r="R22" s="30"/>
      <c r="S22" s="4" t="s">
        <v>6</v>
      </c>
      <c r="T22" s="4" t="s">
        <v>6</v>
      </c>
      <c r="U22" s="4" t="s">
        <v>6</v>
      </c>
      <c r="V22" s="4" t="s">
        <v>6</v>
      </c>
      <c r="W22" s="4" t="s">
        <v>6</v>
      </c>
      <c r="X22" s="4" t="s">
        <v>6</v>
      </c>
      <c r="Y22" s="30"/>
      <c r="Z22" s="4" t="s">
        <v>6</v>
      </c>
      <c r="AA22" s="4" t="s">
        <v>6</v>
      </c>
      <c r="AB22" s="45"/>
      <c r="AC22" s="45"/>
      <c r="AD22" s="45"/>
      <c r="AE22" s="30"/>
      <c r="AF22" s="30"/>
      <c r="AG22" s="30"/>
      <c r="AH22" s="22" t="s">
        <v>6</v>
      </c>
      <c r="AI22" s="26">
        <f t="shared" si="6"/>
        <v>21</v>
      </c>
      <c r="AJ22" s="8">
        <f t="shared" si="7"/>
        <v>0</v>
      </c>
      <c r="AK22" s="8">
        <f t="shared" si="8"/>
        <v>0</v>
      </c>
      <c r="AL22" s="8">
        <v>5</v>
      </c>
      <c r="AM22" s="8">
        <v>5</v>
      </c>
      <c r="AN22" s="10">
        <f t="shared" si="9"/>
        <v>31</v>
      </c>
    </row>
    <row r="23" spans="1:40" x14ac:dyDescent="0.25">
      <c r="A23" s="12">
        <v>6</v>
      </c>
      <c r="B23" s="13" t="s">
        <v>31</v>
      </c>
      <c r="C23" s="4" t="s">
        <v>20</v>
      </c>
      <c r="D23" s="30"/>
      <c r="E23" s="13" t="s">
        <v>6</v>
      </c>
      <c r="F23" s="13" t="s">
        <v>6</v>
      </c>
      <c r="G23" s="13" t="s">
        <v>6</v>
      </c>
      <c r="H23" s="13" t="s">
        <v>6</v>
      </c>
      <c r="I23" s="13" t="s">
        <v>6</v>
      </c>
      <c r="J23" s="13" t="s">
        <v>6</v>
      </c>
      <c r="K23" s="30"/>
      <c r="L23" s="13" t="s">
        <v>6</v>
      </c>
      <c r="M23" s="13" t="s">
        <v>6</v>
      </c>
      <c r="N23" s="13" t="s">
        <v>6</v>
      </c>
      <c r="O23" s="13" t="s">
        <v>6</v>
      </c>
      <c r="P23" s="13" t="s">
        <v>6</v>
      </c>
      <c r="Q23" s="13" t="s">
        <v>6</v>
      </c>
      <c r="R23" s="30"/>
      <c r="S23" s="13" t="s">
        <v>6</v>
      </c>
      <c r="T23" s="13" t="s">
        <v>6</v>
      </c>
      <c r="U23" s="13" t="s">
        <v>6</v>
      </c>
      <c r="V23" s="13" t="s">
        <v>6</v>
      </c>
      <c r="W23" s="13" t="s">
        <v>6</v>
      </c>
      <c r="X23" s="13" t="s">
        <v>6</v>
      </c>
      <c r="Y23" s="30"/>
      <c r="Z23" s="13" t="s">
        <v>6</v>
      </c>
      <c r="AA23" s="13" t="s">
        <v>6</v>
      </c>
      <c r="AB23" s="45"/>
      <c r="AC23" s="45"/>
      <c r="AD23" s="45"/>
      <c r="AE23" s="30"/>
      <c r="AF23" s="30"/>
      <c r="AG23" s="30"/>
      <c r="AH23" s="25" t="s">
        <v>6</v>
      </c>
      <c r="AI23" s="27">
        <f t="shared" si="6"/>
        <v>21</v>
      </c>
      <c r="AJ23" s="14">
        <f t="shared" si="7"/>
        <v>0</v>
      </c>
      <c r="AK23" s="8">
        <f t="shared" si="8"/>
        <v>0</v>
      </c>
      <c r="AL23" s="14">
        <v>5</v>
      </c>
      <c r="AM23" s="14">
        <v>5</v>
      </c>
      <c r="AN23" s="10">
        <f t="shared" si="9"/>
        <v>31</v>
      </c>
    </row>
    <row r="24" spans="1:40" ht="15.75" thickBot="1" x14ac:dyDescent="0.3">
      <c r="A24" s="5">
        <v>7</v>
      </c>
      <c r="B24" s="6" t="s">
        <v>34</v>
      </c>
      <c r="C24" s="6" t="s">
        <v>20</v>
      </c>
      <c r="D24" s="47"/>
      <c r="E24" s="6" t="s">
        <v>6</v>
      </c>
      <c r="F24" s="6" t="s">
        <v>6</v>
      </c>
      <c r="G24" s="6" t="s">
        <v>6</v>
      </c>
      <c r="H24" s="6" t="s">
        <v>6</v>
      </c>
      <c r="I24" s="6" t="s">
        <v>6</v>
      </c>
      <c r="J24" s="6" t="s">
        <v>6</v>
      </c>
      <c r="K24" s="47"/>
      <c r="L24" s="6" t="s">
        <v>6</v>
      </c>
      <c r="M24" s="6" t="s">
        <v>6</v>
      </c>
      <c r="N24" s="6" t="s">
        <v>6</v>
      </c>
      <c r="O24" s="6" t="s">
        <v>6</v>
      </c>
      <c r="P24" s="6" t="s">
        <v>6</v>
      </c>
      <c r="Q24" s="6" t="s">
        <v>6</v>
      </c>
      <c r="R24" s="47"/>
      <c r="S24" s="6" t="s">
        <v>6</v>
      </c>
      <c r="T24" s="6" t="s">
        <v>6</v>
      </c>
      <c r="U24" s="6" t="s">
        <v>6</v>
      </c>
      <c r="V24" s="6" t="s">
        <v>6</v>
      </c>
      <c r="W24" s="6" t="s">
        <v>6</v>
      </c>
      <c r="X24" s="6" t="s">
        <v>6</v>
      </c>
      <c r="Y24" s="47"/>
      <c r="Z24" s="6" t="s">
        <v>6</v>
      </c>
      <c r="AA24" s="6" t="s">
        <v>6</v>
      </c>
      <c r="AB24" s="46"/>
      <c r="AC24" s="46"/>
      <c r="AD24" s="46"/>
      <c r="AE24" s="47"/>
      <c r="AF24" s="47"/>
      <c r="AG24" s="47"/>
      <c r="AH24" s="23" t="s">
        <v>6</v>
      </c>
      <c r="AI24" s="28">
        <f t="shared" si="6"/>
        <v>21</v>
      </c>
      <c r="AJ24" s="9">
        <f t="shared" si="7"/>
        <v>0</v>
      </c>
      <c r="AK24" s="9">
        <f t="shared" si="8"/>
        <v>0</v>
      </c>
      <c r="AL24" s="9">
        <v>5</v>
      </c>
      <c r="AM24" s="9">
        <v>5</v>
      </c>
      <c r="AN24" s="11">
        <f t="shared" si="9"/>
        <v>31</v>
      </c>
    </row>
  </sheetData>
  <mergeCells count="26">
    <mergeCell ref="A15:AN15"/>
    <mergeCell ref="A16:C16"/>
    <mergeCell ref="AI16:AN16"/>
    <mergeCell ref="AD18:AD24"/>
    <mergeCell ref="D18:D24"/>
    <mergeCell ref="AC18:AC24"/>
    <mergeCell ref="AE18:AE24"/>
    <mergeCell ref="AG18:AG24"/>
    <mergeCell ref="K18:K24"/>
    <mergeCell ref="R18:R24"/>
    <mergeCell ref="Y18:Y24"/>
    <mergeCell ref="AF18:AF24"/>
    <mergeCell ref="AB18:AB24"/>
    <mergeCell ref="A2:AN2"/>
    <mergeCell ref="A3:C3"/>
    <mergeCell ref="AI3:AN3"/>
    <mergeCell ref="AD5:AD13"/>
    <mergeCell ref="D5:D13"/>
    <mergeCell ref="K5:K13"/>
    <mergeCell ref="R5:R13"/>
    <mergeCell ref="Y5:Y13"/>
    <mergeCell ref="AF5:AF13"/>
    <mergeCell ref="AB5:AB13"/>
    <mergeCell ref="AC5:AC13"/>
    <mergeCell ref="AE5:AE13"/>
    <mergeCell ref="AG5:AG13"/>
  </mergeCells>
  <conditionalFormatting sqref="D5 K5 R5 Y5 AB5:AG5 E5:J13 L5:Q13 S5:X13 Z5:AA13 AH5:AH13">
    <cfRule type="cellIs" dxfId="98" priority="128" operator="equal">
      <formula>"A"</formula>
    </cfRule>
    <cfRule type="cellIs" dxfId="97" priority="129" operator="equal">
      <formula>"P"</formula>
    </cfRule>
  </conditionalFormatting>
  <conditionalFormatting sqref="D18">
    <cfRule type="expression" dxfId="96" priority="19">
      <formula>D$3="SUN"</formula>
    </cfRule>
    <cfRule type="cellIs" dxfId="95" priority="20" operator="equal">
      <formula>"A"</formula>
    </cfRule>
    <cfRule type="cellIs" dxfId="94" priority="21" operator="equal">
      <formula>"P"</formula>
    </cfRule>
  </conditionalFormatting>
  <conditionalFormatting sqref="D3:AH4 D5 K5 R5 Y5 AB5:AG5 E5:J13 L5:Q13 S5:X13 Z5:AA13 AH5:AH13 D16:AH17">
    <cfRule type="expression" dxfId="93" priority="127">
      <formula>D$3="SUN"</formula>
    </cfRule>
  </conditionalFormatting>
  <conditionalFormatting sqref="E18:J24">
    <cfRule type="expression" dxfId="92" priority="94">
      <formula>E$3="SUN"</formula>
    </cfRule>
    <cfRule type="cellIs" dxfId="91" priority="95" operator="equal">
      <formula>"A"</formula>
    </cfRule>
    <cfRule type="cellIs" dxfId="90" priority="96" operator="equal">
      <formula>"P"</formula>
    </cfRule>
  </conditionalFormatting>
  <conditionalFormatting sqref="K18">
    <cfRule type="expression" dxfId="89" priority="91">
      <formula>K$3="SUN"</formula>
    </cfRule>
    <cfRule type="cellIs" dxfId="88" priority="92" operator="equal">
      <formula>"A"</formula>
    </cfRule>
    <cfRule type="cellIs" dxfId="87" priority="93" operator="equal">
      <formula>"P"</formula>
    </cfRule>
  </conditionalFormatting>
  <conditionalFormatting sqref="L18:Q24">
    <cfRule type="expression" dxfId="86" priority="64">
      <formula>L$3="SUN"</formula>
    </cfRule>
    <cfRule type="cellIs" dxfId="85" priority="65" operator="equal">
      <formula>"A"</formula>
    </cfRule>
    <cfRule type="cellIs" dxfId="84" priority="66" operator="equal">
      <formula>"P"</formula>
    </cfRule>
  </conditionalFormatting>
  <conditionalFormatting sqref="R18">
    <cfRule type="expression" dxfId="83" priority="88">
      <formula>R$3="SUN"</formula>
    </cfRule>
    <cfRule type="cellIs" dxfId="82" priority="89" operator="equal">
      <formula>"A"</formula>
    </cfRule>
    <cfRule type="cellIs" dxfId="81" priority="90" operator="equal">
      <formula>"P"</formula>
    </cfRule>
  </conditionalFormatting>
  <conditionalFormatting sqref="S18:X24">
    <cfRule type="expression" dxfId="80" priority="46">
      <formula>S$3="SUN"</formula>
    </cfRule>
    <cfRule type="cellIs" dxfId="79" priority="47" operator="equal">
      <formula>"A"</formula>
    </cfRule>
    <cfRule type="cellIs" dxfId="78" priority="48" operator="equal">
      <formula>"P"</formula>
    </cfRule>
  </conditionalFormatting>
  <conditionalFormatting sqref="Y18">
    <cfRule type="expression" dxfId="77" priority="85">
      <formula>Y$3="SUN"</formula>
    </cfRule>
    <cfRule type="cellIs" dxfId="76" priority="86" operator="equal">
      <formula>"A"</formula>
    </cfRule>
    <cfRule type="cellIs" dxfId="75" priority="87" operator="equal">
      <formula>"P"</formula>
    </cfRule>
  </conditionalFormatting>
  <conditionalFormatting sqref="Z18:AA24">
    <cfRule type="expression" dxfId="74" priority="40">
      <formula>Z$3="SUN"</formula>
    </cfRule>
    <cfRule type="cellIs" dxfId="73" priority="41" operator="equal">
      <formula>"A"</formula>
    </cfRule>
    <cfRule type="cellIs" dxfId="72" priority="42" operator="equal">
      <formula>"P"</formula>
    </cfRule>
  </conditionalFormatting>
  <conditionalFormatting sqref="AB18:AG18">
    <cfRule type="expression" dxfId="71" priority="7">
      <formula>AB$3="SUN"</formula>
    </cfRule>
    <cfRule type="cellIs" dxfId="70" priority="8" operator="equal">
      <formula>"A"</formula>
    </cfRule>
    <cfRule type="cellIs" dxfId="69" priority="9" operator="equal">
      <formula>"P"</formula>
    </cfRule>
  </conditionalFormatting>
  <conditionalFormatting sqref="AH18:AH24">
    <cfRule type="expression" dxfId="68" priority="22">
      <formula>AH$3="SUN"</formula>
    </cfRule>
    <cfRule type="cellIs" dxfId="67" priority="23" operator="equal">
      <formula>"A"</formula>
    </cfRule>
    <cfRule type="cellIs" dxfId="66" priority="24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F093-D52F-43EB-89ED-905EF626F121}">
  <dimension ref="A1:AN23"/>
  <sheetViews>
    <sheetView topLeftCell="B4" workbookViewId="0">
      <selection activeCell="AM19" sqref="AM19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2" width="3.7109375" bestFit="1" customWidth="1"/>
    <col min="33" max="33" width="3.7109375" customWidth="1"/>
    <col min="34" max="34" width="3.7109375" bestFit="1" customWidth="1"/>
    <col min="35" max="39" width="5.7109375" customWidth="1"/>
    <col min="40" max="40" width="7.42578125" bestFit="1" customWidth="1"/>
  </cols>
  <sheetData>
    <row r="1" spans="1:40" ht="15.75" thickBot="1" x14ac:dyDescent="0.3"/>
    <row r="2" spans="1:40" ht="32.25" thickBot="1" x14ac:dyDescent="0.55000000000000004">
      <c r="A2" s="32" t="s">
        <v>35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4"/>
    </row>
    <row r="3" spans="1:40" ht="27" x14ac:dyDescent="0.25">
      <c r="A3" s="35" t="s">
        <v>0</v>
      </c>
      <c r="B3" s="36"/>
      <c r="C3" s="36"/>
      <c r="D3" s="17" t="str">
        <f>TEXT(D4,"ddd")</f>
        <v>Wed</v>
      </c>
      <c r="E3" s="17" t="str">
        <f t="shared" ref="E3:AH3" si="0">TEXT(E4,"ddd")</f>
        <v>Thu</v>
      </c>
      <c r="F3" s="17" t="str">
        <f t="shared" si="0"/>
        <v>Fri</v>
      </c>
      <c r="G3" s="17" t="str">
        <f t="shared" si="0"/>
        <v>Sat</v>
      </c>
      <c r="H3" s="17" t="str">
        <f t="shared" si="0"/>
        <v>Sun</v>
      </c>
      <c r="I3" s="17" t="str">
        <f t="shared" si="0"/>
        <v>Mon</v>
      </c>
      <c r="J3" s="17" t="str">
        <f t="shared" si="0"/>
        <v>Tue</v>
      </c>
      <c r="K3" s="17" t="str">
        <f t="shared" si="0"/>
        <v>Wed</v>
      </c>
      <c r="L3" s="17" t="str">
        <f t="shared" si="0"/>
        <v>Thu</v>
      </c>
      <c r="M3" s="17" t="str">
        <f t="shared" si="0"/>
        <v>Fri</v>
      </c>
      <c r="N3" s="17" t="str">
        <f t="shared" si="0"/>
        <v>Sat</v>
      </c>
      <c r="O3" s="17" t="str">
        <f t="shared" si="0"/>
        <v>Sun</v>
      </c>
      <c r="P3" s="17" t="str">
        <f t="shared" si="0"/>
        <v>Mon</v>
      </c>
      <c r="Q3" s="17" t="str">
        <f t="shared" si="0"/>
        <v>Tue</v>
      </c>
      <c r="R3" s="17" t="str">
        <f t="shared" si="0"/>
        <v>Wed</v>
      </c>
      <c r="S3" s="17" t="str">
        <f t="shared" si="0"/>
        <v>Thu</v>
      </c>
      <c r="T3" s="17" t="str">
        <f t="shared" si="0"/>
        <v>Fri</v>
      </c>
      <c r="U3" s="17" t="str">
        <f t="shared" si="0"/>
        <v>Sat</v>
      </c>
      <c r="V3" s="17" t="str">
        <f t="shared" si="0"/>
        <v>Sun</v>
      </c>
      <c r="W3" s="17" t="str">
        <f t="shared" si="0"/>
        <v>Mon</v>
      </c>
      <c r="X3" s="17" t="str">
        <f t="shared" si="0"/>
        <v>Tue</v>
      </c>
      <c r="Y3" s="17" t="str">
        <f t="shared" si="0"/>
        <v>Wed</v>
      </c>
      <c r="Z3" s="17" t="str">
        <f t="shared" si="0"/>
        <v>Thu</v>
      </c>
      <c r="AA3" s="17" t="str">
        <f t="shared" si="0"/>
        <v>Fri</v>
      </c>
      <c r="AB3" s="17" t="str">
        <f t="shared" si="0"/>
        <v>Sat</v>
      </c>
      <c r="AC3" s="17" t="str">
        <f t="shared" si="0"/>
        <v>Sun</v>
      </c>
      <c r="AD3" s="17" t="str">
        <f t="shared" si="0"/>
        <v>Mon</v>
      </c>
      <c r="AE3" s="17" t="str">
        <f t="shared" si="0"/>
        <v>Tue</v>
      </c>
      <c r="AF3" s="17" t="str">
        <f t="shared" si="0"/>
        <v>Wed</v>
      </c>
      <c r="AG3" s="17" t="str">
        <f t="shared" si="0"/>
        <v>Thu</v>
      </c>
      <c r="AH3" s="20" t="str">
        <f t="shared" si="0"/>
        <v>Fri</v>
      </c>
      <c r="AI3" s="39" t="s">
        <v>1</v>
      </c>
      <c r="AJ3" s="37"/>
      <c r="AK3" s="37"/>
      <c r="AL3" s="37"/>
      <c r="AM3" s="37"/>
      <c r="AN3" s="38"/>
    </row>
    <row r="4" spans="1:40" x14ac:dyDescent="0.25">
      <c r="A4" s="1" t="s">
        <v>2</v>
      </c>
      <c r="B4" s="2" t="s">
        <v>3</v>
      </c>
      <c r="C4" s="2" t="s">
        <v>4</v>
      </c>
      <c r="D4" s="7">
        <v>45658</v>
      </c>
      <c r="E4" s="7">
        <v>45659</v>
      </c>
      <c r="F4" s="7">
        <v>45660</v>
      </c>
      <c r="G4" s="7">
        <v>45661</v>
      </c>
      <c r="H4" s="7">
        <v>45662</v>
      </c>
      <c r="I4" s="7">
        <v>45663</v>
      </c>
      <c r="J4" s="7">
        <v>45664</v>
      </c>
      <c r="K4" s="7">
        <v>45665</v>
      </c>
      <c r="L4" s="7">
        <v>45666</v>
      </c>
      <c r="M4" s="7">
        <v>45667</v>
      </c>
      <c r="N4" s="7">
        <v>45668</v>
      </c>
      <c r="O4" s="7">
        <v>45669</v>
      </c>
      <c r="P4" s="7">
        <v>45670</v>
      </c>
      <c r="Q4" s="7">
        <v>45671</v>
      </c>
      <c r="R4" s="7">
        <v>45672</v>
      </c>
      <c r="S4" s="7">
        <v>45673</v>
      </c>
      <c r="T4" s="7">
        <v>45674</v>
      </c>
      <c r="U4" s="7">
        <v>45675</v>
      </c>
      <c r="V4" s="7">
        <v>45676</v>
      </c>
      <c r="W4" s="7">
        <v>45677</v>
      </c>
      <c r="X4" s="7">
        <v>45678</v>
      </c>
      <c r="Y4" s="7">
        <v>45679</v>
      </c>
      <c r="Z4" s="7">
        <v>45680</v>
      </c>
      <c r="AA4" s="7">
        <v>45681</v>
      </c>
      <c r="AB4" s="7">
        <v>45682</v>
      </c>
      <c r="AC4" s="7">
        <v>45683</v>
      </c>
      <c r="AD4" s="7">
        <v>45684</v>
      </c>
      <c r="AE4" s="7">
        <v>45685</v>
      </c>
      <c r="AF4" s="7">
        <v>45686</v>
      </c>
      <c r="AG4" s="7">
        <v>45687</v>
      </c>
      <c r="AH4" s="21">
        <v>45688</v>
      </c>
      <c r="AI4" s="24" t="s">
        <v>6</v>
      </c>
      <c r="AJ4" s="15" t="s">
        <v>7</v>
      </c>
      <c r="AK4" s="15" t="s">
        <v>13</v>
      </c>
      <c r="AL4" s="15" t="s">
        <v>49</v>
      </c>
      <c r="AM4" s="15" t="s">
        <v>25</v>
      </c>
      <c r="AN4" s="16" t="s">
        <v>5</v>
      </c>
    </row>
    <row r="5" spans="1:40" ht="15" customHeight="1" x14ac:dyDescent="0.25">
      <c r="A5" s="3">
        <v>1</v>
      </c>
      <c r="B5" s="4" t="s">
        <v>27</v>
      </c>
      <c r="C5" s="4" t="s">
        <v>8</v>
      </c>
      <c r="D5" s="4" t="s">
        <v>6</v>
      </c>
      <c r="E5" s="4" t="s">
        <v>6</v>
      </c>
      <c r="F5" s="4" t="s">
        <v>6</v>
      </c>
      <c r="G5" s="4" t="s">
        <v>6</v>
      </c>
      <c r="H5" s="42" t="s">
        <v>26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2" t="s">
        <v>26</v>
      </c>
      <c r="P5" s="4" t="s">
        <v>6</v>
      </c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2" t="s">
        <v>26</v>
      </c>
      <c r="W5" s="4" t="s">
        <v>6</v>
      </c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2" t="s">
        <v>26</v>
      </c>
      <c r="AD5" s="4" t="s">
        <v>6</v>
      </c>
      <c r="AE5" s="51" t="s">
        <v>45</v>
      </c>
      <c r="AF5" s="4" t="s">
        <v>6</v>
      </c>
      <c r="AG5" s="4" t="s">
        <v>6</v>
      </c>
      <c r="AH5" s="22" t="s">
        <v>6</v>
      </c>
      <c r="AI5" s="3">
        <f t="shared" ref="AI5:AI12" si="1">COUNTIF(D5:AH5,"P")</f>
        <v>26</v>
      </c>
      <c r="AJ5" s="4">
        <f t="shared" ref="AJ5:AJ12" si="2">COUNTIF(D5:AH5,"A")</f>
        <v>0</v>
      </c>
      <c r="AK5" s="4">
        <f t="shared" ref="AK5:AK12" si="3">COUNTIF(D5:AH5,"L")</f>
        <v>0</v>
      </c>
      <c r="AL5" s="4">
        <v>1</v>
      </c>
      <c r="AM5" s="4">
        <v>4</v>
      </c>
      <c r="AN5" s="18">
        <f>AI5+AK5+AL5+AM5</f>
        <v>31</v>
      </c>
    </row>
    <row r="6" spans="1:40" x14ac:dyDescent="0.25">
      <c r="A6" s="3">
        <v>2</v>
      </c>
      <c r="B6" s="4" t="s">
        <v>11</v>
      </c>
      <c r="C6" s="4" t="s">
        <v>8</v>
      </c>
      <c r="D6" s="4" t="s">
        <v>6</v>
      </c>
      <c r="E6" s="4" t="s">
        <v>6</v>
      </c>
      <c r="F6" s="4" t="s">
        <v>6</v>
      </c>
      <c r="G6" s="4" t="s">
        <v>6</v>
      </c>
      <c r="H6" s="42"/>
      <c r="I6" s="4" t="s">
        <v>6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2"/>
      <c r="P6" s="4" t="s">
        <v>6</v>
      </c>
      <c r="Q6" s="4" t="s">
        <v>6</v>
      </c>
      <c r="R6" s="4" t="s">
        <v>13</v>
      </c>
      <c r="S6" s="4" t="s">
        <v>6</v>
      </c>
      <c r="T6" s="4" t="s">
        <v>6</v>
      </c>
      <c r="U6" s="4" t="s">
        <v>6</v>
      </c>
      <c r="V6" s="42"/>
      <c r="W6" s="4" t="s">
        <v>6</v>
      </c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2"/>
      <c r="AD6" s="4" t="s">
        <v>6</v>
      </c>
      <c r="AE6" s="51"/>
      <c r="AF6" s="4" t="s">
        <v>6</v>
      </c>
      <c r="AG6" s="4" t="s">
        <v>6</v>
      </c>
      <c r="AH6" s="22" t="s">
        <v>6</v>
      </c>
      <c r="AI6" s="3">
        <f t="shared" si="1"/>
        <v>25</v>
      </c>
      <c r="AJ6" s="4">
        <f t="shared" si="2"/>
        <v>0</v>
      </c>
      <c r="AK6" s="4">
        <f t="shared" si="3"/>
        <v>1</v>
      </c>
      <c r="AL6" s="4">
        <v>1</v>
      </c>
      <c r="AM6" s="4">
        <v>4</v>
      </c>
      <c r="AN6" s="18">
        <f t="shared" ref="AN6:AN12" si="4">AI6+AK6+AL6+AM6</f>
        <v>31</v>
      </c>
    </row>
    <row r="7" spans="1:40" x14ac:dyDescent="0.25">
      <c r="A7" s="3">
        <v>3</v>
      </c>
      <c r="B7" s="4" t="s">
        <v>10</v>
      </c>
      <c r="C7" s="4" t="s">
        <v>8</v>
      </c>
      <c r="D7" s="4" t="s">
        <v>6</v>
      </c>
      <c r="E7" s="4" t="s">
        <v>6</v>
      </c>
      <c r="F7" s="4" t="s">
        <v>6</v>
      </c>
      <c r="G7" s="4" t="s">
        <v>6</v>
      </c>
      <c r="H7" s="42"/>
      <c r="I7" s="4" t="s">
        <v>6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2"/>
      <c r="P7" s="4" t="s">
        <v>6</v>
      </c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2"/>
      <c r="W7" s="4" t="s">
        <v>6</v>
      </c>
      <c r="X7" s="4" t="s">
        <v>6</v>
      </c>
      <c r="Y7" s="4" t="s">
        <v>6</v>
      </c>
      <c r="Z7" s="4" t="s">
        <v>6</v>
      </c>
      <c r="AA7" s="4" t="s">
        <v>6</v>
      </c>
      <c r="AB7" s="4" t="s">
        <v>6</v>
      </c>
      <c r="AC7" s="42"/>
      <c r="AD7" s="4" t="s">
        <v>6</v>
      </c>
      <c r="AE7" s="51"/>
      <c r="AF7" s="4" t="s">
        <v>6</v>
      </c>
      <c r="AG7" s="4" t="s">
        <v>6</v>
      </c>
      <c r="AH7" s="22" t="s">
        <v>6</v>
      </c>
      <c r="AI7" s="3">
        <f t="shared" si="1"/>
        <v>26</v>
      </c>
      <c r="AJ7" s="4">
        <f t="shared" si="2"/>
        <v>0</v>
      </c>
      <c r="AK7" s="4">
        <f t="shared" si="3"/>
        <v>0</v>
      </c>
      <c r="AL7" s="4">
        <v>1</v>
      </c>
      <c r="AM7" s="4">
        <v>4</v>
      </c>
      <c r="AN7" s="18">
        <f t="shared" si="4"/>
        <v>31</v>
      </c>
    </row>
    <row r="8" spans="1:40" x14ac:dyDescent="0.25">
      <c r="A8" s="3">
        <v>4</v>
      </c>
      <c r="B8" s="4" t="s">
        <v>12</v>
      </c>
      <c r="C8" s="4" t="s">
        <v>44</v>
      </c>
      <c r="D8" s="4" t="s">
        <v>6</v>
      </c>
      <c r="E8" s="4" t="s">
        <v>6</v>
      </c>
      <c r="F8" s="4" t="s">
        <v>6</v>
      </c>
      <c r="G8" s="4" t="s">
        <v>6</v>
      </c>
      <c r="H8" s="42"/>
      <c r="I8" s="4" t="s">
        <v>6</v>
      </c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2"/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2"/>
      <c r="W8" s="4" t="s">
        <v>6</v>
      </c>
      <c r="X8" s="4" t="s">
        <v>6</v>
      </c>
      <c r="Y8" s="4" t="s">
        <v>6</v>
      </c>
      <c r="Z8" s="4" t="s">
        <v>6</v>
      </c>
      <c r="AA8" s="4" t="s">
        <v>6</v>
      </c>
      <c r="AB8" s="4" t="s">
        <v>6</v>
      </c>
      <c r="AC8" s="42"/>
      <c r="AD8" s="4" t="s">
        <v>6</v>
      </c>
      <c r="AE8" s="51"/>
      <c r="AF8" s="4" t="s">
        <v>6</v>
      </c>
      <c r="AG8" s="4" t="s">
        <v>6</v>
      </c>
      <c r="AH8" s="22" t="s">
        <v>6</v>
      </c>
      <c r="AI8" s="3">
        <f t="shared" si="1"/>
        <v>26</v>
      </c>
      <c r="AJ8" s="4">
        <f t="shared" si="2"/>
        <v>0</v>
      </c>
      <c r="AK8" s="4">
        <f t="shared" si="3"/>
        <v>0</v>
      </c>
      <c r="AL8" s="4">
        <v>1</v>
      </c>
      <c r="AM8" s="4">
        <v>4</v>
      </c>
      <c r="AN8" s="18">
        <f t="shared" si="4"/>
        <v>31</v>
      </c>
    </row>
    <row r="9" spans="1:40" x14ac:dyDescent="0.25">
      <c r="A9" s="3">
        <v>5</v>
      </c>
      <c r="B9" s="4" t="s">
        <v>28</v>
      </c>
      <c r="C9" s="4" t="s">
        <v>29</v>
      </c>
      <c r="D9" s="4" t="s">
        <v>6</v>
      </c>
      <c r="E9" s="4" t="s">
        <v>7</v>
      </c>
      <c r="F9" s="4" t="s">
        <v>7</v>
      </c>
      <c r="G9" s="4" t="s">
        <v>6</v>
      </c>
      <c r="H9" s="42"/>
      <c r="I9" s="4" t="s">
        <v>6</v>
      </c>
      <c r="J9" s="4" t="s">
        <v>6</v>
      </c>
      <c r="K9" s="4" t="s">
        <v>6</v>
      </c>
      <c r="L9" s="4" t="s">
        <v>6</v>
      </c>
      <c r="M9" s="4" t="s">
        <v>6</v>
      </c>
      <c r="N9" s="4" t="s">
        <v>6</v>
      </c>
      <c r="O9" s="42"/>
      <c r="P9" s="4" t="s">
        <v>6</v>
      </c>
      <c r="Q9" s="4" t="s">
        <v>6</v>
      </c>
      <c r="R9" s="4" t="s">
        <v>6</v>
      </c>
      <c r="S9" s="4" t="s">
        <v>6</v>
      </c>
      <c r="T9" s="4" t="s">
        <v>6</v>
      </c>
      <c r="U9" s="4" t="s">
        <v>6</v>
      </c>
      <c r="V9" s="42"/>
      <c r="W9" s="4" t="s">
        <v>6</v>
      </c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2"/>
      <c r="AD9" s="4" t="s">
        <v>6</v>
      </c>
      <c r="AE9" s="51"/>
      <c r="AF9" s="4" t="s">
        <v>6</v>
      </c>
      <c r="AG9" s="4" t="s">
        <v>6</v>
      </c>
      <c r="AH9" s="22" t="s">
        <v>6</v>
      </c>
      <c r="AI9" s="3">
        <f t="shared" si="1"/>
        <v>24</v>
      </c>
      <c r="AJ9" s="4">
        <f t="shared" si="2"/>
        <v>2</v>
      </c>
      <c r="AK9" s="4">
        <f t="shared" si="3"/>
        <v>0</v>
      </c>
      <c r="AL9" s="4">
        <v>1</v>
      </c>
      <c r="AM9" s="4">
        <v>4</v>
      </c>
      <c r="AN9" s="18">
        <f t="shared" si="4"/>
        <v>29</v>
      </c>
    </row>
    <row r="10" spans="1:40" x14ac:dyDescent="0.25">
      <c r="A10" s="3">
        <v>6</v>
      </c>
      <c r="B10" s="4" t="s">
        <v>38</v>
      </c>
      <c r="C10" s="4" t="s">
        <v>40</v>
      </c>
      <c r="D10" s="4" t="s">
        <v>6</v>
      </c>
      <c r="E10" s="4" t="s">
        <v>6</v>
      </c>
      <c r="F10" s="4" t="s">
        <v>6</v>
      </c>
      <c r="G10" s="4" t="s">
        <v>6</v>
      </c>
      <c r="H10" s="42"/>
      <c r="I10" s="4" t="s">
        <v>6</v>
      </c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2"/>
      <c r="P10" s="4" t="s">
        <v>6</v>
      </c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2"/>
      <c r="W10" s="4" t="s">
        <v>6</v>
      </c>
      <c r="X10" s="4" t="s">
        <v>6</v>
      </c>
      <c r="Y10" s="4" t="s">
        <v>6</v>
      </c>
      <c r="Z10" s="4" t="s">
        <v>6</v>
      </c>
      <c r="AA10" s="4" t="s">
        <v>13</v>
      </c>
      <c r="AB10" s="4" t="s">
        <v>6</v>
      </c>
      <c r="AC10" s="42"/>
      <c r="AD10" s="4" t="s">
        <v>6</v>
      </c>
      <c r="AE10" s="51"/>
      <c r="AF10" s="4" t="s">
        <v>6</v>
      </c>
      <c r="AG10" s="4" t="s">
        <v>6</v>
      </c>
      <c r="AH10" s="22" t="s">
        <v>6</v>
      </c>
      <c r="AI10" s="3">
        <f t="shared" si="1"/>
        <v>25</v>
      </c>
      <c r="AJ10" s="4">
        <f t="shared" si="2"/>
        <v>0</v>
      </c>
      <c r="AK10" s="4">
        <f t="shared" si="3"/>
        <v>1</v>
      </c>
      <c r="AL10" s="4">
        <v>1</v>
      </c>
      <c r="AM10" s="4">
        <v>4</v>
      </c>
      <c r="AN10" s="18">
        <f t="shared" si="4"/>
        <v>31</v>
      </c>
    </row>
    <row r="11" spans="1:40" x14ac:dyDescent="0.25">
      <c r="A11" s="3">
        <v>7</v>
      </c>
      <c r="B11" s="4" t="s">
        <v>33</v>
      </c>
      <c r="C11" s="4" t="s">
        <v>37</v>
      </c>
      <c r="D11" s="4" t="s">
        <v>6</v>
      </c>
      <c r="E11" s="4" t="s">
        <v>6</v>
      </c>
      <c r="F11" s="4" t="s">
        <v>6</v>
      </c>
      <c r="G11" s="4" t="s">
        <v>6</v>
      </c>
      <c r="H11" s="42"/>
      <c r="I11" s="4" t="s">
        <v>6</v>
      </c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2"/>
      <c r="P11" s="4" t="s">
        <v>6</v>
      </c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2"/>
      <c r="W11" s="4" t="s">
        <v>6</v>
      </c>
      <c r="X11" s="4" t="s">
        <v>13</v>
      </c>
      <c r="Y11" s="4" t="s">
        <v>6</v>
      </c>
      <c r="Z11" s="4" t="s">
        <v>6</v>
      </c>
      <c r="AA11" s="4" t="s">
        <v>6</v>
      </c>
      <c r="AB11" s="4" t="s">
        <v>6</v>
      </c>
      <c r="AC11" s="42"/>
      <c r="AD11" s="4" t="s">
        <v>6</v>
      </c>
      <c r="AE11" s="51"/>
      <c r="AF11" s="4" t="s">
        <v>6</v>
      </c>
      <c r="AG11" s="4" t="s">
        <v>6</v>
      </c>
      <c r="AH11" s="22" t="s">
        <v>6</v>
      </c>
      <c r="AI11" s="3">
        <f t="shared" si="1"/>
        <v>25</v>
      </c>
      <c r="AJ11" s="4">
        <f t="shared" si="2"/>
        <v>0</v>
      </c>
      <c r="AK11" s="4">
        <f t="shared" si="3"/>
        <v>1</v>
      </c>
      <c r="AL11" s="4">
        <v>1</v>
      </c>
      <c r="AM11" s="4">
        <v>4</v>
      </c>
      <c r="AN11" s="18">
        <f t="shared" si="4"/>
        <v>31</v>
      </c>
    </row>
    <row r="12" spans="1:40" ht="15.75" thickBot="1" x14ac:dyDescent="0.3">
      <c r="A12" s="5">
        <v>8</v>
      </c>
      <c r="B12" s="6" t="s">
        <v>9</v>
      </c>
      <c r="C12" s="6" t="s">
        <v>8</v>
      </c>
      <c r="D12" s="6" t="s">
        <v>6</v>
      </c>
      <c r="E12" s="6" t="s">
        <v>6</v>
      </c>
      <c r="F12" s="6" t="s">
        <v>6</v>
      </c>
      <c r="G12" s="6" t="s">
        <v>6</v>
      </c>
      <c r="H12" s="43"/>
      <c r="I12" s="6" t="s">
        <v>6</v>
      </c>
      <c r="J12" s="6" t="s">
        <v>6</v>
      </c>
      <c r="K12" s="6" t="s">
        <v>6</v>
      </c>
      <c r="L12" s="6" t="s">
        <v>6</v>
      </c>
      <c r="M12" s="6" t="s">
        <v>6</v>
      </c>
      <c r="N12" s="6" t="s">
        <v>6</v>
      </c>
      <c r="O12" s="43"/>
      <c r="P12" s="6" t="s">
        <v>6</v>
      </c>
      <c r="Q12" s="6" t="s">
        <v>6</v>
      </c>
      <c r="R12" s="6" t="s">
        <v>6</v>
      </c>
      <c r="S12" s="6" t="s">
        <v>6</v>
      </c>
      <c r="T12" s="6" t="s">
        <v>6</v>
      </c>
      <c r="U12" s="6" t="s">
        <v>6</v>
      </c>
      <c r="V12" s="43"/>
      <c r="W12" s="6" t="s">
        <v>6</v>
      </c>
      <c r="X12" s="6" t="s">
        <v>6</v>
      </c>
      <c r="Y12" s="6" t="s">
        <v>6</v>
      </c>
      <c r="Z12" s="6" t="s">
        <v>6</v>
      </c>
      <c r="AA12" s="6" t="s">
        <v>6</v>
      </c>
      <c r="AB12" s="6" t="s">
        <v>6</v>
      </c>
      <c r="AC12" s="43"/>
      <c r="AD12" s="6" t="s">
        <v>6</v>
      </c>
      <c r="AE12" s="52"/>
      <c r="AF12" s="6" t="s">
        <v>6</v>
      </c>
      <c r="AG12" s="6" t="s">
        <v>6</v>
      </c>
      <c r="AH12" s="23" t="s">
        <v>6</v>
      </c>
      <c r="AI12" s="5">
        <f t="shared" si="1"/>
        <v>26</v>
      </c>
      <c r="AJ12" s="6">
        <f t="shared" si="2"/>
        <v>0</v>
      </c>
      <c r="AK12" s="6">
        <f t="shared" si="3"/>
        <v>0</v>
      </c>
      <c r="AL12" s="6">
        <v>1</v>
      </c>
      <c r="AM12" s="6">
        <v>4</v>
      </c>
      <c r="AN12" s="19">
        <f t="shared" si="4"/>
        <v>31</v>
      </c>
    </row>
    <row r="13" spans="1:40" ht="15.75" thickBot="1" x14ac:dyDescent="0.3"/>
    <row r="14" spans="1:40" ht="32.25" thickBot="1" x14ac:dyDescent="0.55000000000000004">
      <c r="A14" s="32" t="s">
        <v>36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4"/>
    </row>
    <row r="15" spans="1:40" ht="27" x14ac:dyDescent="0.25">
      <c r="A15" s="35" t="s">
        <v>0</v>
      </c>
      <c r="B15" s="36"/>
      <c r="C15" s="36"/>
      <c r="D15" s="17" t="str">
        <f>TEXT(D16,"ddd")</f>
        <v>Wed</v>
      </c>
      <c r="E15" s="17" t="str">
        <f t="shared" ref="E15:AH15" si="5">TEXT(E16,"ddd")</f>
        <v>Thu</v>
      </c>
      <c r="F15" s="17" t="str">
        <f t="shared" si="5"/>
        <v>Fri</v>
      </c>
      <c r="G15" s="17" t="str">
        <f t="shared" si="5"/>
        <v>Sat</v>
      </c>
      <c r="H15" s="17" t="str">
        <f t="shared" si="5"/>
        <v>Sun</v>
      </c>
      <c r="I15" s="17" t="str">
        <f t="shared" si="5"/>
        <v>Mon</v>
      </c>
      <c r="J15" s="17" t="str">
        <f t="shared" si="5"/>
        <v>Tue</v>
      </c>
      <c r="K15" s="17" t="str">
        <f t="shared" si="5"/>
        <v>Wed</v>
      </c>
      <c r="L15" s="17" t="str">
        <f t="shared" si="5"/>
        <v>Thu</v>
      </c>
      <c r="M15" s="17" t="str">
        <f t="shared" si="5"/>
        <v>Fri</v>
      </c>
      <c r="N15" s="17" t="str">
        <f t="shared" si="5"/>
        <v>Sat</v>
      </c>
      <c r="O15" s="17" t="str">
        <f t="shared" si="5"/>
        <v>Sun</v>
      </c>
      <c r="P15" s="17" t="str">
        <f t="shared" si="5"/>
        <v>Mon</v>
      </c>
      <c r="Q15" s="17" t="str">
        <f t="shared" si="5"/>
        <v>Tue</v>
      </c>
      <c r="R15" s="17" t="str">
        <f t="shared" si="5"/>
        <v>Wed</v>
      </c>
      <c r="S15" s="17" t="str">
        <f t="shared" si="5"/>
        <v>Thu</v>
      </c>
      <c r="T15" s="17" t="str">
        <f t="shared" si="5"/>
        <v>Fri</v>
      </c>
      <c r="U15" s="17" t="str">
        <f t="shared" si="5"/>
        <v>Sat</v>
      </c>
      <c r="V15" s="17" t="str">
        <f t="shared" si="5"/>
        <v>Sun</v>
      </c>
      <c r="W15" s="17" t="str">
        <f t="shared" si="5"/>
        <v>Mon</v>
      </c>
      <c r="X15" s="17" t="str">
        <f t="shared" si="5"/>
        <v>Tue</v>
      </c>
      <c r="Y15" s="17" t="str">
        <f t="shared" si="5"/>
        <v>Wed</v>
      </c>
      <c r="Z15" s="17" t="str">
        <f t="shared" si="5"/>
        <v>Thu</v>
      </c>
      <c r="AA15" s="17" t="str">
        <f t="shared" si="5"/>
        <v>Fri</v>
      </c>
      <c r="AB15" s="17" t="str">
        <f t="shared" si="5"/>
        <v>Sat</v>
      </c>
      <c r="AC15" s="17" t="str">
        <f t="shared" si="5"/>
        <v>Sun</v>
      </c>
      <c r="AD15" s="17" t="str">
        <f t="shared" si="5"/>
        <v>Mon</v>
      </c>
      <c r="AE15" s="17" t="str">
        <f t="shared" si="5"/>
        <v>Tue</v>
      </c>
      <c r="AF15" s="17" t="str">
        <f t="shared" si="5"/>
        <v>Wed</v>
      </c>
      <c r="AG15" s="17" t="str">
        <f t="shared" si="5"/>
        <v>Thu</v>
      </c>
      <c r="AH15" s="20" t="str">
        <f t="shared" si="5"/>
        <v>Fri</v>
      </c>
      <c r="AI15" s="39" t="s">
        <v>1</v>
      </c>
      <c r="AJ15" s="37"/>
      <c r="AK15" s="37"/>
      <c r="AL15" s="37"/>
      <c r="AM15" s="37"/>
      <c r="AN15" s="38"/>
    </row>
    <row r="16" spans="1:40" x14ac:dyDescent="0.25">
      <c r="A16" s="1" t="s">
        <v>2</v>
      </c>
      <c r="B16" s="2" t="s">
        <v>3</v>
      </c>
      <c r="C16" s="2" t="s">
        <v>4</v>
      </c>
      <c r="D16" s="7">
        <v>45658</v>
      </c>
      <c r="E16" s="7">
        <v>45659</v>
      </c>
      <c r="F16" s="7">
        <v>45660</v>
      </c>
      <c r="G16" s="7">
        <v>45661</v>
      </c>
      <c r="H16" s="7">
        <v>45662</v>
      </c>
      <c r="I16" s="7">
        <v>45663</v>
      </c>
      <c r="J16" s="7">
        <v>45664</v>
      </c>
      <c r="K16" s="7">
        <v>45665</v>
      </c>
      <c r="L16" s="7">
        <v>45666</v>
      </c>
      <c r="M16" s="7">
        <v>45667</v>
      </c>
      <c r="N16" s="7">
        <v>45668</v>
      </c>
      <c r="O16" s="7">
        <v>45669</v>
      </c>
      <c r="P16" s="7">
        <v>45670</v>
      </c>
      <c r="Q16" s="7">
        <v>45671</v>
      </c>
      <c r="R16" s="7">
        <v>45672</v>
      </c>
      <c r="S16" s="7">
        <v>45673</v>
      </c>
      <c r="T16" s="7">
        <v>45674</v>
      </c>
      <c r="U16" s="7">
        <v>45675</v>
      </c>
      <c r="V16" s="7">
        <v>45676</v>
      </c>
      <c r="W16" s="7">
        <v>45677</v>
      </c>
      <c r="X16" s="7">
        <v>45678</v>
      </c>
      <c r="Y16" s="7">
        <v>45679</v>
      </c>
      <c r="Z16" s="7">
        <v>45680</v>
      </c>
      <c r="AA16" s="7">
        <v>45681</v>
      </c>
      <c r="AB16" s="7">
        <v>45682</v>
      </c>
      <c r="AC16" s="7">
        <v>45683</v>
      </c>
      <c r="AD16" s="7">
        <v>45684</v>
      </c>
      <c r="AE16" s="7">
        <v>45685</v>
      </c>
      <c r="AF16" s="7">
        <v>45686</v>
      </c>
      <c r="AG16" s="7">
        <v>45687</v>
      </c>
      <c r="AH16" s="21">
        <v>45688</v>
      </c>
      <c r="AI16" s="24" t="s">
        <v>6</v>
      </c>
      <c r="AJ16" s="15" t="s">
        <v>7</v>
      </c>
      <c r="AK16" s="15" t="s">
        <v>13</v>
      </c>
      <c r="AL16" s="15" t="s">
        <v>49</v>
      </c>
      <c r="AM16" s="15" t="s">
        <v>25</v>
      </c>
      <c r="AN16" s="16" t="s">
        <v>5</v>
      </c>
    </row>
    <row r="17" spans="1:40" ht="15" customHeight="1" x14ac:dyDescent="0.25">
      <c r="A17" s="3">
        <f>IF(B17="","",1)</f>
        <v>1</v>
      </c>
      <c r="B17" s="4" t="s">
        <v>14</v>
      </c>
      <c r="C17" s="4" t="s">
        <v>15</v>
      </c>
      <c r="D17" s="4" t="s">
        <v>6</v>
      </c>
      <c r="E17" s="4" t="s">
        <v>6</v>
      </c>
      <c r="F17" s="4" t="s">
        <v>6</v>
      </c>
      <c r="G17" s="4" t="s">
        <v>6</v>
      </c>
      <c r="H17" s="29" t="s">
        <v>26</v>
      </c>
      <c r="I17" s="4" t="s">
        <v>6</v>
      </c>
      <c r="J17" s="4" t="s">
        <v>6</v>
      </c>
      <c r="K17" s="4" t="s">
        <v>6</v>
      </c>
      <c r="L17" s="4" t="s">
        <v>6</v>
      </c>
      <c r="M17" s="4" t="s">
        <v>6</v>
      </c>
      <c r="N17" s="4" t="s">
        <v>6</v>
      </c>
      <c r="O17" s="29" t="s">
        <v>26</v>
      </c>
      <c r="P17" s="4" t="s">
        <v>6</v>
      </c>
      <c r="Q17" s="4" t="s">
        <v>6</v>
      </c>
      <c r="R17" s="4" t="s">
        <v>6</v>
      </c>
      <c r="S17" s="4" t="s">
        <v>6</v>
      </c>
      <c r="T17" s="4" t="s">
        <v>6</v>
      </c>
      <c r="U17" s="4" t="s">
        <v>6</v>
      </c>
      <c r="V17" s="29" t="s">
        <v>26</v>
      </c>
      <c r="W17" s="4" t="s">
        <v>6</v>
      </c>
      <c r="X17" s="4" t="s">
        <v>6</v>
      </c>
      <c r="Y17" s="4" t="s">
        <v>13</v>
      </c>
      <c r="Z17" s="4" t="s">
        <v>6</v>
      </c>
      <c r="AA17" s="4" t="s">
        <v>6</v>
      </c>
      <c r="AB17" s="4" t="s">
        <v>6</v>
      </c>
      <c r="AC17" s="29" t="s">
        <v>26</v>
      </c>
      <c r="AD17" s="4" t="s">
        <v>6</v>
      </c>
      <c r="AE17" s="48" t="s">
        <v>45</v>
      </c>
      <c r="AF17" s="4" t="s">
        <v>6</v>
      </c>
      <c r="AG17" s="4" t="s">
        <v>6</v>
      </c>
      <c r="AH17" s="22" t="s">
        <v>6</v>
      </c>
      <c r="AI17" s="26">
        <f t="shared" ref="AI17:AI23" si="6">COUNTIF(D17:AH17,"P")</f>
        <v>25</v>
      </c>
      <c r="AJ17" s="8">
        <f t="shared" ref="AJ17:AJ23" si="7">COUNTIF(D17:AH17,"A")</f>
        <v>0</v>
      </c>
      <c r="AK17" s="8">
        <f t="shared" ref="AK17:AK23" si="8">COUNTIF(D17:AH17,"L")</f>
        <v>1</v>
      </c>
      <c r="AL17" s="4">
        <v>1</v>
      </c>
      <c r="AM17" s="8">
        <v>4</v>
      </c>
      <c r="AN17" s="10">
        <f>AI17+AK17+AL17+AM17</f>
        <v>31</v>
      </c>
    </row>
    <row r="18" spans="1:40" x14ac:dyDescent="0.25">
      <c r="A18" s="3">
        <f>IF(B18="","",A17+1)</f>
        <v>2</v>
      </c>
      <c r="B18" s="4" t="s">
        <v>16</v>
      </c>
      <c r="C18" s="4" t="s">
        <v>17</v>
      </c>
      <c r="D18" s="4" t="s">
        <v>6</v>
      </c>
      <c r="E18" s="4" t="s">
        <v>6</v>
      </c>
      <c r="F18" s="4" t="s">
        <v>6</v>
      </c>
      <c r="G18" s="4" t="s">
        <v>6</v>
      </c>
      <c r="H18" s="30"/>
      <c r="I18" s="4" t="s">
        <v>6</v>
      </c>
      <c r="J18" s="4" t="s">
        <v>6</v>
      </c>
      <c r="K18" s="4" t="s">
        <v>6</v>
      </c>
      <c r="L18" s="4" t="s">
        <v>6</v>
      </c>
      <c r="M18" s="4" t="s">
        <v>6</v>
      </c>
      <c r="N18" s="4" t="s">
        <v>6</v>
      </c>
      <c r="O18" s="30"/>
      <c r="P18" s="4" t="s">
        <v>6</v>
      </c>
      <c r="Q18" s="4" t="s">
        <v>6</v>
      </c>
      <c r="R18" s="4" t="s">
        <v>6</v>
      </c>
      <c r="S18" s="4" t="s">
        <v>6</v>
      </c>
      <c r="T18" s="4" t="s">
        <v>6</v>
      </c>
      <c r="U18" s="4" t="s">
        <v>6</v>
      </c>
      <c r="V18" s="30"/>
      <c r="W18" s="4" t="s">
        <v>6</v>
      </c>
      <c r="X18" s="4" t="s">
        <v>6</v>
      </c>
      <c r="Y18" s="4" t="s">
        <v>6</v>
      </c>
      <c r="Z18" s="4" t="s">
        <v>6</v>
      </c>
      <c r="AA18" s="4" t="s">
        <v>6</v>
      </c>
      <c r="AB18" s="4" t="s">
        <v>6</v>
      </c>
      <c r="AC18" s="30"/>
      <c r="AD18" s="4" t="s">
        <v>6</v>
      </c>
      <c r="AE18" s="49"/>
      <c r="AF18" s="4" t="s">
        <v>6</v>
      </c>
      <c r="AG18" s="4" t="s">
        <v>6</v>
      </c>
      <c r="AH18" s="22" t="s">
        <v>6</v>
      </c>
      <c r="AI18" s="26">
        <f t="shared" si="6"/>
        <v>26</v>
      </c>
      <c r="AJ18" s="8">
        <f t="shared" si="7"/>
        <v>0</v>
      </c>
      <c r="AK18" s="8">
        <f t="shared" si="8"/>
        <v>0</v>
      </c>
      <c r="AL18" s="4">
        <v>1</v>
      </c>
      <c r="AM18" s="8">
        <v>4</v>
      </c>
      <c r="AN18" s="10">
        <f t="shared" ref="AN18:AN23" si="9">AI18+AK18+AL18+AM18</f>
        <v>31</v>
      </c>
    </row>
    <row r="19" spans="1:40" x14ac:dyDescent="0.25">
      <c r="A19" s="3">
        <f t="shared" ref="A19:A21" si="10">IF(B19="","",A18+1)</f>
        <v>3</v>
      </c>
      <c r="B19" s="4" t="s">
        <v>18</v>
      </c>
      <c r="C19" s="4" t="s">
        <v>19</v>
      </c>
      <c r="D19" s="4" t="s">
        <v>6</v>
      </c>
      <c r="E19" s="4" t="s">
        <v>6</v>
      </c>
      <c r="F19" s="4" t="s">
        <v>6</v>
      </c>
      <c r="G19" s="4" t="s">
        <v>6</v>
      </c>
      <c r="H19" s="30"/>
      <c r="I19" s="4" t="s">
        <v>6</v>
      </c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30"/>
      <c r="P19" s="4" t="s">
        <v>6</v>
      </c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30"/>
      <c r="W19" s="4" t="s">
        <v>6</v>
      </c>
      <c r="X19" s="4" t="s">
        <v>6</v>
      </c>
      <c r="Y19" s="4" t="s">
        <v>6</v>
      </c>
      <c r="Z19" s="4" t="s">
        <v>6</v>
      </c>
      <c r="AA19" s="4" t="s">
        <v>6</v>
      </c>
      <c r="AB19" s="4" t="s">
        <v>13</v>
      </c>
      <c r="AC19" s="30"/>
      <c r="AD19" s="4" t="s">
        <v>6</v>
      </c>
      <c r="AE19" s="49"/>
      <c r="AF19" s="4" t="s">
        <v>6</v>
      </c>
      <c r="AG19" s="4" t="s">
        <v>6</v>
      </c>
      <c r="AH19" s="22" t="s">
        <v>6</v>
      </c>
      <c r="AI19" s="26">
        <f t="shared" si="6"/>
        <v>25</v>
      </c>
      <c r="AJ19" s="8">
        <f t="shared" si="7"/>
        <v>0</v>
      </c>
      <c r="AK19" s="8">
        <f t="shared" si="8"/>
        <v>1</v>
      </c>
      <c r="AL19" s="4">
        <v>1</v>
      </c>
      <c r="AM19" s="8">
        <v>4</v>
      </c>
      <c r="AN19" s="10">
        <f t="shared" si="9"/>
        <v>31</v>
      </c>
    </row>
    <row r="20" spans="1:40" x14ac:dyDescent="0.25">
      <c r="A20" s="3">
        <f t="shared" si="10"/>
        <v>4</v>
      </c>
      <c r="B20" s="4" t="s">
        <v>21</v>
      </c>
      <c r="C20" s="4" t="s">
        <v>20</v>
      </c>
      <c r="D20" s="4" t="s">
        <v>6</v>
      </c>
      <c r="E20" s="4" t="s">
        <v>6</v>
      </c>
      <c r="F20" s="4" t="s">
        <v>6</v>
      </c>
      <c r="G20" s="4" t="s">
        <v>6</v>
      </c>
      <c r="H20" s="30"/>
      <c r="I20" s="4" t="s">
        <v>6</v>
      </c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30"/>
      <c r="P20" s="4" t="s">
        <v>6</v>
      </c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30"/>
      <c r="W20" s="4" t="s">
        <v>6</v>
      </c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30"/>
      <c r="AD20" s="4" t="s">
        <v>6</v>
      </c>
      <c r="AE20" s="49"/>
      <c r="AF20" s="4" t="s">
        <v>6</v>
      </c>
      <c r="AG20" s="4" t="s">
        <v>6</v>
      </c>
      <c r="AH20" s="22" t="s">
        <v>6</v>
      </c>
      <c r="AI20" s="26">
        <f t="shared" si="6"/>
        <v>26</v>
      </c>
      <c r="AJ20" s="8">
        <f t="shared" si="7"/>
        <v>0</v>
      </c>
      <c r="AK20" s="8">
        <f t="shared" si="8"/>
        <v>0</v>
      </c>
      <c r="AL20" s="4">
        <v>1</v>
      </c>
      <c r="AM20" s="8">
        <v>4</v>
      </c>
      <c r="AN20" s="10">
        <f t="shared" si="9"/>
        <v>31</v>
      </c>
    </row>
    <row r="21" spans="1:40" x14ac:dyDescent="0.25">
      <c r="A21" s="3">
        <f t="shared" si="10"/>
        <v>5</v>
      </c>
      <c r="B21" s="4" t="s">
        <v>22</v>
      </c>
      <c r="C21" s="4" t="s">
        <v>23</v>
      </c>
      <c r="D21" s="4" t="s">
        <v>6</v>
      </c>
      <c r="E21" s="4" t="s">
        <v>6</v>
      </c>
      <c r="F21" s="4" t="s">
        <v>6</v>
      </c>
      <c r="G21" s="4" t="s">
        <v>6</v>
      </c>
      <c r="H21" s="30"/>
      <c r="I21" s="4" t="s">
        <v>6</v>
      </c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30"/>
      <c r="P21" s="4" t="s">
        <v>6</v>
      </c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30"/>
      <c r="W21" s="4" t="s">
        <v>6</v>
      </c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30"/>
      <c r="AD21" s="4" t="s">
        <v>6</v>
      </c>
      <c r="AE21" s="49"/>
      <c r="AF21" s="4" t="s">
        <v>6</v>
      </c>
      <c r="AG21" s="4" t="s">
        <v>6</v>
      </c>
      <c r="AH21" s="22" t="s">
        <v>6</v>
      </c>
      <c r="AI21" s="26">
        <f t="shared" si="6"/>
        <v>26</v>
      </c>
      <c r="AJ21" s="8">
        <f t="shared" si="7"/>
        <v>0</v>
      </c>
      <c r="AK21" s="8">
        <f t="shared" si="8"/>
        <v>0</v>
      </c>
      <c r="AL21" s="4">
        <v>1</v>
      </c>
      <c r="AM21" s="8">
        <v>4</v>
      </c>
      <c r="AN21" s="10">
        <f t="shared" si="9"/>
        <v>31</v>
      </c>
    </row>
    <row r="22" spans="1:40" x14ac:dyDescent="0.25">
      <c r="A22" s="12">
        <v>6</v>
      </c>
      <c r="B22" s="13" t="s">
        <v>31</v>
      </c>
      <c r="C22" s="4" t="s">
        <v>20</v>
      </c>
      <c r="D22" s="13" t="s">
        <v>6</v>
      </c>
      <c r="E22" s="13" t="s">
        <v>6</v>
      </c>
      <c r="F22" s="13" t="s">
        <v>6</v>
      </c>
      <c r="G22" s="13" t="s">
        <v>6</v>
      </c>
      <c r="H22" s="30"/>
      <c r="I22" s="13" t="s">
        <v>6</v>
      </c>
      <c r="J22" s="13" t="s">
        <v>6</v>
      </c>
      <c r="K22" s="13" t="s">
        <v>6</v>
      </c>
      <c r="L22" s="13" t="s">
        <v>6</v>
      </c>
      <c r="M22" s="13" t="s">
        <v>6</v>
      </c>
      <c r="N22" s="13" t="s">
        <v>6</v>
      </c>
      <c r="O22" s="30"/>
      <c r="P22" s="13" t="s">
        <v>6</v>
      </c>
      <c r="Q22" s="13" t="s">
        <v>6</v>
      </c>
      <c r="R22" s="13" t="s">
        <v>6</v>
      </c>
      <c r="S22" s="13" t="s">
        <v>6</v>
      </c>
      <c r="T22" s="13" t="s">
        <v>6</v>
      </c>
      <c r="U22" s="13" t="s">
        <v>6</v>
      </c>
      <c r="V22" s="30"/>
      <c r="W22" s="13" t="s">
        <v>6</v>
      </c>
      <c r="X22" s="13" t="s">
        <v>6</v>
      </c>
      <c r="Y22" s="13" t="s">
        <v>6</v>
      </c>
      <c r="Z22" s="13" t="s">
        <v>6</v>
      </c>
      <c r="AA22" s="13" t="s">
        <v>6</v>
      </c>
      <c r="AB22" s="13" t="s">
        <v>6</v>
      </c>
      <c r="AC22" s="30"/>
      <c r="AD22" s="13" t="s">
        <v>6</v>
      </c>
      <c r="AE22" s="49"/>
      <c r="AF22" s="13" t="s">
        <v>6</v>
      </c>
      <c r="AG22" s="13" t="s">
        <v>6</v>
      </c>
      <c r="AH22" s="25" t="s">
        <v>6</v>
      </c>
      <c r="AI22" s="27">
        <f t="shared" si="6"/>
        <v>26</v>
      </c>
      <c r="AJ22" s="14">
        <f t="shared" si="7"/>
        <v>0</v>
      </c>
      <c r="AK22" s="8">
        <f t="shared" si="8"/>
        <v>0</v>
      </c>
      <c r="AL22" s="13">
        <v>1</v>
      </c>
      <c r="AM22" s="14">
        <v>4</v>
      </c>
      <c r="AN22" s="10">
        <f t="shared" si="9"/>
        <v>31</v>
      </c>
    </row>
    <row r="23" spans="1:40" ht="15.75" thickBot="1" x14ac:dyDescent="0.3">
      <c r="A23" s="5">
        <v>7</v>
      </c>
      <c r="B23" s="6" t="s">
        <v>34</v>
      </c>
      <c r="C23" s="6" t="s">
        <v>20</v>
      </c>
      <c r="D23" s="6" t="s">
        <v>6</v>
      </c>
      <c r="E23" s="6" t="s">
        <v>6</v>
      </c>
      <c r="F23" s="6" t="s">
        <v>6</v>
      </c>
      <c r="G23" s="6" t="s">
        <v>6</v>
      </c>
      <c r="H23" s="31"/>
      <c r="I23" s="6" t="s">
        <v>6</v>
      </c>
      <c r="J23" s="6" t="s">
        <v>6</v>
      </c>
      <c r="K23" s="6" t="s">
        <v>6</v>
      </c>
      <c r="L23" s="6" t="s">
        <v>6</v>
      </c>
      <c r="M23" s="6" t="s">
        <v>6</v>
      </c>
      <c r="N23" s="6" t="s">
        <v>6</v>
      </c>
      <c r="O23" s="31"/>
      <c r="P23" s="6" t="s">
        <v>6</v>
      </c>
      <c r="Q23" s="6" t="s">
        <v>6</v>
      </c>
      <c r="R23" s="6" t="s">
        <v>6</v>
      </c>
      <c r="S23" s="6" t="s">
        <v>6</v>
      </c>
      <c r="T23" s="6" t="s">
        <v>6</v>
      </c>
      <c r="U23" s="6" t="s">
        <v>6</v>
      </c>
      <c r="V23" s="31"/>
      <c r="W23" s="6" t="s">
        <v>6</v>
      </c>
      <c r="X23" s="6" t="s">
        <v>6</v>
      </c>
      <c r="Y23" s="6" t="s">
        <v>6</v>
      </c>
      <c r="Z23" s="6" t="s">
        <v>6</v>
      </c>
      <c r="AA23" s="6" t="s">
        <v>6</v>
      </c>
      <c r="AB23" s="6" t="s">
        <v>6</v>
      </c>
      <c r="AC23" s="31"/>
      <c r="AD23" s="6" t="s">
        <v>6</v>
      </c>
      <c r="AE23" s="50"/>
      <c r="AF23" s="6" t="s">
        <v>6</v>
      </c>
      <c r="AG23" s="6" t="s">
        <v>6</v>
      </c>
      <c r="AH23" s="23" t="s">
        <v>6</v>
      </c>
      <c r="AI23" s="28">
        <f t="shared" si="6"/>
        <v>26</v>
      </c>
      <c r="AJ23" s="9">
        <f t="shared" si="7"/>
        <v>0</v>
      </c>
      <c r="AK23" s="9">
        <f t="shared" si="8"/>
        <v>0</v>
      </c>
      <c r="AL23" s="6">
        <v>1</v>
      </c>
      <c r="AM23" s="9">
        <v>4</v>
      </c>
      <c r="AN23" s="11">
        <f t="shared" si="9"/>
        <v>31</v>
      </c>
    </row>
  </sheetData>
  <mergeCells count="16">
    <mergeCell ref="A2:AN2"/>
    <mergeCell ref="A3:C3"/>
    <mergeCell ref="AI3:AN3"/>
    <mergeCell ref="AC5:AC12"/>
    <mergeCell ref="AE17:AE23"/>
    <mergeCell ref="H5:H12"/>
    <mergeCell ref="O5:O12"/>
    <mergeCell ref="V5:V12"/>
    <mergeCell ref="H17:H23"/>
    <mergeCell ref="O17:O23"/>
    <mergeCell ref="V17:V23"/>
    <mergeCell ref="AC17:AC23"/>
    <mergeCell ref="AE5:AE12"/>
    <mergeCell ref="A14:AN14"/>
    <mergeCell ref="A15:C15"/>
    <mergeCell ref="AI15:AN15"/>
  </mergeCells>
  <conditionalFormatting sqref="D17:G23">
    <cfRule type="expression" dxfId="65" priority="40">
      <formula>D$3="SUN"</formula>
    </cfRule>
    <cfRule type="cellIs" dxfId="64" priority="41" operator="equal">
      <formula>"A"</formula>
    </cfRule>
    <cfRule type="cellIs" dxfId="63" priority="42" operator="equal">
      <formula>"P"</formula>
    </cfRule>
  </conditionalFormatting>
  <conditionalFormatting sqref="D3:AH4 H5 O5 V5 AC5 AE5 D5:G12 I5:N12 P5:U12 W5:AB12 AD5:AD12 AF5:AH12 D15:AH16">
    <cfRule type="expression" dxfId="62" priority="115">
      <formula>D$3="SUN"</formula>
    </cfRule>
  </conditionalFormatting>
  <conditionalFormatting sqref="H5 O5 V5 AC5 AE5 D5:G12 I5:N12 P5:U12 W5:AB12 AD5:AD12 AF5:AH12">
    <cfRule type="cellIs" dxfId="61" priority="116" operator="equal">
      <formula>"A"</formula>
    </cfRule>
    <cfRule type="cellIs" dxfId="60" priority="117" operator="equal">
      <formula>"P"</formula>
    </cfRule>
  </conditionalFormatting>
  <conditionalFormatting sqref="H17">
    <cfRule type="expression" dxfId="59" priority="37">
      <formula>H$3="SUN"</formula>
    </cfRule>
    <cfRule type="cellIs" dxfId="58" priority="38" operator="equal">
      <formula>"A"</formula>
    </cfRule>
    <cfRule type="cellIs" dxfId="57" priority="39" operator="equal">
      <formula>"P"</formula>
    </cfRule>
  </conditionalFormatting>
  <conditionalFormatting sqref="I17:N23">
    <cfRule type="expression" dxfId="56" priority="25">
      <formula>I$3="SUN"</formula>
    </cfRule>
    <cfRule type="cellIs" dxfId="55" priority="26" operator="equal">
      <formula>"A"</formula>
    </cfRule>
    <cfRule type="cellIs" dxfId="54" priority="27" operator="equal">
      <formula>"P"</formula>
    </cfRule>
  </conditionalFormatting>
  <conditionalFormatting sqref="O17">
    <cfRule type="expression" dxfId="53" priority="34">
      <formula>O$3="SUN"</formula>
    </cfRule>
    <cfRule type="cellIs" dxfId="52" priority="35" operator="equal">
      <formula>"A"</formula>
    </cfRule>
    <cfRule type="cellIs" dxfId="51" priority="36" operator="equal">
      <formula>"P"</formula>
    </cfRule>
  </conditionalFormatting>
  <conditionalFormatting sqref="P17:U23">
    <cfRule type="expression" dxfId="50" priority="22">
      <formula>P$3="SUN"</formula>
    </cfRule>
    <cfRule type="cellIs" dxfId="49" priority="23" operator="equal">
      <formula>"A"</formula>
    </cfRule>
    <cfRule type="cellIs" dxfId="48" priority="24" operator="equal">
      <formula>"P"</formula>
    </cfRule>
  </conditionalFormatting>
  <conditionalFormatting sqref="V17">
    <cfRule type="expression" dxfId="47" priority="31">
      <formula>V$3="SUN"</formula>
    </cfRule>
    <cfRule type="cellIs" dxfId="46" priority="32" operator="equal">
      <formula>"A"</formula>
    </cfRule>
    <cfRule type="cellIs" dxfId="45" priority="33" operator="equal">
      <formula>"P"</formula>
    </cfRule>
  </conditionalFormatting>
  <conditionalFormatting sqref="W17:AB23">
    <cfRule type="expression" dxfId="44" priority="16">
      <formula>W$3="SUN"</formula>
    </cfRule>
    <cfRule type="cellIs" dxfId="43" priority="17" operator="equal">
      <formula>"A"</formula>
    </cfRule>
    <cfRule type="cellIs" dxfId="42" priority="18" operator="equal">
      <formula>"P"</formula>
    </cfRule>
  </conditionalFormatting>
  <conditionalFormatting sqref="AC17">
    <cfRule type="expression" dxfId="41" priority="28">
      <formula>AC$3="SUN"</formula>
    </cfRule>
    <cfRule type="cellIs" dxfId="40" priority="29" operator="equal">
      <formula>"A"</formula>
    </cfRule>
    <cfRule type="cellIs" dxfId="39" priority="30" operator="equal">
      <formula>"P"</formula>
    </cfRule>
  </conditionalFormatting>
  <conditionalFormatting sqref="AD17:AD23">
    <cfRule type="expression" dxfId="38" priority="13">
      <formula>AD$3="SUN"</formula>
    </cfRule>
    <cfRule type="cellIs" dxfId="37" priority="14" operator="equal">
      <formula>"A"</formula>
    </cfRule>
    <cfRule type="cellIs" dxfId="36" priority="15" operator="equal">
      <formula>"P"</formula>
    </cfRule>
  </conditionalFormatting>
  <conditionalFormatting sqref="AE17">
    <cfRule type="expression" dxfId="35" priority="1">
      <formula>AE$3="SUN"</formula>
    </cfRule>
    <cfRule type="cellIs" dxfId="34" priority="2" operator="equal">
      <formula>"A"</formula>
    </cfRule>
    <cfRule type="cellIs" dxfId="33" priority="3" operator="equal">
      <formula>"P"</formula>
    </cfRule>
  </conditionalFormatting>
  <conditionalFormatting sqref="AF17:AH23">
    <cfRule type="expression" dxfId="32" priority="4">
      <formula>AF$3="SUN"</formula>
    </cfRule>
    <cfRule type="cellIs" dxfId="31" priority="5" operator="equal">
      <formula>"A"</formula>
    </cfRule>
    <cfRule type="cellIs" dxfId="30" priority="6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C6B6-F721-45FE-A56A-F79E8ECB6487}">
  <dimension ref="A1:Y24"/>
  <sheetViews>
    <sheetView topLeftCell="A7" workbookViewId="0">
      <selection activeCell="X24" sqref="X24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9" width="3.7109375" bestFit="1" customWidth="1"/>
    <col min="10" max="19" width="3.7109375" customWidth="1"/>
    <col min="20" max="24" width="5.7109375" customWidth="1"/>
    <col min="25" max="25" width="7.42578125" bestFit="1" customWidth="1"/>
  </cols>
  <sheetData>
    <row r="1" spans="1:25" ht="15.75" thickBot="1" x14ac:dyDescent="0.3"/>
    <row r="2" spans="1:25" ht="32.25" thickBot="1" x14ac:dyDescent="0.55000000000000004">
      <c r="A2" s="32" t="s">
        <v>35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4"/>
    </row>
    <row r="3" spans="1:25" ht="27" x14ac:dyDescent="0.25">
      <c r="A3" s="35" t="s">
        <v>0</v>
      </c>
      <c r="B3" s="36"/>
      <c r="C3" s="36"/>
      <c r="D3" s="17" t="str">
        <f>TEXT(D4,"ddd")</f>
        <v>Sat</v>
      </c>
      <c r="E3" s="17" t="str">
        <f t="shared" ref="E3:S3" si="0">TEXT(E4,"ddd")</f>
        <v>Sun</v>
      </c>
      <c r="F3" s="17" t="str">
        <f t="shared" si="0"/>
        <v>Mon</v>
      </c>
      <c r="G3" s="17" t="str">
        <f t="shared" si="0"/>
        <v>Tue</v>
      </c>
      <c r="H3" s="17" t="str">
        <f t="shared" si="0"/>
        <v>Wed</v>
      </c>
      <c r="I3" s="17" t="str">
        <f t="shared" si="0"/>
        <v>Thu</v>
      </c>
      <c r="J3" s="17" t="str">
        <f t="shared" si="0"/>
        <v>Fri</v>
      </c>
      <c r="K3" s="17" t="str">
        <f t="shared" si="0"/>
        <v>Sat</v>
      </c>
      <c r="L3" s="17" t="str">
        <f t="shared" si="0"/>
        <v>Sun</v>
      </c>
      <c r="M3" s="17" t="str">
        <f t="shared" si="0"/>
        <v>Mon</v>
      </c>
      <c r="N3" s="17" t="str">
        <f t="shared" si="0"/>
        <v>Tue</v>
      </c>
      <c r="O3" s="17" t="str">
        <f t="shared" si="0"/>
        <v>Wed</v>
      </c>
      <c r="P3" s="17" t="str">
        <f t="shared" si="0"/>
        <v>Thu</v>
      </c>
      <c r="Q3" s="17" t="str">
        <f t="shared" si="0"/>
        <v>Fri</v>
      </c>
      <c r="R3" s="17" t="str">
        <f t="shared" si="0"/>
        <v>Sat</v>
      </c>
      <c r="S3" s="17" t="str">
        <f t="shared" si="0"/>
        <v>Sun</v>
      </c>
      <c r="T3" s="39" t="s">
        <v>1</v>
      </c>
      <c r="U3" s="37"/>
      <c r="V3" s="37"/>
      <c r="W3" s="37"/>
      <c r="X3" s="37"/>
      <c r="Y3" s="38"/>
    </row>
    <row r="4" spans="1:25" x14ac:dyDescent="0.25">
      <c r="A4" s="1" t="s">
        <v>2</v>
      </c>
      <c r="B4" s="2" t="s">
        <v>3</v>
      </c>
      <c r="C4" s="2" t="s">
        <v>4</v>
      </c>
      <c r="D4" s="7">
        <v>45689</v>
      </c>
      <c r="E4" s="7">
        <v>45690</v>
      </c>
      <c r="F4" s="7">
        <v>45691</v>
      </c>
      <c r="G4" s="7">
        <v>45692</v>
      </c>
      <c r="H4" s="7">
        <v>45693</v>
      </c>
      <c r="I4" s="7">
        <v>45694</v>
      </c>
      <c r="J4" s="7">
        <v>45695</v>
      </c>
      <c r="K4" s="7">
        <v>45696</v>
      </c>
      <c r="L4" s="7">
        <v>45697</v>
      </c>
      <c r="M4" s="7">
        <v>45698</v>
      </c>
      <c r="N4" s="7">
        <v>45699</v>
      </c>
      <c r="O4" s="7">
        <v>45700</v>
      </c>
      <c r="P4" s="7">
        <v>45701</v>
      </c>
      <c r="Q4" s="7">
        <v>45702</v>
      </c>
      <c r="R4" s="7">
        <v>45703</v>
      </c>
      <c r="S4" s="7">
        <v>45704</v>
      </c>
      <c r="T4" s="24" t="s">
        <v>6</v>
      </c>
      <c r="U4" s="15" t="s">
        <v>7</v>
      </c>
      <c r="V4" s="15" t="s">
        <v>13</v>
      </c>
      <c r="W4" s="15" t="s">
        <v>49</v>
      </c>
      <c r="X4" s="15" t="s">
        <v>25</v>
      </c>
      <c r="Y4" s="16" t="s">
        <v>5</v>
      </c>
    </row>
    <row r="5" spans="1:25" ht="15" customHeight="1" x14ac:dyDescent="0.25">
      <c r="A5" s="3">
        <v>1</v>
      </c>
      <c r="B5" s="4" t="s">
        <v>27</v>
      </c>
      <c r="C5" s="4" t="s">
        <v>8</v>
      </c>
      <c r="D5" s="4" t="s">
        <v>6</v>
      </c>
      <c r="E5" s="42" t="s">
        <v>26</v>
      </c>
      <c r="F5" s="4" t="s">
        <v>6</v>
      </c>
      <c r="G5" s="4" t="s">
        <v>6</v>
      </c>
      <c r="H5" s="51" t="s">
        <v>48</v>
      </c>
      <c r="I5" s="4" t="s">
        <v>6</v>
      </c>
      <c r="J5" s="4" t="s">
        <v>6</v>
      </c>
      <c r="K5" s="4" t="s">
        <v>6</v>
      </c>
      <c r="L5" s="42" t="s">
        <v>26</v>
      </c>
      <c r="M5" s="4" t="s">
        <v>6</v>
      </c>
      <c r="N5" s="4" t="s">
        <v>6</v>
      </c>
      <c r="O5" s="4" t="s">
        <v>6</v>
      </c>
      <c r="P5" s="4" t="s">
        <v>6</v>
      </c>
      <c r="Q5" s="51" t="s">
        <v>47</v>
      </c>
      <c r="R5" s="4" t="s">
        <v>6</v>
      </c>
      <c r="S5" s="42" t="s">
        <v>26</v>
      </c>
      <c r="T5" s="3">
        <f>COUNTIF(D5:S5,"P")</f>
        <v>11</v>
      </c>
      <c r="U5" s="4">
        <f>COUNTIF(D5:S5,"A")</f>
        <v>0</v>
      </c>
      <c r="V5" s="4">
        <f>COUNTIF(D5:S5,"L")</f>
        <v>0</v>
      </c>
      <c r="W5" s="4">
        <v>2</v>
      </c>
      <c r="X5" s="4">
        <v>3</v>
      </c>
      <c r="Y5" s="18">
        <f>T5+V5+W5+X5</f>
        <v>16</v>
      </c>
    </row>
    <row r="6" spans="1:25" x14ac:dyDescent="0.25">
      <c r="A6" s="3">
        <v>2</v>
      </c>
      <c r="B6" s="4" t="s">
        <v>11</v>
      </c>
      <c r="C6" s="4" t="s">
        <v>8</v>
      </c>
      <c r="D6" s="4" t="s">
        <v>6</v>
      </c>
      <c r="E6" s="42"/>
      <c r="F6" s="4" t="s">
        <v>6</v>
      </c>
      <c r="G6" s="4" t="s">
        <v>6</v>
      </c>
      <c r="H6" s="51"/>
      <c r="I6" s="4" t="s">
        <v>6</v>
      </c>
      <c r="J6" s="4" t="s">
        <v>6</v>
      </c>
      <c r="K6" s="4" t="s">
        <v>6</v>
      </c>
      <c r="L6" s="42"/>
      <c r="M6" s="4" t="s">
        <v>6</v>
      </c>
      <c r="N6" s="4" t="s">
        <v>6</v>
      </c>
      <c r="O6" s="4" t="s">
        <v>6</v>
      </c>
      <c r="P6" s="4" t="s">
        <v>6</v>
      </c>
      <c r="Q6" s="51"/>
      <c r="R6" s="4" t="s">
        <v>6</v>
      </c>
      <c r="S6" s="42"/>
      <c r="T6" s="3">
        <f>COUNTIF(D6:S6,"P")</f>
        <v>11</v>
      </c>
      <c r="U6" s="4">
        <f>COUNTIF(D6:S6,"A")</f>
        <v>0</v>
      </c>
      <c r="V6" s="4">
        <f>COUNTIF(D6:S6,"L")</f>
        <v>0</v>
      </c>
      <c r="W6" s="4">
        <v>2</v>
      </c>
      <c r="X6" s="4">
        <v>3</v>
      </c>
      <c r="Y6" s="18">
        <f t="shared" ref="Y6:Y12" si="1">T6+V6+W6+X6</f>
        <v>16</v>
      </c>
    </row>
    <row r="7" spans="1:25" x14ac:dyDescent="0.25">
      <c r="A7" s="3">
        <v>3</v>
      </c>
      <c r="B7" s="4" t="s">
        <v>10</v>
      </c>
      <c r="C7" s="4" t="s">
        <v>8</v>
      </c>
      <c r="D7" s="4" t="s">
        <v>6</v>
      </c>
      <c r="E7" s="42"/>
      <c r="F7" s="4" t="s">
        <v>6</v>
      </c>
      <c r="G7" s="4" t="s">
        <v>13</v>
      </c>
      <c r="H7" s="51"/>
      <c r="I7" s="4" t="s">
        <v>6</v>
      </c>
      <c r="J7" s="4" t="s">
        <v>6</v>
      </c>
      <c r="K7" s="4" t="s">
        <v>6</v>
      </c>
      <c r="L7" s="42"/>
      <c r="M7" s="4" t="s">
        <v>6</v>
      </c>
      <c r="N7" s="4" t="s">
        <v>6</v>
      </c>
      <c r="O7" s="4" t="s">
        <v>6</v>
      </c>
      <c r="P7" s="4" t="s">
        <v>6</v>
      </c>
      <c r="Q7" s="51"/>
      <c r="R7" s="4" t="s">
        <v>6</v>
      </c>
      <c r="S7" s="42"/>
      <c r="T7" s="3">
        <f>COUNTIF(D7:S7,"P")</f>
        <v>10</v>
      </c>
      <c r="U7" s="4">
        <f>COUNTIF(D7:S7,"A")</f>
        <v>0</v>
      </c>
      <c r="V7" s="4">
        <f>COUNTIF(D7:S7,"L")</f>
        <v>1</v>
      </c>
      <c r="W7" s="4">
        <v>2</v>
      </c>
      <c r="X7" s="4">
        <v>3</v>
      </c>
      <c r="Y7" s="18">
        <f t="shared" si="1"/>
        <v>16</v>
      </c>
    </row>
    <row r="8" spans="1:25" x14ac:dyDescent="0.25">
      <c r="A8" s="3">
        <v>4</v>
      </c>
      <c r="B8" s="4" t="s">
        <v>12</v>
      </c>
      <c r="C8" s="4" t="s">
        <v>44</v>
      </c>
      <c r="D8" s="4" t="s">
        <v>6</v>
      </c>
      <c r="E8" s="42"/>
      <c r="F8" s="4" t="s">
        <v>6</v>
      </c>
      <c r="G8" s="4" t="s">
        <v>6</v>
      </c>
      <c r="H8" s="51"/>
      <c r="I8" s="4" t="s">
        <v>6</v>
      </c>
      <c r="J8" s="4" t="s">
        <v>6</v>
      </c>
      <c r="K8" s="4" t="s">
        <v>6</v>
      </c>
      <c r="L8" s="42"/>
      <c r="M8" s="4" t="s">
        <v>6</v>
      </c>
      <c r="N8" s="4" t="s">
        <v>6</v>
      </c>
      <c r="O8" s="4" t="s">
        <v>6</v>
      </c>
      <c r="P8" s="4" t="s">
        <v>13</v>
      </c>
      <c r="Q8" s="51"/>
      <c r="R8" s="4" t="s">
        <v>6</v>
      </c>
      <c r="S8" s="42"/>
      <c r="T8" s="3">
        <f>COUNTIF(D8:S8,"P")</f>
        <v>10</v>
      </c>
      <c r="U8" s="4">
        <f>COUNTIF(D8:S8,"A")</f>
        <v>0</v>
      </c>
      <c r="V8" s="4">
        <f>COUNTIF(D8:S8,"L")</f>
        <v>1</v>
      </c>
      <c r="W8" s="4">
        <v>2</v>
      </c>
      <c r="X8" s="4">
        <v>3</v>
      </c>
      <c r="Y8" s="18">
        <f t="shared" si="1"/>
        <v>16</v>
      </c>
    </row>
    <row r="9" spans="1:25" x14ac:dyDescent="0.25">
      <c r="A9" s="3">
        <v>5</v>
      </c>
      <c r="B9" s="4" t="s">
        <v>28</v>
      </c>
      <c r="C9" s="4" t="s">
        <v>29</v>
      </c>
      <c r="D9" s="4" t="s">
        <v>6</v>
      </c>
      <c r="E9" s="42"/>
      <c r="F9" s="4" t="s">
        <v>6</v>
      </c>
      <c r="G9" s="4" t="s">
        <v>6</v>
      </c>
      <c r="H9" s="51"/>
      <c r="I9" s="4" t="s">
        <v>6</v>
      </c>
      <c r="J9" s="4" t="s">
        <v>6</v>
      </c>
      <c r="K9" s="4" t="s">
        <v>6</v>
      </c>
      <c r="L9" s="42"/>
      <c r="M9" s="4" t="s">
        <v>6</v>
      </c>
      <c r="N9" s="4" t="s">
        <v>6</v>
      </c>
      <c r="O9" s="4" t="s">
        <v>6</v>
      </c>
      <c r="P9" s="4" t="s">
        <v>6</v>
      </c>
      <c r="Q9" s="51"/>
      <c r="R9" s="4" t="s">
        <v>6</v>
      </c>
      <c r="S9" s="42"/>
      <c r="T9" s="3">
        <f>COUNTIF(D9:S9,"P")</f>
        <v>11</v>
      </c>
      <c r="U9" s="4">
        <f>COUNTIF(D9:S9,"A")</f>
        <v>0</v>
      </c>
      <c r="V9" s="4">
        <f>COUNTIF(D9:S9,"L")</f>
        <v>0</v>
      </c>
      <c r="W9" s="4">
        <v>2</v>
      </c>
      <c r="X9" s="4">
        <v>3</v>
      </c>
      <c r="Y9" s="18">
        <f t="shared" si="1"/>
        <v>16</v>
      </c>
    </row>
    <row r="10" spans="1:25" x14ac:dyDescent="0.25">
      <c r="A10" s="3">
        <v>6</v>
      </c>
      <c r="B10" s="4" t="s">
        <v>38</v>
      </c>
      <c r="C10" s="4" t="s">
        <v>40</v>
      </c>
      <c r="D10" s="4" t="s">
        <v>6</v>
      </c>
      <c r="E10" s="42"/>
      <c r="F10" s="4" t="s">
        <v>6</v>
      </c>
      <c r="G10" s="4" t="s">
        <v>6</v>
      </c>
      <c r="H10" s="51"/>
      <c r="I10" s="4" t="s">
        <v>6</v>
      </c>
      <c r="J10" s="4" t="s">
        <v>6</v>
      </c>
      <c r="K10" s="4" t="s">
        <v>6</v>
      </c>
      <c r="L10" s="42"/>
      <c r="M10" s="4" t="s">
        <v>6</v>
      </c>
      <c r="N10" s="4" t="s">
        <v>6</v>
      </c>
      <c r="O10" s="4" t="s">
        <v>6</v>
      </c>
      <c r="P10" s="4" t="s">
        <v>6</v>
      </c>
      <c r="Q10" s="51"/>
      <c r="R10" s="4" t="s">
        <v>6</v>
      </c>
      <c r="S10" s="42"/>
      <c r="T10" s="3">
        <f>COUNTIF(D10:S10,"P")</f>
        <v>11</v>
      </c>
      <c r="U10" s="4">
        <f>COUNTIF(D10:S10,"A")</f>
        <v>0</v>
      </c>
      <c r="V10" s="4">
        <f>COUNTIF(D10:S10,"L")</f>
        <v>0</v>
      </c>
      <c r="W10" s="4">
        <v>2</v>
      </c>
      <c r="X10" s="4">
        <v>3</v>
      </c>
      <c r="Y10" s="18">
        <f t="shared" si="1"/>
        <v>16</v>
      </c>
    </row>
    <row r="11" spans="1:25" x14ac:dyDescent="0.25">
      <c r="A11" s="3">
        <v>7</v>
      </c>
      <c r="B11" s="4" t="s">
        <v>9</v>
      </c>
      <c r="C11" s="4" t="s">
        <v>8</v>
      </c>
      <c r="D11" s="4" t="s">
        <v>6</v>
      </c>
      <c r="E11" s="42"/>
      <c r="F11" s="4" t="s">
        <v>6</v>
      </c>
      <c r="G11" s="4" t="s">
        <v>6</v>
      </c>
      <c r="H11" s="51"/>
      <c r="I11" s="4" t="s">
        <v>6</v>
      </c>
      <c r="J11" s="4" t="s">
        <v>6</v>
      </c>
      <c r="K11" s="4" t="s">
        <v>6</v>
      </c>
      <c r="L11" s="42"/>
      <c r="M11" s="4" t="s">
        <v>6</v>
      </c>
      <c r="N11" s="4" t="s">
        <v>6</v>
      </c>
      <c r="O11" s="4" t="s">
        <v>6</v>
      </c>
      <c r="P11" s="4" t="s">
        <v>6</v>
      </c>
      <c r="Q11" s="51"/>
      <c r="R11" s="4" t="s">
        <v>6</v>
      </c>
      <c r="S11" s="42"/>
      <c r="T11" s="3">
        <f>COUNTIF(D11:S11,"P")</f>
        <v>11</v>
      </c>
      <c r="U11" s="4">
        <f>COUNTIF(D11:S11,"A")</f>
        <v>0</v>
      </c>
      <c r="V11" s="4">
        <f>COUNTIF(D11:S11,"L")</f>
        <v>0</v>
      </c>
      <c r="W11" s="4">
        <v>2</v>
      </c>
      <c r="X11" s="4">
        <v>3</v>
      </c>
      <c r="Y11" s="18">
        <f t="shared" si="1"/>
        <v>16</v>
      </c>
    </row>
    <row r="12" spans="1:25" ht="15.75" thickBot="1" x14ac:dyDescent="0.3">
      <c r="A12" s="5">
        <v>8</v>
      </c>
      <c r="B12" s="6" t="s">
        <v>43</v>
      </c>
      <c r="C12" s="6" t="s">
        <v>8</v>
      </c>
      <c r="D12" s="6" t="s">
        <v>6</v>
      </c>
      <c r="E12" s="43"/>
      <c r="F12" s="6" t="s">
        <v>6</v>
      </c>
      <c r="G12" s="6" t="s">
        <v>6</v>
      </c>
      <c r="H12" s="52"/>
      <c r="I12" s="6" t="s">
        <v>6</v>
      </c>
      <c r="J12" s="6" t="s">
        <v>6</v>
      </c>
      <c r="K12" s="6" t="s">
        <v>6</v>
      </c>
      <c r="L12" s="43"/>
      <c r="M12" s="6" t="s">
        <v>6</v>
      </c>
      <c r="N12" s="6" t="s">
        <v>7</v>
      </c>
      <c r="O12" s="6" t="s">
        <v>7</v>
      </c>
      <c r="P12" s="6" t="s">
        <v>6</v>
      </c>
      <c r="Q12" s="52"/>
      <c r="R12" s="6" t="s">
        <v>6</v>
      </c>
      <c r="S12" s="43"/>
      <c r="T12" s="5">
        <f>COUNTIF(D12:S12,"P")</f>
        <v>9</v>
      </c>
      <c r="U12" s="6">
        <f>COUNTIF(D12:S12,"A")</f>
        <v>2</v>
      </c>
      <c r="V12" s="6">
        <f>COUNTIF(D12:S12,"L")</f>
        <v>0</v>
      </c>
      <c r="W12" s="6">
        <v>2</v>
      </c>
      <c r="X12" s="6">
        <v>3</v>
      </c>
      <c r="Y12" s="19">
        <f t="shared" si="1"/>
        <v>14</v>
      </c>
    </row>
    <row r="13" spans="1:25" ht="15.75" thickBot="1" x14ac:dyDescent="0.3"/>
    <row r="14" spans="1:25" ht="32.25" thickBot="1" x14ac:dyDescent="0.55000000000000004">
      <c r="A14" s="32" t="s">
        <v>36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4"/>
    </row>
    <row r="15" spans="1:25" ht="27" x14ac:dyDescent="0.25">
      <c r="A15" s="35" t="s">
        <v>0</v>
      </c>
      <c r="B15" s="36"/>
      <c r="C15" s="36"/>
      <c r="D15" s="17" t="str">
        <f>TEXT(D16,"ddd")</f>
        <v>Sat</v>
      </c>
      <c r="E15" s="17" t="str">
        <f t="shared" ref="E15:S15" si="2">TEXT(E16,"ddd")</f>
        <v>Sun</v>
      </c>
      <c r="F15" s="17" t="str">
        <f t="shared" si="2"/>
        <v>Mon</v>
      </c>
      <c r="G15" s="17" t="str">
        <f t="shared" si="2"/>
        <v>Tue</v>
      </c>
      <c r="H15" s="17" t="str">
        <f t="shared" si="2"/>
        <v>Wed</v>
      </c>
      <c r="I15" s="17" t="str">
        <f t="shared" si="2"/>
        <v>Thu</v>
      </c>
      <c r="J15" s="17" t="str">
        <f t="shared" si="2"/>
        <v>Fri</v>
      </c>
      <c r="K15" s="17" t="str">
        <f t="shared" si="2"/>
        <v>Sat</v>
      </c>
      <c r="L15" s="17" t="str">
        <f t="shared" si="2"/>
        <v>Sun</v>
      </c>
      <c r="M15" s="17" t="str">
        <f t="shared" si="2"/>
        <v>Mon</v>
      </c>
      <c r="N15" s="17" t="str">
        <f t="shared" si="2"/>
        <v>Tue</v>
      </c>
      <c r="O15" s="17" t="str">
        <f t="shared" si="2"/>
        <v>Wed</v>
      </c>
      <c r="P15" s="17" t="str">
        <f t="shared" si="2"/>
        <v>Thu</v>
      </c>
      <c r="Q15" s="17" t="str">
        <f t="shared" si="2"/>
        <v>Fri</v>
      </c>
      <c r="R15" s="17" t="str">
        <f t="shared" si="2"/>
        <v>Sat</v>
      </c>
      <c r="S15" s="17" t="str">
        <f t="shared" si="2"/>
        <v>Sun</v>
      </c>
      <c r="T15" s="39" t="s">
        <v>1</v>
      </c>
      <c r="U15" s="37"/>
      <c r="V15" s="37"/>
      <c r="W15" s="37"/>
      <c r="X15" s="37"/>
      <c r="Y15" s="38"/>
    </row>
    <row r="16" spans="1:25" x14ac:dyDescent="0.25">
      <c r="A16" s="1" t="s">
        <v>2</v>
      </c>
      <c r="B16" s="2" t="s">
        <v>3</v>
      </c>
      <c r="C16" s="2" t="s">
        <v>4</v>
      </c>
      <c r="D16" s="7">
        <v>45689</v>
      </c>
      <c r="E16" s="7">
        <v>45690</v>
      </c>
      <c r="F16" s="7">
        <v>45691</v>
      </c>
      <c r="G16" s="7">
        <v>45692</v>
      </c>
      <c r="H16" s="7">
        <v>45693</v>
      </c>
      <c r="I16" s="7">
        <v>45694</v>
      </c>
      <c r="J16" s="7">
        <v>45695</v>
      </c>
      <c r="K16" s="7">
        <v>45696</v>
      </c>
      <c r="L16" s="7">
        <v>45697</v>
      </c>
      <c r="M16" s="7">
        <v>45698</v>
      </c>
      <c r="N16" s="7">
        <v>45699</v>
      </c>
      <c r="O16" s="7">
        <v>45700</v>
      </c>
      <c r="P16" s="7">
        <v>45701</v>
      </c>
      <c r="Q16" s="7">
        <v>45702</v>
      </c>
      <c r="R16" s="7">
        <v>45703</v>
      </c>
      <c r="S16" s="7">
        <v>45704</v>
      </c>
      <c r="T16" s="24" t="s">
        <v>6</v>
      </c>
      <c r="U16" s="15" t="s">
        <v>7</v>
      </c>
      <c r="V16" s="15" t="s">
        <v>13</v>
      </c>
      <c r="W16" s="15" t="s">
        <v>49</v>
      </c>
      <c r="X16" s="15" t="s">
        <v>25</v>
      </c>
      <c r="Y16" s="16" t="s">
        <v>5</v>
      </c>
    </row>
    <row r="17" spans="1:25" ht="15" customHeight="1" x14ac:dyDescent="0.25">
      <c r="A17" s="3">
        <f>IF(B17="","",1)</f>
        <v>1</v>
      </c>
      <c r="B17" s="4" t="s">
        <v>14</v>
      </c>
      <c r="C17" s="4" t="s">
        <v>15</v>
      </c>
      <c r="D17" s="4" t="s">
        <v>6</v>
      </c>
      <c r="E17" s="29" t="s">
        <v>26</v>
      </c>
      <c r="F17" s="4" t="s">
        <v>6</v>
      </c>
      <c r="G17" s="4" t="s">
        <v>6</v>
      </c>
      <c r="H17" s="51" t="s">
        <v>48</v>
      </c>
      <c r="I17" s="4" t="s">
        <v>6</v>
      </c>
      <c r="J17" s="4" t="s">
        <v>6</v>
      </c>
      <c r="K17" s="4" t="s">
        <v>6</v>
      </c>
      <c r="L17" s="29" t="s">
        <v>26</v>
      </c>
      <c r="M17" s="4" t="s">
        <v>6</v>
      </c>
      <c r="N17" s="4" t="s">
        <v>6</v>
      </c>
      <c r="O17" s="4" t="s">
        <v>6</v>
      </c>
      <c r="P17" s="4" t="s">
        <v>6</v>
      </c>
      <c r="Q17" s="51" t="s">
        <v>47</v>
      </c>
      <c r="R17" s="4" t="s">
        <v>6</v>
      </c>
      <c r="S17" s="29" t="s">
        <v>26</v>
      </c>
      <c r="T17" s="26">
        <f>COUNTIF(D17:S17,"P")</f>
        <v>11</v>
      </c>
      <c r="U17" s="8">
        <f>COUNTIF(D17:S17,"A")</f>
        <v>0</v>
      </c>
      <c r="V17" s="8">
        <f>COUNTIF(D17:S17,"L")</f>
        <v>0</v>
      </c>
      <c r="W17" s="4">
        <v>2</v>
      </c>
      <c r="X17" s="8">
        <v>3</v>
      </c>
      <c r="Y17" s="18">
        <f>T17+V17+W17+X17</f>
        <v>16</v>
      </c>
    </row>
    <row r="18" spans="1:25" x14ac:dyDescent="0.25">
      <c r="A18" s="3">
        <f>IF(B18="","",A17+1)</f>
        <v>2</v>
      </c>
      <c r="B18" s="4" t="s">
        <v>16</v>
      </c>
      <c r="C18" s="4" t="s">
        <v>17</v>
      </c>
      <c r="D18" s="4" t="s">
        <v>6</v>
      </c>
      <c r="E18" s="30"/>
      <c r="F18" s="4" t="s">
        <v>6</v>
      </c>
      <c r="G18" s="4" t="s">
        <v>6</v>
      </c>
      <c r="H18" s="51"/>
      <c r="I18" s="4" t="s">
        <v>6</v>
      </c>
      <c r="J18" s="4" t="s">
        <v>6</v>
      </c>
      <c r="K18" s="4" t="s">
        <v>6</v>
      </c>
      <c r="L18" s="30"/>
      <c r="M18" s="4" t="s">
        <v>6</v>
      </c>
      <c r="N18" s="4" t="s">
        <v>6</v>
      </c>
      <c r="O18" s="4" t="s">
        <v>6</v>
      </c>
      <c r="P18" s="4" t="s">
        <v>6</v>
      </c>
      <c r="Q18" s="51"/>
      <c r="R18" s="4" t="s">
        <v>6</v>
      </c>
      <c r="S18" s="30"/>
      <c r="T18" s="26">
        <f>COUNTIF(D18:S18,"P")</f>
        <v>11</v>
      </c>
      <c r="U18" s="8">
        <f>COUNTIF(D18:S18,"A")</f>
        <v>0</v>
      </c>
      <c r="V18" s="8">
        <f>COUNTIF(D18:S18,"L")</f>
        <v>0</v>
      </c>
      <c r="W18" s="4">
        <v>2</v>
      </c>
      <c r="X18" s="8">
        <v>3</v>
      </c>
      <c r="Y18" s="18">
        <f t="shared" ref="Y18:Y24" si="3">T18+V18+W18+X18</f>
        <v>16</v>
      </c>
    </row>
    <row r="19" spans="1:25" x14ac:dyDescent="0.25">
      <c r="A19" s="3">
        <f t="shared" ref="A19:A24" si="4">IF(B19="","",A18+1)</f>
        <v>3</v>
      </c>
      <c r="B19" s="4" t="s">
        <v>18</v>
      </c>
      <c r="C19" s="4" t="s">
        <v>19</v>
      </c>
      <c r="D19" s="4" t="s">
        <v>6</v>
      </c>
      <c r="E19" s="30"/>
      <c r="F19" s="4" t="s">
        <v>6</v>
      </c>
      <c r="G19" s="4" t="s">
        <v>6</v>
      </c>
      <c r="H19" s="51"/>
      <c r="I19" s="4" t="s">
        <v>6</v>
      </c>
      <c r="J19" s="4" t="s">
        <v>6</v>
      </c>
      <c r="K19" s="4" t="s">
        <v>6</v>
      </c>
      <c r="L19" s="30"/>
      <c r="M19" s="4" t="s">
        <v>6</v>
      </c>
      <c r="N19" s="4" t="s">
        <v>6</v>
      </c>
      <c r="O19" s="4" t="s">
        <v>6</v>
      </c>
      <c r="P19" s="4" t="s">
        <v>6</v>
      </c>
      <c r="Q19" s="51"/>
      <c r="R19" s="4" t="s">
        <v>6</v>
      </c>
      <c r="S19" s="30"/>
      <c r="T19" s="26">
        <f>COUNTIF(D19:S19,"P")</f>
        <v>11</v>
      </c>
      <c r="U19" s="8">
        <f>COUNTIF(D19:S19,"A")</f>
        <v>0</v>
      </c>
      <c r="V19" s="8">
        <f>COUNTIF(D19:S19,"L")</f>
        <v>0</v>
      </c>
      <c r="W19" s="4">
        <v>2</v>
      </c>
      <c r="X19" s="8">
        <v>3</v>
      </c>
      <c r="Y19" s="18">
        <f t="shared" si="3"/>
        <v>16</v>
      </c>
    </row>
    <row r="20" spans="1:25" x14ac:dyDescent="0.25">
      <c r="A20" s="3">
        <f t="shared" si="4"/>
        <v>4</v>
      </c>
      <c r="B20" s="4" t="s">
        <v>21</v>
      </c>
      <c r="C20" s="4" t="s">
        <v>20</v>
      </c>
      <c r="D20" s="4" t="s">
        <v>6</v>
      </c>
      <c r="E20" s="30"/>
      <c r="F20" s="4" t="s">
        <v>6</v>
      </c>
      <c r="G20" s="4" t="s">
        <v>6</v>
      </c>
      <c r="H20" s="51"/>
      <c r="I20" s="4" t="s">
        <v>6</v>
      </c>
      <c r="J20" s="4" t="s">
        <v>6</v>
      </c>
      <c r="K20" s="4" t="s">
        <v>6</v>
      </c>
      <c r="L20" s="30"/>
      <c r="M20" s="4" t="s">
        <v>6</v>
      </c>
      <c r="N20" s="4" t="s">
        <v>6</v>
      </c>
      <c r="O20" s="4" t="s">
        <v>6</v>
      </c>
      <c r="P20" s="4" t="s">
        <v>6</v>
      </c>
      <c r="Q20" s="51"/>
      <c r="R20" s="4" t="s">
        <v>6</v>
      </c>
      <c r="S20" s="30"/>
      <c r="T20" s="26">
        <f>COUNTIF(D20:S20,"P")</f>
        <v>11</v>
      </c>
      <c r="U20" s="8">
        <f>COUNTIF(D20:S20,"A")</f>
        <v>0</v>
      </c>
      <c r="V20" s="8">
        <f>COUNTIF(D20:S20,"L")</f>
        <v>0</v>
      </c>
      <c r="W20" s="4">
        <v>2</v>
      </c>
      <c r="X20" s="8">
        <v>3</v>
      </c>
      <c r="Y20" s="18">
        <f t="shared" si="3"/>
        <v>16</v>
      </c>
    </row>
    <row r="21" spans="1:25" x14ac:dyDescent="0.25">
      <c r="A21" s="3">
        <f t="shared" si="4"/>
        <v>5</v>
      </c>
      <c r="B21" s="4" t="s">
        <v>22</v>
      </c>
      <c r="C21" s="4" t="s">
        <v>23</v>
      </c>
      <c r="D21" s="4" t="s">
        <v>6</v>
      </c>
      <c r="E21" s="30"/>
      <c r="F21" s="4" t="s">
        <v>6</v>
      </c>
      <c r="G21" s="4" t="s">
        <v>6</v>
      </c>
      <c r="H21" s="51"/>
      <c r="I21" s="4" t="s">
        <v>6</v>
      </c>
      <c r="J21" s="4" t="s">
        <v>6</v>
      </c>
      <c r="K21" s="4" t="s">
        <v>6</v>
      </c>
      <c r="L21" s="30"/>
      <c r="M21" s="4" t="s">
        <v>6</v>
      </c>
      <c r="N21" s="4" t="s">
        <v>6</v>
      </c>
      <c r="O21" s="4" t="s">
        <v>6</v>
      </c>
      <c r="P21" s="4" t="s">
        <v>6</v>
      </c>
      <c r="Q21" s="51"/>
      <c r="R21" s="4" t="s">
        <v>6</v>
      </c>
      <c r="S21" s="30"/>
      <c r="T21" s="26">
        <f>COUNTIF(D21:S21,"P")</f>
        <v>11</v>
      </c>
      <c r="U21" s="8">
        <f>COUNTIF(D21:S21,"A")</f>
        <v>0</v>
      </c>
      <c r="V21" s="8">
        <f>COUNTIF(D21:S21,"L")</f>
        <v>0</v>
      </c>
      <c r="W21" s="4">
        <v>2</v>
      </c>
      <c r="X21" s="8">
        <v>3</v>
      </c>
      <c r="Y21" s="18">
        <f t="shared" si="3"/>
        <v>16</v>
      </c>
    </row>
    <row r="22" spans="1:25" x14ac:dyDescent="0.25">
      <c r="A22" s="3">
        <f t="shared" si="4"/>
        <v>6</v>
      </c>
      <c r="B22" s="13" t="s">
        <v>31</v>
      </c>
      <c r="C22" s="4" t="s">
        <v>20</v>
      </c>
      <c r="D22" s="4" t="s">
        <v>6</v>
      </c>
      <c r="E22" s="30"/>
      <c r="F22" s="4" t="s">
        <v>6</v>
      </c>
      <c r="G22" s="4" t="s">
        <v>6</v>
      </c>
      <c r="H22" s="51"/>
      <c r="I22" s="4" t="s">
        <v>6</v>
      </c>
      <c r="J22" s="4" t="s">
        <v>6</v>
      </c>
      <c r="K22" s="4" t="s">
        <v>6</v>
      </c>
      <c r="L22" s="30"/>
      <c r="M22" s="4" t="s">
        <v>6</v>
      </c>
      <c r="N22" s="4" t="s">
        <v>6</v>
      </c>
      <c r="O22" s="4" t="s">
        <v>6</v>
      </c>
      <c r="P22" s="4" t="s">
        <v>6</v>
      </c>
      <c r="Q22" s="51"/>
      <c r="R22" s="4" t="s">
        <v>6</v>
      </c>
      <c r="S22" s="30"/>
      <c r="T22" s="26">
        <f>COUNTIF(D22:S22,"P")</f>
        <v>11</v>
      </c>
      <c r="U22" s="8">
        <f>COUNTIF(D22:S22,"A")</f>
        <v>0</v>
      </c>
      <c r="V22" s="8">
        <f>COUNTIF(D22:S22,"L")</f>
        <v>0</v>
      </c>
      <c r="W22" s="4">
        <v>2</v>
      </c>
      <c r="X22" s="8">
        <v>3</v>
      </c>
      <c r="Y22" s="18">
        <f t="shared" si="3"/>
        <v>16</v>
      </c>
    </row>
    <row r="23" spans="1:25" x14ac:dyDescent="0.25">
      <c r="A23" s="3">
        <f t="shared" si="4"/>
        <v>7</v>
      </c>
      <c r="B23" s="13" t="s">
        <v>34</v>
      </c>
      <c r="C23" s="4" t="s">
        <v>20</v>
      </c>
      <c r="D23" s="13" t="s">
        <v>6</v>
      </c>
      <c r="E23" s="30"/>
      <c r="F23" s="13" t="s">
        <v>6</v>
      </c>
      <c r="G23" s="13" t="s">
        <v>6</v>
      </c>
      <c r="H23" s="51"/>
      <c r="I23" s="13" t="s">
        <v>6</v>
      </c>
      <c r="J23" s="13" t="s">
        <v>6</v>
      </c>
      <c r="K23" s="13" t="s">
        <v>6</v>
      </c>
      <c r="L23" s="30"/>
      <c r="M23" s="13" t="s">
        <v>6</v>
      </c>
      <c r="N23" s="13" t="s">
        <v>6</v>
      </c>
      <c r="O23" s="13" t="s">
        <v>6</v>
      </c>
      <c r="P23" s="13" t="s">
        <v>6</v>
      </c>
      <c r="Q23" s="51"/>
      <c r="R23" s="13" t="s">
        <v>6</v>
      </c>
      <c r="S23" s="30"/>
      <c r="T23" s="27">
        <f>COUNTIF(D23:S23,"P")</f>
        <v>11</v>
      </c>
      <c r="U23" s="14">
        <f>COUNTIF(D23:S23,"A")</f>
        <v>0</v>
      </c>
      <c r="V23" s="8">
        <f>COUNTIF(D23:S23,"L")</f>
        <v>0</v>
      </c>
      <c r="W23" s="13">
        <v>2</v>
      </c>
      <c r="X23" s="14">
        <v>3</v>
      </c>
      <c r="Y23" s="18">
        <f t="shared" si="3"/>
        <v>16</v>
      </c>
    </row>
    <row r="24" spans="1:25" ht="15.75" thickBot="1" x14ac:dyDescent="0.3">
      <c r="A24" s="3">
        <f t="shared" si="4"/>
        <v>8</v>
      </c>
      <c r="B24" s="6" t="s">
        <v>46</v>
      </c>
      <c r="C24" s="6" t="s">
        <v>37</v>
      </c>
      <c r="D24" s="6" t="s">
        <v>6</v>
      </c>
      <c r="E24" s="31"/>
      <c r="F24" s="6" t="s">
        <v>6</v>
      </c>
      <c r="G24" s="6" t="s">
        <v>6</v>
      </c>
      <c r="H24" s="52"/>
      <c r="I24" s="6" t="s">
        <v>6</v>
      </c>
      <c r="J24" s="6" t="s">
        <v>6</v>
      </c>
      <c r="K24" s="6" t="s">
        <v>6</v>
      </c>
      <c r="L24" s="31"/>
      <c r="M24" s="6" t="s">
        <v>6</v>
      </c>
      <c r="N24" s="6" t="s">
        <v>6</v>
      </c>
      <c r="O24" s="6" t="s">
        <v>6</v>
      </c>
      <c r="P24" s="6" t="s">
        <v>6</v>
      </c>
      <c r="Q24" s="52"/>
      <c r="R24" s="6" t="s">
        <v>6</v>
      </c>
      <c r="S24" s="31"/>
      <c r="T24" s="28">
        <f>COUNTIF(D24:S24,"P")</f>
        <v>11</v>
      </c>
      <c r="U24" s="9">
        <f>COUNTIF(D24:S24,"A")</f>
        <v>0</v>
      </c>
      <c r="V24" s="9">
        <f>COUNTIF(D24:S24,"L")</f>
        <v>0</v>
      </c>
      <c r="W24" s="6">
        <v>2</v>
      </c>
      <c r="X24" s="9">
        <v>3</v>
      </c>
      <c r="Y24" s="19">
        <f t="shared" si="3"/>
        <v>16</v>
      </c>
    </row>
  </sheetData>
  <mergeCells count="16">
    <mergeCell ref="E17:E24"/>
    <mergeCell ref="A14:Y14"/>
    <mergeCell ref="A15:C15"/>
    <mergeCell ref="T15:Y15"/>
    <mergeCell ref="L5:L12"/>
    <mergeCell ref="Q5:Q12"/>
    <mergeCell ref="S5:S12"/>
    <mergeCell ref="L17:L24"/>
    <mergeCell ref="H17:H24"/>
    <mergeCell ref="Q17:Q24"/>
    <mergeCell ref="S17:S24"/>
    <mergeCell ref="A2:Y2"/>
    <mergeCell ref="A3:C3"/>
    <mergeCell ref="T3:Y3"/>
    <mergeCell ref="E5:E12"/>
    <mergeCell ref="H5:H12"/>
  </mergeCells>
  <conditionalFormatting sqref="D17:D24">
    <cfRule type="expression" dxfId="29" priority="166">
      <formula>D$3="SUN"</formula>
    </cfRule>
    <cfRule type="cellIs" dxfId="28" priority="167" operator="equal">
      <formula>"A"</formula>
    </cfRule>
    <cfRule type="cellIs" dxfId="27" priority="168" operator="equal">
      <formula>"P"</formula>
    </cfRule>
  </conditionalFormatting>
  <conditionalFormatting sqref="E5 H5 L5 Q5 S5 D5:D12 F5:G12 I5:K12 M5:P12 R5:R12 D3:S4 D15:S16">
    <cfRule type="expression" dxfId="26" priority="217">
      <formula>D$3="SUN"</formula>
    </cfRule>
  </conditionalFormatting>
  <conditionalFormatting sqref="E5 H5 L5 Q5 S5 D5:D12 F5:G12 I5:K12 M5:P12 R5:R12">
    <cfRule type="cellIs" dxfId="25" priority="218" operator="equal">
      <formula>"A"</formula>
    </cfRule>
    <cfRule type="cellIs" dxfId="24" priority="219" operator="equal">
      <formula>"P"</formula>
    </cfRule>
  </conditionalFormatting>
  <conditionalFormatting sqref="E17">
    <cfRule type="expression" dxfId="23" priority="127">
      <formula>E$3="SUN"</formula>
    </cfRule>
    <cfRule type="cellIs" dxfId="22" priority="128" operator="equal">
      <formula>"A"</formula>
    </cfRule>
    <cfRule type="cellIs" dxfId="21" priority="129" operator="equal">
      <formula>"P"</formula>
    </cfRule>
  </conditionalFormatting>
  <conditionalFormatting sqref="F17:G24 I17:K24">
    <cfRule type="expression" dxfId="20" priority="97">
      <formula>F$3="SUN"</formula>
    </cfRule>
    <cfRule type="cellIs" dxfId="19" priority="98" operator="equal">
      <formula>"A"</formula>
    </cfRule>
    <cfRule type="cellIs" dxfId="18" priority="99" operator="equal">
      <formula>"P"</formula>
    </cfRule>
  </conditionalFormatting>
  <conditionalFormatting sqref="H17">
    <cfRule type="expression" dxfId="17" priority="1">
      <formula>H$3="SUN"</formula>
    </cfRule>
    <cfRule type="cellIs" dxfId="16" priority="2" operator="equal">
      <formula>"A"</formula>
    </cfRule>
    <cfRule type="cellIs" dxfId="15" priority="3" operator="equal">
      <formula>"P"</formula>
    </cfRule>
  </conditionalFormatting>
  <conditionalFormatting sqref="L17">
    <cfRule type="expression" dxfId="14" priority="40">
      <formula>L$3="SUN"</formula>
    </cfRule>
    <cfRule type="cellIs" dxfId="13" priority="41" operator="equal">
      <formula>"A"</formula>
    </cfRule>
    <cfRule type="cellIs" dxfId="12" priority="42" operator="equal">
      <formula>"P"</formula>
    </cfRule>
  </conditionalFormatting>
  <conditionalFormatting sqref="M17:P24">
    <cfRule type="expression" dxfId="11" priority="34">
      <formula>M$3="SUN"</formula>
    </cfRule>
    <cfRule type="cellIs" dxfId="10" priority="35" operator="equal">
      <formula>"A"</formula>
    </cfRule>
    <cfRule type="cellIs" dxfId="9" priority="36" operator="equal">
      <formula>"P"</formula>
    </cfRule>
  </conditionalFormatting>
  <conditionalFormatting sqref="Q17">
    <cfRule type="expression" dxfId="8" priority="25">
      <formula>Q$3="SUN"</formula>
    </cfRule>
    <cfRule type="cellIs" dxfId="7" priority="26" operator="equal">
      <formula>"A"</formula>
    </cfRule>
    <cfRule type="cellIs" dxfId="6" priority="27" operator="equal">
      <formula>"P"</formula>
    </cfRule>
  </conditionalFormatting>
  <conditionalFormatting sqref="R17:R24">
    <cfRule type="expression" dxfId="5" priority="31">
      <formula>R$3="SUN"</formula>
    </cfRule>
    <cfRule type="cellIs" dxfId="4" priority="32" operator="equal">
      <formula>"A"</formula>
    </cfRule>
    <cfRule type="cellIs" dxfId="3" priority="33" operator="equal">
      <formula>"P"</formula>
    </cfRule>
  </conditionalFormatting>
  <conditionalFormatting sqref="S17">
    <cfRule type="expression" dxfId="2" priority="37">
      <formula>S$3="SUN"</formula>
    </cfRule>
    <cfRule type="cellIs" dxfId="1" priority="38" operator="equal">
      <formula>"A"</formula>
    </cfRule>
    <cfRule type="cellIs" dxfId="0" priority="39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NOVEMBER-2024</vt:lpstr>
      <vt:lpstr>DECEMBER-2024</vt:lpstr>
      <vt:lpstr>JANUARY-2025</vt:lpstr>
      <vt:lpstr>FEBRUARY-2025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2025-05-06T05:18:24Z</dcterms:modified>
</cp:coreProperties>
</file>