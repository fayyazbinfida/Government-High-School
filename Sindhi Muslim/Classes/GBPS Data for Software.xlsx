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F526B6AE-59F6-4538-82B5-A54827A8A4D0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<sst xmlns="http://schemas.openxmlformats.org/spreadsheetml/2006/main" count="239" uniqueCount="103">
  <si>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</si>
  <si>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</si>
  <si>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</si>
  <si>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</si>
  <si>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</si>
  <si>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</si>
  <si>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</si>
  <si>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</si>
  <si>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</si>
  <si>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</si>
  <si>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</si>
  <si>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</si>
  <si>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</si>
  <si>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</si>
  <si>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</si>
  <si>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</si>
  <si>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</si>
  <si>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 xml:space="preserve">Islam </t>
  </si>
  <si>
    <t>SJCHS</t>
  </si>
  <si>
    <t>No</t>
  </si>
  <si>
    <t>Male</t>
  </si>
  <si>
    <t>Yes</t>
  </si>
  <si>
    <t>Sajjad Ali</t>
  </si>
  <si>
    <t>ECE (Daffodil)</t>
  </si>
  <si>
    <t>Abdul Qudoos</t>
  </si>
  <si>
    <t>Hafeezullah</t>
  </si>
  <si>
    <t>Shahid Hussain</t>
  </si>
  <si>
    <t>M Fahad</t>
  </si>
  <si>
    <t>Imran Ali</t>
  </si>
  <si>
    <t>Khalid Hussain</t>
  </si>
  <si>
    <t>Class-1</t>
  </si>
  <si>
    <t>M. Ismail</t>
  </si>
  <si>
    <t>M. Raheem Soomro</t>
  </si>
  <si>
    <t>Waheed Ahmed</t>
  </si>
  <si>
    <t>M. Talha</t>
  </si>
  <si>
    <t>Umair</t>
  </si>
  <si>
    <t>Zaheer Abbas</t>
  </si>
  <si>
    <t>Zulfiqar Ali Soomro</t>
  </si>
  <si>
    <t>41206-1542306-9</t>
  </si>
  <si>
    <t>Ayesha</t>
  </si>
  <si>
    <t>Class-2</t>
  </si>
  <si>
    <t>Kashaf</t>
  </si>
  <si>
    <t>Sehrish</t>
  </si>
  <si>
    <t>Hammad Ali</t>
  </si>
  <si>
    <t>Riaz Hussain</t>
  </si>
  <si>
    <t>Irfan Hussain</t>
  </si>
  <si>
    <t>Burair Abbas</t>
  </si>
  <si>
    <t>Azhar Abbas</t>
  </si>
  <si>
    <t>45304-2564470-9</t>
  </si>
  <si>
    <t>Class-3</t>
  </si>
  <si>
    <t>Azan</t>
  </si>
  <si>
    <t>Nisar Ahmed</t>
  </si>
  <si>
    <t>Haider Ali</t>
  </si>
  <si>
    <t>M. Yasin</t>
  </si>
  <si>
    <t>Shah Nawaz Khan</t>
  </si>
  <si>
    <t>Roohan</t>
  </si>
  <si>
    <t>Ishfaque</t>
  </si>
  <si>
    <t>Subhan</t>
  </si>
  <si>
    <t>Atteeque ur Rehman</t>
  </si>
  <si>
    <t>Raffique Ahmed</t>
  </si>
  <si>
    <t>Sawebia</t>
  </si>
  <si>
    <t>Sughra</t>
  </si>
  <si>
    <t>Suhrab Ali</t>
  </si>
  <si>
    <t>Tashfeen</t>
  </si>
  <si>
    <t>M. Idrees</t>
  </si>
  <si>
    <t>Tayyaba</t>
  </si>
  <si>
    <t>M. Farooque Sarki</t>
  </si>
  <si>
    <t>Rida-E-Zainab</t>
  </si>
  <si>
    <t>Faraz Hyder</t>
  </si>
  <si>
    <t>Bushra</t>
  </si>
  <si>
    <t>Farhan</t>
  </si>
  <si>
    <t>Mubashira</t>
  </si>
  <si>
    <t>Ubaidullah</t>
  </si>
  <si>
    <t>Total Girls</t>
  </si>
  <si>
    <t>Total Boys</t>
  </si>
  <si>
    <t>Total Students</t>
  </si>
  <si>
    <t>42501-1448557-9</t>
  </si>
  <si>
    <t>45504-6154013-7</t>
  </si>
  <si>
    <t>0334-3277404</t>
  </si>
  <si>
    <t>Fida Hussain</t>
  </si>
  <si>
    <t>0316-2611358</t>
  </si>
  <si>
    <t>0306-2134641</t>
  </si>
  <si>
    <t>Anamta Jamali</t>
  </si>
  <si>
    <t>0313-2928043</t>
  </si>
  <si>
    <t>43302-9362280-9</t>
  </si>
  <si>
    <t>0301-2886373</t>
  </si>
  <si>
    <t>42501-8283217-5</t>
  </si>
  <si>
    <t>42501-3606490-7</t>
  </si>
  <si>
    <t>45303-5067552-3</t>
  </si>
  <si>
    <t>34603-8946412-7</t>
  </si>
  <si>
    <t>45202-0196680-2</t>
  </si>
  <si>
    <t>42501-1443389-5</t>
  </si>
  <si>
    <t>0319-8352350</t>
  </si>
  <si>
    <t>43205-8599869-5</t>
  </si>
  <si>
    <t>0310-0553389</t>
  </si>
  <si>
    <t>43301-2613778-1</t>
  </si>
  <si>
    <t>0317-2800970</t>
  </si>
  <si>
    <t>45202-2081370-5</t>
  </si>
  <si>
    <t>0313-1163459</t>
  </si>
  <si>
    <t>0308-2742545</t>
  </si>
  <si>
    <t>0307-2886358</t>
  </si>
  <si>
    <t>0310-1048803</t>
  </si>
  <si>
    <t>0300-2317603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</si>
</sst>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1" xfId="0" applyFont="1" applyBorder="1"/>
    <xf numFmtId="164" fontId="12" fillId="0" borderId="1" xfId="0" applyNumberFormat="1" applyFont="1" applyBorder="1"/>
    <xf numFmtId="0" fontId="12" fillId="0" borderId="1" xfId="0" applyFont="1" applyBorder="1"/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horizontal="center"/>
    </xf>
    <xf numFmtId="0" fontId="14" fillId="0" borderId="0" xfId="0" applyFont="1"/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center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0" fontId="15" fillId="2" borderId="1" xfId="0" applyFont="1" applyFill="1" applyBorder="1"/>
    <xf numFmtId="0" fontId="15" fillId="2" borderId="4" xfId="0" applyFont="1" applyFill="1" applyBorder="1"/>
    <xf numFmtId="0" fontId="6" fillId="2" borderId="1" xfId="0" applyFont="1" applyFill="1" applyBorder="1" applyAlignment="1">
      <alignment horizontal="center"/>
    </xf>
    <xf numFmtId="0" fontId="11" fillId="2" borderId="1" xfId="0" applyFont="1" applyFill="1" applyBorder="1"/>
    <xf numFmtId="0" fontId="15" fillId="2" borderId="2" xfId="0" applyFont="1" applyFill="1" applyBorder="1"/>
    <xf numFmtId="0" fontId="2" fillId="2" borderId="1" xfId="0" applyFont="1" applyFill="1" applyBorder="1"/>
    <xf numFmtId="164" fontId="11" fillId="3" borderId="1" xfId="0" applyNumberFormat="1" applyFont="1" applyFill="1" applyBorder="1"/>
    <xf numFmtId="0" fontId="15" fillId="2" borderId="3" xfId="0" applyFont="1" applyFill="1" applyBorder="1"/>
    <xf numFmtId="164" fontId="6" fillId="2" borderId="1" xfId="0" applyNumberFormat="1" applyFont="1" applyFill="1" applyBorder="1"/>
    <xf numFmtId="0" fontId="6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1" fillId="2" borderId="1" xfId="0" applyFont="1" applyFill="1" applyBorder="1"/>
    <xf numFmtId="0" fontId="13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15" fillId="3" borderId="2" xfId="0" applyFont="1" applyFill="1" applyBorder="1"/>
    <xf numFmtId="0" fontId="15" fillId="3" borderId="4" xfId="0" applyFont="1" applyFill="1" applyBorder="1"/>
    <xf numFmtId="164" fontId="6" fillId="3" borderId="1" xfId="0" applyNumberFormat="1" applyFont="1" applyFill="1" applyBorder="1"/>
    <xf numFmtId="0" fontId="11" fillId="3" borderId="1" xfId="0" applyFont="1" applyFill="1" applyBorder="1"/>
    <xf numFmtId="0" fontId="6" fillId="3" borderId="0" xfId="0" applyFont="1" applyFill="1"/>
    <xf numFmtId="0" fontId="3" fillId="2" borderId="0" xfId="0" applyFont="1" applyFill="1"/>
    <xf numFmtId="0" fontId="1" fillId="3" borderId="1" xfId="0" applyFont="1" applyFill="1" applyBorder="1"/>
    <xf numFmtId="0" fontId="5" fillId="3" borderId="1" xfId="0" applyFont="1" applyFill="1" applyBorder="1"/>
    <xf numFmtId="0" fontId="3" fillId="3" borderId="1" xfId="0" applyFont="1" applyFill="1" applyBorder="1"/>
  </cellXfs>
  <cellStyles count="1">
    <cellStyle name="Normal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firstRowStripe" dxfId="19"/>
      <tableStyleElement type="firstColumnStripe" dxfId="18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pane ySplit="2" topLeftCell="A3" activePane="bottomLeft" state="frozen"/>
      <selection pane="bottomLeft" activeCell="A7" sqref="A7:XFD8"/>
    </sheetView>
  </sheetViews>
  <sheetFormatPr defaultColWidth="9.140625" defaultRowHeight="15"/>
  <cols>
    <col min="1" max="1" width="5.140625" style="10" customWidth="1"/>
    <col min="2" max="2" width="18.42578125" style="10" customWidth="1"/>
    <col min="3" max="3" width="5.42578125" style="10" customWidth="1"/>
    <col min="4" max="4" width="21.5703125" style="10" customWidth="1"/>
    <col min="5" max="5" width="22.5703125" style="10" customWidth="1"/>
    <col min="6" max="6" width="8.140625" style="10" customWidth="1"/>
    <col min="7" max="7" width="13.28515625" style="10" customWidth="1"/>
    <col min="8" max="8" width="13.7109375" style="11" customWidth="1"/>
    <col min="9" max="9" width="8.85546875" style="12" customWidth="1"/>
    <col min="10" max="10" width="8.7109375" style="10" customWidth="1"/>
    <col min="11" max="11" width="16.28515625" style="11" customWidth="1"/>
    <col min="12" max="12" width="23.28515625" style="10" customWidth="1"/>
    <col min="13" max="13" width="17.42578125" style="10" customWidth="1"/>
    <col min="14" max="14" width="9" style="10" customWidth="1"/>
    <col min="15" max="16384" width="9.140625" style="10"/>
  </cols>
  <sheetData>
    <row r="1" spans="1:14" s="7" customFormat="1" ht="30" customHeight="1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s="9" customFormat="1" ht="15.7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5" t="s">
        <v>8</v>
      </c>
      <c r="I2" s="8" t="s">
        <v>9</v>
      </c>
      <c r="J2" s="6" t="s">
        <v>10</v>
      </c>
      <c r="K2" s="5" t="s">
        <v>11</v>
      </c>
      <c r="L2" s="6" t="s">
        <v>12</v>
      </c>
      <c r="M2" s="6" t="s">
        <v>13</v>
      </c>
      <c r="N2" s="6" t="s">
        <v>14</v>
      </c>
    </row>
    <row r="3" spans="1:14" s="24" customFormat="1" ht="15.75">
      <c r="A3" s="13">
        <v>1</v>
      </c>
      <c r="B3" s="13" t="s">
        <v>15</v>
      </c>
      <c r="C3" s="17"/>
      <c r="D3" s="19" t="s">
        <v>27</v>
      </c>
      <c r="E3" s="16" t="s">
        <v>29</v>
      </c>
      <c r="F3" s="13" t="s">
        <v>20</v>
      </c>
      <c r="G3" s="13" t="s">
        <v>23</v>
      </c>
      <c r="H3" s="21"/>
      <c r="I3" s="17" t="s">
        <v>17</v>
      </c>
      <c r="J3" s="13" t="s">
        <v>18</v>
      </c>
      <c r="K3" s="23">
        <v>45519</v>
      </c>
      <c r="L3" s="18" t="s">
        <v>77</v>
      </c>
      <c r="M3" s="25" t="s">
        <v>83</v>
      </c>
      <c r="N3" s="18" t="s">
        <v>21</v>
      </c>
    </row>
    <row r="4" spans="1:14" s="24" customFormat="1" ht="15.75">
      <c r="A4" s="13">
        <v>2</v>
      </c>
      <c r="B4" s="13" t="s">
        <v>15</v>
      </c>
      <c r="C4" s="17"/>
      <c r="D4" s="19" t="s">
        <v>31</v>
      </c>
      <c r="E4" s="16" t="s">
        <v>32</v>
      </c>
      <c r="F4" s="13" t="s">
        <v>20</v>
      </c>
      <c r="G4" s="13" t="s">
        <v>30</v>
      </c>
      <c r="H4" s="23">
        <v>43565</v>
      </c>
      <c r="I4" s="17" t="s">
        <v>17</v>
      </c>
      <c r="J4" s="13" t="s">
        <v>18</v>
      </c>
      <c r="K4" s="23">
        <v>44775</v>
      </c>
      <c r="L4" s="21"/>
      <c r="M4" s="26" t="s">
        <v>81</v>
      </c>
      <c r="N4" s="18" t="s">
        <v>19</v>
      </c>
    </row>
    <row r="5" spans="1:14" s="35" customFormat="1" ht="15.75">
      <c r="A5" s="13">
        <v>3</v>
      </c>
      <c r="B5" s="29" t="s">
        <v>15</v>
      </c>
      <c r="C5" s="30"/>
      <c r="D5" s="31" t="s">
        <v>34</v>
      </c>
      <c r="E5" s="32" t="s">
        <v>35</v>
      </c>
      <c r="F5" s="29" t="s">
        <v>20</v>
      </c>
      <c r="G5" s="29" t="s">
        <v>30</v>
      </c>
      <c r="H5" s="33"/>
      <c r="I5" s="30" t="s">
        <v>17</v>
      </c>
      <c r="J5" s="29" t="s">
        <v>18</v>
      </c>
      <c r="K5" s="33"/>
      <c r="L5" s="34"/>
      <c r="M5" s="38" t="s">
        <v>78</v>
      </c>
      <c r="N5" s="34" t="s">
        <v>19</v>
      </c>
    </row>
    <row r="6" spans="1:14" s="24" customFormat="1" ht="15.75">
      <c r="A6" s="13">
        <v>11</v>
      </c>
      <c r="B6" s="13" t="s">
        <v>15</v>
      </c>
      <c r="C6" s="17">
        <v>523</v>
      </c>
      <c r="D6" s="19" t="s">
        <v>82</v>
      </c>
      <c r="E6" s="16" t="s">
        <v>36</v>
      </c>
      <c r="F6" s="13" t="s">
        <v>16</v>
      </c>
      <c r="G6" s="13" t="s">
        <v>40</v>
      </c>
      <c r="H6" s="23">
        <v>42396</v>
      </c>
      <c r="I6" s="17" t="s">
        <v>17</v>
      </c>
      <c r="J6" s="13" t="s">
        <v>18</v>
      </c>
      <c r="K6" s="23">
        <v>44440</v>
      </c>
      <c r="L6" s="21"/>
      <c r="M6" s="20" t="s">
        <v>101</v>
      </c>
      <c r="N6" s="18" t="s">
        <v>21</v>
      </c>
    </row>
    <row r="7" spans="1:14" s="35" customFormat="1" ht="15.75">
      <c r="A7" s="13">
        <v>14</v>
      </c>
      <c r="B7" s="29" t="s">
        <v>15</v>
      </c>
      <c r="C7" s="30"/>
      <c r="D7" s="31" t="s">
        <v>42</v>
      </c>
      <c r="E7" s="32" t="s">
        <v>79</v>
      </c>
      <c r="F7" s="29" t="s">
        <v>16</v>
      </c>
      <c r="G7" s="29" t="s">
        <v>40</v>
      </c>
      <c r="H7" s="33"/>
      <c r="I7" s="30" t="s">
        <v>17</v>
      </c>
      <c r="J7" s="29" t="s">
        <v>18</v>
      </c>
      <c r="K7" s="33"/>
      <c r="L7" s="34"/>
      <c r="M7" s="39" t="s">
        <v>85</v>
      </c>
      <c r="N7" s="34" t="s">
        <v>19</v>
      </c>
    </row>
    <row r="8" spans="1:14" s="24" customFormat="1" ht="15.75">
      <c r="A8" s="13">
        <v>15</v>
      </c>
      <c r="B8" s="13" t="s">
        <v>15</v>
      </c>
      <c r="C8" s="17"/>
      <c r="D8" s="19" t="s">
        <v>39</v>
      </c>
      <c r="E8" s="16" t="s">
        <v>37</v>
      </c>
      <c r="F8" s="13" t="s">
        <v>16</v>
      </c>
      <c r="G8" s="13" t="s">
        <v>40</v>
      </c>
      <c r="H8" s="23">
        <v>42363</v>
      </c>
      <c r="I8" s="17" t="s">
        <v>17</v>
      </c>
      <c r="J8" s="13" t="s">
        <v>18</v>
      </c>
      <c r="K8" s="21"/>
      <c r="L8" s="18" t="s">
        <v>38</v>
      </c>
      <c r="M8" s="13" t="s">
        <v>80</v>
      </c>
      <c r="N8" s="18" t="s">
        <v>21</v>
      </c>
    </row>
    <row r="9" spans="1:14" s="24" customFormat="1" ht="15.75">
      <c r="A9" s="13">
        <v>16</v>
      </c>
      <c r="B9" s="13" t="s">
        <v>15</v>
      </c>
      <c r="C9" s="17">
        <v>663</v>
      </c>
      <c r="D9" s="19" t="s">
        <v>43</v>
      </c>
      <c r="E9" s="16" t="s">
        <v>22</v>
      </c>
      <c r="F9" s="13" t="s">
        <v>20</v>
      </c>
      <c r="G9" s="13" t="s">
        <v>40</v>
      </c>
      <c r="H9" s="23">
        <v>42837</v>
      </c>
      <c r="I9" s="17" t="s">
        <v>17</v>
      </c>
      <c r="J9" s="13" t="s">
        <v>18</v>
      </c>
      <c r="K9" s="23">
        <v>45140</v>
      </c>
      <c r="L9" s="18" t="s">
        <v>84</v>
      </c>
      <c r="M9" s="21"/>
      <c r="N9" s="18" t="s">
        <v>19</v>
      </c>
    </row>
    <row r="10" spans="1:14" s="24" customFormat="1" ht="15.75">
      <c r="A10" s="13">
        <v>17</v>
      </c>
      <c r="B10" s="13" t="s">
        <v>15</v>
      </c>
      <c r="C10" s="17">
        <v>669</v>
      </c>
      <c r="D10" s="19" t="s">
        <v>44</v>
      </c>
      <c r="E10" s="16" t="s">
        <v>45</v>
      </c>
      <c r="F10" s="13" t="s">
        <v>20</v>
      </c>
      <c r="G10" s="13" t="s">
        <v>40</v>
      </c>
      <c r="H10" s="23">
        <v>40665</v>
      </c>
      <c r="I10" s="17" t="s">
        <v>17</v>
      </c>
      <c r="J10" s="13" t="s">
        <v>18</v>
      </c>
      <c r="K10" s="23">
        <v>45142</v>
      </c>
      <c r="L10" s="18" t="s">
        <v>86</v>
      </c>
      <c r="M10" s="21"/>
      <c r="N10" s="18" t="s">
        <v>19</v>
      </c>
    </row>
    <row r="11" spans="1:14" s="24" customFormat="1" ht="15.75">
      <c r="A11" s="13">
        <v>18</v>
      </c>
      <c r="B11" s="13" t="s">
        <v>15</v>
      </c>
      <c r="C11" s="17"/>
      <c r="D11" s="19" t="s">
        <v>46</v>
      </c>
      <c r="E11" s="16" t="s">
        <v>47</v>
      </c>
      <c r="F11" s="13" t="s">
        <v>20</v>
      </c>
      <c r="G11" s="13" t="s">
        <v>40</v>
      </c>
      <c r="H11" s="23">
        <v>43509</v>
      </c>
      <c r="I11" s="17" t="s">
        <v>17</v>
      </c>
      <c r="J11" s="13" t="s">
        <v>18</v>
      </c>
      <c r="K11" s="21"/>
      <c r="L11" s="18" t="s">
        <v>48</v>
      </c>
      <c r="M11" s="21"/>
      <c r="N11" s="18" t="s">
        <v>19</v>
      </c>
    </row>
    <row r="12" spans="1:14" s="24" customFormat="1" ht="15.75">
      <c r="A12" s="13">
        <v>19</v>
      </c>
      <c r="B12" s="13" t="s">
        <v>15</v>
      </c>
      <c r="C12" s="14">
        <v>490</v>
      </c>
      <c r="D12" s="15" t="s">
        <v>24</v>
      </c>
      <c r="E12" s="22" t="s">
        <v>33</v>
      </c>
      <c r="F12" s="13" t="s">
        <v>20</v>
      </c>
      <c r="G12" s="13" t="s">
        <v>49</v>
      </c>
      <c r="H12" s="23">
        <v>41848</v>
      </c>
      <c r="I12" s="17" t="s">
        <v>17</v>
      </c>
      <c r="J12" s="13" t="s">
        <v>18</v>
      </c>
      <c r="K12" s="23">
        <v>44842</v>
      </c>
      <c r="L12" s="21"/>
      <c r="M12" s="20" t="s">
        <v>92</v>
      </c>
      <c r="N12" s="18" t="s">
        <v>19</v>
      </c>
    </row>
    <row r="13" spans="1:14" s="24" customFormat="1" ht="15.75">
      <c r="A13" s="13">
        <v>20</v>
      </c>
      <c r="B13" s="13" t="s">
        <v>15</v>
      </c>
      <c r="C13" s="17">
        <v>691</v>
      </c>
      <c r="D13" s="19" t="s">
        <v>50</v>
      </c>
      <c r="E13" s="16" t="s">
        <v>51</v>
      </c>
      <c r="F13" s="13" t="s">
        <v>20</v>
      </c>
      <c r="G13" s="13" t="s">
        <v>49</v>
      </c>
      <c r="H13" s="23">
        <v>41854</v>
      </c>
      <c r="I13" s="17" t="s">
        <v>17</v>
      </c>
      <c r="J13" s="13" t="s">
        <v>18</v>
      </c>
      <c r="K13" s="23">
        <v>45148</v>
      </c>
      <c r="L13" s="18" t="s">
        <v>87</v>
      </c>
      <c r="M13" s="21"/>
      <c r="N13" s="18" t="s">
        <v>19</v>
      </c>
    </row>
    <row r="14" spans="1:14" s="24" customFormat="1" ht="15.75">
      <c r="A14" s="13">
        <v>21</v>
      </c>
      <c r="B14" s="13" t="s">
        <v>15</v>
      </c>
      <c r="C14" s="17">
        <v>689</v>
      </c>
      <c r="D14" s="19" t="s">
        <v>52</v>
      </c>
      <c r="E14" s="16" t="s">
        <v>28</v>
      </c>
      <c r="F14" s="13" t="s">
        <v>20</v>
      </c>
      <c r="G14" s="13" t="s">
        <v>49</v>
      </c>
      <c r="H14" s="23">
        <v>42083</v>
      </c>
      <c r="I14" s="17" t="s">
        <v>17</v>
      </c>
      <c r="J14" s="13" t="s">
        <v>18</v>
      </c>
      <c r="K14" s="23">
        <v>45207</v>
      </c>
      <c r="L14" s="18" t="s">
        <v>88</v>
      </c>
      <c r="M14" s="21"/>
      <c r="N14" s="18" t="s">
        <v>19</v>
      </c>
    </row>
    <row r="15" spans="1:14" s="24" customFormat="1" ht="15.75">
      <c r="A15" s="13">
        <v>22</v>
      </c>
      <c r="B15" s="13" t="s">
        <v>15</v>
      </c>
      <c r="C15" s="17">
        <v>587</v>
      </c>
      <c r="D15" s="19" t="s">
        <v>53</v>
      </c>
      <c r="E15" s="16" t="s">
        <v>54</v>
      </c>
      <c r="F15" s="13" t="s">
        <v>20</v>
      </c>
      <c r="G15" s="13" t="s">
        <v>49</v>
      </c>
      <c r="H15" s="23">
        <v>41704</v>
      </c>
      <c r="I15" s="17" t="s">
        <v>17</v>
      </c>
      <c r="J15" s="13" t="s">
        <v>18</v>
      </c>
      <c r="K15" s="23">
        <v>44783</v>
      </c>
      <c r="L15" s="18" t="s">
        <v>76</v>
      </c>
      <c r="M15" s="21"/>
      <c r="N15" s="18" t="s">
        <v>21</v>
      </c>
    </row>
    <row r="16" spans="1:14" s="24" customFormat="1" ht="15.75">
      <c r="A16" s="13">
        <v>23</v>
      </c>
      <c r="B16" s="13" t="s">
        <v>15</v>
      </c>
      <c r="C16" s="17"/>
      <c r="D16" s="19" t="s">
        <v>55</v>
      </c>
      <c r="E16" s="16" t="s">
        <v>56</v>
      </c>
      <c r="F16" s="13" t="s">
        <v>20</v>
      </c>
      <c r="G16" s="13" t="s">
        <v>49</v>
      </c>
      <c r="H16" s="23">
        <v>42489</v>
      </c>
      <c r="I16" s="17" t="s">
        <v>17</v>
      </c>
      <c r="J16" s="13" t="s">
        <v>18</v>
      </c>
      <c r="K16" s="21"/>
      <c r="L16" s="18" t="s">
        <v>89</v>
      </c>
      <c r="M16" s="20" t="s">
        <v>100</v>
      </c>
      <c r="N16" s="18" t="s">
        <v>21</v>
      </c>
    </row>
    <row r="17" spans="1:16" s="24" customFormat="1" ht="15.75">
      <c r="A17" s="13">
        <v>24</v>
      </c>
      <c r="B17" s="13" t="s">
        <v>15</v>
      </c>
      <c r="C17" s="17"/>
      <c r="D17" s="19" t="s">
        <v>57</v>
      </c>
      <c r="E17" s="16" t="s">
        <v>56</v>
      </c>
      <c r="F17" s="13" t="s">
        <v>20</v>
      </c>
      <c r="G17" s="13" t="s">
        <v>49</v>
      </c>
      <c r="H17" s="23">
        <v>42885</v>
      </c>
      <c r="I17" s="17" t="s">
        <v>17</v>
      </c>
      <c r="J17" s="13" t="s">
        <v>18</v>
      </c>
      <c r="K17" s="21"/>
      <c r="L17" s="18" t="s">
        <v>89</v>
      </c>
      <c r="M17" s="20" t="s">
        <v>100</v>
      </c>
      <c r="N17" s="18" t="s">
        <v>21</v>
      </c>
    </row>
    <row r="18" spans="1:16" s="35" customFormat="1" ht="15.75">
      <c r="A18" s="13">
        <v>25</v>
      </c>
      <c r="B18" s="29" t="s">
        <v>15</v>
      </c>
      <c r="C18" s="30"/>
      <c r="D18" s="31" t="s">
        <v>58</v>
      </c>
      <c r="E18" s="32" t="s">
        <v>59</v>
      </c>
      <c r="F18" s="29" t="s">
        <v>20</v>
      </c>
      <c r="G18" s="29" t="s">
        <v>49</v>
      </c>
      <c r="H18" s="33"/>
      <c r="I18" s="30" t="s">
        <v>17</v>
      </c>
      <c r="J18" s="29" t="s">
        <v>18</v>
      </c>
      <c r="K18" s="33"/>
      <c r="L18" s="34"/>
      <c r="M18" s="29"/>
      <c r="N18" s="34" t="s">
        <v>19</v>
      </c>
    </row>
    <row r="19" spans="1:16" s="24" customFormat="1" ht="15.75">
      <c r="A19" s="13">
        <v>26</v>
      </c>
      <c r="B19" s="13" t="s">
        <v>15</v>
      </c>
      <c r="C19" s="17">
        <v>520</v>
      </c>
      <c r="D19" s="19" t="s">
        <v>41</v>
      </c>
      <c r="E19" s="16" t="s">
        <v>26</v>
      </c>
      <c r="F19" s="13" t="s">
        <v>16</v>
      </c>
      <c r="G19" s="13" t="s">
        <v>49</v>
      </c>
      <c r="H19" s="23">
        <v>42376</v>
      </c>
      <c r="I19" s="17" t="s">
        <v>17</v>
      </c>
      <c r="J19" s="13" t="s">
        <v>18</v>
      </c>
      <c r="K19" s="23">
        <v>44440</v>
      </c>
      <c r="L19" s="33"/>
      <c r="M19" s="27" t="s">
        <v>102</v>
      </c>
      <c r="N19" s="18" t="s">
        <v>19</v>
      </c>
    </row>
    <row r="20" spans="1:16" s="24" customFormat="1" ht="15.75">
      <c r="A20" s="13">
        <v>27</v>
      </c>
      <c r="B20" s="13" t="s">
        <v>15</v>
      </c>
      <c r="C20" s="17"/>
      <c r="D20" s="19" t="s">
        <v>60</v>
      </c>
      <c r="E20" s="16" t="s">
        <v>25</v>
      </c>
      <c r="F20" s="13" t="s">
        <v>16</v>
      </c>
      <c r="G20" s="13" t="s">
        <v>49</v>
      </c>
      <c r="H20" s="23">
        <v>42128</v>
      </c>
      <c r="I20" s="17" t="s">
        <v>17</v>
      </c>
      <c r="J20" s="13" t="s">
        <v>18</v>
      </c>
      <c r="K20" s="23">
        <v>45148</v>
      </c>
      <c r="L20" s="18" t="s">
        <v>90</v>
      </c>
      <c r="M20" s="33"/>
      <c r="N20" s="18" t="s">
        <v>19</v>
      </c>
    </row>
    <row r="21" spans="1:16" s="24" customFormat="1" ht="15.75">
      <c r="A21" s="13">
        <v>28</v>
      </c>
      <c r="B21" s="13" t="s">
        <v>15</v>
      </c>
      <c r="C21" s="17"/>
      <c r="D21" s="19" t="s">
        <v>61</v>
      </c>
      <c r="E21" s="16" t="s">
        <v>62</v>
      </c>
      <c r="F21" s="13" t="s">
        <v>16</v>
      </c>
      <c r="G21" s="13" t="s">
        <v>49</v>
      </c>
      <c r="H21" s="23">
        <v>42199</v>
      </c>
      <c r="I21" s="17" t="s">
        <v>17</v>
      </c>
      <c r="J21" s="13" t="s">
        <v>18</v>
      </c>
      <c r="K21" s="33"/>
      <c r="L21" s="18" t="s">
        <v>95</v>
      </c>
      <c r="M21" s="20" t="s">
        <v>96</v>
      </c>
      <c r="N21" s="18" t="s">
        <v>19</v>
      </c>
    </row>
    <row r="22" spans="1:16" s="24" customFormat="1" ht="15.75">
      <c r="A22" s="13">
        <v>29</v>
      </c>
      <c r="B22" s="13" t="s">
        <v>15</v>
      </c>
      <c r="C22" s="17"/>
      <c r="D22" s="19" t="s">
        <v>63</v>
      </c>
      <c r="E22" s="16" t="s">
        <v>64</v>
      </c>
      <c r="F22" s="13" t="s">
        <v>16</v>
      </c>
      <c r="G22" s="13" t="s">
        <v>49</v>
      </c>
      <c r="H22" s="23">
        <v>41075</v>
      </c>
      <c r="I22" s="17" t="s">
        <v>17</v>
      </c>
      <c r="J22" s="13" t="s">
        <v>18</v>
      </c>
      <c r="K22" s="33"/>
      <c r="L22" s="18" t="s">
        <v>97</v>
      </c>
      <c r="M22" s="20" t="s">
        <v>98</v>
      </c>
      <c r="N22" s="18" t="s">
        <v>19</v>
      </c>
      <c r="P22" s="36"/>
    </row>
    <row r="23" spans="1:16" s="24" customFormat="1" ht="15.75">
      <c r="A23" s="13">
        <v>30</v>
      </c>
      <c r="B23" s="13" t="s">
        <v>15</v>
      </c>
      <c r="C23" s="17"/>
      <c r="D23" s="19" t="s">
        <v>65</v>
      </c>
      <c r="E23" s="16" t="s">
        <v>66</v>
      </c>
      <c r="F23" s="13" t="s">
        <v>16</v>
      </c>
      <c r="G23" s="13" t="s">
        <v>49</v>
      </c>
      <c r="H23" s="23">
        <v>42413</v>
      </c>
      <c r="I23" s="17" t="s">
        <v>17</v>
      </c>
      <c r="J23" s="13" t="s">
        <v>18</v>
      </c>
      <c r="K23" s="33"/>
      <c r="L23" s="18" t="s">
        <v>91</v>
      </c>
      <c r="M23" s="20" t="s">
        <v>99</v>
      </c>
      <c r="N23" s="18" t="s">
        <v>19</v>
      </c>
    </row>
    <row r="24" spans="1:16" s="35" customFormat="1" ht="15.75">
      <c r="A24" s="13">
        <v>31</v>
      </c>
      <c r="B24" s="29" t="s">
        <v>15</v>
      </c>
      <c r="C24" s="30"/>
      <c r="D24" s="31" t="s">
        <v>67</v>
      </c>
      <c r="E24" s="32" t="s">
        <v>68</v>
      </c>
      <c r="F24" s="29" t="s">
        <v>16</v>
      </c>
      <c r="G24" s="29" t="s">
        <v>49</v>
      </c>
      <c r="H24" s="33"/>
      <c r="I24" s="30" t="s">
        <v>17</v>
      </c>
      <c r="J24" s="29" t="s">
        <v>18</v>
      </c>
      <c r="K24" s="33"/>
      <c r="L24" s="34"/>
      <c r="M24" s="37"/>
      <c r="N24" s="34" t="s">
        <v>19</v>
      </c>
    </row>
    <row r="25" spans="1:16" s="24" customFormat="1" ht="15.75">
      <c r="A25" s="13">
        <v>32</v>
      </c>
      <c r="B25" s="13" t="s">
        <v>15</v>
      </c>
      <c r="C25" s="17"/>
      <c r="D25" s="19" t="s">
        <v>69</v>
      </c>
      <c r="E25" s="16" t="s">
        <v>70</v>
      </c>
      <c r="F25" s="13" t="s">
        <v>16</v>
      </c>
      <c r="G25" s="13" t="s">
        <v>49</v>
      </c>
      <c r="H25" s="23">
        <v>42087</v>
      </c>
      <c r="I25" s="17" t="s">
        <v>17</v>
      </c>
      <c r="J25" s="13" t="s">
        <v>18</v>
      </c>
      <c r="K25" s="33"/>
      <c r="L25" s="18" t="s">
        <v>93</v>
      </c>
      <c r="M25" s="20" t="s">
        <v>94</v>
      </c>
      <c r="N25" s="18" t="s">
        <v>19</v>
      </c>
    </row>
    <row r="26" spans="1:16" s="35" customFormat="1" ht="15.75">
      <c r="A26" s="13">
        <v>33</v>
      </c>
      <c r="B26" s="29" t="s">
        <v>15</v>
      </c>
      <c r="C26" s="30"/>
      <c r="D26" s="31" t="s">
        <v>71</v>
      </c>
      <c r="E26" s="32" t="s">
        <v>72</v>
      </c>
      <c r="F26" s="29" t="s">
        <v>16</v>
      </c>
      <c r="G26" s="29" t="s">
        <v>49</v>
      </c>
      <c r="H26" s="33"/>
      <c r="I26" s="30" t="s">
        <v>17</v>
      </c>
      <c r="J26" s="29" t="s">
        <v>18</v>
      </c>
      <c r="K26" s="33"/>
      <c r="L26" s="34"/>
      <c r="M26" s="29"/>
      <c r="N26" s="34" t="s">
        <v>19</v>
      </c>
    </row>
  </sheetData>
  <mergeCells count="1">
    <mergeCell ref="A1:N1"/>
  </mergeCells>
  <conditionalFormatting sqref="C1:C1048576">
    <cfRule type="duplicateValues" dxfId="6" priority="2"/>
  </conditionalFormatting>
  <conditionalFormatting sqref="L20:L1048576 L13:L18 L7:L11 L5 L1:L3">
    <cfRule type="duplicateValues" dxfId="5" priority="5"/>
  </conditionalFormatting>
  <conditionalFormatting sqref="M21:M1048576 M16:M19 M12 M1:M8">
    <cfRule type="duplicateValues" dxfId="4" priority="4"/>
  </conditionalFormatting>
  <conditionalFormatting sqref="C12:C18">
    <cfRule type="duplicateValues" dxfId="3" priority="399"/>
  </conditionalFormatting>
  <conditionalFormatting sqref="C19:C26">
    <cfRule type="duplicateValues" dxfId="2" priority="478"/>
  </conditionalFormatting>
  <conditionalFormatting sqref="C3">
    <cfRule type="duplicateValues" dxfId="1" priority="512"/>
  </conditionalFormatting>
  <conditionalFormatting sqref="C4:C5">
    <cfRule type="duplicateValues" dxfId="0" priority="657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73</v>
      </c>
      <c r="B2" s="4">
        <f>COUNTIF('All Record'!$F$2:$F$1048576,"Female")</f>
        <v>11</v>
      </c>
    </row>
    <row r="3" spans="1:2" ht="21">
      <c r="A3" s="4" t="s">
        <v>74</v>
      </c>
      <c r="B3" s="4">
        <f>COUNTIF('All Record'!$F$2:$F$1048576,"Male")</f>
        <v>13</v>
      </c>
    </row>
    <row r="4" spans="1:2" ht="21">
      <c r="A4" s="4" t="s">
        <v>75</v>
      </c>
      <c r="B4" s="4">
        <f>B2+B3</f>
        <v>24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2024-11-21T07:24:42Z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