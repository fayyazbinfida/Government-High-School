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Student Attendance\Class 4\"/>
    </mc:Choice>
  </mc:AlternateContent>
  <xr:revisionPtr revIDLastSave="0" documentId="13_ncr:1_{CB7751CB-1E4F-4852-AEC8-7D73EBF4A8DB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Class-IV (Boys)" sheetId="7" r:id="rId1"/>
    <sheet name="Class-IV (Girls)" sheetId="1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31" i="18" l="1"/>
  <c r="X31" i="18"/>
  <c r="W32" i="18"/>
  <c r="X32" i="18"/>
  <c r="W33" i="18"/>
  <c r="X33" i="18"/>
  <c r="W34" i="18"/>
  <c r="X34" i="18"/>
  <c r="W35" i="18"/>
  <c r="X35" i="18"/>
  <c r="Z11" i="7"/>
  <c r="AA18" i="18"/>
  <c r="Z18" i="18"/>
  <c r="AA10" i="18"/>
  <c r="Z10" i="18"/>
  <c r="X30" i="18"/>
  <c r="W30" i="18"/>
  <c r="X29" i="18"/>
  <c r="W29" i="18"/>
  <c r="X28" i="18"/>
  <c r="W28" i="18"/>
  <c r="X27" i="18"/>
  <c r="W27" i="18"/>
  <c r="X26" i="18"/>
  <c r="W26" i="18"/>
  <c r="X25" i="18"/>
  <c r="W25" i="18"/>
  <c r="X24" i="18"/>
  <c r="W24" i="18"/>
  <c r="X23" i="18"/>
  <c r="W23" i="18"/>
  <c r="X22" i="18"/>
  <c r="W22" i="18"/>
  <c r="X21" i="18"/>
  <c r="W21" i="18"/>
  <c r="X20" i="18"/>
  <c r="W20" i="18"/>
  <c r="X19" i="18"/>
  <c r="W19" i="18"/>
  <c r="X18" i="18"/>
  <c r="W18" i="18"/>
  <c r="X17" i="18"/>
  <c r="W17" i="18"/>
  <c r="X16" i="18"/>
  <c r="W16" i="18"/>
  <c r="X15" i="18"/>
  <c r="W15" i="18"/>
  <c r="X14" i="18"/>
  <c r="W14" i="18"/>
  <c r="X13" i="18"/>
  <c r="W13" i="18"/>
  <c r="X12" i="18"/>
  <c r="W12" i="18"/>
  <c r="X11" i="18"/>
  <c r="W11" i="18"/>
  <c r="X10" i="18"/>
  <c r="W10" i="18"/>
  <c r="X9" i="18"/>
  <c r="W9" i="18"/>
  <c r="X8" i="18"/>
  <c r="W8" i="18"/>
  <c r="X7" i="18"/>
  <c r="W7" i="18"/>
  <c r="X6" i="18"/>
  <c r="W6" i="18"/>
  <c r="X5" i="18"/>
  <c r="W5" i="18"/>
  <c r="V3" i="18"/>
  <c r="U3" i="18"/>
  <c r="T3" i="18"/>
  <c r="S3" i="18"/>
  <c r="R3" i="18"/>
  <c r="Q3" i="18"/>
  <c r="P3" i="18"/>
  <c r="O3" i="18"/>
  <c r="N3" i="18"/>
  <c r="M3" i="18"/>
  <c r="L3" i="18"/>
  <c r="K3" i="18"/>
  <c r="J3" i="18"/>
  <c r="I3" i="18"/>
  <c r="H3" i="18"/>
  <c r="G3" i="18"/>
  <c r="F3" i="18"/>
  <c r="X21" i="7"/>
  <c r="W21" i="7"/>
  <c r="X20" i="7"/>
  <c r="W20" i="7"/>
  <c r="X19" i="7"/>
  <c r="W19" i="7"/>
  <c r="AA18" i="7"/>
  <c r="Z18" i="7"/>
  <c r="X18" i="7"/>
  <c r="W18" i="7"/>
  <c r="X17" i="7"/>
  <c r="W17" i="7"/>
  <c r="X16" i="7"/>
  <c r="W16" i="7"/>
  <c r="X15" i="7"/>
  <c r="W15" i="7"/>
  <c r="X14" i="7"/>
  <c r="W14" i="7"/>
  <c r="X13" i="7"/>
  <c r="W13" i="7"/>
  <c r="X12" i="7"/>
  <c r="W12" i="7"/>
  <c r="X11" i="7"/>
  <c r="W11" i="7"/>
  <c r="AA10" i="7"/>
  <c r="Z10" i="7"/>
  <c r="X10" i="7"/>
  <c r="W10" i="7"/>
  <c r="X9" i="7"/>
  <c r="W9" i="7"/>
  <c r="X8" i="7"/>
  <c r="W8" i="7"/>
  <c r="X7" i="7"/>
  <c r="W7" i="7"/>
  <c r="X6" i="7"/>
  <c r="W6" i="7"/>
  <c r="X5" i="7"/>
  <c r="W5" i="7"/>
  <c r="V3" i="7"/>
  <c r="U3" i="7"/>
  <c r="T3" i="7"/>
  <c r="S3" i="7"/>
  <c r="R3" i="7"/>
  <c r="Q3" i="7"/>
  <c r="P3" i="7"/>
  <c r="O3" i="7"/>
  <c r="N3" i="7"/>
  <c r="M3" i="7"/>
  <c r="L3" i="7"/>
  <c r="K3" i="7"/>
  <c r="J3" i="7"/>
  <c r="I3" i="7"/>
  <c r="H3" i="7"/>
  <c r="G3" i="7"/>
  <c r="F3" i="7"/>
  <c r="AA11" i="18" l="1"/>
  <c r="AA19" i="18" s="1"/>
  <c r="AA20" i="18" s="1"/>
  <c r="Z11" i="18"/>
  <c r="Z19" i="18" s="1"/>
  <c r="AA11" i="7"/>
  <c r="AA12" i="7" s="1"/>
  <c r="Z19" i="7"/>
  <c r="AB10" i="18"/>
  <c r="AB18" i="18"/>
  <c r="AB10" i="7"/>
  <c r="AB18" i="7"/>
  <c r="AA12" i="18" l="1"/>
  <c r="Z12" i="18"/>
  <c r="AB11" i="18"/>
  <c r="AB12" i="18" s="1"/>
  <c r="Z20" i="18"/>
  <c r="AB19" i="18"/>
  <c r="AB20" i="18" s="1"/>
  <c r="Z12" i="7"/>
  <c r="AA19" i="7"/>
  <c r="AA20" i="7" s="1"/>
  <c r="Z20" i="7"/>
  <c r="AB11" i="7"/>
  <c r="AB12" i="7" s="1"/>
  <c r="AB19" i="7" l="1"/>
  <c r="AB20" i="7" s="1"/>
</calcChain>
</file>

<file path=xl/sharedStrings.xml><?xml version="1.0" encoding="utf-8"?>
<sst xmlns="http://schemas.openxmlformats.org/spreadsheetml/2006/main" count="782" uniqueCount="126">
  <si>
    <t>S.No</t>
  </si>
  <si>
    <t>GR</t>
  </si>
  <si>
    <t>Student Name</t>
  </si>
  <si>
    <t>Father Name</t>
  </si>
  <si>
    <t>Class</t>
  </si>
  <si>
    <t>Present</t>
  </si>
  <si>
    <t>Absent</t>
  </si>
  <si>
    <t>Total day</t>
  </si>
  <si>
    <t>Working days</t>
  </si>
  <si>
    <t>Indepedence day</t>
  </si>
  <si>
    <t xml:space="preserve">Sunday </t>
  </si>
  <si>
    <t>Present Days Detail</t>
  </si>
  <si>
    <t>Detail</t>
  </si>
  <si>
    <t>Boys</t>
  </si>
  <si>
    <t>Girls</t>
  </si>
  <si>
    <t>Total</t>
  </si>
  <si>
    <t xml:space="preserve"> Due Present days </t>
  </si>
  <si>
    <t>Actual present days</t>
  </si>
  <si>
    <t>%</t>
  </si>
  <si>
    <t>Absent  days</t>
  </si>
  <si>
    <t>Year 2024</t>
  </si>
  <si>
    <t>Monthly Attendence Month of August-2024</t>
  </si>
  <si>
    <t>Goverment high school (SJCHS)</t>
  </si>
  <si>
    <t>Abdul Ghaffar</t>
  </si>
  <si>
    <t>Dil Murad</t>
  </si>
  <si>
    <t>A</t>
  </si>
  <si>
    <t>P</t>
  </si>
  <si>
    <t>L</t>
  </si>
  <si>
    <t>Fahad</t>
  </si>
  <si>
    <t>Deedar Ali</t>
  </si>
  <si>
    <t>.</t>
  </si>
  <si>
    <t>Nisar Ahmed</t>
  </si>
  <si>
    <t>Zulfiqar Ali</t>
  </si>
  <si>
    <t>Hamid Ali Siyal</t>
  </si>
  <si>
    <t>Maryam</t>
  </si>
  <si>
    <t>Faraz Hyder</t>
  </si>
  <si>
    <t>Bushra</t>
  </si>
  <si>
    <t>SUNDAY - SUNDAY - SUNDAY</t>
  </si>
  <si>
    <t>URS SHAH ABDUL LATIF BHITTAI</t>
  </si>
  <si>
    <t>CHEHLUM - CHEHLUM - CHEHLUM</t>
  </si>
  <si>
    <t>OFF DUE TO HEAVY RAIN</t>
  </si>
  <si>
    <t>Aqeel Ahmed</t>
  </si>
  <si>
    <t>Najeebullah</t>
  </si>
  <si>
    <t>Ali Jan</t>
  </si>
  <si>
    <t>Muhammad Shafique</t>
  </si>
  <si>
    <t>Dost Muhammad</t>
  </si>
  <si>
    <t>Muhammad Usman</t>
  </si>
  <si>
    <t>Razique Dino</t>
  </si>
  <si>
    <t>Imdad Ali</t>
  </si>
  <si>
    <t>Muhammad Suleman</t>
  </si>
  <si>
    <t>Muhammad Faisal</t>
  </si>
  <si>
    <t>Abdul Sattar</t>
  </si>
  <si>
    <t>Muzammil</t>
  </si>
  <si>
    <t>Tanveer Ahmed</t>
  </si>
  <si>
    <t>Wazeer Ali</t>
  </si>
  <si>
    <t>Zain</t>
  </si>
  <si>
    <t>Zaheer Ahmed</t>
  </si>
  <si>
    <t>Nazeer Ali</t>
  </si>
  <si>
    <t>Tasawar Ali</t>
  </si>
  <si>
    <t>Ahsan Ali</t>
  </si>
  <si>
    <t>Sameer Ali</t>
  </si>
  <si>
    <t>Gulbahar Ali</t>
  </si>
  <si>
    <t>Zan Ul Abdin</t>
  </si>
  <si>
    <t>Muhammad Anees</t>
  </si>
  <si>
    <t>Muhammad Ramzan</t>
  </si>
  <si>
    <t>Abrar Hussain</t>
  </si>
  <si>
    <t>Muhammad Hussain</t>
  </si>
  <si>
    <t>Khawar Ali</t>
  </si>
  <si>
    <t>Areeba</t>
  </si>
  <si>
    <t>Muhammad Arif</t>
  </si>
  <si>
    <t>Bakhtawar</t>
  </si>
  <si>
    <t>Taj Muhammad</t>
  </si>
  <si>
    <t>Bibi Zehra</t>
  </si>
  <si>
    <t>Liaqat Ali</t>
  </si>
  <si>
    <t>Rana</t>
  </si>
  <si>
    <t>Dua Soomro</t>
  </si>
  <si>
    <t>Muhammad Shafeeque</t>
  </si>
  <si>
    <t>Fatima Gul</t>
  </si>
  <si>
    <t>Shahnawaz Khan</t>
  </si>
  <si>
    <t>Ghulam Sakina</t>
  </si>
  <si>
    <t>Rafeeq Ahmed</t>
  </si>
  <si>
    <t>Gul Sanober</t>
  </si>
  <si>
    <t>Sabir Hussain</t>
  </si>
  <si>
    <t>Hiba Bhutto</t>
  </si>
  <si>
    <t>Muhammad Azeem</t>
  </si>
  <si>
    <t>Isha</t>
  </si>
  <si>
    <t>Fazal Muhammad</t>
  </si>
  <si>
    <t>Khadija tul Qubra</t>
  </si>
  <si>
    <t>Adnan Jameel</t>
  </si>
  <si>
    <t>Khushboo Fatima</t>
  </si>
  <si>
    <t>Abdul Rehman</t>
  </si>
  <si>
    <t>Laraib</t>
  </si>
  <si>
    <t>Maheen</t>
  </si>
  <si>
    <t>Sohail Ahmed</t>
  </si>
  <si>
    <t>Mehboob Ali</t>
  </si>
  <si>
    <t>Minal Ali</t>
  </si>
  <si>
    <t>Misbah</t>
  </si>
  <si>
    <t>Faiz Muhammad</t>
  </si>
  <si>
    <t>Muntasha</t>
  </si>
  <si>
    <t>Ghulam Murtaza</t>
  </si>
  <si>
    <t xml:space="preserve">Nimra </t>
  </si>
  <si>
    <t>Muhammad Ghaffar Jokhio</t>
  </si>
  <si>
    <t>Nisha</t>
  </si>
  <si>
    <t>Meraal</t>
  </si>
  <si>
    <t>Nuzahat</t>
  </si>
  <si>
    <t>Khalid Hussain Abbasi</t>
  </si>
  <si>
    <t>Rooba</t>
  </si>
  <si>
    <t>Lakhmir Khan</t>
  </si>
  <si>
    <t>Tahmeena</t>
  </si>
  <si>
    <t>Zara</t>
  </si>
  <si>
    <t>Zahid Ali</t>
  </si>
  <si>
    <t>Zoya</t>
  </si>
  <si>
    <t>Zoya Ahsan</t>
  </si>
  <si>
    <t>Bisma</t>
  </si>
  <si>
    <t>Basheer Ahmed</t>
  </si>
  <si>
    <t>Sabeen Bhutto</t>
  </si>
  <si>
    <t>Shahid Bhutto</t>
  </si>
  <si>
    <t>Javeria Jameel</t>
  </si>
  <si>
    <t>Jameel Hussain</t>
  </si>
  <si>
    <t>Hamadullah</t>
  </si>
  <si>
    <t>SUNDAY - SUNDAY</t>
  </si>
  <si>
    <t>CHEHLUM - CHEHLUM</t>
  </si>
  <si>
    <t>Ambreen Junejo</t>
  </si>
  <si>
    <t>Noor Nisa</t>
  </si>
  <si>
    <t>Amjad Ali</t>
  </si>
  <si>
    <t>Four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</si>
</sst>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,mmm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3" fillId="0" borderId="0" xfId="0" applyFont="1"/>
    <xf numFmtId="0" fontId="4" fillId="0" borderId="2" xfId="0" applyFont="1" applyBorder="1" applyAlignment="1">
      <alignment horizontal="center"/>
    </xf>
    <xf numFmtId="0" fontId="5" fillId="0" borderId="0" xfId="0" applyFont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2" xfId="0" applyBorder="1"/>
    <xf numFmtId="0" fontId="3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/>
    </xf>
    <xf numFmtId="9" fontId="5" fillId="0" borderId="0" xfId="1" applyFont="1" applyBorder="1"/>
    <xf numFmtId="0" fontId="3" fillId="2" borderId="2" xfId="0" applyFont="1" applyFill="1" applyBorder="1" applyAlignment="1">
      <alignment horizontal="center"/>
    </xf>
    <xf numFmtId="0" fontId="5" fillId="2" borderId="0" xfId="0" applyFont="1" applyFill="1"/>
    <xf numFmtId="9" fontId="3" fillId="0" borderId="2" xfId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 textRotation="90" wrapText="1"/>
    </xf>
    <xf numFmtId="0" fontId="2" fillId="0" borderId="1" xfId="0" applyFont="1" applyBorder="1" applyAlignment="1">
      <alignment horizontal="center" vertical="center" textRotation="255"/>
    </xf>
    <xf numFmtId="0" fontId="2" fillId="0" borderId="8" xfId="0" applyFont="1" applyBorder="1" applyAlignment="1">
      <alignment horizontal="center" vertical="center" textRotation="255"/>
    </xf>
    <xf numFmtId="0" fontId="2" fillId="4" borderId="1" xfId="0" applyFont="1" applyFill="1" applyBorder="1" applyAlignment="1">
      <alignment horizontal="center" vertical="center" textRotation="255"/>
    </xf>
    <xf numFmtId="0" fontId="2" fillId="4" borderId="8" xfId="0" applyFont="1" applyFill="1" applyBorder="1" applyAlignment="1">
      <alignment horizontal="center" vertical="center" textRotation="255"/>
    </xf>
    <xf numFmtId="0" fontId="6" fillId="3" borderId="1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7" fontId="8" fillId="3" borderId="3" xfId="0" applyNumberFormat="1" applyFont="1" applyFill="1" applyBorder="1" applyAlignment="1">
      <alignment horizontal="center" vertical="center"/>
    </xf>
    <xf numFmtId="17" fontId="8" fillId="3" borderId="7" xfId="0" applyNumberFormat="1" applyFont="1" applyFill="1" applyBorder="1" applyAlignment="1">
      <alignment horizontal="center" vertical="center"/>
    </xf>
    <xf numFmtId="17" fontId="8" fillId="3" borderId="4" xfId="0" applyNumberFormat="1" applyFont="1" applyFill="1" applyBorder="1" applyAlignment="1">
      <alignment horizontal="center" vertical="center"/>
    </xf>
    <xf numFmtId="0" fontId="9" fillId="0" borderId="2" xfId="0" applyFont="1" applyBorder="1"/>
    <xf numFmtId="0" fontId="9" fillId="0" borderId="6" xfId="0" applyFont="1" applyBorder="1"/>
    <xf numFmtId="0" fontId="9" fillId="0" borderId="5" xfId="0" applyFont="1" applyBorder="1"/>
    <xf numFmtId="0" fontId="9" fillId="0" borderId="8" xfId="0" applyFont="1" applyBorder="1"/>
    <xf numFmtId="0" fontId="9" fillId="0" borderId="10" xfId="0" applyFont="1" applyBorder="1"/>
    <xf numFmtId="0" fontId="1" fillId="0" borderId="2" xfId="0" applyFont="1" applyBorder="1"/>
    <xf numFmtId="0" fontId="1" fillId="0" borderId="4" xfId="0" applyFont="1" applyBorder="1"/>
    <xf numFmtId="0" fontId="9" fillId="0" borderId="4" xfId="0" applyFont="1" applyBorder="1"/>
    <xf numFmtId="0" fontId="2" fillId="0" borderId="11" xfId="0" applyFont="1" applyBorder="1" applyAlignment="1">
      <alignment horizontal="center" vertical="center" textRotation="255"/>
    </xf>
    <xf numFmtId="0" fontId="2" fillId="0" borderId="12" xfId="0" applyFont="1" applyBorder="1" applyAlignment="1">
      <alignment horizontal="center" vertical="center" textRotation="255"/>
    </xf>
    <xf numFmtId="0" fontId="0" fillId="0" borderId="2" xfId="0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 textRotation="255"/>
    </xf>
    <xf numFmtId="0" fontId="2" fillId="4" borderId="10" xfId="0" applyFont="1" applyFill="1" applyBorder="1" applyAlignment="1">
      <alignment horizontal="center" vertical="center" textRotation="255"/>
    </xf>
  </cellXfs>
  <cellStyles count="2">
    <cellStyle name="Normal" xfId="0" builtinId="0"/>
    <cellStyle name="Percent" xfId="1" builtinId="5"/>
  </cellStyles>
  <dxfs count="25"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AEC60-7EB8-45C3-AF72-C11F7CE845DC}">
  <dimension ref="A1:AB21"/>
  <sheetViews>
    <sheetView topLeftCell="A19" workbookViewId="0">
      <selection activeCell="E5" sqref="E5:E21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8" width="3.7109375" style="1" bestFit="1" customWidth="1"/>
    <col min="9" max="9" width="3.85546875" style="1" bestFit="1" customWidth="1"/>
    <col min="10" max="10" width="4.5703125" style="1" bestFit="1" customWidth="1"/>
    <col min="11" max="11" width="3.85546875" style="1" bestFit="1" customWidth="1"/>
    <col min="12" max="12" width="4.7109375" style="1" bestFit="1" customWidth="1"/>
    <col min="13" max="13" width="3.85546875" style="1" bestFit="1" customWidth="1"/>
    <col min="14" max="15" width="3.7109375" style="1" bestFit="1" customWidth="1"/>
    <col min="16" max="16" width="3.85546875" style="1" bestFit="1" customWidth="1"/>
    <col min="17" max="17" width="4.5703125" style="1" bestFit="1" customWidth="1"/>
    <col min="18" max="18" width="3.85546875" style="1" bestFit="1" customWidth="1"/>
    <col min="19" max="19" width="4.7109375" style="1" bestFit="1" customWidth="1"/>
    <col min="20" max="20" width="3.85546875" style="1" bestFit="1" customWidth="1"/>
    <col min="21" max="22" width="3.7109375" style="1" bestFit="1" customWidth="1"/>
    <col min="23" max="24" width="6.7109375" style="1" bestFit="1" customWidth="1"/>
    <col min="25" max="25" width="18.5703125" style="1" bestFit="1" customWidth="1"/>
    <col min="26" max="26" width="5.85546875" style="1" bestFit="1" customWidth="1"/>
    <col min="27" max="27" width="14.28515625" style="1" bestFit="1" customWidth="1"/>
    <col min="28" max="28" width="6.7109375" style="1" bestFit="1" customWidth="1"/>
    <col min="29" max="16384" width="3.85546875" style="1"/>
  </cols>
  <sheetData>
    <row r="1" spans="1:28" ht="17.25" x14ac:dyDescent="0.25">
      <c r="A1" s="25" t="s">
        <v>22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</row>
    <row r="2" spans="1:28" ht="17.25" x14ac:dyDescent="0.3">
      <c r="A2" s="24" t="s">
        <v>21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</row>
    <row r="3" spans="1:28" ht="15.75" x14ac:dyDescent="0.25">
      <c r="A3" s="22" t="s">
        <v>0</v>
      </c>
      <c r="B3" s="22" t="s">
        <v>1</v>
      </c>
      <c r="C3" s="22" t="s">
        <v>2</v>
      </c>
      <c r="D3" s="22" t="s">
        <v>3</v>
      </c>
      <c r="E3" s="22" t="s">
        <v>4</v>
      </c>
      <c r="F3" s="2" t="str">
        <f t="shared" ref="F3:V3" si="0">TEXT(F4,"ddd")</f>
        <v>Thu</v>
      </c>
      <c r="G3" s="2" t="str">
        <f t="shared" si="0"/>
        <v>Fri</v>
      </c>
      <c r="H3" s="2" t="str">
        <f t="shared" si="0"/>
        <v>Sat</v>
      </c>
      <c r="I3" s="2" t="str">
        <f t="shared" si="0"/>
        <v>Sun</v>
      </c>
      <c r="J3" s="2" t="str">
        <f t="shared" si="0"/>
        <v>Mon</v>
      </c>
      <c r="K3" s="2" t="str">
        <f t="shared" si="0"/>
        <v>Tue</v>
      </c>
      <c r="L3" s="2" t="str">
        <f t="shared" si="0"/>
        <v>Wed</v>
      </c>
      <c r="M3" s="2" t="str">
        <f t="shared" si="0"/>
        <v>Thu</v>
      </c>
      <c r="N3" s="2" t="str">
        <f t="shared" si="0"/>
        <v>Fri</v>
      </c>
      <c r="O3" s="2" t="str">
        <f t="shared" si="0"/>
        <v>Sat</v>
      </c>
      <c r="P3" s="2" t="str">
        <f t="shared" si="0"/>
        <v>Sun</v>
      </c>
      <c r="Q3" s="2" t="str">
        <f t="shared" si="0"/>
        <v>Mon</v>
      </c>
      <c r="R3" s="2" t="str">
        <f t="shared" si="0"/>
        <v>Tue</v>
      </c>
      <c r="S3" s="2" t="str">
        <f t="shared" si="0"/>
        <v>Wed</v>
      </c>
      <c r="T3" s="2" t="str">
        <f t="shared" si="0"/>
        <v>Thu</v>
      </c>
      <c r="U3" s="2" t="str">
        <f t="shared" si="0"/>
        <v>Fri</v>
      </c>
      <c r="V3" s="2" t="str">
        <f t="shared" si="0"/>
        <v>Sat</v>
      </c>
      <c r="W3" s="26" t="s">
        <v>5</v>
      </c>
      <c r="X3" s="26" t="s">
        <v>6</v>
      </c>
      <c r="Y3" s="27" t="s">
        <v>20</v>
      </c>
      <c r="Z3" s="28"/>
      <c r="AA3" s="3"/>
      <c r="AB3" s="3"/>
    </row>
    <row r="4" spans="1:28" ht="36.75" x14ac:dyDescent="0.25">
      <c r="A4" s="23"/>
      <c r="B4" s="23"/>
      <c r="C4" s="23"/>
      <c r="D4" s="23"/>
      <c r="E4" s="23"/>
      <c r="F4" s="17">
        <v>45519</v>
      </c>
      <c r="G4" s="17">
        <v>45520</v>
      </c>
      <c r="H4" s="17">
        <v>45521</v>
      </c>
      <c r="I4" s="17">
        <v>45522</v>
      </c>
      <c r="J4" s="17">
        <v>45523</v>
      </c>
      <c r="K4" s="17">
        <v>45524</v>
      </c>
      <c r="L4" s="17">
        <v>45525</v>
      </c>
      <c r="M4" s="17">
        <v>45526</v>
      </c>
      <c r="N4" s="17">
        <v>45527</v>
      </c>
      <c r="O4" s="17">
        <v>45528</v>
      </c>
      <c r="P4" s="17">
        <v>45529</v>
      </c>
      <c r="Q4" s="17">
        <v>45530</v>
      </c>
      <c r="R4" s="17">
        <v>45531</v>
      </c>
      <c r="S4" s="17">
        <v>45532</v>
      </c>
      <c r="T4" s="17">
        <v>45533</v>
      </c>
      <c r="U4" s="17">
        <v>45534</v>
      </c>
      <c r="V4" s="17">
        <v>45535</v>
      </c>
      <c r="W4" s="26"/>
      <c r="X4" s="26"/>
      <c r="Y4" s="4" t="s">
        <v>7</v>
      </c>
      <c r="Z4" s="5">
        <v>31</v>
      </c>
      <c r="AA4" s="3"/>
      <c r="AB4" s="3"/>
    </row>
    <row r="5" spans="1:28" ht="15" customHeight="1" x14ac:dyDescent="0.25">
      <c r="A5" s="6">
        <v>1</v>
      </c>
      <c r="B5" s="7">
        <v>527</v>
      </c>
      <c r="C5" s="30" t="s">
        <v>41</v>
      </c>
      <c r="D5" s="31" t="s">
        <v>42</v>
      </c>
      <c r="E5" s="8" t="s">
        <v>125</v>
      </c>
      <c r="F5" s="9" t="s">
        <v>26</v>
      </c>
      <c r="G5" s="9" t="s">
        <v>26</v>
      </c>
      <c r="H5" s="9" t="s">
        <v>26</v>
      </c>
      <c r="I5" s="18" t="s">
        <v>120</v>
      </c>
      <c r="J5" s="9" t="s">
        <v>25</v>
      </c>
      <c r="K5" s="9" t="s">
        <v>25</v>
      </c>
      <c r="L5" s="9" t="s">
        <v>26</v>
      </c>
      <c r="M5" s="9" t="s">
        <v>26</v>
      </c>
      <c r="N5" s="9" t="s">
        <v>26</v>
      </c>
      <c r="O5" s="9" t="s">
        <v>26</v>
      </c>
      <c r="P5" s="18" t="s">
        <v>120</v>
      </c>
      <c r="Q5" s="20" t="s">
        <v>121</v>
      </c>
      <c r="R5" s="9" t="s">
        <v>26</v>
      </c>
      <c r="S5" s="9" t="s">
        <v>25</v>
      </c>
      <c r="T5" s="9" t="s">
        <v>26</v>
      </c>
      <c r="U5" s="20" t="s">
        <v>40</v>
      </c>
      <c r="V5" s="9" t="s">
        <v>25</v>
      </c>
      <c r="W5" s="5">
        <f t="shared" ref="W5:W21" si="1">COUNTIF(F5:V5,"P")</f>
        <v>9</v>
      </c>
      <c r="X5" s="5">
        <f t="shared" ref="X5:X21" si="2">COUNTIF(F5:V5,"A")</f>
        <v>4</v>
      </c>
      <c r="Y5" s="5" t="s">
        <v>8</v>
      </c>
      <c r="Z5" s="10">
        <v>26</v>
      </c>
      <c r="AA5" s="11" t="s">
        <v>9</v>
      </c>
      <c r="AB5" s="3"/>
    </row>
    <row r="6" spans="1:28" x14ac:dyDescent="0.25">
      <c r="A6" s="10">
        <v>2</v>
      </c>
      <c r="B6" s="12">
        <v>472</v>
      </c>
      <c r="C6" s="32" t="s">
        <v>43</v>
      </c>
      <c r="D6" s="31" t="s">
        <v>44</v>
      </c>
      <c r="E6" s="8" t="s">
        <v>125</v>
      </c>
      <c r="F6" s="9" t="s">
        <v>25</v>
      </c>
      <c r="G6" s="9" t="s">
        <v>26</v>
      </c>
      <c r="H6" s="9" t="s">
        <v>26</v>
      </c>
      <c r="I6" s="19"/>
      <c r="J6" s="9" t="s">
        <v>26</v>
      </c>
      <c r="K6" s="9" t="s">
        <v>26</v>
      </c>
      <c r="L6" s="9" t="s">
        <v>26</v>
      </c>
      <c r="M6" s="9" t="s">
        <v>26</v>
      </c>
      <c r="N6" s="9" t="s">
        <v>26</v>
      </c>
      <c r="O6" s="9" t="s">
        <v>26</v>
      </c>
      <c r="P6" s="19"/>
      <c r="Q6" s="21"/>
      <c r="R6" s="9" t="s">
        <v>25</v>
      </c>
      <c r="S6" s="9" t="s">
        <v>25</v>
      </c>
      <c r="T6" s="9" t="s">
        <v>25</v>
      </c>
      <c r="U6" s="21"/>
      <c r="V6" s="9" t="s">
        <v>25</v>
      </c>
      <c r="W6" s="5">
        <f t="shared" si="1"/>
        <v>8</v>
      </c>
      <c r="X6" s="5">
        <f t="shared" si="2"/>
        <v>5</v>
      </c>
      <c r="Y6" s="5" t="s">
        <v>10</v>
      </c>
      <c r="Z6" s="10">
        <v>4</v>
      </c>
      <c r="AA6" s="3"/>
      <c r="AB6" s="3"/>
    </row>
    <row r="7" spans="1:28" x14ac:dyDescent="0.25">
      <c r="A7" s="6">
        <v>3</v>
      </c>
      <c r="B7" s="12">
        <v>579</v>
      </c>
      <c r="C7" s="32" t="s">
        <v>45</v>
      </c>
      <c r="D7" s="31" t="s">
        <v>46</v>
      </c>
      <c r="E7" s="8" t="s">
        <v>125</v>
      </c>
      <c r="F7" s="9" t="s">
        <v>25</v>
      </c>
      <c r="G7" s="9" t="s">
        <v>26</v>
      </c>
      <c r="H7" s="9" t="s">
        <v>26</v>
      </c>
      <c r="I7" s="19"/>
      <c r="J7" s="9" t="s">
        <v>26</v>
      </c>
      <c r="K7" s="9" t="s">
        <v>26</v>
      </c>
      <c r="L7" s="9" t="s">
        <v>26</v>
      </c>
      <c r="M7" s="9" t="s">
        <v>26</v>
      </c>
      <c r="N7" s="9" t="s">
        <v>26</v>
      </c>
      <c r="O7" s="9" t="s">
        <v>26</v>
      </c>
      <c r="P7" s="19"/>
      <c r="Q7" s="21"/>
      <c r="R7" s="9" t="s">
        <v>26</v>
      </c>
      <c r="S7" s="9" t="s">
        <v>25</v>
      </c>
      <c r="T7" s="9" t="s">
        <v>25</v>
      </c>
      <c r="U7" s="21"/>
      <c r="V7" s="9" t="s">
        <v>25</v>
      </c>
      <c r="W7" s="5">
        <f t="shared" si="1"/>
        <v>9</v>
      </c>
      <c r="X7" s="5">
        <f t="shared" si="2"/>
        <v>4</v>
      </c>
      <c r="Y7" s="3"/>
      <c r="Z7" s="3"/>
      <c r="AA7" s="3"/>
      <c r="AB7" s="3"/>
    </row>
    <row r="8" spans="1:28" ht="15.75" x14ac:dyDescent="0.25">
      <c r="A8" s="10">
        <v>4</v>
      </c>
      <c r="B8" s="12">
        <v>405</v>
      </c>
      <c r="C8" s="32" t="s">
        <v>28</v>
      </c>
      <c r="D8" s="31" t="s">
        <v>47</v>
      </c>
      <c r="E8" s="8" t="s">
        <v>125</v>
      </c>
      <c r="F8" s="9" t="s">
        <v>26</v>
      </c>
      <c r="G8" s="9" t="s">
        <v>26</v>
      </c>
      <c r="H8" s="9" t="s">
        <v>26</v>
      </c>
      <c r="I8" s="19"/>
      <c r="J8" s="9" t="s">
        <v>26</v>
      </c>
      <c r="K8" s="9" t="s">
        <v>26</v>
      </c>
      <c r="L8" s="9" t="s">
        <v>26</v>
      </c>
      <c r="M8" s="9" t="s">
        <v>26</v>
      </c>
      <c r="N8" s="9" t="s">
        <v>26</v>
      </c>
      <c r="O8" s="9" t="s">
        <v>26</v>
      </c>
      <c r="P8" s="19"/>
      <c r="Q8" s="21"/>
      <c r="R8" s="9" t="s">
        <v>25</v>
      </c>
      <c r="S8" s="9" t="s">
        <v>26</v>
      </c>
      <c r="T8" s="9" t="s">
        <v>26</v>
      </c>
      <c r="U8" s="21"/>
      <c r="V8" s="9" t="s">
        <v>25</v>
      </c>
      <c r="W8" s="5">
        <f t="shared" si="1"/>
        <v>11</v>
      </c>
      <c r="X8" s="5">
        <f t="shared" si="2"/>
        <v>2</v>
      </c>
      <c r="Y8" s="27" t="s">
        <v>11</v>
      </c>
      <c r="Z8" s="28"/>
      <c r="AA8" s="28"/>
      <c r="AB8" s="29"/>
    </row>
    <row r="9" spans="1:28" x14ac:dyDescent="0.25">
      <c r="A9" s="6">
        <v>5</v>
      </c>
      <c r="B9" s="12">
        <v>593</v>
      </c>
      <c r="C9" s="32" t="s">
        <v>48</v>
      </c>
      <c r="D9" s="31" t="s">
        <v>33</v>
      </c>
      <c r="E9" s="8" t="s">
        <v>125</v>
      </c>
      <c r="F9" s="9" t="s">
        <v>26</v>
      </c>
      <c r="G9" s="9" t="s">
        <v>26</v>
      </c>
      <c r="H9" s="9" t="s">
        <v>26</v>
      </c>
      <c r="I9" s="19"/>
      <c r="J9" s="9" t="s">
        <v>26</v>
      </c>
      <c r="K9" s="9" t="s">
        <v>26</v>
      </c>
      <c r="L9" s="9" t="s">
        <v>26</v>
      </c>
      <c r="M9" s="9" t="s">
        <v>26</v>
      </c>
      <c r="N9" s="9" t="s">
        <v>26</v>
      </c>
      <c r="O9" s="9" t="s">
        <v>26</v>
      </c>
      <c r="P9" s="19"/>
      <c r="Q9" s="21"/>
      <c r="R9" s="9" t="s">
        <v>26</v>
      </c>
      <c r="S9" s="9" t="s">
        <v>25</v>
      </c>
      <c r="T9" s="9" t="s">
        <v>26</v>
      </c>
      <c r="U9" s="21"/>
      <c r="V9" s="9" t="s">
        <v>25</v>
      </c>
      <c r="W9" s="5">
        <f t="shared" si="1"/>
        <v>11</v>
      </c>
      <c r="X9" s="5">
        <f t="shared" si="2"/>
        <v>2</v>
      </c>
      <c r="Y9" s="5" t="s">
        <v>12</v>
      </c>
      <c r="Z9" s="5" t="s">
        <v>13</v>
      </c>
      <c r="AA9" s="5" t="s">
        <v>14</v>
      </c>
      <c r="AB9" s="5" t="s">
        <v>15</v>
      </c>
    </row>
    <row r="10" spans="1:28" x14ac:dyDescent="0.25">
      <c r="A10" s="10">
        <v>6</v>
      </c>
      <c r="B10" s="12">
        <v>548</v>
      </c>
      <c r="C10" s="32" t="s">
        <v>49</v>
      </c>
      <c r="D10" s="31" t="s">
        <v>46</v>
      </c>
      <c r="E10" s="8" t="s">
        <v>125</v>
      </c>
      <c r="F10" s="9" t="s">
        <v>26</v>
      </c>
      <c r="G10" s="9" t="s">
        <v>25</v>
      </c>
      <c r="H10" s="9" t="s">
        <v>26</v>
      </c>
      <c r="I10" s="19"/>
      <c r="J10" s="9" t="s">
        <v>26</v>
      </c>
      <c r="K10" s="9" t="s">
        <v>26</v>
      </c>
      <c r="L10" s="9" t="s">
        <v>26</v>
      </c>
      <c r="M10" s="9" t="s">
        <v>26</v>
      </c>
      <c r="N10" s="9" t="s">
        <v>26</v>
      </c>
      <c r="O10" s="9" t="s">
        <v>26</v>
      </c>
      <c r="P10" s="19"/>
      <c r="Q10" s="21"/>
      <c r="R10" s="9" t="s">
        <v>26</v>
      </c>
      <c r="S10" s="9" t="s">
        <v>25</v>
      </c>
      <c r="T10" s="9" t="s">
        <v>26</v>
      </c>
      <c r="U10" s="21"/>
      <c r="V10" s="9" t="s">
        <v>25</v>
      </c>
      <c r="W10" s="5">
        <f t="shared" si="1"/>
        <v>10</v>
      </c>
      <c r="X10" s="5">
        <f t="shared" si="2"/>
        <v>3</v>
      </c>
      <c r="Y10" s="5" t="s">
        <v>16</v>
      </c>
      <c r="Z10" s="10">
        <f>19*26</f>
        <v>494</v>
      </c>
      <c r="AA10" s="10">
        <f>21*26</f>
        <v>546</v>
      </c>
      <c r="AB10" s="10">
        <f>SUM(Z10:AA10)</f>
        <v>1040</v>
      </c>
    </row>
    <row r="11" spans="1:28" x14ac:dyDescent="0.25">
      <c r="A11" s="6">
        <v>7</v>
      </c>
      <c r="B11" s="12">
        <v>447</v>
      </c>
      <c r="C11" s="32" t="s">
        <v>50</v>
      </c>
      <c r="D11" s="31" t="s">
        <v>51</v>
      </c>
      <c r="E11" s="8" t="s">
        <v>125</v>
      </c>
      <c r="F11" s="9" t="s">
        <v>26</v>
      </c>
      <c r="G11" s="9" t="s">
        <v>26</v>
      </c>
      <c r="H11" s="9" t="s">
        <v>25</v>
      </c>
      <c r="I11" s="19"/>
      <c r="J11" s="9" t="s">
        <v>25</v>
      </c>
      <c r="K11" s="9" t="s">
        <v>25</v>
      </c>
      <c r="L11" s="9" t="s">
        <v>26</v>
      </c>
      <c r="M11" s="9" t="s">
        <v>26</v>
      </c>
      <c r="N11" s="9" t="s">
        <v>26</v>
      </c>
      <c r="O11" s="9" t="s">
        <v>26</v>
      </c>
      <c r="P11" s="19"/>
      <c r="Q11" s="21"/>
      <c r="R11" s="9" t="s">
        <v>26</v>
      </c>
      <c r="S11" s="9" t="s">
        <v>25</v>
      </c>
      <c r="T11" s="9" t="s">
        <v>26</v>
      </c>
      <c r="U11" s="21"/>
      <c r="V11" s="9" t="s">
        <v>25</v>
      </c>
      <c r="W11" s="5">
        <f t="shared" si="1"/>
        <v>8</v>
      </c>
      <c r="X11" s="5">
        <f t="shared" si="2"/>
        <v>5</v>
      </c>
      <c r="Y11" s="5" t="s">
        <v>17</v>
      </c>
      <c r="Z11" s="10">
        <f>W6+W7+W8+W11+W12+W13+W15+W19+W20+W21+W2</f>
        <v>76</v>
      </c>
      <c r="AA11" s="10">
        <f>W5+W9+W10+W14+W16+W17+W18</f>
        <v>65</v>
      </c>
      <c r="AB11" s="10">
        <f>Z11+AA11</f>
        <v>141</v>
      </c>
    </row>
    <row r="12" spans="1:28" x14ac:dyDescent="0.25">
      <c r="A12" s="10">
        <v>8</v>
      </c>
      <c r="B12" s="12">
        <v>501</v>
      </c>
      <c r="C12" s="32" t="s">
        <v>52</v>
      </c>
      <c r="D12" s="31" t="s">
        <v>29</v>
      </c>
      <c r="E12" s="8" t="s">
        <v>125</v>
      </c>
      <c r="F12" s="9" t="s">
        <v>26</v>
      </c>
      <c r="G12" s="9" t="s">
        <v>26</v>
      </c>
      <c r="H12" s="9" t="s">
        <v>26</v>
      </c>
      <c r="I12" s="19"/>
      <c r="J12" s="9" t="s">
        <v>26</v>
      </c>
      <c r="K12" s="9" t="s">
        <v>26</v>
      </c>
      <c r="L12" s="9" t="s">
        <v>26</v>
      </c>
      <c r="M12" s="9" t="s">
        <v>26</v>
      </c>
      <c r="N12" s="9" t="s">
        <v>25</v>
      </c>
      <c r="O12" s="9" t="s">
        <v>26</v>
      </c>
      <c r="P12" s="19"/>
      <c r="Q12" s="21"/>
      <c r="R12" s="9" t="s">
        <v>25</v>
      </c>
      <c r="S12" s="9" t="s">
        <v>26</v>
      </c>
      <c r="T12" s="9" t="s">
        <v>26</v>
      </c>
      <c r="U12" s="21"/>
      <c r="V12" s="9" t="s">
        <v>25</v>
      </c>
      <c r="W12" s="5">
        <f t="shared" si="1"/>
        <v>10</v>
      </c>
      <c r="X12" s="5">
        <f t="shared" si="2"/>
        <v>3</v>
      </c>
      <c r="Y12" s="5" t="s">
        <v>18</v>
      </c>
      <c r="Z12" s="10">
        <f>Z11/Z10</f>
        <v>0.15384615384615385</v>
      </c>
      <c r="AA12" s="10">
        <f>AA11/AA10</f>
        <v>0.11904761904761904</v>
      </c>
      <c r="AB12" s="10">
        <f>AB11/AB10</f>
        <v>0.13557692307692307</v>
      </c>
    </row>
    <row r="13" spans="1:28" x14ac:dyDescent="0.25">
      <c r="A13" s="6">
        <v>9</v>
      </c>
      <c r="B13" s="12">
        <v>497</v>
      </c>
      <c r="C13" s="32" t="s">
        <v>53</v>
      </c>
      <c r="D13" s="31" t="s">
        <v>54</v>
      </c>
      <c r="E13" s="8" t="s">
        <v>125</v>
      </c>
      <c r="F13" s="9" t="s">
        <v>26</v>
      </c>
      <c r="G13" s="9" t="s">
        <v>26</v>
      </c>
      <c r="H13" s="9" t="s">
        <v>26</v>
      </c>
      <c r="I13" s="19"/>
      <c r="J13" s="9" t="s">
        <v>26</v>
      </c>
      <c r="K13" s="9" t="s">
        <v>26</v>
      </c>
      <c r="L13" s="9" t="s">
        <v>26</v>
      </c>
      <c r="M13" s="9" t="s">
        <v>26</v>
      </c>
      <c r="N13" s="9" t="s">
        <v>26</v>
      </c>
      <c r="O13" s="9" t="s">
        <v>26</v>
      </c>
      <c r="P13" s="19"/>
      <c r="Q13" s="21"/>
      <c r="R13" s="9" t="s">
        <v>26</v>
      </c>
      <c r="S13" s="9" t="s">
        <v>25</v>
      </c>
      <c r="T13" s="9" t="s">
        <v>26</v>
      </c>
      <c r="U13" s="21"/>
      <c r="V13" s="9" t="s">
        <v>25</v>
      </c>
      <c r="W13" s="5">
        <f t="shared" si="1"/>
        <v>11</v>
      </c>
      <c r="X13" s="5">
        <f t="shared" si="2"/>
        <v>2</v>
      </c>
      <c r="Y13" s="3"/>
      <c r="Z13" s="13"/>
      <c r="AA13" s="13"/>
      <c r="AB13" s="13"/>
    </row>
    <row r="14" spans="1:28" x14ac:dyDescent="0.25">
      <c r="A14" s="10">
        <v>10</v>
      </c>
      <c r="B14" s="14">
        <v>550</v>
      </c>
      <c r="C14" s="32" t="s">
        <v>55</v>
      </c>
      <c r="D14" s="31" t="s">
        <v>56</v>
      </c>
      <c r="E14" s="8" t="s">
        <v>125</v>
      </c>
      <c r="F14" s="9" t="s">
        <v>26</v>
      </c>
      <c r="G14" s="9" t="s">
        <v>25</v>
      </c>
      <c r="H14" s="9" t="s">
        <v>25</v>
      </c>
      <c r="I14" s="19"/>
      <c r="J14" s="9" t="s">
        <v>26</v>
      </c>
      <c r="K14" s="9" t="s">
        <v>26</v>
      </c>
      <c r="L14" s="9" t="s">
        <v>26</v>
      </c>
      <c r="M14" s="9" t="s">
        <v>26</v>
      </c>
      <c r="N14" s="9" t="s">
        <v>26</v>
      </c>
      <c r="O14" s="9" t="s">
        <v>26</v>
      </c>
      <c r="P14" s="19"/>
      <c r="Q14" s="21"/>
      <c r="R14" s="9" t="s">
        <v>26</v>
      </c>
      <c r="S14" s="9" t="s">
        <v>26</v>
      </c>
      <c r="T14" s="9" t="s">
        <v>26</v>
      </c>
      <c r="U14" s="21"/>
      <c r="V14" s="9" t="s">
        <v>25</v>
      </c>
      <c r="W14" s="5">
        <f t="shared" si="1"/>
        <v>10</v>
      </c>
      <c r="X14" s="5">
        <f t="shared" si="2"/>
        <v>3</v>
      </c>
      <c r="Y14" s="15"/>
      <c r="Z14" s="15"/>
      <c r="AA14" s="15"/>
      <c r="AB14" s="15"/>
    </row>
    <row r="15" spans="1:28" x14ac:dyDescent="0.25">
      <c r="A15" s="6">
        <v>11</v>
      </c>
      <c r="B15" s="12">
        <v>433</v>
      </c>
      <c r="C15" s="32" t="s">
        <v>32</v>
      </c>
      <c r="D15" s="31" t="s">
        <v>57</v>
      </c>
      <c r="E15" s="8" t="s">
        <v>125</v>
      </c>
      <c r="F15" s="9" t="s">
        <v>25</v>
      </c>
      <c r="G15" s="9" t="s">
        <v>26</v>
      </c>
      <c r="H15" s="9" t="s">
        <v>25</v>
      </c>
      <c r="I15" s="19"/>
      <c r="J15" s="9" t="s">
        <v>26</v>
      </c>
      <c r="K15" s="9" t="s">
        <v>26</v>
      </c>
      <c r="L15" s="9" t="s">
        <v>26</v>
      </c>
      <c r="M15" s="9" t="s">
        <v>25</v>
      </c>
      <c r="N15" s="9" t="s">
        <v>25</v>
      </c>
      <c r="O15" s="9" t="s">
        <v>25</v>
      </c>
      <c r="P15" s="19"/>
      <c r="Q15" s="21"/>
      <c r="R15" s="9" t="s">
        <v>25</v>
      </c>
      <c r="S15" s="9" t="s">
        <v>25</v>
      </c>
      <c r="T15" s="9" t="s">
        <v>25</v>
      </c>
      <c r="U15" s="21"/>
      <c r="V15" s="9" t="s">
        <v>25</v>
      </c>
      <c r="W15" s="5">
        <f t="shared" si="1"/>
        <v>4</v>
      </c>
      <c r="X15" s="5">
        <f t="shared" si="2"/>
        <v>9</v>
      </c>
      <c r="Y15" s="3"/>
      <c r="Z15" s="3"/>
      <c r="AA15" s="3"/>
      <c r="AB15" s="3"/>
    </row>
    <row r="16" spans="1:28" ht="15.75" x14ac:dyDescent="0.25">
      <c r="A16" s="10">
        <v>12</v>
      </c>
      <c r="B16" s="12">
        <v>495</v>
      </c>
      <c r="C16" s="32" t="s">
        <v>58</v>
      </c>
      <c r="D16" s="31" t="s">
        <v>59</v>
      </c>
      <c r="E16" s="8" t="s">
        <v>125</v>
      </c>
      <c r="F16" s="9" t="s">
        <v>25</v>
      </c>
      <c r="G16" s="9" t="s">
        <v>26</v>
      </c>
      <c r="H16" s="9" t="s">
        <v>25</v>
      </c>
      <c r="I16" s="19"/>
      <c r="J16" s="9" t="s">
        <v>26</v>
      </c>
      <c r="K16" s="9" t="s">
        <v>26</v>
      </c>
      <c r="L16" s="9" t="s">
        <v>25</v>
      </c>
      <c r="M16" s="9" t="s">
        <v>25</v>
      </c>
      <c r="N16" s="9" t="s">
        <v>26</v>
      </c>
      <c r="O16" s="9" t="s">
        <v>25</v>
      </c>
      <c r="P16" s="19"/>
      <c r="Q16" s="21"/>
      <c r="R16" s="9" t="s">
        <v>25</v>
      </c>
      <c r="S16" s="9" t="s">
        <v>25</v>
      </c>
      <c r="T16" s="9" t="s">
        <v>26</v>
      </c>
      <c r="U16" s="21"/>
      <c r="V16" s="9" t="s">
        <v>25</v>
      </c>
      <c r="W16" s="5">
        <f t="shared" si="1"/>
        <v>5</v>
      </c>
      <c r="X16" s="5">
        <f t="shared" si="2"/>
        <v>8</v>
      </c>
      <c r="Y16" s="27" t="s">
        <v>6</v>
      </c>
      <c r="Z16" s="28"/>
      <c r="AA16" s="28"/>
      <c r="AB16" s="29"/>
    </row>
    <row r="17" spans="1:28" x14ac:dyDescent="0.25">
      <c r="A17" s="6">
        <v>13</v>
      </c>
      <c r="B17" s="12">
        <v>595</v>
      </c>
      <c r="C17" s="32" t="s">
        <v>62</v>
      </c>
      <c r="D17" s="31" t="s">
        <v>24</v>
      </c>
      <c r="E17" s="8" t="s">
        <v>125</v>
      </c>
      <c r="F17" s="9" t="s">
        <v>25</v>
      </c>
      <c r="G17" s="9" t="s">
        <v>26</v>
      </c>
      <c r="H17" s="9" t="s">
        <v>25</v>
      </c>
      <c r="I17" s="19"/>
      <c r="J17" s="9" t="s">
        <v>26</v>
      </c>
      <c r="K17" s="9" t="s">
        <v>26</v>
      </c>
      <c r="L17" s="9" t="s">
        <v>26</v>
      </c>
      <c r="M17" s="9" t="s">
        <v>26</v>
      </c>
      <c r="N17" s="9" t="s">
        <v>26</v>
      </c>
      <c r="O17" s="9" t="s">
        <v>26</v>
      </c>
      <c r="P17" s="19"/>
      <c r="Q17" s="21"/>
      <c r="R17" s="9" t="s">
        <v>26</v>
      </c>
      <c r="S17" s="9" t="s">
        <v>26</v>
      </c>
      <c r="T17" s="9" t="s">
        <v>26</v>
      </c>
      <c r="U17" s="21"/>
      <c r="V17" s="9" t="s">
        <v>25</v>
      </c>
      <c r="W17" s="5">
        <f t="shared" si="1"/>
        <v>10</v>
      </c>
      <c r="X17" s="5">
        <f t="shared" si="2"/>
        <v>3</v>
      </c>
      <c r="Y17" s="5" t="s">
        <v>12</v>
      </c>
      <c r="Z17" s="5" t="s">
        <v>13</v>
      </c>
      <c r="AA17" s="5" t="s">
        <v>14</v>
      </c>
      <c r="AB17" s="5" t="s">
        <v>15</v>
      </c>
    </row>
    <row r="18" spans="1:28" x14ac:dyDescent="0.25">
      <c r="A18" s="10">
        <v>14</v>
      </c>
      <c r="B18" s="12"/>
      <c r="C18" s="32" t="s">
        <v>60</v>
      </c>
      <c r="D18" s="31" t="s">
        <v>61</v>
      </c>
      <c r="E18" s="8" t="s">
        <v>125</v>
      </c>
      <c r="F18" s="9" t="s">
        <v>26</v>
      </c>
      <c r="G18" s="9" t="s">
        <v>26</v>
      </c>
      <c r="H18" s="9" t="s">
        <v>25</v>
      </c>
      <c r="I18" s="19"/>
      <c r="J18" s="9" t="s">
        <v>26</v>
      </c>
      <c r="K18" s="9" t="s">
        <v>26</v>
      </c>
      <c r="L18" s="9" t="s">
        <v>26</v>
      </c>
      <c r="M18" s="9" t="s">
        <v>26</v>
      </c>
      <c r="N18" s="9" t="s">
        <v>26</v>
      </c>
      <c r="O18" s="9" t="s">
        <v>26</v>
      </c>
      <c r="P18" s="19"/>
      <c r="Q18" s="21"/>
      <c r="R18" s="9" t="s">
        <v>26</v>
      </c>
      <c r="S18" s="9" t="s">
        <v>25</v>
      </c>
      <c r="T18" s="9" t="s">
        <v>26</v>
      </c>
      <c r="U18" s="21"/>
      <c r="V18" s="9" t="s">
        <v>25</v>
      </c>
      <c r="W18" s="5">
        <f t="shared" si="1"/>
        <v>10</v>
      </c>
      <c r="X18" s="5">
        <f t="shared" si="2"/>
        <v>3</v>
      </c>
      <c r="Y18" s="5" t="s">
        <v>16</v>
      </c>
      <c r="Z18" s="10">
        <f>19*26</f>
        <v>494</v>
      </c>
      <c r="AA18" s="10">
        <f>21*26</f>
        <v>546</v>
      </c>
      <c r="AB18" s="10">
        <f>Z18+AA18</f>
        <v>1040</v>
      </c>
    </row>
    <row r="19" spans="1:28" x14ac:dyDescent="0.25">
      <c r="A19" s="6">
        <v>15</v>
      </c>
      <c r="B19" s="12"/>
      <c r="C19" s="32" t="s">
        <v>66</v>
      </c>
      <c r="D19" s="31" t="s">
        <v>67</v>
      </c>
      <c r="E19" s="8" t="s">
        <v>125</v>
      </c>
      <c r="F19" s="9" t="s">
        <v>26</v>
      </c>
      <c r="G19" s="9" t="s">
        <v>26</v>
      </c>
      <c r="H19" s="9" t="s">
        <v>26</v>
      </c>
      <c r="I19" s="19"/>
      <c r="J19" s="9" t="s">
        <v>26</v>
      </c>
      <c r="K19" s="9" t="s">
        <v>26</v>
      </c>
      <c r="L19" s="9" t="s">
        <v>26</v>
      </c>
      <c r="M19" s="9" t="s">
        <v>26</v>
      </c>
      <c r="N19" s="9" t="s">
        <v>26</v>
      </c>
      <c r="O19" s="9" t="s">
        <v>25</v>
      </c>
      <c r="P19" s="19"/>
      <c r="Q19" s="21"/>
      <c r="R19" s="9" t="s">
        <v>26</v>
      </c>
      <c r="S19" s="9" t="s">
        <v>26</v>
      </c>
      <c r="T19" s="9" t="s">
        <v>25</v>
      </c>
      <c r="U19" s="21"/>
      <c r="V19" s="9" t="s">
        <v>25</v>
      </c>
      <c r="W19" s="5">
        <f t="shared" si="1"/>
        <v>10</v>
      </c>
      <c r="X19" s="5">
        <f t="shared" si="2"/>
        <v>3</v>
      </c>
      <c r="Y19" s="5" t="s">
        <v>19</v>
      </c>
      <c r="Z19" s="10">
        <f>Z18-Z11</f>
        <v>418</v>
      </c>
      <c r="AA19" s="10">
        <f>AA18-AA11</f>
        <v>481</v>
      </c>
      <c r="AB19" s="10">
        <f>Z19+AA19</f>
        <v>899</v>
      </c>
    </row>
    <row r="20" spans="1:28" x14ac:dyDescent="0.25">
      <c r="A20" s="10">
        <v>16</v>
      </c>
      <c r="B20" s="12"/>
      <c r="C20" s="32" t="s">
        <v>63</v>
      </c>
      <c r="D20" s="31" t="s">
        <v>64</v>
      </c>
      <c r="E20" s="8" t="s">
        <v>125</v>
      </c>
      <c r="F20" s="9"/>
      <c r="G20" s="9"/>
      <c r="H20" s="9"/>
      <c r="I20" s="19"/>
      <c r="J20" s="9"/>
      <c r="K20" s="9"/>
      <c r="L20" s="9"/>
      <c r="M20" s="9"/>
      <c r="N20" s="9"/>
      <c r="O20" s="9" t="s">
        <v>25</v>
      </c>
      <c r="P20" s="19"/>
      <c r="Q20" s="21"/>
      <c r="R20" s="9" t="s">
        <v>26</v>
      </c>
      <c r="S20" s="9" t="s">
        <v>25</v>
      </c>
      <c r="T20" s="9" t="s">
        <v>26</v>
      </c>
      <c r="U20" s="21"/>
      <c r="V20" s="9" t="s">
        <v>25</v>
      </c>
      <c r="W20" s="5">
        <f t="shared" si="1"/>
        <v>2</v>
      </c>
      <c r="X20" s="5">
        <f t="shared" si="2"/>
        <v>3</v>
      </c>
      <c r="Y20" s="5" t="s">
        <v>15</v>
      </c>
      <c r="Z20" s="16">
        <f>Z19/Z18</f>
        <v>0.84615384615384615</v>
      </c>
      <c r="AA20" s="16">
        <f>AA19/AA18</f>
        <v>0.88095238095238093</v>
      </c>
      <c r="AB20" s="16">
        <f>AB19/AB18</f>
        <v>0.86442307692307696</v>
      </c>
    </row>
    <row r="21" spans="1:28" x14ac:dyDescent="0.25">
      <c r="A21" s="6">
        <v>17</v>
      </c>
      <c r="B21" s="12"/>
      <c r="C21" s="32" t="s">
        <v>119</v>
      </c>
      <c r="D21" s="31" t="s">
        <v>65</v>
      </c>
      <c r="E21" s="8" t="s">
        <v>125</v>
      </c>
      <c r="F21" s="9"/>
      <c r="G21" s="9"/>
      <c r="H21" s="9"/>
      <c r="I21" s="19"/>
      <c r="J21" s="9"/>
      <c r="K21" s="9"/>
      <c r="L21" s="9"/>
      <c r="M21" s="9"/>
      <c r="N21" s="9"/>
      <c r="O21" s="9" t="s">
        <v>26</v>
      </c>
      <c r="P21" s="19"/>
      <c r="Q21" s="21"/>
      <c r="R21" s="9" t="s">
        <v>26</v>
      </c>
      <c r="S21" s="9" t="s">
        <v>26</v>
      </c>
      <c r="T21" s="9" t="s">
        <v>25</v>
      </c>
      <c r="U21" s="21"/>
      <c r="V21" s="9" t="s">
        <v>25</v>
      </c>
      <c r="W21" s="5">
        <f t="shared" si="1"/>
        <v>3</v>
      </c>
      <c r="X21" s="5">
        <f t="shared" si="2"/>
        <v>2</v>
      </c>
    </row>
  </sheetData>
  <mergeCells count="16">
    <mergeCell ref="Y8:AB8"/>
    <mergeCell ref="Y16:AB16"/>
    <mergeCell ref="A2:X2"/>
    <mergeCell ref="A1:X1"/>
    <mergeCell ref="W3:W4"/>
    <mergeCell ref="X3:X4"/>
    <mergeCell ref="Y3:Z3"/>
    <mergeCell ref="A3:A4"/>
    <mergeCell ref="B3:B4"/>
    <mergeCell ref="C3:C4"/>
    <mergeCell ref="D3:D4"/>
    <mergeCell ref="E3:E4"/>
    <mergeCell ref="I5:I21"/>
    <mergeCell ref="P5:P21"/>
    <mergeCell ref="Q5:Q21"/>
    <mergeCell ref="U5:U21"/>
  </mergeCells>
  <conditionalFormatting sqref="F5:J5 U5 J6:J21 F4:V4 F6:H21 L6:O21 R5:T21 V5:V21 L5:Q5 K5:K21">
    <cfRule type="expression" dxfId="24" priority="15">
      <formula>IF(F$4=TODAY(),TRUE,FALSE)</formula>
    </cfRule>
  </conditionalFormatting>
  <conditionalFormatting sqref="F5:J5 U5 J6:J21 F6:H21 L6:O21 R5:T21 V5:V21 L5:Q5 K5:K21">
    <cfRule type="cellIs" dxfId="23" priority="1" operator="equal">
      <formula>"L"</formula>
    </cfRule>
    <cfRule type="cellIs" dxfId="22" priority="2" operator="equal">
      <formula>"A"</formula>
    </cfRule>
    <cfRule type="cellIs" dxfId="21" priority="3" operator="equal">
      <formula>"P"</formula>
    </cfRule>
  </conditionalFormatting>
  <conditionalFormatting sqref="F3:V4 F5:J5 U5 J6:J21 Y4:Z4 F6:H21 L6:O21 R5:T21 V5:V21 L5:Q5 K5:K21">
    <cfRule type="expression" dxfId="20" priority="16">
      <formula>F$3="Sun"</formula>
    </cfRule>
  </conditionalFormatting>
  <conditionalFormatting sqref="W3:X3 W5:X21">
    <cfRule type="expression" dxfId="19" priority="17">
      <formula>#REF!="Sun"</formula>
    </cfRule>
  </conditionalFormatting>
  <conditionalFormatting sqref="Y5:Y6">
    <cfRule type="expression" dxfId="18" priority="13">
      <formula>Y$3="Sun"</formula>
    </cfRule>
  </conditionalFormatting>
  <conditionalFormatting sqref="Y9:Y12">
    <cfRule type="expression" dxfId="17" priority="7">
      <formula>Y$3="Sun"</formula>
    </cfRule>
  </conditionalFormatting>
  <conditionalFormatting sqref="Y17:Y20">
    <cfRule type="expression" dxfId="16" priority="6">
      <formula>Y$3="Sun"</formula>
    </cfRule>
  </conditionalFormatting>
  <conditionalFormatting sqref="Z9:AB9">
    <cfRule type="expression" dxfId="15" priority="8">
      <formula>Z$3="Sun"</formula>
    </cfRule>
  </conditionalFormatting>
  <conditionalFormatting sqref="Z17:AB17">
    <cfRule type="expression" dxfId="14" priority="5">
      <formula>Z$3="Sun"</formula>
    </cfRule>
  </conditionalFormatting>
  <conditionalFormatting sqref="B5:B21">
    <cfRule type="duplicateValues" dxfId="0" priority="28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03D02-B252-4D0E-B3C2-7647397784BF}">
  <dimension ref="A1:AB35"/>
  <sheetViews>
    <sheetView tabSelected="1" workbookViewId="0">
      <selection activeCell="V36" sqref="V36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8" width="3.7109375" style="1" bestFit="1" customWidth="1"/>
    <col min="9" max="9" width="3.85546875" style="1" bestFit="1" customWidth="1"/>
    <col min="10" max="10" width="4.5703125" style="1" bestFit="1" customWidth="1"/>
    <col min="11" max="11" width="3.85546875" style="1" bestFit="1" customWidth="1"/>
    <col min="12" max="12" width="4.7109375" style="1" bestFit="1" customWidth="1"/>
    <col min="13" max="13" width="3.85546875" style="1" bestFit="1" customWidth="1"/>
    <col min="14" max="15" width="3.7109375" style="1" bestFit="1" customWidth="1"/>
    <col min="16" max="16" width="3.85546875" style="1" bestFit="1" customWidth="1"/>
    <col min="17" max="17" width="4.5703125" style="1" bestFit="1" customWidth="1"/>
    <col min="18" max="18" width="3.85546875" style="1" bestFit="1" customWidth="1"/>
    <col min="19" max="19" width="4.7109375" style="1" bestFit="1" customWidth="1"/>
    <col min="20" max="20" width="3.85546875" style="1" bestFit="1" customWidth="1"/>
    <col min="21" max="22" width="3.7109375" style="1" bestFit="1" customWidth="1"/>
    <col min="23" max="24" width="6.7109375" style="1" bestFit="1" customWidth="1"/>
    <col min="25" max="25" width="18.5703125" style="1" bestFit="1" customWidth="1"/>
    <col min="26" max="26" width="5.85546875" style="1" bestFit="1" customWidth="1"/>
    <col min="27" max="27" width="14.28515625" style="1" bestFit="1" customWidth="1"/>
    <col min="28" max="28" width="6.7109375" style="1" bestFit="1" customWidth="1"/>
    <col min="29" max="16384" width="3.85546875" style="1"/>
  </cols>
  <sheetData>
    <row r="1" spans="1:28" ht="17.25" x14ac:dyDescent="0.25">
      <c r="A1" s="25" t="s">
        <v>22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</row>
    <row r="2" spans="1:28" ht="17.25" x14ac:dyDescent="0.3">
      <c r="A2" s="24" t="s">
        <v>21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</row>
    <row r="3" spans="1:28" ht="15.75" x14ac:dyDescent="0.25">
      <c r="A3" s="22" t="s">
        <v>0</v>
      </c>
      <c r="B3" s="22" t="s">
        <v>1</v>
      </c>
      <c r="C3" s="22" t="s">
        <v>2</v>
      </c>
      <c r="D3" s="22" t="s">
        <v>3</v>
      </c>
      <c r="E3" s="22" t="s">
        <v>4</v>
      </c>
      <c r="F3" s="2" t="str">
        <f t="shared" ref="F3:V3" si="0">TEXT(F4,"ddd")</f>
        <v>Thu</v>
      </c>
      <c r="G3" s="2" t="str">
        <f t="shared" si="0"/>
        <v>Fri</v>
      </c>
      <c r="H3" s="2" t="str">
        <f t="shared" si="0"/>
        <v>Sat</v>
      </c>
      <c r="I3" s="2" t="str">
        <f t="shared" si="0"/>
        <v>Sun</v>
      </c>
      <c r="J3" s="2" t="str">
        <f t="shared" si="0"/>
        <v>Mon</v>
      </c>
      <c r="K3" s="2" t="str">
        <f t="shared" si="0"/>
        <v>Tue</v>
      </c>
      <c r="L3" s="2" t="str">
        <f t="shared" si="0"/>
        <v>Wed</v>
      </c>
      <c r="M3" s="2" t="str">
        <f t="shared" si="0"/>
        <v>Thu</v>
      </c>
      <c r="N3" s="2" t="str">
        <f t="shared" si="0"/>
        <v>Fri</v>
      </c>
      <c r="O3" s="2" t="str">
        <f t="shared" si="0"/>
        <v>Sat</v>
      </c>
      <c r="P3" s="2" t="str">
        <f t="shared" si="0"/>
        <v>Sun</v>
      </c>
      <c r="Q3" s="2" t="str">
        <f t="shared" si="0"/>
        <v>Mon</v>
      </c>
      <c r="R3" s="2" t="str">
        <f t="shared" si="0"/>
        <v>Tue</v>
      </c>
      <c r="S3" s="2" t="str">
        <f t="shared" si="0"/>
        <v>Wed</v>
      </c>
      <c r="T3" s="2" t="str">
        <f t="shared" si="0"/>
        <v>Thu</v>
      </c>
      <c r="U3" s="2" t="str">
        <f t="shared" si="0"/>
        <v>Fri</v>
      </c>
      <c r="V3" s="2" t="str">
        <f t="shared" si="0"/>
        <v>Sat</v>
      </c>
      <c r="W3" s="26" t="s">
        <v>5</v>
      </c>
      <c r="X3" s="26" t="s">
        <v>6</v>
      </c>
      <c r="Y3" s="27" t="s">
        <v>20</v>
      </c>
      <c r="Z3" s="28"/>
      <c r="AA3" s="3"/>
      <c r="AB3" s="3"/>
    </row>
    <row r="4" spans="1:28" ht="36.75" x14ac:dyDescent="0.25">
      <c r="A4" s="23"/>
      <c r="B4" s="23"/>
      <c r="C4" s="23"/>
      <c r="D4" s="23"/>
      <c r="E4" s="23"/>
      <c r="F4" s="17">
        <v>45519</v>
      </c>
      <c r="G4" s="17">
        <v>45520</v>
      </c>
      <c r="H4" s="17">
        <v>45521</v>
      </c>
      <c r="I4" s="17">
        <v>45522</v>
      </c>
      <c r="J4" s="17">
        <v>45523</v>
      </c>
      <c r="K4" s="17">
        <v>45524</v>
      </c>
      <c r="L4" s="17">
        <v>45525</v>
      </c>
      <c r="M4" s="17">
        <v>45526</v>
      </c>
      <c r="N4" s="17">
        <v>45527</v>
      </c>
      <c r="O4" s="17">
        <v>45528</v>
      </c>
      <c r="P4" s="17">
        <v>45529</v>
      </c>
      <c r="Q4" s="17">
        <v>45530</v>
      </c>
      <c r="R4" s="17">
        <v>45531</v>
      </c>
      <c r="S4" s="17">
        <v>45532</v>
      </c>
      <c r="T4" s="17">
        <v>45533</v>
      </c>
      <c r="U4" s="17">
        <v>45534</v>
      </c>
      <c r="V4" s="17">
        <v>45535</v>
      </c>
      <c r="W4" s="26"/>
      <c r="X4" s="26"/>
      <c r="Y4" s="4" t="s">
        <v>7</v>
      </c>
      <c r="Z4" s="5">
        <v>31</v>
      </c>
      <c r="AA4" s="3"/>
      <c r="AB4" s="3"/>
    </row>
    <row r="5" spans="1:28" ht="15" customHeight="1" x14ac:dyDescent="0.25">
      <c r="A5" s="6">
        <v>1</v>
      </c>
      <c r="B5" s="12">
        <v>544</v>
      </c>
      <c r="C5" s="32" t="s">
        <v>122</v>
      </c>
      <c r="D5" s="31" t="s">
        <v>23</v>
      </c>
      <c r="E5" s="8" t="s">
        <v>125</v>
      </c>
      <c r="F5" s="40" t="s">
        <v>26</v>
      </c>
      <c r="G5" s="40" t="s">
        <v>25</v>
      </c>
      <c r="H5" s="40" t="s">
        <v>25</v>
      </c>
      <c r="I5" s="18" t="s">
        <v>37</v>
      </c>
      <c r="J5" s="40" t="s">
        <v>26</v>
      </c>
      <c r="K5" s="20" t="s">
        <v>38</v>
      </c>
      <c r="L5" s="40" t="s">
        <v>26</v>
      </c>
      <c r="M5" s="40" t="s">
        <v>26</v>
      </c>
      <c r="N5" s="40" t="s">
        <v>26</v>
      </c>
      <c r="O5" s="40" t="s">
        <v>26</v>
      </c>
      <c r="P5" s="38" t="s">
        <v>37</v>
      </c>
      <c r="Q5" s="41" t="s">
        <v>39</v>
      </c>
      <c r="R5" s="40" t="s">
        <v>26</v>
      </c>
      <c r="S5" s="40" t="s">
        <v>30</v>
      </c>
      <c r="T5" s="40" t="s">
        <v>26</v>
      </c>
      <c r="U5" s="20" t="s">
        <v>40</v>
      </c>
      <c r="V5" s="40" t="s">
        <v>25</v>
      </c>
      <c r="W5" s="5">
        <f t="shared" ref="W5:W30" si="1">COUNTIF(F5:V5,"P")</f>
        <v>8</v>
      </c>
      <c r="X5" s="5">
        <f t="shared" ref="X5:X30" si="2">COUNTIF(F5:V5,"A")</f>
        <v>3</v>
      </c>
      <c r="Y5" s="5" t="s">
        <v>8</v>
      </c>
      <c r="Z5" s="10">
        <v>26</v>
      </c>
      <c r="AA5" s="11" t="s">
        <v>9</v>
      </c>
      <c r="AB5" s="3"/>
    </row>
    <row r="6" spans="1:28" x14ac:dyDescent="0.25">
      <c r="A6" s="10">
        <v>2</v>
      </c>
      <c r="B6" s="12">
        <v>596</v>
      </c>
      <c r="C6" s="32" t="s">
        <v>68</v>
      </c>
      <c r="D6" s="31" t="s">
        <v>69</v>
      </c>
      <c r="E6" s="8" t="s">
        <v>125</v>
      </c>
      <c r="F6" s="40" t="s">
        <v>26</v>
      </c>
      <c r="G6" s="40" t="s">
        <v>25</v>
      </c>
      <c r="H6" s="40" t="s">
        <v>26</v>
      </c>
      <c r="I6" s="19"/>
      <c r="J6" s="40" t="s">
        <v>26</v>
      </c>
      <c r="K6" s="21"/>
      <c r="L6" s="40" t="s">
        <v>25</v>
      </c>
      <c r="M6" s="40" t="s">
        <v>26</v>
      </c>
      <c r="N6" s="40" t="s">
        <v>27</v>
      </c>
      <c r="O6" s="40" t="s">
        <v>25</v>
      </c>
      <c r="P6" s="39"/>
      <c r="Q6" s="42"/>
      <c r="R6" s="40" t="s">
        <v>26</v>
      </c>
      <c r="S6" s="40" t="s">
        <v>26</v>
      </c>
      <c r="T6" s="40" t="s">
        <v>26</v>
      </c>
      <c r="U6" s="21"/>
      <c r="V6" s="40" t="s">
        <v>26</v>
      </c>
      <c r="W6" s="5">
        <f t="shared" si="1"/>
        <v>8</v>
      </c>
      <c r="X6" s="5">
        <f t="shared" si="2"/>
        <v>3</v>
      </c>
      <c r="Y6" s="5" t="s">
        <v>10</v>
      </c>
      <c r="Z6" s="10">
        <v>4</v>
      </c>
      <c r="AA6" s="3"/>
      <c r="AB6" s="3"/>
    </row>
    <row r="7" spans="1:28" x14ac:dyDescent="0.25">
      <c r="A7" s="6">
        <v>3</v>
      </c>
      <c r="B7" s="12">
        <v>590</v>
      </c>
      <c r="C7" s="32" t="s">
        <v>70</v>
      </c>
      <c r="D7" s="31" t="s">
        <v>71</v>
      </c>
      <c r="E7" s="8" t="s">
        <v>125</v>
      </c>
      <c r="F7" s="40" t="s">
        <v>25</v>
      </c>
      <c r="G7" s="40" t="s">
        <v>25</v>
      </c>
      <c r="H7" s="40" t="s">
        <v>26</v>
      </c>
      <c r="I7" s="19"/>
      <c r="J7" s="40" t="s">
        <v>25</v>
      </c>
      <c r="K7" s="21"/>
      <c r="L7" s="40" t="s">
        <v>25</v>
      </c>
      <c r="M7" s="40" t="s">
        <v>25</v>
      </c>
      <c r="N7" s="40" t="s">
        <v>25</v>
      </c>
      <c r="O7" s="40" t="s">
        <v>26</v>
      </c>
      <c r="P7" s="39"/>
      <c r="Q7" s="42"/>
      <c r="R7" s="40" t="s">
        <v>30</v>
      </c>
      <c r="S7" s="40" t="s">
        <v>30</v>
      </c>
      <c r="T7" s="40" t="s">
        <v>26</v>
      </c>
      <c r="U7" s="21"/>
      <c r="V7" s="40" t="s">
        <v>25</v>
      </c>
      <c r="W7" s="5">
        <f t="shared" si="1"/>
        <v>3</v>
      </c>
      <c r="X7" s="5">
        <f t="shared" si="2"/>
        <v>7</v>
      </c>
      <c r="Y7" s="3"/>
      <c r="Z7" s="3"/>
      <c r="AA7" s="3"/>
      <c r="AB7" s="3"/>
    </row>
    <row r="8" spans="1:28" ht="15.75" x14ac:dyDescent="0.25">
      <c r="A8" s="10">
        <v>4</v>
      </c>
      <c r="B8" s="12">
        <v>594</v>
      </c>
      <c r="C8" s="32" t="s">
        <v>72</v>
      </c>
      <c r="D8" s="31" t="s">
        <v>73</v>
      </c>
      <c r="E8" s="8" t="s">
        <v>125</v>
      </c>
      <c r="F8" s="40" t="s">
        <v>26</v>
      </c>
      <c r="G8" s="40" t="s">
        <v>25</v>
      </c>
      <c r="H8" s="40" t="s">
        <v>25</v>
      </c>
      <c r="I8" s="19"/>
      <c r="J8" s="40" t="s">
        <v>26</v>
      </c>
      <c r="K8" s="21"/>
      <c r="L8" s="40" t="s">
        <v>25</v>
      </c>
      <c r="M8" s="40" t="s">
        <v>26</v>
      </c>
      <c r="N8" s="40" t="s">
        <v>26</v>
      </c>
      <c r="O8" s="40" t="s">
        <v>26</v>
      </c>
      <c r="P8" s="39"/>
      <c r="Q8" s="42"/>
      <c r="R8" s="40" t="s">
        <v>30</v>
      </c>
      <c r="S8" s="40" t="s">
        <v>30</v>
      </c>
      <c r="T8" s="40" t="s">
        <v>26</v>
      </c>
      <c r="U8" s="21"/>
      <c r="V8" s="40" t="s">
        <v>25</v>
      </c>
      <c r="W8" s="5">
        <f t="shared" si="1"/>
        <v>6</v>
      </c>
      <c r="X8" s="5">
        <f t="shared" si="2"/>
        <v>4</v>
      </c>
      <c r="Y8" s="27" t="s">
        <v>11</v>
      </c>
      <c r="Z8" s="28"/>
      <c r="AA8" s="28"/>
      <c r="AB8" s="29"/>
    </row>
    <row r="9" spans="1:28" x14ac:dyDescent="0.25">
      <c r="A9" s="6">
        <v>5</v>
      </c>
      <c r="B9" s="12">
        <v>554</v>
      </c>
      <c r="C9" s="32" t="s">
        <v>36</v>
      </c>
      <c r="D9" s="31" t="s">
        <v>74</v>
      </c>
      <c r="E9" s="8" t="s">
        <v>125</v>
      </c>
      <c r="F9" s="40" t="s">
        <v>25</v>
      </c>
      <c r="G9" s="40" t="s">
        <v>26</v>
      </c>
      <c r="H9" s="40" t="s">
        <v>26</v>
      </c>
      <c r="I9" s="19"/>
      <c r="J9" s="40" t="s">
        <v>26</v>
      </c>
      <c r="K9" s="21"/>
      <c r="L9" s="40" t="s">
        <v>26</v>
      </c>
      <c r="M9" s="40" t="s">
        <v>26</v>
      </c>
      <c r="N9" s="40" t="s">
        <v>25</v>
      </c>
      <c r="O9" s="40" t="s">
        <v>26</v>
      </c>
      <c r="P9" s="39"/>
      <c r="Q9" s="42"/>
      <c r="R9" s="40" t="s">
        <v>25</v>
      </c>
      <c r="S9" s="40" t="s">
        <v>30</v>
      </c>
      <c r="T9" s="40" t="s">
        <v>26</v>
      </c>
      <c r="U9" s="21"/>
      <c r="V9" s="40" t="s">
        <v>26</v>
      </c>
      <c r="W9" s="5">
        <f t="shared" si="1"/>
        <v>8</v>
      </c>
      <c r="X9" s="5">
        <f t="shared" si="2"/>
        <v>3</v>
      </c>
      <c r="Y9" s="5" t="s">
        <v>12</v>
      </c>
      <c r="Z9" s="5" t="s">
        <v>13</v>
      </c>
      <c r="AA9" s="5" t="s">
        <v>14</v>
      </c>
      <c r="AB9" s="5" t="s">
        <v>15</v>
      </c>
    </row>
    <row r="10" spans="1:28" x14ac:dyDescent="0.25">
      <c r="A10" s="10">
        <v>6</v>
      </c>
      <c r="B10" s="12">
        <v>496</v>
      </c>
      <c r="C10" s="32" t="s">
        <v>75</v>
      </c>
      <c r="D10" s="31" t="s">
        <v>76</v>
      </c>
      <c r="E10" s="8" t="s">
        <v>125</v>
      </c>
      <c r="F10" s="40" t="s">
        <v>25</v>
      </c>
      <c r="G10" s="40" t="s">
        <v>26</v>
      </c>
      <c r="H10" s="40" t="s">
        <v>26</v>
      </c>
      <c r="I10" s="19"/>
      <c r="J10" s="40" t="s">
        <v>26</v>
      </c>
      <c r="K10" s="21"/>
      <c r="L10" s="40" t="s">
        <v>26</v>
      </c>
      <c r="M10" s="40" t="s">
        <v>26</v>
      </c>
      <c r="N10" s="40" t="s">
        <v>26</v>
      </c>
      <c r="O10" s="40" t="s">
        <v>26</v>
      </c>
      <c r="P10" s="39"/>
      <c r="Q10" s="42"/>
      <c r="R10" s="40" t="s">
        <v>30</v>
      </c>
      <c r="S10" s="40" t="s">
        <v>30</v>
      </c>
      <c r="T10" s="40" t="s">
        <v>30</v>
      </c>
      <c r="U10" s="21"/>
      <c r="V10" s="40" t="s">
        <v>30</v>
      </c>
      <c r="W10" s="5">
        <f t="shared" si="1"/>
        <v>7</v>
      </c>
      <c r="X10" s="5">
        <f t="shared" si="2"/>
        <v>1</v>
      </c>
      <c r="Y10" s="5" t="s">
        <v>16</v>
      </c>
      <c r="Z10" s="10">
        <f>19*26</f>
        <v>494</v>
      </c>
      <c r="AA10" s="10">
        <f>21*26</f>
        <v>546</v>
      </c>
      <c r="AB10" s="10">
        <f>SUM(Z10:AA10)</f>
        <v>1040</v>
      </c>
    </row>
    <row r="11" spans="1:28" x14ac:dyDescent="0.25">
      <c r="A11" s="6">
        <v>7</v>
      </c>
      <c r="B11" s="12">
        <v>599</v>
      </c>
      <c r="C11" s="32" t="s">
        <v>77</v>
      </c>
      <c r="D11" s="31" t="s">
        <v>78</v>
      </c>
      <c r="E11" s="8" t="s">
        <v>125</v>
      </c>
      <c r="F11" s="40" t="s">
        <v>25</v>
      </c>
      <c r="G11" s="40" t="s">
        <v>26</v>
      </c>
      <c r="H11" s="40" t="s">
        <v>26</v>
      </c>
      <c r="I11" s="19"/>
      <c r="J11" s="40" t="s">
        <v>25</v>
      </c>
      <c r="K11" s="21"/>
      <c r="L11" s="40" t="s">
        <v>25</v>
      </c>
      <c r="M11" s="40" t="s">
        <v>25</v>
      </c>
      <c r="N11" s="40" t="s">
        <v>25</v>
      </c>
      <c r="O11" s="40" t="s">
        <v>26</v>
      </c>
      <c r="P11" s="39"/>
      <c r="Q11" s="42"/>
      <c r="R11" s="40" t="s">
        <v>26</v>
      </c>
      <c r="S11" s="40" t="s">
        <v>30</v>
      </c>
      <c r="T11" s="40" t="s">
        <v>26</v>
      </c>
      <c r="U11" s="21"/>
      <c r="V11" s="40" t="s">
        <v>26</v>
      </c>
      <c r="W11" s="5">
        <f t="shared" si="1"/>
        <v>6</v>
      </c>
      <c r="X11" s="5">
        <f t="shared" si="2"/>
        <v>5</v>
      </c>
      <c r="Y11" s="5" t="s">
        <v>17</v>
      </c>
      <c r="Z11" s="10">
        <f>W31+W32+W35++W44</f>
        <v>13</v>
      </c>
      <c r="AA11" s="10">
        <f>W30+W33+W34+W36+W37+W38+W39+W40+W41+W42+W43+W45+W46</f>
        <v>25</v>
      </c>
      <c r="AB11" s="10">
        <f>Z11+AA11</f>
        <v>38</v>
      </c>
    </row>
    <row r="12" spans="1:28" x14ac:dyDescent="0.25">
      <c r="A12" s="10">
        <v>8</v>
      </c>
      <c r="B12" s="12">
        <v>694</v>
      </c>
      <c r="C12" s="32" t="s">
        <v>79</v>
      </c>
      <c r="D12" s="31" t="s">
        <v>80</v>
      </c>
      <c r="E12" s="8" t="s">
        <v>125</v>
      </c>
      <c r="F12" s="40" t="s">
        <v>26</v>
      </c>
      <c r="G12" s="40" t="s">
        <v>26</v>
      </c>
      <c r="H12" s="40" t="s">
        <v>26</v>
      </c>
      <c r="I12" s="19"/>
      <c r="J12" s="40" t="s">
        <v>26</v>
      </c>
      <c r="K12" s="21"/>
      <c r="L12" s="40" t="s">
        <v>25</v>
      </c>
      <c r="M12" s="40" t="s">
        <v>26</v>
      </c>
      <c r="N12" s="40" t="s">
        <v>26</v>
      </c>
      <c r="O12" s="40" t="s">
        <v>25</v>
      </c>
      <c r="P12" s="39"/>
      <c r="Q12" s="42"/>
      <c r="R12" s="40" t="s">
        <v>26</v>
      </c>
      <c r="S12" s="40" t="s">
        <v>30</v>
      </c>
      <c r="T12" s="40" t="s">
        <v>25</v>
      </c>
      <c r="U12" s="21"/>
      <c r="V12" s="40" t="s">
        <v>25</v>
      </c>
      <c r="W12" s="5">
        <f t="shared" si="1"/>
        <v>7</v>
      </c>
      <c r="X12" s="5">
        <f t="shared" si="2"/>
        <v>4</v>
      </c>
      <c r="Y12" s="5" t="s">
        <v>18</v>
      </c>
      <c r="Z12" s="10">
        <f>Z11/Z10</f>
        <v>2.6315789473684209E-2</v>
      </c>
      <c r="AA12" s="10">
        <f>AA11/AA10</f>
        <v>4.5787545787545784E-2</v>
      </c>
      <c r="AB12" s="10">
        <f>AB11/AB10</f>
        <v>3.653846153846154E-2</v>
      </c>
    </row>
    <row r="13" spans="1:28" x14ac:dyDescent="0.25">
      <c r="A13" s="6">
        <v>9</v>
      </c>
      <c r="B13" s="12">
        <v>506</v>
      </c>
      <c r="C13" s="32" t="s">
        <v>81</v>
      </c>
      <c r="D13" s="31" t="s">
        <v>82</v>
      </c>
      <c r="E13" s="8" t="s">
        <v>125</v>
      </c>
      <c r="F13" s="40" t="s">
        <v>25</v>
      </c>
      <c r="G13" s="40" t="s">
        <v>25</v>
      </c>
      <c r="H13" s="40" t="s">
        <v>25</v>
      </c>
      <c r="I13" s="19"/>
      <c r="J13" s="40" t="s">
        <v>25</v>
      </c>
      <c r="K13" s="21"/>
      <c r="L13" s="40" t="s">
        <v>25</v>
      </c>
      <c r="M13" s="40" t="s">
        <v>25</v>
      </c>
      <c r="N13" s="40" t="s">
        <v>25</v>
      </c>
      <c r="O13" s="40" t="s">
        <v>25</v>
      </c>
      <c r="P13" s="39"/>
      <c r="Q13" s="42"/>
      <c r="R13" s="40" t="s">
        <v>25</v>
      </c>
      <c r="S13" s="40" t="s">
        <v>25</v>
      </c>
      <c r="T13" s="40" t="s">
        <v>25</v>
      </c>
      <c r="U13" s="21"/>
      <c r="V13" s="40" t="s">
        <v>25</v>
      </c>
      <c r="W13" s="5">
        <f t="shared" si="1"/>
        <v>0</v>
      </c>
      <c r="X13" s="5">
        <f t="shared" si="2"/>
        <v>12</v>
      </c>
      <c r="Y13" s="3"/>
      <c r="Z13" s="13"/>
      <c r="AA13" s="13"/>
      <c r="AB13" s="13"/>
    </row>
    <row r="14" spans="1:28" x14ac:dyDescent="0.25">
      <c r="A14" s="10">
        <v>10</v>
      </c>
      <c r="B14" s="12">
        <v>471</v>
      </c>
      <c r="C14" s="32" t="s">
        <v>83</v>
      </c>
      <c r="D14" s="31" t="s">
        <v>84</v>
      </c>
      <c r="E14" s="8" t="s">
        <v>125</v>
      </c>
      <c r="F14" s="40" t="s">
        <v>26</v>
      </c>
      <c r="G14" s="40" t="s">
        <v>26</v>
      </c>
      <c r="H14" s="40" t="s">
        <v>26</v>
      </c>
      <c r="I14" s="19"/>
      <c r="J14" s="40" t="s">
        <v>26</v>
      </c>
      <c r="K14" s="21"/>
      <c r="L14" s="40" t="s">
        <v>26</v>
      </c>
      <c r="M14" s="40" t="s">
        <v>26</v>
      </c>
      <c r="N14" s="40" t="s">
        <v>26</v>
      </c>
      <c r="O14" s="40" t="s">
        <v>25</v>
      </c>
      <c r="P14" s="39"/>
      <c r="Q14" s="42"/>
      <c r="R14" s="40" t="s">
        <v>30</v>
      </c>
      <c r="S14" s="40" t="s">
        <v>26</v>
      </c>
      <c r="T14" s="40" t="s">
        <v>26</v>
      </c>
      <c r="U14" s="21"/>
      <c r="V14" s="40" t="s">
        <v>25</v>
      </c>
      <c r="W14" s="5">
        <f t="shared" si="1"/>
        <v>9</v>
      </c>
      <c r="X14" s="5">
        <f t="shared" si="2"/>
        <v>2</v>
      </c>
      <c r="Y14" s="15"/>
      <c r="Z14" s="15"/>
      <c r="AA14" s="15"/>
      <c r="AB14" s="15"/>
    </row>
    <row r="15" spans="1:28" x14ac:dyDescent="0.25">
      <c r="A15" s="6">
        <v>11</v>
      </c>
      <c r="B15" s="12">
        <v>537</v>
      </c>
      <c r="C15" s="32" t="s">
        <v>85</v>
      </c>
      <c r="D15" s="31" t="s">
        <v>86</v>
      </c>
      <c r="E15" s="8" t="s">
        <v>125</v>
      </c>
      <c r="F15" s="40" t="s">
        <v>26</v>
      </c>
      <c r="G15" s="40" t="s">
        <v>26</v>
      </c>
      <c r="H15" s="40" t="s">
        <v>26</v>
      </c>
      <c r="I15" s="19"/>
      <c r="J15" s="40" t="s">
        <v>26</v>
      </c>
      <c r="K15" s="21"/>
      <c r="L15" s="40" t="s">
        <v>26</v>
      </c>
      <c r="M15" s="40" t="s">
        <v>26</v>
      </c>
      <c r="N15" s="40" t="s">
        <v>26</v>
      </c>
      <c r="O15" s="40" t="s">
        <v>25</v>
      </c>
      <c r="P15" s="39"/>
      <c r="Q15" s="42"/>
      <c r="R15" s="40" t="s">
        <v>26</v>
      </c>
      <c r="S15" s="40" t="s">
        <v>26</v>
      </c>
      <c r="T15" s="40" t="s">
        <v>26</v>
      </c>
      <c r="U15" s="21"/>
      <c r="V15" s="40" t="s">
        <v>25</v>
      </c>
      <c r="W15" s="5">
        <f t="shared" si="1"/>
        <v>10</v>
      </c>
      <c r="X15" s="5">
        <f t="shared" si="2"/>
        <v>2</v>
      </c>
      <c r="Y15" s="3"/>
      <c r="Z15" s="3"/>
      <c r="AA15" s="3"/>
      <c r="AB15" s="3"/>
    </row>
    <row r="16" spans="1:28" ht="15.75" x14ac:dyDescent="0.25">
      <c r="A16" s="10">
        <v>12</v>
      </c>
      <c r="B16" s="12">
        <v>698</v>
      </c>
      <c r="C16" s="32" t="s">
        <v>87</v>
      </c>
      <c r="D16" s="31" t="s">
        <v>88</v>
      </c>
      <c r="E16" s="8" t="s">
        <v>125</v>
      </c>
      <c r="F16" s="40" t="s">
        <v>25</v>
      </c>
      <c r="G16" s="40" t="s">
        <v>26</v>
      </c>
      <c r="H16" s="40" t="s">
        <v>26</v>
      </c>
      <c r="I16" s="19"/>
      <c r="J16" s="40" t="s">
        <v>26</v>
      </c>
      <c r="K16" s="21"/>
      <c r="L16" s="40" t="s">
        <v>25</v>
      </c>
      <c r="M16" s="40" t="s">
        <v>26</v>
      </c>
      <c r="N16" s="40" t="s">
        <v>25</v>
      </c>
      <c r="O16" s="40" t="s">
        <v>26</v>
      </c>
      <c r="P16" s="39"/>
      <c r="Q16" s="42"/>
      <c r="R16" s="40" t="s">
        <v>26</v>
      </c>
      <c r="S16" s="40" t="s">
        <v>30</v>
      </c>
      <c r="T16" s="40" t="s">
        <v>26</v>
      </c>
      <c r="U16" s="21"/>
      <c r="V16" s="40" t="s">
        <v>25</v>
      </c>
      <c r="W16" s="5">
        <f t="shared" si="1"/>
        <v>7</v>
      </c>
      <c r="X16" s="5">
        <f t="shared" si="2"/>
        <v>4</v>
      </c>
      <c r="Y16" s="27" t="s">
        <v>6</v>
      </c>
      <c r="Z16" s="28"/>
      <c r="AA16" s="28"/>
      <c r="AB16" s="29"/>
    </row>
    <row r="17" spans="1:28" x14ac:dyDescent="0.25">
      <c r="A17" s="6">
        <v>13</v>
      </c>
      <c r="B17" s="12">
        <v>524</v>
      </c>
      <c r="C17" s="32" t="s">
        <v>89</v>
      </c>
      <c r="D17" s="31" t="s">
        <v>90</v>
      </c>
      <c r="E17" s="8" t="s">
        <v>125</v>
      </c>
      <c r="F17" s="40" t="s">
        <v>25</v>
      </c>
      <c r="G17" s="40" t="s">
        <v>26</v>
      </c>
      <c r="H17" s="40" t="s">
        <v>26</v>
      </c>
      <c r="I17" s="19"/>
      <c r="J17" s="40" t="s">
        <v>26</v>
      </c>
      <c r="K17" s="21"/>
      <c r="L17" s="40" t="s">
        <v>26</v>
      </c>
      <c r="M17" s="40" t="s">
        <v>26</v>
      </c>
      <c r="N17" s="40" t="s">
        <v>26</v>
      </c>
      <c r="O17" s="40" t="s">
        <v>26</v>
      </c>
      <c r="P17" s="39"/>
      <c r="Q17" s="42"/>
      <c r="R17" s="40" t="s">
        <v>30</v>
      </c>
      <c r="S17" s="40" t="s">
        <v>30</v>
      </c>
      <c r="T17" s="40" t="s">
        <v>26</v>
      </c>
      <c r="U17" s="21"/>
      <c r="V17" s="40" t="s">
        <v>25</v>
      </c>
      <c r="W17" s="5">
        <f t="shared" si="1"/>
        <v>8</v>
      </c>
      <c r="X17" s="5">
        <f t="shared" si="2"/>
        <v>2</v>
      </c>
      <c r="Y17" s="5" t="s">
        <v>12</v>
      </c>
      <c r="Z17" s="5" t="s">
        <v>13</v>
      </c>
      <c r="AA17" s="5" t="s">
        <v>14</v>
      </c>
      <c r="AB17" s="5" t="s">
        <v>15</v>
      </c>
    </row>
    <row r="18" spans="1:28" x14ac:dyDescent="0.25">
      <c r="A18" s="10">
        <v>14</v>
      </c>
      <c r="B18" s="12">
        <v>438</v>
      </c>
      <c r="C18" s="32" t="s">
        <v>91</v>
      </c>
      <c r="D18" s="31" t="s">
        <v>32</v>
      </c>
      <c r="E18" s="8" t="s">
        <v>125</v>
      </c>
      <c r="F18" s="40" t="s">
        <v>25</v>
      </c>
      <c r="G18" s="40" t="s">
        <v>25</v>
      </c>
      <c r="H18" s="40" t="s">
        <v>25</v>
      </c>
      <c r="I18" s="19"/>
      <c r="J18" s="40" t="s">
        <v>26</v>
      </c>
      <c r="K18" s="21"/>
      <c r="L18" s="40" t="s">
        <v>26</v>
      </c>
      <c r="M18" s="40" t="s">
        <v>26</v>
      </c>
      <c r="N18" s="40" t="s">
        <v>26</v>
      </c>
      <c r="O18" s="40" t="s">
        <v>26</v>
      </c>
      <c r="P18" s="39"/>
      <c r="Q18" s="42"/>
      <c r="R18" s="40" t="s">
        <v>26</v>
      </c>
      <c r="S18" s="40" t="s">
        <v>30</v>
      </c>
      <c r="T18" s="40" t="s">
        <v>26</v>
      </c>
      <c r="U18" s="21"/>
      <c r="V18" s="40" t="s">
        <v>25</v>
      </c>
      <c r="W18" s="5">
        <f t="shared" si="1"/>
        <v>7</v>
      </c>
      <c r="X18" s="5">
        <f t="shared" si="2"/>
        <v>4</v>
      </c>
      <c r="Y18" s="5" t="s">
        <v>16</v>
      </c>
      <c r="Z18" s="10">
        <f>19*26</f>
        <v>494</v>
      </c>
      <c r="AA18" s="10">
        <f>21*26</f>
        <v>546</v>
      </c>
      <c r="AB18" s="10">
        <f>Z18+AA18</f>
        <v>1040</v>
      </c>
    </row>
    <row r="19" spans="1:28" x14ac:dyDescent="0.25">
      <c r="A19" s="6">
        <v>15</v>
      </c>
      <c r="B19" s="12">
        <v>445</v>
      </c>
      <c r="C19" s="32" t="s">
        <v>92</v>
      </c>
      <c r="D19" s="31" t="s">
        <v>93</v>
      </c>
      <c r="E19" s="8" t="s">
        <v>125</v>
      </c>
      <c r="F19" s="40" t="s">
        <v>25</v>
      </c>
      <c r="G19" s="40" t="s">
        <v>26</v>
      </c>
      <c r="H19" s="40" t="s">
        <v>25</v>
      </c>
      <c r="I19" s="19"/>
      <c r="J19" s="40" t="s">
        <v>26</v>
      </c>
      <c r="K19" s="21"/>
      <c r="L19" s="40" t="s">
        <v>26</v>
      </c>
      <c r="M19" s="40" t="s">
        <v>26</v>
      </c>
      <c r="N19" s="40" t="s">
        <v>26</v>
      </c>
      <c r="O19" s="40" t="s">
        <v>25</v>
      </c>
      <c r="P19" s="39"/>
      <c r="Q19" s="42"/>
      <c r="R19" s="40" t="s">
        <v>26</v>
      </c>
      <c r="S19" s="40" t="s">
        <v>30</v>
      </c>
      <c r="T19" s="40" t="s">
        <v>26</v>
      </c>
      <c r="U19" s="21"/>
      <c r="V19" s="40" t="s">
        <v>25</v>
      </c>
      <c r="W19" s="5">
        <f t="shared" si="1"/>
        <v>7</v>
      </c>
      <c r="X19" s="5">
        <f t="shared" si="2"/>
        <v>4</v>
      </c>
      <c r="Y19" s="5" t="s">
        <v>19</v>
      </c>
      <c r="Z19" s="10">
        <f>Z18-Z11</f>
        <v>481</v>
      </c>
      <c r="AA19" s="10">
        <f>AA18-AA11</f>
        <v>521</v>
      </c>
      <c r="AB19" s="10">
        <f>Z19+AA19</f>
        <v>1002</v>
      </c>
    </row>
    <row r="20" spans="1:28" x14ac:dyDescent="0.25">
      <c r="A20" s="10">
        <v>16</v>
      </c>
      <c r="B20" s="12">
        <v>532</v>
      </c>
      <c r="C20" s="32" t="s">
        <v>34</v>
      </c>
      <c r="D20" s="31" t="s">
        <v>94</v>
      </c>
      <c r="E20" s="8" t="s">
        <v>125</v>
      </c>
      <c r="F20" s="40" t="s">
        <v>25</v>
      </c>
      <c r="G20" s="40" t="s">
        <v>26</v>
      </c>
      <c r="H20" s="40" t="s">
        <v>26</v>
      </c>
      <c r="I20" s="19"/>
      <c r="J20" s="40" t="s">
        <v>26</v>
      </c>
      <c r="K20" s="21"/>
      <c r="L20" s="40" t="s">
        <v>26</v>
      </c>
      <c r="M20" s="40" t="s">
        <v>26</v>
      </c>
      <c r="N20" s="40" t="s">
        <v>26</v>
      </c>
      <c r="O20" s="40" t="s">
        <v>26</v>
      </c>
      <c r="P20" s="39"/>
      <c r="Q20" s="42"/>
      <c r="R20" s="40" t="s">
        <v>30</v>
      </c>
      <c r="S20" s="40" t="s">
        <v>30</v>
      </c>
      <c r="T20" s="40" t="s">
        <v>26</v>
      </c>
      <c r="U20" s="21"/>
      <c r="V20" s="40" t="s">
        <v>25</v>
      </c>
      <c r="W20" s="5">
        <f t="shared" si="1"/>
        <v>8</v>
      </c>
      <c r="X20" s="5">
        <f t="shared" si="2"/>
        <v>2</v>
      </c>
      <c r="Y20" s="5" t="s">
        <v>15</v>
      </c>
      <c r="Z20" s="16">
        <f>Z19/Z18</f>
        <v>0.97368421052631582</v>
      </c>
      <c r="AA20" s="16">
        <f>AA19/AA18</f>
        <v>0.95421245421245426</v>
      </c>
      <c r="AB20" s="16">
        <f>AB19/AB18</f>
        <v>0.96346153846153848</v>
      </c>
    </row>
    <row r="21" spans="1:28" x14ac:dyDescent="0.25">
      <c r="A21" s="6">
        <v>17</v>
      </c>
      <c r="B21" s="12">
        <v>643</v>
      </c>
      <c r="C21" s="32" t="s">
        <v>95</v>
      </c>
      <c r="D21" s="31" t="s">
        <v>35</v>
      </c>
      <c r="E21" s="8" t="s">
        <v>125</v>
      </c>
      <c r="F21" s="40" t="s">
        <v>26</v>
      </c>
      <c r="G21" s="40" t="s">
        <v>25</v>
      </c>
      <c r="H21" s="40" t="s">
        <v>26</v>
      </c>
      <c r="I21" s="19"/>
      <c r="J21" s="40" t="s">
        <v>26</v>
      </c>
      <c r="K21" s="21"/>
      <c r="L21" s="40" t="s">
        <v>25</v>
      </c>
      <c r="M21" s="40" t="s">
        <v>26</v>
      </c>
      <c r="N21" s="40" t="s">
        <v>26</v>
      </c>
      <c r="O21" s="40" t="s">
        <v>26</v>
      </c>
      <c r="P21" s="39"/>
      <c r="Q21" s="42"/>
      <c r="R21" s="40" t="s">
        <v>26</v>
      </c>
      <c r="S21" s="40" t="s">
        <v>30</v>
      </c>
      <c r="T21" s="40" t="s">
        <v>30</v>
      </c>
      <c r="U21" s="21"/>
      <c r="V21" s="40" t="s">
        <v>25</v>
      </c>
      <c r="W21" s="5">
        <f t="shared" si="1"/>
        <v>7</v>
      </c>
      <c r="X21" s="5">
        <f t="shared" si="2"/>
        <v>3</v>
      </c>
    </row>
    <row r="22" spans="1:28" x14ac:dyDescent="0.25">
      <c r="A22" s="10">
        <v>18</v>
      </c>
      <c r="B22" s="12">
        <v>519</v>
      </c>
      <c r="C22" s="32" t="s">
        <v>96</v>
      </c>
      <c r="D22" s="31" t="s">
        <v>97</v>
      </c>
      <c r="E22" s="8" t="s">
        <v>125</v>
      </c>
      <c r="F22" s="40" t="s">
        <v>26</v>
      </c>
      <c r="G22" s="40" t="s">
        <v>26</v>
      </c>
      <c r="H22" s="40" t="s">
        <v>25</v>
      </c>
      <c r="I22" s="19"/>
      <c r="J22" s="40" t="s">
        <v>26</v>
      </c>
      <c r="K22" s="21"/>
      <c r="L22" s="40" t="s">
        <v>25</v>
      </c>
      <c r="M22" s="40" t="s">
        <v>26</v>
      </c>
      <c r="N22" s="40" t="s">
        <v>26</v>
      </c>
      <c r="O22" s="40" t="s">
        <v>26</v>
      </c>
      <c r="P22" s="39"/>
      <c r="Q22" s="42"/>
      <c r="R22" s="40" t="s">
        <v>26</v>
      </c>
      <c r="S22" s="40" t="s">
        <v>30</v>
      </c>
      <c r="T22" s="40" t="s">
        <v>26</v>
      </c>
      <c r="U22" s="21"/>
      <c r="V22" s="40" t="s">
        <v>25</v>
      </c>
      <c r="W22" s="5">
        <f t="shared" si="1"/>
        <v>8</v>
      </c>
      <c r="X22" s="5">
        <f t="shared" si="2"/>
        <v>3</v>
      </c>
    </row>
    <row r="23" spans="1:28" x14ac:dyDescent="0.25">
      <c r="A23" s="6">
        <v>19</v>
      </c>
      <c r="B23" s="12">
        <v>611</v>
      </c>
      <c r="C23" s="32" t="s">
        <v>98</v>
      </c>
      <c r="D23" s="31" t="s">
        <v>99</v>
      </c>
      <c r="E23" s="8" t="s">
        <v>125</v>
      </c>
      <c r="F23" s="40" t="s">
        <v>25</v>
      </c>
      <c r="G23" s="40" t="s">
        <v>25</v>
      </c>
      <c r="H23" s="40" t="s">
        <v>25</v>
      </c>
      <c r="I23" s="19"/>
      <c r="J23" s="40" t="s">
        <v>25</v>
      </c>
      <c r="K23" s="21"/>
      <c r="L23" s="40" t="s">
        <v>25</v>
      </c>
      <c r="M23" s="40" t="s">
        <v>25</v>
      </c>
      <c r="N23" s="40" t="s">
        <v>25</v>
      </c>
      <c r="O23" s="40" t="s">
        <v>25</v>
      </c>
      <c r="P23" s="39"/>
      <c r="Q23" s="42"/>
      <c r="R23" s="40" t="s">
        <v>26</v>
      </c>
      <c r="S23" s="40" t="s">
        <v>30</v>
      </c>
      <c r="T23" s="40" t="s">
        <v>30</v>
      </c>
      <c r="U23" s="21"/>
      <c r="V23" s="40" t="s">
        <v>25</v>
      </c>
      <c r="W23" s="5">
        <f t="shared" si="1"/>
        <v>1</v>
      </c>
      <c r="X23" s="5">
        <f t="shared" si="2"/>
        <v>9</v>
      </c>
    </row>
    <row r="24" spans="1:28" x14ac:dyDescent="0.25">
      <c r="A24" s="10">
        <v>20</v>
      </c>
      <c r="B24" s="12">
        <v>695</v>
      </c>
      <c r="C24" s="32" t="s">
        <v>100</v>
      </c>
      <c r="D24" s="31" t="s">
        <v>101</v>
      </c>
      <c r="E24" s="8" t="s">
        <v>125</v>
      </c>
      <c r="F24" s="40" t="s">
        <v>25</v>
      </c>
      <c r="G24" s="40" t="s">
        <v>25</v>
      </c>
      <c r="H24" s="40" t="s">
        <v>26</v>
      </c>
      <c r="I24" s="19"/>
      <c r="J24" s="40" t="s">
        <v>25</v>
      </c>
      <c r="K24" s="21"/>
      <c r="L24" s="40" t="s">
        <v>26</v>
      </c>
      <c r="M24" s="40" t="s">
        <v>26</v>
      </c>
      <c r="N24" s="40" t="s">
        <v>26</v>
      </c>
      <c r="O24" s="40" t="s">
        <v>26</v>
      </c>
      <c r="P24" s="39"/>
      <c r="Q24" s="42"/>
      <c r="R24" s="40" t="s">
        <v>30</v>
      </c>
      <c r="S24" s="40" t="s">
        <v>30</v>
      </c>
      <c r="T24" s="40" t="s">
        <v>26</v>
      </c>
      <c r="U24" s="21"/>
      <c r="V24" s="40" t="s">
        <v>25</v>
      </c>
      <c r="W24" s="5">
        <f t="shared" si="1"/>
        <v>6</v>
      </c>
      <c r="X24" s="5">
        <f t="shared" si="2"/>
        <v>4</v>
      </c>
    </row>
    <row r="25" spans="1:28" x14ac:dyDescent="0.25">
      <c r="A25" s="6">
        <v>21</v>
      </c>
      <c r="B25" s="12">
        <v>598</v>
      </c>
      <c r="C25" s="32" t="s">
        <v>102</v>
      </c>
      <c r="D25" s="31" t="s">
        <v>103</v>
      </c>
      <c r="E25" s="8" t="s">
        <v>125</v>
      </c>
      <c r="F25" s="40" t="s">
        <v>25</v>
      </c>
      <c r="G25" s="40" t="s">
        <v>26</v>
      </c>
      <c r="H25" s="40" t="s">
        <v>25</v>
      </c>
      <c r="I25" s="19"/>
      <c r="J25" s="40" t="s">
        <v>26</v>
      </c>
      <c r="K25" s="21"/>
      <c r="L25" s="40" t="s">
        <v>26</v>
      </c>
      <c r="M25" s="40" t="s">
        <v>26</v>
      </c>
      <c r="N25" s="40" t="s">
        <v>26</v>
      </c>
      <c r="O25" s="40" t="s">
        <v>25</v>
      </c>
      <c r="P25" s="39"/>
      <c r="Q25" s="42"/>
      <c r="R25" s="40" t="s">
        <v>30</v>
      </c>
      <c r="S25" s="40" t="s">
        <v>30</v>
      </c>
      <c r="T25" s="40" t="s">
        <v>26</v>
      </c>
      <c r="U25" s="21"/>
      <c r="V25" s="40" t="s">
        <v>25</v>
      </c>
      <c r="W25" s="5">
        <f t="shared" si="1"/>
        <v>6</v>
      </c>
      <c r="X25" s="5">
        <f t="shared" si="2"/>
        <v>4</v>
      </c>
    </row>
    <row r="26" spans="1:28" x14ac:dyDescent="0.25">
      <c r="A26" s="10">
        <v>22</v>
      </c>
      <c r="B26" s="12">
        <v>693</v>
      </c>
      <c r="C26" s="32" t="s">
        <v>123</v>
      </c>
      <c r="D26" s="32" t="s">
        <v>124</v>
      </c>
      <c r="E26" s="8" t="s">
        <v>125</v>
      </c>
      <c r="F26" s="40" t="s">
        <v>25</v>
      </c>
      <c r="G26" s="40" t="s">
        <v>25</v>
      </c>
      <c r="H26" s="40" t="s">
        <v>25</v>
      </c>
      <c r="I26" s="19"/>
      <c r="J26" s="40" t="s">
        <v>25</v>
      </c>
      <c r="K26" s="21"/>
      <c r="L26" s="40" t="s">
        <v>25</v>
      </c>
      <c r="M26" s="40" t="s">
        <v>25</v>
      </c>
      <c r="N26" s="40" t="s">
        <v>25</v>
      </c>
      <c r="O26" s="40" t="s">
        <v>25</v>
      </c>
      <c r="P26" s="39"/>
      <c r="Q26" s="42"/>
      <c r="R26" s="40" t="s">
        <v>30</v>
      </c>
      <c r="S26" s="40" t="s">
        <v>30</v>
      </c>
      <c r="T26" s="40" t="s">
        <v>30</v>
      </c>
      <c r="U26" s="21"/>
      <c r="V26" s="40" t="s">
        <v>25</v>
      </c>
      <c r="W26" s="5">
        <f t="shared" si="1"/>
        <v>0</v>
      </c>
      <c r="X26" s="5">
        <f t="shared" si="2"/>
        <v>9</v>
      </c>
    </row>
    <row r="27" spans="1:28" x14ac:dyDescent="0.25">
      <c r="A27" s="6">
        <v>23</v>
      </c>
      <c r="B27" s="12">
        <v>699</v>
      </c>
      <c r="C27" s="32" t="s">
        <v>104</v>
      </c>
      <c r="D27" s="31" t="s">
        <v>105</v>
      </c>
      <c r="E27" s="8" t="s">
        <v>125</v>
      </c>
      <c r="F27" s="40" t="s">
        <v>25</v>
      </c>
      <c r="G27" s="40" t="s">
        <v>26</v>
      </c>
      <c r="H27" s="40" t="s">
        <v>26</v>
      </c>
      <c r="I27" s="19"/>
      <c r="J27" s="40" t="s">
        <v>26</v>
      </c>
      <c r="K27" s="21"/>
      <c r="L27" s="40" t="s">
        <v>25</v>
      </c>
      <c r="M27" s="40" t="s">
        <v>25</v>
      </c>
      <c r="N27" s="40" t="s">
        <v>26</v>
      </c>
      <c r="O27" s="40" t="s">
        <v>26</v>
      </c>
      <c r="P27" s="39"/>
      <c r="Q27" s="42"/>
      <c r="R27" s="40" t="s">
        <v>26</v>
      </c>
      <c r="S27" s="40" t="s">
        <v>30</v>
      </c>
      <c r="T27" s="40" t="s">
        <v>30</v>
      </c>
      <c r="U27" s="21"/>
      <c r="V27" s="40" t="s">
        <v>25</v>
      </c>
      <c r="W27" s="5">
        <f t="shared" si="1"/>
        <v>6</v>
      </c>
      <c r="X27" s="5">
        <f t="shared" si="2"/>
        <v>4</v>
      </c>
    </row>
    <row r="28" spans="1:28" x14ac:dyDescent="0.25">
      <c r="A28" s="10">
        <v>24</v>
      </c>
      <c r="B28" s="12">
        <v>638</v>
      </c>
      <c r="C28" s="33" t="s">
        <v>106</v>
      </c>
      <c r="D28" s="34" t="s">
        <v>107</v>
      </c>
      <c r="E28" s="8" t="s">
        <v>125</v>
      </c>
      <c r="F28" s="40" t="s">
        <v>25</v>
      </c>
      <c r="G28" s="40" t="s">
        <v>26</v>
      </c>
      <c r="H28" s="40" t="s">
        <v>26</v>
      </c>
      <c r="I28" s="19"/>
      <c r="J28" s="40" t="s">
        <v>26</v>
      </c>
      <c r="K28" s="21"/>
      <c r="L28" s="40" t="s">
        <v>26</v>
      </c>
      <c r="M28" s="40" t="s">
        <v>26</v>
      </c>
      <c r="N28" s="40" t="s">
        <v>25</v>
      </c>
      <c r="O28" s="40" t="s">
        <v>25</v>
      </c>
      <c r="P28" s="39"/>
      <c r="Q28" s="42"/>
      <c r="R28" s="40" t="s">
        <v>26</v>
      </c>
      <c r="S28" s="40" t="s">
        <v>30</v>
      </c>
      <c r="T28" s="40" t="s">
        <v>30</v>
      </c>
      <c r="U28" s="21"/>
      <c r="V28" s="40" t="s">
        <v>25</v>
      </c>
      <c r="W28" s="5">
        <f t="shared" si="1"/>
        <v>6</v>
      </c>
      <c r="X28" s="5">
        <f t="shared" si="2"/>
        <v>4</v>
      </c>
    </row>
    <row r="29" spans="1:28" x14ac:dyDescent="0.25">
      <c r="A29" s="6">
        <v>25</v>
      </c>
      <c r="B29" s="12">
        <v>696</v>
      </c>
      <c r="C29" s="35" t="s">
        <v>108</v>
      </c>
      <c r="D29" s="35" t="s">
        <v>61</v>
      </c>
      <c r="E29" s="8" t="s">
        <v>125</v>
      </c>
      <c r="F29" s="40" t="s">
        <v>26</v>
      </c>
      <c r="G29" s="40" t="s">
        <v>26</v>
      </c>
      <c r="H29" s="40" t="s">
        <v>25</v>
      </c>
      <c r="I29" s="19"/>
      <c r="J29" s="40" t="s">
        <v>26</v>
      </c>
      <c r="K29" s="21"/>
      <c r="L29" s="40" t="s">
        <v>25</v>
      </c>
      <c r="M29" s="40" t="s">
        <v>26</v>
      </c>
      <c r="N29" s="40" t="s">
        <v>26</v>
      </c>
      <c r="O29" s="40" t="s">
        <v>26</v>
      </c>
      <c r="P29" s="39"/>
      <c r="Q29" s="42"/>
      <c r="R29" s="40" t="s">
        <v>26</v>
      </c>
      <c r="S29" s="40" t="s">
        <v>30</v>
      </c>
      <c r="T29" s="40" t="s">
        <v>26</v>
      </c>
      <c r="U29" s="21"/>
      <c r="V29" s="40" t="s">
        <v>25</v>
      </c>
      <c r="W29" s="5">
        <f t="shared" si="1"/>
        <v>8</v>
      </c>
      <c r="X29" s="5">
        <f t="shared" si="2"/>
        <v>3</v>
      </c>
    </row>
    <row r="30" spans="1:28" x14ac:dyDescent="0.25">
      <c r="A30" s="10">
        <v>26</v>
      </c>
      <c r="B30" s="12">
        <v>697</v>
      </c>
      <c r="C30" s="35" t="s">
        <v>109</v>
      </c>
      <c r="D30" s="35" t="s">
        <v>110</v>
      </c>
      <c r="E30" s="8" t="s">
        <v>125</v>
      </c>
      <c r="F30" s="40" t="s">
        <v>26</v>
      </c>
      <c r="G30" s="40" t="s">
        <v>26</v>
      </c>
      <c r="H30" s="40" t="s">
        <v>26</v>
      </c>
      <c r="I30" s="19"/>
      <c r="J30" s="40" t="s">
        <v>25</v>
      </c>
      <c r="K30" s="21"/>
      <c r="L30" s="40" t="s">
        <v>26</v>
      </c>
      <c r="M30" s="40" t="s">
        <v>26</v>
      </c>
      <c r="N30" s="40" t="s">
        <v>26</v>
      </c>
      <c r="O30" s="40" t="s">
        <v>26</v>
      </c>
      <c r="P30" s="39"/>
      <c r="Q30" s="42"/>
      <c r="R30" s="40" t="s">
        <v>26</v>
      </c>
      <c r="S30" s="40" t="s">
        <v>26</v>
      </c>
      <c r="T30" s="40" t="s">
        <v>25</v>
      </c>
      <c r="U30" s="21"/>
      <c r="V30" s="40" t="s">
        <v>25</v>
      </c>
      <c r="W30" s="5">
        <f t="shared" si="1"/>
        <v>9</v>
      </c>
      <c r="X30" s="5">
        <f t="shared" si="2"/>
        <v>3</v>
      </c>
    </row>
    <row r="31" spans="1:28" x14ac:dyDescent="0.25">
      <c r="A31" s="6">
        <v>27</v>
      </c>
      <c r="B31" s="12">
        <v>558</v>
      </c>
      <c r="C31" s="35" t="s">
        <v>111</v>
      </c>
      <c r="D31" s="35" t="s">
        <v>31</v>
      </c>
      <c r="E31" s="8" t="s">
        <v>125</v>
      </c>
      <c r="F31" s="40" t="s">
        <v>26</v>
      </c>
      <c r="G31" s="40" t="s">
        <v>25</v>
      </c>
      <c r="H31" s="40" t="s">
        <v>26</v>
      </c>
      <c r="I31" s="19"/>
      <c r="J31" s="40" t="s">
        <v>25</v>
      </c>
      <c r="K31" s="21"/>
      <c r="L31" s="40" t="s">
        <v>26</v>
      </c>
      <c r="M31" s="40" t="s">
        <v>26</v>
      </c>
      <c r="N31" s="40" t="s">
        <v>26</v>
      </c>
      <c r="O31" s="40" t="s">
        <v>26</v>
      </c>
      <c r="P31" s="39"/>
      <c r="Q31" s="42"/>
      <c r="R31" s="40" t="s">
        <v>26</v>
      </c>
      <c r="S31" s="40" t="s">
        <v>25</v>
      </c>
      <c r="T31" s="40" t="s">
        <v>26</v>
      </c>
      <c r="U31" s="21"/>
      <c r="V31" s="40" t="s">
        <v>26</v>
      </c>
      <c r="W31" s="5">
        <f t="shared" ref="W31:W35" si="3">COUNTIF(F31:V31,"P")</f>
        <v>9</v>
      </c>
      <c r="X31" s="5">
        <f t="shared" ref="X31:X35" si="4">COUNTIF(F31:V31,"A")</f>
        <v>3</v>
      </c>
    </row>
    <row r="32" spans="1:28" x14ac:dyDescent="0.25">
      <c r="A32" s="10">
        <v>28</v>
      </c>
      <c r="B32" s="12">
        <v>612</v>
      </c>
      <c r="C32" s="35" t="s">
        <v>112</v>
      </c>
      <c r="D32" s="36" t="s">
        <v>59</v>
      </c>
      <c r="E32" s="8" t="s">
        <v>125</v>
      </c>
      <c r="F32" s="40" t="s">
        <v>25</v>
      </c>
      <c r="G32" s="40" t="s">
        <v>25</v>
      </c>
      <c r="H32" s="40" t="s">
        <v>25</v>
      </c>
      <c r="I32" s="19"/>
      <c r="J32" s="40" t="s">
        <v>25</v>
      </c>
      <c r="K32" s="21"/>
      <c r="L32" s="40" t="s">
        <v>25</v>
      </c>
      <c r="M32" s="40" t="s">
        <v>25</v>
      </c>
      <c r="N32" s="40" t="s">
        <v>25</v>
      </c>
      <c r="O32" s="40" t="s">
        <v>25</v>
      </c>
      <c r="P32" s="39"/>
      <c r="Q32" s="42"/>
      <c r="R32" s="40" t="s">
        <v>26</v>
      </c>
      <c r="S32" s="40" t="s">
        <v>25</v>
      </c>
      <c r="T32" s="40" t="s">
        <v>25</v>
      </c>
      <c r="U32" s="21"/>
      <c r="V32" s="40" t="s">
        <v>25</v>
      </c>
      <c r="W32" s="5">
        <f t="shared" si="3"/>
        <v>1</v>
      </c>
      <c r="X32" s="5">
        <f t="shared" si="4"/>
        <v>11</v>
      </c>
    </row>
    <row r="33" spans="1:24" x14ac:dyDescent="0.25">
      <c r="A33" s="6">
        <v>29</v>
      </c>
      <c r="B33" s="12">
        <v>432</v>
      </c>
      <c r="C33" s="30" t="s">
        <v>113</v>
      </c>
      <c r="D33" s="37" t="s">
        <v>114</v>
      </c>
      <c r="E33" s="8" t="s">
        <v>125</v>
      </c>
      <c r="F33" s="40" t="s">
        <v>26</v>
      </c>
      <c r="G33" s="40" t="s">
        <v>26</v>
      </c>
      <c r="H33" s="40" t="s">
        <v>26</v>
      </c>
      <c r="I33" s="19"/>
      <c r="J33" s="40" t="s">
        <v>26</v>
      </c>
      <c r="K33" s="21"/>
      <c r="L33" s="40" t="s">
        <v>25</v>
      </c>
      <c r="M33" s="40" t="s">
        <v>26</v>
      </c>
      <c r="N33" s="40" t="s">
        <v>26</v>
      </c>
      <c r="O33" s="40" t="s">
        <v>26</v>
      </c>
      <c r="P33" s="39"/>
      <c r="Q33" s="42"/>
      <c r="R33" s="40" t="s">
        <v>26</v>
      </c>
      <c r="S33" s="40" t="s">
        <v>25</v>
      </c>
      <c r="T33" s="40" t="s">
        <v>25</v>
      </c>
      <c r="U33" s="21"/>
      <c r="V33" s="40" t="s">
        <v>25</v>
      </c>
      <c r="W33" s="5">
        <f t="shared" si="3"/>
        <v>8</v>
      </c>
      <c r="X33" s="5">
        <f t="shared" si="4"/>
        <v>4</v>
      </c>
    </row>
    <row r="34" spans="1:24" x14ac:dyDescent="0.25">
      <c r="A34" s="10">
        <v>30</v>
      </c>
      <c r="B34" s="12">
        <v>592</v>
      </c>
      <c r="C34" s="32" t="s">
        <v>115</v>
      </c>
      <c r="D34" s="31" t="s">
        <v>116</v>
      </c>
      <c r="E34" s="8" t="s">
        <v>125</v>
      </c>
      <c r="F34" s="40" t="s">
        <v>26</v>
      </c>
      <c r="G34" s="40" t="s">
        <v>26</v>
      </c>
      <c r="H34" s="40" t="s">
        <v>26</v>
      </c>
      <c r="I34" s="19"/>
      <c r="J34" s="40" t="s">
        <v>25</v>
      </c>
      <c r="K34" s="21"/>
      <c r="L34" s="40" t="s">
        <v>26</v>
      </c>
      <c r="M34" s="40" t="s">
        <v>26</v>
      </c>
      <c r="N34" s="40" t="s">
        <v>26</v>
      </c>
      <c r="O34" s="40" t="s">
        <v>25</v>
      </c>
      <c r="P34" s="39"/>
      <c r="Q34" s="42"/>
      <c r="R34" s="40" t="s">
        <v>26</v>
      </c>
      <c r="S34" s="40" t="s">
        <v>25</v>
      </c>
      <c r="T34" s="40" t="s">
        <v>25</v>
      </c>
      <c r="U34" s="21"/>
      <c r="V34" s="40" t="s">
        <v>26</v>
      </c>
      <c r="W34" s="5">
        <f t="shared" si="3"/>
        <v>8</v>
      </c>
      <c r="X34" s="5">
        <f t="shared" si="4"/>
        <v>4</v>
      </c>
    </row>
    <row r="35" spans="1:24" x14ac:dyDescent="0.25">
      <c r="A35" s="6">
        <v>31</v>
      </c>
      <c r="B35" s="12"/>
      <c r="C35" s="32" t="s">
        <v>117</v>
      </c>
      <c r="D35" s="31" t="s">
        <v>118</v>
      </c>
      <c r="E35" s="8" t="s">
        <v>125</v>
      </c>
      <c r="F35" s="40"/>
      <c r="G35" s="40"/>
      <c r="H35" s="40"/>
      <c r="I35" s="19"/>
      <c r="J35" s="40"/>
      <c r="K35" s="21"/>
      <c r="L35" s="40"/>
      <c r="M35" s="40"/>
      <c r="N35" s="40"/>
      <c r="O35" s="40"/>
      <c r="P35" s="39"/>
      <c r="Q35" s="42"/>
      <c r="R35" s="40" t="s">
        <v>26</v>
      </c>
      <c r="S35" s="40" t="s">
        <v>26</v>
      </c>
      <c r="T35" s="40" t="s">
        <v>25</v>
      </c>
      <c r="U35" s="21"/>
      <c r="V35" s="40" t="s">
        <v>26</v>
      </c>
      <c r="W35" s="5">
        <f t="shared" si="3"/>
        <v>3</v>
      </c>
      <c r="X35" s="5">
        <f t="shared" si="4"/>
        <v>1</v>
      </c>
    </row>
  </sheetData>
  <mergeCells count="17">
    <mergeCell ref="U5:U35"/>
    <mergeCell ref="E3:E4"/>
    <mergeCell ref="I5:I35"/>
    <mergeCell ref="K5:K35"/>
    <mergeCell ref="P5:P35"/>
    <mergeCell ref="Q5:Q35"/>
    <mergeCell ref="A2:X2"/>
    <mergeCell ref="A1:X1"/>
    <mergeCell ref="Y8:AB8"/>
    <mergeCell ref="Y16:AB16"/>
    <mergeCell ref="W3:W4"/>
    <mergeCell ref="X3:X4"/>
    <mergeCell ref="Y3:Z3"/>
    <mergeCell ref="A3:A4"/>
    <mergeCell ref="B3:B4"/>
    <mergeCell ref="C3:C4"/>
    <mergeCell ref="D3:D4"/>
  </mergeCells>
  <conditionalFormatting sqref="B5:B35">
    <cfRule type="duplicateValues" dxfId="13" priority="25"/>
  </conditionalFormatting>
  <conditionalFormatting sqref="F3:V4 F5:H35 J6:J35 L6:O35 I5:V5 R6:T35 V6:V35">
    <cfRule type="expression" dxfId="12" priority="16">
      <formula>F$3="Sun"</formula>
    </cfRule>
  </conditionalFormatting>
  <conditionalFormatting sqref="F4:V4 F5:H35 J6:J35 L6:O35 I5:V5 R6:T35 V6:V35">
    <cfRule type="expression" dxfId="11" priority="15">
      <formula>IF(F$4=TODAY(),TRUE,FALSE)</formula>
    </cfRule>
  </conditionalFormatting>
  <conditionalFormatting sqref="F5:H35 J6:J35 L6:O35 I5:V5 R6:T35 V6:V35">
    <cfRule type="cellIs" dxfId="10" priority="7" operator="equal">
      <formula>"L"</formula>
    </cfRule>
    <cfRule type="cellIs" dxfId="9" priority="8" operator="equal">
      <formula>"A"</formula>
    </cfRule>
    <cfRule type="cellIs" dxfId="8" priority="9" operator="equal">
      <formula>"P"</formula>
    </cfRule>
  </conditionalFormatting>
  <conditionalFormatting sqref="W3:X3 W5:X35">
    <cfRule type="expression" dxfId="7" priority="17">
      <formula>#REF!="Sun"</formula>
    </cfRule>
  </conditionalFormatting>
  <conditionalFormatting sqref="Y5:Y6">
    <cfRule type="expression" dxfId="6" priority="5">
      <formula>#REF!="Sun"</formula>
    </cfRule>
  </conditionalFormatting>
  <conditionalFormatting sqref="Y9:Y12">
    <cfRule type="expression" dxfId="5" priority="3">
      <formula>#REF!="Sun"</formula>
    </cfRule>
  </conditionalFormatting>
  <conditionalFormatting sqref="Y17:Y20">
    <cfRule type="expression" dxfId="4" priority="2">
      <formula>#REF!="Sun"</formula>
    </cfRule>
  </conditionalFormatting>
  <conditionalFormatting sqref="Y4:Z4">
    <cfRule type="expression" dxfId="3" priority="6">
      <formula>#REF!="Sun"</formula>
    </cfRule>
  </conditionalFormatting>
  <conditionalFormatting sqref="Z9:AB9">
    <cfRule type="expression" dxfId="2" priority="4">
      <formula>#REF!="Sun"</formula>
    </cfRule>
  </conditionalFormatting>
  <conditionalFormatting sqref="Z17:AB17">
    <cfRule type="expression" dxfId="1" priority="1">
      <formula>#REF!="Sun"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Class-IV (Boys)</vt:lpstr>
      <vt:lpstr>Class-IV (Girls)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Aqib Shah</dc:creator>
  <cp:lastModifiedBy>Fayyaz Mohammad</cp:lastModifiedBy>
  <dcterms:created xsi:type="dcterms:W3CDTF">2015-06-05T18:17:20Z</dcterms:created>
  <dcterms:modified xsi:type="dcterms:W3CDTF">2024-12-13T06:12:01Z</dcterms:modified>
</cp:coreProperties>
</file>