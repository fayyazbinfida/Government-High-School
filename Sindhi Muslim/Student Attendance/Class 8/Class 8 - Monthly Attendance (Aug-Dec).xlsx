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8\"/>
    </mc:Choice>
  </mc:AlternateContent>
  <xr:revisionPtr revIDLastSave="0" documentId="13_ncr:1_{B352E92C-DA98-4DBF-9D81-A6B2E0B5A419}" xr6:coauthVersionLast="47" xr6:coauthVersionMax="47" xr10:uidLastSave="{00000000-0000-0000-0000-000000000000}"/>
  <bookViews>
    <workbookView xWindow="-120" yWindow="-120" windowWidth="20730" windowHeight="11160" tabRatio="626" activeTab="4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  <sheet name="December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9" l="1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AG3" i="29"/>
  <c r="AH3" i="29"/>
  <c r="AI3" i="29"/>
  <c r="AJ3" i="29"/>
  <c r="AL45" i="29"/>
  <c r="AK45" i="29"/>
  <c r="AL44" i="29"/>
  <c r="AK44" i="29"/>
  <c r="AL43" i="29"/>
  <c r="AK43" i="29"/>
  <c r="AL42" i="29"/>
  <c r="AK42" i="29"/>
  <c r="AL41" i="29"/>
  <c r="AK41" i="29"/>
  <c r="AL40" i="29"/>
  <c r="AK40" i="29"/>
  <c r="AL39" i="29"/>
  <c r="AK39" i="29"/>
  <c r="AL38" i="29"/>
  <c r="AK38" i="29"/>
  <c r="AL37" i="29"/>
  <c r="AK37" i="29"/>
  <c r="AL36" i="29"/>
  <c r="AK36" i="29"/>
  <c r="AL35" i="29"/>
  <c r="AK35" i="29"/>
  <c r="AL34" i="29"/>
  <c r="AK34" i="29"/>
  <c r="AL33" i="29"/>
  <c r="AK33" i="29"/>
  <c r="AL32" i="29"/>
  <c r="AK32" i="29"/>
  <c r="AL31" i="29"/>
  <c r="AK31" i="29"/>
  <c r="AL30" i="29"/>
  <c r="AK30" i="29"/>
  <c r="AL29" i="29"/>
  <c r="AK29" i="29"/>
  <c r="AL28" i="29"/>
  <c r="AK28" i="29"/>
  <c r="AL27" i="29"/>
  <c r="AK27" i="29"/>
  <c r="AL26" i="29"/>
  <c r="AK26" i="29"/>
  <c r="AL25" i="29"/>
  <c r="AK25" i="29"/>
  <c r="AL24" i="29"/>
  <c r="AK24" i="29"/>
  <c r="AL23" i="29"/>
  <c r="AK23" i="29"/>
  <c r="AL22" i="29"/>
  <c r="AK22" i="29"/>
  <c r="AL21" i="29"/>
  <c r="AK21" i="29"/>
  <c r="AL20" i="29"/>
  <c r="AK20" i="29"/>
  <c r="AL19" i="29"/>
  <c r="AK19" i="29"/>
  <c r="AO18" i="29"/>
  <c r="AN18" i="29"/>
  <c r="AL18" i="29"/>
  <c r="AK18" i="29"/>
  <c r="AL17" i="29"/>
  <c r="AK17" i="29"/>
  <c r="AL16" i="29"/>
  <c r="AK16" i="29"/>
  <c r="AL15" i="29"/>
  <c r="AK15" i="29"/>
  <c r="AL14" i="29"/>
  <c r="AK14" i="29"/>
  <c r="AL13" i="29"/>
  <c r="AK13" i="29"/>
  <c r="AL12" i="29"/>
  <c r="AK12" i="29"/>
  <c r="AL11" i="29"/>
  <c r="AK11" i="29"/>
  <c r="AO10" i="29"/>
  <c r="AN10" i="29"/>
  <c r="AL10" i="29"/>
  <c r="AK10" i="29"/>
  <c r="AL9" i="29"/>
  <c r="AK9" i="29"/>
  <c r="AL8" i="29"/>
  <c r="AK8" i="29"/>
  <c r="AL7" i="29"/>
  <c r="AK7" i="29"/>
  <c r="AL6" i="29"/>
  <c r="AK6" i="29"/>
  <c r="AL5" i="29"/>
  <c r="AK5" i="29"/>
  <c r="F3" i="29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5" i="18"/>
  <c r="AJ40" i="24"/>
  <c r="AL36" i="18"/>
  <c r="AK22" i="24"/>
  <c r="AK23" i="24"/>
  <c r="AJ22" i="24"/>
  <c r="AJ23" i="24"/>
  <c r="AK46" i="27"/>
  <c r="AJ46" i="27"/>
  <c r="AK45" i="27"/>
  <c r="AJ45" i="27"/>
  <c r="AK44" i="27"/>
  <c r="AJ44" i="27"/>
  <c r="AK43" i="27"/>
  <c r="AJ43" i="27"/>
  <c r="AK42" i="27"/>
  <c r="AJ42" i="27"/>
  <c r="AK41" i="27"/>
  <c r="AJ41" i="27"/>
  <c r="AK40" i="27"/>
  <c r="AJ40" i="27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K38" i="24"/>
  <c r="AK39" i="24"/>
  <c r="AK40" i="24"/>
  <c r="AK41" i="24"/>
  <c r="AK42" i="24"/>
  <c r="AK43" i="24"/>
  <c r="AK44" i="24"/>
  <c r="AK45" i="24"/>
  <c r="AK46" i="24"/>
  <c r="AK47" i="24"/>
  <c r="AK48" i="24"/>
  <c r="AJ38" i="24"/>
  <c r="AJ39" i="24"/>
  <c r="AJ41" i="24"/>
  <c r="AJ42" i="24"/>
  <c r="AJ43" i="24"/>
  <c r="AJ44" i="24"/>
  <c r="AJ45" i="24"/>
  <c r="AJ46" i="24"/>
  <c r="AJ47" i="24"/>
  <c r="AJ48" i="24"/>
  <c r="AL48" i="18"/>
  <c r="AL37" i="18"/>
  <c r="AL38" i="18"/>
  <c r="AL39" i="18"/>
  <c r="AL40" i="18"/>
  <c r="AL41" i="18"/>
  <c r="AL42" i="18"/>
  <c r="AL43" i="18"/>
  <c r="AL44" i="18"/>
  <c r="AL45" i="18"/>
  <c r="AL46" i="18"/>
  <c r="AL47" i="18"/>
  <c r="V3" i="23"/>
  <c r="AJ3" i="18"/>
  <c r="X36" i="23"/>
  <c r="X37" i="23"/>
  <c r="X38" i="23"/>
  <c r="W36" i="23"/>
  <c r="W37" i="23"/>
  <c r="W38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5" i="23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6" i="24"/>
  <c r="AJ26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AA18" i="23"/>
  <c r="Z18" i="23"/>
  <c r="X18" i="23"/>
  <c r="X17" i="23"/>
  <c r="X16" i="23"/>
  <c r="X15" i="23"/>
  <c r="X14" i="23"/>
  <c r="X13" i="23"/>
  <c r="X12" i="23"/>
  <c r="X11" i="23"/>
  <c r="AA10" i="23"/>
  <c r="Z10" i="23"/>
  <c r="AB10" i="23" s="1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1" i="18"/>
  <c r="AL32" i="18"/>
  <c r="AL33" i="18"/>
  <c r="AL34" i="18"/>
  <c r="AL35" i="18"/>
  <c r="AO18" i="18"/>
  <c r="AN18" i="18"/>
  <c r="AO10" i="18"/>
  <c r="AN10" i="18"/>
  <c r="AL30" i="18"/>
  <c r="AL29" i="18"/>
  <c r="AL28" i="18"/>
  <c r="AL27" i="18"/>
  <c r="AL26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P18" i="29" l="1"/>
  <c r="AO18" i="24"/>
  <c r="AB18" i="23"/>
  <c r="AP10" i="29"/>
  <c r="AO11" i="29"/>
  <c r="AO12" i="29" s="1"/>
  <c r="AN11" i="29"/>
  <c r="AN19" i="29" s="1"/>
  <c r="AN20" i="29" s="1"/>
  <c r="AO18" i="27"/>
  <c r="AO10" i="27"/>
  <c r="AM11" i="27"/>
  <c r="AM19" i="27" s="1"/>
  <c r="AN11" i="27"/>
  <c r="AN12" i="27" s="1"/>
  <c r="AO10" i="24"/>
  <c r="AN11" i="24"/>
  <c r="AN12" i="24" s="1"/>
  <c r="AM11" i="24"/>
  <c r="AM19" i="24" s="1"/>
  <c r="AA11" i="23"/>
  <c r="AA19" i="23" s="1"/>
  <c r="AA20" i="23" s="1"/>
  <c r="Z11" i="23"/>
  <c r="Z19" i="23" s="1"/>
  <c r="Z20" i="23" s="1"/>
  <c r="AO11" i="18"/>
  <c r="AO19" i="18" s="1"/>
  <c r="AO20" i="18" s="1"/>
  <c r="AN11" i="18"/>
  <c r="AN19" i="18" s="1"/>
  <c r="AP10" i="18"/>
  <c r="AP18" i="18"/>
  <c r="AP11" i="29" l="1"/>
  <c r="AP12" i="29" s="1"/>
  <c r="AO19" i="29"/>
  <c r="AO20" i="29" s="1"/>
  <c r="AN12" i="29"/>
  <c r="AM12" i="27"/>
  <c r="AO11" i="27"/>
  <c r="AO12" i="27" s="1"/>
  <c r="AN19" i="27"/>
  <c r="AN20" i="27" s="1"/>
  <c r="AN19" i="24"/>
  <c r="AN20" i="24" s="1"/>
  <c r="AM20" i="27"/>
  <c r="AM12" i="24"/>
  <c r="AO11" i="24"/>
  <c r="AO12" i="24" s="1"/>
  <c r="AA12" i="23"/>
  <c r="Z12" i="23"/>
  <c r="AB11" i="23"/>
  <c r="AB12" i="23" s="1"/>
  <c r="AB19" i="23"/>
  <c r="AB20" i="23" s="1"/>
  <c r="AM20" i="24"/>
  <c r="AO12" i="18"/>
  <c r="AN12" i="18"/>
  <c r="AP11" i="18"/>
  <c r="AP12" i="18" s="1"/>
  <c r="AN20" i="18"/>
  <c r="AP19" i="18"/>
  <c r="AP20" i="18" s="1"/>
  <c r="AP19" i="29" l="1"/>
  <c r="AP20" i="29" s="1"/>
  <c r="AO19" i="27"/>
  <c r="AO20" i="27" s="1"/>
  <c r="AO19" i="24"/>
  <c r="AO20" i="24" s="1"/>
</calcChain>
</file>

<file path=xl/sharedStrings.xml><?xml version="1.0" encoding="utf-8"?>
<sst xmlns="http://schemas.openxmlformats.org/spreadsheetml/2006/main" count="5007" uniqueCount="129">
  <si>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</si>
  <si>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</si>
  <si>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</si>
  <si>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</si>
  <si>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</si>
  <si>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</si>
  <si>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</si>
  <si>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</si>
  <si>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</si>
  <si>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</si>
  <si>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</si>
  <si>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</si>
  <si>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</si>
  <si>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</si>
  <si>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</si>
  <si>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</si>
  <si>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</si>
  <si>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</si>
  <si>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</si>
  <si>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</si>
  <si>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</si>
  <si>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</si>
  <si>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</si>
  <si>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</si>
  <si>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A</t>
  </si>
  <si>
    <t>L</t>
  </si>
  <si>
    <t>Monthly Attendence Month of october-2024</t>
  </si>
  <si>
    <t>8th</t>
  </si>
  <si>
    <t>Azra</t>
  </si>
  <si>
    <t>Muhammad Usman</t>
  </si>
  <si>
    <t>Bisma</t>
  </si>
  <si>
    <t>Nisar Ahmed</t>
  </si>
  <si>
    <t>Amna</t>
  </si>
  <si>
    <t>Imran Ali</t>
  </si>
  <si>
    <t xml:space="preserve">Hina </t>
  </si>
  <si>
    <t>Muhammad Ibrahim</t>
  </si>
  <si>
    <t>Iqra</t>
  </si>
  <si>
    <t>Faiz Muhammad</t>
  </si>
  <si>
    <t>Kanwal Naz</t>
  </si>
  <si>
    <t>Zahid Hussain</t>
  </si>
  <si>
    <t xml:space="preserve">Iqra </t>
  </si>
  <si>
    <t>Maria</t>
  </si>
  <si>
    <t>Murk</t>
  </si>
  <si>
    <t>Noshina</t>
  </si>
  <si>
    <t>Shadab Aziz</t>
  </si>
  <si>
    <t>Shaista</t>
  </si>
  <si>
    <t>Shaista Rani</t>
  </si>
  <si>
    <t>M. Rehman Abbasi</t>
  </si>
  <si>
    <t>Rana Bhutto</t>
  </si>
  <si>
    <t>M. Qasim</t>
  </si>
  <si>
    <t>Abdul Aziz</t>
  </si>
  <si>
    <t>Abdul Wahid</t>
  </si>
  <si>
    <t>M. Moosa</t>
  </si>
  <si>
    <t>Tasleem Rani</t>
  </si>
  <si>
    <t xml:space="preserve">Zarmina </t>
  </si>
  <si>
    <t>Gulbahar</t>
  </si>
  <si>
    <t xml:space="preserve">Dua </t>
  </si>
  <si>
    <t>Mukhtiyar</t>
  </si>
  <si>
    <t>Aliya</t>
  </si>
  <si>
    <t>Awais</t>
  </si>
  <si>
    <t>Abdul Salam</t>
  </si>
  <si>
    <t>Abdul Rehman</t>
  </si>
  <si>
    <t>Ameer Ali</t>
  </si>
  <si>
    <t>Gulbahar Ali</t>
  </si>
  <si>
    <t>Faizan Ali</t>
  </si>
  <si>
    <t>Sohail Ahmed</t>
  </si>
  <si>
    <t>Ghaibi Khan</t>
  </si>
  <si>
    <t>Abdul Sattar</t>
  </si>
  <si>
    <t>Hasnain</t>
  </si>
  <si>
    <t>Lutufullah</t>
  </si>
  <si>
    <t>Kabeer Ahmed</t>
  </si>
  <si>
    <t>Shah M.</t>
  </si>
  <si>
    <t>M. Ahmed Khalid</t>
  </si>
  <si>
    <t>Khalid Hussain</t>
  </si>
  <si>
    <t>Meer Gohnam</t>
  </si>
  <si>
    <t>Nuzrat Ali</t>
  </si>
  <si>
    <t>Mohsin Ali</t>
  </si>
  <si>
    <t>Irshad Ali</t>
  </si>
  <si>
    <t>Mudasir</t>
  </si>
  <si>
    <t>Meer Muhammad</t>
  </si>
  <si>
    <t>Muzakir</t>
  </si>
  <si>
    <t>Gulzar Ahmed</t>
  </si>
  <si>
    <t>Shuvan Ali</t>
  </si>
  <si>
    <t xml:space="preserve">Gulam Sarwar </t>
  </si>
  <si>
    <t>Syed Rashid Ali</t>
  </si>
  <si>
    <t>Mehboob Ali Shah</t>
  </si>
  <si>
    <t>Shayan Ali</t>
  </si>
  <si>
    <t>Aliyan</t>
  </si>
  <si>
    <t>Narejo</t>
  </si>
  <si>
    <t>Nagma Naz</t>
  </si>
  <si>
    <t>Dua Aliya</t>
  </si>
  <si>
    <t>Naghma Naz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</si>
  <si>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</si>
  <si>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</si>
  <si>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</si>
  <si>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</si>
  <si>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</si>
  <si>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</si>
  <si>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</si>
  <si>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Imran</t>
  </si>
  <si>
    <t>Jawad Ahmed</t>
  </si>
  <si>
    <t>Shahid Ali</t>
  </si>
  <si>
    <t>M. Rafi</t>
  </si>
  <si>
    <t>Abdul Jabbar</t>
  </si>
  <si>
    <t>M. Saim</t>
  </si>
  <si>
    <t>Shahzad Ali</t>
  </si>
  <si>
    <t>Abdul Qadir</t>
  </si>
  <si>
    <t>Ali Raza</t>
  </si>
  <si>
    <t>Raiz Gul</t>
  </si>
  <si>
    <t>Yasir Ahmed</t>
  </si>
  <si>
    <t>Nazir Ahmed</t>
  </si>
  <si>
    <t>Younus</t>
  </si>
  <si>
    <t>Layaqat Ali</t>
  </si>
  <si>
    <t>Shezad Ali</t>
  </si>
  <si>
    <t>Syed Rashid</t>
  </si>
  <si>
    <t>Syed Mehboob</t>
  </si>
  <si>
    <t>Alyan Ali</t>
  </si>
  <si>
    <t>Riaz Gul</t>
  </si>
  <si>
    <t>Salman</t>
  </si>
  <si>
    <t>Ahmed Ali</t>
  </si>
  <si>
    <t>Samiullah</t>
  </si>
  <si>
    <t>Maroof Ali</t>
  </si>
  <si>
    <t>Salar</t>
  </si>
  <si>
    <t>Ghulam Aslam</t>
  </si>
  <si>
    <t>.</t>
  </si>
  <si>
    <t>Amir Ali</t>
  </si>
  <si>
    <t>SUNDAY - SUNDAY - SUNDAY</t>
  </si>
  <si>
    <t>SUNDAY - SUNDAY - SUNDAY - SUNDAY</t>
  </si>
  <si>
    <t>SUNDAY - SUNDAY - SUNDAY - SUNDAY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</si>
</sst>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9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B38"/>
  <sheetViews>
    <sheetView zoomScale="96" zoomScaleNormal="96" workbookViewId="0">
      <selection activeCell="P5" sqref="P5:P3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8" width="4.5703125" style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19" width="3.7109375" style="1" bestFit="1" customWidth="1"/>
    <col min="20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8" ht="17.25" x14ac:dyDescent="0.3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8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5" t="s">
        <v>5</v>
      </c>
      <c r="X3" s="35" t="s">
        <v>6</v>
      </c>
      <c r="Y3" s="28" t="s">
        <v>20</v>
      </c>
      <c r="Z3" s="29"/>
      <c r="AA3" s="3"/>
      <c r="AB3" s="3"/>
    </row>
    <row r="4" spans="1:28" ht="36.75" x14ac:dyDescent="0.25">
      <c r="A4" s="34"/>
      <c r="B4" s="34"/>
      <c r="C4" s="34"/>
      <c r="D4" s="34"/>
      <c r="E4" s="34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35"/>
      <c r="X4" s="35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23" t="s">
        <v>23</v>
      </c>
      <c r="G5" s="23" t="s">
        <v>23</v>
      </c>
      <c r="H5" s="23" t="s">
        <v>24</v>
      </c>
      <c r="I5" s="36" t="s">
        <v>126</v>
      </c>
      <c r="J5" s="23" t="s">
        <v>23</v>
      </c>
      <c r="K5" s="23"/>
      <c r="L5" s="23" t="s">
        <v>23</v>
      </c>
      <c r="M5" s="23" t="s">
        <v>23</v>
      </c>
      <c r="N5" s="23" t="s">
        <v>23</v>
      </c>
      <c r="O5" s="23" t="s">
        <v>23</v>
      </c>
      <c r="P5" s="36" t="s">
        <v>126</v>
      </c>
      <c r="Q5" s="23"/>
      <c r="R5" s="23" t="s">
        <v>23</v>
      </c>
      <c r="S5" s="23" t="s">
        <v>24</v>
      </c>
      <c r="T5" s="23" t="s">
        <v>23</v>
      </c>
      <c r="U5" s="23"/>
      <c r="V5" s="23" t="s">
        <v>24</v>
      </c>
      <c r="W5" s="5">
        <f>COUNTIF(F5:V5,"P")</f>
        <v>9</v>
      </c>
      <c r="X5" s="5">
        <f>COUNTIF(F5:U5,"A")</f>
        <v>2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23" t="s">
        <v>23</v>
      </c>
      <c r="G6" s="23" t="s">
        <v>23</v>
      </c>
      <c r="H6" s="23" t="s">
        <v>23</v>
      </c>
      <c r="I6" s="37"/>
      <c r="J6" s="23" t="s">
        <v>23</v>
      </c>
      <c r="K6" s="23"/>
      <c r="L6" s="23" t="s">
        <v>23</v>
      </c>
      <c r="M6" s="23" t="s">
        <v>23</v>
      </c>
      <c r="N6" s="23" t="s">
        <v>23</v>
      </c>
      <c r="O6" s="23" t="s">
        <v>23</v>
      </c>
      <c r="P6" s="37"/>
      <c r="Q6" s="23"/>
      <c r="R6" s="23" t="s">
        <v>24</v>
      </c>
      <c r="S6" s="23" t="s">
        <v>24</v>
      </c>
      <c r="T6" s="23" t="s">
        <v>23</v>
      </c>
      <c r="U6" s="23"/>
      <c r="V6" s="23" t="s">
        <v>24</v>
      </c>
      <c r="W6" s="5">
        <f>COUNTIF(F6:V6,"P")</f>
        <v>9</v>
      </c>
      <c r="X6" s="5">
        <f>COUNTIF(F6:U6,"A")</f>
        <v>2</v>
      </c>
      <c r="Y6" s="5" t="s">
        <v>10</v>
      </c>
      <c r="Z6" s="8">
        <v>4</v>
      </c>
      <c r="AA6" s="3"/>
      <c r="AB6" s="3"/>
    </row>
    <row r="7" spans="1:28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23" t="s">
        <v>23</v>
      </c>
      <c r="G7" s="23" t="s">
        <v>23</v>
      </c>
      <c r="H7" s="23" t="s">
        <v>23</v>
      </c>
      <c r="I7" s="37"/>
      <c r="J7" s="23" t="s">
        <v>23</v>
      </c>
      <c r="K7" s="23"/>
      <c r="L7" s="23" t="s">
        <v>23</v>
      </c>
      <c r="M7" s="23" t="s">
        <v>23</v>
      </c>
      <c r="N7" s="23" t="s">
        <v>23</v>
      </c>
      <c r="O7" s="23" t="s">
        <v>23</v>
      </c>
      <c r="P7" s="37"/>
      <c r="Q7" s="23"/>
      <c r="R7" s="23" t="s">
        <v>23</v>
      </c>
      <c r="S7" s="23" t="s">
        <v>23</v>
      </c>
      <c r="T7" s="23" t="s">
        <v>23</v>
      </c>
      <c r="U7" s="23"/>
      <c r="V7" s="23" t="s">
        <v>24</v>
      </c>
      <c r="W7" s="5">
        <f>COUNTIF(F7:V7,"P")</f>
        <v>11</v>
      </c>
      <c r="X7" s="5">
        <f>COUNTIF(F7:U7,"A")</f>
        <v>0</v>
      </c>
      <c r="Y7" s="3"/>
      <c r="Z7" s="3"/>
      <c r="AA7" s="3"/>
      <c r="AB7" s="3"/>
    </row>
    <row r="8" spans="1:28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23" t="s">
        <v>24</v>
      </c>
      <c r="G8" s="23" t="s">
        <v>23</v>
      </c>
      <c r="H8" s="23" t="s">
        <v>23</v>
      </c>
      <c r="I8" s="37"/>
      <c r="J8" s="23" t="s">
        <v>23</v>
      </c>
      <c r="K8" s="23"/>
      <c r="L8" s="23" t="s">
        <v>23</v>
      </c>
      <c r="M8" s="23" t="s">
        <v>23</v>
      </c>
      <c r="N8" s="23" t="s">
        <v>23</v>
      </c>
      <c r="O8" s="23" t="s">
        <v>23</v>
      </c>
      <c r="P8" s="37"/>
      <c r="Q8" s="23"/>
      <c r="R8" s="23" t="s">
        <v>23</v>
      </c>
      <c r="S8" s="23" t="s">
        <v>23</v>
      </c>
      <c r="T8" s="23" t="s">
        <v>23</v>
      </c>
      <c r="U8" s="23"/>
      <c r="V8" s="23" t="s">
        <v>24</v>
      </c>
      <c r="W8" s="5">
        <f>COUNTIF(F8:V8,"P")</f>
        <v>10</v>
      </c>
      <c r="X8" s="5">
        <f>COUNTIF(F8:U8,"A")</f>
        <v>1</v>
      </c>
      <c r="Y8" s="28" t="s">
        <v>11</v>
      </c>
      <c r="Z8" s="29"/>
      <c r="AA8" s="29"/>
      <c r="AB8" s="30"/>
    </row>
    <row r="9" spans="1:28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23" t="s">
        <v>24</v>
      </c>
      <c r="G9" s="23" t="s">
        <v>23</v>
      </c>
      <c r="H9" s="23" t="s">
        <v>23</v>
      </c>
      <c r="I9" s="37"/>
      <c r="J9" s="23" t="s">
        <v>23</v>
      </c>
      <c r="K9" s="23"/>
      <c r="L9" s="23" t="s">
        <v>23</v>
      </c>
      <c r="M9" s="23" t="s">
        <v>23</v>
      </c>
      <c r="N9" s="23" t="s">
        <v>23</v>
      </c>
      <c r="O9" s="23" t="s">
        <v>23</v>
      </c>
      <c r="P9" s="37"/>
      <c r="Q9" s="23"/>
      <c r="R9" s="23" t="s">
        <v>23</v>
      </c>
      <c r="S9" s="23" t="s">
        <v>24</v>
      </c>
      <c r="T9" s="23" t="s">
        <v>23</v>
      </c>
      <c r="U9" s="23"/>
      <c r="V9" s="23" t="s">
        <v>24</v>
      </c>
      <c r="W9" s="5">
        <f>COUNTIF(F9:V9,"P")</f>
        <v>9</v>
      </c>
      <c r="X9" s="5">
        <f>COUNTIF(F9:U9,"A")</f>
        <v>2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23" t="s">
        <v>23</v>
      </c>
      <c r="G10" s="23" t="s">
        <v>23</v>
      </c>
      <c r="H10" s="23" t="s">
        <v>24</v>
      </c>
      <c r="I10" s="37"/>
      <c r="J10" s="23" t="s">
        <v>23</v>
      </c>
      <c r="K10" s="23"/>
      <c r="L10" s="23" t="s">
        <v>23</v>
      </c>
      <c r="M10" s="23" t="s">
        <v>23</v>
      </c>
      <c r="N10" s="23" t="s">
        <v>23</v>
      </c>
      <c r="O10" s="23" t="s">
        <v>23</v>
      </c>
      <c r="P10" s="37"/>
      <c r="Q10" s="23"/>
      <c r="R10" s="23" t="s">
        <v>23</v>
      </c>
      <c r="S10" s="23" t="s">
        <v>24</v>
      </c>
      <c r="T10" s="23" t="s">
        <v>23</v>
      </c>
      <c r="U10" s="23"/>
      <c r="V10" s="23" t="s">
        <v>24</v>
      </c>
      <c r="W10" s="5">
        <f>COUNTIF(F10:V10,"P")</f>
        <v>9</v>
      </c>
      <c r="X10" s="5">
        <f>COUNTIF(F10:U10,"A")</f>
        <v>2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23" t="s">
        <v>23</v>
      </c>
      <c r="G11" s="23" t="s">
        <v>23</v>
      </c>
      <c r="H11" s="23" t="s">
        <v>23</v>
      </c>
      <c r="I11" s="37"/>
      <c r="J11" s="23" t="s">
        <v>23</v>
      </c>
      <c r="K11" s="23"/>
      <c r="L11" s="23" t="s">
        <v>23</v>
      </c>
      <c r="M11" s="23" t="s">
        <v>23</v>
      </c>
      <c r="N11" s="23" t="s">
        <v>23</v>
      </c>
      <c r="O11" s="23" t="s">
        <v>23</v>
      </c>
      <c r="P11" s="37"/>
      <c r="Q11" s="23"/>
      <c r="R11" s="23" t="s">
        <v>23</v>
      </c>
      <c r="S11" s="23" t="s">
        <v>23</v>
      </c>
      <c r="T11" s="23" t="s">
        <v>23</v>
      </c>
      <c r="U11" s="23"/>
      <c r="V11" s="23" t="s">
        <v>24</v>
      </c>
      <c r="W11" s="5">
        <f>COUNTIF(F11:V11,"P")</f>
        <v>11</v>
      </c>
      <c r="X11" s="5">
        <f>COUNTIF(F11:U11,"A")</f>
        <v>0</v>
      </c>
      <c r="Y11" s="5" t="s">
        <v>17</v>
      </c>
      <c r="Z11" s="8" t="e">
        <f>W31+W32+W35++#REF!</f>
        <v>#REF!</v>
      </c>
      <c r="AA11" s="8" t="e">
        <f>W30+W33+W34+W36+W37+W38+#REF!+#REF!+#REF!+#REF!+#REF!+#REF!+#REF!</f>
        <v>#REF!</v>
      </c>
      <c r="AB11" s="8" t="e">
        <f>Z11+AA11</f>
        <v>#REF!</v>
      </c>
    </row>
    <row r="12" spans="1:28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23" t="s">
        <v>23</v>
      </c>
      <c r="G12" s="23" t="s">
        <v>23</v>
      </c>
      <c r="H12" s="23" t="s">
        <v>23</v>
      </c>
      <c r="I12" s="37"/>
      <c r="J12" s="23" t="s">
        <v>23</v>
      </c>
      <c r="K12" s="23"/>
      <c r="L12" s="23" t="s">
        <v>23</v>
      </c>
      <c r="M12" s="23" t="s">
        <v>23</v>
      </c>
      <c r="N12" s="23" t="s">
        <v>23</v>
      </c>
      <c r="O12" s="23" t="s">
        <v>23</v>
      </c>
      <c r="P12" s="37"/>
      <c r="Q12" s="23"/>
      <c r="R12" s="23" t="s">
        <v>23</v>
      </c>
      <c r="S12" s="23" t="s">
        <v>24</v>
      </c>
      <c r="T12" s="23" t="s">
        <v>23</v>
      </c>
      <c r="U12" s="23"/>
      <c r="V12" s="23" t="s">
        <v>24</v>
      </c>
      <c r="W12" s="5">
        <f>COUNTIF(F12:V12,"P")</f>
        <v>10</v>
      </c>
      <c r="X12" s="5">
        <f>COUNTIF(F12:U12,"A")</f>
        <v>1</v>
      </c>
      <c r="Y12" s="5" t="s">
        <v>18</v>
      </c>
      <c r="Z12" s="8" t="e">
        <f>Z11/Z10</f>
        <v>#REF!</v>
      </c>
      <c r="AA12" s="8" t="e">
        <f>AA11/AA10</f>
        <v>#REF!</v>
      </c>
      <c r="AB12" s="8" t="e">
        <f>AB11/AB10</f>
        <v>#REF!</v>
      </c>
    </row>
    <row r="13" spans="1:28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23" t="s">
        <v>23</v>
      </c>
      <c r="G13" s="23" t="s">
        <v>23</v>
      </c>
      <c r="H13" s="23" t="s">
        <v>23</v>
      </c>
      <c r="I13" s="37"/>
      <c r="J13" s="23" t="s">
        <v>23</v>
      </c>
      <c r="K13" s="23"/>
      <c r="L13" s="23" t="s">
        <v>23</v>
      </c>
      <c r="M13" s="23" t="s">
        <v>23</v>
      </c>
      <c r="N13" s="23" t="s">
        <v>23</v>
      </c>
      <c r="O13" s="23" t="s">
        <v>23</v>
      </c>
      <c r="P13" s="37"/>
      <c r="Q13" s="23"/>
      <c r="R13" s="23" t="s">
        <v>24</v>
      </c>
      <c r="S13" s="23" t="s">
        <v>24</v>
      </c>
      <c r="T13" s="23" t="s">
        <v>23</v>
      </c>
      <c r="U13" s="23"/>
      <c r="V13" s="23" t="s">
        <v>24</v>
      </c>
      <c r="W13" s="5">
        <f>COUNTIF(F13:V13,"P")</f>
        <v>9</v>
      </c>
      <c r="X13" s="5">
        <f>COUNTIF(F13:U13,"A")</f>
        <v>2</v>
      </c>
      <c r="Y13" s="3"/>
      <c r="Z13" s="11"/>
      <c r="AA13" s="11"/>
      <c r="AB13" s="11"/>
    </row>
    <row r="14" spans="1:28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23" t="s">
        <v>24</v>
      </c>
      <c r="G14" s="23" t="s">
        <v>23</v>
      </c>
      <c r="H14" s="23" t="s">
        <v>23</v>
      </c>
      <c r="I14" s="37"/>
      <c r="J14" s="23" t="s">
        <v>24</v>
      </c>
      <c r="K14" s="23"/>
      <c r="L14" s="23" t="s">
        <v>23</v>
      </c>
      <c r="M14" s="23" t="s">
        <v>23</v>
      </c>
      <c r="N14" s="23" t="s">
        <v>23</v>
      </c>
      <c r="O14" s="23" t="s">
        <v>23</v>
      </c>
      <c r="P14" s="37"/>
      <c r="Q14" s="23"/>
      <c r="R14" s="23" t="s">
        <v>23</v>
      </c>
      <c r="S14" s="23" t="s">
        <v>24</v>
      </c>
      <c r="T14" s="23" t="s">
        <v>23</v>
      </c>
      <c r="U14" s="23"/>
      <c r="V14" s="23" t="s">
        <v>23</v>
      </c>
      <c r="W14" s="5">
        <f>COUNTIF(F14:V14,"P")</f>
        <v>9</v>
      </c>
      <c r="X14" s="5">
        <f>COUNTIF(F14:U14,"A")</f>
        <v>3</v>
      </c>
      <c r="Y14" s="12"/>
      <c r="Z14" s="12"/>
      <c r="AA14" s="12"/>
      <c r="AB14" s="12"/>
    </row>
    <row r="15" spans="1:28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23" t="s">
        <v>24</v>
      </c>
      <c r="G15" s="23" t="s">
        <v>23</v>
      </c>
      <c r="H15" s="23" t="s">
        <v>23</v>
      </c>
      <c r="I15" s="37"/>
      <c r="J15" s="23" t="s">
        <v>23</v>
      </c>
      <c r="K15" s="23"/>
      <c r="L15" s="23" t="s">
        <v>23</v>
      </c>
      <c r="M15" s="23" t="s">
        <v>23</v>
      </c>
      <c r="N15" s="23" t="s">
        <v>23</v>
      </c>
      <c r="O15" s="23" t="s">
        <v>23</v>
      </c>
      <c r="P15" s="37"/>
      <c r="Q15" s="23"/>
      <c r="R15" s="23" t="s">
        <v>23</v>
      </c>
      <c r="S15" s="23" t="s">
        <v>23</v>
      </c>
      <c r="T15" s="23" t="s">
        <v>23</v>
      </c>
      <c r="U15" s="23"/>
      <c r="V15" s="23" t="s">
        <v>24</v>
      </c>
      <c r="W15" s="5">
        <f>COUNTIF(F15:V15,"P")</f>
        <v>10</v>
      </c>
      <c r="X15" s="5">
        <f>COUNTIF(F15:U15,"A")</f>
        <v>1</v>
      </c>
      <c r="Y15" s="3"/>
      <c r="Z15" s="3"/>
      <c r="AA15" s="3"/>
      <c r="AB15" s="3"/>
    </row>
    <row r="16" spans="1:28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23" t="s">
        <v>24</v>
      </c>
      <c r="G16" s="23" t="s">
        <v>24</v>
      </c>
      <c r="H16" s="23" t="s">
        <v>24</v>
      </c>
      <c r="I16" s="37"/>
      <c r="J16" s="23" t="s">
        <v>23</v>
      </c>
      <c r="K16" s="23"/>
      <c r="L16" s="23" t="s">
        <v>23</v>
      </c>
      <c r="M16" s="23" t="s">
        <v>23</v>
      </c>
      <c r="N16" s="23" t="s">
        <v>23</v>
      </c>
      <c r="O16" s="23" t="s">
        <v>23</v>
      </c>
      <c r="P16" s="37"/>
      <c r="Q16" s="23"/>
      <c r="R16" s="23" t="s">
        <v>24</v>
      </c>
      <c r="S16" s="23" t="s">
        <v>24</v>
      </c>
      <c r="T16" s="23" t="s">
        <v>23</v>
      </c>
      <c r="U16" s="23"/>
      <c r="V16" s="23" t="s">
        <v>24</v>
      </c>
      <c r="W16" s="5">
        <f>COUNTIF(F16:V16,"P")</f>
        <v>6</v>
      </c>
      <c r="X16" s="5">
        <f>COUNTIF(F16:U16,"A")</f>
        <v>5</v>
      </c>
      <c r="Y16" s="28" t="s">
        <v>6</v>
      </c>
      <c r="Z16" s="29"/>
      <c r="AA16" s="29"/>
      <c r="AB16" s="30"/>
    </row>
    <row r="17" spans="1:28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23" t="s">
        <v>24</v>
      </c>
      <c r="G17" s="23" t="s">
        <v>23</v>
      </c>
      <c r="H17" s="23" t="s">
        <v>23</v>
      </c>
      <c r="I17" s="37"/>
      <c r="J17" s="23" t="s">
        <v>23</v>
      </c>
      <c r="K17" s="23"/>
      <c r="L17" s="23" t="s">
        <v>23</v>
      </c>
      <c r="M17" s="23" t="s">
        <v>23</v>
      </c>
      <c r="N17" s="23" t="s">
        <v>23</v>
      </c>
      <c r="O17" s="23" t="s">
        <v>23</v>
      </c>
      <c r="P17" s="37"/>
      <c r="Q17" s="23"/>
      <c r="R17" s="23" t="s">
        <v>23</v>
      </c>
      <c r="S17" s="23" t="s">
        <v>23</v>
      </c>
      <c r="T17" s="23" t="s">
        <v>23</v>
      </c>
      <c r="U17" s="23"/>
      <c r="V17" s="23" t="s">
        <v>24</v>
      </c>
      <c r="W17" s="5">
        <f>COUNTIF(F17:V17,"P")</f>
        <v>10</v>
      </c>
      <c r="X17" s="5">
        <f>COUNTIF(F17:U17,"A")</f>
        <v>1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23" t="s">
        <v>24</v>
      </c>
      <c r="G18" s="23" t="s">
        <v>23</v>
      </c>
      <c r="H18" s="23" t="s">
        <v>23</v>
      </c>
      <c r="I18" s="37"/>
      <c r="J18" s="23" t="s">
        <v>23</v>
      </c>
      <c r="K18" s="23"/>
      <c r="L18" s="23" t="s">
        <v>23</v>
      </c>
      <c r="M18" s="23" t="s">
        <v>23</v>
      </c>
      <c r="N18" s="23" t="s">
        <v>23</v>
      </c>
      <c r="O18" s="23" t="s">
        <v>23</v>
      </c>
      <c r="P18" s="37"/>
      <c r="Q18" s="23"/>
      <c r="R18" s="23" t="s">
        <v>23</v>
      </c>
      <c r="S18" s="23" t="s">
        <v>24</v>
      </c>
      <c r="T18" s="23" t="s">
        <v>23</v>
      </c>
      <c r="U18" s="23"/>
      <c r="V18" s="23" t="s">
        <v>24</v>
      </c>
      <c r="W18" s="5">
        <f>COUNTIF(F18:V18,"P")</f>
        <v>9</v>
      </c>
      <c r="X18" s="5">
        <f>COUNTIF(F18:U18,"A")</f>
        <v>2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23" t="s">
        <v>23</v>
      </c>
      <c r="G19" s="23" t="s">
        <v>23</v>
      </c>
      <c r="H19" s="23" t="s">
        <v>23</v>
      </c>
      <c r="I19" s="37"/>
      <c r="J19" s="23" t="s">
        <v>23</v>
      </c>
      <c r="K19" s="23"/>
      <c r="L19" s="23" t="s">
        <v>23</v>
      </c>
      <c r="M19" s="23" t="s">
        <v>23</v>
      </c>
      <c r="N19" s="23" t="s">
        <v>23</v>
      </c>
      <c r="O19" s="23" t="s">
        <v>23</v>
      </c>
      <c r="P19" s="37"/>
      <c r="Q19" s="23"/>
      <c r="R19" s="23" t="s">
        <v>24</v>
      </c>
      <c r="S19" s="23" t="s">
        <v>24</v>
      </c>
      <c r="T19" s="23" t="s">
        <v>23</v>
      </c>
      <c r="U19" s="23"/>
      <c r="V19" s="23" t="s">
        <v>24</v>
      </c>
      <c r="W19" s="5">
        <f>COUNTIF(F19:V19,"P")</f>
        <v>9</v>
      </c>
      <c r="X19" s="5">
        <f>COUNTIF(F19:U19,"A")</f>
        <v>2</v>
      </c>
      <c r="Y19" s="5" t="s">
        <v>19</v>
      </c>
      <c r="Z19" s="8" t="e">
        <f>Z18-Z11</f>
        <v>#REF!</v>
      </c>
      <c r="AA19" s="8" t="e">
        <f>AA18-AA11</f>
        <v>#REF!</v>
      </c>
      <c r="AB19" s="8" t="e">
        <f>Z19+AA19</f>
        <v>#REF!</v>
      </c>
    </row>
    <row r="20" spans="1:28" x14ac:dyDescent="0.25">
      <c r="A20" s="8">
        <v>16</v>
      </c>
      <c r="B20" s="10"/>
      <c r="C20" s="17" t="s">
        <v>56</v>
      </c>
      <c r="D20" s="16" t="s">
        <v>57</v>
      </c>
      <c r="E20" s="7" t="s">
        <v>27</v>
      </c>
      <c r="F20" s="23" t="s">
        <v>23</v>
      </c>
      <c r="G20" s="23" t="s">
        <v>23</v>
      </c>
      <c r="H20" s="23" t="s">
        <v>23</v>
      </c>
      <c r="I20" s="37"/>
      <c r="J20" s="23" t="s">
        <v>23</v>
      </c>
      <c r="K20" s="23"/>
      <c r="L20" s="23" t="s">
        <v>23</v>
      </c>
      <c r="M20" s="23" t="s">
        <v>23</v>
      </c>
      <c r="N20" s="23" t="s">
        <v>23</v>
      </c>
      <c r="O20" s="23" t="s">
        <v>23</v>
      </c>
      <c r="P20" s="37"/>
      <c r="Q20" s="23"/>
      <c r="R20" s="23" t="s">
        <v>24</v>
      </c>
      <c r="S20" s="23" t="s">
        <v>23</v>
      </c>
      <c r="T20" s="23" t="s">
        <v>23</v>
      </c>
      <c r="U20" s="23"/>
      <c r="V20" s="23" t="s">
        <v>23</v>
      </c>
      <c r="W20" s="5">
        <f>COUNTIF(F20:V20,"P")</f>
        <v>11</v>
      </c>
      <c r="X20" s="5">
        <f>COUNTIF(F20:U20,"A")</f>
        <v>1</v>
      </c>
      <c r="Y20" s="5" t="s">
        <v>15</v>
      </c>
      <c r="Z20" s="13" t="e">
        <f>Z19/Z18</f>
        <v>#REF!</v>
      </c>
      <c r="AA20" s="13" t="e">
        <f>AA19/AA18</f>
        <v>#REF!</v>
      </c>
      <c r="AB20" s="13" t="e">
        <f>AB19/AB18</f>
        <v>#REF!</v>
      </c>
    </row>
    <row r="21" spans="1:28" x14ac:dyDescent="0.25">
      <c r="A21" s="6">
        <v>17</v>
      </c>
      <c r="B21" s="10"/>
      <c r="C21" s="17" t="s">
        <v>58</v>
      </c>
      <c r="D21" s="16" t="s">
        <v>57</v>
      </c>
      <c r="E21" s="7" t="s">
        <v>27</v>
      </c>
      <c r="F21" s="23" t="s">
        <v>23</v>
      </c>
      <c r="G21" s="23" t="s">
        <v>23</v>
      </c>
      <c r="H21" s="23" t="s">
        <v>23</v>
      </c>
      <c r="I21" s="37"/>
      <c r="J21" s="23" t="s">
        <v>23</v>
      </c>
      <c r="K21" s="23"/>
      <c r="L21" s="23" t="s">
        <v>23</v>
      </c>
      <c r="M21" s="23" t="s">
        <v>23</v>
      </c>
      <c r="N21" s="23" t="s">
        <v>23</v>
      </c>
      <c r="O21" s="23" t="s">
        <v>23</v>
      </c>
      <c r="P21" s="37"/>
      <c r="Q21" s="23"/>
      <c r="R21" s="23" t="s">
        <v>24</v>
      </c>
      <c r="S21" s="23" t="s">
        <v>23</v>
      </c>
      <c r="T21" s="23" t="s">
        <v>23</v>
      </c>
      <c r="U21" s="23"/>
      <c r="V21" s="23" t="s">
        <v>23</v>
      </c>
      <c r="W21" s="5">
        <f>COUNTIF(F21:V21,"P")</f>
        <v>11</v>
      </c>
      <c r="X21" s="5">
        <f>COUNTIF(F21:U21,"A")</f>
        <v>1</v>
      </c>
    </row>
    <row r="22" spans="1:28" x14ac:dyDescent="0.25">
      <c r="A22" s="8">
        <v>18</v>
      </c>
      <c r="B22" s="10"/>
      <c r="C22" s="17" t="s">
        <v>36</v>
      </c>
      <c r="D22" s="16" t="s">
        <v>59</v>
      </c>
      <c r="E22" s="7" t="s">
        <v>27</v>
      </c>
      <c r="F22" s="23" t="s">
        <v>24</v>
      </c>
      <c r="G22" s="23" t="s">
        <v>23</v>
      </c>
      <c r="H22" s="23" t="s">
        <v>24</v>
      </c>
      <c r="I22" s="37"/>
      <c r="J22" s="23" t="s">
        <v>23</v>
      </c>
      <c r="K22" s="23"/>
      <c r="L22" s="23" t="s">
        <v>23</v>
      </c>
      <c r="M22" s="23" t="s">
        <v>23</v>
      </c>
      <c r="N22" s="23" t="s">
        <v>23</v>
      </c>
      <c r="O22" s="23" t="s">
        <v>23</v>
      </c>
      <c r="P22" s="37"/>
      <c r="Q22" s="23"/>
      <c r="R22" s="23" t="s">
        <v>23</v>
      </c>
      <c r="S22" s="23" t="s">
        <v>23</v>
      </c>
      <c r="T22" s="23" t="s">
        <v>23</v>
      </c>
      <c r="U22" s="23"/>
      <c r="V22" s="23" t="s">
        <v>24</v>
      </c>
      <c r="W22" s="5">
        <f>COUNTIF(F22:V22,"P")</f>
        <v>9</v>
      </c>
      <c r="X22" s="5">
        <f>COUNTIF(F22:U22,"A")</f>
        <v>2</v>
      </c>
    </row>
    <row r="23" spans="1:28" x14ac:dyDescent="0.25">
      <c r="A23" s="6">
        <v>19</v>
      </c>
      <c r="B23" s="10">
        <v>730</v>
      </c>
      <c r="C23" s="17" t="s">
        <v>60</v>
      </c>
      <c r="D23" s="16" t="s">
        <v>61</v>
      </c>
      <c r="E23" s="7" t="s">
        <v>27</v>
      </c>
      <c r="F23" s="23" t="s">
        <v>24</v>
      </c>
      <c r="G23" s="23" t="s">
        <v>23</v>
      </c>
      <c r="H23" s="23" t="s">
        <v>23</v>
      </c>
      <c r="I23" s="37"/>
      <c r="J23" s="23" t="s">
        <v>23</v>
      </c>
      <c r="K23" s="23"/>
      <c r="L23" s="23" t="s">
        <v>23</v>
      </c>
      <c r="M23" s="23" t="s">
        <v>23</v>
      </c>
      <c r="N23" s="23" t="s">
        <v>23</v>
      </c>
      <c r="O23" s="23" t="s">
        <v>23</v>
      </c>
      <c r="P23" s="37"/>
      <c r="Q23" s="23"/>
      <c r="R23" s="23" t="s">
        <v>24</v>
      </c>
      <c r="S23" s="23" t="s">
        <v>24</v>
      </c>
      <c r="T23" s="23" t="s">
        <v>23</v>
      </c>
      <c r="U23" s="23"/>
      <c r="V23" s="23" t="s">
        <v>24</v>
      </c>
      <c r="W23" s="5">
        <f>COUNTIF(F23:V23,"P")</f>
        <v>8</v>
      </c>
      <c r="X23" s="5">
        <f>COUNTIF(F23:U23,"A")</f>
        <v>3</v>
      </c>
    </row>
    <row r="24" spans="1:28" x14ac:dyDescent="0.25">
      <c r="A24" s="8">
        <v>20</v>
      </c>
      <c r="B24" s="10">
        <v>732</v>
      </c>
      <c r="C24" s="17" t="s">
        <v>62</v>
      </c>
      <c r="D24" s="16" t="s">
        <v>63</v>
      </c>
      <c r="E24" s="7" t="s">
        <v>27</v>
      </c>
      <c r="F24" s="23" t="s">
        <v>24</v>
      </c>
      <c r="G24" s="23" t="s">
        <v>23</v>
      </c>
      <c r="H24" s="23" t="s">
        <v>23</v>
      </c>
      <c r="I24" s="37"/>
      <c r="J24" s="23" t="s">
        <v>23</v>
      </c>
      <c r="K24" s="23"/>
      <c r="L24" s="23" t="s">
        <v>23</v>
      </c>
      <c r="M24" s="23" t="s">
        <v>23</v>
      </c>
      <c r="N24" s="23" t="s">
        <v>23</v>
      </c>
      <c r="O24" s="23" t="s">
        <v>23</v>
      </c>
      <c r="P24" s="37"/>
      <c r="Q24" s="23"/>
      <c r="R24" s="23" t="s">
        <v>23</v>
      </c>
      <c r="S24" s="23" t="s">
        <v>24</v>
      </c>
      <c r="T24" s="23" t="s">
        <v>23</v>
      </c>
      <c r="U24" s="23"/>
      <c r="V24" s="23" t="s">
        <v>24</v>
      </c>
      <c r="W24" s="5">
        <f>COUNTIF(F24:V24,"P")</f>
        <v>9</v>
      </c>
      <c r="X24" s="5">
        <f>COUNTIF(F24:U24,"A")</f>
        <v>2</v>
      </c>
    </row>
    <row r="25" spans="1:28" x14ac:dyDescent="0.25">
      <c r="A25" s="6">
        <v>21</v>
      </c>
      <c r="B25" s="10">
        <v>728</v>
      </c>
      <c r="C25" s="17" t="s">
        <v>64</v>
      </c>
      <c r="D25" s="16" t="s">
        <v>65</v>
      </c>
      <c r="E25" s="7" t="s">
        <v>27</v>
      </c>
      <c r="F25" s="23" t="s">
        <v>24</v>
      </c>
      <c r="G25" s="23" t="s">
        <v>23</v>
      </c>
      <c r="H25" s="23" t="s">
        <v>23</v>
      </c>
      <c r="I25" s="37"/>
      <c r="J25" s="23" t="s">
        <v>23</v>
      </c>
      <c r="K25" s="23"/>
      <c r="L25" s="23" t="s">
        <v>23</v>
      </c>
      <c r="M25" s="23" t="s">
        <v>24</v>
      </c>
      <c r="N25" s="23" t="s">
        <v>23</v>
      </c>
      <c r="O25" s="23" t="s">
        <v>23</v>
      </c>
      <c r="P25" s="37"/>
      <c r="Q25" s="23"/>
      <c r="R25" s="23" t="s">
        <v>23</v>
      </c>
      <c r="S25" s="23" t="s">
        <v>24</v>
      </c>
      <c r="T25" s="23" t="s">
        <v>23</v>
      </c>
      <c r="U25" s="23"/>
      <c r="V25" s="23" t="s">
        <v>24</v>
      </c>
      <c r="W25" s="5">
        <f>COUNTIF(F25:V25,"P")</f>
        <v>8</v>
      </c>
      <c r="X25" s="5">
        <f>COUNTIF(F25:U25,"A")</f>
        <v>3</v>
      </c>
    </row>
    <row r="26" spans="1:28" x14ac:dyDescent="0.25">
      <c r="A26" s="8">
        <v>22</v>
      </c>
      <c r="B26" s="10">
        <v>760</v>
      </c>
      <c r="C26" s="17" t="s">
        <v>66</v>
      </c>
      <c r="D26" s="17" t="s">
        <v>67</v>
      </c>
      <c r="E26" s="7" t="s">
        <v>27</v>
      </c>
      <c r="F26" s="23" t="s">
        <v>24</v>
      </c>
      <c r="G26" s="23" t="s">
        <v>23</v>
      </c>
      <c r="H26" s="23" t="s">
        <v>23</v>
      </c>
      <c r="I26" s="37"/>
      <c r="J26" s="23" t="s">
        <v>23</v>
      </c>
      <c r="K26" s="23"/>
      <c r="L26" s="23" t="s">
        <v>23</v>
      </c>
      <c r="M26" s="23" t="s">
        <v>23</v>
      </c>
      <c r="N26" s="23" t="s">
        <v>23</v>
      </c>
      <c r="O26" s="23" t="s">
        <v>23</v>
      </c>
      <c r="P26" s="37"/>
      <c r="Q26" s="23"/>
      <c r="R26" s="23" t="s">
        <v>24</v>
      </c>
      <c r="S26" s="23" t="s">
        <v>24</v>
      </c>
      <c r="T26" s="23" t="s">
        <v>24</v>
      </c>
      <c r="U26" s="23"/>
      <c r="V26" s="23" t="s">
        <v>24</v>
      </c>
      <c r="W26" s="5">
        <f>COUNTIF(F26:V26,"P")</f>
        <v>7</v>
      </c>
      <c r="X26" s="5">
        <f>COUNTIF(F26:U26,"A")</f>
        <v>4</v>
      </c>
    </row>
    <row r="27" spans="1:28" x14ac:dyDescent="0.25">
      <c r="A27" s="6">
        <v>23</v>
      </c>
      <c r="B27" s="10">
        <v>741</v>
      </c>
      <c r="C27" s="17" t="s">
        <v>68</v>
      </c>
      <c r="D27" s="16" t="s">
        <v>69</v>
      </c>
      <c r="E27" s="7" t="s">
        <v>27</v>
      </c>
      <c r="F27" s="23" t="s">
        <v>24</v>
      </c>
      <c r="G27" s="23" t="s">
        <v>24</v>
      </c>
      <c r="H27" s="23" t="s">
        <v>24</v>
      </c>
      <c r="I27" s="37"/>
      <c r="J27" s="23" t="s">
        <v>23</v>
      </c>
      <c r="K27" s="23"/>
      <c r="L27" s="23" t="s">
        <v>23</v>
      </c>
      <c r="M27" s="23"/>
      <c r="N27" s="23" t="s">
        <v>23</v>
      </c>
      <c r="O27" s="23" t="s">
        <v>23</v>
      </c>
      <c r="P27" s="37"/>
      <c r="Q27" s="23"/>
      <c r="R27" s="23" t="s">
        <v>24</v>
      </c>
      <c r="S27" s="23" t="s">
        <v>24</v>
      </c>
      <c r="T27" s="23" t="s">
        <v>23</v>
      </c>
      <c r="U27" s="23"/>
      <c r="V27" s="23" t="s">
        <v>24</v>
      </c>
      <c r="W27" s="5">
        <f>COUNTIF(F27:V27,"P")</f>
        <v>5</v>
      </c>
      <c r="X27" s="5">
        <f>COUNTIF(F27:U27,"A")</f>
        <v>5</v>
      </c>
    </row>
    <row r="28" spans="1:28" x14ac:dyDescent="0.25">
      <c r="A28" s="8">
        <v>24</v>
      </c>
      <c r="B28" s="10"/>
      <c r="C28" s="18" t="s">
        <v>70</v>
      </c>
      <c r="D28" s="19" t="s">
        <v>71</v>
      </c>
      <c r="E28" s="7" t="s">
        <v>27</v>
      </c>
      <c r="F28" s="23" t="s">
        <v>24</v>
      </c>
      <c r="G28" s="23" t="s">
        <v>24</v>
      </c>
      <c r="H28" s="23" t="s">
        <v>24</v>
      </c>
      <c r="I28" s="37"/>
      <c r="J28" s="23" t="s">
        <v>23</v>
      </c>
      <c r="K28" s="23"/>
      <c r="L28" s="23" t="s">
        <v>23</v>
      </c>
      <c r="M28" s="23" t="s">
        <v>23</v>
      </c>
      <c r="N28" s="23"/>
      <c r="O28" s="23" t="s">
        <v>23</v>
      </c>
      <c r="P28" s="37"/>
      <c r="Q28" s="23"/>
      <c r="R28" s="23" t="s">
        <v>24</v>
      </c>
      <c r="S28" s="23" t="s">
        <v>24</v>
      </c>
      <c r="T28" s="23" t="s">
        <v>23</v>
      </c>
      <c r="U28" s="23"/>
      <c r="V28" s="23" t="s">
        <v>24</v>
      </c>
      <c r="W28" s="5">
        <f>COUNTIF(F28:V28,"P")</f>
        <v>5</v>
      </c>
      <c r="X28" s="5">
        <f>COUNTIF(F28:U28,"A")</f>
        <v>5</v>
      </c>
    </row>
    <row r="29" spans="1:28" x14ac:dyDescent="0.25">
      <c r="A29" s="6">
        <v>25</v>
      </c>
      <c r="B29" s="10">
        <v>744</v>
      </c>
      <c r="C29" s="20" t="s">
        <v>72</v>
      </c>
      <c r="D29" s="20" t="s">
        <v>73</v>
      </c>
      <c r="E29" s="7" t="s">
        <v>27</v>
      </c>
      <c r="F29" s="23"/>
      <c r="G29" s="23" t="s">
        <v>24</v>
      </c>
      <c r="H29" s="23" t="s">
        <v>23</v>
      </c>
      <c r="I29" s="37"/>
      <c r="J29" s="23" t="s">
        <v>23</v>
      </c>
      <c r="K29" s="23"/>
      <c r="L29" s="23" t="s">
        <v>23</v>
      </c>
      <c r="M29" s="23" t="s">
        <v>23</v>
      </c>
      <c r="N29" s="23" t="s">
        <v>23</v>
      </c>
      <c r="O29" s="23" t="s">
        <v>23</v>
      </c>
      <c r="P29" s="37"/>
      <c r="Q29" s="23" t="s">
        <v>24</v>
      </c>
      <c r="R29" s="23" t="s">
        <v>24</v>
      </c>
      <c r="S29" s="23" t="s">
        <v>24</v>
      </c>
      <c r="T29" s="23" t="s">
        <v>24</v>
      </c>
      <c r="U29" s="23"/>
      <c r="V29" s="23" t="s">
        <v>24</v>
      </c>
      <c r="W29" s="5">
        <f>COUNTIF(F29:V29,"P")</f>
        <v>6</v>
      </c>
      <c r="X29" s="5">
        <f>COUNTIF(F29:U29,"A")</f>
        <v>5</v>
      </c>
    </row>
    <row r="30" spans="1:28" x14ac:dyDescent="0.25">
      <c r="A30" s="8">
        <v>26</v>
      </c>
      <c r="B30" s="10">
        <v>781</v>
      </c>
      <c r="C30" s="20" t="s">
        <v>74</v>
      </c>
      <c r="D30" s="20" t="s">
        <v>75</v>
      </c>
      <c r="E30" s="7" t="s">
        <v>27</v>
      </c>
      <c r="F30" s="23"/>
      <c r="G30" s="23" t="s">
        <v>24</v>
      </c>
      <c r="H30" s="23" t="s">
        <v>24</v>
      </c>
      <c r="I30" s="37"/>
      <c r="J30" s="23" t="s">
        <v>24</v>
      </c>
      <c r="K30" s="23"/>
      <c r="L30" s="23" t="s">
        <v>24</v>
      </c>
      <c r="M30" s="23" t="s">
        <v>24</v>
      </c>
      <c r="N30" s="23" t="s">
        <v>23</v>
      </c>
      <c r="O30" s="23" t="s">
        <v>24</v>
      </c>
      <c r="P30" s="37"/>
      <c r="Q30" s="23" t="s">
        <v>24</v>
      </c>
      <c r="R30" s="23" t="s">
        <v>24</v>
      </c>
      <c r="S30" s="23" t="s">
        <v>24</v>
      </c>
      <c r="T30" s="23" t="s">
        <v>24</v>
      </c>
      <c r="U30" s="23"/>
      <c r="V30" s="23" t="s">
        <v>24</v>
      </c>
      <c r="W30" s="5">
        <f>COUNTIF(F30:V30,"P")</f>
        <v>1</v>
      </c>
      <c r="X30" s="5">
        <f>COUNTIF(F30:U30,"A")</f>
        <v>10</v>
      </c>
    </row>
    <row r="31" spans="1:28" x14ac:dyDescent="0.25">
      <c r="A31" s="6">
        <v>27</v>
      </c>
      <c r="B31" s="10">
        <v>767</v>
      </c>
      <c r="C31" s="20" t="s">
        <v>76</v>
      </c>
      <c r="D31" s="20" t="s">
        <v>77</v>
      </c>
      <c r="E31" s="7" t="s">
        <v>27</v>
      </c>
      <c r="F31" s="23"/>
      <c r="G31" s="23" t="s">
        <v>23</v>
      </c>
      <c r="H31" s="23" t="s">
        <v>23</v>
      </c>
      <c r="I31" s="37"/>
      <c r="J31" s="23" t="s">
        <v>23</v>
      </c>
      <c r="K31" s="23"/>
      <c r="L31" s="23" t="s">
        <v>23</v>
      </c>
      <c r="M31" s="23" t="s">
        <v>23</v>
      </c>
      <c r="N31" s="23" t="s">
        <v>24</v>
      </c>
      <c r="O31" s="23" t="s">
        <v>23</v>
      </c>
      <c r="P31" s="37"/>
      <c r="Q31" s="23" t="s">
        <v>24</v>
      </c>
      <c r="R31" s="23" t="s">
        <v>24</v>
      </c>
      <c r="S31" s="23" t="s">
        <v>24</v>
      </c>
      <c r="T31" s="23" t="s">
        <v>23</v>
      </c>
      <c r="U31" s="23"/>
      <c r="V31" s="23" t="s">
        <v>24</v>
      </c>
      <c r="W31" s="5">
        <f>COUNTIF(F31:V31,"P")</f>
        <v>7</v>
      </c>
      <c r="X31" s="5">
        <f>COUNTIF(F31:U31,"A")</f>
        <v>4</v>
      </c>
    </row>
    <row r="32" spans="1:28" x14ac:dyDescent="0.25">
      <c r="A32" s="8">
        <v>28</v>
      </c>
      <c r="B32" s="10">
        <v>770</v>
      </c>
      <c r="C32" s="20" t="s">
        <v>78</v>
      </c>
      <c r="D32" s="21" t="s">
        <v>79</v>
      </c>
      <c r="E32" s="7" t="s">
        <v>27</v>
      </c>
      <c r="F32" s="23"/>
      <c r="G32" s="23" t="s">
        <v>24</v>
      </c>
      <c r="H32" s="23" t="s">
        <v>24</v>
      </c>
      <c r="I32" s="37"/>
      <c r="J32" s="23" t="s">
        <v>24</v>
      </c>
      <c r="K32" s="23"/>
      <c r="L32" s="23" t="s">
        <v>24</v>
      </c>
      <c r="M32" s="23" t="s">
        <v>24</v>
      </c>
      <c r="N32" s="23" t="s">
        <v>24</v>
      </c>
      <c r="O32" s="23" t="s">
        <v>24</v>
      </c>
      <c r="P32" s="37"/>
      <c r="Q32" s="23" t="s">
        <v>24</v>
      </c>
      <c r="R32" s="23" t="s">
        <v>24</v>
      </c>
      <c r="S32" s="23" t="s">
        <v>24</v>
      </c>
      <c r="T32" s="23" t="s">
        <v>24</v>
      </c>
      <c r="U32" s="23"/>
      <c r="V32" s="23" t="s">
        <v>24</v>
      </c>
      <c r="W32" s="5">
        <f>COUNTIF(F32:V32,"P")</f>
        <v>0</v>
      </c>
      <c r="X32" s="5">
        <f>COUNTIF(F32:U32,"A")</f>
        <v>11</v>
      </c>
    </row>
    <row r="33" spans="1:24" x14ac:dyDescent="0.25">
      <c r="A33" s="6">
        <v>29</v>
      </c>
      <c r="B33" s="10">
        <v>727</v>
      </c>
      <c r="C33" s="15" t="s">
        <v>80</v>
      </c>
      <c r="D33" s="22" t="s">
        <v>81</v>
      </c>
      <c r="E33" s="7" t="s">
        <v>27</v>
      </c>
      <c r="F33" s="23" t="s">
        <v>23</v>
      </c>
      <c r="G33" s="23" t="s">
        <v>23</v>
      </c>
      <c r="H33" s="23" t="s">
        <v>23</v>
      </c>
      <c r="I33" s="37"/>
      <c r="J33" s="23" t="s">
        <v>23</v>
      </c>
      <c r="K33" s="23"/>
      <c r="L33" s="23" t="s">
        <v>23</v>
      </c>
      <c r="M33" s="23" t="s">
        <v>23</v>
      </c>
      <c r="N33" s="23" t="s">
        <v>23</v>
      </c>
      <c r="O33" s="23" t="s">
        <v>23</v>
      </c>
      <c r="P33" s="37"/>
      <c r="Q33" s="23" t="s">
        <v>24</v>
      </c>
      <c r="R33" s="23" t="s">
        <v>23</v>
      </c>
      <c r="S33" s="23" t="s">
        <v>23</v>
      </c>
      <c r="T33" s="23" t="s">
        <v>23</v>
      </c>
      <c r="U33" s="23"/>
      <c r="V33" s="23" t="s">
        <v>23</v>
      </c>
      <c r="W33" s="5">
        <f>COUNTIF(F33:V33,"P")</f>
        <v>12</v>
      </c>
      <c r="X33" s="5">
        <f>COUNTIF(F33:U33,"A")</f>
        <v>1</v>
      </c>
    </row>
    <row r="34" spans="1:24" x14ac:dyDescent="0.25">
      <c r="A34" s="8">
        <v>30</v>
      </c>
      <c r="B34" s="10">
        <v>768</v>
      </c>
      <c r="C34" s="17" t="s">
        <v>82</v>
      </c>
      <c r="D34" s="16" t="s">
        <v>83</v>
      </c>
      <c r="E34" s="7" t="s">
        <v>27</v>
      </c>
      <c r="F34" s="23"/>
      <c r="G34" s="23" t="s">
        <v>24</v>
      </c>
      <c r="H34" s="23" t="s">
        <v>24</v>
      </c>
      <c r="I34" s="37"/>
      <c r="J34" s="23" t="s">
        <v>24</v>
      </c>
      <c r="K34" s="23"/>
      <c r="L34" s="23" t="s">
        <v>24</v>
      </c>
      <c r="M34" s="23" t="s">
        <v>24</v>
      </c>
      <c r="N34" s="23" t="s">
        <v>24</v>
      </c>
      <c r="O34" s="23" t="s">
        <v>24</v>
      </c>
      <c r="P34" s="37"/>
      <c r="Q34" s="23" t="s">
        <v>24</v>
      </c>
      <c r="R34" s="23" t="s">
        <v>24</v>
      </c>
      <c r="S34" s="23" t="s">
        <v>24</v>
      </c>
      <c r="T34" s="23" t="s">
        <v>24</v>
      </c>
      <c r="U34" s="23"/>
      <c r="V34" s="23" t="s">
        <v>24</v>
      </c>
      <c r="W34" s="5">
        <f>COUNTIF(F34:V34,"P")</f>
        <v>0</v>
      </c>
      <c r="X34" s="5">
        <f>COUNTIF(F34:U34,"A")</f>
        <v>11</v>
      </c>
    </row>
    <row r="35" spans="1:24" x14ac:dyDescent="0.25">
      <c r="A35" s="6">
        <v>31</v>
      </c>
      <c r="B35" s="10">
        <v>777</v>
      </c>
      <c r="C35" s="17" t="s">
        <v>84</v>
      </c>
      <c r="D35" s="16" t="s">
        <v>85</v>
      </c>
      <c r="E35" s="7" t="s">
        <v>27</v>
      </c>
      <c r="F35" s="23"/>
      <c r="G35" s="23" t="s">
        <v>23</v>
      </c>
      <c r="H35" s="23" t="s">
        <v>23</v>
      </c>
      <c r="I35" s="37"/>
      <c r="J35" s="23" t="s">
        <v>23</v>
      </c>
      <c r="K35" s="23"/>
      <c r="L35" s="23" t="s">
        <v>23</v>
      </c>
      <c r="M35" s="23" t="s">
        <v>23</v>
      </c>
      <c r="N35" s="23"/>
      <c r="O35" s="23" t="s">
        <v>23</v>
      </c>
      <c r="P35" s="37"/>
      <c r="Q35" s="23" t="s">
        <v>24</v>
      </c>
      <c r="R35" s="23" t="s">
        <v>24</v>
      </c>
      <c r="S35" s="23" t="s">
        <v>23</v>
      </c>
      <c r="T35" s="23" t="s">
        <v>23</v>
      </c>
      <c r="U35" s="23"/>
      <c r="V35" s="23" t="s">
        <v>24</v>
      </c>
      <c r="W35" s="5">
        <f>COUNTIF(F35:V35,"P")</f>
        <v>8</v>
      </c>
      <c r="X35" s="5">
        <f>COUNTIF(F35:U35,"A")</f>
        <v>2</v>
      </c>
    </row>
    <row r="36" spans="1:24" x14ac:dyDescent="0.25">
      <c r="A36" s="8">
        <v>32</v>
      </c>
      <c r="B36" s="24">
        <v>873</v>
      </c>
      <c r="C36" s="24" t="s">
        <v>86</v>
      </c>
      <c r="D36" s="24"/>
      <c r="E36" s="7" t="s">
        <v>27</v>
      </c>
      <c r="F36" s="23"/>
      <c r="G36" s="23"/>
      <c r="H36" s="23"/>
      <c r="I36" s="37"/>
      <c r="J36" s="23"/>
      <c r="K36" s="23"/>
      <c r="L36" s="23"/>
      <c r="M36" s="23" t="s">
        <v>23</v>
      </c>
      <c r="N36" s="23" t="s">
        <v>23</v>
      </c>
      <c r="O36" s="23" t="s">
        <v>23</v>
      </c>
      <c r="P36" s="37"/>
      <c r="Q36" s="23" t="s">
        <v>24</v>
      </c>
      <c r="R36" s="23" t="s">
        <v>24</v>
      </c>
      <c r="S36" s="23" t="s">
        <v>24</v>
      </c>
      <c r="T36" s="23" t="s">
        <v>23</v>
      </c>
      <c r="U36" s="24"/>
      <c r="V36" s="23" t="s">
        <v>24</v>
      </c>
      <c r="W36" s="5">
        <f>COUNTIF(F36:V36,"P")</f>
        <v>4</v>
      </c>
      <c r="X36" s="5">
        <f>COUNTIF(F36:U36,"A")</f>
        <v>3</v>
      </c>
    </row>
    <row r="37" spans="1:24" x14ac:dyDescent="0.25">
      <c r="A37" s="6">
        <v>33</v>
      </c>
      <c r="B37" s="24"/>
      <c r="C37" s="24" t="s">
        <v>87</v>
      </c>
      <c r="D37" s="24" t="s">
        <v>88</v>
      </c>
      <c r="E37" s="7" t="s">
        <v>27</v>
      </c>
      <c r="F37" s="23"/>
      <c r="G37" s="23"/>
      <c r="H37" s="23"/>
      <c r="I37" s="37"/>
      <c r="J37" s="23"/>
      <c r="K37" s="23"/>
      <c r="L37" s="23"/>
      <c r="M37" s="23" t="s">
        <v>23</v>
      </c>
      <c r="N37" s="23" t="s">
        <v>23</v>
      </c>
      <c r="O37" s="23" t="s">
        <v>23</v>
      </c>
      <c r="P37" s="37"/>
      <c r="Q37" s="23" t="s">
        <v>24</v>
      </c>
      <c r="R37" s="23" t="s">
        <v>23</v>
      </c>
      <c r="S37" s="23" t="s">
        <v>24</v>
      </c>
      <c r="T37" s="23" t="s">
        <v>23</v>
      </c>
      <c r="U37" s="24"/>
      <c r="V37" s="23" t="s">
        <v>24</v>
      </c>
      <c r="W37" s="5">
        <f>COUNTIF(F37:V37,"P")</f>
        <v>5</v>
      </c>
      <c r="X37" s="5">
        <f>COUNTIF(F37:U37,"A")</f>
        <v>2</v>
      </c>
    </row>
    <row r="38" spans="1:24" x14ac:dyDescent="0.25">
      <c r="A38" s="8">
        <v>34</v>
      </c>
      <c r="B38" s="24">
        <v>856</v>
      </c>
      <c r="C38" s="24" t="s">
        <v>89</v>
      </c>
      <c r="D38" s="24"/>
      <c r="E38" s="7" t="s">
        <v>27</v>
      </c>
      <c r="F38" s="23"/>
      <c r="G38" s="23"/>
      <c r="H38" s="23"/>
      <c r="I38" s="38"/>
      <c r="J38" s="23"/>
      <c r="K38" s="23"/>
      <c r="L38" s="23"/>
      <c r="M38" s="23" t="s">
        <v>23</v>
      </c>
      <c r="N38" s="23" t="s">
        <v>23</v>
      </c>
      <c r="O38" s="23" t="s">
        <v>23</v>
      </c>
      <c r="P38" s="38"/>
      <c r="Q38" s="23" t="s">
        <v>24</v>
      </c>
      <c r="R38" s="23" t="s">
        <v>23</v>
      </c>
      <c r="S38" s="23" t="s">
        <v>24</v>
      </c>
      <c r="T38" s="23" t="s">
        <v>23</v>
      </c>
      <c r="U38" s="24"/>
      <c r="V38" s="23" t="s">
        <v>24</v>
      </c>
      <c r="W38" s="5">
        <f>COUNTIF(F38:V38,"P")</f>
        <v>5</v>
      </c>
      <c r="X38" s="5">
        <f>COUNTIF(F38:U38,"A")</f>
        <v>2</v>
      </c>
    </row>
  </sheetData>
  <mergeCells count="14">
    <mergeCell ref="Y3:Z3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I5:I38"/>
    <mergeCell ref="P5:P38"/>
  </mergeCells>
  <phoneticPr fontId="10" type="noConversion"/>
  <conditionalFormatting sqref="B1:B1048576">
    <cfRule type="duplicateValues" dxfId="98" priority="2"/>
  </conditionalFormatting>
  <conditionalFormatting sqref="B5:B35">
    <cfRule type="duplicateValues" dxfId="97" priority="15"/>
  </conditionalFormatting>
  <conditionalFormatting sqref="U6:U35 F6:H38 V6:V38 J6:O38 Q6:T38 F3:V5">
    <cfRule type="expression" dxfId="96" priority="13">
      <formula>F$3="Sun"</formula>
    </cfRule>
  </conditionalFormatting>
  <conditionalFormatting sqref="U6:U35 F6:H38 V6:V38 J6:O38 Q6:T38 F4:V5">
    <cfRule type="expression" dxfId="95" priority="12">
      <formula>IF(F$4=TODAY(),TRUE,FALSE)</formula>
    </cfRule>
  </conditionalFormatting>
  <conditionalFormatting sqref="U6:U35 F6:H38 V6:V38 J6:O38 Q6:T38 F5:V5">
    <cfRule type="cellIs" dxfId="94" priority="9" operator="equal">
      <formula>"L"</formula>
    </cfRule>
    <cfRule type="cellIs" dxfId="93" priority="10" operator="equal">
      <formula>"A"</formula>
    </cfRule>
    <cfRule type="cellIs" dxfId="92" priority="11" operator="equal">
      <formula>"P"</formula>
    </cfRule>
  </conditionalFormatting>
  <conditionalFormatting sqref="W3:X3 W5:X38">
    <cfRule type="expression" dxfId="91" priority="14">
      <formula>#REF!="Sun"</formula>
    </cfRule>
  </conditionalFormatting>
  <conditionalFormatting sqref="Y5:Y6">
    <cfRule type="expression" dxfId="90" priority="7">
      <formula>#REF!="Sun"</formula>
    </cfRule>
  </conditionalFormatting>
  <conditionalFormatting sqref="Y9:Y12">
    <cfRule type="expression" dxfId="89" priority="5">
      <formula>#REF!="Sun"</formula>
    </cfRule>
  </conditionalFormatting>
  <conditionalFormatting sqref="Y17:Y20">
    <cfRule type="expression" dxfId="88" priority="4">
      <formula>#REF!="Sun"</formula>
    </cfRule>
  </conditionalFormatting>
  <conditionalFormatting sqref="Y4:Z4">
    <cfRule type="expression" dxfId="87" priority="8">
      <formula>#REF!="Sun"</formula>
    </cfRule>
  </conditionalFormatting>
  <conditionalFormatting sqref="Z9:AB9">
    <cfRule type="expression" dxfId="86" priority="6">
      <formula>#REF!="Sun"</formula>
    </cfRule>
  </conditionalFormatting>
  <conditionalFormatting sqref="Z17:AB17">
    <cfRule type="expression" dxfId="85" priority="3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8"/>
  <sheetViews>
    <sheetView topLeftCell="A4" zoomScale="90" zoomScaleNormal="90" workbookViewId="0">
      <selection activeCell="AH5" sqref="AH5:AH4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</row>
    <row r="2" spans="1:41" ht="17.25" x14ac:dyDescent="0.3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41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5" t="s">
        <v>5</v>
      </c>
      <c r="AK3" s="35" t="s">
        <v>6</v>
      </c>
      <c r="AL3" s="28" t="s">
        <v>20</v>
      </c>
      <c r="AM3" s="29"/>
      <c r="AN3" s="3"/>
      <c r="AO3" s="3"/>
    </row>
    <row r="4" spans="1:41" ht="36" x14ac:dyDescent="0.25">
      <c r="A4" s="34"/>
      <c r="B4" s="34"/>
      <c r="C4" s="34"/>
      <c r="D4" s="34"/>
      <c r="E4" s="34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5"/>
      <c r="AK4" s="35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36" t="s">
        <v>128</v>
      </c>
      <c r="G5" s="23" t="s">
        <v>23</v>
      </c>
      <c r="H5" s="23" t="s">
        <v>23</v>
      </c>
      <c r="I5" s="23" t="s">
        <v>23</v>
      </c>
      <c r="J5" s="23" t="s">
        <v>23</v>
      </c>
      <c r="K5" s="23" t="s">
        <v>24</v>
      </c>
      <c r="L5" s="23" t="s">
        <v>24</v>
      </c>
      <c r="M5" s="36" t="s">
        <v>128</v>
      </c>
      <c r="N5" s="23" t="s">
        <v>23</v>
      </c>
      <c r="O5" s="23" t="s">
        <v>23</v>
      </c>
      <c r="P5" s="23" t="s">
        <v>23</v>
      </c>
      <c r="Q5" s="23" t="s">
        <v>23</v>
      </c>
      <c r="R5" s="23" t="s">
        <v>23</v>
      </c>
      <c r="S5" s="23" t="s">
        <v>23</v>
      </c>
      <c r="T5" s="36" t="s">
        <v>128</v>
      </c>
      <c r="U5" s="23" t="s">
        <v>23</v>
      </c>
      <c r="V5" s="23"/>
      <c r="W5" s="23" t="s">
        <v>23</v>
      </c>
      <c r="X5" s="23" t="s">
        <v>23</v>
      </c>
      <c r="Y5" s="23" t="s">
        <v>23</v>
      </c>
      <c r="Z5" s="23" t="s">
        <v>23</v>
      </c>
      <c r="AA5" s="36" t="s">
        <v>128</v>
      </c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36" t="s">
        <v>128</v>
      </c>
      <c r="AI5" s="23" t="s">
        <v>23</v>
      </c>
      <c r="AJ5" s="5">
        <f t="shared" ref="AJ5:AJ48" si="1">COUNTIF(F5:AI5,"P")</f>
        <v>22</v>
      </c>
      <c r="AK5" s="5">
        <f t="shared" ref="AK5:AK48" si="2">COUNTIF(F5:AI5,"A")</f>
        <v>2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37"/>
      <c r="G6" s="23" t="s">
        <v>23</v>
      </c>
      <c r="H6" s="23" t="s">
        <v>23</v>
      </c>
      <c r="I6" s="23" t="s">
        <v>23</v>
      </c>
      <c r="J6" s="23" t="s">
        <v>23</v>
      </c>
      <c r="K6" s="23" t="s">
        <v>23</v>
      </c>
      <c r="L6" s="23" t="s">
        <v>23</v>
      </c>
      <c r="M6" s="37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23</v>
      </c>
      <c r="T6" s="37"/>
      <c r="U6" s="23" t="s">
        <v>23</v>
      </c>
      <c r="V6" s="23"/>
      <c r="W6" s="23" t="s">
        <v>23</v>
      </c>
      <c r="X6" s="23" t="s">
        <v>23</v>
      </c>
      <c r="Y6" s="23" t="s">
        <v>23</v>
      </c>
      <c r="Z6" s="23" t="s">
        <v>24</v>
      </c>
      <c r="AA6" s="37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23</v>
      </c>
      <c r="AG6" s="23" t="s">
        <v>23</v>
      </c>
      <c r="AH6" s="37"/>
      <c r="AI6" s="23" t="s">
        <v>23</v>
      </c>
      <c r="AJ6" s="5">
        <f t="shared" si="1"/>
        <v>23</v>
      </c>
      <c r="AK6" s="5">
        <f t="shared" si="2"/>
        <v>1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37"/>
      <c r="G7" s="23" t="s">
        <v>23</v>
      </c>
      <c r="H7" s="23" t="s">
        <v>23</v>
      </c>
      <c r="I7" s="23" t="s">
        <v>23</v>
      </c>
      <c r="J7" s="23" t="s">
        <v>23</v>
      </c>
      <c r="K7" s="23" t="s">
        <v>23</v>
      </c>
      <c r="L7" s="23" t="s">
        <v>23</v>
      </c>
      <c r="M7" s="37"/>
      <c r="N7" s="23" t="s">
        <v>23</v>
      </c>
      <c r="O7" s="23" t="s">
        <v>23</v>
      </c>
      <c r="P7" s="23" t="s">
        <v>23</v>
      </c>
      <c r="Q7" s="23" t="s">
        <v>23</v>
      </c>
      <c r="R7" s="23" t="s">
        <v>23</v>
      </c>
      <c r="S7" s="23" t="s">
        <v>23</v>
      </c>
      <c r="T7" s="37"/>
      <c r="U7" s="23" t="s">
        <v>23</v>
      </c>
      <c r="V7" s="23"/>
      <c r="W7" s="23" t="s">
        <v>23</v>
      </c>
      <c r="X7" s="23" t="s">
        <v>23</v>
      </c>
      <c r="Y7" s="23" t="s">
        <v>23</v>
      </c>
      <c r="Z7" s="23" t="s">
        <v>23</v>
      </c>
      <c r="AA7" s="37"/>
      <c r="AB7" s="23" t="s">
        <v>23</v>
      </c>
      <c r="AC7" s="23" t="s">
        <v>23</v>
      </c>
      <c r="AD7" s="23" t="s">
        <v>23</v>
      </c>
      <c r="AE7" s="23" t="s">
        <v>23</v>
      </c>
      <c r="AF7" s="23" t="s">
        <v>23</v>
      </c>
      <c r="AG7" s="23" t="s">
        <v>23</v>
      </c>
      <c r="AH7" s="37"/>
      <c r="AI7" s="23" t="s">
        <v>23</v>
      </c>
      <c r="AJ7" s="5">
        <f t="shared" si="1"/>
        <v>24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37"/>
      <c r="G8" s="23" t="s">
        <v>23</v>
      </c>
      <c r="H8" s="23" t="s">
        <v>23</v>
      </c>
      <c r="I8" s="23" t="s">
        <v>23</v>
      </c>
      <c r="J8" s="23" t="s">
        <v>23</v>
      </c>
      <c r="K8" s="23" t="s">
        <v>23</v>
      </c>
      <c r="L8" s="23" t="s">
        <v>23</v>
      </c>
      <c r="M8" s="37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23</v>
      </c>
      <c r="T8" s="37"/>
      <c r="U8" s="23" t="s">
        <v>23</v>
      </c>
      <c r="V8" s="23"/>
      <c r="W8" s="23" t="s">
        <v>23</v>
      </c>
      <c r="X8" s="23" t="s">
        <v>23</v>
      </c>
      <c r="Y8" s="23" t="s">
        <v>23</v>
      </c>
      <c r="Z8" s="23" t="s">
        <v>23</v>
      </c>
      <c r="AA8" s="37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23</v>
      </c>
      <c r="AH8" s="37"/>
      <c r="AI8" s="23" t="s">
        <v>23</v>
      </c>
      <c r="AJ8" s="5">
        <f t="shared" si="1"/>
        <v>24</v>
      </c>
      <c r="AK8" s="5">
        <f t="shared" si="2"/>
        <v>0</v>
      </c>
      <c r="AL8" s="28" t="s">
        <v>11</v>
      </c>
      <c r="AM8" s="29"/>
      <c r="AN8" s="29"/>
      <c r="AO8" s="30"/>
    </row>
    <row r="9" spans="1:41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37"/>
      <c r="G9" s="23" t="s">
        <v>23</v>
      </c>
      <c r="H9" s="23" t="s">
        <v>23</v>
      </c>
      <c r="I9" s="23" t="s">
        <v>23</v>
      </c>
      <c r="J9" s="23" t="s">
        <v>23</v>
      </c>
      <c r="K9" s="23" t="s">
        <v>23</v>
      </c>
      <c r="L9" s="23" t="s">
        <v>23</v>
      </c>
      <c r="M9" s="37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37"/>
      <c r="U9" s="23" t="s">
        <v>23</v>
      </c>
      <c r="V9" s="23"/>
      <c r="W9" s="23" t="s">
        <v>23</v>
      </c>
      <c r="X9" s="23" t="s">
        <v>23</v>
      </c>
      <c r="Y9" s="23" t="s">
        <v>23</v>
      </c>
      <c r="Z9" s="23" t="s">
        <v>23</v>
      </c>
      <c r="AA9" s="37"/>
      <c r="AB9" s="23" t="s">
        <v>23</v>
      </c>
      <c r="AC9" s="23" t="s">
        <v>23</v>
      </c>
      <c r="AD9" s="23" t="s">
        <v>23</v>
      </c>
      <c r="AE9" s="23" t="s">
        <v>23</v>
      </c>
      <c r="AF9" s="23" t="s">
        <v>23</v>
      </c>
      <c r="AG9" s="23" t="s">
        <v>23</v>
      </c>
      <c r="AH9" s="37"/>
      <c r="AI9" s="23" t="s">
        <v>23</v>
      </c>
      <c r="AJ9" s="5">
        <f t="shared" si="1"/>
        <v>24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37"/>
      <c r="G10" s="23" t="s">
        <v>23</v>
      </c>
      <c r="H10" s="23" t="s">
        <v>23</v>
      </c>
      <c r="I10" s="23" t="s">
        <v>23</v>
      </c>
      <c r="J10" s="23" t="s">
        <v>23</v>
      </c>
      <c r="K10" s="23" t="s">
        <v>23</v>
      </c>
      <c r="L10" s="23" t="s">
        <v>24</v>
      </c>
      <c r="M10" s="37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23</v>
      </c>
      <c r="S10" s="23" t="s">
        <v>23</v>
      </c>
      <c r="T10" s="37"/>
      <c r="U10" s="23" t="s">
        <v>23</v>
      </c>
      <c r="V10" s="23"/>
      <c r="W10" s="23" t="s">
        <v>23</v>
      </c>
      <c r="X10" s="23" t="s">
        <v>23</v>
      </c>
      <c r="Y10" s="23" t="s">
        <v>23</v>
      </c>
      <c r="Z10" s="23" t="s">
        <v>23</v>
      </c>
      <c r="AA10" s="37"/>
      <c r="AB10" s="23" t="s">
        <v>23</v>
      </c>
      <c r="AC10" s="23" t="s">
        <v>23</v>
      </c>
      <c r="AD10" s="23" t="s">
        <v>23</v>
      </c>
      <c r="AE10" s="23" t="s">
        <v>23</v>
      </c>
      <c r="AF10" s="23" t="s">
        <v>23</v>
      </c>
      <c r="AG10" s="23" t="s">
        <v>23</v>
      </c>
      <c r="AH10" s="37"/>
      <c r="AI10" s="23" t="s">
        <v>23</v>
      </c>
      <c r="AJ10" s="5">
        <f t="shared" si="1"/>
        <v>23</v>
      </c>
      <c r="AK10" s="5">
        <f t="shared" si="2"/>
        <v>1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37"/>
      <c r="G11" s="23" t="s">
        <v>23</v>
      </c>
      <c r="H11" s="23" t="s">
        <v>23</v>
      </c>
      <c r="I11" s="23" t="s">
        <v>23</v>
      </c>
      <c r="J11" s="23" t="s">
        <v>23</v>
      </c>
      <c r="K11" s="23" t="s">
        <v>23</v>
      </c>
      <c r="L11" s="23" t="s">
        <v>23</v>
      </c>
      <c r="M11" s="37"/>
      <c r="N11" s="23" t="s">
        <v>23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37"/>
      <c r="U11" s="23" t="s">
        <v>23</v>
      </c>
      <c r="V11" s="23"/>
      <c r="W11" s="23" t="s">
        <v>23</v>
      </c>
      <c r="X11" s="23" t="s">
        <v>23</v>
      </c>
      <c r="Y11" s="23" t="s">
        <v>23</v>
      </c>
      <c r="Z11" s="23" t="s">
        <v>23</v>
      </c>
      <c r="AA11" s="37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23</v>
      </c>
      <c r="AG11" s="23" t="s">
        <v>23</v>
      </c>
      <c r="AH11" s="37"/>
      <c r="AI11" s="23" t="s">
        <v>23</v>
      </c>
      <c r="AJ11" s="5">
        <f t="shared" si="1"/>
        <v>24</v>
      </c>
      <c r="AK11" s="5">
        <f t="shared" si="2"/>
        <v>0</v>
      </c>
      <c r="AL11" s="5" t="s">
        <v>17</v>
      </c>
      <c r="AM11" s="8">
        <f>AJ33+AJ34+AJ37++AJ46</f>
        <v>78</v>
      </c>
      <c r="AN11" s="8">
        <f>AJ32+AJ35+AJ36+AJ38+AJ39+AJ40+AJ41+AJ42+AJ43+AJ44+AJ45+AJ47+AJ48</f>
        <v>208</v>
      </c>
      <c r="AO11" s="8">
        <f>AM11+AN11</f>
        <v>286</v>
      </c>
    </row>
    <row r="12" spans="1:41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37"/>
      <c r="G12" s="23" t="s">
        <v>23</v>
      </c>
      <c r="H12" s="23" t="s">
        <v>23</v>
      </c>
      <c r="I12" s="23" t="s">
        <v>23</v>
      </c>
      <c r="J12" s="23" t="s">
        <v>23</v>
      </c>
      <c r="K12" s="23" t="s">
        <v>23</v>
      </c>
      <c r="L12" s="23" t="s">
        <v>23</v>
      </c>
      <c r="M12" s="37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37"/>
      <c r="U12" s="23" t="s">
        <v>23</v>
      </c>
      <c r="V12" s="23"/>
      <c r="W12" s="23" t="s">
        <v>23</v>
      </c>
      <c r="X12" s="23" t="s">
        <v>23</v>
      </c>
      <c r="Y12" s="23" t="s">
        <v>23</v>
      </c>
      <c r="Z12" s="23" t="s">
        <v>23</v>
      </c>
      <c r="AA12" s="37"/>
      <c r="AB12" s="23" t="s">
        <v>23</v>
      </c>
      <c r="AC12" s="23" t="s">
        <v>23</v>
      </c>
      <c r="AD12" s="23" t="s">
        <v>23</v>
      </c>
      <c r="AE12" s="23" t="s">
        <v>23</v>
      </c>
      <c r="AF12" s="23" t="s">
        <v>23</v>
      </c>
      <c r="AG12" s="23" t="s">
        <v>23</v>
      </c>
      <c r="AH12" s="37"/>
      <c r="AI12" s="23" t="s">
        <v>23</v>
      </c>
      <c r="AJ12" s="5">
        <f t="shared" si="1"/>
        <v>24</v>
      </c>
      <c r="AK12" s="5">
        <f t="shared" si="2"/>
        <v>0</v>
      </c>
      <c r="AL12" s="5" t="s">
        <v>18</v>
      </c>
      <c r="AM12" s="8">
        <f>AM11/AM10</f>
        <v>0.15789473684210525</v>
      </c>
      <c r="AN12" s="8">
        <f>AN11/AN10</f>
        <v>0.38095238095238093</v>
      </c>
      <c r="AO12" s="8">
        <f>AO11/AO10</f>
        <v>0.27500000000000002</v>
      </c>
    </row>
    <row r="13" spans="1:41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37"/>
      <c r="G13" s="23" t="s">
        <v>23</v>
      </c>
      <c r="H13" s="23" t="s">
        <v>23</v>
      </c>
      <c r="I13" s="23" t="s">
        <v>23</v>
      </c>
      <c r="J13" s="23" t="s">
        <v>23</v>
      </c>
      <c r="K13" s="23" t="s">
        <v>23</v>
      </c>
      <c r="L13" s="23" t="s">
        <v>23</v>
      </c>
      <c r="M13" s="37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37"/>
      <c r="U13" s="23" t="s">
        <v>23</v>
      </c>
      <c r="V13" s="23"/>
      <c r="W13" s="23" t="s">
        <v>23</v>
      </c>
      <c r="X13" s="23" t="s">
        <v>23</v>
      </c>
      <c r="Y13" s="23" t="s">
        <v>23</v>
      </c>
      <c r="Z13" s="23" t="s">
        <v>24</v>
      </c>
      <c r="AA13" s="37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37"/>
      <c r="AI13" s="23" t="s">
        <v>23</v>
      </c>
      <c r="AJ13" s="5">
        <f t="shared" si="1"/>
        <v>23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37"/>
      <c r="G14" s="23" t="s">
        <v>23</v>
      </c>
      <c r="H14" s="23" t="s">
        <v>23</v>
      </c>
      <c r="I14" s="23" t="s">
        <v>23</v>
      </c>
      <c r="J14" s="23" t="s">
        <v>24</v>
      </c>
      <c r="K14" s="23" t="s">
        <v>24</v>
      </c>
      <c r="L14" s="23" t="s">
        <v>24</v>
      </c>
      <c r="M14" s="37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37"/>
      <c r="U14" s="23" t="s">
        <v>23</v>
      </c>
      <c r="V14" s="23"/>
      <c r="W14" s="23" t="s">
        <v>23</v>
      </c>
      <c r="X14" s="23" t="s">
        <v>23</v>
      </c>
      <c r="Y14" s="23" t="s">
        <v>23</v>
      </c>
      <c r="Z14" s="23" t="s">
        <v>24</v>
      </c>
      <c r="AA14" s="37"/>
      <c r="AB14" s="23" t="s">
        <v>23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37"/>
      <c r="AI14" s="23" t="s">
        <v>23</v>
      </c>
      <c r="AJ14" s="5">
        <f t="shared" si="1"/>
        <v>20</v>
      </c>
      <c r="AK14" s="5">
        <f t="shared" si="2"/>
        <v>4</v>
      </c>
      <c r="AL14" s="12"/>
      <c r="AM14" s="12"/>
      <c r="AN14" s="12"/>
      <c r="AO14" s="12"/>
    </row>
    <row r="15" spans="1:41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37"/>
      <c r="G15" s="23" t="s">
        <v>23</v>
      </c>
      <c r="H15" s="23" t="s">
        <v>24</v>
      </c>
      <c r="I15" s="23" t="s">
        <v>24</v>
      </c>
      <c r="J15" s="23" t="s">
        <v>24</v>
      </c>
      <c r="K15" s="23" t="s">
        <v>24</v>
      </c>
      <c r="L15" s="23" t="s">
        <v>24</v>
      </c>
      <c r="M15" s="37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23</v>
      </c>
      <c r="S15" s="23" t="s">
        <v>23</v>
      </c>
      <c r="T15" s="37"/>
      <c r="U15" s="23" t="s">
        <v>23</v>
      </c>
      <c r="V15" s="23"/>
      <c r="W15" s="23" t="s">
        <v>23</v>
      </c>
      <c r="X15" s="23" t="s">
        <v>23</v>
      </c>
      <c r="Y15" s="23" t="s">
        <v>23</v>
      </c>
      <c r="Z15" s="23" t="s">
        <v>23</v>
      </c>
      <c r="AA15" s="37"/>
      <c r="AB15" s="23" t="s">
        <v>23</v>
      </c>
      <c r="AC15" s="23" t="s">
        <v>23</v>
      </c>
      <c r="AD15" s="23" t="s">
        <v>23</v>
      </c>
      <c r="AE15" s="23" t="s">
        <v>23</v>
      </c>
      <c r="AF15" s="23" t="s">
        <v>23</v>
      </c>
      <c r="AG15" s="23" t="s">
        <v>23</v>
      </c>
      <c r="AH15" s="37"/>
      <c r="AI15" s="23" t="s">
        <v>23</v>
      </c>
      <c r="AJ15" s="5">
        <f t="shared" si="1"/>
        <v>19</v>
      </c>
      <c r="AK15" s="5">
        <f t="shared" si="2"/>
        <v>5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37"/>
      <c r="G16" s="23" t="s">
        <v>23</v>
      </c>
      <c r="H16" s="23" t="s">
        <v>23</v>
      </c>
      <c r="I16" s="23" t="s">
        <v>23</v>
      </c>
      <c r="J16" s="23" t="s">
        <v>23</v>
      </c>
      <c r="K16" s="23" t="s">
        <v>23</v>
      </c>
      <c r="L16" s="23" t="s">
        <v>23</v>
      </c>
      <c r="M16" s="37"/>
      <c r="N16" s="23" t="s">
        <v>23</v>
      </c>
      <c r="O16" s="23" t="s">
        <v>23</v>
      </c>
      <c r="P16" s="23" t="s">
        <v>23</v>
      </c>
      <c r="Q16" s="23" t="s">
        <v>23</v>
      </c>
      <c r="R16" s="23" t="s">
        <v>23</v>
      </c>
      <c r="S16" s="23" t="s">
        <v>23</v>
      </c>
      <c r="T16" s="37"/>
      <c r="U16" s="23" t="s">
        <v>23</v>
      </c>
      <c r="V16" s="23"/>
      <c r="W16" s="23" t="s">
        <v>23</v>
      </c>
      <c r="X16" s="23" t="s">
        <v>23</v>
      </c>
      <c r="Y16" s="23" t="s">
        <v>23</v>
      </c>
      <c r="Z16" s="23" t="s">
        <v>23</v>
      </c>
      <c r="AA16" s="37"/>
      <c r="AB16" s="23" t="s">
        <v>23</v>
      </c>
      <c r="AC16" s="23" t="s">
        <v>23</v>
      </c>
      <c r="AD16" s="23" t="s">
        <v>23</v>
      </c>
      <c r="AE16" s="23" t="s">
        <v>23</v>
      </c>
      <c r="AF16" s="23" t="s">
        <v>23</v>
      </c>
      <c r="AG16" s="23" t="s">
        <v>23</v>
      </c>
      <c r="AH16" s="37"/>
      <c r="AI16" s="23" t="s">
        <v>23</v>
      </c>
      <c r="AJ16" s="5">
        <f t="shared" si="1"/>
        <v>24</v>
      </c>
      <c r="AK16" s="5">
        <f t="shared" si="2"/>
        <v>0</v>
      </c>
      <c r="AL16" s="28" t="s">
        <v>6</v>
      </c>
      <c r="AM16" s="29"/>
      <c r="AN16" s="29"/>
      <c r="AO16" s="30"/>
    </row>
    <row r="17" spans="1:41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37"/>
      <c r="G17" s="23" t="s">
        <v>23</v>
      </c>
      <c r="H17" s="23" t="s">
        <v>23</v>
      </c>
      <c r="I17" s="23" t="s">
        <v>23</v>
      </c>
      <c r="J17" s="23" t="s">
        <v>23</v>
      </c>
      <c r="K17" s="23" t="s">
        <v>23</v>
      </c>
      <c r="L17" s="23" t="s">
        <v>23</v>
      </c>
      <c r="M17" s="37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23</v>
      </c>
      <c r="T17" s="37"/>
      <c r="U17" s="23" t="s">
        <v>24</v>
      </c>
      <c r="V17" s="23"/>
      <c r="W17" s="23" t="s">
        <v>23</v>
      </c>
      <c r="X17" s="23" t="s">
        <v>23</v>
      </c>
      <c r="Y17" s="23" t="s">
        <v>23</v>
      </c>
      <c r="Z17" s="23" t="s">
        <v>23</v>
      </c>
      <c r="AA17" s="37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37"/>
      <c r="AI17" s="23" t="s">
        <v>23</v>
      </c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37"/>
      <c r="G18" s="23" t="s">
        <v>23</v>
      </c>
      <c r="H18" s="23" t="s">
        <v>23</v>
      </c>
      <c r="I18" s="23" t="s">
        <v>23</v>
      </c>
      <c r="J18" s="23" t="s">
        <v>23</v>
      </c>
      <c r="K18" s="23" t="s">
        <v>23</v>
      </c>
      <c r="L18" s="23" t="s">
        <v>23</v>
      </c>
      <c r="M18" s="37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23</v>
      </c>
      <c r="T18" s="37"/>
      <c r="U18" s="23" t="s">
        <v>24</v>
      </c>
      <c r="V18" s="23"/>
      <c r="W18" s="23" t="s">
        <v>23</v>
      </c>
      <c r="X18" s="23" t="s">
        <v>23</v>
      </c>
      <c r="Y18" s="23" t="s">
        <v>23</v>
      </c>
      <c r="Z18" s="23" t="s">
        <v>23</v>
      </c>
      <c r="AA18" s="37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23</v>
      </c>
      <c r="AH18" s="37"/>
      <c r="AI18" s="23" t="s">
        <v>23</v>
      </c>
      <c r="AJ18" s="5">
        <f t="shared" si="1"/>
        <v>23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37"/>
      <c r="G19" s="23" t="s">
        <v>23</v>
      </c>
      <c r="H19" s="23" t="s">
        <v>23</v>
      </c>
      <c r="I19" s="23" t="s">
        <v>23</v>
      </c>
      <c r="J19" s="23" t="s">
        <v>23</v>
      </c>
      <c r="K19" s="23" t="s">
        <v>24</v>
      </c>
      <c r="L19" s="23" t="s">
        <v>24</v>
      </c>
      <c r="M19" s="37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23</v>
      </c>
      <c r="T19" s="37"/>
      <c r="U19" s="23" t="s">
        <v>23</v>
      </c>
      <c r="V19" s="23"/>
      <c r="W19" s="23" t="s">
        <v>23</v>
      </c>
      <c r="X19" s="23" t="s">
        <v>23</v>
      </c>
      <c r="Y19" s="23" t="s">
        <v>23</v>
      </c>
      <c r="Z19" s="23" t="s">
        <v>24</v>
      </c>
      <c r="AA19" s="37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23</v>
      </c>
      <c r="AG19" s="23" t="s">
        <v>23</v>
      </c>
      <c r="AH19" s="37"/>
      <c r="AI19" s="23" t="s">
        <v>23</v>
      </c>
      <c r="AJ19" s="5">
        <f t="shared" si="1"/>
        <v>21</v>
      </c>
      <c r="AK19" s="5">
        <f t="shared" si="2"/>
        <v>3</v>
      </c>
      <c r="AL19" s="5" t="s">
        <v>19</v>
      </c>
      <c r="AM19" s="8">
        <f>AM18-AM11</f>
        <v>416</v>
      </c>
      <c r="AN19" s="8">
        <f>AN18-AN11</f>
        <v>338</v>
      </c>
      <c r="AO19" s="8">
        <f>AM19+AN19</f>
        <v>754</v>
      </c>
    </row>
    <row r="20" spans="1:41" x14ac:dyDescent="0.25">
      <c r="A20" s="8">
        <v>16</v>
      </c>
      <c r="B20" s="10"/>
      <c r="C20" s="17" t="s">
        <v>90</v>
      </c>
      <c r="D20" s="16" t="s">
        <v>57</v>
      </c>
      <c r="E20" s="7" t="s">
        <v>27</v>
      </c>
      <c r="F20" s="37"/>
      <c r="G20" s="23" t="s">
        <v>23</v>
      </c>
      <c r="H20" s="23" t="s">
        <v>23</v>
      </c>
      <c r="I20" s="23" t="s">
        <v>23</v>
      </c>
      <c r="J20" s="23" t="s">
        <v>23</v>
      </c>
      <c r="K20" s="23" t="s">
        <v>23</v>
      </c>
      <c r="L20" s="23" t="s">
        <v>23</v>
      </c>
      <c r="M20" s="37"/>
      <c r="N20" s="23" t="s">
        <v>23</v>
      </c>
      <c r="O20" s="23" t="s">
        <v>23</v>
      </c>
      <c r="P20" s="23" t="s">
        <v>23</v>
      </c>
      <c r="Q20" s="23" t="s">
        <v>23</v>
      </c>
      <c r="R20" s="23" t="s">
        <v>23</v>
      </c>
      <c r="S20" s="23" t="s">
        <v>23</v>
      </c>
      <c r="T20" s="37"/>
      <c r="U20" s="23" t="s">
        <v>23</v>
      </c>
      <c r="V20" s="23"/>
      <c r="W20" s="23" t="s">
        <v>23</v>
      </c>
      <c r="X20" s="23" t="s">
        <v>23</v>
      </c>
      <c r="Y20" s="23" t="s">
        <v>23</v>
      </c>
      <c r="Z20" s="23" t="s">
        <v>23</v>
      </c>
      <c r="AA20" s="37"/>
      <c r="AB20" s="23" t="s">
        <v>23</v>
      </c>
      <c r="AC20" s="23" t="s">
        <v>23</v>
      </c>
      <c r="AD20" s="23" t="s">
        <v>23</v>
      </c>
      <c r="AE20" s="23" t="s">
        <v>23</v>
      </c>
      <c r="AF20" s="23" t="s">
        <v>23</v>
      </c>
      <c r="AG20" s="23" t="s">
        <v>23</v>
      </c>
      <c r="AH20" s="37"/>
      <c r="AI20" s="23" t="s">
        <v>24</v>
      </c>
      <c r="AJ20" s="5">
        <f t="shared" si="1"/>
        <v>23</v>
      </c>
      <c r="AK20" s="5">
        <f t="shared" si="2"/>
        <v>1</v>
      </c>
      <c r="AL20" s="5" t="s">
        <v>15</v>
      </c>
      <c r="AM20" s="13">
        <f>AM19/AM18</f>
        <v>0.84210526315789469</v>
      </c>
      <c r="AN20" s="13">
        <f>AN19/AN18</f>
        <v>0.61904761904761907</v>
      </c>
      <c r="AO20" s="13">
        <f>AO19/AO18</f>
        <v>0.72499999999999998</v>
      </c>
    </row>
    <row r="21" spans="1:41" x14ac:dyDescent="0.25">
      <c r="A21" s="6">
        <v>17</v>
      </c>
      <c r="B21" s="10"/>
      <c r="C21" s="17" t="s">
        <v>40</v>
      </c>
      <c r="D21" s="16" t="s">
        <v>59</v>
      </c>
      <c r="E21" s="7" t="s">
        <v>27</v>
      </c>
      <c r="F21" s="37"/>
      <c r="G21" s="23" t="s">
        <v>23</v>
      </c>
      <c r="H21" s="23" t="s">
        <v>23</v>
      </c>
      <c r="I21" s="23" t="s">
        <v>23</v>
      </c>
      <c r="J21" s="23" t="s">
        <v>23</v>
      </c>
      <c r="K21" s="23" t="s">
        <v>23</v>
      </c>
      <c r="L21" s="23" t="s">
        <v>23</v>
      </c>
      <c r="M21" s="37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23</v>
      </c>
      <c r="S21" s="23" t="s">
        <v>23</v>
      </c>
      <c r="T21" s="37"/>
      <c r="U21" s="23" t="s">
        <v>23</v>
      </c>
      <c r="V21" s="23"/>
      <c r="W21" s="23" t="s">
        <v>23</v>
      </c>
      <c r="X21" s="23" t="s">
        <v>23</v>
      </c>
      <c r="Y21" s="23" t="s">
        <v>23</v>
      </c>
      <c r="Z21" s="23" t="s">
        <v>23</v>
      </c>
      <c r="AA21" s="37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37"/>
      <c r="AI21" s="23" t="s">
        <v>23</v>
      </c>
      <c r="AJ21" s="5">
        <f t="shared" si="1"/>
        <v>24</v>
      </c>
      <c r="AK21" s="5">
        <f t="shared" si="2"/>
        <v>0</v>
      </c>
    </row>
    <row r="22" spans="1:41" x14ac:dyDescent="0.25">
      <c r="A22" s="8">
        <v>18</v>
      </c>
      <c r="B22" s="10">
        <v>856</v>
      </c>
      <c r="C22" s="17" t="s">
        <v>91</v>
      </c>
      <c r="D22" s="16" t="s">
        <v>39</v>
      </c>
      <c r="E22" s="7" t="s">
        <v>27</v>
      </c>
      <c r="F22" s="37"/>
      <c r="G22" s="23" t="s">
        <v>23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37"/>
      <c r="N22" s="23" t="s">
        <v>23</v>
      </c>
      <c r="O22" s="23" t="s">
        <v>23</v>
      </c>
      <c r="P22" s="23" t="s">
        <v>23</v>
      </c>
      <c r="Q22" s="23" t="s">
        <v>23</v>
      </c>
      <c r="R22" s="23" t="s">
        <v>23</v>
      </c>
      <c r="S22" s="23" t="s">
        <v>23</v>
      </c>
      <c r="T22" s="37"/>
      <c r="U22" s="23" t="s">
        <v>23</v>
      </c>
      <c r="V22" s="23"/>
      <c r="W22" s="23" t="s">
        <v>23</v>
      </c>
      <c r="X22" s="23" t="s">
        <v>23</v>
      </c>
      <c r="Y22" s="23" t="s">
        <v>23</v>
      </c>
      <c r="Z22" s="23" t="s">
        <v>23</v>
      </c>
      <c r="AA22" s="37"/>
      <c r="AB22" s="23" t="s">
        <v>23</v>
      </c>
      <c r="AC22" s="23" t="s">
        <v>23</v>
      </c>
      <c r="AD22" s="23" t="s">
        <v>23</v>
      </c>
      <c r="AE22" s="23" t="s">
        <v>23</v>
      </c>
      <c r="AF22" s="23" t="s">
        <v>23</v>
      </c>
      <c r="AG22" s="23" t="s">
        <v>23</v>
      </c>
      <c r="AH22" s="37"/>
      <c r="AI22" s="23" t="s">
        <v>23</v>
      </c>
      <c r="AJ22" s="5">
        <f t="shared" si="1"/>
        <v>24</v>
      </c>
      <c r="AK22" s="5">
        <f t="shared" si="2"/>
        <v>0</v>
      </c>
    </row>
    <row r="23" spans="1:41" x14ac:dyDescent="0.25">
      <c r="A23" s="6">
        <v>19</v>
      </c>
      <c r="B23" s="10"/>
      <c r="C23" s="17" t="s">
        <v>58</v>
      </c>
      <c r="D23" s="16" t="s">
        <v>57</v>
      </c>
      <c r="E23" s="7" t="s">
        <v>27</v>
      </c>
      <c r="F23" s="37"/>
      <c r="G23" s="23" t="s">
        <v>23</v>
      </c>
      <c r="H23" s="23" t="s">
        <v>23</v>
      </c>
      <c r="I23" s="23" t="s">
        <v>23</v>
      </c>
      <c r="J23" s="23" t="s">
        <v>23</v>
      </c>
      <c r="K23" s="23" t="s">
        <v>23</v>
      </c>
      <c r="L23" s="23" t="s">
        <v>23</v>
      </c>
      <c r="M23" s="37"/>
      <c r="N23" s="23" t="s">
        <v>23</v>
      </c>
      <c r="O23" s="23" t="s">
        <v>23</v>
      </c>
      <c r="P23" s="23" t="s">
        <v>23</v>
      </c>
      <c r="Q23" s="23" t="s">
        <v>23</v>
      </c>
      <c r="R23" s="23" t="s">
        <v>23</v>
      </c>
      <c r="S23" s="23" t="s">
        <v>23</v>
      </c>
      <c r="T23" s="37"/>
      <c r="U23" s="23" t="s">
        <v>23</v>
      </c>
      <c r="V23" s="23"/>
      <c r="W23" s="23" t="s">
        <v>23</v>
      </c>
      <c r="X23" s="23" t="s">
        <v>23</v>
      </c>
      <c r="Y23" s="23" t="s">
        <v>23</v>
      </c>
      <c r="Z23" s="23" t="s">
        <v>23</v>
      </c>
      <c r="AA23" s="37"/>
      <c r="AB23" s="23" t="s">
        <v>23</v>
      </c>
      <c r="AC23" s="23" t="s">
        <v>23</v>
      </c>
      <c r="AD23" s="23" t="s">
        <v>23</v>
      </c>
      <c r="AE23" s="23" t="s">
        <v>23</v>
      </c>
      <c r="AF23" s="23" t="s">
        <v>23</v>
      </c>
      <c r="AG23" s="23" t="s">
        <v>23</v>
      </c>
      <c r="AH23" s="37"/>
      <c r="AI23" s="23" t="s">
        <v>23</v>
      </c>
      <c r="AJ23" s="5">
        <f t="shared" si="1"/>
        <v>24</v>
      </c>
      <c r="AK23" s="5">
        <f t="shared" si="2"/>
        <v>0</v>
      </c>
    </row>
    <row r="24" spans="1:41" x14ac:dyDescent="0.25">
      <c r="A24" s="8">
        <v>20</v>
      </c>
      <c r="B24" s="10">
        <v>906</v>
      </c>
      <c r="C24" s="17" t="s">
        <v>56</v>
      </c>
      <c r="D24" s="16" t="s">
        <v>92</v>
      </c>
      <c r="E24" s="7" t="s">
        <v>27</v>
      </c>
      <c r="F24" s="37"/>
      <c r="G24" s="23" t="s">
        <v>23</v>
      </c>
      <c r="H24" s="23" t="s">
        <v>23</v>
      </c>
      <c r="I24" s="23" t="s">
        <v>23</v>
      </c>
      <c r="J24" s="23" t="s">
        <v>23</v>
      </c>
      <c r="K24" s="23" t="s">
        <v>23</v>
      </c>
      <c r="L24" s="23" t="s">
        <v>23</v>
      </c>
      <c r="M24" s="37"/>
      <c r="N24" s="23" t="s">
        <v>23</v>
      </c>
      <c r="O24" s="23" t="s">
        <v>23</v>
      </c>
      <c r="P24" s="23" t="s">
        <v>24</v>
      </c>
      <c r="Q24" s="23" t="s">
        <v>23</v>
      </c>
      <c r="R24" s="23" t="s">
        <v>23</v>
      </c>
      <c r="S24" s="23" t="s">
        <v>24</v>
      </c>
      <c r="T24" s="37"/>
      <c r="U24" s="23" t="s">
        <v>23</v>
      </c>
      <c r="V24" s="23"/>
      <c r="W24" s="23" t="s">
        <v>23</v>
      </c>
      <c r="X24" s="23" t="s">
        <v>23</v>
      </c>
      <c r="Y24" s="23" t="s">
        <v>23</v>
      </c>
      <c r="Z24" s="23" t="s">
        <v>23</v>
      </c>
      <c r="AA24" s="37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24</v>
      </c>
      <c r="AG24" s="23" t="s">
        <v>24</v>
      </c>
      <c r="AH24" s="37"/>
      <c r="AI24" s="23" t="s">
        <v>23</v>
      </c>
      <c r="AJ24" s="5">
        <f t="shared" si="1"/>
        <v>20</v>
      </c>
      <c r="AK24" s="5">
        <f t="shared" si="2"/>
        <v>4</v>
      </c>
    </row>
    <row r="25" spans="1:41" x14ac:dyDescent="0.25">
      <c r="A25" s="6">
        <v>21</v>
      </c>
      <c r="B25" s="10">
        <v>861</v>
      </c>
      <c r="C25" s="17" t="s">
        <v>93</v>
      </c>
      <c r="D25" s="16" t="s">
        <v>94</v>
      </c>
      <c r="E25" s="7" t="s">
        <v>27</v>
      </c>
      <c r="F25" s="37"/>
      <c r="G25" s="23" t="s">
        <v>23</v>
      </c>
      <c r="H25" s="23" t="s">
        <v>24</v>
      </c>
      <c r="I25" s="23" t="s">
        <v>24</v>
      </c>
      <c r="J25" s="23" t="s">
        <v>24</v>
      </c>
      <c r="K25" s="23" t="s">
        <v>24</v>
      </c>
      <c r="L25" s="23" t="s">
        <v>24</v>
      </c>
      <c r="M25" s="37"/>
      <c r="N25" s="23" t="s">
        <v>24</v>
      </c>
      <c r="O25" s="23" t="s">
        <v>24</v>
      </c>
      <c r="P25" s="23" t="s">
        <v>24</v>
      </c>
      <c r="Q25" s="23" t="s">
        <v>23</v>
      </c>
      <c r="R25" s="23" t="s">
        <v>23</v>
      </c>
      <c r="S25" s="23" t="s">
        <v>24</v>
      </c>
      <c r="T25" s="37"/>
      <c r="U25" s="23" t="s">
        <v>24</v>
      </c>
      <c r="V25" s="23"/>
      <c r="W25" s="23" t="s">
        <v>24</v>
      </c>
      <c r="X25" s="23" t="s">
        <v>24</v>
      </c>
      <c r="Y25" s="23" t="s">
        <v>23</v>
      </c>
      <c r="Z25" s="23" t="s">
        <v>24</v>
      </c>
      <c r="AA25" s="37"/>
      <c r="AB25" s="23" t="s">
        <v>24</v>
      </c>
      <c r="AC25" s="23" t="s">
        <v>24</v>
      </c>
      <c r="AD25" s="23" t="s">
        <v>24</v>
      </c>
      <c r="AE25" s="23" t="s">
        <v>24</v>
      </c>
      <c r="AF25" s="23" t="s">
        <v>24</v>
      </c>
      <c r="AG25" s="23" t="s">
        <v>24</v>
      </c>
      <c r="AH25" s="37"/>
      <c r="AI25" s="23" t="s">
        <v>24</v>
      </c>
      <c r="AJ25" s="5">
        <f t="shared" si="1"/>
        <v>4</v>
      </c>
      <c r="AK25" s="5">
        <f t="shared" si="2"/>
        <v>20</v>
      </c>
    </row>
    <row r="26" spans="1:41" x14ac:dyDescent="0.25">
      <c r="A26" s="8">
        <v>22</v>
      </c>
      <c r="B26" s="10">
        <v>866</v>
      </c>
      <c r="C26" s="17" t="s">
        <v>95</v>
      </c>
      <c r="D26" s="16" t="s">
        <v>96</v>
      </c>
      <c r="E26" s="7" t="s">
        <v>27</v>
      </c>
      <c r="F26" s="37"/>
      <c r="G26" s="23" t="s">
        <v>23</v>
      </c>
      <c r="H26" s="23" t="s">
        <v>24</v>
      </c>
      <c r="I26" s="23" t="s">
        <v>23</v>
      </c>
      <c r="J26" s="23" t="s">
        <v>23</v>
      </c>
      <c r="K26" s="23" t="s">
        <v>23</v>
      </c>
      <c r="L26" s="23" t="s">
        <v>23</v>
      </c>
      <c r="M26" s="37"/>
      <c r="N26" s="23" t="s">
        <v>24</v>
      </c>
      <c r="O26" s="23" t="s">
        <v>24</v>
      </c>
      <c r="P26" s="23" t="s">
        <v>23</v>
      </c>
      <c r="Q26" s="23" t="s">
        <v>23</v>
      </c>
      <c r="R26" s="23" t="s">
        <v>23</v>
      </c>
      <c r="S26" s="23" t="s">
        <v>24</v>
      </c>
      <c r="T26" s="37"/>
      <c r="U26" s="23" t="s">
        <v>24</v>
      </c>
      <c r="V26" s="23"/>
      <c r="W26" s="23" t="s">
        <v>23</v>
      </c>
      <c r="X26" s="23" t="s">
        <v>23</v>
      </c>
      <c r="Y26" s="23" t="s">
        <v>23</v>
      </c>
      <c r="Z26" s="23" t="s">
        <v>23</v>
      </c>
      <c r="AA26" s="37"/>
      <c r="AB26" s="23" t="s">
        <v>23</v>
      </c>
      <c r="AC26" s="23" t="s">
        <v>23</v>
      </c>
      <c r="AD26" s="23" t="s">
        <v>23</v>
      </c>
      <c r="AE26" s="23" t="s">
        <v>23</v>
      </c>
      <c r="AF26" s="23" t="s">
        <v>23</v>
      </c>
      <c r="AG26" s="23" t="s">
        <v>23</v>
      </c>
      <c r="AH26" s="37"/>
      <c r="AI26" s="23" t="s">
        <v>23</v>
      </c>
      <c r="AJ26" s="5">
        <f t="shared" si="1"/>
        <v>19</v>
      </c>
      <c r="AK26" s="5">
        <f t="shared" si="2"/>
        <v>5</v>
      </c>
    </row>
    <row r="27" spans="1:41" x14ac:dyDescent="0.25">
      <c r="A27" s="6">
        <v>23</v>
      </c>
      <c r="B27" s="10">
        <v>846</v>
      </c>
      <c r="C27" s="17" t="s">
        <v>97</v>
      </c>
      <c r="D27" s="16" t="s">
        <v>98</v>
      </c>
      <c r="E27" s="7" t="s">
        <v>27</v>
      </c>
      <c r="F27" s="37"/>
      <c r="G27" s="23" t="s">
        <v>23</v>
      </c>
      <c r="H27" s="23" t="s">
        <v>23</v>
      </c>
      <c r="I27" s="23" t="s">
        <v>23</v>
      </c>
      <c r="J27" s="23" t="s">
        <v>23</v>
      </c>
      <c r="K27" s="23" t="s">
        <v>23</v>
      </c>
      <c r="L27" s="23" t="s">
        <v>23</v>
      </c>
      <c r="M27" s="37"/>
      <c r="N27" s="23" t="s">
        <v>23</v>
      </c>
      <c r="O27" s="23" t="s">
        <v>23</v>
      </c>
      <c r="P27" s="23" t="s">
        <v>23</v>
      </c>
      <c r="Q27" s="23" t="s">
        <v>23</v>
      </c>
      <c r="R27" s="23" t="s">
        <v>23</v>
      </c>
      <c r="S27" s="23" t="s">
        <v>23</v>
      </c>
      <c r="T27" s="37"/>
      <c r="U27" s="23" t="s">
        <v>24</v>
      </c>
      <c r="V27" s="23"/>
      <c r="W27" s="23" t="s">
        <v>23</v>
      </c>
      <c r="X27" s="23" t="s">
        <v>23</v>
      </c>
      <c r="Y27" s="23" t="s">
        <v>23</v>
      </c>
      <c r="Z27" s="23" t="s">
        <v>23</v>
      </c>
      <c r="AA27" s="37"/>
      <c r="AB27" s="23" t="s">
        <v>23</v>
      </c>
      <c r="AC27" s="23" t="s">
        <v>23</v>
      </c>
      <c r="AD27" s="23" t="s">
        <v>23</v>
      </c>
      <c r="AE27" s="23" t="s">
        <v>23</v>
      </c>
      <c r="AF27" s="23" t="s">
        <v>23</v>
      </c>
      <c r="AG27" s="23" t="s">
        <v>23</v>
      </c>
      <c r="AH27" s="37"/>
      <c r="AI27" s="23" t="s">
        <v>23</v>
      </c>
      <c r="AJ27" s="5">
        <f t="shared" si="1"/>
        <v>23</v>
      </c>
      <c r="AK27" s="5">
        <f t="shared" si="2"/>
        <v>1</v>
      </c>
    </row>
    <row r="28" spans="1:41" x14ac:dyDescent="0.25">
      <c r="A28" s="8">
        <v>24</v>
      </c>
      <c r="B28" s="10">
        <v>857</v>
      </c>
      <c r="C28" s="17" t="s">
        <v>95</v>
      </c>
      <c r="D28" s="17" t="s">
        <v>99</v>
      </c>
      <c r="E28" s="7" t="s">
        <v>27</v>
      </c>
      <c r="F28" s="37"/>
      <c r="G28" s="23" t="s">
        <v>24</v>
      </c>
      <c r="H28" s="23" t="s">
        <v>24</v>
      </c>
      <c r="I28" s="23" t="s">
        <v>24</v>
      </c>
      <c r="J28" s="23" t="s">
        <v>23</v>
      </c>
      <c r="K28" s="23" t="s">
        <v>23</v>
      </c>
      <c r="L28" s="23" t="s">
        <v>23</v>
      </c>
      <c r="M28" s="37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24</v>
      </c>
      <c r="S28" s="23" t="s">
        <v>24</v>
      </c>
      <c r="T28" s="37"/>
      <c r="U28" s="23" t="s">
        <v>24</v>
      </c>
      <c r="V28" s="23"/>
      <c r="W28" s="23" t="s">
        <v>23</v>
      </c>
      <c r="X28" s="23" t="s">
        <v>23</v>
      </c>
      <c r="Y28" s="23" t="s">
        <v>23</v>
      </c>
      <c r="Z28" s="23" t="s">
        <v>23</v>
      </c>
      <c r="AA28" s="37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37"/>
      <c r="AI28" s="23" t="s">
        <v>23</v>
      </c>
      <c r="AJ28" s="5">
        <f t="shared" si="1"/>
        <v>18</v>
      </c>
      <c r="AK28" s="5">
        <f t="shared" si="2"/>
        <v>6</v>
      </c>
    </row>
    <row r="29" spans="1:41" x14ac:dyDescent="0.25">
      <c r="A29" s="6">
        <v>25</v>
      </c>
      <c r="B29" s="10">
        <v>730</v>
      </c>
      <c r="C29" s="17" t="s">
        <v>60</v>
      </c>
      <c r="D29" s="16" t="s">
        <v>61</v>
      </c>
      <c r="E29" s="7" t="s">
        <v>27</v>
      </c>
      <c r="F29" s="37"/>
      <c r="G29" s="23" t="s">
        <v>23</v>
      </c>
      <c r="H29" s="23" t="s">
        <v>23</v>
      </c>
      <c r="I29" s="23" t="s">
        <v>23</v>
      </c>
      <c r="J29" s="23" t="s">
        <v>23</v>
      </c>
      <c r="K29" s="23" t="s">
        <v>24</v>
      </c>
      <c r="L29" s="23" t="s">
        <v>23</v>
      </c>
      <c r="M29" s="37"/>
      <c r="N29" s="23" t="s">
        <v>23</v>
      </c>
      <c r="O29" s="23" t="s">
        <v>23</v>
      </c>
      <c r="P29" s="23" t="s">
        <v>24</v>
      </c>
      <c r="Q29" s="23" t="s">
        <v>23</v>
      </c>
      <c r="R29" s="23" t="s">
        <v>23</v>
      </c>
      <c r="S29" s="23" t="s">
        <v>23</v>
      </c>
      <c r="T29" s="37"/>
      <c r="U29" s="23" t="s">
        <v>23</v>
      </c>
      <c r="V29" s="23"/>
      <c r="W29" s="23" t="s">
        <v>23</v>
      </c>
      <c r="X29" s="23" t="s">
        <v>23</v>
      </c>
      <c r="Y29" s="23" t="s">
        <v>23</v>
      </c>
      <c r="Z29" s="23" t="s">
        <v>23</v>
      </c>
      <c r="AA29" s="37"/>
      <c r="AB29" s="23" t="s">
        <v>23</v>
      </c>
      <c r="AC29" s="23" t="s">
        <v>23</v>
      </c>
      <c r="AD29" s="23" t="s">
        <v>23</v>
      </c>
      <c r="AE29" s="23" t="s">
        <v>23</v>
      </c>
      <c r="AF29" s="23" t="s">
        <v>23</v>
      </c>
      <c r="AG29" s="23" t="s">
        <v>24</v>
      </c>
      <c r="AH29" s="37"/>
      <c r="AI29" s="23" t="s">
        <v>23</v>
      </c>
      <c r="AJ29" s="5">
        <f t="shared" si="1"/>
        <v>21</v>
      </c>
      <c r="AK29" s="5">
        <f t="shared" si="2"/>
        <v>3</v>
      </c>
    </row>
    <row r="30" spans="1:41" x14ac:dyDescent="0.25">
      <c r="A30" s="8">
        <v>26</v>
      </c>
      <c r="B30" s="10">
        <v>732</v>
      </c>
      <c r="C30" s="17" t="s">
        <v>62</v>
      </c>
      <c r="D30" s="16" t="s">
        <v>63</v>
      </c>
      <c r="E30" s="7" t="s">
        <v>27</v>
      </c>
      <c r="F30" s="37"/>
      <c r="G30" s="23" t="s">
        <v>23</v>
      </c>
      <c r="H30" s="23" t="s">
        <v>23</v>
      </c>
      <c r="I30" s="23" t="s">
        <v>23</v>
      </c>
      <c r="J30" s="23" t="s">
        <v>23</v>
      </c>
      <c r="K30" s="23" t="s">
        <v>23</v>
      </c>
      <c r="L30" s="23" t="s">
        <v>24</v>
      </c>
      <c r="M30" s="37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37"/>
      <c r="U30" s="23" t="s">
        <v>23</v>
      </c>
      <c r="V30" s="23"/>
      <c r="W30" s="23" t="s">
        <v>23</v>
      </c>
      <c r="X30" s="23" t="s">
        <v>23</v>
      </c>
      <c r="Y30" s="23" t="s">
        <v>23</v>
      </c>
      <c r="Z30" s="23" t="s">
        <v>24</v>
      </c>
      <c r="AA30" s="37"/>
      <c r="AB30" s="23" t="s">
        <v>23</v>
      </c>
      <c r="AC30" s="23" t="s">
        <v>23</v>
      </c>
      <c r="AD30" s="23" t="s">
        <v>23</v>
      </c>
      <c r="AE30" s="23" t="s">
        <v>23</v>
      </c>
      <c r="AF30" s="23" t="s">
        <v>23</v>
      </c>
      <c r="AG30" s="23" t="s">
        <v>23</v>
      </c>
      <c r="AH30" s="37"/>
      <c r="AI30" s="23" t="s">
        <v>23</v>
      </c>
      <c r="AJ30" s="5">
        <f t="shared" si="1"/>
        <v>22</v>
      </c>
      <c r="AK30" s="5">
        <f t="shared" si="2"/>
        <v>2</v>
      </c>
    </row>
    <row r="31" spans="1:41" x14ac:dyDescent="0.25">
      <c r="A31" s="6">
        <v>27</v>
      </c>
      <c r="B31" s="10">
        <v>728</v>
      </c>
      <c r="C31" s="17" t="s">
        <v>64</v>
      </c>
      <c r="D31" s="16" t="s">
        <v>65</v>
      </c>
      <c r="E31" s="7" t="s">
        <v>27</v>
      </c>
      <c r="F31" s="37"/>
      <c r="G31" s="23" t="s">
        <v>23</v>
      </c>
      <c r="H31" s="23" t="s">
        <v>23</v>
      </c>
      <c r="I31" s="23" t="s">
        <v>23</v>
      </c>
      <c r="J31" s="23" t="s">
        <v>23</v>
      </c>
      <c r="K31" s="23" t="s">
        <v>23</v>
      </c>
      <c r="L31" s="23" t="s">
        <v>23</v>
      </c>
      <c r="M31" s="37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23</v>
      </c>
      <c r="T31" s="37"/>
      <c r="U31" s="23" t="s">
        <v>23</v>
      </c>
      <c r="V31" s="23"/>
      <c r="W31" s="23" t="s">
        <v>23</v>
      </c>
      <c r="X31" s="23" t="s">
        <v>23</v>
      </c>
      <c r="Y31" s="23" t="s">
        <v>23</v>
      </c>
      <c r="Z31" s="23" t="s">
        <v>23</v>
      </c>
      <c r="AA31" s="37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23</v>
      </c>
      <c r="AG31" s="23" t="s">
        <v>23</v>
      </c>
      <c r="AH31" s="37"/>
      <c r="AI31" s="23" t="s">
        <v>23</v>
      </c>
      <c r="AJ31" s="5">
        <f t="shared" si="1"/>
        <v>24</v>
      </c>
      <c r="AK31" s="5">
        <f t="shared" si="2"/>
        <v>0</v>
      </c>
    </row>
    <row r="32" spans="1:41" x14ac:dyDescent="0.25">
      <c r="A32" s="8">
        <v>28</v>
      </c>
      <c r="B32" s="10">
        <v>760</v>
      </c>
      <c r="C32" s="17" t="s">
        <v>66</v>
      </c>
      <c r="D32" s="17" t="s">
        <v>67</v>
      </c>
      <c r="E32" s="7" t="s">
        <v>27</v>
      </c>
      <c r="F32" s="37"/>
      <c r="G32" s="23" t="s">
        <v>23</v>
      </c>
      <c r="H32" s="23" t="s">
        <v>23</v>
      </c>
      <c r="I32" s="23" t="s">
        <v>23</v>
      </c>
      <c r="J32" s="23" t="s">
        <v>23</v>
      </c>
      <c r="K32" s="23" t="s">
        <v>23</v>
      </c>
      <c r="L32" s="23" t="s">
        <v>23</v>
      </c>
      <c r="M32" s="37"/>
      <c r="N32" s="23" t="s">
        <v>23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37"/>
      <c r="U32" s="23" t="s">
        <v>23</v>
      </c>
      <c r="V32" s="23"/>
      <c r="W32" s="23" t="s">
        <v>23</v>
      </c>
      <c r="X32" s="23" t="s">
        <v>23</v>
      </c>
      <c r="Y32" s="23" t="s">
        <v>23</v>
      </c>
      <c r="Z32" s="23" t="s">
        <v>24</v>
      </c>
      <c r="AA32" s="37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37"/>
      <c r="AI32" s="23" t="s">
        <v>23</v>
      </c>
      <c r="AJ32" s="5">
        <f t="shared" si="1"/>
        <v>23</v>
      </c>
      <c r="AK32" s="5">
        <f t="shared" si="2"/>
        <v>1</v>
      </c>
    </row>
    <row r="33" spans="1:37" x14ac:dyDescent="0.25">
      <c r="A33" s="6">
        <v>29</v>
      </c>
      <c r="B33" s="10">
        <v>741</v>
      </c>
      <c r="C33" s="17" t="s">
        <v>68</v>
      </c>
      <c r="D33" s="16" t="s">
        <v>69</v>
      </c>
      <c r="E33" s="7" t="s">
        <v>27</v>
      </c>
      <c r="F33" s="37"/>
      <c r="G33" s="23" t="s">
        <v>23</v>
      </c>
      <c r="H33" s="23" t="s">
        <v>24</v>
      </c>
      <c r="I33" s="23" t="s">
        <v>23</v>
      </c>
      <c r="J33" s="23" t="s">
        <v>24</v>
      </c>
      <c r="K33" s="23" t="s">
        <v>24</v>
      </c>
      <c r="L33" s="23" t="s">
        <v>23</v>
      </c>
      <c r="M33" s="37"/>
      <c r="N33" s="23" t="s">
        <v>23</v>
      </c>
      <c r="O33" s="23" t="s">
        <v>23</v>
      </c>
      <c r="P33" s="23" t="s">
        <v>23</v>
      </c>
      <c r="Q33" s="23" t="s">
        <v>24</v>
      </c>
      <c r="R33" s="23" t="s">
        <v>24</v>
      </c>
      <c r="S33" s="23" t="s">
        <v>23</v>
      </c>
      <c r="T33" s="37"/>
      <c r="U33" s="23" t="s">
        <v>23</v>
      </c>
      <c r="V33" s="23"/>
      <c r="W33" s="23" t="s">
        <v>23</v>
      </c>
      <c r="X33" s="23" t="s">
        <v>23</v>
      </c>
      <c r="Y33" s="23" t="s">
        <v>23</v>
      </c>
      <c r="Z33" s="23" t="s">
        <v>23</v>
      </c>
      <c r="AA33" s="37"/>
      <c r="AB33" s="23" t="s">
        <v>23</v>
      </c>
      <c r="AC33" s="23" t="s">
        <v>23</v>
      </c>
      <c r="AD33" s="23" t="s">
        <v>23</v>
      </c>
      <c r="AE33" s="23" t="s">
        <v>23</v>
      </c>
      <c r="AF33" s="23" t="s">
        <v>23</v>
      </c>
      <c r="AG33" s="23" t="s">
        <v>23</v>
      </c>
      <c r="AH33" s="37"/>
      <c r="AI33" s="23" t="s">
        <v>23</v>
      </c>
      <c r="AJ33" s="5">
        <f t="shared" si="1"/>
        <v>19</v>
      </c>
      <c r="AK33" s="5">
        <f t="shared" si="2"/>
        <v>5</v>
      </c>
    </row>
    <row r="34" spans="1:37" x14ac:dyDescent="0.25">
      <c r="A34" s="8">
        <v>30</v>
      </c>
      <c r="B34" s="10"/>
      <c r="C34" s="18" t="s">
        <v>70</v>
      </c>
      <c r="D34" s="19" t="s">
        <v>71</v>
      </c>
      <c r="E34" s="7" t="s">
        <v>27</v>
      </c>
      <c r="F34" s="37"/>
      <c r="G34" s="23" t="s">
        <v>23</v>
      </c>
      <c r="H34" s="23" t="s">
        <v>23</v>
      </c>
      <c r="I34" s="23" t="s">
        <v>23</v>
      </c>
      <c r="J34" s="23" t="s">
        <v>23</v>
      </c>
      <c r="K34" s="23" t="s">
        <v>23</v>
      </c>
      <c r="L34" s="23" t="s">
        <v>23</v>
      </c>
      <c r="M34" s="37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24</v>
      </c>
      <c r="T34" s="37"/>
      <c r="U34" s="23" t="s">
        <v>23</v>
      </c>
      <c r="V34" s="23"/>
      <c r="W34" s="23" t="s">
        <v>23</v>
      </c>
      <c r="X34" s="23" t="s">
        <v>23</v>
      </c>
      <c r="Y34" s="23" t="s">
        <v>23</v>
      </c>
      <c r="Z34" s="23" t="s">
        <v>23</v>
      </c>
      <c r="AA34" s="37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37"/>
      <c r="AI34" s="23" t="s">
        <v>23</v>
      </c>
      <c r="AJ34" s="5">
        <f t="shared" si="1"/>
        <v>23</v>
      </c>
      <c r="AK34" s="5">
        <f t="shared" si="2"/>
        <v>1</v>
      </c>
    </row>
    <row r="35" spans="1:37" x14ac:dyDescent="0.25">
      <c r="A35" s="6">
        <v>31</v>
      </c>
      <c r="B35" s="10">
        <v>744</v>
      </c>
      <c r="C35" s="20" t="s">
        <v>72</v>
      </c>
      <c r="D35" s="20" t="s">
        <v>73</v>
      </c>
      <c r="E35" s="7" t="s">
        <v>27</v>
      </c>
      <c r="F35" s="37"/>
      <c r="G35" s="23" t="s">
        <v>23</v>
      </c>
      <c r="H35" s="23" t="s">
        <v>23</v>
      </c>
      <c r="I35" s="23" t="s">
        <v>23</v>
      </c>
      <c r="J35" s="23" t="s">
        <v>23</v>
      </c>
      <c r="K35" s="23" t="s">
        <v>23</v>
      </c>
      <c r="L35" s="23" t="s">
        <v>23</v>
      </c>
      <c r="M35" s="37"/>
      <c r="N35" s="23" t="s">
        <v>23</v>
      </c>
      <c r="O35" s="23" t="s">
        <v>23</v>
      </c>
      <c r="P35" s="23" t="s">
        <v>23</v>
      </c>
      <c r="Q35" s="23" t="s">
        <v>23</v>
      </c>
      <c r="R35" s="23" t="s">
        <v>23</v>
      </c>
      <c r="S35" s="23" t="s">
        <v>23</v>
      </c>
      <c r="T35" s="37"/>
      <c r="U35" s="23" t="s">
        <v>23</v>
      </c>
      <c r="V35" s="23"/>
      <c r="W35" s="23" t="s">
        <v>23</v>
      </c>
      <c r="X35" s="23" t="s">
        <v>23</v>
      </c>
      <c r="Y35" s="23" t="s">
        <v>23</v>
      </c>
      <c r="Z35" s="23" t="s">
        <v>23</v>
      </c>
      <c r="AA35" s="37"/>
      <c r="AB35" s="23" t="s">
        <v>23</v>
      </c>
      <c r="AC35" s="23" t="s">
        <v>23</v>
      </c>
      <c r="AD35" s="23" t="s">
        <v>23</v>
      </c>
      <c r="AE35" s="23" t="s">
        <v>23</v>
      </c>
      <c r="AF35" s="23" t="s">
        <v>23</v>
      </c>
      <c r="AG35" s="23" t="s">
        <v>23</v>
      </c>
      <c r="AH35" s="37"/>
      <c r="AI35" s="23" t="s">
        <v>23</v>
      </c>
      <c r="AJ35" s="5">
        <f t="shared" si="1"/>
        <v>24</v>
      </c>
      <c r="AK35" s="5">
        <f t="shared" si="2"/>
        <v>0</v>
      </c>
    </row>
    <row r="36" spans="1:37" x14ac:dyDescent="0.25">
      <c r="A36" s="8">
        <v>32</v>
      </c>
      <c r="B36" s="10">
        <v>781</v>
      </c>
      <c r="C36" s="20" t="s">
        <v>74</v>
      </c>
      <c r="D36" s="20" t="s">
        <v>75</v>
      </c>
      <c r="E36" s="7" t="s">
        <v>27</v>
      </c>
      <c r="F36" s="37"/>
      <c r="G36" s="23" t="s">
        <v>24</v>
      </c>
      <c r="H36" s="23" t="s">
        <v>24</v>
      </c>
      <c r="I36" s="23" t="s">
        <v>24</v>
      </c>
      <c r="J36" s="23" t="s">
        <v>24</v>
      </c>
      <c r="K36" s="23" t="s">
        <v>24</v>
      </c>
      <c r="L36" s="23" t="s">
        <v>24</v>
      </c>
      <c r="M36" s="37"/>
      <c r="N36" s="23" t="s">
        <v>24</v>
      </c>
      <c r="O36" s="23" t="s">
        <v>24</v>
      </c>
      <c r="P36" s="23" t="s">
        <v>24</v>
      </c>
      <c r="Q36" s="23" t="s">
        <v>24</v>
      </c>
      <c r="R36" s="23" t="s">
        <v>24</v>
      </c>
      <c r="S36" s="23" t="s">
        <v>24</v>
      </c>
      <c r="T36" s="37"/>
      <c r="U36" s="23" t="s">
        <v>23</v>
      </c>
      <c r="V36" s="23"/>
      <c r="W36" s="23" t="s">
        <v>24</v>
      </c>
      <c r="X36" s="23" t="s">
        <v>24</v>
      </c>
      <c r="Y36" s="23" t="s">
        <v>23</v>
      </c>
      <c r="Z36" s="23" t="s">
        <v>24</v>
      </c>
      <c r="AA36" s="37"/>
      <c r="AB36" s="23" t="s">
        <v>24</v>
      </c>
      <c r="AC36" s="23" t="s">
        <v>24</v>
      </c>
      <c r="AD36" s="23" t="s">
        <v>24</v>
      </c>
      <c r="AE36" s="23" t="s">
        <v>24</v>
      </c>
      <c r="AF36" s="23" t="s">
        <v>24</v>
      </c>
      <c r="AG36" s="23" t="s">
        <v>24</v>
      </c>
      <c r="AH36" s="37"/>
      <c r="AI36" s="23" t="s">
        <v>24</v>
      </c>
      <c r="AJ36" s="5">
        <f t="shared" si="1"/>
        <v>2</v>
      </c>
      <c r="AK36" s="5">
        <f t="shared" si="2"/>
        <v>22</v>
      </c>
    </row>
    <row r="37" spans="1:37" x14ac:dyDescent="0.25">
      <c r="A37" s="6">
        <v>33</v>
      </c>
      <c r="B37" s="10">
        <v>767</v>
      </c>
      <c r="C37" s="20" t="s">
        <v>76</v>
      </c>
      <c r="D37" s="20" t="s">
        <v>77</v>
      </c>
      <c r="E37" s="7" t="s">
        <v>27</v>
      </c>
      <c r="F37" s="37"/>
      <c r="G37" s="23" t="s">
        <v>23</v>
      </c>
      <c r="H37" s="23" t="s">
        <v>23</v>
      </c>
      <c r="I37" s="23" t="s">
        <v>23</v>
      </c>
      <c r="J37" s="23" t="s">
        <v>23</v>
      </c>
      <c r="K37" s="23" t="s">
        <v>23</v>
      </c>
      <c r="L37" s="23" t="s">
        <v>23</v>
      </c>
      <c r="M37" s="37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37"/>
      <c r="U37" s="23" t="s">
        <v>23</v>
      </c>
      <c r="V37" s="23"/>
      <c r="W37" s="23" t="s">
        <v>23</v>
      </c>
      <c r="X37" s="23" t="s">
        <v>23</v>
      </c>
      <c r="Y37" s="23" t="s">
        <v>23</v>
      </c>
      <c r="Z37" s="23" t="s">
        <v>23</v>
      </c>
      <c r="AA37" s="37"/>
      <c r="AB37" s="23" t="s">
        <v>23</v>
      </c>
      <c r="AC37" s="23" t="s">
        <v>23</v>
      </c>
      <c r="AD37" s="23" t="s">
        <v>23</v>
      </c>
      <c r="AE37" s="23" t="s">
        <v>23</v>
      </c>
      <c r="AF37" s="23" t="s">
        <v>23</v>
      </c>
      <c r="AG37" s="23" t="s">
        <v>24</v>
      </c>
      <c r="AH37" s="37"/>
      <c r="AI37" s="23" t="s">
        <v>23</v>
      </c>
      <c r="AJ37" s="5">
        <f t="shared" si="1"/>
        <v>23</v>
      </c>
      <c r="AK37" s="5">
        <f t="shared" si="2"/>
        <v>1</v>
      </c>
    </row>
    <row r="38" spans="1:37" x14ac:dyDescent="0.25">
      <c r="A38" s="8">
        <v>34</v>
      </c>
      <c r="B38" s="10">
        <v>770</v>
      </c>
      <c r="C38" s="20" t="s">
        <v>78</v>
      </c>
      <c r="D38" s="21" t="s">
        <v>79</v>
      </c>
      <c r="E38" s="7" t="s">
        <v>27</v>
      </c>
      <c r="F38" s="37"/>
      <c r="G38" s="23" t="s">
        <v>24</v>
      </c>
      <c r="H38" s="23" t="s">
        <v>24</v>
      </c>
      <c r="I38" s="23" t="s">
        <v>24</v>
      </c>
      <c r="J38" s="23" t="s">
        <v>24</v>
      </c>
      <c r="K38" s="23" t="s">
        <v>24</v>
      </c>
      <c r="L38" s="23" t="s">
        <v>24</v>
      </c>
      <c r="M38" s="37"/>
      <c r="N38" s="23" t="s">
        <v>24</v>
      </c>
      <c r="O38" s="23" t="s">
        <v>24</v>
      </c>
      <c r="P38" s="23" t="s">
        <v>24</v>
      </c>
      <c r="Q38" s="23" t="s">
        <v>24</v>
      </c>
      <c r="R38" s="23" t="s">
        <v>24</v>
      </c>
      <c r="S38" s="23" t="s">
        <v>24</v>
      </c>
      <c r="T38" s="37"/>
      <c r="U38" s="23" t="s">
        <v>24</v>
      </c>
      <c r="V38" s="23"/>
      <c r="W38" s="23" t="s">
        <v>24</v>
      </c>
      <c r="X38" s="23" t="s">
        <v>24</v>
      </c>
      <c r="Y38" s="23" t="s">
        <v>24</v>
      </c>
      <c r="Z38" s="23" t="s">
        <v>24</v>
      </c>
      <c r="AA38" s="37"/>
      <c r="AB38" s="23" t="s">
        <v>24</v>
      </c>
      <c r="AC38" s="23" t="s">
        <v>24</v>
      </c>
      <c r="AD38" s="23" t="s">
        <v>24</v>
      </c>
      <c r="AE38" s="23" t="s">
        <v>24</v>
      </c>
      <c r="AF38" s="23" t="s">
        <v>24</v>
      </c>
      <c r="AG38" s="23" t="s">
        <v>24</v>
      </c>
      <c r="AH38" s="37"/>
      <c r="AI38" s="23" t="s">
        <v>24</v>
      </c>
      <c r="AJ38" s="5">
        <f t="shared" si="1"/>
        <v>0</v>
      </c>
      <c r="AK38" s="5">
        <f t="shared" si="2"/>
        <v>24</v>
      </c>
    </row>
    <row r="39" spans="1:37" x14ac:dyDescent="0.25">
      <c r="A39" s="6">
        <v>35</v>
      </c>
      <c r="B39" s="10">
        <v>727</v>
      </c>
      <c r="C39" s="15" t="s">
        <v>80</v>
      </c>
      <c r="D39" s="22" t="s">
        <v>81</v>
      </c>
      <c r="E39" s="7" t="s">
        <v>27</v>
      </c>
      <c r="F39" s="37"/>
      <c r="G39" s="23" t="s">
        <v>23</v>
      </c>
      <c r="H39" s="23" t="s">
        <v>23</v>
      </c>
      <c r="I39" s="23" t="s">
        <v>23</v>
      </c>
      <c r="J39" s="23" t="s">
        <v>23</v>
      </c>
      <c r="K39" s="23" t="s">
        <v>23</v>
      </c>
      <c r="L39" s="23" t="s">
        <v>23</v>
      </c>
      <c r="M39" s="37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37"/>
      <c r="U39" s="23" t="s">
        <v>23</v>
      </c>
      <c r="V39" s="23"/>
      <c r="W39" s="23" t="s">
        <v>23</v>
      </c>
      <c r="X39" s="23" t="s">
        <v>23</v>
      </c>
      <c r="Y39" s="23" t="s">
        <v>23</v>
      </c>
      <c r="Z39" s="23" t="s">
        <v>23</v>
      </c>
      <c r="AA39" s="37"/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23</v>
      </c>
      <c r="AH39" s="37"/>
      <c r="AI39" s="23" t="s">
        <v>23</v>
      </c>
      <c r="AJ39" s="5">
        <f t="shared" si="1"/>
        <v>24</v>
      </c>
      <c r="AK39" s="5">
        <f t="shared" si="2"/>
        <v>0</v>
      </c>
    </row>
    <row r="40" spans="1:37" x14ac:dyDescent="0.25">
      <c r="A40" s="8">
        <v>36</v>
      </c>
      <c r="B40" s="10">
        <v>768</v>
      </c>
      <c r="C40" s="17" t="s">
        <v>82</v>
      </c>
      <c r="D40" s="16" t="s">
        <v>83</v>
      </c>
      <c r="E40" s="7" t="s">
        <v>27</v>
      </c>
      <c r="F40" s="37"/>
      <c r="G40" s="23" t="s">
        <v>23</v>
      </c>
      <c r="H40" s="23" t="s">
        <v>24</v>
      </c>
      <c r="I40" s="23" t="s">
        <v>24</v>
      </c>
      <c r="J40" s="23" t="s">
        <v>24</v>
      </c>
      <c r="K40" s="23"/>
      <c r="L40" s="23" t="s">
        <v>24</v>
      </c>
      <c r="M40" s="37"/>
      <c r="N40" s="23" t="s">
        <v>24</v>
      </c>
      <c r="O40" s="23" t="s">
        <v>24</v>
      </c>
      <c r="P40" s="23" t="s">
        <v>24</v>
      </c>
      <c r="Q40" s="23" t="s">
        <v>24</v>
      </c>
      <c r="R40" s="23" t="s">
        <v>24</v>
      </c>
      <c r="S40" s="23" t="s">
        <v>24</v>
      </c>
      <c r="T40" s="37"/>
      <c r="U40" s="23" t="s">
        <v>24</v>
      </c>
      <c r="V40" s="23"/>
      <c r="W40" s="23" t="s">
        <v>24</v>
      </c>
      <c r="X40" s="23" t="s">
        <v>24</v>
      </c>
      <c r="Y40" s="23" t="s">
        <v>24</v>
      </c>
      <c r="Z40" s="23" t="s">
        <v>24</v>
      </c>
      <c r="AA40" s="37"/>
      <c r="AB40" s="23" t="s">
        <v>24</v>
      </c>
      <c r="AC40" s="23" t="s">
        <v>24</v>
      </c>
      <c r="AD40" s="23" t="s">
        <v>24</v>
      </c>
      <c r="AE40" s="23" t="s">
        <v>24</v>
      </c>
      <c r="AF40" s="23" t="s">
        <v>24</v>
      </c>
      <c r="AG40" s="23" t="s">
        <v>24</v>
      </c>
      <c r="AH40" s="37"/>
      <c r="AI40" s="23" t="s">
        <v>24</v>
      </c>
      <c r="AJ40" s="5">
        <f t="shared" si="1"/>
        <v>1</v>
      </c>
      <c r="AK40" s="5">
        <f t="shared" si="2"/>
        <v>22</v>
      </c>
    </row>
    <row r="41" spans="1:37" x14ac:dyDescent="0.25">
      <c r="A41" s="6">
        <v>37</v>
      </c>
      <c r="B41" s="10">
        <v>777</v>
      </c>
      <c r="C41" s="17" t="s">
        <v>84</v>
      </c>
      <c r="D41" s="16" t="s">
        <v>85</v>
      </c>
      <c r="E41" s="7" t="s">
        <v>27</v>
      </c>
      <c r="F41" s="37"/>
      <c r="G41" s="23" t="s">
        <v>23</v>
      </c>
      <c r="H41" s="23" t="s">
        <v>23</v>
      </c>
      <c r="I41" s="23" t="s">
        <v>23</v>
      </c>
      <c r="J41" s="23" t="s">
        <v>23</v>
      </c>
      <c r="K41" s="23" t="s">
        <v>23</v>
      </c>
      <c r="L41" s="23" t="s">
        <v>23</v>
      </c>
      <c r="M41" s="37"/>
      <c r="N41" s="23" t="s">
        <v>23</v>
      </c>
      <c r="O41" s="23" t="s">
        <v>23</v>
      </c>
      <c r="P41" s="23" t="s">
        <v>23</v>
      </c>
      <c r="Q41" s="23" t="s">
        <v>23</v>
      </c>
      <c r="R41" s="23" t="s">
        <v>23</v>
      </c>
      <c r="S41" s="23" t="s">
        <v>23</v>
      </c>
      <c r="T41" s="37"/>
      <c r="U41" s="23" t="s">
        <v>23</v>
      </c>
      <c r="V41" s="23"/>
      <c r="W41" s="23" t="s">
        <v>23</v>
      </c>
      <c r="X41" s="23" t="s">
        <v>23</v>
      </c>
      <c r="Y41" s="23" t="s">
        <v>23</v>
      </c>
      <c r="Z41" s="23" t="s">
        <v>23</v>
      </c>
      <c r="AA41" s="37"/>
      <c r="AB41" s="23" t="s">
        <v>23</v>
      </c>
      <c r="AC41" s="23" t="s">
        <v>23</v>
      </c>
      <c r="AD41" s="23" t="s">
        <v>23</v>
      </c>
      <c r="AE41" s="23" t="s">
        <v>23</v>
      </c>
      <c r="AF41" s="23" t="s">
        <v>23</v>
      </c>
      <c r="AG41" s="23" t="s">
        <v>23</v>
      </c>
      <c r="AH41" s="37"/>
      <c r="AI41" s="23" t="s">
        <v>23</v>
      </c>
      <c r="AJ41" s="5">
        <f t="shared" si="1"/>
        <v>24</v>
      </c>
      <c r="AK41" s="5">
        <f t="shared" si="2"/>
        <v>0</v>
      </c>
    </row>
    <row r="42" spans="1:37" x14ac:dyDescent="0.25">
      <c r="A42" s="8">
        <v>38</v>
      </c>
      <c r="B42" s="24">
        <v>873</v>
      </c>
      <c r="C42" s="24" t="s">
        <v>86</v>
      </c>
      <c r="D42" s="24" t="s">
        <v>101</v>
      </c>
      <c r="E42" s="7" t="s">
        <v>27</v>
      </c>
      <c r="F42" s="37"/>
      <c r="G42" s="23" t="s">
        <v>23</v>
      </c>
      <c r="H42" s="23" t="s">
        <v>23</v>
      </c>
      <c r="I42" s="23" t="s">
        <v>23</v>
      </c>
      <c r="J42" s="23" t="s">
        <v>23</v>
      </c>
      <c r="K42" s="23" t="s">
        <v>23</v>
      </c>
      <c r="L42" s="23" t="s">
        <v>24</v>
      </c>
      <c r="M42" s="37"/>
      <c r="N42" s="23" t="s">
        <v>24</v>
      </c>
      <c r="O42" s="23" t="s">
        <v>23</v>
      </c>
      <c r="P42" s="23" t="s">
        <v>23</v>
      </c>
      <c r="Q42" s="23" t="s">
        <v>23</v>
      </c>
      <c r="R42" s="23" t="s">
        <v>23</v>
      </c>
      <c r="S42" s="23" t="s">
        <v>24</v>
      </c>
      <c r="T42" s="37"/>
      <c r="U42" s="23" t="s">
        <v>24</v>
      </c>
      <c r="V42" s="23"/>
      <c r="W42" s="23" t="s">
        <v>24</v>
      </c>
      <c r="X42" s="23" t="s">
        <v>24</v>
      </c>
      <c r="Y42" s="23" t="s">
        <v>23</v>
      </c>
      <c r="Z42" s="23" t="s">
        <v>24</v>
      </c>
      <c r="AA42" s="37"/>
      <c r="AB42" s="23" t="s">
        <v>23</v>
      </c>
      <c r="AC42" s="23" t="s">
        <v>23</v>
      </c>
      <c r="AD42" s="23" t="s">
        <v>23</v>
      </c>
      <c r="AE42" s="23" t="s">
        <v>24</v>
      </c>
      <c r="AF42" s="23" t="s">
        <v>23</v>
      </c>
      <c r="AG42" s="23" t="s">
        <v>23</v>
      </c>
      <c r="AH42" s="37"/>
      <c r="AI42" s="23" t="s">
        <v>23</v>
      </c>
      <c r="AJ42" s="5">
        <f t="shared" si="1"/>
        <v>16</v>
      </c>
      <c r="AK42" s="5">
        <f t="shared" si="2"/>
        <v>8</v>
      </c>
    </row>
    <row r="43" spans="1:37" x14ac:dyDescent="0.25">
      <c r="A43" s="6">
        <v>39</v>
      </c>
      <c r="B43" s="24"/>
      <c r="C43" s="24" t="s">
        <v>87</v>
      </c>
      <c r="D43" s="24" t="s">
        <v>100</v>
      </c>
      <c r="E43" s="7" t="s">
        <v>27</v>
      </c>
      <c r="F43" s="37"/>
      <c r="G43" s="23" t="s">
        <v>23</v>
      </c>
      <c r="H43" s="23" t="s">
        <v>23</v>
      </c>
      <c r="I43" s="23" t="s">
        <v>23</v>
      </c>
      <c r="J43" s="23" t="s">
        <v>23</v>
      </c>
      <c r="K43" s="23" t="s">
        <v>23</v>
      </c>
      <c r="L43" s="23" t="s">
        <v>23</v>
      </c>
      <c r="M43" s="37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23</v>
      </c>
      <c r="T43" s="37"/>
      <c r="U43" s="23" t="s">
        <v>23</v>
      </c>
      <c r="V43" s="23"/>
      <c r="W43" s="23" t="s">
        <v>23</v>
      </c>
      <c r="X43" s="23" t="s">
        <v>23</v>
      </c>
      <c r="Y43" s="23" t="s">
        <v>23</v>
      </c>
      <c r="Z43" s="23" t="s">
        <v>23</v>
      </c>
      <c r="AA43" s="37"/>
      <c r="AB43" s="23" t="s">
        <v>23</v>
      </c>
      <c r="AC43" s="23" t="s">
        <v>23</v>
      </c>
      <c r="AD43" s="23" t="s">
        <v>23</v>
      </c>
      <c r="AE43" s="23" t="s">
        <v>23</v>
      </c>
      <c r="AF43" s="23" t="s">
        <v>23</v>
      </c>
      <c r="AG43" s="23" t="s">
        <v>23</v>
      </c>
      <c r="AH43" s="37"/>
      <c r="AI43" s="23" t="s">
        <v>23</v>
      </c>
      <c r="AJ43" s="5">
        <f t="shared" si="1"/>
        <v>24</v>
      </c>
      <c r="AK43" s="5">
        <f t="shared" si="2"/>
        <v>0</v>
      </c>
    </row>
    <row r="44" spans="1:37" x14ac:dyDescent="0.25">
      <c r="A44" s="8">
        <v>40</v>
      </c>
      <c r="B44" s="24">
        <v>850</v>
      </c>
      <c r="C44" s="24" t="s">
        <v>102</v>
      </c>
      <c r="D44" s="24" t="s">
        <v>103</v>
      </c>
      <c r="E44" s="7" t="s">
        <v>27</v>
      </c>
      <c r="F44" s="37"/>
      <c r="G44" s="23" t="s">
        <v>23</v>
      </c>
      <c r="H44" s="23" t="s">
        <v>23</v>
      </c>
      <c r="I44" s="23" t="s">
        <v>23</v>
      </c>
      <c r="J44" s="23" t="s">
        <v>23</v>
      </c>
      <c r="K44" s="23" t="s">
        <v>23</v>
      </c>
      <c r="L44" s="23" t="s">
        <v>23</v>
      </c>
      <c r="M44" s="37"/>
      <c r="N44" s="23" t="s">
        <v>23</v>
      </c>
      <c r="O44" s="23" t="s">
        <v>23</v>
      </c>
      <c r="P44" s="23" t="s">
        <v>23</v>
      </c>
      <c r="Q44" s="23" t="s">
        <v>23</v>
      </c>
      <c r="R44" s="23" t="s">
        <v>23</v>
      </c>
      <c r="S44" s="23" t="s">
        <v>23</v>
      </c>
      <c r="T44" s="37"/>
      <c r="U44" s="23" t="s">
        <v>23</v>
      </c>
      <c r="V44" s="23"/>
      <c r="W44" s="23" t="s">
        <v>23</v>
      </c>
      <c r="X44" s="23" t="s">
        <v>23</v>
      </c>
      <c r="Y44" s="23" t="s">
        <v>23</v>
      </c>
      <c r="Z44" s="23" t="s">
        <v>23</v>
      </c>
      <c r="AA44" s="37"/>
      <c r="AB44" s="23" t="s">
        <v>23</v>
      </c>
      <c r="AC44" s="23" t="s">
        <v>23</v>
      </c>
      <c r="AD44" s="23" t="s">
        <v>23</v>
      </c>
      <c r="AE44" s="23" t="s">
        <v>23</v>
      </c>
      <c r="AF44" s="23" t="s">
        <v>23</v>
      </c>
      <c r="AG44" s="23" t="s">
        <v>23</v>
      </c>
      <c r="AH44" s="37"/>
      <c r="AI44" s="23" t="s">
        <v>23</v>
      </c>
      <c r="AJ44" s="5">
        <f t="shared" si="1"/>
        <v>24</v>
      </c>
      <c r="AK44" s="5">
        <f t="shared" si="2"/>
        <v>0</v>
      </c>
    </row>
    <row r="45" spans="1:37" x14ac:dyDescent="0.25">
      <c r="A45" s="6">
        <v>41</v>
      </c>
      <c r="B45" s="24">
        <v>875</v>
      </c>
      <c r="C45" s="24" t="s">
        <v>104</v>
      </c>
      <c r="D45" s="24" t="s">
        <v>112</v>
      </c>
      <c r="E45" s="7" t="s">
        <v>27</v>
      </c>
      <c r="F45" s="37"/>
      <c r="G45" s="23" t="s">
        <v>23</v>
      </c>
      <c r="H45" s="23" t="s">
        <v>23</v>
      </c>
      <c r="I45" s="23" t="s">
        <v>23</v>
      </c>
      <c r="J45" s="23" t="s">
        <v>23</v>
      </c>
      <c r="K45" s="23" t="s">
        <v>23</v>
      </c>
      <c r="L45" s="23" t="s">
        <v>23</v>
      </c>
      <c r="M45" s="37"/>
      <c r="N45" s="23" t="s">
        <v>23</v>
      </c>
      <c r="O45" s="23" t="s">
        <v>23</v>
      </c>
      <c r="P45" s="23" t="s">
        <v>23</v>
      </c>
      <c r="Q45" s="23" t="s">
        <v>23</v>
      </c>
      <c r="R45" s="23" t="s">
        <v>23</v>
      </c>
      <c r="S45" s="23" t="s">
        <v>23</v>
      </c>
      <c r="T45" s="37"/>
      <c r="U45" s="23" t="s">
        <v>23</v>
      </c>
      <c r="V45" s="23"/>
      <c r="W45" s="23" t="s">
        <v>23</v>
      </c>
      <c r="X45" s="23" t="s">
        <v>23</v>
      </c>
      <c r="Y45" s="23" t="s">
        <v>23</v>
      </c>
      <c r="Z45" s="23" t="s">
        <v>23</v>
      </c>
      <c r="AA45" s="37"/>
      <c r="AB45" s="23" t="s">
        <v>23</v>
      </c>
      <c r="AC45" s="23" t="s">
        <v>23</v>
      </c>
      <c r="AD45" s="23" t="s">
        <v>23</v>
      </c>
      <c r="AE45" s="23" t="s">
        <v>23</v>
      </c>
      <c r="AF45" s="23" t="s">
        <v>23</v>
      </c>
      <c r="AG45" s="23" t="s">
        <v>23</v>
      </c>
      <c r="AH45" s="37"/>
      <c r="AI45" s="23" t="s">
        <v>23</v>
      </c>
      <c r="AJ45" s="5">
        <f t="shared" si="1"/>
        <v>24</v>
      </c>
      <c r="AK45" s="5">
        <f t="shared" si="2"/>
        <v>0</v>
      </c>
    </row>
    <row r="46" spans="1:37" x14ac:dyDescent="0.25">
      <c r="A46" s="8">
        <v>42</v>
      </c>
      <c r="B46" s="24">
        <v>880</v>
      </c>
      <c r="C46" s="24" t="s">
        <v>105</v>
      </c>
      <c r="D46" s="24" t="s">
        <v>106</v>
      </c>
      <c r="E46" s="7" t="s">
        <v>27</v>
      </c>
      <c r="F46" s="37"/>
      <c r="G46" s="23" t="s">
        <v>24</v>
      </c>
      <c r="H46" s="23" t="s">
        <v>24</v>
      </c>
      <c r="I46" s="23" t="s">
        <v>24</v>
      </c>
      <c r="J46" s="23" t="s">
        <v>23</v>
      </c>
      <c r="K46" s="23" t="s">
        <v>23</v>
      </c>
      <c r="L46" s="23" t="s">
        <v>23</v>
      </c>
      <c r="M46" s="37"/>
      <c r="N46" s="23" t="s">
        <v>23</v>
      </c>
      <c r="O46" s="23" t="s">
        <v>23</v>
      </c>
      <c r="P46" s="23" t="s">
        <v>23</v>
      </c>
      <c r="Q46" s="23" t="s">
        <v>23</v>
      </c>
      <c r="R46" s="23" t="s">
        <v>24</v>
      </c>
      <c r="S46" s="23" t="s">
        <v>24</v>
      </c>
      <c r="T46" s="37"/>
      <c r="U46" s="23" t="s">
        <v>23</v>
      </c>
      <c r="V46" s="23"/>
      <c r="W46" s="23" t="s">
        <v>23</v>
      </c>
      <c r="X46" s="23" t="s">
        <v>23</v>
      </c>
      <c r="Y46" s="23" t="s">
        <v>23</v>
      </c>
      <c r="Z46" s="23" t="s">
        <v>23</v>
      </c>
      <c r="AA46" s="37"/>
      <c r="AB46" s="23" t="s">
        <v>24</v>
      </c>
      <c r="AC46" s="23" t="s">
        <v>24</v>
      </c>
      <c r="AD46" s="23" t="s">
        <v>24</v>
      </c>
      <c r="AE46" s="23" t="s">
        <v>24</v>
      </c>
      <c r="AF46" s="23" t="s">
        <v>24</v>
      </c>
      <c r="AG46" s="23" t="s">
        <v>24</v>
      </c>
      <c r="AH46" s="37"/>
      <c r="AI46" s="23" t="s">
        <v>23</v>
      </c>
      <c r="AJ46" s="5">
        <f t="shared" si="1"/>
        <v>13</v>
      </c>
      <c r="AK46" s="5">
        <f t="shared" si="2"/>
        <v>11</v>
      </c>
    </row>
    <row r="47" spans="1:37" x14ac:dyDescent="0.25">
      <c r="A47" s="6">
        <v>43</v>
      </c>
      <c r="B47" s="24">
        <v>854</v>
      </c>
      <c r="C47" s="24" t="s">
        <v>107</v>
      </c>
      <c r="D47" s="24" t="s">
        <v>108</v>
      </c>
      <c r="E47" s="7" t="s">
        <v>27</v>
      </c>
      <c r="F47" s="37"/>
      <c r="G47" s="23" t="s">
        <v>24</v>
      </c>
      <c r="H47" s="23" t="s">
        <v>24</v>
      </c>
      <c r="I47" s="23" t="s">
        <v>24</v>
      </c>
      <c r="J47" s="23" t="s">
        <v>23</v>
      </c>
      <c r="K47" s="23" t="s">
        <v>23</v>
      </c>
      <c r="L47" s="23" t="s">
        <v>23</v>
      </c>
      <c r="M47" s="37"/>
      <c r="N47" s="23" t="s">
        <v>23</v>
      </c>
      <c r="O47" s="23" t="s">
        <v>23</v>
      </c>
      <c r="P47" s="23" t="s">
        <v>23</v>
      </c>
      <c r="Q47" s="23" t="s">
        <v>23</v>
      </c>
      <c r="R47" s="23" t="s">
        <v>23</v>
      </c>
      <c r="S47" s="23" t="s">
        <v>23</v>
      </c>
      <c r="T47" s="37"/>
      <c r="U47" s="23" t="s">
        <v>23</v>
      </c>
      <c r="V47" s="23"/>
      <c r="W47" s="23" t="s">
        <v>23</v>
      </c>
      <c r="X47" s="23" t="s">
        <v>23</v>
      </c>
      <c r="Y47" s="23" t="s">
        <v>23</v>
      </c>
      <c r="Z47" s="23" t="s">
        <v>23</v>
      </c>
      <c r="AA47" s="37"/>
      <c r="AB47" s="23" t="s">
        <v>23</v>
      </c>
      <c r="AC47" s="23" t="s">
        <v>23</v>
      </c>
      <c r="AD47" s="23" t="s">
        <v>23</v>
      </c>
      <c r="AE47" s="23" t="s">
        <v>23</v>
      </c>
      <c r="AF47" s="23" t="s">
        <v>23</v>
      </c>
      <c r="AG47" s="23" t="s">
        <v>23</v>
      </c>
      <c r="AH47" s="37"/>
      <c r="AI47" s="23" t="s">
        <v>23</v>
      </c>
      <c r="AJ47" s="5">
        <f t="shared" si="1"/>
        <v>21</v>
      </c>
      <c r="AK47" s="5">
        <f t="shared" si="2"/>
        <v>3</v>
      </c>
    </row>
    <row r="48" spans="1:37" x14ac:dyDescent="0.25">
      <c r="A48" s="8">
        <v>44</v>
      </c>
      <c r="B48" s="24"/>
      <c r="C48" s="24" t="s">
        <v>109</v>
      </c>
      <c r="D48" s="24" t="s">
        <v>110</v>
      </c>
      <c r="E48" s="7" t="s">
        <v>27</v>
      </c>
      <c r="F48" s="38"/>
      <c r="G48" s="23" t="s">
        <v>24</v>
      </c>
      <c r="H48" s="23" t="s">
        <v>24</v>
      </c>
      <c r="I48" s="23" t="s">
        <v>24</v>
      </c>
      <c r="J48" s="23" t="s">
        <v>24</v>
      </c>
      <c r="K48" s="23" t="s">
        <v>24</v>
      </c>
      <c r="L48" s="23" t="s">
        <v>24</v>
      </c>
      <c r="M48" s="38"/>
      <c r="N48" s="23" t="s">
        <v>24</v>
      </c>
      <c r="O48" s="23" t="s">
        <v>24</v>
      </c>
      <c r="P48" s="23" t="s">
        <v>23</v>
      </c>
      <c r="Q48" s="23" t="s">
        <v>24</v>
      </c>
      <c r="R48" s="23" t="s">
        <v>24</v>
      </c>
      <c r="S48" s="23" t="s">
        <v>24</v>
      </c>
      <c r="T48" s="38"/>
      <c r="U48" s="23" t="s">
        <v>24</v>
      </c>
      <c r="V48" s="23"/>
      <c r="W48" s="23" t="s">
        <v>24</v>
      </c>
      <c r="X48" s="23" t="s">
        <v>24</v>
      </c>
      <c r="Y48" s="23" t="s">
        <v>24</v>
      </c>
      <c r="Z48" s="23" t="s">
        <v>24</v>
      </c>
      <c r="AA48" s="38"/>
      <c r="AB48" s="23" t="s">
        <v>24</v>
      </c>
      <c r="AC48" s="23" t="s">
        <v>24</v>
      </c>
      <c r="AD48" s="23" t="s">
        <v>24</v>
      </c>
      <c r="AE48" s="23" t="s">
        <v>24</v>
      </c>
      <c r="AF48" s="23" t="s">
        <v>24</v>
      </c>
      <c r="AG48" s="23" t="s">
        <v>24</v>
      </c>
      <c r="AH48" s="38"/>
      <c r="AI48" s="23" t="s">
        <v>24</v>
      </c>
      <c r="AJ48" s="5">
        <f t="shared" si="1"/>
        <v>1</v>
      </c>
      <c r="AK48" s="5">
        <f t="shared" si="2"/>
        <v>23</v>
      </c>
    </row>
  </sheetData>
  <mergeCells count="17">
    <mergeCell ref="AH5:AH48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F5:F48"/>
    <mergeCell ref="M5:M48"/>
    <mergeCell ref="T5:T48"/>
    <mergeCell ref="AA5:AA48"/>
  </mergeCells>
  <phoneticPr fontId="10" type="noConversion"/>
  <conditionalFormatting sqref="B1:B28 B44:B1048576">
    <cfRule type="duplicateValues" dxfId="84" priority="3"/>
  </conditionalFormatting>
  <conditionalFormatting sqref="B5:B20">
    <cfRule type="duplicateValues" dxfId="83" priority="4"/>
    <cfRule type="duplicateValues" dxfId="82" priority="5"/>
  </conditionalFormatting>
  <conditionalFormatting sqref="B21:B28">
    <cfRule type="duplicateValues" dxfId="81" priority="6"/>
  </conditionalFormatting>
  <conditionalFormatting sqref="B29:B41">
    <cfRule type="duplicateValues" dxfId="80" priority="2"/>
  </conditionalFormatting>
  <conditionalFormatting sqref="B29:B43">
    <cfRule type="duplicateValues" dxfId="79" priority="1"/>
  </conditionalFormatting>
  <conditionalFormatting sqref="F3:AI4 G6:L48 N5:S48 F5:M5 U5:Z48 T5 AB5:AG48 AA5 AI5:AI48 AH5">
    <cfRule type="expression" dxfId="78" priority="17">
      <formula>F$3="Sun"</formula>
    </cfRule>
  </conditionalFormatting>
  <conditionalFormatting sqref="F4:AI4 G6:L48 N5:S48 F5:M5 U5:Z48 T5 AB5:AG48 AA5 AI5:AI48 AH5">
    <cfRule type="expression" dxfId="77" priority="16">
      <formula>IF(F$4=TODAY(),TRUE,FALSE)</formula>
    </cfRule>
  </conditionalFormatting>
  <conditionalFormatting sqref="G6:L48 N5:S48 F5:M5 U5:Z48 T5 AB5:AG48 AA5 AI5:AI48 AH5">
    <cfRule type="cellIs" dxfId="76" priority="13" operator="equal">
      <formula>"L"</formula>
    </cfRule>
    <cfRule type="cellIs" dxfId="75" priority="14" operator="equal">
      <formula>"A"</formula>
    </cfRule>
    <cfRule type="cellIs" dxfId="74" priority="15" operator="equal">
      <formula>"P"</formula>
    </cfRule>
  </conditionalFormatting>
  <conditionalFormatting sqref="AJ3:AK3 AJ5:AK48">
    <cfRule type="expression" dxfId="73" priority="18">
      <formula>#REF!="Sun"</formula>
    </cfRule>
  </conditionalFormatting>
  <conditionalFormatting sqref="AL5:AL6">
    <cfRule type="expression" dxfId="72" priority="11">
      <formula>#REF!="Sun"</formula>
    </cfRule>
  </conditionalFormatting>
  <conditionalFormatting sqref="AL9:AL12">
    <cfRule type="expression" dxfId="71" priority="9">
      <formula>#REF!="Sun"</formula>
    </cfRule>
  </conditionalFormatting>
  <conditionalFormatting sqref="AL17:AL20">
    <cfRule type="expression" dxfId="70" priority="8">
      <formula>#REF!="Sun"</formula>
    </cfRule>
  </conditionalFormatting>
  <conditionalFormatting sqref="AL4:AM4">
    <cfRule type="expression" dxfId="69" priority="12">
      <formula>#REF!="Sun"</formula>
    </cfRule>
  </conditionalFormatting>
  <conditionalFormatting sqref="AM9:AO9">
    <cfRule type="expression" dxfId="68" priority="10">
      <formula>#REF!="Sun"</formula>
    </cfRule>
  </conditionalFormatting>
  <conditionalFormatting sqref="AM17:AO17">
    <cfRule type="expression" dxfId="67" priority="7">
      <formula>#REF!="Sun"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48"/>
  <sheetViews>
    <sheetView topLeftCell="A4" zoomScale="90" zoomScaleNormal="90" workbookViewId="0">
      <selection activeCell="AF5" sqref="AF5:AF4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1:42" ht="17.25" x14ac:dyDescent="0.3">
      <c r="A2" s="32" t="s">
        <v>26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</row>
    <row r="3" spans="1:42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5" t="s">
        <v>5</v>
      </c>
      <c r="AL3" s="35" t="s">
        <v>6</v>
      </c>
      <c r="AM3" s="28" t="s">
        <v>20</v>
      </c>
      <c r="AN3" s="29"/>
      <c r="AO3" s="3"/>
      <c r="AP3" s="3"/>
    </row>
    <row r="4" spans="1:42" ht="34.5" x14ac:dyDescent="0.25">
      <c r="A4" s="34"/>
      <c r="B4" s="34"/>
      <c r="C4" s="34"/>
      <c r="D4" s="34"/>
      <c r="E4" s="34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5"/>
      <c r="AL4" s="35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36" t="s">
        <v>128</v>
      </c>
      <c r="L5" s="23" t="s">
        <v>23</v>
      </c>
      <c r="M5" s="23" t="s">
        <v>24</v>
      </c>
      <c r="N5" s="23" t="s">
        <v>23</v>
      </c>
      <c r="O5" s="23" t="s">
        <v>23</v>
      </c>
      <c r="P5" s="23" t="s">
        <v>23</v>
      </c>
      <c r="Q5" s="23"/>
      <c r="R5" s="36" t="s">
        <v>128</v>
      </c>
      <c r="S5" s="23" t="s">
        <v>23</v>
      </c>
      <c r="T5" s="23" t="s">
        <v>23</v>
      </c>
      <c r="U5" s="23" t="s">
        <v>23</v>
      </c>
      <c r="V5" s="23" t="s">
        <v>23</v>
      </c>
      <c r="W5" s="23" t="s">
        <v>23</v>
      </c>
      <c r="X5" s="23" t="s">
        <v>23</v>
      </c>
      <c r="Y5" s="36" t="s">
        <v>128</v>
      </c>
      <c r="Z5" s="23" t="s">
        <v>24</v>
      </c>
      <c r="AA5" s="23" t="s">
        <v>23</v>
      </c>
      <c r="AB5" s="23" t="s">
        <v>23</v>
      </c>
      <c r="AC5" s="23" t="s">
        <v>23</v>
      </c>
      <c r="AD5" s="23" t="s">
        <v>23</v>
      </c>
      <c r="AE5" s="23" t="s">
        <v>23</v>
      </c>
      <c r="AF5" s="36" t="s">
        <v>128</v>
      </c>
      <c r="AG5" s="23" t="s">
        <v>23</v>
      </c>
      <c r="AH5" s="23" t="s">
        <v>24</v>
      </c>
      <c r="AI5" s="23" t="s">
        <v>23</v>
      </c>
      <c r="AJ5" s="23" t="s">
        <v>23</v>
      </c>
      <c r="AK5" s="5">
        <f>COUNTIF(F5:AJ5,"P")</f>
        <v>23</v>
      </c>
      <c r="AL5" s="5">
        <f t="shared" ref="AL5:AL48" si="1">COUNTIF(F5:AI5,"A")</f>
        <v>3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23" t="s">
        <v>23</v>
      </c>
      <c r="G6" s="23" t="s">
        <v>24</v>
      </c>
      <c r="H6" s="23" t="s">
        <v>24</v>
      </c>
      <c r="I6" s="23" t="s">
        <v>24</v>
      </c>
      <c r="J6" s="23" t="s">
        <v>24</v>
      </c>
      <c r="K6" s="37"/>
      <c r="L6" s="23" t="s">
        <v>24</v>
      </c>
      <c r="M6" s="23" t="s">
        <v>23</v>
      </c>
      <c r="N6" s="23" t="s">
        <v>23</v>
      </c>
      <c r="O6" s="23" t="s">
        <v>25</v>
      </c>
      <c r="P6" s="23" t="s">
        <v>23</v>
      </c>
      <c r="Q6" s="23"/>
      <c r="R6" s="37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23</v>
      </c>
      <c r="X6" s="23" t="s">
        <v>24</v>
      </c>
      <c r="Y6" s="37"/>
      <c r="Z6" s="23" t="s">
        <v>23</v>
      </c>
      <c r="AA6" s="23" t="s">
        <v>23</v>
      </c>
      <c r="AB6" s="23" t="s">
        <v>24</v>
      </c>
      <c r="AC6" s="23" t="s">
        <v>23</v>
      </c>
      <c r="AD6" s="23" t="s">
        <v>23</v>
      </c>
      <c r="AE6" s="23" t="s">
        <v>23</v>
      </c>
      <c r="AF6" s="37"/>
      <c r="AG6" s="23" t="s">
        <v>23</v>
      </c>
      <c r="AH6" s="23" t="s">
        <v>23</v>
      </c>
      <c r="AI6" s="23" t="s">
        <v>23</v>
      </c>
      <c r="AJ6" s="23" t="s">
        <v>23</v>
      </c>
      <c r="AK6" s="5">
        <f t="shared" ref="AK6:AK48" si="2">COUNTIF(F6:AJ6,"P")</f>
        <v>18</v>
      </c>
      <c r="AL6" s="5">
        <f t="shared" si="1"/>
        <v>7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23" t="s">
        <v>23</v>
      </c>
      <c r="G7" s="23" t="s">
        <v>23</v>
      </c>
      <c r="H7" s="23" t="s">
        <v>23</v>
      </c>
      <c r="I7" s="23" t="s">
        <v>23</v>
      </c>
      <c r="J7" s="23" t="s">
        <v>23</v>
      </c>
      <c r="K7" s="37"/>
      <c r="L7" s="23" t="s">
        <v>23</v>
      </c>
      <c r="M7" s="23" t="s">
        <v>23</v>
      </c>
      <c r="N7" s="23" t="s">
        <v>23</v>
      </c>
      <c r="O7" s="23" t="s">
        <v>23</v>
      </c>
      <c r="P7" s="23" t="s">
        <v>23</v>
      </c>
      <c r="Q7" s="23"/>
      <c r="R7" s="37"/>
      <c r="S7" s="23" t="s">
        <v>23</v>
      </c>
      <c r="T7" s="23" t="s">
        <v>23</v>
      </c>
      <c r="U7" s="23" t="s">
        <v>23</v>
      </c>
      <c r="V7" s="23" t="s">
        <v>23</v>
      </c>
      <c r="W7" s="23" t="s">
        <v>23</v>
      </c>
      <c r="X7" s="23" t="s">
        <v>23</v>
      </c>
      <c r="Y7" s="37"/>
      <c r="Z7" s="23" t="s">
        <v>23</v>
      </c>
      <c r="AA7" s="23" t="s">
        <v>23</v>
      </c>
      <c r="AB7" s="23" t="s">
        <v>23</v>
      </c>
      <c r="AC7" s="23" t="s">
        <v>23</v>
      </c>
      <c r="AD7" s="23" t="s">
        <v>23</v>
      </c>
      <c r="AE7" s="23" t="s">
        <v>23</v>
      </c>
      <c r="AF7" s="37"/>
      <c r="AG7" s="23" t="s">
        <v>23</v>
      </c>
      <c r="AH7" s="23" t="s">
        <v>23</v>
      </c>
      <c r="AI7" s="23" t="s">
        <v>23</v>
      </c>
      <c r="AJ7" s="23" t="s">
        <v>23</v>
      </c>
      <c r="AK7" s="5">
        <f t="shared" si="2"/>
        <v>26</v>
      </c>
      <c r="AL7" s="5">
        <f t="shared" si="1"/>
        <v>0</v>
      </c>
      <c r="AM7" s="3"/>
      <c r="AN7" s="3"/>
      <c r="AO7" s="3"/>
      <c r="AP7" s="3"/>
    </row>
    <row r="8" spans="1:42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23" t="s">
        <v>23</v>
      </c>
      <c r="G8" s="23" t="s">
        <v>23</v>
      </c>
      <c r="H8" s="23" t="s">
        <v>23</v>
      </c>
      <c r="I8" s="23" t="s">
        <v>23</v>
      </c>
      <c r="J8" s="23" t="s">
        <v>23</v>
      </c>
      <c r="K8" s="37"/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  <c r="Q8" s="23"/>
      <c r="R8" s="37"/>
      <c r="S8" s="23" t="s">
        <v>23</v>
      </c>
      <c r="T8" s="23" t="s">
        <v>23</v>
      </c>
      <c r="U8" s="23" t="s">
        <v>23</v>
      </c>
      <c r="V8" s="23" t="s">
        <v>23</v>
      </c>
      <c r="W8" s="23" t="s">
        <v>23</v>
      </c>
      <c r="X8" s="23" t="s">
        <v>23</v>
      </c>
      <c r="Y8" s="37"/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23</v>
      </c>
      <c r="AF8" s="37"/>
      <c r="AG8" s="23" t="s">
        <v>23</v>
      </c>
      <c r="AH8" s="23" t="s">
        <v>23</v>
      </c>
      <c r="AI8" s="23" t="s">
        <v>23</v>
      </c>
      <c r="AJ8" s="23" t="s">
        <v>23</v>
      </c>
      <c r="AK8" s="5">
        <f t="shared" si="2"/>
        <v>26</v>
      </c>
      <c r="AL8" s="5">
        <f t="shared" si="1"/>
        <v>0</v>
      </c>
      <c r="AM8" s="28" t="s">
        <v>11</v>
      </c>
      <c r="AN8" s="29"/>
      <c r="AO8" s="29"/>
      <c r="AP8" s="30"/>
    </row>
    <row r="9" spans="1:42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23" t="s">
        <v>23</v>
      </c>
      <c r="G9" s="23" t="s">
        <v>23</v>
      </c>
      <c r="H9" s="23" t="s">
        <v>23</v>
      </c>
      <c r="I9" s="23" t="s">
        <v>23</v>
      </c>
      <c r="J9" s="23" t="s">
        <v>23</v>
      </c>
      <c r="K9" s="37"/>
      <c r="L9" s="23" t="s">
        <v>23</v>
      </c>
      <c r="M9" s="23" t="s">
        <v>23</v>
      </c>
      <c r="N9" s="23" t="s">
        <v>24</v>
      </c>
      <c r="O9" s="23" t="s">
        <v>23</v>
      </c>
      <c r="P9" s="23" t="s">
        <v>23</v>
      </c>
      <c r="Q9" s="23"/>
      <c r="R9" s="37"/>
      <c r="S9" s="23" t="s">
        <v>23</v>
      </c>
      <c r="T9" s="23" t="s">
        <v>23</v>
      </c>
      <c r="U9" s="23" t="s">
        <v>23</v>
      </c>
      <c r="V9" s="23" t="s">
        <v>23</v>
      </c>
      <c r="W9" s="23" t="s">
        <v>23</v>
      </c>
      <c r="X9" s="23" t="s">
        <v>23</v>
      </c>
      <c r="Y9" s="37"/>
      <c r="Z9" s="23" t="s">
        <v>23</v>
      </c>
      <c r="AA9" s="23" t="s">
        <v>23</v>
      </c>
      <c r="AB9" s="23" t="s">
        <v>23</v>
      </c>
      <c r="AC9" s="23" t="s">
        <v>23</v>
      </c>
      <c r="AD9" s="23" t="s">
        <v>23</v>
      </c>
      <c r="AE9" s="23" t="s">
        <v>23</v>
      </c>
      <c r="AF9" s="37"/>
      <c r="AG9" s="23" t="s">
        <v>23</v>
      </c>
      <c r="AH9" s="23" t="s">
        <v>23</v>
      </c>
      <c r="AI9" s="23" t="s">
        <v>23</v>
      </c>
      <c r="AJ9" s="23" t="s">
        <v>23</v>
      </c>
      <c r="AK9" s="5">
        <f t="shared" si="2"/>
        <v>25</v>
      </c>
      <c r="AL9" s="5">
        <f t="shared" si="1"/>
        <v>1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23" t="s">
        <v>23</v>
      </c>
      <c r="G10" s="23" t="s">
        <v>23</v>
      </c>
      <c r="H10" s="23" t="s">
        <v>23</v>
      </c>
      <c r="I10" s="23" t="s">
        <v>23</v>
      </c>
      <c r="J10" s="23" t="s">
        <v>23</v>
      </c>
      <c r="K10" s="37"/>
      <c r="L10" s="23" t="s">
        <v>23</v>
      </c>
      <c r="M10" s="23" t="s">
        <v>24</v>
      </c>
      <c r="N10" s="23" t="s">
        <v>23</v>
      </c>
      <c r="O10" s="23" t="s">
        <v>23</v>
      </c>
      <c r="P10" s="23" t="s">
        <v>23</v>
      </c>
      <c r="Q10" s="23"/>
      <c r="R10" s="37"/>
      <c r="S10" s="23" t="s">
        <v>23</v>
      </c>
      <c r="T10" s="23" t="s">
        <v>24</v>
      </c>
      <c r="U10" s="23" t="s">
        <v>23</v>
      </c>
      <c r="V10" s="23" t="s">
        <v>23</v>
      </c>
      <c r="W10" s="23" t="s">
        <v>23</v>
      </c>
      <c r="X10" s="23" t="s">
        <v>23</v>
      </c>
      <c r="Y10" s="37"/>
      <c r="Z10" s="23" t="s">
        <v>24</v>
      </c>
      <c r="AA10" s="23" t="s">
        <v>23</v>
      </c>
      <c r="AB10" s="23" t="s">
        <v>23</v>
      </c>
      <c r="AC10" s="23" t="s">
        <v>23</v>
      </c>
      <c r="AD10" s="23" t="s">
        <v>23</v>
      </c>
      <c r="AE10" s="23" t="s">
        <v>24</v>
      </c>
      <c r="AF10" s="37"/>
      <c r="AG10" s="23" t="s">
        <v>23</v>
      </c>
      <c r="AH10" s="23" t="s">
        <v>24</v>
      </c>
      <c r="AI10" s="23" t="s">
        <v>23</v>
      </c>
      <c r="AJ10" s="23" t="s">
        <v>23</v>
      </c>
      <c r="AK10" s="5">
        <f t="shared" si="2"/>
        <v>21</v>
      </c>
      <c r="AL10" s="5">
        <f t="shared" si="1"/>
        <v>5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23" t="s">
        <v>23</v>
      </c>
      <c r="G11" s="23" t="s">
        <v>23</v>
      </c>
      <c r="H11" s="23" t="s">
        <v>23</v>
      </c>
      <c r="I11" s="23" t="s">
        <v>23</v>
      </c>
      <c r="J11" s="23" t="s">
        <v>23</v>
      </c>
      <c r="K11" s="37"/>
      <c r="L11" s="23" t="s">
        <v>23</v>
      </c>
      <c r="M11" s="23" t="s">
        <v>23</v>
      </c>
      <c r="N11" s="23" t="s">
        <v>23</v>
      </c>
      <c r="O11" s="23" t="s">
        <v>23</v>
      </c>
      <c r="P11" s="23" t="s">
        <v>23</v>
      </c>
      <c r="Q11" s="23"/>
      <c r="R11" s="37"/>
      <c r="S11" s="23" t="s">
        <v>25</v>
      </c>
      <c r="T11" s="23" t="s">
        <v>23</v>
      </c>
      <c r="U11" s="23" t="s">
        <v>23</v>
      </c>
      <c r="V11" s="23" t="s">
        <v>23</v>
      </c>
      <c r="W11" s="23" t="s">
        <v>23</v>
      </c>
      <c r="X11" s="23" t="s">
        <v>23</v>
      </c>
      <c r="Y11" s="37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23</v>
      </c>
      <c r="AE11" s="23" t="s">
        <v>23</v>
      </c>
      <c r="AF11" s="37"/>
      <c r="AG11" s="23" t="s">
        <v>23</v>
      </c>
      <c r="AH11" s="23" t="s">
        <v>23</v>
      </c>
      <c r="AI11" s="23" t="s">
        <v>23</v>
      </c>
      <c r="AJ11" s="23" t="s">
        <v>23</v>
      </c>
      <c r="AK11" s="5">
        <f t="shared" si="2"/>
        <v>25</v>
      </c>
      <c r="AL11" s="5">
        <f t="shared" si="1"/>
        <v>0</v>
      </c>
      <c r="AM11" s="5" t="s">
        <v>17</v>
      </c>
      <c r="AN11" s="8">
        <f>AK31+AK32+AK35++AK44</f>
        <v>84</v>
      </c>
      <c r="AO11" s="8">
        <f>AK30+AK33+AK34+AK36+AK37+AK38+AK39+AK40+AK41+AK42+AK43+AK45+AK46</f>
        <v>284</v>
      </c>
      <c r="AP11" s="8">
        <f>AN11+AO11</f>
        <v>368</v>
      </c>
    </row>
    <row r="12" spans="1:42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23" t="s">
        <v>23</v>
      </c>
      <c r="G12" s="23" t="s">
        <v>23</v>
      </c>
      <c r="H12" s="23" t="s">
        <v>23</v>
      </c>
      <c r="I12" s="23" t="s">
        <v>23</v>
      </c>
      <c r="J12" s="23" t="s">
        <v>23</v>
      </c>
      <c r="K12" s="37"/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23</v>
      </c>
      <c r="Q12" s="23"/>
      <c r="R12" s="37"/>
      <c r="S12" s="23" t="s">
        <v>23</v>
      </c>
      <c r="T12" s="23" t="s">
        <v>23</v>
      </c>
      <c r="U12" s="23" t="s">
        <v>23</v>
      </c>
      <c r="V12" s="23" t="s">
        <v>23</v>
      </c>
      <c r="W12" s="23" t="s">
        <v>23</v>
      </c>
      <c r="X12" s="23" t="s">
        <v>23</v>
      </c>
      <c r="Y12" s="37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23</v>
      </c>
      <c r="AE12" s="23" t="s">
        <v>23</v>
      </c>
      <c r="AF12" s="37"/>
      <c r="AG12" s="23" t="s">
        <v>23</v>
      </c>
      <c r="AH12" s="23" t="s">
        <v>23</v>
      </c>
      <c r="AI12" s="23" t="s">
        <v>23</v>
      </c>
      <c r="AJ12" s="23" t="s">
        <v>23</v>
      </c>
      <c r="AK12" s="5">
        <f t="shared" si="2"/>
        <v>26</v>
      </c>
      <c r="AL12" s="5">
        <f t="shared" si="1"/>
        <v>0</v>
      </c>
      <c r="AM12" s="5" t="s">
        <v>18</v>
      </c>
      <c r="AN12" s="8">
        <f>AN11/AN10</f>
        <v>0.17004048582995951</v>
      </c>
      <c r="AO12" s="8">
        <f>AO11/AO10</f>
        <v>0.52014652014652019</v>
      </c>
      <c r="AP12" s="8">
        <f>AP11/AP10</f>
        <v>0.35384615384615387</v>
      </c>
    </row>
    <row r="13" spans="1:42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37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23"/>
      <c r="R13" s="37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37"/>
      <c r="Z13" s="23" t="s">
        <v>23</v>
      </c>
      <c r="AA13" s="23" t="s">
        <v>23</v>
      </c>
      <c r="AB13" s="23" t="s">
        <v>23</v>
      </c>
      <c r="AC13" s="23" t="s">
        <v>23</v>
      </c>
      <c r="AD13" s="23" t="s">
        <v>23</v>
      </c>
      <c r="AE13" s="23" t="s">
        <v>23</v>
      </c>
      <c r="AF13" s="37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26</v>
      </c>
      <c r="AL13" s="5">
        <f t="shared" si="1"/>
        <v>0</v>
      </c>
      <c r="AM13" s="3"/>
      <c r="AN13" s="11"/>
      <c r="AO13" s="11"/>
      <c r="AP13" s="11"/>
    </row>
    <row r="14" spans="1:42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23</v>
      </c>
      <c r="K14" s="37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24</v>
      </c>
      <c r="Q14" s="23"/>
      <c r="R14" s="37"/>
      <c r="S14" s="23" t="s">
        <v>24</v>
      </c>
      <c r="T14" s="23" t="s">
        <v>23</v>
      </c>
      <c r="U14" s="23" t="s">
        <v>23</v>
      </c>
      <c r="V14" s="23" t="s">
        <v>23</v>
      </c>
      <c r="W14" s="23" t="s">
        <v>23</v>
      </c>
      <c r="X14" s="23" t="s">
        <v>23</v>
      </c>
      <c r="Y14" s="37"/>
      <c r="Z14" s="23" t="s">
        <v>23</v>
      </c>
      <c r="AA14" s="23" t="s">
        <v>23</v>
      </c>
      <c r="AB14" s="23" t="s">
        <v>23</v>
      </c>
      <c r="AC14" s="23" t="s">
        <v>23</v>
      </c>
      <c r="AD14" s="23" t="s">
        <v>23</v>
      </c>
      <c r="AE14" s="23" t="s">
        <v>23</v>
      </c>
      <c r="AF14" s="37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24</v>
      </c>
      <c r="AL14" s="5">
        <f t="shared" si="1"/>
        <v>2</v>
      </c>
      <c r="AM14" s="12"/>
      <c r="AN14" s="12"/>
      <c r="AO14" s="12"/>
      <c r="AP14" s="12"/>
    </row>
    <row r="15" spans="1:42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23" t="s">
        <v>23</v>
      </c>
      <c r="G15" s="23" t="s">
        <v>23</v>
      </c>
      <c r="H15" s="23" t="s">
        <v>23</v>
      </c>
      <c r="I15" s="23" t="s">
        <v>23</v>
      </c>
      <c r="J15" s="23" t="s">
        <v>23</v>
      </c>
      <c r="K15" s="37"/>
      <c r="L15" s="23" t="s">
        <v>23</v>
      </c>
      <c r="M15" s="23" t="s">
        <v>23</v>
      </c>
      <c r="N15" s="23" t="s">
        <v>23</v>
      </c>
      <c r="O15" s="23" t="s">
        <v>23</v>
      </c>
      <c r="P15" s="23" t="s">
        <v>23</v>
      </c>
      <c r="Q15" s="23"/>
      <c r="R15" s="37"/>
      <c r="S15" s="23" t="s">
        <v>23</v>
      </c>
      <c r="T15" s="23" t="s">
        <v>23</v>
      </c>
      <c r="U15" s="23" t="s">
        <v>23</v>
      </c>
      <c r="V15" s="23" t="s">
        <v>23</v>
      </c>
      <c r="W15" s="23" t="s">
        <v>23</v>
      </c>
      <c r="X15" s="23" t="s">
        <v>23</v>
      </c>
      <c r="Y15" s="37"/>
      <c r="Z15" s="23" t="s">
        <v>23</v>
      </c>
      <c r="AA15" s="23" t="s">
        <v>23</v>
      </c>
      <c r="AB15" s="23" t="s">
        <v>23</v>
      </c>
      <c r="AC15" s="23" t="s">
        <v>23</v>
      </c>
      <c r="AD15" s="23" t="s">
        <v>23</v>
      </c>
      <c r="AE15" s="23" t="s">
        <v>23</v>
      </c>
      <c r="AF15" s="37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26</v>
      </c>
      <c r="AL15" s="5">
        <f t="shared" si="1"/>
        <v>0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23" t="s">
        <v>23</v>
      </c>
      <c r="G16" s="23" t="s">
        <v>23</v>
      </c>
      <c r="H16" s="23" t="s">
        <v>23</v>
      </c>
      <c r="I16" s="23" t="s">
        <v>23</v>
      </c>
      <c r="J16" s="23" t="s">
        <v>23</v>
      </c>
      <c r="K16" s="37"/>
      <c r="L16" s="23" t="s">
        <v>24</v>
      </c>
      <c r="M16" s="23" t="s">
        <v>24</v>
      </c>
      <c r="N16" s="23" t="s">
        <v>23</v>
      </c>
      <c r="O16" s="23" t="s">
        <v>23</v>
      </c>
      <c r="P16" s="23" t="s">
        <v>23</v>
      </c>
      <c r="Q16" s="23"/>
      <c r="R16" s="37"/>
      <c r="S16" s="23" t="s">
        <v>23</v>
      </c>
      <c r="T16" s="23" t="s">
        <v>23</v>
      </c>
      <c r="U16" s="23" t="s">
        <v>23</v>
      </c>
      <c r="V16" s="23" t="s">
        <v>23</v>
      </c>
      <c r="W16" s="23" t="s">
        <v>23</v>
      </c>
      <c r="X16" s="23" t="s">
        <v>23</v>
      </c>
      <c r="Y16" s="37"/>
      <c r="Z16" s="23" t="s">
        <v>23</v>
      </c>
      <c r="AA16" s="23" t="s">
        <v>23</v>
      </c>
      <c r="AB16" s="23" t="s">
        <v>23</v>
      </c>
      <c r="AC16" s="23" t="s">
        <v>24</v>
      </c>
      <c r="AD16" s="23" t="s">
        <v>23</v>
      </c>
      <c r="AE16" s="23" t="s">
        <v>23</v>
      </c>
      <c r="AF16" s="37"/>
      <c r="AG16" s="23" t="s">
        <v>23</v>
      </c>
      <c r="AH16" s="23" t="s">
        <v>23</v>
      </c>
      <c r="AI16" s="23" t="s">
        <v>23</v>
      </c>
      <c r="AJ16" s="23" t="s">
        <v>23</v>
      </c>
      <c r="AK16" s="5">
        <f t="shared" si="2"/>
        <v>23</v>
      </c>
      <c r="AL16" s="5">
        <f t="shared" si="1"/>
        <v>3</v>
      </c>
      <c r="AM16" s="28" t="s">
        <v>6</v>
      </c>
      <c r="AN16" s="29"/>
      <c r="AO16" s="29"/>
      <c r="AP16" s="30"/>
    </row>
    <row r="17" spans="1:42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23" t="s">
        <v>23</v>
      </c>
      <c r="G17" s="23" t="s">
        <v>23</v>
      </c>
      <c r="H17" s="23" t="s">
        <v>23</v>
      </c>
      <c r="I17" s="23" t="s">
        <v>23</v>
      </c>
      <c r="J17" s="23" t="s">
        <v>23</v>
      </c>
      <c r="K17" s="37"/>
      <c r="L17" s="23" t="s">
        <v>23</v>
      </c>
      <c r="M17" s="23" t="s">
        <v>23</v>
      </c>
      <c r="N17" s="23" t="s">
        <v>23</v>
      </c>
      <c r="O17" s="23" t="s">
        <v>23</v>
      </c>
      <c r="P17" s="23" t="s">
        <v>23</v>
      </c>
      <c r="Q17" s="23"/>
      <c r="R17" s="37"/>
      <c r="S17" s="23" t="s">
        <v>23</v>
      </c>
      <c r="T17" s="23" t="s">
        <v>23</v>
      </c>
      <c r="U17" s="23" t="s">
        <v>23</v>
      </c>
      <c r="V17" s="23" t="s">
        <v>23</v>
      </c>
      <c r="W17" s="23" t="s">
        <v>23</v>
      </c>
      <c r="X17" s="23" t="s">
        <v>23</v>
      </c>
      <c r="Y17" s="37"/>
      <c r="Z17" s="23" t="s">
        <v>23</v>
      </c>
      <c r="AA17" s="23" t="s">
        <v>23</v>
      </c>
      <c r="AB17" s="23" t="s">
        <v>23</v>
      </c>
      <c r="AC17" s="23" t="s">
        <v>23</v>
      </c>
      <c r="AD17" s="23" t="s">
        <v>23</v>
      </c>
      <c r="AE17" s="23" t="s">
        <v>23</v>
      </c>
      <c r="AF17" s="37"/>
      <c r="AG17" s="23" t="s">
        <v>23</v>
      </c>
      <c r="AH17" s="23" t="s">
        <v>23</v>
      </c>
      <c r="AI17" s="23" t="s">
        <v>23</v>
      </c>
      <c r="AJ17" s="23" t="s">
        <v>23</v>
      </c>
      <c r="AK17" s="5">
        <f t="shared" si="2"/>
        <v>26</v>
      </c>
      <c r="AL17" s="5">
        <f t="shared" si="1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23" t="s">
        <v>23</v>
      </c>
      <c r="G18" s="23" t="s">
        <v>23</v>
      </c>
      <c r="H18" s="23" t="s">
        <v>23</v>
      </c>
      <c r="I18" s="23" t="s">
        <v>23</v>
      </c>
      <c r="J18" s="23" t="s">
        <v>23</v>
      </c>
      <c r="K18" s="37"/>
      <c r="L18" s="23" t="s">
        <v>23</v>
      </c>
      <c r="M18" s="23" t="s">
        <v>23</v>
      </c>
      <c r="N18" s="23" t="s">
        <v>23</v>
      </c>
      <c r="O18" s="23" t="s">
        <v>23</v>
      </c>
      <c r="P18" s="23" t="s">
        <v>23</v>
      </c>
      <c r="Q18" s="23"/>
      <c r="R18" s="37"/>
      <c r="S18" s="23" t="s">
        <v>23</v>
      </c>
      <c r="T18" s="23" t="s">
        <v>23</v>
      </c>
      <c r="U18" s="23" t="s">
        <v>23</v>
      </c>
      <c r="V18" s="23" t="s">
        <v>23</v>
      </c>
      <c r="W18" s="23" t="s">
        <v>23</v>
      </c>
      <c r="X18" s="23" t="s">
        <v>23</v>
      </c>
      <c r="Y18" s="37"/>
      <c r="Z18" s="23" t="s">
        <v>23</v>
      </c>
      <c r="AA18" s="23" t="s">
        <v>23</v>
      </c>
      <c r="AB18" s="23" t="s">
        <v>23</v>
      </c>
      <c r="AC18" s="23" t="s">
        <v>23</v>
      </c>
      <c r="AD18" s="23" t="s">
        <v>23</v>
      </c>
      <c r="AE18" s="23" t="s">
        <v>23</v>
      </c>
      <c r="AF18" s="37"/>
      <c r="AG18" s="23" t="s">
        <v>23</v>
      </c>
      <c r="AH18" s="23" t="s">
        <v>23</v>
      </c>
      <c r="AI18" s="23" t="s">
        <v>23</v>
      </c>
      <c r="AJ18" s="23" t="s">
        <v>23</v>
      </c>
      <c r="AK18" s="5">
        <f t="shared" si="2"/>
        <v>26</v>
      </c>
      <c r="AL18" s="5">
        <f t="shared" si="1"/>
        <v>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23" t="s">
        <v>23</v>
      </c>
      <c r="G19" s="23" t="s">
        <v>23</v>
      </c>
      <c r="H19" s="23" t="s">
        <v>24</v>
      </c>
      <c r="I19" s="23" t="s">
        <v>23</v>
      </c>
      <c r="J19" s="23" t="s">
        <v>24</v>
      </c>
      <c r="K19" s="37"/>
      <c r="L19" s="23" t="s">
        <v>23</v>
      </c>
      <c r="M19" s="23" t="s">
        <v>23</v>
      </c>
      <c r="N19" s="23" t="s">
        <v>23</v>
      </c>
      <c r="O19" s="23" t="s">
        <v>24</v>
      </c>
      <c r="P19" s="23" t="s">
        <v>23</v>
      </c>
      <c r="Q19" s="23"/>
      <c r="R19" s="37"/>
      <c r="S19" s="23" t="s">
        <v>23</v>
      </c>
      <c r="T19" s="23" t="s">
        <v>24</v>
      </c>
      <c r="U19" s="23" t="s">
        <v>23</v>
      </c>
      <c r="V19" s="23" t="s">
        <v>23</v>
      </c>
      <c r="W19" s="23" t="s">
        <v>23</v>
      </c>
      <c r="X19" s="23" t="s">
        <v>24</v>
      </c>
      <c r="Y19" s="37"/>
      <c r="Z19" s="23" t="s">
        <v>23</v>
      </c>
      <c r="AA19" s="23" t="s">
        <v>23</v>
      </c>
      <c r="AB19" s="23" t="s">
        <v>23</v>
      </c>
      <c r="AC19" s="23" t="s">
        <v>23</v>
      </c>
      <c r="AD19" s="23" t="s">
        <v>23</v>
      </c>
      <c r="AE19" s="23" t="s">
        <v>23</v>
      </c>
      <c r="AF19" s="37"/>
      <c r="AG19" s="23" t="s">
        <v>23</v>
      </c>
      <c r="AH19" s="23" t="s">
        <v>23</v>
      </c>
      <c r="AI19" s="23" t="s">
        <v>23</v>
      </c>
      <c r="AJ19" s="23" t="s">
        <v>23</v>
      </c>
      <c r="AK19" s="5">
        <f t="shared" si="2"/>
        <v>21</v>
      </c>
      <c r="AL19" s="5">
        <f t="shared" si="1"/>
        <v>5</v>
      </c>
      <c r="AM19" s="5" t="s">
        <v>19</v>
      </c>
      <c r="AN19" s="8">
        <f>AN18-AN11</f>
        <v>410</v>
      </c>
      <c r="AO19" s="8">
        <f>AO18-AO11</f>
        <v>262</v>
      </c>
      <c r="AP19" s="8">
        <f>AN19+AO19</f>
        <v>672</v>
      </c>
    </row>
    <row r="20" spans="1:42" x14ac:dyDescent="0.25">
      <c r="A20" s="8">
        <v>16</v>
      </c>
      <c r="B20" s="10"/>
      <c r="C20" s="17" t="s">
        <v>90</v>
      </c>
      <c r="D20" s="16" t="s">
        <v>57</v>
      </c>
      <c r="E20" s="7" t="s">
        <v>27</v>
      </c>
      <c r="F20" s="23" t="s">
        <v>23</v>
      </c>
      <c r="G20" s="23" t="s">
        <v>23</v>
      </c>
      <c r="H20" s="23" t="s">
        <v>23</v>
      </c>
      <c r="I20" s="23" t="s">
        <v>23</v>
      </c>
      <c r="J20" s="23" t="s">
        <v>23</v>
      </c>
      <c r="K20" s="37"/>
      <c r="L20" s="23" t="s">
        <v>23</v>
      </c>
      <c r="M20" s="23" t="s">
        <v>23</v>
      </c>
      <c r="N20" s="23" t="s">
        <v>23</v>
      </c>
      <c r="O20" s="23" t="s">
        <v>24</v>
      </c>
      <c r="P20" s="23" t="s">
        <v>23</v>
      </c>
      <c r="Q20" s="23"/>
      <c r="R20" s="37"/>
      <c r="S20" s="23" t="s">
        <v>23</v>
      </c>
      <c r="T20" s="23" t="s">
        <v>24</v>
      </c>
      <c r="U20" s="23" t="s">
        <v>24</v>
      </c>
      <c r="V20" s="23" t="s">
        <v>24</v>
      </c>
      <c r="W20" s="23" t="s">
        <v>24</v>
      </c>
      <c r="X20" s="23" t="s">
        <v>24</v>
      </c>
      <c r="Y20" s="37"/>
      <c r="Z20" s="23" t="s">
        <v>23</v>
      </c>
      <c r="AA20" s="23" t="s">
        <v>24</v>
      </c>
      <c r="AB20" s="23" t="s">
        <v>24</v>
      </c>
      <c r="AC20" s="23" t="s">
        <v>24</v>
      </c>
      <c r="AD20" s="23" t="s">
        <v>24</v>
      </c>
      <c r="AE20" s="23" t="s">
        <v>24</v>
      </c>
      <c r="AF20" s="37"/>
      <c r="AG20" s="23" t="s">
        <v>24</v>
      </c>
      <c r="AH20" s="23" t="s">
        <v>24</v>
      </c>
      <c r="AI20" s="23" t="s">
        <v>24</v>
      </c>
      <c r="AJ20" s="23" t="s">
        <v>24</v>
      </c>
      <c r="AK20" s="5">
        <f t="shared" si="2"/>
        <v>11</v>
      </c>
      <c r="AL20" s="5">
        <f t="shared" si="1"/>
        <v>14</v>
      </c>
      <c r="AM20" s="5" t="s">
        <v>15</v>
      </c>
      <c r="AN20" s="13">
        <f>AN19/AN18</f>
        <v>0.82995951417004044</v>
      </c>
      <c r="AO20" s="13">
        <f>AO19/AO18</f>
        <v>0.47985347985347987</v>
      </c>
      <c r="AP20" s="13">
        <f>AP19/AP18</f>
        <v>0.64615384615384619</v>
      </c>
    </row>
    <row r="21" spans="1:42" x14ac:dyDescent="0.25">
      <c r="A21" s="6">
        <v>17</v>
      </c>
      <c r="B21" s="10"/>
      <c r="C21" s="17" t="s">
        <v>36</v>
      </c>
      <c r="D21" s="16" t="s">
        <v>111</v>
      </c>
      <c r="E21" s="7" t="s">
        <v>27</v>
      </c>
      <c r="F21" s="23" t="s">
        <v>23</v>
      </c>
      <c r="G21" s="23" t="s">
        <v>23</v>
      </c>
      <c r="H21" s="23" t="s">
        <v>23</v>
      </c>
      <c r="I21" s="23" t="s">
        <v>23</v>
      </c>
      <c r="J21" s="23" t="s">
        <v>23</v>
      </c>
      <c r="K21" s="37"/>
      <c r="L21" s="23" t="s">
        <v>23</v>
      </c>
      <c r="M21" s="23" t="s">
        <v>23</v>
      </c>
      <c r="N21" s="23" t="s">
        <v>23</v>
      </c>
      <c r="O21" s="23" t="s">
        <v>23</v>
      </c>
      <c r="P21" s="23" t="s">
        <v>23</v>
      </c>
      <c r="Q21" s="23"/>
      <c r="R21" s="37"/>
      <c r="S21" s="23" t="s">
        <v>23</v>
      </c>
      <c r="T21" s="23" t="s">
        <v>23</v>
      </c>
      <c r="U21" s="23" t="s">
        <v>23</v>
      </c>
      <c r="V21" s="23" t="s">
        <v>23</v>
      </c>
      <c r="W21" s="23" t="s">
        <v>23</v>
      </c>
      <c r="X21" s="23" t="s">
        <v>23</v>
      </c>
      <c r="Y21" s="37"/>
      <c r="Z21" s="23" t="s">
        <v>23</v>
      </c>
      <c r="AA21" s="23" t="s">
        <v>23</v>
      </c>
      <c r="AB21" s="23" t="s">
        <v>23</v>
      </c>
      <c r="AC21" s="23" t="s">
        <v>23</v>
      </c>
      <c r="AD21" s="23" t="s">
        <v>23</v>
      </c>
      <c r="AE21" s="23" t="s">
        <v>23</v>
      </c>
      <c r="AF21" s="37"/>
      <c r="AG21" s="23" t="s">
        <v>23</v>
      </c>
      <c r="AH21" s="23" t="s">
        <v>23</v>
      </c>
      <c r="AI21" s="23" t="s">
        <v>23</v>
      </c>
      <c r="AJ21" s="23" t="s">
        <v>23</v>
      </c>
      <c r="AK21" s="5">
        <f t="shared" si="2"/>
        <v>26</v>
      </c>
      <c r="AL21" s="5">
        <f t="shared" si="1"/>
        <v>0</v>
      </c>
    </row>
    <row r="22" spans="1:42" x14ac:dyDescent="0.25">
      <c r="A22" s="8">
        <v>18</v>
      </c>
      <c r="B22" s="10">
        <v>856</v>
      </c>
      <c r="C22" s="17" t="s">
        <v>91</v>
      </c>
      <c r="D22" s="16" t="s">
        <v>39</v>
      </c>
      <c r="E22" s="7" t="s">
        <v>27</v>
      </c>
      <c r="F22" s="23" t="s">
        <v>23</v>
      </c>
      <c r="G22" s="23" t="s">
        <v>23</v>
      </c>
      <c r="H22" s="23" t="s">
        <v>23</v>
      </c>
      <c r="I22" s="23" t="s">
        <v>23</v>
      </c>
      <c r="J22" s="23" t="s">
        <v>23</v>
      </c>
      <c r="K22" s="37"/>
      <c r="L22" s="23" t="s">
        <v>23</v>
      </c>
      <c r="M22" s="23" t="s">
        <v>23</v>
      </c>
      <c r="N22" s="23" t="s">
        <v>23</v>
      </c>
      <c r="O22" s="23" t="s">
        <v>23</v>
      </c>
      <c r="P22" s="23" t="s">
        <v>23</v>
      </c>
      <c r="Q22" s="23"/>
      <c r="R22" s="37"/>
      <c r="S22" s="23" t="s">
        <v>23</v>
      </c>
      <c r="T22" s="23" t="s">
        <v>23</v>
      </c>
      <c r="U22" s="23" t="s">
        <v>23</v>
      </c>
      <c r="V22" s="23" t="s">
        <v>23</v>
      </c>
      <c r="W22" s="23" t="s">
        <v>23</v>
      </c>
      <c r="X22" s="23" t="s">
        <v>23</v>
      </c>
      <c r="Y22" s="37"/>
      <c r="Z22" s="23" t="s">
        <v>23</v>
      </c>
      <c r="AA22" s="23" t="s">
        <v>23</v>
      </c>
      <c r="AB22" s="23" t="s">
        <v>23</v>
      </c>
      <c r="AC22" s="23" t="s">
        <v>23</v>
      </c>
      <c r="AD22" s="23" t="s">
        <v>23</v>
      </c>
      <c r="AE22" s="23" t="s">
        <v>23</v>
      </c>
      <c r="AF22" s="37"/>
      <c r="AG22" s="23" t="s">
        <v>23</v>
      </c>
      <c r="AH22" s="23" t="s">
        <v>23</v>
      </c>
      <c r="AI22" s="23" t="s">
        <v>23</v>
      </c>
      <c r="AJ22" s="23" t="s">
        <v>23</v>
      </c>
      <c r="AK22" s="5">
        <f t="shared" si="2"/>
        <v>26</v>
      </c>
      <c r="AL22" s="5">
        <f t="shared" si="1"/>
        <v>0</v>
      </c>
    </row>
    <row r="23" spans="1:42" x14ac:dyDescent="0.25">
      <c r="A23" s="6">
        <v>19</v>
      </c>
      <c r="B23" s="10"/>
      <c r="C23" s="17" t="s">
        <v>58</v>
      </c>
      <c r="D23" s="16" t="s">
        <v>57</v>
      </c>
      <c r="E23" s="7" t="s">
        <v>27</v>
      </c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23</v>
      </c>
      <c r="K23" s="37"/>
      <c r="L23" s="23" t="s">
        <v>23</v>
      </c>
      <c r="M23" s="23" t="s">
        <v>23</v>
      </c>
      <c r="N23" s="23" t="s">
        <v>23</v>
      </c>
      <c r="O23" s="23" t="s">
        <v>23</v>
      </c>
      <c r="P23" s="23" t="s">
        <v>23</v>
      </c>
      <c r="Q23" s="23"/>
      <c r="R23" s="37"/>
      <c r="S23" s="23" t="s">
        <v>23</v>
      </c>
      <c r="T23" s="23" t="s">
        <v>23</v>
      </c>
      <c r="U23" s="23" t="s">
        <v>24</v>
      </c>
      <c r="V23" s="23" t="s">
        <v>24</v>
      </c>
      <c r="W23" s="23" t="s">
        <v>24</v>
      </c>
      <c r="X23" s="23" t="s">
        <v>23</v>
      </c>
      <c r="Y23" s="37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37"/>
      <c r="AG23" s="23" t="s">
        <v>23</v>
      </c>
      <c r="AH23" s="23" t="s">
        <v>23</v>
      </c>
      <c r="AI23" s="23" t="s">
        <v>24</v>
      </c>
      <c r="AJ23" s="23" t="s">
        <v>24</v>
      </c>
      <c r="AK23" s="5">
        <f t="shared" si="2"/>
        <v>21</v>
      </c>
      <c r="AL23" s="5">
        <f t="shared" si="1"/>
        <v>4</v>
      </c>
    </row>
    <row r="24" spans="1:42" x14ac:dyDescent="0.25">
      <c r="A24" s="8">
        <v>20</v>
      </c>
      <c r="B24" s="10">
        <v>906</v>
      </c>
      <c r="C24" s="17" t="s">
        <v>56</v>
      </c>
      <c r="D24" s="16" t="s">
        <v>92</v>
      </c>
      <c r="E24" s="7" t="s">
        <v>27</v>
      </c>
      <c r="F24" s="23" t="s">
        <v>23</v>
      </c>
      <c r="G24" s="23" t="s">
        <v>23</v>
      </c>
      <c r="H24" s="23" t="s">
        <v>23</v>
      </c>
      <c r="I24" s="23" t="s">
        <v>23</v>
      </c>
      <c r="J24" s="23" t="s">
        <v>23</v>
      </c>
      <c r="K24" s="37"/>
      <c r="L24" s="23" t="s">
        <v>23</v>
      </c>
      <c r="M24" s="23" t="s">
        <v>24</v>
      </c>
      <c r="N24" s="23" t="s">
        <v>23</v>
      </c>
      <c r="O24" s="23" t="s">
        <v>23</v>
      </c>
      <c r="P24" s="23" t="s">
        <v>23</v>
      </c>
      <c r="Q24" s="23"/>
      <c r="R24" s="37"/>
      <c r="S24" s="23" t="s">
        <v>23</v>
      </c>
      <c r="T24" s="23" t="s">
        <v>23</v>
      </c>
      <c r="U24" s="23" t="s">
        <v>23</v>
      </c>
      <c r="V24" s="23" t="s">
        <v>23</v>
      </c>
      <c r="W24" s="23" t="s">
        <v>23</v>
      </c>
      <c r="X24" s="23" t="s">
        <v>23</v>
      </c>
      <c r="Y24" s="37"/>
      <c r="Z24" s="23" t="s">
        <v>23</v>
      </c>
      <c r="AA24" s="23" t="s">
        <v>23</v>
      </c>
      <c r="AB24" s="23" t="s">
        <v>23</v>
      </c>
      <c r="AC24" s="23" t="s">
        <v>23</v>
      </c>
      <c r="AD24" s="23" t="s">
        <v>23</v>
      </c>
      <c r="AE24" s="23" t="s">
        <v>23</v>
      </c>
      <c r="AF24" s="37"/>
      <c r="AG24" s="23" t="s">
        <v>23</v>
      </c>
      <c r="AH24" s="23" t="s">
        <v>23</v>
      </c>
      <c r="AI24" s="23" t="s">
        <v>24</v>
      </c>
      <c r="AJ24" s="23" t="s">
        <v>23</v>
      </c>
      <c r="AK24" s="5">
        <f t="shared" si="2"/>
        <v>24</v>
      </c>
      <c r="AL24" s="5">
        <f t="shared" si="1"/>
        <v>2</v>
      </c>
    </row>
    <row r="25" spans="1:42" x14ac:dyDescent="0.25">
      <c r="A25" s="6">
        <v>21</v>
      </c>
      <c r="B25" s="10">
        <v>861</v>
      </c>
      <c r="C25" s="17" t="s">
        <v>93</v>
      </c>
      <c r="D25" s="16" t="s">
        <v>94</v>
      </c>
      <c r="E25" s="7" t="s">
        <v>27</v>
      </c>
      <c r="F25" s="23" t="s">
        <v>23</v>
      </c>
      <c r="G25" s="23" t="s">
        <v>23</v>
      </c>
      <c r="H25" s="23" t="s">
        <v>23</v>
      </c>
      <c r="I25" s="23" t="s">
        <v>23</v>
      </c>
      <c r="J25" s="23" t="s">
        <v>23</v>
      </c>
      <c r="K25" s="37"/>
      <c r="L25" s="23" t="s">
        <v>23</v>
      </c>
      <c r="M25" s="23" t="s">
        <v>23</v>
      </c>
      <c r="N25" s="23" t="s">
        <v>24</v>
      </c>
      <c r="O25" s="23" t="s">
        <v>24</v>
      </c>
      <c r="P25" s="23" t="s">
        <v>23</v>
      </c>
      <c r="Q25" s="23"/>
      <c r="R25" s="37"/>
      <c r="S25" s="23" t="s">
        <v>23</v>
      </c>
      <c r="T25" s="23" t="s">
        <v>23</v>
      </c>
      <c r="U25" s="23" t="s">
        <v>23</v>
      </c>
      <c r="V25" s="23" t="s">
        <v>23</v>
      </c>
      <c r="W25" s="23" t="s">
        <v>23</v>
      </c>
      <c r="X25" s="23" t="s">
        <v>23</v>
      </c>
      <c r="Y25" s="37"/>
      <c r="Z25" s="23" t="s">
        <v>23</v>
      </c>
      <c r="AA25" s="23" t="s">
        <v>23</v>
      </c>
      <c r="AB25" s="23" t="s">
        <v>23</v>
      </c>
      <c r="AC25" s="23" t="s">
        <v>23</v>
      </c>
      <c r="AD25" s="23" t="s">
        <v>23</v>
      </c>
      <c r="AE25" s="23" t="s">
        <v>23</v>
      </c>
      <c r="AF25" s="37"/>
      <c r="AG25" s="23" t="s">
        <v>23</v>
      </c>
      <c r="AH25" s="23" t="s">
        <v>23</v>
      </c>
      <c r="AI25" s="23" t="s">
        <v>23</v>
      </c>
      <c r="AJ25" s="23" t="s">
        <v>23</v>
      </c>
      <c r="AK25" s="5">
        <f t="shared" si="2"/>
        <v>24</v>
      </c>
      <c r="AL25" s="5">
        <f t="shared" si="1"/>
        <v>2</v>
      </c>
    </row>
    <row r="26" spans="1:42" x14ac:dyDescent="0.25">
      <c r="A26" s="8">
        <v>22</v>
      </c>
      <c r="B26" s="10">
        <v>866</v>
      </c>
      <c r="C26" s="17" t="s">
        <v>95</v>
      </c>
      <c r="D26" s="16" t="s">
        <v>96</v>
      </c>
      <c r="E26" s="7" t="s">
        <v>27</v>
      </c>
      <c r="F26" s="23" t="s">
        <v>24</v>
      </c>
      <c r="G26" s="23" t="s">
        <v>23</v>
      </c>
      <c r="H26" s="23" t="s">
        <v>23</v>
      </c>
      <c r="I26" s="23" t="s">
        <v>23</v>
      </c>
      <c r="J26" s="23" t="s">
        <v>23</v>
      </c>
      <c r="K26" s="37"/>
      <c r="L26" s="23" t="s">
        <v>23</v>
      </c>
      <c r="M26" s="23" t="s">
        <v>23</v>
      </c>
      <c r="N26" s="23" t="s">
        <v>23</v>
      </c>
      <c r="O26" s="23" t="s">
        <v>24</v>
      </c>
      <c r="P26" s="23" t="s">
        <v>23</v>
      </c>
      <c r="Q26" s="23"/>
      <c r="R26" s="37"/>
      <c r="S26" s="23" t="s">
        <v>23</v>
      </c>
      <c r="T26" s="23" t="s">
        <v>23</v>
      </c>
      <c r="U26" s="23" t="s">
        <v>23</v>
      </c>
      <c r="V26" s="23" t="s">
        <v>23</v>
      </c>
      <c r="W26" s="23" t="s">
        <v>23</v>
      </c>
      <c r="X26" s="23" t="s">
        <v>23</v>
      </c>
      <c r="Y26" s="37"/>
      <c r="Z26" s="23" t="s">
        <v>23</v>
      </c>
      <c r="AA26" s="23" t="s">
        <v>23</v>
      </c>
      <c r="AB26" s="23" t="s">
        <v>23</v>
      </c>
      <c r="AC26" s="23" t="s">
        <v>23</v>
      </c>
      <c r="AD26" s="23" t="s">
        <v>23</v>
      </c>
      <c r="AE26" s="23" t="s">
        <v>23</v>
      </c>
      <c r="AF26" s="37"/>
      <c r="AG26" s="23" t="s">
        <v>23</v>
      </c>
      <c r="AH26" s="23" t="s">
        <v>23</v>
      </c>
      <c r="AI26" s="23" t="s">
        <v>23</v>
      </c>
      <c r="AJ26" s="23" t="s">
        <v>23</v>
      </c>
      <c r="AK26" s="5">
        <f t="shared" si="2"/>
        <v>24</v>
      </c>
      <c r="AL26" s="5">
        <f t="shared" si="1"/>
        <v>2</v>
      </c>
    </row>
    <row r="27" spans="1:42" x14ac:dyDescent="0.25">
      <c r="A27" s="6">
        <v>23</v>
      </c>
      <c r="B27" s="10">
        <v>846</v>
      </c>
      <c r="C27" s="17" t="s">
        <v>97</v>
      </c>
      <c r="D27" s="16" t="s">
        <v>98</v>
      </c>
      <c r="E27" s="7" t="s">
        <v>27</v>
      </c>
      <c r="F27" s="23" t="s">
        <v>23</v>
      </c>
      <c r="G27" s="23" t="s">
        <v>23</v>
      </c>
      <c r="H27" s="23" t="s">
        <v>23</v>
      </c>
      <c r="I27" s="23" t="s">
        <v>23</v>
      </c>
      <c r="J27" s="23" t="s">
        <v>23</v>
      </c>
      <c r="K27" s="37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23"/>
      <c r="R27" s="37"/>
      <c r="S27" s="23" t="s">
        <v>23</v>
      </c>
      <c r="T27" s="23" t="s">
        <v>23</v>
      </c>
      <c r="U27" s="23" t="s">
        <v>23</v>
      </c>
      <c r="V27" s="23" t="s">
        <v>23</v>
      </c>
      <c r="W27" s="23" t="s">
        <v>23</v>
      </c>
      <c r="X27" s="23" t="s">
        <v>23</v>
      </c>
      <c r="Y27" s="37"/>
      <c r="Z27" s="23" t="s">
        <v>23</v>
      </c>
      <c r="AA27" s="23" t="s">
        <v>23</v>
      </c>
      <c r="AB27" s="23" t="s">
        <v>23</v>
      </c>
      <c r="AC27" s="23" t="s">
        <v>23</v>
      </c>
      <c r="AD27" s="23" t="s">
        <v>23</v>
      </c>
      <c r="AE27" s="23" t="s">
        <v>23</v>
      </c>
      <c r="AF27" s="37"/>
      <c r="AG27" s="23" t="s">
        <v>23</v>
      </c>
      <c r="AH27" s="23" t="s">
        <v>23</v>
      </c>
      <c r="AI27" s="23" t="s">
        <v>23</v>
      </c>
      <c r="AJ27" s="23" t="s">
        <v>23</v>
      </c>
      <c r="AK27" s="5">
        <f t="shared" si="2"/>
        <v>26</v>
      </c>
      <c r="AL27" s="5">
        <f t="shared" si="1"/>
        <v>0</v>
      </c>
    </row>
    <row r="28" spans="1:42" x14ac:dyDescent="0.25">
      <c r="A28" s="8">
        <v>24</v>
      </c>
      <c r="B28" s="10">
        <v>857</v>
      </c>
      <c r="C28" s="17" t="s">
        <v>95</v>
      </c>
      <c r="D28" s="17" t="s">
        <v>99</v>
      </c>
      <c r="E28" s="7" t="s">
        <v>27</v>
      </c>
      <c r="F28" s="23" t="s">
        <v>23</v>
      </c>
      <c r="G28" s="23" t="s">
        <v>23</v>
      </c>
      <c r="H28" s="23" t="s">
        <v>23</v>
      </c>
      <c r="I28" s="23" t="s">
        <v>23</v>
      </c>
      <c r="J28" s="23" t="s">
        <v>23</v>
      </c>
      <c r="K28" s="37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23"/>
      <c r="R28" s="37"/>
      <c r="S28" s="23" t="s">
        <v>24</v>
      </c>
      <c r="T28" s="23" t="s">
        <v>24</v>
      </c>
      <c r="U28" s="23" t="s">
        <v>24</v>
      </c>
      <c r="V28" s="23" t="s">
        <v>24</v>
      </c>
      <c r="W28" s="23" t="s">
        <v>23</v>
      </c>
      <c r="X28" s="23" t="s">
        <v>23</v>
      </c>
      <c r="Y28" s="37"/>
      <c r="Z28" s="23" t="s">
        <v>23</v>
      </c>
      <c r="AA28" s="23" t="s">
        <v>23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37"/>
      <c r="AG28" s="23" t="s">
        <v>23</v>
      </c>
      <c r="AH28" s="23" t="s">
        <v>23</v>
      </c>
      <c r="AI28" s="23" t="s">
        <v>23</v>
      </c>
      <c r="AJ28" s="23" t="s">
        <v>23</v>
      </c>
      <c r="AK28" s="5">
        <f t="shared" si="2"/>
        <v>22</v>
      </c>
      <c r="AL28" s="5">
        <f t="shared" si="1"/>
        <v>4</v>
      </c>
    </row>
    <row r="29" spans="1:42" x14ac:dyDescent="0.25">
      <c r="A29" s="6">
        <v>25</v>
      </c>
      <c r="B29" s="10"/>
      <c r="C29" s="20" t="s">
        <v>36</v>
      </c>
      <c r="D29" s="20" t="s">
        <v>59</v>
      </c>
      <c r="E29" s="7" t="s">
        <v>27</v>
      </c>
      <c r="F29" s="23"/>
      <c r="G29" s="23"/>
      <c r="H29" s="23"/>
      <c r="I29" s="23"/>
      <c r="J29" s="23"/>
      <c r="K29" s="37"/>
      <c r="L29" s="23"/>
      <c r="M29" s="23"/>
      <c r="N29" s="23"/>
      <c r="O29" s="23"/>
      <c r="P29" s="23"/>
      <c r="Q29" s="23"/>
      <c r="R29" s="37"/>
      <c r="S29" s="23"/>
      <c r="T29" s="23"/>
      <c r="U29" s="23"/>
      <c r="V29" s="23"/>
      <c r="W29" s="23"/>
      <c r="X29" s="23"/>
      <c r="Y29" s="37"/>
      <c r="Z29" s="23"/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23</v>
      </c>
      <c r="AF29" s="37"/>
      <c r="AG29" s="23" t="s">
        <v>23</v>
      </c>
      <c r="AH29" s="23" t="s">
        <v>23</v>
      </c>
      <c r="AI29" s="23" t="s">
        <v>23</v>
      </c>
      <c r="AJ29" s="23" t="s">
        <v>23</v>
      </c>
      <c r="AK29" s="5">
        <f t="shared" si="2"/>
        <v>9</v>
      </c>
      <c r="AL29" s="5">
        <f t="shared" si="1"/>
        <v>0</v>
      </c>
    </row>
    <row r="30" spans="1:42" x14ac:dyDescent="0.25">
      <c r="A30" s="8">
        <v>26</v>
      </c>
      <c r="B30" s="10">
        <v>730</v>
      </c>
      <c r="C30" s="17" t="s">
        <v>60</v>
      </c>
      <c r="D30" s="16" t="s">
        <v>61</v>
      </c>
      <c r="E30" s="7" t="s">
        <v>27</v>
      </c>
      <c r="F30" s="23" t="s">
        <v>23</v>
      </c>
      <c r="G30" s="23" t="s">
        <v>23</v>
      </c>
      <c r="H30" s="23" t="s">
        <v>23</v>
      </c>
      <c r="I30" s="23" t="s">
        <v>23</v>
      </c>
      <c r="J30" s="23" t="s">
        <v>23</v>
      </c>
      <c r="K30" s="37"/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23"/>
      <c r="R30" s="37"/>
      <c r="S30" s="23" t="s">
        <v>23</v>
      </c>
      <c r="T30" s="23"/>
      <c r="U30" s="23"/>
      <c r="V30" s="23" t="s">
        <v>24</v>
      </c>
      <c r="W30" s="23" t="s">
        <v>23</v>
      </c>
      <c r="X30" s="23" t="s">
        <v>23</v>
      </c>
      <c r="Y30" s="37"/>
      <c r="Z30" s="23" t="s">
        <v>23</v>
      </c>
      <c r="AA30" s="23" t="s">
        <v>23</v>
      </c>
      <c r="AB30" s="23" t="s">
        <v>23</v>
      </c>
      <c r="AC30" s="23" t="s">
        <v>23</v>
      </c>
      <c r="AD30" s="23" t="s">
        <v>23</v>
      </c>
      <c r="AE30" s="23" t="s">
        <v>23</v>
      </c>
      <c r="AF30" s="37"/>
      <c r="AG30" s="23" t="s">
        <v>23</v>
      </c>
      <c r="AH30" s="23" t="s">
        <v>23</v>
      </c>
      <c r="AI30" s="23" t="s">
        <v>23</v>
      </c>
      <c r="AJ30" s="23" t="s">
        <v>23</v>
      </c>
      <c r="AK30" s="5">
        <f t="shared" si="2"/>
        <v>23</v>
      </c>
      <c r="AL30" s="5">
        <f t="shared" si="1"/>
        <v>1</v>
      </c>
    </row>
    <row r="31" spans="1:42" x14ac:dyDescent="0.25">
      <c r="A31" s="6">
        <v>27</v>
      </c>
      <c r="B31" s="10">
        <v>732</v>
      </c>
      <c r="C31" s="17" t="s">
        <v>62</v>
      </c>
      <c r="D31" s="16" t="s">
        <v>63</v>
      </c>
      <c r="E31" s="7" t="s">
        <v>27</v>
      </c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23</v>
      </c>
      <c r="K31" s="37"/>
      <c r="L31" s="23" t="s">
        <v>23</v>
      </c>
      <c r="M31" s="23" t="s">
        <v>24</v>
      </c>
      <c r="N31" s="23" t="s">
        <v>23</v>
      </c>
      <c r="O31" s="23" t="s">
        <v>23</v>
      </c>
      <c r="P31" s="23" t="s">
        <v>23</v>
      </c>
      <c r="Q31" s="23"/>
      <c r="R31" s="37"/>
      <c r="S31" s="23" t="s">
        <v>23</v>
      </c>
      <c r="T31" s="23"/>
      <c r="U31" s="23"/>
      <c r="V31" s="23" t="s">
        <v>23</v>
      </c>
      <c r="W31" s="23" t="s">
        <v>23</v>
      </c>
      <c r="X31" s="23" t="s">
        <v>23</v>
      </c>
      <c r="Y31" s="37"/>
      <c r="Z31" s="23" t="s">
        <v>23</v>
      </c>
      <c r="AA31" s="23" t="s">
        <v>23</v>
      </c>
      <c r="AB31" s="23" t="s">
        <v>23</v>
      </c>
      <c r="AC31" s="23" t="s">
        <v>23</v>
      </c>
      <c r="AD31" s="23" t="s">
        <v>24</v>
      </c>
      <c r="AE31" s="23" t="s">
        <v>23</v>
      </c>
      <c r="AF31" s="37"/>
      <c r="AG31" s="23" t="s">
        <v>23</v>
      </c>
      <c r="AH31" s="23" t="s">
        <v>23</v>
      </c>
      <c r="AI31" s="23" t="s">
        <v>23</v>
      </c>
      <c r="AJ31" s="23" t="s">
        <v>23</v>
      </c>
      <c r="AK31" s="5">
        <f t="shared" si="2"/>
        <v>22</v>
      </c>
      <c r="AL31" s="5">
        <f t="shared" si="1"/>
        <v>2</v>
      </c>
    </row>
    <row r="32" spans="1:42" x14ac:dyDescent="0.25">
      <c r="A32" s="8">
        <v>28</v>
      </c>
      <c r="B32" s="10">
        <v>728</v>
      </c>
      <c r="C32" s="17" t="s">
        <v>64</v>
      </c>
      <c r="D32" s="16" t="s">
        <v>65</v>
      </c>
      <c r="E32" s="7" t="s">
        <v>27</v>
      </c>
      <c r="F32" s="23" t="s">
        <v>23</v>
      </c>
      <c r="G32" s="23" t="s">
        <v>23</v>
      </c>
      <c r="H32" s="23" t="s">
        <v>23</v>
      </c>
      <c r="I32" s="23" t="s">
        <v>23</v>
      </c>
      <c r="J32" s="23" t="s">
        <v>23</v>
      </c>
      <c r="K32" s="37"/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23"/>
      <c r="R32" s="37"/>
      <c r="S32" s="23" t="s">
        <v>23</v>
      </c>
      <c r="T32" s="23"/>
      <c r="U32" s="23"/>
      <c r="V32" s="23" t="s">
        <v>23</v>
      </c>
      <c r="W32" s="23" t="s">
        <v>23</v>
      </c>
      <c r="X32" s="23" t="s">
        <v>23</v>
      </c>
      <c r="Y32" s="37"/>
      <c r="Z32" s="23" t="s">
        <v>23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37"/>
      <c r="AG32" s="23" t="s">
        <v>23</v>
      </c>
      <c r="AH32" s="23" t="s">
        <v>23</v>
      </c>
      <c r="AI32" s="23" t="s">
        <v>23</v>
      </c>
      <c r="AJ32" s="23" t="s">
        <v>23</v>
      </c>
      <c r="AK32" s="5">
        <f t="shared" si="2"/>
        <v>24</v>
      </c>
      <c r="AL32" s="5">
        <f t="shared" si="1"/>
        <v>0</v>
      </c>
    </row>
    <row r="33" spans="1:38" x14ac:dyDescent="0.25">
      <c r="A33" s="6">
        <v>29</v>
      </c>
      <c r="B33" s="10">
        <v>760</v>
      </c>
      <c r="C33" s="17" t="s">
        <v>66</v>
      </c>
      <c r="D33" s="17" t="s">
        <v>67</v>
      </c>
      <c r="E33" s="7" t="s">
        <v>27</v>
      </c>
      <c r="F33" s="23" t="s">
        <v>23</v>
      </c>
      <c r="G33" s="23" t="s">
        <v>23</v>
      </c>
      <c r="H33" s="23" t="s">
        <v>23</v>
      </c>
      <c r="I33" s="23" t="s">
        <v>23</v>
      </c>
      <c r="J33" s="23" t="s">
        <v>23</v>
      </c>
      <c r="K33" s="37"/>
      <c r="L33" s="23" t="s">
        <v>23</v>
      </c>
      <c r="M33" s="23" t="s">
        <v>23</v>
      </c>
      <c r="N33" s="23" t="s">
        <v>23</v>
      </c>
      <c r="O33" s="23" t="s">
        <v>23</v>
      </c>
      <c r="P33" s="23" t="s">
        <v>23</v>
      </c>
      <c r="Q33" s="23"/>
      <c r="R33" s="37"/>
      <c r="S33" s="23" t="s">
        <v>23</v>
      </c>
      <c r="T33" s="23"/>
      <c r="U33" s="23"/>
      <c r="V33" s="23" t="s">
        <v>23</v>
      </c>
      <c r="W33" s="23" t="s">
        <v>23</v>
      </c>
      <c r="X33" s="23" t="s">
        <v>23</v>
      </c>
      <c r="Y33" s="37"/>
      <c r="Z33" s="23" t="s">
        <v>24</v>
      </c>
      <c r="AA33" s="23" t="s">
        <v>24</v>
      </c>
      <c r="AB33" s="23" t="s">
        <v>23</v>
      </c>
      <c r="AC33" s="23" t="s">
        <v>23</v>
      </c>
      <c r="AD33" s="23" t="s">
        <v>23</v>
      </c>
      <c r="AE33" s="23" t="s">
        <v>23</v>
      </c>
      <c r="AF33" s="37"/>
      <c r="AG33" s="23" t="s">
        <v>23</v>
      </c>
      <c r="AH33" s="23" t="s">
        <v>23</v>
      </c>
      <c r="AI33" s="23" t="s">
        <v>23</v>
      </c>
      <c r="AJ33" s="23" t="s">
        <v>23</v>
      </c>
      <c r="AK33" s="5">
        <f t="shared" si="2"/>
        <v>22</v>
      </c>
      <c r="AL33" s="5">
        <f t="shared" si="1"/>
        <v>2</v>
      </c>
    </row>
    <row r="34" spans="1:38" x14ac:dyDescent="0.25">
      <c r="A34" s="8">
        <v>30</v>
      </c>
      <c r="B34" s="10">
        <v>741</v>
      </c>
      <c r="C34" s="17" t="s">
        <v>68</v>
      </c>
      <c r="D34" s="16" t="s">
        <v>69</v>
      </c>
      <c r="E34" s="7" t="s">
        <v>27</v>
      </c>
      <c r="F34" s="23" t="s">
        <v>24</v>
      </c>
      <c r="G34" s="23" t="s">
        <v>23</v>
      </c>
      <c r="H34" s="23" t="s">
        <v>23</v>
      </c>
      <c r="I34" s="23" t="s">
        <v>24</v>
      </c>
      <c r="J34" s="23" t="s">
        <v>23</v>
      </c>
      <c r="K34" s="37"/>
      <c r="L34" s="23" t="s">
        <v>23</v>
      </c>
      <c r="M34" s="23" t="s">
        <v>23</v>
      </c>
      <c r="N34" s="23" t="s">
        <v>23</v>
      </c>
      <c r="O34" s="23" t="s">
        <v>23</v>
      </c>
      <c r="P34" s="23" t="s">
        <v>23</v>
      </c>
      <c r="Q34" s="23"/>
      <c r="R34" s="37"/>
      <c r="S34" s="23" t="s">
        <v>23</v>
      </c>
      <c r="T34" s="23"/>
      <c r="U34" s="23"/>
      <c r="V34" s="23" t="s">
        <v>23</v>
      </c>
      <c r="W34" s="23" t="s">
        <v>23</v>
      </c>
      <c r="X34" s="23" t="s">
        <v>24</v>
      </c>
      <c r="Y34" s="37"/>
      <c r="Z34" s="23" t="s">
        <v>24</v>
      </c>
      <c r="AA34" s="23" t="s">
        <v>23</v>
      </c>
      <c r="AB34" s="23" t="s">
        <v>23</v>
      </c>
      <c r="AC34" s="23" t="s">
        <v>23</v>
      </c>
      <c r="AD34" s="23" t="s">
        <v>23</v>
      </c>
      <c r="AE34" s="23" t="s">
        <v>23</v>
      </c>
      <c r="AF34" s="37"/>
      <c r="AG34" s="23" t="s">
        <v>24</v>
      </c>
      <c r="AH34" s="23" t="s">
        <v>23</v>
      </c>
      <c r="AI34" s="23" t="s">
        <v>23</v>
      </c>
      <c r="AJ34" s="23" t="s">
        <v>23</v>
      </c>
      <c r="AK34" s="5">
        <f t="shared" si="2"/>
        <v>19</v>
      </c>
      <c r="AL34" s="5">
        <f t="shared" si="1"/>
        <v>5</v>
      </c>
    </row>
    <row r="35" spans="1:38" x14ac:dyDescent="0.25">
      <c r="A35" s="6">
        <v>31</v>
      </c>
      <c r="B35" s="10">
        <v>733</v>
      </c>
      <c r="C35" s="18" t="s">
        <v>70</v>
      </c>
      <c r="D35" s="19" t="s">
        <v>71</v>
      </c>
      <c r="E35" s="7" t="s">
        <v>27</v>
      </c>
      <c r="F35" s="23" t="s">
        <v>23</v>
      </c>
      <c r="G35" s="23" t="s">
        <v>24</v>
      </c>
      <c r="H35" s="23" t="s">
        <v>23</v>
      </c>
      <c r="I35" s="23" t="s">
        <v>23</v>
      </c>
      <c r="J35" s="23" t="s">
        <v>23</v>
      </c>
      <c r="K35" s="37"/>
      <c r="L35" s="23" t="s">
        <v>23</v>
      </c>
      <c r="M35" s="23" t="s">
        <v>23</v>
      </c>
      <c r="N35" s="23" t="s">
        <v>23</v>
      </c>
      <c r="O35" s="23" t="s">
        <v>24</v>
      </c>
      <c r="P35" s="23" t="s">
        <v>23</v>
      </c>
      <c r="Q35" s="23"/>
      <c r="R35" s="37"/>
      <c r="S35" s="23" t="s">
        <v>23</v>
      </c>
      <c r="T35" s="23"/>
      <c r="U35" s="23"/>
      <c r="V35" s="23" t="s">
        <v>24</v>
      </c>
      <c r="W35" s="23" t="s">
        <v>24</v>
      </c>
      <c r="X35" s="23" t="s">
        <v>24</v>
      </c>
      <c r="Y35" s="37"/>
      <c r="Z35" s="23" t="s">
        <v>23</v>
      </c>
      <c r="AA35" s="23" t="s">
        <v>23</v>
      </c>
      <c r="AB35" s="23" t="s">
        <v>23</v>
      </c>
      <c r="AC35" s="23" t="s">
        <v>23</v>
      </c>
      <c r="AD35" s="23" t="s">
        <v>23</v>
      </c>
      <c r="AE35" s="23" t="s">
        <v>24</v>
      </c>
      <c r="AF35" s="37"/>
      <c r="AG35" s="23" t="s">
        <v>24</v>
      </c>
      <c r="AH35" s="23" t="s">
        <v>24</v>
      </c>
      <c r="AI35" s="23" t="s">
        <v>24</v>
      </c>
      <c r="AJ35" s="23" t="s">
        <v>24</v>
      </c>
      <c r="AK35" s="5">
        <f t="shared" si="2"/>
        <v>14</v>
      </c>
      <c r="AL35" s="5">
        <f t="shared" si="1"/>
        <v>9</v>
      </c>
    </row>
    <row r="36" spans="1:38" x14ac:dyDescent="0.25">
      <c r="A36" s="8">
        <v>32</v>
      </c>
      <c r="B36" s="10">
        <v>744</v>
      </c>
      <c r="C36" s="20" t="s">
        <v>72</v>
      </c>
      <c r="D36" s="20" t="s">
        <v>73</v>
      </c>
      <c r="E36" s="7" t="s">
        <v>27</v>
      </c>
      <c r="F36" s="23" t="s">
        <v>23</v>
      </c>
      <c r="G36" s="23" t="s">
        <v>23</v>
      </c>
      <c r="H36" s="23" t="s">
        <v>23</v>
      </c>
      <c r="I36" s="23" t="s">
        <v>23</v>
      </c>
      <c r="J36" s="23" t="s">
        <v>23</v>
      </c>
      <c r="K36" s="37"/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  <c r="Q36" s="23"/>
      <c r="R36" s="37"/>
      <c r="S36" s="23" t="s">
        <v>23</v>
      </c>
      <c r="T36" s="23"/>
      <c r="U36" s="23"/>
      <c r="V36" s="23" t="s">
        <v>23</v>
      </c>
      <c r="W36" s="23" t="s">
        <v>23</v>
      </c>
      <c r="X36" s="23" t="s">
        <v>23</v>
      </c>
      <c r="Y36" s="37"/>
      <c r="Z36" s="23" t="s">
        <v>24</v>
      </c>
      <c r="AA36" s="23" t="s">
        <v>23</v>
      </c>
      <c r="AB36" s="23" t="s">
        <v>23</v>
      </c>
      <c r="AC36" s="23" t="s">
        <v>23</v>
      </c>
      <c r="AD36" s="23" t="s">
        <v>23</v>
      </c>
      <c r="AE36" s="23" t="s">
        <v>23</v>
      </c>
      <c r="AF36" s="37"/>
      <c r="AG36" s="23" t="s">
        <v>23</v>
      </c>
      <c r="AH36" s="23" t="s">
        <v>23</v>
      </c>
      <c r="AI36" s="23" t="s">
        <v>23</v>
      </c>
      <c r="AJ36" s="23" t="s">
        <v>23</v>
      </c>
      <c r="AK36" s="5">
        <f t="shared" si="2"/>
        <v>23</v>
      </c>
      <c r="AL36" s="5">
        <f t="shared" ref="AL36" si="3">COUNTIF(F36:AI36,"A")</f>
        <v>1</v>
      </c>
    </row>
    <row r="37" spans="1:38" x14ac:dyDescent="0.25">
      <c r="A37" s="6">
        <v>33</v>
      </c>
      <c r="B37" s="10">
        <v>850</v>
      </c>
      <c r="C37" s="17" t="s">
        <v>102</v>
      </c>
      <c r="D37" s="17" t="s">
        <v>103</v>
      </c>
      <c r="E37" s="7" t="s">
        <v>27</v>
      </c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37"/>
      <c r="L37" s="23" t="s">
        <v>23</v>
      </c>
      <c r="M37" s="23" t="s">
        <v>23</v>
      </c>
      <c r="N37" s="23" t="s">
        <v>23</v>
      </c>
      <c r="O37" s="23" t="s">
        <v>23</v>
      </c>
      <c r="P37" s="23" t="s">
        <v>23</v>
      </c>
      <c r="Q37" s="24"/>
      <c r="R37" s="37"/>
      <c r="S37" s="23" t="s">
        <v>23</v>
      </c>
      <c r="T37" s="23"/>
      <c r="U37" s="23"/>
      <c r="V37" s="23" t="s">
        <v>23</v>
      </c>
      <c r="W37" s="23" t="s">
        <v>23</v>
      </c>
      <c r="X37" s="23" t="s">
        <v>23</v>
      </c>
      <c r="Y37" s="37"/>
      <c r="Z37" s="23" t="s">
        <v>23</v>
      </c>
      <c r="AA37" s="23" t="s">
        <v>23</v>
      </c>
      <c r="AB37" s="23" t="s">
        <v>23</v>
      </c>
      <c r="AC37" s="23" t="s">
        <v>23</v>
      </c>
      <c r="AD37" s="23" t="s">
        <v>23</v>
      </c>
      <c r="AE37" s="23" t="s">
        <v>23</v>
      </c>
      <c r="AF37" s="37"/>
      <c r="AG37" s="23" t="s">
        <v>23</v>
      </c>
      <c r="AH37" s="23" t="s">
        <v>23</v>
      </c>
      <c r="AI37" s="23" t="s">
        <v>23</v>
      </c>
      <c r="AJ37" s="23" t="s">
        <v>23</v>
      </c>
      <c r="AK37" s="5">
        <f t="shared" si="2"/>
        <v>24</v>
      </c>
      <c r="AL37" s="5">
        <f t="shared" si="1"/>
        <v>0</v>
      </c>
    </row>
    <row r="38" spans="1:38" x14ac:dyDescent="0.25">
      <c r="A38" s="8">
        <v>34</v>
      </c>
      <c r="B38" s="24">
        <v>767</v>
      </c>
      <c r="C38" s="24" t="s">
        <v>76</v>
      </c>
      <c r="D38" s="24" t="s">
        <v>77</v>
      </c>
      <c r="E38" s="7" t="s">
        <v>27</v>
      </c>
      <c r="F38" s="23" t="s">
        <v>23</v>
      </c>
      <c r="G38" s="23" t="s">
        <v>23</v>
      </c>
      <c r="H38" s="23" t="s">
        <v>23</v>
      </c>
      <c r="I38" s="23" t="s">
        <v>23</v>
      </c>
      <c r="J38" s="23" t="s">
        <v>23</v>
      </c>
      <c r="K38" s="37"/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  <c r="Q38" s="24"/>
      <c r="R38" s="37"/>
      <c r="S38" s="23" t="s">
        <v>23</v>
      </c>
      <c r="T38" s="23"/>
      <c r="U38" s="23"/>
      <c r="V38" s="23" t="s">
        <v>23</v>
      </c>
      <c r="W38" s="23" t="s">
        <v>23</v>
      </c>
      <c r="X38" s="23" t="s">
        <v>23</v>
      </c>
      <c r="Y38" s="37"/>
      <c r="Z38" s="23" t="s">
        <v>23</v>
      </c>
      <c r="AA38" s="23" t="s">
        <v>23</v>
      </c>
      <c r="AB38" s="23" t="s">
        <v>23</v>
      </c>
      <c r="AC38" s="23" t="s">
        <v>23</v>
      </c>
      <c r="AD38" s="23" t="s">
        <v>23</v>
      </c>
      <c r="AE38" s="23" t="s">
        <v>23</v>
      </c>
      <c r="AF38" s="37"/>
      <c r="AG38" s="23" t="s">
        <v>23</v>
      </c>
      <c r="AH38" s="23" t="s">
        <v>23</v>
      </c>
      <c r="AI38" s="23" t="s">
        <v>23</v>
      </c>
      <c r="AJ38" s="23" t="s">
        <v>23</v>
      </c>
      <c r="AK38" s="5">
        <f t="shared" si="2"/>
        <v>24</v>
      </c>
      <c r="AL38" s="5">
        <f t="shared" si="1"/>
        <v>0</v>
      </c>
    </row>
    <row r="39" spans="1:38" x14ac:dyDescent="0.25">
      <c r="A39" s="6">
        <v>35</v>
      </c>
      <c r="B39" s="24">
        <v>875</v>
      </c>
      <c r="C39" s="24" t="s">
        <v>104</v>
      </c>
      <c r="D39" s="24" t="s">
        <v>112</v>
      </c>
      <c r="E39" s="7" t="s">
        <v>27</v>
      </c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37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24"/>
      <c r="R39" s="37"/>
      <c r="S39" s="23" t="s">
        <v>24</v>
      </c>
      <c r="T39" s="23"/>
      <c r="U39" s="23"/>
      <c r="V39" s="23" t="s">
        <v>23</v>
      </c>
      <c r="W39" s="23" t="s">
        <v>23</v>
      </c>
      <c r="X39" s="23" t="s">
        <v>23</v>
      </c>
      <c r="Y39" s="37"/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37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23</v>
      </c>
      <c r="AL39" s="5">
        <f t="shared" si="1"/>
        <v>1</v>
      </c>
    </row>
    <row r="40" spans="1:38" x14ac:dyDescent="0.25">
      <c r="A40" s="8">
        <v>36</v>
      </c>
      <c r="B40" s="24">
        <v>727</v>
      </c>
      <c r="C40" s="24" t="s">
        <v>80</v>
      </c>
      <c r="D40" s="24" t="s">
        <v>81</v>
      </c>
      <c r="E40" s="7" t="s">
        <v>27</v>
      </c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37"/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  <c r="Q40" s="24"/>
      <c r="R40" s="37"/>
      <c r="S40" s="23" t="s">
        <v>23</v>
      </c>
      <c r="T40" s="23"/>
      <c r="U40" s="23"/>
      <c r="V40" s="23" t="s">
        <v>23</v>
      </c>
      <c r="W40" s="23" t="s">
        <v>23</v>
      </c>
      <c r="X40" s="23" t="s">
        <v>23</v>
      </c>
      <c r="Y40" s="37"/>
      <c r="Z40" s="23" t="s">
        <v>23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37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24</v>
      </c>
      <c r="AL40" s="5">
        <f t="shared" si="1"/>
        <v>0</v>
      </c>
    </row>
    <row r="41" spans="1:38" x14ac:dyDescent="0.25">
      <c r="A41" s="6">
        <v>37</v>
      </c>
      <c r="B41" s="24">
        <v>880</v>
      </c>
      <c r="C41" s="24" t="s">
        <v>113</v>
      </c>
      <c r="D41" s="24" t="s">
        <v>106</v>
      </c>
      <c r="E41" s="7" t="s">
        <v>27</v>
      </c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23</v>
      </c>
      <c r="K41" s="37"/>
      <c r="L41" s="23" t="s">
        <v>23</v>
      </c>
      <c r="M41" s="23" t="s">
        <v>23</v>
      </c>
      <c r="N41" s="23" t="s">
        <v>23</v>
      </c>
      <c r="O41" s="23" t="s">
        <v>23</v>
      </c>
      <c r="P41" s="23" t="s">
        <v>23</v>
      </c>
      <c r="Q41" s="24"/>
      <c r="R41" s="37"/>
      <c r="S41" s="23" t="s">
        <v>23</v>
      </c>
      <c r="T41" s="23"/>
      <c r="U41" s="23"/>
      <c r="V41" s="23" t="s">
        <v>23</v>
      </c>
      <c r="W41" s="23" t="s">
        <v>23</v>
      </c>
      <c r="X41" s="23" t="s">
        <v>23</v>
      </c>
      <c r="Y41" s="37"/>
      <c r="Z41" s="23" t="s">
        <v>23</v>
      </c>
      <c r="AA41" s="23" t="s">
        <v>23</v>
      </c>
      <c r="AB41" s="23" t="s">
        <v>23</v>
      </c>
      <c r="AC41" s="23" t="s">
        <v>23</v>
      </c>
      <c r="AD41" s="23" t="s">
        <v>23</v>
      </c>
      <c r="AE41" s="23" t="s">
        <v>23</v>
      </c>
      <c r="AF41" s="37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24</v>
      </c>
      <c r="AL41" s="5">
        <f t="shared" si="1"/>
        <v>0</v>
      </c>
    </row>
    <row r="42" spans="1:38" x14ac:dyDescent="0.25">
      <c r="A42" s="8">
        <v>38</v>
      </c>
      <c r="B42" s="24">
        <v>777</v>
      </c>
      <c r="C42" s="24" t="s">
        <v>114</v>
      </c>
      <c r="D42" s="24" t="s">
        <v>115</v>
      </c>
      <c r="E42" s="7" t="s">
        <v>27</v>
      </c>
      <c r="F42" s="23" t="s">
        <v>23</v>
      </c>
      <c r="G42" s="23" t="s">
        <v>23</v>
      </c>
      <c r="H42" s="23" t="s">
        <v>23</v>
      </c>
      <c r="I42" s="23" t="s">
        <v>23</v>
      </c>
      <c r="J42" s="23" t="s">
        <v>23</v>
      </c>
      <c r="K42" s="37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24</v>
      </c>
      <c r="Q42" s="24"/>
      <c r="R42" s="37"/>
      <c r="S42" s="23" t="s">
        <v>23</v>
      </c>
      <c r="T42" s="23"/>
      <c r="U42" s="23"/>
      <c r="V42" s="23" t="s">
        <v>23</v>
      </c>
      <c r="W42" s="23" t="s">
        <v>23</v>
      </c>
      <c r="X42" s="23" t="s">
        <v>23</v>
      </c>
      <c r="Y42" s="37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24</v>
      </c>
      <c r="AF42" s="37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22</v>
      </c>
      <c r="AL42" s="5">
        <f t="shared" si="1"/>
        <v>2</v>
      </c>
    </row>
    <row r="43" spans="1:38" x14ac:dyDescent="0.25">
      <c r="A43" s="6">
        <v>39</v>
      </c>
      <c r="B43" s="24">
        <v>873</v>
      </c>
      <c r="C43" s="24" t="s">
        <v>86</v>
      </c>
      <c r="D43" s="24" t="s">
        <v>101</v>
      </c>
      <c r="E43" s="7" t="s">
        <v>27</v>
      </c>
      <c r="F43" s="23" t="s">
        <v>24</v>
      </c>
      <c r="G43" s="23" t="s">
        <v>23</v>
      </c>
      <c r="H43" s="23" t="s">
        <v>23</v>
      </c>
      <c r="I43" s="23" t="s">
        <v>23</v>
      </c>
      <c r="J43" s="23" t="s">
        <v>24</v>
      </c>
      <c r="K43" s="37"/>
      <c r="L43" s="23" t="s">
        <v>23</v>
      </c>
      <c r="M43" s="23" t="s">
        <v>23</v>
      </c>
      <c r="N43" s="23" t="s">
        <v>23</v>
      </c>
      <c r="O43" s="23" t="s">
        <v>24</v>
      </c>
      <c r="P43" s="23" t="s">
        <v>24</v>
      </c>
      <c r="Q43" s="24"/>
      <c r="R43" s="37"/>
      <c r="S43" s="23" t="s">
        <v>23</v>
      </c>
      <c r="T43" s="23"/>
      <c r="U43" s="23"/>
      <c r="V43" s="23" t="s">
        <v>24</v>
      </c>
      <c r="W43" s="23" t="s">
        <v>23</v>
      </c>
      <c r="X43" s="23" t="s">
        <v>24</v>
      </c>
      <c r="Y43" s="37"/>
      <c r="Z43" s="23" t="s">
        <v>23</v>
      </c>
      <c r="AA43" s="23" t="s">
        <v>23</v>
      </c>
      <c r="AB43" s="23" t="s">
        <v>23</v>
      </c>
      <c r="AC43" s="23" t="s">
        <v>24</v>
      </c>
      <c r="AD43" s="23" t="s">
        <v>24</v>
      </c>
      <c r="AE43" s="23" t="s">
        <v>24</v>
      </c>
      <c r="AF43" s="37"/>
      <c r="AG43" s="23" t="s">
        <v>23</v>
      </c>
      <c r="AH43" s="23" t="s">
        <v>23</v>
      </c>
      <c r="AI43" s="23" t="s">
        <v>23</v>
      </c>
      <c r="AJ43" s="23" t="s">
        <v>23</v>
      </c>
      <c r="AK43" s="5">
        <f t="shared" si="2"/>
        <v>15</v>
      </c>
      <c r="AL43" s="5">
        <f t="shared" si="1"/>
        <v>9</v>
      </c>
    </row>
    <row r="44" spans="1:38" x14ac:dyDescent="0.25">
      <c r="A44" s="8">
        <v>40</v>
      </c>
      <c r="B44" s="24">
        <v>909</v>
      </c>
      <c r="C44" s="24" t="s">
        <v>116</v>
      </c>
      <c r="D44" s="24" t="s">
        <v>100</v>
      </c>
      <c r="E44" s="7" t="s">
        <v>27</v>
      </c>
      <c r="F44" s="23" t="s">
        <v>23</v>
      </c>
      <c r="G44" s="23" t="s">
        <v>23</v>
      </c>
      <c r="H44" s="23" t="s">
        <v>23</v>
      </c>
      <c r="I44" s="23" t="s">
        <v>23</v>
      </c>
      <c r="J44" s="23" t="s">
        <v>23</v>
      </c>
      <c r="K44" s="37"/>
      <c r="L44" s="23" t="s">
        <v>23</v>
      </c>
      <c r="M44" s="23" t="s">
        <v>23</v>
      </c>
      <c r="N44" s="23" t="s">
        <v>23</v>
      </c>
      <c r="O44" s="23" t="s">
        <v>23</v>
      </c>
      <c r="P44" s="23" t="s">
        <v>23</v>
      </c>
      <c r="Q44" s="24"/>
      <c r="R44" s="37"/>
      <c r="S44" s="23" t="s">
        <v>23</v>
      </c>
      <c r="T44" s="23"/>
      <c r="U44" s="23"/>
      <c r="V44" s="23" t="s">
        <v>23</v>
      </c>
      <c r="W44" s="23" t="s">
        <v>23</v>
      </c>
      <c r="X44" s="23" t="s">
        <v>23</v>
      </c>
      <c r="Y44" s="37"/>
      <c r="Z44" s="23" t="s">
        <v>23</v>
      </c>
      <c r="AA44" s="23" t="s">
        <v>23</v>
      </c>
      <c r="AB44" s="23" t="s">
        <v>23</v>
      </c>
      <c r="AC44" s="23" t="s">
        <v>23</v>
      </c>
      <c r="AD44" s="23" t="s">
        <v>23</v>
      </c>
      <c r="AE44" s="23" t="s">
        <v>23</v>
      </c>
      <c r="AF44" s="37"/>
      <c r="AG44" s="23" t="s">
        <v>23</v>
      </c>
      <c r="AH44" s="23" t="s">
        <v>23</v>
      </c>
      <c r="AI44" s="23" t="s">
        <v>23</v>
      </c>
      <c r="AJ44" s="23" t="s">
        <v>23</v>
      </c>
      <c r="AK44" s="5">
        <f t="shared" si="2"/>
        <v>24</v>
      </c>
      <c r="AL44" s="5">
        <f t="shared" si="1"/>
        <v>0</v>
      </c>
    </row>
    <row r="45" spans="1:38" x14ac:dyDescent="0.25">
      <c r="A45" s="6">
        <v>41</v>
      </c>
      <c r="B45" s="24">
        <v>854</v>
      </c>
      <c r="C45" s="24" t="s">
        <v>107</v>
      </c>
      <c r="D45" s="24" t="s">
        <v>117</v>
      </c>
      <c r="E45" s="7" t="s">
        <v>27</v>
      </c>
      <c r="F45" s="23" t="s">
        <v>23</v>
      </c>
      <c r="G45" s="23" t="s">
        <v>23</v>
      </c>
      <c r="H45" s="23" t="s">
        <v>23</v>
      </c>
      <c r="I45" s="23" t="s">
        <v>23</v>
      </c>
      <c r="J45" s="23" t="s">
        <v>23</v>
      </c>
      <c r="K45" s="37"/>
      <c r="L45" s="23" t="s">
        <v>23</v>
      </c>
      <c r="M45" s="23" t="s">
        <v>23</v>
      </c>
      <c r="N45" s="23" t="s">
        <v>23</v>
      </c>
      <c r="O45" s="23" t="s">
        <v>23</v>
      </c>
      <c r="P45" s="23" t="s">
        <v>23</v>
      </c>
      <c r="Q45" s="24"/>
      <c r="R45" s="37"/>
      <c r="S45" s="23" t="s">
        <v>23</v>
      </c>
      <c r="T45" s="23"/>
      <c r="U45" s="23"/>
      <c r="V45" s="23" t="s">
        <v>23</v>
      </c>
      <c r="W45" s="23" t="s">
        <v>23</v>
      </c>
      <c r="X45" s="23" t="s">
        <v>23</v>
      </c>
      <c r="Y45" s="37"/>
      <c r="Z45" s="23" t="s">
        <v>23</v>
      </c>
      <c r="AA45" s="23" t="s">
        <v>23</v>
      </c>
      <c r="AB45" s="23" t="s">
        <v>23</v>
      </c>
      <c r="AC45" s="23" t="s">
        <v>23</v>
      </c>
      <c r="AD45" s="23" t="s">
        <v>24</v>
      </c>
      <c r="AE45" s="23" t="s">
        <v>24</v>
      </c>
      <c r="AF45" s="37"/>
      <c r="AG45" s="23" t="s">
        <v>24</v>
      </c>
      <c r="AH45" s="23" t="s">
        <v>24</v>
      </c>
      <c r="AI45" s="23" t="s">
        <v>24</v>
      </c>
      <c r="AJ45" s="23" t="s">
        <v>24</v>
      </c>
      <c r="AK45" s="5">
        <f t="shared" si="2"/>
        <v>18</v>
      </c>
      <c r="AL45" s="5">
        <f t="shared" si="1"/>
        <v>5</v>
      </c>
    </row>
    <row r="46" spans="1:38" x14ac:dyDescent="0.25">
      <c r="A46" s="8">
        <v>42</v>
      </c>
      <c r="B46" s="24">
        <v>863</v>
      </c>
      <c r="C46" s="24" t="s">
        <v>118</v>
      </c>
      <c r="D46" s="24" t="s">
        <v>119</v>
      </c>
      <c r="E46" s="7" t="s">
        <v>27</v>
      </c>
      <c r="F46" s="23" t="s">
        <v>23</v>
      </c>
      <c r="G46" s="23" t="s">
        <v>23</v>
      </c>
      <c r="H46" s="23" t="s">
        <v>23</v>
      </c>
      <c r="I46" s="23" t="s">
        <v>23</v>
      </c>
      <c r="J46" s="23" t="s">
        <v>23</v>
      </c>
      <c r="K46" s="37"/>
      <c r="L46" s="23" t="s">
        <v>23</v>
      </c>
      <c r="M46" s="23" t="s">
        <v>23</v>
      </c>
      <c r="N46" s="23" t="s">
        <v>23</v>
      </c>
      <c r="O46" s="23" t="s">
        <v>23</v>
      </c>
      <c r="P46" s="23" t="s">
        <v>23</v>
      </c>
      <c r="Q46" s="24"/>
      <c r="R46" s="37"/>
      <c r="S46" s="23" t="s">
        <v>23</v>
      </c>
      <c r="T46" s="23"/>
      <c r="U46" s="23"/>
      <c r="V46" s="23" t="s">
        <v>23</v>
      </c>
      <c r="W46" s="23" t="s">
        <v>23</v>
      </c>
      <c r="X46" s="23" t="s">
        <v>23</v>
      </c>
      <c r="Y46" s="37"/>
      <c r="Z46" s="23" t="s">
        <v>23</v>
      </c>
      <c r="AA46" s="23" t="s">
        <v>23</v>
      </c>
      <c r="AB46" s="23" t="s">
        <v>23</v>
      </c>
      <c r="AC46" s="23" t="s">
        <v>23</v>
      </c>
      <c r="AD46" s="23" t="s">
        <v>23</v>
      </c>
      <c r="AE46" s="23" t="s">
        <v>24</v>
      </c>
      <c r="AF46" s="37"/>
      <c r="AG46" s="23" t="s">
        <v>23</v>
      </c>
      <c r="AH46" s="23" t="s">
        <v>23</v>
      </c>
      <c r="AI46" s="23" t="s">
        <v>23</v>
      </c>
      <c r="AJ46" s="23" t="s">
        <v>23</v>
      </c>
      <c r="AK46" s="5">
        <f t="shared" si="2"/>
        <v>23</v>
      </c>
      <c r="AL46" s="5">
        <f t="shared" si="1"/>
        <v>1</v>
      </c>
    </row>
    <row r="47" spans="1:38" x14ac:dyDescent="0.25">
      <c r="A47" s="25">
        <v>43</v>
      </c>
      <c r="B47" s="26">
        <v>902</v>
      </c>
      <c r="C47" s="26" t="s">
        <v>120</v>
      </c>
      <c r="D47" s="26" t="s">
        <v>121</v>
      </c>
      <c r="E47" s="7" t="s">
        <v>27</v>
      </c>
      <c r="F47" s="23" t="s">
        <v>23</v>
      </c>
      <c r="G47" s="23" t="s">
        <v>24</v>
      </c>
      <c r="H47" s="23" t="s">
        <v>23</v>
      </c>
      <c r="I47" s="23" t="s">
        <v>23</v>
      </c>
      <c r="J47" s="23" t="s">
        <v>24</v>
      </c>
      <c r="K47" s="37"/>
      <c r="L47" s="23" t="s">
        <v>24</v>
      </c>
      <c r="M47" s="23" t="s">
        <v>24</v>
      </c>
      <c r="N47" s="23" t="s">
        <v>24</v>
      </c>
      <c r="O47" s="23" t="s">
        <v>24</v>
      </c>
      <c r="P47" s="23" t="s">
        <v>23</v>
      </c>
      <c r="Q47" s="24"/>
      <c r="R47" s="37"/>
      <c r="S47" s="23" t="s">
        <v>23</v>
      </c>
      <c r="T47" s="23"/>
      <c r="U47" s="23"/>
      <c r="V47" s="23" t="s">
        <v>23</v>
      </c>
      <c r="W47" s="23" t="s">
        <v>23</v>
      </c>
      <c r="X47" s="23" t="s">
        <v>24</v>
      </c>
      <c r="Y47" s="37"/>
      <c r="Z47" s="23" t="s">
        <v>23</v>
      </c>
      <c r="AA47" s="23" t="s">
        <v>25</v>
      </c>
      <c r="AB47" s="23" t="s">
        <v>24</v>
      </c>
      <c r="AC47" s="23" t="s">
        <v>24</v>
      </c>
      <c r="AD47" s="23" t="s">
        <v>24</v>
      </c>
      <c r="AE47" s="23" t="s">
        <v>23</v>
      </c>
      <c r="AF47" s="37"/>
      <c r="AG47" s="23" t="s">
        <v>23</v>
      </c>
      <c r="AH47" s="23" t="s">
        <v>23</v>
      </c>
      <c r="AI47" s="23" t="s">
        <v>23</v>
      </c>
      <c r="AJ47" s="23" t="s">
        <v>23</v>
      </c>
      <c r="AK47" s="5">
        <f t="shared" si="2"/>
        <v>13</v>
      </c>
      <c r="AL47" s="27">
        <f t="shared" si="1"/>
        <v>10</v>
      </c>
    </row>
    <row r="48" spans="1:38" x14ac:dyDescent="0.25">
      <c r="A48" s="8">
        <v>43</v>
      </c>
      <c r="B48" s="24">
        <v>886</v>
      </c>
      <c r="C48" s="24" t="s">
        <v>122</v>
      </c>
      <c r="D48" s="24" t="s">
        <v>123</v>
      </c>
      <c r="E48" s="7" t="s">
        <v>27</v>
      </c>
      <c r="F48" s="23" t="s">
        <v>23</v>
      </c>
      <c r="G48" s="23" t="s">
        <v>23</v>
      </c>
      <c r="H48" s="23" t="s">
        <v>23</v>
      </c>
      <c r="I48" s="23" t="s">
        <v>23</v>
      </c>
      <c r="J48" s="23" t="s">
        <v>23</v>
      </c>
      <c r="K48" s="38"/>
      <c r="L48" s="23" t="s">
        <v>23</v>
      </c>
      <c r="M48" s="23" t="s">
        <v>23</v>
      </c>
      <c r="N48" s="23" t="s">
        <v>23</v>
      </c>
      <c r="O48" s="23" t="s">
        <v>23</v>
      </c>
      <c r="P48" s="23" t="s">
        <v>23</v>
      </c>
      <c r="Q48" s="24"/>
      <c r="R48" s="38"/>
      <c r="S48" s="23" t="s">
        <v>23</v>
      </c>
      <c r="T48" s="23"/>
      <c r="U48" s="23"/>
      <c r="V48" s="23" t="s">
        <v>23</v>
      </c>
      <c r="W48" s="23" t="s">
        <v>23</v>
      </c>
      <c r="X48" s="23" t="s">
        <v>23</v>
      </c>
      <c r="Y48" s="38"/>
      <c r="Z48" s="23" t="s">
        <v>23</v>
      </c>
      <c r="AA48" s="23" t="s">
        <v>23</v>
      </c>
      <c r="AB48" s="23" t="s">
        <v>23</v>
      </c>
      <c r="AC48" s="23" t="s">
        <v>23</v>
      </c>
      <c r="AD48" s="23" t="s">
        <v>23</v>
      </c>
      <c r="AE48" s="23" t="s">
        <v>23</v>
      </c>
      <c r="AF48" s="38"/>
      <c r="AG48" s="23" t="s">
        <v>23</v>
      </c>
      <c r="AH48" s="23" t="s">
        <v>23</v>
      </c>
      <c r="AI48" s="23" t="s">
        <v>23</v>
      </c>
      <c r="AJ48" s="23" t="s">
        <v>23</v>
      </c>
      <c r="AK48" s="5">
        <f t="shared" si="2"/>
        <v>24</v>
      </c>
      <c r="AL48" s="5">
        <f t="shared" si="1"/>
        <v>0</v>
      </c>
    </row>
  </sheetData>
  <mergeCells count="16"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  <mergeCell ref="K5:K48"/>
    <mergeCell ref="R5:R48"/>
    <mergeCell ref="Y5:Y48"/>
    <mergeCell ref="AF5:AF48"/>
  </mergeCells>
  <phoneticPr fontId="10" type="noConversion"/>
  <conditionalFormatting sqref="B5:B20">
    <cfRule type="duplicateValues" dxfId="66" priority="9"/>
    <cfRule type="duplicateValues" dxfId="65" priority="10"/>
  </conditionalFormatting>
  <conditionalFormatting sqref="B21">
    <cfRule type="duplicateValues" dxfId="64" priority="7"/>
    <cfRule type="duplicateValues" dxfId="63" priority="8"/>
  </conditionalFormatting>
  <conditionalFormatting sqref="B22:B28">
    <cfRule type="duplicateValues" dxfId="62" priority="3"/>
    <cfRule type="duplicateValues" dxfId="61" priority="4"/>
  </conditionalFormatting>
  <conditionalFormatting sqref="B29">
    <cfRule type="duplicateValues" dxfId="60" priority="11"/>
  </conditionalFormatting>
  <conditionalFormatting sqref="B30:B36">
    <cfRule type="duplicateValues" dxfId="59" priority="1"/>
    <cfRule type="duplicateValues" dxfId="58" priority="2"/>
  </conditionalFormatting>
  <conditionalFormatting sqref="B37">
    <cfRule type="duplicateValues" dxfId="57" priority="5"/>
    <cfRule type="duplicateValues" dxfId="56" priority="6"/>
  </conditionalFormatting>
  <conditionalFormatting sqref="F3:AJ4 L37:P48 F6:J48 L6:Q36 S5:X48 F5:R5 Z5:AE48 Y5 AG5:AJ48 AF5">
    <cfRule type="expression" dxfId="55" priority="27">
      <formula>F$3="Sun"</formula>
    </cfRule>
  </conditionalFormatting>
  <conditionalFormatting sqref="F4:AJ4 L37:P48 F6:J48 L6:Q36 S5:X48 F5:R5 Z5:AE48 Y5 AG5:AJ48 AF5">
    <cfRule type="expression" dxfId="54" priority="26">
      <formula>IF(F$4=TODAY(),TRUE,FALSE)</formula>
    </cfRule>
  </conditionalFormatting>
  <conditionalFormatting sqref="L37:P48 F6:J48 L6:Q36 S5:X48 F5:R5 Z5:AE48 Y5 AG5:AJ48 AF5">
    <cfRule type="cellIs" dxfId="53" priority="18" operator="equal">
      <formula>"L"</formula>
    </cfRule>
    <cfRule type="cellIs" dxfId="52" priority="19" operator="equal">
      <formula>"A"</formula>
    </cfRule>
    <cfRule type="cellIs" dxfId="51" priority="20" operator="equal">
      <formula>"P"</formula>
    </cfRule>
  </conditionalFormatting>
  <conditionalFormatting sqref="AK3:AL3 AK5:AL48">
    <cfRule type="expression" dxfId="50" priority="28">
      <formula>#REF!="Sun"</formula>
    </cfRule>
  </conditionalFormatting>
  <conditionalFormatting sqref="AM5:AM6">
    <cfRule type="expression" dxfId="49" priority="16">
      <formula>#REF!="Sun"</formula>
    </cfRule>
  </conditionalFormatting>
  <conditionalFormatting sqref="AM9:AM12">
    <cfRule type="expression" dxfId="48" priority="14">
      <formula>#REF!="Sun"</formula>
    </cfRule>
  </conditionalFormatting>
  <conditionalFormatting sqref="AM17:AM20">
    <cfRule type="expression" dxfId="47" priority="13">
      <formula>#REF!="Sun"</formula>
    </cfRule>
  </conditionalFormatting>
  <conditionalFormatting sqref="AM4:AN4">
    <cfRule type="expression" dxfId="46" priority="17">
      <formula>#REF!="Sun"</formula>
    </cfRule>
  </conditionalFormatting>
  <conditionalFormatting sqref="AN9:AP9">
    <cfRule type="expression" dxfId="45" priority="15">
      <formula>#REF!="Sun"</formula>
    </cfRule>
  </conditionalFormatting>
  <conditionalFormatting sqref="AN17:AP17">
    <cfRule type="expression" dxfId="44" priority="12">
      <formula>#REF!="Sun"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46"/>
  <sheetViews>
    <sheetView zoomScale="93" zoomScaleNormal="93" workbookViewId="0">
      <selection activeCell="AC5" sqref="AC5:AC4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</row>
    <row r="2" spans="1:41" ht="17.25" x14ac:dyDescent="0.3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41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5" t="s">
        <v>5</v>
      </c>
      <c r="AK3" s="35" t="s">
        <v>6</v>
      </c>
      <c r="AL3" s="28" t="s">
        <v>20</v>
      </c>
      <c r="AM3" s="29"/>
      <c r="AN3" s="3"/>
      <c r="AO3" s="3"/>
    </row>
    <row r="4" spans="1:41" ht="37.5" x14ac:dyDescent="0.25">
      <c r="A4" s="34"/>
      <c r="B4" s="34"/>
      <c r="C4" s="34"/>
      <c r="D4" s="34"/>
      <c r="E4" s="34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5"/>
      <c r="AK4" s="35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23" t="s">
        <v>23</v>
      </c>
      <c r="G5" s="23" t="s">
        <v>23</v>
      </c>
      <c r="H5" s="36" t="s">
        <v>127</v>
      </c>
      <c r="I5" s="23" t="s">
        <v>23</v>
      </c>
      <c r="J5" s="23" t="s">
        <v>23</v>
      </c>
      <c r="K5" s="23" t="s">
        <v>23</v>
      </c>
      <c r="L5" s="23" t="s">
        <v>24</v>
      </c>
      <c r="M5" s="23" t="s">
        <v>23</v>
      </c>
      <c r="N5" s="23"/>
      <c r="O5" s="36" t="s">
        <v>127</v>
      </c>
      <c r="P5" s="23" t="s">
        <v>23</v>
      </c>
      <c r="Q5" s="23" t="s">
        <v>23</v>
      </c>
      <c r="R5" s="23" t="s">
        <v>23</v>
      </c>
      <c r="S5" s="23" t="s">
        <v>23</v>
      </c>
      <c r="T5" s="23" t="s">
        <v>24</v>
      </c>
      <c r="U5" s="23" t="s">
        <v>23</v>
      </c>
      <c r="V5" s="36" t="s">
        <v>127</v>
      </c>
      <c r="W5" s="23" t="s">
        <v>23</v>
      </c>
      <c r="X5" s="23" t="s">
        <v>23</v>
      </c>
      <c r="Y5" s="23" t="s">
        <v>23</v>
      </c>
      <c r="Z5" s="23" t="s">
        <v>23</v>
      </c>
      <c r="AA5" s="23" t="s">
        <v>23</v>
      </c>
      <c r="AB5" s="23" t="s">
        <v>24</v>
      </c>
      <c r="AC5" s="36" t="s">
        <v>127</v>
      </c>
      <c r="AD5" s="23" t="s">
        <v>24</v>
      </c>
      <c r="AE5" s="23" t="s">
        <v>124</v>
      </c>
      <c r="AF5" s="23" t="s">
        <v>23</v>
      </c>
      <c r="AG5" s="23" t="s">
        <v>23</v>
      </c>
      <c r="AH5" s="23"/>
      <c r="AI5" s="23" t="s">
        <v>23</v>
      </c>
      <c r="AJ5" s="5">
        <f t="shared" ref="AJ5:AJ46" si="1">COUNTIF(F5:AI5,"P")</f>
        <v>19</v>
      </c>
      <c r="AK5" s="5">
        <f t="shared" ref="AK5:AK46" si="2">COUNTIF(F5:AI5,"A")</f>
        <v>4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23" t="s">
        <v>23</v>
      </c>
      <c r="G6" s="23" t="s">
        <v>23</v>
      </c>
      <c r="H6" s="37"/>
      <c r="I6" s="23" t="s">
        <v>23</v>
      </c>
      <c r="J6" s="23" t="s">
        <v>25</v>
      </c>
      <c r="K6" s="23" t="s">
        <v>23</v>
      </c>
      <c r="L6" s="23" t="s">
        <v>23</v>
      </c>
      <c r="M6" s="23" t="s">
        <v>24</v>
      </c>
      <c r="N6" s="23"/>
      <c r="O6" s="37"/>
      <c r="P6" s="23" t="s">
        <v>25</v>
      </c>
      <c r="Q6" s="23" t="s">
        <v>25</v>
      </c>
      <c r="R6" s="23" t="s">
        <v>25</v>
      </c>
      <c r="S6" s="23" t="s">
        <v>25</v>
      </c>
      <c r="T6" s="23" t="s">
        <v>25</v>
      </c>
      <c r="U6" s="23" t="s">
        <v>25</v>
      </c>
      <c r="V6" s="37"/>
      <c r="W6" s="23" t="s">
        <v>24</v>
      </c>
      <c r="X6" s="23" t="s">
        <v>24</v>
      </c>
      <c r="Y6" s="23" t="s">
        <v>24</v>
      </c>
      <c r="Z6" s="23" t="s">
        <v>24</v>
      </c>
      <c r="AA6" s="23" t="s">
        <v>24</v>
      </c>
      <c r="AB6" s="23" t="s">
        <v>24</v>
      </c>
      <c r="AC6" s="37"/>
      <c r="AD6" s="23" t="s">
        <v>23</v>
      </c>
      <c r="AE6" s="23" t="s">
        <v>23</v>
      </c>
      <c r="AF6" s="23" t="s">
        <v>124</v>
      </c>
      <c r="AG6" s="23" t="s">
        <v>23</v>
      </c>
      <c r="AH6" s="23"/>
      <c r="AI6" s="23" t="s">
        <v>23</v>
      </c>
      <c r="AJ6" s="5">
        <f t="shared" si="1"/>
        <v>9</v>
      </c>
      <c r="AK6" s="5">
        <f t="shared" si="2"/>
        <v>7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23" t="s">
        <v>23</v>
      </c>
      <c r="G7" s="23" t="s">
        <v>23</v>
      </c>
      <c r="H7" s="37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23"/>
      <c r="O7" s="37"/>
      <c r="P7" s="23" t="s">
        <v>23</v>
      </c>
      <c r="Q7" s="23" t="s">
        <v>23</v>
      </c>
      <c r="R7" s="23" t="s">
        <v>23</v>
      </c>
      <c r="S7" s="23" t="s">
        <v>23</v>
      </c>
      <c r="T7" s="23" t="s">
        <v>23</v>
      </c>
      <c r="U7" s="23" t="s">
        <v>23</v>
      </c>
      <c r="V7" s="37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23</v>
      </c>
      <c r="AC7" s="37"/>
      <c r="AD7" s="23" t="s">
        <v>23</v>
      </c>
      <c r="AE7" s="23" t="s">
        <v>23</v>
      </c>
      <c r="AF7" s="23" t="s">
        <v>23</v>
      </c>
      <c r="AG7" s="23" t="s">
        <v>23</v>
      </c>
      <c r="AH7" s="23"/>
      <c r="AI7" s="23" t="s">
        <v>23</v>
      </c>
      <c r="AJ7" s="5">
        <f t="shared" si="1"/>
        <v>24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23" t="s">
        <v>23</v>
      </c>
      <c r="G8" s="23" t="s">
        <v>23</v>
      </c>
      <c r="H8" s="37"/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23"/>
      <c r="O8" s="37"/>
      <c r="P8" s="23" t="s">
        <v>23</v>
      </c>
      <c r="Q8" s="23" t="s">
        <v>24</v>
      </c>
      <c r="R8" s="23" t="s">
        <v>23</v>
      </c>
      <c r="S8" s="23" t="s">
        <v>23</v>
      </c>
      <c r="T8" s="23" t="s">
        <v>23</v>
      </c>
      <c r="U8" s="23" t="s">
        <v>23</v>
      </c>
      <c r="V8" s="37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23</v>
      </c>
      <c r="AB8" s="23" t="s">
        <v>23</v>
      </c>
      <c r="AC8" s="37"/>
      <c r="AD8" s="23" t="s">
        <v>23</v>
      </c>
      <c r="AE8" s="23" t="s">
        <v>23</v>
      </c>
      <c r="AF8" s="23" t="s">
        <v>23</v>
      </c>
      <c r="AG8" s="23" t="s">
        <v>23</v>
      </c>
      <c r="AH8" s="23"/>
      <c r="AI8" s="23" t="s">
        <v>23</v>
      </c>
      <c r="AJ8" s="5">
        <f t="shared" si="1"/>
        <v>23</v>
      </c>
      <c r="AK8" s="5">
        <f t="shared" si="2"/>
        <v>1</v>
      </c>
      <c r="AL8" s="28" t="s">
        <v>11</v>
      </c>
      <c r="AM8" s="29"/>
      <c r="AN8" s="29"/>
      <c r="AO8" s="30"/>
    </row>
    <row r="9" spans="1:41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23" t="s">
        <v>23</v>
      </c>
      <c r="G9" s="23" t="s">
        <v>23</v>
      </c>
      <c r="H9" s="37"/>
      <c r="I9" s="23" t="s">
        <v>23</v>
      </c>
      <c r="J9" s="23" t="s">
        <v>23</v>
      </c>
      <c r="K9" s="23" t="s">
        <v>23</v>
      </c>
      <c r="L9" s="23" t="s">
        <v>23</v>
      </c>
      <c r="M9" s="23" t="s">
        <v>23</v>
      </c>
      <c r="N9" s="23"/>
      <c r="O9" s="37"/>
      <c r="P9" s="23" t="s">
        <v>23</v>
      </c>
      <c r="Q9" s="23" t="s">
        <v>23</v>
      </c>
      <c r="R9" s="23" t="s">
        <v>23</v>
      </c>
      <c r="S9" s="23" t="s">
        <v>23</v>
      </c>
      <c r="T9" s="23" t="s">
        <v>23</v>
      </c>
      <c r="U9" s="23" t="s">
        <v>23</v>
      </c>
      <c r="V9" s="37"/>
      <c r="W9" s="23" t="s">
        <v>23</v>
      </c>
      <c r="X9" s="23" t="s">
        <v>23</v>
      </c>
      <c r="Y9" s="23" t="s">
        <v>23</v>
      </c>
      <c r="Z9" s="23" t="s">
        <v>23</v>
      </c>
      <c r="AA9" s="23" t="s">
        <v>24</v>
      </c>
      <c r="AB9" s="23" t="s">
        <v>24</v>
      </c>
      <c r="AC9" s="37"/>
      <c r="AD9" s="23" t="s">
        <v>24</v>
      </c>
      <c r="AE9" s="23" t="s">
        <v>23</v>
      </c>
      <c r="AF9" s="23" t="s">
        <v>23</v>
      </c>
      <c r="AG9" s="23" t="s">
        <v>23</v>
      </c>
      <c r="AH9" s="23"/>
      <c r="AI9" s="23" t="s">
        <v>23</v>
      </c>
      <c r="AJ9" s="5">
        <f t="shared" si="1"/>
        <v>21</v>
      </c>
      <c r="AK9" s="5">
        <f t="shared" si="2"/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23" t="s">
        <v>23</v>
      </c>
      <c r="G10" s="23" t="s">
        <v>23</v>
      </c>
      <c r="H10" s="37"/>
      <c r="I10" s="23" t="s">
        <v>23</v>
      </c>
      <c r="J10" s="23" t="s">
        <v>23</v>
      </c>
      <c r="K10" s="23" t="s">
        <v>23</v>
      </c>
      <c r="L10" s="23" t="s">
        <v>24</v>
      </c>
      <c r="M10" s="23" t="s">
        <v>23</v>
      </c>
      <c r="N10" s="23"/>
      <c r="O10" s="37"/>
      <c r="P10" s="23" t="s">
        <v>23</v>
      </c>
      <c r="Q10" s="23" t="s">
        <v>24</v>
      </c>
      <c r="R10" s="23" t="s">
        <v>23</v>
      </c>
      <c r="S10" s="23" t="s">
        <v>23</v>
      </c>
      <c r="T10" s="23" t="s">
        <v>24</v>
      </c>
      <c r="U10" s="23" t="s">
        <v>23</v>
      </c>
      <c r="V10" s="37"/>
      <c r="W10" s="23" t="s">
        <v>24</v>
      </c>
      <c r="X10" s="23" t="s">
        <v>24</v>
      </c>
      <c r="Y10" s="23" t="s">
        <v>23</v>
      </c>
      <c r="Z10" s="23" t="s">
        <v>23</v>
      </c>
      <c r="AA10" s="23" t="s">
        <v>23</v>
      </c>
      <c r="AB10" s="23" t="s">
        <v>24</v>
      </c>
      <c r="AC10" s="37"/>
      <c r="AD10" s="23" t="s">
        <v>23</v>
      </c>
      <c r="AE10" s="23" t="s">
        <v>23</v>
      </c>
      <c r="AF10" s="23" t="s">
        <v>23</v>
      </c>
      <c r="AG10" s="23" t="s">
        <v>23</v>
      </c>
      <c r="AH10" s="23"/>
      <c r="AI10" s="23" t="s">
        <v>124</v>
      </c>
      <c r="AJ10" s="5">
        <f t="shared" si="1"/>
        <v>17</v>
      </c>
      <c r="AK10" s="5">
        <f t="shared" si="2"/>
        <v>6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23" t="s">
        <v>23</v>
      </c>
      <c r="G11" s="23" t="s">
        <v>23</v>
      </c>
      <c r="H11" s="37"/>
      <c r="I11" s="23" t="s">
        <v>23</v>
      </c>
      <c r="J11" s="23" t="s">
        <v>23</v>
      </c>
      <c r="K11" s="23" t="s">
        <v>23</v>
      </c>
      <c r="L11" s="23" t="s">
        <v>23</v>
      </c>
      <c r="M11" s="23" t="s">
        <v>23</v>
      </c>
      <c r="N11" s="23"/>
      <c r="O11" s="37"/>
      <c r="P11" s="23" t="s">
        <v>23</v>
      </c>
      <c r="Q11" s="23" t="s">
        <v>23</v>
      </c>
      <c r="R11" s="23" t="s">
        <v>23</v>
      </c>
      <c r="S11" s="23" t="s">
        <v>23</v>
      </c>
      <c r="T11" s="23" t="s">
        <v>23</v>
      </c>
      <c r="U11" s="23" t="s">
        <v>23</v>
      </c>
      <c r="V11" s="37"/>
      <c r="W11" s="23" t="s">
        <v>23</v>
      </c>
      <c r="X11" s="23" t="s">
        <v>23</v>
      </c>
      <c r="Y11" s="23" t="s">
        <v>23</v>
      </c>
      <c r="Z11" s="23" t="s">
        <v>23</v>
      </c>
      <c r="AA11" s="23" t="s">
        <v>23</v>
      </c>
      <c r="AB11" s="23" t="s">
        <v>23</v>
      </c>
      <c r="AC11" s="37"/>
      <c r="AD11" s="23" t="s">
        <v>23</v>
      </c>
      <c r="AE11" s="23" t="s">
        <v>23</v>
      </c>
      <c r="AF11" s="23" t="s">
        <v>124</v>
      </c>
      <c r="AG11" s="23" t="s">
        <v>23</v>
      </c>
      <c r="AH11" s="23"/>
      <c r="AI11" s="23" t="s">
        <v>23</v>
      </c>
      <c r="AJ11" s="5">
        <f t="shared" si="1"/>
        <v>23</v>
      </c>
      <c r="AK11" s="5">
        <f t="shared" si="2"/>
        <v>0</v>
      </c>
      <c r="AL11" s="5" t="s">
        <v>17</v>
      </c>
      <c r="AM11" s="8">
        <f>AJ30+AJ31+AJ34++AJ43</f>
        <v>67</v>
      </c>
      <c r="AN11" s="8">
        <f>AJ29+AJ32+AJ33+AJ35+AJ36+AJ37+AJ38+AJ39+AJ40+AJ41+AJ42+AJ44+AJ45</f>
        <v>229</v>
      </c>
      <c r="AO11" s="8">
        <f>AM11+AN11</f>
        <v>296</v>
      </c>
    </row>
    <row r="12" spans="1:41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23" t="s">
        <v>23</v>
      </c>
      <c r="G12" s="23" t="s">
        <v>23</v>
      </c>
      <c r="H12" s="37"/>
      <c r="I12" s="23" t="s">
        <v>23</v>
      </c>
      <c r="J12" s="23" t="s">
        <v>23</v>
      </c>
      <c r="K12" s="23" t="s">
        <v>23</v>
      </c>
      <c r="L12" s="23" t="s">
        <v>23</v>
      </c>
      <c r="M12" s="23" t="s">
        <v>23</v>
      </c>
      <c r="N12" s="23"/>
      <c r="O12" s="37"/>
      <c r="P12" s="23" t="s">
        <v>23</v>
      </c>
      <c r="Q12" s="23" t="s">
        <v>23</v>
      </c>
      <c r="R12" s="23" t="s">
        <v>23</v>
      </c>
      <c r="S12" s="23" t="s">
        <v>23</v>
      </c>
      <c r="T12" s="23" t="s">
        <v>23</v>
      </c>
      <c r="U12" s="23" t="s">
        <v>23</v>
      </c>
      <c r="V12" s="37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37"/>
      <c r="AD12" s="23" t="s">
        <v>23</v>
      </c>
      <c r="AE12" s="23" t="s">
        <v>23</v>
      </c>
      <c r="AF12" s="23" t="s">
        <v>124</v>
      </c>
      <c r="AG12" s="23" t="s">
        <v>23</v>
      </c>
      <c r="AH12" s="23"/>
      <c r="AI12" s="23" t="s">
        <v>23</v>
      </c>
      <c r="AJ12" s="5">
        <f t="shared" si="1"/>
        <v>23</v>
      </c>
      <c r="AK12" s="5">
        <f t="shared" si="2"/>
        <v>0</v>
      </c>
      <c r="AL12" s="5" t="s">
        <v>18</v>
      </c>
      <c r="AM12" s="8">
        <f>AM11/AM10</f>
        <v>0.13562753036437247</v>
      </c>
      <c r="AN12" s="8">
        <f>AN11/AN10</f>
        <v>0.41941391941391942</v>
      </c>
      <c r="AO12" s="8">
        <f>AO11/AO10</f>
        <v>0.2846153846153846</v>
      </c>
    </row>
    <row r="13" spans="1:41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23" t="s">
        <v>23</v>
      </c>
      <c r="G13" s="23" t="s">
        <v>23</v>
      </c>
      <c r="H13" s="37"/>
      <c r="I13" s="23" t="s">
        <v>23</v>
      </c>
      <c r="J13" s="23" t="s">
        <v>23</v>
      </c>
      <c r="K13" s="23" t="s">
        <v>23</v>
      </c>
      <c r="L13" s="23" t="s">
        <v>23</v>
      </c>
      <c r="M13" s="23" t="s">
        <v>23</v>
      </c>
      <c r="N13" s="23"/>
      <c r="O13" s="37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37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37"/>
      <c r="AD13" s="23" t="s">
        <v>23</v>
      </c>
      <c r="AE13" s="23" t="s">
        <v>23</v>
      </c>
      <c r="AF13" s="23" t="s">
        <v>23</v>
      </c>
      <c r="AG13" s="23" t="s">
        <v>23</v>
      </c>
      <c r="AH13" s="23"/>
      <c r="AI13" s="23" t="s">
        <v>23</v>
      </c>
      <c r="AJ13" s="5">
        <f t="shared" si="1"/>
        <v>24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23" t="s">
        <v>23</v>
      </c>
      <c r="G14" s="23" t="s">
        <v>23</v>
      </c>
      <c r="H14" s="37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24</v>
      </c>
      <c r="N14" s="23"/>
      <c r="O14" s="37"/>
      <c r="P14" s="23" t="s">
        <v>23</v>
      </c>
      <c r="Q14" s="23" t="s">
        <v>23</v>
      </c>
      <c r="R14" s="23" t="s">
        <v>23</v>
      </c>
      <c r="S14" s="23" t="s">
        <v>23</v>
      </c>
      <c r="T14" s="23" t="s">
        <v>23</v>
      </c>
      <c r="U14" s="23" t="s">
        <v>24</v>
      </c>
      <c r="V14" s="37"/>
      <c r="W14" s="23" t="s">
        <v>24</v>
      </c>
      <c r="X14" s="23" t="s">
        <v>23</v>
      </c>
      <c r="Y14" s="23" t="s">
        <v>23</v>
      </c>
      <c r="Z14" s="23" t="s">
        <v>23</v>
      </c>
      <c r="AA14" s="23" t="s">
        <v>23</v>
      </c>
      <c r="AB14" s="23" t="s">
        <v>23</v>
      </c>
      <c r="AC14" s="37"/>
      <c r="AD14" s="23" t="s">
        <v>24</v>
      </c>
      <c r="AE14" s="23" t="s">
        <v>124</v>
      </c>
      <c r="AF14" s="23" t="s">
        <v>23</v>
      </c>
      <c r="AG14" s="23" t="s">
        <v>23</v>
      </c>
      <c r="AH14" s="23"/>
      <c r="AI14" s="23" t="s">
        <v>24</v>
      </c>
      <c r="AJ14" s="5">
        <f t="shared" si="1"/>
        <v>18</v>
      </c>
      <c r="AK14" s="5">
        <f t="shared" si="2"/>
        <v>5</v>
      </c>
      <c r="AL14" s="12"/>
      <c r="AM14" s="12"/>
      <c r="AN14" s="12"/>
      <c r="AO14" s="12"/>
    </row>
    <row r="15" spans="1:41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23" t="s">
        <v>23</v>
      </c>
      <c r="G15" s="23" t="s">
        <v>23</v>
      </c>
      <c r="H15" s="37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23"/>
      <c r="O15" s="37"/>
      <c r="P15" s="23" t="s">
        <v>23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24</v>
      </c>
      <c r="V15" s="37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23</v>
      </c>
      <c r="AC15" s="37"/>
      <c r="AD15" s="23" t="s">
        <v>23</v>
      </c>
      <c r="AE15" s="23" t="s">
        <v>23</v>
      </c>
      <c r="AF15" s="23" t="s">
        <v>23</v>
      </c>
      <c r="AG15" s="23" t="s">
        <v>23</v>
      </c>
      <c r="AH15" s="23"/>
      <c r="AI15" s="23" t="s">
        <v>23</v>
      </c>
      <c r="AJ15" s="5">
        <f t="shared" si="1"/>
        <v>23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23" t="s">
        <v>23</v>
      </c>
      <c r="G16" s="23" t="s">
        <v>23</v>
      </c>
      <c r="H16" s="37"/>
      <c r="I16" s="23" t="s">
        <v>23</v>
      </c>
      <c r="J16" s="23" t="s">
        <v>23</v>
      </c>
      <c r="K16" s="23" t="s">
        <v>23</v>
      </c>
      <c r="L16" s="23" t="s">
        <v>23</v>
      </c>
      <c r="M16" s="23" t="s">
        <v>23</v>
      </c>
      <c r="N16" s="23"/>
      <c r="O16" s="37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24</v>
      </c>
      <c r="U16" s="23" t="s">
        <v>23</v>
      </c>
      <c r="V16" s="37"/>
      <c r="W16" s="23" t="s">
        <v>24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23</v>
      </c>
      <c r="AC16" s="37"/>
      <c r="AD16" s="23" t="s">
        <v>23</v>
      </c>
      <c r="AE16" s="23" t="s">
        <v>23</v>
      </c>
      <c r="AF16" s="23" t="s">
        <v>23</v>
      </c>
      <c r="AG16" s="23" t="s">
        <v>23</v>
      </c>
      <c r="AH16" s="23"/>
      <c r="AI16" s="23" t="s">
        <v>23</v>
      </c>
      <c r="AJ16" s="5">
        <f t="shared" si="1"/>
        <v>22</v>
      </c>
      <c r="AK16" s="5">
        <f t="shared" si="2"/>
        <v>2</v>
      </c>
      <c r="AL16" s="28" t="s">
        <v>6</v>
      </c>
      <c r="AM16" s="29"/>
      <c r="AN16" s="29"/>
      <c r="AO16" s="30"/>
    </row>
    <row r="17" spans="1:41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23" t="s">
        <v>23</v>
      </c>
      <c r="G17" s="23" t="s">
        <v>23</v>
      </c>
      <c r="H17" s="37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24</v>
      </c>
      <c r="N17" s="23"/>
      <c r="O17" s="37"/>
      <c r="P17" s="23" t="s">
        <v>23</v>
      </c>
      <c r="Q17" s="23" t="s">
        <v>23</v>
      </c>
      <c r="R17" s="23" t="s">
        <v>23</v>
      </c>
      <c r="S17" s="23" t="s">
        <v>23</v>
      </c>
      <c r="T17" s="23" t="s">
        <v>23</v>
      </c>
      <c r="U17" s="23" t="s">
        <v>23</v>
      </c>
      <c r="V17" s="37"/>
      <c r="W17" s="23" t="s">
        <v>23</v>
      </c>
      <c r="X17" s="23" t="s">
        <v>23</v>
      </c>
      <c r="Y17" s="23" t="s">
        <v>23</v>
      </c>
      <c r="Z17" s="23" t="s">
        <v>23</v>
      </c>
      <c r="AA17" s="23" t="s">
        <v>23</v>
      </c>
      <c r="AB17" s="23" t="s">
        <v>23</v>
      </c>
      <c r="AC17" s="37"/>
      <c r="AD17" s="23" t="s">
        <v>23</v>
      </c>
      <c r="AE17" s="23" t="s">
        <v>23</v>
      </c>
      <c r="AF17" s="23" t="s">
        <v>23</v>
      </c>
      <c r="AG17" s="23" t="s">
        <v>23</v>
      </c>
      <c r="AH17" s="23"/>
      <c r="AI17" s="23" t="s">
        <v>23</v>
      </c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23" t="s">
        <v>23</v>
      </c>
      <c r="G18" s="23" t="s">
        <v>23</v>
      </c>
      <c r="H18" s="37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24</v>
      </c>
      <c r="N18" s="23"/>
      <c r="O18" s="37"/>
      <c r="P18" s="23" t="s">
        <v>23</v>
      </c>
      <c r="Q18" s="23" t="s">
        <v>23</v>
      </c>
      <c r="R18" s="23" t="s">
        <v>23</v>
      </c>
      <c r="S18" s="23" t="s">
        <v>23</v>
      </c>
      <c r="T18" s="23" t="s">
        <v>23</v>
      </c>
      <c r="U18" s="23" t="s">
        <v>23</v>
      </c>
      <c r="V18" s="37"/>
      <c r="W18" s="23" t="s">
        <v>23</v>
      </c>
      <c r="X18" s="23" t="s">
        <v>23</v>
      </c>
      <c r="Y18" s="23" t="s">
        <v>23</v>
      </c>
      <c r="Z18" s="23" t="s">
        <v>23</v>
      </c>
      <c r="AA18" s="23" t="s">
        <v>23</v>
      </c>
      <c r="AB18" s="23" t="s">
        <v>23</v>
      </c>
      <c r="AC18" s="37"/>
      <c r="AD18" s="23" t="s">
        <v>23</v>
      </c>
      <c r="AE18" s="23" t="s">
        <v>23</v>
      </c>
      <c r="AF18" s="23" t="s">
        <v>23</v>
      </c>
      <c r="AG18" s="23" t="s">
        <v>23</v>
      </c>
      <c r="AH18" s="23"/>
      <c r="AI18" s="23" t="s">
        <v>23</v>
      </c>
      <c r="AJ18" s="5">
        <f t="shared" si="1"/>
        <v>23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23" t="s">
        <v>23</v>
      </c>
      <c r="G19" s="23" t="s">
        <v>23</v>
      </c>
      <c r="H19" s="37"/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  <c r="N19" s="23"/>
      <c r="O19" s="37"/>
      <c r="P19" s="23" t="s">
        <v>23</v>
      </c>
      <c r="Q19" s="23" t="s">
        <v>23</v>
      </c>
      <c r="R19" s="23" t="s">
        <v>23</v>
      </c>
      <c r="S19" s="23" t="s">
        <v>23</v>
      </c>
      <c r="T19" s="23" t="s">
        <v>23</v>
      </c>
      <c r="U19" s="23" t="s">
        <v>23</v>
      </c>
      <c r="V19" s="37"/>
      <c r="W19" s="23" t="s">
        <v>23</v>
      </c>
      <c r="X19" s="23" t="s">
        <v>23</v>
      </c>
      <c r="Y19" s="23" t="s">
        <v>24</v>
      </c>
      <c r="Z19" s="23" t="s">
        <v>23</v>
      </c>
      <c r="AA19" s="23" t="s">
        <v>23</v>
      </c>
      <c r="AB19" s="23" t="s">
        <v>23</v>
      </c>
      <c r="AC19" s="37"/>
      <c r="AD19" s="23" t="s">
        <v>23</v>
      </c>
      <c r="AE19" s="23" t="s">
        <v>23</v>
      </c>
      <c r="AF19" s="23" t="s">
        <v>23</v>
      </c>
      <c r="AG19" s="23" t="s">
        <v>23</v>
      </c>
      <c r="AH19" s="23"/>
      <c r="AI19" s="23" t="s">
        <v>23</v>
      </c>
      <c r="AJ19" s="5">
        <f t="shared" si="1"/>
        <v>23</v>
      </c>
      <c r="AK19" s="5">
        <f t="shared" si="2"/>
        <v>1</v>
      </c>
      <c r="AL19" s="5" t="s">
        <v>19</v>
      </c>
      <c r="AM19" s="8">
        <f>AM18-AM11</f>
        <v>427</v>
      </c>
      <c r="AN19" s="8">
        <f>AN18-AN11</f>
        <v>317</v>
      </c>
      <c r="AO19" s="8">
        <f>AM19+AN19</f>
        <v>744</v>
      </c>
    </row>
    <row r="20" spans="1:41" x14ac:dyDescent="0.25">
      <c r="A20" s="8">
        <v>16</v>
      </c>
      <c r="B20" s="10"/>
      <c r="C20" s="17" t="s">
        <v>36</v>
      </c>
      <c r="D20" s="16" t="s">
        <v>111</v>
      </c>
      <c r="E20" s="7" t="s">
        <v>27</v>
      </c>
      <c r="F20" s="23" t="s">
        <v>23</v>
      </c>
      <c r="G20" s="23" t="s">
        <v>23</v>
      </c>
      <c r="H20" s="37"/>
      <c r="I20" s="23" t="s">
        <v>23</v>
      </c>
      <c r="J20" s="23" t="s">
        <v>23</v>
      </c>
      <c r="K20" s="23" t="s">
        <v>23</v>
      </c>
      <c r="L20" s="23" t="s">
        <v>23</v>
      </c>
      <c r="M20" s="23" t="s">
        <v>23</v>
      </c>
      <c r="N20" s="23"/>
      <c r="O20" s="37"/>
      <c r="P20" s="23" t="s">
        <v>23</v>
      </c>
      <c r="Q20" s="23" t="s">
        <v>23</v>
      </c>
      <c r="R20" s="23" t="s">
        <v>23</v>
      </c>
      <c r="S20" s="23" t="s">
        <v>23</v>
      </c>
      <c r="T20" s="23" t="s">
        <v>23</v>
      </c>
      <c r="U20" s="23" t="s">
        <v>23</v>
      </c>
      <c r="V20" s="37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37"/>
      <c r="AD20" s="23" t="s">
        <v>23</v>
      </c>
      <c r="AE20" s="23" t="s">
        <v>23</v>
      </c>
      <c r="AF20" s="23" t="s">
        <v>23</v>
      </c>
      <c r="AG20" s="23" t="s">
        <v>23</v>
      </c>
      <c r="AH20" s="23"/>
      <c r="AI20" s="23" t="s">
        <v>23</v>
      </c>
      <c r="AJ20" s="5">
        <f t="shared" si="1"/>
        <v>24</v>
      </c>
      <c r="AK20" s="5">
        <f t="shared" si="2"/>
        <v>0</v>
      </c>
      <c r="AL20" s="5" t="s">
        <v>15</v>
      </c>
      <c r="AM20" s="13">
        <f>AM19/AM18</f>
        <v>0.86437246963562753</v>
      </c>
      <c r="AN20" s="13">
        <f>AN19/AN18</f>
        <v>0.58058608058608063</v>
      </c>
      <c r="AO20" s="13">
        <f>AO19/AO18</f>
        <v>0.7153846153846154</v>
      </c>
    </row>
    <row r="21" spans="1:41" x14ac:dyDescent="0.25">
      <c r="A21" s="6">
        <v>17</v>
      </c>
      <c r="B21" s="10">
        <v>856</v>
      </c>
      <c r="C21" s="17" t="s">
        <v>91</v>
      </c>
      <c r="D21" s="16" t="s">
        <v>39</v>
      </c>
      <c r="E21" s="7" t="s">
        <v>27</v>
      </c>
      <c r="F21" s="23" t="s">
        <v>23</v>
      </c>
      <c r="G21" s="23" t="s">
        <v>23</v>
      </c>
      <c r="H21" s="37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23</v>
      </c>
      <c r="N21" s="23"/>
      <c r="O21" s="37"/>
      <c r="P21" s="23" t="s">
        <v>23</v>
      </c>
      <c r="Q21" s="23" t="s">
        <v>23</v>
      </c>
      <c r="R21" s="23" t="s">
        <v>23</v>
      </c>
      <c r="S21" s="23" t="s">
        <v>23</v>
      </c>
      <c r="T21" s="23" t="s">
        <v>23</v>
      </c>
      <c r="U21" s="23" t="s">
        <v>23</v>
      </c>
      <c r="V21" s="37"/>
      <c r="W21" s="23" t="s">
        <v>23</v>
      </c>
      <c r="X21" s="23" t="s">
        <v>23</v>
      </c>
      <c r="Y21" s="23" t="s">
        <v>23</v>
      </c>
      <c r="Z21" s="23" t="s">
        <v>23</v>
      </c>
      <c r="AA21" s="23" t="s">
        <v>23</v>
      </c>
      <c r="AB21" s="23" t="s">
        <v>23</v>
      </c>
      <c r="AC21" s="37"/>
      <c r="AD21" s="23" t="s">
        <v>23</v>
      </c>
      <c r="AE21" s="23" t="s">
        <v>23</v>
      </c>
      <c r="AF21" s="23" t="s">
        <v>23</v>
      </c>
      <c r="AG21" s="23" t="s">
        <v>23</v>
      </c>
      <c r="AH21" s="23"/>
      <c r="AI21" s="23" t="s">
        <v>23</v>
      </c>
      <c r="AJ21" s="5">
        <f t="shared" si="1"/>
        <v>24</v>
      </c>
      <c r="AK21" s="5">
        <f t="shared" si="2"/>
        <v>0</v>
      </c>
    </row>
    <row r="22" spans="1:41" x14ac:dyDescent="0.25">
      <c r="A22" s="8">
        <v>18</v>
      </c>
      <c r="B22" s="10">
        <v>906</v>
      </c>
      <c r="C22" s="17" t="s">
        <v>56</v>
      </c>
      <c r="D22" s="16" t="s">
        <v>92</v>
      </c>
      <c r="E22" s="7" t="s">
        <v>27</v>
      </c>
      <c r="F22" s="23" t="s">
        <v>23</v>
      </c>
      <c r="G22" s="23" t="s">
        <v>23</v>
      </c>
      <c r="H22" s="37"/>
      <c r="I22" s="23" t="s">
        <v>24</v>
      </c>
      <c r="J22" s="23" t="s">
        <v>23</v>
      </c>
      <c r="K22" s="23" t="s">
        <v>24</v>
      </c>
      <c r="L22" s="23" t="s">
        <v>23</v>
      </c>
      <c r="M22" s="23" t="s">
        <v>23</v>
      </c>
      <c r="N22" s="23"/>
      <c r="O22" s="37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25</v>
      </c>
      <c r="U22" s="23" t="s">
        <v>23</v>
      </c>
      <c r="V22" s="37"/>
      <c r="W22" s="23" t="s">
        <v>23</v>
      </c>
      <c r="X22" s="23" t="s">
        <v>23</v>
      </c>
      <c r="Y22" s="23" t="s">
        <v>23</v>
      </c>
      <c r="Z22" s="23" t="s">
        <v>23</v>
      </c>
      <c r="AA22" s="23" t="s">
        <v>23</v>
      </c>
      <c r="AB22" s="23" t="s">
        <v>23</v>
      </c>
      <c r="AC22" s="37"/>
      <c r="AD22" s="23" t="s">
        <v>23</v>
      </c>
      <c r="AE22" s="23" t="s">
        <v>23</v>
      </c>
      <c r="AF22" s="23" t="s">
        <v>23</v>
      </c>
      <c r="AG22" s="23" t="s">
        <v>23</v>
      </c>
      <c r="AH22" s="23"/>
      <c r="AI22" s="23" t="s">
        <v>23</v>
      </c>
      <c r="AJ22" s="5">
        <f t="shared" si="1"/>
        <v>21</v>
      </c>
      <c r="AK22" s="5">
        <f t="shared" si="2"/>
        <v>2</v>
      </c>
    </row>
    <row r="23" spans="1:41" x14ac:dyDescent="0.25">
      <c r="A23" s="6">
        <v>19</v>
      </c>
      <c r="B23" s="10">
        <v>861</v>
      </c>
      <c r="C23" s="17" t="s">
        <v>93</v>
      </c>
      <c r="D23" s="16" t="s">
        <v>94</v>
      </c>
      <c r="E23" s="7" t="s">
        <v>27</v>
      </c>
      <c r="F23" s="23" t="s">
        <v>23</v>
      </c>
      <c r="G23" s="23" t="s">
        <v>23</v>
      </c>
      <c r="H23" s="37"/>
      <c r="I23" s="23" t="s">
        <v>23</v>
      </c>
      <c r="J23" s="23" t="s">
        <v>23</v>
      </c>
      <c r="K23" s="23" t="s">
        <v>23</v>
      </c>
      <c r="L23" s="23" t="s">
        <v>23</v>
      </c>
      <c r="M23" s="23" t="s">
        <v>24</v>
      </c>
      <c r="N23" s="23"/>
      <c r="O23" s="37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37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23</v>
      </c>
      <c r="AB23" s="23" t="s">
        <v>23</v>
      </c>
      <c r="AC23" s="37"/>
      <c r="AD23" s="23" t="s">
        <v>23</v>
      </c>
      <c r="AE23" s="23" t="s">
        <v>124</v>
      </c>
      <c r="AF23" s="23" t="s">
        <v>23</v>
      </c>
      <c r="AG23" s="23" t="s">
        <v>23</v>
      </c>
      <c r="AH23" s="23"/>
      <c r="AI23" s="23" t="s">
        <v>23</v>
      </c>
      <c r="AJ23" s="5">
        <f t="shared" si="1"/>
        <v>22</v>
      </c>
      <c r="AK23" s="5">
        <f t="shared" si="2"/>
        <v>1</v>
      </c>
    </row>
    <row r="24" spans="1:41" x14ac:dyDescent="0.25">
      <c r="A24" s="8">
        <v>20</v>
      </c>
      <c r="B24" s="10">
        <v>866</v>
      </c>
      <c r="C24" s="17" t="s">
        <v>95</v>
      </c>
      <c r="D24" s="16" t="s">
        <v>96</v>
      </c>
      <c r="E24" s="7" t="s">
        <v>27</v>
      </c>
      <c r="F24" s="23" t="s">
        <v>23</v>
      </c>
      <c r="G24" s="23" t="s">
        <v>23</v>
      </c>
      <c r="H24" s="37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23"/>
      <c r="O24" s="37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23</v>
      </c>
      <c r="V24" s="37"/>
      <c r="W24" s="23" t="s">
        <v>23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37"/>
      <c r="AD24" s="23" t="s">
        <v>24</v>
      </c>
      <c r="AE24" s="23" t="s">
        <v>23</v>
      </c>
      <c r="AF24" s="23" t="s">
        <v>23</v>
      </c>
      <c r="AG24" s="23" t="s">
        <v>23</v>
      </c>
      <c r="AH24" s="23"/>
      <c r="AI24" s="23" t="s">
        <v>24</v>
      </c>
      <c r="AJ24" s="5">
        <f t="shared" si="1"/>
        <v>22</v>
      </c>
      <c r="AK24" s="5">
        <f t="shared" si="2"/>
        <v>2</v>
      </c>
    </row>
    <row r="25" spans="1:41" x14ac:dyDescent="0.25">
      <c r="A25" s="6">
        <v>21</v>
      </c>
      <c r="B25" s="10">
        <v>846</v>
      </c>
      <c r="C25" s="17" t="s">
        <v>97</v>
      </c>
      <c r="D25" s="16" t="s">
        <v>98</v>
      </c>
      <c r="E25" s="7" t="s">
        <v>27</v>
      </c>
      <c r="F25" s="23" t="s">
        <v>23</v>
      </c>
      <c r="G25" s="23" t="s">
        <v>23</v>
      </c>
      <c r="H25" s="37"/>
      <c r="I25" s="23" t="s">
        <v>23</v>
      </c>
      <c r="J25" s="23" t="s">
        <v>23</v>
      </c>
      <c r="K25" s="23" t="s">
        <v>24</v>
      </c>
      <c r="L25" s="23" t="s">
        <v>23</v>
      </c>
      <c r="M25" s="23" t="s">
        <v>23</v>
      </c>
      <c r="N25" s="23"/>
      <c r="O25" s="37"/>
      <c r="P25" s="23" t="s">
        <v>23</v>
      </c>
      <c r="Q25" s="23" t="s">
        <v>23</v>
      </c>
      <c r="R25" s="23" t="s">
        <v>23</v>
      </c>
      <c r="S25" s="23" t="s">
        <v>23</v>
      </c>
      <c r="T25" s="23" t="s">
        <v>23</v>
      </c>
      <c r="U25" s="23" t="s">
        <v>23</v>
      </c>
      <c r="V25" s="37"/>
      <c r="W25" s="23" t="s">
        <v>23</v>
      </c>
      <c r="X25" s="23" t="s">
        <v>23</v>
      </c>
      <c r="Y25" s="23" t="s">
        <v>23</v>
      </c>
      <c r="Z25" s="23" t="s">
        <v>23</v>
      </c>
      <c r="AA25" s="23" t="s">
        <v>24</v>
      </c>
      <c r="AB25" s="23" t="s">
        <v>23</v>
      </c>
      <c r="AC25" s="37"/>
      <c r="AD25" s="23" t="s">
        <v>23</v>
      </c>
      <c r="AE25" s="23" t="s">
        <v>23</v>
      </c>
      <c r="AF25" s="23" t="s">
        <v>23</v>
      </c>
      <c r="AG25" s="23" t="s">
        <v>23</v>
      </c>
      <c r="AH25" s="23"/>
      <c r="AI25" s="23" t="s">
        <v>23</v>
      </c>
      <c r="AJ25" s="5">
        <f t="shared" si="1"/>
        <v>22</v>
      </c>
      <c r="AK25" s="5">
        <f t="shared" si="2"/>
        <v>2</v>
      </c>
    </row>
    <row r="26" spans="1:41" x14ac:dyDescent="0.25">
      <c r="A26" s="8">
        <v>22</v>
      </c>
      <c r="B26" s="10">
        <v>857</v>
      </c>
      <c r="C26" s="17" t="s">
        <v>95</v>
      </c>
      <c r="D26" s="17" t="s">
        <v>99</v>
      </c>
      <c r="E26" s="7" t="s">
        <v>27</v>
      </c>
      <c r="F26" s="23" t="s">
        <v>23</v>
      </c>
      <c r="G26" s="23" t="s">
        <v>23</v>
      </c>
      <c r="H26" s="37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23"/>
      <c r="O26" s="37"/>
      <c r="P26" s="23" t="s">
        <v>23</v>
      </c>
      <c r="Q26" s="23" t="s">
        <v>23</v>
      </c>
      <c r="R26" s="23" t="s">
        <v>23</v>
      </c>
      <c r="S26" s="23" t="s">
        <v>23</v>
      </c>
      <c r="T26" s="23" t="s">
        <v>23</v>
      </c>
      <c r="U26" s="23" t="s">
        <v>23</v>
      </c>
      <c r="V26" s="37"/>
      <c r="W26" s="23" t="s">
        <v>23</v>
      </c>
      <c r="X26" s="23" t="s">
        <v>23</v>
      </c>
      <c r="Y26" s="23" t="s">
        <v>23</v>
      </c>
      <c r="Z26" s="23" t="s">
        <v>23</v>
      </c>
      <c r="AA26" s="23" t="s">
        <v>23</v>
      </c>
      <c r="AB26" s="23" t="s">
        <v>23</v>
      </c>
      <c r="AC26" s="37"/>
      <c r="AD26" s="23" t="s">
        <v>23</v>
      </c>
      <c r="AE26" s="23" t="s">
        <v>124</v>
      </c>
      <c r="AF26" s="23" t="s">
        <v>23</v>
      </c>
      <c r="AG26" s="23" t="s">
        <v>23</v>
      </c>
      <c r="AH26" s="23"/>
      <c r="AI26" s="23" t="s">
        <v>23</v>
      </c>
      <c r="AJ26" s="5">
        <f t="shared" si="1"/>
        <v>23</v>
      </c>
      <c r="AK26" s="5">
        <f t="shared" si="2"/>
        <v>0</v>
      </c>
    </row>
    <row r="27" spans="1:41" x14ac:dyDescent="0.25">
      <c r="A27" s="6">
        <v>23</v>
      </c>
      <c r="B27" s="10"/>
      <c r="C27" s="20" t="s">
        <v>36</v>
      </c>
      <c r="D27" s="20" t="s">
        <v>59</v>
      </c>
      <c r="E27" s="7" t="s">
        <v>27</v>
      </c>
      <c r="F27" s="23" t="s">
        <v>23</v>
      </c>
      <c r="G27" s="23" t="s">
        <v>23</v>
      </c>
      <c r="H27" s="37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23"/>
      <c r="O27" s="37"/>
      <c r="P27" s="23" t="s">
        <v>23</v>
      </c>
      <c r="Q27" s="23" t="s">
        <v>23</v>
      </c>
      <c r="R27" s="23" t="s">
        <v>23</v>
      </c>
      <c r="S27" s="23" t="s">
        <v>23</v>
      </c>
      <c r="T27" s="23" t="s">
        <v>23</v>
      </c>
      <c r="U27" s="23" t="s">
        <v>23</v>
      </c>
      <c r="V27" s="37"/>
      <c r="W27" s="23" t="s">
        <v>23</v>
      </c>
      <c r="X27" s="23" t="s">
        <v>23</v>
      </c>
      <c r="Y27" s="23" t="s">
        <v>23</v>
      </c>
      <c r="Z27" s="23" t="s">
        <v>23</v>
      </c>
      <c r="AA27" s="23" t="s">
        <v>24</v>
      </c>
      <c r="AB27" s="23" t="s">
        <v>24</v>
      </c>
      <c r="AC27" s="37"/>
      <c r="AD27" s="23" t="s">
        <v>23</v>
      </c>
      <c r="AE27" s="23" t="s">
        <v>23</v>
      </c>
      <c r="AF27" s="23" t="s">
        <v>23</v>
      </c>
      <c r="AG27" s="23" t="s">
        <v>24</v>
      </c>
      <c r="AH27" s="23"/>
      <c r="AI27" s="23" t="s">
        <v>24</v>
      </c>
      <c r="AJ27" s="5">
        <f t="shared" si="1"/>
        <v>20</v>
      </c>
      <c r="AK27" s="5">
        <f t="shared" si="2"/>
        <v>4</v>
      </c>
    </row>
    <row r="28" spans="1:41" x14ac:dyDescent="0.25">
      <c r="A28" s="8">
        <v>24</v>
      </c>
      <c r="B28" s="10">
        <v>730</v>
      </c>
      <c r="C28" s="17" t="s">
        <v>60</v>
      </c>
      <c r="D28" s="16" t="s">
        <v>61</v>
      </c>
      <c r="E28" s="7" t="s">
        <v>27</v>
      </c>
      <c r="F28" s="23" t="s">
        <v>23</v>
      </c>
      <c r="G28" s="23" t="s">
        <v>23</v>
      </c>
      <c r="H28" s="37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23</v>
      </c>
      <c r="N28" s="23"/>
      <c r="O28" s="37"/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37"/>
      <c r="W28" s="23" t="s">
        <v>23</v>
      </c>
      <c r="X28" s="23" t="s">
        <v>23</v>
      </c>
      <c r="Y28" s="23" t="s">
        <v>23</v>
      </c>
      <c r="Z28" s="23" t="s">
        <v>24</v>
      </c>
      <c r="AA28" s="23" t="s">
        <v>23</v>
      </c>
      <c r="AB28" s="23" t="s">
        <v>23</v>
      </c>
      <c r="AC28" s="37"/>
      <c r="AD28" s="23" t="s">
        <v>23</v>
      </c>
      <c r="AE28" s="23" t="s">
        <v>23</v>
      </c>
      <c r="AF28" s="23" t="s">
        <v>23</v>
      </c>
      <c r="AG28" s="23"/>
      <c r="AH28" s="23"/>
      <c r="AI28" s="23" t="s">
        <v>23</v>
      </c>
      <c r="AJ28" s="5">
        <f t="shared" si="1"/>
        <v>22</v>
      </c>
      <c r="AK28" s="5">
        <f t="shared" si="2"/>
        <v>1</v>
      </c>
    </row>
    <row r="29" spans="1:41" x14ac:dyDescent="0.25">
      <c r="A29" s="6">
        <v>25</v>
      </c>
      <c r="B29" s="10">
        <v>732</v>
      </c>
      <c r="C29" s="17" t="s">
        <v>62</v>
      </c>
      <c r="D29" s="16" t="s">
        <v>63</v>
      </c>
      <c r="E29" s="7" t="s">
        <v>27</v>
      </c>
      <c r="F29" s="23" t="s">
        <v>23</v>
      </c>
      <c r="G29" s="23" t="s">
        <v>23</v>
      </c>
      <c r="H29" s="37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23</v>
      </c>
      <c r="N29" s="23"/>
      <c r="O29" s="37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23</v>
      </c>
      <c r="U29" s="23" t="s">
        <v>23</v>
      </c>
      <c r="V29" s="37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37"/>
      <c r="AD29" s="23" t="s">
        <v>23</v>
      </c>
      <c r="AE29" s="23" t="s">
        <v>23</v>
      </c>
      <c r="AF29" s="23" t="s">
        <v>23</v>
      </c>
      <c r="AG29" s="23"/>
      <c r="AH29" s="23"/>
      <c r="AI29" s="23" t="s">
        <v>23</v>
      </c>
      <c r="AJ29" s="5">
        <f t="shared" si="1"/>
        <v>23</v>
      </c>
      <c r="AK29" s="5">
        <f t="shared" si="2"/>
        <v>0</v>
      </c>
    </row>
    <row r="30" spans="1:41" x14ac:dyDescent="0.25">
      <c r="A30" s="8">
        <v>26</v>
      </c>
      <c r="B30" s="10">
        <v>728</v>
      </c>
      <c r="C30" s="17" t="s">
        <v>64</v>
      </c>
      <c r="D30" s="16" t="s">
        <v>65</v>
      </c>
      <c r="E30" s="7" t="s">
        <v>27</v>
      </c>
      <c r="F30" s="23" t="s">
        <v>23</v>
      </c>
      <c r="G30" s="23" t="s">
        <v>23</v>
      </c>
      <c r="H30" s="37"/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23"/>
      <c r="O30" s="37"/>
      <c r="P30" s="23" t="s">
        <v>23</v>
      </c>
      <c r="Q30" s="23" t="s">
        <v>23</v>
      </c>
      <c r="R30" s="23" t="s">
        <v>23</v>
      </c>
      <c r="S30" s="23" t="s">
        <v>23</v>
      </c>
      <c r="T30" s="23" t="s">
        <v>23</v>
      </c>
      <c r="U30" s="23" t="s">
        <v>23</v>
      </c>
      <c r="V30" s="37"/>
      <c r="W30" s="23" t="s">
        <v>23</v>
      </c>
      <c r="X30" s="23" t="s">
        <v>23</v>
      </c>
      <c r="Y30" s="23" t="s">
        <v>23</v>
      </c>
      <c r="Z30" s="23" t="s">
        <v>23</v>
      </c>
      <c r="AA30" s="23" t="s">
        <v>23</v>
      </c>
      <c r="AB30" s="23" t="s">
        <v>23</v>
      </c>
      <c r="AC30" s="37"/>
      <c r="AD30" s="23" t="s">
        <v>23</v>
      </c>
      <c r="AE30" s="23" t="s">
        <v>23</v>
      </c>
      <c r="AF30" s="23" t="s">
        <v>23</v>
      </c>
      <c r="AG30" s="23"/>
      <c r="AH30" s="23"/>
      <c r="AI30" s="23" t="s">
        <v>23</v>
      </c>
      <c r="AJ30" s="5">
        <f t="shared" si="1"/>
        <v>23</v>
      </c>
      <c r="AK30" s="5">
        <f t="shared" si="2"/>
        <v>0</v>
      </c>
    </row>
    <row r="31" spans="1:41" x14ac:dyDescent="0.25">
      <c r="A31" s="6">
        <v>27</v>
      </c>
      <c r="B31" s="10">
        <v>760</v>
      </c>
      <c r="C31" s="17" t="s">
        <v>66</v>
      </c>
      <c r="D31" s="17" t="s">
        <v>67</v>
      </c>
      <c r="E31" s="7" t="s">
        <v>27</v>
      </c>
      <c r="F31" s="23" t="s">
        <v>23</v>
      </c>
      <c r="G31" s="23" t="s">
        <v>23</v>
      </c>
      <c r="H31" s="37"/>
      <c r="I31" s="23" t="s">
        <v>24</v>
      </c>
      <c r="J31" s="23" t="s">
        <v>24</v>
      </c>
      <c r="K31" s="23" t="s">
        <v>23</v>
      </c>
      <c r="L31" s="23" t="s">
        <v>23</v>
      </c>
      <c r="M31" s="23" t="s">
        <v>23</v>
      </c>
      <c r="N31" s="23"/>
      <c r="O31" s="37"/>
      <c r="P31" s="23" t="s">
        <v>23</v>
      </c>
      <c r="Q31" s="23" t="s">
        <v>23</v>
      </c>
      <c r="R31" s="23" t="s">
        <v>23</v>
      </c>
      <c r="S31" s="23" t="s">
        <v>23</v>
      </c>
      <c r="T31" s="23" t="s">
        <v>23</v>
      </c>
      <c r="U31" s="23" t="s">
        <v>23</v>
      </c>
      <c r="V31" s="37"/>
      <c r="W31" s="23" t="s">
        <v>23</v>
      </c>
      <c r="X31" s="23" t="s">
        <v>23</v>
      </c>
      <c r="Y31" s="23" t="s">
        <v>23</v>
      </c>
      <c r="Z31" s="23" t="s">
        <v>23</v>
      </c>
      <c r="AA31" s="23" t="s">
        <v>23</v>
      </c>
      <c r="AB31" s="23" t="s">
        <v>23</v>
      </c>
      <c r="AC31" s="37"/>
      <c r="AD31" s="23" t="s">
        <v>23</v>
      </c>
      <c r="AE31" s="23" t="s">
        <v>23</v>
      </c>
      <c r="AF31" s="23" t="s">
        <v>23</v>
      </c>
      <c r="AG31" s="23"/>
      <c r="AH31" s="23"/>
      <c r="AI31" s="23" t="s">
        <v>23</v>
      </c>
      <c r="AJ31" s="5">
        <f t="shared" si="1"/>
        <v>21</v>
      </c>
      <c r="AK31" s="5">
        <f t="shared" si="2"/>
        <v>2</v>
      </c>
    </row>
    <row r="32" spans="1:41" x14ac:dyDescent="0.25">
      <c r="A32" s="8">
        <v>28</v>
      </c>
      <c r="B32" s="10">
        <v>741</v>
      </c>
      <c r="C32" s="17" t="s">
        <v>68</v>
      </c>
      <c r="D32" s="16" t="s">
        <v>69</v>
      </c>
      <c r="E32" s="7" t="s">
        <v>27</v>
      </c>
      <c r="F32" s="23" t="s">
        <v>23</v>
      </c>
      <c r="G32" s="23" t="s">
        <v>23</v>
      </c>
      <c r="H32" s="37"/>
      <c r="I32" s="23" t="s">
        <v>23</v>
      </c>
      <c r="J32" s="23" t="s">
        <v>23</v>
      </c>
      <c r="K32" s="23" t="s">
        <v>23</v>
      </c>
      <c r="L32" s="23" t="s">
        <v>24</v>
      </c>
      <c r="M32" s="23" t="s">
        <v>23</v>
      </c>
      <c r="N32" s="23"/>
      <c r="O32" s="37"/>
      <c r="P32" s="23" t="s">
        <v>23</v>
      </c>
      <c r="Q32" s="23" t="s">
        <v>23</v>
      </c>
      <c r="R32" s="23" t="s">
        <v>23</v>
      </c>
      <c r="S32" s="23" t="s">
        <v>23</v>
      </c>
      <c r="T32" s="23" t="s">
        <v>23</v>
      </c>
      <c r="U32" s="23" t="s">
        <v>23</v>
      </c>
      <c r="V32" s="37"/>
      <c r="W32" s="23" t="s">
        <v>23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37"/>
      <c r="AD32" s="23" t="s">
        <v>23</v>
      </c>
      <c r="AE32" s="23" t="s">
        <v>23</v>
      </c>
      <c r="AF32" s="23" t="s">
        <v>23</v>
      </c>
      <c r="AG32" s="23"/>
      <c r="AH32" s="23"/>
      <c r="AI32" s="23" t="s">
        <v>23</v>
      </c>
      <c r="AJ32" s="5">
        <f t="shared" si="1"/>
        <v>22</v>
      </c>
      <c r="AK32" s="5">
        <f t="shared" si="2"/>
        <v>1</v>
      </c>
    </row>
    <row r="33" spans="1:37" x14ac:dyDescent="0.25">
      <c r="A33" s="6">
        <v>29</v>
      </c>
      <c r="B33" s="10">
        <v>733</v>
      </c>
      <c r="C33" s="18" t="s">
        <v>70</v>
      </c>
      <c r="D33" s="19" t="s">
        <v>71</v>
      </c>
      <c r="E33" s="7" t="s">
        <v>27</v>
      </c>
      <c r="F33" s="23" t="s">
        <v>24</v>
      </c>
      <c r="G33" s="23" t="s">
        <v>24</v>
      </c>
      <c r="H33" s="37"/>
      <c r="I33" s="23" t="s">
        <v>24</v>
      </c>
      <c r="J33" s="23" t="s">
        <v>24</v>
      </c>
      <c r="K33" s="23" t="s">
        <v>24</v>
      </c>
      <c r="L33" s="23" t="s">
        <v>24</v>
      </c>
      <c r="M33" s="23" t="s">
        <v>24</v>
      </c>
      <c r="N33" s="23"/>
      <c r="O33" s="37"/>
      <c r="P33" s="23" t="s">
        <v>24</v>
      </c>
      <c r="Q33" s="23" t="s">
        <v>24</v>
      </c>
      <c r="R33" s="23" t="s">
        <v>24</v>
      </c>
      <c r="S33" s="23" t="s">
        <v>24</v>
      </c>
      <c r="T33" s="23" t="s">
        <v>24</v>
      </c>
      <c r="U33" s="23" t="s">
        <v>24</v>
      </c>
      <c r="V33" s="37"/>
      <c r="W33" s="23" t="s">
        <v>24</v>
      </c>
      <c r="X33" s="23" t="s">
        <v>24</v>
      </c>
      <c r="Y33" s="23" t="s">
        <v>24</v>
      </c>
      <c r="Z33" s="23" t="s">
        <v>24</v>
      </c>
      <c r="AA33" s="23" t="s">
        <v>24</v>
      </c>
      <c r="AB33" s="23" t="s">
        <v>24</v>
      </c>
      <c r="AC33" s="37"/>
      <c r="AD33" s="23" t="s">
        <v>24</v>
      </c>
      <c r="AE33" s="23" t="s">
        <v>124</v>
      </c>
      <c r="AF33" s="23" t="s">
        <v>124</v>
      </c>
      <c r="AG33" s="23"/>
      <c r="AH33" s="23"/>
      <c r="AI33" s="23" t="s">
        <v>124</v>
      </c>
      <c r="AJ33" s="5">
        <f t="shared" si="1"/>
        <v>0</v>
      </c>
      <c r="AK33" s="5">
        <f t="shared" si="2"/>
        <v>20</v>
      </c>
    </row>
    <row r="34" spans="1:37" x14ac:dyDescent="0.25">
      <c r="A34" s="8">
        <v>30</v>
      </c>
      <c r="B34" s="10">
        <v>744</v>
      </c>
      <c r="C34" s="20" t="s">
        <v>72</v>
      </c>
      <c r="D34" s="20" t="s">
        <v>73</v>
      </c>
      <c r="E34" s="7" t="s">
        <v>27</v>
      </c>
      <c r="F34" s="23" t="s">
        <v>23</v>
      </c>
      <c r="G34" s="23" t="s">
        <v>23</v>
      </c>
      <c r="H34" s="37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23"/>
      <c r="O34" s="37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37"/>
      <c r="W34" s="23" t="s">
        <v>23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37"/>
      <c r="AD34" s="23" t="s">
        <v>23</v>
      </c>
      <c r="AE34" s="23" t="s">
        <v>23</v>
      </c>
      <c r="AF34" s="23" t="s">
        <v>23</v>
      </c>
      <c r="AG34" s="23"/>
      <c r="AH34" s="23"/>
      <c r="AI34" s="23" t="s">
        <v>23</v>
      </c>
      <c r="AJ34" s="5">
        <f t="shared" si="1"/>
        <v>23</v>
      </c>
      <c r="AK34" s="5">
        <f t="shared" si="2"/>
        <v>0</v>
      </c>
    </row>
    <row r="35" spans="1:37" x14ac:dyDescent="0.25">
      <c r="A35" s="6">
        <v>31</v>
      </c>
      <c r="B35" s="10">
        <v>850</v>
      </c>
      <c r="C35" s="17" t="s">
        <v>102</v>
      </c>
      <c r="D35" s="17" t="s">
        <v>103</v>
      </c>
      <c r="E35" s="7" t="s">
        <v>27</v>
      </c>
      <c r="F35" s="23" t="s">
        <v>23</v>
      </c>
      <c r="G35" s="23" t="s">
        <v>23</v>
      </c>
      <c r="H35" s="37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23"/>
      <c r="O35" s="37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23</v>
      </c>
      <c r="U35" s="23" t="s">
        <v>23</v>
      </c>
      <c r="V35" s="37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37"/>
      <c r="AD35" s="23" t="s">
        <v>23</v>
      </c>
      <c r="AE35" s="23" t="s">
        <v>23</v>
      </c>
      <c r="AF35" s="23" t="s">
        <v>23</v>
      </c>
      <c r="AG35" s="23"/>
      <c r="AH35" s="23"/>
      <c r="AI35" s="23" t="s">
        <v>23</v>
      </c>
      <c r="AJ35" s="5">
        <f t="shared" si="1"/>
        <v>23</v>
      </c>
      <c r="AK35" s="5">
        <f t="shared" si="2"/>
        <v>0</v>
      </c>
    </row>
    <row r="36" spans="1:37" x14ac:dyDescent="0.25">
      <c r="A36" s="8">
        <v>32</v>
      </c>
      <c r="B36" s="24">
        <v>767</v>
      </c>
      <c r="C36" s="24" t="s">
        <v>76</v>
      </c>
      <c r="D36" s="24" t="s">
        <v>77</v>
      </c>
      <c r="E36" s="7" t="s">
        <v>27</v>
      </c>
      <c r="F36" s="23" t="s">
        <v>23</v>
      </c>
      <c r="G36" s="23" t="s">
        <v>23</v>
      </c>
      <c r="H36" s="37"/>
      <c r="I36" s="23" t="s">
        <v>24</v>
      </c>
      <c r="J36" s="23" t="s">
        <v>24</v>
      </c>
      <c r="K36" s="23" t="s">
        <v>24</v>
      </c>
      <c r="L36" s="23" t="s">
        <v>24</v>
      </c>
      <c r="M36" s="23" t="s">
        <v>24</v>
      </c>
      <c r="N36" s="23"/>
      <c r="O36" s="37"/>
      <c r="P36" s="23" t="s">
        <v>24</v>
      </c>
      <c r="Q36" s="23" t="s">
        <v>24</v>
      </c>
      <c r="R36" s="23" t="s">
        <v>24</v>
      </c>
      <c r="S36" s="23" t="s">
        <v>24</v>
      </c>
      <c r="T36" s="23" t="s">
        <v>24</v>
      </c>
      <c r="U36" s="23" t="s">
        <v>24</v>
      </c>
      <c r="V36" s="37"/>
      <c r="W36" s="23" t="s">
        <v>24</v>
      </c>
      <c r="X36" s="23" t="s">
        <v>24</v>
      </c>
      <c r="Y36" s="23" t="s">
        <v>24</v>
      </c>
      <c r="Z36" s="23" t="s">
        <v>24</v>
      </c>
      <c r="AA36" s="23" t="s">
        <v>24</v>
      </c>
      <c r="AB36" s="23" t="s">
        <v>24</v>
      </c>
      <c r="AC36" s="37"/>
      <c r="AD36" s="23" t="s">
        <v>24</v>
      </c>
      <c r="AE36" s="23" t="s">
        <v>124</v>
      </c>
      <c r="AF36" s="23" t="s">
        <v>124</v>
      </c>
      <c r="AG36" s="23"/>
      <c r="AH36" s="23"/>
      <c r="AI36" s="23" t="s">
        <v>124</v>
      </c>
      <c r="AJ36" s="5">
        <f t="shared" si="1"/>
        <v>2</v>
      </c>
      <c r="AK36" s="5">
        <f t="shared" si="2"/>
        <v>18</v>
      </c>
    </row>
    <row r="37" spans="1:37" x14ac:dyDescent="0.25">
      <c r="A37" s="6">
        <v>33</v>
      </c>
      <c r="B37" s="24">
        <v>875</v>
      </c>
      <c r="C37" s="24" t="s">
        <v>104</v>
      </c>
      <c r="D37" s="24" t="s">
        <v>112</v>
      </c>
      <c r="E37" s="7" t="s">
        <v>27</v>
      </c>
      <c r="F37" s="23" t="s">
        <v>23</v>
      </c>
      <c r="G37" s="23" t="s">
        <v>23</v>
      </c>
      <c r="H37" s="37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23</v>
      </c>
      <c r="N37" s="23"/>
      <c r="O37" s="37"/>
      <c r="P37" s="23" t="s">
        <v>23</v>
      </c>
      <c r="Q37" s="23" t="s">
        <v>23</v>
      </c>
      <c r="R37" s="23" t="s">
        <v>23</v>
      </c>
      <c r="S37" s="23" t="s">
        <v>23</v>
      </c>
      <c r="T37" s="23" t="s">
        <v>23</v>
      </c>
      <c r="U37" s="23" t="s">
        <v>23</v>
      </c>
      <c r="V37" s="37"/>
      <c r="W37" s="23" t="s">
        <v>23</v>
      </c>
      <c r="X37" s="23" t="s">
        <v>23</v>
      </c>
      <c r="Y37" s="23" t="s">
        <v>23</v>
      </c>
      <c r="Z37" s="23" t="s">
        <v>23</v>
      </c>
      <c r="AA37" s="23" t="s">
        <v>23</v>
      </c>
      <c r="AB37" s="23" t="s">
        <v>23</v>
      </c>
      <c r="AC37" s="37"/>
      <c r="AD37" s="23" t="s">
        <v>23</v>
      </c>
      <c r="AE37" s="23" t="s">
        <v>23</v>
      </c>
      <c r="AF37" s="23" t="s">
        <v>23</v>
      </c>
      <c r="AG37" s="23"/>
      <c r="AH37" s="23"/>
      <c r="AI37" s="23" t="s">
        <v>23</v>
      </c>
      <c r="AJ37" s="5">
        <f t="shared" si="1"/>
        <v>23</v>
      </c>
      <c r="AK37" s="5">
        <f t="shared" si="2"/>
        <v>0</v>
      </c>
    </row>
    <row r="38" spans="1:37" x14ac:dyDescent="0.25">
      <c r="A38" s="8">
        <v>34</v>
      </c>
      <c r="B38" s="24">
        <v>727</v>
      </c>
      <c r="C38" s="24" t="s">
        <v>80</v>
      </c>
      <c r="D38" s="24" t="s">
        <v>81</v>
      </c>
      <c r="E38" s="7" t="s">
        <v>27</v>
      </c>
      <c r="F38" s="23" t="s">
        <v>23</v>
      </c>
      <c r="G38" s="23" t="s">
        <v>23</v>
      </c>
      <c r="H38" s="37"/>
      <c r="I38" s="23" t="s">
        <v>23</v>
      </c>
      <c r="J38" s="23" t="s">
        <v>23</v>
      </c>
      <c r="K38" s="23" t="s">
        <v>23</v>
      </c>
      <c r="L38" s="23" t="s">
        <v>23</v>
      </c>
      <c r="M38" s="23" t="s">
        <v>23</v>
      </c>
      <c r="N38" s="23"/>
      <c r="O38" s="37"/>
      <c r="P38" s="23" t="s">
        <v>23</v>
      </c>
      <c r="Q38" s="23" t="s">
        <v>23</v>
      </c>
      <c r="R38" s="23" t="s">
        <v>23</v>
      </c>
      <c r="S38" s="23" t="s">
        <v>23</v>
      </c>
      <c r="T38" s="23" t="s">
        <v>23</v>
      </c>
      <c r="U38" s="23" t="s">
        <v>23</v>
      </c>
      <c r="V38" s="37"/>
      <c r="W38" s="23" t="s">
        <v>23</v>
      </c>
      <c r="X38" s="23" t="s">
        <v>23</v>
      </c>
      <c r="Y38" s="23" t="s">
        <v>23</v>
      </c>
      <c r="Z38" s="23" t="s">
        <v>23</v>
      </c>
      <c r="AA38" s="23" t="s">
        <v>23</v>
      </c>
      <c r="AB38" s="23" t="s">
        <v>23</v>
      </c>
      <c r="AC38" s="37"/>
      <c r="AD38" s="23" t="s">
        <v>23</v>
      </c>
      <c r="AE38" s="23" t="s">
        <v>23</v>
      </c>
      <c r="AF38" s="23" t="s">
        <v>23</v>
      </c>
      <c r="AG38" s="23"/>
      <c r="AH38" s="23"/>
      <c r="AI38" s="23" t="s">
        <v>23</v>
      </c>
      <c r="AJ38" s="5">
        <f t="shared" si="1"/>
        <v>23</v>
      </c>
      <c r="AK38" s="5">
        <f t="shared" si="2"/>
        <v>0</v>
      </c>
    </row>
    <row r="39" spans="1:37" x14ac:dyDescent="0.25">
      <c r="A39" s="6">
        <v>35</v>
      </c>
      <c r="B39" s="24">
        <v>880</v>
      </c>
      <c r="C39" s="24" t="s">
        <v>113</v>
      </c>
      <c r="D39" s="24" t="s">
        <v>106</v>
      </c>
      <c r="E39" s="7" t="s">
        <v>27</v>
      </c>
      <c r="F39" s="23" t="s">
        <v>23</v>
      </c>
      <c r="G39" s="23" t="s">
        <v>23</v>
      </c>
      <c r="H39" s="37"/>
      <c r="I39" s="23" t="s">
        <v>23</v>
      </c>
      <c r="J39" s="23" t="s">
        <v>23</v>
      </c>
      <c r="K39" s="23" t="s">
        <v>23</v>
      </c>
      <c r="L39" s="23" t="s">
        <v>23</v>
      </c>
      <c r="M39" s="23" t="s">
        <v>23</v>
      </c>
      <c r="N39" s="23"/>
      <c r="O39" s="37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24</v>
      </c>
      <c r="V39" s="37"/>
      <c r="W39" s="23" t="s">
        <v>24</v>
      </c>
      <c r="X39" s="23" t="s">
        <v>24</v>
      </c>
      <c r="Y39" s="23" t="s">
        <v>24</v>
      </c>
      <c r="Z39" s="23" t="s">
        <v>24</v>
      </c>
      <c r="AA39" s="23" t="s">
        <v>24</v>
      </c>
      <c r="AB39" s="23" t="s">
        <v>24</v>
      </c>
      <c r="AC39" s="37"/>
      <c r="AD39" s="23" t="s">
        <v>23</v>
      </c>
      <c r="AE39" s="23" t="s">
        <v>23</v>
      </c>
      <c r="AF39" s="23" t="s">
        <v>23</v>
      </c>
      <c r="AG39" s="23"/>
      <c r="AH39" s="23"/>
      <c r="AI39" s="23" t="s">
        <v>23</v>
      </c>
      <c r="AJ39" s="5">
        <f t="shared" si="1"/>
        <v>16</v>
      </c>
      <c r="AK39" s="5">
        <f t="shared" si="2"/>
        <v>7</v>
      </c>
    </row>
    <row r="40" spans="1:37" x14ac:dyDescent="0.25">
      <c r="A40" s="8">
        <v>36</v>
      </c>
      <c r="B40" s="24">
        <v>777</v>
      </c>
      <c r="C40" s="24" t="s">
        <v>114</v>
      </c>
      <c r="D40" s="24" t="s">
        <v>115</v>
      </c>
      <c r="E40" s="7" t="s">
        <v>27</v>
      </c>
      <c r="F40" s="23" t="s">
        <v>23</v>
      </c>
      <c r="G40" s="23" t="s">
        <v>23</v>
      </c>
      <c r="H40" s="37"/>
      <c r="I40" s="23" t="s">
        <v>23</v>
      </c>
      <c r="J40" s="23" t="s">
        <v>23</v>
      </c>
      <c r="K40" s="23" t="s">
        <v>23</v>
      </c>
      <c r="L40" s="23" t="s">
        <v>23</v>
      </c>
      <c r="M40" s="23" t="s">
        <v>23</v>
      </c>
      <c r="N40" s="23"/>
      <c r="O40" s="37"/>
      <c r="P40" s="23" t="s">
        <v>23</v>
      </c>
      <c r="Q40" s="23" t="s">
        <v>23</v>
      </c>
      <c r="R40" s="23" t="s">
        <v>23</v>
      </c>
      <c r="S40" s="23" t="s">
        <v>23</v>
      </c>
      <c r="T40" s="23" t="s">
        <v>23</v>
      </c>
      <c r="U40" s="23" t="s">
        <v>23</v>
      </c>
      <c r="V40" s="37"/>
      <c r="W40" s="23" t="s">
        <v>23</v>
      </c>
      <c r="X40" s="23" t="s">
        <v>23</v>
      </c>
      <c r="Y40" s="23" t="s">
        <v>23</v>
      </c>
      <c r="Z40" s="23" t="s">
        <v>23</v>
      </c>
      <c r="AA40" s="23" t="s">
        <v>23</v>
      </c>
      <c r="AB40" s="23" t="s">
        <v>23</v>
      </c>
      <c r="AC40" s="37"/>
      <c r="AD40" s="23" t="s">
        <v>23</v>
      </c>
      <c r="AE40" s="23" t="s">
        <v>23</v>
      </c>
      <c r="AF40" s="23" t="s">
        <v>23</v>
      </c>
      <c r="AG40" s="23"/>
      <c r="AH40" s="23"/>
      <c r="AI40" s="23" t="s">
        <v>23</v>
      </c>
      <c r="AJ40" s="5">
        <f t="shared" si="1"/>
        <v>23</v>
      </c>
      <c r="AK40" s="5">
        <f t="shared" si="2"/>
        <v>0</v>
      </c>
    </row>
    <row r="41" spans="1:37" x14ac:dyDescent="0.25">
      <c r="A41" s="6">
        <v>37</v>
      </c>
      <c r="B41" s="24">
        <v>873</v>
      </c>
      <c r="C41" s="24" t="s">
        <v>86</v>
      </c>
      <c r="D41" s="24" t="s">
        <v>101</v>
      </c>
      <c r="E41" s="7" t="s">
        <v>27</v>
      </c>
      <c r="F41" s="23" t="s">
        <v>23</v>
      </c>
      <c r="G41" s="23" t="s">
        <v>23</v>
      </c>
      <c r="H41" s="37"/>
      <c r="I41" s="23" t="s">
        <v>23</v>
      </c>
      <c r="J41" s="23" t="s">
        <v>23</v>
      </c>
      <c r="K41" s="23" t="s">
        <v>23</v>
      </c>
      <c r="L41" s="23" t="s">
        <v>24</v>
      </c>
      <c r="M41" s="23" t="s">
        <v>24</v>
      </c>
      <c r="N41" s="23"/>
      <c r="O41" s="37"/>
      <c r="P41" s="23" t="s">
        <v>24</v>
      </c>
      <c r="Q41" s="23" t="s">
        <v>24</v>
      </c>
      <c r="R41" s="23" t="s">
        <v>24</v>
      </c>
      <c r="S41" s="23" t="s">
        <v>24</v>
      </c>
      <c r="T41" s="23" t="s">
        <v>24</v>
      </c>
      <c r="U41" s="23" t="s">
        <v>24</v>
      </c>
      <c r="V41" s="37"/>
      <c r="W41" s="23" t="s">
        <v>24</v>
      </c>
      <c r="X41" s="23" t="s">
        <v>24</v>
      </c>
      <c r="Y41" s="23" t="s">
        <v>24</v>
      </c>
      <c r="Z41" s="23" t="s">
        <v>24</v>
      </c>
      <c r="AA41" s="23" t="s">
        <v>24</v>
      </c>
      <c r="AB41" s="23" t="s">
        <v>24</v>
      </c>
      <c r="AC41" s="37"/>
      <c r="AD41" s="23" t="s">
        <v>23</v>
      </c>
      <c r="AE41" s="23" t="s">
        <v>23</v>
      </c>
      <c r="AF41" s="23" t="s">
        <v>23</v>
      </c>
      <c r="AG41" s="23"/>
      <c r="AH41" s="23"/>
      <c r="AI41" s="23" t="s">
        <v>23</v>
      </c>
      <c r="AJ41" s="5">
        <f t="shared" si="1"/>
        <v>9</v>
      </c>
      <c r="AK41" s="5">
        <f t="shared" si="2"/>
        <v>14</v>
      </c>
    </row>
    <row r="42" spans="1:37" x14ac:dyDescent="0.25">
      <c r="A42" s="8">
        <v>38</v>
      </c>
      <c r="B42" s="24">
        <v>909</v>
      </c>
      <c r="C42" s="24" t="s">
        <v>116</v>
      </c>
      <c r="D42" s="24" t="s">
        <v>100</v>
      </c>
      <c r="E42" s="7" t="s">
        <v>27</v>
      </c>
      <c r="F42" s="23" t="s">
        <v>23</v>
      </c>
      <c r="G42" s="23" t="s">
        <v>23</v>
      </c>
      <c r="H42" s="37"/>
      <c r="I42" s="23" t="s">
        <v>23</v>
      </c>
      <c r="J42" s="23" t="s">
        <v>23</v>
      </c>
      <c r="K42" s="23" t="s">
        <v>23</v>
      </c>
      <c r="L42" s="23" t="s">
        <v>23</v>
      </c>
      <c r="M42" s="23" t="s">
        <v>23</v>
      </c>
      <c r="N42" s="23"/>
      <c r="O42" s="37"/>
      <c r="P42" s="23" t="s">
        <v>23</v>
      </c>
      <c r="Q42" s="23" t="s">
        <v>23</v>
      </c>
      <c r="R42" s="23" t="s">
        <v>23</v>
      </c>
      <c r="S42" s="23" t="s">
        <v>23</v>
      </c>
      <c r="T42" s="23" t="s">
        <v>23</v>
      </c>
      <c r="U42" s="23" t="s">
        <v>23</v>
      </c>
      <c r="V42" s="37"/>
      <c r="W42" s="23" t="s">
        <v>23</v>
      </c>
      <c r="X42" s="23" t="s">
        <v>23</v>
      </c>
      <c r="Y42" s="23" t="s">
        <v>23</v>
      </c>
      <c r="Z42" s="23" t="s">
        <v>23</v>
      </c>
      <c r="AA42" s="23" t="s">
        <v>23</v>
      </c>
      <c r="AB42" s="23" t="s">
        <v>23</v>
      </c>
      <c r="AC42" s="37"/>
      <c r="AD42" s="23" t="s">
        <v>23</v>
      </c>
      <c r="AE42" s="23" t="s">
        <v>23</v>
      </c>
      <c r="AF42" s="23" t="s">
        <v>23</v>
      </c>
      <c r="AG42" s="23"/>
      <c r="AH42" s="23"/>
      <c r="AI42" s="23" t="s">
        <v>23</v>
      </c>
      <c r="AJ42" s="5">
        <f t="shared" si="1"/>
        <v>23</v>
      </c>
      <c r="AK42" s="5">
        <f t="shared" si="2"/>
        <v>0</v>
      </c>
    </row>
    <row r="43" spans="1:37" x14ac:dyDescent="0.25">
      <c r="A43" s="6">
        <v>39</v>
      </c>
      <c r="B43" s="24">
        <v>854</v>
      </c>
      <c r="C43" s="24" t="s">
        <v>107</v>
      </c>
      <c r="D43" s="24" t="s">
        <v>117</v>
      </c>
      <c r="E43" s="7" t="s">
        <v>27</v>
      </c>
      <c r="F43" s="23" t="s">
        <v>24</v>
      </c>
      <c r="G43" s="23" t="s">
        <v>24</v>
      </c>
      <c r="H43" s="37"/>
      <c r="I43" s="23" t="s">
        <v>24</v>
      </c>
      <c r="J43" s="23" t="s">
        <v>24</v>
      </c>
      <c r="K43" s="23" t="s">
        <v>24</v>
      </c>
      <c r="L43" s="23" t="s">
        <v>24</v>
      </c>
      <c r="M43" s="23" t="s">
        <v>24</v>
      </c>
      <c r="N43" s="23"/>
      <c r="O43" s="37"/>
      <c r="P43" s="23" t="s">
        <v>24</v>
      </c>
      <c r="Q43" s="23" t="s">
        <v>24</v>
      </c>
      <c r="R43" s="23" t="s">
        <v>24</v>
      </c>
      <c r="S43" s="23" t="s">
        <v>24</v>
      </c>
      <c r="T43" s="23" t="s">
        <v>24</v>
      </c>
      <c r="U43" s="23" t="s">
        <v>24</v>
      </c>
      <c r="V43" s="37"/>
      <c r="W43" s="23" t="s">
        <v>24</v>
      </c>
      <c r="X43" s="23" t="s">
        <v>24</v>
      </c>
      <c r="Y43" s="23" t="s">
        <v>24</v>
      </c>
      <c r="Z43" s="23" t="s">
        <v>24</v>
      </c>
      <c r="AA43" s="23" t="s">
        <v>24</v>
      </c>
      <c r="AB43" s="23" t="s">
        <v>24</v>
      </c>
      <c r="AC43" s="37"/>
      <c r="AD43" s="23" t="s">
        <v>24</v>
      </c>
      <c r="AE43" s="23" t="s">
        <v>124</v>
      </c>
      <c r="AF43" s="23" t="s">
        <v>124</v>
      </c>
      <c r="AG43" s="23"/>
      <c r="AH43" s="23"/>
      <c r="AI43" s="23" t="s">
        <v>124</v>
      </c>
      <c r="AJ43" s="5">
        <f t="shared" si="1"/>
        <v>0</v>
      </c>
      <c r="AK43" s="5">
        <f t="shared" si="2"/>
        <v>20</v>
      </c>
    </row>
    <row r="44" spans="1:37" x14ac:dyDescent="0.25">
      <c r="A44" s="8">
        <v>40</v>
      </c>
      <c r="B44" s="24">
        <v>863</v>
      </c>
      <c r="C44" s="24" t="s">
        <v>118</v>
      </c>
      <c r="D44" s="24" t="s">
        <v>119</v>
      </c>
      <c r="E44" s="7" t="s">
        <v>27</v>
      </c>
      <c r="F44" s="23" t="s">
        <v>23</v>
      </c>
      <c r="G44" s="23" t="s">
        <v>23</v>
      </c>
      <c r="H44" s="37"/>
      <c r="I44" s="23" t="s">
        <v>23</v>
      </c>
      <c r="J44" s="23" t="s">
        <v>23</v>
      </c>
      <c r="K44" s="23" t="s">
        <v>23</v>
      </c>
      <c r="L44" s="23" t="s">
        <v>23</v>
      </c>
      <c r="M44" s="23" t="s">
        <v>23</v>
      </c>
      <c r="N44" s="23"/>
      <c r="O44" s="37"/>
      <c r="P44" s="23" t="s">
        <v>23</v>
      </c>
      <c r="Q44" s="23" t="s">
        <v>23</v>
      </c>
      <c r="R44" s="23" t="s">
        <v>23</v>
      </c>
      <c r="S44" s="23" t="s">
        <v>23</v>
      </c>
      <c r="T44" s="23" t="s">
        <v>23</v>
      </c>
      <c r="U44" s="23" t="s">
        <v>23</v>
      </c>
      <c r="V44" s="37"/>
      <c r="W44" s="23" t="s">
        <v>23</v>
      </c>
      <c r="X44" s="23" t="s">
        <v>23</v>
      </c>
      <c r="Y44" s="23" t="s">
        <v>23</v>
      </c>
      <c r="Z44" s="23" t="s">
        <v>23</v>
      </c>
      <c r="AA44" s="23" t="s">
        <v>23</v>
      </c>
      <c r="AB44" s="23" t="s">
        <v>23</v>
      </c>
      <c r="AC44" s="37"/>
      <c r="AD44" s="23" t="s">
        <v>23</v>
      </c>
      <c r="AE44" s="23" t="s">
        <v>23</v>
      </c>
      <c r="AF44" s="23" t="s">
        <v>23</v>
      </c>
      <c r="AG44" s="23"/>
      <c r="AH44" s="23"/>
      <c r="AI44" s="23" t="s">
        <v>23</v>
      </c>
      <c r="AJ44" s="5">
        <f t="shared" si="1"/>
        <v>23</v>
      </c>
      <c r="AK44" s="5">
        <f t="shared" si="2"/>
        <v>0</v>
      </c>
    </row>
    <row r="45" spans="1:37" x14ac:dyDescent="0.25">
      <c r="A45" s="6">
        <v>41</v>
      </c>
      <c r="B45" s="26">
        <v>902</v>
      </c>
      <c r="C45" s="26" t="s">
        <v>120</v>
      </c>
      <c r="D45" s="26" t="s">
        <v>121</v>
      </c>
      <c r="E45" s="7" t="s">
        <v>27</v>
      </c>
      <c r="F45" s="23" t="s">
        <v>23</v>
      </c>
      <c r="G45" s="23" t="s">
        <v>24</v>
      </c>
      <c r="H45" s="37"/>
      <c r="I45" s="23" t="s">
        <v>23</v>
      </c>
      <c r="J45" s="23" t="s">
        <v>23</v>
      </c>
      <c r="K45" s="23" t="s">
        <v>23</v>
      </c>
      <c r="L45" s="23" t="s">
        <v>23</v>
      </c>
      <c r="M45" s="23" t="s">
        <v>24</v>
      </c>
      <c r="N45" s="23"/>
      <c r="O45" s="37"/>
      <c r="P45" s="23" t="s">
        <v>23</v>
      </c>
      <c r="Q45" s="23" t="s">
        <v>23</v>
      </c>
      <c r="R45" s="23" t="s">
        <v>23</v>
      </c>
      <c r="S45" s="23" t="s">
        <v>23</v>
      </c>
      <c r="T45" s="23" t="s">
        <v>23</v>
      </c>
      <c r="U45" s="23" t="s">
        <v>23</v>
      </c>
      <c r="V45" s="37"/>
      <c r="W45" s="23" t="s">
        <v>23</v>
      </c>
      <c r="X45" s="23" t="s">
        <v>24</v>
      </c>
      <c r="Y45" s="23" t="s">
        <v>23</v>
      </c>
      <c r="Z45" s="23" t="s">
        <v>23</v>
      </c>
      <c r="AA45" s="23" t="s">
        <v>24</v>
      </c>
      <c r="AB45" s="23" t="s">
        <v>23</v>
      </c>
      <c r="AC45" s="37"/>
      <c r="AD45" s="23" t="s">
        <v>23</v>
      </c>
      <c r="AE45" s="23" t="s">
        <v>23</v>
      </c>
      <c r="AF45" s="23" t="s">
        <v>23</v>
      </c>
      <c r="AG45" s="23"/>
      <c r="AH45" s="23"/>
      <c r="AI45" s="23" t="s">
        <v>23</v>
      </c>
      <c r="AJ45" s="5">
        <f t="shared" si="1"/>
        <v>19</v>
      </c>
      <c r="AK45" s="5">
        <f t="shared" si="2"/>
        <v>4</v>
      </c>
    </row>
    <row r="46" spans="1:37" x14ac:dyDescent="0.25">
      <c r="A46" s="8">
        <v>42</v>
      </c>
      <c r="B46" s="24">
        <v>886</v>
      </c>
      <c r="C46" s="24" t="s">
        <v>122</v>
      </c>
      <c r="D46" s="24" t="s">
        <v>123</v>
      </c>
      <c r="E46" s="7" t="s">
        <v>27</v>
      </c>
      <c r="F46" s="23" t="s">
        <v>23</v>
      </c>
      <c r="G46" s="23" t="s">
        <v>23</v>
      </c>
      <c r="H46" s="38"/>
      <c r="I46" s="23" t="s">
        <v>23</v>
      </c>
      <c r="J46" s="23" t="s">
        <v>23</v>
      </c>
      <c r="K46" s="23" t="s">
        <v>23</v>
      </c>
      <c r="L46" s="23" t="s">
        <v>23</v>
      </c>
      <c r="M46" s="23" t="s">
        <v>23</v>
      </c>
      <c r="N46" s="23"/>
      <c r="O46" s="38"/>
      <c r="P46" s="23" t="s">
        <v>23</v>
      </c>
      <c r="Q46" s="23" t="s">
        <v>23</v>
      </c>
      <c r="R46" s="23" t="s">
        <v>23</v>
      </c>
      <c r="S46" s="23" t="s">
        <v>23</v>
      </c>
      <c r="T46" s="23" t="s">
        <v>23</v>
      </c>
      <c r="U46" s="23" t="s">
        <v>23</v>
      </c>
      <c r="V46" s="38"/>
      <c r="W46" s="23" t="s">
        <v>23</v>
      </c>
      <c r="X46" s="23" t="s">
        <v>23</v>
      </c>
      <c r="Y46" s="23" t="s">
        <v>23</v>
      </c>
      <c r="Z46" s="23" t="s">
        <v>23</v>
      </c>
      <c r="AA46" s="23" t="s">
        <v>23</v>
      </c>
      <c r="AB46" s="23" t="s">
        <v>23</v>
      </c>
      <c r="AC46" s="38"/>
      <c r="AD46" s="23" t="s">
        <v>23</v>
      </c>
      <c r="AE46" s="23" t="s">
        <v>23</v>
      </c>
      <c r="AF46" s="23" t="s">
        <v>23</v>
      </c>
      <c r="AG46" s="23"/>
      <c r="AH46" s="23"/>
      <c r="AI46" s="23" t="s">
        <v>23</v>
      </c>
      <c r="AJ46" s="5">
        <f t="shared" si="1"/>
        <v>23</v>
      </c>
      <c r="AK46" s="5">
        <f t="shared" si="2"/>
        <v>0</v>
      </c>
    </row>
  </sheetData>
  <mergeCells count="16"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46"/>
    <mergeCell ref="O5:O46"/>
    <mergeCell ref="V5:V46"/>
    <mergeCell ref="AC5:AC46"/>
  </mergeCells>
  <conditionalFormatting sqref="B5:B19">
    <cfRule type="duplicateValues" dxfId="43" priority="10"/>
    <cfRule type="duplicateValues" dxfId="42" priority="11"/>
  </conditionalFormatting>
  <conditionalFormatting sqref="B20">
    <cfRule type="duplicateValues" dxfId="41" priority="7"/>
    <cfRule type="duplicateValues" dxfId="40" priority="8"/>
  </conditionalFormatting>
  <conditionalFormatting sqref="B21:B26">
    <cfRule type="duplicateValues" dxfId="39" priority="61"/>
  </conditionalFormatting>
  <conditionalFormatting sqref="B27">
    <cfRule type="duplicateValues" dxfId="38" priority="9"/>
  </conditionalFormatting>
  <conditionalFormatting sqref="B28:B34">
    <cfRule type="duplicateValues" dxfId="37" priority="1"/>
    <cfRule type="duplicateValues" dxfId="36" priority="2"/>
  </conditionalFormatting>
  <conditionalFormatting sqref="B35">
    <cfRule type="duplicateValues" dxfId="35" priority="5"/>
    <cfRule type="duplicateValues" dxfId="34" priority="6"/>
  </conditionalFormatting>
  <conditionalFormatting sqref="F3:AI4 F6:G46 I6:N46 P5:U46 F5:O5 W5:AB46 V5 AD5:AI46 AC5">
    <cfRule type="expression" dxfId="33" priority="23">
      <formula>F$3="Sun"</formula>
    </cfRule>
  </conditionalFormatting>
  <conditionalFormatting sqref="F4:AI4 F6:G46 I6:N46 P5:U46 F5:O5 W5:AB46 V5 AD5:AI46 AC5">
    <cfRule type="expression" dxfId="32" priority="22">
      <formula>IF(F$4=TODAY(),TRUE,FALSE)</formula>
    </cfRule>
  </conditionalFormatting>
  <conditionalFormatting sqref="F6:G46 I6:N46 P5:U46 F5:O5 W5:AB46 V5 AD5:AI46 AC5">
    <cfRule type="cellIs" dxfId="31" priority="19" operator="equal">
      <formula>"L"</formula>
    </cfRule>
    <cfRule type="cellIs" dxfId="30" priority="20" operator="equal">
      <formula>"A"</formula>
    </cfRule>
    <cfRule type="cellIs" dxfId="29" priority="21" operator="equal">
      <formula>"P"</formula>
    </cfRule>
  </conditionalFormatting>
  <conditionalFormatting sqref="AJ3:AK3 AJ5:AK46">
    <cfRule type="expression" dxfId="28" priority="24">
      <formula>#REF!="Sun"</formula>
    </cfRule>
  </conditionalFormatting>
  <conditionalFormatting sqref="AL5:AL6">
    <cfRule type="expression" dxfId="27" priority="17">
      <formula>#REF!="Sun"</formula>
    </cfRule>
  </conditionalFormatting>
  <conditionalFormatting sqref="AL9:AL12">
    <cfRule type="expression" dxfId="26" priority="15">
      <formula>#REF!="Sun"</formula>
    </cfRule>
  </conditionalFormatting>
  <conditionalFormatting sqref="AL17:AL20">
    <cfRule type="expression" dxfId="25" priority="14">
      <formula>#REF!="Sun"</formula>
    </cfRule>
  </conditionalFormatting>
  <conditionalFormatting sqref="AL4:AM4">
    <cfRule type="expression" dxfId="24" priority="18">
      <formula>#REF!="Sun"</formula>
    </cfRule>
  </conditionalFormatting>
  <conditionalFormatting sqref="AM9:AO9">
    <cfRule type="expression" dxfId="23" priority="16">
      <formula>#REF!="Sun"</formula>
    </cfRule>
  </conditionalFormatting>
  <conditionalFormatting sqref="AM17:AO17">
    <cfRule type="expression" dxfId="22" priority="13">
      <formula>#REF!="Sun"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82FA-AE17-47AF-B5CA-2E11548EEEE2}">
  <dimension ref="A1:AP45"/>
  <sheetViews>
    <sheetView tabSelected="1" topLeftCell="D4" zoomScale="90" zoomScaleNormal="90" workbookViewId="0">
      <selection activeCell="AH5" sqref="AH5:AH4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1:42" ht="17.25" x14ac:dyDescent="0.3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</row>
    <row r="3" spans="1:42" ht="15.75" x14ac:dyDescent="0.25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35" t="s">
        <v>5</v>
      </c>
      <c r="AL3" s="35" t="s">
        <v>6</v>
      </c>
      <c r="AM3" s="28" t="s">
        <v>20</v>
      </c>
      <c r="AN3" s="29"/>
      <c r="AO3" s="3"/>
      <c r="AP3" s="3"/>
    </row>
    <row r="4" spans="1:42" ht="36" x14ac:dyDescent="0.25">
      <c r="A4" s="34"/>
      <c r="B4" s="34"/>
      <c r="C4" s="34"/>
      <c r="D4" s="34"/>
      <c r="E4" s="34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35"/>
      <c r="AL4" s="35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737</v>
      </c>
      <c r="C5" s="17" t="s">
        <v>28</v>
      </c>
      <c r="D5" s="16" t="s">
        <v>29</v>
      </c>
      <c r="E5" s="7" t="s">
        <v>27</v>
      </c>
      <c r="F5" s="36" t="s">
        <v>127</v>
      </c>
      <c r="G5" s="23" t="s">
        <v>23</v>
      </c>
      <c r="H5" s="23" t="s">
        <v>23</v>
      </c>
      <c r="I5" s="23" t="s">
        <v>23</v>
      </c>
      <c r="J5" s="23" t="s">
        <v>23</v>
      </c>
      <c r="K5" s="23" t="s">
        <v>23</v>
      </c>
      <c r="L5" s="23" t="s">
        <v>23</v>
      </c>
      <c r="M5" s="36" t="s">
        <v>127</v>
      </c>
      <c r="N5" s="23" t="s">
        <v>23</v>
      </c>
      <c r="O5" s="23" t="s">
        <v>23</v>
      </c>
      <c r="P5" s="23" t="s">
        <v>23</v>
      </c>
      <c r="Q5" s="23" t="s">
        <v>23</v>
      </c>
      <c r="R5" s="23" t="s">
        <v>23</v>
      </c>
      <c r="S5" s="23" t="s">
        <v>23</v>
      </c>
      <c r="T5" s="36" t="s">
        <v>127</v>
      </c>
      <c r="U5" s="23" t="s">
        <v>24</v>
      </c>
      <c r="V5" s="23" t="s">
        <v>23</v>
      </c>
      <c r="W5" s="23" t="s">
        <v>23</v>
      </c>
      <c r="X5" s="23" t="s">
        <v>23</v>
      </c>
      <c r="Y5" s="23" t="s">
        <v>23</v>
      </c>
      <c r="Z5" s="23"/>
      <c r="AA5" s="36" t="s">
        <v>127</v>
      </c>
      <c r="AB5" s="23"/>
      <c r="AC5" s="23"/>
      <c r="AD5" s="23"/>
      <c r="AE5" s="23"/>
      <c r="AF5" s="23"/>
      <c r="AG5" s="23"/>
      <c r="AH5" s="36" t="s">
        <v>127</v>
      </c>
      <c r="AI5" s="23"/>
      <c r="AJ5" s="23"/>
      <c r="AK5" s="5">
        <f t="shared" ref="AK5:AK45" si="1">COUNTIF(F5:AJ5,"P")</f>
        <v>16</v>
      </c>
      <c r="AL5" s="5">
        <f t="shared" ref="AL5:AL45" si="2">COUNTIF(F5:AJ5,"A")</f>
        <v>1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734</v>
      </c>
      <c r="C6" s="17" t="s">
        <v>30</v>
      </c>
      <c r="D6" s="16" t="s">
        <v>31</v>
      </c>
      <c r="E6" s="7" t="s">
        <v>27</v>
      </c>
      <c r="F6" s="37"/>
      <c r="G6" s="23" t="s">
        <v>23</v>
      </c>
      <c r="H6" s="23" t="s">
        <v>23</v>
      </c>
      <c r="I6" s="23" t="s">
        <v>23</v>
      </c>
      <c r="J6" s="23" t="s">
        <v>23</v>
      </c>
      <c r="K6" s="23" t="s">
        <v>23</v>
      </c>
      <c r="L6" s="23" t="s">
        <v>23</v>
      </c>
      <c r="M6" s="37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23</v>
      </c>
      <c r="T6" s="37"/>
      <c r="U6" s="23" t="s">
        <v>23</v>
      </c>
      <c r="V6" s="23" t="s">
        <v>23</v>
      </c>
      <c r="W6" s="23" t="s">
        <v>23</v>
      </c>
      <c r="X6" s="23" t="s">
        <v>23</v>
      </c>
      <c r="Y6" s="23" t="s">
        <v>23</v>
      </c>
      <c r="Z6" s="23"/>
      <c r="AA6" s="37"/>
      <c r="AB6" s="23"/>
      <c r="AC6" s="23"/>
      <c r="AD6" s="23"/>
      <c r="AE6" s="23"/>
      <c r="AF6" s="23"/>
      <c r="AG6" s="23"/>
      <c r="AH6" s="37"/>
      <c r="AI6" s="23"/>
      <c r="AJ6" s="23"/>
      <c r="AK6" s="5">
        <f t="shared" si="1"/>
        <v>17</v>
      </c>
      <c r="AL6" s="5">
        <f t="shared" si="2"/>
        <v>0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787</v>
      </c>
      <c r="C7" s="17" t="s">
        <v>32</v>
      </c>
      <c r="D7" s="16" t="s">
        <v>33</v>
      </c>
      <c r="E7" s="7" t="s">
        <v>27</v>
      </c>
      <c r="F7" s="37"/>
      <c r="G7" s="23" t="s">
        <v>23</v>
      </c>
      <c r="H7" s="23" t="s">
        <v>23</v>
      </c>
      <c r="I7" s="23" t="s">
        <v>23</v>
      </c>
      <c r="J7" s="23" t="s">
        <v>23</v>
      </c>
      <c r="K7" s="23" t="s">
        <v>23</v>
      </c>
      <c r="L7" s="23" t="s">
        <v>23</v>
      </c>
      <c r="M7" s="37"/>
      <c r="N7" s="23" t="s">
        <v>23</v>
      </c>
      <c r="O7" s="23" t="s">
        <v>23</v>
      </c>
      <c r="P7" s="23" t="s">
        <v>23</v>
      </c>
      <c r="Q7" s="23" t="s">
        <v>23</v>
      </c>
      <c r="R7" s="23" t="s">
        <v>23</v>
      </c>
      <c r="S7" s="23" t="s">
        <v>23</v>
      </c>
      <c r="T7" s="37"/>
      <c r="U7" s="23" t="s">
        <v>23</v>
      </c>
      <c r="V7" s="23" t="s">
        <v>23</v>
      </c>
      <c r="W7" s="23" t="s">
        <v>23</v>
      </c>
      <c r="X7" s="23" t="s">
        <v>23</v>
      </c>
      <c r="Y7" s="23" t="s">
        <v>23</v>
      </c>
      <c r="Z7" s="23"/>
      <c r="AA7" s="37"/>
      <c r="AB7" s="23"/>
      <c r="AC7" s="23"/>
      <c r="AD7" s="23"/>
      <c r="AE7" s="23"/>
      <c r="AF7" s="23"/>
      <c r="AG7" s="23"/>
      <c r="AH7" s="37"/>
      <c r="AI7" s="23"/>
      <c r="AJ7" s="23"/>
      <c r="AK7" s="5">
        <f t="shared" si="1"/>
        <v>17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8">
        <v>4</v>
      </c>
      <c r="B8" s="10">
        <v>742</v>
      </c>
      <c r="C8" s="17" t="s">
        <v>34</v>
      </c>
      <c r="D8" s="16" t="s">
        <v>35</v>
      </c>
      <c r="E8" s="7" t="s">
        <v>27</v>
      </c>
      <c r="F8" s="37"/>
      <c r="G8" s="23" t="s">
        <v>23</v>
      </c>
      <c r="H8" s="23" t="s">
        <v>23</v>
      </c>
      <c r="I8" s="23" t="s">
        <v>23</v>
      </c>
      <c r="J8" s="23" t="s">
        <v>23</v>
      </c>
      <c r="K8" s="23" t="s">
        <v>23</v>
      </c>
      <c r="L8" s="23" t="s">
        <v>23</v>
      </c>
      <c r="M8" s="37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23</v>
      </c>
      <c r="T8" s="37"/>
      <c r="U8" s="23" t="s">
        <v>23</v>
      </c>
      <c r="V8" s="23" t="s">
        <v>23</v>
      </c>
      <c r="W8" s="23" t="s">
        <v>23</v>
      </c>
      <c r="X8" s="23" t="s">
        <v>23</v>
      </c>
      <c r="Y8" s="23" t="s">
        <v>23</v>
      </c>
      <c r="Z8" s="23"/>
      <c r="AA8" s="37"/>
      <c r="AB8" s="23"/>
      <c r="AC8" s="23"/>
      <c r="AD8" s="23"/>
      <c r="AE8" s="23"/>
      <c r="AF8" s="23"/>
      <c r="AG8" s="23"/>
      <c r="AH8" s="37"/>
      <c r="AI8" s="23"/>
      <c r="AJ8" s="23"/>
      <c r="AK8" s="5">
        <f t="shared" si="1"/>
        <v>17</v>
      </c>
      <c r="AL8" s="5">
        <f t="shared" si="2"/>
        <v>0</v>
      </c>
      <c r="AM8" s="28" t="s">
        <v>11</v>
      </c>
      <c r="AN8" s="29"/>
      <c r="AO8" s="29"/>
      <c r="AP8" s="30"/>
    </row>
    <row r="9" spans="1:42" x14ac:dyDescent="0.25">
      <c r="A9" s="6">
        <v>5</v>
      </c>
      <c r="B9" s="10">
        <v>740</v>
      </c>
      <c r="C9" s="17" t="s">
        <v>36</v>
      </c>
      <c r="D9" s="16" t="s">
        <v>37</v>
      </c>
      <c r="E9" s="7" t="s">
        <v>27</v>
      </c>
      <c r="F9" s="37"/>
      <c r="G9" s="23" t="s">
        <v>23</v>
      </c>
      <c r="H9" s="23" t="s">
        <v>23</v>
      </c>
      <c r="I9" s="23" t="s">
        <v>23</v>
      </c>
      <c r="J9" s="23" t="s">
        <v>23</v>
      </c>
      <c r="K9" s="23" t="s">
        <v>23</v>
      </c>
      <c r="L9" s="23" t="s">
        <v>23</v>
      </c>
      <c r="M9" s="37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37"/>
      <c r="U9" s="23" t="s">
        <v>23</v>
      </c>
      <c r="V9" s="23" t="s">
        <v>23</v>
      </c>
      <c r="W9" s="23" t="s">
        <v>23</v>
      </c>
      <c r="X9" s="23" t="s">
        <v>23</v>
      </c>
      <c r="Y9" s="23" t="s">
        <v>23</v>
      </c>
      <c r="Z9" s="23"/>
      <c r="AA9" s="37"/>
      <c r="AB9" s="23"/>
      <c r="AC9" s="23"/>
      <c r="AD9" s="23"/>
      <c r="AE9" s="23"/>
      <c r="AF9" s="23"/>
      <c r="AG9" s="23"/>
      <c r="AH9" s="37"/>
      <c r="AI9" s="23"/>
      <c r="AJ9" s="23"/>
      <c r="AK9" s="5">
        <f t="shared" si="1"/>
        <v>17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738</v>
      </c>
      <c r="C10" s="17" t="s">
        <v>40</v>
      </c>
      <c r="D10" s="16" t="s">
        <v>29</v>
      </c>
      <c r="E10" s="7" t="s">
        <v>27</v>
      </c>
      <c r="F10" s="37"/>
      <c r="G10" s="23" t="s">
        <v>23</v>
      </c>
      <c r="H10" s="23" t="s">
        <v>23</v>
      </c>
      <c r="I10" s="23" t="s">
        <v>23</v>
      </c>
      <c r="J10" s="23" t="s">
        <v>23</v>
      </c>
      <c r="K10" s="23" t="s">
        <v>23</v>
      </c>
      <c r="L10" s="23" t="s">
        <v>23</v>
      </c>
      <c r="M10" s="37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23</v>
      </c>
      <c r="S10" s="23" t="s">
        <v>23</v>
      </c>
      <c r="T10" s="37"/>
      <c r="U10" s="23" t="s">
        <v>24</v>
      </c>
      <c r="V10" s="23" t="s">
        <v>23</v>
      </c>
      <c r="W10" s="23" t="s">
        <v>23</v>
      </c>
      <c r="X10" s="23" t="s">
        <v>23</v>
      </c>
      <c r="Y10" s="23" t="s">
        <v>23</v>
      </c>
      <c r="Z10" s="23"/>
      <c r="AA10" s="37"/>
      <c r="AB10" s="23"/>
      <c r="AC10" s="23"/>
      <c r="AD10" s="23"/>
      <c r="AE10" s="23"/>
      <c r="AF10" s="23"/>
      <c r="AG10" s="23"/>
      <c r="AH10" s="37"/>
      <c r="AI10" s="23"/>
      <c r="AJ10" s="23"/>
      <c r="AK10" s="5">
        <f t="shared" si="1"/>
        <v>16</v>
      </c>
      <c r="AL10" s="5">
        <f t="shared" si="2"/>
        <v>1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739</v>
      </c>
      <c r="C11" s="17" t="s">
        <v>38</v>
      </c>
      <c r="D11" s="16" t="s">
        <v>39</v>
      </c>
      <c r="E11" s="7" t="s">
        <v>27</v>
      </c>
      <c r="F11" s="37"/>
      <c r="G11" s="23" t="s">
        <v>23</v>
      </c>
      <c r="H11" s="23" t="s">
        <v>23</v>
      </c>
      <c r="I11" s="23" t="s">
        <v>23</v>
      </c>
      <c r="J11" s="23" t="s">
        <v>23</v>
      </c>
      <c r="K11" s="23" t="s">
        <v>23</v>
      </c>
      <c r="L11" s="23" t="s">
        <v>23</v>
      </c>
      <c r="M11" s="37"/>
      <c r="N11" s="23" t="s">
        <v>23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37"/>
      <c r="U11" s="23" t="s">
        <v>23</v>
      </c>
      <c r="V11" s="23" t="s">
        <v>23</v>
      </c>
      <c r="W11" s="23" t="s">
        <v>23</v>
      </c>
      <c r="X11" s="23" t="s">
        <v>23</v>
      </c>
      <c r="Y11" s="23" t="s">
        <v>23</v>
      </c>
      <c r="Z11" s="23"/>
      <c r="AA11" s="37"/>
      <c r="AB11" s="23"/>
      <c r="AC11" s="23"/>
      <c r="AD11" s="23"/>
      <c r="AE11" s="23"/>
      <c r="AF11" s="23"/>
      <c r="AG11" s="23"/>
      <c r="AH11" s="37"/>
      <c r="AI11" s="23"/>
      <c r="AJ11" s="23"/>
      <c r="AK11" s="5">
        <f t="shared" si="1"/>
        <v>17</v>
      </c>
      <c r="AL11" s="5">
        <f t="shared" si="2"/>
        <v>0</v>
      </c>
      <c r="AM11" s="5" t="s">
        <v>17</v>
      </c>
      <c r="AN11" s="8" t="e">
        <f>AK30+AK31+AK34++#REF!</f>
        <v>#REF!</v>
      </c>
      <c r="AO11" s="8">
        <f>AK29+AK32+AK33+AK35+AK36+AK37+AK38+AK39+AK40+AK41+AK42+AK43+AK44</f>
        <v>191</v>
      </c>
      <c r="AP11" s="8" t="e">
        <f>AN11+AO11</f>
        <v>#REF!</v>
      </c>
    </row>
    <row r="12" spans="1:42" x14ac:dyDescent="0.25">
      <c r="A12" s="8">
        <v>8</v>
      </c>
      <c r="B12" s="10">
        <v>743</v>
      </c>
      <c r="C12" s="17" t="s">
        <v>41</v>
      </c>
      <c r="D12" s="16" t="s">
        <v>47</v>
      </c>
      <c r="E12" s="7" t="s">
        <v>27</v>
      </c>
      <c r="F12" s="37"/>
      <c r="G12" s="23" t="s">
        <v>23</v>
      </c>
      <c r="H12" s="23" t="s">
        <v>23</v>
      </c>
      <c r="I12" s="23" t="s">
        <v>23</v>
      </c>
      <c r="J12" s="23" t="s">
        <v>23</v>
      </c>
      <c r="K12" s="23" t="s">
        <v>23</v>
      </c>
      <c r="L12" s="23" t="s">
        <v>23</v>
      </c>
      <c r="M12" s="37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37"/>
      <c r="U12" s="23" t="s">
        <v>23</v>
      </c>
      <c r="V12" s="23" t="s">
        <v>23</v>
      </c>
      <c r="W12" s="23" t="s">
        <v>23</v>
      </c>
      <c r="X12" s="23" t="s">
        <v>23</v>
      </c>
      <c r="Y12" s="23" t="s">
        <v>23</v>
      </c>
      <c r="Z12" s="23"/>
      <c r="AA12" s="37"/>
      <c r="AB12" s="23"/>
      <c r="AC12" s="23"/>
      <c r="AD12" s="23"/>
      <c r="AE12" s="23"/>
      <c r="AF12" s="23"/>
      <c r="AG12" s="23"/>
      <c r="AH12" s="37"/>
      <c r="AI12" s="23"/>
      <c r="AJ12" s="23"/>
      <c r="AK12" s="5">
        <f t="shared" si="1"/>
        <v>17</v>
      </c>
      <c r="AL12" s="5">
        <f t="shared" si="2"/>
        <v>0</v>
      </c>
      <c r="AM12" s="5" t="s">
        <v>18</v>
      </c>
      <c r="AN12" s="8" t="e">
        <f>AN11/AN10</f>
        <v>#REF!</v>
      </c>
      <c r="AO12" s="8">
        <f>AO11/AO10</f>
        <v>0.3498168498168498</v>
      </c>
      <c r="AP12" s="8" t="e">
        <f>AP11/AP10</f>
        <v>#REF!</v>
      </c>
    </row>
    <row r="13" spans="1:42" x14ac:dyDescent="0.25">
      <c r="A13" s="6">
        <v>9</v>
      </c>
      <c r="B13" s="10">
        <v>729</v>
      </c>
      <c r="C13" s="17" t="s">
        <v>42</v>
      </c>
      <c r="D13" s="16" t="s">
        <v>48</v>
      </c>
      <c r="E13" s="7" t="s">
        <v>27</v>
      </c>
      <c r="F13" s="37"/>
      <c r="G13" s="23" t="s">
        <v>23</v>
      </c>
      <c r="H13" s="23" t="s">
        <v>23</v>
      </c>
      <c r="I13" s="23" t="s">
        <v>23</v>
      </c>
      <c r="J13" s="23" t="s">
        <v>23</v>
      </c>
      <c r="K13" s="23" t="s">
        <v>23</v>
      </c>
      <c r="L13" s="23" t="s">
        <v>23</v>
      </c>
      <c r="M13" s="37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37"/>
      <c r="U13" s="23" t="s">
        <v>23</v>
      </c>
      <c r="V13" s="23" t="s">
        <v>23</v>
      </c>
      <c r="W13" s="23" t="s">
        <v>23</v>
      </c>
      <c r="X13" s="23" t="s">
        <v>23</v>
      </c>
      <c r="Y13" s="23" t="s">
        <v>23</v>
      </c>
      <c r="Z13" s="23"/>
      <c r="AA13" s="37"/>
      <c r="AB13" s="23"/>
      <c r="AC13" s="23"/>
      <c r="AD13" s="23"/>
      <c r="AE13" s="23"/>
      <c r="AF13" s="23"/>
      <c r="AG13" s="23"/>
      <c r="AH13" s="37"/>
      <c r="AI13" s="23"/>
      <c r="AJ13" s="23"/>
      <c r="AK13" s="5">
        <f t="shared" si="1"/>
        <v>17</v>
      </c>
      <c r="AL13" s="5">
        <f t="shared" si="2"/>
        <v>0</v>
      </c>
      <c r="AM13" s="3"/>
      <c r="AN13" s="11"/>
      <c r="AO13" s="11"/>
      <c r="AP13" s="11"/>
    </row>
    <row r="14" spans="1:42" x14ac:dyDescent="0.25">
      <c r="A14" s="8">
        <v>10</v>
      </c>
      <c r="B14" s="10">
        <v>735</v>
      </c>
      <c r="C14" s="17" t="s">
        <v>43</v>
      </c>
      <c r="D14" s="16" t="s">
        <v>49</v>
      </c>
      <c r="E14" s="7" t="s">
        <v>27</v>
      </c>
      <c r="F14" s="37"/>
      <c r="G14" s="23" t="s">
        <v>23</v>
      </c>
      <c r="H14" s="23" t="s">
        <v>23</v>
      </c>
      <c r="I14" s="23" t="s">
        <v>23</v>
      </c>
      <c r="J14" s="23" t="s">
        <v>23</v>
      </c>
      <c r="K14" s="23" t="s">
        <v>23</v>
      </c>
      <c r="L14" s="23" t="s">
        <v>23</v>
      </c>
      <c r="M14" s="37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37"/>
      <c r="U14" s="23" t="s">
        <v>24</v>
      </c>
      <c r="V14" s="23" t="s">
        <v>23</v>
      </c>
      <c r="W14" s="23" t="s">
        <v>23</v>
      </c>
      <c r="X14" s="23" t="s">
        <v>23</v>
      </c>
      <c r="Y14" s="23" t="s">
        <v>23</v>
      </c>
      <c r="Z14" s="23"/>
      <c r="AA14" s="37"/>
      <c r="AB14" s="23"/>
      <c r="AC14" s="23"/>
      <c r="AD14" s="23"/>
      <c r="AE14" s="23"/>
      <c r="AF14" s="23"/>
      <c r="AG14" s="23"/>
      <c r="AH14" s="37"/>
      <c r="AI14" s="23"/>
      <c r="AJ14" s="23"/>
      <c r="AK14" s="5">
        <f t="shared" si="1"/>
        <v>16</v>
      </c>
      <c r="AL14" s="5">
        <f t="shared" si="2"/>
        <v>1</v>
      </c>
      <c r="AM14" s="12"/>
      <c r="AN14" s="12"/>
      <c r="AO14" s="12"/>
      <c r="AP14" s="12"/>
    </row>
    <row r="15" spans="1:42" x14ac:dyDescent="0.25">
      <c r="A15" s="6">
        <v>11</v>
      </c>
      <c r="B15" s="10">
        <v>736</v>
      </c>
      <c r="C15" s="17" t="s">
        <v>44</v>
      </c>
      <c r="D15" s="16" t="s">
        <v>50</v>
      </c>
      <c r="E15" s="7" t="s">
        <v>27</v>
      </c>
      <c r="F15" s="37"/>
      <c r="G15" s="23" t="s">
        <v>23</v>
      </c>
      <c r="H15" s="23" t="s">
        <v>23</v>
      </c>
      <c r="I15" s="23" t="s">
        <v>23</v>
      </c>
      <c r="J15" s="23" t="s">
        <v>23</v>
      </c>
      <c r="K15" s="23" t="s">
        <v>23</v>
      </c>
      <c r="L15" s="23" t="s">
        <v>23</v>
      </c>
      <c r="M15" s="37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23</v>
      </c>
      <c r="S15" s="23" t="s">
        <v>23</v>
      </c>
      <c r="T15" s="37"/>
      <c r="U15" s="23" t="s">
        <v>23</v>
      </c>
      <c r="V15" s="23" t="s">
        <v>23</v>
      </c>
      <c r="W15" s="23" t="s">
        <v>23</v>
      </c>
      <c r="X15" s="23" t="s">
        <v>23</v>
      </c>
      <c r="Y15" s="23" t="s">
        <v>23</v>
      </c>
      <c r="Z15" s="23"/>
      <c r="AA15" s="37"/>
      <c r="AB15" s="23"/>
      <c r="AC15" s="23"/>
      <c r="AD15" s="23"/>
      <c r="AE15" s="23"/>
      <c r="AF15" s="23"/>
      <c r="AG15" s="23"/>
      <c r="AH15" s="37"/>
      <c r="AI15" s="23"/>
      <c r="AJ15" s="23"/>
      <c r="AK15" s="5">
        <f t="shared" si="1"/>
        <v>17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759</v>
      </c>
      <c r="C16" s="17" t="s">
        <v>45</v>
      </c>
      <c r="D16" s="16" t="s">
        <v>51</v>
      </c>
      <c r="E16" s="7" t="s">
        <v>27</v>
      </c>
      <c r="F16" s="37"/>
      <c r="G16" s="23" t="s">
        <v>23</v>
      </c>
      <c r="H16" s="23" t="s">
        <v>23</v>
      </c>
      <c r="I16" s="23" t="s">
        <v>23</v>
      </c>
      <c r="J16" s="23" t="s">
        <v>23</v>
      </c>
      <c r="K16" s="23" t="s">
        <v>23</v>
      </c>
      <c r="L16" s="23" t="s">
        <v>23</v>
      </c>
      <c r="M16" s="37"/>
      <c r="N16" s="23" t="s">
        <v>23</v>
      </c>
      <c r="O16" s="23" t="s">
        <v>23</v>
      </c>
      <c r="P16" s="23" t="s">
        <v>23</v>
      </c>
      <c r="Q16" s="23" t="s">
        <v>23</v>
      </c>
      <c r="R16" s="23" t="s">
        <v>23</v>
      </c>
      <c r="S16" s="23" t="s">
        <v>23</v>
      </c>
      <c r="T16" s="37"/>
      <c r="U16" s="23" t="s">
        <v>23</v>
      </c>
      <c r="V16" s="23" t="s">
        <v>23</v>
      </c>
      <c r="W16" s="23" t="s">
        <v>23</v>
      </c>
      <c r="X16" s="23" t="s">
        <v>23</v>
      </c>
      <c r="Y16" s="23" t="s">
        <v>23</v>
      </c>
      <c r="Z16" s="23"/>
      <c r="AA16" s="37"/>
      <c r="AB16" s="23"/>
      <c r="AC16" s="23"/>
      <c r="AD16" s="23"/>
      <c r="AE16" s="23"/>
      <c r="AF16" s="23"/>
      <c r="AG16" s="23"/>
      <c r="AH16" s="37"/>
      <c r="AI16" s="23"/>
      <c r="AJ16" s="23"/>
      <c r="AK16" s="5">
        <f t="shared" si="1"/>
        <v>17</v>
      </c>
      <c r="AL16" s="5">
        <f t="shared" si="2"/>
        <v>0</v>
      </c>
      <c r="AM16" s="28" t="s">
        <v>6</v>
      </c>
      <c r="AN16" s="29"/>
      <c r="AO16" s="29"/>
      <c r="AP16" s="30"/>
    </row>
    <row r="17" spans="1:42" x14ac:dyDescent="0.25">
      <c r="A17" s="6">
        <v>13</v>
      </c>
      <c r="B17" s="10">
        <v>746</v>
      </c>
      <c r="C17" s="17" t="s">
        <v>46</v>
      </c>
      <c r="D17" s="16" t="s">
        <v>52</v>
      </c>
      <c r="E17" s="7" t="s">
        <v>27</v>
      </c>
      <c r="F17" s="37"/>
      <c r="G17" s="23" t="s">
        <v>23</v>
      </c>
      <c r="H17" s="23" t="s">
        <v>23</v>
      </c>
      <c r="I17" s="23" t="s">
        <v>23</v>
      </c>
      <c r="J17" s="23" t="s">
        <v>23</v>
      </c>
      <c r="K17" s="23" t="s">
        <v>23</v>
      </c>
      <c r="L17" s="23" t="s">
        <v>23</v>
      </c>
      <c r="M17" s="37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23</v>
      </c>
      <c r="T17" s="37"/>
      <c r="U17" s="23" t="s">
        <v>23</v>
      </c>
      <c r="V17" s="23" t="s">
        <v>23</v>
      </c>
      <c r="W17" s="23" t="s">
        <v>23</v>
      </c>
      <c r="X17" s="23" t="s">
        <v>23</v>
      </c>
      <c r="Y17" s="23" t="s">
        <v>23</v>
      </c>
      <c r="Z17" s="23"/>
      <c r="AA17" s="37"/>
      <c r="AB17" s="23"/>
      <c r="AC17" s="23"/>
      <c r="AD17" s="23"/>
      <c r="AE17" s="23"/>
      <c r="AF17" s="23"/>
      <c r="AG17" s="23"/>
      <c r="AH17" s="37"/>
      <c r="AI17" s="23"/>
      <c r="AJ17" s="23"/>
      <c r="AK17" s="5">
        <f t="shared" si="1"/>
        <v>17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>
        <v>745</v>
      </c>
      <c r="C18" s="17" t="s">
        <v>53</v>
      </c>
      <c r="D18" s="16" t="s">
        <v>52</v>
      </c>
      <c r="E18" s="7" t="s">
        <v>27</v>
      </c>
      <c r="F18" s="37"/>
      <c r="G18" s="23" t="s">
        <v>23</v>
      </c>
      <c r="H18" s="23" t="s">
        <v>23</v>
      </c>
      <c r="I18" s="23" t="s">
        <v>23</v>
      </c>
      <c r="J18" s="23" t="s">
        <v>23</v>
      </c>
      <c r="K18" s="23" t="s">
        <v>23</v>
      </c>
      <c r="L18" s="23" t="s">
        <v>23</v>
      </c>
      <c r="M18" s="37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23</v>
      </c>
      <c r="T18" s="37"/>
      <c r="U18" s="23" t="s">
        <v>23</v>
      </c>
      <c r="V18" s="23" t="s">
        <v>23</v>
      </c>
      <c r="W18" s="23" t="s">
        <v>23</v>
      </c>
      <c r="X18" s="23" t="s">
        <v>23</v>
      </c>
      <c r="Y18" s="23" t="s">
        <v>23</v>
      </c>
      <c r="Z18" s="23"/>
      <c r="AA18" s="37"/>
      <c r="AB18" s="23"/>
      <c r="AC18" s="23"/>
      <c r="AD18" s="23"/>
      <c r="AE18" s="23"/>
      <c r="AF18" s="23"/>
      <c r="AG18" s="23"/>
      <c r="AH18" s="37"/>
      <c r="AI18" s="23"/>
      <c r="AJ18" s="23"/>
      <c r="AK18" s="5">
        <f t="shared" si="1"/>
        <v>17</v>
      </c>
      <c r="AL18" s="5">
        <f t="shared" si="2"/>
        <v>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731</v>
      </c>
      <c r="C19" s="17" t="s">
        <v>54</v>
      </c>
      <c r="D19" s="16" t="s">
        <v>55</v>
      </c>
      <c r="E19" s="7" t="s">
        <v>27</v>
      </c>
      <c r="F19" s="37"/>
      <c r="G19" s="23" t="s">
        <v>23</v>
      </c>
      <c r="H19" s="23" t="s">
        <v>23</v>
      </c>
      <c r="I19" s="23" t="s">
        <v>23</v>
      </c>
      <c r="J19" s="23" t="s">
        <v>23</v>
      </c>
      <c r="K19" s="23" t="s">
        <v>23</v>
      </c>
      <c r="L19" s="23" t="s">
        <v>23</v>
      </c>
      <c r="M19" s="37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23</v>
      </c>
      <c r="T19" s="37"/>
      <c r="U19" s="23" t="s">
        <v>23</v>
      </c>
      <c r="V19" s="23" t="s">
        <v>23</v>
      </c>
      <c r="W19" s="23" t="s">
        <v>23</v>
      </c>
      <c r="X19" s="23" t="s">
        <v>23</v>
      </c>
      <c r="Y19" s="23" t="s">
        <v>23</v>
      </c>
      <c r="Z19" s="23"/>
      <c r="AA19" s="37"/>
      <c r="AB19" s="23"/>
      <c r="AC19" s="23"/>
      <c r="AD19" s="23"/>
      <c r="AE19" s="23"/>
      <c r="AF19" s="23"/>
      <c r="AG19" s="23"/>
      <c r="AH19" s="37"/>
      <c r="AI19" s="23"/>
      <c r="AJ19" s="23"/>
      <c r="AK19" s="5">
        <f t="shared" si="1"/>
        <v>17</v>
      </c>
      <c r="AL19" s="5">
        <f t="shared" si="2"/>
        <v>0</v>
      </c>
      <c r="AM19" s="5" t="s">
        <v>19</v>
      </c>
      <c r="AN19" s="8" t="e">
        <f>AN18-AN11</f>
        <v>#REF!</v>
      </c>
      <c r="AO19" s="8">
        <f>AO18-AO11</f>
        <v>355</v>
      </c>
      <c r="AP19" s="8" t="e">
        <f>AN19+AO19</f>
        <v>#REF!</v>
      </c>
    </row>
    <row r="20" spans="1:42" x14ac:dyDescent="0.25">
      <c r="A20" s="8">
        <v>16</v>
      </c>
      <c r="B20" s="10"/>
      <c r="C20" s="17" t="s">
        <v>36</v>
      </c>
      <c r="D20" s="16" t="s">
        <v>111</v>
      </c>
      <c r="E20" s="7" t="s">
        <v>27</v>
      </c>
      <c r="F20" s="37"/>
      <c r="G20" s="23" t="s">
        <v>23</v>
      </c>
      <c r="H20" s="23" t="s">
        <v>23</v>
      </c>
      <c r="I20" s="23" t="s">
        <v>23</v>
      </c>
      <c r="J20" s="23" t="s">
        <v>23</v>
      </c>
      <c r="K20" s="23" t="s">
        <v>23</v>
      </c>
      <c r="L20" s="23" t="s">
        <v>23</v>
      </c>
      <c r="M20" s="37"/>
      <c r="N20" s="23" t="s">
        <v>23</v>
      </c>
      <c r="O20" s="23" t="s">
        <v>23</v>
      </c>
      <c r="P20" s="23" t="s">
        <v>23</v>
      </c>
      <c r="Q20" s="23" t="s">
        <v>23</v>
      </c>
      <c r="R20" s="23" t="s">
        <v>23</v>
      </c>
      <c r="S20" s="23" t="s">
        <v>23</v>
      </c>
      <c r="T20" s="37"/>
      <c r="U20" s="23" t="s">
        <v>23</v>
      </c>
      <c r="V20" s="23" t="s">
        <v>23</v>
      </c>
      <c r="W20" s="23" t="s">
        <v>23</v>
      </c>
      <c r="X20" s="23" t="s">
        <v>23</v>
      </c>
      <c r="Y20" s="23" t="s">
        <v>23</v>
      </c>
      <c r="Z20" s="23"/>
      <c r="AA20" s="37"/>
      <c r="AB20" s="23"/>
      <c r="AC20" s="23"/>
      <c r="AD20" s="23"/>
      <c r="AE20" s="23"/>
      <c r="AF20" s="23"/>
      <c r="AG20" s="23"/>
      <c r="AH20" s="37"/>
      <c r="AI20" s="23"/>
      <c r="AJ20" s="23"/>
      <c r="AK20" s="5">
        <f t="shared" si="1"/>
        <v>17</v>
      </c>
      <c r="AL20" s="5">
        <f t="shared" si="2"/>
        <v>0</v>
      </c>
      <c r="AM20" s="5" t="s">
        <v>15</v>
      </c>
      <c r="AN20" s="13" t="e">
        <f>AN19/AN18</f>
        <v>#REF!</v>
      </c>
      <c r="AO20" s="13">
        <f>AO19/AO18</f>
        <v>0.6501831501831502</v>
      </c>
      <c r="AP20" s="13" t="e">
        <f>AP19/AP18</f>
        <v>#REF!</v>
      </c>
    </row>
    <row r="21" spans="1:42" x14ac:dyDescent="0.25">
      <c r="A21" s="6">
        <v>17</v>
      </c>
      <c r="B21" s="10">
        <v>856</v>
      </c>
      <c r="C21" s="17" t="s">
        <v>91</v>
      </c>
      <c r="D21" s="16" t="s">
        <v>39</v>
      </c>
      <c r="E21" s="7" t="s">
        <v>27</v>
      </c>
      <c r="F21" s="37"/>
      <c r="G21" s="23" t="s">
        <v>23</v>
      </c>
      <c r="H21" s="23" t="s">
        <v>23</v>
      </c>
      <c r="I21" s="23" t="s">
        <v>23</v>
      </c>
      <c r="J21" s="23" t="s">
        <v>23</v>
      </c>
      <c r="K21" s="23" t="s">
        <v>23</v>
      </c>
      <c r="L21" s="23" t="s">
        <v>23</v>
      </c>
      <c r="M21" s="37"/>
      <c r="N21" s="23" t="s">
        <v>24</v>
      </c>
      <c r="O21" s="23" t="s">
        <v>24</v>
      </c>
      <c r="P21" s="23" t="s">
        <v>23</v>
      </c>
      <c r="Q21" s="23" t="s">
        <v>23</v>
      </c>
      <c r="R21" s="23" t="s">
        <v>23</v>
      </c>
      <c r="S21" s="23" t="s">
        <v>23</v>
      </c>
      <c r="T21" s="37"/>
      <c r="U21" s="23" t="s">
        <v>23</v>
      </c>
      <c r="V21" s="23" t="s">
        <v>23</v>
      </c>
      <c r="W21" s="23" t="s">
        <v>23</v>
      </c>
      <c r="X21" s="23" t="s">
        <v>23</v>
      </c>
      <c r="Y21" s="23" t="s">
        <v>23</v>
      </c>
      <c r="Z21" s="23"/>
      <c r="AA21" s="37"/>
      <c r="AB21" s="23"/>
      <c r="AC21" s="23"/>
      <c r="AD21" s="23"/>
      <c r="AE21" s="23"/>
      <c r="AF21" s="23"/>
      <c r="AG21" s="23"/>
      <c r="AH21" s="37"/>
      <c r="AI21" s="23"/>
      <c r="AJ21" s="23"/>
      <c r="AK21" s="5">
        <f t="shared" si="1"/>
        <v>15</v>
      </c>
      <c r="AL21" s="5">
        <f t="shared" si="2"/>
        <v>2</v>
      </c>
    </row>
    <row r="22" spans="1:42" x14ac:dyDescent="0.25">
      <c r="A22" s="8">
        <v>18</v>
      </c>
      <c r="B22" s="10">
        <v>906</v>
      </c>
      <c r="C22" s="17" t="s">
        <v>56</v>
      </c>
      <c r="D22" s="16" t="s">
        <v>92</v>
      </c>
      <c r="E22" s="7" t="s">
        <v>27</v>
      </c>
      <c r="F22" s="37"/>
      <c r="G22" s="23" t="s">
        <v>23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37"/>
      <c r="N22" s="23" t="s">
        <v>23</v>
      </c>
      <c r="O22" s="23" t="s">
        <v>23</v>
      </c>
      <c r="P22" s="23" t="s">
        <v>23</v>
      </c>
      <c r="Q22" s="23" t="s">
        <v>23</v>
      </c>
      <c r="R22" s="23" t="s">
        <v>23</v>
      </c>
      <c r="S22" s="23" t="s">
        <v>23</v>
      </c>
      <c r="T22" s="37"/>
      <c r="U22" s="23" t="s">
        <v>23</v>
      </c>
      <c r="V22" s="23" t="s">
        <v>23</v>
      </c>
      <c r="W22" s="23" t="s">
        <v>23</v>
      </c>
      <c r="X22" s="23" t="s">
        <v>23</v>
      </c>
      <c r="Y22" s="23" t="s">
        <v>23</v>
      </c>
      <c r="Z22" s="23"/>
      <c r="AA22" s="37"/>
      <c r="AB22" s="23"/>
      <c r="AC22" s="23"/>
      <c r="AD22" s="23"/>
      <c r="AE22" s="23"/>
      <c r="AF22" s="23"/>
      <c r="AG22" s="23"/>
      <c r="AH22" s="37"/>
      <c r="AI22" s="23"/>
      <c r="AJ22" s="23"/>
      <c r="AK22" s="5">
        <f t="shared" si="1"/>
        <v>17</v>
      </c>
      <c r="AL22" s="5">
        <f t="shared" si="2"/>
        <v>0</v>
      </c>
    </row>
    <row r="23" spans="1:42" x14ac:dyDescent="0.25">
      <c r="A23" s="6">
        <v>19</v>
      </c>
      <c r="B23" s="10">
        <v>861</v>
      </c>
      <c r="C23" s="17" t="s">
        <v>93</v>
      </c>
      <c r="D23" s="16" t="s">
        <v>94</v>
      </c>
      <c r="E23" s="7" t="s">
        <v>27</v>
      </c>
      <c r="F23" s="37"/>
      <c r="G23" s="23" t="s">
        <v>24</v>
      </c>
      <c r="H23" s="23" t="s">
        <v>24</v>
      </c>
      <c r="I23" s="23" t="s">
        <v>24</v>
      </c>
      <c r="J23" s="23" t="s">
        <v>24</v>
      </c>
      <c r="K23" s="23" t="s">
        <v>24</v>
      </c>
      <c r="L23" s="23" t="s">
        <v>24</v>
      </c>
      <c r="M23" s="37"/>
      <c r="N23" s="23" t="s">
        <v>24</v>
      </c>
      <c r="O23" s="23" t="s">
        <v>24</v>
      </c>
      <c r="P23" s="23" t="s">
        <v>24</v>
      </c>
      <c r="Q23" s="23" t="s">
        <v>24</v>
      </c>
      <c r="R23" s="23" t="s">
        <v>24</v>
      </c>
      <c r="S23" s="23" t="s">
        <v>24</v>
      </c>
      <c r="T23" s="37"/>
      <c r="U23" s="23" t="s">
        <v>24</v>
      </c>
      <c r="V23" s="23" t="s">
        <v>24</v>
      </c>
      <c r="W23" s="23" t="s">
        <v>24</v>
      </c>
      <c r="X23" s="23" t="s">
        <v>24</v>
      </c>
      <c r="Y23" s="23" t="s">
        <v>24</v>
      </c>
      <c r="Z23" s="23"/>
      <c r="AA23" s="37"/>
      <c r="AB23" s="23"/>
      <c r="AC23" s="23"/>
      <c r="AD23" s="23"/>
      <c r="AE23" s="23"/>
      <c r="AF23" s="23"/>
      <c r="AG23" s="23"/>
      <c r="AH23" s="37"/>
      <c r="AI23" s="23"/>
      <c r="AJ23" s="23"/>
      <c r="AK23" s="5">
        <f t="shared" si="1"/>
        <v>0</v>
      </c>
      <c r="AL23" s="5">
        <f t="shared" si="2"/>
        <v>17</v>
      </c>
    </row>
    <row r="24" spans="1:42" x14ac:dyDescent="0.25">
      <c r="A24" s="8">
        <v>20</v>
      </c>
      <c r="B24" s="10">
        <v>866</v>
      </c>
      <c r="C24" s="17" t="s">
        <v>95</v>
      </c>
      <c r="D24" s="16" t="s">
        <v>96</v>
      </c>
      <c r="E24" s="7" t="s">
        <v>27</v>
      </c>
      <c r="F24" s="37"/>
      <c r="G24" s="23" t="s">
        <v>23</v>
      </c>
      <c r="H24" s="23" t="s">
        <v>23</v>
      </c>
      <c r="I24" s="23" t="s">
        <v>23</v>
      </c>
      <c r="J24" s="23" t="s">
        <v>23</v>
      </c>
      <c r="K24" s="23" t="s">
        <v>23</v>
      </c>
      <c r="L24" s="23" t="s">
        <v>23</v>
      </c>
      <c r="M24" s="37"/>
      <c r="N24" s="23" t="s">
        <v>23</v>
      </c>
      <c r="O24" s="23" t="s">
        <v>23</v>
      </c>
      <c r="P24" s="23" t="s">
        <v>23</v>
      </c>
      <c r="Q24" s="23" t="s">
        <v>23</v>
      </c>
      <c r="R24" s="23" t="s">
        <v>23</v>
      </c>
      <c r="S24" s="23" t="s">
        <v>23</v>
      </c>
      <c r="T24" s="37"/>
      <c r="U24" s="23" t="s">
        <v>24</v>
      </c>
      <c r="V24" s="23" t="s">
        <v>23</v>
      </c>
      <c r="W24" s="23" t="s">
        <v>23</v>
      </c>
      <c r="X24" s="23" t="s">
        <v>23</v>
      </c>
      <c r="Y24" s="23" t="s">
        <v>23</v>
      </c>
      <c r="Z24" s="23"/>
      <c r="AA24" s="37"/>
      <c r="AB24" s="23"/>
      <c r="AC24" s="23"/>
      <c r="AD24" s="23"/>
      <c r="AE24" s="23"/>
      <c r="AF24" s="23"/>
      <c r="AG24" s="23"/>
      <c r="AH24" s="37"/>
      <c r="AI24" s="23"/>
      <c r="AJ24" s="23"/>
      <c r="AK24" s="5">
        <f t="shared" si="1"/>
        <v>16</v>
      </c>
      <c r="AL24" s="5">
        <f t="shared" si="2"/>
        <v>1</v>
      </c>
    </row>
    <row r="25" spans="1:42" x14ac:dyDescent="0.25">
      <c r="A25" s="6">
        <v>21</v>
      </c>
      <c r="B25" s="10">
        <v>846</v>
      </c>
      <c r="C25" s="17" t="s">
        <v>97</v>
      </c>
      <c r="D25" s="16" t="s">
        <v>98</v>
      </c>
      <c r="E25" s="7" t="s">
        <v>27</v>
      </c>
      <c r="F25" s="37"/>
      <c r="G25" s="23" t="s">
        <v>23</v>
      </c>
      <c r="H25" s="23" t="s">
        <v>23</v>
      </c>
      <c r="I25" s="23" t="s">
        <v>23</v>
      </c>
      <c r="J25" s="23" t="s">
        <v>23</v>
      </c>
      <c r="K25" s="23" t="s">
        <v>23</v>
      </c>
      <c r="L25" s="23" t="s">
        <v>23</v>
      </c>
      <c r="M25" s="37"/>
      <c r="N25" s="23" t="s">
        <v>23</v>
      </c>
      <c r="O25" s="23" t="s">
        <v>23</v>
      </c>
      <c r="P25" s="23" t="s">
        <v>23</v>
      </c>
      <c r="Q25" s="23" t="s">
        <v>24</v>
      </c>
      <c r="R25" s="23" t="s">
        <v>23</v>
      </c>
      <c r="S25" s="23" t="s">
        <v>23</v>
      </c>
      <c r="T25" s="37"/>
      <c r="U25" s="23" t="s">
        <v>24</v>
      </c>
      <c r="V25" s="23" t="s">
        <v>24</v>
      </c>
      <c r="W25" s="23" t="s">
        <v>24</v>
      </c>
      <c r="X25" s="23" t="s">
        <v>24</v>
      </c>
      <c r="Y25" s="23" t="s">
        <v>24</v>
      </c>
      <c r="Z25" s="23"/>
      <c r="AA25" s="37"/>
      <c r="AB25" s="23"/>
      <c r="AC25" s="23"/>
      <c r="AD25" s="23"/>
      <c r="AE25" s="23"/>
      <c r="AF25" s="23"/>
      <c r="AG25" s="23"/>
      <c r="AH25" s="37"/>
      <c r="AI25" s="23"/>
      <c r="AJ25" s="23"/>
      <c r="AK25" s="5">
        <f t="shared" si="1"/>
        <v>11</v>
      </c>
      <c r="AL25" s="5">
        <f t="shared" si="2"/>
        <v>6</v>
      </c>
    </row>
    <row r="26" spans="1:42" x14ac:dyDescent="0.25">
      <c r="A26" s="8">
        <v>22</v>
      </c>
      <c r="B26" s="10">
        <v>857</v>
      </c>
      <c r="C26" s="17" t="s">
        <v>95</v>
      </c>
      <c r="D26" s="17" t="s">
        <v>99</v>
      </c>
      <c r="E26" s="7" t="s">
        <v>27</v>
      </c>
      <c r="F26" s="37"/>
      <c r="G26" s="23" t="s">
        <v>24</v>
      </c>
      <c r="H26" s="23" t="s">
        <v>24</v>
      </c>
      <c r="I26" s="23" t="s">
        <v>24</v>
      </c>
      <c r="J26" s="23" t="s">
        <v>24</v>
      </c>
      <c r="K26" s="23" t="s">
        <v>24</v>
      </c>
      <c r="L26" s="23" t="s">
        <v>24</v>
      </c>
      <c r="M26" s="37"/>
      <c r="N26" s="23" t="s">
        <v>24</v>
      </c>
      <c r="O26" s="23" t="s">
        <v>23</v>
      </c>
      <c r="P26" s="23" t="s">
        <v>24</v>
      </c>
      <c r="Q26" s="23" t="s">
        <v>23</v>
      </c>
      <c r="R26" s="23" t="s">
        <v>23</v>
      </c>
      <c r="S26" s="23" t="s">
        <v>23</v>
      </c>
      <c r="T26" s="37"/>
      <c r="U26" s="23" t="s">
        <v>23</v>
      </c>
      <c r="V26" s="23" t="s">
        <v>23</v>
      </c>
      <c r="W26" s="23" t="s">
        <v>23</v>
      </c>
      <c r="X26" s="23" t="s">
        <v>23</v>
      </c>
      <c r="Y26" s="23" t="s">
        <v>23</v>
      </c>
      <c r="Z26" s="23"/>
      <c r="AA26" s="37"/>
      <c r="AB26" s="23"/>
      <c r="AC26" s="23"/>
      <c r="AD26" s="23"/>
      <c r="AE26" s="23"/>
      <c r="AF26" s="23"/>
      <c r="AG26" s="23"/>
      <c r="AH26" s="37"/>
      <c r="AI26" s="23"/>
      <c r="AJ26" s="23"/>
      <c r="AK26" s="5">
        <f t="shared" si="1"/>
        <v>9</v>
      </c>
      <c r="AL26" s="5">
        <f t="shared" si="2"/>
        <v>8</v>
      </c>
    </row>
    <row r="27" spans="1:42" x14ac:dyDescent="0.25">
      <c r="A27" s="6">
        <v>23</v>
      </c>
      <c r="B27" s="10">
        <v>738</v>
      </c>
      <c r="C27" s="20" t="s">
        <v>36</v>
      </c>
      <c r="D27" s="20" t="s">
        <v>59</v>
      </c>
      <c r="E27" s="7" t="s">
        <v>27</v>
      </c>
      <c r="F27" s="37"/>
      <c r="G27" s="23" t="s">
        <v>24</v>
      </c>
      <c r="H27" s="23" t="s">
        <v>24</v>
      </c>
      <c r="I27" s="23" t="s">
        <v>24</v>
      </c>
      <c r="J27" s="23" t="s">
        <v>24</v>
      </c>
      <c r="K27" s="23" t="s">
        <v>24</v>
      </c>
      <c r="L27" s="23" t="s">
        <v>24</v>
      </c>
      <c r="M27" s="37"/>
      <c r="N27" s="23" t="s">
        <v>24</v>
      </c>
      <c r="O27" s="23" t="s">
        <v>24</v>
      </c>
      <c r="P27" s="23" t="s">
        <v>24</v>
      </c>
      <c r="Q27" s="23" t="s">
        <v>24</v>
      </c>
      <c r="R27" s="23" t="s">
        <v>24</v>
      </c>
      <c r="S27" s="23" t="s">
        <v>24</v>
      </c>
      <c r="T27" s="37"/>
      <c r="U27" s="23" t="s">
        <v>24</v>
      </c>
      <c r="V27" s="23" t="s">
        <v>24</v>
      </c>
      <c r="W27" s="23" t="s">
        <v>24</v>
      </c>
      <c r="X27" s="23" t="s">
        <v>24</v>
      </c>
      <c r="Y27" s="23" t="s">
        <v>24</v>
      </c>
      <c r="Z27" s="23"/>
      <c r="AA27" s="37"/>
      <c r="AB27" s="23"/>
      <c r="AC27" s="23"/>
      <c r="AD27" s="23"/>
      <c r="AE27" s="23"/>
      <c r="AF27" s="23"/>
      <c r="AG27" s="23"/>
      <c r="AH27" s="37"/>
      <c r="AI27" s="23"/>
      <c r="AJ27" s="23"/>
      <c r="AK27" s="5">
        <f t="shared" si="1"/>
        <v>0</v>
      </c>
      <c r="AL27" s="5">
        <f t="shared" si="2"/>
        <v>17</v>
      </c>
    </row>
    <row r="28" spans="1:42" x14ac:dyDescent="0.25">
      <c r="A28" s="8">
        <v>24</v>
      </c>
      <c r="B28" s="10">
        <v>730</v>
      </c>
      <c r="C28" s="17" t="s">
        <v>60</v>
      </c>
      <c r="D28" s="16" t="s">
        <v>61</v>
      </c>
      <c r="E28" s="7" t="s">
        <v>27</v>
      </c>
      <c r="F28" s="37"/>
      <c r="G28" s="23" t="s">
        <v>23</v>
      </c>
      <c r="H28" s="23" t="s">
        <v>23</v>
      </c>
      <c r="I28" s="23" t="s">
        <v>23</v>
      </c>
      <c r="J28" s="23" t="s">
        <v>23</v>
      </c>
      <c r="K28" s="23" t="s">
        <v>23</v>
      </c>
      <c r="L28" s="23" t="s">
        <v>23</v>
      </c>
      <c r="M28" s="37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23</v>
      </c>
      <c r="S28" s="23" t="s">
        <v>23</v>
      </c>
      <c r="T28" s="37"/>
      <c r="U28" s="23" t="s">
        <v>23</v>
      </c>
      <c r="V28" s="23" t="s">
        <v>23</v>
      </c>
      <c r="W28" s="23" t="s">
        <v>23</v>
      </c>
      <c r="X28" s="23" t="s">
        <v>23</v>
      </c>
      <c r="Y28" s="23" t="s">
        <v>23</v>
      </c>
      <c r="Z28" s="23"/>
      <c r="AA28" s="37"/>
      <c r="AB28" s="23"/>
      <c r="AC28" s="23"/>
      <c r="AD28" s="23"/>
      <c r="AE28" s="23"/>
      <c r="AF28" s="23"/>
      <c r="AG28" s="23"/>
      <c r="AH28" s="37"/>
      <c r="AI28" s="23"/>
      <c r="AJ28" s="23"/>
      <c r="AK28" s="5">
        <f t="shared" si="1"/>
        <v>17</v>
      </c>
      <c r="AL28" s="5">
        <f t="shared" si="2"/>
        <v>0</v>
      </c>
    </row>
    <row r="29" spans="1:42" x14ac:dyDescent="0.25">
      <c r="A29" s="6">
        <v>25</v>
      </c>
      <c r="B29" s="10">
        <v>732</v>
      </c>
      <c r="C29" s="17" t="s">
        <v>125</v>
      </c>
      <c r="D29" s="16" t="s">
        <v>63</v>
      </c>
      <c r="E29" s="7" t="s">
        <v>27</v>
      </c>
      <c r="F29" s="37"/>
      <c r="G29" s="23" t="s">
        <v>23</v>
      </c>
      <c r="H29" s="23" t="s">
        <v>23</v>
      </c>
      <c r="I29" s="23" t="s">
        <v>23</v>
      </c>
      <c r="J29" s="23" t="s">
        <v>23</v>
      </c>
      <c r="K29" s="23" t="s">
        <v>23</v>
      </c>
      <c r="L29" s="23" t="s">
        <v>23</v>
      </c>
      <c r="M29" s="37"/>
      <c r="N29" s="23" t="s">
        <v>23</v>
      </c>
      <c r="O29" s="23" t="s">
        <v>23</v>
      </c>
      <c r="P29" s="23" t="s">
        <v>23</v>
      </c>
      <c r="Q29" s="23" t="s">
        <v>23</v>
      </c>
      <c r="R29" s="23" t="s">
        <v>23</v>
      </c>
      <c r="S29" s="23" t="s">
        <v>23</v>
      </c>
      <c r="T29" s="37"/>
      <c r="U29" s="23" t="s">
        <v>23</v>
      </c>
      <c r="V29" s="23" t="s">
        <v>23</v>
      </c>
      <c r="W29" s="23" t="s">
        <v>23</v>
      </c>
      <c r="X29" s="23" t="s">
        <v>23</v>
      </c>
      <c r="Y29" s="23" t="s">
        <v>23</v>
      </c>
      <c r="Z29" s="23"/>
      <c r="AA29" s="37"/>
      <c r="AB29" s="23"/>
      <c r="AC29" s="23"/>
      <c r="AD29" s="23"/>
      <c r="AE29" s="23"/>
      <c r="AF29" s="23"/>
      <c r="AG29" s="23"/>
      <c r="AH29" s="37"/>
      <c r="AI29" s="23"/>
      <c r="AJ29" s="23"/>
      <c r="AK29" s="5">
        <f t="shared" si="1"/>
        <v>17</v>
      </c>
      <c r="AL29" s="5">
        <f t="shared" si="2"/>
        <v>0</v>
      </c>
    </row>
    <row r="30" spans="1:42" x14ac:dyDescent="0.25">
      <c r="A30" s="8">
        <v>26</v>
      </c>
      <c r="B30" s="10">
        <v>728</v>
      </c>
      <c r="C30" s="17" t="s">
        <v>64</v>
      </c>
      <c r="D30" s="16" t="s">
        <v>65</v>
      </c>
      <c r="E30" s="7" t="s">
        <v>27</v>
      </c>
      <c r="F30" s="37"/>
      <c r="G30" s="23" t="s">
        <v>23</v>
      </c>
      <c r="H30" s="23" t="s">
        <v>23</v>
      </c>
      <c r="I30" s="23" t="s">
        <v>23</v>
      </c>
      <c r="J30" s="23" t="s">
        <v>23</v>
      </c>
      <c r="K30" s="23" t="s">
        <v>23</v>
      </c>
      <c r="L30" s="23" t="s">
        <v>23</v>
      </c>
      <c r="M30" s="37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37"/>
      <c r="U30" s="23" t="s">
        <v>23</v>
      </c>
      <c r="V30" s="23" t="s">
        <v>23</v>
      </c>
      <c r="W30" s="23" t="s">
        <v>23</v>
      </c>
      <c r="X30" s="23" t="s">
        <v>23</v>
      </c>
      <c r="Y30" s="23" t="s">
        <v>23</v>
      </c>
      <c r="Z30" s="23"/>
      <c r="AA30" s="37"/>
      <c r="AB30" s="23"/>
      <c r="AC30" s="23"/>
      <c r="AD30" s="23"/>
      <c r="AE30" s="23"/>
      <c r="AF30" s="23"/>
      <c r="AG30" s="23"/>
      <c r="AH30" s="37"/>
      <c r="AI30" s="23"/>
      <c r="AJ30" s="23"/>
      <c r="AK30" s="5">
        <f t="shared" si="1"/>
        <v>17</v>
      </c>
      <c r="AL30" s="5">
        <f t="shared" si="2"/>
        <v>0</v>
      </c>
    </row>
    <row r="31" spans="1:42" x14ac:dyDescent="0.25">
      <c r="A31" s="6">
        <v>27</v>
      </c>
      <c r="B31" s="10">
        <v>760</v>
      </c>
      <c r="C31" s="17" t="s">
        <v>66</v>
      </c>
      <c r="D31" s="17" t="s">
        <v>67</v>
      </c>
      <c r="E31" s="7" t="s">
        <v>27</v>
      </c>
      <c r="F31" s="37"/>
      <c r="G31" s="23" t="s">
        <v>23</v>
      </c>
      <c r="H31" s="23" t="s">
        <v>23</v>
      </c>
      <c r="I31" s="23" t="s">
        <v>23</v>
      </c>
      <c r="J31" s="23" t="s">
        <v>23</v>
      </c>
      <c r="K31" s="23" t="s">
        <v>23</v>
      </c>
      <c r="L31" s="23" t="s">
        <v>23</v>
      </c>
      <c r="M31" s="37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23</v>
      </c>
      <c r="T31" s="37"/>
      <c r="U31" s="23" t="s">
        <v>23</v>
      </c>
      <c r="V31" s="23" t="s">
        <v>23</v>
      </c>
      <c r="W31" s="23" t="s">
        <v>23</v>
      </c>
      <c r="X31" s="23" t="s">
        <v>23</v>
      </c>
      <c r="Y31" s="23" t="s">
        <v>23</v>
      </c>
      <c r="Z31" s="23"/>
      <c r="AA31" s="37"/>
      <c r="AB31" s="23"/>
      <c r="AC31" s="23"/>
      <c r="AD31" s="23"/>
      <c r="AE31" s="23"/>
      <c r="AF31" s="23"/>
      <c r="AG31" s="23"/>
      <c r="AH31" s="37"/>
      <c r="AI31" s="23"/>
      <c r="AJ31" s="23"/>
      <c r="AK31" s="5">
        <f t="shared" si="1"/>
        <v>17</v>
      </c>
      <c r="AL31" s="5">
        <f t="shared" si="2"/>
        <v>0</v>
      </c>
    </row>
    <row r="32" spans="1:42" x14ac:dyDescent="0.25">
      <c r="A32" s="8">
        <v>28</v>
      </c>
      <c r="B32" s="10">
        <v>741</v>
      </c>
      <c r="C32" s="17" t="s">
        <v>68</v>
      </c>
      <c r="D32" s="16" t="s">
        <v>69</v>
      </c>
      <c r="E32" s="7" t="s">
        <v>27</v>
      </c>
      <c r="F32" s="37"/>
      <c r="G32" s="23" t="s">
        <v>23</v>
      </c>
      <c r="H32" s="23" t="s">
        <v>23</v>
      </c>
      <c r="I32" s="23" t="s">
        <v>23</v>
      </c>
      <c r="J32" s="23" t="s">
        <v>23</v>
      </c>
      <c r="K32" s="23" t="s">
        <v>23</v>
      </c>
      <c r="L32" s="23" t="s">
        <v>23</v>
      </c>
      <c r="M32" s="37"/>
      <c r="N32" s="23" t="s">
        <v>23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37"/>
      <c r="U32" s="23" t="s">
        <v>23</v>
      </c>
      <c r="V32" s="23" t="s">
        <v>23</v>
      </c>
      <c r="W32" s="23" t="s">
        <v>23</v>
      </c>
      <c r="X32" s="23" t="s">
        <v>23</v>
      </c>
      <c r="Y32" s="23" t="s">
        <v>23</v>
      </c>
      <c r="Z32" s="23"/>
      <c r="AA32" s="37"/>
      <c r="AB32" s="23"/>
      <c r="AC32" s="23"/>
      <c r="AD32" s="23"/>
      <c r="AE32" s="23"/>
      <c r="AF32" s="23"/>
      <c r="AG32" s="23"/>
      <c r="AH32" s="37"/>
      <c r="AI32" s="23"/>
      <c r="AJ32" s="23"/>
      <c r="AK32" s="5">
        <f t="shared" si="1"/>
        <v>17</v>
      </c>
      <c r="AL32" s="5">
        <f t="shared" si="2"/>
        <v>0</v>
      </c>
    </row>
    <row r="33" spans="1:38" x14ac:dyDescent="0.25">
      <c r="A33" s="6">
        <v>29</v>
      </c>
      <c r="B33" s="10">
        <v>733</v>
      </c>
      <c r="C33" s="18" t="s">
        <v>70</v>
      </c>
      <c r="D33" s="19" t="s">
        <v>71</v>
      </c>
      <c r="E33" s="7" t="s">
        <v>27</v>
      </c>
      <c r="F33" s="37"/>
      <c r="G33" s="23" t="s">
        <v>23</v>
      </c>
      <c r="H33" s="23" t="s">
        <v>23</v>
      </c>
      <c r="I33" s="23" t="s">
        <v>24</v>
      </c>
      <c r="J33" s="23" t="s">
        <v>24</v>
      </c>
      <c r="K33" s="23" t="s">
        <v>24</v>
      </c>
      <c r="L33" s="23" t="s">
        <v>24</v>
      </c>
      <c r="M33" s="37"/>
      <c r="N33" s="23" t="s">
        <v>24</v>
      </c>
      <c r="O33" s="23" t="s">
        <v>24</v>
      </c>
      <c r="P33" s="23" t="s">
        <v>24</v>
      </c>
      <c r="Q33" s="23" t="s">
        <v>24</v>
      </c>
      <c r="R33" s="23" t="s">
        <v>24</v>
      </c>
      <c r="S33" s="23" t="s">
        <v>24</v>
      </c>
      <c r="T33" s="37"/>
      <c r="U33" s="23" t="s">
        <v>24</v>
      </c>
      <c r="V33" s="23" t="s">
        <v>24</v>
      </c>
      <c r="W33" s="23" t="s">
        <v>24</v>
      </c>
      <c r="X33" s="23" t="s">
        <v>24</v>
      </c>
      <c r="Y33" s="23" t="s">
        <v>24</v>
      </c>
      <c r="Z33" s="23"/>
      <c r="AA33" s="37"/>
      <c r="AB33" s="23"/>
      <c r="AC33" s="23"/>
      <c r="AD33" s="23"/>
      <c r="AE33" s="23"/>
      <c r="AF33" s="23"/>
      <c r="AG33" s="23"/>
      <c r="AH33" s="37"/>
      <c r="AI33" s="23"/>
      <c r="AJ33" s="23"/>
      <c r="AK33" s="5">
        <f t="shared" si="1"/>
        <v>2</v>
      </c>
      <c r="AL33" s="5">
        <f t="shared" si="2"/>
        <v>15</v>
      </c>
    </row>
    <row r="34" spans="1:38" x14ac:dyDescent="0.25">
      <c r="A34" s="8">
        <v>30</v>
      </c>
      <c r="B34" s="10">
        <v>744</v>
      </c>
      <c r="C34" s="20" t="s">
        <v>72</v>
      </c>
      <c r="D34" s="20" t="s">
        <v>73</v>
      </c>
      <c r="E34" s="7" t="s">
        <v>27</v>
      </c>
      <c r="F34" s="37"/>
      <c r="G34" s="23" t="s">
        <v>23</v>
      </c>
      <c r="H34" s="23" t="s">
        <v>23</v>
      </c>
      <c r="I34" s="23" t="s">
        <v>23</v>
      </c>
      <c r="J34" s="23" t="s">
        <v>23</v>
      </c>
      <c r="K34" s="23" t="s">
        <v>23</v>
      </c>
      <c r="L34" s="23" t="s">
        <v>23</v>
      </c>
      <c r="M34" s="37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23</v>
      </c>
      <c r="T34" s="37"/>
      <c r="U34" s="23" t="s">
        <v>23</v>
      </c>
      <c r="V34" s="23" t="s">
        <v>23</v>
      </c>
      <c r="W34" s="23" t="s">
        <v>23</v>
      </c>
      <c r="X34" s="23" t="s">
        <v>23</v>
      </c>
      <c r="Y34" s="23" t="s">
        <v>23</v>
      </c>
      <c r="Z34" s="23"/>
      <c r="AA34" s="37"/>
      <c r="AB34" s="23"/>
      <c r="AC34" s="23"/>
      <c r="AD34" s="23"/>
      <c r="AE34" s="23"/>
      <c r="AF34" s="23"/>
      <c r="AG34" s="23"/>
      <c r="AH34" s="37"/>
      <c r="AI34" s="23"/>
      <c r="AJ34" s="23"/>
      <c r="AK34" s="5">
        <f t="shared" si="1"/>
        <v>17</v>
      </c>
      <c r="AL34" s="5">
        <f t="shared" si="2"/>
        <v>0</v>
      </c>
    </row>
    <row r="35" spans="1:38" x14ac:dyDescent="0.25">
      <c r="A35" s="6">
        <v>31</v>
      </c>
      <c r="B35" s="10">
        <v>850</v>
      </c>
      <c r="C35" s="17" t="s">
        <v>102</v>
      </c>
      <c r="D35" s="17" t="s">
        <v>103</v>
      </c>
      <c r="E35" s="7" t="s">
        <v>27</v>
      </c>
      <c r="F35" s="37"/>
      <c r="G35" s="23" t="s">
        <v>23</v>
      </c>
      <c r="H35" s="23" t="s">
        <v>23</v>
      </c>
      <c r="I35" s="23" t="s">
        <v>23</v>
      </c>
      <c r="J35" s="23" t="s">
        <v>23</v>
      </c>
      <c r="K35" s="23" t="s">
        <v>23</v>
      </c>
      <c r="L35" s="23" t="s">
        <v>23</v>
      </c>
      <c r="M35" s="37"/>
      <c r="N35" s="23" t="s">
        <v>23</v>
      </c>
      <c r="O35" s="23" t="s">
        <v>23</v>
      </c>
      <c r="P35" s="23" t="s">
        <v>23</v>
      </c>
      <c r="Q35" s="23" t="s">
        <v>23</v>
      </c>
      <c r="R35" s="23" t="s">
        <v>23</v>
      </c>
      <c r="S35" s="23" t="s">
        <v>23</v>
      </c>
      <c r="T35" s="37"/>
      <c r="U35" s="23" t="s">
        <v>23</v>
      </c>
      <c r="V35" s="23" t="s">
        <v>23</v>
      </c>
      <c r="W35" s="23" t="s">
        <v>23</v>
      </c>
      <c r="X35" s="23" t="s">
        <v>23</v>
      </c>
      <c r="Y35" s="23" t="s">
        <v>23</v>
      </c>
      <c r="Z35" s="23"/>
      <c r="AA35" s="37"/>
      <c r="AB35" s="23"/>
      <c r="AC35" s="23"/>
      <c r="AD35" s="23"/>
      <c r="AE35" s="23"/>
      <c r="AF35" s="23"/>
      <c r="AG35" s="23"/>
      <c r="AH35" s="37"/>
      <c r="AI35" s="23"/>
      <c r="AJ35" s="23"/>
      <c r="AK35" s="5">
        <f t="shared" si="1"/>
        <v>17</v>
      </c>
      <c r="AL35" s="5">
        <f t="shared" si="2"/>
        <v>0</v>
      </c>
    </row>
    <row r="36" spans="1:38" x14ac:dyDescent="0.25">
      <c r="A36" s="8">
        <v>32</v>
      </c>
      <c r="B36" s="24">
        <v>767</v>
      </c>
      <c r="C36" s="24" t="s">
        <v>76</v>
      </c>
      <c r="D36" s="24" t="s">
        <v>77</v>
      </c>
      <c r="E36" s="7" t="s">
        <v>27</v>
      </c>
      <c r="F36" s="37"/>
      <c r="G36" s="23" t="s">
        <v>23</v>
      </c>
      <c r="H36" s="23" t="s">
        <v>23</v>
      </c>
      <c r="I36" s="23" t="s">
        <v>24</v>
      </c>
      <c r="J36" s="23" t="s">
        <v>24</v>
      </c>
      <c r="K36" s="23" t="s">
        <v>24</v>
      </c>
      <c r="L36" s="23" t="s">
        <v>24</v>
      </c>
      <c r="M36" s="37"/>
      <c r="N36" s="23" t="s">
        <v>24</v>
      </c>
      <c r="O36" s="23" t="s">
        <v>24</v>
      </c>
      <c r="P36" s="23" t="s">
        <v>24</v>
      </c>
      <c r="Q36" s="23" t="s">
        <v>24</v>
      </c>
      <c r="R36" s="23" t="s">
        <v>24</v>
      </c>
      <c r="S36" s="23" t="s">
        <v>24</v>
      </c>
      <c r="T36" s="37"/>
      <c r="U36" s="23" t="s">
        <v>24</v>
      </c>
      <c r="V36" s="23" t="s">
        <v>24</v>
      </c>
      <c r="W36" s="23" t="s">
        <v>24</v>
      </c>
      <c r="X36" s="23" t="s">
        <v>24</v>
      </c>
      <c r="Y36" s="23" t="s">
        <v>24</v>
      </c>
      <c r="Z36" s="23"/>
      <c r="AA36" s="37"/>
      <c r="AB36" s="23"/>
      <c r="AC36" s="23"/>
      <c r="AD36" s="23"/>
      <c r="AE36" s="23"/>
      <c r="AF36" s="23"/>
      <c r="AG36" s="23"/>
      <c r="AH36" s="37"/>
      <c r="AI36" s="23"/>
      <c r="AJ36" s="23"/>
      <c r="AK36" s="5">
        <f t="shared" si="1"/>
        <v>2</v>
      </c>
      <c r="AL36" s="5">
        <f t="shared" si="2"/>
        <v>15</v>
      </c>
    </row>
    <row r="37" spans="1:38" x14ac:dyDescent="0.25">
      <c r="A37" s="6">
        <v>33</v>
      </c>
      <c r="B37" s="24">
        <v>875</v>
      </c>
      <c r="C37" s="24" t="s">
        <v>104</v>
      </c>
      <c r="D37" s="24" t="s">
        <v>112</v>
      </c>
      <c r="E37" s="7" t="s">
        <v>27</v>
      </c>
      <c r="F37" s="37"/>
      <c r="G37" s="23" t="s">
        <v>23</v>
      </c>
      <c r="H37" s="23" t="s">
        <v>23</v>
      </c>
      <c r="I37" s="23" t="s">
        <v>23</v>
      </c>
      <c r="J37" s="23" t="s">
        <v>23</v>
      </c>
      <c r="K37" s="23" t="s">
        <v>23</v>
      </c>
      <c r="L37" s="23" t="s">
        <v>23</v>
      </c>
      <c r="M37" s="37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37"/>
      <c r="U37" s="23" t="s">
        <v>23</v>
      </c>
      <c r="V37" s="23" t="s">
        <v>23</v>
      </c>
      <c r="W37" s="23" t="s">
        <v>23</v>
      </c>
      <c r="X37" s="23" t="s">
        <v>23</v>
      </c>
      <c r="Y37" s="23" t="s">
        <v>23</v>
      </c>
      <c r="Z37" s="23"/>
      <c r="AA37" s="37"/>
      <c r="AB37" s="23"/>
      <c r="AC37" s="23"/>
      <c r="AD37" s="23"/>
      <c r="AE37" s="23"/>
      <c r="AF37" s="23"/>
      <c r="AG37" s="23"/>
      <c r="AH37" s="37"/>
      <c r="AI37" s="23"/>
      <c r="AJ37" s="23"/>
      <c r="AK37" s="5">
        <f t="shared" si="1"/>
        <v>17</v>
      </c>
      <c r="AL37" s="5">
        <f t="shared" si="2"/>
        <v>0</v>
      </c>
    </row>
    <row r="38" spans="1:38" x14ac:dyDescent="0.25">
      <c r="A38" s="8">
        <v>34</v>
      </c>
      <c r="B38" s="24">
        <v>727</v>
      </c>
      <c r="C38" s="24" t="s">
        <v>80</v>
      </c>
      <c r="D38" s="24" t="s">
        <v>81</v>
      </c>
      <c r="E38" s="7" t="s">
        <v>27</v>
      </c>
      <c r="F38" s="37"/>
      <c r="G38" s="23" t="s">
        <v>23</v>
      </c>
      <c r="H38" s="23" t="s">
        <v>23</v>
      </c>
      <c r="I38" s="23" t="s">
        <v>23</v>
      </c>
      <c r="J38" s="23" t="s">
        <v>23</v>
      </c>
      <c r="K38" s="23" t="s">
        <v>23</v>
      </c>
      <c r="L38" s="23" t="s">
        <v>23</v>
      </c>
      <c r="M38" s="37"/>
      <c r="N38" s="23" t="s">
        <v>23</v>
      </c>
      <c r="O38" s="23" t="s">
        <v>23</v>
      </c>
      <c r="P38" s="23" t="s">
        <v>23</v>
      </c>
      <c r="Q38" s="23" t="s">
        <v>23</v>
      </c>
      <c r="R38" s="23" t="s">
        <v>23</v>
      </c>
      <c r="S38" s="23" t="s">
        <v>23</v>
      </c>
      <c r="T38" s="37"/>
      <c r="U38" s="23" t="s">
        <v>23</v>
      </c>
      <c r="V38" s="23" t="s">
        <v>23</v>
      </c>
      <c r="W38" s="23" t="s">
        <v>23</v>
      </c>
      <c r="X38" s="23" t="s">
        <v>23</v>
      </c>
      <c r="Y38" s="23" t="s">
        <v>23</v>
      </c>
      <c r="Z38" s="23"/>
      <c r="AA38" s="37"/>
      <c r="AB38" s="23"/>
      <c r="AC38" s="23"/>
      <c r="AD38" s="23"/>
      <c r="AE38" s="23"/>
      <c r="AF38" s="23"/>
      <c r="AG38" s="23"/>
      <c r="AH38" s="37"/>
      <c r="AI38" s="23"/>
      <c r="AJ38" s="23"/>
      <c r="AK38" s="5">
        <f t="shared" si="1"/>
        <v>17</v>
      </c>
      <c r="AL38" s="5">
        <f t="shared" si="2"/>
        <v>0</v>
      </c>
    </row>
    <row r="39" spans="1:38" x14ac:dyDescent="0.25">
      <c r="A39" s="6">
        <v>35</v>
      </c>
      <c r="B39" s="24">
        <v>880</v>
      </c>
      <c r="C39" s="24" t="s">
        <v>113</v>
      </c>
      <c r="D39" s="24" t="s">
        <v>106</v>
      </c>
      <c r="E39" s="7" t="s">
        <v>27</v>
      </c>
      <c r="F39" s="37"/>
      <c r="G39" s="23" t="s">
        <v>23</v>
      </c>
      <c r="H39" s="23" t="s">
        <v>23</v>
      </c>
      <c r="I39" s="23" t="s">
        <v>23</v>
      </c>
      <c r="J39" s="23" t="s">
        <v>23</v>
      </c>
      <c r="K39" s="23" t="s">
        <v>23</v>
      </c>
      <c r="L39" s="23" t="s">
        <v>23</v>
      </c>
      <c r="M39" s="37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37"/>
      <c r="U39" s="23" t="s">
        <v>23</v>
      </c>
      <c r="V39" s="23" t="s">
        <v>23</v>
      </c>
      <c r="W39" s="23" t="s">
        <v>23</v>
      </c>
      <c r="X39" s="23" t="s">
        <v>23</v>
      </c>
      <c r="Y39" s="23" t="s">
        <v>23</v>
      </c>
      <c r="Z39" s="23"/>
      <c r="AA39" s="37"/>
      <c r="AB39" s="23"/>
      <c r="AC39" s="23"/>
      <c r="AD39" s="23"/>
      <c r="AE39" s="23"/>
      <c r="AF39" s="23"/>
      <c r="AG39" s="23"/>
      <c r="AH39" s="37"/>
      <c r="AI39" s="23"/>
      <c r="AJ39" s="23"/>
      <c r="AK39" s="5">
        <f t="shared" si="1"/>
        <v>17</v>
      </c>
      <c r="AL39" s="5">
        <f t="shared" si="2"/>
        <v>0</v>
      </c>
    </row>
    <row r="40" spans="1:38" x14ac:dyDescent="0.25">
      <c r="A40" s="8">
        <v>36</v>
      </c>
      <c r="B40" s="24">
        <v>777</v>
      </c>
      <c r="C40" s="24" t="s">
        <v>114</v>
      </c>
      <c r="D40" s="24" t="s">
        <v>115</v>
      </c>
      <c r="E40" s="7" t="s">
        <v>27</v>
      </c>
      <c r="F40" s="37"/>
      <c r="G40" s="23" t="s">
        <v>23</v>
      </c>
      <c r="H40" s="23" t="s">
        <v>23</v>
      </c>
      <c r="I40" s="23" t="s">
        <v>23</v>
      </c>
      <c r="J40" s="23" t="s">
        <v>23</v>
      </c>
      <c r="K40" s="23" t="s">
        <v>23</v>
      </c>
      <c r="L40" s="23" t="s">
        <v>23</v>
      </c>
      <c r="M40" s="37"/>
      <c r="N40" s="23" t="s">
        <v>23</v>
      </c>
      <c r="O40" s="23" t="s">
        <v>23</v>
      </c>
      <c r="P40" s="23" t="s">
        <v>23</v>
      </c>
      <c r="Q40" s="23" t="s">
        <v>23</v>
      </c>
      <c r="R40" s="23" t="s">
        <v>23</v>
      </c>
      <c r="S40" s="23" t="s">
        <v>23</v>
      </c>
      <c r="T40" s="37"/>
      <c r="U40" s="23" t="s">
        <v>23</v>
      </c>
      <c r="V40" s="23" t="s">
        <v>23</v>
      </c>
      <c r="W40" s="23" t="s">
        <v>23</v>
      </c>
      <c r="X40" s="23" t="s">
        <v>23</v>
      </c>
      <c r="Y40" s="23" t="s">
        <v>23</v>
      </c>
      <c r="Z40" s="23"/>
      <c r="AA40" s="37"/>
      <c r="AB40" s="23"/>
      <c r="AC40" s="23"/>
      <c r="AD40" s="23"/>
      <c r="AE40" s="23"/>
      <c r="AF40" s="23"/>
      <c r="AG40" s="23"/>
      <c r="AH40" s="37"/>
      <c r="AI40" s="23"/>
      <c r="AJ40" s="23"/>
      <c r="AK40" s="5">
        <f t="shared" si="1"/>
        <v>17</v>
      </c>
      <c r="AL40" s="5">
        <f t="shared" si="2"/>
        <v>0</v>
      </c>
    </row>
    <row r="41" spans="1:38" x14ac:dyDescent="0.25">
      <c r="A41" s="6">
        <v>37</v>
      </c>
      <c r="B41" s="24">
        <v>873</v>
      </c>
      <c r="C41" s="24" t="s">
        <v>86</v>
      </c>
      <c r="D41" s="24" t="s">
        <v>101</v>
      </c>
      <c r="E41" s="7" t="s">
        <v>27</v>
      </c>
      <c r="F41" s="37"/>
      <c r="G41" s="23" t="s">
        <v>23</v>
      </c>
      <c r="H41" s="23" t="s">
        <v>23</v>
      </c>
      <c r="I41" s="23" t="s">
        <v>23</v>
      </c>
      <c r="J41" s="23" t="s">
        <v>23</v>
      </c>
      <c r="K41" s="23" t="s">
        <v>23</v>
      </c>
      <c r="L41" s="23" t="s">
        <v>23</v>
      </c>
      <c r="M41" s="37"/>
      <c r="N41" s="23" t="s">
        <v>23</v>
      </c>
      <c r="O41" s="23" t="s">
        <v>23</v>
      </c>
      <c r="P41" s="23" t="s">
        <v>23</v>
      </c>
      <c r="Q41" s="23" t="s">
        <v>23</v>
      </c>
      <c r="R41" s="23" t="s">
        <v>23</v>
      </c>
      <c r="S41" s="23" t="s">
        <v>23</v>
      </c>
      <c r="T41" s="37"/>
      <c r="U41" s="23" t="s">
        <v>23</v>
      </c>
      <c r="V41" s="23" t="s">
        <v>23</v>
      </c>
      <c r="W41" s="23" t="s">
        <v>23</v>
      </c>
      <c r="X41" s="23" t="s">
        <v>23</v>
      </c>
      <c r="Y41" s="23" t="s">
        <v>23</v>
      </c>
      <c r="Z41" s="23"/>
      <c r="AA41" s="37"/>
      <c r="AB41" s="23"/>
      <c r="AC41" s="23"/>
      <c r="AD41" s="23"/>
      <c r="AE41" s="23"/>
      <c r="AF41" s="23"/>
      <c r="AG41" s="23"/>
      <c r="AH41" s="37"/>
      <c r="AI41" s="23"/>
      <c r="AJ41" s="23"/>
      <c r="AK41" s="5">
        <f t="shared" si="1"/>
        <v>17</v>
      </c>
      <c r="AL41" s="5">
        <f t="shared" si="2"/>
        <v>0</v>
      </c>
    </row>
    <row r="42" spans="1:38" x14ac:dyDescent="0.25">
      <c r="A42" s="8">
        <v>38</v>
      </c>
      <c r="B42" s="24">
        <v>909</v>
      </c>
      <c r="C42" s="24" t="s">
        <v>116</v>
      </c>
      <c r="D42" s="24" t="s">
        <v>100</v>
      </c>
      <c r="E42" s="7" t="s">
        <v>27</v>
      </c>
      <c r="F42" s="37"/>
      <c r="G42" s="23" t="s">
        <v>23</v>
      </c>
      <c r="H42" s="23" t="s">
        <v>23</v>
      </c>
      <c r="I42" s="23" t="s">
        <v>23</v>
      </c>
      <c r="J42" s="23" t="s">
        <v>23</v>
      </c>
      <c r="K42" s="23" t="s">
        <v>23</v>
      </c>
      <c r="L42" s="23" t="s">
        <v>23</v>
      </c>
      <c r="M42" s="37"/>
      <c r="N42" s="23" t="s">
        <v>23</v>
      </c>
      <c r="O42" s="23" t="s">
        <v>23</v>
      </c>
      <c r="P42" s="23" t="s">
        <v>23</v>
      </c>
      <c r="Q42" s="23" t="s">
        <v>23</v>
      </c>
      <c r="R42" s="23" t="s">
        <v>23</v>
      </c>
      <c r="S42" s="23" t="s">
        <v>23</v>
      </c>
      <c r="T42" s="37"/>
      <c r="U42" s="23" t="s">
        <v>23</v>
      </c>
      <c r="V42" s="23" t="s">
        <v>23</v>
      </c>
      <c r="W42" s="23" t="s">
        <v>23</v>
      </c>
      <c r="X42" s="23" t="s">
        <v>23</v>
      </c>
      <c r="Y42" s="23" t="s">
        <v>23</v>
      </c>
      <c r="Z42" s="23"/>
      <c r="AA42" s="37"/>
      <c r="AB42" s="23"/>
      <c r="AC42" s="23"/>
      <c r="AD42" s="23"/>
      <c r="AE42" s="23"/>
      <c r="AF42" s="23"/>
      <c r="AG42" s="23"/>
      <c r="AH42" s="37"/>
      <c r="AI42" s="23"/>
      <c r="AJ42" s="23"/>
      <c r="AK42" s="5">
        <f t="shared" si="1"/>
        <v>17</v>
      </c>
      <c r="AL42" s="5">
        <f t="shared" si="2"/>
        <v>0</v>
      </c>
    </row>
    <row r="43" spans="1:38" x14ac:dyDescent="0.25">
      <c r="A43" s="8">
        <v>40</v>
      </c>
      <c r="B43" s="24">
        <v>863</v>
      </c>
      <c r="C43" s="24" t="s">
        <v>118</v>
      </c>
      <c r="D43" s="24" t="s">
        <v>119</v>
      </c>
      <c r="E43" s="7" t="s">
        <v>27</v>
      </c>
      <c r="F43" s="37"/>
      <c r="G43" s="23" t="s">
        <v>23</v>
      </c>
      <c r="H43" s="23" t="s">
        <v>23</v>
      </c>
      <c r="I43" s="23" t="s">
        <v>23</v>
      </c>
      <c r="J43" s="23" t="s">
        <v>23</v>
      </c>
      <c r="K43" s="23" t="s">
        <v>23</v>
      </c>
      <c r="L43" s="23" t="s">
        <v>23</v>
      </c>
      <c r="M43" s="37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23</v>
      </c>
      <c r="T43" s="37"/>
      <c r="U43" s="23" t="s">
        <v>23</v>
      </c>
      <c r="V43" s="23" t="s">
        <v>23</v>
      </c>
      <c r="W43" s="23" t="s">
        <v>23</v>
      </c>
      <c r="X43" s="23" t="s">
        <v>23</v>
      </c>
      <c r="Y43" s="23" t="s">
        <v>23</v>
      </c>
      <c r="Z43" s="23"/>
      <c r="AA43" s="37"/>
      <c r="AB43" s="23"/>
      <c r="AC43" s="23"/>
      <c r="AD43" s="23"/>
      <c r="AE43" s="23"/>
      <c r="AF43" s="23"/>
      <c r="AG43" s="23"/>
      <c r="AH43" s="37"/>
      <c r="AI43" s="23"/>
      <c r="AJ43" s="23"/>
      <c r="AK43" s="5">
        <f t="shared" si="1"/>
        <v>17</v>
      </c>
      <c r="AL43" s="5">
        <f t="shared" si="2"/>
        <v>0</v>
      </c>
    </row>
    <row r="44" spans="1:38" x14ac:dyDescent="0.25">
      <c r="A44" s="6">
        <v>41</v>
      </c>
      <c r="B44" s="26">
        <v>902</v>
      </c>
      <c r="C44" s="26" t="s">
        <v>120</v>
      </c>
      <c r="D44" s="26" t="s">
        <v>121</v>
      </c>
      <c r="E44" s="7" t="s">
        <v>27</v>
      </c>
      <c r="F44" s="37"/>
      <c r="G44" s="23" t="s">
        <v>23</v>
      </c>
      <c r="H44" s="23" t="s">
        <v>23</v>
      </c>
      <c r="I44" s="23" t="s">
        <v>23</v>
      </c>
      <c r="J44" s="23" t="s">
        <v>23</v>
      </c>
      <c r="K44" s="23" t="s">
        <v>23</v>
      </c>
      <c r="L44" s="23" t="s">
        <v>23</v>
      </c>
      <c r="M44" s="37"/>
      <c r="N44" s="23" t="s">
        <v>23</v>
      </c>
      <c r="O44" s="23" t="s">
        <v>23</v>
      </c>
      <c r="P44" s="23" t="s">
        <v>23</v>
      </c>
      <c r="Q44" s="23" t="s">
        <v>23</v>
      </c>
      <c r="R44" s="23" t="s">
        <v>23</v>
      </c>
      <c r="S44" s="23" t="s">
        <v>23</v>
      </c>
      <c r="T44" s="37"/>
      <c r="U44" s="23" t="s">
        <v>23</v>
      </c>
      <c r="V44" s="23" t="s">
        <v>23</v>
      </c>
      <c r="W44" s="23" t="s">
        <v>23</v>
      </c>
      <c r="X44" s="23" t="s">
        <v>23</v>
      </c>
      <c r="Y44" s="23" t="s">
        <v>23</v>
      </c>
      <c r="Z44" s="23"/>
      <c r="AA44" s="37"/>
      <c r="AB44" s="23"/>
      <c r="AC44" s="23"/>
      <c r="AD44" s="23"/>
      <c r="AE44" s="23"/>
      <c r="AF44" s="23"/>
      <c r="AG44" s="23"/>
      <c r="AH44" s="37"/>
      <c r="AI44" s="23"/>
      <c r="AJ44" s="23"/>
      <c r="AK44" s="5">
        <f t="shared" si="1"/>
        <v>17</v>
      </c>
      <c r="AL44" s="5">
        <f t="shared" si="2"/>
        <v>0</v>
      </c>
    </row>
    <row r="45" spans="1:38" x14ac:dyDescent="0.25">
      <c r="A45" s="8">
        <v>42</v>
      </c>
      <c r="B45" s="24">
        <v>886</v>
      </c>
      <c r="C45" s="24" t="s">
        <v>122</v>
      </c>
      <c r="D45" s="24" t="s">
        <v>123</v>
      </c>
      <c r="E45" s="7" t="s">
        <v>27</v>
      </c>
      <c r="F45" s="38"/>
      <c r="G45" s="23" t="s">
        <v>23</v>
      </c>
      <c r="H45" s="23" t="s">
        <v>23</v>
      </c>
      <c r="I45" s="23" t="s">
        <v>23</v>
      </c>
      <c r="J45" s="23" t="s">
        <v>23</v>
      </c>
      <c r="K45" s="23" t="s">
        <v>23</v>
      </c>
      <c r="L45" s="23" t="s">
        <v>23</v>
      </c>
      <c r="M45" s="38"/>
      <c r="N45" s="23" t="s">
        <v>23</v>
      </c>
      <c r="O45" s="23" t="s">
        <v>23</v>
      </c>
      <c r="P45" s="23" t="s">
        <v>23</v>
      </c>
      <c r="Q45" s="23" t="s">
        <v>23</v>
      </c>
      <c r="R45" s="23" t="s">
        <v>23</v>
      </c>
      <c r="S45" s="23" t="s">
        <v>23</v>
      </c>
      <c r="T45" s="38"/>
      <c r="U45" s="23" t="s">
        <v>23</v>
      </c>
      <c r="V45" s="23" t="s">
        <v>23</v>
      </c>
      <c r="W45" s="23" t="s">
        <v>23</v>
      </c>
      <c r="X45" s="23" t="s">
        <v>23</v>
      </c>
      <c r="Y45" s="23" t="s">
        <v>23</v>
      </c>
      <c r="Z45" s="23"/>
      <c r="AA45" s="38"/>
      <c r="AB45" s="23"/>
      <c r="AC45" s="23"/>
      <c r="AD45" s="23"/>
      <c r="AE45" s="23"/>
      <c r="AF45" s="23"/>
      <c r="AG45" s="23"/>
      <c r="AH45" s="38"/>
      <c r="AI45" s="23"/>
      <c r="AJ45" s="23"/>
      <c r="AK45" s="5">
        <f t="shared" si="1"/>
        <v>17</v>
      </c>
      <c r="AL45" s="5">
        <f t="shared" si="2"/>
        <v>0</v>
      </c>
    </row>
  </sheetData>
  <mergeCells count="17">
    <mergeCell ref="AH5:AH45"/>
    <mergeCell ref="AM3:AN3"/>
    <mergeCell ref="AM8:AP8"/>
    <mergeCell ref="AM16:AP16"/>
    <mergeCell ref="A1:AL1"/>
    <mergeCell ref="A2:AL2"/>
    <mergeCell ref="A3:A4"/>
    <mergeCell ref="B3:B4"/>
    <mergeCell ref="C3:C4"/>
    <mergeCell ref="D3:D4"/>
    <mergeCell ref="E3:E4"/>
    <mergeCell ref="AK3:AK4"/>
    <mergeCell ref="AL3:AL4"/>
    <mergeCell ref="F5:F45"/>
    <mergeCell ref="M5:M45"/>
    <mergeCell ref="T5:T45"/>
    <mergeCell ref="AA5:AA45"/>
  </mergeCells>
  <conditionalFormatting sqref="B5:B19">
    <cfRule type="duplicateValues" dxfId="21" priority="8"/>
    <cfRule type="duplicateValues" dxfId="20" priority="9"/>
  </conditionalFormatting>
  <conditionalFormatting sqref="B20">
    <cfRule type="duplicateValues" dxfId="19" priority="5"/>
    <cfRule type="duplicateValues" dxfId="18" priority="6"/>
  </conditionalFormatting>
  <conditionalFormatting sqref="B21:B26">
    <cfRule type="duplicateValues" dxfId="17" priority="22"/>
  </conditionalFormatting>
  <conditionalFormatting sqref="B27">
    <cfRule type="duplicateValues" dxfId="16" priority="7"/>
  </conditionalFormatting>
  <conditionalFormatting sqref="B28:B34">
    <cfRule type="duplicateValues" dxfId="15" priority="1"/>
    <cfRule type="duplicateValues" dxfId="14" priority="2"/>
  </conditionalFormatting>
  <conditionalFormatting sqref="B35">
    <cfRule type="duplicateValues" dxfId="13" priority="3"/>
    <cfRule type="duplicateValues" dxfId="12" priority="4"/>
  </conditionalFormatting>
  <conditionalFormatting sqref="F3:AJ4 G6:L45 N5:S45 F5:M5 U5:Z45 T5 AB5:AG45 AA5 AI5:AJ45 AH5">
    <cfRule type="expression" dxfId="11" priority="20">
      <formula>F$3="Sun"</formula>
    </cfRule>
  </conditionalFormatting>
  <conditionalFormatting sqref="F4:AJ4 G6:L45 N5:S45 F5:M5 U5:Z45 T5 AB5:AG45 AA5 AI5:AJ45 AH5">
    <cfRule type="expression" dxfId="10" priority="19">
      <formula>IF(F$4=TODAY(),TRUE,FALSE)</formula>
    </cfRule>
  </conditionalFormatting>
  <conditionalFormatting sqref="G6:L45 N5:S45 F5:M5 U5:Z45 T5 AB5:AG45 AA5 AI5:AJ45 AH5">
    <cfRule type="cellIs" dxfId="9" priority="16" operator="equal">
      <formula>"L"</formula>
    </cfRule>
    <cfRule type="cellIs" dxfId="8" priority="17" operator="equal">
      <formula>"A"</formula>
    </cfRule>
    <cfRule type="cellIs" dxfId="7" priority="18" operator="equal">
      <formula>"P"</formula>
    </cfRule>
  </conditionalFormatting>
  <conditionalFormatting sqref="AK3:AL3 AK5:AL45">
    <cfRule type="expression" dxfId="6" priority="21">
      <formula>#REF!="Sun"</formula>
    </cfRule>
  </conditionalFormatting>
  <conditionalFormatting sqref="AM5:AM6">
    <cfRule type="expression" dxfId="5" priority="14">
      <formula>#REF!="Sun"</formula>
    </cfRule>
  </conditionalFormatting>
  <conditionalFormatting sqref="AM9:AM12">
    <cfRule type="expression" dxfId="4" priority="12">
      <formula>#REF!="Sun"</formula>
    </cfRule>
  </conditionalFormatting>
  <conditionalFormatting sqref="AM17:AM20">
    <cfRule type="expression" dxfId="3" priority="11">
      <formula>#REF!="Sun"</formula>
    </cfRule>
  </conditionalFormatting>
  <conditionalFormatting sqref="AM4:AN4">
    <cfRule type="expression" dxfId="2" priority="15">
      <formula>#REF!="Sun"</formula>
    </cfRule>
  </conditionalFormatting>
  <conditionalFormatting sqref="AN9:AP9">
    <cfRule type="expression" dxfId="1" priority="13">
      <formula>#REF!="Sun"</formula>
    </cfRule>
  </conditionalFormatting>
  <conditionalFormatting sqref="AN17:AP17">
    <cfRule type="expression" dxfId="0" priority="10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dcterms:created xsi:type="dcterms:W3CDTF">2015-06-05T18:17:20Z</dcterms:created>
  <dcterms:modified xsi:type="dcterms:W3CDTF">2025-01-03T04:31:33Z</dcterms:modified>
</cp:coreProperties>
</file>