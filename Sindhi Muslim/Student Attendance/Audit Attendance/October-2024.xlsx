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Audit Attendance\"/>
    </mc:Choice>
  </mc:AlternateContent>
  <xr:revisionPtr revIDLastSave="0" documentId="13_ncr:1_{028EACD9-BCF5-4831-AECA-5749643DE0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ile Sheet-October-2024" sheetId="18" r:id="rId1"/>
    <sheet name="ECE (ROSE)" sheetId="4" r:id="rId2"/>
    <sheet name="ECE (Daffodi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8" l="1"/>
  <c r="K16" i="18"/>
  <c r="I16" i="18"/>
  <c r="J15" i="18"/>
  <c r="I15" i="18"/>
  <c r="M15" i="18" s="1"/>
  <c r="J14" i="18"/>
  <c r="K14" i="18" s="1"/>
  <c r="N14" i="18" s="1"/>
  <c r="I14" i="18"/>
  <c r="J13" i="18"/>
  <c r="I13" i="18"/>
  <c r="J12" i="18"/>
  <c r="I12" i="18"/>
  <c r="J11" i="18"/>
  <c r="L11" i="18" s="1"/>
  <c r="I11" i="18"/>
  <c r="J10" i="18"/>
  <c r="L10" i="18" s="1"/>
  <c r="I10" i="18"/>
  <c r="K10" i="18" s="1"/>
  <c r="J9" i="18"/>
  <c r="L9" i="18" s="1"/>
  <c r="O9" i="18" s="1"/>
  <c r="I9" i="18"/>
  <c r="J8" i="18"/>
  <c r="I8" i="18"/>
  <c r="K8" i="18" s="1"/>
  <c r="J7" i="18"/>
  <c r="I7" i="18"/>
  <c r="J6" i="18"/>
  <c r="I6" i="18"/>
  <c r="K6" i="18" s="1"/>
  <c r="E17" i="18"/>
  <c r="C17" i="18"/>
  <c r="B17" i="18"/>
  <c r="G16" i="18"/>
  <c r="L16" i="18" s="1"/>
  <c r="F16" i="18"/>
  <c r="D16" i="18"/>
  <c r="G15" i="18"/>
  <c r="F15" i="18"/>
  <c r="D15" i="18"/>
  <c r="L14" i="18"/>
  <c r="G14" i="18"/>
  <c r="F14" i="18"/>
  <c r="H14" i="18" s="1"/>
  <c r="D14" i="18"/>
  <c r="M13" i="18"/>
  <c r="G13" i="18"/>
  <c r="H13" i="18" s="1"/>
  <c r="F13" i="18"/>
  <c r="D13" i="18"/>
  <c r="K12" i="18"/>
  <c r="M12" i="18"/>
  <c r="G12" i="18"/>
  <c r="F12" i="18"/>
  <c r="D12" i="18"/>
  <c r="M11" i="18"/>
  <c r="G11" i="18"/>
  <c r="F11" i="18"/>
  <c r="H11" i="18" s="1"/>
  <c r="D11" i="18"/>
  <c r="G10" i="18"/>
  <c r="F10" i="18"/>
  <c r="D10" i="18"/>
  <c r="M9" i="18"/>
  <c r="H9" i="18"/>
  <c r="G9" i="18"/>
  <c r="F9" i="18"/>
  <c r="D9" i="18"/>
  <c r="M8" i="18"/>
  <c r="G8" i="18"/>
  <c r="F8" i="18"/>
  <c r="D8" i="18"/>
  <c r="L7" i="18"/>
  <c r="O7" i="18" s="1"/>
  <c r="M7" i="18"/>
  <c r="G7" i="18"/>
  <c r="F7" i="18"/>
  <c r="H7" i="18" s="1"/>
  <c r="D7" i="18"/>
  <c r="G6" i="18"/>
  <c r="F6" i="18"/>
  <c r="F17" i="18" s="1"/>
  <c r="D6" i="18"/>
  <c r="AN19" i="17"/>
  <c r="AM19" i="17"/>
  <c r="AN12" i="17"/>
  <c r="AN13" i="17" s="1"/>
  <c r="AM12" i="17"/>
  <c r="AM13" i="17" s="1"/>
  <c r="AN11" i="17"/>
  <c r="AM11" i="17"/>
  <c r="AM4" i="17"/>
  <c r="AK44" i="17"/>
  <c r="AJ44" i="17"/>
  <c r="AK43" i="17"/>
  <c r="AJ43" i="17"/>
  <c r="AK42" i="17"/>
  <c r="AJ42" i="17"/>
  <c r="AK41" i="17"/>
  <c r="AJ41" i="17"/>
  <c r="AK40" i="17"/>
  <c r="AJ40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M16" i="18" l="1"/>
  <c r="O16" i="18" s="1"/>
  <c r="L15" i="18"/>
  <c r="O15" i="18" s="1"/>
  <c r="H15" i="18"/>
  <c r="G17" i="18"/>
  <c r="L13" i="18"/>
  <c r="O13" i="18" s="1"/>
  <c r="L12" i="18"/>
  <c r="O12" i="18" s="1"/>
  <c r="H10" i="18"/>
  <c r="D17" i="18"/>
  <c r="N10" i="18"/>
  <c r="L8" i="18"/>
  <c r="J17" i="18"/>
  <c r="N8" i="18"/>
  <c r="O8" i="18"/>
  <c r="O11" i="18"/>
  <c r="M6" i="18"/>
  <c r="H6" i="18"/>
  <c r="N6" i="18" s="1"/>
  <c r="L6" i="18"/>
  <c r="K9" i="18"/>
  <c r="N9" i="18" s="1"/>
  <c r="K13" i="18"/>
  <c r="N13" i="18" s="1"/>
  <c r="M10" i="18"/>
  <c r="O10" i="18" s="1"/>
  <c r="M14" i="18"/>
  <c r="O14" i="18" s="1"/>
  <c r="I17" i="18"/>
  <c r="K7" i="18"/>
  <c r="N7" i="18" s="1"/>
  <c r="H8" i="18"/>
  <c r="K11" i="18"/>
  <c r="N11" i="18" s="1"/>
  <c r="H12" i="18"/>
  <c r="N12" i="18" s="1"/>
  <c r="K15" i="18"/>
  <c r="N15" i="18" s="1"/>
  <c r="H16" i="18"/>
  <c r="N16" i="18" s="1"/>
  <c r="AN20" i="17"/>
  <c r="AN21" i="17" s="1"/>
  <c r="AM20" i="17"/>
  <c r="AM21" i="17" s="1"/>
  <c r="AO12" i="17"/>
  <c r="AO13" i="17" s="1"/>
  <c r="AO11" i="17"/>
  <c r="AO20" i="17"/>
  <c r="AO19" i="17"/>
  <c r="L17" i="18" l="1"/>
  <c r="J18" i="18"/>
  <c r="O6" i="18"/>
  <c r="O17" i="18" s="1"/>
  <c r="M17" i="18"/>
  <c r="I18" i="18"/>
  <c r="N17" i="18"/>
  <c r="H17" i="18"/>
  <c r="K17" i="18"/>
  <c r="AO21" i="17"/>
  <c r="O18" i="18" l="1"/>
  <c r="K18" i="18"/>
  <c r="AN19" i="16"/>
  <c r="AM19" i="16"/>
  <c r="AN12" i="16"/>
  <c r="AM12" i="16"/>
  <c r="AM13" i="16" s="1"/>
  <c r="AN11" i="16"/>
  <c r="AM11" i="16"/>
  <c r="AM20" i="16"/>
  <c r="AM4" i="16"/>
  <c r="AK48" i="16"/>
  <c r="AJ48" i="16"/>
  <c r="AK47" i="16"/>
  <c r="AJ47" i="16"/>
  <c r="AK46" i="16"/>
  <c r="AJ46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O11" i="16" l="1"/>
  <c r="AN13" i="16"/>
  <c r="AM21" i="16"/>
  <c r="AO19" i="16"/>
  <c r="AN20" i="16" l="1"/>
  <c r="AN21" i="16" s="1"/>
  <c r="AO12" i="16"/>
  <c r="AO13" i="16" s="1"/>
  <c r="AO20" i="16" l="1"/>
  <c r="AO21" i="16" s="1"/>
  <c r="AM19" i="15"/>
  <c r="AL19" i="15"/>
  <c r="AM12" i="15"/>
  <c r="AM13" i="15" s="1"/>
  <c r="AL12" i="15"/>
  <c r="AM11" i="15"/>
  <c r="AL11" i="15"/>
  <c r="AM20" i="15"/>
  <c r="AM21" i="15" s="1"/>
  <c r="AL20" i="15"/>
  <c r="AN12" i="15"/>
  <c r="AN11" i="15"/>
  <c r="AL4" i="15"/>
  <c r="AJ52" i="15"/>
  <c r="AI52" i="15"/>
  <c r="AJ51" i="15"/>
  <c r="AI51" i="15"/>
  <c r="AJ50" i="15"/>
  <c r="AI50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L13" i="15" l="1"/>
  <c r="AN13" i="15"/>
  <c r="AL21" i="15"/>
  <c r="AN20" i="15"/>
  <c r="AN19" i="15"/>
  <c r="AN21" i="15" l="1"/>
  <c r="AN19" i="14" l="1"/>
  <c r="AM19" i="14"/>
  <c r="AN12" i="14"/>
  <c r="AM12" i="14"/>
  <c r="AN11" i="14"/>
  <c r="AM11" i="14"/>
  <c r="AN20" i="14"/>
  <c r="AN21" i="14" s="1"/>
  <c r="AM20" i="14"/>
  <c r="AM4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AO12" i="14" l="1"/>
  <c r="AO11" i="14"/>
  <c r="AO13" i="14"/>
  <c r="AM13" i="14"/>
  <c r="AM21" i="14"/>
  <c r="AO20" i="14"/>
  <c r="AN13" i="14"/>
  <c r="AO19" i="14"/>
  <c r="AO21" i="14" l="1"/>
  <c r="AN19" i="13" l="1"/>
  <c r="AM19" i="13"/>
  <c r="AN12" i="13"/>
  <c r="AN13" i="13" s="1"/>
  <c r="AM12" i="13"/>
  <c r="AM13" i="13" s="1"/>
  <c r="AN11" i="13"/>
  <c r="AM11" i="13"/>
  <c r="AN20" i="13"/>
  <c r="AN21" i="13" s="1"/>
  <c r="AM20" i="13"/>
  <c r="AO12" i="13"/>
  <c r="AO11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I3" i="13"/>
  <c r="AH3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O13" i="13" l="1"/>
  <c r="AO20" i="13"/>
  <c r="AM21" i="13"/>
  <c r="AO19" i="13"/>
  <c r="AO21" i="13" l="1"/>
  <c r="AN19" i="12" l="1"/>
  <c r="AM19" i="12"/>
  <c r="AN12" i="12"/>
  <c r="AN13" i="12" s="1"/>
  <c r="AM12" i="12"/>
  <c r="AN11" i="12"/>
  <c r="AO11" i="12" s="1"/>
  <c r="AM11" i="12"/>
  <c r="AN20" i="12"/>
  <c r="AN21" i="12" s="1"/>
  <c r="AM20" i="12"/>
  <c r="AM4" i="12"/>
  <c r="AK57" i="12"/>
  <c r="AJ57" i="12"/>
  <c r="AK56" i="12"/>
  <c r="AJ56" i="12"/>
  <c r="AK55" i="12"/>
  <c r="AJ55" i="12"/>
  <c r="AK54" i="12"/>
  <c r="AJ54" i="12"/>
  <c r="AK53" i="12"/>
  <c r="AJ53" i="12"/>
  <c r="AK52" i="12"/>
  <c r="AJ52" i="12"/>
  <c r="AK51" i="12"/>
  <c r="AJ51" i="12"/>
  <c r="AK50" i="12"/>
  <c r="AJ50" i="12"/>
  <c r="AK49" i="12"/>
  <c r="AJ49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7" i="12"/>
  <c r="AJ27" i="12"/>
  <c r="AK26" i="12"/>
  <c r="AJ26" i="12"/>
  <c r="AK25" i="12"/>
  <c r="AJ25" i="12"/>
  <c r="AK24" i="12"/>
  <c r="AJ24" i="12"/>
  <c r="AK23" i="12"/>
  <c r="AJ23" i="12"/>
  <c r="AK22" i="12"/>
  <c r="AJ22" i="12"/>
  <c r="AK21" i="12"/>
  <c r="AJ21" i="12"/>
  <c r="AK20" i="12"/>
  <c r="AJ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O12" i="12" l="1"/>
  <c r="AM13" i="12"/>
  <c r="AO13" i="12"/>
  <c r="AM21" i="12"/>
  <c r="AO20" i="12"/>
  <c r="AO19" i="12"/>
  <c r="AO21" i="12" l="1"/>
  <c r="AN19" i="11" l="1"/>
  <c r="AM19" i="11"/>
  <c r="AN12" i="11"/>
  <c r="AN13" i="11" s="1"/>
  <c r="AM12" i="11"/>
  <c r="AM13" i="11" s="1"/>
  <c r="AM11" i="11"/>
  <c r="AN20" i="11"/>
  <c r="AN21" i="11" s="1"/>
  <c r="AO11" i="11"/>
  <c r="AN11" i="11"/>
  <c r="AM4" i="11"/>
  <c r="AK60" i="11"/>
  <c r="AJ60" i="11"/>
  <c r="AK59" i="11"/>
  <c r="AJ59" i="11"/>
  <c r="AK58" i="11"/>
  <c r="AJ58" i="11"/>
  <c r="AK57" i="11"/>
  <c r="AJ57" i="11"/>
  <c r="AK56" i="11"/>
  <c r="AJ56" i="11"/>
  <c r="AK55" i="11"/>
  <c r="AJ55" i="11"/>
  <c r="AK54" i="11"/>
  <c r="AJ54" i="11"/>
  <c r="AK53" i="11"/>
  <c r="AJ53" i="11"/>
  <c r="AK52" i="11"/>
  <c r="AJ52" i="11"/>
  <c r="AK51" i="11"/>
  <c r="AJ51" i="11"/>
  <c r="AK50" i="11"/>
  <c r="AJ50" i="11"/>
  <c r="AK49" i="11"/>
  <c r="AJ49" i="11"/>
  <c r="AK48" i="11"/>
  <c r="AJ48" i="11"/>
  <c r="AK47" i="11"/>
  <c r="AJ47" i="11"/>
  <c r="AK46" i="11"/>
  <c r="AJ46" i="11"/>
  <c r="AK45" i="11"/>
  <c r="AJ45" i="11"/>
  <c r="AK44" i="11"/>
  <c r="AJ44" i="11"/>
  <c r="AK43" i="11"/>
  <c r="AJ43" i="11"/>
  <c r="AK42" i="11"/>
  <c r="AJ42" i="11"/>
  <c r="AK41" i="11"/>
  <c r="AJ41" i="11"/>
  <c r="AK40" i="11"/>
  <c r="AJ40" i="11"/>
  <c r="AK39" i="11"/>
  <c r="AJ39" i="11"/>
  <c r="AK38" i="11"/>
  <c r="AJ38" i="11"/>
  <c r="AK37" i="11"/>
  <c r="AJ37" i="11"/>
  <c r="AK36" i="11"/>
  <c r="AJ36" i="11"/>
  <c r="AK35" i="11"/>
  <c r="AJ35" i="11"/>
  <c r="AK34" i="11"/>
  <c r="AJ34" i="11"/>
  <c r="AK33" i="11"/>
  <c r="AJ33" i="11"/>
  <c r="AK32" i="11"/>
  <c r="AJ32" i="11"/>
  <c r="AK31" i="11"/>
  <c r="AJ31" i="11"/>
  <c r="AK30" i="11"/>
  <c r="AJ30" i="11"/>
  <c r="AK29" i="11"/>
  <c r="AJ29" i="11"/>
  <c r="AK28" i="11"/>
  <c r="AJ28" i="11"/>
  <c r="AK27" i="11"/>
  <c r="AJ27" i="11"/>
  <c r="AK26" i="11"/>
  <c r="AJ26" i="11"/>
  <c r="AK25" i="11"/>
  <c r="AJ25" i="11"/>
  <c r="AK24" i="11"/>
  <c r="AJ24" i="11"/>
  <c r="AK23" i="11"/>
  <c r="AJ23" i="11"/>
  <c r="AK22" i="11"/>
  <c r="AJ22" i="11"/>
  <c r="AK21" i="11"/>
  <c r="AJ21" i="11"/>
  <c r="AK20" i="11"/>
  <c r="AJ20" i="11"/>
  <c r="AK19" i="11"/>
  <c r="AJ19" i="11"/>
  <c r="AK18" i="11"/>
  <c r="AJ18" i="11"/>
  <c r="AK17" i="11"/>
  <c r="AJ17" i="11"/>
  <c r="AK16" i="11"/>
  <c r="AJ16" i="11"/>
  <c r="AK15" i="11"/>
  <c r="AJ15" i="11"/>
  <c r="AK14" i="11"/>
  <c r="AJ14" i="11"/>
  <c r="AK13" i="11"/>
  <c r="AJ13" i="11"/>
  <c r="AK12" i="11"/>
  <c r="AJ12" i="11"/>
  <c r="AK11" i="11"/>
  <c r="AJ11" i="11"/>
  <c r="AK10" i="11"/>
  <c r="AJ10" i="11"/>
  <c r="AK9" i="11"/>
  <c r="AJ9" i="11"/>
  <c r="AK8" i="11"/>
  <c r="AJ8" i="11"/>
  <c r="AK7" i="11"/>
  <c r="AJ7" i="11"/>
  <c r="AK6" i="11"/>
  <c r="AJ6" i="11"/>
  <c r="AK5" i="11"/>
  <c r="AJ5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AO12" i="11" l="1"/>
  <c r="AM20" i="11"/>
  <c r="AM21" i="11" s="1"/>
  <c r="AO13" i="11"/>
  <c r="AO19" i="11"/>
  <c r="AO20" i="11" l="1"/>
  <c r="AO21" i="11"/>
  <c r="AN12" i="10" l="1"/>
  <c r="AN20" i="10" s="1"/>
  <c r="AN21" i="10" s="1"/>
  <c r="AM12" i="10"/>
  <c r="AM13" i="10" s="1"/>
  <c r="AN19" i="10"/>
  <c r="AM19" i="10"/>
  <c r="AN11" i="10"/>
  <c r="AM11" i="10"/>
  <c r="AO12" i="10"/>
  <c r="AN13" i="10"/>
  <c r="AM4" i="10"/>
  <c r="AK56" i="10"/>
  <c r="AJ56" i="10"/>
  <c r="AK55" i="10"/>
  <c r="AJ55" i="10"/>
  <c r="AK54" i="10"/>
  <c r="AJ54" i="10"/>
  <c r="AK53" i="10"/>
  <c r="AJ53" i="10"/>
  <c r="AK52" i="10"/>
  <c r="AJ52" i="10"/>
  <c r="AK51" i="10"/>
  <c r="AJ51" i="10"/>
  <c r="AK50" i="10"/>
  <c r="AJ50" i="10"/>
  <c r="AK49" i="10"/>
  <c r="AJ49" i="10"/>
  <c r="AK48" i="10"/>
  <c r="AJ48" i="10"/>
  <c r="AK47" i="10"/>
  <c r="AJ47" i="10"/>
  <c r="AK46" i="10"/>
  <c r="AJ46" i="10"/>
  <c r="AK45" i="10"/>
  <c r="AJ45" i="10"/>
  <c r="AK44" i="10"/>
  <c r="AJ44" i="10"/>
  <c r="AK43" i="10"/>
  <c r="AJ43" i="10"/>
  <c r="AK42" i="10"/>
  <c r="AJ42" i="10"/>
  <c r="AK41" i="10"/>
  <c r="AJ41" i="10"/>
  <c r="AK40" i="10"/>
  <c r="AJ40" i="10"/>
  <c r="AK39" i="10"/>
  <c r="AJ39" i="10"/>
  <c r="AK38" i="10"/>
  <c r="AJ38" i="10"/>
  <c r="AK37" i="10"/>
  <c r="AJ37" i="10"/>
  <c r="AK36" i="10"/>
  <c r="AJ36" i="10"/>
  <c r="AK35" i="10"/>
  <c r="AJ35" i="10"/>
  <c r="AK34" i="10"/>
  <c r="AJ34" i="10"/>
  <c r="AK33" i="10"/>
  <c r="AJ33" i="10"/>
  <c r="AK32" i="10"/>
  <c r="AJ32" i="10"/>
  <c r="AK31" i="10"/>
  <c r="AJ31" i="10"/>
  <c r="AK30" i="10"/>
  <c r="AJ30" i="10"/>
  <c r="AK29" i="10"/>
  <c r="AJ29" i="10"/>
  <c r="AK28" i="10"/>
  <c r="AJ28" i="10"/>
  <c r="AK27" i="10"/>
  <c r="AJ27" i="10"/>
  <c r="AK26" i="10"/>
  <c r="AJ26" i="10"/>
  <c r="AK25" i="10"/>
  <c r="AJ25" i="10"/>
  <c r="AK24" i="10"/>
  <c r="AJ24" i="10"/>
  <c r="AK23" i="10"/>
  <c r="AJ23" i="10"/>
  <c r="AK22" i="10"/>
  <c r="AJ22" i="10"/>
  <c r="AK21" i="10"/>
  <c r="AJ21" i="10"/>
  <c r="AK20" i="10"/>
  <c r="AJ20" i="10"/>
  <c r="AK19" i="10"/>
  <c r="AJ19" i="10"/>
  <c r="AK18" i="10"/>
  <c r="AJ18" i="10"/>
  <c r="AK17" i="10"/>
  <c r="AJ17" i="10"/>
  <c r="AK16" i="10"/>
  <c r="AJ16" i="10"/>
  <c r="AK15" i="10"/>
  <c r="AJ15" i="10"/>
  <c r="AK14" i="10"/>
  <c r="AJ14" i="10"/>
  <c r="AK13" i="10"/>
  <c r="AJ13" i="10"/>
  <c r="AK12" i="10"/>
  <c r="AJ12" i="10"/>
  <c r="AK11" i="10"/>
  <c r="AJ11" i="10"/>
  <c r="AK10" i="10"/>
  <c r="AJ10" i="10"/>
  <c r="AK9" i="10"/>
  <c r="AJ9" i="10"/>
  <c r="AK8" i="10"/>
  <c r="AJ8" i="10"/>
  <c r="AK7" i="10"/>
  <c r="AJ7" i="10"/>
  <c r="AK6" i="10"/>
  <c r="AJ6" i="10"/>
  <c r="AK5" i="10"/>
  <c r="AJ5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AO11" i="10" l="1"/>
  <c r="AO13" i="10"/>
  <c r="AO19" i="10"/>
  <c r="AM20" i="10"/>
  <c r="AM21" i="10" l="1"/>
  <c r="AO20" i="10"/>
  <c r="AO21" i="10" s="1"/>
  <c r="AN19" i="9" l="1"/>
  <c r="AM19" i="9"/>
  <c r="AN11" i="9"/>
  <c r="AM11" i="9"/>
  <c r="AO11" i="9"/>
  <c r="AM4" i="9"/>
  <c r="AK60" i="9"/>
  <c r="AJ60" i="9"/>
  <c r="AK59" i="9"/>
  <c r="AJ59" i="9"/>
  <c r="AK58" i="9"/>
  <c r="AJ58" i="9"/>
  <c r="AK57" i="9"/>
  <c r="AJ57" i="9"/>
  <c r="AK56" i="9"/>
  <c r="AJ56" i="9"/>
  <c r="AK55" i="9"/>
  <c r="AJ55" i="9"/>
  <c r="AK54" i="9"/>
  <c r="AJ54" i="9"/>
  <c r="AK53" i="9"/>
  <c r="AJ53" i="9"/>
  <c r="AK52" i="9"/>
  <c r="AJ52" i="9"/>
  <c r="AK51" i="9"/>
  <c r="AJ51" i="9"/>
  <c r="AK50" i="9"/>
  <c r="AJ50" i="9"/>
  <c r="AK49" i="9"/>
  <c r="AJ49" i="9"/>
  <c r="AK48" i="9"/>
  <c r="AJ48" i="9"/>
  <c r="AK47" i="9"/>
  <c r="AJ47" i="9"/>
  <c r="AK46" i="9"/>
  <c r="AJ46" i="9"/>
  <c r="AK45" i="9"/>
  <c r="AJ45" i="9"/>
  <c r="AK44" i="9"/>
  <c r="AJ44" i="9"/>
  <c r="AK43" i="9"/>
  <c r="AJ43" i="9"/>
  <c r="AK42" i="9"/>
  <c r="AJ42" i="9"/>
  <c r="AK41" i="9"/>
  <c r="AJ41" i="9"/>
  <c r="AK40" i="9"/>
  <c r="AJ40" i="9"/>
  <c r="AK39" i="9"/>
  <c r="AJ39" i="9"/>
  <c r="AK38" i="9"/>
  <c r="AJ38" i="9"/>
  <c r="AK37" i="9"/>
  <c r="AJ37" i="9"/>
  <c r="AK36" i="9"/>
  <c r="AJ36" i="9"/>
  <c r="AK35" i="9"/>
  <c r="AJ35" i="9"/>
  <c r="AK34" i="9"/>
  <c r="AJ34" i="9"/>
  <c r="AK33" i="9"/>
  <c r="AJ33" i="9"/>
  <c r="AK32" i="9"/>
  <c r="AJ32" i="9"/>
  <c r="AK31" i="9"/>
  <c r="AJ31" i="9"/>
  <c r="AK30" i="9"/>
  <c r="AJ30" i="9"/>
  <c r="AK29" i="9"/>
  <c r="AJ29" i="9"/>
  <c r="AK28" i="9"/>
  <c r="AJ28" i="9"/>
  <c r="AK27" i="9"/>
  <c r="AJ27" i="9"/>
  <c r="AK26" i="9"/>
  <c r="AJ26" i="9"/>
  <c r="AK25" i="9"/>
  <c r="AJ25" i="9"/>
  <c r="AK24" i="9"/>
  <c r="AJ24" i="9"/>
  <c r="AK23" i="9"/>
  <c r="AJ23" i="9"/>
  <c r="AK22" i="9"/>
  <c r="AJ22" i="9"/>
  <c r="AK21" i="9"/>
  <c r="AJ21" i="9"/>
  <c r="AK20" i="9"/>
  <c r="AJ20" i="9"/>
  <c r="AK19" i="9"/>
  <c r="AJ19" i="9"/>
  <c r="AK18" i="9"/>
  <c r="AJ18" i="9"/>
  <c r="AK17" i="9"/>
  <c r="AJ17" i="9"/>
  <c r="AK16" i="9"/>
  <c r="AJ16" i="9"/>
  <c r="AK15" i="9"/>
  <c r="AJ15" i="9"/>
  <c r="AK14" i="9"/>
  <c r="AJ14" i="9"/>
  <c r="AK13" i="9"/>
  <c r="AJ13" i="9"/>
  <c r="AK12" i="9"/>
  <c r="AJ12" i="9"/>
  <c r="AK11" i="9"/>
  <c r="AJ11" i="9"/>
  <c r="AK10" i="9"/>
  <c r="AJ10" i="9"/>
  <c r="AK9" i="9"/>
  <c r="AJ9" i="9"/>
  <c r="AK8" i="9"/>
  <c r="AJ8" i="9"/>
  <c r="AK7" i="9"/>
  <c r="AJ7" i="9"/>
  <c r="AK6" i="9"/>
  <c r="AJ6" i="9"/>
  <c r="AK5" i="9"/>
  <c r="AJ5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AM12" i="9" l="1"/>
  <c r="AM13" i="9" s="1"/>
  <c r="AN12" i="9"/>
  <c r="AN20" i="9"/>
  <c r="AN21" i="9" s="1"/>
  <c r="AO19" i="9"/>
  <c r="AM20" i="9" l="1"/>
  <c r="AO12" i="9"/>
  <c r="AO13" i="9" s="1"/>
  <c r="AN13" i="9"/>
  <c r="AM21" i="9"/>
  <c r="AO20" i="9"/>
  <c r="AO21" i="9" s="1"/>
  <c r="AN19" i="8" l="1"/>
  <c r="AM19" i="8"/>
  <c r="AN12" i="8"/>
  <c r="AM12" i="8"/>
  <c r="AN11" i="8"/>
  <c r="AM11" i="8"/>
  <c r="AM4" i="8"/>
  <c r="AK60" i="8"/>
  <c r="AJ60" i="8"/>
  <c r="AK59" i="8"/>
  <c r="AJ59" i="8"/>
  <c r="AK58" i="8"/>
  <c r="AJ58" i="8"/>
  <c r="AK57" i="8"/>
  <c r="AJ57" i="8"/>
  <c r="AK56" i="8"/>
  <c r="AJ56" i="8"/>
  <c r="AK55" i="8"/>
  <c r="AJ55" i="8"/>
  <c r="AK54" i="8"/>
  <c r="AJ54" i="8"/>
  <c r="AK53" i="8"/>
  <c r="AJ53" i="8"/>
  <c r="AK52" i="8"/>
  <c r="AJ52" i="8"/>
  <c r="AK51" i="8"/>
  <c r="AJ51" i="8"/>
  <c r="AK50" i="8"/>
  <c r="AJ50" i="8"/>
  <c r="AK49" i="8"/>
  <c r="AJ49" i="8"/>
  <c r="AK48" i="8"/>
  <c r="AJ48" i="8"/>
  <c r="AK47" i="8"/>
  <c r="AJ47" i="8"/>
  <c r="AK46" i="8"/>
  <c r="AJ46" i="8"/>
  <c r="AK45" i="8"/>
  <c r="AJ45" i="8"/>
  <c r="AK44" i="8"/>
  <c r="AJ44" i="8"/>
  <c r="AK43" i="8"/>
  <c r="AJ43" i="8"/>
  <c r="AK42" i="8"/>
  <c r="AJ42" i="8"/>
  <c r="AK41" i="8"/>
  <c r="AJ41" i="8"/>
  <c r="AK40" i="8"/>
  <c r="AJ40" i="8"/>
  <c r="AK39" i="8"/>
  <c r="AJ39" i="8"/>
  <c r="AK38" i="8"/>
  <c r="AJ38" i="8"/>
  <c r="AK37" i="8"/>
  <c r="AJ37" i="8"/>
  <c r="AK36" i="8"/>
  <c r="AJ36" i="8"/>
  <c r="AK35" i="8"/>
  <c r="AJ35" i="8"/>
  <c r="AK34" i="8"/>
  <c r="AJ34" i="8"/>
  <c r="AK33" i="8"/>
  <c r="AJ33" i="8"/>
  <c r="AK32" i="8"/>
  <c r="AJ32" i="8"/>
  <c r="AK31" i="8"/>
  <c r="AJ31" i="8"/>
  <c r="AK30" i="8"/>
  <c r="AJ30" i="8"/>
  <c r="AK29" i="8"/>
  <c r="AJ29" i="8"/>
  <c r="AK28" i="8"/>
  <c r="AJ28" i="8"/>
  <c r="AK27" i="8"/>
  <c r="AJ27" i="8"/>
  <c r="AK26" i="8"/>
  <c r="AJ26" i="8"/>
  <c r="AK25" i="8"/>
  <c r="AJ25" i="8"/>
  <c r="AK24" i="8"/>
  <c r="AJ24" i="8"/>
  <c r="AK23" i="8"/>
  <c r="AJ23" i="8"/>
  <c r="AK22" i="8"/>
  <c r="AJ22" i="8"/>
  <c r="AK21" i="8"/>
  <c r="AJ21" i="8"/>
  <c r="AK20" i="8"/>
  <c r="AJ20" i="8"/>
  <c r="AK19" i="8"/>
  <c r="AJ19" i="8"/>
  <c r="AK18" i="8"/>
  <c r="AJ18" i="8"/>
  <c r="AK17" i="8"/>
  <c r="AJ17" i="8"/>
  <c r="AK16" i="8"/>
  <c r="AJ16" i="8"/>
  <c r="AK15" i="8"/>
  <c r="AJ15" i="8"/>
  <c r="AK14" i="8"/>
  <c r="AJ14" i="8"/>
  <c r="AK13" i="8"/>
  <c r="AJ13" i="8"/>
  <c r="AK12" i="8"/>
  <c r="AJ12" i="8"/>
  <c r="AK11" i="8"/>
  <c r="AJ11" i="8"/>
  <c r="AK10" i="8"/>
  <c r="AJ10" i="8"/>
  <c r="AK9" i="8"/>
  <c r="AJ9" i="8"/>
  <c r="AK8" i="8"/>
  <c r="AJ8" i="8"/>
  <c r="AK7" i="8"/>
  <c r="AJ7" i="8"/>
  <c r="AK6" i="8"/>
  <c r="AJ6" i="8"/>
  <c r="AM13" i="8" s="1"/>
  <c r="AK5" i="8"/>
  <c r="AJ5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AO11" i="8" l="1"/>
  <c r="AO12" i="8"/>
  <c r="AO13" i="8" s="1"/>
  <c r="AM20" i="8"/>
  <c r="AN20" i="8"/>
  <c r="AN21" i="8" s="1"/>
  <c r="AN13" i="8"/>
  <c r="AO19" i="8"/>
  <c r="AO20" i="8" l="1"/>
  <c r="AO21" i="8" s="1"/>
  <c r="AM21" i="8"/>
  <c r="AN12" i="4" l="1"/>
  <c r="AN19" i="4"/>
  <c r="AM19" i="4"/>
  <c r="AN11" i="4"/>
  <c r="AM11" i="4"/>
  <c r="AM12" i="4"/>
  <c r="AN20" i="4" l="1"/>
  <c r="AN21" i="4" s="1"/>
  <c r="AN13" i="4"/>
  <c r="AM4" i="4"/>
  <c r="AK56" i="4"/>
  <c r="AJ56" i="4"/>
  <c r="AK55" i="4"/>
  <c r="AJ55" i="4"/>
  <c r="AK54" i="4"/>
  <c r="AJ54" i="4"/>
  <c r="AK53" i="4"/>
  <c r="AJ53" i="4"/>
  <c r="AK52" i="4"/>
  <c r="AJ52" i="4"/>
  <c r="AK51" i="4"/>
  <c r="AJ51" i="4"/>
  <c r="AK50" i="4"/>
  <c r="AJ50" i="4"/>
  <c r="AK49" i="4"/>
  <c r="AJ49" i="4"/>
  <c r="AK48" i="4"/>
  <c r="AJ48" i="4"/>
  <c r="AK47" i="4"/>
  <c r="AJ47" i="4"/>
  <c r="AK46" i="4"/>
  <c r="AJ46" i="4"/>
  <c r="AK45" i="4"/>
  <c r="AJ45" i="4"/>
  <c r="AK44" i="4"/>
  <c r="AJ44" i="4"/>
  <c r="AK43" i="4"/>
  <c r="AJ43" i="4"/>
  <c r="AK42" i="4"/>
  <c r="AJ42" i="4"/>
  <c r="AK41" i="4"/>
  <c r="AJ41" i="4"/>
  <c r="AK40" i="4"/>
  <c r="AJ40" i="4"/>
  <c r="AK39" i="4"/>
  <c r="AJ39" i="4"/>
  <c r="AK38" i="4"/>
  <c r="AJ38" i="4"/>
  <c r="AK37" i="4"/>
  <c r="AJ37" i="4"/>
  <c r="AK36" i="4"/>
  <c r="AJ36" i="4"/>
  <c r="AK35" i="4"/>
  <c r="AJ35" i="4"/>
  <c r="AK34" i="4"/>
  <c r="AJ34" i="4"/>
  <c r="AK33" i="4"/>
  <c r="AJ33" i="4"/>
  <c r="AK32" i="4"/>
  <c r="AJ32" i="4"/>
  <c r="AK31" i="4"/>
  <c r="AJ31" i="4"/>
  <c r="AK30" i="4"/>
  <c r="AJ30" i="4"/>
  <c r="AK29" i="4"/>
  <c r="AJ29" i="4"/>
  <c r="AK28" i="4"/>
  <c r="AJ28" i="4"/>
  <c r="AK27" i="4"/>
  <c r="AJ27" i="4"/>
  <c r="AK26" i="4"/>
  <c r="AJ26" i="4"/>
  <c r="AK25" i="4"/>
  <c r="AJ25" i="4"/>
  <c r="AK24" i="4"/>
  <c r="AJ24" i="4"/>
  <c r="AK23" i="4"/>
  <c r="AJ23" i="4"/>
  <c r="AK22" i="4"/>
  <c r="AJ22" i="4"/>
  <c r="AK21" i="4"/>
  <c r="AJ21" i="4"/>
  <c r="AK20" i="4"/>
  <c r="AJ20" i="4"/>
  <c r="AK19" i="4"/>
  <c r="AJ19" i="4"/>
  <c r="AK18" i="4"/>
  <c r="AJ18" i="4"/>
  <c r="AK17" i="4"/>
  <c r="AJ17" i="4"/>
  <c r="AK16" i="4"/>
  <c r="AJ16" i="4"/>
  <c r="AK15" i="4"/>
  <c r="AJ15" i="4"/>
  <c r="AK14" i="4"/>
  <c r="AJ14" i="4"/>
  <c r="AK13" i="4"/>
  <c r="AJ13" i="4"/>
  <c r="AK12" i="4"/>
  <c r="AJ12" i="4"/>
  <c r="AK11" i="4"/>
  <c r="AJ11" i="4"/>
  <c r="AK10" i="4"/>
  <c r="AJ10" i="4"/>
  <c r="AK9" i="4"/>
  <c r="AJ9" i="4"/>
  <c r="AK8" i="4"/>
  <c r="AJ8" i="4"/>
  <c r="AK7" i="4"/>
  <c r="AJ7" i="4"/>
  <c r="AK6" i="4"/>
  <c r="AJ6" i="4"/>
  <c r="AK5" i="4"/>
  <c r="AJ5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AM20" i="4" l="1"/>
  <c r="AO12" i="4"/>
  <c r="AO11" i="4"/>
  <c r="AM13" i="4"/>
  <c r="AO20" i="4"/>
  <c r="AM21" i="4"/>
  <c r="AO19" i="4"/>
  <c r="AO13" i="4" l="1"/>
  <c r="AO21" i="4"/>
</calcChain>
</file>

<file path=xl/sharedStrings.xml><?xml version="1.0" encoding="utf-8"?>
<sst xmlns="http://schemas.openxmlformats.org/spreadsheetml/2006/main" count="16426" uniqueCount="837">
  <si>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</si>
  <si>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</si>
  <si>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</si>
  <si>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</si>
  <si>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</si>
  <si>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</si>
  <si>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</si>
  <si>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</si>
  <si>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</si>
  <si>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</si>
  <si>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</si>
  <si>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</si>
  <si>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</si>
  <si>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</si>
  <si>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</si>
  <si>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</si>
  <si>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</si>
  <si>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</si>
  <si>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</si>
  <si>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</si>
  <si>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</si>
  <si>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</si>
  <si>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</si>
  <si>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</si>
  <si>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</si>
  <si>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</si>
  <si>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</si>
  <si>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</si>
  <si>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</si>
  <si>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</si>
  <si>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</si>
  <si>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</si>
  <si>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</si>
  <si>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</si>
  <si>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</si>
  <si>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</si>
  <si>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</si>
  <si>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</si>
  <si>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</si>
  <si>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</si>
  <si>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</si>
  <si>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</si>
  <si>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</si>
  <si>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</si>
  <si>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</si>
  <si>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</si>
  <si>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</si>
  <si>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</si>
  <si>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</si>
  <si>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</si>
  <si>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</si>
  <si>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</si>
  <si>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</si>
  <si>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</si>
  <si>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</si>
  <si>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</si>
  <si>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</si>
  <si>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</si>
  <si>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</si>
  <si>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</si>
  <si>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</si>
  <si>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</si>
  <si>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</si>
  <si>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</si>
  <si>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</si>
  <si>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</si>
  <si>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</si>
  <si>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</si>
  <si>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</si>
  <si>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</si>
  <si>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</si>
  <si>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</si>
  <si>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</si>
  <si>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</si>
  <si>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</si>
  <si>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</si>
  <si>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</si>
  <si>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</si>
  <si>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</si>
  <si>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</si>
  <si>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</si>
  <si>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</si>
  <si>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</si>
  <si>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</si>
  <si>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</si>
  <si>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</si>
  <si>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</si>
  <si>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</si>
  <si>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</si>
  <si>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</si>
  <si>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</si>
  <si>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</si>
  <si>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</si>
  <si>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</si>
  <si>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</si>
  <si>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</si>
  <si>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</si>
  <si>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</si>
  <si>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</si>
  <si>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</si>
  <si>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</si>
  <si>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</si>
  <si>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</si>
  <si>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</si>
  <si>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</si>
  <si>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</si>
  <si>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</si>
  <si>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</si>
  <si>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</si>
  <si>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</si>
  <si>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</si>
  <si>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</si>
  <si>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</si>
  <si>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</si>
  <si>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</si>
  <si>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SUNDAY - SUNDAY - SUNDAY - SUNDAY - SUNDAY</t>
  </si>
  <si>
    <t>SUNDAY - SUNDAY - SUNDAY - SUNDAY - SUNDAY - SUNDAY - SUNDAY</t>
  </si>
  <si>
    <t>Abdullah</t>
  </si>
  <si>
    <t>Jameel Hussain</t>
  </si>
  <si>
    <t>Monthly Attendence Month of October-2024</t>
  </si>
  <si>
    <t>Israr</t>
  </si>
  <si>
    <t>Zulfiqar Ali</t>
  </si>
  <si>
    <t>Zakria</t>
  </si>
  <si>
    <t>Anabia</t>
  </si>
  <si>
    <t>-</t>
  </si>
  <si>
    <t>SUNDAY - SUNDAY - SUNDAY - SUNDAY - SUNDAY - SUNDAY</t>
  </si>
  <si>
    <t>Year 2024</t>
  </si>
  <si>
    <t>Total days</t>
  </si>
  <si>
    <t>Absent Days Details</t>
  </si>
  <si>
    <t>Alishba Batool</t>
  </si>
  <si>
    <t>Irfan Ali</t>
  </si>
  <si>
    <t>SUNDAY - SUNDAY - SUNDAY - SUNDAY - SUNDAY - SUNDAY - SUNDAY - SUNDAY - SUNDAY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</si>
  <si>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</si>
  <si>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</si>
  <si>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</si>
  <si>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</si>
  <si>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</si>
  <si>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</si>
  <si>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</si>
  <si>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</si>
  <si>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</si>
  <si>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</si>
  <si>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</si>
  <si>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</si>
  <si>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</si>
  <si>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</si>
  <si>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</si>
  <si>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</si>
  <si>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</si>
  <si>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</si>
  <si>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</si>
  <si>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</si>
  <si>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</si>
  <si>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</si>
  <si>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</si>
  <si>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</si>
  <si>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</si>
  <si>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</si>
  <si>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</si>
  <si>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</si>
  <si>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</si>
  <si>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</si>
  <si>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</si>
  <si>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</si>
  <si>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</si>
  <si>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</si>
  <si>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</si>
  <si>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</si>
  <si>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</si>
  <si>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</si>
  <si>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</si>
  <si>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</si>
  <si>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</si>
  <si>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</si>
  <si>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</si>
  <si>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</si>
  <si>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</si>
  <si>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</si>
  <si>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</si>
  <si>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</si>
  <si>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</si>
  <si>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</si>
  <si>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</si>
  <si>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</si>
  <si>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</si>
  <si>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</si>
  <si>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</si>
  <si>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</si>
  <si>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</si>
  <si>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</si>
  <si>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</si>
  <si>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</si>
  <si>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</si>
  <si>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</si>
  <si>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</si>
  <si>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</si>
  <si>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</si>
  <si>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</si>
  <si>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</si>
  <si>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</si>
  <si>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</si>
  <si>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</si>
  <si>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</si>
  <si>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</si>
  <si>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</si>
  <si>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</si>
  <si>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</si>
  <si>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</si>
  <si>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</si>
  <si>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</si>
  <si>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</si>
  <si>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</si>
  <si>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</si>
  <si>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</si>
  <si>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</si>
  <si>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</si>
  <si>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</si>
  <si>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</si>
  <si>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</si>
  <si>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M Fahad</t>
  </si>
  <si>
    <t>Bilal Faheem</t>
  </si>
  <si>
    <t>M. Faheem</t>
  </si>
  <si>
    <t>Ab. Barri</t>
  </si>
  <si>
    <t>Hasnain Naeem</t>
  </si>
  <si>
    <t>Naeem Ahmed</t>
  </si>
  <si>
    <t>M. Ahad</t>
  </si>
  <si>
    <t>Aman Badshah</t>
  </si>
  <si>
    <t>Ab. Hadi</t>
  </si>
  <si>
    <t>Anum</t>
  </si>
  <si>
    <t>M. Arif</t>
  </si>
  <si>
    <t>One</t>
  </si>
  <si>
    <t>Ayat</t>
  </si>
  <si>
    <t>Meer Mohammad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</si>
  <si>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</si>
  <si>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</si>
  <si>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</si>
  <si>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</si>
  <si>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</si>
  <si>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</si>
  <si>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</si>
  <si>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</si>
  <si>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</si>
  <si>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</si>
  <si>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</si>
  <si>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</si>
  <si>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</si>
  <si>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</si>
  <si>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</si>
  <si>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</si>
  <si>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</si>
  <si>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</si>
  <si>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</si>
  <si>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</si>
  <si>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</si>
  <si>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</si>
  <si>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</si>
  <si>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</si>
  <si>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</si>
  <si>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</si>
  <si>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</si>
  <si>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</si>
  <si>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</si>
  <si>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</si>
  <si>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</si>
  <si>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</si>
  <si>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</si>
  <si>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</si>
  <si>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</si>
  <si>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</si>
  <si>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</si>
  <si>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</si>
  <si>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</si>
  <si>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</si>
  <si>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</si>
  <si>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</si>
  <si>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</si>
  <si>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</si>
  <si>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</si>
  <si>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</si>
  <si>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</si>
  <si>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</si>
  <si>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</si>
  <si>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</si>
  <si>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</si>
  <si>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</si>
  <si>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</si>
  <si>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</si>
  <si>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</si>
  <si>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</si>
  <si>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</si>
  <si>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</si>
  <si>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</si>
  <si>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</si>
  <si>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</si>
  <si>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</si>
  <si>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</si>
  <si>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</si>
  <si>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</si>
  <si>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</si>
  <si>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</si>
  <si>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</si>
  <si>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</si>
  <si>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</si>
  <si>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</si>
  <si>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</si>
  <si>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</si>
  <si>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</si>
  <si>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</si>
  <si>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</si>
  <si>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</si>
  <si>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</si>
  <si>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</si>
  <si>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</si>
  <si>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</si>
  <si>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</si>
  <si>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</si>
  <si>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</si>
  <si>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</si>
  <si>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</si>
  <si>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</si>
  <si>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</si>
  <si>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</si>
  <si>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</si>
  <si>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</si>
  <si>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</si>
  <si>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</si>
  <si>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</si>
  <si>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</si>
  <si>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>PTM - PTM - PTM - PTM - PTM - PTM - PTM - PTM - PTM - PTM</t>
  </si>
  <si>
    <t>Aleena Zia</t>
  </si>
  <si>
    <t>Khuda Baksh</t>
  </si>
  <si>
    <t>Anumta Jamali</t>
  </si>
  <si>
    <t>Anusha</t>
  </si>
  <si>
    <t>Mukhtiyar Ali</t>
  </si>
  <si>
    <t>Ali Muhammad</t>
  </si>
  <si>
    <t>Jannat Fatima</t>
  </si>
  <si>
    <t>Kashaf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</si>
  <si>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</si>
  <si>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</si>
  <si>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</si>
  <si>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</si>
  <si>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</si>
  <si>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</si>
  <si>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</si>
  <si>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</si>
  <si>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Sajid Ali</t>
  </si>
  <si>
    <t>Tahreem Fatima</t>
  </si>
  <si>
    <t>Sehar Fatima</t>
  </si>
  <si>
    <t>Taskeen</t>
  </si>
  <si>
    <t>Kashish</t>
  </si>
  <si>
    <t>M. Noman</t>
  </si>
  <si>
    <t>Saba</t>
  </si>
  <si>
    <t>Asif</t>
  </si>
  <si>
    <t>Afsana</t>
  </si>
  <si>
    <t>Sehrish</t>
  </si>
  <si>
    <t>p</t>
  </si>
  <si>
    <t>Abdul Musawir</t>
  </si>
  <si>
    <t>M. Ismail</t>
  </si>
  <si>
    <t>Abdul Wahab</t>
  </si>
  <si>
    <t>Abdul Hafeez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</si>
  <si>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</si>
  <si>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</si>
  <si>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</si>
  <si>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</si>
  <si>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</si>
  <si>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</si>
  <si>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</si>
  <si>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</si>
  <si>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</si>
  <si>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</si>
  <si>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</si>
  <si>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</si>
  <si>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</si>
  <si>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</si>
  <si>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</si>
  <si>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</si>
  <si>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</si>
  <si>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Mohammad Nawaz</t>
  </si>
  <si>
    <t>Ali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</si>
  <si>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</si>
  <si>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</si>
  <si>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</si>
  <si>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</si>
  <si>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</si>
  <si>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</si>
  <si>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</si>
  <si>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</si>
  <si>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</si>
  <si>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</si>
  <si>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</si>
  <si>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</si>
  <si>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</si>
  <si>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</si>
  <si>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</si>
  <si>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PTM</t>
  </si>
  <si>
    <t>Anjuman</t>
  </si>
  <si>
    <t>Ab. Ghaffar</t>
  </si>
  <si>
    <t>Three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</si>
  <si>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</si>
  <si>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</si>
  <si>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</si>
  <si>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</si>
  <si>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</si>
  <si>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</si>
  <si>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</si>
  <si>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</si>
  <si>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</si>
  <si>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</si>
  <si>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</si>
  <si>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</si>
  <si>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</si>
  <si>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</si>
  <si>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</si>
  <si>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</si>
  <si>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</si>
  <si>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</si>
  <si>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</si>
  <si>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</si>
  <si>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</si>
  <si>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</si>
  <si>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</si>
  <si>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</si>
  <si>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</si>
  <si>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</si>
  <si>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</si>
  <si>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</si>
  <si>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</si>
  <si>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</si>
  <si>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</si>
  <si>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</si>
  <si>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</si>
  <si>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</si>
  <si>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Alisha</t>
  </si>
  <si>
    <t>Ghulam Asghar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</si>
  <si>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</si>
  <si>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</si>
  <si>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</si>
  <si>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</si>
  <si>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</si>
  <si>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</si>
  <si>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</si>
  <si>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</si>
  <si>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</si>
  <si>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</si>
  <si>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</si>
  <si>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</si>
  <si>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</si>
  <si>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</si>
  <si>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</si>
  <si>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</si>
  <si>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</si>
  <si>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</si>
  <si>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</si>
  <si>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</si>
  <si>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Meer Alam</t>
  </si>
  <si>
    <t>M. Ahsan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</si>
  <si>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</si>
  <si>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</si>
  <si>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</si>
  <si>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</si>
  <si>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</si>
  <si>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</si>
  <si>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</si>
  <si>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</si>
  <si>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</si>
  <si>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</si>
  <si>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</si>
  <si>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</si>
  <si>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</si>
  <si>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</si>
  <si>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</si>
  <si>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</si>
  <si>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</si>
  <si>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</si>
  <si>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</si>
  <si>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</si>
  <si>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</si>
  <si>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</si>
  <si>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</si>
  <si>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</si>
  <si>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</si>
  <si>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</si>
  <si>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</si>
  <si>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</si>
  <si>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</si>
  <si>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</si>
  <si>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</si>
  <si>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</si>
  <si>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</si>
  <si>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</si>
  <si>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</si>
  <si>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</si>
  <si>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</si>
  <si>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</si>
  <si>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</si>
  <si>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</si>
  <si>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</si>
  <si>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</si>
  <si>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</si>
  <si>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</si>
  <si>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</si>
  <si>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</si>
  <si>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</si>
  <si>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</si>
  <si>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</si>
  <si>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</si>
  <si>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</si>
  <si>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</si>
  <si>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</si>
  <si>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</si>
  <si>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</si>
  <si>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</si>
  <si>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</si>
  <si>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</si>
  <si>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</si>
  <si>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</si>
  <si>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</si>
  <si>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</si>
  <si>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</si>
  <si>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</si>
  <si>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</si>
  <si>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</si>
  <si>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</si>
  <si>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</si>
  <si>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</si>
  <si>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</si>
  <si>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</si>
  <si>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</si>
  <si>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</si>
  <si>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</si>
  <si>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</si>
  <si>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</si>
  <si>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</si>
  <si>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</si>
  <si>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</si>
  <si>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</si>
  <si>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</si>
  <si>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</si>
  <si>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</si>
  <si>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</si>
  <si>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</si>
  <si>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</si>
  <si>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</si>
  <si>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</si>
  <si>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</si>
  <si>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</si>
  <si>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</si>
  <si>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</si>
  <si>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</si>
  <si>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</si>
  <si>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</si>
  <si>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</si>
  <si>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</si>
  <si>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</si>
  <si>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</si>
  <si>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</si>
  <si>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</si>
  <si>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</si>
  <si>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</si>
  <si>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</si>
  <si>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</si>
  <si>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</si>
  <si>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</si>
  <si>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</si>
  <si>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</si>
  <si>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</si>
  <si>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</si>
  <si>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</si>
  <si>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</si>
  <si>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</si>
  <si>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Muhammad 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</si>
  <si>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</si>
  <si>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</si>
  <si>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</si>
  <si>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</si>
  <si>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</si>
  <si>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</si>
  <si>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</si>
  <si>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</si>
  <si>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</si>
  <si>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</si>
  <si>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</si>
  <si>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</si>
  <si>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</si>
  <si>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</si>
  <si>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</si>
  <si>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.</t>
  </si>
  <si>
    <t>M. Husnain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</si>
  <si>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</si>
  <si>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</si>
  <si>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</si>
  <si>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</si>
  <si>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</si>
  <si>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</si>
  <si>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</si>
  <si>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</si>
  <si>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</si>
  <si>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</si>
  <si>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</si>
  <si>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</si>
  <si>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</si>
  <si>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</si>
  <si>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</si>
  <si>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</si>
  <si>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</si>
  <si>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</si>
  <si>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</si>
  <si>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</si>
  <si>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</si>
  <si>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</si>
  <si>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</si>
  <si>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</si>
  <si>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</si>
  <si>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</si>
  <si>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</si>
  <si>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</si>
  <si>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</si>
  <si>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</si>
  <si>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</si>
  <si>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Monthly Attendence Month of october-2024</t>
  </si>
  <si>
    <t>Six</t>
  </si>
  <si>
    <t>SUNDAY - SUNDAY - SUNDAY - SUNDAY</t>
  </si>
  <si>
    <t>PTM - PTM - PTM - PTM - PTM - PTM - PTM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</si>
  <si>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</si>
  <si>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</si>
  <si>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</si>
  <si>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</si>
  <si>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</si>
  <si>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</si>
  <si>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</si>
  <si>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</si>
  <si>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</si>
  <si>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</si>
  <si>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</si>
  <si>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</si>
  <si>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</si>
  <si>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</si>
  <si>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</si>
  <si>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</si>
  <si>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</si>
  <si>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</si>
  <si>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</si>
  <si>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</si>
  <si>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</si>
  <si>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</si>
  <si>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</si>
  <si>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</si>
  <si>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</si>
  <si>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</si>
  <si>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</si>
  <si>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</si>
  <si>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</si>
  <si>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</si>
  <si>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</si>
  <si>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</si>
  <si>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</si>
  <si>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</si>
  <si>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</si>
  <si>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</si>
  <si>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</si>
  <si>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</si>
  <si>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</si>
  <si>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</si>
  <si>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</si>
  <si>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</si>
  <si>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</si>
  <si>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</si>
  <si>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</si>
  <si>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</si>
  <si>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</si>
  <si>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</si>
  <si>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</si>
  <si>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</si>
  <si>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</si>
  <si>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</si>
  <si>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</si>
  <si>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</si>
  <si>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</si>
  <si>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</si>
  <si>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</si>
  <si>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</si>
  <si>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</si>
  <si>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</si>
  <si>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</si>
  <si>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</si>
  <si>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</si>
  <si>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</si>
  <si>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</si>
  <si>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</si>
  <si>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</si>
  <si>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</si>
  <si>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</si>
  <si>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</si>
  <si>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</si>
  <si>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</si>
  <si>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Ayesha Agha</t>
  </si>
  <si>
    <t>Aiman</t>
  </si>
  <si>
    <t>Asma</t>
  </si>
  <si>
    <t>Bushra Ubaid</t>
  </si>
  <si>
    <t>Erum</t>
  </si>
  <si>
    <t>Fatima Zahra</t>
  </si>
  <si>
    <t>Hira Abroo</t>
  </si>
  <si>
    <t>Muneeza Ali Sher</t>
  </si>
  <si>
    <t>Rimsha Khatoon</t>
  </si>
  <si>
    <t>Sania</t>
  </si>
  <si>
    <t>Seema</t>
  </si>
  <si>
    <t xml:space="preserve">Tamana </t>
  </si>
  <si>
    <t>Aiman Khan</t>
  </si>
  <si>
    <t>Sadaf Aziz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</si>
  <si>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</si>
  <si>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</si>
  <si>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</si>
  <si>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</si>
  <si>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</si>
  <si>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</si>
  <si>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</si>
  <si>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</si>
  <si>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</si>
  <si>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</si>
  <si>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</si>
  <si>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</si>
  <si>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</si>
  <si>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</si>
  <si>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</si>
  <si>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</si>
  <si>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Dua Aliya</t>
  </si>
  <si>
    <t>Younus</t>
  </si>
  <si>
    <t>Naghma Naz</t>
  </si>
  <si>
    <t>Aliya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</si>
  <si>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</si>
  <si>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</si>
  <si>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</si>
  <si>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</si>
  <si>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</si>
  <si>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</si>
  <si>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</si>
  <si>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</si>
  <si>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</si>
  <si>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</si>
  <si>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</si>
  <si>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</si>
  <si>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</si>
  <si>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</si>
  <si>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</si>
  <si>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</si>
  <si>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</si>
  <si>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</si>
  <si>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</si>
  <si>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</si>
  <si>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</si>
  <si>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</si>
  <si>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</si>
  <si>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</si>
  <si>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</si>
  <si>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</si>
  <si>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</si>
  <si>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</si>
  <si>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</si>
  <si>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</si>
  <si>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</si>
  <si>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</si>
  <si>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</si>
  <si>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</si>
  <si>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</si>
  <si>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</si>
  <si>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</si>
  <si>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</si>
  <si>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</si>
  <si>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</si>
  <si>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</si>
  <si>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</si>
  <si>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</si>
  <si>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Sarfaraz</t>
  </si>
  <si>
    <t>Ghulam Sarwar Kaladi</t>
  </si>
  <si>
    <t>Zaheer Ali</t>
  </si>
  <si>
    <t>Shah Muhammad</t>
  </si>
  <si>
    <t>Nawab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</si>
  <si>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</si>
  <si>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</si>
  <si>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</si>
  <si>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</si>
  <si>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</si>
  <si>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</si>
  <si>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</si>
  <si>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</si>
  <si>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</si>
  <si>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</si>
  <si>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</si>
  <si>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</si>
  <si>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</si>
  <si>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Ashan</t>
  </si>
  <si>
    <t>Haleema</t>
  </si>
  <si>
    <t>Qalandar Bakhsh</t>
  </si>
  <si>
    <t>Kinza Tariq</t>
  </si>
  <si>
    <t>M. Tariq Zafar</t>
  </si>
  <si>
    <t>Maheen Zulfiqar</t>
  </si>
  <si>
    <t xml:space="preserve">Maria </t>
  </si>
  <si>
    <t>Sohail Sarwar Jataoi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</si>
  <si>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</si>
  <si>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</si>
  <si>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</si>
  <si>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</si>
  <si>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</si>
  <si>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</si>
  <si>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</si>
  <si>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</si>
  <si>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Ramzan Jamali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</si>
  <si>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</si>
  <si>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</si>
  <si>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</si>
  <si>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</si>
  <si>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</si>
  <si>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</si>
  <si>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</si>
  <si>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Alishah</t>
  </si>
  <si>
    <t>Mehboob abro</t>
  </si>
  <si>
    <t>Kashaf Kanwal</t>
  </si>
  <si>
    <t>Fida Hussain</t>
  </si>
  <si>
    <t>Saima</t>
  </si>
  <si>
    <t>Nine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</si>
  <si>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</si>
  <si>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</si>
  <si>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</si>
  <si>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</si>
  <si>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</si>
  <si>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</si>
  <si>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</si>
  <si>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</si>
  <si>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</si>
  <si>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</si>
  <si>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</si>
  <si>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</si>
  <si>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</si>
  <si>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</si>
  <si>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</si>
  <si>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</si>
  <si>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October-24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</si>
</sst>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3" fillId="0" borderId="3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8" fillId="0" borderId="0" xfId="0" applyFont="1" applyAlignment="1">
      <alignment vertical="center"/>
    </xf>
    <xf numFmtId="0" fontId="8" fillId="0" borderId="1" xfId="0" applyFont="1" applyBorder="1"/>
    <xf numFmtId="0" fontId="0" fillId="0" borderId="3" xfId="0" applyBorder="1" applyAlignment="1">
      <alignment vertical="center" textRotation="255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textRotation="255"/>
    </xf>
    <xf numFmtId="0" fontId="0" fillId="0" borderId="3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9" xfId="0" applyFont="1" applyBorder="1"/>
    <xf numFmtId="0" fontId="10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0" fillId="0" borderId="5" xfId="0" applyFont="1" applyBorder="1"/>
    <xf numFmtId="0" fontId="3" fillId="0" borderId="2" xfId="0" applyFont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2" fillId="3" borderId="2" xfId="0" applyFont="1" applyFill="1" applyBorder="1" applyAlignment="1">
      <alignment horizontal="center" vertical="center" textRotation="255"/>
    </xf>
    <xf numFmtId="0" fontId="2" fillId="3" borderId="9" xfId="0" applyFont="1" applyFill="1" applyBorder="1" applyAlignment="1">
      <alignment horizontal="center" vertical="center" textRotation="255"/>
    </xf>
    <xf numFmtId="0" fontId="2" fillId="3" borderId="6" xfId="0" applyFont="1" applyFill="1" applyBorder="1" applyAlignment="1">
      <alignment horizontal="center" vertical="center" textRotation="255"/>
    </xf>
    <xf numFmtId="0" fontId="11" fillId="0" borderId="11" xfId="0" applyFont="1" applyBorder="1" applyAlignment="1">
      <alignment horizontal="center" vertical="center"/>
    </xf>
    <xf numFmtId="17" fontId="12" fillId="0" borderId="12" xfId="0" applyNumberFormat="1" applyFont="1" applyBorder="1" applyAlignment="1">
      <alignment horizontal="center"/>
    </xf>
    <xf numFmtId="17" fontId="12" fillId="0" borderId="13" xfId="0" applyNumberFormat="1" applyFont="1" applyBorder="1" applyAlignment="1">
      <alignment horizontal="center"/>
    </xf>
    <xf numFmtId="17" fontId="12" fillId="0" borderId="14" xfId="0" applyNumberFormat="1" applyFont="1" applyBorder="1" applyAlignment="1">
      <alignment horizontal="center"/>
    </xf>
    <xf numFmtId="17" fontId="12" fillId="0" borderId="15" xfId="0" applyNumberFormat="1" applyFont="1" applyBorder="1" applyAlignment="1">
      <alignment horizontal="center"/>
    </xf>
    <xf numFmtId="17" fontId="12" fillId="0" borderId="16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13" fillId="0" borderId="6" xfId="0" applyFont="1" applyBorder="1"/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5" borderId="26" xfId="0" applyFont="1" applyFill="1" applyBorder="1"/>
    <xf numFmtId="0" fontId="3" fillId="5" borderId="6" xfId="0" applyFont="1" applyFill="1" applyBorder="1"/>
    <xf numFmtId="0" fontId="3" fillId="5" borderId="27" xfId="0" applyFont="1" applyFill="1" applyBorder="1"/>
    <xf numFmtId="9" fontId="14" fillId="0" borderId="7" xfId="1" applyFont="1" applyFill="1" applyBorder="1" applyAlignment="1">
      <alignment horizontal="center" vertical="center"/>
    </xf>
    <xf numFmtId="9" fontId="14" fillId="0" borderId="6" xfId="1" applyFont="1" applyFill="1" applyBorder="1" applyAlignment="1">
      <alignment horizontal="center" vertical="center"/>
    </xf>
    <xf numFmtId="9" fontId="14" fillId="0" borderId="28" xfId="1" applyFont="1" applyFill="1" applyBorder="1" applyAlignment="1">
      <alignment horizontal="center" vertical="center"/>
    </xf>
    <xf numFmtId="9" fontId="14" fillId="6" borderId="27" xfId="1" applyFont="1" applyFill="1" applyBorder="1"/>
    <xf numFmtId="0" fontId="13" fillId="0" borderId="3" xfId="0" applyFont="1" applyBorder="1"/>
    <xf numFmtId="0" fontId="14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3" fillId="5" borderId="29" xfId="0" applyFont="1" applyFill="1" applyBorder="1"/>
    <xf numFmtId="0" fontId="3" fillId="5" borderId="3" xfId="0" applyFont="1" applyFill="1" applyBorder="1"/>
    <xf numFmtId="0" fontId="3" fillId="5" borderId="30" xfId="0" applyFont="1" applyFill="1" applyBorder="1"/>
    <xf numFmtId="9" fontId="14" fillId="0" borderId="5" xfId="1" applyFont="1" applyFill="1" applyBorder="1" applyAlignment="1">
      <alignment horizontal="center" vertical="center"/>
    </xf>
    <xf numFmtId="9" fontId="14" fillId="0" borderId="3" xfId="1" applyFont="1" applyFill="1" applyBorder="1" applyAlignment="1">
      <alignment horizontal="center" vertical="center"/>
    </xf>
    <xf numFmtId="9" fontId="14" fillId="0" borderId="4" xfId="1" applyFont="1" applyFill="1" applyBorder="1" applyAlignment="1">
      <alignment horizontal="center" vertical="center"/>
    </xf>
    <xf numFmtId="9" fontId="14" fillId="6" borderId="30" xfId="1" applyFont="1" applyFill="1" applyBorder="1"/>
    <xf numFmtId="0" fontId="3" fillId="6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3" fillId="0" borderId="2" xfId="0" applyFont="1" applyBorder="1"/>
    <xf numFmtId="0" fontId="14" fillId="0" borderId="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9" fontId="14" fillId="0" borderId="35" xfId="1" applyFont="1" applyFill="1" applyBorder="1" applyAlignment="1">
      <alignment horizontal="center" vertical="center"/>
    </xf>
    <xf numFmtId="9" fontId="14" fillId="0" borderId="2" xfId="1" applyFont="1" applyFill="1" applyBorder="1" applyAlignment="1">
      <alignment horizontal="center" vertical="center"/>
    </xf>
    <xf numFmtId="9" fontId="14" fillId="0" borderId="36" xfId="1" applyFont="1" applyFill="1" applyBorder="1" applyAlignment="1">
      <alignment horizontal="center" vertical="center"/>
    </xf>
    <xf numFmtId="9" fontId="14" fillId="6" borderId="34" xfId="1" applyFont="1" applyFill="1" applyBorder="1"/>
    <xf numFmtId="0" fontId="15" fillId="0" borderId="11" xfId="0" applyFont="1" applyBorder="1" applyAlignment="1">
      <alignment horizontal="center"/>
    </xf>
    <xf numFmtId="0" fontId="13" fillId="0" borderId="14" xfId="0" applyFont="1" applyBorder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9" fontId="14" fillId="0" borderId="37" xfId="1" applyFont="1" applyFill="1" applyBorder="1" applyAlignment="1">
      <alignment horizontal="center" vertical="center"/>
    </xf>
    <xf numFmtId="9" fontId="14" fillId="0" borderId="14" xfId="1" applyFont="1" applyFill="1" applyBorder="1" applyAlignment="1">
      <alignment horizontal="center" vertical="center"/>
    </xf>
    <xf numFmtId="9" fontId="14" fillId="6" borderId="16" xfId="1" applyFont="1" applyFill="1" applyBorder="1"/>
    <xf numFmtId="0" fontId="16" fillId="0" borderId="17" xfId="0" applyFont="1" applyBorder="1" applyAlignment="1">
      <alignment horizontal="center"/>
    </xf>
    <xf numFmtId="9" fontId="16" fillId="0" borderId="18" xfId="1" applyFont="1" applyFill="1" applyBorder="1" applyAlignment="1">
      <alignment horizontal="center"/>
    </xf>
    <xf numFmtId="9" fontId="17" fillId="0" borderId="18" xfId="1" applyFont="1" applyFill="1" applyBorder="1" applyAlignment="1">
      <alignment horizontal="center" vertical="center" wrapText="1"/>
    </xf>
    <xf numFmtId="9" fontId="17" fillId="0" borderId="20" xfId="1" applyFont="1" applyFill="1" applyBorder="1" applyAlignment="1">
      <alignment horizontal="center" vertical="center" wrapText="1"/>
    </xf>
    <xf numFmtId="9" fontId="17" fillId="0" borderId="17" xfId="1" applyFont="1" applyFill="1" applyBorder="1" applyAlignment="1">
      <alignment horizontal="center" vertical="center" wrapText="1"/>
    </xf>
    <xf numFmtId="9" fontId="17" fillId="0" borderId="24" xfId="1" applyFont="1" applyFill="1" applyBorder="1" applyAlignment="1">
      <alignment horizontal="center" vertical="center" wrapText="1"/>
    </xf>
    <xf numFmtId="9" fontId="3" fillId="0" borderId="19" xfId="1" applyFont="1" applyFill="1" applyBorder="1" applyAlignment="1">
      <alignment horizontal="center" vertical="center"/>
    </xf>
    <xf numFmtId="9" fontId="14" fillId="0" borderId="18" xfId="1" applyFont="1" applyFill="1" applyBorder="1" applyAlignment="1">
      <alignment horizontal="center" vertical="center"/>
    </xf>
    <xf numFmtId="9" fontId="14" fillId="6" borderId="24" xfId="1" applyFont="1" applyFill="1" applyBorder="1"/>
    <xf numFmtId="0" fontId="15" fillId="5" borderId="26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5" fillId="5" borderId="27" xfId="0" applyFont="1" applyFill="1" applyBorder="1" applyAlignment="1">
      <alignment horizontal="center"/>
    </xf>
    <xf numFmtId="0" fontId="3" fillId="5" borderId="17" xfId="0" applyFont="1" applyFill="1" applyBorder="1"/>
    <xf numFmtId="0" fontId="3" fillId="5" borderId="18" xfId="0" applyFont="1" applyFill="1" applyBorder="1"/>
    <xf numFmtId="0" fontId="3" fillId="5" borderId="24" xfId="0" applyFont="1" applyFill="1" applyBorder="1"/>
  </cellXfs>
  <cellStyles count="2">
    <cellStyle name="Normal" xfId="0" builtinId="0"/>
    <cellStyle name="Percent" xfId="1" builtinId="5"/>
  </cellStyles>
  <dxfs count="22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17A73-8C6B-4813-8211-3D8B7B7190AF}">
  <dimension ref="A3:O18"/>
  <sheetViews>
    <sheetView tabSelected="1" workbookViewId="0">
      <selection activeCell="F10" sqref="F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70" t="s">
        <v>3</v>
      </c>
      <c r="B4" s="71" t="s">
        <v>836</v>
      </c>
      <c r="C4" s="72"/>
      <c r="D4" s="72"/>
      <c r="E4" s="73"/>
      <c r="F4" s="73"/>
      <c r="G4" s="73"/>
      <c r="H4" s="73"/>
      <c r="I4" s="72"/>
      <c r="J4" s="72"/>
      <c r="K4" s="72"/>
      <c r="L4" s="73"/>
      <c r="M4" s="73"/>
      <c r="N4" s="74"/>
      <c r="O4" s="75"/>
    </row>
    <row r="5" spans="1:15" ht="34.5" thickBot="1" x14ac:dyDescent="0.3">
      <c r="A5" s="76"/>
      <c r="B5" s="77" t="s">
        <v>11</v>
      </c>
      <c r="C5" s="77" t="s">
        <v>12</v>
      </c>
      <c r="D5" s="77" t="s">
        <v>13</v>
      </c>
      <c r="E5" s="78" t="s">
        <v>820</v>
      </c>
      <c r="F5" s="77" t="s">
        <v>821</v>
      </c>
      <c r="G5" s="77" t="s">
        <v>822</v>
      </c>
      <c r="H5" s="79" t="s">
        <v>823</v>
      </c>
      <c r="I5" s="80" t="s">
        <v>824</v>
      </c>
      <c r="J5" s="81" t="s">
        <v>825</v>
      </c>
      <c r="K5" s="82" t="s">
        <v>826</v>
      </c>
      <c r="L5" s="83" t="s">
        <v>827</v>
      </c>
      <c r="M5" s="84" t="s">
        <v>828</v>
      </c>
      <c r="N5" s="84" t="s">
        <v>828</v>
      </c>
      <c r="O5" s="85" t="s">
        <v>829</v>
      </c>
    </row>
    <row r="6" spans="1:15" ht="18.75" x14ac:dyDescent="0.3">
      <c r="A6" s="86" t="s">
        <v>830</v>
      </c>
      <c r="B6" s="87">
        <v>26</v>
      </c>
      <c r="C6" s="87">
        <v>26</v>
      </c>
      <c r="D6" s="87">
        <f>SUM(B6:C6)</f>
        <v>52</v>
      </c>
      <c r="E6" s="88">
        <v>24</v>
      </c>
      <c r="F6" s="89">
        <f>B6*E6</f>
        <v>624</v>
      </c>
      <c r="G6" s="89">
        <f t="shared" ref="G6:G16" si="0">C6*E6</f>
        <v>624</v>
      </c>
      <c r="H6" s="90">
        <f>SUM(F6:G6)</f>
        <v>1248</v>
      </c>
      <c r="I6" s="91">
        <f>'ECE (ROSE)'!AM12</f>
        <v>602</v>
      </c>
      <c r="J6" s="92">
        <f>'ECE (ROSE)'!AN12</f>
        <v>575</v>
      </c>
      <c r="K6" s="93">
        <f>SUM(I6:J6)</f>
        <v>1177</v>
      </c>
      <c r="L6" s="94">
        <f>J6/G6</f>
        <v>0.92147435897435892</v>
      </c>
      <c r="M6" s="95">
        <f>I6/F6</f>
        <v>0.96474358974358976</v>
      </c>
      <c r="N6" s="96">
        <f>K6/H6</f>
        <v>0.94310897435897434</v>
      </c>
      <c r="O6" s="97">
        <f>AVERAGE(L6:M6)</f>
        <v>0.94310897435897434</v>
      </c>
    </row>
    <row r="7" spans="1:15" ht="18.75" x14ac:dyDescent="0.3">
      <c r="A7" s="86" t="s">
        <v>831</v>
      </c>
      <c r="B7" s="98">
        <v>31</v>
      </c>
      <c r="C7" s="98">
        <v>25</v>
      </c>
      <c r="D7" s="98">
        <f>SUM(B7:C7)</f>
        <v>56</v>
      </c>
      <c r="E7" s="99">
        <v>24</v>
      </c>
      <c r="F7" s="100">
        <f>B7*E7</f>
        <v>744</v>
      </c>
      <c r="G7" s="100">
        <f t="shared" si="0"/>
        <v>600</v>
      </c>
      <c r="H7" s="101">
        <f>SUM(F7:G7)</f>
        <v>1344</v>
      </c>
      <c r="I7" s="102">
        <f>'ECE (Daffodils)'!AM12</f>
        <v>720</v>
      </c>
      <c r="J7" s="103">
        <f>'ECE (Daffodils)'!AN12</f>
        <v>530</v>
      </c>
      <c r="K7" s="104">
        <f>SUM(I7:J7)</f>
        <v>1250</v>
      </c>
      <c r="L7" s="105">
        <f>J7/G7</f>
        <v>0.8833333333333333</v>
      </c>
      <c r="M7" s="106">
        <f>I7/F7</f>
        <v>0.967741935483871</v>
      </c>
      <c r="N7" s="107">
        <f>K7/H7</f>
        <v>0.93005952380952384</v>
      </c>
      <c r="O7" s="108">
        <f>AVERAGE(L7:M7)</f>
        <v>0.92553763440860215</v>
      </c>
    </row>
    <row r="8" spans="1:15" ht="18.75" x14ac:dyDescent="0.3">
      <c r="A8" s="109" t="s">
        <v>832</v>
      </c>
      <c r="B8" s="98">
        <v>32</v>
      </c>
      <c r="C8" s="98">
        <v>24</v>
      </c>
      <c r="D8" s="98">
        <f t="shared" ref="D8:D16" si="1">SUM(B8:C8)</f>
        <v>56</v>
      </c>
      <c r="E8" s="99">
        <v>24</v>
      </c>
      <c r="F8" s="100">
        <f t="shared" ref="F8:F16" si="2">B8*E8</f>
        <v>768</v>
      </c>
      <c r="G8" s="100">
        <f t="shared" si="0"/>
        <v>576</v>
      </c>
      <c r="H8" s="101">
        <f t="shared" ref="H8:H16" si="3">SUM(F8:G8)</f>
        <v>1344</v>
      </c>
      <c r="I8" s="102">
        <f>'Class-I'!AM12</f>
        <v>746</v>
      </c>
      <c r="J8" s="103">
        <f>'Class-I'!AN12</f>
        <v>525</v>
      </c>
      <c r="K8" s="104">
        <f t="shared" ref="K8:K16" si="4">SUM(I8:J8)</f>
        <v>1271</v>
      </c>
      <c r="L8" s="105">
        <f t="shared" ref="L8:L16" si="5">J8/G8</f>
        <v>0.91145833333333337</v>
      </c>
      <c r="M8" s="106">
        <f t="shared" ref="M8:M16" si="6">I8/F8</f>
        <v>0.97135416666666663</v>
      </c>
      <c r="N8" s="107">
        <f t="shared" ref="N8:N16" si="7">K8/H8</f>
        <v>0.94568452380952384</v>
      </c>
      <c r="O8" s="108">
        <f t="shared" ref="O8:O16" si="8">AVERAGE(L8:M8)</f>
        <v>0.94140625</v>
      </c>
    </row>
    <row r="9" spans="1:15" ht="18.75" x14ac:dyDescent="0.3">
      <c r="A9" s="110" t="s">
        <v>327</v>
      </c>
      <c r="B9" s="98">
        <v>26</v>
      </c>
      <c r="C9" s="98">
        <v>26</v>
      </c>
      <c r="D9" s="98">
        <f t="shared" si="1"/>
        <v>52</v>
      </c>
      <c r="E9" s="99">
        <v>24</v>
      </c>
      <c r="F9" s="100">
        <f t="shared" si="2"/>
        <v>624</v>
      </c>
      <c r="G9" s="100">
        <f t="shared" si="0"/>
        <v>624</v>
      </c>
      <c r="H9" s="101">
        <f t="shared" si="3"/>
        <v>1248</v>
      </c>
      <c r="I9" s="102">
        <f>'Class-II'!AM12</f>
        <v>548</v>
      </c>
      <c r="J9" s="103">
        <f>'Class-II'!AN12</f>
        <v>592</v>
      </c>
      <c r="K9" s="104">
        <f t="shared" si="4"/>
        <v>1140</v>
      </c>
      <c r="L9" s="105">
        <f t="shared" si="5"/>
        <v>0.94871794871794868</v>
      </c>
      <c r="M9" s="106">
        <f t="shared" si="6"/>
        <v>0.87820512820512819</v>
      </c>
      <c r="N9" s="107">
        <f t="shared" si="7"/>
        <v>0.91346153846153844</v>
      </c>
      <c r="O9" s="108">
        <f t="shared" si="8"/>
        <v>0.91346153846153844</v>
      </c>
    </row>
    <row r="10" spans="1:15" ht="18.75" x14ac:dyDescent="0.3">
      <c r="A10" s="109" t="s">
        <v>397</v>
      </c>
      <c r="B10" s="98">
        <v>30</v>
      </c>
      <c r="C10" s="98">
        <v>26</v>
      </c>
      <c r="D10" s="98">
        <f t="shared" si="1"/>
        <v>56</v>
      </c>
      <c r="E10" s="100">
        <v>24</v>
      </c>
      <c r="F10" s="100">
        <f t="shared" si="2"/>
        <v>720</v>
      </c>
      <c r="G10" s="100">
        <f t="shared" si="0"/>
        <v>624</v>
      </c>
      <c r="H10" s="101">
        <f t="shared" si="3"/>
        <v>1344</v>
      </c>
      <c r="I10" s="102">
        <f>'Class-III'!AM12</f>
        <v>627</v>
      </c>
      <c r="J10" s="103">
        <f>'Class-III'!AN12</f>
        <v>567</v>
      </c>
      <c r="K10" s="104">
        <f>SUM(I10:J10)</f>
        <v>1194</v>
      </c>
      <c r="L10" s="105">
        <f t="shared" si="5"/>
        <v>0.90865384615384615</v>
      </c>
      <c r="M10" s="106">
        <f t="shared" si="6"/>
        <v>0.87083333333333335</v>
      </c>
      <c r="N10" s="107">
        <f>K10/H10</f>
        <v>0.8883928571428571</v>
      </c>
      <c r="O10" s="108">
        <f t="shared" si="8"/>
        <v>0.88974358974358969</v>
      </c>
    </row>
    <row r="11" spans="1:15" ht="18.75" x14ac:dyDescent="0.3">
      <c r="A11" s="109" t="s">
        <v>478</v>
      </c>
      <c r="B11" s="98">
        <v>21</v>
      </c>
      <c r="C11" s="98">
        <v>32</v>
      </c>
      <c r="D11" s="98">
        <f t="shared" si="1"/>
        <v>53</v>
      </c>
      <c r="E11" s="100">
        <v>24</v>
      </c>
      <c r="F11" s="100">
        <f t="shared" si="2"/>
        <v>504</v>
      </c>
      <c r="G11" s="100">
        <f t="shared" si="0"/>
        <v>768</v>
      </c>
      <c r="H11" s="101">
        <f t="shared" si="3"/>
        <v>1272</v>
      </c>
      <c r="I11" s="102">
        <f>'Class-IV'!AM12</f>
        <v>431</v>
      </c>
      <c r="J11" s="103">
        <f>'Class-IV'!AN12</f>
        <v>704</v>
      </c>
      <c r="K11" s="104">
        <f t="shared" si="4"/>
        <v>1135</v>
      </c>
      <c r="L11" s="105">
        <f t="shared" si="5"/>
        <v>0.91666666666666663</v>
      </c>
      <c r="M11" s="106">
        <f t="shared" si="6"/>
        <v>0.85515873015873012</v>
      </c>
      <c r="N11" s="107">
        <f t="shared" si="7"/>
        <v>0.89229559748427678</v>
      </c>
      <c r="O11" s="108">
        <f t="shared" si="8"/>
        <v>0.88591269841269837</v>
      </c>
    </row>
    <row r="12" spans="1:15" ht="18.75" x14ac:dyDescent="0.3">
      <c r="A12" s="109" t="s">
        <v>556</v>
      </c>
      <c r="B12" s="98">
        <v>23</v>
      </c>
      <c r="C12" s="98">
        <v>23</v>
      </c>
      <c r="D12" s="98">
        <f t="shared" si="1"/>
        <v>46</v>
      </c>
      <c r="E12" s="100">
        <v>24</v>
      </c>
      <c r="F12" s="100">
        <f t="shared" si="2"/>
        <v>552</v>
      </c>
      <c r="G12" s="100">
        <f t="shared" si="0"/>
        <v>552</v>
      </c>
      <c r="H12" s="101">
        <f t="shared" si="3"/>
        <v>1104</v>
      </c>
      <c r="I12" s="102">
        <f>'Class-V'!AM12</f>
        <v>540</v>
      </c>
      <c r="J12" s="103">
        <f>'Class-V'!AN12</f>
        <v>437</v>
      </c>
      <c r="K12" s="104">
        <f t="shared" si="4"/>
        <v>977</v>
      </c>
      <c r="L12" s="105">
        <f t="shared" si="5"/>
        <v>0.79166666666666663</v>
      </c>
      <c r="M12" s="106">
        <f t="shared" si="6"/>
        <v>0.97826086956521741</v>
      </c>
      <c r="N12" s="107">
        <f t="shared" si="7"/>
        <v>0.88496376811594202</v>
      </c>
      <c r="O12" s="108">
        <f t="shared" si="8"/>
        <v>0.88496376811594202</v>
      </c>
    </row>
    <row r="13" spans="1:15" ht="18.75" x14ac:dyDescent="0.3">
      <c r="A13" s="110" t="s">
        <v>620</v>
      </c>
      <c r="B13" s="98">
        <v>17</v>
      </c>
      <c r="C13" s="98">
        <v>26</v>
      </c>
      <c r="D13" s="98">
        <f t="shared" si="1"/>
        <v>43</v>
      </c>
      <c r="E13" s="100">
        <v>24</v>
      </c>
      <c r="F13" s="100">
        <f t="shared" si="2"/>
        <v>408</v>
      </c>
      <c r="G13" s="100">
        <f t="shared" si="0"/>
        <v>624</v>
      </c>
      <c r="H13" s="101">
        <f t="shared" si="3"/>
        <v>1032</v>
      </c>
      <c r="I13" s="102">
        <f>'Class-VI'!AM12</f>
        <v>383</v>
      </c>
      <c r="J13" s="103">
        <f>'Class-VI'!AN12</f>
        <v>568</v>
      </c>
      <c r="K13" s="104">
        <f t="shared" si="4"/>
        <v>951</v>
      </c>
      <c r="L13" s="105">
        <f t="shared" si="5"/>
        <v>0.91025641025641024</v>
      </c>
      <c r="M13" s="106">
        <f t="shared" si="6"/>
        <v>0.93872549019607843</v>
      </c>
      <c r="N13" s="107">
        <f t="shared" si="7"/>
        <v>0.92151162790697672</v>
      </c>
      <c r="O13" s="108">
        <f t="shared" si="8"/>
        <v>0.92449095022624439</v>
      </c>
    </row>
    <row r="14" spans="1:15" ht="18.75" x14ac:dyDescent="0.3">
      <c r="A14" s="110" t="s">
        <v>833</v>
      </c>
      <c r="B14" s="98">
        <v>29</v>
      </c>
      <c r="C14" s="98">
        <v>19</v>
      </c>
      <c r="D14" s="98">
        <f t="shared" si="1"/>
        <v>48</v>
      </c>
      <c r="E14" s="100">
        <v>24</v>
      </c>
      <c r="F14" s="100">
        <f t="shared" si="2"/>
        <v>696</v>
      </c>
      <c r="G14" s="100">
        <f t="shared" si="0"/>
        <v>456</v>
      </c>
      <c r="H14" s="101">
        <f t="shared" si="3"/>
        <v>1152</v>
      </c>
      <c r="I14" s="102">
        <f>'Class-VII'!AL12</f>
        <v>624</v>
      </c>
      <c r="J14" s="103">
        <f>'Class-VII'!AM12</f>
        <v>426</v>
      </c>
      <c r="K14" s="104">
        <f t="shared" si="4"/>
        <v>1050</v>
      </c>
      <c r="L14" s="105">
        <f t="shared" si="5"/>
        <v>0.93421052631578949</v>
      </c>
      <c r="M14" s="106">
        <f t="shared" si="6"/>
        <v>0.89655172413793105</v>
      </c>
      <c r="N14" s="107">
        <f t="shared" si="7"/>
        <v>0.91145833333333337</v>
      </c>
      <c r="O14" s="108">
        <f t="shared" si="8"/>
        <v>0.91538112522686021</v>
      </c>
    </row>
    <row r="15" spans="1:15" ht="18.75" x14ac:dyDescent="0.3">
      <c r="A15" s="110" t="s">
        <v>834</v>
      </c>
      <c r="B15" s="98">
        <v>19</v>
      </c>
      <c r="C15" s="98">
        <v>25</v>
      </c>
      <c r="D15" s="98">
        <f t="shared" si="1"/>
        <v>44</v>
      </c>
      <c r="E15" s="100">
        <v>24</v>
      </c>
      <c r="F15" s="100">
        <f t="shared" si="2"/>
        <v>456</v>
      </c>
      <c r="G15" s="100">
        <f t="shared" si="0"/>
        <v>600</v>
      </c>
      <c r="H15" s="101">
        <f t="shared" si="3"/>
        <v>1056</v>
      </c>
      <c r="I15" s="102">
        <f>'Class-VIII'!AM12</f>
        <v>405</v>
      </c>
      <c r="J15" s="103">
        <f>'Class-VIII'!AN12</f>
        <v>575</v>
      </c>
      <c r="K15" s="104">
        <f t="shared" si="4"/>
        <v>980</v>
      </c>
      <c r="L15" s="105">
        <f t="shared" si="5"/>
        <v>0.95833333333333337</v>
      </c>
      <c r="M15" s="106">
        <f t="shared" si="6"/>
        <v>0.88815789473684215</v>
      </c>
      <c r="N15" s="107">
        <f t="shared" si="7"/>
        <v>0.92803030303030298</v>
      </c>
      <c r="O15" s="108">
        <f t="shared" si="8"/>
        <v>0.92324561403508776</v>
      </c>
    </row>
    <row r="16" spans="1:15" ht="19.5" thickBot="1" x14ac:dyDescent="0.35">
      <c r="A16" s="111" t="s">
        <v>835</v>
      </c>
      <c r="B16" s="112">
        <v>18</v>
      </c>
      <c r="C16" s="112">
        <v>22</v>
      </c>
      <c r="D16" s="112">
        <f t="shared" si="1"/>
        <v>40</v>
      </c>
      <c r="E16" s="113">
        <v>24</v>
      </c>
      <c r="F16" s="113">
        <f t="shared" si="2"/>
        <v>432</v>
      </c>
      <c r="G16" s="113">
        <f t="shared" si="0"/>
        <v>528</v>
      </c>
      <c r="H16" s="114">
        <f t="shared" si="3"/>
        <v>960</v>
      </c>
      <c r="I16" s="138">
        <f>'Class-IX'!AM12</f>
        <v>369</v>
      </c>
      <c r="J16" s="139">
        <f>'Class-IX'!AN12</f>
        <v>409</v>
      </c>
      <c r="K16" s="140">
        <f>'Class-IX'!AO12</f>
        <v>778</v>
      </c>
      <c r="L16" s="115">
        <f t="shared" si="5"/>
        <v>0.77462121212121215</v>
      </c>
      <c r="M16" s="116">
        <f t="shared" si="6"/>
        <v>0.85416666666666663</v>
      </c>
      <c r="N16" s="117">
        <f t="shared" si="7"/>
        <v>0.81041666666666667</v>
      </c>
      <c r="O16" s="118">
        <f t="shared" si="8"/>
        <v>0.81439393939393945</v>
      </c>
    </row>
    <row r="17" spans="1:15" ht="18.75" x14ac:dyDescent="0.3">
      <c r="A17" s="119" t="s">
        <v>13</v>
      </c>
      <c r="B17" s="120">
        <f t="shared" ref="B17:K17" si="9">SUM(B6:B16)</f>
        <v>272</v>
      </c>
      <c r="C17" s="120">
        <f t="shared" si="9"/>
        <v>274</v>
      </c>
      <c r="D17" s="120">
        <f t="shared" si="9"/>
        <v>546</v>
      </c>
      <c r="E17" s="121">
        <f t="shared" si="9"/>
        <v>264</v>
      </c>
      <c r="F17" s="121">
        <f t="shared" si="9"/>
        <v>6528</v>
      </c>
      <c r="G17" s="121">
        <f t="shared" si="9"/>
        <v>6576</v>
      </c>
      <c r="H17" s="122">
        <f t="shared" si="9"/>
        <v>13104</v>
      </c>
      <c r="I17" s="135">
        <f t="shared" si="9"/>
        <v>5995</v>
      </c>
      <c r="J17" s="136">
        <f t="shared" si="9"/>
        <v>5908</v>
      </c>
      <c r="K17" s="137">
        <f t="shared" si="9"/>
        <v>11903</v>
      </c>
      <c r="L17" s="123">
        <f>J17/G17</f>
        <v>0.89841849148418496</v>
      </c>
      <c r="M17" s="124">
        <f>I17/F17</f>
        <v>0.91835171568627449</v>
      </c>
      <c r="N17" s="124">
        <f>AVERAGE(N6:N16)</f>
        <v>0.90630761037453778</v>
      </c>
      <c r="O17" s="125">
        <f>AVERAGE(O6:O16)</f>
        <v>0.90560418930758868</v>
      </c>
    </row>
    <row r="18" spans="1:15" ht="15.75" thickBot="1" x14ac:dyDescent="0.3">
      <c r="A18" s="126" t="s">
        <v>16</v>
      </c>
      <c r="B18" s="127">
        <v>1</v>
      </c>
      <c r="C18" s="127">
        <v>1</v>
      </c>
      <c r="D18" s="128">
        <v>1</v>
      </c>
      <c r="E18" s="127">
        <v>1</v>
      </c>
      <c r="F18" s="127">
        <v>1</v>
      </c>
      <c r="G18" s="128">
        <v>1</v>
      </c>
      <c r="H18" s="129">
        <v>1</v>
      </c>
      <c r="I18" s="130">
        <f>I17/F17</f>
        <v>0.91835171568627449</v>
      </c>
      <c r="J18" s="128">
        <f>J17/G17</f>
        <v>0.89841849148418496</v>
      </c>
      <c r="K18" s="131">
        <f>K17/H17</f>
        <v>0.90834859584859584</v>
      </c>
      <c r="L18" s="132">
        <v>0.54</v>
      </c>
      <c r="M18" s="133">
        <v>0.56000000000000005</v>
      </c>
      <c r="N18" s="133">
        <v>0.55000000000000004</v>
      </c>
      <c r="O18" s="134">
        <f>AVERAGE(L17:M17)</f>
        <v>0.90838510358522973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394A-F9D2-4D3F-B14E-C466662F70DC}">
  <dimension ref="A1:AO56"/>
  <sheetViews>
    <sheetView topLeftCell="F1" workbookViewId="0">
      <selection activeCell="C61" sqref="C6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7109375" style="1" bestFit="1" customWidth="1"/>
    <col min="7" max="7" width="3.85546875" style="1" bestFit="1"/>
    <col min="8" max="9" width="3.7109375" style="1" bestFit="1" customWidth="1"/>
    <col min="10" max="10" width="3.85546875" style="1" bestFit="1"/>
    <col min="11" max="11" width="4.5703125" style="1" bestFit="1" customWidth="1"/>
    <col min="12" max="12" width="3.85546875" style="1" bestFit="1"/>
    <col min="13" max="13" width="4.7109375" style="1" bestFit="1" customWidth="1"/>
    <col min="14" max="14" width="3.85546875" style="1" bestFit="1"/>
    <col min="15" max="16" width="3.7109375" style="1" bestFit="1" customWidth="1"/>
    <col min="17" max="17" width="3.85546875" style="1" bestFit="1"/>
    <col min="18" max="18" width="4.5703125" style="1" bestFit="1" customWidth="1"/>
    <col min="19" max="19" width="3.85546875" style="1" bestFit="1"/>
    <col min="20" max="20" width="4.7109375" style="1" bestFit="1" customWidth="1"/>
    <col min="21" max="21" width="3.85546875" style="1" bestFit="1"/>
    <col min="22" max="23" width="3.7109375" style="1" bestFit="1" customWidth="1"/>
    <col min="24" max="24" width="3.85546875" style="1" bestFit="1"/>
    <col min="25" max="25" width="4.5703125" style="1" bestFit="1" customWidth="1"/>
    <col min="26" max="26" width="3.85546875" style="1" bestFit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/>
    <col min="32" max="32" width="4.5703125" style="1" bestFit="1" customWidth="1"/>
    <col min="33" max="33" width="3.85546875" style="1" bestFit="1"/>
    <col min="34" max="34" width="4.7109375" style="1" bestFit="1" customWidth="1"/>
    <col min="35" max="35" width="3.85546875" style="1" bestFit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10.14062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24"/>
      <c r="AK1" s="24"/>
    </row>
    <row r="2" spans="1:41" ht="17.25" x14ac:dyDescent="0.3">
      <c r="A2" s="46" t="s">
        <v>119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25"/>
      <c r="AK2" s="25"/>
      <c r="AL2" s="25"/>
    </row>
    <row r="3" spans="1:41" ht="15.75" x14ac:dyDescent="0.25">
      <c r="A3" s="47" t="s">
        <v>0</v>
      </c>
      <c r="B3" s="47" t="s">
        <v>1</v>
      </c>
      <c r="C3" s="47" t="s">
        <v>2</v>
      </c>
      <c r="D3" s="47" t="s">
        <v>3</v>
      </c>
      <c r="E3" s="2" t="str">
        <f t="shared" ref="E3:AI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48" t="s">
        <v>4</v>
      </c>
      <c r="AK3" s="48" t="s">
        <v>5</v>
      </c>
      <c r="AL3" s="49" t="s">
        <v>126</v>
      </c>
      <c r="AM3" s="50"/>
      <c r="AN3" s="3"/>
      <c r="AO3" s="3"/>
    </row>
    <row r="4" spans="1:41" ht="34.5" x14ac:dyDescent="0.25">
      <c r="A4" s="47"/>
      <c r="B4" s="47"/>
      <c r="C4" s="47"/>
      <c r="D4" s="47"/>
      <c r="E4" s="20">
        <v>45566</v>
      </c>
      <c r="F4" s="20">
        <v>45567</v>
      </c>
      <c r="G4" s="20">
        <v>45568</v>
      </c>
      <c r="H4" s="20">
        <v>45569</v>
      </c>
      <c r="I4" s="20">
        <v>45570</v>
      </c>
      <c r="J4" s="20">
        <v>45571</v>
      </c>
      <c r="K4" s="20">
        <v>45572</v>
      </c>
      <c r="L4" s="20">
        <v>45573</v>
      </c>
      <c r="M4" s="20">
        <v>45574</v>
      </c>
      <c r="N4" s="20">
        <v>45575</v>
      </c>
      <c r="O4" s="20">
        <v>45576</v>
      </c>
      <c r="P4" s="20">
        <v>45577</v>
      </c>
      <c r="Q4" s="20">
        <v>45578</v>
      </c>
      <c r="R4" s="20">
        <v>45579</v>
      </c>
      <c r="S4" s="20">
        <v>45580</v>
      </c>
      <c r="T4" s="20">
        <v>45581</v>
      </c>
      <c r="U4" s="20">
        <v>45582</v>
      </c>
      <c r="V4" s="20">
        <v>45583</v>
      </c>
      <c r="W4" s="20">
        <v>45584</v>
      </c>
      <c r="X4" s="20">
        <v>45585</v>
      </c>
      <c r="Y4" s="20">
        <v>45586</v>
      </c>
      <c r="Z4" s="20">
        <v>45587</v>
      </c>
      <c r="AA4" s="20">
        <v>45588</v>
      </c>
      <c r="AB4" s="20">
        <v>45589</v>
      </c>
      <c r="AC4" s="20">
        <v>45590</v>
      </c>
      <c r="AD4" s="20">
        <v>45591</v>
      </c>
      <c r="AE4" s="20">
        <v>45592</v>
      </c>
      <c r="AF4" s="20">
        <v>45593</v>
      </c>
      <c r="AG4" s="20">
        <v>45594</v>
      </c>
      <c r="AH4" s="20">
        <v>45595</v>
      </c>
      <c r="AI4" s="20">
        <v>45596</v>
      </c>
      <c r="AJ4" s="48"/>
      <c r="AK4" s="48"/>
      <c r="AL4" s="5" t="s">
        <v>127</v>
      </c>
      <c r="AM4" s="5">
        <f>SUM(AM5:AM7)</f>
        <v>31</v>
      </c>
      <c r="AN4" s="3"/>
      <c r="AO4" s="3"/>
    </row>
    <row r="5" spans="1:41" ht="15" customHeight="1" x14ac:dyDescent="0.25">
      <c r="A5" s="13">
        <v>1</v>
      </c>
      <c r="B5" s="8" t="s">
        <v>19</v>
      </c>
      <c r="C5" s="8" t="s">
        <v>20</v>
      </c>
      <c r="D5" s="11" t="s">
        <v>6</v>
      </c>
      <c r="E5" s="26" t="s">
        <v>112</v>
      </c>
      <c r="F5" s="26" t="s">
        <v>112</v>
      </c>
      <c r="G5" s="26" t="s">
        <v>112</v>
      </c>
      <c r="H5" s="26" t="s">
        <v>112</v>
      </c>
      <c r="I5" s="26" t="s">
        <v>112</v>
      </c>
      <c r="J5" s="51" t="s">
        <v>115</v>
      </c>
      <c r="K5" s="12" t="s">
        <v>112</v>
      </c>
      <c r="L5" s="12" t="s">
        <v>112</v>
      </c>
      <c r="M5" s="12" t="s">
        <v>112</v>
      </c>
      <c r="N5" s="12" t="s">
        <v>111</v>
      </c>
      <c r="O5" s="12" t="s">
        <v>112</v>
      </c>
      <c r="P5" s="12" t="s">
        <v>111</v>
      </c>
      <c r="Q5" s="51" t="s">
        <v>115</v>
      </c>
      <c r="R5" s="12" t="s">
        <v>113</v>
      </c>
      <c r="S5" s="12" t="s">
        <v>111</v>
      </c>
      <c r="T5" s="12" t="s">
        <v>111</v>
      </c>
      <c r="U5" s="12" t="s">
        <v>111</v>
      </c>
      <c r="V5" s="12" t="s">
        <v>111</v>
      </c>
      <c r="W5" s="12" t="s">
        <v>112</v>
      </c>
      <c r="X5" s="51" t="s">
        <v>115</v>
      </c>
      <c r="Y5" s="12" t="s">
        <v>112</v>
      </c>
      <c r="Z5" s="12" t="s">
        <v>112</v>
      </c>
      <c r="AA5" s="12" t="s">
        <v>112</v>
      </c>
      <c r="AB5" s="12" t="s">
        <v>112</v>
      </c>
      <c r="AC5" s="12" t="s">
        <v>112</v>
      </c>
      <c r="AD5" s="12" t="s">
        <v>112</v>
      </c>
      <c r="AE5" s="51" t="s">
        <v>115</v>
      </c>
      <c r="AF5" s="12" t="s">
        <v>112</v>
      </c>
      <c r="AG5" s="12" t="s">
        <v>112</v>
      </c>
      <c r="AH5" s="12" t="s">
        <v>112</v>
      </c>
      <c r="AI5" s="12" t="s">
        <v>112</v>
      </c>
      <c r="AJ5" s="5">
        <f t="shared" ref="AJ5:AJ56" si="1">COUNTIF(E5:AI5,"P")</f>
        <v>20</v>
      </c>
      <c r="AK5" s="5">
        <f t="shared" ref="AK5:AK56" si="2">COUNTIF(E5:AI5,"A")</f>
        <v>6</v>
      </c>
      <c r="AL5" s="5" t="s">
        <v>7</v>
      </c>
      <c r="AM5" s="13">
        <v>27</v>
      </c>
      <c r="AN5" s="14"/>
      <c r="AO5" s="3"/>
    </row>
    <row r="6" spans="1:41" ht="16.5" x14ac:dyDescent="0.25">
      <c r="A6" s="13">
        <v>2</v>
      </c>
      <c r="B6" s="8" t="s">
        <v>21</v>
      </c>
      <c r="C6" s="8" t="s">
        <v>22</v>
      </c>
      <c r="D6" s="11" t="s">
        <v>6</v>
      </c>
      <c r="E6" s="26" t="s">
        <v>112</v>
      </c>
      <c r="F6" s="26" t="s">
        <v>112</v>
      </c>
      <c r="G6" s="26" t="s">
        <v>112</v>
      </c>
      <c r="H6" s="26" t="s">
        <v>112</v>
      </c>
      <c r="I6" s="26" t="s">
        <v>112</v>
      </c>
      <c r="J6" s="51"/>
      <c r="K6" s="12" t="s">
        <v>112</v>
      </c>
      <c r="L6" s="12" t="s">
        <v>112</v>
      </c>
      <c r="M6" s="12" t="s">
        <v>112</v>
      </c>
      <c r="N6" s="12" t="s">
        <v>112</v>
      </c>
      <c r="O6" s="12" t="s">
        <v>112</v>
      </c>
      <c r="P6" s="12" t="s">
        <v>112</v>
      </c>
      <c r="Q6" s="51"/>
      <c r="R6" s="12" t="s">
        <v>112</v>
      </c>
      <c r="S6" s="12" t="s">
        <v>112</v>
      </c>
      <c r="T6" s="12" t="s">
        <v>112</v>
      </c>
      <c r="U6" s="12" t="s">
        <v>112</v>
      </c>
      <c r="V6" s="12" t="s">
        <v>111</v>
      </c>
      <c r="W6" s="12" t="s">
        <v>111</v>
      </c>
      <c r="X6" s="51"/>
      <c r="Y6" s="12" t="s">
        <v>111</v>
      </c>
      <c r="Z6" s="12" t="s">
        <v>111</v>
      </c>
      <c r="AA6" s="12" t="s">
        <v>111</v>
      </c>
      <c r="AB6" s="12" t="s">
        <v>111</v>
      </c>
      <c r="AC6" s="12" t="s">
        <v>111</v>
      </c>
      <c r="AD6" s="12" t="s">
        <v>111</v>
      </c>
      <c r="AE6" s="51"/>
      <c r="AF6" s="12" t="s">
        <v>112</v>
      </c>
      <c r="AG6" s="12" t="s">
        <v>112</v>
      </c>
      <c r="AH6" s="12" t="s">
        <v>112</v>
      </c>
      <c r="AI6" s="12" t="s">
        <v>112</v>
      </c>
      <c r="AJ6" s="5">
        <f t="shared" si="1"/>
        <v>19</v>
      </c>
      <c r="AK6" s="5">
        <f t="shared" si="2"/>
        <v>8</v>
      </c>
      <c r="AL6" s="5" t="s">
        <v>8</v>
      </c>
      <c r="AM6" s="13">
        <v>4</v>
      </c>
      <c r="AN6" s="3"/>
      <c r="AO6" s="3"/>
    </row>
    <row r="7" spans="1:41" ht="16.5" x14ac:dyDescent="0.25">
      <c r="A7" s="13">
        <v>3</v>
      </c>
      <c r="B7" s="8" t="s">
        <v>23</v>
      </c>
      <c r="C7" s="8" t="s">
        <v>24</v>
      </c>
      <c r="D7" s="11" t="s">
        <v>6</v>
      </c>
      <c r="E7" s="26" t="s">
        <v>112</v>
      </c>
      <c r="F7" s="26" t="s">
        <v>112</v>
      </c>
      <c r="G7" s="26" t="s">
        <v>112</v>
      </c>
      <c r="H7" s="26" t="s">
        <v>112</v>
      </c>
      <c r="I7" s="26" t="s">
        <v>112</v>
      </c>
      <c r="J7" s="51"/>
      <c r="K7" s="12" t="s">
        <v>112</v>
      </c>
      <c r="L7" s="12" t="s">
        <v>112</v>
      </c>
      <c r="M7" s="12" t="s">
        <v>112</v>
      </c>
      <c r="N7" s="12" t="s">
        <v>112</v>
      </c>
      <c r="O7" s="12" t="s">
        <v>112</v>
      </c>
      <c r="P7" s="12" t="s">
        <v>112</v>
      </c>
      <c r="Q7" s="51"/>
      <c r="R7" s="12" t="s">
        <v>112</v>
      </c>
      <c r="S7" s="12" t="s">
        <v>112</v>
      </c>
      <c r="T7" s="12" t="s">
        <v>112</v>
      </c>
      <c r="U7" s="12" t="s">
        <v>112</v>
      </c>
      <c r="V7" s="12" t="s">
        <v>112</v>
      </c>
      <c r="W7" s="12" t="s">
        <v>111</v>
      </c>
      <c r="X7" s="51"/>
      <c r="Y7" s="12" t="s">
        <v>112</v>
      </c>
      <c r="Z7" s="12" t="s">
        <v>112</v>
      </c>
      <c r="AA7" s="12" t="s">
        <v>112</v>
      </c>
      <c r="AB7" s="12" t="s">
        <v>112</v>
      </c>
      <c r="AC7" s="12" t="s">
        <v>112</v>
      </c>
      <c r="AD7" s="12" t="s">
        <v>112</v>
      </c>
      <c r="AE7" s="51"/>
      <c r="AF7" s="12" t="s">
        <v>112</v>
      </c>
      <c r="AG7" s="12" t="s">
        <v>112</v>
      </c>
      <c r="AH7" s="12" t="s">
        <v>112</v>
      </c>
      <c r="AI7" s="12" t="s">
        <v>112</v>
      </c>
      <c r="AJ7" s="5">
        <f t="shared" si="1"/>
        <v>26</v>
      </c>
      <c r="AK7" s="5">
        <f t="shared" si="2"/>
        <v>1</v>
      </c>
      <c r="AL7" s="5"/>
      <c r="AM7" s="13"/>
      <c r="AN7" s="3"/>
      <c r="AO7" s="3"/>
    </row>
    <row r="8" spans="1:41" ht="16.5" x14ac:dyDescent="0.25">
      <c r="A8" s="13">
        <v>4</v>
      </c>
      <c r="B8" s="8" t="s">
        <v>25</v>
      </c>
      <c r="C8" s="8" t="s">
        <v>26</v>
      </c>
      <c r="D8" s="11" t="s">
        <v>6</v>
      </c>
      <c r="E8" s="26" t="s">
        <v>112</v>
      </c>
      <c r="F8" s="26" t="s">
        <v>112</v>
      </c>
      <c r="G8" s="26" t="s">
        <v>112</v>
      </c>
      <c r="H8" s="26" t="s">
        <v>112</v>
      </c>
      <c r="I8" s="26" t="s">
        <v>112</v>
      </c>
      <c r="J8" s="51"/>
      <c r="K8" s="12" t="s">
        <v>112</v>
      </c>
      <c r="L8" s="12" t="s">
        <v>112</v>
      </c>
      <c r="M8" s="12" t="s">
        <v>112</v>
      </c>
      <c r="N8" s="12" t="s">
        <v>112</v>
      </c>
      <c r="O8" s="12" t="s">
        <v>112</v>
      </c>
      <c r="P8" s="12" t="s">
        <v>111</v>
      </c>
      <c r="Q8" s="51"/>
      <c r="R8" s="12" t="s">
        <v>112</v>
      </c>
      <c r="S8" s="12" t="s">
        <v>112</v>
      </c>
      <c r="T8" s="12" t="s">
        <v>112</v>
      </c>
      <c r="U8" s="12" t="s">
        <v>112</v>
      </c>
      <c r="V8" s="12" t="s">
        <v>112</v>
      </c>
      <c r="W8" s="12" t="s">
        <v>112</v>
      </c>
      <c r="X8" s="51"/>
      <c r="Y8" s="12" t="s">
        <v>112</v>
      </c>
      <c r="Z8" s="12" t="s">
        <v>112</v>
      </c>
      <c r="AA8" s="12" t="s">
        <v>112</v>
      </c>
      <c r="AB8" s="12" t="s">
        <v>112</v>
      </c>
      <c r="AC8" s="12" t="s">
        <v>112</v>
      </c>
      <c r="AD8" s="12" t="s">
        <v>111</v>
      </c>
      <c r="AE8" s="51"/>
      <c r="AF8" s="12" t="s">
        <v>112</v>
      </c>
      <c r="AG8" s="12" t="s">
        <v>112</v>
      </c>
      <c r="AH8" s="12" t="s">
        <v>112</v>
      </c>
      <c r="AI8" s="12" t="s">
        <v>112</v>
      </c>
      <c r="AJ8" s="5">
        <f t="shared" si="1"/>
        <v>25</v>
      </c>
      <c r="AK8" s="5">
        <f t="shared" si="2"/>
        <v>2</v>
      </c>
      <c r="AL8"/>
      <c r="AM8"/>
      <c r="AN8"/>
      <c r="AO8"/>
    </row>
    <row r="9" spans="1:41" ht="16.5" x14ac:dyDescent="0.25">
      <c r="A9" s="13">
        <v>5</v>
      </c>
      <c r="B9" s="8" t="s">
        <v>27</v>
      </c>
      <c r="C9" s="8" t="s">
        <v>28</v>
      </c>
      <c r="D9" s="11" t="s">
        <v>6</v>
      </c>
      <c r="E9" s="26" t="s">
        <v>112</v>
      </c>
      <c r="F9" s="26" t="s">
        <v>112</v>
      </c>
      <c r="G9" s="26" t="s">
        <v>112</v>
      </c>
      <c r="H9" s="26" t="s">
        <v>112</v>
      </c>
      <c r="I9" s="26" t="s">
        <v>111</v>
      </c>
      <c r="J9" s="51"/>
      <c r="K9" s="12" t="s">
        <v>112</v>
      </c>
      <c r="L9" s="12" t="s">
        <v>112</v>
      </c>
      <c r="M9" s="12" t="s">
        <v>112</v>
      </c>
      <c r="N9" s="12" t="s">
        <v>112</v>
      </c>
      <c r="O9" s="12" t="s">
        <v>112</v>
      </c>
      <c r="P9" s="12" t="s">
        <v>112</v>
      </c>
      <c r="Q9" s="51"/>
      <c r="R9" s="12" t="s">
        <v>112</v>
      </c>
      <c r="S9" s="12" t="s">
        <v>112</v>
      </c>
      <c r="T9" s="12" t="s">
        <v>111</v>
      </c>
      <c r="U9" s="12" t="s">
        <v>111</v>
      </c>
      <c r="V9" s="12" t="s">
        <v>112</v>
      </c>
      <c r="W9" s="12" t="s">
        <v>112</v>
      </c>
      <c r="X9" s="51"/>
      <c r="Y9" s="12" t="s">
        <v>112</v>
      </c>
      <c r="Z9" s="12" t="s">
        <v>112</v>
      </c>
      <c r="AA9" s="12" t="s">
        <v>112</v>
      </c>
      <c r="AB9" s="12" t="s">
        <v>112</v>
      </c>
      <c r="AC9" s="12" t="s">
        <v>111</v>
      </c>
      <c r="AD9" s="12" t="s">
        <v>111</v>
      </c>
      <c r="AE9" s="51"/>
      <c r="AF9" s="12" t="s">
        <v>112</v>
      </c>
      <c r="AG9" s="12" t="s">
        <v>112</v>
      </c>
      <c r="AH9" s="12" t="s">
        <v>112</v>
      </c>
      <c r="AI9" s="12" t="s">
        <v>112</v>
      </c>
      <c r="AJ9" s="5">
        <f t="shared" si="1"/>
        <v>22</v>
      </c>
      <c r="AK9" s="5">
        <f t="shared" si="2"/>
        <v>5</v>
      </c>
      <c r="AL9" s="49" t="s">
        <v>9</v>
      </c>
      <c r="AM9" s="50"/>
      <c r="AN9" s="50"/>
      <c r="AO9" s="52"/>
    </row>
    <row r="10" spans="1:41" ht="16.5" x14ac:dyDescent="0.25">
      <c r="A10" s="13">
        <v>6</v>
      </c>
      <c r="B10" s="8" t="s">
        <v>29</v>
      </c>
      <c r="C10" s="8" t="s">
        <v>30</v>
      </c>
      <c r="D10" s="11" t="s">
        <v>6</v>
      </c>
      <c r="E10" s="26" t="s">
        <v>112</v>
      </c>
      <c r="F10" s="26" t="s">
        <v>112</v>
      </c>
      <c r="G10" s="26" t="s">
        <v>112</v>
      </c>
      <c r="H10" s="26" t="s">
        <v>112</v>
      </c>
      <c r="I10" s="26" t="s">
        <v>112</v>
      </c>
      <c r="J10" s="51"/>
      <c r="K10" s="12" t="s">
        <v>112</v>
      </c>
      <c r="L10" s="12" t="s">
        <v>112</v>
      </c>
      <c r="M10" s="12" t="s">
        <v>112</v>
      </c>
      <c r="N10" s="12" t="s">
        <v>112</v>
      </c>
      <c r="O10" s="12" t="s">
        <v>112</v>
      </c>
      <c r="P10" s="12" t="s">
        <v>111</v>
      </c>
      <c r="Q10" s="51"/>
      <c r="R10" s="12" t="s">
        <v>112</v>
      </c>
      <c r="S10" s="12" t="s">
        <v>112</v>
      </c>
      <c r="T10" s="12" t="s">
        <v>112</v>
      </c>
      <c r="U10" s="12" t="s">
        <v>112</v>
      </c>
      <c r="V10" s="12" t="s">
        <v>112</v>
      </c>
      <c r="W10" s="12" t="s">
        <v>112</v>
      </c>
      <c r="X10" s="51"/>
      <c r="Y10" s="12" t="s">
        <v>112</v>
      </c>
      <c r="Z10" s="12" t="s">
        <v>112</v>
      </c>
      <c r="AA10" s="12" t="s">
        <v>111</v>
      </c>
      <c r="AB10" s="12" t="s">
        <v>112</v>
      </c>
      <c r="AC10" s="12" t="s">
        <v>111</v>
      </c>
      <c r="AD10" s="12" t="s">
        <v>111</v>
      </c>
      <c r="AE10" s="51"/>
      <c r="AF10" s="12" t="s">
        <v>112</v>
      </c>
      <c r="AG10" s="12" t="s">
        <v>112</v>
      </c>
      <c r="AH10" s="12" t="s">
        <v>112</v>
      </c>
      <c r="AI10" s="12" t="s">
        <v>112</v>
      </c>
      <c r="AJ10" s="5">
        <f t="shared" si="1"/>
        <v>23</v>
      </c>
      <c r="AK10" s="5">
        <f t="shared" si="2"/>
        <v>4</v>
      </c>
      <c r="AL10" s="5" t="s">
        <v>10</v>
      </c>
      <c r="AM10" s="5" t="s">
        <v>11</v>
      </c>
      <c r="AN10" s="5" t="s">
        <v>12</v>
      </c>
      <c r="AO10" s="5" t="s">
        <v>13</v>
      </c>
    </row>
    <row r="11" spans="1:41" ht="16.5" x14ac:dyDescent="0.25">
      <c r="A11" s="13">
        <v>7</v>
      </c>
      <c r="B11" s="8" t="s">
        <v>31</v>
      </c>
      <c r="C11" s="8" t="s">
        <v>32</v>
      </c>
      <c r="D11" s="11" t="s">
        <v>6</v>
      </c>
      <c r="E11" s="26" t="s">
        <v>112</v>
      </c>
      <c r="F11" s="26" t="s">
        <v>112</v>
      </c>
      <c r="G11" s="26" t="s">
        <v>112</v>
      </c>
      <c r="H11" s="26" t="s">
        <v>112</v>
      </c>
      <c r="I11" s="26" t="s">
        <v>111</v>
      </c>
      <c r="J11" s="51"/>
      <c r="K11" s="12" t="s">
        <v>112</v>
      </c>
      <c r="L11" s="12" t="s">
        <v>112</v>
      </c>
      <c r="M11" s="12" t="s">
        <v>112</v>
      </c>
      <c r="N11" s="12" t="s">
        <v>111</v>
      </c>
      <c r="O11" s="12" t="s">
        <v>112</v>
      </c>
      <c r="P11" s="12" t="s">
        <v>111</v>
      </c>
      <c r="Q11" s="51"/>
      <c r="R11" s="12" t="s">
        <v>112</v>
      </c>
      <c r="S11" s="12" t="s">
        <v>112</v>
      </c>
      <c r="T11" s="12" t="s">
        <v>112</v>
      </c>
      <c r="U11" s="12" t="s">
        <v>112</v>
      </c>
      <c r="V11" s="12" t="s">
        <v>112</v>
      </c>
      <c r="W11" s="12" t="s">
        <v>111</v>
      </c>
      <c r="X11" s="51"/>
      <c r="Y11" s="12" t="s">
        <v>112</v>
      </c>
      <c r="Z11" s="12" t="s">
        <v>112</v>
      </c>
      <c r="AA11" s="12" t="s">
        <v>112</v>
      </c>
      <c r="AB11" s="12" t="s">
        <v>112</v>
      </c>
      <c r="AC11" s="12" t="s">
        <v>112</v>
      </c>
      <c r="AD11" s="12" t="s">
        <v>112</v>
      </c>
      <c r="AE11" s="51"/>
      <c r="AF11" s="12" t="s">
        <v>111</v>
      </c>
      <c r="AG11" s="12" t="s">
        <v>112</v>
      </c>
      <c r="AH11" s="12" t="s">
        <v>112</v>
      </c>
      <c r="AI11" s="12" t="s">
        <v>112</v>
      </c>
      <c r="AJ11" s="5">
        <f t="shared" si="1"/>
        <v>22</v>
      </c>
      <c r="AK11" s="5">
        <f t="shared" si="2"/>
        <v>5</v>
      </c>
      <c r="AL11" s="5" t="s">
        <v>14</v>
      </c>
      <c r="AM11" s="13">
        <f>26*$AM$5</f>
        <v>702</v>
      </c>
      <c r="AN11" s="13">
        <f>26*$AM$5</f>
        <v>702</v>
      </c>
      <c r="AO11" s="13">
        <f>SUM(AM11:AN11)</f>
        <v>1404</v>
      </c>
    </row>
    <row r="12" spans="1:41" ht="16.5" x14ac:dyDescent="0.25">
      <c r="A12" s="13">
        <v>8</v>
      </c>
      <c r="B12" s="8" t="s">
        <v>33</v>
      </c>
      <c r="C12" s="8" t="s">
        <v>34</v>
      </c>
      <c r="D12" s="11" t="s">
        <v>6</v>
      </c>
      <c r="E12" s="26" t="s">
        <v>112</v>
      </c>
      <c r="F12" s="26" t="s">
        <v>112</v>
      </c>
      <c r="G12" s="26" t="s">
        <v>112</v>
      </c>
      <c r="H12" s="26" t="s">
        <v>112</v>
      </c>
      <c r="I12" s="26" t="s">
        <v>112</v>
      </c>
      <c r="J12" s="51"/>
      <c r="K12" s="12" t="s">
        <v>112</v>
      </c>
      <c r="L12" s="12" t="s">
        <v>112</v>
      </c>
      <c r="M12" s="12" t="s">
        <v>112</v>
      </c>
      <c r="N12" s="12" t="s">
        <v>113</v>
      </c>
      <c r="O12" s="12" t="s">
        <v>113</v>
      </c>
      <c r="P12" s="12" t="s">
        <v>113</v>
      </c>
      <c r="Q12" s="51"/>
      <c r="R12" s="12" t="s">
        <v>111</v>
      </c>
      <c r="S12" s="12" t="s">
        <v>111</v>
      </c>
      <c r="T12" s="12" t="s">
        <v>112</v>
      </c>
      <c r="U12" s="12" t="s">
        <v>112</v>
      </c>
      <c r="V12" s="12" t="s">
        <v>112</v>
      </c>
      <c r="W12" s="12" t="s">
        <v>112</v>
      </c>
      <c r="X12" s="51"/>
      <c r="Y12" s="12" t="s">
        <v>112</v>
      </c>
      <c r="Z12" s="12" t="s">
        <v>112</v>
      </c>
      <c r="AA12" s="12" t="s">
        <v>111</v>
      </c>
      <c r="AB12" s="12" t="s">
        <v>112</v>
      </c>
      <c r="AC12" s="12" t="s">
        <v>112</v>
      </c>
      <c r="AD12" s="12" t="s">
        <v>112</v>
      </c>
      <c r="AE12" s="51"/>
      <c r="AF12" s="12" t="s">
        <v>112</v>
      </c>
      <c r="AG12" s="12" t="s">
        <v>112</v>
      </c>
      <c r="AH12" s="12" t="s">
        <v>112</v>
      </c>
      <c r="AI12" s="12" t="s">
        <v>112</v>
      </c>
      <c r="AJ12" s="5">
        <f t="shared" si="1"/>
        <v>21</v>
      </c>
      <c r="AK12" s="5">
        <f t="shared" si="2"/>
        <v>3</v>
      </c>
      <c r="AL12" s="5" t="s">
        <v>15</v>
      </c>
      <c r="AM12" s="13">
        <f>SUM(AJ6,AJ9,AJ11,AJ13,AJ16,AJ21,AJ22,AJ23,AJ24,AJ25,AJ26,AJ27,AJ32,AJ34,AJ36,AJ40,AJ41,AJ43,AJ44,AJ45,AJ46,AJ50,AJ51,AJ52,AJ53,AJ54)</f>
        <v>602</v>
      </c>
      <c r="AN12" s="13">
        <f>SUM(AJ5,AJ7,AJ8,AJ10,AJ12,AJ14,AJ15,AJ17,AJ19,AJ20,AJ28,AJ29,AJ30,AJ31,AJ33,AJ35,AJ37,AJ38,AJ39,AJ42,AJ47,AJ48,AJ49,AJ54,AJ55,AJ56)</f>
        <v>575</v>
      </c>
      <c r="AO12" s="13">
        <f>AM12+AN12</f>
        <v>1177</v>
      </c>
    </row>
    <row r="13" spans="1:41" ht="16.5" x14ac:dyDescent="0.25">
      <c r="A13" s="13">
        <v>9</v>
      </c>
      <c r="B13" s="8" t="s">
        <v>35</v>
      </c>
      <c r="C13" s="8" t="s">
        <v>36</v>
      </c>
      <c r="D13" s="11" t="s">
        <v>6</v>
      </c>
      <c r="E13" s="26" t="s">
        <v>112</v>
      </c>
      <c r="F13" s="26" t="s">
        <v>112</v>
      </c>
      <c r="G13" s="26" t="s">
        <v>112</v>
      </c>
      <c r="H13" s="26" t="s">
        <v>112</v>
      </c>
      <c r="I13" s="26" t="s">
        <v>112</v>
      </c>
      <c r="J13" s="51"/>
      <c r="K13" s="12" t="s">
        <v>112</v>
      </c>
      <c r="L13" s="12" t="s">
        <v>112</v>
      </c>
      <c r="M13" s="12" t="s">
        <v>112</v>
      </c>
      <c r="N13" s="12" t="s">
        <v>112</v>
      </c>
      <c r="O13" s="12" t="s">
        <v>112</v>
      </c>
      <c r="P13" s="12" t="s">
        <v>112</v>
      </c>
      <c r="Q13" s="51"/>
      <c r="R13" s="12" t="s">
        <v>112</v>
      </c>
      <c r="S13" s="12" t="s">
        <v>112</v>
      </c>
      <c r="T13" s="12" t="s">
        <v>112</v>
      </c>
      <c r="U13" s="12" t="s">
        <v>112</v>
      </c>
      <c r="V13" s="12" t="s">
        <v>112</v>
      </c>
      <c r="W13" s="12" t="s">
        <v>112</v>
      </c>
      <c r="X13" s="51"/>
      <c r="Y13" s="12" t="s">
        <v>112</v>
      </c>
      <c r="Z13" s="12" t="s">
        <v>112</v>
      </c>
      <c r="AA13" s="12" t="s">
        <v>112</v>
      </c>
      <c r="AB13" s="12" t="s">
        <v>112</v>
      </c>
      <c r="AC13" s="12" t="s">
        <v>112</v>
      </c>
      <c r="AD13" s="12" t="s">
        <v>112</v>
      </c>
      <c r="AE13" s="51"/>
      <c r="AF13" s="12" t="s">
        <v>112</v>
      </c>
      <c r="AG13" s="12" t="s">
        <v>112</v>
      </c>
      <c r="AH13" s="12" t="s">
        <v>112</v>
      </c>
      <c r="AI13" s="12" t="s">
        <v>112</v>
      </c>
      <c r="AJ13" s="5">
        <f t="shared" si="1"/>
        <v>27</v>
      </c>
      <c r="AK13" s="5">
        <f t="shared" si="2"/>
        <v>0</v>
      </c>
      <c r="AL13" s="5" t="s">
        <v>16</v>
      </c>
      <c r="AM13" s="18">
        <f>AM12/AM11</f>
        <v>0.85754985754985757</v>
      </c>
      <c r="AN13" s="18">
        <f>AN12/AN11</f>
        <v>0.81908831908831914</v>
      </c>
      <c r="AO13" s="18">
        <f>AO12/AO11</f>
        <v>0.8383190883190883</v>
      </c>
    </row>
    <row r="14" spans="1:41" ht="16.5" x14ac:dyDescent="0.25">
      <c r="A14" s="13">
        <v>10</v>
      </c>
      <c r="B14" s="8" t="s">
        <v>37</v>
      </c>
      <c r="C14" s="8" t="s">
        <v>38</v>
      </c>
      <c r="D14" s="11" t="s">
        <v>6</v>
      </c>
      <c r="E14" s="26" t="s">
        <v>112</v>
      </c>
      <c r="F14" s="26" t="s">
        <v>112</v>
      </c>
      <c r="G14" s="26" t="s">
        <v>112</v>
      </c>
      <c r="H14" s="26" t="s">
        <v>112</v>
      </c>
      <c r="I14" s="26" t="s">
        <v>112</v>
      </c>
      <c r="J14" s="51"/>
      <c r="K14" s="12" t="s">
        <v>112</v>
      </c>
      <c r="L14" s="12" t="s">
        <v>112</v>
      </c>
      <c r="M14" s="12" t="s">
        <v>112</v>
      </c>
      <c r="N14" s="12" t="s">
        <v>112</v>
      </c>
      <c r="O14" s="12" t="s">
        <v>112</v>
      </c>
      <c r="P14" s="12" t="s">
        <v>112</v>
      </c>
      <c r="Q14" s="51"/>
      <c r="R14" s="12" t="s">
        <v>112</v>
      </c>
      <c r="S14" s="12" t="s">
        <v>112</v>
      </c>
      <c r="T14" s="12" t="s">
        <v>112</v>
      </c>
      <c r="U14" s="12" t="s">
        <v>112</v>
      </c>
      <c r="V14" s="12" t="s">
        <v>111</v>
      </c>
      <c r="W14" s="12" t="s">
        <v>112</v>
      </c>
      <c r="X14" s="51"/>
      <c r="Y14" s="12" t="s">
        <v>112</v>
      </c>
      <c r="Z14" s="12" t="s">
        <v>112</v>
      </c>
      <c r="AA14" s="12" t="s">
        <v>112</v>
      </c>
      <c r="AB14" s="12" t="s">
        <v>112</v>
      </c>
      <c r="AC14" s="12" t="s">
        <v>112</v>
      </c>
      <c r="AD14" s="12" t="s">
        <v>112</v>
      </c>
      <c r="AE14" s="51"/>
      <c r="AF14" s="12" t="s">
        <v>112</v>
      </c>
      <c r="AG14" s="12" t="s">
        <v>112</v>
      </c>
      <c r="AH14" s="12" t="s">
        <v>112</v>
      </c>
      <c r="AI14" s="12" t="s">
        <v>112</v>
      </c>
      <c r="AJ14" s="5">
        <f t="shared" si="1"/>
        <v>26</v>
      </c>
      <c r="AK14" s="5">
        <f t="shared" si="2"/>
        <v>1</v>
      </c>
      <c r="AL14"/>
      <c r="AM14"/>
      <c r="AN14"/>
      <c r="AO14"/>
    </row>
    <row r="15" spans="1:41" ht="16.5" x14ac:dyDescent="0.25">
      <c r="A15" s="13">
        <v>11</v>
      </c>
      <c r="B15" s="8" t="s">
        <v>39</v>
      </c>
      <c r="C15" s="8" t="s">
        <v>40</v>
      </c>
      <c r="D15" s="11" t="s">
        <v>6</v>
      </c>
      <c r="E15" s="26" t="s">
        <v>112</v>
      </c>
      <c r="F15" s="26" t="s">
        <v>112</v>
      </c>
      <c r="G15" s="26" t="s">
        <v>112</v>
      </c>
      <c r="H15" s="26" t="s">
        <v>112</v>
      </c>
      <c r="I15" s="26" t="s">
        <v>112</v>
      </c>
      <c r="J15" s="51"/>
      <c r="K15" s="12" t="s">
        <v>112</v>
      </c>
      <c r="L15" s="12" t="s">
        <v>112</v>
      </c>
      <c r="M15" s="12" t="s">
        <v>112</v>
      </c>
      <c r="N15" s="12" t="s">
        <v>112</v>
      </c>
      <c r="O15" s="12" t="s">
        <v>112</v>
      </c>
      <c r="P15" s="12" t="s">
        <v>112</v>
      </c>
      <c r="Q15" s="51"/>
      <c r="R15" s="12" t="s">
        <v>112</v>
      </c>
      <c r="S15" s="12" t="s">
        <v>112</v>
      </c>
      <c r="T15" s="12" t="s">
        <v>112</v>
      </c>
      <c r="U15" s="12" t="s">
        <v>112</v>
      </c>
      <c r="V15" s="12" t="s">
        <v>112</v>
      </c>
      <c r="W15" s="12" t="s">
        <v>111</v>
      </c>
      <c r="X15" s="51"/>
      <c r="Y15" s="12" t="s">
        <v>112</v>
      </c>
      <c r="Z15" s="12" t="s">
        <v>112</v>
      </c>
      <c r="AA15" s="12" t="s">
        <v>112</v>
      </c>
      <c r="AB15" s="12" t="s">
        <v>112</v>
      </c>
      <c r="AC15" s="12" t="s">
        <v>112</v>
      </c>
      <c r="AD15" s="12" t="s">
        <v>111</v>
      </c>
      <c r="AE15" s="51"/>
      <c r="AF15" s="12" t="s">
        <v>112</v>
      </c>
      <c r="AG15" s="12" t="s">
        <v>112</v>
      </c>
      <c r="AH15" s="12" t="s">
        <v>112</v>
      </c>
      <c r="AI15" s="12" t="s">
        <v>112</v>
      </c>
      <c r="AJ15" s="5">
        <f t="shared" si="1"/>
        <v>25</v>
      </c>
      <c r="AK15" s="5">
        <f t="shared" si="2"/>
        <v>2</v>
      </c>
      <c r="AL15"/>
      <c r="AM15"/>
      <c r="AN15"/>
      <c r="AO15"/>
    </row>
    <row r="16" spans="1:41" ht="16.5" x14ac:dyDescent="0.25">
      <c r="A16" s="13">
        <v>12</v>
      </c>
      <c r="B16" s="8" t="s">
        <v>41</v>
      </c>
      <c r="C16" s="8" t="s">
        <v>42</v>
      </c>
      <c r="D16" s="11" t="s">
        <v>6</v>
      </c>
      <c r="E16" s="26" t="s">
        <v>112</v>
      </c>
      <c r="F16" s="26" t="s">
        <v>112</v>
      </c>
      <c r="G16" s="26" t="s">
        <v>112</v>
      </c>
      <c r="H16" s="26" t="s">
        <v>112</v>
      </c>
      <c r="I16" s="26" t="s">
        <v>112</v>
      </c>
      <c r="J16" s="51"/>
      <c r="K16" s="12" t="s">
        <v>112</v>
      </c>
      <c r="L16" s="12" t="s">
        <v>112</v>
      </c>
      <c r="M16" s="12" t="s">
        <v>112</v>
      </c>
      <c r="N16" s="12" t="s">
        <v>112</v>
      </c>
      <c r="O16" s="12" t="s">
        <v>112</v>
      </c>
      <c r="P16" s="12" t="s">
        <v>112</v>
      </c>
      <c r="Q16" s="51"/>
      <c r="R16" s="12" t="s">
        <v>112</v>
      </c>
      <c r="S16" s="12" t="s">
        <v>112</v>
      </c>
      <c r="T16" s="12" t="s">
        <v>112</v>
      </c>
      <c r="U16" s="12" t="s">
        <v>111</v>
      </c>
      <c r="V16" s="12" t="s">
        <v>111</v>
      </c>
      <c r="W16" s="12" t="s">
        <v>111</v>
      </c>
      <c r="X16" s="51"/>
      <c r="Y16" s="12" t="s">
        <v>111</v>
      </c>
      <c r="Z16" s="12" t="s">
        <v>111</v>
      </c>
      <c r="AA16" s="12" t="s">
        <v>111</v>
      </c>
      <c r="AB16" s="12" t="s">
        <v>111</v>
      </c>
      <c r="AC16" s="12" t="s">
        <v>111</v>
      </c>
      <c r="AD16" s="12" t="s">
        <v>111</v>
      </c>
      <c r="AE16" s="51"/>
      <c r="AF16" s="12" t="s">
        <v>112</v>
      </c>
      <c r="AG16" s="12" t="s">
        <v>112</v>
      </c>
      <c r="AH16" s="12" t="s">
        <v>112</v>
      </c>
      <c r="AI16" s="12" t="s">
        <v>112</v>
      </c>
      <c r="AJ16" s="5">
        <f t="shared" si="1"/>
        <v>18</v>
      </c>
      <c r="AK16" s="5">
        <f t="shared" si="2"/>
        <v>9</v>
      </c>
      <c r="AL16"/>
      <c r="AM16"/>
      <c r="AN16"/>
      <c r="AO16"/>
    </row>
    <row r="17" spans="1:41" ht="16.5" x14ac:dyDescent="0.25">
      <c r="A17" s="13">
        <v>13</v>
      </c>
      <c r="B17" s="8" t="s">
        <v>43</v>
      </c>
      <c r="C17" s="8" t="s">
        <v>44</v>
      </c>
      <c r="D17" s="11" t="s">
        <v>6</v>
      </c>
      <c r="E17" s="26" t="s">
        <v>112</v>
      </c>
      <c r="F17" s="26" t="s">
        <v>112</v>
      </c>
      <c r="G17" s="26" t="s">
        <v>112</v>
      </c>
      <c r="H17" s="26" t="s">
        <v>112</v>
      </c>
      <c r="I17" s="26" t="s">
        <v>112</v>
      </c>
      <c r="J17" s="51"/>
      <c r="K17" s="12" t="s">
        <v>112</v>
      </c>
      <c r="L17" s="12" t="s">
        <v>112</v>
      </c>
      <c r="M17" s="12" t="s">
        <v>112</v>
      </c>
      <c r="N17" s="12" t="s">
        <v>112</v>
      </c>
      <c r="O17" s="12" t="s">
        <v>112</v>
      </c>
      <c r="P17" s="12" t="s">
        <v>112</v>
      </c>
      <c r="Q17" s="51"/>
      <c r="R17" s="12" t="s">
        <v>112</v>
      </c>
      <c r="S17" s="12" t="s">
        <v>112</v>
      </c>
      <c r="T17" s="12" t="s">
        <v>112</v>
      </c>
      <c r="U17" s="12" t="s">
        <v>112</v>
      </c>
      <c r="V17" s="12" t="s">
        <v>112</v>
      </c>
      <c r="W17" s="12" t="s">
        <v>111</v>
      </c>
      <c r="X17" s="51"/>
      <c r="Y17" s="12" t="s">
        <v>112</v>
      </c>
      <c r="Z17" s="12" t="s">
        <v>112</v>
      </c>
      <c r="AA17" s="12" t="s">
        <v>112</v>
      </c>
      <c r="AB17" s="12" t="s">
        <v>112</v>
      </c>
      <c r="AC17" s="12" t="s">
        <v>111</v>
      </c>
      <c r="AD17" s="12" t="s">
        <v>111</v>
      </c>
      <c r="AE17" s="51"/>
      <c r="AF17" s="12" t="s">
        <v>112</v>
      </c>
      <c r="AG17" s="12" t="s">
        <v>112</v>
      </c>
      <c r="AH17" s="12" t="s">
        <v>112</v>
      </c>
      <c r="AI17" s="12" t="s">
        <v>112</v>
      </c>
      <c r="AJ17" s="5">
        <f t="shared" si="1"/>
        <v>24</v>
      </c>
      <c r="AK17" s="5">
        <f t="shared" si="2"/>
        <v>3</v>
      </c>
      <c r="AL17" s="49" t="s">
        <v>128</v>
      </c>
      <c r="AM17" s="50"/>
      <c r="AN17" s="50"/>
      <c r="AO17" s="52"/>
    </row>
    <row r="18" spans="1:41" ht="16.5" x14ac:dyDescent="0.25">
      <c r="A18" s="13">
        <v>14</v>
      </c>
      <c r="B18" s="8" t="s">
        <v>45</v>
      </c>
      <c r="C18" s="8" t="s">
        <v>46</v>
      </c>
      <c r="D18" s="11" t="s">
        <v>6</v>
      </c>
      <c r="E18" s="26" t="s">
        <v>111</v>
      </c>
      <c r="F18" s="26" t="s">
        <v>111</v>
      </c>
      <c r="G18" s="26" t="s">
        <v>111</v>
      </c>
      <c r="H18" s="26" t="s">
        <v>112</v>
      </c>
      <c r="I18" s="26" t="s">
        <v>112</v>
      </c>
      <c r="J18" s="51"/>
      <c r="K18" s="12" t="s">
        <v>112</v>
      </c>
      <c r="L18" s="12" t="s">
        <v>112</v>
      </c>
      <c r="M18" s="12" t="s">
        <v>112</v>
      </c>
      <c r="N18" s="12" t="s">
        <v>112</v>
      </c>
      <c r="O18" s="12" t="s">
        <v>112</v>
      </c>
      <c r="P18" s="12" t="s">
        <v>112</v>
      </c>
      <c r="Q18" s="51"/>
      <c r="R18" s="12" t="s">
        <v>111</v>
      </c>
      <c r="S18" s="12" t="s">
        <v>112</v>
      </c>
      <c r="T18" s="12" t="s">
        <v>111</v>
      </c>
      <c r="U18" s="12" t="s">
        <v>111</v>
      </c>
      <c r="V18" s="12" t="s">
        <v>111</v>
      </c>
      <c r="W18" s="12" t="s">
        <v>111</v>
      </c>
      <c r="X18" s="51"/>
      <c r="Y18" s="12" t="s">
        <v>111</v>
      </c>
      <c r="Z18" s="12" t="s">
        <v>112</v>
      </c>
      <c r="AA18" s="12" t="s">
        <v>111</v>
      </c>
      <c r="AB18" s="12" t="s">
        <v>112</v>
      </c>
      <c r="AC18" s="12" t="s">
        <v>111</v>
      </c>
      <c r="AD18" s="12" t="s">
        <v>112</v>
      </c>
      <c r="AE18" s="51"/>
      <c r="AF18" s="12" t="s">
        <v>111</v>
      </c>
      <c r="AG18" s="12" t="s">
        <v>112</v>
      </c>
      <c r="AH18" s="12" t="s">
        <v>112</v>
      </c>
      <c r="AI18" s="12" t="s">
        <v>112</v>
      </c>
      <c r="AJ18" s="5">
        <f t="shared" si="1"/>
        <v>15</v>
      </c>
      <c r="AK18" s="5">
        <f t="shared" si="2"/>
        <v>12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ht="16.5" x14ac:dyDescent="0.25">
      <c r="A19" s="13">
        <v>15</v>
      </c>
      <c r="B19" s="8" t="s">
        <v>47</v>
      </c>
      <c r="C19" s="8" t="s">
        <v>48</v>
      </c>
      <c r="D19" s="11" t="s">
        <v>6</v>
      </c>
      <c r="E19" s="26" t="s">
        <v>112</v>
      </c>
      <c r="F19" s="26" t="s">
        <v>112</v>
      </c>
      <c r="G19" s="26" t="s">
        <v>112</v>
      </c>
      <c r="H19" s="26" t="s">
        <v>112</v>
      </c>
      <c r="I19" s="26" t="s">
        <v>111</v>
      </c>
      <c r="J19" s="51"/>
      <c r="K19" s="12" t="s">
        <v>111</v>
      </c>
      <c r="L19" s="12" t="s">
        <v>112</v>
      </c>
      <c r="M19" s="12" t="s">
        <v>112</v>
      </c>
      <c r="N19" s="12" t="s">
        <v>112</v>
      </c>
      <c r="O19" s="12" t="s">
        <v>112</v>
      </c>
      <c r="P19" s="12" t="s">
        <v>112</v>
      </c>
      <c r="Q19" s="51"/>
      <c r="R19" s="12" t="s">
        <v>112</v>
      </c>
      <c r="S19" s="12" t="s">
        <v>113</v>
      </c>
      <c r="T19" s="12" t="s">
        <v>113</v>
      </c>
      <c r="U19" s="12" t="s">
        <v>113</v>
      </c>
      <c r="V19" s="12" t="s">
        <v>113</v>
      </c>
      <c r="W19" s="12" t="s">
        <v>113</v>
      </c>
      <c r="X19" s="51"/>
      <c r="Y19" s="12" t="s">
        <v>112</v>
      </c>
      <c r="Z19" s="12" t="s">
        <v>112</v>
      </c>
      <c r="AA19" s="12" t="s">
        <v>112</v>
      </c>
      <c r="AB19" s="12" t="s">
        <v>112</v>
      </c>
      <c r="AC19" s="12" t="s">
        <v>111</v>
      </c>
      <c r="AD19" s="12" t="s">
        <v>112</v>
      </c>
      <c r="AE19" s="51"/>
      <c r="AF19" s="12" t="s">
        <v>112</v>
      </c>
      <c r="AG19" s="12" t="s">
        <v>112</v>
      </c>
      <c r="AH19" s="12" t="s">
        <v>112</v>
      </c>
      <c r="AI19" s="12" t="s">
        <v>112</v>
      </c>
      <c r="AJ19" s="5">
        <f t="shared" si="1"/>
        <v>19</v>
      </c>
      <c r="AK19" s="5">
        <f t="shared" si="2"/>
        <v>3</v>
      </c>
      <c r="AL19" s="5" t="s">
        <v>14</v>
      </c>
      <c r="AM19" s="13">
        <f>26*$AM$5</f>
        <v>702</v>
      </c>
      <c r="AN19" s="13">
        <f>26*$AM$5</f>
        <v>702</v>
      </c>
      <c r="AO19" s="13">
        <f>AM19+AN19</f>
        <v>1404</v>
      </c>
    </row>
    <row r="20" spans="1:41" ht="16.5" x14ac:dyDescent="0.25">
      <c r="A20" s="13">
        <v>16</v>
      </c>
      <c r="B20" s="8" t="s">
        <v>49</v>
      </c>
      <c r="C20" s="8" t="s">
        <v>50</v>
      </c>
      <c r="D20" s="11" t="s">
        <v>6</v>
      </c>
      <c r="E20" s="26" t="s">
        <v>112</v>
      </c>
      <c r="F20" s="26" t="s">
        <v>113</v>
      </c>
      <c r="G20" s="26" t="s">
        <v>113</v>
      </c>
      <c r="H20" s="26" t="s">
        <v>113</v>
      </c>
      <c r="I20" s="26" t="s">
        <v>113</v>
      </c>
      <c r="J20" s="51"/>
      <c r="K20" s="12" t="s">
        <v>113</v>
      </c>
      <c r="L20" s="12" t="s">
        <v>113</v>
      </c>
      <c r="M20" s="12" t="s">
        <v>113</v>
      </c>
      <c r="N20" s="12" t="s">
        <v>113</v>
      </c>
      <c r="O20" s="12" t="s">
        <v>113</v>
      </c>
      <c r="P20" s="12" t="s">
        <v>113</v>
      </c>
      <c r="Q20" s="51"/>
      <c r="R20" s="12" t="s">
        <v>111</v>
      </c>
      <c r="S20" s="12" t="s">
        <v>111</v>
      </c>
      <c r="T20" s="12" t="s">
        <v>111</v>
      </c>
      <c r="U20" s="12" t="s">
        <v>111</v>
      </c>
      <c r="V20" s="12" t="s">
        <v>111</v>
      </c>
      <c r="W20" s="12" t="s">
        <v>111</v>
      </c>
      <c r="X20" s="51"/>
      <c r="Y20" s="12" t="s">
        <v>111</v>
      </c>
      <c r="Z20" s="12" t="s">
        <v>111</v>
      </c>
      <c r="AA20" s="12" t="s">
        <v>111</v>
      </c>
      <c r="AB20" s="12" t="s">
        <v>111</v>
      </c>
      <c r="AC20" s="12" t="s">
        <v>112</v>
      </c>
      <c r="AD20" s="12" t="s">
        <v>111</v>
      </c>
      <c r="AE20" s="51"/>
      <c r="AF20" s="12" t="s">
        <v>112</v>
      </c>
      <c r="AG20" s="12" t="s">
        <v>112</v>
      </c>
      <c r="AH20" s="12" t="s">
        <v>112</v>
      </c>
      <c r="AI20" s="12" t="s">
        <v>112</v>
      </c>
      <c r="AJ20" s="5">
        <f t="shared" si="1"/>
        <v>6</v>
      </c>
      <c r="AK20" s="5">
        <f t="shared" si="2"/>
        <v>11</v>
      </c>
      <c r="AL20" s="5" t="s">
        <v>17</v>
      </c>
      <c r="AM20" s="13">
        <f>AM19-AM12</f>
        <v>100</v>
      </c>
      <c r="AN20" s="13">
        <f>AN19-AN12</f>
        <v>127</v>
      </c>
      <c r="AO20" s="13">
        <f>AM20+AN20</f>
        <v>227</v>
      </c>
    </row>
    <row r="21" spans="1:41" ht="16.5" x14ac:dyDescent="0.25">
      <c r="A21" s="13">
        <v>17</v>
      </c>
      <c r="B21" s="8" t="s">
        <v>51</v>
      </c>
      <c r="C21" s="8" t="s">
        <v>52</v>
      </c>
      <c r="D21" s="11" t="s">
        <v>6</v>
      </c>
      <c r="E21" s="26" t="s">
        <v>112</v>
      </c>
      <c r="F21" s="26" t="s">
        <v>112</v>
      </c>
      <c r="G21" s="26" t="s">
        <v>112</v>
      </c>
      <c r="H21" s="26" t="s">
        <v>112</v>
      </c>
      <c r="I21" s="26" t="s">
        <v>112</v>
      </c>
      <c r="J21" s="51"/>
      <c r="K21" s="12" t="s">
        <v>112</v>
      </c>
      <c r="L21" s="12" t="s">
        <v>112</v>
      </c>
      <c r="M21" s="12" t="s">
        <v>112</v>
      </c>
      <c r="N21" s="12" t="s">
        <v>112</v>
      </c>
      <c r="O21" s="12" t="s">
        <v>112</v>
      </c>
      <c r="P21" s="12"/>
      <c r="Q21" s="51"/>
      <c r="R21" s="12" t="s">
        <v>112</v>
      </c>
      <c r="S21" s="12" t="s">
        <v>112</v>
      </c>
      <c r="T21" s="12" t="s">
        <v>112</v>
      </c>
      <c r="U21" s="12" t="s">
        <v>112</v>
      </c>
      <c r="V21" s="12" t="s">
        <v>112</v>
      </c>
      <c r="W21" s="12" t="s">
        <v>112</v>
      </c>
      <c r="X21" s="51"/>
      <c r="Y21" s="12" t="s">
        <v>112</v>
      </c>
      <c r="Z21" s="12" t="s">
        <v>112</v>
      </c>
      <c r="AA21" s="12" t="s">
        <v>112</v>
      </c>
      <c r="AB21" s="12" t="s">
        <v>112</v>
      </c>
      <c r="AC21" s="12" t="s">
        <v>112</v>
      </c>
      <c r="AD21" s="12" t="s">
        <v>112</v>
      </c>
      <c r="AE21" s="51"/>
      <c r="AF21" s="12" t="s">
        <v>112</v>
      </c>
      <c r="AG21" s="12" t="s">
        <v>112</v>
      </c>
      <c r="AH21" s="12" t="s">
        <v>112</v>
      </c>
      <c r="AI21" s="12" t="s">
        <v>112</v>
      </c>
      <c r="AJ21" s="5">
        <f t="shared" si="1"/>
        <v>26</v>
      </c>
      <c r="AK21" s="5">
        <f t="shared" si="2"/>
        <v>0</v>
      </c>
      <c r="AL21" s="5" t="s">
        <v>16</v>
      </c>
      <c r="AM21" s="18">
        <f>AM20/AM19</f>
        <v>0.14245014245014245</v>
      </c>
      <c r="AN21" s="18">
        <f>AN20/AN19</f>
        <v>0.18091168091168092</v>
      </c>
      <c r="AO21" s="18">
        <f>AO20/AO19</f>
        <v>0.16168091168091167</v>
      </c>
    </row>
    <row r="22" spans="1:41" ht="16.5" x14ac:dyDescent="0.25">
      <c r="A22" s="13">
        <v>18</v>
      </c>
      <c r="B22" s="8" t="s">
        <v>53</v>
      </c>
      <c r="C22" s="8" t="s">
        <v>54</v>
      </c>
      <c r="D22" s="11" t="s">
        <v>6</v>
      </c>
      <c r="E22" s="26" t="s">
        <v>112</v>
      </c>
      <c r="F22" s="26" t="s">
        <v>112</v>
      </c>
      <c r="G22" s="26" t="s">
        <v>111</v>
      </c>
      <c r="H22" s="26" t="s">
        <v>111</v>
      </c>
      <c r="I22" s="26" t="s">
        <v>111</v>
      </c>
      <c r="J22" s="51"/>
      <c r="K22" s="12" t="s">
        <v>112</v>
      </c>
      <c r="L22" s="12" t="s">
        <v>112</v>
      </c>
      <c r="M22" s="12" t="s">
        <v>112</v>
      </c>
      <c r="N22" s="12" t="s">
        <v>112</v>
      </c>
      <c r="O22" s="12" t="s">
        <v>112</v>
      </c>
      <c r="P22" s="12" t="s">
        <v>112</v>
      </c>
      <c r="Q22" s="51"/>
      <c r="R22" s="12" t="s">
        <v>112</v>
      </c>
      <c r="S22" s="12" t="s">
        <v>112</v>
      </c>
      <c r="T22" s="12" t="s">
        <v>112</v>
      </c>
      <c r="U22" s="12" t="s">
        <v>112</v>
      </c>
      <c r="V22" s="12" t="s">
        <v>112</v>
      </c>
      <c r="W22" s="12" t="s">
        <v>112</v>
      </c>
      <c r="X22" s="51"/>
      <c r="Y22" s="12" t="s">
        <v>112</v>
      </c>
      <c r="Z22" s="12" t="s">
        <v>112</v>
      </c>
      <c r="AA22" s="12" t="s">
        <v>111</v>
      </c>
      <c r="AB22" s="12" t="s">
        <v>112</v>
      </c>
      <c r="AC22" s="12" t="s">
        <v>112</v>
      </c>
      <c r="AD22" s="12" t="s">
        <v>112</v>
      </c>
      <c r="AE22" s="51"/>
      <c r="AF22" s="12" t="s">
        <v>112</v>
      </c>
      <c r="AG22" s="12" t="s">
        <v>112</v>
      </c>
      <c r="AH22" s="12" t="s">
        <v>112</v>
      </c>
      <c r="AI22" s="12" t="s">
        <v>112</v>
      </c>
      <c r="AJ22" s="5">
        <f t="shared" si="1"/>
        <v>23</v>
      </c>
      <c r="AK22" s="5">
        <f t="shared" si="2"/>
        <v>4</v>
      </c>
    </row>
    <row r="23" spans="1:41" ht="16.5" x14ac:dyDescent="0.25">
      <c r="A23" s="13">
        <v>19</v>
      </c>
      <c r="B23" s="8" t="s">
        <v>55</v>
      </c>
      <c r="C23" s="8" t="s">
        <v>56</v>
      </c>
      <c r="D23" s="11" t="s">
        <v>6</v>
      </c>
      <c r="E23" s="26" t="s">
        <v>112</v>
      </c>
      <c r="F23" s="26" t="s">
        <v>112</v>
      </c>
      <c r="G23" s="26" t="s">
        <v>112</v>
      </c>
      <c r="H23" s="26" t="s">
        <v>112</v>
      </c>
      <c r="I23" s="26" t="s">
        <v>112</v>
      </c>
      <c r="J23" s="51"/>
      <c r="K23" s="12" t="s">
        <v>112</v>
      </c>
      <c r="L23" s="12" t="s">
        <v>112</v>
      </c>
      <c r="M23" s="12" t="s">
        <v>112</v>
      </c>
      <c r="N23" s="12" t="s">
        <v>112</v>
      </c>
      <c r="O23" s="12" t="s">
        <v>112</v>
      </c>
      <c r="P23" s="12" t="s">
        <v>112</v>
      </c>
      <c r="Q23" s="51"/>
      <c r="R23" s="12" t="s">
        <v>112</v>
      </c>
      <c r="S23" s="12" t="s">
        <v>112</v>
      </c>
      <c r="T23" s="12" t="s">
        <v>112</v>
      </c>
      <c r="U23" s="12" t="s">
        <v>112</v>
      </c>
      <c r="V23" s="12" t="s">
        <v>112</v>
      </c>
      <c r="W23" s="12" t="s">
        <v>112</v>
      </c>
      <c r="X23" s="51"/>
      <c r="Y23" s="12" t="s">
        <v>112</v>
      </c>
      <c r="Z23" s="12" t="s">
        <v>112</v>
      </c>
      <c r="AA23" s="12" t="s">
        <v>112</v>
      </c>
      <c r="AB23" s="12" t="s">
        <v>111</v>
      </c>
      <c r="AC23" s="12" t="s">
        <v>112</v>
      </c>
      <c r="AD23" s="12" t="s">
        <v>112</v>
      </c>
      <c r="AE23" s="51"/>
      <c r="AF23" s="12" t="s">
        <v>112</v>
      </c>
      <c r="AG23" s="12" t="s">
        <v>112</v>
      </c>
      <c r="AH23" s="12" t="s">
        <v>112</v>
      </c>
      <c r="AI23" s="12" t="s">
        <v>112</v>
      </c>
      <c r="AJ23" s="5">
        <f t="shared" si="1"/>
        <v>26</v>
      </c>
      <c r="AK23" s="5">
        <f t="shared" si="2"/>
        <v>1</v>
      </c>
    </row>
    <row r="24" spans="1:41" ht="16.5" x14ac:dyDescent="0.25">
      <c r="A24" s="13">
        <v>20</v>
      </c>
      <c r="B24" s="8" t="s">
        <v>57</v>
      </c>
      <c r="C24" s="8" t="s">
        <v>58</v>
      </c>
      <c r="D24" s="11" t="s">
        <v>6</v>
      </c>
      <c r="E24" s="26" t="s">
        <v>112</v>
      </c>
      <c r="F24" s="26" t="s">
        <v>112</v>
      </c>
      <c r="G24" s="26" t="s">
        <v>112</v>
      </c>
      <c r="H24" s="26" t="s">
        <v>112</v>
      </c>
      <c r="I24" s="26" t="s">
        <v>112</v>
      </c>
      <c r="J24" s="51"/>
      <c r="K24" s="12" t="s">
        <v>112</v>
      </c>
      <c r="L24" s="12" t="s">
        <v>112</v>
      </c>
      <c r="M24" s="12" t="s">
        <v>112</v>
      </c>
      <c r="N24" s="12" t="s">
        <v>112</v>
      </c>
      <c r="O24" s="12" t="s">
        <v>112</v>
      </c>
      <c r="P24" s="12" t="s">
        <v>112</v>
      </c>
      <c r="Q24" s="51"/>
      <c r="R24" s="12" t="s">
        <v>112</v>
      </c>
      <c r="S24" s="12" t="s">
        <v>112</v>
      </c>
      <c r="T24" s="12" t="s">
        <v>112</v>
      </c>
      <c r="U24" s="12" t="s">
        <v>111</v>
      </c>
      <c r="V24" s="12" t="s">
        <v>112</v>
      </c>
      <c r="W24" s="12" t="s">
        <v>112</v>
      </c>
      <c r="X24" s="51"/>
      <c r="Y24" s="12" t="s">
        <v>112</v>
      </c>
      <c r="Z24" s="12" t="s">
        <v>112</v>
      </c>
      <c r="AA24" s="12" t="s">
        <v>112</v>
      </c>
      <c r="AB24" s="12" t="s">
        <v>112</v>
      </c>
      <c r="AC24" s="12" t="s">
        <v>112</v>
      </c>
      <c r="AD24" s="12" t="s">
        <v>112</v>
      </c>
      <c r="AE24" s="51"/>
      <c r="AF24" s="12" t="s">
        <v>112</v>
      </c>
      <c r="AG24" s="12" t="s">
        <v>112</v>
      </c>
      <c r="AH24" s="12" t="s">
        <v>112</v>
      </c>
      <c r="AI24" s="12" t="s">
        <v>111</v>
      </c>
      <c r="AJ24" s="5">
        <f t="shared" si="1"/>
        <v>25</v>
      </c>
      <c r="AK24" s="5">
        <f t="shared" si="2"/>
        <v>2</v>
      </c>
    </row>
    <row r="25" spans="1:41" ht="16.5" x14ac:dyDescent="0.25">
      <c r="A25" s="13">
        <v>21</v>
      </c>
      <c r="B25" s="8" t="s">
        <v>59</v>
      </c>
      <c r="C25" s="8" t="s">
        <v>60</v>
      </c>
      <c r="D25" s="11" t="s">
        <v>6</v>
      </c>
      <c r="E25" s="26" t="s">
        <v>112</v>
      </c>
      <c r="F25" s="26" t="s">
        <v>112</v>
      </c>
      <c r="G25" s="26" t="s">
        <v>112</v>
      </c>
      <c r="H25" s="26" t="s">
        <v>111</v>
      </c>
      <c r="I25" s="26" t="s">
        <v>111</v>
      </c>
      <c r="J25" s="51"/>
      <c r="K25" s="12" t="s">
        <v>112</v>
      </c>
      <c r="L25" s="12" t="s">
        <v>112</v>
      </c>
      <c r="M25" s="12" t="s">
        <v>112</v>
      </c>
      <c r="N25" s="12" t="s">
        <v>112</v>
      </c>
      <c r="O25" s="12" t="s">
        <v>112</v>
      </c>
      <c r="P25" s="12" t="s">
        <v>112</v>
      </c>
      <c r="Q25" s="51"/>
      <c r="R25" s="12" t="s">
        <v>112</v>
      </c>
      <c r="S25" s="12" t="s">
        <v>112</v>
      </c>
      <c r="T25" s="12" t="s">
        <v>113</v>
      </c>
      <c r="U25" s="12" t="s">
        <v>113</v>
      </c>
      <c r="V25" s="12" t="s">
        <v>113</v>
      </c>
      <c r="W25" s="12" t="s">
        <v>113</v>
      </c>
      <c r="X25" s="51"/>
      <c r="Y25" s="12" t="s">
        <v>111</v>
      </c>
      <c r="Z25" s="12" t="s">
        <v>111</v>
      </c>
      <c r="AA25" s="12" t="s">
        <v>111</v>
      </c>
      <c r="AB25" s="12" t="s">
        <v>111</v>
      </c>
      <c r="AC25" s="12" t="s">
        <v>111</v>
      </c>
      <c r="AD25" s="12" t="s">
        <v>113</v>
      </c>
      <c r="AE25" s="51"/>
      <c r="AF25" s="12" t="s">
        <v>112</v>
      </c>
      <c r="AG25" s="12" t="s">
        <v>112</v>
      </c>
      <c r="AH25" s="12" t="s">
        <v>112</v>
      </c>
      <c r="AI25" s="12" t="s">
        <v>112</v>
      </c>
      <c r="AJ25" s="5">
        <f t="shared" si="1"/>
        <v>15</v>
      </c>
      <c r="AK25" s="5">
        <f t="shared" si="2"/>
        <v>7</v>
      </c>
    </row>
    <row r="26" spans="1:41" ht="16.5" x14ac:dyDescent="0.25">
      <c r="A26" s="13">
        <v>22</v>
      </c>
      <c r="B26" s="8" t="s">
        <v>61</v>
      </c>
      <c r="C26" s="8" t="s">
        <v>62</v>
      </c>
      <c r="D26" s="11" t="s">
        <v>6</v>
      </c>
      <c r="E26" s="26" t="s">
        <v>112</v>
      </c>
      <c r="F26" s="26" t="s">
        <v>112</v>
      </c>
      <c r="G26" s="26" t="s">
        <v>112</v>
      </c>
      <c r="H26" s="26" t="s">
        <v>112</v>
      </c>
      <c r="I26" s="26" t="s">
        <v>111</v>
      </c>
      <c r="J26" s="51"/>
      <c r="K26" s="12" t="s">
        <v>112</v>
      </c>
      <c r="L26" s="12" t="s">
        <v>112</v>
      </c>
      <c r="M26" s="12" t="s">
        <v>112</v>
      </c>
      <c r="N26" s="12" t="s">
        <v>112</v>
      </c>
      <c r="O26" s="12" t="s">
        <v>112</v>
      </c>
      <c r="P26" s="12" t="s">
        <v>112</v>
      </c>
      <c r="Q26" s="51"/>
      <c r="R26" s="12" t="s">
        <v>112</v>
      </c>
      <c r="S26" s="12" t="s">
        <v>112</v>
      </c>
      <c r="T26" s="12" t="s">
        <v>112</v>
      </c>
      <c r="U26" s="12" t="s">
        <v>112</v>
      </c>
      <c r="V26" s="12" t="s">
        <v>112</v>
      </c>
      <c r="W26" s="12" t="s">
        <v>112</v>
      </c>
      <c r="X26" s="51"/>
      <c r="Y26" s="12" t="s">
        <v>112</v>
      </c>
      <c r="Z26" s="12" t="s">
        <v>112</v>
      </c>
      <c r="AA26" s="12" t="s">
        <v>112</v>
      </c>
      <c r="AB26" s="12" t="s">
        <v>112</v>
      </c>
      <c r="AC26" s="12" t="s">
        <v>112</v>
      </c>
      <c r="AD26" s="12" t="s">
        <v>112</v>
      </c>
      <c r="AE26" s="51"/>
      <c r="AF26" s="12" t="s">
        <v>112</v>
      </c>
      <c r="AG26" s="12" t="s">
        <v>112</v>
      </c>
      <c r="AH26" s="12" t="s">
        <v>112</v>
      </c>
      <c r="AI26" s="12" t="s">
        <v>112</v>
      </c>
      <c r="AJ26" s="5">
        <f t="shared" si="1"/>
        <v>26</v>
      </c>
      <c r="AK26" s="5">
        <f t="shared" si="2"/>
        <v>1</v>
      </c>
    </row>
    <row r="27" spans="1:41" ht="16.5" x14ac:dyDescent="0.25">
      <c r="A27" s="13">
        <v>23</v>
      </c>
      <c r="B27" s="8" t="s">
        <v>63</v>
      </c>
      <c r="C27" s="8" t="s">
        <v>64</v>
      </c>
      <c r="D27" s="11" t="s">
        <v>6</v>
      </c>
      <c r="E27" s="26" t="s">
        <v>112</v>
      </c>
      <c r="F27" s="26" t="s">
        <v>112</v>
      </c>
      <c r="G27" s="26" t="s">
        <v>112</v>
      </c>
      <c r="H27" s="26" t="s">
        <v>112</v>
      </c>
      <c r="I27" s="26" t="s">
        <v>112</v>
      </c>
      <c r="J27" s="51"/>
      <c r="K27" s="12" t="s">
        <v>112</v>
      </c>
      <c r="L27" s="12" t="s">
        <v>112</v>
      </c>
      <c r="M27" s="12" t="s">
        <v>112</v>
      </c>
      <c r="N27" s="12" t="s">
        <v>113</v>
      </c>
      <c r="O27" s="12" t="s">
        <v>113</v>
      </c>
      <c r="P27" s="12" t="s">
        <v>113</v>
      </c>
      <c r="Q27" s="51"/>
      <c r="R27" s="12" t="s">
        <v>112</v>
      </c>
      <c r="S27" s="12" t="s">
        <v>111</v>
      </c>
      <c r="T27" s="12" t="s">
        <v>112</v>
      </c>
      <c r="U27" s="12" t="s">
        <v>112</v>
      </c>
      <c r="V27" s="12" t="s">
        <v>111</v>
      </c>
      <c r="W27" s="12" t="s">
        <v>112</v>
      </c>
      <c r="X27" s="51"/>
      <c r="Y27" s="12" t="s">
        <v>112</v>
      </c>
      <c r="Z27" s="12" t="s">
        <v>112</v>
      </c>
      <c r="AA27" s="12" t="s">
        <v>112</v>
      </c>
      <c r="AB27" s="12" t="s">
        <v>112</v>
      </c>
      <c r="AC27" s="12" t="s">
        <v>112</v>
      </c>
      <c r="AD27" s="12" t="s">
        <v>111</v>
      </c>
      <c r="AE27" s="51"/>
      <c r="AF27" s="12" t="s">
        <v>111</v>
      </c>
      <c r="AG27" s="12" t="s">
        <v>112</v>
      </c>
      <c r="AH27" s="12" t="s">
        <v>112</v>
      </c>
      <c r="AI27" s="12" t="s">
        <v>112</v>
      </c>
      <c r="AJ27" s="5">
        <f t="shared" si="1"/>
        <v>20</v>
      </c>
      <c r="AK27" s="5">
        <f t="shared" si="2"/>
        <v>4</v>
      </c>
    </row>
    <row r="28" spans="1:41" ht="16.5" x14ac:dyDescent="0.25">
      <c r="A28" s="13">
        <v>24</v>
      </c>
      <c r="B28" s="8" t="s">
        <v>65</v>
      </c>
      <c r="C28" s="8" t="s">
        <v>66</v>
      </c>
      <c r="D28" s="11" t="s">
        <v>6</v>
      </c>
      <c r="E28" s="26" t="s">
        <v>112</v>
      </c>
      <c r="F28" s="26" t="s">
        <v>112</v>
      </c>
      <c r="G28" s="26" t="s">
        <v>112</v>
      </c>
      <c r="H28" s="26" t="s">
        <v>112</v>
      </c>
      <c r="I28" s="26" t="s">
        <v>112</v>
      </c>
      <c r="J28" s="51"/>
      <c r="K28" s="12" t="s">
        <v>112</v>
      </c>
      <c r="L28" s="12" t="s">
        <v>112</v>
      </c>
      <c r="M28" s="12" t="s">
        <v>112</v>
      </c>
      <c r="N28" s="12" t="s">
        <v>112</v>
      </c>
      <c r="O28" s="12" t="s">
        <v>112</v>
      </c>
      <c r="P28" s="12" t="s">
        <v>112</v>
      </c>
      <c r="Q28" s="51"/>
      <c r="R28" s="12" t="s">
        <v>112</v>
      </c>
      <c r="S28" s="12" t="s">
        <v>112</v>
      </c>
      <c r="T28" s="12" t="s">
        <v>112</v>
      </c>
      <c r="U28" s="12" t="s">
        <v>112</v>
      </c>
      <c r="V28" s="12" t="s">
        <v>112</v>
      </c>
      <c r="W28" s="12" t="s">
        <v>112</v>
      </c>
      <c r="X28" s="51"/>
      <c r="Y28" s="12" t="s">
        <v>112</v>
      </c>
      <c r="Z28" s="12" t="s">
        <v>112</v>
      </c>
      <c r="AA28" s="12" t="s">
        <v>112</v>
      </c>
      <c r="AB28" s="12" t="s">
        <v>111</v>
      </c>
      <c r="AC28" s="12" t="s">
        <v>111</v>
      </c>
      <c r="AD28" s="12" t="s">
        <v>112</v>
      </c>
      <c r="AE28" s="51"/>
      <c r="AF28" s="12" t="s">
        <v>112</v>
      </c>
      <c r="AG28" s="12" t="s">
        <v>112</v>
      </c>
      <c r="AH28" s="12" t="s">
        <v>112</v>
      </c>
      <c r="AI28" s="12" t="s">
        <v>112</v>
      </c>
      <c r="AJ28" s="5">
        <f t="shared" si="1"/>
        <v>25</v>
      </c>
      <c r="AK28" s="5">
        <f t="shared" si="2"/>
        <v>2</v>
      </c>
    </row>
    <row r="29" spans="1:41" ht="16.5" x14ac:dyDescent="0.25">
      <c r="A29" s="13">
        <v>25</v>
      </c>
      <c r="B29" s="8" t="s">
        <v>67</v>
      </c>
      <c r="C29" s="8" t="s">
        <v>68</v>
      </c>
      <c r="D29" s="11" t="s">
        <v>6</v>
      </c>
      <c r="E29" s="26" t="s">
        <v>112</v>
      </c>
      <c r="F29" s="26" t="s">
        <v>112</v>
      </c>
      <c r="G29" s="26" t="s">
        <v>111</v>
      </c>
      <c r="H29" s="26" t="s">
        <v>112</v>
      </c>
      <c r="I29" s="26" t="s">
        <v>112</v>
      </c>
      <c r="J29" s="51"/>
      <c r="K29" s="12" t="s">
        <v>112</v>
      </c>
      <c r="L29" s="12" t="s">
        <v>112</v>
      </c>
      <c r="M29" s="12" t="s">
        <v>112</v>
      </c>
      <c r="N29" s="12" t="s">
        <v>112</v>
      </c>
      <c r="O29" s="12" t="s">
        <v>112</v>
      </c>
      <c r="P29" s="12" t="s">
        <v>112</v>
      </c>
      <c r="Q29" s="51"/>
      <c r="R29" s="12" t="s">
        <v>112</v>
      </c>
      <c r="S29" s="12" t="s">
        <v>112</v>
      </c>
      <c r="T29" s="12" t="s">
        <v>112</v>
      </c>
      <c r="U29" s="12" t="s">
        <v>112</v>
      </c>
      <c r="V29" s="12" t="s">
        <v>112</v>
      </c>
      <c r="W29" s="12" t="s">
        <v>112</v>
      </c>
      <c r="X29" s="51"/>
      <c r="Y29" s="12" t="s">
        <v>112</v>
      </c>
      <c r="Z29" s="12" t="s">
        <v>112</v>
      </c>
      <c r="AA29" s="12" t="s">
        <v>112</v>
      </c>
      <c r="AB29" s="12" t="s">
        <v>112</v>
      </c>
      <c r="AC29" s="12" t="s">
        <v>112</v>
      </c>
      <c r="AD29" s="12" t="s">
        <v>112</v>
      </c>
      <c r="AE29" s="51"/>
      <c r="AF29" s="12" t="s">
        <v>112</v>
      </c>
      <c r="AG29" s="12" t="s">
        <v>112</v>
      </c>
      <c r="AH29" s="12" t="s">
        <v>112</v>
      </c>
      <c r="AI29" s="12" t="s">
        <v>112</v>
      </c>
      <c r="AJ29" s="5">
        <f t="shared" si="1"/>
        <v>26</v>
      </c>
      <c r="AK29" s="5">
        <f t="shared" si="2"/>
        <v>1</v>
      </c>
    </row>
    <row r="30" spans="1:41" ht="16.5" x14ac:dyDescent="0.25">
      <c r="A30" s="13">
        <v>26</v>
      </c>
      <c r="B30" s="8" t="s">
        <v>69</v>
      </c>
      <c r="C30" s="8" t="s">
        <v>70</v>
      </c>
      <c r="D30" s="11" t="s">
        <v>6</v>
      </c>
      <c r="E30" s="26" t="s">
        <v>112</v>
      </c>
      <c r="F30" s="26" t="s">
        <v>112</v>
      </c>
      <c r="G30" s="26" t="s">
        <v>112</v>
      </c>
      <c r="H30" s="26" t="s">
        <v>112</v>
      </c>
      <c r="I30" s="26" t="s">
        <v>112</v>
      </c>
      <c r="J30" s="51"/>
      <c r="K30" s="12" t="s">
        <v>112</v>
      </c>
      <c r="L30" s="12" t="s">
        <v>112</v>
      </c>
      <c r="M30" s="12" t="s">
        <v>112</v>
      </c>
      <c r="N30" s="12" t="s">
        <v>112</v>
      </c>
      <c r="O30" s="12" t="s">
        <v>112</v>
      </c>
      <c r="P30" s="12" t="s">
        <v>112</v>
      </c>
      <c r="Q30" s="51"/>
      <c r="R30" s="12" t="s">
        <v>112</v>
      </c>
      <c r="S30" s="12" t="s">
        <v>112</v>
      </c>
      <c r="T30" s="12" t="s">
        <v>111</v>
      </c>
      <c r="U30" s="12" t="s">
        <v>112</v>
      </c>
      <c r="V30" s="12" t="s">
        <v>112</v>
      </c>
      <c r="W30" s="12" t="s">
        <v>112</v>
      </c>
      <c r="X30" s="51"/>
      <c r="Y30" s="12" t="s">
        <v>112</v>
      </c>
      <c r="Z30" s="12" t="s">
        <v>112</v>
      </c>
      <c r="AA30" s="12" t="s">
        <v>112</v>
      </c>
      <c r="AB30" s="12" t="s">
        <v>112</v>
      </c>
      <c r="AC30" s="12" t="s">
        <v>111</v>
      </c>
      <c r="AD30" s="12" t="s">
        <v>112</v>
      </c>
      <c r="AE30" s="51"/>
      <c r="AF30" s="12" t="s">
        <v>112</v>
      </c>
      <c r="AG30" s="12" t="s">
        <v>112</v>
      </c>
      <c r="AH30" s="12" t="s">
        <v>112</v>
      </c>
      <c r="AI30" s="12" t="s">
        <v>112</v>
      </c>
      <c r="AJ30" s="5">
        <f t="shared" si="1"/>
        <v>25</v>
      </c>
      <c r="AK30" s="5">
        <f t="shared" si="2"/>
        <v>2</v>
      </c>
    </row>
    <row r="31" spans="1:41" ht="16.5" x14ac:dyDescent="0.25">
      <c r="A31" s="13">
        <v>27</v>
      </c>
      <c r="B31" s="8" t="s">
        <v>71</v>
      </c>
      <c r="C31" s="8" t="s">
        <v>72</v>
      </c>
      <c r="D31" s="11" t="s">
        <v>6</v>
      </c>
      <c r="E31" s="26" t="s">
        <v>111</v>
      </c>
      <c r="F31" s="26" t="s">
        <v>111</v>
      </c>
      <c r="G31" s="26" t="s">
        <v>112</v>
      </c>
      <c r="H31" s="26" t="s">
        <v>112</v>
      </c>
      <c r="I31" s="26" t="s">
        <v>112</v>
      </c>
      <c r="J31" s="51"/>
      <c r="K31" s="12" t="s">
        <v>112</v>
      </c>
      <c r="L31" s="12" t="s">
        <v>112</v>
      </c>
      <c r="M31" s="12" t="s">
        <v>112</v>
      </c>
      <c r="N31" s="12" t="s">
        <v>112</v>
      </c>
      <c r="O31" s="12" t="s">
        <v>112</v>
      </c>
      <c r="P31" s="12" t="s">
        <v>112</v>
      </c>
      <c r="Q31" s="51"/>
      <c r="R31" s="12" t="s">
        <v>112</v>
      </c>
      <c r="S31" s="12" t="s">
        <v>112</v>
      </c>
      <c r="T31" s="12" t="s">
        <v>112</v>
      </c>
      <c r="U31" s="12" t="s">
        <v>112</v>
      </c>
      <c r="V31" s="12" t="s">
        <v>112</v>
      </c>
      <c r="W31" s="12" t="s">
        <v>112</v>
      </c>
      <c r="X31" s="51"/>
      <c r="Y31" s="12" t="s">
        <v>112</v>
      </c>
      <c r="Z31" s="12" t="s">
        <v>112</v>
      </c>
      <c r="AA31" s="12" t="s">
        <v>111</v>
      </c>
      <c r="AB31" s="12" t="s">
        <v>112</v>
      </c>
      <c r="AC31" s="12" t="s">
        <v>112</v>
      </c>
      <c r="AD31" s="12" t="s">
        <v>112</v>
      </c>
      <c r="AE31" s="51"/>
      <c r="AF31" s="12" t="s">
        <v>112</v>
      </c>
      <c r="AG31" s="12" t="s">
        <v>112</v>
      </c>
      <c r="AH31" s="12" t="s">
        <v>112</v>
      </c>
      <c r="AI31" s="12" t="s">
        <v>112</v>
      </c>
      <c r="AJ31" s="5">
        <f t="shared" si="1"/>
        <v>24</v>
      </c>
      <c r="AK31" s="5">
        <f t="shared" si="2"/>
        <v>3</v>
      </c>
    </row>
    <row r="32" spans="1:41" ht="16.5" x14ac:dyDescent="0.25">
      <c r="A32" s="13">
        <v>28</v>
      </c>
      <c r="B32" s="8" t="s">
        <v>73</v>
      </c>
      <c r="C32" s="8" t="s">
        <v>74</v>
      </c>
      <c r="D32" s="11" t="s">
        <v>6</v>
      </c>
      <c r="E32" s="26" t="s">
        <v>111</v>
      </c>
      <c r="F32" s="26" t="s">
        <v>112</v>
      </c>
      <c r="G32" s="26" t="s">
        <v>112</v>
      </c>
      <c r="H32" s="26" t="s">
        <v>112</v>
      </c>
      <c r="I32" s="26" t="s">
        <v>112</v>
      </c>
      <c r="J32" s="51"/>
      <c r="K32" s="12" t="s">
        <v>112</v>
      </c>
      <c r="L32" s="12" t="s">
        <v>112</v>
      </c>
      <c r="M32" s="12" t="s">
        <v>112</v>
      </c>
      <c r="N32" s="12" t="s">
        <v>112</v>
      </c>
      <c r="O32" s="12" t="s">
        <v>111</v>
      </c>
      <c r="P32" s="12" t="s">
        <v>111</v>
      </c>
      <c r="Q32" s="51"/>
      <c r="R32" s="12" t="s">
        <v>112</v>
      </c>
      <c r="S32" s="12" t="s">
        <v>112</v>
      </c>
      <c r="T32" s="12" t="s">
        <v>112</v>
      </c>
      <c r="U32" s="12" t="s">
        <v>112</v>
      </c>
      <c r="V32" s="12" t="s">
        <v>112</v>
      </c>
      <c r="W32" s="12" t="s">
        <v>112</v>
      </c>
      <c r="X32" s="51"/>
      <c r="Y32" s="12" t="s">
        <v>111</v>
      </c>
      <c r="Z32" s="12" t="s">
        <v>112</v>
      </c>
      <c r="AA32" s="12" t="s">
        <v>112</v>
      </c>
      <c r="AB32" s="12" t="s">
        <v>112</v>
      </c>
      <c r="AC32" s="12" t="s">
        <v>112</v>
      </c>
      <c r="AD32" s="12" t="s">
        <v>112</v>
      </c>
      <c r="AE32" s="51"/>
      <c r="AF32" s="12" t="s">
        <v>112</v>
      </c>
      <c r="AG32" s="12" t="s">
        <v>112</v>
      </c>
      <c r="AH32" s="12" t="s">
        <v>112</v>
      </c>
      <c r="AI32" s="12" t="s">
        <v>112</v>
      </c>
      <c r="AJ32" s="5">
        <f t="shared" si="1"/>
        <v>23</v>
      </c>
      <c r="AK32" s="5">
        <f t="shared" si="2"/>
        <v>4</v>
      </c>
    </row>
    <row r="33" spans="1:37" ht="16.5" x14ac:dyDescent="0.25">
      <c r="A33" s="13">
        <v>29</v>
      </c>
      <c r="B33" s="8" t="s">
        <v>75</v>
      </c>
      <c r="C33" s="8" t="s">
        <v>76</v>
      </c>
      <c r="D33" s="11" t="s">
        <v>6</v>
      </c>
      <c r="E33" s="26" t="s">
        <v>112</v>
      </c>
      <c r="F33" s="26" t="s">
        <v>112</v>
      </c>
      <c r="G33" s="26" t="s">
        <v>112</v>
      </c>
      <c r="H33" s="26" t="s">
        <v>112</v>
      </c>
      <c r="I33" s="26" t="s">
        <v>112</v>
      </c>
      <c r="J33" s="51"/>
      <c r="K33" s="12" t="s">
        <v>112</v>
      </c>
      <c r="L33" s="12" t="s">
        <v>112</v>
      </c>
      <c r="M33" s="12" t="s">
        <v>112</v>
      </c>
      <c r="N33" s="12" t="s">
        <v>112</v>
      </c>
      <c r="O33" s="12" t="s">
        <v>112</v>
      </c>
      <c r="P33" s="12" t="s">
        <v>112</v>
      </c>
      <c r="Q33" s="51"/>
      <c r="R33" s="12" t="s">
        <v>112</v>
      </c>
      <c r="S33" s="12" t="s">
        <v>112</v>
      </c>
      <c r="T33" s="12" t="s">
        <v>112</v>
      </c>
      <c r="U33" s="12" t="s">
        <v>112</v>
      </c>
      <c r="V33" s="12" t="s">
        <v>112</v>
      </c>
      <c r="W33" s="12" t="s">
        <v>112</v>
      </c>
      <c r="X33" s="51"/>
      <c r="Y33" s="12" t="s">
        <v>112</v>
      </c>
      <c r="Z33" s="12" t="s">
        <v>112</v>
      </c>
      <c r="AA33" s="12" t="s">
        <v>112</v>
      </c>
      <c r="AB33" s="12" t="s">
        <v>112</v>
      </c>
      <c r="AC33" s="12" t="s">
        <v>112</v>
      </c>
      <c r="AD33" s="12" t="s">
        <v>112</v>
      </c>
      <c r="AE33" s="51"/>
      <c r="AF33" s="12" t="s">
        <v>112</v>
      </c>
      <c r="AG33" s="12" t="s">
        <v>112</v>
      </c>
      <c r="AH33" s="12" t="s">
        <v>112</v>
      </c>
      <c r="AI33" s="12" t="s">
        <v>112</v>
      </c>
      <c r="AJ33" s="5">
        <f t="shared" si="1"/>
        <v>27</v>
      </c>
      <c r="AK33" s="5">
        <f t="shared" si="2"/>
        <v>0</v>
      </c>
    </row>
    <row r="34" spans="1:37" ht="16.5" x14ac:dyDescent="0.25">
      <c r="A34" s="13">
        <v>30</v>
      </c>
      <c r="B34" s="8" t="s">
        <v>87</v>
      </c>
      <c r="C34" s="8" t="s">
        <v>76</v>
      </c>
      <c r="D34" s="11" t="s">
        <v>6</v>
      </c>
      <c r="E34" s="26" t="s">
        <v>112</v>
      </c>
      <c r="F34" s="26" t="s">
        <v>112</v>
      </c>
      <c r="G34" s="26" t="s">
        <v>112</v>
      </c>
      <c r="H34" s="26" t="s">
        <v>112</v>
      </c>
      <c r="I34" s="26" t="s">
        <v>112</v>
      </c>
      <c r="J34" s="51"/>
      <c r="K34" s="12" t="s">
        <v>112</v>
      </c>
      <c r="L34" s="12" t="s">
        <v>112</v>
      </c>
      <c r="M34" s="12" t="s">
        <v>112</v>
      </c>
      <c r="N34" s="12" t="s">
        <v>112</v>
      </c>
      <c r="O34" s="12" t="s">
        <v>112</v>
      </c>
      <c r="P34" s="12" t="s">
        <v>112</v>
      </c>
      <c r="Q34" s="51"/>
      <c r="R34" s="12" t="s">
        <v>112</v>
      </c>
      <c r="S34" s="12" t="s">
        <v>112</v>
      </c>
      <c r="T34" s="12" t="s">
        <v>112</v>
      </c>
      <c r="U34" s="12" t="s">
        <v>112</v>
      </c>
      <c r="V34" s="12" t="s">
        <v>112</v>
      </c>
      <c r="W34" s="12" t="s">
        <v>112</v>
      </c>
      <c r="X34" s="51"/>
      <c r="Y34" s="12" t="s">
        <v>112</v>
      </c>
      <c r="Z34" s="12" t="s">
        <v>112</v>
      </c>
      <c r="AA34" s="12" t="s">
        <v>112</v>
      </c>
      <c r="AB34" s="12" t="s">
        <v>112</v>
      </c>
      <c r="AC34" s="12" t="s">
        <v>112</v>
      </c>
      <c r="AD34" s="12" t="s">
        <v>112</v>
      </c>
      <c r="AE34" s="51"/>
      <c r="AF34" s="12" t="s">
        <v>112</v>
      </c>
      <c r="AG34" s="12" t="s">
        <v>112</v>
      </c>
      <c r="AH34" s="12" t="s">
        <v>112</v>
      </c>
      <c r="AI34" s="12" t="s">
        <v>112</v>
      </c>
      <c r="AJ34" s="5">
        <f t="shared" si="1"/>
        <v>27</v>
      </c>
      <c r="AK34" s="5">
        <f t="shared" si="2"/>
        <v>0</v>
      </c>
    </row>
    <row r="35" spans="1:37" ht="16.5" x14ac:dyDescent="0.25">
      <c r="A35" s="13">
        <v>31</v>
      </c>
      <c r="B35" s="8" t="s">
        <v>77</v>
      </c>
      <c r="C35" s="8" t="s">
        <v>78</v>
      </c>
      <c r="D35" s="11" t="s">
        <v>6</v>
      </c>
      <c r="E35" s="26" t="s">
        <v>112</v>
      </c>
      <c r="F35" s="26" t="s">
        <v>112</v>
      </c>
      <c r="G35" s="26" t="s">
        <v>112</v>
      </c>
      <c r="H35" s="26" t="s">
        <v>112</v>
      </c>
      <c r="I35" s="26" t="s">
        <v>111</v>
      </c>
      <c r="J35" s="51"/>
      <c r="K35" s="12" t="s">
        <v>112</v>
      </c>
      <c r="L35" s="12" t="s">
        <v>112</v>
      </c>
      <c r="M35" s="12" t="s">
        <v>112</v>
      </c>
      <c r="N35" s="12" t="s">
        <v>112</v>
      </c>
      <c r="O35" s="12" t="s">
        <v>112</v>
      </c>
      <c r="P35" s="12" t="s">
        <v>112</v>
      </c>
      <c r="Q35" s="51"/>
      <c r="R35" s="12" t="s">
        <v>111</v>
      </c>
      <c r="S35" s="12" t="s">
        <v>112</v>
      </c>
      <c r="T35" s="12" t="s">
        <v>112</v>
      </c>
      <c r="U35" s="12" t="s">
        <v>112</v>
      </c>
      <c r="V35" s="12" t="s">
        <v>112</v>
      </c>
      <c r="W35" s="12" t="s">
        <v>112</v>
      </c>
      <c r="X35" s="51"/>
      <c r="Y35" s="12" t="s">
        <v>112</v>
      </c>
      <c r="Z35" s="12" t="s">
        <v>112</v>
      </c>
      <c r="AA35" s="12" t="s">
        <v>111</v>
      </c>
      <c r="AB35" s="12" t="s">
        <v>112</v>
      </c>
      <c r="AC35" s="12" t="s">
        <v>112</v>
      </c>
      <c r="AD35" s="12" t="s">
        <v>112</v>
      </c>
      <c r="AE35" s="51"/>
      <c r="AF35" s="12" t="s">
        <v>112</v>
      </c>
      <c r="AG35" s="12" t="s">
        <v>112</v>
      </c>
      <c r="AH35" s="12" t="s">
        <v>112</v>
      </c>
      <c r="AI35" s="12" t="s">
        <v>112</v>
      </c>
      <c r="AJ35" s="5">
        <f t="shared" si="1"/>
        <v>24</v>
      </c>
      <c r="AK35" s="5">
        <f t="shared" si="2"/>
        <v>3</v>
      </c>
    </row>
    <row r="36" spans="1:37" ht="16.5" x14ac:dyDescent="0.25">
      <c r="A36" s="13">
        <v>32</v>
      </c>
      <c r="B36" s="8" t="s">
        <v>79</v>
      </c>
      <c r="C36" s="8" t="s">
        <v>80</v>
      </c>
      <c r="D36" s="11" t="s">
        <v>6</v>
      </c>
      <c r="E36" s="26" t="s">
        <v>112</v>
      </c>
      <c r="F36" s="26" t="s">
        <v>112</v>
      </c>
      <c r="G36" s="26" t="s">
        <v>112</v>
      </c>
      <c r="H36" s="26" t="s">
        <v>112</v>
      </c>
      <c r="I36" s="26" t="s">
        <v>112</v>
      </c>
      <c r="J36" s="51"/>
      <c r="K36" s="12" t="s">
        <v>112</v>
      </c>
      <c r="L36" s="12" t="s">
        <v>112</v>
      </c>
      <c r="M36" s="12" t="s">
        <v>112</v>
      </c>
      <c r="N36" s="12" t="s">
        <v>112</v>
      </c>
      <c r="O36" s="12" t="s">
        <v>112</v>
      </c>
      <c r="P36" s="12" t="s">
        <v>112</v>
      </c>
      <c r="Q36" s="51"/>
      <c r="R36" s="12" t="s">
        <v>112</v>
      </c>
      <c r="S36" s="12" t="s">
        <v>112</v>
      </c>
      <c r="T36" s="12" t="s">
        <v>112</v>
      </c>
      <c r="U36" s="12" t="s">
        <v>112</v>
      </c>
      <c r="V36" s="12" t="s">
        <v>112</v>
      </c>
      <c r="W36" s="12" t="s">
        <v>112</v>
      </c>
      <c r="X36" s="51"/>
      <c r="Y36" s="12" t="s">
        <v>112</v>
      </c>
      <c r="Z36" s="12" t="s">
        <v>112</v>
      </c>
      <c r="AA36" s="12" t="s">
        <v>112</v>
      </c>
      <c r="AB36" s="12" t="s">
        <v>112</v>
      </c>
      <c r="AC36" s="12" t="s">
        <v>112</v>
      </c>
      <c r="AD36" s="12" t="s">
        <v>111</v>
      </c>
      <c r="AE36" s="51"/>
      <c r="AF36" s="12" t="s">
        <v>112</v>
      </c>
      <c r="AG36" s="12" t="s">
        <v>112</v>
      </c>
      <c r="AH36" s="12" t="s">
        <v>112</v>
      </c>
      <c r="AI36" s="12" t="s">
        <v>112</v>
      </c>
      <c r="AJ36" s="5">
        <f t="shared" si="1"/>
        <v>26</v>
      </c>
      <c r="AK36" s="5">
        <f t="shared" si="2"/>
        <v>1</v>
      </c>
    </row>
    <row r="37" spans="1:37" ht="16.5" x14ac:dyDescent="0.25">
      <c r="A37" s="13">
        <v>33</v>
      </c>
      <c r="B37" s="8" t="s">
        <v>81</v>
      </c>
      <c r="C37" s="8" t="s">
        <v>82</v>
      </c>
      <c r="D37" s="11" t="s">
        <v>6</v>
      </c>
      <c r="E37" s="26" t="s">
        <v>111</v>
      </c>
      <c r="F37" s="26" t="s">
        <v>111</v>
      </c>
      <c r="G37" s="26" t="s">
        <v>111</v>
      </c>
      <c r="H37" s="26" t="s">
        <v>111</v>
      </c>
      <c r="I37" s="26" t="s">
        <v>111</v>
      </c>
      <c r="J37" s="51"/>
      <c r="K37" s="12" t="s">
        <v>112</v>
      </c>
      <c r="L37" s="12" t="s">
        <v>112</v>
      </c>
      <c r="M37" s="12" t="s">
        <v>112</v>
      </c>
      <c r="N37" s="12" t="s">
        <v>112</v>
      </c>
      <c r="O37" s="12" t="s">
        <v>112</v>
      </c>
      <c r="P37" s="12" t="s">
        <v>112</v>
      </c>
      <c r="Q37" s="51"/>
      <c r="R37" s="12" t="s">
        <v>111</v>
      </c>
      <c r="S37" s="12" t="s">
        <v>112</v>
      </c>
      <c r="T37" s="12" t="s">
        <v>112</v>
      </c>
      <c r="U37" s="12" t="s">
        <v>112</v>
      </c>
      <c r="V37" s="12" t="s">
        <v>112</v>
      </c>
      <c r="W37" s="12" t="s">
        <v>112</v>
      </c>
      <c r="X37" s="51"/>
      <c r="Y37" s="12" t="s">
        <v>112</v>
      </c>
      <c r="Z37" s="12" t="s">
        <v>112</v>
      </c>
      <c r="AA37" s="12" t="s">
        <v>112</v>
      </c>
      <c r="AB37" s="12" t="s">
        <v>112</v>
      </c>
      <c r="AC37" s="12" t="s">
        <v>111</v>
      </c>
      <c r="AD37" s="12" t="s">
        <v>112</v>
      </c>
      <c r="AE37" s="51"/>
      <c r="AF37" s="12" t="s">
        <v>112</v>
      </c>
      <c r="AG37" s="12" t="s">
        <v>112</v>
      </c>
      <c r="AH37" s="12" t="s">
        <v>112</v>
      </c>
      <c r="AI37" s="12" t="s">
        <v>112</v>
      </c>
      <c r="AJ37" s="5">
        <f t="shared" si="1"/>
        <v>20</v>
      </c>
      <c r="AK37" s="5">
        <f t="shared" si="2"/>
        <v>7</v>
      </c>
    </row>
    <row r="38" spans="1:37" ht="16.5" x14ac:dyDescent="0.25">
      <c r="A38" s="13">
        <v>34</v>
      </c>
      <c r="B38" s="8" t="s">
        <v>83</v>
      </c>
      <c r="C38" s="8" t="s">
        <v>84</v>
      </c>
      <c r="D38" s="11" t="s">
        <v>6</v>
      </c>
      <c r="E38" s="26" t="s">
        <v>111</v>
      </c>
      <c r="F38" s="26" t="s">
        <v>111</v>
      </c>
      <c r="G38" s="26" t="s">
        <v>111</v>
      </c>
      <c r="H38" s="26" t="s">
        <v>111</v>
      </c>
      <c r="I38" s="26" t="s">
        <v>111</v>
      </c>
      <c r="J38" s="51"/>
      <c r="K38" s="12" t="s">
        <v>111</v>
      </c>
      <c r="L38" s="12" t="s">
        <v>112</v>
      </c>
      <c r="M38" s="12" t="s">
        <v>112</v>
      </c>
      <c r="N38" s="12" t="s">
        <v>112</v>
      </c>
      <c r="O38" s="12" t="s">
        <v>112</v>
      </c>
      <c r="P38" s="12" t="s">
        <v>112</v>
      </c>
      <c r="Q38" s="51"/>
      <c r="R38" s="12" t="s">
        <v>112</v>
      </c>
      <c r="S38" s="12" t="s">
        <v>112</v>
      </c>
      <c r="T38" s="12" t="s">
        <v>112</v>
      </c>
      <c r="U38" s="12" t="s">
        <v>111</v>
      </c>
      <c r="V38" s="12" t="s">
        <v>112</v>
      </c>
      <c r="W38" s="12" t="s">
        <v>112</v>
      </c>
      <c r="X38" s="51"/>
      <c r="Y38" s="12" t="s">
        <v>112</v>
      </c>
      <c r="Z38" s="12" t="s">
        <v>112</v>
      </c>
      <c r="AA38" s="12" t="s">
        <v>112</v>
      </c>
      <c r="AB38" s="12" t="s">
        <v>112</v>
      </c>
      <c r="AC38" s="12" t="s">
        <v>112</v>
      </c>
      <c r="AD38" s="12" t="s">
        <v>111</v>
      </c>
      <c r="AE38" s="51"/>
      <c r="AF38" s="12" t="s">
        <v>112</v>
      </c>
      <c r="AG38" s="12" t="s">
        <v>112</v>
      </c>
      <c r="AH38" s="12" t="s">
        <v>112</v>
      </c>
      <c r="AI38" s="12" t="s">
        <v>112</v>
      </c>
      <c r="AJ38" s="5">
        <f t="shared" si="1"/>
        <v>19</v>
      </c>
      <c r="AK38" s="5">
        <f t="shared" si="2"/>
        <v>8</v>
      </c>
    </row>
    <row r="39" spans="1:37" ht="16.5" x14ac:dyDescent="0.25">
      <c r="A39" s="13">
        <v>35</v>
      </c>
      <c r="B39" s="8" t="s">
        <v>85</v>
      </c>
      <c r="C39" s="8" t="s">
        <v>86</v>
      </c>
      <c r="D39" s="11" t="s">
        <v>6</v>
      </c>
      <c r="E39" s="26" t="s">
        <v>112</v>
      </c>
      <c r="F39" s="26" t="s">
        <v>112</v>
      </c>
      <c r="G39" s="26" t="s">
        <v>111</v>
      </c>
      <c r="H39" s="26" t="s">
        <v>112</v>
      </c>
      <c r="I39" s="26" t="s">
        <v>112</v>
      </c>
      <c r="J39" s="51"/>
      <c r="K39" s="12" t="s">
        <v>112</v>
      </c>
      <c r="L39" s="12" t="s">
        <v>112</v>
      </c>
      <c r="M39" s="12" t="s">
        <v>111</v>
      </c>
      <c r="N39" s="12" t="s">
        <v>111</v>
      </c>
      <c r="O39" s="12" t="s">
        <v>112</v>
      </c>
      <c r="P39" s="12" t="s">
        <v>111</v>
      </c>
      <c r="Q39" s="51"/>
      <c r="R39" s="12" t="s">
        <v>112</v>
      </c>
      <c r="S39" s="12" t="s">
        <v>112</v>
      </c>
      <c r="T39" s="12" t="s">
        <v>112</v>
      </c>
      <c r="U39" s="12" t="s">
        <v>112</v>
      </c>
      <c r="V39" s="12" t="s">
        <v>112</v>
      </c>
      <c r="W39" s="12" t="s">
        <v>112</v>
      </c>
      <c r="X39" s="51"/>
      <c r="Y39" s="12" t="s">
        <v>112</v>
      </c>
      <c r="Z39" s="12" t="s">
        <v>112</v>
      </c>
      <c r="AA39" s="12" t="s">
        <v>111</v>
      </c>
      <c r="AB39" s="12" t="s">
        <v>112</v>
      </c>
      <c r="AC39" s="12" t="s">
        <v>111</v>
      </c>
      <c r="AD39" s="12" t="s">
        <v>112</v>
      </c>
      <c r="AE39" s="51"/>
      <c r="AF39" s="12" t="s">
        <v>112</v>
      </c>
      <c r="AG39" s="12" t="s">
        <v>111</v>
      </c>
      <c r="AH39" s="12" t="s">
        <v>111</v>
      </c>
      <c r="AI39" s="12" t="s">
        <v>111</v>
      </c>
      <c r="AJ39" s="5">
        <f t="shared" si="1"/>
        <v>18</v>
      </c>
      <c r="AK39" s="5">
        <f t="shared" si="2"/>
        <v>9</v>
      </c>
    </row>
    <row r="40" spans="1:37" ht="16.5" x14ac:dyDescent="0.25">
      <c r="A40" s="13">
        <v>36</v>
      </c>
      <c r="B40" s="8" t="s">
        <v>88</v>
      </c>
      <c r="C40" s="8" t="s">
        <v>89</v>
      </c>
      <c r="D40" s="11" t="s">
        <v>6</v>
      </c>
      <c r="E40" s="26" t="s">
        <v>111</v>
      </c>
      <c r="F40" s="26" t="s">
        <v>113</v>
      </c>
      <c r="G40" s="26" t="s">
        <v>112</v>
      </c>
      <c r="H40" s="26" t="s">
        <v>112</v>
      </c>
      <c r="I40" s="26" t="s">
        <v>112</v>
      </c>
      <c r="J40" s="51"/>
      <c r="K40" s="12" t="s">
        <v>112</v>
      </c>
      <c r="L40" s="12" t="s">
        <v>112</v>
      </c>
      <c r="M40" s="12" t="s">
        <v>111</v>
      </c>
      <c r="N40" s="12" t="s">
        <v>112</v>
      </c>
      <c r="O40" s="12" t="s">
        <v>111</v>
      </c>
      <c r="P40" s="12" t="s">
        <v>112</v>
      </c>
      <c r="Q40" s="51"/>
      <c r="R40" s="12" t="s">
        <v>112</v>
      </c>
      <c r="S40" s="12" t="s">
        <v>112</v>
      </c>
      <c r="T40" s="12" t="s">
        <v>112</v>
      </c>
      <c r="U40" s="12" t="s">
        <v>112</v>
      </c>
      <c r="V40" s="12" t="s">
        <v>112</v>
      </c>
      <c r="W40" s="12" t="s">
        <v>112</v>
      </c>
      <c r="X40" s="51"/>
      <c r="Y40" s="12" t="s">
        <v>112</v>
      </c>
      <c r="Z40" s="12" t="s">
        <v>112</v>
      </c>
      <c r="AA40" s="12" t="s">
        <v>112</v>
      </c>
      <c r="AB40" s="12" t="s">
        <v>112</v>
      </c>
      <c r="AC40" s="12" t="s">
        <v>112</v>
      </c>
      <c r="AD40" s="12" t="s">
        <v>112</v>
      </c>
      <c r="AE40" s="51"/>
      <c r="AF40" s="12" t="s">
        <v>112</v>
      </c>
      <c r="AG40" s="12" t="s">
        <v>112</v>
      </c>
      <c r="AH40" s="12" t="s">
        <v>112</v>
      </c>
      <c r="AI40" s="12" t="s">
        <v>112</v>
      </c>
      <c r="AJ40" s="5">
        <f t="shared" si="1"/>
        <v>23</v>
      </c>
      <c r="AK40" s="5">
        <f t="shared" si="2"/>
        <v>3</v>
      </c>
    </row>
    <row r="41" spans="1:37" ht="16.5" x14ac:dyDescent="0.25">
      <c r="A41" s="13">
        <v>37</v>
      </c>
      <c r="B41" s="8" t="s">
        <v>90</v>
      </c>
      <c r="C41" s="8"/>
      <c r="D41" s="11" t="s">
        <v>6</v>
      </c>
      <c r="E41" s="26" t="s">
        <v>111</v>
      </c>
      <c r="F41" s="26" t="s">
        <v>113</v>
      </c>
      <c r="G41" s="26" t="s">
        <v>112</v>
      </c>
      <c r="H41" s="26" t="s">
        <v>112</v>
      </c>
      <c r="I41" s="26" t="s">
        <v>112</v>
      </c>
      <c r="J41" s="51"/>
      <c r="K41" s="12" t="s">
        <v>112</v>
      </c>
      <c r="L41" s="12" t="s">
        <v>112</v>
      </c>
      <c r="M41" s="12" t="s">
        <v>112</v>
      </c>
      <c r="N41" s="12" t="s">
        <v>112</v>
      </c>
      <c r="O41" s="12" t="s">
        <v>112</v>
      </c>
      <c r="P41" s="12" t="s">
        <v>112</v>
      </c>
      <c r="Q41" s="51"/>
      <c r="R41" s="12" t="s">
        <v>112</v>
      </c>
      <c r="S41" s="12" t="s">
        <v>112</v>
      </c>
      <c r="T41" s="12" t="s">
        <v>112</v>
      </c>
      <c r="U41" s="12" t="s">
        <v>112</v>
      </c>
      <c r="V41" s="12" t="s">
        <v>112</v>
      </c>
      <c r="W41" s="12" t="s">
        <v>112</v>
      </c>
      <c r="X41" s="51"/>
      <c r="Y41" s="12" t="s">
        <v>112</v>
      </c>
      <c r="Z41" s="12" t="s">
        <v>112</v>
      </c>
      <c r="AA41" s="12" t="s">
        <v>111</v>
      </c>
      <c r="AB41" s="12" t="s">
        <v>112</v>
      </c>
      <c r="AC41" s="12" t="s">
        <v>112</v>
      </c>
      <c r="AD41" s="12" t="s">
        <v>112</v>
      </c>
      <c r="AE41" s="51"/>
      <c r="AF41" s="12" t="s">
        <v>112</v>
      </c>
      <c r="AG41" s="12" t="s">
        <v>112</v>
      </c>
      <c r="AH41" s="12" t="s">
        <v>112</v>
      </c>
      <c r="AI41" s="12" t="s">
        <v>112</v>
      </c>
      <c r="AJ41" s="5">
        <f t="shared" si="1"/>
        <v>24</v>
      </c>
      <c r="AK41" s="5">
        <f t="shared" si="2"/>
        <v>2</v>
      </c>
    </row>
    <row r="42" spans="1:37" ht="16.5" x14ac:dyDescent="0.25">
      <c r="A42" s="13">
        <v>38</v>
      </c>
      <c r="B42" s="8" t="s">
        <v>91</v>
      </c>
      <c r="C42" s="8" t="s">
        <v>92</v>
      </c>
      <c r="D42" s="11" t="s">
        <v>6</v>
      </c>
      <c r="E42" s="26" t="s">
        <v>112</v>
      </c>
      <c r="F42" s="26" t="s">
        <v>112</v>
      </c>
      <c r="G42" s="26" t="s">
        <v>112</v>
      </c>
      <c r="H42" s="26" t="s">
        <v>112</v>
      </c>
      <c r="I42" s="26" t="s">
        <v>112</v>
      </c>
      <c r="J42" s="51"/>
      <c r="K42" s="12" t="s">
        <v>112</v>
      </c>
      <c r="L42" s="12" t="s">
        <v>112</v>
      </c>
      <c r="M42" s="12" t="s">
        <v>112</v>
      </c>
      <c r="N42" s="12" t="s">
        <v>112</v>
      </c>
      <c r="O42" s="12" t="s">
        <v>112</v>
      </c>
      <c r="P42" s="12" t="s">
        <v>112</v>
      </c>
      <c r="Q42" s="51"/>
      <c r="R42" s="12" t="s">
        <v>112</v>
      </c>
      <c r="S42" s="12" t="s">
        <v>112</v>
      </c>
      <c r="T42" s="12" t="s">
        <v>112</v>
      </c>
      <c r="U42" s="12" t="s">
        <v>112</v>
      </c>
      <c r="V42" s="12" t="s">
        <v>112</v>
      </c>
      <c r="W42" s="12" t="s">
        <v>112</v>
      </c>
      <c r="X42" s="51"/>
      <c r="Y42" s="12" t="s">
        <v>112</v>
      </c>
      <c r="Z42" s="12" t="s">
        <v>112</v>
      </c>
      <c r="AA42" s="12" t="s">
        <v>112</v>
      </c>
      <c r="AB42" s="12" t="s">
        <v>112</v>
      </c>
      <c r="AC42" s="12" t="s">
        <v>112</v>
      </c>
      <c r="AD42" s="12" t="s">
        <v>112</v>
      </c>
      <c r="AE42" s="51"/>
      <c r="AF42" s="12" t="s">
        <v>112</v>
      </c>
      <c r="AG42" s="12" t="s">
        <v>112</v>
      </c>
      <c r="AH42" s="12" t="s">
        <v>112</v>
      </c>
      <c r="AI42" s="12" t="s">
        <v>112</v>
      </c>
      <c r="AJ42" s="5">
        <f t="shared" si="1"/>
        <v>27</v>
      </c>
      <c r="AK42" s="5">
        <f t="shared" si="2"/>
        <v>0</v>
      </c>
    </row>
    <row r="43" spans="1:37" ht="16.5" x14ac:dyDescent="0.25">
      <c r="A43" s="13">
        <v>39</v>
      </c>
      <c r="B43" s="8" t="s">
        <v>93</v>
      </c>
      <c r="C43" s="8" t="s">
        <v>94</v>
      </c>
      <c r="D43" s="11" t="s">
        <v>6</v>
      </c>
      <c r="E43" s="26" t="s">
        <v>112</v>
      </c>
      <c r="F43" s="26" t="s">
        <v>112</v>
      </c>
      <c r="G43" s="26" t="s">
        <v>112</v>
      </c>
      <c r="H43" s="26" t="s">
        <v>112</v>
      </c>
      <c r="I43" s="26" t="s">
        <v>111</v>
      </c>
      <c r="J43" s="51"/>
      <c r="K43" s="12" t="s">
        <v>112</v>
      </c>
      <c r="L43" s="12" t="s">
        <v>112</v>
      </c>
      <c r="M43" s="12" t="s">
        <v>112</v>
      </c>
      <c r="N43" s="12" t="s">
        <v>112</v>
      </c>
      <c r="O43" s="12" t="s">
        <v>111</v>
      </c>
      <c r="P43" s="12" t="s">
        <v>112</v>
      </c>
      <c r="Q43" s="51"/>
      <c r="R43" s="12" t="s">
        <v>112</v>
      </c>
      <c r="S43" s="12" t="s">
        <v>112</v>
      </c>
      <c r="T43" s="12" t="s">
        <v>112</v>
      </c>
      <c r="U43" s="12" t="s">
        <v>111</v>
      </c>
      <c r="V43" s="12" t="s">
        <v>112</v>
      </c>
      <c r="W43" s="12" t="s">
        <v>112</v>
      </c>
      <c r="X43" s="51"/>
      <c r="Y43" s="12" t="s">
        <v>112</v>
      </c>
      <c r="Z43" s="12" t="s">
        <v>112</v>
      </c>
      <c r="AA43" s="12" t="s">
        <v>112</v>
      </c>
      <c r="AB43" s="12" t="s">
        <v>111</v>
      </c>
      <c r="AC43" s="12" t="s">
        <v>111</v>
      </c>
      <c r="AD43" s="12" t="s">
        <v>112</v>
      </c>
      <c r="AE43" s="51"/>
      <c r="AF43" s="12" t="s">
        <v>111</v>
      </c>
      <c r="AG43" s="12" t="s">
        <v>111</v>
      </c>
      <c r="AH43" s="12" t="s">
        <v>112</v>
      </c>
      <c r="AI43" s="12" t="s">
        <v>112</v>
      </c>
      <c r="AJ43" s="5">
        <f t="shared" si="1"/>
        <v>20</v>
      </c>
      <c r="AK43" s="5">
        <f t="shared" si="2"/>
        <v>7</v>
      </c>
    </row>
    <row r="44" spans="1:37" ht="16.5" x14ac:dyDescent="0.25">
      <c r="A44" s="13">
        <v>40</v>
      </c>
      <c r="B44" s="8" t="s">
        <v>95</v>
      </c>
      <c r="C44" s="8" t="s">
        <v>96</v>
      </c>
      <c r="D44" s="11" t="s">
        <v>6</v>
      </c>
      <c r="E44" s="26" t="s">
        <v>112</v>
      </c>
      <c r="F44" s="26" t="s">
        <v>112</v>
      </c>
      <c r="G44" s="26" t="s">
        <v>112</v>
      </c>
      <c r="H44" s="26" t="s">
        <v>112</v>
      </c>
      <c r="I44" s="26" t="s">
        <v>111</v>
      </c>
      <c r="J44" s="51"/>
      <c r="K44" s="12" t="s">
        <v>112</v>
      </c>
      <c r="L44" s="12" t="s">
        <v>112</v>
      </c>
      <c r="M44" s="12" t="s">
        <v>112</v>
      </c>
      <c r="N44" s="12" t="s">
        <v>112</v>
      </c>
      <c r="O44" s="12" t="s">
        <v>112</v>
      </c>
      <c r="P44" s="12" t="s">
        <v>112</v>
      </c>
      <c r="Q44" s="51"/>
      <c r="R44" s="12" t="s">
        <v>112</v>
      </c>
      <c r="S44" s="12" t="s">
        <v>112</v>
      </c>
      <c r="T44" s="12" t="s">
        <v>112</v>
      </c>
      <c r="U44" s="12" t="s">
        <v>111</v>
      </c>
      <c r="V44" s="12" t="s">
        <v>112</v>
      </c>
      <c r="W44" s="12" t="s">
        <v>112</v>
      </c>
      <c r="X44" s="51"/>
      <c r="Y44" s="12" t="s">
        <v>112</v>
      </c>
      <c r="Z44" s="12" t="s">
        <v>112</v>
      </c>
      <c r="AA44" s="12" t="s">
        <v>112</v>
      </c>
      <c r="AB44" s="12" t="s">
        <v>112</v>
      </c>
      <c r="AC44" s="12" t="s">
        <v>112</v>
      </c>
      <c r="AD44" s="12" t="s">
        <v>112</v>
      </c>
      <c r="AE44" s="51"/>
      <c r="AF44" s="12" t="s">
        <v>112</v>
      </c>
      <c r="AG44" s="12" t="s">
        <v>112</v>
      </c>
      <c r="AH44" s="12" t="s">
        <v>112</v>
      </c>
      <c r="AI44" s="12" t="s">
        <v>112</v>
      </c>
      <c r="AJ44" s="5">
        <f t="shared" si="1"/>
        <v>25</v>
      </c>
      <c r="AK44" s="5">
        <f t="shared" si="2"/>
        <v>2</v>
      </c>
    </row>
    <row r="45" spans="1:37" ht="16.5" x14ac:dyDescent="0.25">
      <c r="A45" s="13">
        <v>41</v>
      </c>
      <c r="B45" s="8" t="s">
        <v>97</v>
      </c>
      <c r="C45" s="8" t="s">
        <v>98</v>
      </c>
      <c r="D45" s="11" t="s">
        <v>6</v>
      </c>
      <c r="E45" s="26" t="s">
        <v>112</v>
      </c>
      <c r="F45" s="26" t="s">
        <v>112</v>
      </c>
      <c r="G45" s="26" t="s">
        <v>112</v>
      </c>
      <c r="H45" s="26" t="s">
        <v>112</v>
      </c>
      <c r="I45" s="26" t="s">
        <v>112</v>
      </c>
      <c r="J45" s="51"/>
      <c r="K45" s="12" t="s">
        <v>111</v>
      </c>
      <c r="L45" s="12" t="s">
        <v>111</v>
      </c>
      <c r="M45" s="12" t="s">
        <v>112</v>
      </c>
      <c r="N45" s="12" t="s">
        <v>112</v>
      </c>
      <c r="O45" s="12" t="s">
        <v>111</v>
      </c>
      <c r="P45" s="12" t="s">
        <v>112</v>
      </c>
      <c r="Q45" s="51"/>
      <c r="R45" s="12" t="s">
        <v>112</v>
      </c>
      <c r="S45" s="12" t="s">
        <v>112</v>
      </c>
      <c r="T45" s="12" t="s">
        <v>112</v>
      </c>
      <c r="U45" s="12" t="s">
        <v>112</v>
      </c>
      <c r="V45" s="12" t="s">
        <v>112</v>
      </c>
      <c r="W45" s="12" t="s">
        <v>112</v>
      </c>
      <c r="X45" s="51"/>
      <c r="Y45" s="12" t="s">
        <v>111</v>
      </c>
      <c r="Z45" s="12" t="s">
        <v>111</v>
      </c>
      <c r="AA45" s="12" t="s">
        <v>112</v>
      </c>
      <c r="AB45" s="12" t="s">
        <v>112</v>
      </c>
      <c r="AC45" s="12" t="s">
        <v>112</v>
      </c>
      <c r="AD45" s="12" t="s">
        <v>111</v>
      </c>
      <c r="AE45" s="51"/>
      <c r="AF45" s="12" t="s">
        <v>112</v>
      </c>
      <c r="AG45" s="12" t="s">
        <v>112</v>
      </c>
      <c r="AH45" s="12" t="s">
        <v>112</v>
      </c>
      <c r="AI45" s="12" t="s">
        <v>111</v>
      </c>
      <c r="AJ45" s="5">
        <f t="shared" si="1"/>
        <v>20</v>
      </c>
      <c r="AK45" s="5">
        <f t="shared" si="2"/>
        <v>7</v>
      </c>
    </row>
    <row r="46" spans="1:37" ht="16.5" x14ac:dyDescent="0.25">
      <c r="A46" s="13">
        <v>42</v>
      </c>
      <c r="B46" s="8" t="s">
        <v>100</v>
      </c>
      <c r="C46" s="8" t="s">
        <v>101</v>
      </c>
      <c r="D46" s="11" t="s">
        <v>6</v>
      </c>
      <c r="E46" s="26" t="s">
        <v>112</v>
      </c>
      <c r="F46" s="26" t="s">
        <v>112</v>
      </c>
      <c r="G46" s="26" t="s">
        <v>112</v>
      </c>
      <c r="H46" s="26" t="s">
        <v>112</v>
      </c>
      <c r="I46" s="26" t="s">
        <v>112</v>
      </c>
      <c r="J46" s="51"/>
      <c r="K46" s="12" t="s">
        <v>112</v>
      </c>
      <c r="L46" s="12" t="s">
        <v>112</v>
      </c>
      <c r="M46" s="12" t="s">
        <v>112</v>
      </c>
      <c r="N46" s="12" t="s">
        <v>112</v>
      </c>
      <c r="O46" s="12" t="s">
        <v>112</v>
      </c>
      <c r="P46" s="12" t="s">
        <v>111</v>
      </c>
      <c r="Q46" s="51"/>
      <c r="R46" s="12" t="s">
        <v>112</v>
      </c>
      <c r="S46" s="12" t="s">
        <v>112</v>
      </c>
      <c r="T46" s="12" t="s">
        <v>112</v>
      </c>
      <c r="U46" s="12" t="s">
        <v>112</v>
      </c>
      <c r="V46" s="12" t="s">
        <v>112</v>
      </c>
      <c r="W46" s="12" t="s">
        <v>112</v>
      </c>
      <c r="X46" s="51"/>
      <c r="Y46" s="12" t="s">
        <v>112</v>
      </c>
      <c r="Z46" s="12" t="s">
        <v>112</v>
      </c>
      <c r="AA46" s="12" t="s">
        <v>112</v>
      </c>
      <c r="AB46" s="12" t="s">
        <v>112</v>
      </c>
      <c r="AC46" s="12" t="s">
        <v>112</v>
      </c>
      <c r="AD46" s="12" t="s">
        <v>112</v>
      </c>
      <c r="AE46" s="51"/>
      <c r="AF46" s="12" t="s">
        <v>112</v>
      </c>
      <c r="AG46" s="12" t="s">
        <v>112</v>
      </c>
      <c r="AH46" s="12" t="s">
        <v>112</v>
      </c>
      <c r="AI46" s="12" t="s">
        <v>112</v>
      </c>
      <c r="AJ46" s="5">
        <f t="shared" si="1"/>
        <v>26</v>
      </c>
      <c r="AK46" s="5">
        <f t="shared" si="2"/>
        <v>1</v>
      </c>
    </row>
    <row r="47" spans="1:37" ht="16.5" x14ac:dyDescent="0.25">
      <c r="A47" s="13">
        <v>43</v>
      </c>
      <c r="B47" s="8" t="s">
        <v>99</v>
      </c>
      <c r="C47" s="8" t="s">
        <v>102</v>
      </c>
      <c r="D47" s="11" t="s">
        <v>6</v>
      </c>
      <c r="E47" s="26" t="s">
        <v>112</v>
      </c>
      <c r="F47" s="26" t="s">
        <v>112</v>
      </c>
      <c r="G47" s="26" t="s">
        <v>112</v>
      </c>
      <c r="H47" s="26" t="s">
        <v>112</v>
      </c>
      <c r="I47" s="26" t="s">
        <v>111</v>
      </c>
      <c r="J47" s="51"/>
      <c r="K47" s="12" t="s">
        <v>112</v>
      </c>
      <c r="L47" s="12" t="s">
        <v>112</v>
      </c>
      <c r="M47" s="12" t="s">
        <v>112</v>
      </c>
      <c r="N47" s="12" t="s">
        <v>112</v>
      </c>
      <c r="O47" s="12" t="s">
        <v>112</v>
      </c>
      <c r="P47" s="12" t="s">
        <v>112</v>
      </c>
      <c r="Q47" s="51"/>
      <c r="R47" s="12" t="s">
        <v>112</v>
      </c>
      <c r="S47" s="12" t="s">
        <v>112</v>
      </c>
      <c r="T47" s="12" t="s">
        <v>112</v>
      </c>
      <c r="U47" s="12" t="s">
        <v>112</v>
      </c>
      <c r="V47" s="12" t="s">
        <v>112</v>
      </c>
      <c r="W47" s="12" t="s">
        <v>112</v>
      </c>
      <c r="X47" s="51"/>
      <c r="Y47" s="12" t="s">
        <v>112</v>
      </c>
      <c r="Z47" s="12" t="s">
        <v>112</v>
      </c>
      <c r="AA47" s="12" t="s">
        <v>112</v>
      </c>
      <c r="AB47" s="12" t="s">
        <v>112</v>
      </c>
      <c r="AC47" s="12" t="s">
        <v>112</v>
      </c>
      <c r="AD47" s="12" t="s">
        <v>111</v>
      </c>
      <c r="AE47" s="51"/>
      <c r="AF47" s="12" t="s">
        <v>112</v>
      </c>
      <c r="AG47" s="12" t="s">
        <v>112</v>
      </c>
      <c r="AH47" s="12" t="s">
        <v>112</v>
      </c>
      <c r="AI47" s="12" t="s">
        <v>112</v>
      </c>
      <c r="AJ47" s="5">
        <f t="shared" si="1"/>
        <v>25</v>
      </c>
      <c r="AK47" s="5">
        <f t="shared" si="2"/>
        <v>2</v>
      </c>
    </row>
    <row r="48" spans="1:37" ht="16.5" x14ac:dyDescent="0.25">
      <c r="A48" s="13">
        <v>44</v>
      </c>
      <c r="B48" s="8" t="s">
        <v>105</v>
      </c>
      <c r="C48" s="8" t="s">
        <v>106</v>
      </c>
      <c r="D48" s="11" t="s">
        <v>6</v>
      </c>
      <c r="E48" s="26" t="s">
        <v>112</v>
      </c>
      <c r="F48" s="26" t="s">
        <v>111</v>
      </c>
      <c r="G48" s="26" t="s">
        <v>112</v>
      </c>
      <c r="H48" s="26" t="s">
        <v>112</v>
      </c>
      <c r="I48" s="26" t="s">
        <v>111</v>
      </c>
      <c r="J48" s="51"/>
      <c r="K48" s="12" t="s">
        <v>112</v>
      </c>
      <c r="L48" s="12" t="s">
        <v>112</v>
      </c>
      <c r="M48" s="12" t="s">
        <v>112</v>
      </c>
      <c r="N48" s="12" t="s">
        <v>112</v>
      </c>
      <c r="O48" s="12" t="s">
        <v>112</v>
      </c>
      <c r="P48" s="12" t="s">
        <v>112</v>
      </c>
      <c r="Q48" s="51"/>
      <c r="R48" s="12" t="s">
        <v>112</v>
      </c>
      <c r="S48" s="12" t="s">
        <v>112</v>
      </c>
      <c r="T48" s="12" t="s">
        <v>112</v>
      </c>
      <c r="U48" s="12" t="s">
        <v>112</v>
      </c>
      <c r="V48" s="12" t="s">
        <v>111</v>
      </c>
      <c r="W48" s="12" t="s">
        <v>112</v>
      </c>
      <c r="X48" s="51"/>
      <c r="Y48" s="12" t="s">
        <v>112</v>
      </c>
      <c r="Z48" s="12" t="s">
        <v>112</v>
      </c>
      <c r="AA48" s="12" t="s">
        <v>112</v>
      </c>
      <c r="AB48" s="12" t="s">
        <v>111</v>
      </c>
      <c r="AC48" s="12" t="s">
        <v>111</v>
      </c>
      <c r="AD48" s="12" t="s">
        <v>112</v>
      </c>
      <c r="AE48" s="51"/>
      <c r="AF48" s="12" t="s">
        <v>112</v>
      </c>
      <c r="AG48" s="12" t="s">
        <v>112</v>
      </c>
      <c r="AH48" s="12" t="s">
        <v>112</v>
      </c>
      <c r="AI48" s="12" t="s">
        <v>112</v>
      </c>
      <c r="AJ48" s="5">
        <f t="shared" si="1"/>
        <v>22</v>
      </c>
      <c r="AK48" s="5">
        <f t="shared" si="2"/>
        <v>5</v>
      </c>
    </row>
    <row r="49" spans="1:37" ht="16.5" x14ac:dyDescent="0.25">
      <c r="A49" s="13">
        <v>45</v>
      </c>
      <c r="B49" s="8" t="s">
        <v>107</v>
      </c>
      <c r="C49" s="8" t="s">
        <v>108</v>
      </c>
      <c r="D49" s="11" t="s">
        <v>6</v>
      </c>
      <c r="E49" s="26" t="s">
        <v>112</v>
      </c>
      <c r="F49" s="26" t="s">
        <v>112</v>
      </c>
      <c r="G49" s="26" t="s">
        <v>112</v>
      </c>
      <c r="H49" s="26" t="s">
        <v>112</v>
      </c>
      <c r="I49" s="26" t="s">
        <v>112</v>
      </c>
      <c r="J49" s="51"/>
      <c r="K49" s="12" t="s">
        <v>112</v>
      </c>
      <c r="L49" s="12" t="s">
        <v>112</v>
      </c>
      <c r="M49" s="12" t="s">
        <v>112</v>
      </c>
      <c r="N49" s="12" t="s">
        <v>112</v>
      </c>
      <c r="O49" s="12" t="s">
        <v>112</v>
      </c>
      <c r="P49" s="12" t="s">
        <v>112</v>
      </c>
      <c r="Q49" s="51"/>
      <c r="R49" s="12" t="s">
        <v>112</v>
      </c>
      <c r="S49" s="12" t="s">
        <v>112</v>
      </c>
      <c r="T49" s="12" t="s">
        <v>112</v>
      </c>
      <c r="U49" s="12" t="s">
        <v>112</v>
      </c>
      <c r="V49" s="12" t="s">
        <v>111</v>
      </c>
      <c r="W49" s="12" t="s">
        <v>112</v>
      </c>
      <c r="X49" s="51"/>
      <c r="Y49" s="12" t="s">
        <v>112</v>
      </c>
      <c r="Z49" s="12" t="s">
        <v>112</v>
      </c>
      <c r="AA49" s="12" t="s">
        <v>112</v>
      </c>
      <c r="AB49" s="12" t="s">
        <v>112</v>
      </c>
      <c r="AC49" s="12" t="s">
        <v>111</v>
      </c>
      <c r="AD49" s="12" t="s">
        <v>112</v>
      </c>
      <c r="AE49" s="51"/>
      <c r="AF49" s="12" t="s">
        <v>112</v>
      </c>
      <c r="AG49" s="12" t="s">
        <v>112</v>
      </c>
      <c r="AH49" s="12" t="s">
        <v>112</v>
      </c>
      <c r="AI49" s="12" t="s">
        <v>112</v>
      </c>
      <c r="AJ49" s="5">
        <f t="shared" si="1"/>
        <v>25</v>
      </c>
      <c r="AK49" s="5">
        <f t="shared" si="2"/>
        <v>2</v>
      </c>
    </row>
    <row r="50" spans="1:37" ht="16.5" x14ac:dyDescent="0.25">
      <c r="A50" s="13">
        <v>46</v>
      </c>
      <c r="B50" s="8" t="s">
        <v>109</v>
      </c>
      <c r="C50" s="8" t="s">
        <v>110</v>
      </c>
      <c r="D50" s="11" t="s">
        <v>6</v>
      </c>
      <c r="E50" s="26" t="s">
        <v>112</v>
      </c>
      <c r="F50" s="26" t="s">
        <v>111</v>
      </c>
      <c r="G50" s="26" t="s">
        <v>112</v>
      </c>
      <c r="H50" s="26" t="s">
        <v>112</v>
      </c>
      <c r="I50" s="26" t="s">
        <v>111</v>
      </c>
      <c r="J50" s="51"/>
      <c r="K50" s="12" t="s">
        <v>112</v>
      </c>
      <c r="L50" s="12" t="s">
        <v>112</v>
      </c>
      <c r="M50" s="12" t="s">
        <v>112</v>
      </c>
      <c r="N50" s="12" t="s">
        <v>111</v>
      </c>
      <c r="O50" s="12" t="s">
        <v>111</v>
      </c>
      <c r="P50" s="12" t="s">
        <v>111</v>
      </c>
      <c r="Q50" s="51"/>
      <c r="R50" s="12" t="s">
        <v>111</v>
      </c>
      <c r="S50" s="12" t="s">
        <v>111</v>
      </c>
      <c r="T50" s="12" t="s">
        <v>112</v>
      </c>
      <c r="U50" s="12" t="s">
        <v>112</v>
      </c>
      <c r="V50" s="12" t="s">
        <v>112</v>
      </c>
      <c r="W50" s="12" t="s">
        <v>111</v>
      </c>
      <c r="X50" s="51"/>
      <c r="Y50" s="12" t="s">
        <v>112</v>
      </c>
      <c r="Z50" s="12" t="s">
        <v>112</v>
      </c>
      <c r="AA50" s="12" t="s">
        <v>112</v>
      </c>
      <c r="AB50" s="12" t="s">
        <v>112</v>
      </c>
      <c r="AC50" s="12" t="s">
        <v>111</v>
      </c>
      <c r="AD50" s="12" t="s">
        <v>112</v>
      </c>
      <c r="AE50" s="51"/>
      <c r="AF50" s="12" t="s">
        <v>112</v>
      </c>
      <c r="AG50" s="12" t="s">
        <v>112</v>
      </c>
      <c r="AH50" s="12" t="s">
        <v>112</v>
      </c>
      <c r="AI50" s="12" t="s">
        <v>112</v>
      </c>
      <c r="AJ50" s="5">
        <f t="shared" si="1"/>
        <v>18</v>
      </c>
      <c r="AK50" s="5">
        <f t="shared" si="2"/>
        <v>9</v>
      </c>
    </row>
    <row r="51" spans="1:37" ht="16.5" x14ac:dyDescent="0.25">
      <c r="A51" s="13">
        <v>47</v>
      </c>
      <c r="B51" s="23" t="s">
        <v>114</v>
      </c>
      <c r="C51" s="23" t="s">
        <v>27</v>
      </c>
      <c r="D51" s="11" t="s">
        <v>6</v>
      </c>
      <c r="E51" s="26" t="s">
        <v>112</v>
      </c>
      <c r="F51" s="26" t="s">
        <v>112</v>
      </c>
      <c r="G51" s="26" t="s">
        <v>112</v>
      </c>
      <c r="H51" s="26" t="s">
        <v>112</v>
      </c>
      <c r="I51" s="26" t="s">
        <v>112</v>
      </c>
      <c r="J51" s="51"/>
      <c r="K51" s="12" t="s">
        <v>112</v>
      </c>
      <c r="L51" s="12" t="s">
        <v>112</v>
      </c>
      <c r="M51" s="12" t="s">
        <v>112</v>
      </c>
      <c r="N51" s="12" t="s">
        <v>112</v>
      </c>
      <c r="O51" s="12" t="s">
        <v>111</v>
      </c>
      <c r="P51" s="12" t="s">
        <v>112</v>
      </c>
      <c r="Q51" s="51"/>
      <c r="R51" s="12" t="s">
        <v>112</v>
      </c>
      <c r="S51" s="12" t="s">
        <v>112</v>
      </c>
      <c r="T51" s="12" t="s">
        <v>112</v>
      </c>
      <c r="U51" s="12" t="s">
        <v>112</v>
      </c>
      <c r="V51" s="12" t="s">
        <v>112</v>
      </c>
      <c r="W51" s="12" t="s">
        <v>112</v>
      </c>
      <c r="X51" s="51"/>
      <c r="Y51" s="12" t="s">
        <v>112</v>
      </c>
      <c r="Z51" s="12" t="s">
        <v>112</v>
      </c>
      <c r="AA51" s="12" t="s">
        <v>112</v>
      </c>
      <c r="AB51" s="12" t="s">
        <v>112</v>
      </c>
      <c r="AC51" s="12" t="s">
        <v>112</v>
      </c>
      <c r="AD51" s="12" t="s">
        <v>112</v>
      </c>
      <c r="AE51" s="51"/>
      <c r="AF51" s="12" t="s">
        <v>112</v>
      </c>
      <c r="AG51" s="12" t="s">
        <v>112</v>
      </c>
      <c r="AH51" s="12" t="s">
        <v>112</v>
      </c>
      <c r="AI51" s="12" t="s">
        <v>112</v>
      </c>
      <c r="AJ51" s="5">
        <f t="shared" si="1"/>
        <v>26</v>
      </c>
      <c r="AK51" s="5">
        <f t="shared" si="2"/>
        <v>1</v>
      </c>
    </row>
    <row r="52" spans="1:37" ht="16.5" x14ac:dyDescent="0.25">
      <c r="A52" s="13">
        <v>48</v>
      </c>
      <c r="B52" s="23" t="s">
        <v>103</v>
      </c>
      <c r="C52" s="23" t="s">
        <v>104</v>
      </c>
      <c r="D52" s="11" t="s">
        <v>6</v>
      </c>
      <c r="E52" s="26" t="s">
        <v>112</v>
      </c>
      <c r="F52" s="26" t="s">
        <v>112</v>
      </c>
      <c r="G52" s="26" t="s">
        <v>112</v>
      </c>
      <c r="H52" s="26" t="s">
        <v>112</v>
      </c>
      <c r="I52" s="26" t="s">
        <v>112</v>
      </c>
      <c r="J52" s="51"/>
      <c r="K52" s="12" t="s">
        <v>112</v>
      </c>
      <c r="L52" s="12" t="s">
        <v>112</v>
      </c>
      <c r="M52" s="12" t="s">
        <v>112</v>
      </c>
      <c r="N52" s="12" t="s">
        <v>112</v>
      </c>
      <c r="O52" s="12" t="s">
        <v>112</v>
      </c>
      <c r="P52" s="12" t="s">
        <v>112</v>
      </c>
      <c r="Q52" s="51"/>
      <c r="R52" s="12" t="s">
        <v>112</v>
      </c>
      <c r="S52" s="12" t="s">
        <v>112</v>
      </c>
      <c r="T52" s="12" t="s">
        <v>112</v>
      </c>
      <c r="U52" s="12" t="s">
        <v>112</v>
      </c>
      <c r="V52" s="12" t="s">
        <v>112</v>
      </c>
      <c r="W52" s="12" t="s">
        <v>112</v>
      </c>
      <c r="X52" s="51"/>
      <c r="Y52" s="12" t="s">
        <v>112</v>
      </c>
      <c r="Z52" s="12" t="s">
        <v>112</v>
      </c>
      <c r="AA52" s="12" t="s">
        <v>112</v>
      </c>
      <c r="AB52" s="12" t="s">
        <v>112</v>
      </c>
      <c r="AC52" s="12" t="s">
        <v>112</v>
      </c>
      <c r="AD52" s="12" t="s">
        <v>112</v>
      </c>
      <c r="AE52" s="51"/>
      <c r="AF52" s="12" t="s">
        <v>112</v>
      </c>
      <c r="AG52" s="12" t="s">
        <v>112</v>
      </c>
      <c r="AH52" s="12" t="s">
        <v>112</v>
      </c>
      <c r="AI52" s="12" t="s">
        <v>112</v>
      </c>
      <c r="AJ52" s="5">
        <f t="shared" si="1"/>
        <v>27</v>
      </c>
      <c r="AK52" s="5">
        <f t="shared" si="2"/>
        <v>0</v>
      </c>
    </row>
    <row r="53" spans="1:37" ht="16.5" x14ac:dyDescent="0.25">
      <c r="A53" s="13">
        <v>49</v>
      </c>
      <c r="B53" s="23" t="s">
        <v>117</v>
      </c>
      <c r="C53" s="23" t="s">
        <v>118</v>
      </c>
      <c r="D53" s="11" t="s">
        <v>6</v>
      </c>
      <c r="E53" s="26" t="s">
        <v>112</v>
      </c>
      <c r="F53" s="26" t="s">
        <v>112</v>
      </c>
      <c r="G53" s="26" t="s">
        <v>112</v>
      </c>
      <c r="H53" s="26" t="s">
        <v>112</v>
      </c>
      <c r="I53" s="26" t="s">
        <v>112</v>
      </c>
      <c r="J53" s="51"/>
      <c r="K53" s="12" t="s">
        <v>112</v>
      </c>
      <c r="L53" s="12" t="s">
        <v>112</v>
      </c>
      <c r="M53" s="12" t="s">
        <v>112</v>
      </c>
      <c r="N53" s="12" t="s">
        <v>112</v>
      </c>
      <c r="O53" s="12" t="s">
        <v>112</v>
      </c>
      <c r="P53" s="12" t="s">
        <v>112</v>
      </c>
      <c r="Q53" s="51"/>
      <c r="R53" s="12" t="s">
        <v>112</v>
      </c>
      <c r="S53" s="12" t="s">
        <v>112</v>
      </c>
      <c r="T53" s="12" t="s">
        <v>112</v>
      </c>
      <c r="U53" s="12" t="s">
        <v>113</v>
      </c>
      <c r="V53" s="12" t="s">
        <v>113</v>
      </c>
      <c r="W53" s="12" t="s">
        <v>113</v>
      </c>
      <c r="X53" s="51"/>
      <c r="Y53" s="12" t="s">
        <v>112</v>
      </c>
      <c r="Z53" s="12" t="s">
        <v>112</v>
      </c>
      <c r="AA53" s="12" t="s">
        <v>112</v>
      </c>
      <c r="AB53" s="12" t="s">
        <v>112</v>
      </c>
      <c r="AC53" s="12" t="s">
        <v>112</v>
      </c>
      <c r="AD53" s="12" t="s">
        <v>112</v>
      </c>
      <c r="AE53" s="51"/>
      <c r="AF53" s="12" t="s">
        <v>112</v>
      </c>
      <c r="AG53" s="12" t="s">
        <v>112</v>
      </c>
      <c r="AH53" s="12" t="s">
        <v>112</v>
      </c>
      <c r="AI53" s="12" t="s">
        <v>112</v>
      </c>
      <c r="AJ53" s="5">
        <f t="shared" si="1"/>
        <v>24</v>
      </c>
      <c r="AK53" s="5">
        <f t="shared" si="2"/>
        <v>0</v>
      </c>
    </row>
    <row r="54" spans="1:37" ht="16.5" x14ac:dyDescent="0.25">
      <c r="A54" s="13">
        <v>50</v>
      </c>
      <c r="B54" s="23" t="s">
        <v>120</v>
      </c>
      <c r="C54" s="23" t="s">
        <v>121</v>
      </c>
      <c r="D54" s="11" t="s">
        <v>6</v>
      </c>
      <c r="E54" s="26" t="s">
        <v>112</v>
      </c>
      <c r="F54" s="26" t="s">
        <v>112</v>
      </c>
      <c r="G54" s="26" t="s">
        <v>112</v>
      </c>
      <c r="H54" s="26" t="s">
        <v>112</v>
      </c>
      <c r="I54" s="26" t="s">
        <v>111</v>
      </c>
      <c r="J54" s="51"/>
      <c r="K54" s="12" t="s">
        <v>112</v>
      </c>
      <c r="L54" s="12" t="s">
        <v>112</v>
      </c>
      <c r="M54" s="12" t="s">
        <v>112</v>
      </c>
      <c r="N54" s="12" t="s">
        <v>112</v>
      </c>
      <c r="O54" s="12" t="s">
        <v>112</v>
      </c>
      <c r="P54" s="12" t="s">
        <v>111</v>
      </c>
      <c r="Q54" s="51"/>
      <c r="R54" s="12" t="s">
        <v>112</v>
      </c>
      <c r="S54" s="12" t="s">
        <v>112</v>
      </c>
      <c r="T54" s="12" t="s">
        <v>112</v>
      </c>
      <c r="U54" s="12" t="s">
        <v>112</v>
      </c>
      <c r="V54" s="12" t="s">
        <v>112</v>
      </c>
      <c r="W54" s="12" t="s">
        <v>112</v>
      </c>
      <c r="X54" s="51"/>
      <c r="Y54" s="12" t="s">
        <v>112</v>
      </c>
      <c r="Z54" s="12" t="s">
        <v>112</v>
      </c>
      <c r="AA54" s="12" t="s">
        <v>112</v>
      </c>
      <c r="AB54" s="12" t="s">
        <v>112</v>
      </c>
      <c r="AC54" s="12" t="s">
        <v>113</v>
      </c>
      <c r="AD54" s="12" t="s">
        <v>112</v>
      </c>
      <c r="AE54" s="51"/>
      <c r="AF54" s="12" t="s">
        <v>112</v>
      </c>
      <c r="AG54" s="12" t="s">
        <v>112</v>
      </c>
      <c r="AH54" s="12" t="s">
        <v>112</v>
      </c>
      <c r="AI54" s="12" t="s">
        <v>112</v>
      </c>
      <c r="AJ54" s="5">
        <f t="shared" si="1"/>
        <v>24</v>
      </c>
      <c r="AK54" s="5">
        <f t="shared" si="2"/>
        <v>2</v>
      </c>
    </row>
    <row r="55" spans="1:37" ht="16.5" x14ac:dyDescent="0.25">
      <c r="A55" s="13">
        <v>51</v>
      </c>
      <c r="B55" s="23" t="s">
        <v>122</v>
      </c>
      <c r="C55" s="23"/>
      <c r="D55" s="11" t="s">
        <v>6</v>
      </c>
      <c r="E55" s="26" t="s">
        <v>124</v>
      </c>
      <c r="F55" s="26" t="s">
        <v>124</v>
      </c>
      <c r="G55" s="26" t="s">
        <v>124</v>
      </c>
      <c r="H55" s="26" t="s">
        <v>112</v>
      </c>
      <c r="I55" s="26" t="s">
        <v>111</v>
      </c>
      <c r="J55" s="51"/>
      <c r="K55" s="12" t="s">
        <v>111</v>
      </c>
      <c r="L55" s="12" t="s">
        <v>111</v>
      </c>
      <c r="M55" s="12" t="s">
        <v>111</v>
      </c>
      <c r="N55" s="12" t="s">
        <v>112</v>
      </c>
      <c r="O55" s="12" t="s">
        <v>112</v>
      </c>
      <c r="P55" s="12" t="s">
        <v>112</v>
      </c>
      <c r="Q55" s="51"/>
      <c r="R55" s="12" t="s">
        <v>112</v>
      </c>
      <c r="S55" s="12" t="s">
        <v>112</v>
      </c>
      <c r="T55" s="12" t="s">
        <v>112</v>
      </c>
      <c r="U55" s="12" t="s">
        <v>112</v>
      </c>
      <c r="V55" s="12" t="s">
        <v>112</v>
      </c>
      <c r="W55" s="12" t="s">
        <v>112</v>
      </c>
      <c r="X55" s="51"/>
      <c r="Y55" s="12" t="s">
        <v>112</v>
      </c>
      <c r="Z55" s="12" t="s">
        <v>112</v>
      </c>
      <c r="AA55" s="12" t="s">
        <v>112</v>
      </c>
      <c r="AB55" s="12" t="s">
        <v>112</v>
      </c>
      <c r="AC55" s="12" t="s">
        <v>112</v>
      </c>
      <c r="AD55" s="12" t="s">
        <v>112</v>
      </c>
      <c r="AE55" s="51"/>
      <c r="AF55" s="12" t="s">
        <v>112</v>
      </c>
      <c r="AG55" s="12" t="s">
        <v>112</v>
      </c>
      <c r="AH55" s="12" t="s">
        <v>112</v>
      </c>
      <c r="AI55" s="12" t="s">
        <v>111</v>
      </c>
      <c r="AJ55" s="5">
        <f t="shared" si="1"/>
        <v>19</v>
      </c>
      <c r="AK55" s="5">
        <f t="shared" si="2"/>
        <v>5</v>
      </c>
    </row>
    <row r="56" spans="1:37" ht="16.5" x14ac:dyDescent="0.25">
      <c r="A56" s="13">
        <v>52</v>
      </c>
      <c r="B56" s="23" t="s">
        <v>123</v>
      </c>
      <c r="C56" s="23"/>
      <c r="D56" s="11" t="s">
        <v>6</v>
      </c>
      <c r="E56" s="26" t="s">
        <v>124</v>
      </c>
      <c r="F56" s="26" t="s">
        <v>124</v>
      </c>
      <c r="G56" s="26" t="s">
        <v>124</v>
      </c>
      <c r="H56" s="26" t="s">
        <v>124</v>
      </c>
      <c r="I56" s="26" t="s">
        <v>124</v>
      </c>
      <c r="J56" s="51"/>
      <c r="K56" s="12" t="s">
        <v>112</v>
      </c>
      <c r="L56" s="12" t="s">
        <v>111</v>
      </c>
      <c r="M56" s="12" t="s">
        <v>111</v>
      </c>
      <c r="N56" s="12" t="s">
        <v>112</v>
      </c>
      <c r="O56" s="12" t="s">
        <v>111</v>
      </c>
      <c r="P56" s="12" t="s">
        <v>111</v>
      </c>
      <c r="Q56" s="51"/>
      <c r="R56" s="12" t="s">
        <v>111</v>
      </c>
      <c r="S56" s="12" t="s">
        <v>111</v>
      </c>
      <c r="T56" s="12" t="s">
        <v>111</v>
      </c>
      <c r="U56" s="12" t="s">
        <v>112</v>
      </c>
      <c r="V56" s="12" t="s">
        <v>112</v>
      </c>
      <c r="W56" s="12" t="s">
        <v>111</v>
      </c>
      <c r="X56" s="51"/>
      <c r="Y56" s="12" t="s">
        <v>112</v>
      </c>
      <c r="Z56" s="12" t="s">
        <v>112</v>
      </c>
      <c r="AA56" s="12" t="s">
        <v>112</v>
      </c>
      <c r="AB56" s="12" t="s">
        <v>112</v>
      </c>
      <c r="AC56" s="12" t="s">
        <v>111</v>
      </c>
      <c r="AD56" s="12" t="s">
        <v>111</v>
      </c>
      <c r="AE56" s="51"/>
      <c r="AF56" s="12" t="s">
        <v>111</v>
      </c>
      <c r="AG56" s="12" t="s">
        <v>112</v>
      </c>
      <c r="AH56" s="12" t="s">
        <v>112</v>
      </c>
      <c r="AI56" s="12" t="s">
        <v>111</v>
      </c>
      <c r="AJ56" s="5">
        <f t="shared" si="1"/>
        <v>10</v>
      </c>
      <c r="AK56" s="5">
        <f t="shared" si="2"/>
        <v>12</v>
      </c>
    </row>
  </sheetData>
  <mergeCells count="15">
    <mergeCell ref="AJ3:AJ4"/>
    <mergeCell ref="AK3:AK4"/>
    <mergeCell ref="AL3:AM3"/>
    <mergeCell ref="J5:J56"/>
    <mergeCell ref="Q5:Q56"/>
    <mergeCell ref="X5:X56"/>
    <mergeCell ref="AE5:AE56"/>
    <mergeCell ref="AL9:AO9"/>
    <mergeCell ref="AL17:AO17"/>
    <mergeCell ref="A1:AI1"/>
    <mergeCell ref="A2:AI2"/>
    <mergeCell ref="A3:A4"/>
    <mergeCell ref="B3:B4"/>
    <mergeCell ref="C3:C4"/>
    <mergeCell ref="D3:D4"/>
  </mergeCells>
  <conditionalFormatting sqref="E3:AI5 E6:I56 K6:P56 R6:W56 Y6:AD56 AF6:AI56">
    <cfRule type="expression" dxfId="220" priority="16">
      <formula>E$3="Sun"</formula>
    </cfRule>
  </conditionalFormatting>
  <conditionalFormatting sqref="E4:AI5 E6:I56 K6:P56 R6:W56 Y6:AD56 AF6:AI56">
    <cfRule type="expression" dxfId="219" priority="15">
      <formula>IF(E$4=TODAY(),TRUE,FALSE)</formula>
    </cfRule>
  </conditionalFormatting>
  <conditionalFormatting sqref="E5:AI5 E6:I56 K6:P56 R6:W56 Y6:AD56 AF6:AI56">
    <cfRule type="cellIs" dxfId="218" priority="8" operator="equal">
      <formula>"A"</formula>
    </cfRule>
    <cfRule type="cellIs" dxfId="217" priority="9" operator="equal">
      <formula>"P"</formula>
    </cfRule>
  </conditionalFormatting>
  <conditionalFormatting sqref="AJ3:AK3 AJ5:AK56">
    <cfRule type="expression" dxfId="216" priority="17">
      <formula>#REF!="Sun"</formula>
    </cfRule>
  </conditionalFormatting>
  <conditionalFormatting sqref="AL5:AL7">
    <cfRule type="expression" dxfId="215" priority="5">
      <formula>AL$3="Sun"</formula>
    </cfRule>
  </conditionalFormatting>
  <conditionalFormatting sqref="AL10:AL13">
    <cfRule type="expression" dxfId="214" priority="2">
      <formula>AL$3="Sun"</formula>
    </cfRule>
  </conditionalFormatting>
  <conditionalFormatting sqref="AL18:AL21">
    <cfRule type="expression" dxfId="213" priority="1">
      <formula>AL$3="Sun"</formula>
    </cfRule>
  </conditionalFormatting>
  <conditionalFormatting sqref="AL4:AM4">
    <cfRule type="expression" dxfId="212" priority="6">
      <formula>AL$3="Sun"</formula>
    </cfRule>
  </conditionalFormatting>
  <conditionalFormatting sqref="AM10:AO10 AM18:AO18">
    <cfRule type="expression" dxfId="211" priority="7">
      <formula>AM$3="Sun"</formula>
    </cfRule>
  </conditionalFormatting>
  <conditionalFormatting sqref="AO19">
    <cfRule type="expression" dxfId="210" priority="4">
      <formula>AO$3="Sun"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B94F-7F73-4FE3-92F0-A3CC04B37436}">
  <dimension ref="A1:AP60"/>
  <sheetViews>
    <sheetView topLeftCell="F1" workbookViewId="0">
      <selection activeCell="AN11" sqref="AN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4.570312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19" width="3.85546875" style="1"/>
    <col min="20" max="20" width="4.5703125" style="1" bestFit="1" customWidth="1"/>
    <col min="21" max="21" width="3.85546875" style="1"/>
    <col min="22" max="22" width="4.7109375" style="1" bestFit="1" customWidth="1"/>
    <col min="23" max="23" width="3.85546875" style="1"/>
    <col min="24" max="25" width="3.7109375" style="1" bestFit="1" customWidth="1"/>
    <col min="26" max="26" width="3.85546875" style="1"/>
    <col min="27" max="27" width="4.5703125" style="1" bestFit="1" customWidth="1"/>
    <col min="28" max="28" width="4.5703125" style="1" customWidth="1"/>
    <col min="29" max="29" width="3.85546875" style="1"/>
    <col min="30" max="30" width="4.7109375" style="1" bestFit="1" customWidth="1"/>
    <col min="31" max="31" width="3.85546875" style="1"/>
    <col min="32" max="33" width="3.7109375" style="1" bestFit="1" customWidth="1"/>
    <col min="34" max="34" width="3.85546875" style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2" ht="17.25" x14ac:dyDescent="0.25">
      <c r="A1" s="56" t="s">
        <v>18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8"/>
      <c r="AL1"/>
      <c r="AM1"/>
      <c r="AN1"/>
      <c r="AO1"/>
      <c r="AP1"/>
    </row>
    <row r="2" spans="1:42" ht="17.25" x14ac:dyDescent="0.3">
      <c r="A2" s="53" t="s">
        <v>119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5"/>
      <c r="AL2"/>
      <c r="AM2"/>
      <c r="AN2"/>
      <c r="AO2"/>
      <c r="AP2"/>
    </row>
    <row r="3" spans="1:42" ht="15.75" x14ac:dyDescent="0.25">
      <c r="A3" s="47" t="s">
        <v>0</v>
      </c>
      <c r="B3" s="47" t="s">
        <v>1</v>
      </c>
      <c r="C3" s="47" t="s">
        <v>2</v>
      </c>
      <c r="D3" s="47" t="s">
        <v>3</v>
      </c>
      <c r="E3" s="2" t="str">
        <f t="shared" ref="E3:AI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48" t="s">
        <v>4</v>
      </c>
      <c r="AK3" s="48" t="s">
        <v>5</v>
      </c>
      <c r="AL3" s="49" t="s">
        <v>126</v>
      </c>
      <c r="AM3" s="50"/>
      <c r="AN3" s="3"/>
      <c r="AO3" s="3"/>
    </row>
    <row r="4" spans="1:42" ht="34.5" x14ac:dyDescent="0.25">
      <c r="A4" s="47"/>
      <c r="B4" s="47"/>
      <c r="C4" s="47"/>
      <c r="D4" s="47"/>
      <c r="E4" s="20">
        <v>45566</v>
      </c>
      <c r="F4" s="20">
        <v>45567</v>
      </c>
      <c r="G4" s="20">
        <v>45568</v>
      </c>
      <c r="H4" s="20">
        <v>45569</v>
      </c>
      <c r="I4" s="20">
        <v>45570</v>
      </c>
      <c r="J4" s="20">
        <v>45571</v>
      </c>
      <c r="K4" s="20">
        <v>45572</v>
      </c>
      <c r="L4" s="20">
        <v>45573</v>
      </c>
      <c r="M4" s="20">
        <v>45574</v>
      </c>
      <c r="N4" s="20">
        <v>45575</v>
      </c>
      <c r="O4" s="20">
        <v>45576</v>
      </c>
      <c r="P4" s="20">
        <v>45577</v>
      </c>
      <c r="Q4" s="20">
        <v>45578</v>
      </c>
      <c r="R4" s="20">
        <v>45579</v>
      </c>
      <c r="S4" s="20">
        <v>45580</v>
      </c>
      <c r="T4" s="20">
        <v>45581</v>
      </c>
      <c r="U4" s="20">
        <v>45582</v>
      </c>
      <c r="V4" s="20">
        <v>45583</v>
      </c>
      <c r="W4" s="20">
        <v>45584</v>
      </c>
      <c r="X4" s="20">
        <v>45585</v>
      </c>
      <c r="Y4" s="20">
        <v>45586</v>
      </c>
      <c r="Z4" s="20">
        <v>45587</v>
      </c>
      <c r="AA4" s="20">
        <v>45588</v>
      </c>
      <c r="AB4" s="20">
        <v>45589</v>
      </c>
      <c r="AC4" s="20">
        <v>45590</v>
      </c>
      <c r="AD4" s="20">
        <v>45591</v>
      </c>
      <c r="AE4" s="20">
        <v>45592</v>
      </c>
      <c r="AF4" s="20">
        <v>45593</v>
      </c>
      <c r="AG4" s="20">
        <v>45594</v>
      </c>
      <c r="AH4" s="20">
        <v>45595</v>
      </c>
      <c r="AI4" s="20">
        <v>45596</v>
      </c>
      <c r="AJ4" s="48"/>
      <c r="AK4" s="48"/>
      <c r="AL4" s="5" t="s">
        <v>127</v>
      </c>
      <c r="AM4" s="5">
        <f>SUM(AM5:AM7)</f>
        <v>31</v>
      </c>
      <c r="AN4" s="3"/>
      <c r="AO4" s="3"/>
    </row>
    <row r="5" spans="1:42" ht="16.5" customHeight="1" x14ac:dyDescent="0.25">
      <c r="A5" s="13">
        <v>1</v>
      </c>
      <c r="B5" s="8" t="s">
        <v>129</v>
      </c>
      <c r="C5" s="8" t="s">
        <v>130</v>
      </c>
      <c r="D5" s="11" t="s">
        <v>6</v>
      </c>
      <c r="E5" s="26" t="s">
        <v>112</v>
      </c>
      <c r="F5" s="26" t="s">
        <v>112</v>
      </c>
      <c r="G5" s="26" t="s">
        <v>112</v>
      </c>
      <c r="H5" s="26" t="s">
        <v>112</v>
      </c>
      <c r="I5" s="26" t="s">
        <v>111</v>
      </c>
      <c r="J5" s="59" t="s">
        <v>131</v>
      </c>
      <c r="K5" s="12" t="s">
        <v>112</v>
      </c>
      <c r="L5" s="12" t="s">
        <v>112</v>
      </c>
      <c r="M5" s="12" t="s">
        <v>112</v>
      </c>
      <c r="N5" s="12" t="s">
        <v>112</v>
      </c>
      <c r="O5" s="12" t="s">
        <v>112</v>
      </c>
      <c r="P5" s="12" t="s">
        <v>112</v>
      </c>
      <c r="Q5" s="59" t="s">
        <v>131</v>
      </c>
      <c r="R5" s="12" t="s">
        <v>112</v>
      </c>
      <c r="S5" s="12" t="s">
        <v>112</v>
      </c>
      <c r="T5" s="12" t="s">
        <v>112</v>
      </c>
      <c r="U5" s="12" t="s">
        <v>112</v>
      </c>
      <c r="V5" s="12" t="s">
        <v>112</v>
      </c>
      <c r="W5" s="12" t="s">
        <v>112</v>
      </c>
      <c r="X5" s="59" t="s">
        <v>131</v>
      </c>
      <c r="Y5" s="12" t="s">
        <v>112</v>
      </c>
      <c r="Z5" s="12" t="s">
        <v>112</v>
      </c>
      <c r="AA5" s="12" t="s">
        <v>112</v>
      </c>
      <c r="AB5" s="12" t="s">
        <v>112</v>
      </c>
      <c r="AC5" s="12" t="s">
        <v>112</v>
      </c>
      <c r="AD5" s="12" t="s">
        <v>112</v>
      </c>
      <c r="AE5" s="59" t="s">
        <v>131</v>
      </c>
      <c r="AF5" s="12" t="s">
        <v>112</v>
      </c>
      <c r="AG5" s="12" t="s">
        <v>112</v>
      </c>
      <c r="AH5" s="12" t="s">
        <v>112</v>
      </c>
      <c r="AI5" s="12" t="s">
        <v>112</v>
      </c>
      <c r="AJ5" s="5">
        <f t="shared" ref="AJ5:AJ60" si="1">COUNTIF(E5:AI5,"P")</f>
        <v>26</v>
      </c>
      <c r="AK5" s="5">
        <f t="shared" ref="AK5:AK60" si="2">COUNTIF(E5:AI5,"A")</f>
        <v>1</v>
      </c>
      <c r="AL5" s="5" t="s">
        <v>7</v>
      </c>
      <c r="AM5" s="13">
        <v>27</v>
      </c>
      <c r="AN5" s="14"/>
      <c r="AO5" s="3"/>
    </row>
    <row r="6" spans="1:42" ht="16.5" x14ac:dyDescent="0.25">
      <c r="A6" s="13">
        <v>2</v>
      </c>
      <c r="B6" s="8" t="s">
        <v>132</v>
      </c>
      <c r="C6" s="8" t="s">
        <v>133</v>
      </c>
      <c r="D6" s="11" t="s">
        <v>6</v>
      </c>
      <c r="E6" s="26" t="s">
        <v>112</v>
      </c>
      <c r="F6" s="26" t="s">
        <v>112</v>
      </c>
      <c r="G6" s="26" t="s">
        <v>112</v>
      </c>
      <c r="H6" s="26" t="s">
        <v>112</v>
      </c>
      <c r="I6" s="26" t="s">
        <v>112</v>
      </c>
      <c r="J6" s="60"/>
      <c r="K6" s="12" t="s">
        <v>112</v>
      </c>
      <c r="L6" s="12" t="s">
        <v>112</v>
      </c>
      <c r="M6" s="12" t="s">
        <v>112</v>
      </c>
      <c r="N6" s="12" t="s">
        <v>112</v>
      </c>
      <c r="O6" s="12" t="s">
        <v>112</v>
      </c>
      <c r="P6" s="12" t="s">
        <v>112</v>
      </c>
      <c r="Q6" s="60"/>
      <c r="R6" s="12" t="s">
        <v>112</v>
      </c>
      <c r="S6" s="12" t="s">
        <v>112</v>
      </c>
      <c r="T6" s="12" t="s">
        <v>112</v>
      </c>
      <c r="U6" s="12" t="s">
        <v>112</v>
      </c>
      <c r="V6" s="12" t="s">
        <v>111</v>
      </c>
      <c r="W6" s="12" t="s">
        <v>112</v>
      </c>
      <c r="X6" s="60"/>
      <c r="Y6" s="12" t="s">
        <v>112</v>
      </c>
      <c r="Z6" s="12" t="s">
        <v>112</v>
      </c>
      <c r="AA6" s="12" t="s">
        <v>112</v>
      </c>
      <c r="AB6" s="12" t="s">
        <v>112</v>
      </c>
      <c r="AC6" s="12" t="s">
        <v>112</v>
      </c>
      <c r="AD6" s="12" t="s">
        <v>111</v>
      </c>
      <c r="AE6" s="60"/>
      <c r="AF6" s="12" t="s">
        <v>112</v>
      </c>
      <c r="AG6" s="12" t="s">
        <v>112</v>
      </c>
      <c r="AH6" s="12" t="s">
        <v>112</v>
      </c>
      <c r="AI6" s="12" t="s">
        <v>112</v>
      </c>
      <c r="AJ6" s="5">
        <f t="shared" si="1"/>
        <v>25</v>
      </c>
      <c r="AK6" s="5">
        <f t="shared" si="2"/>
        <v>2</v>
      </c>
      <c r="AL6" s="5" t="s">
        <v>8</v>
      </c>
      <c r="AM6" s="13">
        <v>4</v>
      </c>
      <c r="AN6" s="3"/>
      <c r="AO6" s="3"/>
    </row>
    <row r="7" spans="1:42" ht="16.5" x14ac:dyDescent="0.25">
      <c r="A7" s="13">
        <v>3</v>
      </c>
      <c r="B7" s="8" t="s">
        <v>134</v>
      </c>
      <c r="C7" s="8" t="s">
        <v>97</v>
      </c>
      <c r="D7" s="11" t="s">
        <v>6</v>
      </c>
      <c r="E7" s="26" t="s">
        <v>112</v>
      </c>
      <c r="F7" s="26" t="s">
        <v>112</v>
      </c>
      <c r="G7" s="26" t="s">
        <v>112</v>
      </c>
      <c r="H7" s="26" t="s">
        <v>112</v>
      </c>
      <c r="I7" s="26" t="s">
        <v>111</v>
      </c>
      <c r="J7" s="60"/>
      <c r="K7" s="12" t="s">
        <v>112</v>
      </c>
      <c r="L7" s="12" t="s">
        <v>111</v>
      </c>
      <c r="M7" s="12" t="s">
        <v>112</v>
      </c>
      <c r="N7" s="12" t="s">
        <v>112</v>
      </c>
      <c r="O7" s="12" t="s">
        <v>112</v>
      </c>
      <c r="P7" s="12" t="s">
        <v>111</v>
      </c>
      <c r="Q7" s="60"/>
      <c r="R7" s="12" t="s">
        <v>112</v>
      </c>
      <c r="S7" s="12" t="s">
        <v>112</v>
      </c>
      <c r="T7" s="12" t="s">
        <v>112</v>
      </c>
      <c r="U7" s="12" t="s">
        <v>112</v>
      </c>
      <c r="V7" s="12" t="s">
        <v>112</v>
      </c>
      <c r="W7" s="12" t="s">
        <v>111</v>
      </c>
      <c r="X7" s="60"/>
      <c r="Y7" s="12" t="s">
        <v>111</v>
      </c>
      <c r="Z7" s="12" t="s">
        <v>112</v>
      </c>
      <c r="AA7" s="12" t="s">
        <v>111</v>
      </c>
      <c r="AB7" s="12" t="s">
        <v>112</v>
      </c>
      <c r="AC7" s="12" t="s">
        <v>111</v>
      </c>
      <c r="AD7" s="12" t="s">
        <v>111</v>
      </c>
      <c r="AE7" s="60"/>
      <c r="AF7" s="12" t="s">
        <v>112</v>
      </c>
      <c r="AG7" s="12" t="s">
        <v>112</v>
      </c>
      <c r="AH7" s="12" t="s">
        <v>112</v>
      </c>
      <c r="AI7" s="12" t="s">
        <v>112</v>
      </c>
      <c r="AJ7" s="5">
        <f t="shared" si="1"/>
        <v>19</v>
      </c>
      <c r="AK7" s="5">
        <f t="shared" si="2"/>
        <v>8</v>
      </c>
      <c r="AL7" s="5"/>
      <c r="AM7" s="13"/>
      <c r="AN7" s="3"/>
      <c r="AO7" s="3"/>
    </row>
    <row r="8" spans="1:42" ht="16.5" x14ac:dyDescent="0.25">
      <c r="A8" s="13">
        <v>4</v>
      </c>
      <c r="B8" s="8" t="s">
        <v>135</v>
      </c>
      <c r="C8" s="8" t="s">
        <v>136</v>
      </c>
      <c r="D8" s="11" t="s">
        <v>6</v>
      </c>
      <c r="E8" s="26" t="s">
        <v>112</v>
      </c>
      <c r="F8" s="26" t="s">
        <v>112</v>
      </c>
      <c r="G8" s="26" t="s">
        <v>112</v>
      </c>
      <c r="H8" s="26" t="s">
        <v>112</v>
      </c>
      <c r="I8" s="26" t="s">
        <v>112</v>
      </c>
      <c r="J8" s="60"/>
      <c r="K8" s="12" t="s">
        <v>112</v>
      </c>
      <c r="L8" s="12" t="s">
        <v>112</v>
      </c>
      <c r="M8" s="12" t="s">
        <v>112</v>
      </c>
      <c r="N8" s="12" t="s">
        <v>111</v>
      </c>
      <c r="O8" s="12" t="s">
        <v>111</v>
      </c>
      <c r="P8" s="12" t="s">
        <v>111</v>
      </c>
      <c r="Q8" s="60"/>
      <c r="R8" s="12" t="s">
        <v>111</v>
      </c>
      <c r="S8" s="12" t="s">
        <v>112</v>
      </c>
      <c r="T8" s="12" t="s">
        <v>112</v>
      </c>
      <c r="U8" s="12" t="s">
        <v>112</v>
      </c>
      <c r="V8" s="12" t="s">
        <v>112</v>
      </c>
      <c r="W8" s="12" t="s">
        <v>112</v>
      </c>
      <c r="X8" s="60"/>
      <c r="Y8" s="12" t="s">
        <v>112</v>
      </c>
      <c r="Z8" s="12" t="s">
        <v>112</v>
      </c>
      <c r="AA8" s="12" t="s">
        <v>112</v>
      </c>
      <c r="AB8" s="12" t="s">
        <v>112</v>
      </c>
      <c r="AC8" s="12" t="s">
        <v>112</v>
      </c>
      <c r="AD8" s="12" t="s">
        <v>111</v>
      </c>
      <c r="AE8" s="60"/>
      <c r="AF8" s="12" t="s">
        <v>112</v>
      </c>
      <c r="AG8" s="12" t="s">
        <v>112</v>
      </c>
      <c r="AH8" s="12" t="s">
        <v>111</v>
      </c>
      <c r="AI8" s="12" t="s">
        <v>112</v>
      </c>
      <c r="AJ8" s="5">
        <f t="shared" si="1"/>
        <v>21</v>
      </c>
      <c r="AK8" s="5">
        <f t="shared" si="2"/>
        <v>6</v>
      </c>
      <c r="AL8"/>
      <c r="AM8"/>
      <c r="AN8"/>
      <c r="AO8"/>
    </row>
    <row r="9" spans="1:42" ht="16.5" x14ac:dyDescent="0.25">
      <c r="A9" s="13">
        <v>5</v>
      </c>
      <c r="B9" s="8" t="s">
        <v>137</v>
      </c>
      <c r="C9" s="8" t="s">
        <v>138</v>
      </c>
      <c r="D9" s="11" t="s">
        <v>6</v>
      </c>
      <c r="E9" s="26" t="s">
        <v>112</v>
      </c>
      <c r="F9" s="26" t="s">
        <v>112</v>
      </c>
      <c r="G9" s="26" t="s">
        <v>112</v>
      </c>
      <c r="H9" s="26" t="s">
        <v>112</v>
      </c>
      <c r="I9" s="26" t="s">
        <v>111</v>
      </c>
      <c r="J9" s="60"/>
      <c r="K9" s="12" t="s">
        <v>111</v>
      </c>
      <c r="L9" s="12" t="s">
        <v>111</v>
      </c>
      <c r="M9" s="12" t="s">
        <v>111</v>
      </c>
      <c r="N9" s="12" t="s">
        <v>111</v>
      </c>
      <c r="O9" s="12" t="s">
        <v>111</v>
      </c>
      <c r="P9" s="12" t="s">
        <v>113</v>
      </c>
      <c r="Q9" s="60"/>
      <c r="R9" s="12" t="s">
        <v>113</v>
      </c>
      <c r="S9" s="12" t="s">
        <v>113</v>
      </c>
      <c r="T9" s="12" t="s">
        <v>113</v>
      </c>
      <c r="U9" s="12" t="s">
        <v>113</v>
      </c>
      <c r="V9" s="12" t="s">
        <v>113</v>
      </c>
      <c r="W9" s="12" t="s">
        <v>113</v>
      </c>
      <c r="X9" s="60"/>
      <c r="Y9" s="12" t="s">
        <v>113</v>
      </c>
      <c r="Z9" s="12" t="s">
        <v>113</v>
      </c>
      <c r="AA9" s="12" t="s">
        <v>113</v>
      </c>
      <c r="AB9" s="12" t="s">
        <v>113</v>
      </c>
      <c r="AC9" s="12" t="s">
        <v>113</v>
      </c>
      <c r="AD9" s="12" t="s">
        <v>113</v>
      </c>
      <c r="AE9" s="60"/>
      <c r="AF9" s="12" t="s">
        <v>113</v>
      </c>
      <c r="AG9" s="12" t="s">
        <v>113</v>
      </c>
      <c r="AH9" s="12" t="s">
        <v>113</v>
      </c>
      <c r="AI9" s="12" t="s">
        <v>113</v>
      </c>
      <c r="AJ9" s="5">
        <f t="shared" si="1"/>
        <v>4</v>
      </c>
      <c r="AK9" s="5">
        <f t="shared" si="2"/>
        <v>6</v>
      </c>
      <c r="AL9" s="49" t="s">
        <v>9</v>
      </c>
      <c r="AM9" s="50"/>
      <c r="AN9" s="50"/>
      <c r="AO9" s="52"/>
    </row>
    <row r="10" spans="1:42" ht="16.5" x14ac:dyDescent="0.25">
      <c r="A10" s="13">
        <v>6</v>
      </c>
      <c r="B10" s="8" t="s">
        <v>139</v>
      </c>
      <c r="C10" s="8" t="s">
        <v>140</v>
      </c>
      <c r="D10" s="11" t="s">
        <v>6</v>
      </c>
      <c r="E10" s="26" t="s">
        <v>112</v>
      </c>
      <c r="F10" s="26" t="s">
        <v>112</v>
      </c>
      <c r="G10" s="26" t="s">
        <v>112</v>
      </c>
      <c r="H10" s="26" t="s">
        <v>112</v>
      </c>
      <c r="I10" s="26" t="s">
        <v>112</v>
      </c>
      <c r="J10" s="60"/>
      <c r="K10" s="12" t="s">
        <v>112</v>
      </c>
      <c r="L10" s="12" t="s">
        <v>112</v>
      </c>
      <c r="M10" s="12" t="s">
        <v>112</v>
      </c>
      <c r="N10" s="12" t="s">
        <v>112</v>
      </c>
      <c r="O10" s="12" t="s">
        <v>112</v>
      </c>
      <c r="P10" s="12" t="s">
        <v>112</v>
      </c>
      <c r="Q10" s="60"/>
      <c r="R10" s="12" t="s">
        <v>112</v>
      </c>
      <c r="S10" s="12" t="s">
        <v>112</v>
      </c>
      <c r="T10" s="12" t="s">
        <v>112</v>
      </c>
      <c r="U10" s="12" t="s">
        <v>112</v>
      </c>
      <c r="V10" s="12" t="s">
        <v>112</v>
      </c>
      <c r="W10" s="12" t="s">
        <v>112</v>
      </c>
      <c r="X10" s="60"/>
      <c r="Y10" s="12" t="s">
        <v>112</v>
      </c>
      <c r="Z10" s="12" t="s">
        <v>112</v>
      </c>
      <c r="AA10" s="12" t="s">
        <v>112</v>
      </c>
      <c r="AB10" s="12" t="s">
        <v>112</v>
      </c>
      <c r="AC10" s="12" t="s">
        <v>112</v>
      </c>
      <c r="AD10" s="12" t="s">
        <v>112</v>
      </c>
      <c r="AE10" s="60"/>
      <c r="AF10" s="12" t="s">
        <v>112</v>
      </c>
      <c r="AG10" s="12" t="s">
        <v>112</v>
      </c>
      <c r="AH10" s="12" t="s">
        <v>112</v>
      </c>
      <c r="AI10" s="12" t="s">
        <v>112</v>
      </c>
      <c r="AJ10" s="5">
        <f t="shared" si="1"/>
        <v>27</v>
      </c>
      <c r="AK10" s="5">
        <f t="shared" si="2"/>
        <v>0</v>
      </c>
      <c r="AL10" s="5" t="s">
        <v>10</v>
      </c>
      <c r="AM10" s="5" t="s">
        <v>11</v>
      </c>
      <c r="AN10" s="5" t="s">
        <v>12</v>
      </c>
      <c r="AO10" s="5" t="s">
        <v>13</v>
      </c>
    </row>
    <row r="11" spans="1:42" ht="16.5" x14ac:dyDescent="0.25">
      <c r="A11" s="13">
        <v>7</v>
      </c>
      <c r="B11" s="8" t="s">
        <v>141</v>
      </c>
      <c r="C11" s="8" t="s">
        <v>142</v>
      </c>
      <c r="D11" s="11" t="s">
        <v>6</v>
      </c>
      <c r="E11" s="26" t="s">
        <v>112</v>
      </c>
      <c r="F11" s="26" t="s">
        <v>112</v>
      </c>
      <c r="G11" s="26" t="s">
        <v>112</v>
      </c>
      <c r="H11" s="26" t="s">
        <v>112</v>
      </c>
      <c r="I11" s="26" t="s">
        <v>111</v>
      </c>
      <c r="J11" s="60"/>
      <c r="K11" s="12" t="s">
        <v>112</v>
      </c>
      <c r="L11" s="12" t="s">
        <v>112</v>
      </c>
      <c r="M11" s="12" t="s">
        <v>112</v>
      </c>
      <c r="N11" s="12" t="s">
        <v>112</v>
      </c>
      <c r="O11" s="12" t="s">
        <v>112</v>
      </c>
      <c r="P11" s="12" t="s">
        <v>112</v>
      </c>
      <c r="Q11" s="60"/>
      <c r="R11" s="12" t="s">
        <v>112</v>
      </c>
      <c r="S11" s="12" t="s">
        <v>112</v>
      </c>
      <c r="T11" s="12" t="s">
        <v>112</v>
      </c>
      <c r="U11" s="12" t="s">
        <v>112</v>
      </c>
      <c r="V11" s="12" t="s">
        <v>112</v>
      </c>
      <c r="W11" s="12" t="s">
        <v>112</v>
      </c>
      <c r="X11" s="60"/>
      <c r="Y11" s="12" t="s">
        <v>112</v>
      </c>
      <c r="Z11" s="12" t="s">
        <v>112</v>
      </c>
      <c r="AA11" s="12" t="s">
        <v>111</v>
      </c>
      <c r="AB11" s="12" t="s">
        <v>112</v>
      </c>
      <c r="AC11" s="12" t="s">
        <v>112</v>
      </c>
      <c r="AD11" s="12" t="s">
        <v>112</v>
      </c>
      <c r="AE11" s="60"/>
      <c r="AF11" s="12" t="s">
        <v>112</v>
      </c>
      <c r="AG11" s="12" t="s">
        <v>112</v>
      </c>
      <c r="AH11" s="12" t="s">
        <v>112</v>
      </c>
      <c r="AI11" s="12" t="s">
        <v>112</v>
      </c>
      <c r="AJ11" s="5">
        <f t="shared" si="1"/>
        <v>25</v>
      </c>
      <c r="AK11" s="5">
        <f t="shared" si="2"/>
        <v>2</v>
      </c>
      <c r="AL11" s="5" t="s">
        <v>14</v>
      </c>
      <c r="AM11" s="13">
        <f>31*$AM$5</f>
        <v>837</v>
      </c>
      <c r="AN11" s="13">
        <f>25*$AM$5</f>
        <v>675</v>
      </c>
      <c r="AO11" s="13">
        <f>SUM(AM11:AN11)</f>
        <v>1512</v>
      </c>
    </row>
    <row r="12" spans="1:42" ht="16.5" x14ac:dyDescent="0.25">
      <c r="A12" s="13">
        <v>8</v>
      </c>
      <c r="B12" s="8" t="s">
        <v>143</v>
      </c>
      <c r="C12" s="8" t="s">
        <v>144</v>
      </c>
      <c r="D12" s="11" t="s">
        <v>6</v>
      </c>
      <c r="E12" s="26" t="s">
        <v>112</v>
      </c>
      <c r="F12" s="26" t="s">
        <v>112</v>
      </c>
      <c r="G12" s="26" t="s">
        <v>111</v>
      </c>
      <c r="H12" s="26" t="s">
        <v>111</v>
      </c>
      <c r="I12" s="26" t="s">
        <v>111</v>
      </c>
      <c r="J12" s="60"/>
      <c r="K12" s="12" t="s">
        <v>111</v>
      </c>
      <c r="L12" s="12" t="s">
        <v>112</v>
      </c>
      <c r="M12" s="12" t="s">
        <v>112</v>
      </c>
      <c r="N12" s="12" t="s">
        <v>112</v>
      </c>
      <c r="O12" s="12" t="s">
        <v>112</v>
      </c>
      <c r="P12" s="12" t="s">
        <v>112</v>
      </c>
      <c r="Q12" s="60"/>
      <c r="R12" s="12" t="s">
        <v>112</v>
      </c>
      <c r="S12" s="12" t="s">
        <v>112</v>
      </c>
      <c r="T12" s="12" t="s">
        <v>112</v>
      </c>
      <c r="U12" s="12" t="s">
        <v>112</v>
      </c>
      <c r="V12" s="12" t="s">
        <v>112</v>
      </c>
      <c r="W12" s="12" t="s">
        <v>112</v>
      </c>
      <c r="X12" s="60"/>
      <c r="Y12" s="12" t="s">
        <v>112</v>
      </c>
      <c r="Z12" s="12" t="s">
        <v>112</v>
      </c>
      <c r="AA12" s="12" t="s">
        <v>112</v>
      </c>
      <c r="AB12" s="12" t="s">
        <v>112</v>
      </c>
      <c r="AC12" s="12" t="s">
        <v>112</v>
      </c>
      <c r="AD12" s="12" t="s">
        <v>112</v>
      </c>
      <c r="AE12" s="60"/>
      <c r="AF12" s="12" t="s">
        <v>112</v>
      </c>
      <c r="AG12" s="12" t="s">
        <v>112</v>
      </c>
      <c r="AH12" s="12" t="s">
        <v>112</v>
      </c>
      <c r="AI12" s="12" t="s">
        <v>112</v>
      </c>
      <c r="AJ12" s="5">
        <f t="shared" si="1"/>
        <v>23</v>
      </c>
      <c r="AK12" s="5">
        <f t="shared" si="2"/>
        <v>4</v>
      </c>
      <c r="AL12" s="5" t="s">
        <v>15</v>
      </c>
      <c r="AM12" s="13">
        <f>SUM(AJ30:AJ60)</f>
        <v>720</v>
      </c>
      <c r="AN12" s="13">
        <f>SUM(AJ5:AJ29)</f>
        <v>530</v>
      </c>
      <c r="AO12" s="13">
        <f>AM12+AN12</f>
        <v>1250</v>
      </c>
    </row>
    <row r="13" spans="1:42" ht="16.5" x14ac:dyDescent="0.25">
      <c r="A13" s="13">
        <v>9</v>
      </c>
      <c r="B13" s="8" t="s">
        <v>145</v>
      </c>
      <c r="C13" s="8" t="s">
        <v>146</v>
      </c>
      <c r="D13" s="11" t="s">
        <v>6</v>
      </c>
      <c r="E13" s="26" t="s">
        <v>111</v>
      </c>
      <c r="F13" s="26" t="s">
        <v>111</v>
      </c>
      <c r="G13" s="26" t="s">
        <v>111</v>
      </c>
      <c r="H13" s="26" t="s">
        <v>112</v>
      </c>
      <c r="I13" s="26" t="s">
        <v>112</v>
      </c>
      <c r="J13" s="60"/>
      <c r="K13" s="12" t="s">
        <v>112</v>
      </c>
      <c r="L13" s="12" t="s">
        <v>112</v>
      </c>
      <c r="M13" s="12" t="s">
        <v>112</v>
      </c>
      <c r="N13" s="12" t="s">
        <v>112</v>
      </c>
      <c r="O13" s="12" t="s">
        <v>112</v>
      </c>
      <c r="P13" s="12" t="s">
        <v>112</v>
      </c>
      <c r="Q13" s="60"/>
      <c r="R13" s="12" t="s">
        <v>112</v>
      </c>
      <c r="S13" s="12" t="s">
        <v>112</v>
      </c>
      <c r="T13" s="12" t="s">
        <v>112</v>
      </c>
      <c r="U13" s="12" t="s">
        <v>112</v>
      </c>
      <c r="V13" s="12" t="s">
        <v>112</v>
      </c>
      <c r="W13" s="12" t="s">
        <v>112</v>
      </c>
      <c r="X13" s="60"/>
      <c r="Y13" s="12" t="s">
        <v>112</v>
      </c>
      <c r="Z13" s="12" t="s">
        <v>112</v>
      </c>
      <c r="AA13" s="12" t="s">
        <v>112</v>
      </c>
      <c r="AB13" s="12" t="s">
        <v>112</v>
      </c>
      <c r="AC13" s="12" t="s">
        <v>112</v>
      </c>
      <c r="AD13" s="12" t="s">
        <v>112</v>
      </c>
      <c r="AE13" s="60"/>
      <c r="AF13" s="12" t="s">
        <v>112</v>
      </c>
      <c r="AG13" s="12" t="s">
        <v>112</v>
      </c>
      <c r="AH13" s="12" t="s">
        <v>112</v>
      </c>
      <c r="AI13" s="12" t="s">
        <v>112</v>
      </c>
      <c r="AJ13" s="5">
        <f t="shared" si="1"/>
        <v>24</v>
      </c>
      <c r="AK13" s="5">
        <f t="shared" si="2"/>
        <v>3</v>
      </c>
      <c r="AL13" s="5" t="s">
        <v>16</v>
      </c>
      <c r="AM13" s="18">
        <f>AM12/AM11</f>
        <v>0.86021505376344087</v>
      </c>
      <c r="AN13" s="18">
        <f>AN12/AN11</f>
        <v>0.78518518518518521</v>
      </c>
      <c r="AO13" s="18">
        <f>AO12/AO11</f>
        <v>0.82671957671957674</v>
      </c>
    </row>
    <row r="14" spans="1:42" ht="16.5" x14ac:dyDescent="0.25">
      <c r="A14" s="13">
        <v>10</v>
      </c>
      <c r="B14" s="8" t="s">
        <v>147</v>
      </c>
      <c r="C14" s="8" t="s">
        <v>148</v>
      </c>
      <c r="D14" s="11" t="s">
        <v>6</v>
      </c>
      <c r="E14" s="26" t="s">
        <v>112</v>
      </c>
      <c r="F14" s="26" t="s">
        <v>112</v>
      </c>
      <c r="G14" s="26" t="s">
        <v>112</v>
      </c>
      <c r="H14" s="26" t="s">
        <v>112</v>
      </c>
      <c r="I14" s="26" t="s">
        <v>112</v>
      </c>
      <c r="J14" s="60"/>
      <c r="K14" s="12" t="s">
        <v>112</v>
      </c>
      <c r="L14" s="12" t="s">
        <v>112</v>
      </c>
      <c r="M14" s="12" t="s">
        <v>112</v>
      </c>
      <c r="N14" s="12" t="s">
        <v>112</v>
      </c>
      <c r="O14" s="12" t="s">
        <v>112</v>
      </c>
      <c r="P14" s="12" t="s">
        <v>111</v>
      </c>
      <c r="Q14" s="60"/>
      <c r="R14" s="12" t="s">
        <v>112</v>
      </c>
      <c r="S14" s="12" t="s">
        <v>112</v>
      </c>
      <c r="T14" s="12" t="s">
        <v>112</v>
      </c>
      <c r="U14" s="12" t="s">
        <v>111</v>
      </c>
      <c r="V14" s="12" t="s">
        <v>112</v>
      </c>
      <c r="W14" s="12" t="s">
        <v>112</v>
      </c>
      <c r="X14" s="60"/>
      <c r="Y14" s="12" t="s">
        <v>112</v>
      </c>
      <c r="Z14" s="12" t="s">
        <v>112</v>
      </c>
      <c r="AA14" s="12" t="s">
        <v>112</v>
      </c>
      <c r="AB14" s="12" t="s">
        <v>111</v>
      </c>
      <c r="AC14" s="12" t="s">
        <v>111</v>
      </c>
      <c r="AD14" s="12" t="s">
        <v>111</v>
      </c>
      <c r="AE14" s="60"/>
      <c r="AF14" s="12" t="s">
        <v>111</v>
      </c>
      <c r="AG14" s="12" t="s">
        <v>112</v>
      </c>
      <c r="AH14" s="12" t="s">
        <v>112</v>
      </c>
      <c r="AI14" s="12" t="s">
        <v>112</v>
      </c>
      <c r="AJ14" s="5">
        <f t="shared" si="1"/>
        <v>21</v>
      </c>
      <c r="AK14" s="5">
        <f t="shared" si="2"/>
        <v>6</v>
      </c>
      <c r="AL14"/>
      <c r="AM14"/>
      <c r="AN14"/>
      <c r="AO14"/>
    </row>
    <row r="15" spans="1:42" ht="16.5" x14ac:dyDescent="0.25">
      <c r="A15" s="13">
        <v>11</v>
      </c>
      <c r="B15" s="8" t="s">
        <v>149</v>
      </c>
      <c r="C15" s="8" t="s">
        <v>150</v>
      </c>
      <c r="D15" s="11" t="s">
        <v>6</v>
      </c>
      <c r="E15" s="26" t="s">
        <v>112</v>
      </c>
      <c r="F15" s="26" t="s">
        <v>112</v>
      </c>
      <c r="G15" s="26" t="s">
        <v>112</v>
      </c>
      <c r="H15" s="26" t="s">
        <v>112</v>
      </c>
      <c r="I15" s="26" t="s">
        <v>112</v>
      </c>
      <c r="J15" s="60"/>
      <c r="K15" s="12" t="s">
        <v>112</v>
      </c>
      <c r="L15" s="12" t="s">
        <v>112</v>
      </c>
      <c r="M15" s="12" t="s">
        <v>112</v>
      </c>
      <c r="N15" s="12" t="s">
        <v>112</v>
      </c>
      <c r="O15" s="12" t="s">
        <v>112</v>
      </c>
      <c r="P15" s="12" t="s">
        <v>112</v>
      </c>
      <c r="Q15" s="60"/>
      <c r="R15" s="12" t="s">
        <v>111</v>
      </c>
      <c r="S15" s="12" t="s">
        <v>112</v>
      </c>
      <c r="T15" s="12" t="s">
        <v>112</v>
      </c>
      <c r="U15" s="12" t="s">
        <v>112</v>
      </c>
      <c r="V15" s="12" t="s">
        <v>112</v>
      </c>
      <c r="W15" s="12" t="s">
        <v>112</v>
      </c>
      <c r="X15" s="60"/>
      <c r="Y15" s="12" t="s">
        <v>112</v>
      </c>
      <c r="Z15" s="12" t="s">
        <v>112</v>
      </c>
      <c r="AA15" s="12" t="s">
        <v>112</v>
      </c>
      <c r="AB15" s="12" t="s">
        <v>112</v>
      </c>
      <c r="AC15" s="12" t="s">
        <v>112</v>
      </c>
      <c r="AD15" s="12" t="s">
        <v>112</v>
      </c>
      <c r="AE15" s="60"/>
      <c r="AF15" s="12" t="s">
        <v>112</v>
      </c>
      <c r="AG15" s="12" t="s">
        <v>112</v>
      </c>
      <c r="AH15" s="12" t="s">
        <v>112</v>
      </c>
      <c r="AI15" s="12" t="s">
        <v>112</v>
      </c>
      <c r="AJ15" s="5">
        <f t="shared" si="1"/>
        <v>26</v>
      </c>
      <c r="AK15" s="5">
        <f t="shared" si="2"/>
        <v>1</v>
      </c>
      <c r="AL15"/>
      <c r="AM15"/>
      <c r="AN15"/>
      <c r="AO15"/>
    </row>
    <row r="16" spans="1:42" ht="16.5" x14ac:dyDescent="0.25">
      <c r="A16" s="13">
        <v>12</v>
      </c>
      <c r="B16" s="8" t="s">
        <v>151</v>
      </c>
      <c r="C16" s="8" t="s">
        <v>38</v>
      </c>
      <c r="D16" s="11" t="s">
        <v>6</v>
      </c>
      <c r="E16" s="26" t="s">
        <v>112</v>
      </c>
      <c r="F16" s="26" t="s">
        <v>112</v>
      </c>
      <c r="G16" s="26" t="s">
        <v>112</v>
      </c>
      <c r="H16" s="26" t="s">
        <v>112</v>
      </c>
      <c r="I16" s="26" t="s">
        <v>111</v>
      </c>
      <c r="J16" s="60"/>
      <c r="K16" s="12" t="s">
        <v>112</v>
      </c>
      <c r="L16" s="12" t="s">
        <v>112</v>
      </c>
      <c r="M16" s="12" t="s">
        <v>112</v>
      </c>
      <c r="N16" s="12" t="s">
        <v>111</v>
      </c>
      <c r="O16" s="12" t="s">
        <v>112</v>
      </c>
      <c r="P16" s="12" t="s">
        <v>112</v>
      </c>
      <c r="Q16" s="60"/>
      <c r="R16" s="12" t="s">
        <v>112</v>
      </c>
      <c r="S16" s="12" t="s">
        <v>112</v>
      </c>
      <c r="T16" s="12" t="s">
        <v>111</v>
      </c>
      <c r="U16" s="12" t="s">
        <v>112</v>
      </c>
      <c r="V16" s="12" t="s">
        <v>112</v>
      </c>
      <c r="W16" s="12" t="s">
        <v>112</v>
      </c>
      <c r="X16" s="60"/>
      <c r="Y16" s="12" t="s">
        <v>112</v>
      </c>
      <c r="Z16" s="12" t="s">
        <v>112</v>
      </c>
      <c r="AA16" s="12" t="s">
        <v>112</v>
      </c>
      <c r="AB16" s="12" t="s">
        <v>112</v>
      </c>
      <c r="AC16" s="12" t="s">
        <v>112</v>
      </c>
      <c r="AD16" s="12" t="s">
        <v>112</v>
      </c>
      <c r="AE16" s="60"/>
      <c r="AF16" s="12" t="s">
        <v>112</v>
      </c>
      <c r="AG16" s="12" t="s">
        <v>112</v>
      </c>
      <c r="AH16" s="12" t="s">
        <v>112</v>
      </c>
      <c r="AI16" s="12" t="s">
        <v>111</v>
      </c>
      <c r="AJ16" s="5">
        <f t="shared" si="1"/>
        <v>23</v>
      </c>
      <c r="AK16" s="5">
        <f t="shared" si="2"/>
        <v>4</v>
      </c>
      <c r="AL16"/>
      <c r="AM16"/>
      <c r="AN16"/>
      <c r="AO16"/>
    </row>
    <row r="17" spans="1:41" ht="16.5" x14ac:dyDescent="0.25">
      <c r="A17" s="13">
        <v>13</v>
      </c>
      <c r="B17" s="8" t="s">
        <v>152</v>
      </c>
      <c r="C17" s="8" t="s">
        <v>153</v>
      </c>
      <c r="D17" s="11" t="s">
        <v>6</v>
      </c>
      <c r="E17" s="26" t="s">
        <v>112</v>
      </c>
      <c r="F17" s="26" t="s">
        <v>112</v>
      </c>
      <c r="G17" s="26" t="s">
        <v>112</v>
      </c>
      <c r="H17" s="26" t="s">
        <v>112</v>
      </c>
      <c r="I17" s="26" t="s">
        <v>112</v>
      </c>
      <c r="J17" s="60"/>
      <c r="K17" s="12" t="s">
        <v>112</v>
      </c>
      <c r="L17" s="12" t="s">
        <v>112</v>
      </c>
      <c r="M17" s="12" t="s">
        <v>112</v>
      </c>
      <c r="N17" s="12" t="s">
        <v>112</v>
      </c>
      <c r="O17" s="12" t="s">
        <v>112</v>
      </c>
      <c r="P17" s="12" t="s">
        <v>113</v>
      </c>
      <c r="Q17" s="60"/>
      <c r="R17" s="12" t="s">
        <v>113</v>
      </c>
      <c r="S17" s="12" t="s">
        <v>112</v>
      </c>
      <c r="T17" s="12" t="s">
        <v>112</v>
      </c>
      <c r="U17" s="12" t="s">
        <v>112</v>
      </c>
      <c r="V17" s="12" t="s">
        <v>112</v>
      </c>
      <c r="W17" s="12" t="s">
        <v>112</v>
      </c>
      <c r="X17" s="60"/>
      <c r="Y17" s="12" t="s">
        <v>112</v>
      </c>
      <c r="Z17" s="12" t="s">
        <v>112</v>
      </c>
      <c r="AA17" s="12" t="s">
        <v>112</v>
      </c>
      <c r="AB17" s="12" t="s">
        <v>112</v>
      </c>
      <c r="AC17" s="12" t="s">
        <v>112</v>
      </c>
      <c r="AD17" s="12" t="s">
        <v>112</v>
      </c>
      <c r="AE17" s="60"/>
      <c r="AF17" s="12" t="s">
        <v>112</v>
      </c>
      <c r="AG17" s="12" t="s">
        <v>112</v>
      </c>
      <c r="AH17" s="12" t="s">
        <v>112</v>
      </c>
      <c r="AI17" s="12" t="s">
        <v>112</v>
      </c>
      <c r="AJ17" s="5">
        <f t="shared" si="1"/>
        <v>25</v>
      </c>
      <c r="AK17" s="5">
        <f t="shared" si="2"/>
        <v>0</v>
      </c>
      <c r="AL17" s="49" t="s">
        <v>128</v>
      </c>
      <c r="AM17" s="50"/>
      <c r="AN17" s="50"/>
      <c r="AO17" s="52"/>
    </row>
    <row r="18" spans="1:41" ht="16.5" x14ac:dyDescent="0.25">
      <c r="A18" s="13">
        <v>14</v>
      </c>
      <c r="B18" s="8" t="s">
        <v>154</v>
      </c>
      <c r="C18" s="8" t="s">
        <v>155</v>
      </c>
      <c r="D18" s="11" t="s">
        <v>6</v>
      </c>
      <c r="E18" s="26" t="s">
        <v>112</v>
      </c>
      <c r="F18" s="26" t="s">
        <v>112</v>
      </c>
      <c r="G18" s="26" t="s">
        <v>112</v>
      </c>
      <c r="H18" s="26" t="s">
        <v>112</v>
      </c>
      <c r="I18" s="26" t="s">
        <v>112</v>
      </c>
      <c r="J18" s="60"/>
      <c r="K18" s="12" t="s">
        <v>112</v>
      </c>
      <c r="L18" s="12" t="s">
        <v>112</v>
      </c>
      <c r="M18" s="12" t="s">
        <v>112</v>
      </c>
      <c r="N18" s="12" t="s">
        <v>112</v>
      </c>
      <c r="O18" s="12" t="s">
        <v>112</v>
      </c>
      <c r="P18" s="12" t="s">
        <v>111</v>
      </c>
      <c r="Q18" s="60"/>
      <c r="R18" s="12" t="s">
        <v>111</v>
      </c>
      <c r="S18" s="12" t="s">
        <v>112</v>
      </c>
      <c r="T18" s="12" t="s">
        <v>112</v>
      </c>
      <c r="U18" s="12" t="s">
        <v>112</v>
      </c>
      <c r="V18" s="12" t="s">
        <v>112</v>
      </c>
      <c r="W18" s="12" t="s">
        <v>112</v>
      </c>
      <c r="X18" s="60"/>
      <c r="Y18" s="12" t="s">
        <v>111</v>
      </c>
      <c r="Z18" s="12" t="s">
        <v>112</v>
      </c>
      <c r="AA18" s="12" t="s">
        <v>112</v>
      </c>
      <c r="AB18" s="12" t="s">
        <v>112</v>
      </c>
      <c r="AC18" s="12" t="s">
        <v>112</v>
      </c>
      <c r="AD18" s="12" t="s">
        <v>111</v>
      </c>
      <c r="AE18" s="60"/>
      <c r="AF18" s="12" t="s">
        <v>112</v>
      </c>
      <c r="AG18" s="12" t="s">
        <v>112</v>
      </c>
      <c r="AH18" s="12" t="s">
        <v>112</v>
      </c>
      <c r="AI18" s="12" t="s">
        <v>112</v>
      </c>
      <c r="AJ18" s="5">
        <f t="shared" si="1"/>
        <v>23</v>
      </c>
      <c r="AK18" s="5">
        <f t="shared" si="2"/>
        <v>4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ht="16.5" x14ac:dyDescent="0.25">
      <c r="A19" s="13">
        <v>15</v>
      </c>
      <c r="B19" s="8" t="s">
        <v>156</v>
      </c>
      <c r="C19" s="8" t="s">
        <v>157</v>
      </c>
      <c r="D19" s="11" t="s">
        <v>6</v>
      </c>
      <c r="E19" s="26" t="s">
        <v>111</v>
      </c>
      <c r="F19" s="26" t="s">
        <v>111</v>
      </c>
      <c r="G19" s="26" t="s">
        <v>111</v>
      </c>
      <c r="H19" s="26" t="s">
        <v>111</v>
      </c>
      <c r="I19" s="26" t="s">
        <v>111</v>
      </c>
      <c r="J19" s="60"/>
      <c r="K19" s="12" t="s">
        <v>112</v>
      </c>
      <c r="L19" s="12" t="s">
        <v>112</v>
      </c>
      <c r="M19" s="12" t="s">
        <v>112</v>
      </c>
      <c r="N19" s="12" t="s">
        <v>112</v>
      </c>
      <c r="O19" s="12" t="s">
        <v>112</v>
      </c>
      <c r="P19" s="12" t="s">
        <v>112</v>
      </c>
      <c r="Q19" s="60"/>
      <c r="R19" s="12" t="s">
        <v>111</v>
      </c>
      <c r="S19" s="12" t="s">
        <v>112</v>
      </c>
      <c r="T19" s="12" t="s">
        <v>112</v>
      </c>
      <c r="U19" s="12" t="s">
        <v>112</v>
      </c>
      <c r="V19" s="12" t="s">
        <v>112</v>
      </c>
      <c r="W19" s="12" t="s">
        <v>112</v>
      </c>
      <c r="X19" s="60"/>
      <c r="Y19" s="12" t="s">
        <v>112</v>
      </c>
      <c r="Z19" s="12" t="s">
        <v>112</v>
      </c>
      <c r="AA19" s="12" t="s">
        <v>112</v>
      </c>
      <c r="AB19" s="12" t="s">
        <v>112</v>
      </c>
      <c r="AC19" s="12" t="s">
        <v>111</v>
      </c>
      <c r="AD19" s="12" t="s">
        <v>112</v>
      </c>
      <c r="AE19" s="60"/>
      <c r="AF19" s="12" t="s">
        <v>112</v>
      </c>
      <c r="AG19" s="12" t="s">
        <v>112</v>
      </c>
      <c r="AH19" s="12" t="s">
        <v>112</v>
      </c>
      <c r="AI19" s="12" t="s">
        <v>112</v>
      </c>
      <c r="AJ19" s="5">
        <f t="shared" si="1"/>
        <v>20</v>
      </c>
      <c r="AK19" s="5">
        <f t="shared" si="2"/>
        <v>7</v>
      </c>
      <c r="AL19" s="5" t="s">
        <v>14</v>
      </c>
      <c r="AM19" s="13">
        <f>31*$AM$5</f>
        <v>837</v>
      </c>
      <c r="AN19" s="13">
        <f>25*$AM$5</f>
        <v>675</v>
      </c>
      <c r="AO19" s="13">
        <f>AM19+AN19</f>
        <v>1512</v>
      </c>
    </row>
    <row r="20" spans="1:41" ht="16.5" x14ac:dyDescent="0.25">
      <c r="A20" s="13">
        <v>16</v>
      </c>
      <c r="B20" s="8" t="s">
        <v>158</v>
      </c>
      <c r="C20" s="8" t="s">
        <v>140</v>
      </c>
      <c r="D20" s="11" t="s">
        <v>6</v>
      </c>
      <c r="E20" s="26" t="s">
        <v>112</v>
      </c>
      <c r="F20" s="26" t="s">
        <v>112</v>
      </c>
      <c r="G20" s="26" t="s">
        <v>112</v>
      </c>
      <c r="H20" s="26" t="s">
        <v>112</v>
      </c>
      <c r="I20" s="26" t="s">
        <v>112</v>
      </c>
      <c r="J20" s="60"/>
      <c r="K20" s="12" t="s">
        <v>112</v>
      </c>
      <c r="L20" s="12" t="s">
        <v>112</v>
      </c>
      <c r="M20" s="12" t="s">
        <v>112</v>
      </c>
      <c r="N20" s="12" t="s">
        <v>112</v>
      </c>
      <c r="O20" s="12" t="s">
        <v>112</v>
      </c>
      <c r="P20" s="12" t="s">
        <v>112</v>
      </c>
      <c r="Q20" s="60"/>
      <c r="R20" s="12" t="s">
        <v>112</v>
      </c>
      <c r="S20" s="12" t="s">
        <v>112</v>
      </c>
      <c r="T20" s="12" t="s">
        <v>112</v>
      </c>
      <c r="U20" s="12" t="s">
        <v>112</v>
      </c>
      <c r="V20" s="12" t="s">
        <v>112</v>
      </c>
      <c r="W20" s="12" t="s">
        <v>112</v>
      </c>
      <c r="X20" s="60"/>
      <c r="Y20" s="12" t="s">
        <v>112</v>
      </c>
      <c r="Z20" s="12" t="s">
        <v>112</v>
      </c>
      <c r="AA20" s="12" t="s">
        <v>112</v>
      </c>
      <c r="AB20" s="12" t="s">
        <v>112</v>
      </c>
      <c r="AC20" s="12" t="s">
        <v>112</v>
      </c>
      <c r="AD20" s="12" t="s">
        <v>112</v>
      </c>
      <c r="AE20" s="60"/>
      <c r="AF20" s="12" t="s">
        <v>112</v>
      </c>
      <c r="AG20" s="12" t="s">
        <v>112</v>
      </c>
      <c r="AH20" s="12" t="s">
        <v>112</v>
      </c>
      <c r="AI20" s="12" t="s">
        <v>112</v>
      </c>
      <c r="AJ20" s="5">
        <f t="shared" si="1"/>
        <v>27</v>
      </c>
      <c r="AK20" s="5">
        <f t="shared" si="2"/>
        <v>0</v>
      </c>
      <c r="AL20" s="5" t="s">
        <v>17</v>
      </c>
      <c r="AM20" s="13">
        <f>AM19-AM12</f>
        <v>117</v>
      </c>
      <c r="AN20" s="13">
        <f>AN19-AN12</f>
        <v>145</v>
      </c>
      <c r="AO20" s="13">
        <f>AM20+AN20</f>
        <v>262</v>
      </c>
    </row>
    <row r="21" spans="1:41" ht="16.5" x14ac:dyDescent="0.25">
      <c r="A21" s="13">
        <v>17</v>
      </c>
      <c r="B21" s="8" t="s">
        <v>159</v>
      </c>
      <c r="C21" s="8" t="s">
        <v>160</v>
      </c>
      <c r="D21" s="11" t="s">
        <v>6</v>
      </c>
      <c r="E21" s="26" t="s">
        <v>112</v>
      </c>
      <c r="F21" s="26" t="s">
        <v>112</v>
      </c>
      <c r="G21" s="26" t="s">
        <v>112</v>
      </c>
      <c r="H21" s="26" t="s">
        <v>112</v>
      </c>
      <c r="I21" s="26" t="s">
        <v>112</v>
      </c>
      <c r="J21" s="60"/>
      <c r="K21" s="12" t="s">
        <v>112</v>
      </c>
      <c r="L21" s="12" t="s">
        <v>112</v>
      </c>
      <c r="M21" s="12" t="s">
        <v>112</v>
      </c>
      <c r="N21" s="12" t="s">
        <v>112</v>
      </c>
      <c r="O21" s="12" t="s">
        <v>112</v>
      </c>
      <c r="P21" s="12" t="s">
        <v>112</v>
      </c>
      <c r="Q21" s="60"/>
      <c r="R21" s="12" t="s">
        <v>112</v>
      </c>
      <c r="S21" s="12" t="s">
        <v>112</v>
      </c>
      <c r="T21" s="12" t="s">
        <v>112</v>
      </c>
      <c r="U21" s="12" t="s">
        <v>112</v>
      </c>
      <c r="V21" s="12" t="s">
        <v>112</v>
      </c>
      <c r="W21" s="12" t="s">
        <v>112</v>
      </c>
      <c r="X21" s="60"/>
      <c r="Y21" s="12" t="s">
        <v>112</v>
      </c>
      <c r="Z21" s="12" t="s">
        <v>112</v>
      </c>
      <c r="AA21" s="12" t="s">
        <v>112</v>
      </c>
      <c r="AB21" s="12" t="s">
        <v>112</v>
      </c>
      <c r="AC21" s="12" t="s">
        <v>112</v>
      </c>
      <c r="AD21" s="12" t="s">
        <v>112</v>
      </c>
      <c r="AE21" s="60"/>
      <c r="AF21" s="12" t="s">
        <v>112</v>
      </c>
      <c r="AG21" s="12" t="s">
        <v>112</v>
      </c>
      <c r="AH21" s="12" t="s">
        <v>112</v>
      </c>
      <c r="AI21" s="12" t="s">
        <v>112</v>
      </c>
      <c r="AJ21" s="5">
        <f t="shared" si="1"/>
        <v>27</v>
      </c>
      <c r="AK21" s="5">
        <f t="shared" si="2"/>
        <v>0</v>
      </c>
      <c r="AL21" s="5" t="s">
        <v>16</v>
      </c>
      <c r="AM21" s="18">
        <f>AM20/AM19</f>
        <v>0.13978494623655913</v>
      </c>
      <c r="AN21" s="18">
        <f>AN20/AN19</f>
        <v>0.21481481481481482</v>
      </c>
      <c r="AO21" s="18">
        <f>AO20/AO19</f>
        <v>0.17328042328042328</v>
      </c>
    </row>
    <row r="22" spans="1:41" ht="16.5" x14ac:dyDescent="0.25">
      <c r="A22" s="13">
        <v>18</v>
      </c>
      <c r="B22" s="8" t="s">
        <v>161</v>
      </c>
      <c r="C22" s="8" t="s">
        <v>162</v>
      </c>
      <c r="D22" s="11" t="s">
        <v>6</v>
      </c>
      <c r="E22" s="26" t="s">
        <v>112</v>
      </c>
      <c r="F22" s="26" t="s">
        <v>112</v>
      </c>
      <c r="G22" s="26" t="s">
        <v>112</v>
      </c>
      <c r="H22" s="26" t="s">
        <v>111</v>
      </c>
      <c r="I22" s="26" t="s">
        <v>112</v>
      </c>
      <c r="J22" s="60"/>
      <c r="K22" s="12" t="s">
        <v>112</v>
      </c>
      <c r="L22" s="12" t="s">
        <v>112</v>
      </c>
      <c r="M22" s="12" t="s">
        <v>112</v>
      </c>
      <c r="N22" s="12" t="s">
        <v>111</v>
      </c>
      <c r="O22" s="12" t="s">
        <v>111</v>
      </c>
      <c r="P22" s="12" t="s">
        <v>112</v>
      </c>
      <c r="Q22" s="60"/>
      <c r="R22" s="12" t="s">
        <v>112</v>
      </c>
      <c r="S22" s="12" t="s">
        <v>111</v>
      </c>
      <c r="T22" s="12" t="s">
        <v>112</v>
      </c>
      <c r="U22" s="12" t="s">
        <v>112</v>
      </c>
      <c r="V22" s="12" t="s">
        <v>112</v>
      </c>
      <c r="W22" s="12" t="s">
        <v>112</v>
      </c>
      <c r="X22" s="60"/>
      <c r="Y22" s="12" t="s">
        <v>112</v>
      </c>
      <c r="Z22" s="12" t="s">
        <v>111</v>
      </c>
      <c r="AA22" s="12" t="s">
        <v>112</v>
      </c>
      <c r="AB22" s="12" t="s">
        <v>112</v>
      </c>
      <c r="AC22" s="12" t="s">
        <v>112</v>
      </c>
      <c r="AD22" s="12" t="s">
        <v>112</v>
      </c>
      <c r="AE22" s="60"/>
      <c r="AF22" s="12" t="s">
        <v>111</v>
      </c>
      <c r="AG22" s="12" t="s">
        <v>112</v>
      </c>
      <c r="AH22" s="12" t="s">
        <v>112</v>
      </c>
      <c r="AI22" s="12" t="s">
        <v>111</v>
      </c>
      <c r="AJ22" s="5">
        <f t="shared" si="1"/>
        <v>20</v>
      </c>
      <c r="AK22" s="5">
        <f t="shared" si="2"/>
        <v>7</v>
      </c>
      <c r="AL22"/>
      <c r="AM22"/>
      <c r="AN22"/>
      <c r="AO22"/>
    </row>
    <row r="23" spans="1:41" ht="16.5" x14ac:dyDescent="0.25">
      <c r="A23" s="13">
        <v>19</v>
      </c>
      <c r="B23" s="8" t="s">
        <v>163</v>
      </c>
      <c r="C23" s="8" t="s">
        <v>164</v>
      </c>
      <c r="D23" s="11" t="s">
        <v>6</v>
      </c>
      <c r="E23" s="26" t="s">
        <v>112</v>
      </c>
      <c r="F23" s="26" t="s">
        <v>112</v>
      </c>
      <c r="G23" s="26" t="s">
        <v>111</v>
      </c>
      <c r="H23" s="26" t="s">
        <v>111</v>
      </c>
      <c r="I23" s="26" t="s">
        <v>111</v>
      </c>
      <c r="J23" s="60"/>
      <c r="K23" s="12" t="s">
        <v>111</v>
      </c>
      <c r="L23" s="12" t="s">
        <v>111</v>
      </c>
      <c r="M23" s="12" t="s">
        <v>111</v>
      </c>
      <c r="N23" s="12" t="s">
        <v>111</v>
      </c>
      <c r="O23" s="12" t="s">
        <v>111</v>
      </c>
      <c r="P23" s="12" t="s">
        <v>111</v>
      </c>
      <c r="Q23" s="60"/>
      <c r="R23" s="12" t="s">
        <v>111</v>
      </c>
      <c r="S23" s="12" t="s">
        <v>112</v>
      </c>
      <c r="T23" s="12" t="s">
        <v>112</v>
      </c>
      <c r="U23" s="12" t="s">
        <v>112</v>
      </c>
      <c r="V23" s="12" t="s">
        <v>112</v>
      </c>
      <c r="W23" s="12" t="s">
        <v>111</v>
      </c>
      <c r="X23" s="60"/>
      <c r="Y23" s="12" t="s">
        <v>112</v>
      </c>
      <c r="Z23" s="12" t="s">
        <v>112</v>
      </c>
      <c r="AA23" s="12" t="s">
        <v>112</v>
      </c>
      <c r="AB23" s="12" t="s">
        <v>112</v>
      </c>
      <c r="AC23" s="12" t="s">
        <v>112</v>
      </c>
      <c r="AD23" s="12" t="s">
        <v>112</v>
      </c>
      <c r="AE23" s="60"/>
      <c r="AF23" s="12" t="s">
        <v>112</v>
      </c>
      <c r="AG23" s="12" t="s">
        <v>112</v>
      </c>
      <c r="AH23" s="12" t="s">
        <v>112</v>
      </c>
      <c r="AI23" s="12" t="s">
        <v>112</v>
      </c>
      <c r="AJ23" s="5">
        <f t="shared" si="1"/>
        <v>16</v>
      </c>
      <c r="AK23" s="5">
        <f t="shared" si="2"/>
        <v>11</v>
      </c>
      <c r="AL23"/>
      <c r="AM23"/>
      <c r="AN23"/>
      <c r="AO23"/>
    </row>
    <row r="24" spans="1:41" ht="16.5" x14ac:dyDescent="0.25">
      <c r="A24" s="13">
        <v>20</v>
      </c>
      <c r="B24" s="8" t="s">
        <v>165</v>
      </c>
      <c r="C24" s="8" t="s">
        <v>166</v>
      </c>
      <c r="D24" s="11" t="s">
        <v>6</v>
      </c>
      <c r="E24" s="26" t="s">
        <v>112</v>
      </c>
      <c r="F24" s="26" t="s">
        <v>112</v>
      </c>
      <c r="G24" s="26" t="s">
        <v>112</v>
      </c>
      <c r="H24" s="26" t="s">
        <v>112</v>
      </c>
      <c r="I24" s="26" t="s">
        <v>112</v>
      </c>
      <c r="J24" s="60"/>
      <c r="K24" s="12" t="s">
        <v>112</v>
      </c>
      <c r="L24" s="12" t="s">
        <v>112</v>
      </c>
      <c r="M24" s="12" t="s">
        <v>112</v>
      </c>
      <c r="N24" s="12" t="s">
        <v>112</v>
      </c>
      <c r="O24" s="12" t="s">
        <v>112</v>
      </c>
      <c r="P24" s="12" t="s">
        <v>111</v>
      </c>
      <c r="Q24" s="60"/>
      <c r="R24" s="12" t="s">
        <v>112</v>
      </c>
      <c r="S24" s="12" t="s">
        <v>112</v>
      </c>
      <c r="T24" s="12" t="s">
        <v>112</v>
      </c>
      <c r="U24" s="12" t="s">
        <v>112</v>
      </c>
      <c r="V24" s="12" t="s">
        <v>112</v>
      </c>
      <c r="W24" s="12" t="s">
        <v>112</v>
      </c>
      <c r="X24" s="60"/>
      <c r="Y24" s="12" t="s">
        <v>112</v>
      </c>
      <c r="Z24" s="12" t="s">
        <v>112</v>
      </c>
      <c r="AA24" s="12" t="s">
        <v>112</v>
      </c>
      <c r="AB24" s="12" t="s">
        <v>112</v>
      </c>
      <c r="AC24" s="12" t="s">
        <v>112</v>
      </c>
      <c r="AD24" s="12" t="s">
        <v>111</v>
      </c>
      <c r="AE24" s="60"/>
      <c r="AF24" s="12" t="s">
        <v>112</v>
      </c>
      <c r="AG24" s="12" t="s">
        <v>112</v>
      </c>
      <c r="AH24" s="12" t="s">
        <v>112</v>
      </c>
      <c r="AI24" s="12" t="s">
        <v>112</v>
      </c>
      <c r="AJ24" s="5">
        <f t="shared" si="1"/>
        <v>25</v>
      </c>
      <c r="AK24" s="5">
        <f t="shared" si="2"/>
        <v>2</v>
      </c>
      <c r="AL24"/>
      <c r="AM24"/>
      <c r="AN24"/>
      <c r="AO24"/>
    </row>
    <row r="25" spans="1:41" ht="16.5" x14ac:dyDescent="0.25">
      <c r="A25" s="13">
        <v>21</v>
      </c>
      <c r="B25" s="8" t="s">
        <v>167</v>
      </c>
      <c r="C25" s="8" t="s">
        <v>168</v>
      </c>
      <c r="D25" s="11" t="s">
        <v>6</v>
      </c>
      <c r="E25" s="26" t="s">
        <v>112</v>
      </c>
      <c r="F25" s="26" t="s">
        <v>112</v>
      </c>
      <c r="G25" s="26" t="s">
        <v>112</v>
      </c>
      <c r="H25" s="26" t="s">
        <v>112</v>
      </c>
      <c r="I25" s="26" t="s">
        <v>111</v>
      </c>
      <c r="J25" s="60"/>
      <c r="K25" s="12" t="s">
        <v>112</v>
      </c>
      <c r="L25" s="12" t="s">
        <v>112</v>
      </c>
      <c r="M25" s="12" t="s">
        <v>112</v>
      </c>
      <c r="N25" s="12" t="s">
        <v>112</v>
      </c>
      <c r="O25" s="12" t="s">
        <v>112</v>
      </c>
      <c r="P25" s="12" t="s">
        <v>112</v>
      </c>
      <c r="Q25" s="60"/>
      <c r="R25" s="12" t="s">
        <v>112</v>
      </c>
      <c r="S25" s="12" t="s">
        <v>112</v>
      </c>
      <c r="T25" s="12" t="s">
        <v>112</v>
      </c>
      <c r="U25" s="12" t="s">
        <v>112</v>
      </c>
      <c r="V25" s="12" t="s">
        <v>112</v>
      </c>
      <c r="W25" s="12" t="s">
        <v>112</v>
      </c>
      <c r="X25" s="60"/>
      <c r="Y25" s="12" t="s">
        <v>112</v>
      </c>
      <c r="Z25" s="12" t="s">
        <v>112</v>
      </c>
      <c r="AA25" s="12" t="s">
        <v>112</v>
      </c>
      <c r="AB25" s="12" t="s">
        <v>112</v>
      </c>
      <c r="AC25" s="12" t="s">
        <v>112</v>
      </c>
      <c r="AD25" s="12" t="s">
        <v>112</v>
      </c>
      <c r="AE25" s="60"/>
      <c r="AF25" s="12" t="s">
        <v>112</v>
      </c>
      <c r="AG25" s="12" t="s">
        <v>112</v>
      </c>
      <c r="AH25" s="12" t="s">
        <v>112</v>
      </c>
      <c r="AI25" s="12" t="s">
        <v>112</v>
      </c>
      <c r="AJ25" s="5">
        <f t="shared" si="1"/>
        <v>26</v>
      </c>
      <c r="AK25" s="5">
        <f t="shared" si="2"/>
        <v>1</v>
      </c>
      <c r="AL25"/>
      <c r="AM25"/>
      <c r="AN25"/>
      <c r="AO25"/>
    </row>
    <row r="26" spans="1:41" ht="16.5" x14ac:dyDescent="0.25">
      <c r="A26" s="13">
        <v>22</v>
      </c>
      <c r="B26" s="8" t="s">
        <v>169</v>
      </c>
      <c r="C26" s="8" t="s">
        <v>170</v>
      </c>
      <c r="D26" s="11" t="s">
        <v>6</v>
      </c>
      <c r="E26" s="26" t="s">
        <v>112</v>
      </c>
      <c r="F26" s="26" t="s">
        <v>112</v>
      </c>
      <c r="G26" s="26" t="s">
        <v>112</v>
      </c>
      <c r="H26" s="26" t="s">
        <v>112</v>
      </c>
      <c r="I26" s="26" t="s">
        <v>111</v>
      </c>
      <c r="J26" s="60"/>
      <c r="K26" s="12" t="s">
        <v>112</v>
      </c>
      <c r="L26" s="12" t="s">
        <v>112</v>
      </c>
      <c r="M26" s="12" t="s">
        <v>112</v>
      </c>
      <c r="N26" s="12" t="s">
        <v>112</v>
      </c>
      <c r="O26" s="12" t="s">
        <v>112</v>
      </c>
      <c r="P26" s="12" t="s">
        <v>111</v>
      </c>
      <c r="Q26" s="60"/>
      <c r="R26" s="12" t="s">
        <v>112</v>
      </c>
      <c r="S26" s="12" t="s">
        <v>112</v>
      </c>
      <c r="T26" s="12" t="s">
        <v>112</v>
      </c>
      <c r="U26" s="12" t="s">
        <v>112</v>
      </c>
      <c r="V26" s="12" t="s">
        <v>112</v>
      </c>
      <c r="W26" s="12" t="s">
        <v>112</v>
      </c>
      <c r="X26" s="60"/>
      <c r="Y26" s="12" t="s">
        <v>112</v>
      </c>
      <c r="Z26" s="12" t="s">
        <v>112</v>
      </c>
      <c r="AA26" s="12" t="s">
        <v>112</v>
      </c>
      <c r="AB26" s="12" t="s">
        <v>112</v>
      </c>
      <c r="AC26" s="12" t="s">
        <v>112</v>
      </c>
      <c r="AD26" s="12" t="s">
        <v>112</v>
      </c>
      <c r="AE26" s="60"/>
      <c r="AF26" s="12" t="s">
        <v>112</v>
      </c>
      <c r="AG26" s="12" t="s">
        <v>112</v>
      </c>
      <c r="AH26" s="12" t="s">
        <v>112</v>
      </c>
      <c r="AI26" s="12" t="s">
        <v>112</v>
      </c>
      <c r="AJ26" s="5">
        <f t="shared" si="1"/>
        <v>25</v>
      </c>
      <c r="AK26" s="5">
        <f t="shared" si="2"/>
        <v>2</v>
      </c>
      <c r="AL26"/>
      <c r="AM26"/>
      <c r="AN26"/>
      <c r="AO26"/>
    </row>
    <row r="27" spans="1:41" ht="16.5" x14ac:dyDescent="0.25">
      <c r="A27" s="13">
        <v>23</v>
      </c>
      <c r="B27" s="8" t="s">
        <v>171</v>
      </c>
      <c r="C27" s="8" t="s">
        <v>138</v>
      </c>
      <c r="D27" s="11" t="s">
        <v>6</v>
      </c>
      <c r="E27" s="26" t="s">
        <v>112</v>
      </c>
      <c r="F27" s="26" t="s">
        <v>111</v>
      </c>
      <c r="G27" s="26" t="s">
        <v>111</v>
      </c>
      <c r="H27" s="26" t="s">
        <v>111</v>
      </c>
      <c r="I27" s="26" t="s">
        <v>111</v>
      </c>
      <c r="J27" s="60"/>
      <c r="K27" s="12" t="s">
        <v>111</v>
      </c>
      <c r="L27" s="12" t="s">
        <v>111</v>
      </c>
      <c r="M27" s="12" t="s">
        <v>111</v>
      </c>
      <c r="N27" s="12" t="s">
        <v>111</v>
      </c>
      <c r="O27" s="12" t="s">
        <v>111</v>
      </c>
      <c r="P27" s="12" t="s">
        <v>111</v>
      </c>
      <c r="Q27" s="60"/>
      <c r="R27" s="12" t="s">
        <v>113</v>
      </c>
      <c r="S27" s="12" t="s">
        <v>113</v>
      </c>
      <c r="T27" s="12" t="s">
        <v>113</v>
      </c>
      <c r="U27" s="12" t="s">
        <v>113</v>
      </c>
      <c r="V27" s="12" t="s">
        <v>113</v>
      </c>
      <c r="W27" s="12" t="s">
        <v>113</v>
      </c>
      <c r="X27" s="60"/>
      <c r="Y27" s="12" t="s">
        <v>113</v>
      </c>
      <c r="Z27" s="12" t="s">
        <v>113</v>
      </c>
      <c r="AA27" s="12" t="s">
        <v>113</v>
      </c>
      <c r="AB27" s="12" t="s">
        <v>113</v>
      </c>
      <c r="AC27" s="12" t="s">
        <v>113</v>
      </c>
      <c r="AD27" s="12" t="s">
        <v>113</v>
      </c>
      <c r="AE27" s="60"/>
      <c r="AF27" s="12" t="s">
        <v>113</v>
      </c>
      <c r="AG27" s="12" t="s">
        <v>113</v>
      </c>
      <c r="AH27" s="12" t="s">
        <v>113</v>
      </c>
      <c r="AI27" s="12" t="s">
        <v>113</v>
      </c>
      <c r="AJ27" s="5">
        <f t="shared" si="1"/>
        <v>1</v>
      </c>
      <c r="AK27" s="5">
        <f t="shared" si="2"/>
        <v>10</v>
      </c>
      <c r="AL27"/>
      <c r="AM27"/>
      <c r="AN27"/>
      <c r="AO27"/>
    </row>
    <row r="28" spans="1:41" ht="16.5" x14ac:dyDescent="0.25">
      <c r="A28" s="13">
        <v>24</v>
      </c>
      <c r="B28" s="8" t="s">
        <v>172</v>
      </c>
      <c r="C28" s="8" t="s">
        <v>173</v>
      </c>
      <c r="D28" s="11" t="s">
        <v>6</v>
      </c>
      <c r="E28" s="26" t="s">
        <v>111</v>
      </c>
      <c r="F28" s="26" t="s">
        <v>111</v>
      </c>
      <c r="G28" s="26" t="s">
        <v>111</v>
      </c>
      <c r="H28" s="26" t="s">
        <v>111</v>
      </c>
      <c r="I28" s="26" t="s">
        <v>112</v>
      </c>
      <c r="J28" s="60"/>
      <c r="K28" s="12" t="s">
        <v>112</v>
      </c>
      <c r="L28" s="12" t="s">
        <v>112</v>
      </c>
      <c r="M28" s="12" t="s">
        <v>112</v>
      </c>
      <c r="N28" s="12" t="s">
        <v>112</v>
      </c>
      <c r="O28" s="12" t="s">
        <v>111</v>
      </c>
      <c r="P28" s="12" t="s">
        <v>112</v>
      </c>
      <c r="Q28" s="60"/>
      <c r="R28" s="12" t="s">
        <v>111</v>
      </c>
      <c r="S28" s="12" t="s">
        <v>112</v>
      </c>
      <c r="T28" s="12" t="s">
        <v>111</v>
      </c>
      <c r="U28" s="12" t="s">
        <v>113</v>
      </c>
      <c r="V28" s="12" t="s">
        <v>113</v>
      </c>
      <c r="W28" s="12" t="s">
        <v>113</v>
      </c>
      <c r="X28" s="60"/>
      <c r="Y28" s="12" t="s">
        <v>113</v>
      </c>
      <c r="Z28" s="12" t="s">
        <v>112</v>
      </c>
      <c r="AA28" s="12" t="s">
        <v>111</v>
      </c>
      <c r="AB28" s="12" t="s">
        <v>112</v>
      </c>
      <c r="AC28" s="12" t="s">
        <v>111</v>
      </c>
      <c r="AD28" s="12" t="s">
        <v>111</v>
      </c>
      <c r="AE28" s="60"/>
      <c r="AF28" s="12" t="s">
        <v>112</v>
      </c>
      <c r="AG28" s="12" t="s">
        <v>112</v>
      </c>
      <c r="AH28" s="12" t="s">
        <v>112</v>
      </c>
      <c r="AI28" s="12" t="s">
        <v>112</v>
      </c>
      <c r="AJ28" s="5">
        <f t="shared" si="1"/>
        <v>13</v>
      </c>
      <c r="AK28" s="5">
        <f t="shared" si="2"/>
        <v>10</v>
      </c>
      <c r="AL28"/>
      <c r="AM28"/>
      <c r="AN28"/>
      <c r="AO28"/>
    </row>
    <row r="29" spans="1:41" ht="16.5" x14ac:dyDescent="0.25">
      <c r="A29" s="13">
        <v>25</v>
      </c>
      <c r="B29" s="8" t="s">
        <v>174</v>
      </c>
      <c r="C29" s="8"/>
      <c r="D29" s="11" t="s">
        <v>6</v>
      </c>
      <c r="E29" s="26" t="s">
        <v>112</v>
      </c>
      <c r="F29" s="26" t="s">
        <v>111</v>
      </c>
      <c r="G29" s="26" t="s">
        <v>112</v>
      </c>
      <c r="H29" s="26" t="s">
        <v>111</v>
      </c>
      <c r="I29" s="26" t="s">
        <v>111</v>
      </c>
      <c r="J29" s="60"/>
      <c r="K29" s="12" t="s">
        <v>112</v>
      </c>
      <c r="L29" s="12" t="s">
        <v>112</v>
      </c>
      <c r="M29" s="12" t="s">
        <v>112</v>
      </c>
      <c r="N29" s="12" t="s">
        <v>111</v>
      </c>
      <c r="O29" s="12" t="s">
        <v>112</v>
      </c>
      <c r="P29" s="12" t="s">
        <v>111</v>
      </c>
      <c r="Q29" s="60"/>
      <c r="R29" s="12" t="s">
        <v>112</v>
      </c>
      <c r="S29" s="12" t="s">
        <v>112</v>
      </c>
      <c r="T29" s="12" t="s">
        <v>112</v>
      </c>
      <c r="U29" s="12" t="s">
        <v>111</v>
      </c>
      <c r="V29" s="12" t="s">
        <v>112</v>
      </c>
      <c r="W29" s="12" t="s">
        <v>112</v>
      </c>
      <c r="X29" s="60"/>
      <c r="Y29" s="12" t="s">
        <v>112</v>
      </c>
      <c r="Z29" s="12" t="s">
        <v>112</v>
      </c>
      <c r="AA29" s="12" t="s">
        <v>112</v>
      </c>
      <c r="AB29" s="12" t="s">
        <v>112</v>
      </c>
      <c r="AC29" s="12" t="s">
        <v>111</v>
      </c>
      <c r="AD29" s="12" t="s">
        <v>112</v>
      </c>
      <c r="AE29" s="60"/>
      <c r="AF29" s="12" t="s">
        <v>112</v>
      </c>
      <c r="AG29" s="12" t="s">
        <v>111</v>
      </c>
      <c r="AH29" s="12" t="s">
        <v>112</v>
      </c>
      <c r="AI29" s="12" t="s">
        <v>111</v>
      </c>
      <c r="AJ29" s="5">
        <f t="shared" si="1"/>
        <v>18</v>
      </c>
      <c r="AK29" s="5">
        <f t="shared" si="2"/>
        <v>9</v>
      </c>
      <c r="AL29"/>
      <c r="AM29"/>
      <c r="AN29"/>
      <c r="AO29"/>
    </row>
    <row r="30" spans="1:41" ht="16.5" customHeight="1" x14ac:dyDescent="0.25">
      <c r="A30" s="7">
        <v>1</v>
      </c>
      <c r="B30" s="27" t="s">
        <v>175</v>
      </c>
      <c r="C30" s="28" t="s">
        <v>176</v>
      </c>
      <c r="D30" s="29" t="s">
        <v>6</v>
      </c>
      <c r="E30" s="30" t="s">
        <v>112</v>
      </c>
      <c r="F30" s="30" t="s">
        <v>111</v>
      </c>
      <c r="G30" s="30" t="s">
        <v>113</v>
      </c>
      <c r="H30" s="30" t="s">
        <v>113</v>
      </c>
      <c r="I30" s="30" t="s">
        <v>111</v>
      </c>
      <c r="J30" s="60"/>
      <c r="K30" s="31" t="s">
        <v>112</v>
      </c>
      <c r="L30" s="31" t="s">
        <v>112</v>
      </c>
      <c r="M30" s="31" t="s">
        <v>112</v>
      </c>
      <c r="N30" s="31" t="s">
        <v>112</v>
      </c>
      <c r="O30" s="31" t="s">
        <v>112</v>
      </c>
      <c r="P30" s="31" t="s">
        <v>112</v>
      </c>
      <c r="Q30" s="60"/>
      <c r="R30" s="31" t="s">
        <v>112</v>
      </c>
      <c r="S30" s="31" t="s">
        <v>112</v>
      </c>
      <c r="T30" s="31" t="s">
        <v>112</v>
      </c>
      <c r="U30" s="31" t="s">
        <v>112</v>
      </c>
      <c r="V30" s="31" t="s">
        <v>112</v>
      </c>
      <c r="W30" s="31" t="s">
        <v>112</v>
      </c>
      <c r="X30" s="60"/>
      <c r="Y30" s="31" t="s">
        <v>112</v>
      </c>
      <c r="Z30" s="31" t="s">
        <v>112</v>
      </c>
      <c r="AA30" s="31" t="s">
        <v>112</v>
      </c>
      <c r="AB30" s="31" t="s">
        <v>112</v>
      </c>
      <c r="AC30" s="31" t="s">
        <v>112</v>
      </c>
      <c r="AD30" s="31" t="s">
        <v>112</v>
      </c>
      <c r="AE30" s="60"/>
      <c r="AF30" s="31" t="s">
        <v>112</v>
      </c>
      <c r="AG30" s="31" t="s">
        <v>112</v>
      </c>
      <c r="AH30" s="31" t="s">
        <v>112</v>
      </c>
      <c r="AI30" s="31" t="s">
        <v>112</v>
      </c>
      <c r="AJ30" s="4">
        <f t="shared" si="1"/>
        <v>23</v>
      </c>
      <c r="AK30" s="4">
        <f t="shared" si="2"/>
        <v>2</v>
      </c>
    </row>
    <row r="31" spans="1:41" ht="16.5" x14ac:dyDescent="0.25">
      <c r="A31" s="15">
        <v>2</v>
      </c>
      <c r="B31" s="32" t="s">
        <v>177</v>
      </c>
      <c r="C31" s="33" t="s">
        <v>178</v>
      </c>
      <c r="D31" s="31" t="s">
        <v>6</v>
      </c>
      <c r="E31" s="30" t="s">
        <v>112</v>
      </c>
      <c r="F31" s="30" t="s">
        <v>111</v>
      </c>
      <c r="G31" s="30" t="s">
        <v>111</v>
      </c>
      <c r="H31" s="30" t="s">
        <v>111</v>
      </c>
      <c r="I31" s="30" t="s">
        <v>111</v>
      </c>
      <c r="J31" s="60"/>
      <c r="K31" s="31" t="s">
        <v>112</v>
      </c>
      <c r="L31" s="31" t="s">
        <v>112</v>
      </c>
      <c r="M31" s="31" t="s">
        <v>112</v>
      </c>
      <c r="N31" s="31" t="s">
        <v>112</v>
      </c>
      <c r="O31" s="31" t="s">
        <v>112</v>
      </c>
      <c r="P31" s="31" t="s">
        <v>112</v>
      </c>
      <c r="Q31" s="60"/>
      <c r="R31" s="31" t="s">
        <v>112</v>
      </c>
      <c r="S31" s="31" t="s">
        <v>112</v>
      </c>
      <c r="T31" s="31" t="s">
        <v>112</v>
      </c>
      <c r="U31" s="31" t="s">
        <v>112</v>
      </c>
      <c r="V31" s="31" t="s">
        <v>112</v>
      </c>
      <c r="W31" s="31" t="s">
        <v>112</v>
      </c>
      <c r="X31" s="60"/>
      <c r="Y31" s="31" t="s">
        <v>112</v>
      </c>
      <c r="Z31" s="31" t="s">
        <v>112</v>
      </c>
      <c r="AA31" s="31" t="s">
        <v>112</v>
      </c>
      <c r="AB31" s="31" t="s">
        <v>112</v>
      </c>
      <c r="AC31" s="31" t="s">
        <v>112</v>
      </c>
      <c r="AD31" s="31" t="s">
        <v>112</v>
      </c>
      <c r="AE31" s="60"/>
      <c r="AF31" s="31" t="s">
        <v>112</v>
      </c>
      <c r="AG31" s="31" t="s">
        <v>112</v>
      </c>
      <c r="AH31" s="31" t="s">
        <v>112</v>
      </c>
      <c r="AI31" s="31" t="s">
        <v>112</v>
      </c>
      <c r="AJ31" s="4">
        <f t="shared" si="1"/>
        <v>23</v>
      </c>
      <c r="AK31" s="4">
        <f t="shared" si="2"/>
        <v>4</v>
      </c>
    </row>
    <row r="32" spans="1:41" ht="16.5" x14ac:dyDescent="0.25">
      <c r="A32" s="7">
        <v>3</v>
      </c>
      <c r="B32" s="32" t="s">
        <v>179</v>
      </c>
      <c r="C32" s="33" t="s">
        <v>180</v>
      </c>
      <c r="D32" s="31" t="s">
        <v>6</v>
      </c>
      <c r="E32" s="30" t="s">
        <v>112</v>
      </c>
      <c r="F32" s="30" t="s">
        <v>112</v>
      </c>
      <c r="G32" s="30" t="s">
        <v>112</v>
      </c>
      <c r="H32" s="30" t="s">
        <v>112</v>
      </c>
      <c r="I32" s="30" t="s">
        <v>111</v>
      </c>
      <c r="J32" s="60"/>
      <c r="K32" s="31" t="s">
        <v>112</v>
      </c>
      <c r="L32" s="31" t="s">
        <v>112</v>
      </c>
      <c r="M32" s="31" t="s">
        <v>112</v>
      </c>
      <c r="N32" s="31" t="s">
        <v>112</v>
      </c>
      <c r="O32" s="31" t="s">
        <v>112</v>
      </c>
      <c r="P32" s="31" t="s">
        <v>112</v>
      </c>
      <c r="Q32" s="60"/>
      <c r="R32" s="31" t="s">
        <v>112</v>
      </c>
      <c r="S32" s="31" t="s">
        <v>112</v>
      </c>
      <c r="T32" s="31" t="s">
        <v>112</v>
      </c>
      <c r="U32" s="31" t="s">
        <v>112</v>
      </c>
      <c r="V32" s="31" t="s">
        <v>112</v>
      </c>
      <c r="W32" s="31" t="s">
        <v>112</v>
      </c>
      <c r="X32" s="60"/>
      <c r="Y32" s="31" t="s">
        <v>112</v>
      </c>
      <c r="Z32" s="31" t="s">
        <v>112</v>
      </c>
      <c r="AA32" s="31" t="s">
        <v>112</v>
      </c>
      <c r="AB32" s="31" t="s">
        <v>112</v>
      </c>
      <c r="AC32" s="31" t="s">
        <v>112</v>
      </c>
      <c r="AD32" s="31" t="s">
        <v>112</v>
      </c>
      <c r="AE32" s="60"/>
      <c r="AF32" s="31" t="s">
        <v>112</v>
      </c>
      <c r="AG32" s="31" t="s">
        <v>112</v>
      </c>
      <c r="AH32" s="31" t="s">
        <v>112</v>
      </c>
      <c r="AI32" s="31" t="s">
        <v>112</v>
      </c>
      <c r="AJ32" s="4">
        <f t="shared" si="1"/>
        <v>26</v>
      </c>
      <c r="AK32" s="4">
        <f t="shared" si="2"/>
        <v>1</v>
      </c>
    </row>
    <row r="33" spans="1:37" ht="16.5" x14ac:dyDescent="0.25">
      <c r="A33" s="15">
        <v>4</v>
      </c>
      <c r="B33" s="32" t="s">
        <v>181</v>
      </c>
      <c r="C33" s="33" t="s">
        <v>182</v>
      </c>
      <c r="D33" s="31" t="s">
        <v>6</v>
      </c>
      <c r="E33" s="30" t="s">
        <v>112</v>
      </c>
      <c r="F33" s="30" t="s">
        <v>112</v>
      </c>
      <c r="G33" s="30" t="s">
        <v>112</v>
      </c>
      <c r="H33" s="30" t="s">
        <v>112</v>
      </c>
      <c r="I33" s="30" t="s">
        <v>111</v>
      </c>
      <c r="J33" s="60"/>
      <c r="K33" s="31" t="s">
        <v>112</v>
      </c>
      <c r="L33" s="31" t="s">
        <v>112</v>
      </c>
      <c r="M33" s="31" t="s">
        <v>112</v>
      </c>
      <c r="N33" s="31" t="s">
        <v>112</v>
      </c>
      <c r="O33" s="31" t="s">
        <v>112</v>
      </c>
      <c r="P33" s="31" t="s">
        <v>111</v>
      </c>
      <c r="Q33" s="60"/>
      <c r="R33" s="31" t="s">
        <v>112</v>
      </c>
      <c r="S33" s="31" t="s">
        <v>112</v>
      </c>
      <c r="T33" s="31" t="s">
        <v>112</v>
      </c>
      <c r="U33" s="31" t="s">
        <v>112</v>
      </c>
      <c r="V33" s="31" t="s">
        <v>111</v>
      </c>
      <c r="W33" s="31" t="s">
        <v>112</v>
      </c>
      <c r="X33" s="60"/>
      <c r="Y33" s="31" t="s">
        <v>112</v>
      </c>
      <c r="Z33" s="31" t="s">
        <v>112</v>
      </c>
      <c r="AA33" s="31" t="s">
        <v>112</v>
      </c>
      <c r="AB33" s="31" t="s">
        <v>112</v>
      </c>
      <c r="AC33" s="31" t="s">
        <v>112</v>
      </c>
      <c r="AD33" s="31" t="s">
        <v>112</v>
      </c>
      <c r="AE33" s="60"/>
      <c r="AF33" s="31" t="s">
        <v>112</v>
      </c>
      <c r="AG33" s="31" t="s">
        <v>112</v>
      </c>
      <c r="AH33" s="31" t="s">
        <v>112</v>
      </c>
      <c r="AI33" s="31" t="s">
        <v>112</v>
      </c>
      <c r="AJ33" s="4">
        <f t="shared" si="1"/>
        <v>24</v>
      </c>
      <c r="AK33" s="4">
        <f t="shared" si="2"/>
        <v>3</v>
      </c>
    </row>
    <row r="34" spans="1:37" ht="16.5" x14ac:dyDescent="0.25">
      <c r="A34" s="7">
        <v>5</v>
      </c>
      <c r="B34" s="32" t="s">
        <v>183</v>
      </c>
      <c r="C34" s="33" t="s">
        <v>184</v>
      </c>
      <c r="D34" s="31" t="s">
        <v>6</v>
      </c>
      <c r="E34" s="30" t="s">
        <v>112</v>
      </c>
      <c r="F34" s="30" t="s">
        <v>112</v>
      </c>
      <c r="G34" s="30" t="s">
        <v>112</v>
      </c>
      <c r="H34" s="30" t="s">
        <v>112</v>
      </c>
      <c r="I34" s="30" t="s">
        <v>111</v>
      </c>
      <c r="J34" s="60"/>
      <c r="K34" s="31" t="s">
        <v>112</v>
      </c>
      <c r="L34" s="31" t="s">
        <v>112</v>
      </c>
      <c r="M34" s="31" t="s">
        <v>112</v>
      </c>
      <c r="N34" s="31" t="s">
        <v>112</v>
      </c>
      <c r="O34" s="31" t="s">
        <v>112</v>
      </c>
      <c r="P34" s="31" t="s">
        <v>112</v>
      </c>
      <c r="Q34" s="60"/>
      <c r="R34" s="31" t="s">
        <v>112</v>
      </c>
      <c r="S34" s="31" t="s">
        <v>112</v>
      </c>
      <c r="T34" s="31" t="s">
        <v>112</v>
      </c>
      <c r="U34" s="31" t="s">
        <v>112</v>
      </c>
      <c r="V34" s="31" t="s">
        <v>112</v>
      </c>
      <c r="W34" s="31" t="s">
        <v>112</v>
      </c>
      <c r="X34" s="60"/>
      <c r="Y34" s="31" t="s">
        <v>112</v>
      </c>
      <c r="Z34" s="31" t="s">
        <v>112</v>
      </c>
      <c r="AA34" s="31" t="s">
        <v>112</v>
      </c>
      <c r="AB34" s="31" t="s">
        <v>112</v>
      </c>
      <c r="AC34" s="31" t="s">
        <v>112</v>
      </c>
      <c r="AD34" s="31" t="s">
        <v>112</v>
      </c>
      <c r="AE34" s="60"/>
      <c r="AF34" s="31" t="s">
        <v>112</v>
      </c>
      <c r="AG34" s="31" t="s">
        <v>112</v>
      </c>
      <c r="AH34" s="31" t="s">
        <v>112</v>
      </c>
      <c r="AI34" s="31" t="s">
        <v>112</v>
      </c>
      <c r="AJ34" s="4">
        <f t="shared" si="1"/>
        <v>26</v>
      </c>
      <c r="AK34" s="4">
        <f t="shared" si="2"/>
        <v>1</v>
      </c>
    </row>
    <row r="35" spans="1:37" ht="16.5" x14ac:dyDescent="0.25">
      <c r="A35" s="15">
        <v>6</v>
      </c>
      <c r="B35" s="32" t="s">
        <v>185</v>
      </c>
      <c r="C35" s="33" t="s">
        <v>186</v>
      </c>
      <c r="D35" s="31" t="s">
        <v>6</v>
      </c>
      <c r="E35" s="30" t="s">
        <v>112</v>
      </c>
      <c r="F35" s="30" t="s">
        <v>112</v>
      </c>
      <c r="G35" s="30" t="s">
        <v>112</v>
      </c>
      <c r="H35" s="30" t="s">
        <v>112</v>
      </c>
      <c r="I35" s="30" t="s">
        <v>112</v>
      </c>
      <c r="J35" s="60"/>
      <c r="K35" s="31" t="s">
        <v>112</v>
      </c>
      <c r="L35" s="31" t="s">
        <v>112</v>
      </c>
      <c r="M35" s="31" t="s">
        <v>112</v>
      </c>
      <c r="N35" s="31" t="s">
        <v>112</v>
      </c>
      <c r="O35" s="31" t="s">
        <v>111</v>
      </c>
      <c r="P35" s="31" t="s">
        <v>111</v>
      </c>
      <c r="Q35" s="60"/>
      <c r="R35" s="31" t="s">
        <v>111</v>
      </c>
      <c r="S35" s="31" t="s">
        <v>111</v>
      </c>
      <c r="T35" s="31" t="s">
        <v>112</v>
      </c>
      <c r="U35" s="31" t="s">
        <v>112</v>
      </c>
      <c r="V35" s="31" t="s">
        <v>112</v>
      </c>
      <c r="W35" s="31" t="s">
        <v>111</v>
      </c>
      <c r="X35" s="60"/>
      <c r="Y35" s="31" t="s">
        <v>112</v>
      </c>
      <c r="Z35" s="31" t="s">
        <v>112</v>
      </c>
      <c r="AA35" s="31" t="s">
        <v>112</v>
      </c>
      <c r="AB35" s="31" t="s">
        <v>112</v>
      </c>
      <c r="AC35" s="31" t="s">
        <v>112</v>
      </c>
      <c r="AD35" s="31" t="s">
        <v>112</v>
      </c>
      <c r="AE35" s="60"/>
      <c r="AF35" s="31" t="s">
        <v>112</v>
      </c>
      <c r="AG35" s="31" t="s">
        <v>112</v>
      </c>
      <c r="AH35" s="31" t="s">
        <v>112</v>
      </c>
      <c r="AI35" s="31" t="s">
        <v>111</v>
      </c>
      <c r="AJ35" s="4">
        <f t="shared" si="1"/>
        <v>21</v>
      </c>
      <c r="AK35" s="4">
        <f t="shared" si="2"/>
        <v>6</v>
      </c>
    </row>
    <row r="36" spans="1:37" ht="16.5" x14ac:dyDescent="0.25">
      <c r="A36" s="7">
        <v>7</v>
      </c>
      <c r="B36" s="32" t="s">
        <v>187</v>
      </c>
      <c r="C36" s="33" t="s">
        <v>188</v>
      </c>
      <c r="D36" s="31" t="s">
        <v>6</v>
      </c>
      <c r="E36" s="30" t="s">
        <v>112</v>
      </c>
      <c r="F36" s="30" t="s">
        <v>111</v>
      </c>
      <c r="G36" s="30" t="s">
        <v>112</v>
      </c>
      <c r="H36" s="30" t="s">
        <v>112</v>
      </c>
      <c r="I36" s="30" t="s">
        <v>112</v>
      </c>
      <c r="J36" s="60"/>
      <c r="K36" s="31" t="s">
        <v>111</v>
      </c>
      <c r="L36" s="31" t="s">
        <v>112</v>
      </c>
      <c r="M36" s="31" t="s">
        <v>112</v>
      </c>
      <c r="N36" s="31" t="s">
        <v>112</v>
      </c>
      <c r="O36" s="31" t="s">
        <v>112</v>
      </c>
      <c r="P36" s="31" t="s">
        <v>112</v>
      </c>
      <c r="Q36" s="60"/>
      <c r="R36" s="31" t="s">
        <v>112</v>
      </c>
      <c r="S36" s="31" t="s">
        <v>112</v>
      </c>
      <c r="T36" s="31" t="s">
        <v>112</v>
      </c>
      <c r="U36" s="31" t="s">
        <v>111</v>
      </c>
      <c r="V36" s="31" t="s">
        <v>112</v>
      </c>
      <c r="W36" s="31" t="s">
        <v>112</v>
      </c>
      <c r="X36" s="60"/>
      <c r="Y36" s="31" t="s">
        <v>112</v>
      </c>
      <c r="Z36" s="31" t="s">
        <v>112</v>
      </c>
      <c r="AA36" s="31" t="s">
        <v>112</v>
      </c>
      <c r="AB36" s="31" t="s">
        <v>112</v>
      </c>
      <c r="AC36" s="31" t="s">
        <v>111</v>
      </c>
      <c r="AD36" s="31" t="s">
        <v>111</v>
      </c>
      <c r="AE36" s="60"/>
      <c r="AF36" s="31" t="s">
        <v>112</v>
      </c>
      <c r="AG36" s="31" t="s">
        <v>112</v>
      </c>
      <c r="AH36" s="31" t="s">
        <v>112</v>
      </c>
      <c r="AI36" s="31" t="s">
        <v>112</v>
      </c>
      <c r="AJ36" s="4">
        <f t="shared" si="1"/>
        <v>22</v>
      </c>
      <c r="AK36" s="4">
        <f t="shared" si="2"/>
        <v>5</v>
      </c>
    </row>
    <row r="37" spans="1:37" ht="16.5" x14ac:dyDescent="0.25">
      <c r="A37" s="15">
        <v>8</v>
      </c>
      <c r="B37" s="32" t="s">
        <v>189</v>
      </c>
      <c r="C37" s="33" t="s">
        <v>190</v>
      </c>
      <c r="D37" s="31" t="s">
        <v>6</v>
      </c>
      <c r="E37" s="30" t="s">
        <v>112</v>
      </c>
      <c r="F37" s="30" t="s">
        <v>112</v>
      </c>
      <c r="G37" s="30" t="s">
        <v>112</v>
      </c>
      <c r="H37" s="30" t="s">
        <v>112</v>
      </c>
      <c r="I37" s="30" t="s">
        <v>112</v>
      </c>
      <c r="J37" s="60"/>
      <c r="K37" s="31" t="s">
        <v>112</v>
      </c>
      <c r="L37" s="31" t="s">
        <v>111</v>
      </c>
      <c r="M37" s="31" t="s">
        <v>112</v>
      </c>
      <c r="N37" s="31" t="s">
        <v>112</v>
      </c>
      <c r="O37" s="31" t="s">
        <v>112</v>
      </c>
      <c r="P37" s="31" t="s">
        <v>111</v>
      </c>
      <c r="Q37" s="60"/>
      <c r="R37" s="31" t="s">
        <v>112</v>
      </c>
      <c r="S37" s="31" t="s">
        <v>112</v>
      </c>
      <c r="T37" s="31" t="s">
        <v>112</v>
      </c>
      <c r="U37" s="31" t="s">
        <v>112</v>
      </c>
      <c r="V37" s="31" t="s">
        <v>112</v>
      </c>
      <c r="W37" s="31" t="s">
        <v>111</v>
      </c>
      <c r="X37" s="60"/>
      <c r="Y37" s="31" t="s">
        <v>111</v>
      </c>
      <c r="Z37" s="31" t="s">
        <v>112</v>
      </c>
      <c r="AA37" s="31" t="s">
        <v>112</v>
      </c>
      <c r="AB37" s="31" t="s">
        <v>112</v>
      </c>
      <c r="AC37" s="31" t="s">
        <v>111</v>
      </c>
      <c r="AD37" s="31" t="s">
        <v>111</v>
      </c>
      <c r="AE37" s="60"/>
      <c r="AF37" s="31" t="s">
        <v>112</v>
      </c>
      <c r="AG37" s="31" t="s">
        <v>112</v>
      </c>
      <c r="AH37" s="31" t="s">
        <v>112</v>
      </c>
      <c r="AI37" s="31" t="s">
        <v>112</v>
      </c>
      <c r="AJ37" s="4">
        <f t="shared" si="1"/>
        <v>21</v>
      </c>
      <c r="AK37" s="4">
        <f t="shared" si="2"/>
        <v>6</v>
      </c>
    </row>
    <row r="38" spans="1:37" ht="16.5" x14ac:dyDescent="0.25">
      <c r="A38" s="7">
        <v>9</v>
      </c>
      <c r="B38" s="32" t="s">
        <v>191</v>
      </c>
      <c r="C38" s="33" t="s">
        <v>192</v>
      </c>
      <c r="D38" s="31" t="s">
        <v>6</v>
      </c>
      <c r="E38" s="30" t="s">
        <v>112</v>
      </c>
      <c r="F38" s="30" t="s">
        <v>112</v>
      </c>
      <c r="G38" s="30" t="s">
        <v>112</v>
      </c>
      <c r="H38" s="30" t="s">
        <v>111</v>
      </c>
      <c r="I38" s="30" t="s">
        <v>112</v>
      </c>
      <c r="J38" s="60"/>
      <c r="K38" s="31" t="s">
        <v>112</v>
      </c>
      <c r="L38" s="31" t="s">
        <v>112</v>
      </c>
      <c r="M38" s="31" t="s">
        <v>112</v>
      </c>
      <c r="N38" s="31" t="s">
        <v>112</v>
      </c>
      <c r="O38" s="31" t="s">
        <v>111</v>
      </c>
      <c r="P38" s="31" t="s">
        <v>112</v>
      </c>
      <c r="Q38" s="60"/>
      <c r="R38" s="31" t="s">
        <v>112</v>
      </c>
      <c r="S38" s="31" t="s">
        <v>112</v>
      </c>
      <c r="T38" s="31" t="s">
        <v>112</v>
      </c>
      <c r="U38" s="31" t="s">
        <v>112</v>
      </c>
      <c r="V38" s="31" t="s">
        <v>111</v>
      </c>
      <c r="W38" s="31" t="s">
        <v>112</v>
      </c>
      <c r="X38" s="60"/>
      <c r="Y38" s="31" t="s">
        <v>112</v>
      </c>
      <c r="Z38" s="31" t="s">
        <v>112</v>
      </c>
      <c r="AA38" s="31" t="s">
        <v>111</v>
      </c>
      <c r="AB38" s="31" t="s">
        <v>112</v>
      </c>
      <c r="AC38" s="31" t="s">
        <v>111</v>
      </c>
      <c r="AD38" s="31" t="s">
        <v>112</v>
      </c>
      <c r="AE38" s="60"/>
      <c r="AF38" s="31" t="s">
        <v>111</v>
      </c>
      <c r="AG38" s="31" t="s">
        <v>112</v>
      </c>
      <c r="AH38" s="31" t="s">
        <v>111</v>
      </c>
      <c r="AI38" s="31" t="s">
        <v>111</v>
      </c>
      <c r="AJ38" s="4">
        <f t="shared" si="1"/>
        <v>19</v>
      </c>
      <c r="AK38" s="4">
        <f t="shared" si="2"/>
        <v>8</v>
      </c>
    </row>
    <row r="39" spans="1:37" ht="16.5" x14ac:dyDescent="0.25">
      <c r="A39" s="15">
        <v>10</v>
      </c>
      <c r="B39" s="32" t="s">
        <v>193</v>
      </c>
      <c r="C39" s="33" t="s">
        <v>194</v>
      </c>
      <c r="D39" s="31" t="s">
        <v>6</v>
      </c>
      <c r="E39" s="30" t="s">
        <v>112</v>
      </c>
      <c r="F39" s="30" t="s">
        <v>112</v>
      </c>
      <c r="G39" s="30" t="s">
        <v>112</v>
      </c>
      <c r="H39" s="30" t="s">
        <v>112</v>
      </c>
      <c r="I39" s="30" t="s">
        <v>112</v>
      </c>
      <c r="J39" s="60"/>
      <c r="K39" s="31" t="s">
        <v>112</v>
      </c>
      <c r="L39" s="31" t="s">
        <v>112</v>
      </c>
      <c r="M39" s="31" t="s">
        <v>112</v>
      </c>
      <c r="N39" s="31" t="s">
        <v>112</v>
      </c>
      <c r="O39" s="31" t="s">
        <v>112</v>
      </c>
      <c r="P39" s="31" t="s">
        <v>112</v>
      </c>
      <c r="Q39" s="60"/>
      <c r="R39" s="31" t="s">
        <v>112</v>
      </c>
      <c r="S39" s="31" t="s">
        <v>112</v>
      </c>
      <c r="T39" s="31" t="s">
        <v>112</v>
      </c>
      <c r="U39" s="31" t="s">
        <v>112</v>
      </c>
      <c r="V39" s="31" t="s">
        <v>112</v>
      </c>
      <c r="W39" s="31" t="s">
        <v>112</v>
      </c>
      <c r="X39" s="60"/>
      <c r="Y39" s="31" t="s">
        <v>112</v>
      </c>
      <c r="Z39" s="31" t="s">
        <v>112</v>
      </c>
      <c r="AA39" s="31" t="s">
        <v>112</v>
      </c>
      <c r="AB39" s="31" t="s">
        <v>112</v>
      </c>
      <c r="AC39" s="31" t="s">
        <v>112</v>
      </c>
      <c r="AD39" s="31" t="s">
        <v>112</v>
      </c>
      <c r="AE39" s="60"/>
      <c r="AF39" s="31" t="s">
        <v>112</v>
      </c>
      <c r="AG39" s="31" t="s">
        <v>112</v>
      </c>
      <c r="AH39" s="31" t="s">
        <v>112</v>
      </c>
      <c r="AI39" s="31" t="s">
        <v>112</v>
      </c>
      <c r="AJ39" s="4">
        <f t="shared" si="1"/>
        <v>27</v>
      </c>
      <c r="AK39" s="4">
        <f t="shared" si="2"/>
        <v>0</v>
      </c>
    </row>
    <row r="40" spans="1:37" ht="16.5" x14ac:dyDescent="0.25">
      <c r="A40" s="7">
        <v>11</v>
      </c>
      <c r="B40" s="32" t="s">
        <v>195</v>
      </c>
      <c r="C40" s="33" t="s">
        <v>196</v>
      </c>
      <c r="D40" s="31" t="s">
        <v>6</v>
      </c>
      <c r="E40" s="30" t="s">
        <v>112</v>
      </c>
      <c r="F40" s="30" t="s">
        <v>112</v>
      </c>
      <c r="G40" s="30" t="s">
        <v>112</v>
      </c>
      <c r="H40" s="30" t="s">
        <v>112</v>
      </c>
      <c r="I40" s="30" t="s">
        <v>111</v>
      </c>
      <c r="J40" s="60"/>
      <c r="K40" s="31" t="s">
        <v>111</v>
      </c>
      <c r="L40" s="31" t="s">
        <v>111</v>
      </c>
      <c r="M40" s="31" t="s">
        <v>112</v>
      </c>
      <c r="N40" s="31" t="s">
        <v>112</v>
      </c>
      <c r="O40" s="31" t="s">
        <v>112</v>
      </c>
      <c r="P40" s="31" t="s">
        <v>112</v>
      </c>
      <c r="Q40" s="60"/>
      <c r="R40" s="31" t="s">
        <v>112</v>
      </c>
      <c r="S40" s="31" t="s">
        <v>112</v>
      </c>
      <c r="T40" s="31" t="s">
        <v>112</v>
      </c>
      <c r="U40" s="31" t="s">
        <v>112</v>
      </c>
      <c r="V40" s="31" t="s">
        <v>112</v>
      </c>
      <c r="W40" s="31" t="s">
        <v>112</v>
      </c>
      <c r="X40" s="60"/>
      <c r="Y40" s="31" t="s">
        <v>112</v>
      </c>
      <c r="Z40" s="31" t="s">
        <v>113</v>
      </c>
      <c r="AA40" s="31" t="s">
        <v>113</v>
      </c>
      <c r="AB40" s="31" t="s">
        <v>113</v>
      </c>
      <c r="AC40" s="31" t="s">
        <v>113</v>
      </c>
      <c r="AD40" s="31" t="s">
        <v>112</v>
      </c>
      <c r="AE40" s="60"/>
      <c r="AF40" s="31" t="s">
        <v>112</v>
      </c>
      <c r="AG40" s="31" t="s">
        <v>112</v>
      </c>
      <c r="AH40" s="31" t="s">
        <v>112</v>
      </c>
      <c r="AI40" s="31" t="s">
        <v>111</v>
      </c>
      <c r="AJ40" s="4">
        <f t="shared" si="1"/>
        <v>19</v>
      </c>
      <c r="AK40" s="4">
        <f t="shared" si="2"/>
        <v>4</v>
      </c>
    </row>
    <row r="41" spans="1:37" ht="16.5" x14ac:dyDescent="0.25">
      <c r="A41" s="15">
        <v>12</v>
      </c>
      <c r="B41" s="32" t="s">
        <v>197</v>
      </c>
      <c r="C41" s="33" t="s">
        <v>146</v>
      </c>
      <c r="D41" s="31" t="s">
        <v>6</v>
      </c>
      <c r="E41" s="30" t="s">
        <v>112</v>
      </c>
      <c r="F41" s="30" t="s">
        <v>112</v>
      </c>
      <c r="G41" s="30" t="s">
        <v>112</v>
      </c>
      <c r="H41" s="30" t="s">
        <v>112</v>
      </c>
      <c r="I41" s="30" t="s">
        <v>112</v>
      </c>
      <c r="J41" s="60"/>
      <c r="K41" s="31" t="s">
        <v>112</v>
      </c>
      <c r="L41" s="31" t="s">
        <v>112</v>
      </c>
      <c r="M41" s="31" t="s">
        <v>112</v>
      </c>
      <c r="N41" s="31" t="s">
        <v>112</v>
      </c>
      <c r="O41" s="31" t="s">
        <v>112</v>
      </c>
      <c r="P41" s="31" t="s">
        <v>112</v>
      </c>
      <c r="Q41" s="60"/>
      <c r="R41" s="31" t="s">
        <v>112</v>
      </c>
      <c r="S41" s="31" t="s">
        <v>112</v>
      </c>
      <c r="T41" s="31" t="s">
        <v>112</v>
      </c>
      <c r="U41" s="31" t="s">
        <v>112</v>
      </c>
      <c r="V41" s="31" t="s">
        <v>112</v>
      </c>
      <c r="W41" s="31" t="s">
        <v>112</v>
      </c>
      <c r="X41" s="60"/>
      <c r="Y41" s="31" t="s">
        <v>112</v>
      </c>
      <c r="Z41" s="31" t="s">
        <v>112</v>
      </c>
      <c r="AA41" s="31" t="s">
        <v>112</v>
      </c>
      <c r="AB41" s="31" t="s">
        <v>112</v>
      </c>
      <c r="AC41" s="31" t="s">
        <v>112</v>
      </c>
      <c r="AD41" s="31" t="s">
        <v>112</v>
      </c>
      <c r="AE41" s="60"/>
      <c r="AF41" s="31" t="s">
        <v>112</v>
      </c>
      <c r="AG41" s="31" t="s">
        <v>112</v>
      </c>
      <c r="AH41" s="31" t="s">
        <v>112</v>
      </c>
      <c r="AI41" s="31" t="s">
        <v>112</v>
      </c>
      <c r="AJ41" s="4">
        <f t="shared" si="1"/>
        <v>27</v>
      </c>
      <c r="AK41" s="4">
        <f t="shared" si="2"/>
        <v>0</v>
      </c>
    </row>
    <row r="42" spans="1:37" ht="16.5" x14ac:dyDescent="0.25">
      <c r="A42" s="7">
        <v>13</v>
      </c>
      <c r="B42" s="32" t="s">
        <v>198</v>
      </c>
      <c r="C42" s="33" t="s">
        <v>199</v>
      </c>
      <c r="D42" s="31" t="s">
        <v>6</v>
      </c>
      <c r="E42" s="30" t="s">
        <v>112</v>
      </c>
      <c r="F42" s="30" t="s">
        <v>112</v>
      </c>
      <c r="G42" s="30" t="s">
        <v>112</v>
      </c>
      <c r="H42" s="30" t="s">
        <v>112</v>
      </c>
      <c r="I42" s="30" t="s">
        <v>112</v>
      </c>
      <c r="J42" s="60"/>
      <c r="K42" s="31" t="s">
        <v>112</v>
      </c>
      <c r="L42" s="31" t="s">
        <v>112</v>
      </c>
      <c r="M42" s="31" t="s">
        <v>112</v>
      </c>
      <c r="N42" s="31" t="s">
        <v>112</v>
      </c>
      <c r="O42" s="31" t="s">
        <v>112</v>
      </c>
      <c r="P42" s="31" t="s">
        <v>112</v>
      </c>
      <c r="Q42" s="60"/>
      <c r="R42" s="31" t="s">
        <v>112</v>
      </c>
      <c r="S42" s="31" t="s">
        <v>112</v>
      </c>
      <c r="T42" s="31" t="s">
        <v>112</v>
      </c>
      <c r="U42" s="31" t="s">
        <v>111</v>
      </c>
      <c r="V42" s="31" t="s">
        <v>112</v>
      </c>
      <c r="W42" s="31" t="s">
        <v>112</v>
      </c>
      <c r="X42" s="60"/>
      <c r="Y42" s="31" t="s">
        <v>112</v>
      </c>
      <c r="Z42" s="31" t="s">
        <v>112</v>
      </c>
      <c r="AA42" s="31" t="s">
        <v>112</v>
      </c>
      <c r="AB42" s="31" t="s">
        <v>112</v>
      </c>
      <c r="AC42" s="31" t="s">
        <v>112</v>
      </c>
      <c r="AD42" s="31" t="s">
        <v>112</v>
      </c>
      <c r="AE42" s="60"/>
      <c r="AF42" s="31" t="s">
        <v>112</v>
      </c>
      <c r="AG42" s="31" t="s">
        <v>112</v>
      </c>
      <c r="AH42" s="31" t="s">
        <v>112</v>
      </c>
      <c r="AI42" s="31" t="s">
        <v>112</v>
      </c>
      <c r="AJ42" s="4">
        <f t="shared" si="1"/>
        <v>26</v>
      </c>
      <c r="AK42" s="4">
        <f t="shared" si="2"/>
        <v>1</v>
      </c>
    </row>
    <row r="43" spans="1:37" ht="16.5" x14ac:dyDescent="0.25">
      <c r="A43" s="15">
        <v>14</v>
      </c>
      <c r="B43" s="32" t="s">
        <v>200</v>
      </c>
      <c r="C43" s="33" t="s">
        <v>201</v>
      </c>
      <c r="D43" s="31" t="s">
        <v>6</v>
      </c>
      <c r="E43" s="30" t="s">
        <v>112</v>
      </c>
      <c r="F43" s="30" t="s">
        <v>112</v>
      </c>
      <c r="G43" s="30" t="s">
        <v>112</v>
      </c>
      <c r="H43" s="30" t="s">
        <v>111</v>
      </c>
      <c r="I43" s="30" t="s">
        <v>111</v>
      </c>
      <c r="J43" s="60"/>
      <c r="K43" s="31" t="s">
        <v>112</v>
      </c>
      <c r="L43" s="31" t="s">
        <v>112</v>
      </c>
      <c r="M43" s="31" t="s">
        <v>112</v>
      </c>
      <c r="N43" s="31" t="s">
        <v>112</v>
      </c>
      <c r="O43" s="31" t="s">
        <v>112</v>
      </c>
      <c r="P43" s="31" t="s">
        <v>112</v>
      </c>
      <c r="Q43" s="60"/>
      <c r="R43" s="31" t="s">
        <v>112</v>
      </c>
      <c r="S43" s="31" t="s">
        <v>112</v>
      </c>
      <c r="T43" s="31" t="s">
        <v>111</v>
      </c>
      <c r="U43" s="31" t="s">
        <v>112</v>
      </c>
      <c r="V43" s="31" t="s">
        <v>112</v>
      </c>
      <c r="W43" s="31" t="s">
        <v>112</v>
      </c>
      <c r="X43" s="60"/>
      <c r="Y43" s="31" t="s">
        <v>112</v>
      </c>
      <c r="Z43" s="31" t="s">
        <v>112</v>
      </c>
      <c r="AA43" s="31" t="s">
        <v>112</v>
      </c>
      <c r="AB43" s="31" t="s">
        <v>112</v>
      </c>
      <c r="AC43" s="31" t="s">
        <v>111</v>
      </c>
      <c r="AD43" s="31" t="s">
        <v>112</v>
      </c>
      <c r="AE43" s="60"/>
      <c r="AF43" s="31" t="s">
        <v>112</v>
      </c>
      <c r="AG43" s="31" t="s">
        <v>112</v>
      </c>
      <c r="AH43" s="31" t="s">
        <v>112</v>
      </c>
      <c r="AI43" s="31" t="s">
        <v>112</v>
      </c>
      <c r="AJ43" s="4">
        <f t="shared" si="1"/>
        <v>23</v>
      </c>
      <c r="AK43" s="4">
        <f t="shared" si="2"/>
        <v>4</v>
      </c>
    </row>
    <row r="44" spans="1:37" ht="16.5" x14ac:dyDescent="0.25">
      <c r="A44" s="7">
        <v>15</v>
      </c>
      <c r="B44" s="32" t="s">
        <v>202</v>
      </c>
      <c r="C44" s="33" t="s">
        <v>203</v>
      </c>
      <c r="D44" s="31" t="s">
        <v>6</v>
      </c>
      <c r="E44" s="30" t="s">
        <v>112</v>
      </c>
      <c r="F44" s="30" t="s">
        <v>112</v>
      </c>
      <c r="G44" s="30" t="s">
        <v>112</v>
      </c>
      <c r="H44" s="30" t="s">
        <v>111</v>
      </c>
      <c r="I44" s="30" t="s">
        <v>111</v>
      </c>
      <c r="J44" s="60"/>
      <c r="K44" s="31" t="s">
        <v>112</v>
      </c>
      <c r="L44" s="31" t="s">
        <v>112</v>
      </c>
      <c r="M44" s="31" t="s">
        <v>111</v>
      </c>
      <c r="N44" s="31" t="s">
        <v>111</v>
      </c>
      <c r="O44" s="31" t="s">
        <v>111</v>
      </c>
      <c r="P44" s="31" t="s">
        <v>111</v>
      </c>
      <c r="Q44" s="60"/>
      <c r="R44" s="31" t="s">
        <v>111</v>
      </c>
      <c r="S44" s="31" t="s">
        <v>113</v>
      </c>
      <c r="T44" s="31" t="s">
        <v>113</v>
      </c>
      <c r="U44" s="31" t="s">
        <v>113</v>
      </c>
      <c r="V44" s="31" t="s">
        <v>113</v>
      </c>
      <c r="W44" s="31" t="s">
        <v>113</v>
      </c>
      <c r="X44" s="60"/>
      <c r="Y44" s="31" t="s">
        <v>113</v>
      </c>
      <c r="Z44" s="31" t="s">
        <v>113</v>
      </c>
      <c r="AA44" s="31" t="s">
        <v>112</v>
      </c>
      <c r="AB44" s="31" t="s">
        <v>112</v>
      </c>
      <c r="AC44" s="31" t="s">
        <v>112</v>
      </c>
      <c r="AD44" s="31" t="s">
        <v>112</v>
      </c>
      <c r="AE44" s="60"/>
      <c r="AF44" s="31" t="s">
        <v>112</v>
      </c>
      <c r="AG44" s="31" t="s">
        <v>112</v>
      </c>
      <c r="AH44" s="31" t="s">
        <v>112</v>
      </c>
      <c r="AI44" s="31" t="s">
        <v>112</v>
      </c>
      <c r="AJ44" s="4">
        <f t="shared" si="1"/>
        <v>13</v>
      </c>
      <c r="AK44" s="4">
        <f t="shared" si="2"/>
        <v>7</v>
      </c>
    </row>
    <row r="45" spans="1:37" ht="16.5" x14ac:dyDescent="0.25">
      <c r="A45" s="15">
        <v>16</v>
      </c>
      <c r="B45" s="32" t="s">
        <v>204</v>
      </c>
      <c r="C45" s="33" t="s">
        <v>205</v>
      </c>
      <c r="D45" s="31" t="s">
        <v>6</v>
      </c>
      <c r="E45" s="30" t="s">
        <v>112</v>
      </c>
      <c r="F45" s="30" t="s">
        <v>112</v>
      </c>
      <c r="G45" s="30" t="s">
        <v>112</v>
      </c>
      <c r="H45" s="30" t="s">
        <v>111</v>
      </c>
      <c r="I45" s="30" t="s">
        <v>111</v>
      </c>
      <c r="J45" s="60"/>
      <c r="K45" s="31" t="s">
        <v>112</v>
      </c>
      <c r="L45" s="31" t="s">
        <v>112</v>
      </c>
      <c r="M45" s="31" t="s">
        <v>112</v>
      </c>
      <c r="N45" s="31" t="s">
        <v>112</v>
      </c>
      <c r="O45" s="31" t="s">
        <v>112</v>
      </c>
      <c r="P45" s="31" t="s">
        <v>111</v>
      </c>
      <c r="Q45" s="60"/>
      <c r="R45" s="31" t="s">
        <v>112</v>
      </c>
      <c r="S45" s="31" t="s">
        <v>112</v>
      </c>
      <c r="T45" s="31" t="s">
        <v>112</v>
      </c>
      <c r="U45" s="31" t="s">
        <v>112</v>
      </c>
      <c r="V45" s="31" t="s">
        <v>112</v>
      </c>
      <c r="W45" s="31" t="s">
        <v>112</v>
      </c>
      <c r="X45" s="60"/>
      <c r="Y45" s="31" t="s">
        <v>112</v>
      </c>
      <c r="Z45" s="31" t="s">
        <v>112</v>
      </c>
      <c r="AA45" s="31" t="s">
        <v>112</v>
      </c>
      <c r="AB45" s="31" t="s">
        <v>112</v>
      </c>
      <c r="AC45" s="31" t="s">
        <v>112</v>
      </c>
      <c r="AD45" s="31" t="s">
        <v>111</v>
      </c>
      <c r="AE45" s="60"/>
      <c r="AF45" s="31" t="s">
        <v>112</v>
      </c>
      <c r="AG45" s="31" t="s">
        <v>112</v>
      </c>
      <c r="AH45" s="31" t="s">
        <v>112</v>
      </c>
      <c r="AI45" s="31" t="s">
        <v>112</v>
      </c>
      <c r="AJ45" s="4">
        <f t="shared" si="1"/>
        <v>23</v>
      </c>
      <c r="AK45" s="4">
        <f t="shared" si="2"/>
        <v>4</v>
      </c>
    </row>
    <row r="46" spans="1:37" ht="16.5" x14ac:dyDescent="0.25">
      <c r="A46" s="7">
        <v>17</v>
      </c>
      <c r="B46" s="32" t="s">
        <v>206</v>
      </c>
      <c r="C46" s="33" t="s">
        <v>58</v>
      </c>
      <c r="D46" s="31" t="s">
        <v>6</v>
      </c>
      <c r="E46" s="30" t="s">
        <v>112</v>
      </c>
      <c r="F46" s="30" t="s">
        <v>112</v>
      </c>
      <c r="G46" s="30" t="s">
        <v>112</v>
      </c>
      <c r="H46" s="30" t="s">
        <v>112</v>
      </c>
      <c r="I46" s="30" t="s">
        <v>112</v>
      </c>
      <c r="J46" s="60"/>
      <c r="K46" s="31" t="s">
        <v>112</v>
      </c>
      <c r="L46" s="31" t="s">
        <v>112</v>
      </c>
      <c r="M46" s="31" t="s">
        <v>112</v>
      </c>
      <c r="N46" s="31" t="s">
        <v>112</v>
      </c>
      <c r="O46" s="31" t="s">
        <v>112</v>
      </c>
      <c r="P46" s="31" t="s">
        <v>112</v>
      </c>
      <c r="Q46" s="60"/>
      <c r="R46" s="31" t="s">
        <v>112</v>
      </c>
      <c r="S46" s="31" t="s">
        <v>112</v>
      </c>
      <c r="T46" s="31" t="s">
        <v>112</v>
      </c>
      <c r="U46" s="31" t="s">
        <v>111</v>
      </c>
      <c r="V46" s="31" t="s">
        <v>112</v>
      </c>
      <c r="W46" s="31" t="s">
        <v>112</v>
      </c>
      <c r="X46" s="60"/>
      <c r="Y46" s="31" t="s">
        <v>112</v>
      </c>
      <c r="Z46" s="31" t="s">
        <v>112</v>
      </c>
      <c r="AA46" s="31" t="s">
        <v>112</v>
      </c>
      <c r="AB46" s="31" t="s">
        <v>112</v>
      </c>
      <c r="AC46" s="31" t="s">
        <v>112</v>
      </c>
      <c r="AD46" s="31" t="s">
        <v>112</v>
      </c>
      <c r="AE46" s="60"/>
      <c r="AF46" s="31" t="s">
        <v>112</v>
      </c>
      <c r="AG46" s="31" t="s">
        <v>112</v>
      </c>
      <c r="AH46" s="31" t="s">
        <v>112</v>
      </c>
      <c r="AI46" s="31" t="s">
        <v>111</v>
      </c>
      <c r="AJ46" s="4">
        <f t="shared" si="1"/>
        <v>25</v>
      </c>
      <c r="AK46" s="4">
        <f t="shared" si="2"/>
        <v>2</v>
      </c>
    </row>
    <row r="47" spans="1:37" ht="16.5" x14ac:dyDescent="0.25">
      <c r="A47" s="15">
        <v>18</v>
      </c>
      <c r="B47" s="32" t="s">
        <v>207</v>
      </c>
      <c r="C47" s="33" t="s">
        <v>208</v>
      </c>
      <c r="D47" s="31" t="s">
        <v>6</v>
      </c>
      <c r="E47" s="30" t="s">
        <v>112</v>
      </c>
      <c r="F47" s="30" t="s">
        <v>112</v>
      </c>
      <c r="G47" s="30" t="s">
        <v>112</v>
      </c>
      <c r="H47" s="30" t="s">
        <v>112</v>
      </c>
      <c r="I47" s="30" t="s">
        <v>112</v>
      </c>
      <c r="J47" s="60"/>
      <c r="K47" s="31" t="s">
        <v>112</v>
      </c>
      <c r="L47" s="31" t="s">
        <v>112</v>
      </c>
      <c r="M47" s="31" t="s">
        <v>112</v>
      </c>
      <c r="N47" s="31" t="s">
        <v>112</v>
      </c>
      <c r="O47" s="31" t="s">
        <v>111</v>
      </c>
      <c r="P47" s="31" t="s">
        <v>111</v>
      </c>
      <c r="Q47" s="60"/>
      <c r="R47" s="31" t="s">
        <v>111</v>
      </c>
      <c r="S47" s="31" t="s">
        <v>112</v>
      </c>
      <c r="T47" s="31" t="s">
        <v>111</v>
      </c>
      <c r="U47" s="31" t="s">
        <v>111</v>
      </c>
      <c r="V47" s="31" t="s">
        <v>111</v>
      </c>
      <c r="W47" s="31" t="s">
        <v>111</v>
      </c>
      <c r="X47" s="60"/>
      <c r="Y47" s="31" t="s">
        <v>111</v>
      </c>
      <c r="Z47" s="31" t="s">
        <v>111</v>
      </c>
      <c r="AA47" s="31" t="s">
        <v>112</v>
      </c>
      <c r="AB47" s="31" t="s">
        <v>112</v>
      </c>
      <c r="AC47" s="31" t="s">
        <v>112</v>
      </c>
      <c r="AD47" s="31" t="s">
        <v>112</v>
      </c>
      <c r="AE47" s="60"/>
      <c r="AF47" s="31" t="s">
        <v>112</v>
      </c>
      <c r="AG47" s="31" t="s">
        <v>111</v>
      </c>
      <c r="AH47" s="31" t="s">
        <v>112</v>
      </c>
      <c r="AI47" s="31" t="s">
        <v>112</v>
      </c>
      <c r="AJ47" s="4">
        <f t="shared" si="1"/>
        <v>17</v>
      </c>
      <c r="AK47" s="4">
        <f t="shared" si="2"/>
        <v>10</v>
      </c>
    </row>
    <row r="48" spans="1:37" ht="16.5" x14ac:dyDescent="0.25">
      <c r="A48" s="7">
        <v>19</v>
      </c>
      <c r="B48" s="32" t="s">
        <v>209</v>
      </c>
      <c r="C48" s="33" t="s">
        <v>208</v>
      </c>
      <c r="D48" s="31" t="s">
        <v>6</v>
      </c>
      <c r="E48" s="30" t="s">
        <v>112</v>
      </c>
      <c r="F48" s="30" t="s">
        <v>112</v>
      </c>
      <c r="G48" s="30" t="s">
        <v>112</v>
      </c>
      <c r="H48" s="30" t="s">
        <v>112</v>
      </c>
      <c r="I48" s="30" t="s">
        <v>112</v>
      </c>
      <c r="J48" s="60"/>
      <c r="K48" s="31" t="s">
        <v>112</v>
      </c>
      <c r="L48" s="31" t="s">
        <v>112</v>
      </c>
      <c r="M48" s="31" t="s">
        <v>112</v>
      </c>
      <c r="N48" s="31" t="s">
        <v>112</v>
      </c>
      <c r="O48" s="31" t="s">
        <v>112</v>
      </c>
      <c r="P48" s="31" t="s">
        <v>111</v>
      </c>
      <c r="Q48" s="60"/>
      <c r="R48" s="31" t="s">
        <v>111</v>
      </c>
      <c r="S48" s="31" t="s">
        <v>111</v>
      </c>
      <c r="T48" s="31" t="s">
        <v>111</v>
      </c>
      <c r="U48" s="31" t="s">
        <v>112</v>
      </c>
      <c r="V48" s="31" t="s">
        <v>112</v>
      </c>
      <c r="W48" s="31" t="s">
        <v>112</v>
      </c>
      <c r="X48" s="60"/>
      <c r="Y48" s="31" t="s">
        <v>112</v>
      </c>
      <c r="Z48" s="31" t="s">
        <v>112</v>
      </c>
      <c r="AA48" s="31" t="s">
        <v>112</v>
      </c>
      <c r="AB48" s="31" t="s">
        <v>112</v>
      </c>
      <c r="AC48" s="31" t="s">
        <v>112</v>
      </c>
      <c r="AD48" s="31" t="s">
        <v>112</v>
      </c>
      <c r="AE48" s="60"/>
      <c r="AF48" s="31" t="s">
        <v>112</v>
      </c>
      <c r="AG48" s="31" t="s">
        <v>112</v>
      </c>
      <c r="AH48" s="31" t="s">
        <v>112</v>
      </c>
      <c r="AI48" s="31" t="s">
        <v>112</v>
      </c>
      <c r="AJ48" s="4">
        <f t="shared" si="1"/>
        <v>23</v>
      </c>
      <c r="AK48" s="4">
        <f t="shared" si="2"/>
        <v>4</v>
      </c>
    </row>
    <row r="49" spans="1:37" ht="16.5" x14ac:dyDescent="0.25">
      <c r="A49" s="15">
        <v>20</v>
      </c>
      <c r="B49" s="32" t="s">
        <v>210</v>
      </c>
      <c r="C49" s="33" t="s">
        <v>211</v>
      </c>
      <c r="D49" s="31" t="s">
        <v>6</v>
      </c>
      <c r="E49" s="30" t="s">
        <v>112</v>
      </c>
      <c r="F49" s="30" t="s">
        <v>112</v>
      </c>
      <c r="G49" s="30" t="s">
        <v>112</v>
      </c>
      <c r="H49" s="30" t="s">
        <v>112</v>
      </c>
      <c r="I49" s="30" t="s">
        <v>111</v>
      </c>
      <c r="J49" s="60"/>
      <c r="K49" s="31" t="s">
        <v>112</v>
      </c>
      <c r="L49" s="31" t="s">
        <v>112</v>
      </c>
      <c r="M49" s="31" t="s">
        <v>112</v>
      </c>
      <c r="N49" s="31" t="s">
        <v>112</v>
      </c>
      <c r="O49" s="31" t="s">
        <v>112</v>
      </c>
      <c r="P49" s="31" t="s">
        <v>112</v>
      </c>
      <c r="Q49" s="60"/>
      <c r="R49" s="31" t="s">
        <v>112</v>
      </c>
      <c r="S49" s="31" t="s">
        <v>112</v>
      </c>
      <c r="T49" s="31" t="s">
        <v>112</v>
      </c>
      <c r="U49" s="31" t="s">
        <v>112</v>
      </c>
      <c r="V49" s="31" t="s">
        <v>112</v>
      </c>
      <c r="W49" s="31" t="s">
        <v>112</v>
      </c>
      <c r="X49" s="60"/>
      <c r="Y49" s="31" t="s">
        <v>112</v>
      </c>
      <c r="Z49" s="31" t="s">
        <v>112</v>
      </c>
      <c r="AA49" s="31" t="s">
        <v>112</v>
      </c>
      <c r="AB49" s="31" t="s">
        <v>112</v>
      </c>
      <c r="AC49" s="31" t="s">
        <v>112</v>
      </c>
      <c r="AD49" s="31" t="s">
        <v>112</v>
      </c>
      <c r="AE49" s="60"/>
      <c r="AF49" s="31" t="s">
        <v>112</v>
      </c>
      <c r="AG49" s="31" t="s">
        <v>112</v>
      </c>
      <c r="AH49" s="31" t="s">
        <v>112</v>
      </c>
      <c r="AI49" s="31" t="s">
        <v>112</v>
      </c>
      <c r="AJ49" s="4">
        <f t="shared" si="1"/>
        <v>26</v>
      </c>
      <c r="AK49" s="4">
        <f t="shared" si="2"/>
        <v>1</v>
      </c>
    </row>
    <row r="50" spans="1:37" ht="16.5" x14ac:dyDescent="0.25">
      <c r="A50" s="7">
        <v>21</v>
      </c>
      <c r="B50" s="32" t="s">
        <v>212</v>
      </c>
      <c r="C50" s="33" t="s">
        <v>78</v>
      </c>
      <c r="D50" s="31" t="s">
        <v>6</v>
      </c>
      <c r="E50" s="30" t="s">
        <v>112</v>
      </c>
      <c r="F50" s="30" t="s">
        <v>112</v>
      </c>
      <c r="G50" s="30" t="s">
        <v>112</v>
      </c>
      <c r="H50" s="30" t="s">
        <v>111</v>
      </c>
      <c r="I50" s="30" t="s">
        <v>111</v>
      </c>
      <c r="J50" s="60"/>
      <c r="K50" s="31" t="s">
        <v>112</v>
      </c>
      <c r="L50" s="31" t="s">
        <v>112</v>
      </c>
      <c r="M50" s="31" t="s">
        <v>112</v>
      </c>
      <c r="N50" s="31" t="s">
        <v>112</v>
      </c>
      <c r="O50" s="31" t="s">
        <v>112</v>
      </c>
      <c r="P50" s="31" t="s">
        <v>112</v>
      </c>
      <c r="Q50" s="60"/>
      <c r="R50" s="31" t="s">
        <v>112</v>
      </c>
      <c r="S50" s="31" t="s">
        <v>112</v>
      </c>
      <c r="T50" s="31" t="s">
        <v>112</v>
      </c>
      <c r="U50" s="31" t="s">
        <v>112</v>
      </c>
      <c r="V50" s="31" t="s">
        <v>112</v>
      </c>
      <c r="W50" s="31" t="s">
        <v>112</v>
      </c>
      <c r="X50" s="60"/>
      <c r="Y50" s="31" t="s">
        <v>112</v>
      </c>
      <c r="Z50" s="31" t="s">
        <v>112</v>
      </c>
      <c r="AA50" s="31" t="s">
        <v>112</v>
      </c>
      <c r="AB50" s="31" t="s">
        <v>112</v>
      </c>
      <c r="AC50" s="31" t="s">
        <v>112</v>
      </c>
      <c r="AD50" s="31" t="s">
        <v>112</v>
      </c>
      <c r="AE50" s="60"/>
      <c r="AF50" s="31" t="s">
        <v>112</v>
      </c>
      <c r="AG50" s="31" t="s">
        <v>112</v>
      </c>
      <c r="AH50" s="31" t="s">
        <v>112</v>
      </c>
      <c r="AI50" s="31" t="s">
        <v>112</v>
      </c>
      <c r="AJ50" s="4">
        <f t="shared" si="1"/>
        <v>25</v>
      </c>
      <c r="AK50" s="4">
        <f t="shared" si="2"/>
        <v>2</v>
      </c>
    </row>
    <row r="51" spans="1:37" ht="16.5" x14ac:dyDescent="0.25">
      <c r="A51" s="15">
        <v>22</v>
      </c>
      <c r="B51" s="32" t="s">
        <v>213</v>
      </c>
      <c r="C51" s="33" t="s">
        <v>214</v>
      </c>
      <c r="D51" s="31" t="s">
        <v>6</v>
      </c>
      <c r="E51" s="30" t="s">
        <v>112</v>
      </c>
      <c r="F51" s="30" t="s">
        <v>112</v>
      </c>
      <c r="G51" s="30" t="s">
        <v>112</v>
      </c>
      <c r="H51" s="30" t="s">
        <v>112</v>
      </c>
      <c r="I51" s="30" t="s">
        <v>112</v>
      </c>
      <c r="J51" s="60"/>
      <c r="K51" s="31" t="s">
        <v>112</v>
      </c>
      <c r="L51" s="31" t="s">
        <v>112</v>
      </c>
      <c r="M51" s="31" t="s">
        <v>112</v>
      </c>
      <c r="N51" s="31" t="s">
        <v>112</v>
      </c>
      <c r="O51" s="31" t="s">
        <v>112</v>
      </c>
      <c r="P51" s="31" t="s">
        <v>112</v>
      </c>
      <c r="Q51" s="60"/>
      <c r="R51" s="31" t="s">
        <v>112</v>
      </c>
      <c r="S51" s="31" t="s">
        <v>112</v>
      </c>
      <c r="T51" s="31" t="s">
        <v>112</v>
      </c>
      <c r="U51" s="31" t="s">
        <v>112</v>
      </c>
      <c r="V51" s="31" t="s">
        <v>112</v>
      </c>
      <c r="W51" s="31" t="s">
        <v>112</v>
      </c>
      <c r="X51" s="60"/>
      <c r="Y51" s="31" t="s">
        <v>112</v>
      </c>
      <c r="Z51" s="31" t="s">
        <v>112</v>
      </c>
      <c r="AA51" s="31" t="s">
        <v>112</v>
      </c>
      <c r="AB51" s="31" t="s">
        <v>112</v>
      </c>
      <c r="AC51" s="31" t="s">
        <v>111</v>
      </c>
      <c r="AD51" s="31" t="s">
        <v>112</v>
      </c>
      <c r="AE51" s="60"/>
      <c r="AF51" s="31" t="s">
        <v>112</v>
      </c>
      <c r="AG51" s="31" t="s">
        <v>112</v>
      </c>
      <c r="AH51" s="31" t="s">
        <v>112</v>
      </c>
      <c r="AI51" s="31" t="s">
        <v>112</v>
      </c>
      <c r="AJ51" s="4">
        <f t="shared" si="1"/>
        <v>26</v>
      </c>
      <c r="AK51" s="4">
        <f t="shared" si="2"/>
        <v>1</v>
      </c>
    </row>
    <row r="52" spans="1:37" ht="16.5" x14ac:dyDescent="0.25">
      <c r="A52" s="7">
        <v>23</v>
      </c>
      <c r="B52" s="32" t="s">
        <v>215</v>
      </c>
      <c r="C52" s="33" t="s">
        <v>214</v>
      </c>
      <c r="D52" s="31" t="s">
        <v>6</v>
      </c>
      <c r="E52" s="30" t="s">
        <v>112</v>
      </c>
      <c r="F52" s="30" t="s">
        <v>112</v>
      </c>
      <c r="G52" s="30" t="s">
        <v>112</v>
      </c>
      <c r="H52" s="30" t="s">
        <v>112</v>
      </c>
      <c r="I52" s="30" t="s">
        <v>111</v>
      </c>
      <c r="J52" s="60"/>
      <c r="K52" s="31" t="s">
        <v>112</v>
      </c>
      <c r="L52" s="31" t="s">
        <v>112</v>
      </c>
      <c r="M52" s="31" t="s">
        <v>112</v>
      </c>
      <c r="N52" s="31" t="s">
        <v>112</v>
      </c>
      <c r="O52" s="31" t="s">
        <v>112</v>
      </c>
      <c r="P52" s="31" t="s">
        <v>112</v>
      </c>
      <c r="Q52" s="60"/>
      <c r="R52" s="31" t="s">
        <v>112</v>
      </c>
      <c r="S52" s="31" t="s">
        <v>112</v>
      </c>
      <c r="T52" s="31" t="s">
        <v>112</v>
      </c>
      <c r="U52" s="31" t="s">
        <v>112</v>
      </c>
      <c r="V52" s="31" t="s">
        <v>112</v>
      </c>
      <c r="W52" s="31" t="s">
        <v>112</v>
      </c>
      <c r="X52" s="60"/>
      <c r="Y52" s="31" t="s">
        <v>112</v>
      </c>
      <c r="Z52" s="31" t="s">
        <v>112</v>
      </c>
      <c r="AA52" s="31" t="s">
        <v>112</v>
      </c>
      <c r="AB52" s="31" t="s">
        <v>112</v>
      </c>
      <c r="AC52" s="31" t="s">
        <v>111</v>
      </c>
      <c r="AD52" s="31" t="s">
        <v>112</v>
      </c>
      <c r="AE52" s="60"/>
      <c r="AF52" s="31" t="s">
        <v>112</v>
      </c>
      <c r="AG52" s="31" t="s">
        <v>112</v>
      </c>
      <c r="AH52" s="31" t="s">
        <v>112</v>
      </c>
      <c r="AI52" s="31" t="s">
        <v>112</v>
      </c>
      <c r="AJ52" s="4">
        <f t="shared" si="1"/>
        <v>25</v>
      </c>
      <c r="AK52" s="4">
        <f t="shared" si="2"/>
        <v>2</v>
      </c>
    </row>
    <row r="53" spans="1:37" ht="16.5" x14ac:dyDescent="0.25">
      <c r="A53" s="15">
        <v>24</v>
      </c>
      <c r="B53" s="32" t="s">
        <v>216</v>
      </c>
      <c r="C53" s="33" t="s">
        <v>217</v>
      </c>
      <c r="D53" s="31" t="s">
        <v>6</v>
      </c>
      <c r="E53" s="30" t="s">
        <v>112</v>
      </c>
      <c r="F53" s="30" t="s">
        <v>112</v>
      </c>
      <c r="G53" s="30" t="s">
        <v>112</v>
      </c>
      <c r="H53" s="30" t="s">
        <v>112</v>
      </c>
      <c r="I53" s="30" t="s">
        <v>111</v>
      </c>
      <c r="J53" s="60"/>
      <c r="K53" s="31" t="s">
        <v>111</v>
      </c>
      <c r="L53" s="31" t="s">
        <v>111</v>
      </c>
      <c r="M53" s="31" t="s">
        <v>111</v>
      </c>
      <c r="N53" s="31" t="s">
        <v>112</v>
      </c>
      <c r="O53" s="31" t="s">
        <v>112</v>
      </c>
      <c r="P53" s="31" t="s">
        <v>111</v>
      </c>
      <c r="Q53" s="60"/>
      <c r="R53" s="31" t="s">
        <v>112</v>
      </c>
      <c r="S53" s="31" t="s">
        <v>112</v>
      </c>
      <c r="T53" s="31" t="s">
        <v>112</v>
      </c>
      <c r="U53" s="31" t="s">
        <v>112</v>
      </c>
      <c r="V53" s="31" t="s">
        <v>112</v>
      </c>
      <c r="W53" s="31" t="s">
        <v>111</v>
      </c>
      <c r="X53" s="60"/>
      <c r="Y53" s="31" t="s">
        <v>112</v>
      </c>
      <c r="Z53" s="31" t="s">
        <v>112</v>
      </c>
      <c r="AA53" s="31" t="s">
        <v>112</v>
      </c>
      <c r="AB53" s="31" t="s">
        <v>112</v>
      </c>
      <c r="AC53" s="31" t="s">
        <v>112</v>
      </c>
      <c r="AD53" s="31" t="s">
        <v>111</v>
      </c>
      <c r="AE53" s="60"/>
      <c r="AF53" s="31" t="s">
        <v>112</v>
      </c>
      <c r="AG53" s="31" t="s">
        <v>112</v>
      </c>
      <c r="AH53" s="31" t="s">
        <v>112</v>
      </c>
      <c r="AI53" s="31" t="s">
        <v>112</v>
      </c>
      <c r="AJ53" s="4">
        <f t="shared" si="1"/>
        <v>20</v>
      </c>
      <c r="AK53" s="4">
        <f t="shared" si="2"/>
        <v>7</v>
      </c>
    </row>
    <row r="54" spans="1:37" ht="16.5" x14ac:dyDescent="0.25">
      <c r="A54" s="7">
        <v>25</v>
      </c>
      <c r="B54" s="32" t="s">
        <v>218</v>
      </c>
      <c r="C54" s="33" t="s">
        <v>217</v>
      </c>
      <c r="D54" s="31" t="s">
        <v>6</v>
      </c>
      <c r="E54" s="30" t="s">
        <v>112</v>
      </c>
      <c r="F54" s="30" t="s">
        <v>112</v>
      </c>
      <c r="G54" s="30" t="s">
        <v>112</v>
      </c>
      <c r="H54" s="30" t="s">
        <v>112</v>
      </c>
      <c r="I54" s="30" t="s">
        <v>111</v>
      </c>
      <c r="J54" s="60"/>
      <c r="K54" s="31" t="s">
        <v>112</v>
      </c>
      <c r="L54" s="31" t="s">
        <v>112</v>
      </c>
      <c r="M54" s="31" t="s">
        <v>112</v>
      </c>
      <c r="N54" s="31" t="s">
        <v>112</v>
      </c>
      <c r="O54" s="31" t="s">
        <v>112</v>
      </c>
      <c r="P54" s="31" t="s">
        <v>111</v>
      </c>
      <c r="Q54" s="60"/>
      <c r="R54" s="31" t="s">
        <v>112</v>
      </c>
      <c r="S54" s="31" t="s">
        <v>112</v>
      </c>
      <c r="T54" s="31" t="s">
        <v>112</v>
      </c>
      <c r="U54" s="31" t="s">
        <v>112</v>
      </c>
      <c r="V54" s="31" t="s">
        <v>112</v>
      </c>
      <c r="W54" s="31" t="s">
        <v>111</v>
      </c>
      <c r="X54" s="60"/>
      <c r="Y54" s="31" t="s">
        <v>112</v>
      </c>
      <c r="Z54" s="31" t="s">
        <v>112</v>
      </c>
      <c r="AA54" s="31" t="s">
        <v>112</v>
      </c>
      <c r="AB54" s="31" t="s">
        <v>112</v>
      </c>
      <c r="AC54" s="31" t="s">
        <v>112</v>
      </c>
      <c r="AD54" s="31" t="s">
        <v>111</v>
      </c>
      <c r="AE54" s="60"/>
      <c r="AF54" s="31" t="s">
        <v>112</v>
      </c>
      <c r="AG54" s="31" t="s">
        <v>112</v>
      </c>
      <c r="AH54" s="31" t="s">
        <v>112</v>
      </c>
      <c r="AI54" s="31" t="s">
        <v>112</v>
      </c>
      <c r="AJ54" s="4">
        <f t="shared" si="1"/>
        <v>23</v>
      </c>
      <c r="AK54" s="4">
        <f t="shared" si="2"/>
        <v>4</v>
      </c>
    </row>
    <row r="55" spans="1:37" ht="16.5" x14ac:dyDescent="0.25">
      <c r="A55" s="15">
        <v>26</v>
      </c>
      <c r="B55" s="32" t="s">
        <v>219</v>
      </c>
      <c r="C55" s="33"/>
      <c r="D55" s="31" t="s">
        <v>6</v>
      </c>
      <c r="E55" s="30" t="s">
        <v>112</v>
      </c>
      <c r="F55" s="30" t="s">
        <v>112</v>
      </c>
      <c r="G55" s="30" t="s">
        <v>112</v>
      </c>
      <c r="H55" s="30" t="s">
        <v>112</v>
      </c>
      <c r="I55" s="30" t="s">
        <v>112</v>
      </c>
      <c r="J55" s="60"/>
      <c r="K55" s="31" t="s">
        <v>112</v>
      </c>
      <c r="L55" s="31" t="s">
        <v>112</v>
      </c>
      <c r="M55" s="31" t="s">
        <v>112</v>
      </c>
      <c r="N55" s="31" t="s">
        <v>112</v>
      </c>
      <c r="O55" s="31" t="s">
        <v>111</v>
      </c>
      <c r="P55" s="31" t="s">
        <v>111</v>
      </c>
      <c r="Q55" s="60"/>
      <c r="R55" s="31" t="s">
        <v>112</v>
      </c>
      <c r="S55" s="31" t="s">
        <v>112</v>
      </c>
      <c r="T55" s="31" t="s">
        <v>112</v>
      </c>
      <c r="U55" s="31" t="s">
        <v>112</v>
      </c>
      <c r="V55" s="31" t="s">
        <v>112</v>
      </c>
      <c r="W55" s="31" t="s">
        <v>112</v>
      </c>
      <c r="X55" s="60"/>
      <c r="Y55" s="31" t="s">
        <v>111</v>
      </c>
      <c r="Z55" s="31" t="s">
        <v>112</v>
      </c>
      <c r="AA55" s="31" t="s">
        <v>112</v>
      </c>
      <c r="AB55" s="31" t="s">
        <v>112</v>
      </c>
      <c r="AC55" s="31" t="s">
        <v>112</v>
      </c>
      <c r="AD55" s="31" t="s">
        <v>112</v>
      </c>
      <c r="AE55" s="60"/>
      <c r="AF55" s="31" t="s">
        <v>112</v>
      </c>
      <c r="AG55" s="31" t="s">
        <v>112</v>
      </c>
      <c r="AH55" s="31" t="s">
        <v>112</v>
      </c>
      <c r="AI55" s="31" t="s">
        <v>112</v>
      </c>
      <c r="AJ55" s="4">
        <f t="shared" si="1"/>
        <v>24</v>
      </c>
      <c r="AK55" s="4">
        <f t="shared" si="2"/>
        <v>3</v>
      </c>
    </row>
    <row r="56" spans="1:37" ht="16.5" x14ac:dyDescent="0.25">
      <c r="A56" s="7">
        <v>27</v>
      </c>
      <c r="B56" s="32" t="s">
        <v>220</v>
      </c>
      <c r="C56" s="33" t="s">
        <v>221</v>
      </c>
      <c r="D56" s="31" t="s">
        <v>6</v>
      </c>
      <c r="E56" s="30" t="s">
        <v>112</v>
      </c>
      <c r="F56" s="30" t="s">
        <v>112</v>
      </c>
      <c r="G56" s="30" t="s">
        <v>112</v>
      </c>
      <c r="H56" s="30" t="s">
        <v>112</v>
      </c>
      <c r="I56" s="30" t="s">
        <v>112</v>
      </c>
      <c r="J56" s="60"/>
      <c r="K56" s="31" t="s">
        <v>112</v>
      </c>
      <c r="L56" s="31" t="s">
        <v>112</v>
      </c>
      <c r="M56" s="31" t="s">
        <v>112</v>
      </c>
      <c r="N56" s="31" t="s">
        <v>112</v>
      </c>
      <c r="O56" s="31" t="s">
        <v>112</v>
      </c>
      <c r="P56" s="31" t="s">
        <v>111</v>
      </c>
      <c r="Q56" s="60"/>
      <c r="R56" s="31" t="s">
        <v>112</v>
      </c>
      <c r="S56" s="31" t="s">
        <v>112</v>
      </c>
      <c r="T56" s="31" t="s">
        <v>112</v>
      </c>
      <c r="U56" s="31" t="s">
        <v>111</v>
      </c>
      <c r="V56" s="31" t="s">
        <v>111</v>
      </c>
      <c r="W56" s="31" t="s">
        <v>111</v>
      </c>
      <c r="X56" s="60"/>
      <c r="Y56" s="31" t="s">
        <v>113</v>
      </c>
      <c r="Z56" s="31" t="s">
        <v>113</v>
      </c>
      <c r="AA56" s="31" t="s">
        <v>112</v>
      </c>
      <c r="AB56" s="31" t="s">
        <v>112</v>
      </c>
      <c r="AC56" s="31" t="s">
        <v>112</v>
      </c>
      <c r="AD56" s="31" t="s">
        <v>112</v>
      </c>
      <c r="AE56" s="60"/>
      <c r="AF56" s="31" t="s">
        <v>112</v>
      </c>
      <c r="AG56" s="31" t="s">
        <v>112</v>
      </c>
      <c r="AH56" s="31" t="s">
        <v>111</v>
      </c>
      <c r="AI56" s="31" t="s">
        <v>112</v>
      </c>
      <c r="AJ56" s="4">
        <f t="shared" si="1"/>
        <v>20</v>
      </c>
      <c r="AK56" s="4">
        <f t="shared" si="2"/>
        <v>5</v>
      </c>
    </row>
    <row r="57" spans="1:37" ht="16.5" x14ac:dyDescent="0.25">
      <c r="A57" s="15">
        <v>28</v>
      </c>
      <c r="B57" s="32" t="s">
        <v>222</v>
      </c>
      <c r="C57" s="33"/>
      <c r="D57" s="31" t="s">
        <v>6</v>
      </c>
      <c r="E57" s="30" t="s">
        <v>112</v>
      </c>
      <c r="F57" s="30" t="s">
        <v>112</v>
      </c>
      <c r="G57" s="30" t="s">
        <v>112</v>
      </c>
      <c r="H57" s="30" t="s">
        <v>112</v>
      </c>
      <c r="I57" s="30" t="s">
        <v>112</v>
      </c>
      <c r="J57" s="60"/>
      <c r="K57" s="31" t="s">
        <v>112</v>
      </c>
      <c r="L57" s="31" t="s">
        <v>112</v>
      </c>
      <c r="M57" s="31" t="s">
        <v>112</v>
      </c>
      <c r="N57" s="31" t="s">
        <v>112</v>
      </c>
      <c r="O57" s="31" t="s">
        <v>112</v>
      </c>
      <c r="P57" s="31" t="s">
        <v>112</v>
      </c>
      <c r="Q57" s="60"/>
      <c r="R57" s="31" t="s">
        <v>112</v>
      </c>
      <c r="S57" s="31" t="s">
        <v>112</v>
      </c>
      <c r="T57" s="31" t="s">
        <v>112</v>
      </c>
      <c r="U57" s="31" t="s">
        <v>112</v>
      </c>
      <c r="V57" s="31" t="s">
        <v>112</v>
      </c>
      <c r="W57" s="31" t="s">
        <v>112</v>
      </c>
      <c r="X57" s="60"/>
      <c r="Y57" s="31" t="s">
        <v>112</v>
      </c>
      <c r="Z57" s="31" t="s">
        <v>112</v>
      </c>
      <c r="AA57" s="31" t="s">
        <v>112</v>
      </c>
      <c r="AB57" s="31" t="s">
        <v>112</v>
      </c>
      <c r="AC57" s="31" t="s">
        <v>111</v>
      </c>
      <c r="AD57" s="31" t="s">
        <v>112</v>
      </c>
      <c r="AE57" s="60"/>
      <c r="AF57" s="31" t="s">
        <v>112</v>
      </c>
      <c r="AG57" s="31" t="s">
        <v>112</v>
      </c>
      <c r="AH57" s="31" t="s">
        <v>112</v>
      </c>
      <c r="AI57" s="31" t="s">
        <v>112</v>
      </c>
      <c r="AJ57" s="4">
        <f t="shared" si="1"/>
        <v>26</v>
      </c>
      <c r="AK57" s="4">
        <f t="shared" si="2"/>
        <v>1</v>
      </c>
    </row>
    <row r="58" spans="1:37" ht="16.5" x14ac:dyDescent="0.25">
      <c r="A58" s="7">
        <v>29</v>
      </c>
      <c r="B58" s="32" t="s">
        <v>223</v>
      </c>
      <c r="C58" s="33" t="s">
        <v>224</v>
      </c>
      <c r="D58" s="31" t="s">
        <v>6</v>
      </c>
      <c r="E58" s="30" t="s">
        <v>112</v>
      </c>
      <c r="F58" s="30" t="s">
        <v>112</v>
      </c>
      <c r="G58" s="30" t="s">
        <v>112</v>
      </c>
      <c r="H58" s="30" t="s">
        <v>112</v>
      </c>
      <c r="I58" s="30" t="s">
        <v>111</v>
      </c>
      <c r="J58" s="60"/>
      <c r="K58" s="31" t="s">
        <v>112</v>
      </c>
      <c r="L58" s="31" t="s">
        <v>112</v>
      </c>
      <c r="M58" s="31" t="s">
        <v>112</v>
      </c>
      <c r="N58" s="31" t="s">
        <v>112</v>
      </c>
      <c r="O58" s="31" t="s">
        <v>112</v>
      </c>
      <c r="P58" s="31" t="s">
        <v>112</v>
      </c>
      <c r="Q58" s="60"/>
      <c r="R58" s="31" t="s">
        <v>112</v>
      </c>
      <c r="S58" s="31" t="s">
        <v>112</v>
      </c>
      <c r="T58" s="31" t="s">
        <v>112</v>
      </c>
      <c r="U58" s="31" t="s">
        <v>112</v>
      </c>
      <c r="V58" s="31" t="s">
        <v>112</v>
      </c>
      <c r="W58" s="31" t="s">
        <v>112</v>
      </c>
      <c r="X58" s="60"/>
      <c r="Y58" s="31" t="s">
        <v>112</v>
      </c>
      <c r="Z58" s="31" t="s">
        <v>112</v>
      </c>
      <c r="AA58" s="31" t="s">
        <v>112</v>
      </c>
      <c r="AB58" s="31" t="s">
        <v>112</v>
      </c>
      <c r="AC58" s="31" t="s">
        <v>112</v>
      </c>
      <c r="AD58" s="31" t="s">
        <v>112</v>
      </c>
      <c r="AE58" s="60"/>
      <c r="AF58" s="31" t="s">
        <v>112</v>
      </c>
      <c r="AG58" s="31" t="s">
        <v>112</v>
      </c>
      <c r="AH58" s="31" t="s">
        <v>112</v>
      </c>
      <c r="AI58" s="31" t="s">
        <v>112</v>
      </c>
      <c r="AJ58" s="4">
        <f t="shared" si="1"/>
        <v>26</v>
      </c>
      <c r="AK58" s="4">
        <f t="shared" si="2"/>
        <v>1</v>
      </c>
    </row>
    <row r="59" spans="1:37" ht="16.5" x14ac:dyDescent="0.25">
      <c r="A59" s="15">
        <v>30</v>
      </c>
      <c r="B59" s="15" t="s">
        <v>225</v>
      </c>
      <c r="C59" s="15" t="s">
        <v>226</v>
      </c>
      <c r="D59" s="15"/>
      <c r="E59" s="30" t="s">
        <v>112</v>
      </c>
      <c r="F59" s="30" t="s">
        <v>112</v>
      </c>
      <c r="G59" s="30" t="s">
        <v>112</v>
      </c>
      <c r="H59" s="30" t="s">
        <v>112</v>
      </c>
      <c r="I59" s="30" t="s">
        <v>112</v>
      </c>
      <c r="J59" s="60"/>
      <c r="K59" s="31" t="s">
        <v>112</v>
      </c>
      <c r="L59" s="31" t="s">
        <v>112</v>
      </c>
      <c r="M59" s="31" t="s">
        <v>112</v>
      </c>
      <c r="N59" s="31" t="s">
        <v>112</v>
      </c>
      <c r="O59" s="31" t="s">
        <v>112</v>
      </c>
      <c r="P59" s="31" t="s">
        <v>112</v>
      </c>
      <c r="Q59" s="60"/>
      <c r="R59" s="31" t="s">
        <v>112</v>
      </c>
      <c r="S59" s="31" t="s">
        <v>112</v>
      </c>
      <c r="T59" s="31" t="s">
        <v>112</v>
      </c>
      <c r="U59" s="31" t="s">
        <v>112</v>
      </c>
      <c r="V59" s="31" t="s">
        <v>112</v>
      </c>
      <c r="W59" s="31" t="s">
        <v>111</v>
      </c>
      <c r="X59" s="60"/>
      <c r="Y59" s="31" t="s">
        <v>112</v>
      </c>
      <c r="Z59" s="31" t="s">
        <v>112</v>
      </c>
      <c r="AA59" s="31" t="s">
        <v>112</v>
      </c>
      <c r="AB59" s="31" t="s">
        <v>112</v>
      </c>
      <c r="AC59" s="31" t="s">
        <v>112</v>
      </c>
      <c r="AD59" s="31" t="s">
        <v>112</v>
      </c>
      <c r="AE59" s="60"/>
      <c r="AF59" s="31" t="s">
        <v>112</v>
      </c>
      <c r="AG59" s="31" t="s">
        <v>112</v>
      </c>
      <c r="AH59" s="31" t="s">
        <v>112</v>
      </c>
      <c r="AI59" s="31" t="s">
        <v>112</v>
      </c>
      <c r="AJ59" s="4">
        <f t="shared" si="1"/>
        <v>26</v>
      </c>
      <c r="AK59" s="4">
        <f t="shared" si="2"/>
        <v>1</v>
      </c>
    </row>
    <row r="60" spans="1:37" ht="16.5" x14ac:dyDescent="0.25">
      <c r="A60" s="7">
        <v>31</v>
      </c>
      <c r="B60" s="15" t="s">
        <v>227</v>
      </c>
      <c r="C60" s="15"/>
      <c r="D60" s="15"/>
      <c r="E60" s="30" t="s">
        <v>112</v>
      </c>
      <c r="F60" s="30" t="s">
        <v>112</v>
      </c>
      <c r="G60" s="30" t="s">
        <v>112</v>
      </c>
      <c r="H60" s="30" t="s">
        <v>112</v>
      </c>
      <c r="I60" s="30" t="s">
        <v>112</v>
      </c>
      <c r="J60" s="61"/>
      <c r="K60" s="31" t="s">
        <v>112</v>
      </c>
      <c r="L60" s="31" t="s">
        <v>111</v>
      </c>
      <c r="M60" s="31" t="s">
        <v>112</v>
      </c>
      <c r="N60" s="31" t="s">
        <v>112</v>
      </c>
      <c r="O60" s="31" t="s">
        <v>112</v>
      </c>
      <c r="P60" s="31" t="s">
        <v>111</v>
      </c>
      <c r="Q60" s="61"/>
      <c r="R60" s="31" t="s">
        <v>112</v>
      </c>
      <c r="S60" s="31" t="s">
        <v>112</v>
      </c>
      <c r="T60" s="31" t="s">
        <v>112</v>
      </c>
      <c r="U60" s="31" t="s">
        <v>112</v>
      </c>
      <c r="V60" s="31" t="s">
        <v>112</v>
      </c>
      <c r="W60" s="31" t="s">
        <v>112</v>
      </c>
      <c r="X60" s="61"/>
      <c r="Y60" s="31" t="s">
        <v>112</v>
      </c>
      <c r="Z60" s="31" t="s">
        <v>112</v>
      </c>
      <c r="AA60" s="31" t="s">
        <v>112</v>
      </c>
      <c r="AB60" s="31" t="s">
        <v>112</v>
      </c>
      <c r="AC60" s="31" t="s">
        <v>112</v>
      </c>
      <c r="AD60" s="31" t="s">
        <v>112</v>
      </c>
      <c r="AE60" s="61"/>
      <c r="AF60" s="31" t="s">
        <v>112</v>
      </c>
      <c r="AG60" s="31" t="s">
        <v>112</v>
      </c>
      <c r="AH60" s="31" t="s">
        <v>112</v>
      </c>
      <c r="AI60" s="31" t="s">
        <v>112</v>
      </c>
      <c r="AJ60" s="4">
        <f t="shared" si="1"/>
        <v>25</v>
      </c>
      <c r="AK60" s="4">
        <f t="shared" si="2"/>
        <v>2</v>
      </c>
    </row>
  </sheetData>
  <mergeCells count="15">
    <mergeCell ref="AL17:AO17"/>
    <mergeCell ref="A2:AK2"/>
    <mergeCell ref="A1:AK1"/>
    <mergeCell ref="AJ3:AJ4"/>
    <mergeCell ref="AK3:AK4"/>
    <mergeCell ref="AL3:AM3"/>
    <mergeCell ref="J5:J60"/>
    <mergeCell ref="Q5:Q60"/>
    <mergeCell ref="X5:X60"/>
    <mergeCell ref="AE5:AE60"/>
    <mergeCell ref="AL9:AO9"/>
    <mergeCell ref="A3:A4"/>
    <mergeCell ref="B3:B4"/>
    <mergeCell ref="C3:C4"/>
    <mergeCell ref="D3:D4"/>
  </mergeCells>
  <conditionalFormatting sqref="E5:AE5 E4:AI4">
    <cfRule type="expression" dxfId="209" priority="23">
      <formula>IF(E$4=TODAY(),TRUE,FALSE)</formula>
    </cfRule>
  </conditionalFormatting>
  <conditionalFormatting sqref="E5:AE5">
    <cfRule type="cellIs" dxfId="208" priority="15" operator="equal">
      <formula>"L"</formula>
    </cfRule>
    <cfRule type="cellIs" dxfId="207" priority="16" operator="equal">
      <formula>"A"</formula>
    </cfRule>
    <cfRule type="cellIs" dxfId="206" priority="17" operator="equal">
      <formula>"P"</formula>
    </cfRule>
  </conditionalFormatting>
  <conditionalFormatting sqref="E3:AI4 E5:AE5">
    <cfRule type="expression" dxfId="205" priority="24">
      <formula>E$3="Sun"</formula>
    </cfRule>
  </conditionalFormatting>
  <conditionalFormatting sqref="AF5:AI60 E6:I60 K6:P60 R6:W60 Y6:AD60">
    <cfRule type="cellIs" dxfId="204" priority="8" operator="equal">
      <formula>"L"</formula>
    </cfRule>
    <cfRule type="cellIs" dxfId="203" priority="9" operator="equal">
      <formula>"A"</formula>
    </cfRule>
    <cfRule type="cellIs" dxfId="202" priority="10" operator="equal">
      <formula>"P"</formula>
    </cfRule>
    <cfRule type="expression" dxfId="201" priority="11">
      <formula>IF(E$4=TODAY(),TRUE,FALSE)</formula>
    </cfRule>
    <cfRule type="expression" dxfId="200" priority="12">
      <formula>E$3="Sun"</formula>
    </cfRule>
  </conditionalFormatting>
  <conditionalFormatting sqref="AJ3:AK3">
    <cfRule type="expression" dxfId="199" priority="25">
      <formula>#REF!="Sun"</formula>
    </cfRule>
  </conditionalFormatting>
  <conditionalFormatting sqref="AJ5:AK60">
    <cfRule type="expression" dxfId="198" priority="13">
      <formula>#REF!="Sun"</formula>
    </cfRule>
  </conditionalFormatting>
  <conditionalFormatting sqref="AL5:AL7">
    <cfRule type="expression" dxfId="197" priority="5">
      <formula>AL$3="Sun"</formula>
    </cfRule>
  </conditionalFormatting>
  <conditionalFormatting sqref="AL10:AL13">
    <cfRule type="expression" dxfId="196" priority="2">
      <formula>AL$3="Sun"</formula>
    </cfRule>
  </conditionalFormatting>
  <conditionalFormatting sqref="AL18:AL21">
    <cfRule type="expression" dxfId="195" priority="1">
      <formula>AL$3="Sun"</formula>
    </cfRule>
  </conditionalFormatting>
  <conditionalFormatting sqref="AL4:AM4">
    <cfRule type="expression" dxfId="194" priority="6">
      <formula>AL$3="Sun"</formula>
    </cfRule>
  </conditionalFormatting>
  <conditionalFormatting sqref="AM10:AO10 AM18:AO18">
    <cfRule type="expression" dxfId="193" priority="7">
      <formula>AM$3="Sun"</formula>
    </cfRule>
  </conditionalFormatting>
  <conditionalFormatting sqref="AO19">
    <cfRule type="expression" dxfId="192" priority="4">
      <formula>AO$3="Sun"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73F0-0398-4B33-80F6-B7D1B2B43859}">
  <dimension ref="A1:AO60"/>
  <sheetViews>
    <sheetView topLeftCell="D1" workbookViewId="0">
      <selection activeCell="AN11" sqref="AN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4.570312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19" width="3.85546875" style="1"/>
    <col min="20" max="20" width="4.5703125" style="1" bestFit="1" customWidth="1"/>
    <col min="21" max="21" width="3.85546875" style="1"/>
    <col min="22" max="22" width="4.7109375" style="1" bestFit="1" customWidth="1"/>
    <col min="23" max="23" width="3.85546875" style="1"/>
    <col min="24" max="25" width="3.7109375" style="1" bestFit="1" customWidth="1"/>
    <col min="26" max="26" width="3.85546875" style="1"/>
    <col min="27" max="27" width="4.5703125" style="1" bestFit="1" customWidth="1"/>
    <col min="28" max="29" width="3.85546875" style="1"/>
    <col min="30" max="30" width="4.7109375" style="1" bestFit="1" customWidth="1"/>
    <col min="31" max="31" width="3.85546875" style="1"/>
    <col min="32" max="33" width="3.7109375" style="1" bestFit="1" customWidth="1"/>
    <col min="34" max="34" width="3.85546875" style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</row>
    <row r="2" spans="1:41" ht="17.25" x14ac:dyDescent="0.3">
      <c r="A2" s="46" t="s">
        <v>119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</row>
    <row r="3" spans="1:41" ht="15.75" x14ac:dyDescent="0.25">
      <c r="A3" s="62" t="s">
        <v>0</v>
      </c>
      <c r="B3" s="62" t="s">
        <v>1</v>
      </c>
      <c r="C3" s="62" t="s">
        <v>2</v>
      </c>
      <c r="D3" s="62" t="s">
        <v>3</v>
      </c>
      <c r="E3" s="2" t="str">
        <f t="shared" ref="E3:AI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48" t="s">
        <v>4</v>
      </c>
      <c r="AK3" s="48" t="s">
        <v>5</v>
      </c>
      <c r="AL3" s="49" t="s">
        <v>126</v>
      </c>
      <c r="AM3" s="50"/>
      <c r="AN3" s="3"/>
      <c r="AO3" s="3"/>
    </row>
    <row r="4" spans="1:41" ht="34.5" x14ac:dyDescent="0.25">
      <c r="A4" s="63"/>
      <c r="B4" s="63"/>
      <c r="C4" s="63"/>
      <c r="D4" s="63"/>
      <c r="E4" s="20">
        <v>45566</v>
      </c>
      <c r="F4" s="20">
        <v>45567</v>
      </c>
      <c r="G4" s="20">
        <v>45568</v>
      </c>
      <c r="H4" s="20">
        <v>45569</v>
      </c>
      <c r="I4" s="20">
        <v>45570</v>
      </c>
      <c r="J4" s="20">
        <v>45571</v>
      </c>
      <c r="K4" s="20">
        <v>45572</v>
      </c>
      <c r="L4" s="20">
        <v>45573</v>
      </c>
      <c r="M4" s="20">
        <v>45574</v>
      </c>
      <c r="N4" s="20">
        <v>45575</v>
      </c>
      <c r="O4" s="20">
        <v>45576</v>
      </c>
      <c r="P4" s="20">
        <v>45577</v>
      </c>
      <c r="Q4" s="20">
        <v>45578</v>
      </c>
      <c r="R4" s="20">
        <v>45579</v>
      </c>
      <c r="S4" s="20">
        <v>45580</v>
      </c>
      <c r="T4" s="20">
        <v>45581</v>
      </c>
      <c r="U4" s="20">
        <v>45582</v>
      </c>
      <c r="V4" s="20">
        <v>45583</v>
      </c>
      <c r="W4" s="20">
        <v>45584</v>
      </c>
      <c r="X4" s="20">
        <v>45585</v>
      </c>
      <c r="Y4" s="20">
        <v>45586</v>
      </c>
      <c r="Z4" s="20">
        <v>45587</v>
      </c>
      <c r="AA4" s="20">
        <v>45588</v>
      </c>
      <c r="AB4" s="20">
        <v>45589</v>
      </c>
      <c r="AC4" s="20">
        <v>45590</v>
      </c>
      <c r="AD4" s="20">
        <v>45591</v>
      </c>
      <c r="AE4" s="20">
        <v>45592</v>
      </c>
      <c r="AF4" s="20">
        <v>45593</v>
      </c>
      <c r="AG4" s="20">
        <v>45594</v>
      </c>
      <c r="AH4" s="20">
        <v>45595</v>
      </c>
      <c r="AI4" s="20">
        <v>45596</v>
      </c>
      <c r="AJ4" s="48"/>
      <c r="AK4" s="48"/>
      <c r="AL4" s="5" t="s">
        <v>127</v>
      </c>
      <c r="AM4" s="5">
        <f>SUM(AM5:AM7)</f>
        <v>31</v>
      </c>
      <c r="AN4" s="3"/>
      <c r="AO4" s="3"/>
    </row>
    <row r="5" spans="1:41" ht="15" customHeight="1" x14ac:dyDescent="0.25">
      <c r="A5" s="6">
        <v>1</v>
      </c>
      <c r="B5" s="8" t="s">
        <v>228</v>
      </c>
      <c r="C5" s="9" t="s">
        <v>229</v>
      </c>
      <c r="D5" s="10" t="s">
        <v>230</v>
      </c>
      <c r="E5" s="26" t="s">
        <v>112</v>
      </c>
      <c r="F5" s="26" t="s">
        <v>112</v>
      </c>
      <c r="G5" s="26" t="s">
        <v>112</v>
      </c>
      <c r="H5" s="26" t="s">
        <v>112</v>
      </c>
      <c r="I5" s="26" t="s">
        <v>112</v>
      </c>
      <c r="J5" s="59" t="s">
        <v>116</v>
      </c>
      <c r="K5" s="12" t="s">
        <v>112</v>
      </c>
      <c r="L5" s="12" t="s">
        <v>112</v>
      </c>
      <c r="M5" s="12" t="s">
        <v>112</v>
      </c>
      <c r="N5" s="12" t="s">
        <v>112</v>
      </c>
      <c r="O5" s="12" t="s">
        <v>112</v>
      </c>
      <c r="P5" s="12" t="s">
        <v>112</v>
      </c>
      <c r="Q5" s="59" t="s">
        <v>116</v>
      </c>
      <c r="R5" s="12" t="s">
        <v>112</v>
      </c>
      <c r="S5" s="12" t="s">
        <v>112</v>
      </c>
      <c r="T5" s="12" t="s">
        <v>112</v>
      </c>
      <c r="U5" s="12" t="s">
        <v>112</v>
      </c>
      <c r="V5" s="12" t="s">
        <v>112</v>
      </c>
      <c r="W5" s="12" t="s">
        <v>112</v>
      </c>
      <c r="X5" s="59" t="s">
        <v>116</v>
      </c>
      <c r="Y5" s="12" t="s">
        <v>111</v>
      </c>
      <c r="Z5" s="12" t="s">
        <v>112</v>
      </c>
      <c r="AA5" s="12" t="s">
        <v>112</v>
      </c>
      <c r="AB5" s="12" t="s">
        <v>112</v>
      </c>
      <c r="AC5" s="12" t="s">
        <v>112</v>
      </c>
      <c r="AD5" s="12" t="s">
        <v>112</v>
      </c>
      <c r="AE5" s="59" t="s">
        <v>116</v>
      </c>
      <c r="AF5" s="12" t="s">
        <v>112</v>
      </c>
      <c r="AG5" s="12" t="s">
        <v>112</v>
      </c>
      <c r="AH5" s="12" t="s">
        <v>112</v>
      </c>
      <c r="AI5" s="12" t="s">
        <v>112</v>
      </c>
      <c r="AJ5" s="5">
        <f t="shared" ref="AJ5:AJ60" si="1">COUNTIF(E5:AI5,"P")</f>
        <v>26</v>
      </c>
      <c r="AK5" s="5">
        <f t="shared" ref="AK5:AK60" si="2">COUNTIF(E5:AI5,"A")</f>
        <v>1</v>
      </c>
      <c r="AL5" s="5" t="s">
        <v>7</v>
      </c>
      <c r="AM5" s="13">
        <v>27</v>
      </c>
      <c r="AN5" s="14"/>
      <c r="AO5" s="3"/>
    </row>
    <row r="6" spans="1:41" ht="16.5" x14ac:dyDescent="0.25">
      <c r="A6" s="13">
        <v>2</v>
      </c>
      <c r="B6" s="16" t="s">
        <v>231</v>
      </c>
      <c r="C6" s="17" t="s">
        <v>232</v>
      </c>
      <c r="D6" s="10" t="s">
        <v>230</v>
      </c>
      <c r="E6" s="26" t="s">
        <v>111</v>
      </c>
      <c r="F6" s="26" t="s">
        <v>112</v>
      </c>
      <c r="G6" s="26" t="s">
        <v>112</v>
      </c>
      <c r="H6" s="26" t="s">
        <v>111</v>
      </c>
      <c r="I6" s="26" t="s">
        <v>112</v>
      </c>
      <c r="J6" s="60"/>
      <c r="K6" s="12" t="s">
        <v>112</v>
      </c>
      <c r="L6" s="12" t="s">
        <v>112</v>
      </c>
      <c r="M6" s="12" t="s">
        <v>112</v>
      </c>
      <c r="N6" s="12" t="s">
        <v>112</v>
      </c>
      <c r="O6" s="12" t="s">
        <v>112</v>
      </c>
      <c r="P6" s="12" t="s">
        <v>111</v>
      </c>
      <c r="Q6" s="60"/>
      <c r="R6" s="12" t="s">
        <v>112</v>
      </c>
      <c r="S6" s="12" t="s">
        <v>112</v>
      </c>
      <c r="T6" s="12" t="s">
        <v>112</v>
      </c>
      <c r="U6" s="12" t="s">
        <v>112</v>
      </c>
      <c r="V6" s="12" t="s">
        <v>112</v>
      </c>
      <c r="W6" s="12" t="s">
        <v>111</v>
      </c>
      <c r="X6" s="60"/>
      <c r="Y6" s="12" t="s">
        <v>112</v>
      </c>
      <c r="Z6" s="12" t="s">
        <v>112</v>
      </c>
      <c r="AA6" s="12" t="s">
        <v>112</v>
      </c>
      <c r="AB6" s="12" t="s">
        <v>111</v>
      </c>
      <c r="AC6" s="12" t="s">
        <v>111</v>
      </c>
      <c r="AD6" s="12" t="s">
        <v>111</v>
      </c>
      <c r="AE6" s="60"/>
      <c r="AF6" s="12" t="s">
        <v>111</v>
      </c>
      <c r="AG6" s="12" t="s">
        <v>111</v>
      </c>
      <c r="AH6" s="12" t="s">
        <v>111</v>
      </c>
      <c r="AI6" s="12" t="s">
        <v>111</v>
      </c>
      <c r="AJ6" s="5">
        <f t="shared" si="1"/>
        <v>16</v>
      </c>
      <c r="AK6" s="5">
        <f t="shared" si="2"/>
        <v>11</v>
      </c>
      <c r="AL6" s="5" t="s">
        <v>8</v>
      </c>
      <c r="AM6" s="13">
        <v>4</v>
      </c>
      <c r="AN6" s="3"/>
      <c r="AO6" s="3"/>
    </row>
    <row r="7" spans="1:41" ht="16.5" x14ac:dyDescent="0.25">
      <c r="A7" s="6">
        <v>3</v>
      </c>
      <c r="B7" s="16" t="s">
        <v>132</v>
      </c>
      <c r="C7" s="17" t="s">
        <v>233</v>
      </c>
      <c r="D7" s="10" t="s">
        <v>230</v>
      </c>
      <c r="E7" s="26" t="s">
        <v>112</v>
      </c>
      <c r="F7" s="26" t="s">
        <v>112</v>
      </c>
      <c r="G7" s="26" t="s">
        <v>112</v>
      </c>
      <c r="H7" s="26" t="s">
        <v>112</v>
      </c>
      <c r="I7" s="26" t="s">
        <v>112</v>
      </c>
      <c r="J7" s="60"/>
      <c r="K7" s="12" t="s">
        <v>112</v>
      </c>
      <c r="L7" s="12" t="s">
        <v>112</v>
      </c>
      <c r="M7" s="12" t="s">
        <v>112</v>
      </c>
      <c r="N7" s="12" t="s">
        <v>112</v>
      </c>
      <c r="O7" s="12" t="s">
        <v>112</v>
      </c>
      <c r="P7" s="12" t="s">
        <v>112</v>
      </c>
      <c r="Q7" s="60"/>
      <c r="R7" s="12" t="s">
        <v>112</v>
      </c>
      <c r="S7" s="12" t="s">
        <v>111</v>
      </c>
      <c r="T7" s="12" t="s">
        <v>112</v>
      </c>
      <c r="U7" s="12" t="s">
        <v>112</v>
      </c>
      <c r="V7" s="12" t="s">
        <v>112</v>
      </c>
      <c r="W7" s="12" t="s">
        <v>112</v>
      </c>
      <c r="X7" s="60"/>
      <c r="Y7" s="12" t="s">
        <v>112</v>
      </c>
      <c r="Z7" s="12" t="s">
        <v>112</v>
      </c>
      <c r="AA7" s="12" t="s">
        <v>112</v>
      </c>
      <c r="AB7" s="12" t="s">
        <v>112</v>
      </c>
      <c r="AC7" s="12" t="s">
        <v>112</v>
      </c>
      <c r="AD7" s="12" t="s">
        <v>112</v>
      </c>
      <c r="AE7" s="60"/>
      <c r="AF7" s="12" t="s">
        <v>112</v>
      </c>
      <c r="AG7" s="12" t="s">
        <v>112</v>
      </c>
      <c r="AH7" s="12" t="s">
        <v>112</v>
      </c>
      <c r="AI7" s="12" t="s">
        <v>112</v>
      </c>
      <c r="AJ7" s="5">
        <f t="shared" si="1"/>
        <v>26</v>
      </c>
      <c r="AK7" s="5">
        <f t="shared" si="2"/>
        <v>1</v>
      </c>
      <c r="AL7" s="5"/>
      <c r="AM7" s="13"/>
      <c r="AN7" s="3"/>
      <c r="AO7" s="3"/>
    </row>
    <row r="8" spans="1:41" ht="16.5" x14ac:dyDescent="0.25">
      <c r="A8" s="13">
        <v>4</v>
      </c>
      <c r="B8" s="16" t="s">
        <v>234</v>
      </c>
      <c r="C8" s="17" t="s">
        <v>235</v>
      </c>
      <c r="D8" s="10" t="s">
        <v>230</v>
      </c>
      <c r="E8" s="26" t="s">
        <v>112</v>
      </c>
      <c r="F8" s="26" t="s">
        <v>112</v>
      </c>
      <c r="G8" s="26" t="s">
        <v>111</v>
      </c>
      <c r="H8" s="26" t="s">
        <v>111</v>
      </c>
      <c r="I8" s="26" t="s">
        <v>111</v>
      </c>
      <c r="J8" s="60"/>
      <c r="K8" s="12" t="s">
        <v>112</v>
      </c>
      <c r="L8" s="12" t="s">
        <v>112</v>
      </c>
      <c r="M8" s="12" t="s">
        <v>112</v>
      </c>
      <c r="N8" s="12" t="s">
        <v>112</v>
      </c>
      <c r="O8" s="12" t="s">
        <v>112</v>
      </c>
      <c r="P8" s="12" t="s">
        <v>112</v>
      </c>
      <c r="Q8" s="60"/>
      <c r="R8" s="12" t="s">
        <v>112</v>
      </c>
      <c r="S8" s="12" t="s">
        <v>112</v>
      </c>
      <c r="T8" s="12" t="s">
        <v>112</v>
      </c>
      <c r="U8" s="12" t="s">
        <v>111</v>
      </c>
      <c r="V8" s="12" t="s">
        <v>112</v>
      </c>
      <c r="W8" s="12" t="s">
        <v>111</v>
      </c>
      <c r="X8" s="60"/>
      <c r="Y8" s="12" t="s">
        <v>112</v>
      </c>
      <c r="Z8" s="12" t="s">
        <v>112</v>
      </c>
      <c r="AA8" s="12" t="s">
        <v>112</v>
      </c>
      <c r="AB8" s="12" t="s">
        <v>112</v>
      </c>
      <c r="AC8" s="12" t="s">
        <v>111</v>
      </c>
      <c r="AD8" s="12" t="s">
        <v>112</v>
      </c>
      <c r="AE8" s="60"/>
      <c r="AF8" s="12" t="s">
        <v>112</v>
      </c>
      <c r="AG8" s="12" t="s">
        <v>112</v>
      </c>
      <c r="AH8" s="12" t="s">
        <v>112</v>
      </c>
      <c r="AI8" s="12" t="s">
        <v>112</v>
      </c>
      <c r="AJ8" s="5">
        <f t="shared" si="1"/>
        <v>21</v>
      </c>
      <c r="AK8" s="5">
        <f t="shared" si="2"/>
        <v>6</v>
      </c>
      <c r="AL8"/>
      <c r="AM8"/>
      <c r="AN8"/>
      <c r="AO8"/>
    </row>
    <row r="9" spans="1:41" ht="16.5" x14ac:dyDescent="0.25">
      <c r="A9" s="6">
        <v>5</v>
      </c>
      <c r="B9" s="16" t="s">
        <v>236</v>
      </c>
      <c r="C9" s="17" t="s">
        <v>237</v>
      </c>
      <c r="D9" s="10" t="s">
        <v>230</v>
      </c>
      <c r="E9" s="26" t="s">
        <v>112</v>
      </c>
      <c r="F9" s="26" t="s">
        <v>112</v>
      </c>
      <c r="G9" s="26" t="s">
        <v>112</v>
      </c>
      <c r="H9" s="26" t="s">
        <v>112</v>
      </c>
      <c r="I9" s="26" t="s">
        <v>111</v>
      </c>
      <c r="J9" s="60"/>
      <c r="K9" s="12" t="s">
        <v>112</v>
      </c>
      <c r="L9" s="12" t="s">
        <v>112</v>
      </c>
      <c r="M9" s="12" t="s">
        <v>112</v>
      </c>
      <c r="N9" s="12" t="s">
        <v>112</v>
      </c>
      <c r="O9" s="12" t="s">
        <v>112</v>
      </c>
      <c r="P9" s="12" t="s">
        <v>112</v>
      </c>
      <c r="Q9" s="60"/>
      <c r="R9" s="12" t="s">
        <v>112</v>
      </c>
      <c r="S9" s="12" t="s">
        <v>112</v>
      </c>
      <c r="T9" s="12" t="s">
        <v>112</v>
      </c>
      <c r="U9" s="12" t="s">
        <v>112</v>
      </c>
      <c r="V9" s="12" t="s">
        <v>112</v>
      </c>
      <c r="W9" s="12" t="s">
        <v>112</v>
      </c>
      <c r="X9" s="60"/>
      <c r="Y9" s="12" t="s">
        <v>112</v>
      </c>
      <c r="Z9" s="12" t="s">
        <v>112</v>
      </c>
      <c r="AA9" s="12" t="s">
        <v>112</v>
      </c>
      <c r="AB9" s="12" t="s">
        <v>112</v>
      </c>
      <c r="AC9" s="12" t="s">
        <v>112</v>
      </c>
      <c r="AD9" s="12" t="s">
        <v>112</v>
      </c>
      <c r="AE9" s="60"/>
      <c r="AF9" s="12" t="s">
        <v>112</v>
      </c>
      <c r="AG9" s="12" t="s">
        <v>112</v>
      </c>
      <c r="AH9" s="12" t="s">
        <v>112</v>
      </c>
      <c r="AI9" s="12" t="s">
        <v>112</v>
      </c>
      <c r="AJ9" s="5">
        <f t="shared" si="1"/>
        <v>26</v>
      </c>
      <c r="AK9" s="5">
        <f t="shared" si="2"/>
        <v>1</v>
      </c>
      <c r="AL9" s="49" t="s">
        <v>9</v>
      </c>
      <c r="AM9" s="50"/>
      <c r="AN9" s="50"/>
      <c r="AO9" s="52"/>
    </row>
    <row r="10" spans="1:41" ht="16.5" x14ac:dyDescent="0.25">
      <c r="A10" s="13">
        <v>6</v>
      </c>
      <c r="B10" s="16" t="s">
        <v>238</v>
      </c>
      <c r="C10" s="17" t="s">
        <v>233</v>
      </c>
      <c r="D10" s="10" t="s">
        <v>230</v>
      </c>
      <c r="E10" s="26" t="s">
        <v>112</v>
      </c>
      <c r="F10" s="26" t="s">
        <v>112</v>
      </c>
      <c r="G10" s="26" t="s">
        <v>111</v>
      </c>
      <c r="H10" s="26" t="s">
        <v>112</v>
      </c>
      <c r="I10" s="26" t="s">
        <v>111</v>
      </c>
      <c r="J10" s="60"/>
      <c r="K10" s="12" t="s">
        <v>112</v>
      </c>
      <c r="L10" s="12" t="s">
        <v>111</v>
      </c>
      <c r="M10" s="12" t="s">
        <v>112</v>
      </c>
      <c r="N10" s="12" t="s">
        <v>112</v>
      </c>
      <c r="O10" s="12" t="s">
        <v>112</v>
      </c>
      <c r="P10" s="12" t="s">
        <v>111</v>
      </c>
      <c r="Q10" s="60"/>
      <c r="R10" s="12" t="s">
        <v>112</v>
      </c>
      <c r="S10" s="12" t="s">
        <v>112</v>
      </c>
      <c r="T10" s="12" t="s">
        <v>112</v>
      </c>
      <c r="U10" s="12" t="s">
        <v>111</v>
      </c>
      <c r="V10" s="12" t="s">
        <v>112</v>
      </c>
      <c r="W10" s="12" t="s">
        <v>112</v>
      </c>
      <c r="X10" s="60"/>
      <c r="Y10" s="12" t="s">
        <v>112</v>
      </c>
      <c r="Z10" s="12" t="s">
        <v>112</v>
      </c>
      <c r="AA10" s="12" t="s">
        <v>112</v>
      </c>
      <c r="AB10" s="12" t="s">
        <v>112</v>
      </c>
      <c r="AC10" s="12" t="s">
        <v>111</v>
      </c>
      <c r="AD10" s="12" t="s">
        <v>112</v>
      </c>
      <c r="AE10" s="60"/>
      <c r="AF10" s="12" t="s">
        <v>112</v>
      </c>
      <c r="AG10" s="12" t="s">
        <v>112</v>
      </c>
      <c r="AH10" s="12" t="s">
        <v>112</v>
      </c>
      <c r="AI10" s="12" t="s">
        <v>112</v>
      </c>
      <c r="AJ10" s="5">
        <f t="shared" si="1"/>
        <v>21</v>
      </c>
      <c r="AK10" s="5">
        <f t="shared" si="2"/>
        <v>6</v>
      </c>
      <c r="AL10" s="5" t="s">
        <v>10</v>
      </c>
      <c r="AM10" s="5" t="s">
        <v>11</v>
      </c>
      <c r="AN10" s="5" t="s">
        <v>12</v>
      </c>
      <c r="AO10" s="5" t="s">
        <v>13</v>
      </c>
    </row>
    <row r="11" spans="1:41" ht="16.5" x14ac:dyDescent="0.25">
      <c r="A11" s="6">
        <v>7</v>
      </c>
      <c r="B11" s="16" t="s">
        <v>239</v>
      </c>
      <c r="C11" s="17" t="s">
        <v>240</v>
      </c>
      <c r="D11" s="10" t="s">
        <v>230</v>
      </c>
      <c r="E11" s="26" t="s">
        <v>112</v>
      </c>
      <c r="F11" s="26" t="s">
        <v>112</v>
      </c>
      <c r="G11" s="26" t="s">
        <v>112</v>
      </c>
      <c r="H11" s="26" t="s">
        <v>112</v>
      </c>
      <c r="I11" s="26" t="s">
        <v>112</v>
      </c>
      <c r="J11" s="60"/>
      <c r="K11" s="12" t="s">
        <v>112</v>
      </c>
      <c r="L11" s="12" t="s">
        <v>112</v>
      </c>
      <c r="M11" s="12" t="s">
        <v>112</v>
      </c>
      <c r="N11" s="12" t="s">
        <v>112</v>
      </c>
      <c r="O11" s="12" t="s">
        <v>113</v>
      </c>
      <c r="P11" s="12" t="s">
        <v>111</v>
      </c>
      <c r="Q11" s="60"/>
      <c r="R11" s="12" t="s">
        <v>111</v>
      </c>
      <c r="S11" s="12" t="s">
        <v>112</v>
      </c>
      <c r="T11" s="12" t="s">
        <v>112</v>
      </c>
      <c r="U11" s="12" t="s">
        <v>112</v>
      </c>
      <c r="V11" s="12" t="s">
        <v>112</v>
      </c>
      <c r="W11" s="12" t="s">
        <v>112</v>
      </c>
      <c r="X11" s="60"/>
      <c r="Y11" s="12" t="s">
        <v>112</v>
      </c>
      <c r="Z11" s="12" t="s">
        <v>112</v>
      </c>
      <c r="AA11" s="12" t="s">
        <v>112</v>
      </c>
      <c r="AB11" s="12" t="s">
        <v>112</v>
      </c>
      <c r="AC11" s="12" t="s">
        <v>112</v>
      </c>
      <c r="AD11" s="12" t="s">
        <v>112</v>
      </c>
      <c r="AE11" s="60"/>
      <c r="AF11" s="12" t="s">
        <v>112</v>
      </c>
      <c r="AG11" s="12" t="s">
        <v>112</v>
      </c>
      <c r="AH11" s="12" t="s">
        <v>112</v>
      </c>
      <c r="AI11" s="12" t="s">
        <v>112</v>
      </c>
      <c r="AJ11" s="5">
        <f t="shared" si="1"/>
        <v>24</v>
      </c>
      <c r="AK11" s="5">
        <f t="shared" si="2"/>
        <v>2</v>
      </c>
      <c r="AL11" s="5" t="s">
        <v>14</v>
      </c>
      <c r="AM11" s="13">
        <f>32*$AM$5</f>
        <v>864</v>
      </c>
      <c r="AN11" s="13">
        <f>24*$AM$5</f>
        <v>648</v>
      </c>
      <c r="AO11" s="13">
        <f>SUM(AM11:AN11)</f>
        <v>1512</v>
      </c>
    </row>
    <row r="12" spans="1:41" ht="16.5" x14ac:dyDescent="0.25">
      <c r="A12" s="13">
        <v>8</v>
      </c>
      <c r="B12" s="16" t="s">
        <v>241</v>
      </c>
      <c r="C12" s="17" t="s">
        <v>242</v>
      </c>
      <c r="D12" s="10" t="s">
        <v>230</v>
      </c>
      <c r="E12" s="26" t="s">
        <v>112</v>
      </c>
      <c r="F12" s="26" t="s">
        <v>112</v>
      </c>
      <c r="G12" s="26" t="s">
        <v>112</v>
      </c>
      <c r="H12" s="26" t="s">
        <v>112</v>
      </c>
      <c r="I12" s="26" t="s">
        <v>111</v>
      </c>
      <c r="J12" s="60"/>
      <c r="K12" s="12" t="s">
        <v>112</v>
      </c>
      <c r="L12" s="12" t="s">
        <v>112</v>
      </c>
      <c r="M12" s="12" t="s">
        <v>112</v>
      </c>
      <c r="N12" s="12" t="s">
        <v>112</v>
      </c>
      <c r="O12" s="12" t="s">
        <v>112</v>
      </c>
      <c r="P12" s="12" t="s">
        <v>112</v>
      </c>
      <c r="Q12" s="60"/>
      <c r="R12" s="12" t="s">
        <v>112</v>
      </c>
      <c r="S12" s="12" t="s">
        <v>112</v>
      </c>
      <c r="T12" s="12" t="s">
        <v>112</v>
      </c>
      <c r="U12" s="12" t="s">
        <v>112</v>
      </c>
      <c r="V12" s="12" t="s">
        <v>112</v>
      </c>
      <c r="W12" s="12" t="s">
        <v>112</v>
      </c>
      <c r="X12" s="60"/>
      <c r="Y12" s="12" t="s">
        <v>112</v>
      </c>
      <c r="Z12" s="12" t="s">
        <v>112</v>
      </c>
      <c r="AA12" s="12" t="s">
        <v>112</v>
      </c>
      <c r="AB12" s="12" t="s">
        <v>112</v>
      </c>
      <c r="AC12" s="12" t="s">
        <v>112</v>
      </c>
      <c r="AD12" s="12" t="s">
        <v>111</v>
      </c>
      <c r="AE12" s="60"/>
      <c r="AF12" s="12" t="s">
        <v>112</v>
      </c>
      <c r="AG12" s="12" t="s">
        <v>112</v>
      </c>
      <c r="AH12" s="12" t="s">
        <v>112</v>
      </c>
      <c r="AI12" s="12" t="s">
        <v>112</v>
      </c>
      <c r="AJ12" s="5">
        <f t="shared" si="1"/>
        <v>25</v>
      </c>
      <c r="AK12" s="5">
        <f t="shared" si="2"/>
        <v>2</v>
      </c>
      <c r="AL12" s="5" t="s">
        <v>15</v>
      </c>
      <c r="AM12" s="13">
        <f>SUM(AJ29:AJ60)</f>
        <v>746</v>
      </c>
      <c r="AN12" s="13">
        <f>SUM(AJ5:AJ28)</f>
        <v>525</v>
      </c>
      <c r="AO12" s="13">
        <f>AM12+AN12</f>
        <v>1271</v>
      </c>
    </row>
    <row r="13" spans="1:41" ht="16.5" x14ac:dyDescent="0.25">
      <c r="A13" s="6">
        <v>9</v>
      </c>
      <c r="B13" s="16" t="s">
        <v>243</v>
      </c>
      <c r="C13" s="17" t="s">
        <v>244</v>
      </c>
      <c r="D13" s="10" t="s">
        <v>230</v>
      </c>
      <c r="E13" s="26" t="s">
        <v>112</v>
      </c>
      <c r="F13" s="26" t="s">
        <v>112</v>
      </c>
      <c r="G13" s="26" t="s">
        <v>112</v>
      </c>
      <c r="H13" s="26" t="s">
        <v>112</v>
      </c>
      <c r="I13" s="26" t="s">
        <v>111</v>
      </c>
      <c r="J13" s="60"/>
      <c r="K13" s="12" t="s">
        <v>112</v>
      </c>
      <c r="L13" s="12" t="s">
        <v>112</v>
      </c>
      <c r="M13" s="12" t="s">
        <v>112</v>
      </c>
      <c r="N13" s="12" t="s">
        <v>112</v>
      </c>
      <c r="O13" s="12" t="s">
        <v>112</v>
      </c>
      <c r="P13" s="12" t="s">
        <v>112</v>
      </c>
      <c r="Q13" s="60"/>
      <c r="R13" s="12" t="s">
        <v>112</v>
      </c>
      <c r="S13" s="12" t="s">
        <v>112</v>
      </c>
      <c r="T13" s="12" t="s">
        <v>112</v>
      </c>
      <c r="U13" s="12" t="s">
        <v>112</v>
      </c>
      <c r="V13" s="12" t="s">
        <v>112</v>
      </c>
      <c r="W13" s="12" t="s">
        <v>111</v>
      </c>
      <c r="X13" s="60"/>
      <c r="Y13" s="12" t="s">
        <v>112</v>
      </c>
      <c r="Z13" s="12" t="s">
        <v>112</v>
      </c>
      <c r="AA13" s="12" t="s">
        <v>112</v>
      </c>
      <c r="AB13" s="12" t="s">
        <v>112</v>
      </c>
      <c r="AC13" s="12" t="s">
        <v>112</v>
      </c>
      <c r="AD13" s="12" t="s">
        <v>112</v>
      </c>
      <c r="AE13" s="60"/>
      <c r="AF13" s="12" t="s">
        <v>112</v>
      </c>
      <c r="AG13" s="12" t="s">
        <v>112</v>
      </c>
      <c r="AH13" s="12" t="s">
        <v>112</v>
      </c>
      <c r="AI13" s="12" t="s">
        <v>112</v>
      </c>
      <c r="AJ13" s="5">
        <f t="shared" si="1"/>
        <v>25</v>
      </c>
      <c r="AK13" s="5">
        <f t="shared" si="2"/>
        <v>2</v>
      </c>
      <c r="AL13" s="5" t="s">
        <v>16</v>
      </c>
      <c r="AM13" s="18">
        <f>AM12/AM11</f>
        <v>0.86342592592592593</v>
      </c>
      <c r="AN13" s="18">
        <f>AN12/AN11</f>
        <v>0.81018518518518523</v>
      </c>
      <c r="AO13" s="18">
        <f>AO12/AO11</f>
        <v>0.84060846560846558</v>
      </c>
    </row>
    <row r="14" spans="1:41" ht="16.5" x14ac:dyDescent="0.25">
      <c r="A14" s="13">
        <v>10</v>
      </c>
      <c r="B14" s="16" t="s">
        <v>245</v>
      </c>
      <c r="C14" s="17" t="s">
        <v>246</v>
      </c>
      <c r="D14" s="10" t="s">
        <v>230</v>
      </c>
      <c r="E14" s="26" t="s">
        <v>112</v>
      </c>
      <c r="F14" s="26" t="s">
        <v>112</v>
      </c>
      <c r="G14" s="26" t="s">
        <v>112</v>
      </c>
      <c r="H14" s="26" t="s">
        <v>112</v>
      </c>
      <c r="I14" s="26" t="s">
        <v>111</v>
      </c>
      <c r="J14" s="60"/>
      <c r="K14" s="12" t="s">
        <v>112</v>
      </c>
      <c r="L14" s="12" t="s">
        <v>112</v>
      </c>
      <c r="M14" s="12" t="s">
        <v>112</v>
      </c>
      <c r="N14" s="12" t="s">
        <v>112</v>
      </c>
      <c r="O14" s="12" t="s">
        <v>112</v>
      </c>
      <c r="P14" s="12" t="s">
        <v>112</v>
      </c>
      <c r="Q14" s="60"/>
      <c r="R14" s="12" t="s">
        <v>112</v>
      </c>
      <c r="S14" s="12" t="s">
        <v>112</v>
      </c>
      <c r="T14" s="12" t="s">
        <v>112</v>
      </c>
      <c r="U14" s="12" t="s">
        <v>112</v>
      </c>
      <c r="V14" s="12" t="s">
        <v>112</v>
      </c>
      <c r="W14" s="12" t="s">
        <v>112</v>
      </c>
      <c r="X14" s="60"/>
      <c r="Y14" s="12" t="s">
        <v>112</v>
      </c>
      <c r="Z14" s="12" t="s">
        <v>112</v>
      </c>
      <c r="AA14" s="12" t="s">
        <v>112</v>
      </c>
      <c r="AB14" s="12" t="s">
        <v>112</v>
      </c>
      <c r="AC14" s="12" t="s">
        <v>112</v>
      </c>
      <c r="AD14" s="12" t="s">
        <v>112</v>
      </c>
      <c r="AE14" s="60"/>
      <c r="AF14" s="12" t="s">
        <v>112</v>
      </c>
      <c r="AG14" s="12" t="s">
        <v>112</v>
      </c>
      <c r="AH14" s="12" t="s">
        <v>112</v>
      </c>
      <c r="AI14" s="12" t="s">
        <v>112</v>
      </c>
      <c r="AJ14" s="5">
        <f t="shared" si="1"/>
        <v>26</v>
      </c>
      <c r="AK14" s="5">
        <f t="shared" si="2"/>
        <v>1</v>
      </c>
      <c r="AL14"/>
      <c r="AM14"/>
      <c r="AN14"/>
      <c r="AO14"/>
    </row>
    <row r="15" spans="1:41" ht="16.5" x14ac:dyDescent="0.25">
      <c r="A15" s="6">
        <v>11</v>
      </c>
      <c r="B15" s="16" t="s">
        <v>247</v>
      </c>
      <c r="C15" s="17" t="s">
        <v>89</v>
      </c>
      <c r="D15" s="10" t="s">
        <v>230</v>
      </c>
      <c r="E15" s="26" t="s">
        <v>112</v>
      </c>
      <c r="F15" s="26" t="s">
        <v>112</v>
      </c>
      <c r="G15" s="26" t="s">
        <v>111</v>
      </c>
      <c r="H15" s="26" t="s">
        <v>111</v>
      </c>
      <c r="I15" s="26" t="s">
        <v>111</v>
      </c>
      <c r="J15" s="60"/>
      <c r="K15" s="12" t="s">
        <v>112</v>
      </c>
      <c r="L15" s="12" t="s">
        <v>112</v>
      </c>
      <c r="M15" s="12" t="s">
        <v>112</v>
      </c>
      <c r="N15" s="12" t="s">
        <v>111</v>
      </c>
      <c r="O15" s="12" t="s">
        <v>111</v>
      </c>
      <c r="P15" s="12" t="s">
        <v>111</v>
      </c>
      <c r="Q15" s="60"/>
      <c r="R15" s="12" t="s">
        <v>111</v>
      </c>
      <c r="S15" s="12" t="s">
        <v>112</v>
      </c>
      <c r="T15" s="12" t="s">
        <v>111</v>
      </c>
      <c r="U15" s="12" t="s">
        <v>112</v>
      </c>
      <c r="V15" s="12" t="s">
        <v>112</v>
      </c>
      <c r="W15" s="12" t="s">
        <v>111</v>
      </c>
      <c r="X15" s="60"/>
      <c r="Y15" s="12" t="s">
        <v>111</v>
      </c>
      <c r="Z15" s="12" t="s">
        <v>111</v>
      </c>
      <c r="AA15" s="12" t="s">
        <v>111</v>
      </c>
      <c r="AB15" s="12" t="s">
        <v>111</v>
      </c>
      <c r="AC15" s="12" t="s">
        <v>111</v>
      </c>
      <c r="AD15" s="12" t="s">
        <v>111</v>
      </c>
      <c r="AE15" s="60"/>
      <c r="AF15" s="12" t="s">
        <v>112</v>
      </c>
      <c r="AG15" s="12" t="s">
        <v>111</v>
      </c>
      <c r="AH15" s="12" t="s">
        <v>112</v>
      </c>
      <c r="AI15" s="12" t="s">
        <v>112</v>
      </c>
      <c r="AJ15" s="5">
        <f t="shared" si="1"/>
        <v>11</v>
      </c>
      <c r="AK15" s="5">
        <f t="shared" si="2"/>
        <v>16</v>
      </c>
      <c r="AL15"/>
      <c r="AM15"/>
      <c r="AN15"/>
      <c r="AO15"/>
    </row>
    <row r="16" spans="1:41" ht="16.5" x14ac:dyDescent="0.25">
      <c r="A16" s="13">
        <v>12</v>
      </c>
      <c r="B16" s="16" t="s">
        <v>248</v>
      </c>
      <c r="C16" s="17" t="s">
        <v>196</v>
      </c>
      <c r="D16" s="10" t="s">
        <v>230</v>
      </c>
      <c r="E16" s="26" t="s">
        <v>112</v>
      </c>
      <c r="F16" s="26" t="s">
        <v>112</v>
      </c>
      <c r="G16" s="26" t="s">
        <v>112</v>
      </c>
      <c r="H16" s="26" t="s">
        <v>112</v>
      </c>
      <c r="I16" s="26" t="s">
        <v>111</v>
      </c>
      <c r="J16" s="60"/>
      <c r="K16" s="12" t="s">
        <v>112</v>
      </c>
      <c r="L16" s="12" t="s">
        <v>111</v>
      </c>
      <c r="M16" s="12" t="s">
        <v>112</v>
      </c>
      <c r="N16" s="12" t="s">
        <v>112</v>
      </c>
      <c r="O16" s="12" t="s">
        <v>112</v>
      </c>
      <c r="P16" s="12" t="s">
        <v>112</v>
      </c>
      <c r="Q16" s="60"/>
      <c r="R16" s="12" t="s">
        <v>112</v>
      </c>
      <c r="S16" s="12" t="s">
        <v>112</v>
      </c>
      <c r="T16" s="12" t="s">
        <v>112</v>
      </c>
      <c r="U16" s="12" t="s">
        <v>112</v>
      </c>
      <c r="V16" s="12" t="s">
        <v>112</v>
      </c>
      <c r="W16" s="12" t="s">
        <v>112</v>
      </c>
      <c r="X16" s="60"/>
      <c r="Y16" s="12" t="s">
        <v>112</v>
      </c>
      <c r="Z16" s="12" t="s">
        <v>113</v>
      </c>
      <c r="AA16" s="12" t="s">
        <v>113</v>
      </c>
      <c r="AB16" s="12" t="s">
        <v>111</v>
      </c>
      <c r="AC16" s="12" t="s">
        <v>111</v>
      </c>
      <c r="AD16" s="12" t="s">
        <v>112</v>
      </c>
      <c r="AE16" s="60"/>
      <c r="AF16" s="12" t="s">
        <v>112</v>
      </c>
      <c r="AG16" s="12" t="s">
        <v>112</v>
      </c>
      <c r="AH16" s="12" t="s">
        <v>112</v>
      </c>
      <c r="AI16" s="12" t="s">
        <v>112</v>
      </c>
      <c r="AJ16" s="5">
        <f t="shared" si="1"/>
        <v>21</v>
      </c>
      <c r="AK16" s="5">
        <f t="shared" si="2"/>
        <v>4</v>
      </c>
      <c r="AL16"/>
      <c r="AM16"/>
      <c r="AN16"/>
      <c r="AO16"/>
    </row>
    <row r="17" spans="1:41" ht="16.5" x14ac:dyDescent="0.25">
      <c r="A17" s="6">
        <v>13</v>
      </c>
      <c r="B17" s="16" t="s">
        <v>249</v>
      </c>
      <c r="C17" s="17" t="s">
        <v>250</v>
      </c>
      <c r="D17" s="10" t="s">
        <v>230</v>
      </c>
      <c r="E17" s="26" t="s">
        <v>112</v>
      </c>
      <c r="F17" s="26" t="s">
        <v>111</v>
      </c>
      <c r="G17" s="26" t="s">
        <v>112</v>
      </c>
      <c r="H17" s="26" t="s">
        <v>111</v>
      </c>
      <c r="I17" s="26" t="s">
        <v>111</v>
      </c>
      <c r="J17" s="60"/>
      <c r="K17" s="12" t="s">
        <v>111</v>
      </c>
      <c r="L17" s="12" t="s">
        <v>111</v>
      </c>
      <c r="M17" s="12" t="s">
        <v>111</v>
      </c>
      <c r="N17" s="12" t="s">
        <v>111</v>
      </c>
      <c r="O17" s="12" t="s">
        <v>111</v>
      </c>
      <c r="P17" s="12" t="s">
        <v>111</v>
      </c>
      <c r="Q17" s="60"/>
      <c r="R17" s="12" t="s">
        <v>112</v>
      </c>
      <c r="S17" s="12" t="s">
        <v>112</v>
      </c>
      <c r="T17" s="12" t="s">
        <v>112</v>
      </c>
      <c r="U17" s="12" t="s">
        <v>112</v>
      </c>
      <c r="V17" s="12" t="s">
        <v>112</v>
      </c>
      <c r="W17" s="12" t="s">
        <v>112</v>
      </c>
      <c r="X17" s="60"/>
      <c r="Y17" s="12" t="s">
        <v>112</v>
      </c>
      <c r="Z17" s="12" t="s">
        <v>112</v>
      </c>
      <c r="AA17" s="12" t="s">
        <v>112</v>
      </c>
      <c r="AB17" s="12" t="s">
        <v>112</v>
      </c>
      <c r="AC17" s="12" t="s">
        <v>111</v>
      </c>
      <c r="AD17" s="12" t="s">
        <v>112</v>
      </c>
      <c r="AE17" s="60"/>
      <c r="AF17" s="12" t="s">
        <v>111</v>
      </c>
      <c r="AG17" s="12" t="s">
        <v>111</v>
      </c>
      <c r="AH17" s="12" t="s">
        <v>111</v>
      </c>
      <c r="AI17" s="12" t="s">
        <v>112</v>
      </c>
      <c r="AJ17" s="5">
        <f t="shared" si="1"/>
        <v>14</v>
      </c>
      <c r="AK17" s="5">
        <f t="shared" si="2"/>
        <v>13</v>
      </c>
      <c r="AL17" s="49" t="s">
        <v>128</v>
      </c>
      <c r="AM17" s="50"/>
      <c r="AN17" s="50"/>
      <c r="AO17" s="52"/>
    </row>
    <row r="18" spans="1:41" ht="16.5" x14ac:dyDescent="0.25">
      <c r="A18" s="13">
        <v>14</v>
      </c>
      <c r="B18" s="16" t="s">
        <v>251</v>
      </c>
      <c r="C18" s="17" t="s">
        <v>252</v>
      </c>
      <c r="D18" s="10" t="s">
        <v>230</v>
      </c>
      <c r="E18" s="26" t="s">
        <v>111</v>
      </c>
      <c r="F18" s="26" t="s">
        <v>111</v>
      </c>
      <c r="G18" s="26" t="s">
        <v>111</v>
      </c>
      <c r="H18" s="26" t="s">
        <v>111</v>
      </c>
      <c r="I18" s="26" t="s">
        <v>111</v>
      </c>
      <c r="J18" s="60"/>
      <c r="K18" s="12" t="s">
        <v>112</v>
      </c>
      <c r="L18" s="12" t="s">
        <v>112</v>
      </c>
      <c r="M18" s="12" t="s">
        <v>112</v>
      </c>
      <c r="N18" s="12" t="s">
        <v>112</v>
      </c>
      <c r="O18" s="12" t="s">
        <v>112</v>
      </c>
      <c r="P18" s="12" t="s">
        <v>112</v>
      </c>
      <c r="Q18" s="60"/>
      <c r="R18" s="12" t="s">
        <v>112</v>
      </c>
      <c r="S18" s="12" t="s">
        <v>112</v>
      </c>
      <c r="T18" s="12" t="s">
        <v>112</v>
      </c>
      <c r="U18" s="12" t="s">
        <v>112</v>
      </c>
      <c r="V18" s="12" t="s">
        <v>112</v>
      </c>
      <c r="W18" s="12" t="s">
        <v>112</v>
      </c>
      <c r="X18" s="60"/>
      <c r="Y18" s="12" t="s">
        <v>111</v>
      </c>
      <c r="Z18" s="12" t="s">
        <v>111</v>
      </c>
      <c r="AA18" s="12" t="s">
        <v>111</v>
      </c>
      <c r="AB18" s="12" t="s">
        <v>111</v>
      </c>
      <c r="AC18" s="12" t="s">
        <v>111</v>
      </c>
      <c r="AD18" s="12" t="s">
        <v>111</v>
      </c>
      <c r="AE18" s="60"/>
      <c r="AF18" s="12" t="s">
        <v>112</v>
      </c>
      <c r="AG18" s="12" t="s">
        <v>112</v>
      </c>
      <c r="AH18" s="12" t="s">
        <v>112</v>
      </c>
      <c r="AI18" s="12" t="s">
        <v>112</v>
      </c>
      <c r="AJ18" s="5">
        <f t="shared" si="1"/>
        <v>16</v>
      </c>
      <c r="AK18" s="5">
        <f t="shared" si="2"/>
        <v>11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ht="16.5" x14ac:dyDescent="0.25">
      <c r="A19" s="6">
        <v>15</v>
      </c>
      <c r="B19" s="16" t="s">
        <v>253</v>
      </c>
      <c r="C19" s="17" t="s">
        <v>254</v>
      </c>
      <c r="D19" s="10" t="s">
        <v>230</v>
      </c>
      <c r="E19" s="26" t="s">
        <v>111</v>
      </c>
      <c r="F19" s="26" t="s">
        <v>111</v>
      </c>
      <c r="G19" s="26" t="s">
        <v>112</v>
      </c>
      <c r="H19" s="26" t="s">
        <v>112</v>
      </c>
      <c r="I19" s="26" t="s">
        <v>112</v>
      </c>
      <c r="J19" s="60"/>
      <c r="K19" s="12" t="s">
        <v>112</v>
      </c>
      <c r="L19" s="12" t="s">
        <v>112</v>
      </c>
      <c r="M19" s="12" t="s">
        <v>112</v>
      </c>
      <c r="N19" s="12" t="s">
        <v>112</v>
      </c>
      <c r="O19" s="12" t="s">
        <v>112</v>
      </c>
      <c r="P19" s="12" t="s">
        <v>112</v>
      </c>
      <c r="Q19" s="60"/>
      <c r="R19" s="12" t="s">
        <v>112</v>
      </c>
      <c r="S19" s="12" t="s">
        <v>112</v>
      </c>
      <c r="T19" s="12" t="s">
        <v>112</v>
      </c>
      <c r="U19" s="12" t="s">
        <v>112</v>
      </c>
      <c r="V19" s="12" t="s">
        <v>112</v>
      </c>
      <c r="W19" s="12" t="s">
        <v>112</v>
      </c>
      <c r="X19" s="60"/>
      <c r="Y19" s="12" t="s">
        <v>112</v>
      </c>
      <c r="Z19" s="12" t="s">
        <v>112</v>
      </c>
      <c r="AA19" s="12" t="s">
        <v>112</v>
      </c>
      <c r="AB19" s="12" t="s">
        <v>112</v>
      </c>
      <c r="AC19" s="12" t="s">
        <v>112</v>
      </c>
      <c r="AD19" s="12" t="s">
        <v>111</v>
      </c>
      <c r="AE19" s="60"/>
      <c r="AF19" s="12" t="s">
        <v>112</v>
      </c>
      <c r="AG19" s="12" t="s">
        <v>112</v>
      </c>
      <c r="AH19" s="12" t="s">
        <v>112</v>
      </c>
      <c r="AI19" s="12" t="s">
        <v>112</v>
      </c>
      <c r="AJ19" s="5">
        <f t="shared" si="1"/>
        <v>24</v>
      </c>
      <c r="AK19" s="5">
        <f t="shared" si="2"/>
        <v>3</v>
      </c>
      <c r="AL19" s="5" t="s">
        <v>14</v>
      </c>
      <c r="AM19" s="13">
        <f>32*$AM$5</f>
        <v>864</v>
      </c>
      <c r="AN19" s="13">
        <f>24*$AM$5</f>
        <v>648</v>
      </c>
      <c r="AO19" s="13">
        <f>AM19+AN19</f>
        <v>1512</v>
      </c>
    </row>
    <row r="20" spans="1:41" ht="16.5" x14ac:dyDescent="0.25">
      <c r="A20" s="13">
        <v>16</v>
      </c>
      <c r="B20" s="16" t="s">
        <v>255</v>
      </c>
      <c r="C20" s="17" t="s">
        <v>256</v>
      </c>
      <c r="D20" s="10" t="s">
        <v>230</v>
      </c>
      <c r="E20" s="26" t="s">
        <v>112</v>
      </c>
      <c r="F20" s="26" t="s">
        <v>112</v>
      </c>
      <c r="G20" s="26" t="s">
        <v>112</v>
      </c>
      <c r="H20" s="26" t="s">
        <v>112</v>
      </c>
      <c r="I20" s="26" t="s">
        <v>111</v>
      </c>
      <c r="J20" s="60"/>
      <c r="K20" s="12" t="s">
        <v>111</v>
      </c>
      <c r="L20" s="12" t="s">
        <v>112</v>
      </c>
      <c r="M20" s="12" t="s">
        <v>112</v>
      </c>
      <c r="N20" s="12" t="s">
        <v>112</v>
      </c>
      <c r="O20" s="12" t="s">
        <v>112</v>
      </c>
      <c r="P20" s="12" t="s">
        <v>111</v>
      </c>
      <c r="Q20" s="60"/>
      <c r="R20" s="12" t="s">
        <v>112</v>
      </c>
      <c r="S20" s="12" t="s">
        <v>112</v>
      </c>
      <c r="T20" s="12" t="s">
        <v>112</v>
      </c>
      <c r="U20" s="12" t="s">
        <v>112</v>
      </c>
      <c r="V20" s="12" t="s">
        <v>112</v>
      </c>
      <c r="W20" s="12" t="s">
        <v>111</v>
      </c>
      <c r="X20" s="60"/>
      <c r="Y20" s="12" t="s">
        <v>112</v>
      </c>
      <c r="Z20" s="12" t="s">
        <v>112</v>
      </c>
      <c r="AA20" s="12" t="s">
        <v>112</v>
      </c>
      <c r="AB20" s="12" t="s">
        <v>112</v>
      </c>
      <c r="AC20" s="12" t="s">
        <v>112</v>
      </c>
      <c r="AD20" s="12" t="s">
        <v>111</v>
      </c>
      <c r="AE20" s="60"/>
      <c r="AF20" s="12" t="s">
        <v>112</v>
      </c>
      <c r="AG20" s="12" t="s">
        <v>112</v>
      </c>
      <c r="AH20" s="12" t="s">
        <v>112</v>
      </c>
      <c r="AI20" s="12" t="s">
        <v>112</v>
      </c>
      <c r="AJ20" s="5">
        <f t="shared" si="1"/>
        <v>22</v>
      </c>
      <c r="AK20" s="5">
        <f t="shared" si="2"/>
        <v>5</v>
      </c>
      <c r="AL20" s="5" t="s">
        <v>17</v>
      </c>
      <c r="AM20" s="13">
        <f>AM19-AM12</f>
        <v>118</v>
      </c>
      <c r="AN20" s="13">
        <f>AN19-AN12</f>
        <v>123</v>
      </c>
      <c r="AO20" s="13">
        <f>AM20+AN20</f>
        <v>241</v>
      </c>
    </row>
    <row r="21" spans="1:41" ht="16.5" x14ac:dyDescent="0.25">
      <c r="A21" s="6">
        <v>17</v>
      </c>
      <c r="B21" s="16" t="s">
        <v>257</v>
      </c>
      <c r="C21" s="17" t="s">
        <v>258</v>
      </c>
      <c r="D21" s="10" t="s">
        <v>230</v>
      </c>
      <c r="E21" s="26" t="s">
        <v>112</v>
      </c>
      <c r="F21" s="26" t="s">
        <v>112</v>
      </c>
      <c r="G21" s="26" t="s">
        <v>112</v>
      </c>
      <c r="H21" s="26" t="s">
        <v>112</v>
      </c>
      <c r="I21" s="26" t="s">
        <v>111</v>
      </c>
      <c r="J21" s="60"/>
      <c r="K21" s="12" t="s">
        <v>112</v>
      </c>
      <c r="L21" s="12" t="s">
        <v>112</v>
      </c>
      <c r="M21" s="12" t="s">
        <v>112</v>
      </c>
      <c r="N21" s="12" t="s">
        <v>112</v>
      </c>
      <c r="O21" s="12" t="s">
        <v>112</v>
      </c>
      <c r="P21" s="12" t="s">
        <v>112</v>
      </c>
      <c r="Q21" s="60"/>
      <c r="R21" s="12" t="s">
        <v>112</v>
      </c>
      <c r="S21" s="12" t="s">
        <v>112</v>
      </c>
      <c r="T21" s="12" t="s">
        <v>112</v>
      </c>
      <c r="U21" s="12" t="s">
        <v>112</v>
      </c>
      <c r="V21" s="12" t="s">
        <v>111</v>
      </c>
      <c r="W21" s="12" t="s">
        <v>111</v>
      </c>
      <c r="X21" s="60"/>
      <c r="Y21" s="12" t="s">
        <v>112</v>
      </c>
      <c r="Z21" s="12" t="s">
        <v>111</v>
      </c>
      <c r="AA21" s="12" t="s">
        <v>112</v>
      </c>
      <c r="AB21" s="12" t="s">
        <v>112</v>
      </c>
      <c r="AC21" s="12" t="s">
        <v>112</v>
      </c>
      <c r="AD21" s="12" t="s">
        <v>112</v>
      </c>
      <c r="AE21" s="60"/>
      <c r="AF21" s="12" t="s">
        <v>112</v>
      </c>
      <c r="AG21" s="12" t="s">
        <v>112</v>
      </c>
      <c r="AH21" s="12" t="s">
        <v>111</v>
      </c>
      <c r="AI21" s="12" t="s">
        <v>112</v>
      </c>
      <c r="AJ21" s="5">
        <f t="shared" si="1"/>
        <v>22</v>
      </c>
      <c r="AK21" s="5">
        <f t="shared" si="2"/>
        <v>5</v>
      </c>
      <c r="AL21" s="5" t="s">
        <v>16</v>
      </c>
      <c r="AM21" s="18">
        <f>AM20/AM19</f>
        <v>0.13657407407407407</v>
      </c>
      <c r="AN21" s="18">
        <f>AN20/AN19</f>
        <v>0.18981481481481483</v>
      </c>
      <c r="AO21" s="18">
        <f>AO20/AO19</f>
        <v>0.15939153439153439</v>
      </c>
    </row>
    <row r="22" spans="1:41" ht="16.5" x14ac:dyDescent="0.25">
      <c r="A22" s="13">
        <v>18</v>
      </c>
      <c r="B22" s="16" t="s">
        <v>259</v>
      </c>
      <c r="C22" s="17" t="s">
        <v>258</v>
      </c>
      <c r="D22" s="10" t="s">
        <v>230</v>
      </c>
      <c r="E22" s="26" t="s">
        <v>112</v>
      </c>
      <c r="F22" s="26" t="s">
        <v>112</v>
      </c>
      <c r="G22" s="26" t="s">
        <v>112</v>
      </c>
      <c r="H22" s="26" t="s">
        <v>112</v>
      </c>
      <c r="I22" s="26" t="s">
        <v>111</v>
      </c>
      <c r="J22" s="60"/>
      <c r="K22" s="12" t="s">
        <v>112</v>
      </c>
      <c r="L22" s="12" t="s">
        <v>112</v>
      </c>
      <c r="M22" s="12" t="s">
        <v>112</v>
      </c>
      <c r="N22" s="12" t="s">
        <v>112</v>
      </c>
      <c r="O22" s="12" t="s">
        <v>112</v>
      </c>
      <c r="P22" s="12" t="s">
        <v>112</v>
      </c>
      <c r="Q22" s="60"/>
      <c r="R22" s="12" t="s">
        <v>112</v>
      </c>
      <c r="S22" s="12" t="s">
        <v>112</v>
      </c>
      <c r="T22" s="12" t="s">
        <v>112</v>
      </c>
      <c r="U22" s="12" t="s">
        <v>112</v>
      </c>
      <c r="V22" s="12" t="s">
        <v>111</v>
      </c>
      <c r="W22" s="12" t="s">
        <v>111</v>
      </c>
      <c r="X22" s="60"/>
      <c r="Y22" s="12" t="s">
        <v>112</v>
      </c>
      <c r="Z22" s="12" t="s">
        <v>111</v>
      </c>
      <c r="AA22" s="12" t="s">
        <v>112</v>
      </c>
      <c r="AB22" s="12" t="s">
        <v>112</v>
      </c>
      <c r="AC22" s="12" t="s">
        <v>112</v>
      </c>
      <c r="AD22" s="12" t="s">
        <v>112</v>
      </c>
      <c r="AE22" s="60"/>
      <c r="AF22" s="12" t="s">
        <v>112</v>
      </c>
      <c r="AG22" s="12" t="s">
        <v>112</v>
      </c>
      <c r="AH22" s="12" t="s">
        <v>111</v>
      </c>
      <c r="AI22" s="12" t="s">
        <v>112</v>
      </c>
      <c r="AJ22" s="5">
        <f t="shared" si="1"/>
        <v>22</v>
      </c>
      <c r="AK22" s="5">
        <f t="shared" si="2"/>
        <v>5</v>
      </c>
    </row>
    <row r="23" spans="1:41" ht="16.5" x14ac:dyDescent="0.25">
      <c r="A23" s="6">
        <v>19</v>
      </c>
      <c r="B23" s="16" t="s">
        <v>260</v>
      </c>
      <c r="C23" s="17" t="s">
        <v>261</v>
      </c>
      <c r="D23" s="10" t="s">
        <v>230</v>
      </c>
      <c r="E23" s="26" t="s">
        <v>112</v>
      </c>
      <c r="F23" s="26" t="s">
        <v>112</v>
      </c>
      <c r="G23" s="26" t="s">
        <v>112</v>
      </c>
      <c r="H23" s="26" t="s">
        <v>112</v>
      </c>
      <c r="I23" s="26" t="s">
        <v>111</v>
      </c>
      <c r="J23" s="60"/>
      <c r="K23" s="12" t="s">
        <v>112</v>
      </c>
      <c r="L23" s="12" t="s">
        <v>112</v>
      </c>
      <c r="M23" s="12" t="s">
        <v>112</v>
      </c>
      <c r="N23" s="12" t="s">
        <v>112</v>
      </c>
      <c r="O23" s="12" t="s">
        <v>112</v>
      </c>
      <c r="P23" s="12" t="s">
        <v>111</v>
      </c>
      <c r="Q23" s="60"/>
      <c r="R23" s="12" t="s">
        <v>112</v>
      </c>
      <c r="S23" s="12" t="s">
        <v>112</v>
      </c>
      <c r="T23" s="12" t="s">
        <v>112</v>
      </c>
      <c r="U23" s="12" t="s">
        <v>112</v>
      </c>
      <c r="V23" s="12" t="s">
        <v>112</v>
      </c>
      <c r="W23" s="12" t="s">
        <v>112</v>
      </c>
      <c r="X23" s="60"/>
      <c r="Y23" s="12" t="s">
        <v>112</v>
      </c>
      <c r="Z23" s="12" t="s">
        <v>112</v>
      </c>
      <c r="AA23" s="12" t="s">
        <v>112</v>
      </c>
      <c r="AB23" s="12" t="s">
        <v>112</v>
      </c>
      <c r="AC23" s="12" t="s">
        <v>112</v>
      </c>
      <c r="AD23" s="12" t="s">
        <v>111</v>
      </c>
      <c r="AE23" s="60"/>
      <c r="AF23" s="12" t="s">
        <v>112</v>
      </c>
      <c r="AG23" s="12" t="s">
        <v>112</v>
      </c>
      <c r="AH23" s="12" t="s">
        <v>112</v>
      </c>
      <c r="AI23" s="12" t="s">
        <v>112</v>
      </c>
      <c r="AJ23" s="5">
        <f t="shared" si="1"/>
        <v>24</v>
      </c>
      <c r="AK23" s="5">
        <f t="shared" si="2"/>
        <v>3</v>
      </c>
    </row>
    <row r="24" spans="1:41" ht="16.5" x14ac:dyDescent="0.25">
      <c r="A24" s="13">
        <v>20</v>
      </c>
      <c r="B24" s="16" t="s">
        <v>262</v>
      </c>
      <c r="C24" s="17" t="s">
        <v>263</v>
      </c>
      <c r="D24" s="10" t="s">
        <v>230</v>
      </c>
      <c r="E24" s="26" t="s">
        <v>112</v>
      </c>
      <c r="F24" s="26" t="s">
        <v>112</v>
      </c>
      <c r="G24" s="26" t="s">
        <v>112</v>
      </c>
      <c r="H24" s="26" t="s">
        <v>112</v>
      </c>
      <c r="I24" s="26" t="s">
        <v>111</v>
      </c>
      <c r="J24" s="60"/>
      <c r="K24" s="12" t="s">
        <v>112</v>
      </c>
      <c r="L24" s="12" t="s">
        <v>112</v>
      </c>
      <c r="M24" s="12" t="s">
        <v>112</v>
      </c>
      <c r="N24" s="12" t="s">
        <v>112</v>
      </c>
      <c r="O24" s="12" t="s">
        <v>112</v>
      </c>
      <c r="P24" s="12" t="s">
        <v>112</v>
      </c>
      <c r="Q24" s="60"/>
      <c r="R24" s="12" t="s">
        <v>112</v>
      </c>
      <c r="S24" s="12" t="s">
        <v>112</v>
      </c>
      <c r="T24" s="12" t="s">
        <v>112</v>
      </c>
      <c r="U24" s="12" t="s">
        <v>112</v>
      </c>
      <c r="V24" s="12" t="s">
        <v>112</v>
      </c>
      <c r="W24" s="12" t="s">
        <v>111</v>
      </c>
      <c r="X24" s="60"/>
      <c r="Y24" s="12" t="s">
        <v>112</v>
      </c>
      <c r="Z24" s="12" t="s">
        <v>112</v>
      </c>
      <c r="AA24" s="12" t="s">
        <v>112</v>
      </c>
      <c r="AB24" s="12" t="s">
        <v>112</v>
      </c>
      <c r="AC24" s="12" t="s">
        <v>112</v>
      </c>
      <c r="AD24" s="12" t="s">
        <v>112</v>
      </c>
      <c r="AE24" s="60"/>
      <c r="AF24" s="12" t="s">
        <v>112</v>
      </c>
      <c r="AG24" s="12" t="s">
        <v>112</v>
      </c>
      <c r="AH24" s="12" t="s">
        <v>112</v>
      </c>
      <c r="AI24" s="12" t="s">
        <v>112</v>
      </c>
      <c r="AJ24" s="5">
        <f t="shared" si="1"/>
        <v>25</v>
      </c>
      <c r="AK24" s="5">
        <f t="shared" si="2"/>
        <v>2</v>
      </c>
    </row>
    <row r="25" spans="1:41" ht="16.5" x14ac:dyDescent="0.25">
      <c r="A25" s="6">
        <v>21</v>
      </c>
      <c r="B25" s="16" t="s">
        <v>262</v>
      </c>
      <c r="C25" s="17" t="s">
        <v>264</v>
      </c>
      <c r="D25" s="10" t="s">
        <v>230</v>
      </c>
      <c r="E25" s="26" t="s">
        <v>112</v>
      </c>
      <c r="F25" s="26" t="s">
        <v>112</v>
      </c>
      <c r="G25" s="26" t="s">
        <v>112</v>
      </c>
      <c r="H25" s="26" t="s">
        <v>112</v>
      </c>
      <c r="I25" s="26" t="s">
        <v>111</v>
      </c>
      <c r="J25" s="60"/>
      <c r="K25" s="12" t="s">
        <v>112</v>
      </c>
      <c r="L25" s="12" t="s">
        <v>112</v>
      </c>
      <c r="M25" s="12" t="s">
        <v>112</v>
      </c>
      <c r="N25" s="12" t="s">
        <v>112</v>
      </c>
      <c r="O25" s="12" t="s">
        <v>112</v>
      </c>
      <c r="P25" s="12" t="s">
        <v>111</v>
      </c>
      <c r="Q25" s="60"/>
      <c r="R25" s="12" t="s">
        <v>112</v>
      </c>
      <c r="S25" s="12" t="s">
        <v>112</v>
      </c>
      <c r="T25" s="12" t="s">
        <v>112</v>
      </c>
      <c r="U25" s="12" t="s">
        <v>112</v>
      </c>
      <c r="V25" s="12" t="s">
        <v>112</v>
      </c>
      <c r="W25" s="12" t="s">
        <v>112</v>
      </c>
      <c r="X25" s="60"/>
      <c r="Y25" s="12" t="s">
        <v>112</v>
      </c>
      <c r="Z25" s="12" t="s">
        <v>112</v>
      </c>
      <c r="AA25" s="12" t="s">
        <v>112</v>
      </c>
      <c r="AB25" s="12" t="s">
        <v>112</v>
      </c>
      <c r="AC25" s="12" t="s">
        <v>112</v>
      </c>
      <c r="AD25" s="12" t="s">
        <v>112</v>
      </c>
      <c r="AE25" s="60"/>
      <c r="AF25" s="12" t="s">
        <v>112</v>
      </c>
      <c r="AG25" s="12" t="s">
        <v>112</v>
      </c>
      <c r="AH25" s="12" t="s">
        <v>112</v>
      </c>
      <c r="AI25" s="12" t="s">
        <v>112</v>
      </c>
      <c r="AJ25" s="5">
        <f t="shared" si="1"/>
        <v>25</v>
      </c>
      <c r="AK25" s="5">
        <f t="shared" si="2"/>
        <v>2</v>
      </c>
    </row>
    <row r="26" spans="1:41" ht="16.5" x14ac:dyDescent="0.25">
      <c r="A26" s="13">
        <v>22</v>
      </c>
      <c r="B26" s="16" t="s">
        <v>265</v>
      </c>
      <c r="C26" s="17" t="s">
        <v>266</v>
      </c>
      <c r="D26" s="10" t="s">
        <v>230</v>
      </c>
      <c r="E26" s="26" t="s">
        <v>112</v>
      </c>
      <c r="F26" s="26" t="s">
        <v>111</v>
      </c>
      <c r="G26" s="26" t="s">
        <v>112</v>
      </c>
      <c r="H26" s="26" t="s">
        <v>112</v>
      </c>
      <c r="I26" s="26" t="s">
        <v>111</v>
      </c>
      <c r="J26" s="60"/>
      <c r="K26" s="12" t="s">
        <v>112</v>
      </c>
      <c r="L26" s="12" t="s">
        <v>112</v>
      </c>
      <c r="M26" s="12" t="s">
        <v>112</v>
      </c>
      <c r="N26" s="12" t="s">
        <v>112</v>
      </c>
      <c r="O26" s="12" t="s">
        <v>112</v>
      </c>
      <c r="P26" s="12" t="s">
        <v>112</v>
      </c>
      <c r="Q26" s="60"/>
      <c r="R26" s="12" t="s">
        <v>112</v>
      </c>
      <c r="S26" s="12" t="s">
        <v>112</v>
      </c>
      <c r="T26" s="12" t="s">
        <v>112</v>
      </c>
      <c r="U26" s="12" t="s">
        <v>112</v>
      </c>
      <c r="V26" s="12" t="s">
        <v>111</v>
      </c>
      <c r="W26" s="12" t="s">
        <v>112</v>
      </c>
      <c r="X26" s="60"/>
      <c r="Y26" s="12" t="s">
        <v>112</v>
      </c>
      <c r="Z26" s="12" t="s">
        <v>112</v>
      </c>
      <c r="AA26" s="12" t="s">
        <v>112</v>
      </c>
      <c r="AB26" s="12" t="s">
        <v>112</v>
      </c>
      <c r="AC26" s="12" t="s">
        <v>112</v>
      </c>
      <c r="AD26" s="12" t="s">
        <v>111</v>
      </c>
      <c r="AE26" s="60"/>
      <c r="AF26" s="12" t="s">
        <v>111</v>
      </c>
      <c r="AG26" s="12" t="s">
        <v>112</v>
      </c>
      <c r="AH26" s="12" t="s">
        <v>112</v>
      </c>
      <c r="AI26" s="12" t="s">
        <v>112</v>
      </c>
      <c r="AJ26" s="5">
        <f t="shared" si="1"/>
        <v>22</v>
      </c>
      <c r="AK26" s="5">
        <f t="shared" si="2"/>
        <v>5</v>
      </c>
    </row>
    <row r="27" spans="1:41" ht="16.5" x14ac:dyDescent="0.25">
      <c r="A27" s="6">
        <v>23</v>
      </c>
      <c r="B27" s="16" t="s">
        <v>267</v>
      </c>
      <c r="C27" s="17" t="s">
        <v>268</v>
      </c>
      <c r="D27" s="10" t="s">
        <v>230</v>
      </c>
      <c r="E27" s="26" t="s">
        <v>112</v>
      </c>
      <c r="F27" s="26" t="s">
        <v>112</v>
      </c>
      <c r="G27" s="26" t="s">
        <v>112</v>
      </c>
      <c r="H27" s="26" t="s">
        <v>112</v>
      </c>
      <c r="I27" s="26" t="s">
        <v>112</v>
      </c>
      <c r="J27" s="60"/>
      <c r="K27" s="12" t="s">
        <v>112</v>
      </c>
      <c r="L27" s="12" t="s">
        <v>112</v>
      </c>
      <c r="M27" s="12" t="s">
        <v>112</v>
      </c>
      <c r="N27" s="12" t="s">
        <v>112</v>
      </c>
      <c r="O27" s="12" t="s">
        <v>112</v>
      </c>
      <c r="P27" s="12" t="s">
        <v>112</v>
      </c>
      <c r="Q27" s="60"/>
      <c r="R27" s="12" t="s">
        <v>111</v>
      </c>
      <c r="S27" s="12" t="s">
        <v>112</v>
      </c>
      <c r="T27" s="12" t="s">
        <v>112</v>
      </c>
      <c r="U27" s="12" t="s">
        <v>112</v>
      </c>
      <c r="V27" s="12" t="s">
        <v>111</v>
      </c>
      <c r="W27" s="12" t="s">
        <v>111</v>
      </c>
      <c r="X27" s="60"/>
      <c r="Y27" s="12" t="s">
        <v>111</v>
      </c>
      <c r="Z27" s="12" t="s">
        <v>112</v>
      </c>
      <c r="AA27" s="12" t="s">
        <v>112</v>
      </c>
      <c r="AB27" s="12" t="s">
        <v>112</v>
      </c>
      <c r="AC27" s="12" t="s">
        <v>112</v>
      </c>
      <c r="AD27" s="12" t="s">
        <v>112</v>
      </c>
      <c r="AE27" s="60"/>
      <c r="AF27" s="12" t="s">
        <v>112</v>
      </c>
      <c r="AG27" s="12" t="s">
        <v>112</v>
      </c>
      <c r="AH27" s="12" t="s">
        <v>112</v>
      </c>
      <c r="AI27" s="12" t="s">
        <v>112</v>
      </c>
      <c r="AJ27" s="5">
        <f t="shared" si="1"/>
        <v>23</v>
      </c>
      <c r="AK27" s="5">
        <f t="shared" si="2"/>
        <v>4</v>
      </c>
    </row>
    <row r="28" spans="1:41" ht="16.5" x14ac:dyDescent="0.25">
      <c r="A28" s="13">
        <v>24</v>
      </c>
      <c r="B28" s="16" t="s">
        <v>269</v>
      </c>
      <c r="C28" s="17" t="s">
        <v>270</v>
      </c>
      <c r="D28" s="10" t="s">
        <v>230</v>
      </c>
      <c r="E28" s="26" t="s">
        <v>112</v>
      </c>
      <c r="F28" s="26" t="s">
        <v>112</v>
      </c>
      <c r="G28" s="26" t="s">
        <v>112</v>
      </c>
      <c r="H28" s="26" t="s">
        <v>112</v>
      </c>
      <c r="I28" s="26" t="s">
        <v>111</v>
      </c>
      <c r="J28" s="60"/>
      <c r="K28" s="12" t="s">
        <v>112</v>
      </c>
      <c r="L28" s="12" t="s">
        <v>112</v>
      </c>
      <c r="M28" s="12" t="s">
        <v>113</v>
      </c>
      <c r="N28" s="12" t="s">
        <v>113</v>
      </c>
      <c r="O28" s="12" t="s">
        <v>113</v>
      </c>
      <c r="P28" s="12" t="s">
        <v>113</v>
      </c>
      <c r="Q28" s="60"/>
      <c r="R28" s="12" t="s">
        <v>112</v>
      </c>
      <c r="S28" s="12" t="s">
        <v>112</v>
      </c>
      <c r="T28" s="12" t="s">
        <v>112</v>
      </c>
      <c r="U28" s="12" t="s">
        <v>112</v>
      </c>
      <c r="V28" s="12" t="s">
        <v>112</v>
      </c>
      <c r="W28" s="12" t="s">
        <v>112</v>
      </c>
      <c r="X28" s="60"/>
      <c r="Y28" s="12" t="s">
        <v>111</v>
      </c>
      <c r="Z28" s="12" t="s">
        <v>112</v>
      </c>
      <c r="AA28" s="12" t="s">
        <v>112</v>
      </c>
      <c r="AB28" s="12" t="s">
        <v>111</v>
      </c>
      <c r="AC28" s="12" t="s">
        <v>111</v>
      </c>
      <c r="AD28" s="12" t="s">
        <v>111</v>
      </c>
      <c r="AE28" s="60"/>
      <c r="AF28" s="12" t="s">
        <v>112</v>
      </c>
      <c r="AG28" s="12" t="s">
        <v>112</v>
      </c>
      <c r="AH28" s="12" t="s">
        <v>112</v>
      </c>
      <c r="AI28" s="12" t="s">
        <v>112</v>
      </c>
      <c r="AJ28" s="5">
        <f t="shared" si="1"/>
        <v>18</v>
      </c>
      <c r="AK28" s="5">
        <f t="shared" si="2"/>
        <v>5</v>
      </c>
    </row>
    <row r="29" spans="1:41" ht="16.5" customHeight="1" x14ac:dyDescent="0.25">
      <c r="A29" s="6">
        <v>1</v>
      </c>
      <c r="B29" s="16" t="s">
        <v>271</v>
      </c>
      <c r="C29" s="17" t="s">
        <v>264</v>
      </c>
      <c r="D29" s="10" t="s">
        <v>230</v>
      </c>
      <c r="E29" s="26" t="s">
        <v>112</v>
      </c>
      <c r="F29" s="26" t="s">
        <v>112</v>
      </c>
      <c r="G29" s="26" t="s">
        <v>112</v>
      </c>
      <c r="H29" s="26" t="s">
        <v>112</v>
      </c>
      <c r="I29" s="26" t="s">
        <v>111</v>
      </c>
      <c r="J29" s="60"/>
      <c r="K29" s="12" t="s">
        <v>112</v>
      </c>
      <c r="L29" s="12" t="s">
        <v>112</v>
      </c>
      <c r="M29" s="12" t="s">
        <v>112</v>
      </c>
      <c r="N29" s="12" t="s">
        <v>112</v>
      </c>
      <c r="O29" s="12" t="s">
        <v>112</v>
      </c>
      <c r="P29" s="12" t="s">
        <v>112</v>
      </c>
      <c r="Q29" s="60"/>
      <c r="R29" s="12" t="s">
        <v>112</v>
      </c>
      <c r="S29" s="12" t="s">
        <v>112</v>
      </c>
      <c r="T29" s="12" t="s">
        <v>112</v>
      </c>
      <c r="U29" s="12" t="s">
        <v>112</v>
      </c>
      <c r="V29" s="12" t="s">
        <v>112</v>
      </c>
      <c r="W29" s="12" t="s">
        <v>111</v>
      </c>
      <c r="X29" s="60"/>
      <c r="Y29" s="12" t="s">
        <v>112</v>
      </c>
      <c r="Z29" s="12" t="s">
        <v>112</v>
      </c>
      <c r="AA29" s="12" t="s">
        <v>112</v>
      </c>
      <c r="AB29" s="12" t="s">
        <v>112</v>
      </c>
      <c r="AC29" s="12" t="s">
        <v>112</v>
      </c>
      <c r="AD29" s="12" t="s">
        <v>111</v>
      </c>
      <c r="AE29" s="60"/>
      <c r="AF29" s="12" t="s">
        <v>112</v>
      </c>
      <c r="AG29" s="12" t="s">
        <v>112</v>
      </c>
      <c r="AH29" s="12" t="s">
        <v>112</v>
      </c>
      <c r="AI29" s="12" t="s">
        <v>112</v>
      </c>
      <c r="AJ29" s="5">
        <f t="shared" si="1"/>
        <v>24</v>
      </c>
      <c r="AK29" s="5">
        <f t="shared" si="2"/>
        <v>3</v>
      </c>
    </row>
    <row r="30" spans="1:41" ht="16.5" x14ac:dyDescent="0.25">
      <c r="A30" s="13">
        <v>2</v>
      </c>
      <c r="B30" s="16" t="s">
        <v>271</v>
      </c>
      <c r="C30" s="17" t="s">
        <v>272</v>
      </c>
      <c r="D30" s="10" t="s">
        <v>230</v>
      </c>
      <c r="E30" s="26" t="s">
        <v>112</v>
      </c>
      <c r="F30" s="26" t="s">
        <v>112</v>
      </c>
      <c r="G30" s="26" t="s">
        <v>112</v>
      </c>
      <c r="H30" s="26" t="s">
        <v>112</v>
      </c>
      <c r="I30" s="26" t="s">
        <v>111</v>
      </c>
      <c r="J30" s="60"/>
      <c r="K30" s="12" t="s">
        <v>112</v>
      </c>
      <c r="L30" s="12" t="s">
        <v>112</v>
      </c>
      <c r="M30" s="12" t="s">
        <v>112</v>
      </c>
      <c r="N30" s="12" t="s">
        <v>112</v>
      </c>
      <c r="O30" s="12" t="s">
        <v>112</v>
      </c>
      <c r="P30" s="12" t="s">
        <v>112</v>
      </c>
      <c r="Q30" s="60"/>
      <c r="R30" s="12" t="s">
        <v>112</v>
      </c>
      <c r="S30" s="12" t="s">
        <v>112</v>
      </c>
      <c r="T30" s="12" t="s">
        <v>112</v>
      </c>
      <c r="U30" s="12" t="s">
        <v>112</v>
      </c>
      <c r="V30" s="12" t="s">
        <v>113</v>
      </c>
      <c r="W30" s="12" t="s">
        <v>113</v>
      </c>
      <c r="X30" s="60"/>
      <c r="Y30" s="12" t="s">
        <v>112</v>
      </c>
      <c r="Z30" s="12" t="s">
        <v>112</v>
      </c>
      <c r="AA30" s="12" t="s">
        <v>112</v>
      </c>
      <c r="AB30" s="12" t="s">
        <v>112</v>
      </c>
      <c r="AC30" s="12" t="s">
        <v>111</v>
      </c>
      <c r="AD30" s="12" t="s">
        <v>112</v>
      </c>
      <c r="AE30" s="60"/>
      <c r="AF30" s="12" t="s">
        <v>112</v>
      </c>
      <c r="AG30" s="12" t="s">
        <v>112</v>
      </c>
      <c r="AH30" s="12" t="s">
        <v>112</v>
      </c>
      <c r="AI30" s="12" t="s">
        <v>111</v>
      </c>
      <c r="AJ30" s="5">
        <f t="shared" si="1"/>
        <v>22</v>
      </c>
      <c r="AK30" s="5">
        <f t="shared" si="2"/>
        <v>3</v>
      </c>
    </row>
    <row r="31" spans="1:41" ht="16.5" x14ac:dyDescent="0.25">
      <c r="A31" s="6">
        <v>3</v>
      </c>
      <c r="B31" s="16" t="s">
        <v>273</v>
      </c>
      <c r="C31" s="17" t="s">
        <v>274</v>
      </c>
      <c r="D31" s="10" t="s">
        <v>230</v>
      </c>
      <c r="E31" s="26" t="s">
        <v>112</v>
      </c>
      <c r="F31" s="26" t="s">
        <v>112</v>
      </c>
      <c r="G31" s="26" t="s">
        <v>112</v>
      </c>
      <c r="H31" s="26" t="s">
        <v>112</v>
      </c>
      <c r="I31" s="26" t="s">
        <v>111</v>
      </c>
      <c r="J31" s="60"/>
      <c r="K31" s="12" t="s">
        <v>112</v>
      </c>
      <c r="L31" s="12" t="s">
        <v>112</v>
      </c>
      <c r="M31" s="12" t="s">
        <v>112</v>
      </c>
      <c r="N31" s="12" t="s">
        <v>112</v>
      </c>
      <c r="O31" s="12" t="s">
        <v>112</v>
      </c>
      <c r="P31" s="12" t="s">
        <v>112</v>
      </c>
      <c r="Q31" s="60"/>
      <c r="R31" s="12" t="s">
        <v>112</v>
      </c>
      <c r="S31" s="12" t="s">
        <v>112</v>
      </c>
      <c r="T31" s="12" t="s">
        <v>112</v>
      </c>
      <c r="U31" s="12" t="s">
        <v>112</v>
      </c>
      <c r="V31" s="12" t="s">
        <v>112</v>
      </c>
      <c r="W31" s="12" t="s">
        <v>112</v>
      </c>
      <c r="X31" s="60"/>
      <c r="Y31" s="12" t="s">
        <v>112</v>
      </c>
      <c r="Z31" s="12" t="s">
        <v>111</v>
      </c>
      <c r="AA31" s="12" t="s">
        <v>111</v>
      </c>
      <c r="AB31" s="12" t="s">
        <v>111</v>
      </c>
      <c r="AC31" s="12" t="s">
        <v>111</v>
      </c>
      <c r="AD31" s="12" t="s">
        <v>112</v>
      </c>
      <c r="AE31" s="60"/>
      <c r="AF31" s="12" t="s">
        <v>112</v>
      </c>
      <c r="AG31" s="12" t="s">
        <v>112</v>
      </c>
      <c r="AH31" s="12" t="s">
        <v>112</v>
      </c>
      <c r="AI31" s="12" t="s">
        <v>112</v>
      </c>
      <c r="AJ31" s="5">
        <f t="shared" si="1"/>
        <v>22</v>
      </c>
      <c r="AK31" s="5">
        <f t="shared" si="2"/>
        <v>5</v>
      </c>
    </row>
    <row r="32" spans="1:41" ht="16.5" x14ac:dyDescent="0.25">
      <c r="A32" s="13">
        <v>4</v>
      </c>
      <c r="B32" s="16" t="s">
        <v>275</v>
      </c>
      <c r="C32" s="17" t="s">
        <v>276</v>
      </c>
      <c r="D32" s="10" t="s">
        <v>230</v>
      </c>
      <c r="E32" s="26" t="s">
        <v>112</v>
      </c>
      <c r="F32" s="26" t="s">
        <v>112</v>
      </c>
      <c r="G32" s="26" t="s">
        <v>111</v>
      </c>
      <c r="H32" s="26" t="s">
        <v>112</v>
      </c>
      <c r="I32" s="26" t="s">
        <v>112</v>
      </c>
      <c r="J32" s="60"/>
      <c r="K32" s="12" t="s">
        <v>111</v>
      </c>
      <c r="L32" s="12" t="s">
        <v>112</v>
      </c>
      <c r="M32" s="12" t="s">
        <v>112</v>
      </c>
      <c r="N32" s="12" t="s">
        <v>112</v>
      </c>
      <c r="O32" s="12" t="s">
        <v>112</v>
      </c>
      <c r="P32" s="12" t="s">
        <v>111</v>
      </c>
      <c r="Q32" s="60"/>
      <c r="R32" s="12" t="s">
        <v>111</v>
      </c>
      <c r="S32" s="12" t="s">
        <v>112</v>
      </c>
      <c r="T32" s="12" t="s">
        <v>112</v>
      </c>
      <c r="U32" s="12" t="s">
        <v>112</v>
      </c>
      <c r="V32" s="12" t="s">
        <v>111</v>
      </c>
      <c r="W32" s="12" t="s">
        <v>112</v>
      </c>
      <c r="X32" s="60"/>
      <c r="Y32" s="12" t="s">
        <v>112</v>
      </c>
      <c r="Z32" s="12" t="s">
        <v>112</v>
      </c>
      <c r="AA32" s="12" t="s">
        <v>112</v>
      </c>
      <c r="AB32" s="12" t="s">
        <v>112</v>
      </c>
      <c r="AC32" s="12" t="s">
        <v>111</v>
      </c>
      <c r="AD32" s="12" t="s">
        <v>112</v>
      </c>
      <c r="AE32" s="60"/>
      <c r="AF32" s="12" t="s">
        <v>111</v>
      </c>
      <c r="AG32" s="12" t="s">
        <v>111</v>
      </c>
      <c r="AH32" s="12" t="s">
        <v>111</v>
      </c>
      <c r="AI32" s="12" t="s">
        <v>112</v>
      </c>
      <c r="AJ32" s="5">
        <f t="shared" si="1"/>
        <v>18</v>
      </c>
      <c r="AK32" s="5">
        <f t="shared" si="2"/>
        <v>9</v>
      </c>
    </row>
    <row r="33" spans="1:37" ht="16.5" x14ac:dyDescent="0.25">
      <c r="A33" s="6">
        <v>5</v>
      </c>
      <c r="B33" s="16" t="s">
        <v>117</v>
      </c>
      <c r="C33" s="17" t="s">
        <v>277</v>
      </c>
      <c r="D33" s="10" t="s">
        <v>230</v>
      </c>
      <c r="E33" s="26" t="s">
        <v>112</v>
      </c>
      <c r="F33" s="26" t="s">
        <v>112</v>
      </c>
      <c r="G33" s="26" t="s">
        <v>112</v>
      </c>
      <c r="H33" s="26" t="s">
        <v>112</v>
      </c>
      <c r="I33" s="26" t="s">
        <v>112</v>
      </c>
      <c r="J33" s="60"/>
      <c r="K33" s="12" t="s">
        <v>112</v>
      </c>
      <c r="L33" s="12" t="s">
        <v>112</v>
      </c>
      <c r="M33" s="12" t="s">
        <v>112</v>
      </c>
      <c r="N33" s="12" t="s">
        <v>112</v>
      </c>
      <c r="O33" s="12" t="s">
        <v>112</v>
      </c>
      <c r="P33" s="12" t="s">
        <v>112</v>
      </c>
      <c r="Q33" s="60"/>
      <c r="R33" s="12" t="s">
        <v>112</v>
      </c>
      <c r="S33" s="12" t="s">
        <v>112</v>
      </c>
      <c r="T33" s="12" t="s">
        <v>112</v>
      </c>
      <c r="U33" s="12" t="s">
        <v>112</v>
      </c>
      <c r="V33" s="12" t="s">
        <v>112</v>
      </c>
      <c r="W33" s="12" t="s">
        <v>112</v>
      </c>
      <c r="X33" s="60"/>
      <c r="Y33" s="12" t="s">
        <v>112</v>
      </c>
      <c r="Z33" s="12" t="s">
        <v>112</v>
      </c>
      <c r="AA33" s="12" t="s">
        <v>112</v>
      </c>
      <c r="AB33" s="12" t="s">
        <v>112</v>
      </c>
      <c r="AC33" s="12" t="s">
        <v>112</v>
      </c>
      <c r="AD33" s="12" t="s">
        <v>111</v>
      </c>
      <c r="AE33" s="60"/>
      <c r="AF33" s="12" t="s">
        <v>112</v>
      </c>
      <c r="AG33" s="12" t="s">
        <v>112</v>
      </c>
      <c r="AH33" s="12" t="s">
        <v>112</v>
      </c>
      <c r="AI33" s="12" t="s">
        <v>112</v>
      </c>
      <c r="AJ33" s="5">
        <f t="shared" si="1"/>
        <v>26</v>
      </c>
      <c r="AK33" s="5">
        <f t="shared" si="2"/>
        <v>1</v>
      </c>
    </row>
    <row r="34" spans="1:37" ht="16.5" x14ac:dyDescent="0.25">
      <c r="A34" s="13">
        <v>6</v>
      </c>
      <c r="B34" s="16" t="s">
        <v>278</v>
      </c>
      <c r="C34" s="17" t="s">
        <v>279</v>
      </c>
      <c r="D34" s="10" t="s">
        <v>230</v>
      </c>
      <c r="E34" s="26" t="s">
        <v>112</v>
      </c>
      <c r="F34" s="26" t="s">
        <v>112</v>
      </c>
      <c r="G34" s="26" t="s">
        <v>112</v>
      </c>
      <c r="H34" s="26" t="s">
        <v>112</v>
      </c>
      <c r="I34" s="26" t="s">
        <v>111</v>
      </c>
      <c r="J34" s="60"/>
      <c r="K34" s="12" t="s">
        <v>112</v>
      </c>
      <c r="L34" s="12" t="s">
        <v>112</v>
      </c>
      <c r="M34" s="12" t="s">
        <v>112</v>
      </c>
      <c r="N34" s="12" t="s">
        <v>112</v>
      </c>
      <c r="O34" s="12" t="s">
        <v>112</v>
      </c>
      <c r="P34" s="12" t="s">
        <v>112</v>
      </c>
      <c r="Q34" s="60"/>
      <c r="R34" s="12" t="s">
        <v>112</v>
      </c>
      <c r="S34" s="12" t="s">
        <v>112</v>
      </c>
      <c r="T34" s="12" t="s">
        <v>112</v>
      </c>
      <c r="U34" s="12" t="s">
        <v>112</v>
      </c>
      <c r="V34" s="12" t="s">
        <v>112</v>
      </c>
      <c r="W34" s="12" t="s">
        <v>112</v>
      </c>
      <c r="X34" s="60"/>
      <c r="Y34" s="12" t="s">
        <v>112</v>
      </c>
      <c r="Z34" s="12" t="s">
        <v>112</v>
      </c>
      <c r="AA34" s="12" t="s">
        <v>112</v>
      </c>
      <c r="AB34" s="12" t="s">
        <v>112</v>
      </c>
      <c r="AC34" s="12" t="s">
        <v>112</v>
      </c>
      <c r="AD34" s="12" t="s">
        <v>112</v>
      </c>
      <c r="AE34" s="60"/>
      <c r="AF34" s="12" t="s">
        <v>111</v>
      </c>
      <c r="AG34" s="12" t="s">
        <v>111</v>
      </c>
      <c r="AH34" s="12" t="s">
        <v>112</v>
      </c>
      <c r="AI34" s="12" t="s">
        <v>112</v>
      </c>
      <c r="AJ34" s="5">
        <f t="shared" si="1"/>
        <v>24</v>
      </c>
      <c r="AK34" s="5">
        <f t="shared" si="2"/>
        <v>3</v>
      </c>
    </row>
    <row r="35" spans="1:37" ht="16.5" x14ac:dyDescent="0.25">
      <c r="A35" s="6">
        <v>7</v>
      </c>
      <c r="B35" s="16" t="s">
        <v>280</v>
      </c>
      <c r="C35" s="17" t="s">
        <v>281</v>
      </c>
      <c r="D35" s="10" t="s">
        <v>230</v>
      </c>
      <c r="E35" s="26" t="s">
        <v>112</v>
      </c>
      <c r="F35" s="26" t="s">
        <v>112</v>
      </c>
      <c r="G35" s="26" t="s">
        <v>112</v>
      </c>
      <c r="H35" s="26" t="s">
        <v>112</v>
      </c>
      <c r="I35" s="26" t="s">
        <v>111</v>
      </c>
      <c r="J35" s="60"/>
      <c r="K35" s="12" t="s">
        <v>112</v>
      </c>
      <c r="L35" s="12" t="s">
        <v>112</v>
      </c>
      <c r="M35" s="12" t="s">
        <v>112</v>
      </c>
      <c r="N35" s="12" t="s">
        <v>112</v>
      </c>
      <c r="O35" s="12" t="s">
        <v>112</v>
      </c>
      <c r="P35" s="12" t="s">
        <v>111</v>
      </c>
      <c r="Q35" s="60"/>
      <c r="R35" s="12" t="s">
        <v>112</v>
      </c>
      <c r="S35" s="12" t="s">
        <v>112</v>
      </c>
      <c r="T35" s="12" t="s">
        <v>112</v>
      </c>
      <c r="U35" s="12" t="s">
        <v>112</v>
      </c>
      <c r="V35" s="12" t="s">
        <v>112</v>
      </c>
      <c r="W35" s="12" t="s">
        <v>112</v>
      </c>
      <c r="X35" s="60"/>
      <c r="Y35" s="12" t="s">
        <v>112</v>
      </c>
      <c r="Z35" s="12" t="s">
        <v>112</v>
      </c>
      <c r="AA35" s="12" t="s">
        <v>112</v>
      </c>
      <c r="AB35" s="12" t="s">
        <v>112</v>
      </c>
      <c r="AC35" s="12" t="s">
        <v>112</v>
      </c>
      <c r="AD35" s="12" t="s">
        <v>112</v>
      </c>
      <c r="AE35" s="60"/>
      <c r="AF35" s="12" t="s">
        <v>112</v>
      </c>
      <c r="AG35" s="12" t="s">
        <v>112</v>
      </c>
      <c r="AH35" s="12" t="s">
        <v>112</v>
      </c>
      <c r="AI35" s="12" t="s">
        <v>111</v>
      </c>
      <c r="AJ35" s="5">
        <f t="shared" si="1"/>
        <v>24</v>
      </c>
      <c r="AK35" s="5">
        <f t="shared" si="2"/>
        <v>3</v>
      </c>
    </row>
    <row r="36" spans="1:37" ht="16.5" x14ac:dyDescent="0.25">
      <c r="A36" s="13">
        <v>8</v>
      </c>
      <c r="B36" s="16" t="s">
        <v>282</v>
      </c>
      <c r="C36" s="17" t="s">
        <v>283</v>
      </c>
      <c r="D36" s="10" t="s">
        <v>230</v>
      </c>
      <c r="E36" s="26" t="s">
        <v>112</v>
      </c>
      <c r="F36" s="26" t="s">
        <v>112</v>
      </c>
      <c r="G36" s="26" t="s">
        <v>112</v>
      </c>
      <c r="H36" s="26" t="s">
        <v>112</v>
      </c>
      <c r="I36" s="26" t="s">
        <v>112</v>
      </c>
      <c r="J36" s="60"/>
      <c r="K36" s="12" t="s">
        <v>112</v>
      </c>
      <c r="L36" s="12" t="s">
        <v>112</v>
      </c>
      <c r="M36" s="12" t="s">
        <v>112</v>
      </c>
      <c r="N36" s="12" t="s">
        <v>112</v>
      </c>
      <c r="O36" s="12" t="s">
        <v>112</v>
      </c>
      <c r="P36" s="12" t="s">
        <v>113</v>
      </c>
      <c r="Q36" s="60"/>
      <c r="R36" s="12" t="s">
        <v>113</v>
      </c>
      <c r="S36" s="12" t="s">
        <v>113</v>
      </c>
      <c r="T36" s="12" t="s">
        <v>112</v>
      </c>
      <c r="U36" s="12" t="s">
        <v>112</v>
      </c>
      <c r="V36" s="12" t="s">
        <v>112</v>
      </c>
      <c r="W36" s="12" t="s">
        <v>112</v>
      </c>
      <c r="X36" s="60"/>
      <c r="Y36" s="12" t="s">
        <v>112</v>
      </c>
      <c r="Z36" s="12" t="s">
        <v>112</v>
      </c>
      <c r="AA36" s="12" t="s">
        <v>112</v>
      </c>
      <c r="AB36" s="12" t="s">
        <v>111</v>
      </c>
      <c r="AC36" s="12" t="s">
        <v>112</v>
      </c>
      <c r="AD36" s="12" t="s">
        <v>112</v>
      </c>
      <c r="AE36" s="60"/>
      <c r="AF36" s="12" t="s">
        <v>112</v>
      </c>
      <c r="AG36" s="12" t="s">
        <v>112</v>
      </c>
      <c r="AH36" s="12" t="s">
        <v>112</v>
      </c>
      <c r="AI36" s="12" t="s">
        <v>112</v>
      </c>
      <c r="AJ36" s="5">
        <f t="shared" si="1"/>
        <v>23</v>
      </c>
      <c r="AK36" s="5">
        <f t="shared" si="2"/>
        <v>1</v>
      </c>
    </row>
    <row r="37" spans="1:37" ht="16.5" x14ac:dyDescent="0.25">
      <c r="A37" s="6">
        <v>9</v>
      </c>
      <c r="B37" s="16" t="s">
        <v>96</v>
      </c>
      <c r="C37" s="17" t="s">
        <v>284</v>
      </c>
      <c r="D37" s="10" t="s">
        <v>230</v>
      </c>
      <c r="E37" s="26" t="s">
        <v>112</v>
      </c>
      <c r="F37" s="26" t="s">
        <v>112</v>
      </c>
      <c r="G37" s="26" t="s">
        <v>112</v>
      </c>
      <c r="H37" s="26" t="s">
        <v>112</v>
      </c>
      <c r="I37" s="26" t="s">
        <v>111</v>
      </c>
      <c r="J37" s="60"/>
      <c r="K37" s="12" t="s">
        <v>112</v>
      </c>
      <c r="L37" s="12" t="s">
        <v>112</v>
      </c>
      <c r="M37" s="12" t="s">
        <v>112</v>
      </c>
      <c r="N37" s="12" t="s">
        <v>112</v>
      </c>
      <c r="O37" s="12" t="s">
        <v>112</v>
      </c>
      <c r="P37" s="12" t="s">
        <v>112</v>
      </c>
      <c r="Q37" s="60"/>
      <c r="R37" s="12" t="s">
        <v>112</v>
      </c>
      <c r="S37" s="12" t="s">
        <v>112</v>
      </c>
      <c r="T37" s="12" t="s">
        <v>112</v>
      </c>
      <c r="U37" s="12" t="s">
        <v>112</v>
      </c>
      <c r="V37" s="12" t="s">
        <v>112</v>
      </c>
      <c r="W37" s="12" t="s">
        <v>112</v>
      </c>
      <c r="X37" s="60"/>
      <c r="Y37" s="12" t="s">
        <v>112</v>
      </c>
      <c r="Z37" s="12" t="s">
        <v>112</v>
      </c>
      <c r="AA37" s="12" t="s">
        <v>112</v>
      </c>
      <c r="AB37" s="12" t="s">
        <v>112</v>
      </c>
      <c r="AC37" s="12" t="s">
        <v>112</v>
      </c>
      <c r="AD37" s="12" t="s">
        <v>112</v>
      </c>
      <c r="AE37" s="60"/>
      <c r="AF37" s="12" t="s">
        <v>112</v>
      </c>
      <c r="AG37" s="12" t="s">
        <v>112</v>
      </c>
      <c r="AH37" s="12" t="s">
        <v>112</v>
      </c>
      <c r="AI37" s="12" t="s">
        <v>112</v>
      </c>
      <c r="AJ37" s="5">
        <f t="shared" si="1"/>
        <v>26</v>
      </c>
      <c r="AK37" s="5">
        <f t="shared" si="2"/>
        <v>1</v>
      </c>
    </row>
    <row r="38" spans="1:37" ht="16.5" x14ac:dyDescent="0.25">
      <c r="A38" s="13">
        <v>10</v>
      </c>
      <c r="B38" s="16" t="s">
        <v>285</v>
      </c>
      <c r="C38" s="17" t="s">
        <v>286</v>
      </c>
      <c r="D38" s="10" t="s">
        <v>230</v>
      </c>
      <c r="E38" s="26" t="s">
        <v>112</v>
      </c>
      <c r="F38" s="26" t="s">
        <v>112</v>
      </c>
      <c r="G38" s="26" t="s">
        <v>112</v>
      </c>
      <c r="H38" s="26" t="s">
        <v>112</v>
      </c>
      <c r="I38" s="26" t="s">
        <v>111</v>
      </c>
      <c r="J38" s="60"/>
      <c r="K38" s="12" t="s">
        <v>112</v>
      </c>
      <c r="L38" s="12" t="s">
        <v>112</v>
      </c>
      <c r="M38" s="12" t="s">
        <v>112</v>
      </c>
      <c r="N38" s="12" t="s">
        <v>112</v>
      </c>
      <c r="O38" s="12" t="s">
        <v>112</v>
      </c>
      <c r="P38" s="12" t="s">
        <v>112</v>
      </c>
      <c r="Q38" s="60"/>
      <c r="R38" s="12" t="s">
        <v>112</v>
      </c>
      <c r="S38" s="12" t="s">
        <v>112</v>
      </c>
      <c r="T38" s="12" t="s">
        <v>112</v>
      </c>
      <c r="U38" s="12" t="s">
        <v>112</v>
      </c>
      <c r="V38" s="12" t="s">
        <v>112</v>
      </c>
      <c r="W38" s="12" t="s">
        <v>112</v>
      </c>
      <c r="X38" s="60"/>
      <c r="Y38" s="12" t="s">
        <v>112</v>
      </c>
      <c r="Z38" s="12" t="s">
        <v>112</v>
      </c>
      <c r="AA38" s="12" t="s">
        <v>112</v>
      </c>
      <c r="AB38" s="12" t="s">
        <v>112</v>
      </c>
      <c r="AC38" s="12" t="s">
        <v>112</v>
      </c>
      <c r="AD38" s="12" t="s">
        <v>112</v>
      </c>
      <c r="AE38" s="60"/>
      <c r="AF38" s="12" t="s">
        <v>112</v>
      </c>
      <c r="AG38" s="12" t="s">
        <v>112</v>
      </c>
      <c r="AH38" s="12" t="s">
        <v>112</v>
      </c>
      <c r="AI38" s="12" t="s">
        <v>112</v>
      </c>
      <c r="AJ38" s="5">
        <f t="shared" si="1"/>
        <v>26</v>
      </c>
      <c r="AK38" s="5">
        <f t="shared" si="2"/>
        <v>1</v>
      </c>
    </row>
    <row r="39" spans="1:37" ht="16.5" x14ac:dyDescent="0.25">
      <c r="A39" s="6">
        <v>11</v>
      </c>
      <c r="B39" s="16" t="s">
        <v>287</v>
      </c>
      <c r="C39" s="17" t="s">
        <v>288</v>
      </c>
      <c r="D39" s="10" t="s">
        <v>230</v>
      </c>
      <c r="E39" s="26" t="s">
        <v>112</v>
      </c>
      <c r="F39" s="26" t="s">
        <v>112</v>
      </c>
      <c r="G39" s="26" t="s">
        <v>112</v>
      </c>
      <c r="H39" s="26" t="s">
        <v>111</v>
      </c>
      <c r="I39" s="26" t="s">
        <v>111</v>
      </c>
      <c r="J39" s="60"/>
      <c r="K39" s="12" t="s">
        <v>112</v>
      </c>
      <c r="L39" s="12" t="s">
        <v>111</v>
      </c>
      <c r="M39" s="12" t="s">
        <v>112</v>
      </c>
      <c r="N39" s="12" t="s">
        <v>112</v>
      </c>
      <c r="O39" s="12" t="s">
        <v>112</v>
      </c>
      <c r="P39" s="12" t="s">
        <v>113</v>
      </c>
      <c r="Q39" s="60"/>
      <c r="R39" s="12" t="s">
        <v>113</v>
      </c>
      <c r="S39" s="12" t="s">
        <v>112</v>
      </c>
      <c r="T39" s="12" t="s">
        <v>112</v>
      </c>
      <c r="U39" s="12" t="s">
        <v>112</v>
      </c>
      <c r="V39" s="12" t="s">
        <v>112</v>
      </c>
      <c r="W39" s="12" t="s">
        <v>111</v>
      </c>
      <c r="X39" s="60"/>
      <c r="Y39" s="12" t="s">
        <v>112</v>
      </c>
      <c r="Z39" s="12" t="s">
        <v>112</v>
      </c>
      <c r="AA39" s="12" t="s">
        <v>112</v>
      </c>
      <c r="AB39" s="12" t="s">
        <v>112</v>
      </c>
      <c r="AC39" s="12" t="s">
        <v>112</v>
      </c>
      <c r="AD39" s="12" t="s">
        <v>111</v>
      </c>
      <c r="AE39" s="60"/>
      <c r="AF39" s="12" t="s">
        <v>112</v>
      </c>
      <c r="AG39" s="12" t="s">
        <v>112</v>
      </c>
      <c r="AH39" s="12" t="s">
        <v>112</v>
      </c>
      <c r="AI39" s="12" t="s">
        <v>112</v>
      </c>
      <c r="AJ39" s="5">
        <f t="shared" si="1"/>
        <v>20</v>
      </c>
      <c r="AK39" s="5">
        <f t="shared" si="2"/>
        <v>5</v>
      </c>
    </row>
    <row r="40" spans="1:37" ht="16.5" x14ac:dyDescent="0.25">
      <c r="A40" s="13">
        <v>12</v>
      </c>
      <c r="B40" s="16" t="s">
        <v>289</v>
      </c>
      <c r="C40" s="17" t="s">
        <v>290</v>
      </c>
      <c r="D40" s="10" t="s">
        <v>230</v>
      </c>
      <c r="E40" s="26" t="s">
        <v>112</v>
      </c>
      <c r="F40" s="26" t="s">
        <v>112</v>
      </c>
      <c r="G40" s="26" t="s">
        <v>112</v>
      </c>
      <c r="H40" s="26" t="s">
        <v>112</v>
      </c>
      <c r="I40" s="26" t="s">
        <v>111</v>
      </c>
      <c r="J40" s="60"/>
      <c r="K40" s="12" t="s">
        <v>112</v>
      </c>
      <c r="L40" s="12" t="s">
        <v>112</v>
      </c>
      <c r="M40" s="12" t="s">
        <v>112</v>
      </c>
      <c r="N40" s="12" t="s">
        <v>112</v>
      </c>
      <c r="O40" s="12" t="s">
        <v>112</v>
      </c>
      <c r="P40" s="12" t="s">
        <v>112</v>
      </c>
      <c r="Q40" s="60"/>
      <c r="R40" s="12" t="s">
        <v>112</v>
      </c>
      <c r="S40" s="12" t="s">
        <v>112</v>
      </c>
      <c r="T40" s="12" t="s">
        <v>112</v>
      </c>
      <c r="U40" s="12" t="s">
        <v>112</v>
      </c>
      <c r="V40" s="12" t="s">
        <v>112</v>
      </c>
      <c r="W40" s="12" t="s">
        <v>112</v>
      </c>
      <c r="X40" s="60"/>
      <c r="Y40" s="12" t="s">
        <v>112</v>
      </c>
      <c r="Z40" s="12" t="s">
        <v>112</v>
      </c>
      <c r="AA40" s="12" t="s">
        <v>112</v>
      </c>
      <c r="AB40" s="12" t="s">
        <v>112</v>
      </c>
      <c r="AC40" s="12" t="s">
        <v>112</v>
      </c>
      <c r="AD40" s="12" t="s">
        <v>112</v>
      </c>
      <c r="AE40" s="60"/>
      <c r="AF40" s="12" t="s">
        <v>112</v>
      </c>
      <c r="AG40" s="12" t="s">
        <v>111</v>
      </c>
      <c r="AH40" s="12" t="s">
        <v>111</v>
      </c>
      <c r="AI40" s="12" t="s">
        <v>112</v>
      </c>
      <c r="AJ40" s="5">
        <f t="shared" si="1"/>
        <v>24</v>
      </c>
      <c r="AK40" s="5">
        <f t="shared" si="2"/>
        <v>3</v>
      </c>
    </row>
    <row r="41" spans="1:37" ht="16.5" x14ac:dyDescent="0.25">
      <c r="A41" s="6">
        <v>13</v>
      </c>
      <c r="B41" s="16" t="s">
        <v>289</v>
      </c>
      <c r="C41" s="17" t="s">
        <v>209</v>
      </c>
      <c r="D41" s="10" t="s">
        <v>230</v>
      </c>
      <c r="E41" s="26" t="s">
        <v>112</v>
      </c>
      <c r="F41" s="26" t="s">
        <v>112</v>
      </c>
      <c r="G41" s="26" t="s">
        <v>112</v>
      </c>
      <c r="H41" s="26" t="s">
        <v>112</v>
      </c>
      <c r="I41" s="26" t="s">
        <v>112</v>
      </c>
      <c r="J41" s="60"/>
      <c r="K41" s="12" t="s">
        <v>112</v>
      </c>
      <c r="L41" s="12" t="s">
        <v>112</v>
      </c>
      <c r="M41" s="12" t="s">
        <v>112</v>
      </c>
      <c r="N41" s="12" t="s">
        <v>113</v>
      </c>
      <c r="O41" s="12" t="s">
        <v>113</v>
      </c>
      <c r="P41" s="12" t="s">
        <v>112</v>
      </c>
      <c r="Q41" s="60"/>
      <c r="R41" s="12" t="s">
        <v>112</v>
      </c>
      <c r="S41" s="12" t="s">
        <v>112</v>
      </c>
      <c r="T41" s="12" t="s">
        <v>112</v>
      </c>
      <c r="U41" s="12" t="s">
        <v>112</v>
      </c>
      <c r="V41" s="12" t="s">
        <v>112</v>
      </c>
      <c r="W41" s="12" t="s">
        <v>112</v>
      </c>
      <c r="X41" s="60"/>
      <c r="Y41" s="12" t="s">
        <v>112</v>
      </c>
      <c r="Z41" s="12" t="s">
        <v>112</v>
      </c>
      <c r="AA41" s="12" t="s">
        <v>112</v>
      </c>
      <c r="AB41" s="12" t="s">
        <v>112</v>
      </c>
      <c r="AC41" s="12" t="s">
        <v>112</v>
      </c>
      <c r="AD41" s="12" t="s">
        <v>112</v>
      </c>
      <c r="AE41" s="60"/>
      <c r="AF41" s="12" t="s">
        <v>112</v>
      </c>
      <c r="AG41" s="12" t="s">
        <v>112</v>
      </c>
      <c r="AH41" s="12" t="s">
        <v>112</v>
      </c>
      <c r="AI41" s="12" t="s">
        <v>112</v>
      </c>
      <c r="AJ41" s="5">
        <f t="shared" si="1"/>
        <v>25</v>
      </c>
      <c r="AK41" s="5">
        <f t="shared" si="2"/>
        <v>0</v>
      </c>
    </row>
    <row r="42" spans="1:37" ht="16.5" x14ac:dyDescent="0.25">
      <c r="A42" s="13">
        <v>14</v>
      </c>
      <c r="B42" s="16" t="s">
        <v>197</v>
      </c>
      <c r="C42" s="17" t="s">
        <v>291</v>
      </c>
      <c r="D42" s="10" t="s">
        <v>230</v>
      </c>
      <c r="E42" s="26" t="s">
        <v>112</v>
      </c>
      <c r="F42" s="26" t="s">
        <v>112</v>
      </c>
      <c r="G42" s="26" t="s">
        <v>112</v>
      </c>
      <c r="H42" s="26" t="s">
        <v>112</v>
      </c>
      <c r="I42" s="26" t="s">
        <v>111</v>
      </c>
      <c r="J42" s="60"/>
      <c r="K42" s="12" t="s">
        <v>112</v>
      </c>
      <c r="L42" s="12" t="s">
        <v>112</v>
      </c>
      <c r="M42" s="12" t="s">
        <v>112</v>
      </c>
      <c r="N42" s="12" t="s">
        <v>112</v>
      </c>
      <c r="O42" s="12" t="s">
        <v>112</v>
      </c>
      <c r="P42" s="12" t="s">
        <v>112</v>
      </c>
      <c r="Q42" s="60"/>
      <c r="R42" s="12" t="s">
        <v>112</v>
      </c>
      <c r="S42" s="12" t="s">
        <v>112</v>
      </c>
      <c r="T42" s="12" t="s">
        <v>112</v>
      </c>
      <c r="U42" s="12" t="s">
        <v>112</v>
      </c>
      <c r="V42" s="12" t="s">
        <v>112</v>
      </c>
      <c r="W42" s="12" t="s">
        <v>112</v>
      </c>
      <c r="X42" s="60"/>
      <c r="Y42" s="12" t="s">
        <v>112</v>
      </c>
      <c r="Z42" s="12" t="s">
        <v>112</v>
      </c>
      <c r="AA42" s="12" t="s">
        <v>112</v>
      </c>
      <c r="AB42" s="12" t="s">
        <v>112</v>
      </c>
      <c r="AC42" s="12" t="s">
        <v>112</v>
      </c>
      <c r="AD42" s="12" t="s">
        <v>112</v>
      </c>
      <c r="AE42" s="60"/>
      <c r="AF42" s="12" t="s">
        <v>112</v>
      </c>
      <c r="AG42" s="12" t="s">
        <v>112</v>
      </c>
      <c r="AH42" s="12" t="s">
        <v>112</v>
      </c>
      <c r="AI42" s="12" t="s">
        <v>112</v>
      </c>
      <c r="AJ42" s="5">
        <f t="shared" si="1"/>
        <v>26</v>
      </c>
      <c r="AK42" s="5">
        <f t="shared" si="2"/>
        <v>1</v>
      </c>
    </row>
    <row r="43" spans="1:37" ht="16.5" x14ac:dyDescent="0.25">
      <c r="A43" s="6">
        <v>15</v>
      </c>
      <c r="B43" s="16" t="s">
        <v>292</v>
      </c>
      <c r="C43" s="17" t="s">
        <v>293</v>
      </c>
      <c r="D43" s="10" t="s">
        <v>230</v>
      </c>
      <c r="E43" s="26" t="s">
        <v>112</v>
      </c>
      <c r="F43" s="26" t="s">
        <v>112</v>
      </c>
      <c r="G43" s="26" t="s">
        <v>112</v>
      </c>
      <c r="H43" s="26" t="s">
        <v>112</v>
      </c>
      <c r="I43" s="26" t="s">
        <v>112</v>
      </c>
      <c r="J43" s="60"/>
      <c r="K43" s="12" t="s">
        <v>112</v>
      </c>
      <c r="L43" s="12" t="s">
        <v>112</v>
      </c>
      <c r="M43" s="12" t="s">
        <v>112</v>
      </c>
      <c r="N43" s="12" t="s">
        <v>112</v>
      </c>
      <c r="O43" s="12" t="s">
        <v>112</v>
      </c>
      <c r="P43" s="12" t="s">
        <v>112</v>
      </c>
      <c r="Q43" s="60"/>
      <c r="R43" s="12" t="s">
        <v>112</v>
      </c>
      <c r="S43" s="12" t="s">
        <v>112</v>
      </c>
      <c r="T43" s="12" t="s">
        <v>112</v>
      </c>
      <c r="U43" s="12" t="s">
        <v>112</v>
      </c>
      <c r="V43" s="12" t="s">
        <v>112</v>
      </c>
      <c r="W43" s="12" t="s">
        <v>112</v>
      </c>
      <c r="X43" s="60"/>
      <c r="Y43" s="12" t="s">
        <v>112</v>
      </c>
      <c r="Z43" s="12" t="s">
        <v>112</v>
      </c>
      <c r="AA43" s="12" t="s">
        <v>112</v>
      </c>
      <c r="AB43" s="12" t="s">
        <v>112</v>
      </c>
      <c r="AC43" s="12" t="s">
        <v>112</v>
      </c>
      <c r="AD43" s="12" t="s">
        <v>112</v>
      </c>
      <c r="AE43" s="60"/>
      <c r="AF43" s="12" t="s">
        <v>112</v>
      </c>
      <c r="AG43" s="12" t="s">
        <v>112</v>
      </c>
      <c r="AH43" s="12" t="s">
        <v>112</v>
      </c>
      <c r="AI43" s="12" t="s">
        <v>112</v>
      </c>
      <c r="AJ43" s="5">
        <f t="shared" si="1"/>
        <v>27</v>
      </c>
      <c r="AK43" s="5">
        <f t="shared" si="2"/>
        <v>0</v>
      </c>
    </row>
    <row r="44" spans="1:37" ht="16.5" x14ac:dyDescent="0.25">
      <c r="A44" s="13">
        <v>16</v>
      </c>
      <c r="B44" s="16" t="s">
        <v>294</v>
      </c>
      <c r="C44" s="17" t="s">
        <v>295</v>
      </c>
      <c r="D44" s="10" t="s">
        <v>230</v>
      </c>
      <c r="E44" s="26" t="s">
        <v>112</v>
      </c>
      <c r="F44" s="26" t="s">
        <v>112</v>
      </c>
      <c r="G44" s="26" t="s">
        <v>112</v>
      </c>
      <c r="H44" s="26" t="s">
        <v>112</v>
      </c>
      <c r="I44" s="26" t="s">
        <v>111</v>
      </c>
      <c r="J44" s="60"/>
      <c r="K44" s="12" t="s">
        <v>112</v>
      </c>
      <c r="L44" s="12" t="s">
        <v>111</v>
      </c>
      <c r="M44" s="12" t="s">
        <v>111</v>
      </c>
      <c r="N44" s="12" t="s">
        <v>112</v>
      </c>
      <c r="O44" s="12" t="s">
        <v>112</v>
      </c>
      <c r="P44" s="12" t="s">
        <v>112</v>
      </c>
      <c r="Q44" s="60"/>
      <c r="R44" s="12" t="s">
        <v>111</v>
      </c>
      <c r="S44" s="12" t="s">
        <v>112</v>
      </c>
      <c r="T44" s="12" t="s">
        <v>112</v>
      </c>
      <c r="U44" s="12" t="s">
        <v>112</v>
      </c>
      <c r="V44" s="12" t="s">
        <v>112</v>
      </c>
      <c r="W44" s="12" t="s">
        <v>112</v>
      </c>
      <c r="X44" s="60"/>
      <c r="Y44" s="12" t="s">
        <v>112</v>
      </c>
      <c r="Z44" s="12" t="s">
        <v>112</v>
      </c>
      <c r="AA44" s="12" t="s">
        <v>112</v>
      </c>
      <c r="AB44" s="12" t="s">
        <v>111</v>
      </c>
      <c r="AC44" s="12" t="s">
        <v>112</v>
      </c>
      <c r="AD44" s="12" t="s">
        <v>112</v>
      </c>
      <c r="AE44" s="60"/>
      <c r="AF44" s="12" t="s">
        <v>112</v>
      </c>
      <c r="AG44" s="12" t="s">
        <v>112</v>
      </c>
      <c r="AH44" s="12" t="s">
        <v>112</v>
      </c>
      <c r="AI44" s="12" t="s">
        <v>112</v>
      </c>
      <c r="AJ44" s="5">
        <f t="shared" si="1"/>
        <v>22</v>
      </c>
      <c r="AK44" s="5">
        <f t="shared" si="2"/>
        <v>5</v>
      </c>
    </row>
    <row r="45" spans="1:37" ht="16.5" x14ac:dyDescent="0.25">
      <c r="A45" s="6">
        <v>17</v>
      </c>
      <c r="B45" s="16" t="s">
        <v>296</v>
      </c>
      <c r="C45" s="17" t="s">
        <v>233</v>
      </c>
      <c r="D45" s="10" t="s">
        <v>230</v>
      </c>
      <c r="E45" s="26" t="s">
        <v>112</v>
      </c>
      <c r="F45" s="26" t="s">
        <v>112</v>
      </c>
      <c r="G45" s="26" t="s">
        <v>111</v>
      </c>
      <c r="H45" s="26" t="s">
        <v>112</v>
      </c>
      <c r="I45" s="26" t="s">
        <v>111</v>
      </c>
      <c r="J45" s="60"/>
      <c r="K45" s="12" t="s">
        <v>112</v>
      </c>
      <c r="L45" s="12" t="s">
        <v>112</v>
      </c>
      <c r="M45" s="12" t="s">
        <v>112</v>
      </c>
      <c r="N45" s="12" t="s">
        <v>112</v>
      </c>
      <c r="O45" s="12" t="s">
        <v>112</v>
      </c>
      <c r="P45" s="12" t="s">
        <v>111</v>
      </c>
      <c r="Q45" s="60"/>
      <c r="R45" s="12" t="s">
        <v>112</v>
      </c>
      <c r="S45" s="12" t="s">
        <v>112</v>
      </c>
      <c r="T45" s="12" t="s">
        <v>112</v>
      </c>
      <c r="U45" s="12" t="s">
        <v>112</v>
      </c>
      <c r="V45" s="12" t="s">
        <v>112</v>
      </c>
      <c r="W45" s="12" t="s">
        <v>112</v>
      </c>
      <c r="X45" s="60"/>
      <c r="Y45" s="12" t="s">
        <v>111</v>
      </c>
      <c r="Z45" s="12" t="s">
        <v>112</v>
      </c>
      <c r="AA45" s="12" t="s">
        <v>112</v>
      </c>
      <c r="AB45" s="12" t="s">
        <v>112</v>
      </c>
      <c r="AC45" s="12" t="s">
        <v>111</v>
      </c>
      <c r="AD45" s="12" t="s">
        <v>112</v>
      </c>
      <c r="AE45" s="60"/>
      <c r="AF45" s="12" t="s">
        <v>112</v>
      </c>
      <c r="AG45" s="12" t="s">
        <v>112</v>
      </c>
      <c r="AH45" s="12" t="s">
        <v>112</v>
      </c>
      <c r="AI45" s="12" t="s">
        <v>111</v>
      </c>
      <c r="AJ45" s="5">
        <f t="shared" si="1"/>
        <v>21</v>
      </c>
      <c r="AK45" s="5">
        <f t="shared" si="2"/>
        <v>6</v>
      </c>
    </row>
    <row r="46" spans="1:37" ht="16.5" x14ac:dyDescent="0.25">
      <c r="A46" s="13">
        <v>18</v>
      </c>
      <c r="B46" s="16" t="s">
        <v>297</v>
      </c>
      <c r="C46" s="17" t="s">
        <v>291</v>
      </c>
      <c r="D46" s="10" t="s">
        <v>230</v>
      </c>
      <c r="E46" s="26" t="s">
        <v>112</v>
      </c>
      <c r="F46" s="26" t="s">
        <v>112</v>
      </c>
      <c r="G46" s="26" t="s">
        <v>112</v>
      </c>
      <c r="H46" s="26" t="s">
        <v>112</v>
      </c>
      <c r="I46" s="26" t="s">
        <v>111</v>
      </c>
      <c r="J46" s="60"/>
      <c r="K46" s="12" t="s">
        <v>112</v>
      </c>
      <c r="L46" s="12" t="s">
        <v>112</v>
      </c>
      <c r="M46" s="12" t="s">
        <v>112</v>
      </c>
      <c r="N46" s="12" t="s">
        <v>112</v>
      </c>
      <c r="O46" s="12" t="s">
        <v>112</v>
      </c>
      <c r="P46" s="12" t="s">
        <v>112</v>
      </c>
      <c r="Q46" s="60"/>
      <c r="R46" s="12" t="s">
        <v>112</v>
      </c>
      <c r="S46" s="12" t="s">
        <v>112</v>
      </c>
      <c r="T46" s="12" t="s">
        <v>112</v>
      </c>
      <c r="U46" s="12" t="s">
        <v>112</v>
      </c>
      <c r="V46" s="12" t="s">
        <v>112</v>
      </c>
      <c r="W46" s="12" t="s">
        <v>112</v>
      </c>
      <c r="X46" s="60"/>
      <c r="Y46" s="12" t="s">
        <v>112</v>
      </c>
      <c r="Z46" s="12" t="s">
        <v>112</v>
      </c>
      <c r="AA46" s="12" t="s">
        <v>112</v>
      </c>
      <c r="AB46" s="12" t="s">
        <v>112</v>
      </c>
      <c r="AC46" s="12" t="s">
        <v>112</v>
      </c>
      <c r="AD46" s="12" t="s">
        <v>112</v>
      </c>
      <c r="AE46" s="60"/>
      <c r="AF46" s="12" t="s">
        <v>112</v>
      </c>
      <c r="AG46" s="12" t="s">
        <v>112</v>
      </c>
      <c r="AH46" s="12" t="s">
        <v>112</v>
      </c>
      <c r="AI46" s="12" t="s">
        <v>112</v>
      </c>
      <c r="AJ46" s="5">
        <f t="shared" si="1"/>
        <v>26</v>
      </c>
      <c r="AK46" s="5">
        <f t="shared" si="2"/>
        <v>1</v>
      </c>
    </row>
    <row r="47" spans="1:37" ht="16.5" x14ac:dyDescent="0.25">
      <c r="A47" s="6">
        <v>19</v>
      </c>
      <c r="B47" s="16" t="s">
        <v>298</v>
      </c>
      <c r="C47" s="17" t="s">
        <v>299</v>
      </c>
      <c r="D47" s="10" t="s">
        <v>230</v>
      </c>
      <c r="E47" s="26" t="s">
        <v>112</v>
      </c>
      <c r="F47" s="26" t="s">
        <v>112</v>
      </c>
      <c r="G47" s="26" t="s">
        <v>112</v>
      </c>
      <c r="H47" s="26" t="s">
        <v>112</v>
      </c>
      <c r="I47" s="26" t="s">
        <v>111</v>
      </c>
      <c r="J47" s="60"/>
      <c r="K47" s="12" t="s">
        <v>112</v>
      </c>
      <c r="L47" s="12" t="s">
        <v>112</v>
      </c>
      <c r="M47" s="12" t="s">
        <v>112</v>
      </c>
      <c r="N47" s="12" t="s">
        <v>112</v>
      </c>
      <c r="O47" s="12" t="s">
        <v>112</v>
      </c>
      <c r="P47" s="12" t="s">
        <v>112</v>
      </c>
      <c r="Q47" s="60"/>
      <c r="R47" s="12" t="s">
        <v>112</v>
      </c>
      <c r="S47" s="12" t="s">
        <v>112</v>
      </c>
      <c r="T47" s="12" t="s">
        <v>112</v>
      </c>
      <c r="U47" s="12" t="s">
        <v>112</v>
      </c>
      <c r="V47" s="12" t="s">
        <v>112</v>
      </c>
      <c r="W47" s="12" t="s">
        <v>112</v>
      </c>
      <c r="X47" s="60"/>
      <c r="Y47" s="12" t="s">
        <v>112</v>
      </c>
      <c r="Z47" s="12" t="s">
        <v>112</v>
      </c>
      <c r="AA47" s="12" t="s">
        <v>112</v>
      </c>
      <c r="AB47" s="12" t="s">
        <v>112</v>
      </c>
      <c r="AC47" s="12" t="s">
        <v>112</v>
      </c>
      <c r="AD47" s="12" t="s">
        <v>112</v>
      </c>
      <c r="AE47" s="60"/>
      <c r="AF47" s="12" t="s">
        <v>112</v>
      </c>
      <c r="AG47" s="12" t="s">
        <v>112</v>
      </c>
      <c r="AH47" s="12" t="s">
        <v>112</v>
      </c>
      <c r="AI47" s="12" t="s">
        <v>112</v>
      </c>
      <c r="AJ47" s="5">
        <f t="shared" si="1"/>
        <v>26</v>
      </c>
      <c r="AK47" s="5">
        <f t="shared" si="2"/>
        <v>1</v>
      </c>
    </row>
    <row r="48" spans="1:37" ht="16.5" x14ac:dyDescent="0.25">
      <c r="A48" s="13">
        <v>20</v>
      </c>
      <c r="B48" s="16" t="s">
        <v>300</v>
      </c>
      <c r="C48" s="17" t="s">
        <v>301</v>
      </c>
      <c r="D48" s="10" t="s">
        <v>230</v>
      </c>
      <c r="E48" s="26" t="s">
        <v>112</v>
      </c>
      <c r="F48" s="26" t="s">
        <v>112</v>
      </c>
      <c r="G48" s="26" t="s">
        <v>112</v>
      </c>
      <c r="H48" s="26" t="s">
        <v>112</v>
      </c>
      <c r="I48" s="26" t="s">
        <v>111</v>
      </c>
      <c r="J48" s="60"/>
      <c r="K48" s="12" t="s">
        <v>112</v>
      </c>
      <c r="L48" s="12" t="s">
        <v>112</v>
      </c>
      <c r="M48" s="12" t="s">
        <v>112</v>
      </c>
      <c r="N48" s="12" t="s">
        <v>112</v>
      </c>
      <c r="O48" s="12" t="s">
        <v>112</v>
      </c>
      <c r="P48" s="12" t="s">
        <v>112</v>
      </c>
      <c r="Q48" s="60"/>
      <c r="R48" s="12" t="s">
        <v>112</v>
      </c>
      <c r="S48" s="12" t="s">
        <v>112</v>
      </c>
      <c r="T48" s="12" t="s">
        <v>112</v>
      </c>
      <c r="U48" s="12" t="s">
        <v>112</v>
      </c>
      <c r="V48" s="12" t="s">
        <v>112</v>
      </c>
      <c r="W48" s="12" t="s">
        <v>112</v>
      </c>
      <c r="X48" s="60"/>
      <c r="Y48" s="12" t="s">
        <v>112</v>
      </c>
      <c r="Z48" s="12" t="s">
        <v>112</v>
      </c>
      <c r="AA48" s="12" t="s">
        <v>112</v>
      </c>
      <c r="AB48" s="12" t="s">
        <v>112</v>
      </c>
      <c r="AC48" s="12" t="s">
        <v>112</v>
      </c>
      <c r="AD48" s="12" t="s">
        <v>112</v>
      </c>
      <c r="AE48" s="60"/>
      <c r="AF48" s="12" t="s">
        <v>112</v>
      </c>
      <c r="AG48" s="12" t="s">
        <v>112</v>
      </c>
      <c r="AH48" s="12" t="s">
        <v>112</v>
      </c>
      <c r="AI48" s="12" t="s">
        <v>112</v>
      </c>
      <c r="AJ48" s="5">
        <f t="shared" si="1"/>
        <v>26</v>
      </c>
      <c r="AK48" s="5">
        <f t="shared" si="2"/>
        <v>1</v>
      </c>
    </row>
    <row r="49" spans="1:37" ht="16.5" x14ac:dyDescent="0.25">
      <c r="A49" s="6">
        <v>21</v>
      </c>
      <c r="B49" s="16" t="s">
        <v>302</v>
      </c>
      <c r="C49" s="17" t="s">
        <v>303</v>
      </c>
      <c r="D49" s="10" t="s">
        <v>230</v>
      </c>
      <c r="E49" s="26" t="s">
        <v>112</v>
      </c>
      <c r="F49" s="26" t="s">
        <v>112</v>
      </c>
      <c r="G49" s="26" t="s">
        <v>112</v>
      </c>
      <c r="H49" s="26" t="s">
        <v>112</v>
      </c>
      <c r="I49" s="26" t="s">
        <v>111</v>
      </c>
      <c r="J49" s="60"/>
      <c r="K49" s="12" t="s">
        <v>112</v>
      </c>
      <c r="L49" s="12" t="s">
        <v>112</v>
      </c>
      <c r="M49" s="12" t="s">
        <v>112</v>
      </c>
      <c r="N49" s="12" t="s">
        <v>112</v>
      </c>
      <c r="O49" s="12" t="s">
        <v>112</v>
      </c>
      <c r="P49" s="12" t="s">
        <v>112</v>
      </c>
      <c r="Q49" s="60"/>
      <c r="R49" s="12" t="s">
        <v>112</v>
      </c>
      <c r="S49" s="12" t="s">
        <v>112</v>
      </c>
      <c r="T49" s="12" t="s">
        <v>112</v>
      </c>
      <c r="U49" s="12" t="s">
        <v>112</v>
      </c>
      <c r="V49" s="12" t="s">
        <v>111</v>
      </c>
      <c r="W49" s="12" t="s">
        <v>111</v>
      </c>
      <c r="X49" s="60"/>
      <c r="Y49" s="12" t="s">
        <v>112</v>
      </c>
      <c r="Z49" s="12" t="s">
        <v>112</v>
      </c>
      <c r="AA49" s="12" t="s">
        <v>112</v>
      </c>
      <c r="AB49" s="12" t="s">
        <v>112</v>
      </c>
      <c r="AC49" s="12" t="s">
        <v>112</v>
      </c>
      <c r="AD49" s="12" t="s">
        <v>112</v>
      </c>
      <c r="AE49" s="60"/>
      <c r="AF49" s="12" t="s">
        <v>112</v>
      </c>
      <c r="AG49" s="12" t="s">
        <v>112</v>
      </c>
      <c r="AH49" s="12" t="s">
        <v>112</v>
      </c>
      <c r="AI49" s="12" t="s">
        <v>112</v>
      </c>
      <c r="AJ49" s="5">
        <f t="shared" si="1"/>
        <v>24</v>
      </c>
      <c r="AK49" s="5">
        <f t="shared" si="2"/>
        <v>3</v>
      </c>
    </row>
    <row r="50" spans="1:37" ht="16.5" x14ac:dyDescent="0.25">
      <c r="A50" s="13">
        <v>22</v>
      </c>
      <c r="B50" s="16" t="s">
        <v>304</v>
      </c>
      <c r="C50" s="17" t="s">
        <v>305</v>
      </c>
      <c r="D50" s="10" t="s">
        <v>230</v>
      </c>
      <c r="E50" s="26" t="s">
        <v>112</v>
      </c>
      <c r="F50" s="26" t="s">
        <v>112</v>
      </c>
      <c r="G50" s="26" t="s">
        <v>112</v>
      </c>
      <c r="H50" s="26" t="s">
        <v>112</v>
      </c>
      <c r="I50" s="26" t="s">
        <v>112</v>
      </c>
      <c r="J50" s="60"/>
      <c r="K50" s="12" t="s">
        <v>112</v>
      </c>
      <c r="L50" s="12" t="s">
        <v>112</v>
      </c>
      <c r="M50" s="12" t="s">
        <v>112</v>
      </c>
      <c r="N50" s="12" t="s">
        <v>112</v>
      </c>
      <c r="O50" s="12" t="s">
        <v>112</v>
      </c>
      <c r="P50" s="12" t="s">
        <v>112</v>
      </c>
      <c r="Q50" s="60"/>
      <c r="R50" s="12" t="s">
        <v>112</v>
      </c>
      <c r="S50" s="12" t="s">
        <v>111</v>
      </c>
      <c r="T50" s="12" t="s">
        <v>112</v>
      </c>
      <c r="U50" s="12" t="s">
        <v>112</v>
      </c>
      <c r="V50" s="12" t="s">
        <v>112</v>
      </c>
      <c r="W50" s="12" t="s">
        <v>112</v>
      </c>
      <c r="X50" s="60"/>
      <c r="Y50" s="12" t="s">
        <v>112</v>
      </c>
      <c r="Z50" s="12" t="s">
        <v>112</v>
      </c>
      <c r="AA50" s="12" t="s">
        <v>112</v>
      </c>
      <c r="AB50" s="12" t="s">
        <v>112</v>
      </c>
      <c r="AC50" s="12" t="s">
        <v>112</v>
      </c>
      <c r="AD50" s="12" t="s">
        <v>112</v>
      </c>
      <c r="AE50" s="60"/>
      <c r="AF50" s="12" t="s">
        <v>112</v>
      </c>
      <c r="AG50" s="12" t="s">
        <v>112</v>
      </c>
      <c r="AH50" s="12" t="s">
        <v>112</v>
      </c>
      <c r="AI50" s="12" t="s">
        <v>112</v>
      </c>
      <c r="AJ50" s="5">
        <f t="shared" si="1"/>
        <v>26</v>
      </c>
      <c r="AK50" s="5">
        <f t="shared" si="2"/>
        <v>1</v>
      </c>
    </row>
    <row r="51" spans="1:37" ht="16.5" x14ac:dyDescent="0.25">
      <c r="A51" s="6">
        <v>23</v>
      </c>
      <c r="B51" s="16" t="s">
        <v>306</v>
      </c>
      <c r="C51" s="17" t="s">
        <v>307</v>
      </c>
      <c r="D51" s="10" t="s">
        <v>230</v>
      </c>
      <c r="E51" s="26" t="s">
        <v>112</v>
      </c>
      <c r="F51" s="26" t="s">
        <v>112</v>
      </c>
      <c r="G51" s="26" t="s">
        <v>112</v>
      </c>
      <c r="H51" s="26" t="s">
        <v>112</v>
      </c>
      <c r="I51" s="26" t="s">
        <v>111</v>
      </c>
      <c r="J51" s="60"/>
      <c r="K51" s="12" t="s">
        <v>111</v>
      </c>
      <c r="L51" s="12" t="s">
        <v>113</v>
      </c>
      <c r="M51" s="12" t="s">
        <v>113</v>
      </c>
      <c r="N51" s="12" t="s">
        <v>113</v>
      </c>
      <c r="O51" s="12" t="s">
        <v>113</v>
      </c>
      <c r="P51" s="12" t="s">
        <v>113</v>
      </c>
      <c r="Q51" s="60"/>
      <c r="R51" s="12" t="s">
        <v>113</v>
      </c>
      <c r="S51" s="12" t="s">
        <v>112</v>
      </c>
      <c r="T51" s="12" t="s">
        <v>112</v>
      </c>
      <c r="U51" s="12" t="s">
        <v>112</v>
      </c>
      <c r="V51" s="12" t="s">
        <v>112</v>
      </c>
      <c r="W51" s="12" t="s">
        <v>111</v>
      </c>
      <c r="X51" s="60"/>
      <c r="Y51" s="12" t="s">
        <v>112</v>
      </c>
      <c r="Z51" s="12" t="s">
        <v>112</v>
      </c>
      <c r="AA51" s="12" t="s">
        <v>112</v>
      </c>
      <c r="AB51" s="12" t="s">
        <v>112</v>
      </c>
      <c r="AC51" s="12" t="s">
        <v>112</v>
      </c>
      <c r="AD51" s="12" t="s">
        <v>112</v>
      </c>
      <c r="AE51" s="60"/>
      <c r="AF51" s="12" t="s">
        <v>112</v>
      </c>
      <c r="AG51" s="12" t="s">
        <v>112</v>
      </c>
      <c r="AH51" s="12" t="s">
        <v>112</v>
      </c>
      <c r="AI51" s="12" t="s">
        <v>112</v>
      </c>
      <c r="AJ51" s="5">
        <f t="shared" si="1"/>
        <v>18</v>
      </c>
      <c r="AK51" s="5">
        <f t="shared" si="2"/>
        <v>3</v>
      </c>
    </row>
    <row r="52" spans="1:37" ht="16.5" x14ac:dyDescent="0.25">
      <c r="A52" s="13">
        <v>24</v>
      </c>
      <c r="B52" s="16" t="s">
        <v>308</v>
      </c>
      <c r="C52" s="17" t="s">
        <v>309</v>
      </c>
      <c r="D52" s="10" t="s">
        <v>230</v>
      </c>
      <c r="E52" s="26" t="s">
        <v>113</v>
      </c>
      <c r="F52" s="26" t="s">
        <v>113</v>
      </c>
      <c r="G52" s="26" t="s">
        <v>113</v>
      </c>
      <c r="H52" s="26" t="s">
        <v>113</v>
      </c>
      <c r="I52" s="26" t="s">
        <v>111</v>
      </c>
      <c r="J52" s="60"/>
      <c r="K52" s="12" t="s">
        <v>112</v>
      </c>
      <c r="L52" s="12" t="s">
        <v>112</v>
      </c>
      <c r="M52" s="12" t="s">
        <v>112</v>
      </c>
      <c r="N52" s="12" t="s">
        <v>112</v>
      </c>
      <c r="O52" s="12" t="s">
        <v>112</v>
      </c>
      <c r="P52" s="12" t="s">
        <v>112</v>
      </c>
      <c r="Q52" s="60"/>
      <c r="R52" s="12" t="s">
        <v>111</v>
      </c>
      <c r="S52" s="12" t="s">
        <v>112</v>
      </c>
      <c r="T52" s="12" t="s">
        <v>112</v>
      </c>
      <c r="U52" s="12" t="s">
        <v>112</v>
      </c>
      <c r="V52" s="12" t="s">
        <v>112</v>
      </c>
      <c r="W52" s="12" t="s">
        <v>112</v>
      </c>
      <c r="X52" s="60"/>
      <c r="Y52" s="12" t="s">
        <v>112</v>
      </c>
      <c r="Z52" s="12" t="s">
        <v>112</v>
      </c>
      <c r="AA52" s="12" t="s">
        <v>112</v>
      </c>
      <c r="AB52" s="12" t="s">
        <v>112</v>
      </c>
      <c r="AC52" s="12" t="s">
        <v>111</v>
      </c>
      <c r="AD52" s="12" t="s">
        <v>112</v>
      </c>
      <c r="AE52" s="60"/>
      <c r="AF52" s="12" t="s">
        <v>112</v>
      </c>
      <c r="AG52" s="12" t="s">
        <v>112</v>
      </c>
      <c r="AH52" s="12" t="s">
        <v>112</v>
      </c>
      <c r="AI52" s="12" t="s">
        <v>112</v>
      </c>
      <c r="AJ52" s="5">
        <f t="shared" si="1"/>
        <v>20</v>
      </c>
      <c r="AK52" s="5">
        <f t="shared" si="2"/>
        <v>3</v>
      </c>
    </row>
    <row r="53" spans="1:37" ht="16.5" x14ac:dyDescent="0.25">
      <c r="A53" s="6">
        <v>25</v>
      </c>
      <c r="B53" s="16" t="s">
        <v>310</v>
      </c>
      <c r="C53" s="17" t="s">
        <v>311</v>
      </c>
      <c r="D53" s="10" t="s">
        <v>230</v>
      </c>
      <c r="E53" s="26" t="s">
        <v>112</v>
      </c>
      <c r="F53" s="26" t="s">
        <v>112</v>
      </c>
      <c r="G53" s="26" t="s">
        <v>112</v>
      </c>
      <c r="H53" s="26" t="s">
        <v>112</v>
      </c>
      <c r="I53" s="26" t="s">
        <v>111</v>
      </c>
      <c r="J53" s="60"/>
      <c r="K53" s="12" t="s">
        <v>112</v>
      </c>
      <c r="L53" s="12" t="s">
        <v>112</v>
      </c>
      <c r="M53" s="12" t="s">
        <v>112</v>
      </c>
      <c r="N53" s="12" t="s">
        <v>111</v>
      </c>
      <c r="O53" s="12" t="s">
        <v>112</v>
      </c>
      <c r="P53" s="12" t="s">
        <v>112</v>
      </c>
      <c r="Q53" s="60"/>
      <c r="R53" s="12" t="s">
        <v>112</v>
      </c>
      <c r="S53" s="12" t="s">
        <v>112</v>
      </c>
      <c r="T53" s="12" t="s">
        <v>112</v>
      </c>
      <c r="U53" s="12" t="s">
        <v>112</v>
      </c>
      <c r="V53" s="12" t="s">
        <v>112</v>
      </c>
      <c r="W53" s="12" t="s">
        <v>112</v>
      </c>
      <c r="X53" s="60"/>
      <c r="Y53" s="12" t="s">
        <v>112</v>
      </c>
      <c r="Z53" s="12" t="s">
        <v>112</v>
      </c>
      <c r="AA53" s="12" t="s">
        <v>112</v>
      </c>
      <c r="AB53" s="12" t="s">
        <v>112</v>
      </c>
      <c r="AC53" s="12" t="s">
        <v>112</v>
      </c>
      <c r="AD53" s="12" t="s">
        <v>111</v>
      </c>
      <c r="AE53" s="60"/>
      <c r="AF53" s="12" t="s">
        <v>112</v>
      </c>
      <c r="AG53" s="12" t="s">
        <v>111</v>
      </c>
      <c r="AH53" s="12" t="s">
        <v>112</v>
      </c>
      <c r="AI53" s="12" t="s">
        <v>112</v>
      </c>
      <c r="AJ53" s="5">
        <f>COUNTIF(E53:AI53,"P")</f>
        <v>23</v>
      </c>
      <c r="AK53" s="5">
        <f>COUNTIF(E53:AI53,"A")</f>
        <v>4</v>
      </c>
    </row>
    <row r="54" spans="1:37" ht="16.5" x14ac:dyDescent="0.25">
      <c r="A54" s="13">
        <v>26</v>
      </c>
      <c r="B54" s="16" t="s">
        <v>312</v>
      </c>
      <c r="C54" s="17" t="s">
        <v>313</v>
      </c>
      <c r="D54" s="10" t="s">
        <v>230</v>
      </c>
      <c r="E54" s="26" t="s">
        <v>112</v>
      </c>
      <c r="F54" s="26" t="s">
        <v>112</v>
      </c>
      <c r="G54" s="26" t="s">
        <v>112</v>
      </c>
      <c r="H54" s="26" t="s">
        <v>112</v>
      </c>
      <c r="I54" s="26" t="s">
        <v>111</v>
      </c>
      <c r="J54" s="60"/>
      <c r="K54" s="12" t="s">
        <v>112</v>
      </c>
      <c r="L54" s="12" t="s">
        <v>111</v>
      </c>
      <c r="M54" s="12" t="s">
        <v>112</v>
      </c>
      <c r="N54" s="12" t="s">
        <v>112</v>
      </c>
      <c r="O54" s="12" t="s">
        <v>112</v>
      </c>
      <c r="P54" s="12" t="s">
        <v>111</v>
      </c>
      <c r="Q54" s="60"/>
      <c r="R54" s="12" t="s">
        <v>112</v>
      </c>
      <c r="S54" s="12" t="s">
        <v>111</v>
      </c>
      <c r="T54" s="12" t="s">
        <v>111</v>
      </c>
      <c r="U54" s="12" t="s">
        <v>111</v>
      </c>
      <c r="V54" s="12" t="s">
        <v>111</v>
      </c>
      <c r="W54" s="12" t="s">
        <v>111</v>
      </c>
      <c r="X54" s="60"/>
      <c r="Y54" s="12" t="s">
        <v>111</v>
      </c>
      <c r="Z54" s="12" t="s">
        <v>111</v>
      </c>
      <c r="AA54" s="12" t="s">
        <v>112</v>
      </c>
      <c r="AB54" s="12" t="s">
        <v>112</v>
      </c>
      <c r="AC54" s="12" t="s">
        <v>112</v>
      </c>
      <c r="AD54" s="12" t="s">
        <v>112</v>
      </c>
      <c r="AE54" s="60"/>
      <c r="AF54" s="12" t="s">
        <v>112</v>
      </c>
      <c r="AG54" s="12" t="s">
        <v>111</v>
      </c>
      <c r="AH54" s="12" t="s">
        <v>112</v>
      </c>
      <c r="AI54" s="12" t="s">
        <v>112</v>
      </c>
      <c r="AJ54" s="5">
        <f t="shared" si="1"/>
        <v>16</v>
      </c>
      <c r="AK54" s="5">
        <f t="shared" si="2"/>
        <v>11</v>
      </c>
    </row>
    <row r="55" spans="1:37" ht="16.5" x14ac:dyDescent="0.25">
      <c r="A55" s="6">
        <v>27</v>
      </c>
      <c r="B55" s="16" t="s">
        <v>314</v>
      </c>
      <c r="C55" s="17" t="s">
        <v>315</v>
      </c>
      <c r="D55" s="10" t="s">
        <v>230</v>
      </c>
      <c r="E55" s="26" t="s">
        <v>112</v>
      </c>
      <c r="F55" s="26" t="s">
        <v>112</v>
      </c>
      <c r="G55" s="26" t="s">
        <v>112</v>
      </c>
      <c r="H55" s="26" t="s">
        <v>112</v>
      </c>
      <c r="I55" s="26" t="s">
        <v>112</v>
      </c>
      <c r="J55" s="60"/>
      <c r="K55" s="12" t="s">
        <v>112</v>
      </c>
      <c r="L55" s="12" t="s">
        <v>112</v>
      </c>
      <c r="M55" s="12" t="s">
        <v>112</v>
      </c>
      <c r="N55" s="12" t="s">
        <v>112</v>
      </c>
      <c r="O55" s="12" t="s">
        <v>112</v>
      </c>
      <c r="P55" s="12" t="s">
        <v>112</v>
      </c>
      <c r="Q55" s="60"/>
      <c r="R55" s="12" t="s">
        <v>112</v>
      </c>
      <c r="S55" s="12" t="s">
        <v>112</v>
      </c>
      <c r="T55" s="12" t="s">
        <v>112</v>
      </c>
      <c r="U55" s="12" t="s">
        <v>112</v>
      </c>
      <c r="V55" s="12" t="s">
        <v>112</v>
      </c>
      <c r="W55" s="12" t="s">
        <v>112</v>
      </c>
      <c r="X55" s="60"/>
      <c r="Y55" s="12" t="s">
        <v>112</v>
      </c>
      <c r="Z55" s="12" t="s">
        <v>112</v>
      </c>
      <c r="AA55" s="12" t="s">
        <v>112</v>
      </c>
      <c r="AB55" s="12" t="s">
        <v>112</v>
      </c>
      <c r="AC55" s="12" t="s">
        <v>112</v>
      </c>
      <c r="AD55" s="12" t="s">
        <v>112</v>
      </c>
      <c r="AE55" s="60"/>
      <c r="AF55" s="12" t="s">
        <v>112</v>
      </c>
      <c r="AG55" s="12" t="s">
        <v>112</v>
      </c>
      <c r="AH55" s="12" t="s">
        <v>112</v>
      </c>
      <c r="AI55" s="12" t="s">
        <v>112</v>
      </c>
      <c r="AJ55" s="5">
        <f t="shared" si="1"/>
        <v>27</v>
      </c>
      <c r="AK55" s="5">
        <f t="shared" si="2"/>
        <v>0</v>
      </c>
    </row>
    <row r="56" spans="1:37" ht="16.5" x14ac:dyDescent="0.25">
      <c r="A56" s="13">
        <v>28</v>
      </c>
      <c r="B56" s="16" t="s">
        <v>316</v>
      </c>
      <c r="C56" s="17" t="s">
        <v>317</v>
      </c>
      <c r="D56" s="10" t="s">
        <v>230</v>
      </c>
      <c r="E56" s="26" t="s">
        <v>111</v>
      </c>
      <c r="F56" s="26" t="s">
        <v>111</v>
      </c>
      <c r="G56" s="26" t="s">
        <v>112</v>
      </c>
      <c r="H56" s="26" t="s">
        <v>112</v>
      </c>
      <c r="I56" s="26" t="s">
        <v>112</v>
      </c>
      <c r="J56" s="60"/>
      <c r="K56" s="12" t="s">
        <v>112</v>
      </c>
      <c r="L56" s="12" t="s">
        <v>112</v>
      </c>
      <c r="M56" s="12" t="s">
        <v>112</v>
      </c>
      <c r="N56" s="12" t="s">
        <v>112</v>
      </c>
      <c r="O56" s="12" t="s">
        <v>111</v>
      </c>
      <c r="P56" s="12" t="s">
        <v>112</v>
      </c>
      <c r="Q56" s="60"/>
      <c r="R56" s="12" t="s">
        <v>112</v>
      </c>
      <c r="S56" s="12" t="s">
        <v>112</v>
      </c>
      <c r="T56" s="12" t="s">
        <v>112</v>
      </c>
      <c r="U56" s="12" t="s">
        <v>112</v>
      </c>
      <c r="V56" s="12" t="s">
        <v>111</v>
      </c>
      <c r="W56" s="12" t="s">
        <v>112</v>
      </c>
      <c r="X56" s="60"/>
      <c r="Y56" s="12" t="s">
        <v>112</v>
      </c>
      <c r="Z56" s="12" t="s">
        <v>112</v>
      </c>
      <c r="AA56" s="12" t="s">
        <v>112</v>
      </c>
      <c r="AB56" s="12" t="s">
        <v>112</v>
      </c>
      <c r="AC56" s="12" t="s">
        <v>112</v>
      </c>
      <c r="AD56" s="12" t="s">
        <v>111</v>
      </c>
      <c r="AE56" s="60"/>
      <c r="AF56" s="12" t="s">
        <v>112</v>
      </c>
      <c r="AG56" s="12" t="s">
        <v>112</v>
      </c>
      <c r="AH56" s="12" t="s">
        <v>111</v>
      </c>
      <c r="AI56" s="12" t="s">
        <v>112</v>
      </c>
      <c r="AJ56" s="5">
        <f t="shared" si="1"/>
        <v>21</v>
      </c>
      <c r="AK56" s="5">
        <f t="shared" si="2"/>
        <v>6</v>
      </c>
    </row>
    <row r="57" spans="1:37" ht="16.5" x14ac:dyDescent="0.25">
      <c r="A57" s="6">
        <v>29</v>
      </c>
      <c r="B57" s="16" t="s">
        <v>318</v>
      </c>
      <c r="C57" s="17" t="s">
        <v>34</v>
      </c>
      <c r="D57" s="10" t="s">
        <v>230</v>
      </c>
      <c r="E57" s="26" t="s">
        <v>112</v>
      </c>
      <c r="F57" s="26" t="s">
        <v>112</v>
      </c>
      <c r="G57" s="26" t="s">
        <v>112</v>
      </c>
      <c r="H57" s="26" t="s">
        <v>112</v>
      </c>
      <c r="I57" s="26" t="s">
        <v>111</v>
      </c>
      <c r="J57" s="60"/>
      <c r="K57" s="12" t="s">
        <v>112</v>
      </c>
      <c r="L57" s="12" t="s">
        <v>112</v>
      </c>
      <c r="M57" s="12" t="s">
        <v>112</v>
      </c>
      <c r="N57" s="12" t="s">
        <v>112</v>
      </c>
      <c r="O57" s="12" t="s">
        <v>112</v>
      </c>
      <c r="P57" s="12" t="s">
        <v>112</v>
      </c>
      <c r="Q57" s="60"/>
      <c r="R57" s="12" t="s">
        <v>112</v>
      </c>
      <c r="S57" s="12" t="s">
        <v>112</v>
      </c>
      <c r="T57" s="12" t="s">
        <v>112</v>
      </c>
      <c r="U57" s="12" t="s">
        <v>112</v>
      </c>
      <c r="V57" s="12" t="s">
        <v>112</v>
      </c>
      <c r="W57" s="12" t="s">
        <v>112</v>
      </c>
      <c r="X57" s="60"/>
      <c r="Y57" s="12" t="s">
        <v>112</v>
      </c>
      <c r="Z57" s="12" t="s">
        <v>112</v>
      </c>
      <c r="AA57" s="12" t="s">
        <v>112</v>
      </c>
      <c r="AB57" s="12" t="s">
        <v>112</v>
      </c>
      <c r="AC57" s="12" t="s">
        <v>112</v>
      </c>
      <c r="AD57" s="12" t="s">
        <v>112</v>
      </c>
      <c r="AE57" s="60"/>
      <c r="AF57" s="12" t="s">
        <v>112</v>
      </c>
      <c r="AG57" s="12" t="s">
        <v>112</v>
      </c>
      <c r="AH57" s="12" t="s">
        <v>112</v>
      </c>
      <c r="AI57" s="12" t="s">
        <v>112</v>
      </c>
      <c r="AJ57" s="5">
        <f t="shared" si="1"/>
        <v>26</v>
      </c>
      <c r="AK57" s="5">
        <f t="shared" si="2"/>
        <v>1</v>
      </c>
    </row>
    <row r="58" spans="1:37" ht="16.5" x14ac:dyDescent="0.25">
      <c r="A58" s="13">
        <v>30</v>
      </c>
      <c r="B58" s="16" t="s">
        <v>319</v>
      </c>
      <c r="C58" s="17" t="s">
        <v>320</v>
      </c>
      <c r="D58" s="10" t="s">
        <v>230</v>
      </c>
      <c r="E58" s="26" t="s">
        <v>112</v>
      </c>
      <c r="F58" s="26" t="s">
        <v>112</v>
      </c>
      <c r="G58" s="26" t="s">
        <v>112</v>
      </c>
      <c r="H58" s="26" t="s">
        <v>111</v>
      </c>
      <c r="I58" s="26" t="s">
        <v>112</v>
      </c>
      <c r="J58" s="60"/>
      <c r="K58" s="12" t="s">
        <v>112</v>
      </c>
      <c r="L58" s="12" t="s">
        <v>112</v>
      </c>
      <c r="M58" s="12" t="s">
        <v>112</v>
      </c>
      <c r="N58" s="12" t="s">
        <v>112</v>
      </c>
      <c r="O58" s="12" t="s">
        <v>112</v>
      </c>
      <c r="P58" s="12" t="s">
        <v>112</v>
      </c>
      <c r="Q58" s="60"/>
      <c r="R58" s="12" t="s">
        <v>112</v>
      </c>
      <c r="S58" s="12" t="s">
        <v>112</v>
      </c>
      <c r="T58" s="12" t="s">
        <v>112</v>
      </c>
      <c r="U58" s="12" t="s">
        <v>112</v>
      </c>
      <c r="V58" s="12" t="s">
        <v>112</v>
      </c>
      <c r="W58" s="12" t="s">
        <v>111</v>
      </c>
      <c r="X58" s="60"/>
      <c r="Y58" s="12" t="s">
        <v>112</v>
      </c>
      <c r="Z58" s="12" t="s">
        <v>112</v>
      </c>
      <c r="AA58" s="12" t="s">
        <v>112</v>
      </c>
      <c r="AB58" s="12" t="s">
        <v>112</v>
      </c>
      <c r="AC58" s="12" t="s">
        <v>112</v>
      </c>
      <c r="AD58" s="12" t="s">
        <v>112</v>
      </c>
      <c r="AE58" s="60"/>
      <c r="AF58" s="12" t="s">
        <v>112</v>
      </c>
      <c r="AG58" s="12" t="s">
        <v>112</v>
      </c>
      <c r="AH58" s="12" t="s">
        <v>112</v>
      </c>
      <c r="AI58" s="12" t="s">
        <v>112</v>
      </c>
      <c r="AJ58" s="5">
        <f t="shared" si="1"/>
        <v>25</v>
      </c>
      <c r="AK58" s="5">
        <f t="shared" si="2"/>
        <v>2</v>
      </c>
    </row>
    <row r="59" spans="1:37" ht="16.5" x14ac:dyDescent="0.25">
      <c r="A59" s="6">
        <v>31</v>
      </c>
      <c r="B59" s="16" t="s">
        <v>319</v>
      </c>
      <c r="C59" s="17" t="s">
        <v>321</v>
      </c>
      <c r="D59" s="10" t="s">
        <v>230</v>
      </c>
      <c r="E59" s="26" t="s">
        <v>112</v>
      </c>
      <c r="F59" s="26" t="s">
        <v>112</v>
      </c>
      <c r="G59" s="26" t="s">
        <v>112</v>
      </c>
      <c r="H59" s="26" t="s">
        <v>112</v>
      </c>
      <c r="I59" s="26" t="s">
        <v>113</v>
      </c>
      <c r="J59" s="60"/>
      <c r="K59" s="12" t="s">
        <v>111</v>
      </c>
      <c r="L59" s="12" t="s">
        <v>112</v>
      </c>
      <c r="M59" s="12" t="s">
        <v>112</v>
      </c>
      <c r="N59" s="12" t="s">
        <v>112</v>
      </c>
      <c r="O59" s="12" t="s">
        <v>112</v>
      </c>
      <c r="P59" s="12" t="s">
        <v>112</v>
      </c>
      <c r="Q59" s="60"/>
      <c r="R59" s="12" t="s">
        <v>112</v>
      </c>
      <c r="S59" s="12" t="s">
        <v>112</v>
      </c>
      <c r="T59" s="12" t="s">
        <v>111</v>
      </c>
      <c r="U59" s="12" t="s">
        <v>113</v>
      </c>
      <c r="V59" s="12" t="s">
        <v>113</v>
      </c>
      <c r="W59" s="12" t="s">
        <v>113</v>
      </c>
      <c r="X59" s="60"/>
      <c r="Y59" s="12" t="s">
        <v>112</v>
      </c>
      <c r="Z59" s="12" t="s">
        <v>111</v>
      </c>
      <c r="AA59" s="12" t="s">
        <v>112</v>
      </c>
      <c r="AB59" s="12" t="s">
        <v>112</v>
      </c>
      <c r="AC59" s="12" t="s">
        <v>111</v>
      </c>
      <c r="AD59" s="12" t="s">
        <v>112</v>
      </c>
      <c r="AE59" s="60"/>
      <c r="AF59" s="12" t="s">
        <v>112</v>
      </c>
      <c r="AG59" s="12" t="s">
        <v>112</v>
      </c>
      <c r="AH59" s="12" t="s">
        <v>112</v>
      </c>
      <c r="AI59" s="12" t="s">
        <v>112</v>
      </c>
      <c r="AJ59" s="5">
        <f t="shared" si="1"/>
        <v>19</v>
      </c>
      <c r="AK59" s="5">
        <f t="shared" si="2"/>
        <v>4</v>
      </c>
    </row>
    <row r="60" spans="1:37" ht="16.5" x14ac:dyDescent="0.25">
      <c r="A60" s="13">
        <v>32</v>
      </c>
      <c r="B60" s="16" t="s">
        <v>322</v>
      </c>
      <c r="C60" s="17" t="s">
        <v>323</v>
      </c>
      <c r="D60" s="10" t="s">
        <v>230</v>
      </c>
      <c r="E60" s="26" t="s">
        <v>112</v>
      </c>
      <c r="F60" s="26" t="s">
        <v>112</v>
      </c>
      <c r="G60" s="26" t="s">
        <v>112</v>
      </c>
      <c r="H60" s="26" t="s">
        <v>112</v>
      </c>
      <c r="I60" s="26" t="s">
        <v>112</v>
      </c>
      <c r="J60" s="61"/>
      <c r="K60" s="12" t="s">
        <v>112</v>
      </c>
      <c r="L60" s="12" t="s">
        <v>112</v>
      </c>
      <c r="M60" s="12" t="s">
        <v>112</v>
      </c>
      <c r="N60" s="12" t="s">
        <v>111</v>
      </c>
      <c r="O60" s="12" t="s">
        <v>111</v>
      </c>
      <c r="P60" s="12" t="s">
        <v>112</v>
      </c>
      <c r="Q60" s="61"/>
      <c r="R60" s="12" t="s">
        <v>112</v>
      </c>
      <c r="S60" s="12" t="s">
        <v>112</v>
      </c>
      <c r="T60" s="12" t="s">
        <v>112</v>
      </c>
      <c r="U60" s="12" t="s">
        <v>112</v>
      </c>
      <c r="V60" s="12" t="s">
        <v>112</v>
      </c>
      <c r="W60" s="12" t="s">
        <v>112</v>
      </c>
      <c r="X60" s="61"/>
      <c r="Y60" s="12" t="s">
        <v>112</v>
      </c>
      <c r="Z60" s="12" t="s">
        <v>112</v>
      </c>
      <c r="AA60" s="12" t="s">
        <v>112</v>
      </c>
      <c r="AB60" s="12" t="s">
        <v>112</v>
      </c>
      <c r="AC60" s="12" t="s">
        <v>112</v>
      </c>
      <c r="AD60" s="12" t="s">
        <v>111</v>
      </c>
      <c r="AE60" s="61"/>
      <c r="AF60" s="12" t="s">
        <v>111</v>
      </c>
      <c r="AG60" s="12" t="s">
        <v>112</v>
      </c>
      <c r="AH60" s="12" t="s">
        <v>112</v>
      </c>
      <c r="AI60" s="12" t="s">
        <v>112</v>
      </c>
      <c r="AJ60" s="5">
        <f t="shared" si="1"/>
        <v>23</v>
      </c>
      <c r="AK60" s="5">
        <f t="shared" si="2"/>
        <v>4</v>
      </c>
    </row>
  </sheetData>
  <mergeCells count="15">
    <mergeCell ref="A1:AI1"/>
    <mergeCell ref="A2:AI2"/>
    <mergeCell ref="A3:A4"/>
    <mergeCell ref="B3:B4"/>
    <mergeCell ref="C3:C4"/>
    <mergeCell ref="D3:D4"/>
    <mergeCell ref="AL17:AO17"/>
    <mergeCell ref="AJ3:AJ4"/>
    <mergeCell ref="AK3:AK4"/>
    <mergeCell ref="AL3:AM3"/>
    <mergeCell ref="J5:J60"/>
    <mergeCell ref="Q5:Q60"/>
    <mergeCell ref="X5:X60"/>
    <mergeCell ref="AE5:AE60"/>
    <mergeCell ref="AL9:AO9"/>
  </mergeCells>
  <conditionalFormatting sqref="E5:AE5 E4:AI4">
    <cfRule type="expression" dxfId="191" priority="22">
      <formula>IF(E$4=TODAY(),TRUE,FALSE)</formula>
    </cfRule>
  </conditionalFormatting>
  <conditionalFormatting sqref="E5:AE5">
    <cfRule type="cellIs" dxfId="190" priority="14" operator="equal">
      <formula>"L"</formula>
    </cfRule>
    <cfRule type="cellIs" dxfId="189" priority="15" operator="equal">
      <formula>"A"</formula>
    </cfRule>
    <cfRule type="cellIs" dxfId="188" priority="16" operator="equal">
      <formula>"P"</formula>
    </cfRule>
  </conditionalFormatting>
  <conditionalFormatting sqref="E3:AI4 E5:AE5">
    <cfRule type="expression" dxfId="187" priority="23">
      <formula>E$3="Sun"</formula>
    </cfRule>
  </conditionalFormatting>
  <conditionalFormatting sqref="AF5:AI60 E6:I60 K6:P60 R6:W60 Y6:AD60">
    <cfRule type="cellIs" dxfId="186" priority="8" operator="equal">
      <formula>"L"</formula>
    </cfRule>
    <cfRule type="cellIs" dxfId="185" priority="9" operator="equal">
      <formula>"A"</formula>
    </cfRule>
    <cfRule type="cellIs" dxfId="184" priority="10" operator="equal">
      <formula>"P"</formula>
    </cfRule>
    <cfRule type="expression" dxfId="183" priority="11">
      <formula>IF(E$4=TODAY(),TRUE,FALSE)</formula>
    </cfRule>
    <cfRule type="expression" dxfId="182" priority="12">
      <formula>E$3="Sun"</formula>
    </cfRule>
  </conditionalFormatting>
  <conditionalFormatting sqref="AJ3:AK3">
    <cfRule type="expression" dxfId="181" priority="24">
      <formula>#REF!="Sun"</formula>
    </cfRule>
  </conditionalFormatting>
  <conditionalFormatting sqref="AJ5:AK60">
    <cfRule type="expression" dxfId="180" priority="13">
      <formula>#REF!="Sun"</formula>
    </cfRule>
  </conditionalFormatting>
  <conditionalFormatting sqref="AL5:AL7">
    <cfRule type="expression" dxfId="179" priority="5">
      <formula>AL$3="Sun"</formula>
    </cfRule>
  </conditionalFormatting>
  <conditionalFormatting sqref="AL10:AL13">
    <cfRule type="expression" dxfId="178" priority="2">
      <formula>AL$3="Sun"</formula>
    </cfRule>
  </conditionalFormatting>
  <conditionalFormatting sqref="AL18:AL21">
    <cfRule type="expression" dxfId="177" priority="1">
      <formula>AL$3="Sun"</formula>
    </cfRule>
  </conditionalFormatting>
  <conditionalFormatting sqref="AL4:AM4">
    <cfRule type="expression" dxfId="176" priority="6">
      <formula>AL$3="Sun"</formula>
    </cfRule>
  </conditionalFormatting>
  <conditionalFormatting sqref="AM10:AO10 AM18:AO18">
    <cfRule type="expression" dxfId="175" priority="7">
      <formula>AM$3="Sun"</formula>
    </cfRule>
  </conditionalFormatting>
  <conditionalFormatting sqref="AO19">
    <cfRule type="expression" dxfId="174" priority="4">
      <formula>AO$3="Sun"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1417-EF1E-412D-BB59-5102B15F5D6F}">
  <dimension ref="A1:AO56"/>
  <sheetViews>
    <sheetView topLeftCell="D1" workbookViewId="0">
      <selection activeCell="AN11" sqref="AN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4.570312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19" width="3.85546875" style="1"/>
    <col min="20" max="20" width="4.5703125" style="1" bestFit="1" customWidth="1"/>
    <col min="21" max="21" width="3.85546875" style="1"/>
    <col min="22" max="22" width="4.7109375" style="1" bestFit="1" customWidth="1"/>
    <col min="23" max="23" width="3.85546875" style="1"/>
    <col min="24" max="25" width="3.7109375" style="1" bestFit="1" customWidth="1"/>
    <col min="26" max="26" width="3.85546875" style="1"/>
    <col min="27" max="27" width="4.5703125" style="1" bestFit="1" customWidth="1"/>
    <col min="28" max="28" width="3.85546875" style="1"/>
    <col min="29" max="29" width="4.7109375" style="1" bestFit="1" customWidth="1"/>
    <col min="30" max="30" width="4.7109375" style="1" customWidth="1"/>
    <col min="31" max="31" width="3.85546875" style="1"/>
    <col min="32" max="33" width="3.7109375" style="1" bestFit="1" customWidth="1"/>
    <col min="34" max="34" width="3.85546875" style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45" t="s">
        <v>324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spans="1:41" ht="17.25" x14ac:dyDescent="0.3">
      <c r="A2" s="46" t="s">
        <v>119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spans="1:41" ht="15.75" x14ac:dyDescent="0.25">
      <c r="A3" s="47" t="s">
        <v>0</v>
      </c>
      <c r="B3" s="47" t="s">
        <v>1</v>
      </c>
      <c r="C3" s="47" t="s">
        <v>2</v>
      </c>
      <c r="D3" s="47" t="s">
        <v>3</v>
      </c>
      <c r="E3" s="2" t="str">
        <f t="shared" ref="E3:AI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48" t="s">
        <v>4</v>
      </c>
      <c r="AK3" s="48" t="s">
        <v>5</v>
      </c>
      <c r="AL3" s="49" t="s">
        <v>126</v>
      </c>
      <c r="AM3" s="50"/>
      <c r="AN3" s="3"/>
      <c r="AO3" s="3"/>
    </row>
    <row r="4" spans="1:41" ht="34.5" x14ac:dyDescent="0.25">
      <c r="A4" s="47"/>
      <c r="B4" s="47"/>
      <c r="C4" s="47"/>
      <c r="D4" s="47"/>
      <c r="E4" s="20">
        <v>45566</v>
      </c>
      <c r="F4" s="20">
        <v>45567</v>
      </c>
      <c r="G4" s="20">
        <v>45568</v>
      </c>
      <c r="H4" s="20">
        <v>45569</v>
      </c>
      <c r="I4" s="20">
        <v>45570</v>
      </c>
      <c r="J4" s="20">
        <v>45571</v>
      </c>
      <c r="K4" s="20">
        <v>45572</v>
      </c>
      <c r="L4" s="20">
        <v>45573</v>
      </c>
      <c r="M4" s="20">
        <v>45574</v>
      </c>
      <c r="N4" s="20">
        <v>45575</v>
      </c>
      <c r="O4" s="20">
        <v>45576</v>
      </c>
      <c r="P4" s="20">
        <v>45577</v>
      </c>
      <c r="Q4" s="20">
        <v>45578</v>
      </c>
      <c r="R4" s="20">
        <v>45579</v>
      </c>
      <c r="S4" s="20">
        <v>45580</v>
      </c>
      <c r="T4" s="20">
        <v>45581</v>
      </c>
      <c r="U4" s="20">
        <v>45582</v>
      </c>
      <c r="V4" s="20">
        <v>45583</v>
      </c>
      <c r="W4" s="20">
        <v>45584</v>
      </c>
      <c r="X4" s="20">
        <v>45585</v>
      </c>
      <c r="Y4" s="20">
        <v>45586</v>
      </c>
      <c r="Z4" s="20">
        <v>45587</v>
      </c>
      <c r="AA4" s="20">
        <v>45588</v>
      </c>
      <c r="AB4" s="20">
        <v>45589</v>
      </c>
      <c r="AC4" s="20">
        <v>45590</v>
      </c>
      <c r="AD4" s="20">
        <v>45591</v>
      </c>
      <c r="AE4" s="20">
        <v>45592</v>
      </c>
      <c r="AF4" s="20">
        <v>45593</v>
      </c>
      <c r="AG4" s="20">
        <v>45594</v>
      </c>
      <c r="AH4" s="20">
        <v>45595</v>
      </c>
      <c r="AI4" s="20">
        <v>45596</v>
      </c>
      <c r="AJ4" s="48"/>
      <c r="AK4" s="48"/>
      <c r="AL4" s="5" t="s">
        <v>127</v>
      </c>
      <c r="AM4" s="5">
        <f>SUM(AM5:AM7)</f>
        <v>31</v>
      </c>
      <c r="AN4" s="3"/>
      <c r="AO4" s="3"/>
    </row>
    <row r="5" spans="1:41" ht="15" customHeight="1" x14ac:dyDescent="0.25">
      <c r="A5" s="13">
        <v>1</v>
      </c>
      <c r="B5" s="8" t="s">
        <v>325</v>
      </c>
      <c r="C5" s="8" t="s">
        <v>326</v>
      </c>
      <c r="D5" s="11" t="s">
        <v>327</v>
      </c>
      <c r="E5" s="26" t="s">
        <v>112</v>
      </c>
      <c r="F5" s="26" t="s">
        <v>112</v>
      </c>
      <c r="G5" s="26" t="s">
        <v>112</v>
      </c>
      <c r="H5" s="26" t="s">
        <v>112</v>
      </c>
      <c r="I5" s="64" t="s">
        <v>328</v>
      </c>
      <c r="J5" s="59" t="s">
        <v>125</v>
      </c>
      <c r="K5" s="12" t="s">
        <v>112</v>
      </c>
      <c r="L5" s="12" t="s">
        <v>112</v>
      </c>
      <c r="M5" s="12" t="s">
        <v>112</v>
      </c>
      <c r="N5" s="12" t="s">
        <v>112</v>
      </c>
      <c r="O5" s="12" t="s">
        <v>112</v>
      </c>
      <c r="P5" s="12" t="s">
        <v>112</v>
      </c>
      <c r="Q5" s="59" t="s">
        <v>125</v>
      </c>
      <c r="R5" s="12" t="s">
        <v>112</v>
      </c>
      <c r="S5" s="12" t="s">
        <v>112</v>
      </c>
      <c r="T5" s="12" t="s">
        <v>112</v>
      </c>
      <c r="U5" s="12" t="s">
        <v>111</v>
      </c>
      <c r="V5" s="12" t="s">
        <v>112</v>
      </c>
      <c r="W5" s="12" t="s">
        <v>112</v>
      </c>
      <c r="X5" s="59" t="s">
        <v>125</v>
      </c>
      <c r="Y5" s="12" t="s">
        <v>112</v>
      </c>
      <c r="Z5" s="12" t="s">
        <v>111</v>
      </c>
      <c r="AA5" s="12" t="s">
        <v>112</v>
      </c>
      <c r="AB5" s="12" t="s">
        <v>111</v>
      </c>
      <c r="AC5" s="12" t="s">
        <v>111</v>
      </c>
      <c r="AD5" s="12" t="s">
        <v>111</v>
      </c>
      <c r="AE5" s="59" t="s">
        <v>125</v>
      </c>
      <c r="AF5" s="12" t="s">
        <v>112</v>
      </c>
      <c r="AG5" s="12" t="s">
        <v>111</v>
      </c>
      <c r="AH5" s="12" t="s">
        <v>111</v>
      </c>
      <c r="AI5" s="12" t="s">
        <v>112</v>
      </c>
      <c r="AJ5" s="5">
        <f t="shared" ref="AJ5:AJ56" si="1">COUNTIF(E5:AI5,"P")</f>
        <v>19</v>
      </c>
      <c r="AK5" s="5">
        <f t="shared" ref="AK5:AK56" si="2">COUNTIF(E5:AI5,"A")</f>
        <v>7</v>
      </c>
      <c r="AL5" s="5" t="s">
        <v>7</v>
      </c>
      <c r="AM5" s="13">
        <v>26</v>
      </c>
      <c r="AN5" s="14"/>
      <c r="AO5" s="3"/>
    </row>
    <row r="6" spans="1:41" ht="16.5" x14ac:dyDescent="0.25">
      <c r="A6" s="13">
        <v>2</v>
      </c>
      <c r="B6" s="8" t="s">
        <v>329</v>
      </c>
      <c r="C6" s="8" t="s">
        <v>330</v>
      </c>
      <c r="D6" s="11" t="s">
        <v>327</v>
      </c>
      <c r="E6" s="26" t="s">
        <v>112</v>
      </c>
      <c r="F6" s="26" t="s">
        <v>111</v>
      </c>
      <c r="G6" s="26" t="s">
        <v>112</v>
      </c>
      <c r="H6" s="26" t="s">
        <v>112</v>
      </c>
      <c r="I6" s="65"/>
      <c r="J6" s="60"/>
      <c r="K6" s="12" t="s">
        <v>111</v>
      </c>
      <c r="L6" s="12" t="s">
        <v>112</v>
      </c>
      <c r="M6" s="12" t="s">
        <v>112</v>
      </c>
      <c r="N6" s="12" t="s">
        <v>112</v>
      </c>
      <c r="O6" s="12" t="s">
        <v>112</v>
      </c>
      <c r="P6" s="12" t="s">
        <v>112</v>
      </c>
      <c r="Q6" s="60"/>
      <c r="R6" s="12" t="s">
        <v>112</v>
      </c>
      <c r="S6" s="12" t="s">
        <v>112</v>
      </c>
      <c r="T6" s="12" t="s">
        <v>112</v>
      </c>
      <c r="U6" s="12" t="s">
        <v>111</v>
      </c>
      <c r="V6" s="12" t="s">
        <v>112</v>
      </c>
      <c r="W6" s="12" t="s">
        <v>112</v>
      </c>
      <c r="X6" s="60"/>
      <c r="Y6" s="12" t="s">
        <v>112</v>
      </c>
      <c r="Z6" s="12" t="s">
        <v>112</v>
      </c>
      <c r="AA6" s="12" t="s">
        <v>112</v>
      </c>
      <c r="AB6" s="12" t="s">
        <v>112</v>
      </c>
      <c r="AC6" s="12" t="s">
        <v>112</v>
      </c>
      <c r="AD6" s="12" t="s">
        <v>111</v>
      </c>
      <c r="AE6" s="60"/>
      <c r="AF6" s="12" t="s">
        <v>112</v>
      </c>
      <c r="AG6" s="12" t="s">
        <v>112</v>
      </c>
      <c r="AH6" s="12" t="s">
        <v>112</v>
      </c>
      <c r="AI6" s="12" t="s">
        <v>112</v>
      </c>
      <c r="AJ6" s="5">
        <f t="shared" si="1"/>
        <v>22</v>
      </c>
      <c r="AK6" s="5">
        <f t="shared" si="2"/>
        <v>4</v>
      </c>
      <c r="AL6" s="5" t="s">
        <v>8</v>
      </c>
      <c r="AM6" s="13">
        <v>4</v>
      </c>
      <c r="AN6" s="3"/>
      <c r="AO6" s="3"/>
    </row>
    <row r="7" spans="1:41" ht="16.5" x14ac:dyDescent="0.25">
      <c r="A7" s="13">
        <v>3</v>
      </c>
      <c r="B7" s="8" t="s">
        <v>331</v>
      </c>
      <c r="C7" s="8" t="s">
        <v>246</v>
      </c>
      <c r="D7" s="11" t="s">
        <v>327</v>
      </c>
      <c r="E7" s="26" t="s">
        <v>112</v>
      </c>
      <c r="F7" s="26" t="s">
        <v>112</v>
      </c>
      <c r="G7" s="26" t="s">
        <v>112</v>
      </c>
      <c r="H7" s="26" t="s">
        <v>112</v>
      </c>
      <c r="I7" s="65"/>
      <c r="J7" s="60"/>
      <c r="K7" s="12" t="s">
        <v>111</v>
      </c>
      <c r="L7" s="12" t="s">
        <v>111</v>
      </c>
      <c r="M7" s="12" t="s">
        <v>111</v>
      </c>
      <c r="N7" s="12" t="s">
        <v>111</v>
      </c>
      <c r="O7" s="12" t="s">
        <v>111</v>
      </c>
      <c r="P7" s="12" t="s">
        <v>111</v>
      </c>
      <c r="Q7" s="60"/>
      <c r="R7" s="12" t="s">
        <v>112</v>
      </c>
      <c r="S7" s="12" t="s">
        <v>112</v>
      </c>
      <c r="T7" s="12" t="s">
        <v>112</v>
      </c>
      <c r="U7" s="12" t="s">
        <v>112</v>
      </c>
      <c r="V7" s="12" t="s">
        <v>112</v>
      </c>
      <c r="W7" s="12" t="s">
        <v>112</v>
      </c>
      <c r="X7" s="60"/>
      <c r="Y7" s="12" t="s">
        <v>112</v>
      </c>
      <c r="Z7" s="12" t="s">
        <v>112</v>
      </c>
      <c r="AA7" s="12" t="s">
        <v>112</v>
      </c>
      <c r="AB7" s="12" t="s">
        <v>112</v>
      </c>
      <c r="AC7" s="12" t="s">
        <v>112</v>
      </c>
      <c r="AD7" s="12" t="s">
        <v>112</v>
      </c>
      <c r="AE7" s="60"/>
      <c r="AF7" s="12" t="s">
        <v>112</v>
      </c>
      <c r="AG7" s="12" t="s">
        <v>112</v>
      </c>
      <c r="AH7" s="12" t="s">
        <v>112</v>
      </c>
      <c r="AI7" s="12" t="s">
        <v>112</v>
      </c>
      <c r="AJ7" s="5">
        <f t="shared" si="1"/>
        <v>20</v>
      </c>
      <c r="AK7" s="5">
        <f t="shared" si="2"/>
        <v>6</v>
      </c>
      <c r="AL7" s="5" t="s">
        <v>394</v>
      </c>
      <c r="AM7" s="13">
        <v>1</v>
      </c>
      <c r="AN7" s="3"/>
      <c r="AO7" s="3"/>
    </row>
    <row r="8" spans="1:41" ht="16.5" x14ac:dyDescent="0.25">
      <c r="A8" s="13">
        <v>4</v>
      </c>
      <c r="B8" s="8" t="s">
        <v>332</v>
      </c>
      <c r="C8" s="8" t="s">
        <v>333</v>
      </c>
      <c r="D8" s="11" t="s">
        <v>327</v>
      </c>
      <c r="E8" s="26" t="s">
        <v>112</v>
      </c>
      <c r="F8" s="26" t="s">
        <v>112</v>
      </c>
      <c r="G8" s="26" t="s">
        <v>112</v>
      </c>
      <c r="H8" s="26" t="s">
        <v>112</v>
      </c>
      <c r="I8" s="65"/>
      <c r="J8" s="60"/>
      <c r="K8" s="12" t="s">
        <v>112</v>
      </c>
      <c r="L8" s="12" t="s">
        <v>112</v>
      </c>
      <c r="M8" s="12" t="s">
        <v>112</v>
      </c>
      <c r="N8" s="12" t="s">
        <v>112</v>
      </c>
      <c r="O8" s="12" t="s">
        <v>112</v>
      </c>
      <c r="P8" s="12" t="s">
        <v>112</v>
      </c>
      <c r="Q8" s="60"/>
      <c r="R8" s="12" t="s">
        <v>112</v>
      </c>
      <c r="S8" s="12" t="s">
        <v>112</v>
      </c>
      <c r="T8" s="12" t="s">
        <v>112</v>
      </c>
      <c r="U8" s="12" t="s">
        <v>112</v>
      </c>
      <c r="V8" s="12" t="s">
        <v>111</v>
      </c>
      <c r="W8" s="12" t="s">
        <v>112</v>
      </c>
      <c r="X8" s="60"/>
      <c r="Y8" s="12" t="s">
        <v>112</v>
      </c>
      <c r="Z8" s="12" t="s">
        <v>112</v>
      </c>
      <c r="AA8" s="12" t="s">
        <v>112</v>
      </c>
      <c r="AB8" s="12" t="s">
        <v>112</v>
      </c>
      <c r="AC8" s="12" t="s">
        <v>113</v>
      </c>
      <c r="AD8" s="12" t="s">
        <v>113</v>
      </c>
      <c r="AE8" s="60"/>
      <c r="AF8" s="12" t="s">
        <v>113</v>
      </c>
      <c r="AG8" s="12" t="s">
        <v>113</v>
      </c>
      <c r="AH8" s="12" t="s">
        <v>113</v>
      </c>
      <c r="AI8" s="12" t="s">
        <v>113</v>
      </c>
      <c r="AJ8" s="5">
        <f t="shared" si="1"/>
        <v>19</v>
      </c>
      <c r="AK8" s="5">
        <f t="shared" si="2"/>
        <v>1</v>
      </c>
      <c r="AL8"/>
      <c r="AM8"/>
      <c r="AN8"/>
      <c r="AO8"/>
    </row>
    <row r="9" spans="1:41" ht="16.5" x14ac:dyDescent="0.25">
      <c r="A9" s="13">
        <v>5</v>
      </c>
      <c r="B9" s="8" t="s">
        <v>231</v>
      </c>
      <c r="C9" s="8" t="s">
        <v>26</v>
      </c>
      <c r="D9" s="11" t="s">
        <v>327</v>
      </c>
      <c r="E9" s="26" t="s">
        <v>112</v>
      </c>
      <c r="F9" s="26" t="s">
        <v>112</v>
      </c>
      <c r="G9" s="26" t="s">
        <v>112</v>
      </c>
      <c r="H9" s="26" t="s">
        <v>112</v>
      </c>
      <c r="I9" s="65"/>
      <c r="J9" s="60"/>
      <c r="K9" s="12" t="s">
        <v>112</v>
      </c>
      <c r="L9" s="12" t="s">
        <v>112</v>
      </c>
      <c r="M9" s="12" t="s">
        <v>112</v>
      </c>
      <c r="N9" s="12" t="s">
        <v>112</v>
      </c>
      <c r="O9" s="12" t="s">
        <v>112</v>
      </c>
      <c r="P9" s="12" t="s">
        <v>111</v>
      </c>
      <c r="Q9" s="60"/>
      <c r="R9" s="12" t="s">
        <v>112</v>
      </c>
      <c r="S9" s="12" t="s">
        <v>112</v>
      </c>
      <c r="T9" s="12" t="s">
        <v>112</v>
      </c>
      <c r="U9" s="12" t="s">
        <v>112</v>
      </c>
      <c r="V9" s="12" t="s">
        <v>112</v>
      </c>
      <c r="W9" s="12" t="s">
        <v>112</v>
      </c>
      <c r="X9" s="60"/>
      <c r="Y9" s="12" t="s">
        <v>112</v>
      </c>
      <c r="Z9" s="12" t="s">
        <v>112</v>
      </c>
      <c r="AA9" s="12" t="s">
        <v>112</v>
      </c>
      <c r="AB9" s="12" t="s">
        <v>112</v>
      </c>
      <c r="AC9" s="12" t="s">
        <v>112</v>
      </c>
      <c r="AD9" s="12" t="s">
        <v>111</v>
      </c>
      <c r="AE9" s="60"/>
      <c r="AF9" s="12" t="s">
        <v>112</v>
      </c>
      <c r="AG9" s="12" t="s">
        <v>112</v>
      </c>
      <c r="AH9" s="12" t="s">
        <v>112</v>
      </c>
      <c r="AI9" s="12" t="s">
        <v>112</v>
      </c>
      <c r="AJ9" s="5">
        <f t="shared" si="1"/>
        <v>24</v>
      </c>
      <c r="AK9" s="5">
        <f t="shared" si="2"/>
        <v>2</v>
      </c>
      <c r="AL9" s="49" t="s">
        <v>9</v>
      </c>
      <c r="AM9" s="50"/>
      <c r="AN9" s="50"/>
      <c r="AO9" s="52"/>
    </row>
    <row r="10" spans="1:41" ht="16.5" x14ac:dyDescent="0.25">
      <c r="A10" s="13">
        <v>6</v>
      </c>
      <c r="B10" s="8" t="s">
        <v>269</v>
      </c>
      <c r="C10" s="8" t="s">
        <v>334</v>
      </c>
      <c r="D10" s="11" t="s">
        <v>327</v>
      </c>
      <c r="E10" s="26" t="s">
        <v>112</v>
      </c>
      <c r="F10" s="26" t="s">
        <v>112</v>
      </c>
      <c r="G10" s="26" t="s">
        <v>112</v>
      </c>
      <c r="H10" s="26" t="s">
        <v>112</v>
      </c>
      <c r="I10" s="65"/>
      <c r="J10" s="60"/>
      <c r="K10" s="12" t="s">
        <v>111</v>
      </c>
      <c r="L10" s="12" t="s">
        <v>112</v>
      </c>
      <c r="M10" s="12" t="s">
        <v>111</v>
      </c>
      <c r="N10" s="12" t="s">
        <v>112</v>
      </c>
      <c r="O10" s="12" t="s">
        <v>112</v>
      </c>
      <c r="P10" s="12" t="s">
        <v>112</v>
      </c>
      <c r="Q10" s="60"/>
      <c r="R10" s="12" t="s">
        <v>112</v>
      </c>
      <c r="S10" s="12" t="s">
        <v>112</v>
      </c>
      <c r="T10" s="12" t="s">
        <v>112</v>
      </c>
      <c r="U10" s="12" t="s">
        <v>112</v>
      </c>
      <c r="V10" s="12" t="s">
        <v>112</v>
      </c>
      <c r="W10" s="12" t="s">
        <v>112</v>
      </c>
      <c r="X10" s="60"/>
      <c r="Y10" s="12" t="s">
        <v>111</v>
      </c>
      <c r="Z10" s="12" t="s">
        <v>111</v>
      </c>
      <c r="AA10" s="12" t="s">
        <v>112</v>
      </c>
      <c r="AB10" s="12" t="s">
        <v>112</v>
      </c>
      <c r="AC10" s="12" t="s">
        <v>112</v>
      </c>
      <c r="AD10" s="12" t="s">
        <v>112</v>
      </c>
      <c r="AE10" s="60"/>
      <c r="AF10" s="12" t="s">
        <v>111</v>
      </c>
      <c r="AG10" s="12" t="s">
        <v>112</v>
      </c>
      <c r="AH10" s="12" t="s">
        <v>112</v>
      </c>
      <c r="AI10" s="12" t="s">
        <v>112</v>
      </c>
      <c r="AJ10" s="5">
        <f t="shared" si="1"/>
        <v>21</v>
      </c>
      <c r="AK10" s="5">
        <f t="shared" si="2"/>
        <v>5</v>
      </c>
      <c r="AL10" s="5" t="s">
        <v>10</v>
      </c>
      <c r="AM10" s="5" t="s">
        <v>11</v>
      </c>
      <c r="AN10" s="5" t="s">
        <v>12</v>
      </c>
      <c r="AO10" s="5" t="s">
        <v>13</v>
      </c>
    </row>
    <row r="11" spans="1:41" ht="16.5" x14ac:dyDescent="0.25">
      <c r="A11" s="13">
        <v>7</v>
      </c>
      <c r="B11" s="8" t="s">
        <v>139</v>
      </c>
      <c r="C11" s="8" t="s">
        <v>284</v>
      </c>
      <c r="D11" s="11" t="s">
        <v>327</v>
      </c>
      <c r="E11" s="26" t="s">
        <v>112</v>
      </c>
      <c r="F11" s="26" t="s">
        <v>112</v>
      </c>
      <c r="G11" s="26" t="s">
        <v>112</v>
      </c>
      <c r="H11" s="26" t="s">
        <v>112</v>
      </c>
      <c r="I11" s="65"/>
      <c r="J11" s="60"/>
      <c r="K11" s="12" t="s">
        <v>112</v>
      </c>
      <c r="L11" s="12" t="s">
        <v>112</v>
      </c>
      <c r="M11" s="12" t="s">
        <v>112</v>
      </c>
      <c r="N11" s="12" t="s">
        <v>112</v>
      </c>
      <c r="O11" s="12" t="s">
        <v>112</v>
      </c>
      <c r="P11" s="12" t="s">
        <v>112</v>
      </c>
      <c r="Q11" s="60"/>
      <c r="R11" s="12" t="s">
        <v>112</v>
      </c>
      <c r="S11" s="12" t="s">
        <v>112</v>
      </c>
      <c r="T11" s="12" t="s">
        <v>112</v>
      </c>
      <c r="U11" s="12" t="s">
        <v>112</v>
      </c>
      <c r="V11" s="12" t="s">
        <v>112</v>
      </c>
      <c r="W11" s="12" t="s">
        <v>112</v>
      </c>
      <c r="X11" s="60"/>
      <c r="Y11" s="12" t="s">
        <v>112</v>
      </c>
      <c r="Z11" s="12" t="s">
        <v>112</v>
      </c>
      <c r="AA11" s="12" t="s">
        <v>112</v>
      </c>
      <c r="AB11" s="12" t="s">
        <v>112</v>
      </c>
      <c r="AC11" s="12" t="s">
        <v>112</v>
      </c>
      <c r="AD11" s="12" t="s">
        <v>112</v>
      </c>
      <c r="AE11" s="60"/>
      <c r="AF11" s="12" t="s">
        <v>112</v>
      </c>
      <c r="AG11" s="12" t="s">
        <v>112</v>
      </c>
      <c r="AH11" s="12" t="s">
        <v>112</v>
      </c>
      <c r="AI11" s="12" t="s">
        <v>112</v>
      </c>
      <c r="AJ11" s="5">
        <f t="shared" si="1"/>
        <v>26</v>
      </c>
      <c r="AK11" s="5">
        <f t="shared" si="2"/>
        <v>0</v>
      </c>
      <c r="AL11" s="5" t="s">
        <v>14</v>
      </c>
      <c r="AM11" s="13">
        <f>26*$AM$5</f>
        <v>676</v>
      </c>
      <c r="AN11" s="13">
        <f>26*$AM$5</f>
        <v>676</v>
      </c>
      <c r="AO11" s="13">
        <f>SUM(AM11:AN11)</f>
        <v>1352</v>
      </c>
    </row>
    <row r="12" spans="1:41" ht="16.5" x14ac:dyDescent="0.25">
      <c r="A12" s="13">
        <v>8</v>
      </c>
      <c r="B12" s="8" t="s">
        <v>91</v>
      </c>
      <c r="C12" s="8" t="s">
        <v>284</v>
      </c>
      <c r="D12" s="11" t="s">
        <v>327</v>
      </c>
      <c r="E12" s="26" t="s">
        <v>112</v>
      </c>
      <c r="F12" s="26" t="s">
        <v>112</v>
      </c>
      <c r="G12" s="26" t="s">
        <v>112</v>
      </c>
      <c r="H12" s="26" t="s">
        <v>112</v>
      </c>
      <c r="I12" s="65"/>
      <c r="J12" s="60"/>
      <c r="K12" s="12" t="s">
        <v>112</v>
      </c>
      <c r="L12" s="12" t="s">
        <v>112</v>
      </c>
      <c r="M12" s="12" t="s">
        <v>112</v>
      </c>
      <c r="N12" s="12" t="s">
        <v>112</v>
      </c>
      <c r="O12" s="12" t="s">
        <v>112</v>
      </c>
      <c r="P12" s="12" t="s">
        <v>112</v>
      </c>
      <c r="Q12" s="60"/>
      <c r="R12" s="12" t="s">
        <v>112</v>
      </c>
      <c r="S12" s="12" t="s">
        <v>112</v>
      </c>
      <c r="T12" s="12" t="s">
        <v>112</v>
      </c>
      <c r="U12" s="12" t="s">
        <v>112</v>
      </c>
      <c r="V12" s="12" t="s">
        <v>112</v>
      </c>
      <c r="W12" s="12" t="s">
        <v>112</v>
      </c>
      <c r="X12" s="60"/>
      <c r="Y12" s="12" t="s">
        <v>112</v>
      </c>
      <c r="Z12" s="12" t="s">
        <v>112</v>
      </c>
      <c r="AA12" s="12" t="s">
        <v>112</v>
      </c>
      <c r="AB12" s="12" t="s">
        <v>111</v>
      </c>
      <c r="AC12" s="12" t="s">
        <v>112</v>
      </c>
      <c r="AD12" s="12" t="s">
        <v>112</v>
      </c>
      <c r="AE12" s="60"/>
      <c r="AF12" s="12" t="s">
        <v>112</v>
      </c>
      <c r="AG12" s="12" t="s">
        <v>112</v>
      </c>
      <c r="AH12" s="12" t="s">
        <v>112</v>
      </c>
      <c r="AI12" s="12" t="s">
        <v>112</v>
      </c>
      <c r="AJ12" s="5">
        <f t="shared" si="1"/>
        <v>25</v>
      </c>
      <c r="AK12" s="5">
        <f t="shared" si="2"/>
        <v>1</v>
      </c>
      <c r="AL12" s="5" t="s">
        <v>15</v>
      </c>
      <c r="AM12" s="13">
        <f>SUM(AJ31:AJ56)</f>
        <v>548</v>
      </c>
      <c r="AN12" s="13">
        <f>SUM(AJ5:AJ30)</f>
        <v>592</v>
      </c>
      <c r="AO12" s="13">
        <f>AM12+AN12</f>
        <v>1140</v>
      </c>
    </row>
    <row r="13" spans="1:41" ht="16.5" x14ac:dyDescent="0.25">
      <c r="A13" s="13">
        <v>9</v>
      </c>
      <c r="B13" s="8" t="s">
        <v>335</v>
      </c>
      <c r="C13" s="8" t="s">
        <v>264</v>
      </c>
      <c r="D13" s="11" t="s">
        <v>327</v>
      </c>
      <c r="E13" s="26" t="s">
        <v>112</v>
      </c>
      <c r="F13" s="26" t="s">
        <v>112</v>
      </c>
      <c r="G13" s="26" t="s">
        <v>112</v>
      </c>
      <c r="H13" s="26" t="s">
        <v>112</v>
      </c>
      <c r="I13" s="65"/>
      <c r="J13" s="60"/>
      <c r="K13" s="12" t="s">
        <v>112</v>
      </c>
      <c r="L13" s="12" t="s">
        <v>112</v>
      </c>
      <c r="M13" s="12" t="s">
        <v>112</v>
      </c>
      <c r="N13" s="12" t="s">
        <v>111</v>
      </c>
      <c r="O13" s="12" t="s">
        <v>112</v>
      </c>
      <c r="P13" s="12" t="s">
        <v>112</v>
      </c>
      <c r="Q13" s="60"/>
      <c r="R13" s="12" t="s">
        <v>112</v>
      </c>
      <c r="S13" s="12" t="s">
        <v>112</v>
      </c>
      <c r="T13" s="12" t="s">
        <v>112</v>
      </c>
      <c r="U13" s="12" t="s">
        <v>111</v>
      </c>
      <c r="V13" s="12" t="s">
        <v>112</v>
      </c>
      <c r="W13" s="12" t="s">
        <v>112</v>
      </c>
      <c r="X13" s="60"/>
      <c r="Y13" s="12" t="s">
        <v>112</v>
      </c>
      <c r="Z13" s="12" t="s">
        <v>112</v>
      </c>
      <c r="AA13" s="12" t="s">
        <v>112</v>
      </c>
      <c r="AB13" s="12" t="s">
        <v>111</v>
      </c>
      <c r="AC13" s="12" t="s">
        <v>112</v>
      </c>
      <c r="AD13" s="12" t="s">
        <v>111</v>
      </c>
      <c r="AE13" s="60"/>
      <c r="AF13" s="12" t="s">
        <v>112</v>
      </c>
      <c r="AG13" s="12" t="s">
        <v>112</v>
      </c>
      <c r="AH13" s="12" t="s">
        <v>112</v>
      </c>
      <c r="AI13" s="12" t="s">
        <v>112</v>
      </c>
      <c r="AJ13" s="5">
        <f t="shared" si="1"/>
        <v>22</v>
      </c>
      <c r="AK13" s="5">
        <f t="shared" si="2"/>
        <v>4</v>
      </c>
      <c r="AL13" s="5" t="s">
        <v>16</v>
      </c>
      <c r="AM13" s="18">
        <f>AM12/AM11</f>
        <v>0.81065088757396453</v>
      </c>
      <c r="AN13" s="18">
        <f>AN12/AN11</f>
        <v>0.87573964497041423</v>
      </c>
      <c r="AO13" s="18">
        <f>AO12/AO11</f>
        <v>0.84319526627218933</v>
      </c>
    </row>
    <row r="14" spans="1:41" ht="16.5" x14ac:dyDescent="0.25">
      <c r="A14" s="13">
        <v>10</v>
      </c>
      <c r="B14" s="8" t="s">
        <v>336</v>
      </c>
      <c r="C14" s="8" t="s">
        <v>22</v>
      </c>
      <c r="D14" s="11" t="s">
        <v>327</v>
      </c>
      <c r="E14" s="26" t="s">
        <v>112</v>
      </c>
      <c r="F14" s="26" t="s">
        <v>112</v>
      </c>
      <c r="G14" s="26" t="s">
        <v>112</v>
      </c>
      <c r="H14" s="26" t="s">
        <v>112</v>
      </c>
      <c r="I14" s="65"/>
      <c r="J14" s="60"/>
      <c r="K14" s="12" t="s">
        <v>112</v>
      </c>
      <c r="L14" s="12" t="s">
        <v>112</v>
      </c>
      <c r="M14" s="12" t="s">
        <v>112</v>
      </c>
      <c r="N14" s="12" t="s">
        <v>112</v>
      </c>
      <c r="O14" s="12" t="s">
        <v>112</v>
      </c>
      <c r="P14" s="12" t="s">
        <v>112</v>
      </c>
      <c r="Q14" s="60"/>
      <c r="R14" s="12" t="s">
        <v>112</v>
      </c>
      <c r="S14" s="12" t="s">
        <v>112</v>
      </c>
      <c r="T14" s="12" t="s">
        <v>112</v>
      </c>
      <c r="U14" s="12" t="s">
        <v>112</v>
      </c>
      <c r="V14" s="12" t="s">
        <v>111</v>
      </c>
      <c r="W14" s="12" t="s">
        <v>111</v>
      </c>
      <c r="X14" s="60"/>
      <c r="Y14" s="12" t="s">
        <v>112</v>
      </c>
      <c r="Z14" s="12" t="s">
        <v>112</v>
      </c>
      <c r="AA14" s="12" t="s">
        <v>112</v>
      </c>
      <c r="AB14" s="12" t="s">
        <v>111</v>
      </c>
      <c r="AC14" s="12" t="s">
        <v>112</v>
      </c>
      <c r="AD14" s="12" t="s">
        <v>111</v>
      </c>
      <c r="AE14" s="60"/>
      <c r="AF14" s="12" t="s">
        <v>112</v>
      </c>
      <c r="AG14" s="12" t="s">
        <v>112</v>
      </c>
      <c r="AH14" s="12" t="s">
        <v>112</v>
      </c>
      <c r="AI14" s="12" t="s">
        <v>112</v>
      </c>
      <c r="AJ14" s="5">
        <f t="shared" si="1"/>
        <v>22</v>
      </c>
      <c r="AK14" s="5">
        <f t="shared" si="2"/>
        <v>4</v>
      </c>
      <c r="AL14"/>
      <c r="AM14"/>
      <c r="AN14"/>
      <c r="AO14"/>
    </row>
    <row r="15" spans="1:41" ht="16.5" x14ac:dyDescent="0.25">
      <c r="A15" s="13">
        <v>11</v>
      </c>
      <c r="B15" s="8" t="s">
        <v>25</v>
      </c>
      <c r="C15" s="8" t="s">
        <v>295</v>
      </c>
      <c r="D15" s="11" t="s">
        <v>327</v>
      </c>
      <c r="E15" s="26" t="s">
        <v>112</v>
      </c>
      <c r="F15" s="26" t="s">
        <v>112</v>
      </c>
      <c r="G15" s="26" t="s">
        <v>112</v>
      </c>
      <c r="H15" s="26" t="s">
        <v>112</v>
      </c>
      <c r="I15" s="65"/>
      <c r="J15" s="60"/>
      <c r="K15" s="12" t="s">
        <v>112</v>
      </c>
      <c r="L15" s="12" t="s">
        <v>112</v>
      </c>
      <c r="M15" s="12" t="s">
        <v>111</v>
      </c>
      <c r="N15" s="12" t="s">
        <v>112</v>
      </c>
      <c r="O15" s="12" t="s">
        <v>112</v>
      </c>
      <c r="P15" s="12" t="s">
        <v>112</v>
      </c>
      <c r="Q15" s="60"/>
      <c r="R15" s="12" t="s">
        <v>112</v>
      </c>
      <c r="S15" s="12" t="s">
        <v>112</v>
      </c>
      <c r="T15" s="12" t="s">
        <v>112</v>
      </c>
      <c r="U15" s="12" t="s">
        <v>112</v>
      </c>
      <c r="V15" s="12" t="s">
        <v>112</v>
      </c>
      <c r="W15" s="12" t="s">
        <v>112</v>
      </c>
      <c r="X15" s="60"/>
      <c r="Y15" s="12" t="s">
        <v>112</v>
      </c>
      <c r="Z15" s="12" t="s">
        <v>112</v>
      </c>
      <c r="AA15" s="12" t="s">
        <v>112</v>
      </c>
      <c r="AB15" s="12" t="s">
        <v>112</v>
      </c>
      <c r="AC15" s="12" t="s">
        <v>112</v>
      </c>
      <c r="AD15" s="12" t="s">
        <v>112</v>
      </c>
      <c r="AE15" s="60"/>
      <c r="AF15" s="12" t="s">
        <v>112</v>
      </c>
      <c r="AG15" s="12" t="s">
        <v>112</v>
      </c>
      <c r="AH15" s="12" t="s">
        <v>112</v>
      </c>
      <c r="AI15" s="12" t="s">
        <v>112</v>
      </c>
      <c r="AJ15" s="5">
        <f t="shared" si="1"/>
        <v>25</v>
      </c>
      <c r="AK15" s="5">
        <f t="shared" si="2"/>
        <v>1</v>
      </c>
      <c r="AL15"/>
      <c r="AM15"/>
      <c r="AN15"/>
      <c r="AO15"/>
    </row>
    <row r="16" spans="1:41" ht="16.5" x14ac:dyDescent="0.25">
      <c r="A16" s="13">
        <v>12</v>
      </c>
      <c r="B16" s="8" t="s">
        <v>337</v>
      </c>
      <c r="C16" s="8" t="s">
        <v>338</v>
      </c>
      <c r="D16" s="11" t="s">
        <v>327</v>
      </c>
      <c r="E16" s="26" t="s">
        <v>111</v>
      </c>
      <c r="F16" s="26" t="s">
        <v>111</v>
      </c>
      <c r="G16" s="26" t="s">
        <v>111</v>
      </c>
      <c r="H16" s="26" t="s">
        <v>111</v>
      </c>
      <c r="I16" s="65"/>
      <c r="J16" s="60"/>
      <c r="K16" s="12" t="s">
        <v>111</v>
      </c>
      <c r="L16" s="12" t="s">
        <v>112</v>
      </c>
      <c r="M16" s="12" t="s">
        <v>111</v>
      </c>
      <c r="N16" s="12" t="s">
        <v>113</v>
      </c>
      <c r="O16" s="12" t="s">
        <v>112</v>
      </c>
      <c r="P16" s="12" t="s">
        <v>112</v>
      </c>
      <c r="Q16" s="60"/>
      <c r="R16" s="12" t="s">
        <v>112</v>
      </c>
      <c r="S16" s="12" t="s">
        <v>112</v>
      </c>
      <c r="T16" s="12" t="s">
        <v>112</v>
      </c>
      <c r="U16" s="12" t="s">
        <v>112</v>
      </c>
      <c r="V16" s="12" t="s">
        <v>112</v>
      </c>
      <c r="W16" s="12" t="s">
        <v>112</v>
      </c>
      <c r="X16" s="60"/>
      <c r="Y16" s="12" t="s">
        <v>112</v>
      </c>
      <c r="Z16" s="12" t="s">
        <v>112</v>
      </c>
      <c r="AA16" s="12" t="s">
        <v>112</v>
      </c>
      <c r="AB16" s="12" t="s">
        <v>112</v>
      </c>
      <c r="AC16" s="12" t="s">
        <v>111</v>
      </c>
      <c r="AD16" s="12" t="s">
        <v>112</v>
      </c>
      <c r="AE16" s="60"/>
      <c r="AF16" s="12" t="s">
        <v>112</v>
      </c>
      <c r="AG16" s="12" t="s">
        <v>112</v>
      </c>
      <c r="AH16" s="12" t="s">
        <v>111</v>
      </c>
      <c r="AI16" s="12" t="s">
        <v>112</v>
      </c>
      <c r="AJ16" s="5">
        <f t="shared" si="1"/>
        <v>17</v>
      </c>
      <c r="AK16" s="5">
        <f t="shared" si="2"/>
        <v>8</v>
      </c>
      <c r="AL16"/>
      <c r="AM16"/>
      <c r="AN16"/>
      <c r="AO16"/>
    </row>
    <row r="17" spans="1:41" ht="16.5" x14ac:dyDescent="0.25">
      <c r="A17" s="13">
        <v>13</v>
      </c>
      <c r="B17" s="8" t="s">
        <v>339</v>
      </c>
      <c r="C17" s="8" t="s">
        <v>140</v>
      </c>
      <c r="D17" s="11" t="s">
        <v>327</v>
      </c>
      <c r="E17" s="26" t="s">
        <v>112</v>
      </c>
      <c r="F17" s="26" t="s">
        <v>112</v>
      </c>
      <c r="G17" s="26" t="s">
        <v>112</v>
      </c>
      <c r="H17" s="26" t="s">
        <v>112</v>
      </c>
      <c r="I17" s="65"/>
      <c r="J17" s="60"/>
      <c r="K17" s="12" t="s">
        <v>111</v>
      </c>
      <c r="L17" s="12" t="s">
        <v>112</v>
      </c>
      <c r="M17" s="12" t="s">
        <v>112</v>
      </c>
      <c r="N17" s="12" t="s">
        <v>112</v>
      </c>
      <c r="O17" s="12" t="s">
        <v>111</v>
      </c>
      <c r="P17" s="12" t="s">
        <v>111</v>
      </c>
      <c r="Q17" s="60"/>
      <c r="R17" s="12" t="s">
        <v>111</v>
      </c>
      <c r="S17" s="12" t="s">
        <v>112</v>
      </c>
      <c r="T17" s="12" t="s">
        <v>112</v>
      </c>
      <c r="U17" s="12" t="s">
        <v>112</v>
      </c>
      <c r="V17" s="12" t="s">
        <v>112</v>
      </c>
      <c r="W17" s="12" t="s">
        <v>112</v>
      </c>
      <c r="X17" s="60"/>
      <c r="Y17" s="12" t="s">
        <v>112</v>
      </c>
      <c r="Z17" s="12" t="s">
        <v>112</v>
      </c>
      <c r="AA17" s="12" t="s">
        <v>112</v>
      </c>
      <c r="AB17" s="12" t="s">
        <v>112</v>
      </c>
      <c r="AC17" s="12" t="s">
        <v>112</v>
      </c>
      <c r="AD17" s="12" t="s">
        <v>112</v>
      </c>
      <c r="AE17" s="60"/>
      <c r="AF17" s="12" t="s">
        <v>112</v>
      </c>
      <c r="AG17" s="12" t="s">
        <v>112</v>
      </c>
      <c r="AH17" s="12" t="s">
        <v>112</v>
      </c>
      <c r="AI17" s="12" t="s">
        <v>112</v>
      </c>
      <c r="AJ17" s="5">
        <f t="shared" si="1"/>
        <v>22</v>
      </c>
      <c r="AK17" s="5">
        <f t="shared" si="2"/>
        <v>4</v>
      </c>
      <c r="AL17" s="49" t="s">
        <v>128</v>
      </c>
      <c r="AM17" s="50"/>
      <c r="AN17" s="50"/>
      <c r="AO17" s="52"/>
    </row>
    <row r="18" spans="1:41" ht="16.5" x14ac:dyDescent="0.25">
      <c r="A18" s="13">
        <v>14</v>
      </c>
      <c r="B18" s="8" t="s">
        <v>340</v>
      </c>
      <c r="C18" s="8" t="s">
        <v>341</v>
      </c>
      <c r="D18" s="11" t="s">
        <v>327</v>
      </c>
      <c r="E18" s="26" t="s">
        <v>112</v>
      </c>
      <c r="F18" s="26" t="s">
        <v>112</v>
      </c>
      <c r="G18" s="26" t="s">
        <v>112</v>
      </c>
      <c r="H18" s="26" t="s">
        <v>112</v>
      </c>
      <c r="I18" s="65"/>
      <c r="J18" s="60"/>
      <c r="K18" s="12" t="s">
        <v>112</v>
      </c>
      <c r="L18" s="12" t="s">
        <v>112</v>
      </c>
      <c r="M18" s="12" t="s">
        <v>112</v>
      </c>
      <c r="N18" s="12" t="s">
        <v>112</v>
      </c>
      <c r="O18" s="12" t="s">
        <v>112</v>
      </c>
      <c r="P18" s="12" t="s">
        <v>112</v>
      </c>
      <c r="Q18" s="60"/>
      <c r="R18" s="12" t="s">
        <v>112</v>
      </c>
      <c r="S18" s="12" t="s">
        <v>112</v>
      </c>
      <c r="T18" s="12" t="s">
        <v>112</v>
      </c>
      <c r="U18" s="12" t="s">
        <v>112</v>
      </c>
      <c r="V18" s="12" t="s">
        <v>111</v>
      </c>
      <c r="W18" s="12" t="s">
        <v>111</v>
      </c>
      <c r="X18" s="60"/>
      <c r="Y18" s="12" t="s">
        <v>112</v>
      </c>
      <c r="Z18" s="12" t="s">
        <v>112</v>
      </c>
      <c r="AA18" s="12" t="s">
        <v>112</v>
      </c>
      <c r="AB18" s="12" t="s">
        <v>112</v>
      </c>
      <c r="AC18" s="12" t="s">
        <v>112</v>
      </c>
      <c r="AD18" s="12" t="s">
        <v>112</v>
      </c>
      <c r="AE18" s="60"/>
      <c r="AF18" s="12" t="s">
        <v>112</v>
      </c>
      <c r="AG18" s="12" t="s">
        <v>112</v>
      </c>
      <c r="AH18" s="12" t="s">
        <v>112</v>
      </c>
      <c r="AI18" s="12" t="s">
        <v>111</v>
      </c>
      <c r="AJ18" s="5">
        <f t="shared" si="1"/>
        <v>23</v>
      </c>
      <c r="AK18" s="5">
        <f t="shared" si="2"/>
        <v>3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ht="16.5" x14ac:dyDescent="0.25">
      <c r="A19" s="13">
        <v>15</v>
      </c>
      <c r="B19" s="8" t="s">
        <v>342</v>
      </c>
      <c r="C19" s="8" t="s">
        <v>343</v>
      </c>
      <c r="D19" s="11" t="s">
        <v>327</v>
      </c>
      <c r="E19" s="26" t="s">
        <v>112</v>
      </c>
      <c r="F19" s="26" t="s">
        <v>112</v>
      </c>
      <c r="G19" s="26" t="s">
        <v>112</v>
      </c>
      <c r="H19" s="26" t="s">
        <v>112</v>
      </c>
      <c r="I19" s="65"/>
      <c r="J19" s="60"/>
      <c r="K19" s="12" t="s">
        <v>112</v>
      </c>
      <c r="L19" s="12" t="s">
        <v>112</v>
      </c>
      <c r="M19" s="12" t="s">
        <v>112</v>
      </c>
      <c r="N19" s="12" t="s">
        <v>112</v>
      </c>
      <c r="O19" s="12" t="s">
        <v>112</v>
      </c>
      <c r="P19" s="12" t="s">
        <v>112</v>
      </c>
      <c r="Q19" s="60"/>
      <c r="R19" s="12" t="s">
        <v>112</v>
      </c>
      <c r="S19" s="12" t="s">
        <v>112</v>
      </c>
      <c r="T19" s="12" t="s">
        <v>112</v>
      </c>
      <c r="U19" s="12" t="s">
        <v>112</v>
      </c>
      <c r="V19" s="12" t="s">
        <v>112</v>
      </c>
      <c r="W19" s="12" t="s">
        <v>112</v>
      </c>
      <c r="X19" s="60"/>
      <c r="Y19" s="12" t="s">
        <v>112</v>
      </c>
      <c r="Z19" s="12" t="s">
        <v>112</v>
      </c>
      <c r="AA19" s="12" t="s">
        <v>112</v>
      </c>
      <c r="AB19" s="12" t="s">
        <v>112</v>
      </c>
      <c r="AC19" s="12" t="s">
        <v>112</v>
      </c>
      <c r="AD19" s="12" t="s">
        <v>112</v>
      </c>
      <c r="AE19" s="60"/>
      <c r="AF19" s="12" t="s">
        <v>112</v>
      </c>
      <c r="AG19" s="12" t="s">
        <v>112</v>
      </c>
      <c r="AH19" s="12" t="s">
        <v>112</v>
      </c>
      <c r="AI19" s="12" t="s">
        <v>112</v>
      </c>
      <c r="AJ19" s="5">
        <f t="shared" si="1"/>
        <v>26</v>
      </c>
      <c r="AK19" s="5">
        <f t="shared" si="2"/>
        <v>0</v>
      </c>
      <c r="AL19" s="5" t="s">
        <v>14</v>
      </c>
      <c r="AM19" s="13">
        <f>26*$AM$5</f>
        <v>676</v>
      </c>
      <c r="AN19" s="13">
        <f>26*$AM$5</f>
        <v>676</v>
      </c>
      <c r="AO19" s="13">
        <f>AM19+AN19</f>
        <v>1352</v>
      </c>
    </row>
    <row r="20" spans="1:41" ht="16.5" x14ac:dyDescent="0.25">
      <c r="A20" s="13">
        <v>16</v>
      </c>
      <c r="B20" s="8" t="s">
        <v>344</v>
      </c>
      <c r="C20" s="8" t="s">
        <v>345</v>
      </c>
      <c r="D20" s="11" t="s">
        <v>327</v>
      </c>
      <c r="E20" s="26" t="s">
        <v>112</v>
      </c>
      <c r="F20" s="26" t="s">
        <v>112</v>
      </c>
      <c r="G20" s="26" t="s">
        <v>112</v>
      </c>
      <c r="H20" s="26" t="s">
        <v>112</v>
      </c>
      <c r="I20" s="65"/>
      <c r="J20" s="60"/>
      <c r="K20" s="12" t="s">
        <v>112</v>
      </c>
      <c r="L20" s="12" t="s">
        <v>112</v>
      </c>
      <c r="M20" s="12" t="s">
        <v>112</v>
      </c>
      <c r="N20" s="12" t="s">
        <v>112</v>
      </c>
      <c r="O20" s="12" t="s">
        <v>112</v>
      </c>
      <c r="P20" s="12" t="s">
        <v>112</v>
      </c>
      <c r="Q20" s="60"/>
      <c r="R20" s="12" t="s">
        <v>112</v>
      </c>
      <c r="S20" s="12" t="s">
        <v>112</v>
      </c>
      <c r="T20" s="12" t="s">
        <v>112</v>
      </c>
      <c r="U20" s="12" t="s">
        <v>112</v>
      </c>
      <c r="V20" s="12" t="s">
        <v>112</v>
      </c>
      <c r="W20" s="12" t="s">
        <v>112</v>
      </c>
      <c r="X20" s="60"/>
      <c r="Y20" s="12" t="s">
        <v>112</v>
      </c>
      <c r="Z20" s="12" t="s">
        <v>112</v>
      </c>
      <c r="AA20" s="12" t="s">
        <v>112</v>
      </c>
      <c r="AB20" s="12" t="s">
        <v>112</v>
      </c>
      <c r="AC20" s="12" t="s">
        <v>112</v>
      </c>
      <c r="AD20" s="12" t="s">
        <v>112</v>
      </c>
      <c r="AE20" s="60"/>
      <c r="AF20" s="12" t="s">
        <v>112</v>
      </c>
      <c r="AG20" s="12" t="s">
        <v>112</v>
      </c>
      <c r="AH20" s="12" t="s">
        <v>112</v>
      </c>
      <c r="AI20" s="12" t="s">
        <v>112</v>
      </c>
      <c r="AJ20" s="5">
        <f t="shared" si="1"/>
        <v>26</v>
      </c>
      <c r="AK20" s="5">
        <f t="shared" si="2"/>
        <v>0</v>
      </c>
      <c r="AL20" s="5" t="s">
        <v>17</v>
      </c>
      <c r="AM20" s="13">
        <f>AM19-AM12</f>
        <v>128</v>
      </c>
      <c r="AN20" s="13">
        <f>AN19-AN12</f>
        <v>84</v>
      </c>
      <c r="AO20" s="13">
        <f>AM20+AN20</f>
        <v>212</v>
      </c>
    </row>
    <row r="21" spans="1:41" ht="16.5" x14ac:dyDescent="0.25">
      <c r="A21" s="13">
        <v>17</v>
      </c>
      <c r="B21" s="8" t="s">
        <v>346</v>
      </c>
      <c r="C21" s="8" t="s">
        <v>140</v>
      </c>
      <c r="D21" s="11" t="s">
        <v>327</v>
      </c>
      <c r="E21" s="26" t="s">
        <v>112</v>
      </c>
      <c r="F21" s="26" t="s">
        <v>112</v>
      </c>
      <c r="G21" s="26" t="s">
        <v>112</v>
      </c>
      <c r="H21" s="26" t="s">
        <v>112</v>
      </c>
      <c r="I21" s="65"/>
      <c r="J21" s="60"/>
      <c r="K21" s="12" t="s">
        <v>112</v>
      </c>
      <c r="L21" s="12" t="s">
        <v>112</v>
      </c>
      <c r="M21" s="12" t="s">
        <v>112</v>
      </c>
      <c r="N21" s="12" t="s">
        <v>112</v>
      </c>
      <c r="O21" s="12" t="s">
        <v>112</v>
      </c>
      <c r="P21" s="12" t="s">
        <v>112</v>
      </c>
      <c r="Q21" s="60"/>
      <c r="R21" s="12" t="s">
        <v>112</v>
      </c>
      <c r="S21" s="12" t="s">
        <v>112</v>
      </c>
      <c r="T21" s="12" t="s">
        <v>112</v>
      </c>
      <c r="U21" s="12" t="s">
        <v>112</v>
      </c>
      <c r="V21" s="12" t="s">
        <v>112</v>
      </c>
      <c r="W21" s="12" t="s">
        <v>112</v>
      </c>
      <c r="X21" s="60"/>
      <c r="Y21" s="12" t="s">
        <v>112</v>
      </c>
      <c r="Z21" s="12" t="s">
        <v>112</v>
      </c>
      <c r="AA21" s="12" t="s">
        <v>112</v>
      </c>
      <c r="AB21" s="12" t="s">
        <v>112</v>
      </c>
      <c r="AC21" s="12" t="s">
        <v>112</v>
      </c>
      <c r="AD21" s="12" t="s">
        <v>112</v>
      </c>
      <c r="AE21" s="60"/>
      <c r="AF21" s="12" t="s">
        <v>112</v>
      </c>
      <c r="AG21" s="12" t="s">
        <v>112</v>
      </c>
      <c r="AH21" s="12" t="s">
        <v>112</v>
      </c>
      <c r="AI21" s="12" t="s">
        <v>112</v>
      </c>
      <c r="AJ21" s="5">
        <f t="shared" si="1"/>
        <v>26</v>
      </c>
      <c r="AK21" s="5">
        <f t="shared" si="2"/>
        <v>0</v>
      </c>
      <c r="AL21" s="5" t="s">
        <v>16</v>
      </c>
      <c r="AM21" s="18">
        <f>AM20/AM19</f>
        <v>0.1893491124260355</v>
      </c>
      <c r="AN21" s="18">
        <f>AN20/AN19</f>
        <v>0.1242603550295858</v>
      </c>
      <c r="AO21" s="18">
        <f>AO20/AO19</f>
        <v>0.15680473372781065</v>
      </c>
    </row>
    <row r="22" spans="1:41" ht="16.5" x14ac:dyDescent="0.25">
      <c r="A22" s="13">
        <v>18</v>
      </c>
      <c r="B22" s="8" t="s">
        <v>347</v>
      </c>
      <c r="C22" s="8" t="s">
        <v>136</v>
      </c>
      <c r="D22" s="11" t="s">
        <v>327</v>
      </c>
      <c r="E22" s="26" t="s">
        <v>112</v>
      </c>
      <c r="F22" s="26" t="s">
        <v>112</v>
      </c>
      <c r="G22" s="26" t="s">
        <v>112</v>
      </c>
      <c r="H22" s="26" t="s">
        <v>112</v>
      </c>
      <c r="I22" s="65"/>
      <c r="J22" s="60"/>
      <c r="K22" s="12" t="s">
        <v>112</v>
      </c>
      <c r="L22" s="12" t="s">
        <v>112</v>
      </c>
      <c r="M22" s="12" t="s">
        <v>112</v>
      </c>
      <c r="N22" s="12" t="s">
        <v>112</v>
      </c>
      <c r="O22" s="12" t="s">
        <v>112</v>
      </c>
      <c r="P22" s="12" t="s">
        <v>112</v>
      </c>
      <c r="Q22" s="60"/>
      <c r="R22" s="12" t="s">
        <v>112</v>
      </c>
      <c r="S22" s="12" t="s">
        <v>112</v>
      </c>
      <c r="T22" s="12" t="s">
        <v>112</v>
      </c>
      <c r="U22" s="12" t="s">
        <v>112</v>
      </c>
      <c r="V22" s="12" t="s">
        <v>112</v>
      </c>
      <c r="W22" s="12" t="s">
        <v>112</v>
      </c>
      <c r="X22" s="60"/>
      <c r="Y22" s="12" t="s">
        <v>112</v>
      </c>
      <c r="Z22" s="12" t="s">
        <v>112</v>
      </c>
      <c r="AA22" s="12" t="s">
        <v>112</v>
      </c>
      <c r="AB22" s="12" t="s">
        <v>112</v>
      </c>
      <c r="AC22" s="12" t="s">
        <v>112</v>
      </c>
      <c r="AD22" s="12" t="s">
        <v>112</v>
      </c>
      <c r="AE22" s="60"/>
      <c r="AF22" s="12" t="s">
        <v>112</v>
      </c>
      <c r="AG22" s="12" t="s">
        <v>112</v>
      </c>
      <c r="AH22" s="12" t="s">
        <v>112</v>
      </c>
      <c r="AI22" s="12" t="s">
        <v>112</v>
      </c>
      <c r="AJ22" s="5">
        <f t="shared" si="1"/>
        <v>26</v>
      </c>
      <c r="AK22" s="5">
        <f t="shared" si="2"/>
        <v>0</v>
      </c>
    </row>
    <row r="23" spans="1:41" ht="16.5" x14ac:dyDescent="0.25">
      <c r="A23" s="13">
        <v>19</v>
      </c>
      <c r="B23" s="8" t="s">
        <v>348</v>
      </c>
      <c r="C23" s="8" t="s">
        <v>138</v>
      </c>
      <c r="D23" s="11" t="s">
        <v>327</v>
      </c>
      <c r="E23" s="26" t="s">
        <v>112</v>
      </c>
      <c r="F23" s="26" t="s">
        <v>112</v>
      </c>
      <c r="G23" s="26" t="s">
        <v>112</v>
      </c>
      <c r="H23" s="26" t="s">
        <v>112</v>
      </c>
      <c r="I23" s="65"/>
      <c r="J23" s="60"/>
      <c r="K23" s="12" t="s">
        <v>111</v>
      </c>
      <c r="L23" s="12" t="s">
        <v>111</v>
      </c>
      <c r="M23" s="12" t="s">
        <v>111</v>
      </c>
      <c r="N23" s="12" t="s">
        <v>113</v>
      </c>
      <c r="O23" s="12" t="s">
        <v>113</v>
      </c>
      <c r="P23" s="12" t="s">
        <v>113</v>
      </c>
      <c r="Q23" s="60"/>
      <c r="R23" s="12" t="s">
        <v>113</v>
      </c>
      <c r="S23" s="12" t="s">
        <v>113</v>
      </c>
      <c r="T23" s="12" t="s">
        <v>113</v>
      </c>
      <c r="U23" s="12" t="s">
        <v>113</v>
      </c>
      <c r="V23" s="12" t="s">
        <v>113</v>
      </c>
      <c r="W23" s="12" t="s">
        <v>113</v>
      </c>
      <c r="X23" s="60"/>
      <c r="Y23" s="12" t="s">
        <v>111</v>
      </c>
      <c r="Z23" s="12" t="s">
        <v>111</v>
      </c>
      <c r="AA23" s="12" t="s">
        <v>111</v>
      </c>
      <c r="AB23" s="12" t="s">
        <v>111</v>
      </c>
      <c r="AC23" s="12" t="s">
        <v>111</v>
      </c>
      <c r="AD23" s="12" t="s">
        <v>111</v>
      </c>
      <c r="AE23" s="60"/>
      <c r="AF23" s="12" t="s">
        <v>111</v>
      </c>
      <c r="AG23" s="12" t="s">
        <v>111</v>
      </c>
      <c r="AH23" s="12" t="s">
        <v>111</v>
      </c>
      <c r="AI23" s="12" t="s">
        <v>111</v>
      </c>
      <c r="AJ23" s="5">
        <f t="shared" si="1"/>
        <v>4</v>
      </c>
      <c r="AK23" s="5">
        <f t="shared" si="2"/>
        <v>13</v>
      </c>
    </row>
    <row r="24" spans="1:41" ht="16.5" x14ac:dyDescent="0.25">
      <c r="A24" s="13">
        <v>20</v>
      </c>
      <c r="B24" s="8" t="s">
        <v>262</v>
      </c>
      <c r="C24" s="8" t="s">
        <v>184</v>
      </c>
      <c r="D24" s="11" t="s">
        <v>327</v>
      </c>
      <c r="E24" s="26" t="s">
        <v>112</v>
      </c>
      <c r="F24" s="26" t="s">
        <v>112</v>
      </c>
      <c r="G24" s="26" t="s">
        <v>112</v>
      </c>
      <c r="H24" s="26" t="s">
        <v>112</v>
      </c>
      <c r="I24" s="65"/>
      <c r="J24" s="60"/>
      <c r="K24" s="12" t="s">
        <v>112</v>
      </c>
      <c r="L24" s="12" t="s">
        <v>112</v>
      </c>
      <c r="M24" s="12" t="s">
        <v>112</v>
      </c>
      <c r="N24" s="12" t="s">
        <v>112</v>
      </c>
      <c r="O24" s="12" t="s">
        <v>112</v>
      </c>
      <c r="P24" s="12" t="s">
        <v>112</v>
      </c>
      <c r="Q24" s="60"/>
      <c r="R24" s="12" t="s">
        <v>112</v>
      </c>
      <c r="S24" s="12" t="s">
        <v>112</v>
      </c>
      <c r="T24" s="12" t="s">
        <v>112</v>
      </c>
      <c r="U24" s="12" t="s">
        <v>111</v>
      </c>
      <c r="V24" s="12" t="s">
        <v>112</v>
      </c>
      <c r="W24" s="12" t="s">
        <v>112</v>
      </c>
      <c r="X24" s="60"/>
      <c r="Y24" s="12" t="s">
        <v>112</v>
      </c>
      <c r="Z24" s="12" t="s">
        <v>112</v>
      </c>
      <c r="AA24" s="12" t="s">
        <v>112</v>
      </c>
      <c r="AB24" s="12" t="s">
        <v>112</v>
      </c>
      <c r="AC24" s="12" t="s">
        <v>112</v>
      </c>
      <c r="AD24" s="12" t="s">
        <v>112</v>
      </c>
      <c r="AE24" s="60"/>
      <c r="AF24" s="12" t="s">
        <v>112</v>
      </c>
      <c r="AG24" s="12" t="s">
        <v>112</v>
      </c>
      <c r="AH24" s="12" t="s">
        <v>112</v>
      </c>
      <c r="AI24" s="12" t="s">
        <v>112</v>
      </c>
      <c r="AJ24" s="5">
        <f t="shared" si="1"/>
        <v>25</v>
      </c>
      <c r="AK24" s="5">
        <f t="shared" si="2"/>
        <v>1</v>
      </c>
    </row>
    <row r="25" spans="1:41" ht="16.5" x14ac:dyDescent="0.25">
      <c r="A25" s="13">
        <v>21</v>
      </c>
      <c r="B25" s="8" t="s">
        <v>349</v>
      </c>
      <c r="C25" s="8" t="s">
        <v>350</v>
      </c>
      <c r="D25" s="11" t="s">
        <v>327</v>
      </c>
      <c r="E25" s="26" t="s">
        <v>112</v>
      </c>
      <c r="F25" s="26" t="s">
        <v>112</v>
      </c>
      <c r="G25" s="26" t="s">
        <v>112</v>
      </c>
      <c r="H25" s="26" t="s">
        <v>112</v>
      </c>
      <c r="I25" s="65"/>
      <c r="J25" s="60"/>
      <c r="K25" s="12" t="s">
        <v>111</v>
      </c>
      <c r="L25" s="12" t="s">
        <v>112</v>
      </c>
      <c r="M25" s="12" t="s">
        <v>112</v>
      </c>
      <c r="N25" s="12" t="s">
        <v>112</v>
      </c>
      <c r="O25" s="12" t="s">
        <v>112</v>
      </c>
      <c r="P25" s="12" t="s">
        <v>112</v>
      </c>
      <c r="Q25" s="60"/>
      <c r="R25" s="12" t="s">
        <v>112</v>
      </c>
      <c r="S25" s="12" t="s">
        <v>112</v>
      </c>
      <c r="T25" s="12" t="s">
        <v>112</v>
      </c>
      <c r="U25" s="12" t="s">
        <v>112</v>
      </c>
      <c r="V25" s="12" t="s">
        <v>112</v>
      </c>
      <c r="W25" s="12" t="s">
        <v>112</v>
      </c>
      <c r="X25" s="60"/>
      <c r="Y25" s="12" t="s">
        <v>112</v>
      </c>
      <c r="Z25" s="12" t="s">
        <v>112</v>
      </c>
      <c r="AA25" s="12" t="s">
        <v>112</v>
      </c>
      <c r="AB25" s="12" t="s">
        <v>112</v>
      </c>
      <c r="AC25" s="12" t="s">
        <v>112</v>
      </c>
      <c r="AD25" s="12" t="s">
        <v>112</v>
      </c>
      <c r="AE25" s="60"/>
      <c r="AF25" s="12" t="s">
        <v>112</v>
      </c>
      <c r="AG25" s="12" t="s">
        <v>112</v>
      </c>
      <c r="AH25" s="12" t="s">
        <v>112</v>
      </c>
      <c r="AI25" s="12" t="s">
        <v>112</v>
      </c>
      <c r="AJ25" s="5">
        <f t="shared" si="1"/>
        <v>25</v>
      </c>
      <c r="AK25" s="5">
        <f t="shared" si="2"/>
        <v>1</v>
      </c>
    </row>
    <row r="26" spans="1:41" ht="16.5" x14ac:dyDescent="0.25">
      <c r="A26" s="13">
        <v>22</v>
      </c>
      <c r="B26" s="8" t="s">
        <v>351</v>
      </c>
      <c r="C26" s="8" t="s">
        <v>352</v>
      </c>
      <c r="D26" s="11" t="s">
        <v>327</v>
      </c>
      <c r="E26" s="26" t="s">
        <v>112</v>
      </c>
      <c r="F26" s="26" t="s">
        <v>112</v>
      </c>
      <c r="G26" s="26" t="s">
        <v>112</v>
      </c>
      <c r="H26" s="26" t="s">
        <v>112</v>
      </c>
      <c r="I26" s="65"/>
      <c r="J26" s="60"/>
      <c r="K26" s="12" t="s">
        <v>112</v>
      </c>
      <c r="L26" s="12" t="s">
        <v>112</v>
      </c>
      <c r="M26" s="12" t="s">
        <v>112</v>
      </c>
      <c r="N26" s="12" t="s">
        <v>112</v>
      </c>
      <c r="O26" s="12" t="s">
        <v>112</v>
      </c>
      <c r="P26" s="12" t="s">
        <v>112</v>
      </c>
      <c r="Q26" s="60"/>
      <c r="R26" s="12" t="s">
        <v>112</v>
      </c>
      <c r="S26" s="12" t="s">
        <v>112</v>
      </c>
      <c r="T26" s="12" t="s">
        <v>112</v>
      </c>
      <c r="U26" s="12" t="s">
        <v>112</v>
      </c>
      <c r="V26" s="12" t="s">
        <v>112</v>
      </c>
      <c r="W26" s="12" t="s">
        <v>112</v>
      </c>
      <c r="X26" s="60"/>
      <c r="Y26" s="12" t="s">
        <v>112</v>
      </c>
      <c r="Z26" s="12" t="s">
        <v>112</v>
      </c>
      <c r="AA26" s="12" t="s">
        <v>112</v>
      </c>
      <c r="AB26" s="12" t="s">
        <v>112</v>
      </c>
      <c r="AC26" s="12" t="s">
        <v>112</v>
      </c>
      <c r="AD26" s="12" t="s">
        <v>112</v>
      </c>
      <c r="AE26" s="60"/>
      <c r="AF26" s="12" t="s">
        <v>112</v>
      </c>
      <c r="AG26" s="12" t="s">
        <v>112</v>
      </c>
      <c r="AH26" s="12" t="s">
        <v>112</v>
      </c>
      <c r="AI26" s="12" t="s">
        <v>112</v>
      </c>
      <c r="AJ26" s="5">
        <f t="shared" si="1"/>
        <v>26</v>
      </c>
      <c r="AK26" s="5">
        <f t="shared" si="2"/>
        <v>0</v>
      </c>
    </row>
    <row r="27" spans="1:41" ht="16.5" x14ac:dyDescent="0.25">
      <c r="A27" s="13">
        <v>23</v>
      </c>
      <c r="B27" s="8" t="s">
        <v>353</v>
      </c>
      <c r="C27" s="8" t="s">
        <v>205</v>
      </c>
      <c r="D27" s="11" t="s">
        <v>327</v>
      </c>
      <c r="E27" s="26" t="s">
        <v>112</v>
      </c>
      <c r="F27" s="26" t="s">
        <v>112</v>
      </c>
      <c r="G27" s="26" t="s">
        <v>112</v>
      </c>
      <c r="H27" s="26" t="s">
        <v>112</v>
      </c>
      <c r="I27" s="65"/>
      <c r="J27" s="60"/>
      <c r="K27" s="12" t="s">
        <v>112</v>
      </c>
      <c r="L27" s="12" t="s">
        <v>112</v>
      </c>
      <c r="M27" s="12" t="s">
        <v>112</v>
      </c>
      <c r="N27" s="12" t="s">
        <v>112</v>
      </c>
      <c r="O27" s="12" t="s">
        <v>112</v>
      </c>
      <c r="P27" s="12" t="s">
        <v>112</v>
      </c>
      <c r="Q27" s="60"/>
      <c r="R27" s="12" t="s">
        <v>112</v>
      </c>
      <c r="S27" s="12" t="s">
        <v>112</v>
      </c>
      <c r="T27" s="12" t="s">
        <v>112</v>
      </c>
      <c r="U27" s="12" t="s">
        <v>112</v>
      </c>
      <c r="V27" s="12" t="s">
        <v>112</v>
      </c>
      <c r="W27" s="12" t="s">
        <v>112</v>
      </c>
      <c r="X27" s="60"/>
      <c r="Y27" s="12" t="s">
        <v>112</v>
      </c>
      <c r="Z27" s="12" t="s">
        <v>112</v>
      </c>
      <c r="AA27" s="12" t="s">
        <v>112</v>
      </c>
      <c r="AB27" s="12" t="s">
        <v>112</v>
      </c>
      <c r="AC27" s="12" t="s">
        <v>112</v>
      </c>
      <c r="AD27" s="12" t="s">
        <v>112</v>
      </c>
      <c r="AE27" s="60"/>
      <c r="AF27" s="12" t="s">
        <v>112</v>
      </c>
      <c r="AG27" s="12" t="s">
        <v>112</v>
      </c>
      <c r="AH27" s="12" t="s">
        <v>112</v>
      </c>
      <c r="AI27" s="12" t="s">
        <v>112</v>
      </c>
      <c r="AJ27" s="5">
        <f t="shared" si="1"/>
        <v>26</v>
      </c>
      <c r="AK27" s="5">
        <f t="shared" si="2"/>
        <v>0</v>
      </c>
    </row>
    <row r="28" spans="1:41" ht="16.5" x14ac:dyDescent="0.25">
      <c r="A28" s="13">
        <v>24</v>
      </c>
      <c r="B28" s="8" t="s">
        <v>269</v>
      </c>
      <c r="C28" s="8" t="s">
        <v>205</v>
      </c>
      <c r="D28" s="11" t="s">
        <v>327</v>
      </c>
      <c r="E28" s="26" t="s">
        <v>112</v>
      </c>
      <c r="F28" s="26" t="s">
        <v>112</v>
      </c>
      <c r="G28" s="26" t="s">
        <v>112</v>
      </c>
      <c r="H28" s="26" t="s">
        <v>112</v>
      </c>
      <c r="I28" s="65"/>
      <c r="J28" s="60"/>
      <c r="K28" s="12" t="s">
        <v>112</v>
      </c>
      <c r="L28" s="12" t="s">
        <v>112</v>
      </c>
      <c r="M28" s="12" t="s">
        <v>112</v>
      </c>
      <c r="N28" s="12" t="s">
        <v>112</v>
      </c>
      <c r="O28" s="12" t="s">
        <v>112</v>
      </c>
      <c r="P28" s="12" t="s">
        <v>112</v>
      </c>
      <c r="Q28" s="60"/>
      <c r="R28" s="12" t="s">
        <v>112</v>
      </c>
      <c r="S28" s="12" t="s">
        <v>112</v>
      </c>
      <c r="T28" s="12" t="s">
        <v>112</v>
      </c>
      <c r="U28" s="12" t="s">
        <v>112</v>
      </c>
      <c r="V28" s="12" t="s">
        <v>112</v>
      </c>
      <c r="W28" s="12" t="s">
        <v>112</v>
      </c>
      <c r="X28" s="60"/>
      <c r="Y28" s="12" t="s">
        <v>112</v>
      </c>
      <c r="Z28" s="12" t="s">
        <v>112</v>
      </c>
      <c r="AA28" s="12" t="s">
        <v>112</v>
      </c>
      <c r="AB28" s="12" t="s">
        <v>112</v>
      </c>
      <c r="AC28" s="12" t="s">
        <v>112</v>
      </c>
      <c r="AD28" s="12" t="s">
        <v>112</v>
      </c>
      <c r="AE28" s="60"/>
      <c r="AF28" s="12" t="s">
        <v>112</v>
      </c>
      <c r="AG28" s="12" t="s">
        <v>112</v>
      </c>
      <c r="AH28" s="12" t="s">
        <v>112</v>
      </c>
      <c r="AI28" s="12" t="s">
        <v>112</v>
      </c>
      <c r="AJ28" s="5">
        <f t="shared" si="1"/>
        <v>26</v>
      </c>
      <c r="AK28" s="5">
        <f t="shared" si="2"/>
        <v>0</v>
      </c>
    </row>
    <row r="29" spans="1:41" ht="16.5" x14ac:dyDescent="0.25">
      <c r="A29" s="13">
        <v>25</v>
      </c>
      <c r="B29" s="8" t="s">
        <v>354</v>
      </c>
      <c r="C29" s="8"/>
      <c r="D29" s="11" t="s">
        <v>327</v>
      </c>
      <c r="E29" s="26" t="s">
        <v>112</v>
      </c>
      <c r="F29" s="26" t="s">
        <v>112</v>
      </c>
      <c r="G29" s="26" t="s">
        <v>112</v>
      </c>
      <c r="H29" s="26" t="s">
        <v>112</v>
      </c>
      <c r="I29" s="65"/>
      <c r="J29" s="60"/>
      <c r="K29" s="12" t="s">
        <v>112</v>
      </c>
      <c r="L29" s="12" t="s">
        <v>112</v>
      </c>
      <c r="M29" s="12" t="s">
        <v>112</v>
      </c>
      <c r="N29" s="12" t="s">
        <v>112</v>
      </c>
      <c r="O29" s="12" t="s">
        <v>112</v>
      </c>
      <c r="P29" s="12" t="s">
        <v>111</v>
      </c>
      <c r="Q29" s="60"/>
      <c r="R29" s="12" t="s">
        <v>112</v>
      </c>
      <c r="S29" s="12" t="s">
        <v>112</v>
      </c>
      <c r="T29" s="12" t="s">
        <v>112</v>
      </c>
      <c r="U29" s="12" t="s">
        <v>112</v>
      </c>
      <c r="V29" s="12" t="s">
        <v>112</v>
      </c>
      <c r="W29" s="12" t="s">
        <v>112</v>
      </c>
      <c r="X29" s="60"/>
      <c r="Y29" s="12" t="s">
        <v>112</v>
      </c>
      <c r="Z29" s="12" t="s">
        <v>112</v>
      </c>
      <c r="AA29" s="12" t="s">
        <v>112</v>
      </c>
      <c r="AB29" s="12" t="s">
        <v>112</v>
      </c>
      <c r="AC29" s="12" t="s">
        <v>112</v>
      </c>
      <c r="AD29" s="12" t="s">
        <v>111</v>
      </c>
      <c r="AE29" s="60"/>
      <c r="AF29" s="12" t="s">
        <v>112</v>
      </c>
      <c r="AG29" s="12" t="s">
        <v>112</v>
      </c>
      <c r="AH29" s="12" t="s">
        <v>112</v>
      </c>
      <c r="AI29" s="12" t="s">
        <v>112</v>
      </c>
      <c r="AJ29" s="5">
        <f t="shared" si="1"/>
        <v>24</v>
      </c>
      <c r="AK29" s="5">
        <f t="shared" si="2"/>
        <v>2</v>
      </c>
    </row>
    <row r="30" spans="1:41" ht="16.5" x14ac:dyDescent="0.25">
      <c r="A30" s="13">
        <v>26</v>
      </c>
      <c r="B30" s="8" t="s">
        <v>269</v>
      </c>
      <c r="C30" s="8" t="s">
        <v>264</v>
      </c>
      <c r="D30" s="11" t="s">
        <v>327</v>
      </c>
      <c r="E30" s="26" t="s">
        <v>112</v>
      </c>
      <c r="F30" s="26" t="s">
        <v>112</v>
      </c>
      <c r="G30" s="26" t="s">
        <v>112</v>
      </c>
      <c r="H30" s="26" t="s">
        <v>112</v>
      </c>
      <c r="I30" s="65"/>
      <c r="J30" s="60"/>
      <c r="K30" s="12" t="s">
        <v>112</v>
      </c>
      <c r="L30" s="12" t="s">
        <v>112</v>
      </c>
      <c r="M30" s="12" t="s">
        <v>112</v>
      </c>
      <c r="N30" s="12" t="s">
        <v>112</v>
      </c>
      <c r="O30" s="12" t="s">
        <v>112</v>
      </c>
      <c r="P30" s="12" t="s">
        <v>111</v>
      </c>
      <c r="Q30" s="60"/>
      <c r="R30" s="12" t="s">
        <v>112</v>
      </c>
      <c r="S30" s="12" t="s">
        <v>112</v>
      </c>
      <c r="T30" s="12" t="s">
        <v>112</v>
      </c>
      <c r="U30" s="12" t="s">
        <v>112</v>
      </c>
      <c r="V30" s="12" t="s">
        <v>112</v>
      </c>
      <c r="W30" s="12" t="s">
        <v>112</v>
      </c>
      <c r="X30" s="60"/>
      <c r="Y30" s="12" t="s">
        <v>112</v>
      </c>
      <c r="Z30" s="12" t="s">
        <v>112</v>
      </c>
      <c r="AA30" s="12" t="s">
        <v>112</v>
      </c>
      <c r="AB30" s="12" t="s">
        <v>112</v>
      </c>
      <c r="AC30" s="12" t="s">
        <v>112</v>
      </c>
      <c r="AD30" s="12" t="s">
        <v>355</v>
      </c>
      <c r="AE30" s="60"/>
      <c r="AF30" s="12" t="s">
        <v>112</v>
      </c>
      <c r="AG30" s="12" t="s">
        <v>112</v>
      </c>
      <c r="AH30" s="12" t="s">
        <v>112</v>
      </c>
      <c r="AI30" s="12" t="s">
        <v>112</v>
      </c>
      <c r="AJ30" s="5">
        <f t="shared" si="1"/>
        <v>25</v>
      </c>
      <c r="AK30" s="5">
        <f t="shared" si="2"/>
        <v>1</v>
      </c>
    </row>
    <row r="31" spans="1:41" ht="16.5" customHeight="1" x14ac:dyDescent="0.25">
      <c r="A31" s="13">
        <v>1</v>
      </c>
      <c r="B31" s="16" t="s">
        <v>356</v>
      </c>
      <c r="C31" s="17" t="s">
        <v>357</v>
      </c>
      <c r="D31" s="10" t="s">
        <v>327</v>
      </c>
      <c r="E31" s="26" t="s">
        <v>112</v>
      </c>
      <c r="F31" s="26" t="s">
        <v>112</v>
      </c>
      <c r="G31" s="26" t="s">
        <v>112</v>
      </c>
      <c r="H31" s="26" t="s">
        <v>112</v>
      </c>
      <c r="I31" s="65"/>
      <c r="J31" s="60"/>
      <c r="K31" s="12" t="s">
        <v>112</v>
      </c>
      <c r="L31" s="12" t="s">
        <v>112</v>
      </c>
      <c r="M31" s="12" t="s">
        <v>112</v>
      </c>
      <c r="N31" s="12" t="s">
        <v>112</v>
      </c>
      <c r="O31" s="12" t="s">
        <v>112</v>
      </c>
      <c r="P31" s="12" t="s">
        <v>112</v>
      </c>
      <c r="Q31" s="60"/>
      <c r="R31" s="12" t="s">
        <v>112</v>
      </c>
      <c r="S31" s="12" t="s">
        <v>112</v>
      </c>
      <c r="T31" s="12" t="s">
        <v>112</v>
      </c>
      <c r="U31" s="12" t="s">
        <v>112</v>
      </c>
      <c r="V31" s="12" t="s">
        <v>112</v>
      </c>
      <c r="W31" s="12" t="s">
        <v>112</v>
      </c>
      <c r="X31" s="60"/>
      <c r="Y31" s="12" t="s">
        <v>112</v>
      </c>
      <c r="Z31" s="12" t="s">
        <v>112</v>
      </c>
      <c r="AA31" s="12" t="s">
        <v>112</v>
      </c>
      <c r="AB31" s="12" t="s">
        <v>112</v>
      </c>
      <c r="AC31" s="12" t="s">
        <v>112</v>
      </c>
      <c r="AD31" s="12" t="s">
        <v>112</v>
      </c>
      <c r="AE31" s="60"/>
      <c r="AF31" s="12" t="s">
        <v>112</v>
      </c>
      <c r="AG31" s="12" t="s">
        <v>112</v>
      </c>
      <c r="AH31" s="12" t="s">
        <v>112</v>
      </c>
      <c r="AI31" s="12" t="s">
        <v>111</v>
      </c>
      <c r="AJ31" s="5">
        <f t="shared" si="1"/>
        <v>25</v>
      </c>
      <c r="AK31" s="5">
        <f t="shared" si="2"/>
        <v>1</v>
      </c>
    </row>
    <row r="32" spans="1:41" ht="16.5" x14ac:dyDescent="0.25">
      <c r="A32" s="6">
        <v>2</v>
      </c>
      <c r="B32" s="16" t="s">
        <v>22</v>
      </c>
      <c r="C32" s="17" t="s">
        <v>345</v>
      </c>
      <c r="D32" s="10" t="s">
        <v>327</v>
      </c>
      <c r="E32" s="26" t="s">
        <v>112</v>
      </c>
      <c r="F32" s="26" t="s">
        <v>112</v>
      </c>
      <c r="G32" s="26" t="s">
        <v>112</v>
      </c>
      <c r="H32" s="26" t="s">
        <v>112</v>
      </c>
      <c r="I32" s="65"/>
      <c r="J32" s="60"/>
      <c r="K32" s="12" t="s">
        <v>112</v>
      </c>
      <c r="L32" s="12" t="s">
        <v>112</v>
      </c>
      <c r="M32" s="12" t="s">
        <v>112</v>
      </c>
      <c r="N32" s="12" t="s">
        <v>112</v>
      </c>
      <c r="O32" s="12" t="s">
        <v>111</v>
      </c>
      <c r="P32" s="12" t="s">
        <v>112</v>
      </c>
      <c r="Q32" s="60"/>
      <c r="R32" s="12" t="s">
        <v>112</v>
      </c>
      <c r="S32" s="12" t="s">
        <v>112</v>
      </c>
      <c r="T32" s="12" t="s">
        <v>112</v>
      </c>
      <c r="U32" s="12" t="s">
        <v>111</v>
      </c>
      <c r="V32" s="12" t="s">
        <v>112</v>
      </c>
      <c r="W32" s="12" t="s">
        <v>112</v>
      </c>
      <c r="X32" s="60"/>
      <c r="Y32" s="12" t="s">
        <v>112</v>
      </c>
      <c r="Z32" s="12" t="s">
        <v>112</v>
      </c>
      <c r="AA32" s="12" t="s">
        <v>112</v>
      </c>
      <c r="AB32" s="12" t="s">
        <v>111</v>
      </c>
      <c r="AC32" s="12" t="s">
        <v>111</v>
      </c>
      <c r="AD32" s="12" t="s">
        <v>112</v>
      </c>
      <c r="AE32" s="60"/>
      <c r="AF32" s="12" t="s">
        <v>112</v>
      </c>
      <c r="AG32" s="12" t="s">
        <v>111</v>
      </c>
      <c r="AH32" s="12" t="s">
        <v>112</v>
      </c>
      <c r="AI32" s="12" t="s">
        <v>112</v>
      </c>
      <c r="AJ32" s="5">
        <f t="shared" si="1"/>
        <v>21</v>
      </c>
      <c r="AK32" s="5">
        <f t="shared" si="2"/>
        <v>5</v>
      </c>
    </row>
    <row r="33" spans="1:37" ht="16.5" x14ac:dyDescent="0.25">
      <c r="A33" s="13">
        <v>3</v>
      </c>
      <c r="B33" s="16" t="s">
        <v>358</v>
      </c>
      <c r="C33" s="17" t="s">
        <v>359</v>
      </c>
      <c r="D33" s="10" t="s">
        <v>327</v>
      </c>
      <c r="E33" s="26" t="s">
        <v>112</v>
      </c>
      <c r="F33" s="26" t="s">
        <v>112</v>
      </c>
      <c r="G33" s="26" t="s">
        <v>112</v>
      </c>
      <c r="H33" s="26" t="s">
        <v>111</v>
      </c>
      <c r="I33" s="65"/>
      <c r="J33" s="60"/>
      <c r="K33" s="12" t="s">
        <v>112</v>
      </c>
      <c r="L33" s="12" t="s">
        <v>112</v>
      </c>
      <c r="M33" s="12" t="s">
        <v>112</v>
      </c>
      <c r="N33" s="12" t="s">
        <v>112</v>
      </c>
      <c r="O33" s="12" t="s">
        <v>112</v>
      </c>
      <c r="P33" s="12" t="s">
        <v>111</v>
      </c>
      <c r="Q33" s="60"/>
      <c r="R33" s="12" t="s">
        <v>112</v>
      </c>
      <c r="S33" s="12" t="s">
        <v>112</v>
      </c>
      <c r="T33" s="12" t="s">
        <v>112</v>
      </c>
      <c r="U33" s="12" t="s">
        <v>112</v>
      </c>
      <c r="V33" s="12" t="s">
        <v>112</v>
      </c>
      <c r="W33" s="12" t="s">
        <v>112</v>
      </c>
      <c r="X33" s="60"/>
      <c r="Y33" s="12" t="s">
        <v>112</v>
      </c>
      <c r="Z33" s="12" t="s">
        <v>112</v>
      </c>
      <c r="AA33" s="12" t="s">
        <v>112</v>
      </c>
      <c r="AB33" s="12" t="s">
        <v>112</v>
      </c>
      <c r="AC33" s="12" t="s">
        <v>112</v>
      </c>
      <c r="AD33" s="12" t="s">
        <v>111</v>
      </c>
      <c r="AE33" s="60"/>
      <c r="AF33" s="12" t="s">
        <v>112</v>
      </c>
      <c r="AG33" s="12" t="s">
        <v>112</v>
      </c>
      <c r="AH33" s="12" t="s">
        <v>112</v>
      </c>
      <c r="AI33" s="12" t="s">
        <v>112</v>
      </c>
      <c r="AJ33" s="5">
        <f t="shared" si="1"/>
        <v>23</v>
      </c>
      <c r="AK33" s="5">
        <f t="shared" si="2"/>
        <v>3</v>
      </c>
    </row>
    <row r="34" spans="1:37" ht="16.5" x14ac:dyDescent="0.25">
      <c r="A34" s="6">
        <v>4</v>
      </c>
      <c r="B34" s="16" t="s">
        <v>117</v>
      </c>
      <c r="C34" s="17" t="s">
        <v>360</v>
      </c>
      <c r="D34" s="10" t="s">
        <v>327</v>
      </c>
      <c r="E34" s="26" t="s">
        <v>112</v>
      </c>
      <c r="F34" s="26" t="s">
        <v>112</v>
      </c>
      <c r="G34" s="26" t="s">
        <v>112</v>
      </c>
      <c r="H34" s="26" t="s">
        <v>112</v>
      </c>
      <c r="I34" s="65"/>
      <c r="J34" s="60"/>
      <c r="K34" s="12" t="s">
        <v>112</v>
      </c>
      <c r="L34" s="12" t="s">
        <v>113</v>
      </c>
      <c r="M34" s="12" t="s">
        <v>113</v>
      </c>
      <c r="N34" s="12" t="s">
        <v>112</v>
      </c>
      <c r="O34" s="12" t="s">
        <v>112</v>
      </c>
      <c r="P34" s="12" t="s">
        <v>112</v>
      </c>
      <c r="Q34" s="60"/>
      <c r="R34" s="12" t="s">
        <v>112</v>
      </c>
      <c r="S34" s="12" t="s">
        <v>112</v>
      </c>
      <c r="T34" s="12" t="s">
        <v>112</v>
      </c>
      <c r="U34" s="12" t="s">
        <v>112</v>
      </c>
      <c r="V34" s="12" t="s">
        <v>112</v>
      </c>
      <c r="W34" s="12" t="s">
        <v>112</v>
      </c>
      <c r="X34" s="60"/>
      <c r="Y34" s="12" t="s">
        <v>111</v>
      </c>
      <c r="Z34" s="12" t="s">
        <v>111</v>
      </c>
      <c r="AA34" s="12" t="s">
        <v>112</v>
      </c>
      <c r="AB34" s="12" t="s">
        <v>112</v>
      </c>
      <c r="AC34" s="12" t="s">
        <v>111</v>
      </c>
      <c r="AD34" s="12" t="s">
        <v>111</v>
      </c>
      <c r="AE34" s="60"/>
      <c r="AF34" s="12" t="s">
        <v>111</v>
      </c>
      <c r="AG34" s="12" t="s">
        <v>111</v>
      </c>
      <c r="AH34" s="12" t="s">
        <v>112</v>
      </c>
      <c r="AI34" s="12" t="s">
        <v>112</v>
      </c>
      <c r="AJ34" s="5">
        <f t="shared" si="1"/>
        <v>18</v>
      </c>
      <c r="AK34" s="5">
        <f t="shared" si="2"/>
        <v>6</v>
      </c>
    </row>
    <row r="35" spans="1:37" ht="16.5" x14ac:dyDescent="0.25">
      <c r="A35" s="13">
        <v>5</v>
      </c>
      <c r="B35" s="16" t="s">
        <v>361</v>
      </c>
      <c r="C35" s="17" t="s">
        <v>362</v>
      </c>
      <c r="D35" s="10" t="s">
        <v>327</v>
      </c>
      <c r="E35" s="26" t="s">
        <v>112</v>
      </c>
      <c r="F35" s="26" t="s">
        <v>111</v>
      </c>
      <c r="G35" s="26" t="s">
        <v>112</v>
      </c>
      <c r="H35" s="26" t="s">
        <v>112</v>
      </c>
      <c r="I35" s="65"/>
      <c r="J35" s="60"/>
      <c r="K35" s="12" t="s">
        <v>112</v>
      </c>
      <c r="L35" s="12" t="s">
        <v>112</v>
      </c>
      <c r="M35" s="12" t="s">
        <v>112</v>
      </c>
      <c r="N35" s="12" t="s">
        <v>111</v>
      </c>
      <c r="O35" s="12" t="s">
        <v>112</v>
      </c>
      <c r="P35" s="12" t="s">
        <v>112</v>
      </c>
      <c r="Q35" s="60"/>
      <c r="R35" s="12" t="s">
        <v>112</v>
      </c>
      <c r="S35" s="12" t="s">
        <v>112</v>
      </c>
      <c r="T35" s="12" t="s">
        <v>112</v>
      </c>
      <c r="U35" s="12" t="s">
        <v>112</v>
      </c>
      <c r="V35" s="12" t="s">
        <v>111</v>
      </c>
      <c r="W35" s="12" t="s">
        <v>112</v>
      </c>
      <c r="X35" s="60"/>
      <c r="Y35" s="12" t="s">
        <v>112</v>
      </c>
      <c r="Z35" s="12" t="s">
        <v>112</v>
      </c>
      <c r="AA35" s="12" t="s">
        <v>112</v>
      </c>
      <c r="AB35" s="12" t="s">
        <v>111</v>
      </c>
      <c r="AC35" s="12" t="s">
        <v>113</v>
      </c>
      <c r="AD35" s="12" t="s">
        <v>113</v>
      </c>
      <c r="AE35" s="60"/>
      <c r="AF35" s="12" t="s">
        <v>113</v>
      </c>
      <c r="AG35" s="12" t="s">
        <v>113</v>
      </c>
      <c r="AH35" s="12" t="s">
        <v>113</v>
      </c>
      <c r="AI35" s="12" t="s">
        <v>113</v>
      </c>
      <c r="AJ35" s="5">
        <f t="shared" si="1"/>
        <v>16</v>
      </c>
      <c r="AK35" s="5">
        <f t="shared" si="2"/>
        <v>4</v>
      </c>
    </row>
    <row r="36" spans="1:37" ht="16.5" x14ac:dyDescent="0.25">
      <c r="A36" s="6">
        <v>6</v>
      </c>
      <c r="B36" s="16" t="s">
        <v>363</v>
      </c>
      <c r="C36" s="17" t="s">
        <v>364</v>
      </c>
      <c r="D36" s="10" t="s">
        <v>327</v>
      </c>
      <c r="E36" s="26" t="s">
        <v>111</v>
      </c>
      <c r="F36" s="26" t="s">
        <v>112</v>
      </c>
      <c r="G36" s="26" t="s">
        <v>112</v>
      </c>
      <c r="H36" s="26" t="s">
        <v>112</v>
      </c>
      <c r="I36" s="65"/>
      <c r="J36" s="60"/>
      <c r="K36" s="12" t="s">
        <v>112</v>
      </c>
      <c r="L36" s="12" t="s">
        <v>111</v>
      </c>
      <c r="M36" s="12" t="s">
        <v>111</v>
      </c>
      <c r="N36" s="12" t="s">
        <v>112</v>
      </c>
      <c r="O36" s="12" t="s">
        <v>112</v>
      </c>
      <c r="P36" s="12" t="s">
        <v>112</v>
      </c>
      <c r="Q36" s="60"/>
      <c r="R36" s="12" t="s">
        <v>112</v>
      </c>
      <c r="S36" s="12" t="s">
        <v>111</v>
      </c>
      <c r="T36" s="12" t="s">
        <v>112</v>
      </c>
      <c r="U36" s="12" t="s">
        <v>112</v>
      </c>
      <c r="V36" s="12" t="s">
        <v>112</v>
      </c>
      <c r="W36" s="12" t="s">
        <v>111</v>
      </c>
      <c r="X36" s="60"/>
      <c r="Y36" s="12" t="s">
        <v>112</v>
      </c>
      <c r="Z36" s="12" t="s">
        <v>112</v>
      </c>
      <c r="AA36" s="12" t="s">
        <v>112</v>
      </c>
      <c r="AB36" s="12" t="s">
        <v>112</v>
      </c>
      <c r="AC36" s="12" t="s">
        <v>112</v>
      </c>
      <c r="AD36" s="12" t="s">
        <v>111</v>
      </c>
      <c r="AE36" s="60"/>
      <c r="AF36" s="12" t="s">
        <v>112</v>
      </c>
      <c r="AG36" s="12" t="s">
        <v>112</v>
      </c>
      <c r="AH36" s="12" t="s">
        <v>112</v>
      </c>
      <c r="AI36" s="12" t="s">
        <v>112</v>
      </c>
      <c r="AJ36" s="5">
        <f t="shared" si="1"/>
        <v>20</v>
      </c>
      <c r="AK36" s="5">
        <f t="shared" si="2"/>
        <v>6</v>
      </c>
    </row>
    <row r="37" spans="1:37" ht="16.5" x14ac:dyDescent="0.25">
      <c r="A37" s="13">
        <v>7</v>
      </c>
      <c r="B37" s="16" t="s">
        <v>365</v>
      </c>
      <c r="C37" s="17" t="s">
        <v>366</v>
      </c>
      <c r="D37" s="10" t="s">
        <v>327</v>
      </c>
      <c r="E37" s="26" t="s">
        <v>112</v>
      </c>
      <c r="F37" s="26" t="s">
        <v>112</v>
      </c>
      <c r="G37" s="26" t="s">
        <v>112</v>
      </c>
      <c r="H37" s="26" t="s">
        <v>112</v>
      </c>
      <c r="I37" s="65"/>
      <c r="J37" s="60"/>
      <c r="K37" s="12" t="s">
        <v>112</v>
      </c>
      <c r="L37" s="12" t="s">
        <v>112</v>
      </c>
      <c r="M37" s="12" t="s">
        <v>112</v>
      </c>
      <c r="N37" s="12" t="s">
        <v>112</v>
      </c>
      <c r="O37" s="12" t="s">
        <v>112</v>
      </c>
      <c r="P37" s="12" t="s">
        <v>111</v>
      </c>
      <c r="Q37" s="60"/>
      <c r="R37" s="12" t="s">
        <v>111</v>
      </c>
      <c r="S37" s="12" t="s">
        <v>112</v>
      </c>
      <c r="T37" s="12" t="s">
        <v>112</v>
      </c>
      <c r="U37" s="12" t="s">
        <v>111</v>
      </c>
      <c r="V37" s="12" t="s">
        <v>112</v>
      </c>
      <c r="W37" s="12" t="s">
        <v>112</v>
      </c>
      <c r="X37" s="60"/>
      <c r="Y37" s="12" t="s">
        <v>112</v>
      </c>
      <c r="Z37" s="12" t="s">
        <v>112</v>
      </c>
      <c r="AA37" s="12" t="s">
        <v>112</v>
      </c>
      <c r="AB37" s="12" t="s">
        <v>112</v>
      </c>
      <c r="AC37" s="12" t="s">
        <v>112</v>
      </c>
      <c r="AD37" s="12" t="s">
        <v>111</v>
      </c>
      <c r="AE37" s="60"/>
      <c r="AF37" s="12" t="s">
        <v>112</v>
      </c>
      <c r="AG37" s="12" t="s">
        <v>112</v>
      </c>
      <c r="AH37" s="12" t="s">
        <v>112</v>
      </c>
      <c r="AI37" s="12" t="s">
        <v>112</v>
      </c>
      <c r="AJ37" s="5">
        <f t="shared" si="1"/>
        <v>22</v>
      </c>
      <c r="AK37" s="5">
        <f t="shared" si="2"/>
        <v>4</v>
      </c>
    </row>
    <row r="38" spans="1:37" ht="16.5" x14ac:dyDescent="0.25">
      <c r="A38" s="6">
        <v>8</v>
      </c>
      <c r="B38" s="16" t="s">
        <v>367</v>
      </c>
      <c r="C38" s="17" t="s">
        <v>62</v>
      </c>
      <c r="D38" s="10" t="s">
        <v>327</v>
      </c>
      <c r="E38" s="26" t="s">
        <v>112</v>
      </c>
      <c r="F38" s="26" t="s">
        <v>112</v>
      </c>
      <c r="G38" s="26" t="s">
        <v>112</v>
      </c>
      <c r="H38" s="26" t="s">
        <v>112</v>
      </c>
      <c r="I38" s="65"/>
      <c r="J38" s="60"/>
      <c r="K38" s="12" t="s">
        <v>112</v>
      </c>
      <c r="L38" s="12" t="s">
        <v>112</v>
      </c>
      <c r="M38" s="12" t="s">
        <v>112</v>
      </c>
      <c r="N38" s="12" t="s">
        <v>112</v>
      </c>
      <c r="O38" s="12" t="s">
        <v>111</v>
      </c>
      <c r="P38" s="12" t="s">
        <v>112</v>
      </c>
      <c r="Q38" s="60"/>
      <c r="R38" s="12" t="s">
        <v>112</v>
      </c>
      <c r="S38" s="12" t="s">
        <v>112</v>
      </c>
      <c r="T38" s="12" t="s">
        <v>112</v>
      </c>
      <c r="U38" s="12" t="s">
        <v>112</v>
      </c>
      <c r="V38" s="12" t="s">
        <v>112</v>
      </c>
      <c r="W38" s="12" t="s">
        <v>112</v>
      </c>
      <c r="X38" s="60"/>
      <c r="Y38" s="12" t="s">
        <v>112</v>
      </c>
      <c r="Z38" s="12" t="s">
        <v>112</v>
      </c>
      <c r="AA38" s="12" t="s">
        <v>112</v>
      </c>
      <c r="AB38" s="12" t="s">
        <v>111</v>
      </c>
      <c r="AC38" s="12" t="s">
        <v>112</v>
      </c>
      <c r="AD38" s="12" t="s">
        <v>112</v>
      </c>
      <c r="AE38" s="60"/>
      <c r="AF38" s="12" t="s">
        <v>112</v>
      </c>
      <c r="AG38" s="12" t="s">
        <v>112</v>
      </c>
      <c r="AH38" s="12" t="s">
        <v>112</v>
      </c>
      <c r="AI38" s="12" t="s">
        <v>112</v>
      </c>
      <c r="AJ38" s="5">
        <f t="shared" si="1"/>
        <v>24</v>
      </c>
      <c r="AK38" s="5">
        <f t="shared" si="2"/>
        <v>2</v>
      </c>
    </row>
    <row r="39" spans="1:37" ht="16.5" x14ac:dyDescent="0.25">
      <c r="A39" s="13">
        <v>9</v>
      </c>
      <c r="B39" s="16" t="s">
        <v>106</v>
      </c>
      <c r="C39" s="17" t="s">
        <v>368</v>
      </c>
      <c r="D39" s="10" t="s">
        <v>327</v>
      </c>
      <c r="E39" s="26" t="s">
        <v>112</v>
      </c>
      <c r="F39" s="26" t="s">
        <v>112</v>
      </c>
      <c r="G39" s="26" t="s">
        <v>112</v>
      </c>
      <c r="H39" s="26" t="s">
        <v>111</v>
      </c>
      <c r="I39" s="65"/>
      <c r="J39" s="60"/>
      <c r="K39" s="12" t="s">
        <v>112</v>
      </c>
      <c r="L39" s="12" t="s">
        <v>112</v>
      </c>
      <c r="M39" s="12" t="s">
        <v>112</v>
      </c>
      <c r="N39" s="12" t="s">
        <v>112</v>
      </c>
      <c r="O39" s="12" t="s">
        <v>112</v>
      </c>
      <c r="P39" s="12" t="s">
        <v>112</v>
      </c>
      <c r="Q39" s="60"/>
      <c r="R39" s="12" t="s">
        <v>112</v>
      </c>
      <c r="S39" s="12" t="s">
        <v>112</v>
      </c>
      <c r="T39" s="12" t="s">
        <v>112</v>
      </c>
      <c r="U39" s="12" t="s">
        <v>112</v>
      </c>
      <c r="V39" s="12" t="s">
        <v>112</v>
      </c>
      <c r="W39" s="12" t="s">
        <v>112</v>
      </c>
      <c r="X39" s="60"/>
      <c r="Y39" s="12" t="s">
        <v>112</v>
      </c>
      <c r="Z39" s="12" t="s">
        <v>112</v>
      </c>
      <c r="AA39" s="12" t="s">
        <v>112</v>
      </c>
      <c r="AB39" s="12" t="s">
        <v>112</v>
      </c>
      <c r="AC39" s="12" t="s">
        <v>112</v>
      </c>
      <c r="AD39" s="12" t="s">
        <v>112</v>
      </c>
      <c r="AE39" s="60"/>
      <c r="AF39" s="12" t="s">
        <v>112</v>
      </c>
      <c r="AG39" s="12" t="s">
        <v>112</v>
      </c>
      <c r="AH39" s="12" t="s">
        <v>112</v>
      </c>
      <c r="AI39" s="12" t="s">
        <v>112</v>
      </c>
      <c r="AJ39" s="5">
        <f t="shared" si="1"/>
        <v>25</v>
      </c>
      <c r="AK39" s="5">
        <f t="shared" si="2"/>
        <v>1</v>
      </c>
    </row>
    <row r="40" spans="1:37" ht="16.5" x14ac:dyDescent="0.25">
      <c r="A40" s="6">
        <v>10</v>
      </c>
      <c r="B40" s="16" t="s">
        <v>369</v>
      </c>
      <c r="C40" s="17" t="s">
        <v>60</v>
      </c>
      <c r="D40" s="10" t="s">
        <v>327</v>
      </c>
      <c r="E40" s="26" t="s">
        <v>112</v>
      </c>
      <c r="F40" s="26" t="s">
        <v>112</v>
      </c>
      <c r="G40" s="26" t="s">
        <v>112</v>
      </c>
      <c r="H40" s="26" t="s">
        <v>111</v>
      </c>
      <c r="I40" s="65"/>
      <c r="J40" s="60"/>
      <c r="K40" s="12" t="s">
        <v>112</v>
      </c>
      <c r="L40" s="12" t="s">
        <v>112</v>
      </c>
      <c r="M40" s="12" t="s">
        <v>112</v>
      </c>
      <c r="N40" s="12" t="s">
        <v>112</v>
      </c>
      <c r="O40" s="12" t="s">
        <v>112</v>
      </c>
      <c r="P40" s="12" t="s">
        <v>112</v>
      </c>
      <c r="Q40" s="60"/>
      <c r="R40" s="12" t="s">
        <v>112</v>
      </c>
      <c r="S40" s="12" t="s">
        <v>111</v>
      </c>
      <c r="T40" s="12" t="s">
        <v>111</v>
      </c>
      <c r="U40" s="12" t="s">
        <v>112</v>
      </c>
      <c r="V40" s="12" t="s">
        <v>111</v>
      </c>
      <c r="W40" s="12" t="s">
        <v>112</v>
      </c>
      <c r="X40" s="60"/>
      <c r="Y40" s="12" t="s">
        <v>111</v>
      </c>
      <c r="Z40" s="12" t="s">
        <v>112</v>
      </c>
      <c r="AA40" s="12" t="s">
        <v>112</v>
      </c>
      <c r="AB40" s="12" t="s">
        <v>112</v>
      </c>
      <c r="AC40" s="12" t="s">
        <v>112</v>
      </c>
      <c r="AD40" s="12" t="s">
        <v>111</v>
      </c>
      <c r="AE40" s="60"/>
      <c r="AF40" s="12" t="s">
        <v>112</v>
      </c>
      <c r="AG40" s="12" t="s">
        <v>112</v>
      </c>
      <c r="AH40" s="12" t="s">
        <v>112</v>
      </c>
      <c r="AI40" s="12" t="s">
        <v>112</v>
      </c>
      <c r="AJ40" s="5">
        <f t="shared" si="1"/>
        <v>20</v>
      </c>
      <c r="AK40" s="5">
        <f t="shared" si="2"/>
        <v>6</v>
      </c>
    </row>
    <row r="41" spans="1:37" ht="16.5" x14ac:dyDescent="0.25">
      <c r="A41" s="13">
        <v>11</v>
      </c>
      <c r="B41" s="16" t="s">
        <v>370</v>
      </c>
      <c r="C41" s="17" t="s">
        <v>284</v>
      </c>
      <c r="D41" s="10" t="s">
        <v>327</v>
      </c>
      <c r="E41" s="26" t="s">
        <v>112</v>
      </c>
      <c r="F41" s="26" t="s">
        <v>112</v>
      </c>
      <c r="G41" s="26" t="s">
        <v>112</v>
      </c>
      <c r="H41" s="26" t="s">
        <v>112</v>
      </c>
      <c r="I41" s="65"/>
      <c r="J41" s="60"/>
      <c r="K41" s="12" t="s">
        <v>112</v>
      </c>
      <c r="L41" s="12" t="s">
        <v>112</v>
      </c>
      <c r="M41" s="12" t="s">
        <v>112</v>
      </c>
      <c r="N41" s="12" t="s">
        <v>112</v>
      </c>
      <c r="O41" s="12" t="s">
        <v>112</v>
      </c>
      <c r="P41" s="12" t="s">
        <v>112</v>
      </c>
      <c r="Q41" s="60"/>
      <c r="R41" s="12" t="s">
        <v>112</v>
      </c>
      <c r="S41" s="12" t="s">
        <v>112</v>
      </c>
      <c r="T41" s="12" t="s">
        <v>112</v>
      </c>
      <c r="U41" s="12" t="s">
        <v>112</v>
      </c>
      <c r="V41" s="12" t="s">
        <v>112</v>
      </c>
      <c r="W41" s="12" t="s">
        <v>112</v>
      </c>
      <c r="X41" s="60"/>
      <c r="Y41" s="12" t="s">
        <v>112</v>
      </c>
      <c r="Z41" s="12" t="s">
        <v>112</v>
      </c>
      <c r="AA41" s="12" t="s">
        <v>112</v>
      </c>
      <c r="AB41" s="12" t="s">
        <v>112</v>
      </c>
      <c r="AC41" s="12" t="s">
        <v>112</v>
      </c>
      <c r="AD41" s="12" t="s">
        <v>112</v>
      </c>
      <c r="AE41" s="60"/>
      <c r="AF41" s="12" t="s">
        <v>112</v>
      </c>
      <c r="AG41" s="12" t="s">
        <v>112</v>
      </c>
      <c r="AH41" s="12" t="s">
        <v>112</v>
      </c>
      <c r="AI41" s="12" t="s">
        <v>112</v>
      </c>
      <c r="AJ41" s="5">
        <f t="shared" si="1"/>
        <v>26</v>
      </c>
      <c r="AK41" s="5">
        <f t="shared" si="2"/>
        <v>0</v>
      </c>
    </row>
    <row r="42" spans="1:37" ht="16.5" x14ac:dyDescent="0.25">
      <c r="A42" s="6">
        <v>12</v>
      </c>
      <c r="B42" s="16" t="s">
        <v>197</v>
      </c>
      <c r="C42" s="17" t="s">
        <v>246</v>
      </c>
      <c r="D42" s="10" t="s">
        <v>327</v>
      </c>
      <c r="E42" s="26" t="s">
        <v>112</v>
      </c>
      <c r="F42" s="26" t="s">
        <v>112</v>
      </c>
      <c r="G42" s="26" t="s">
        <v>112</v>
      </c>
      <c r="H42" s="26" t="s">
        <v>112</v>
      </c>
      <c r="I42" s="65"/>
      <c r="J42" s="60"/>
      <c r="K42" s="12" t="s">
        <v>112</v>
      </c>
      <c r="L42" s="12" t="s">
        <v>112</v>
      </c>
      <c r="M42" s="12" t="s">
        <v>112</v>
      </c>
      <c r="N42" s="12" t="s">
        <v>112</v>
      </c>
      <c r="O42" s="12" t="s">
        <v>112</v>
      </c>
      <c r="P42" s="12" t="s">
        <v>112</v>
      </c>
      <c r="Q42" s="60"/>
      <c r="R42" s="12" t="s">
        <v>112</v>
      </c>
      <c r="S42" s="12" t="s">
        <v>111</v>
      </c>
      <c r="T42" s="12" t="s">
        <v>113</v>
      </c>
      <c r="U42" s="12" t="s">
        <v>113</v>
      </c>
      <c r="V42" s="12" t="s">
        <v>113</v>
      </c>
      <c r="W42" s="12" t="s">
        <v>113</v>
      </c>
      <c r="X42" s="60"/>
      <c r="Y42" s="12" t="s">
        <v>113</v>
      </c>
      <c r="Z42" s="12" t="s">
        <v>113</v>
      </c>
      <c r="AA42" s="12" t="s">
        <v>113</v>
      </c>
      <c r="AB42" s="12" t="s">
        <v>113</v>
      </c>
      <c r="AC42" s="12" t="s">
        <v>113</v>
      </c>
      <c r="AD42" s="12" t="s">
        <v>111</v>
      </c>
      <c r="AE42" s="60"/>
      <c r="AF42" s="12" t="s">
        <v>112</v>
      </c>
      <c r="AG42" s="12" t="s">
        <v>111</v>
      </c>
      <c r="AH42" s="12" t="s">
        <v>111</v>
      </c>
      <c r="AI42" s="12" t="s">
        <v>111</v>
      </c>
      <c r="AJ42" s="5">
        <f t="shared" si="1"/>
        <v>12</v>
      </c>
      <c r="AK42" s="5">
        <f t="shared" si="2"/>
        <v>5</v>
      </c>
    </row>
    <row r="43" spans="1:37" ht="16.5" x14ac:dyDescent="0.25">
      <c r="A43" s="13">
        <v>13</v>
      </c>
      <c r="B43" s="16" t="s">
        <v>371</v>
      </c>
      <c r="C43" s="17" t="s">
        <v>372</v>
      </c>
      <c r="D43" s="10" t="s">
        <v>327</v>
      </c>
      <c r="E43" s="26" t="s">
        <v>112</v>
      </c>
      <c r="F43" s="26" t="s">
        <v>112</v>
      </c>
      <c r="G43" s="26" t="s">
        <v>112</v>
      </c>
      <c r="H43" s="26" t="s">
        <v>112</v>
      </c>
      <c r="I43" s="65"/>
      <c r="J43" s="60"/>
      <c r="K43" s="12" t="s">
        <v>112</v>
      </c>
      <c r="L43" s="12" t="s">
        <v>112</v>
      </c>
      <c r="M43" s="12" t="s">
        <v>111</v>
      </c>
      <c r="N43" s="12" t="s">
        <v>112</v>
      </c>
      <c r="O43" s="12" t="s">
        <v>112</v>
      </c>
      <c r="P43" s="12" t="s">
        <v>112</v>
      </c>
      <c r="Q43" s="60"/>
      <c r="R43" s="12" t="s">
        <v>112</v>
      </c>
      <c r="S43" s="12" t="s">
        <v>112</v>
      </c>
      <c r="T43" s="12" t="s">
        <v>112</v>
      </c>
      <c r="U43" s="12" t="s">
        <v>111</v>
      </c>
      <c r="V43" s="12" t="s">
        <v>112</v>
      </c>
      <c r="W43" s="12" t="s">
        <v>112</v>
      </c>
      <c r="X43" s="60"/>
      <c r="Y43" s="12" t="s">
        <v>111</v>
      </c>
      <c r="Z43" s="12" t="s">
        <v>112</v>
      </c>
      <c r="AA43" s="12" t="s">
        <v>112</v>
      </c>
      <c r="AB43" s="12" t="s">
        <v>112</v>
      </c>
      <c r="AC43" s="12" t="s">
        <v>112</v>
      </c>
      <c r="AD43" s="12" t="s">
        <v>111</v>
      </c>
      <c r="AE43" s="60"/>
      <c r="AF43" s="12" t="s">
        <v>112</v>
      </c>
      <c r="AG43" s="12" t="s">
        <v>112</v>
      </c>
      <c r="AH43" s="12" t="s">
        <v>112</v>
      </c>
      <c r="AI43" s="12" t="s">
        <v>112</v>
      </c>
      <c r="AJ43" s="5">
        <f t="shared" si="1"/>
        <v>22</v>
      </c>
      <c r="AK43" s="5">
        <f t="shared" si="2"/>
        <v>4</v>
      </c>
    </row>
    <row r="44" spans="1:37" ht="16.5" x14ac:dyDescent="0.25">
      <c r="A44" s="6">
        <v>14</v>
      </c>
      <c r="B44" s="16" t="s">
        <v>373</v>
      </c>
      <c r="C44" s="17" t="s">
        <v>96</v>
      </c>
      <c r="D44" s="10" t="s">
        <v>327</v>
      </c>
      <c r="E44" s="26" t="s">
        <v>112</v>
      </c>
      <c r="F44" s="26" t="s">
        <v>112</v>
      </c>
      <c r="G44" s="26" t="s">
        <v>112</v>
      </c>
      <c r="H44" s="26" t="s">
        <v>112</v>
      </c>
      <c r="I44" s="65"/>
      <c r="J44" s="60"/>
      <c r="K44" s="12" t="s">
        <v>112</v>
      </c>
      <c r="L44" s="12" t="s">
        <v>112</v>
      </c>
      <c r="M44" s="12" t="s">
        <v>112</v>
      </c>
      <c r="N44" s="12" t="s">
        <v>112</v>
      </c>
      <c r="O44" s="12" t="s">
        <v>112</v>
      </c>
      <c r="P44" s="12" t="s">
        <v>112</v>
      </c>
      <c r="Q44" s="60"/>
      <c r="R44" s="12" t="s">
        <v>112</v>
      </c>
      <c r="S44" s="12" t="s">
        <v>112</v>
      </c>
      <c r="T44" s="12" t="s">
        <v>112</v>
      </c>
      <c r="U44" s="12" t="s">
        <v>112</v>
      </c>
      <c r="V44" s="12" t="s">
        <v>112</v>
      </c>
      <c r="W44" s="12" t="s">
        <v>112</v>
      </c>
      <c r="X44" s="60"/>
      <c r="Y44" s="12" t="s">
        <v>112</v>
      </c>
      <c r="Z44" s="12" t="s">
        <v>112</v>
      </c>
      <c r="AA44" s="12" t="s">
        <v>112</v>
      </c>
      <c r="AB44" s="12" t="s">
        <v>112</v>
      </c>
      <c r="AC44" s="12" t="s">
        <v>112</v>
      </c>
      <c r="AD44" s="12" t="s">
        <v>112</v>
      </c>
      <c r="AE44" s="60"/>
      <c r="AF44" s="12" t="s">
        <v>112</v>
      </c>
      <c r="AG44" s="12" t="s">
        <v>112</v>
      </c>
      <c r="AH44" s="12" t="s">
        <v>112</v>
      </c>
      <c r="AI44" s="12" t="s">
        <v>112</v>
      </c>
      <c r="AJ44" s="5">
        <f t="shared" si="1"/>
        <v>26</v>
      </c>
      <c r="AK44" s="5">
        <f t="shared" si="2"/>
        <v>0</v>
      </c>
    </row>
    <row r="45" spans="1:37" ht="16.5" x14ac:dyDescent="0.25">
      <c r="A45" s="13">
        <v>15</v>
      </c>
      <c r="B45" s="16" t="s">
        <v>374</v>
      </c>
      <c r="C45" s="17" t="s">
        <v>375</v>
      </c>
      <c r="D45" s="10" t="s">
        <v>327</v>
      </c>
      <c r="E45" s="26" t="s">
        <v>112</v>
      </c>
      <c r="F45" s="26" t="s">
        <v>112</v>
      </c>
      <c r="G45" s="26" t="s">
        <v>111</v>
      </c>
      <c r="H45" s="26" t="s">
        <v>112</v>
      </c>
      <c r="I45" s="65"/>
      <c r="J45" s="60"/>
      <c r="K45" s="12" t="s">
        <v>112</v>
      </c>
      <c r="L45" s="12" t="s">
        <v>112</v>
      </c>
      <c r="M45" s="12" t="s">
        <v>111</v>
      </c>
      <c r="N45" s="12" t="s">
        <v>112</v>
      </c>
      <c r="O45" s="12" t="s">
        <v>112</v>
      </c>
      <c r="P45" s="12" t="s">
        <v>111</v>
      </c>
      <c r="Q45" s="60"/>
      <c r="R45" s="12" t="s">
        <v>112</v>
      </c>
      <c r="S45" s="12" t="s">
        <v>112</v>
      </c>
      <c r="T45" s="12" t="s">
        <v>112</v>
      </c>
      <c r="U45" s="12" t="s">
        <v>111</v>
      </c>
      <c r="V45" s="12" t="s">
        <v>112</v>
      </c>
      <c r="W45" s="12" t="s">
        <v>112</v>
      </c>
      <c r="X45" s="60"/>
      <c r="Y45" s="12" t="s">
        <v>112</v>
      </c>
      <c r="Z45" s="12" t="s">
        <v>112</v>
      </c>
      <c r="AA45" s="12" t="s">
        <v>112</v>
      </c>
      <c r="AB45" s="12" t="s">
        <v>112</v>
      </c>
      <c r="AC45" s="12" t="s">
        <v>111</v>
      </c>
      <c r="AD45" s="12" t="s">
        <v>112</v>
      </c>
      <c r="AE45" s="60"/>
      <c r="AF45" s="12" t="s">
        <v>112</v>
      </c>
      <c r="AG45" s="12" t="s">
        <v>112</v>
      </c>
      <c r="AH45" s="12" t="s">
        <v>112</v>
      </c>
      <c r="AI45" s="12" t="s">
        <v>112</v>
      </c>
      <c r="AJ45" s="5">
        <f t="shared" si="1"/>
        <v>21</v>
      </c>
      <c r="AK45" s="5">
        <f t="shared" si="2"/>
        <v>5</v>
      </c>
    </row>
    <row r="46" spans="1:37" ht="16.5" x14ac:dyDescent="0.25">
      <c r="A46" s="6">
        <v>16</v>
      </c>
      <c r="B46" s="16" t="s">
        <v>376</v>
      </c>
      <c r="C46" s="17" t="s">
        <v>180</v>
      </c>
      <c r="D46" s="10" t="s">
        <v>327</v>
      </c>
      <c r="E46" s="26" t="s">
        <v>112</v>
      </c>
      <c r="F46" s="26" t="s">
        <v>112</v>
      </c>
      <c r="G46" s="26" t="s">
        <v>112</v>
      </c>
      <c r="H46" s="26" t="s">
        <v>112</v>
      </c>
      <c r="I46" s="65"/>
      <c r="J46" s="60"/>
      <c r="K46" s="12" t="s">
        <v>112</v>
      </c>
      <c r="L46" s="12" t="s">
        <v>112</v>
      </c>
      <c r="M46" s="12" t="s">
        <v>112</v>
      </c>
      <c r="N46" s="12" t="s">
        <v>112</v>
      </c>
      <c r="O46" s="12" t="s">
        <v>112</v>
      </c>
      <c r="P46" s="12" t="s">
        <v>112</v>
      </c>
      <c r="Q46" s="60"/>
      <c r="R46" s="12" t="s">
        <v>112</v>
      </c>
      <c r="S46" s="12" t="s">
        <v>112</v>
      </c>
      <c r="T46" s="12" t="s">
        <v>112</v>
      </c>
      <c r="U46" s="12" t="s">
        <v>112</v>
      </c>
      <c r="V46" s="12" t="s">
        <v>112</v>
      </c>
      <c r="W46" s="12" t="s">
        <v>112</v>
      </c>
      <c r="X46" s="60"/>
      <c r="Y46" s="12" t="s">
        <v>112</v>
      </c>
      <c r="Z46" s="12" t="s">
        <v>112</v>
      </c>
      <c r="AA46" s="12" t="s">
        <v>112</v>
      </c>
      <c r="AB46" s="12" t="s">
        <v>112</v>
      </c>
      <c r="AC46" s="12" t="s">
        <v>112</v>
      </c>
      <c r="AD46" s="12" t="s">
        <v>112</v>
      </c>
      <c r="AE46" s="60"/>
      <c r="AF46" s="12" t="s">
        <v>112</v>
      </c>
      <c r="AG46" s="12" t="s">
        <v>112</v>
      </c>
      <c r="AH46" s="12" t="s">
        <v>112</v>
      </c>
      <c r="AI46" s="12" t="s">
        <v>112</v>
      </c>
      <c r="AJ46" s="5">
        <f t="shared" si="1"/>
        <v>26</v>
      </c>
      <c r="AK46" s="5">
        <f t="shared" si="2"/>
        <v>0</v>
      </c>
    </row>
    <row r="47" spans="1:37" ht="16.5" x14ac:dyDescent="0.25">
      <c r="A47" s="13">
        <v>17</v>
      </c>
      <c r="B47" s="16" t="s">
        <v>377</v>
      </c>
      <c r="C47" s="17" t="s">
        <v>378</v>
      </c>
      <c r="D47" s="10" t="s">
        <v>327</v>
      </c>
      <c r="E47" s="26" t="s">
        <v>111</v>
      </c>
      <c r="F47" s="26" t="s">
        <v>112</v>
      </c>
      <c r="G47" s="26" t="s">
        <v>112</v>
      </c>
      <c r="H47" s="26" t="s">
        <v>111</v>
      </c>
      <c r="I47" s="65"/>
      <c r="J47" s="60"/>
      <c r="K47" s="12" t="s">
        <v>112</v>
      </c>
      <c r="L47" s="12" t="s">
        <v>112</v>
      </c>
      <c r="M47" s="12" t="s">
        <v>112</v>
      </c>
      <c r="N47" s="12" t="s">
        <v>112</v>
      </c>
      <c r="O47" s="12" t="s">
        <v>112</v>
      </c>
      <c r="P47" s="12" t="s">
        <v>112</v>
      </c>
      <c r="Q47" s="60"/>
      <c r="R47" s="12" t="s">
        <v>112</v>
      </c>
      <c r="S47" s="12" t="s">
        <v>112</v>
      </c>
      <c r="T47" s="12" t="s">
        <v>112</v>
      </c>
      <c r="U47" s="12" t="s">
        <v>112</v>
      </c>
      <c r="V47" s="12" t="s">
        <v>112</v>
      </c>
      <c r="W47" s="12" t="s">
        <v>112</v>
      </c>
      <c r="X47" s="60"/>
      <c r="Y47" s="12" t="s">
        <v>112</v>
      </c>
      <c r="Z47" s="12" t="s">
        <v>111</v>
      </c>
      <c r="AA47" s="12" t="s">
        <v>111</v>
      </c>
      <c r="AB47" s="12" t="s">
        <v>111</v>
      </c>
      <c r="AC47" s="12" t="s">
        <v>111</v>
      </c>
      <c r="AD47" s="12" t="s">
        <v>112</v>
      </c>
      <c r="AE47" s="60"/>
      <c r="AF47" s="12" t="s">
        <v>112</v>
      </c>
      <c r="AG47" s="12" t="s">
        <v>112</v>
      </c>
      <c r="AH47" s="12" t="s">
        <v>112</v>
      </c>
      <c r="AI47" s="12" t="s">
        <v>112</v>
      </c>
      <c r="AJ47" s="5">
        <f t="shared" si="1"/>
        <v>20</v>
      </c>
      <c r="AK47" s="5">
        <f t="shared" si="2"/>
        <v>6</v>
      </c>
    </row>
    <row r="48" spans="1:37" ht="16.5" x14ac:dyDescent="0.25">
      <c r="A48" s="6">
        <v>18</v>
      </c>
      <c r="B48" s="16" t="s">
        <v>379</v>
      </c>
      <c r="C48" s="17" t="s">
        <v>58</v>
      </c>
      <c r="D48" s="10" t="s">
        <v>327</v>
      </c>
      <c r="E48" s="26" t="s">
        <v>112</v>
      </c>
      <c r="F48" s="26" t="s">
        <v>112</v>
      </c>
      <c r="G48" s="26" t="s">
        <v>112</v>
      </c>
      <c r="H48" s="26" t="s">
        <v>112</v>
      </c>
      <c r="I48" s="65"/>
      <c r="J48" s="60"/>
      <c r="K48" s="12" t="s">
        <v>112</v>
      </c>
      <c r="L48" s="12" t="s">
        <v>112</v>
      </c>
      <c r="M48" s="12" t="s">
        <v>112</v>
      </c>
      <c r="N48" s="12" t="s">
        <v>112</v>
      </c>
      <c r="O48" s="12" t="s">
        <v>112</v>
      </c>
      <c r="P48" s="12" t="s">
        <v>111</v>
      </c>
      <c r="Q48" s="60"/>
      <c r="R48" s="12" t="s">
        <v>112</v>
      </c>
      <c r="S48" s="12" t="s">
        <v>112</v>
      </c>
      <c r="T48" s="12" t="s">
        <v>112</v>
      </c>
      <c r="U48" s="12" t="s">
        <v>112</v>
      </c>
      <c r="V48" s="12" t="s">
        <v>112</v>
      </c>
      <c r="W48" s="12" t="s">
        <v>111</v>
      </c>
      <c r="X48" s="60"/>
      <c r="Y48" s="12" t="s">
        <v>112</v>
      </c>
      <c r="Z48" s="12" t="s">
        <v>112</v>
      </c>
      <c r="AA48" s="12" t="s">
        <v>112</v>
      </c>
      <c r="AB48" s="12" t="s">
        <v>112</v>
      </c>
      <c r="AC48" s="12" t="s">
        <v>112</v>
      </c>
      <c r="AD48" s="12" t="s">
        <v>112</v>
      </c>
      <c r="AE48" s="60"/>
      <c r="AF48" s="12" t="s">
        <v>112</v>
      </c>
      <c r="AG48" s="12" t="s">
        <v>112</v>
      </c>
      <c r="AH48" s="12" t="s">
        <v>112</v>
      </c>
      <c r="AI48" s="12" t="s">
        <v>112</v>
      </c>
      <c r="AJ48" s="5">
        <f t="shared" si="1"/>
        <v>24</v>
      </c>
      <c r="AK48" s="5">
        <f t="shared" si="2"/>
        <v>2</v>
      </c>
    </row>
    <row r="49" spans="1:37" ht="16.5" x14ac:dyDescent="0.25">
      <c r="A49" s="13">
        <v>19</v>
      </c>
      <c r="B49" s="16" t="s">
        <v>380</v>
      </c>
      <c r="C49" s="17" t="s">
        <v>381</v>
      </c>
      <c r="D49" s="10" t="s">
        <v>327</v>
      </c>
      <c r="E49" s="26" t="s">
        <v>112</v>
      </c>
      <c r="F49" s="26" t="s">
        <v>112</v>
      </c>
      <c r="G49" s="26" t="s">
        <v>112</v>
      </c>
      <c r="H49" s="26" t="s">
        <v>112</v>
      </c>
      <c r="I49" s="65"/>
      <c r="J49" s="60"/>
      <c r="K49" s="12" t="s">
        <v>112</v>
      </c>
      <c r="L49" s="12" t="s">
        <v>112</v>
      </c>
      <c r="M49" s="12" t="s">
        <v>112</v>
      </c>
      <c r="N49" s="12" t="s">
        <v>112</v>
      </c>
      <c r="O49" s="12" t="s">
        <v>112</v>
      </c>
      <c r="P49" s="12" t="s">
        <v>111</v>
      </c>
      <c r="Q49" s="60"/>
      <c r="R49" s="12" t="s">
        <v>112</v>
      </c>
      <c r="S49" s="12" t="s">
        <v>112</v>
      </c>
      <c r="T49" s="12" t="s">
        <v>112</v>
      </c>
      <c r="U49" s="12" t="s">
        <v>112</v>
      </c>
      <c r="V49" s="12" t="s">
        <v>112</v>
      </c>
      <c r="W49" s="12" t="s">
        <v>112</v>
      </c>
      <c r="X49" s="60"/>
      <c r="Y49" s="12" t="s">
        <v>112</v>
      </c>
      <c r="Z49" s="12" t="s">
        <v>112</v>
      </c>
      <c r="AA49" s="12" t="s">
        <v>112</v>
      </c>
      <c r="AB49" s="12" t="s">
        <v>112</v>
      </c>
      <c r="AC49" s="12" t="s">
        <v>112</v>
      </c>
      <c r="AD49" s="12" t="s">
        <v>111</v>
      </c>
      <c r="AE49" s="60"/>
      <c r="AF49" s="12" t="s">
        <v>112</v>
      </c>
      <c r="AG49" s="12" t="s">
        <v>112</v>
      </c>
      <c r="AH49" s="12" t="s">
        <v>112</v>
      </c>
      <c r="AI49" s="12" t="s">
        <v>112</v>
      </c>
      <c r="AJ49" s="5">
        <f t="shared" si="1"/>
        <v>24</v>
      </c>
      <c r="AK49" s="5">
        <f t="shared" si="2"/>
        <v>2</v>
      </c>
    </row>
    <row r="50" spans="1:37" ht="16.5" x14ac:dyDescent="0.25">
      <c r="A50" s="6">
        <v>20</v>
      </c>
      <c r="B50" s="16" t="s">
        <v>382</v>
      </c>
      <c r="C50" s="17" t="s">
        <v>383</v>
      </c>
      <c r="D50" s="10" t="s">
        <v>327</v>
      </c>
      <c r="E50" s="26" t="s">
        <v>112</v>
      </c>
      <c r="F50" s="26" t="s">
        <v>112</v>
      </c>
      <c r="G50" s="26" t="s">
        <v>112</v>
      </c>
      <c r="H50" s="26" t="s">
        <v>112</v>
      </c>
      <c r="I50" s="65"/>
      <c r="J50" s="60"/>
      <c r="K50" s="12" t="s">
        <v>112</v>
      </c>
      <c r="L50" s="12" t="s">
        <v>112</v>
      </c>
      <c r="M50" s="12" t="s">
        <v>112</v>
      </c>
      <c r="N50" s="12" t="s">
        <v>112</v>
      </c>
      <c r="O50" s="12" t="s">
        <v>112</v>
      </c>
      <c r="P50" s="12" t="s">
        <v>112</v>
      </c>
      <c r="Q50" s="60"/>
      <c r="R50" s="12" t="s">
        <v>112</v>
      </c>
      <c r="S50" s="12" t="s">
        <v>112</v>
      </c>
      <c r="T50" s="12" t="s">
        <v>112</v>
      </c>
      <c r="U50" s="12" t="s">
        <v>112</v>
      </c>
      <c r="V50" s="12" t="s">
        <v>112</v>
      </c>
      <c r="W50" s="12" t="s">
        <v>112</v>
      </c>
      <c r="X50" s="60"/>
      <c r="Y50" s="12" t="s">
        <v>112</v>
      </c>
      <c r="Z50" s="12" t="s">
        <v>112</v>
      </c>
      <c r="AA50" s="12" t="s">
        <v>112</v>
      </c>
      <c r="AB50" s="12" t="s">
        <v>112</v>
      </c>
      <c r="AC50" s="12" t="s">
        <v>112</v>
      </c>
      <c r="AD50" s="12" t="s">
        <v>112</v>
      </c>
      <c r="AE50" s="60"/>
      <c r="AF50" s="12" t="s">
        <v>112</v>
      </c>
      <c r="AG50" s="12" t="s">
        <v>112</v>
      </c>
      <c r="AH50" s="12" t="s">
        <v>112</v>
      </c>
      <c r="AI50" s="12" t="s">
        <v>112</v>
      </c>
      <c r="AJ50" s="5">
        <f t="shared" si="1"/>
        <v>26</v>
      </c>
      <c r="AK50" s="5">
        <f t="shared" si="2"/>
        <v>0</v>
      </c>
    </row>
    <row r="51" spans="1:37" ht="16.5" x14ac:dyDescent="0.25">
      <c r="A51" s="13">
        <v>21</v>
      </c>
      <c r="B51" s="16" t="s">
        <v>384</v>
      </c>
      <c r="C51" s="17" t="s">
        <v>385</v>
      </c>
      <c r="D51" s="10" t="s">
        <v>327</v>
      </c>
      <c r="E51" s="26" t="s">
        <v>111</v>
      </c>
      <c r="F51" s="26" t="s">
        <v>111</v>
      </c>
      <c r="G51" s="26" t="s">
        <v>111</v>
      </c>
      <c r="H51" s="26" t="s">
        <v>111</v>
      </c>
      <c r="I51" s="65"/>
      <c r="J51" s="60"/>
      <c r="K51" s="12" t="s">
        <v>112</v>
      </c>
      <c r="L51" s="12" t="s">
        <v>111</v>
      </c>
      <c r="M51" s="12" t="s">
        <v>111</v>
      </c>
      <c r="N51" s="12" t="s">
        <v>111</v>
      </c>
      <c r="O51" s="12" t="s">
        <v>112</v>
      </c>
      <c r="P51" s="12" t="s">
        <v>113</v>
      </c>
      <c r="Q51" s="60"/>
      <c r="R51" s="12" t="s">
        <v>113</v>
      </c>
      <c r="S51" s="12" t="s">
        <v>113</v>
      </c>
      <c r="T51" s="12" t="s">
        <v>113</v>
      </c>
      <c r="U51" s="12" t="s">
        <v>113</v>
      </c>
      <c r="V51" s="12" t="s">
        <v>113</v>
      </c>
      <c r="W51" s="12" t="s">
        <v>113</v>
      </c>
      <c r="X51" s="60"/>
      <c r="Y51" s="12" t="s">
        <v>112</v>
      </c>
      <c r="Z51" s="12" t="s">
        <v>112</v>
      </c>
      <c r="AA51" s="12" t="s">
        <v>112</v>
      </c>
      <c r="AB51" s="12" t="s">
        <v>112</v>
      </c>
      <c r="AC51" s="12" t="s">
        <v>111</v>
      </c>
      <c r="AD51" s="12" t="s">
        <v>111</v>
      </c>
      <c r="AE51" s="60"/>
      <c r="AF51" s="12" t="s">
        <v>111</v>
      </c>
      <c r="AG51" s="12" t="s">
        <v>111</v>
      </c>
      <c r="AH51" s="12" t="s">
        <v>111</v>
      </c>
      <c r="AI51" s="12" t="s">
        <v>111</v>
      </c>
      <c r="AJ51" s="5">
        <f t="shared" si="1"/>
        <v>6</v>
      </c>
      <c r="AK51" s="5">
        <f t="shared" si="2"/>
        <v>13</v>
      </c>
    </row>
    <row r="52" spans="1:37" ht="16.5" x14ac:dyDescent="0.25">
      <c r="A52" s="6">
        <v>22</v>
      </c>
      <c r="B52" s="16" t="s">
        <v>312</v>
      </c>
      <c r="C52" s="17" t="s">
        <v>386</v>
      </c>
      <c r="D52" s="10" t="s">
        <v>327</v>
      </c>
      <c r="E52" s="26" t="s">
        <v>112</v>
      </c>
      <c r="F52" s="26" t="s">
        <v>112</v>
      </c>
      <c r="G52" s="26" t="s">
        <v>112</v>
      </c>
      <c r="H52" s="26" t="s">
        <v>112</v>
      </c>
      <c r="I52" s="65"/>
      <c r="J52" s="60"/>
      <c r="K52" s="12" t="s">
        <v>111</v>
      </c>
      <c r="L52" s="12" t="s">
        <v>112</v>
      </c>
      <c r="M52" s="12" t="s">
        <v>111</v>
      </c>
      <c r="N52" s="12" t="s">
        <v>112</v>
      </c>
      <c r="O52" s="12" t="s">
        <v>112</v>
      </c>
      <c r="P52" s="12" t="s">
        <v>111</v>
      </c>
      <c r="Q52" s="60"/>
      <c r="R52" s="12" t="s">
        <v>112</v>
      </c>
      <c r="S52" s="12" t="s">
        <v>112</v>
      </c>
      <c r="T52" s="12" t="s">
        <v>112</v>
      </c>
      <c r="U52" s="12" t="s">
        <v>111</v>
      </c>
      <c r="V52" s="12" t="s">
        <v>112</v>
      </c>
      <c r="W52" s="12" t="s">
        <v>111</v>
      </c>
      <c r="X52" s="60"/>
      <c r="Y52" s="12" t="s">
        <v>112</v>
      </c>
      <c r="Z52" s="12" t="s">
        <v>112</v>
      </c>
      <c r="AA52" s="12" t="s">
        <v>111</v>
      </c>
      <c r="AB52" s="12" t="s">
        <v>111</v>
      </c>
      <c r="AC52" s="12" t="s">
        <v>111</v>
      </c>
      <c r="AD52" s="12" t="s">
        <v>111</v>
      </c>
      <c r="AE52" s="60"/>
      <c r="AF52" s="12" t="s">
        <v>112</v>
      </c>
      <c r="AG52" s="12" t="s">
        <v>112</v>
      </c>
      <c r="AH52" s="12" t="s">
        <v>112</v>
      </c>
      <c r="AI52" s="12" t="s">
        <v>112</v>
      </c>
      <c r="AJ52" s="5">
        <f t="shared" si="1"/>
        <v>17</v>
      </c>
      <c r="AK52" s="5">
        <f t="shared" si="2"/>
        <v>9</v>
      </c>
    </row>
    <row r="53" spans="1:37" ht="16.5" x14ac:dyDescent="0.25">
      <c r="A53" s="13">
        <v>23</v>
      </c>
      <c r="B53" s="16" t="s">
        <v>387</v>
      </c>
      <c r="C53" s="17" t="s">
        <v>388</v>
      </c>
      <c r="D53" s="10" t="s">
        <v>327</v>
      </c>
      <c r="E53" s="26" t="s">
        <v>112</v>
      </c>
      <c r="F53" s="26" t="s">
        <v>112</v>
      </c>
      <c r="G53" s="26" t="s">
        <v>112</v>
      </c>
      <c r="H53" s="26" t="s">
        <v>112</v>
      </c>
      <c r="I53" s="65"/>
      <c r="J53" s="60"/>
      <c r="K53" s="12" t="s">
        <v>111</v>
      </c>
      <c r="L53" s="12" t="s">
        <v>112</v>
      </c>
      <c r="M53" s="12" t="s">
        <v>112</v>
      </c>
      <c r="N53" s="12" t="s">
        <v>111</v>
      </c>
      <c r="O53" s="12" t="s">
        <v>112</v>
      </c>
      <c r="P53" s="12" t="s">
        <v>112</v>
      </c>
      <c r="Q53" s="60"/>
      <c r="R53" s="12" t="s">
        <v>112</v>
      </c>
      <c r="S53" s="12" t="s">
        <v>112</v>
      </c>
      <c r="T53" s="12" t="s">
        <v>112</v>
      </c>
      <c r="U53" s="12" t="s">
        <v>112</v>
      </c>
      <c r="V53" s="12" t="s">
        <v>112</v>
      </c>
      <c r="W53" s="12" t="s">
        <v>112</v>
      </c>
      <c r="X53" s="60"/>
      <c r="Y53" s="12" t="s">
        <v>112</v>
      </c>
      <c r="Z53" s="12" t="s">
        <v>113</v>
      </c>
      <c r="AA53" s="12" t="s">
        <v>113</v>
      </c>
      <c r="AB53" s="12" t="s">
        <v>113</v>
      </c>
      <c r="AC53" s="12" t="s">
        <v>113</v>
      </c>
      <c r="AD53" s="12" t="s">
        <v>113</v>
      </c>
      <c r="AE53" s="60"/>
      <c r="AF53" s="12" t="s">
        <v>113</v>
      </c>
      <c r="AG53" s="12" t="s">
        <v>113</v>
      </c>
      <c r="AH53" s="12" t="s">
        <v>113</v>
      </c>
      <c r="AI53" s="12" t="s">
        <v>113</v>
      </c>
      <c r="AJ53" s="5">
        <f t="shared" si="1"/>
        <v>15</v>
      </c>
      <c r="AK53" s="5">
        <f t="shared" si="2"/>
        <v>2</v>
      </c>
    </row>
    <row r="54" spans="1:37" ht="16.5" x14ac:dyDescent="0.25">
      <c r="A54" s="6">
        <v>24</v>
      </c>
      <c r="B54" s="16" t="s">
        <v>389</v>
      </c>
      <c r="C54" s="17" t="s">
        <v>383</v>
      </c>
      <c r="D54" s="10" t="s">
        <v>327</v>
      </c>
      <c r="E54" s="26" t="s">
        <v>112</v>
      </c>
      <c r="F54" s="26" t="s">
        <v>112</v>
      </c>
      <c r="G54" s="26" t="s">
        <v>112</v>
      </c>
      <c r="H54" s="26" t="s">
        <v>112</v>
      </c>
      <c r="I54" s="65"/>
      <c r="J54" s="60"/>
      <c r="K54" s="12" t="s">
        <v>112</v>
      </c>
      <c r="L54" s="12" t="s">
        <v>112</v>
      </c>
      <c r="M54" s="12" t="s">
        <v>112</v>
      </c>
      <c r="N54" s="12" t="s">
        <v>112</v>
      </c>
      <c r="O54" s="12" t="s">
        <v>112</v>
      </c>
      <c r="P54" s="12" t="s">
        <v>112</v>
      </c>
      <c r="Q54" s="60"/>
      <c r="R54" s="12" t="s">
        <v>112</v>
      </c>
      <c r="S54" s="12" t="s">
        <v>112</v>
      </c>
      <c r="T54" s="12" t="s">
        <v>112</v>
      </c>
      <c r="U54" s="12" t="s">
        <v>112</v>
      </c>
      <c r="V54" s="12" t="s">
        <v>112</v>
      </c>
      <c r="W54" s="12" t="s">
        <v>112</v>
      </c>
      <c r="X54" s="60"/>
      <c r="Y54" s="12" t="s">
        <v>112</v>
      </c>
      <c r="Z54" s="12" t="s">
        <v>112</v>
      </c>
      <c r="AA54" s="12" t="s">
        <v>112</v>
      </c>
      <c r="AB54" s="12" t="s">
        <v>112</v>
      </c>
      <c r="AC54" s="12" t="s">
        <v>112</v>
      </c>
      <c r="AD54" s="12" t="s">
        <v>112</v>
      </c>
      <c r="AE54" s="60"/>
      <c r="AF54" s="12" t="s">
        <v>112</v>
      </c>
      <c r="AG54" s="12" t="s">
        <v>112</v>
      </c>
      <c r="AH54" s="12" t="s">
        <v>112</v>
      </c>
      <c r="AI54" s="12" t="s">
        <v>112</v>
      </c>
      <c r="AJ54" s="5">
        <f t="shared" si="1"/>
        <v>26</v>
      </c>
      <c r="AK54" s="5">
        <f t="shared" si="2"/>
        <v>0</v>
      </c>
    </row>
    <row r="55" spans="1:37" ht="16.5" x14ac:dyDescent="0.25">
      <c r="A55" s="13">
        <v>25</v>
      </c>
      <c r="B55" s="16" t="s">
        <v>390</v>
      </c>
      <c r="C55" s="17" t="s">
        <v>391</v>
      </c>
      <c r="D55" s="10" t="s">
        <v>327</v>
      </c>
      <c r="E55" s="26" t="s">
        <v>112</v>
      </c>
      <c r="F55" s="26" t="s">
        <v>112</v>
      </c>
      <c r="G55" s="26" t="s">
        <v>112</v>
      </c>
      <c r="H55" s="26" t="s">
        <v>112</v>
      </c>
      <c r="I55" s="65"/>
      <c r="J55" s="60"/>
      <c r="K55" s="12" t="s">
        <v>112</v>
      </c>
      <c r="L55" s="12" t="s">
        <v>112</v>
      </c>
      <c r="M55" s="12" t="s">
        <v>111</v>
      </c>
      <c r="N55" s="12" t="s">
        <v>112</v>
      </c>
      <c r="O55" s="12" t="s">
        <v>111</v>
      </c>
      <c r="P55" s="12" t="s">
        <v>111</v>
      </c>
      <c r="Q55" s="60"/>
      <c r="R55" s="12" t="s">
        <v>112</v>
      </c>
      <c r="S55" s="12" t="s">
        <v>112</v>
      </c>
      <c r="T55" s="12" t="s">
        <v>112</v>
      </c>
      <c r="U55" s="12" t="s">
        <v>112</v>
      </c>
      <c r="V55" s="12" t="s">
        <v>112</v>
      </c>
      <c r="W55" s="12" t="s">
        <v>111</v>
      </c>
      <c r="X55" s="60"/>
      <c r="Y55" s="12" t="s">
        <v>112</v>
      </c>
      <c r="Z55" s="12" t="s">
        <v>112</v>
      </c>
      <c r="AA55" s="12" t="s">
        <v>112</v>
      </c>
      <c r="AB55" s="12" t="s">
        <v>112</v>
      </c>
      <c r="AC55" s="12" t="s">
        <v>112</v>
      </c>
      <c r="AD55" s="12" t="s">
        <v>112</v>
      </c>
      <c r="AE55" s="60"/>
      <c r="AF55" s="12" t="s">
        <v>112</v>
      </c>
      <c r="AG55" s="12" t="s">
        <v>112</v>
      </c>
      <c r="AH55" s="12" t="s">
        <v>111</v>
      </c>
      <c r="AI55" s="12" t="s">
        <v>111</v>
      </c>
      <c r="AJ55" s="5">
        <f t="shared" si="1"/>
        <v>20</v>
      </c>
      <c r="AK55" s="5">
        <f t="shared" si="2"/>
        <v>6</v>
      </c>
    </row>
    <row r="56" spans="1:37" ht="16.5" x14ac:dyDescent="0.25">
      <c r="A56" s="6">
        <v>26</v>
      </c>
      <c r="B56" s="16" t="s">
        <v>392</v>
      </c>
      <c r="C56" s="17" t="s">
        <v>393</v>
      </c>
      <c r="D56" s="10" t="s">
        <v>327</v>
      </c>
      <c r="E56" s="26" t="s">
        <v>112</v>
      </c>
      <c r="F56" s="26" t="s">
        <v>112</v>
      </c>
      <c r="G56" s="26" t="s">
        <v>112</v>
      </c>
      <c r="H56" s="26" t="s">
        <v>111</v>
      </c>
      <c r="I56" s="66"/>
      <c r="J56" s="61"/>
      <c r="K56" s="12" t="s">
        <v>112</v>
      </c>
      <c r="L56" s="12" t="s">
        <v>112</v>
      </c>
      <c r="M56" s="12" t="s">
        <v>112</v>
      </c>
      <c r="N56" s="12" t="s">
        <v>112</v>
      </c>
      <c r="O56" s="12" t="s">
        <v>112</v>
      </c>
      <c r="P56" s="12" t="s">
        <v>111</v>
      </c>
      <c r="Q56" s="61"/>
      <c r="R56" s="12" t="s">
        <v>111</v>
      </c>
      <c r="S56" s="12" t="s">
        <v>112</v>
      </c>
      <c r="T56" s="12" t="s">
        <v>112</v>
      </c>
      <c r="U56" s="12" t="s">
        <v>112</v>
      </c>
      <c r="V56" s="12" t="s">
        <v>112</v>
      </c>
      <c r="W56" s="12" t="s">
        <v>112</v>
      </c>
      <c r="X56" s="61"/>
      <c r="Y56" s="12" t="s">
        <v>112</v>
      </c>
      <c r="Z56" s="12" t="s">
        <v>112</v>
      </c>
      <c r="AA56" s="12" t="s">
        <v>112</v>
      </c>
      <c r="AB56" s="12" t="s">
        <v>112</v>
      </c>
      <c r="AC56" s="12" t="s">
        <v>112</v>
      </c>
      <c r="AD56" s="12" t="s">
        <v>112</v>
      </c>
      <c r="AE56" s="61"/>
      <c r="AF56" s="12" t="s">
        <v>112</v>
      </c>
      <c r="AG56" s="12" t="s">
        <v>112</v>
      </c>
      <c r="AH56" s="12" t="s">
        <v>112</v>
      </c>
      <c r="AI56" s="12" t="s">
        <v>112</v>
      </c>
      <c r="AJ56" s="5">
        <f t="shared" si="1"/>
        <v>23</v>
      </c>
      <c r="AK56" s="5">
        <f t="shared" si="2"/>
        <v>3</v>
      </c>
    </row>
  </sheetData>
  <mergeCells count="16">
    <mergeCell ref="A1:AK1"/>
    <mergeCell ref="A2:AK2"/>
    <mergeCell ref="A3:A4"/>
    <mergeCell ref="B3:B4"/>
    <mergeCell ref="C3:C4"/>
    <mergeCell ref="D3:D4"/>
    <mergeCell ref="AJ3:AJ4"/>
    <mergeCell ref="AK3:AK4"/>
    <mergeCell ref="AL3:AM3"/>
    <mergeCell ref="I5:I56"/>
    <mergeCell ref="J5:J56"/>
    <mergeCell ref="Q5:Q56"/>
    <mergeCell ref="X5:X56"/>
    <mergeCell ref="AE5:AE56"/>
    <mergeCell ref="AL9:AO9"/>
    <mergeCell ref="AL17:AO17"/>
  </mergeCells>
  <conditionalFormatting sqref="E6:H56">
    <cfRule type="cellIs" dxfId="173" priority="13" operator="equal">
      <formula>"L"</formula>
    </cfRule>
    <cfRule type="cellIs" dxfId="172" priority="14" operator="equal">
      <formula>"A"</formula>
    </cfRule>
    <cfRule type="cellIs" dxfId="171" priority="15" operator="equal">
      <formula>"P"</formula>
    </cfRule>
    <cfRule type="expression" dxfId="170" priority="16">
      <formula>IF(E$4=TODAY(),TRUE,FALSE)</formula>
    </cfRule>
    <cfRule type="expression" dxfId="169" priority="17">
      <formula>E$3="Sun"</formula>
    </cfRule>
  </conditionalFormatting>
  <conditionalFormatting sqref="E5:AE5 E4:AI4">
    <cfRule type="expression" dxfId="168" priority="27">
      <formula>IF(E$4=TODAY(),TRUE,FALSE)</formula>
    </cfRule>
  </conditionalFormatting>
  <conditionalFormatting sqref="E5:AE5">
    <cfRule type="cellIs" dxfId="167" priority="19" operator="equal">
      <formula>"L"</formula>
    </cfRule>
    <cfRule type="cellIs" dxfId="166" priority="20" operator="equal">
      <formula>"A"</formula>
    </cfRule>
    <cfRule type="cellIs" dxfId="165" priority="21" operator="equal">
      <formula>"P"</formula>
    </cfRule>
  </conditionalFormatting>
  <conditionalFormatting sqref="E3:AI4 E5:AE5">
    <cfRule type="expression" dxfId="164" priority="28">
      <formula>E$3="Sun"</formula>
    </cfRule>
  </conditionalFormatting>
  <conditionalFormatting sqref="AF5:AI56 K6:P56 R6:W56 Y6:AD56">
    <cfRule type="cellIs" dxfId="163" priority="8" operator="equal">
      <formula>"L"</formula>
    </cfRule>
    <cfRule type="cellIs" dxfId="162" priority="9" operator="equal">
      <formula>"A"</formula>
    </cfRule>
    <cfRule type="cellIs" dxfId="161" priority="10" operator="equal">
      <formula>"P"</formula>
    </cfRule>
    <cfRule type="expression" dxfId="160" priority="11">
      <formula>IF(K$4=TODAY(),TRUE,FALSE)</formula>
    </cfRule>
    <cfRule type="expression" dxfId="159" priority="12">
      <formula>K$3="Sun"</formula>
    </cfRule>
  </conditionalFormatting>
  <conditionalFormatting sqref="AJ3:AK3 AJ5:AK30">
    <cfRule type="expression" dxfId="158" priority="29">
      <formula>#REF!="Sun"</formula>
    </cfRule>
  </conditionalFormatting>
  <conditionalFormatting sqref="AJ31:AK56">
    <cfRule type="expression" dxfId="157" priority="18">
      <formula>#REF!="Sun"</formula>
    </cfRule>
  </conditionalFormatting>
  <conditionalFormatting sqref="AL5:AL7">
    <cfRule type="expression" dxfId="156" priority="5">
      <formula>AL$3="Sun"</formula>
    </cfRule>
  </conditionalFormatting>
  <conditionalFormatting sqref="AL10:AL13">
    <cfRule type="expression" dxfId="155" priority="2">
      <formula>AL$3="Sun"</formula>
    </cfRule>
  </conditionalFormatting>
  <conditionalFormatting sqref="AL18:AL21">
    <cfRule type="expression" dxfId="154" priority="1">
      <formula>AL$3="Sun"</formula>
    </cfRule>
  </conditionalFormatting>
  <conditionalFormatting sqref="AL4:AM4">
    <cfRule type="expression" dxfId="153" priority="6">
      <formula>AL$3="Sun"</formula>
    </cfRule>
  </conditionalFormatting>
  <conditionalFormatting sqref="AM10:AO10 AM18:AO18">
    <cfRule type="expression" dxfId="152" priority="7">
      <formula>AM$3="Sun"</formula>
    </cfRule>
  </conditionalFormatting>
  <conditionalFormatting sqref="AO19">
    <cfRule type="expression" dxfId="151" priority="4">
      <formula>AO$3="Sun"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0A59-656A-45CE-B2B0-502941C9CFE0}">
  <dimension ref="A1:AO60"/>
  <sheetViews>
    <sheetView topLeftCell="E1" workbookViewId="0">
      <selection activeCell="AN11" sqref="AN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22.5703125" style="1" bestFit="1" customWidth="1"/>
    <col min="4" max="4" width="6.42578125" style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4.570312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19" width="3.85546875" style="1"/>
    <col min="20" max="20" width="4.5703125" style="1" bestFit="1" customWidth="1"/>
    <col min="21" max="21" width="3.85546875" style="1"/>
    <col min="22" max="22" width="4.7109375" style="1" bestFit="1" customWidth="1"/>
    <col min="23" max="23" width="3.85546875" style="1"/>
    <col min="24" max="25" width="3.7109375" style="1" bestFit="1" customWidth="1"/>
    <col min="26" max="26" width="3.85546875" style="1"/>
    <col min="27" max="27" width="4.5703125" style="1" bestFit="1" customWidth="1"/>
    <col min="28" max="28" width="3.85546875" style="1"/>
    <col min="29" max="29" width="4.7109375" style="1" bestFit="1" customWidth="1"/>
    <col min="30" max="30" width="4.7109375" style="1" customWidth="1"/>
    <col min="31" max="31" width="3.85546875" style="1"/>
    <col min="32" max="33" width="3.7109375" style="1" bestFit="1" customWidth="1"/>
    <col min="34" max="34" width="3.85546875" style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</row>
    <row r="2" spans="1:41" ht="17.25" x14ac:dyDescent="0.3">
      <c r="A2" s="46" t="s">
        <v>119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</row>
    <row r="3" spans="1:41" ht="15.75" x14ac:dyDescent="0.25">
      <c r="A3" s="62" t="s">
        <v>0</v>
      </c>
      <c r="B3" s="62" t="s">
        <v>1</v>
      </c>
      <c r="C3" s="62" t="s">
        <v>2</v>
      </c>
      <c r="D3" s="62" t="s">
        <v>3</v>
      </c>
      <c r="E3" s="2" t="str">
        <f t="shared" ref="E3:AI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48" t="s">
        <v>4</v>
      </c>
      <c r="AK3" s="48" t="s">
        <v>5</v>
      </c>
      <c r="AL3" s="49" t="s">
        <v>126</v>
      </c>
      <c r="AM3" s="50"/>
      <c r="AN3" s="3"/>
      <c r="AO3" s="3"/>
    </row>
    <row r="4" spans="1:41" ht="34.5" x14ac:dyDescent="0.25">
      <c r="A4" s="63"/>
      <c r="B4" s="63"/>
      <c r="C4" s="63"/>
      <c r="D4" s="63"/>
      <c r="E4" s="20">
        <v>45566</v>
      </c>
      <c r="F4" s="20">
        <v>45567</v>
      </c>
      <c r="G4" s="20">
        <v>45568</v>
      </c>
      <c r="H4" s="20">
        <v>45569</v>
      </c>
      <c r="I4" s="20">
        <v>45570</v>
      </c>
      <c r="J4" s="20">
        <v>45571</v>
      </c>
      <c r="K4" s="20">
        <v>45572</v>
      </c>
      <c r="L4" s="20">
        <v>45573</v>
      </c>
      <c r="M4" s="20">
        <v>45574</v>
      </c>
      <c r="N4" s="20">
        <v>45575</v>
      </c>
      <c r="O4" s="20">
        <v>45576</v>
      </c>
      <c r="P4" s="20">
        <v>45577</v>
      </c>
      <c r="Q4" s="20">
        <v>45578</v>
      </c>
      <c r="R4" s="20">
        <v>45579</v>
      </c>
      <c r="S4" s="20">
        <v>45580</v>
      </c>
      <c r="T4" s="20">
        <v>45581</v>
      </c>
      <c r="U4" s="20">
        <v>45582</v>
      </c>
      <c r="V4" s="20">
        <v>45583</v>
      </c>
      <c r="W4" s="20">
        <v>45584</v>
      </c>
      <c r="X4" s="20">
        <v>45585</v>
      </c>
      <c r="Y4" s="20">
        <v>45586</v>
      </c>
      <c r="Z4" s="20">
        <v>45587</v>
      </c>
      <c r="AA4" s="20">
        <v>45588</v>
      </c>
      <c r="AB4" s="20">
        <v>45589</v>
      </c>
      <c r="AC4" s="20">
        <v>45590</v>
      </c>
      <c r="AD4" s="20">
        <v>45591</v>
      </c>
      <c r="AE4" s="20">
        <v>45592</v>
      </c>
      <c r="AF4" s="20">
        <v>45593</v>
      </c>
      <c r="AG4" s="20">
        <v>45594</v>
      </c>
      <c r="AH4" s="20">
        <v>45595</v>
      </c>
      <c r="AI4" s="20">
        <v>45596</v>
      </c>
      <c r="AJ4" s="48"/>
      <c r="AK4" s="48"/>
      <c r="AL4" s="5" t="s">
        <v>127</v>
      </c>
      <c r="AM4" s="5">
        <f>SUM(AM5:AM7)</f>
        <v>31</v>
      </c>
      <c r="AN4" s="3"/>
      <c r="AO4" s="3"/>
    </row>
    <row r="5" spans="1:41" ht="15" customHeight="1" x14ac:dyDescent="0.25">
      <c r="A5" s="6">
        <v>1</v>
      </c>
      <c r="B5" s="16" t="s">
        <v>395</v>
      </c>
      <c r="C5" s="17" t="s">
        <v>396</v>
      </c>
      <c r="D5" s="10" t="s">
        <v>397</v>
      </c>
      <c r="E5" s="26" t="s">
        <v>112</v>
      </c>
      <c r="F5" s="26" t="s">
        <v>112</v>
      </c>
      <c r="G5" s="26" t="s">
        <v>112</v>
      </c>
      <c r="H5" s="26" t="s">
        <v>112</v>
      </c>
      <c r="I5" s="64" t="s">
        <v>328</v>
      </c>
      <c r="J5" s="59" t="s">
        <v>116</v>
      </c>
      <c r="K5" s="12" t="s">
        <v>112</v>
      </c>
      <c r="L5" s="12" t="s">
        <v>112</v>
      </c>
      <c r="M5" s="12" t="s">
        <v>112</v>
      </c>
      <c r="N5" s="12" t="s">
        <v>112</v>
      </c>
      <c r="O5" s="12" t="s">
        <v>112</v>
      </c>
      <c r="P5" s="12" t="s">
        <v>112</v>
      </c>
      <c r="Q5" s="59" t="s">
        <v>116</v>
      </c>
      <c r="R5" s="12" t="s">
        <v>112</v>
      </c>
      <c r="S5" s="12" t="s">
        <v>112</v>
      </c>
      <c r="T5" s="12" t="s">
        <v>112</v>
      </c>
      <c r="U5" s="12" t="s">
        <v>112</v>
      </c>
      <c r="V5" s="12" t="s">
        <v>112</v>
      </c>
      <c r="W5" s="12" t="s">
        <v>112</v>
      </c>
      <c r="X5" s="59" t="s">
        <v>116</v>
      </c>
      <c r="Y5" s="12" t="s">
        <v>111</v>
      </c>
      <c r="Z5" s="12" t="s">
        <v>112</v>
      </c>
      <c r="AA5" s="12" t="s">
        <v>112</v>
      </c>
      <c r="AB5" s="12" t="s">
        <v>112</v>
      </c>
      <c r="AC5" s="12" t="s">
        <v>112</v>
      </c>
      <c r="AD5" s="12" t="s">
        <v>111</v>
      </c>
      <c r="AE5" s="59" t="s">
        <v>116</v>
      </c>
      <c r="AF5" s="12" t="s">
        <v>112</v>
      </c>
      <c r="AG5" s="12" t="s">
        <v>112</v>
      </c>
      <c r="AH5" s="12" t="s">
        <v>112</v>
      </c>
      <c r="AI5" s="12" t="s">
        <v>112</v>
      </c>
      <c r="AJ5" s="5">
        <f t="shared" ref="AJ5:AJ60" si="1">COUNTIF(E5:AI5,"P")</f>
        <v>24</v>
      </c>
      <c r="AK5" s="5">
        <f t="shared" ref="AK5:AK60" si="2">COUNTIF(E5:AI5,"A")</f>
        <v>2</v>
      </c>
      <c r="AL5" s="5" t="s">
        <v>7</v>
      </c>
      <c r="AM5" s="13">
        <v>26</v>
      </c>
      <c r="AN5" s="14"/>
      <c r="AO5" s="3"/>
    </row>
    <row r="6" spans="1:41" ht="16.5" x14ac:dyDescent="0.25">
      <c r="A6" s="13">
        <v>2</v>
      </c>
      <c r="B6" s="16" t="s">
        <v>398</v>
      </c>
      <c r="C6" s="17" t="s">
        <v>399</v>
      </c>
      <c r="D6" s="10" t="s">
        <v>397</v>
      </c>
      <c r="E6" s="26" t="s">
        <v>112</v>
      </c>
      <c r="F6" s="26" t="s">
        <v>112</v>
      </c>
      <c r="G6" s="26" t="s">
        <v>112</v>
      </c>
      <c r="H6" s="26" t="s">
        <v>112</v>
      </c>
      <c r="I6" s="65"/>
      <c r="J6" s="60"/>
      <c r="K6" s="12" t="s">
        <v>112</v>
      </c>
      <c r="L6" s="12" t="s">
        <v>112</v>
      </c>
      <c r="M6" s="12" t="s">
        <v>112</v>
      </c>
      <c r="N6" s="12" t="s">
        <v>112</v>
      </c>
      <c r="O6" s="12" t="s">
        <v>112</v>
      </c>
      <c r="P6" s="12" t="s">
        <v>112</v>
      </c>
      <c r="Q6" s="60"/>
      <c r="R6" s="12" t="s">
        <v>112</v>
      </c>
      <c r="S6" s="12" t="s">
        <v>112</v>
      </c>
      <c r="T6" s="12" t="s">
        <v>112</v>
      </c>
      <c r="U6" s="12" t="s">
        <v>112</v>
      </c>
      <c r="V6" s="12" t="s">
        <v>112</v>
      </c>
      <c r="W6" s="12" t="s">
        <v>112</v>
      </c>
      <c r="X6" s="60"/>
      <c r="Y6" s="12" t="s">
        <v>112</v>
      </c>
      <c r="Z6" s="12" t="s">
        <v>112</v>
      </c>
      <c r="AA6" s="12" t="s">
        <v>112</v>
      </c>
      <c r="AB6" s="12" t="s">
        <v>112</v>
      </c>
      <c r="AC6" s="12" t="s">
        <v>112</v>
      </c>
      <c r="AD6" s="12" t="s">
        <v>112</v>
      </c>
      <c r="AE6" s="60"/>
      <c r="AF6" s="12" t="s">
        <v>112</v>
      </c>
      <c r="AG6" s="12" t="s">
        <v>112</v>
      </c>
      <c r="AH6" s="12" t="s">
        <v>112</v>
      </c>
      <c r="AI6" s="12" t="s">
        <v>112</v>
      </c>
      <c r="AJ6" s="5">
        <f t="shared" si="1"/>
        <v>26</v>
      </c>
      <c r="AK6" s="5">
        <f t="shared" si="2"/>
        <v>0</v>
      </c>
      <c r="AL6" s="5" t="s">
        <v>8</v>
      </c>
      <c r="AM6" s="13">
        <v>4</v>
      </c>
      <c r="AN6" s="3"/>
      <c r="AO6" s="3"/>
    </row>
    <row r="7" spans="1:41" ht="16.5" x14ac:dyDescent="0.25">
      <c r="A7" s="6">
        <v>3</v>
      </c>
      <c r="B7" s="16" t="s">
        <v>400</v>
      </c>
      <c r="C7" s="17" t="s">
        <v>401</v>
      </c>
      <c r="D7" s="10" t="s">
        <v>397</v>
      </c>
      <c r="E7" s="26" t="s">
        <v>112</v>
      </c>
      <c r="F7" s="26" t="s">
        <v>112</v>
      </c>
      <c r="G7" s="26" t="s">
        <v>112</v>
      </c>
      <c r="H7" s="26" t="s">
        <v>112</v>
      </c>
      <c r="I7" s="65"/>
      <c r="J7" s="60"/>
      <c r="K7" s="12" t="s">
        <v>112</v>
      </c>
      <c r="L7" s="12" t="s">
        <v>112</v>
      </c>
      <c r="M7" s="12" t="s">
        <v>111</v>
      </c>
      <c r="N7" s="12" t="s">
        <v>112</v>
      </c>
      <c r="O7" s="12" t="s">
        <v>112</v>
      </c>
      <c r="P7" s="12" t="s">
        <v>112</v>
      </c>
      <c r="Q7" s="60"/>
      <c r="R7" s="12" t="s">
        <v>112</v>
      </c>
      <c r="S7" s="12" t="s">
        <v>112</v>
      </c>
      <c r="T7" s="12" t="s">
        <v>112</v>
      </c>
      <c r="U7" s="12" t="s">
        <v>111</v>
      </c>
      <c r="V7" s="12" t="s">
        <v>112</v>
      </c>
      <c r="W7" s="12" t="s">
        <v>112</v>
      </c>
      <c r="X7" s="60"/>
      <c r="Y7" s="12" t="s">
        <v>112</v>
      </c>
      <c r="Z7" s="12" t="s">
        <v>112</v>
      </c>
      <c r="AA7" s="12" t="s">
        <v>112</v>
      </c>
      <c r="AB7" s="12" t="s">
        <v>112</v>
      </c>
      <c r="AC7" s="12" t="s">
        <v>112</v>
      </c>
      <c r="AD7" s="12" t="s">
        <v>112</v>
      </c>
      <c r="AE7" s="60"/>
      <c r="AF7" s="12" t="s">
        <v>112</v>
      </c>
      <c r="AG7" s="12" t="s">
        <v>112</v>
      </c>
      <c r="AH7" s="12" t="s">
        <v>112</v>
      </c>
      <c r="AI7" s="12" t="s">
        <v>112</v>
      </c>
      <c r="AJ7" s="5">
        <f t="shared" si="1"/>
        <v>24</v>
      </c>
      <c r="AK7" s="5">
        <f t="shared" si="2"/>
        <v>2</v>
      </c>
      <c r="AL7" s="5" t="s">
        <v>394</v>
      </c>
      <c r="AM7" s="13">
        <v>1</v>
      </c>
      <c r="AN7" s="3"/>
      <c r="AO7" s="3"/>
    </row>
    <row r="8" spans="1:41" ht="16.5" x14ac:dyDescent="0.25">
      <c r="A8" s="13">
        <v>4</v>
      </c>
      <c r="B8" s="16" t="s">
        <v>91</v>
      </c>
      <c r="C8" s="17" t="s">
        <v>402</v>
      </c>
      <c r="D8" s="10" t="s">
        <v>397</v>
      </c>
      <c r="E8" s="26" t="s">
        <v>112</v>
      </c>
      <c r="F8" s="26" t="s">
        <v>112</v>
      </c>
      <c r="G8" s="26" t="s">
        <v>112</v>
      </c>
      <c r="H8" s="26" t="s">
        <v>112</v>
      </c>
      <c r="I8" s="65"/>
      <c r="J8" s="60"/>
      <c r="K8" s="12" t="s">
        <v>112</v>
      </c>
      <c r="L8" s="12" t="s">
        <v>111</v>
      </c>
      <c r="M8" s="12" t="s">
        <v>112</v>
      </c>
      <c r="N8" s="12" t="s">
        <v>112</v>
      </c>
      <c r="O8" s="12" t="s">
        <v>112</v>
      </c>
      <c r="P8" s="12" t="s">
        <v>111</v>
      </c>
      <c r="Q8" s="60"/>
      <c r="R8" s="12" t="s">
        <v>112</v>
      </c>
      <c r="S8" s="12" t="s">
        <v>112</v>
      </c>
      <c r="T8" s="12" t="s">
        <v>112</v>
      </c>
      <c r="U8" s="12" t="s">
        <v>111</v>
      </c>
      <c r="V8" s="12" t="s">
        <v>112</v>
      </c>
      <c r="W8" s="12" t="s">
        <v>111</v>
      </c>
      <c r="X8" s="60"/>
      <c r="Y8" s="12" t="s">
        <v>112</v>
      </c>
      <c r="Z8" s="12" t="s">
        <v>112</v>
      </c>
      <c r="AA8" s="12" t="s">
        <v>111</v>
      </c>
      <c r="AB8" s="12" t="s">
        <v>112</v>
      </c>
      <c r="AC8" s="12" t="s">
        <v>111</v>
      </c>
      <c r="AD8" s="12" t="s">
        <v>111</v>
      </c>
      <c r="AE8" s="60"/>
      <c r="AF8" s="12" t="s">
        <v>111</v>
      </c>
      <c r="AG8" s="12" t="s">
        <v>112</v>
      </c>
      <c r="AH8" s="12" t="s">
        <v>112</v>
      </c>
      <c r="AI8" s="12" t="s">
        <v>112</v>
      </c>
      <c r="AJ8" s="5">
        <f t="shared" si="1"/>
        <v>18</v>
      </c>
      <c r="AK8" s="5">
        <f t="shared" si="2"/>
        <v>8</v>
      </c>
      <c r="AL8"/>
      <c r="AM8"/>
      <c r="AN8"/>
      <c r="AO8"/>
    </row>
    <row r="9" spans="1:41" ht="16.5" x14ac:dyDescent="0.25">
      <c r="A9" s="6">
        <v>5</v>
      </c>
      <c r="B9" s="16" t="s">
        <v>403</v>
      </c>
      <c r="C9" s="17" t="s">
        <v>404</v>
      </c>
      <c r="D9" s="10" t="s">
        <v>397</v>
      </c>
      <c r="E9" s="26" t="s">
        <v>112</v>
      </c>
      <c r="F9" s="26" t="s">
        <v>112</v>
      </c>
      <c r="G9" s="26" t="s">
        <v>112</v>
      </c>
      <c r="H9" s="26" t="s">
        <v>112</v>
      </c>
      <c r="I9" s="65"/>
      <c r="J9" s="60"/>
      <c r="K9" s="12" t="s">
        <v>111</v>
      </c>
      <c r="L9" s="12" t="s">
        <v>112</v>
      </c>
      <c r="M9" s="12" t="s">
        <v>112</v>
      </c>
      <c r="N9" s="12" t="s">
        <v>111</v>
      </c>
      <c r="O9" s="12" t="s">
        <v>112</v>
      </c>
      <c r="P9" s="12" t="s">
        <v>112</v>
      </c>
      <c r="Q9" s="60"/>
      <c r="R9" s="12" t="s">
        <v>112</v>
      </c>
      <c r="S9" s="12" t="s">
        <v>112</v>
      </c>
      <c r="T9" s="12" t="s">
        <v>112</v>
      </c>
      <c r="U9" s="12" t="s">
        <v>111</v>
      </c>
      <c r="V9" s="12" t="s">
        <v>112</v>
      </c>
      <c r="W9" s="12" t="s">
        <v>112</v>
      </c>
      <c r="X9" s="60"/>
      <c r="Y9" s="12" t="s">
        <v>112</v>
      </c>
      <c r="Z9" s="12" t="s">
        <v>112</v>
      </c>
      <c r="AA9" s="12" t="s">
        <v>112</v>
      </c>
      <c r="AB9" s="12" t="s">
        <v>111</v>
      </c>
      <c r="AC9" s="12" t="s">
        <v>112</v>
      </c>
      <c r="AD9" s="12" t="s">
        <v>112</v>
      </c>
      <c r="AE9" s="60"/>
      <c r="AF9" s="12" t="s">
        <v>111</v>
      </c>
      <c r="AG9" s="12" t="s">
        <v>112</v>
      </c>
      <c r="AH9" s="12" t="s">
        <v>112</v>
      </c>
      <c r="AI9" s="12" t="s">
        <v>112</v>
      </c>
      <c r="AJ9" s="5">
        <f t="shared" si="1"/>
        <v>21</v>
      </c>
      <c r="AK9" s="5">
        <f t="shared" si="2"/>
        <v>5</v>
      </c>
      <c r="AL9" s="49" t="s">
        <v>9</v>
      </c>
      <c r="AM9" s="50"/>
      <c r="AN9" s="50"/>
      <c r="AO9" s="52"/>
    </row>
    <row r="10" spans="1:41" ht="16.5" x14ac:dyDescent="0.25">
      <c r="A10" s="13">
        <v>6</v>
      </c>
      <c r="B10" s="16" t="s">
        <v>405</v>
      </c>
      <c r="C10" s="17" t="s">
        <v>406</v>
      </c>
      <c r="D10" s="10" t="s">
        <v>397</v>
      </c>
      <c r="E10" s="26" t="s">
        <v>112</v>
      </c>
      <c r="F10" s="26" t="s">
        <v>112</v>
      </c>
      <c r="G10" s="26" t="s">
        <v>112</v>
      </c>
      <c r="H10" s="26" t="s">
        <v>112</v>
      </c>
      <c r="I10" s="65"/>
      <c r="J10" s="60"/>
      <c r="K10" s="12" t="s">
        <v>112</v>
      </c>
      <c r="L10" s="12" t="s">
        <v>112</v>
      </c>
      <c r="M10" s="12" t="s">
        <v>112</v>
      </c>
      <c r="N10" s="12" t="s">
        <v>112</v>
      </c>
      <c r="O10" s="12" t="s">
        <v>112</v>
      </c>
      <c r="P10" s="12" t="s">
        <v>111</v>
      </c>
      <c r="Q10" s="60"/>
      <c r="R10" s="12" t="s">
        <v>112</v>
      </c>
      <c r="S10" s="12" t="s">
        <v>112</v>
      </c>
      <c r="T10" s="12" t="s">
        <v>112</v>
      </c>
      <c r="U10" s="12" t="s">
        <v>112</v>
      </c>
      <c r="V10" s="12" t="s">
        <v>112</v>
      </c>
      <c r="W10" s="12" t="s">
        <v>112</v>
      </c>
      <c r="X10" s="60"/>
      <c r="Y10" s="12" t="s">
        <v>112</v>
      </c>
      <c r="Z10" s="12" t="s">
        <v>112</v>
      </c>
      <c r="AA10" s="12" t="s">
        <v>112</v>
      </c>
      <c r="AB10" s="12" t="s">
        <v>112</v>
      </c>
      <c r="AC10" s="12" t="s">
        <v>112</v>
      </c>
      <c r="AD10" s="12" t="s">
        <v>112</v>
      </c>
      <c r="AE10" s="60"/>
      <c r="AF10" s="12" t="s">
        <v>112</v>
      </c>
      <c r="AG10" s="12" t="s">
        <v>112</v>
      </c>
      <c r="AH10" s="12" t="s">
        <v>112</v>
      </c>
      <c r="AI10" s="12" t="s">
        <v>112</v>
      </c>
      <c r="AJ10" s="5">
        <f t="shared" si="1"/>
        <v>25</v>
      </c>
      <c r="AK10" s="5">
        <f t="shared" si="2"/>
        <v>1</v>
      </c>
      <c r="AL10" s="5" t="s">
        <v>10</v>
      </c>
      <c r="AM10" s="5" t="s">
        <v>11</v>
      </c>
      <c r="AN10" s="5" t="s">
        <v>12</v>
      </c>
      <c r="AO10" s="5" t="s">
        <v>13</v>
      </c>
    </row>
    <row r="11" spans="1:41" ht="16.5" x14ac:dyDescent="0.25">
      <c r="A11" s="6">
        <v>7</v>
      </c>
      <c r="B11" s="16" t="s">
        <v>407</v>
      </c>
      <c r="C11" s="17" t="s">
        <v>290</v>
      </c>
      <c r="D11" s="10" t="s">
        <v>397</v>
      </c>
      <c r="E11" s="26" t="s">
        <v>112</v>
      </c>
      <c r="F11" s="26" t="s">
        <v>112</v>
      </c>
      <c r="G11" s="26" t="s">
        <v>112</v>
      </c>
      <c r="H11" s="26" t="s">
        <v>112</v>
      </c>
      <c r="I11" s="65"/>
      <c r="J11" s="60"/>
      <c r="K11" s="12" t="s">
        <v>112</v>
      </c>
      <c r="L11" s="12" t="s">
        <v>112</v>
      </c>
      <c r="M11" s="12" t="s">
        <v>112</v>
      </c>
      <c r="N11" s="12" t="s">
        <v>112</v>
      </c>
      <c r="O11" s="12" t="s">
        <v>112</v>
      </c>
      <c r="P11" s="12" t="s">
        <v>112</v>
      </c>
      <c r="Q11" s="60"/>
      <c r="R11" s="12" t="s">
        <v>112</v>
      </c>
      <c r="S11" s="12" t="s">
        <v>112</v>
      </c>
      <c r="T11" s="12" t="s">
        <v>112</v>
      </c>
      <c r="U11" s="12" t="s">
        <v>112</v>
      </c>
      <c r="V11" s="12" t="s">
        <v>112</v>
      </c>
      <c r="W11" s="12" t="s">
        <v>112</v>
      </c>
      <c r="X11" s="60"/>
      <c r="Y11" s="12" t="s">
        <v>112</v>
      </c>
      <c r="Z11" s="12" t="s">
        <v>112</v>
      </c>
      <c r="AA11" s="12" t="s">
        <v>112</v>
      </c>
      <c r="AB11" s="12" t="s">
        <v>112</v>
      </c>
      <c r="AC11" s="12" t="s">
        <v>112</v>
      </c>
      <c r="AD11" s="12" t="s">
        <v>112</v>
      </c>
      <c r="AE11" s="60"/>
      <c r="AF11" s="12" t="s">
        <v>112</v>
      </c>
      <c r="AG11" s="12" t="s">
        <v>111</v>
      </c>
      <c r="AH11" s="12" t="s">
        <v>111</v>
      </c>
      <c r="AI11" s="12" t="s">
        <v>112</v>
      </c>
      <c r="AJ11" s="5">
        <f t="shared" si="1"/>
        <v>24</v>
      </c>
      <c r="AK11" s="5">
        <f t="shared" si="2"/>
        <v>2</v>
      </c>
      <c r="AL11" s="5" t="s">
        <v>14</v>
      </c>
      <c r="AM11" s="13">
        <f>30*$AM$5</f>
        <v>780</v>
      </c>
      <c r="AN11" s="13">
        <f>26*$AM$5</f>
        <v>676</v>
      </c>
      <c r="AO11" s="13">
        <f>SUM(AM11:AN11)</f>
        <v>1456</v>
      </c>
    </row>
    <row r="12" spans="1:41" ht="16.5" x14ac:dyDescent="0.25">
      <c r="A12" s="13">
        <v>8</v>
      </c>
      <c r="B12" s="16" t="s">
        <v>408</v>
      </c>
      <c r="C12" s="17" t="s">
        <v>409</v>
      </c>
      <c r="D12" s="10" t="s">
        <v>397</v>
      </c>
      <c r="E12" s="26" t="s">
        <v>112</v>
      </c>
      <c r="F12" s="26" t="s">
        <v>112</v>
      </c>
      <c r="G12" s="26" t="s">
        <v>112</v>
      </c>
      <c r="H12" s="26" t="s">
        <v>112</v>
      </c>
      <c r="I12" s="65"/>
      <c r="J12" s="60"/>
      <c r="K12" s="12" t="s">
        <v>112</v>
      </c>
      <c r="L12" s="12" t="s">
        <v>112</v>
      </c>
      <c r="M12" s="12" t="s">
        <v>112</v>
      </c>
      <c r="N12" s="12" t="s">
        <v>112</v>
      </c>
      <c r="O12" s="12" t="s">
        <v>112</v>
      </c>
      <c r="P12" s="12" t="s">
        <v>112</v>
      </c>
      <c r="Q12" s="60"/>
      <c r="R12" s="12" t="s">
        <v>112</v>
      </c>
      <c r="S12" s="12" t="s">
        <v>112</v>
      </c>
      <c r="T12" s="12" t="s">
        <v>112</v>
      </c>
      <c r="U12" s="12" t="s">
        <v>112</v>
      </c>
      <c r="V12" s="12" t="s">
        <v>112</v>
      </c>
      <c r="W12" s="12" t="s">
        <v>112</v>
      </c>
      <c r="X12" s="60"/>
      <c r="Y12" s="12" t="s">
        <v>112</v>
      </c>
      <c r="Z12" s="12" t="s">
        <v>112</v>
      </c>
      <c r="AA12" s="12" t="s">
        <v>112</v>
      </c>
      <c r="AB12" s="12" t="s">
        <v>112</v>
      </c>
      <c r="AC12" s="12" t="s">
        <v>112</v>
      </c>
      <c r="AD12" s="12" t="s">
        <v>112</v>
      </c>
      <c r="AE12" s="60"/>
      <c r="AF12" s="12" t="s">
        <v>112</v>
      </c>
      <c r="AG12" s="12" t="s">
        <v>112</v>
      </c>
      <c r="AH12" s="12" t="s">
        <v>111</v>
      </c>
      <c r="AI12" s="12" t="s">
        <v>112</v>
      </c>
      <c r="AJ12" s="5">
        <f t="shared" si="1"/>
        <v>25</v>
      </c>
      <c r="AK12" s="5">
        <f t="shared" si="2"/>
        <v>1</v>
      </c>
      <c r="AL12" s="5" t="s">
        <v>15</v>
      </c>
      <c r="AM12" s="13">
        <f>SUM(AJ31:AJ60)</f>
        <v>627</v>
      </c>
      <c r="AN12" s="13">
        <f>SUM(AJ5:AJ30)</f>
        <v>567</v>
      </c>
      <c r="AO12" s="13">
        <f>AM12+AN12</f>
        <v>1194</v>
      </c>
    </row>
    <row r="13" spans="1:41" ht="16.5" x14ac:dyDescent="0.25">
      <c r="A13" s="6">
        <v>9</v>
      </c>
      <c r="B13" s="16" t="s">
        <v>336</v>
      </c>
      <c r="C13" s="17" t="s">
        <v>350</v>
      </c>
      <c r="D13" s="10" t="s">
        <v>397</v>
      </c>
      <c r="E13" s="26" t="s">
        <v>112</v>
      </c>
      <c r="F13" s="26" t="s">
        <v>112</v>
      </c>
      <c r="G13" s="26" t="s">
        <v>112</v>
      </c>
      <c r="H13" s="26" t="s">
        <v>112</v>
      </c>
      <c r="I13" s="65"/>
      <c r="J13" s="60"/>
      <c r="K13" s="12" t="s">
        <v>112</v>
      </c>
      <c r="L13" s="12" t="s">
        <v>112</v>
      </c>
      <c r="M13" s="12" t="s">
        <v>112</v>
      </c>
      <c r="N13" s="12" t="s">
        <v>112</v>
      </c>
      <c r="O13" s="12" t="s">
        <v>112</v>
      </c>
      <c r="P13" s="12" t="s">
        <v>112</v>
      </c>
      <c r="Q13" s="60"/>
      <c r="R13" s="12" t="s">
        <v>112</v>
      </c>
      <c r="S13" s="12" t="s">
        <v>112</v>
      </c>
      <c r="T13" s="12" t="s">
        <v>112</v>
      </c>
      <c r="U13" s="12" t="s">
        <v>112</v>
      </c>
      <c r="V13" s="12" t="s">
        <v>112</v>
      </c>
      <c r="W13" s="12" t="s">
        <v>112</v>
      </c>
      <c r="X13" s="60"/>
      <c r="Y13" s="12" t="s">
        <v>112</v>
      </c>
      <c r="Z13" s="12" t="s">
        <v>112</v>
      </c>
      <c r="AA13" s="12" t="s">
        <v>112</v>
      </c>
      <c r="AB13" s="12" t="s">
        <v>112</v>
      </c>
      <c r="AC13" s="12" t="s">
        <v>112</v>
      </c>
      <c r="AD13" s="12" t="s">
        <v>112</v>
      </c>
      <c r="AE13" s="60"/>
      <c r="AF13" s="12" t="s">
        <v>112</v>
      </c>
      <c r="AG13" s="12" t="s">
        <v>112</v>
      </c>
      <c r="AH13" s="12" t="s">
        <v>112</v>
      </c>
      <c r="AI13" s="12" t="s">
        <v>112</v>
      </c>
      <c r="AJ13" s="5">
        <f t="shared" si="1"/>
        <v>26</v>
      </c>
      <c r="AK13" s="5">
        <f t="shared" si="2"/>
        <v>0</v>
      </c>
      <c r="AL13" s="5" t="s">
        <v>16</v>
      </c>
      <c r="AM13" s="18">
        <f>AM12/AM11</f>
        <v>0.80384615384615388</v>
      </c>
      <c r="AN13" s="18">
        <f>AN12/AN11</f>
        <v>0.83875739644970415</v>
      </c>
      <c r="AO13" s="18">
        <f>AO12/AO11</f>
        <v>0.82005494505494503</v>
      </c>
    </row>
    <row r="14" spans="1:41" ht="16.5" x14ac:dyDescent="0.25">
      <c r="A14" s="13">
        <v>10</v>
      </c>
      <c r="B14" s="16" t="s">
        <v>336</v>
      </c>
      <c r="C14" s="17" t="s">
        <v>410</v>
      </c>
      <c r="D14" s="10" t="s">
        <v>397</v>
      </c>
      <c r="E14" s="26" t="s">
        <v>112</v>
      </c>
      <c r="F14" s="26" t="s">
        <v>112</v>
      </c>
      <c r="G14" s="26" t="s">
        <v>112</v>
      </c>
      <c r="H14" s="26" t="s">
        <v>112</v>
      </c>
      <c r="I14" s="65"/>
      <c r="J14" s="60"/>
      <c r="K14" s="12" t="s">
        <v>111</v>
      </c>
      <c r="L14" s="12" t="s">
        <v>112</v>
      </c>
      <c r="M14" s="12" t="s">
        <v>111</v>
      </c>
      <c r="N14" s="12" t="s">
        <v>112</v>
      </c>
      <c r="O14" s="12" t="s">
        <v>112</v>
      </c>
      <c r="P14" s="12" t="s">
        <v>112</v>
      </c>
      <c r="Q14" s="60"/>
      <c r="R14" s="12" t="s">
        <v>112</v>
      </c>
      <c r="S14" s="12" t="s">
        <v>112</v>
      </c>
      <c r="T14" s="12" t="s">
        <v>112</v>
      </c>
      <c r="U14" s="12" t="s">
        <v>112</v>
      </c>
      <c r="V14" s="12" t="s">
        <v>112</v>
      </c>
      <c r="W14" s="12" t="s">
        <v>112</v>
      </c>
      <c r="X14" s="60"/>
      <c r="Y14" s="12" t="s">
        <v>112</v>
      </c>
      <c r="Z14" s="12" t="s">
        <v>112</v>
      </c>
      <c r="AA14" s="12" t="s">
        <v>112</v>
      </c>
      <c r="AB14" s="12" t="s">
        <v>112</v>
      </c>
      <c r="AC14" s="12" t="s">
        <v>112</v>
      </c>
      <c r="AD14" s="12" t="s">
        <v>111</v>
      </c>
      <c r="AE14" s="60"/>
      <c r="AF14" s="12" t="s">
        <v>112</v>
      </c>
      <c r="AG14" s="12" t="s">
        <v>112</v>
      </c>
      <c r="AH14" s="12" t="s">
        <v>112</v>
      </c>
      <c r="AI14" s="12" t="s">
        <v>112</v>
      </c>
      <c r="AJ14" s="5">
        <f t="shared" si="1"/>
        <v>23</v>
      </c>
      <c r="AK14" s="5">
        <f t="shared" si="2"/>
        <v>3</v>
      </c>
      <c r="AL14"/>
      <c r="AM14"/>
      <c r="AN14"/>
      <c r="AO14"/>
    </row>
    <row r="15" spans="1:41" ht="16.5" x14ac:dyDescent="0.25">
      <c r="A15" s="6">
        <v>11</v>
      </c>
      <c r="B15" s="16" t="s">
        <v>411</v>
      </c>
      <c r="C15" s="17" t="s">
        <v>130</v>
      </c>
      <c r="D15" s="10" t="s">
        <v>397</v>
      </c>
      <c r="E15" s="26" t="s">
        <v>111</v>
      </c>
      <c r="F15" s="26" t="s">
        <v>111</v>
      </c>
      <c r="G15" s="26" t="s">
        <v>111</v>
      </c>
      <c r="H15" s="26" t="s">
        <v>111</v>
      </c>
      <c r="I15" s="65"/>
      <c r="J15" s="60"/>
      <c r="K15" s="12" t="s">
        <v>111</v>
      </c>
      <c r="L15" s="12" t="s">
        <v>111</v>
      </c>
      <c r="M15" s="12" t="s">
        <v>111</v>
      </c>
      <c r="N15" s="12" t="s">
        <v>111</v>
      </c>
      <c r="O15" s="12" t="s">
        <v>111</v>
      </c>
      <c r="P15" s="12" t="s">
        <v>111</v>
      </c>
      <c r="Q15" s="60"/>
      <c r="R15" s="12" t="s">
        <v>111</v>
      </c>
      <c r="S15" s="12" t="s">
        <v>111</v>
      </c>
      <c r="T15" s="12" t="s">
        <v>111</v>
      </c>
      <c r="U15" s="12" t="s">
        <v>111</v>
      </c>
      <c r="V15" s="12" t="s">
        <v>111</v>
      </c>
      <c r="W15" s="12" t="s">
        <v>111</v>
      </c>
      <c r="X15" s="60"/>
      <c r="Y15" s="12" t="s">
        <v>111</v>
      </c>
      <c r="Z15" s="12" t="s">
        <v>111</v>
      </c>
      <c r="AA15" s="12" t="s">
        <v>111</v>
      </c>
      <c r="AB15" s="12" t="s">
        <v>111</v>
      </c>
      <c r="AC15" s="12" t="s">
        <v>111</v>
      </c>
      <c r="AD15" s="12" t="s">
        <v>111</v>
      </c>
      <c r="AE15" s="60"/>
      <c r="AF15" s="12" t="s">
        <v>111</v>
      </c>
      <c r="AG15" s="12" t="s">
        <v>111</v>
      </c>
      <c r="AH15" s="12" t="s">
        <v>111</v>
      </c>
      <c r="AI15" s="12" t="s">
        <v>111</v>
      </c>
      <c r="AJ15" s="5">
        <f t="shared" si="1"/>
        <v>0</v>
      </c>
      <c r="AK15" s="5">
        <f t="shared" si="2"/>
        <v>26</v>
      </c>
      <c r="AL15"/>
      <c r="AM15"/>
      <c r="AN15"/>
      <c r="AO15"/>
    </row>
    <row r="16" spans="1:41" ht="16.5" x14ac:dyDescent="0.25">
      <c r="A16" s="13">
        <v>12</v>
      </c>
      <c r="B16" s="16" t="s">
        <v>412</v>
      </c>
      <c r="C16" s="17" t="s">
        <v>413</v>
      </c>
      <c r="D16" s="10" t="s">
        <v>397</v>
      </c>
      <c r="E16" s="26" t="s">
        <v>113</v>
      </c>
      <c r="F16" s="26" t="s">
        <v>113</v>
      </c>
      <c r="G16" s="26" t="s">
        <v>113</v>
      </c>
      <c r="H16" s="26" t="s">
        <v>112</v>
      </c>
      <c r="I16" s="65"/>
      <c r="J16" s="60"/>
      <c r="K16" s="12" t="s">
        <v>112</v>
      </c>
      <c r="L16" s="12" t="s">
        <v>112</v>
      </c>
      <c r="M16" s="12" t="s">
        <v>112</v>
      </c>
      <c r="N16" s="12" t="s">
        <v>112</v>
      </c>
      <c r="O16" s="12" t="s">
        <v>112</v>
      </c>
      <c r="P16" s="12" t="s">
        <v>112</v>
      </c>
      <c r="Q16" s="60"/>
      <c r="R16" s="12" t="s">
        <v>112</v>
      </c>
      <c r="S16" s="12" t="s">
        <v>112</v>
      </c>
      <c r="T16" s="12" t="s">
        <v>112</v>
      </c>
      <c r="U16" s="12" t="s">
        <v>112</v>
      </c>
      <c r="V16" s="12" t="s">
        <v>112</v>
      </c>
      <c r="W16" s="12" t="s">
        <v>112</v>
      </c>
      <c r="X16" s="60"/>
      <c r="Y16" s="12" t="s">
        <v>112</v>
      </c>
      <c r="Z16" s="12" t="s">
        <v>112</v>
      </c>
      <c r="AA16" s="12" t="s">
        <v>112</v>
      </c>
      <c r="AB16" s="12" t="s">
        <v>112</v>
      </c>
      <c r="AC16" s="12" t="s">
        <v>111</v>
      </c>
      <c r="AD16" s="12" t="s">
        <v>112</v>
      </c>
      <c r="AE16" s="60"/>
      <c r="AF16" s="12" t="s">
        <v>112</v>
      </c>
      <c r="AG16" s="12" t="s">
        <v>112</v>
      </c>
      <c r="AH16" s="12" t="s">
        <v>112</v>
      </c>
      <c r="AI16" s="12" t="s">
        <v>112</v>
      </c>
      <c r="AJ16" s="5">
        <f t="shared" si="1"/>
        <v>22</v>
      </c>
      <c r="AK16" s="5">
        <f t="shared" si="2"/>
        <v>1</v>
      </c>
      <c r="AL16"/>
      <c r="AM16"/>
      <c r="AN16"/>
      <c r="AO16"/>
    </row>
    <row r="17" spans="1:41" ht="16.5" x14ac:dyDescent="0.25">
      <c r="A17" s="6">
        <v>13</v>
      </c>
      <c r="B17" s="16" t="s">
        <v>414</v>
      </c>
      <c r="C17" s="17" t="s">
        <v>170</v>
      </c>
      <c r="D17" s="10" t="s">
        <v>397</v>
      </c>
      <c r="E17" s="26" t="s">
        <v>112</v>
      </c>
      <c r="F17" s="26" t="s">
        <v>112</v>
      </c>
      <c r="G17" s="26" t="s">
        <v>112</v>
      </c>
      <c r="H17" s="26" t="s">
        <v>112</v>
      </c>
      <c r="I17" s="65"/>
      <c r="J17" s="60"/>
      <c r="K17" s="12" t="s">
        <v>112</v>
      </c>
      <c r="L17" s="12" t="s">
        <v>112</v>
      </c>
      <c r="M17" s="12" t="s">
        <v>112</v>
      </c>
      <c r="N17" s="12" t="s">
        <v>112</v>
      </c>
      <c r="O17" s="12" t="s">
        <v>111</v>
      </c>
      <c r="P17" s="12" t="s">
        <v>112</v>
      </c>
      <c r="Q17" s="60"/>
      <c r="R17" s="12" t="s">
        <v>112</v>
      </c>
      <c r="S17" s="12" t="s">
        <v>112</v>
      </c>
      <c r="T17" s="12" t="s">
        <v>112</v>
      </c>
      <c r="U17" s="12" t="s">
        <v>112</v>
      </c>
      <c r="V17" s="12" t="s">
        <v>112</v>
      </c>
      <c r="W17" s="12" t="s">
        <v>112</v>
      </c>
      <c r="X17" s="60"/>
      <c r="Y17" s="12" t="s">
        <v>111</v>
      </c>
      <c r="Z17" s="12" t="s">
        <v>112</v>
      </c>
      <c r="AA17" s="12" t="s">
        <v>112</v>
      </c>
      <c r="AB17" s="12" t="s">
        <v>112</v>
      </c>
      <c r="AC17" s="12" t="s">
        <v>112</v>
      </c>
      <c r="AD17" s="12" t="s">
        <v>112</v>
      </c>
      <c r="AE17" s="60"/>
      <c r="AF17" s="12" t="s">
        <v>112</v>
      </c>
      <c r="AG17" s="12" t="s">
        <v>112</v>
      </c>
      <c r="AH17" s="12" t="s">
        <v>112</v>
      </c>
      <c r="AI17" s="12" t="s">
        <v>112</v>
      </c>
      <c r="AJ17" s="5">
        <f t="shared" si="1"/>
        <v>24</v>
      </c>
      <c r="AK17" s="5">
        <f t="shared" si="2"/>
        <v>2</v>
      </c>
      <c r="AL17" s="49" t="s">
        <v>128</v>
      </c>
      <c r="AM17" s="50"/>
      <c r="AN17" s="50"/>
      <c r="AO17" s="52"/>
    </row>
    <row r="18" spans="1:41" ht="16.5" x14ac:dyDescent="0.25">
      <c r="A18" s="13">
        <v>14</v>
      </c>
      <c r="B18" s="16" t="s">
        <v>415</v>
      </c>
      <c r="C18" s="17" t="s">
        <v>416</v>
      </c>
      <c r="D18" s="10" t="s">
        <v>397</v>
      </c>
      <c r="E18" s="26" t="s">
        <v>112</v>
      </c>
      <c r="F18" s="26" t="s">
        <v>112</v>
      </c>
      <c r="G18" s="26" t="s">
        <v>112</v>
      </c>
      <c r="H18" s="26" t="s">
        <v>112</v>
      </c>
      <c r="I18" s="65"/>
      <c r="J18" s="60"/>
      <c r="K18" s="12" t="s">
        <v>111</v>
      </c>
      <c r="L18" s="12" t="s">
        <v>112</v>
      </c>
      <c r="M18" s="12" t="s">
        <v>112</v>
      </c>
      <c r="N18" s="12" t="s">
        <v>112</v>
      </c>
      <c r="O18" s="12" t="s">
        <v>112</v>
      </c>
      <c r="P18" s="12" t="s">
        <v>112</v>
      </c>
      <c r="Q18" s="60"/>
      <c r="R18" s="12" t="s">
        <v>112</v>
      </c>
      <c r="S18" s="12" t="s">
        <v>112</v>
      </c>
      <c r="T18" s="12" t="s">
        <v>112</v>
      </c>
      <c r="U18" s="12" t="s">
        <v>112</v>
      </c>
      <c r="V18" s="12" t="s">
        <v>112</v>
      </c>
      <c r="W18" s="12" t="s">
        <v>111</v>
      </c>
      <c r="X18" s="60"/>
      <c r="Y18" s="12" t="s">
        <v>112</v>
      </c>
      <c r="Z18" s="12" t="s">
        <v>112</v>
      </c>
      <c r="AA18" s="12" t="s">
        <v>112</v>
      </c>
      <c r="AB18" s="12" t="s">
        <v>113</v>
      </c>
      <c r="AC18" s="12" t="s">
        <v>113</v>
      </c>
      <c r="AD18" s="12" t="s">
        <v>113</v>
      </c>
      <c r="AE18" s="60"/>
      <c r="AF18" s="12" t="s">
        <v>113</v>
      </c>
      <c r="AG18" s="12" t="s">
        <v>113</v>
      </c>
      <c r="AH18" s="12" t="s">
        <v>113</v>
      </c>
      <c r="AI18" s="12" t="s">
        <v>113</v>
      </c>
      <c r="AJ18" s="5">
        <f t="shared" si="1"/>
        <v>17</v>
      </c>
      <c r="AK18" s="5">
        <f t="shared" si="2"/>
        <v>2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ht="16.5" x14ac:dyDescent="0.25">
      <c r="A19" s="6">
        <v>15</v>
      </c>
      <c r="B19" s="16" t="s">
        <v>417</v>
      </c>
      <c r="C19" s="17" t="s">
        <v>146</v>
      </c>
      <c r="D19" s="10" t="s">
        <v>397</v>
      </c>
      <c r="E19" s="26" t="s">
        <v>112</v>
      </c>
      <c r="F19" s="26" t="s">
        <v>112</v>
      </c>
      <c r="G19" s="26" t="s">
        <v>112</v>
      </c>
      <c r="H19" s="26" t="s">
        <v>112</v>
      </c>
      <c r="I19" s="65"/>
      <c r="J19" s="60"/>
      <c r="K19" s="12" t="s">
        <v>112</v>
      </c>
      <c r="L19" s="12" t="s">
        <v>112</v>
      </c>
      <c r="M19" s="12" t="s">
        <v>112</v>
      </c>
      <c r="N19" s="12" t="s">
        <v>112</v>
      </c>
      <c r="O19" s="12" t="s">
        <v>112</v>
      </c>
      <c r="P19" s="12" t="s">
        <v>112</v>
      </c>
      <c r="Q19" s="60"/>
      <c r="R19" s="12" t="s">
        <v>112</v>
      </c>
      <c r="S19" s="12" t="s">
        <v>112</v>
      </c>
      <c r="T19" s="12" t="s">
        <v>112</v>
      </c>
      <c r="U19" s="12" t="s">
        <v>112</v>
      </c>
      <c r="V19" s="12" t="s">
        <v>112</v>
      </c>
      <c r="W19" s="12" t="s">
        <v>112</v>
      </c>
      <c r="X19" s="60"/>
      <c r="Y19" s="12" t="s">
        <v>112</v>
      </c>
      <c r="Z19" s="12" t="s">
        <v>112</v>
      </c>
      <c r="AA19" s="12" t="s">
        <v>112</v>
      </c>
      <c r="AB19" s="12" t="s">
        <v>112</v>
      </c>
      <c r="AC19" s="12" t="s">
        <v>112</v>
      </c>
      <c r="AD19" s="12" t="s">
        <v>112</v>
      </c>
      <c r="AE19" s="60"/>
      <c r="AF19" s="12" t="s">
        <v>111</v>
      </c>
      <c r="AG19" s="12" t="s">
        <v>112</v>
      </c>
      <c r="AH19" s="12" t="s">
        <v>112</v>
      </c>
      <c r="AI19" s="12" t="s">
        <v>112</v>
      </c>
      <c r="AJ19" s="5">
        <f t="shared" si="1"/>
        <v>25</v>
      </c>
      <c r="AK19" s="5">
        <f t="shared" si="2"/>
        <v>1</v>
      </c>
      <c r="AL19" s="5" t="s">
        <v>14</v>
      </c>
      <c r="AM19" s="13">
        <f>30*$AM$5</f>
        <v>780</v>
      </c>
      <c r="AN19" s="13">
        <f>26*$AM$5</f>
        <v>676</v>
      </c>
      <c r="AO19" s="13">
        <f>AM19+AN19</f>
        <v>1456</v>
      </c>
    </row>
    <row r="20" spans="1:41" ht="16.5" x14ac:dyDescent="0.25">
      <c r="A20" s="13">
        <v>16</v>
      </c>
      <c r="B20" s="16" t="s">
        <v>418</v>
      </c>
      <c r="C20" s="17" t="s">
        <v>419</v>
      </c>
      <c r="D20" s="10" t="s">
        <v>397</v>
      </c>
      <c r="E20" s="26" t="s">
        <v>112</v>
      </c>
      <c r="F20" s="26" t="s">
        <v>112</v>
      </c>
      <c r="G20" s="26" t="s">
        <v>112</v>
      </c>
      <c r="H20" s="26" t="s">
        <v>112</v>
      </c>
      <c r="I20" s="65"/>
      <c r="J20" s="60"/>
      <c r="K20" s="12" t="s">
        <v>112</v>
      </c>
      <c r="L20" s="12" t="s">
        <v>112</v>
      </c>
      <c r="M20" s="12" t="s">
        <v>112</v>
      </c>
      <c r="N20" s="12" t="s">
        <v>112</v>
      </c>
      <c r="O20" s="12" t="s">
        <v>112</v>
      </c>
      <c r="P20" s="12" t="s">
        <v>112</v>
      </c>
      <c r="Q20" s="60"/>
      <c r="R20" s="12" t="s">
        <v>112</v>
      </c>
      <c r="S20" s="12" t="s">
        <v>112</v>
      </c>
      <c r="T20" s="12" t="s">
        <v>112</v>
      </c>
      <c r="U20" s="12" t="s">
        <v>112</v>
      </c>
      <c r="V20" s="12" t="s">
        <v>112</v>
      </c>
      <c r="W20" s="12" t="s">
        <v>112</v>
      </c>
      <c r="X20" s="60"/>
      <c r="Y20" s="12" t="s">
        <v>112</v>
      </c>
      <c r="Z20" s="12" t="s">
        <v>112</v>
      </c>
      <c r="AA20" s="12" t="s">
        <v>112</v>
      </c>
      <c r="AB20" s="12" t="s">
        <v>112</v>
      </c>
      <c r="AC20" s="12" t="s">
        <v>112</v>
      </c>
      <c r="AD20" s="12" t="s">
        <v>112</v>
      </c>
      <c r="AE20" s="60"/>
      <c r="AF20" s="12" t="s">
        <v>112</v>
      </c>
      <c r="AG20" s="12" t="s">
        <v>112</v>
      </c>
      <c r="AH20" s="12" t="s">
        <v>112</v>
      </c>
      <c r="AI20" s="12" t="s">
        <v>112</v>
      </c>
      <c r="AJ20" s="5">
        <f t="shared" si="1"/>
        <v>26</v>
      </c>
      <c r="AK20" s="5">
        <f t="shared" si="2"/>
        <v>0</v>
      </c>
      <c r="AL20" s="5" t="s">
        <v>17</v>
      </c>
      <c r="AM20" s="13">
        <f>AM19-AM12</f>
        <v>153</v>
      </c>
      <c r="AN20" s="13">
        <f>AN19-AN12</f>
        <v>109</v>
      </c>
      <c r="AO20" s="13">
        <f>AM20+AN20</f>
        <v>262</v>
      </c>
    </row>
    <row r="21" spans="1:41" ht="16.5" x14ac:dyDescent="0.25">
      <c r="A21" s="6">
        <v>17</v>
      </c>
      <c r="B21" s="16" t="s">
        <v>420</v>
      </c>
      <c r="C21" s="17" t="s">
        <v>421</v>
      </c>
      <c r="D21" s="10" t="s">
        <v>397</v>
      </c>
      <c r="E21" s="26" t="s">
        <v>112</v>
      </c>
      <c r="F21" s="26" t="s">
        <v>112</v>
      </c>
      <c r="G21" s="26" t="s">
        <v>112</v>
      </c>
      <c r="H21" s="26" t="s">
        <v>112</v>
      </c>
      <c r="I21" s="65"/>
      <c r="J21" s="60"/>
      <c r="K21" s="12" t="s">
        <v>111</v>
      </c>
      <c r="L21" s="12" t="s">
        <v>112</v>
      </c>
      <c r="M21" s="12" t="s">
        <v>112</v>
      </c>
      <c r="N21" s="12" t="s">
        <v>112</v>
      </c>
      <c r="O21" s="12" t="s">
        <v>112</v>
      </c>
      <c r="P21" s="12" t="s">
        <v>111</v>
      </c>
      <c r="Q21" s="60"/>
      <c r="R21" s="12" t="s">
        <v>112</v>
      </c>
      <c r="S21" s="12" t="s">
        <v>112</v>
      </c>
      <c r="T21" s="12" t="s">
        <v>112</v>
      </c>
      <c r="U21" s="12" t="s">
        <v>112</v>
      </c>
      <c r="V21" s="12" t="s">
        <v>112</v>
      </c>
      <c r="W21" s="12" t="s">
        <v>111</v>
      </c>
      <c r="X21" s="60"/>
      <c r="Y21" s="12" t="s">
        <v>111</v>
      </c>
      <c r="Z21" s="12" t="s">
        <v>112</v>
      </c>
      <c r="AA21" s="12" t="s">
        <v>112</v>
      </c>
      <c r="AB21" s="12" t="s">
        <v>112</v>
      </c>
      <c r="AC21" s="12" t="s">
        <v>112</v>
      </c>
      <c r="AD21" s="12" t="s">
        <v>112</v>
      </c>
      <c r="AE21" s="60"/>
      <c r="AF21" s="12" t="s">
        <v>112</v>
      </c>
      <c r="AG21" s="12" t="s">
        <v>111</v>
      </c>
      <c r="AH21" s="12" t="s">
        <v>112</v>
      </c>
      <c r="AI21" s="12" t="s">
        <v>112</v>
      </c>
      <c r="AJ21" s="5">
        <f t="shared" si="1"/>
        <v>21</v>
      </c>
      <c r="AK21" s="5">
        <f t="shared" si="2"/>
        <v>5</v>
      </c>
      <c r="AL21" s="5" t="s">
        <v>16</v>
      </c>
      <c r="AM21" s="18">
        <f>AM20/AM19</f>
        <v>0.19615384615384615</v>
      </c>
      <c r="AN21" s="18">
        <f>AN20/AN19</f>
        <v>0.16124260355029585</v>
      </c>
      <c r="AO21" s="18">
        <f>AO20/AO19</f>
        <v>0.17994505494505494</v>
      </c>
    </row>
    <row r="22" spans="1:41" ht="16.5" x14ac:dyDescent="0.25">
      <c r="A22" s="13">
        <v>18</v>
      </c>
      <c r="B22" s="16" t="s">
        <v>422</v>
      </c>
      <c r="C22" s="17" t="s">
        <v>423</v>
      </c>
      <c r="D22" s="10" t="s">
        <v>397</v>
      </c>
      <c r="E22" s="26" t="s">
        <v>112</v>
      </c>
      <c r="F22" s="26" t="s">
        <v>112</v>
      </c>
      <c r="G22" s="26" t="s">
        <v>112</v>
      </c>
      <c r="H22" s="26" t="s">
        <v>112</v>
      </c>
      <c r="I22" s="65"/>
      <c r="J22" s="60"/>
      <c r="K22" s="12" t="s">
        <v>112</v>
      </c>
      <c r="L22" s="12" t="s">
        <v>112</v>
      </c>
      <c r="M22" s="12" t="s">
        <v>111</v>
      </c>
      <c r="N22" s="12" t="s">
        <v>112</v>
      </c>
      <c r="O22" s="12" t="s">
        <v>112</v>
      </c>
      <c r="P22" s="12" t="s">
        <v>112</v>
      </c>
      <c r="Q22" s="60"/>
      <c r="R22" s="12" t="s">
        <v>112</v>
      </c>
      <c r="S22" s="12" t="s">
        <v>112</v>
      </c>
      <c r="T22" s="12" t="s">
        <v>112</v>
      </c>
      <c r="U22" s="12" t="s">
        <v>111</v>
      </c>
      <c r="V22" s="12" t="s">
        <v>112</v>
      </c>
      <c r="W22" s="12" t="s">
        <v>112</v>
      </c>
      <c r="X22" s="60"/>
      <c r="Y22" s="12" t="s">
        <v>111</v>
      </c>
      <c r="Z22" s="12" t="s">
        <v>111</v>
      </c>
      <c r="AA22" s="12" t="s">
        <v>112</v>
      </c>
      <c r="AB22" s="12" t="s">
        <v>112</v>
      </c>
      <c r="AC22" s="12" t="s">
        <v>112</v>
      </c>
      <c r="AD22" s="12" t="s">
        <v>111</v>
      </c>
      <c r="AE22" s="60"/>
      <c r="AF22" s="12" t="s">
        <v>112</v>
      </c>
      <c r="AG22" s="12" t="s">
        <v>112</v>
      </c>
      <c r="AH22" s="12" t="s">
        <v>112</v>
      </c>
      <c r="AI22" s="12" t="s">
        <v>112</v>
      </c>
      <c r="AJ22" s="5">
        <f t="shared" si="1"/>
        <v>21</v>
      </c>
      <c r="AK22" s="5">
        <f t="shared" si="2"/>
        <v>5</v>
      </c>
    </row>
    <row r="23" spans="1:41" ht="16.5" x14ac:dyDescent="0.25">
      <c r="A23" s="6">
        <v>19</v>
      </c>
      <c r="B23" s="16" t="s">
        <v>424</v>
      </c>
      <c r="C23" s="17" t="s">
        <v>425</v>
      </c>
      <c r="D23" s="10" t="s">
        <v>397</v>
      </c>
      <c r="E23" s="26" t="s">
        <v>112</v>
      </c>
      <c r="F23" s="26" t="s">
        <v>112</v>
      </c>
      <c r="G23" s="26" t="s">
        <v>112</v>
      </c>
      <c r="H23" s="26" t="s">
        <v>112</v>
      </c>
      <c r="I23" s="65"/>
      <c r="J23" s="60"/>
      <c r="K23" s="12" t="s">
        <v>112</v>
      </c>
      <c r="L23" s="12" t="s">
        <v>112</v>
      </c>
      <c r="M23" s="12" t="s">
        <v>112</v>
      </c>
      <c r="N23" s="12" t="s">
        <v>112</v>
      </c>
      <c r="O23" s="12" t="s">
        <v>111</v>
      </c>
      <c r="P23" s="12" t="s">
        <v>111</v>
      </c>
      <c r="Q23" s="60"/>
      <c r="R23" s="12" t="s">
        <v>112</v>
      </c>
      <c r="S23" s="12" t="s">
        <v>112</v>
      </c>
      <c r="T23" s="12" t="s">
        <v>112</v>
      </c>
      <c r="U23" s="12" t="s">
        <v>112</v>
      </c>
      <c r="V23" s="12" t="s">
        <v>112</v>
      </c>
      <c r="W23" s="12" t="s">
        <v>111</v>
      </c>
      <c r="X23" s="60"/>
      <c r="Y23" s="12" t="s">
        <v>112</v>
      </c>
      <c r="Z23" s="12" t="s">
        <v>112</v>
      </c>
      <c r="AA23" s="12" t="s">
        <v>112</v>
      </c>
      <c r="AB23" s="12" t="s">
        <v>112</v>
      </c>
      <c r="AC23" s="12" t="s">
        <v>112</v>
      </c>
      <c r="AD23" s="12" t="s">
        <v>112</v>
      </c>
      <c r="AE23" s="60"/>
      <c r="AF23" s="12" t="s">
        <v>112</v>
      </c>
      <c r="AG23" s="12" t="s">
        <v>112</v>
      </c>
      <c r="AH23" s="12" t="s">
        <v>112</v>
      </c>
      <c r="AI23" s="12" t="s">
        <v>112</v>
      </c>
      <c r="AJ23" s="5">
        <f t="shared" si="1"/>
        <v>23</v>
      </c>
      <c r="AK23" s="5">
        <f t="shared" si="2"/>
        <v>3</v>
      </c>
    </row>
    <row r="24" spans="1:41" ht="16.5" x14ac:dyDescent="0.25">
      <c r="A24" s="13">
        <v>20</v>
      </c>
      <c r="B24" s="16" t="s">
        <v>145</v>
      </c>
      <c r="C24" s="17" t="s">
        <v>195</v>
      </c>
      <c r="D24" s="10" t="s">
        <v>397</v>
      </c>
      <c r="E24" s="26" t="s">
        <v>112</v>
      </c>
      <c r="F24" s="26" t="s">
        <v>112</v>
      </c>
      <c r="G24" s="26" t="s">
        <v>112</v>
      </c>
      <c r="H24" s="26" t="s">
        <v>112</v>
      </c>
      <c r="I24" s="65"/>
      <c r="J24" s="60"/>
      <c r="K24" s="12" t="s">
        <v>112</v>
      </c>
      <c r="L24" s="12" t="s">
        <v>112</v>
      </c>
      <c r="M24" s="12" t="s">
        <v>112</v>
      </c>
      <c r="N24" s="12" t="s">
        <v>112</v>
      </c>
      <c r="O24" s="12" t="s">
        <v>112</v>
      </c>
      <c r="P24" s="12" t="s">
        <v>112</v>
      </c>
      <c r="Q24" s="60"/>
      <c r="R24" s="12" t="s">
        <v>112</v>
      </c>
      <c r="S24" s="12" t="s">
        <v>112</v>
      </c>
      <c r="T24" s="12" t="s">
        <v>112</v>
      </c>
      <c r="U24" s="12" t="s">
        <v>112</v>
      </c>
      <c r="V24" s="12" t="s">
        <v>112</v>
      </c>
      <c r="W24" s="12" t="s">
        <v>112</v>
      </c>
      <c r="X24" s="60"/>
      <c r="Y24" s="12" t="s">
        <v>112</v>
      </c>
      <c r="Z24" s="12" t="s">
        <v>112</v>
      </c>
      <c r="AA24" s="12" t="s">
        <v>112</v>
      </c>
      <c r="AB24" s="12" t="s">
        <v>112</v>
      </c>
      <c r="AC24" s="12" t="s">
        <v>112</v>
      </c>
      <c r="AD24" s="12" t="s">
        <v>111</v>
      </c>
      <c r="AE24" s="60"/>
      <c r="AF24" s="12" t="s">
        <v>112</v>
      </c>
      <c r="AG24" s="12" t="s">
        <v>112</v>
      </c>
      <c r="AH24" s="12" t="s">
        <v>112</v>
      </c>
      <c r="AI24" s="12" t="s">
        <v>112</v>
      </c>
      <c r="AJ24" s="5">
        <f t="shared" si="1"/>
        <v>25</v>
      </c>
      <c r="AK24" s="5">
        <f t="shared" si="2"/>
        <v>1</v>
      </c>
    </row>
    <row r="25" spans="1:41" ht="16.5" x14ac:dyDescent="0.25">
      <c r="A25" s="6">
        <v>21</v>
      </c>
      <c r="B25" s="16" t="s">
        <v>426</v>
      </c>
      <c r="C25" s="17" t="s">
        <v>195</v>
      </c>
      <c r="D25" s="10" t="s">
        <v>397</v>
      </c>
      <c r="E25" s="26" t="s">
        <v>112</v>
      </c>
      <c r="F25" s="26" t="s">
        <v>112</v>
      </c>
      <c r="G25" s="26" t="s">
        <v>112</v>
      </c>
      <c r="H25" s="26" t="s">
        <v>112</v>
      </c>
      <c r="I25" s="65"/>
      <c r="J25" s="60"/>
      <c r="K25" s="12" t="s">
        <v>112</v>
      </c>
      <c r="L25" s="12" t="s">
        <v>112</v>
      </c>
      <c r="M25" s="12" t="s">
        <v>112</v>
      </c>
      <c r="N25" s="12" t="s">
        <v>112</v>
      </c>
      <c r="O25" s="12" t="s">
        <v>112</v>
      </c>
      <c r="P25" s="12" t="s">
        <v>112</v>
      </c>
      <c r="Q25" s="60"/>
      <c r="R25" s="12" t="s">
        <v>112</v>
      </c>
      <c r="S25" s="12" t="s">
        <v>112</v>
      </c>
      <c r="T25" s="12" t="s">
        <v>112</v>
      </c>
      <c r="U25" s="12" t="s">
        <v>112</v>
      </c>
      <c r="V25" s="12" t="s">
        <v>112</v>
      </c>
      <c r="W25" s="12" t="s">
        <v>112</v>
      </c>
      <c r="X25" s="60"/>
      <c r="Y25" s="12" t="s">
        <v>112</v>
      </c>
      <c r="Z25" s="12" t="s">
        <v>112</v>
      </c>
      <c r="AA25" s="12" t="s">
        <v>112</v>
      </c>
      <c r="AB25" s="12" t="s">
        <v>112</v>
      </c>
      <c r="AC25" s="12" t="s">
        <v>112</v>
      </c>
      <c r="AD25" s="12" t="s">
        <v>111</v>
      </c>
      <c r="AE25" s="60"/>
      <c r="AF25" s="12" t="s">
        <v>112</v>
      </c>
      <c r="AG25" s="12" t="s">
        <v>112</v>
      </c>
      <c r="AH25" s="12" t="s">
        <v>112</v>
      </c>
      <c r="AI25" s="12" t="s">
        <v>112</v>
      </c>
      <c r="AJ25" s="5">
        <f t="shared" si="1"/>
        <v>25</v>
      </c>
      <c r="AK25" s="5">
        <f t="shared" si="2"/>
        <v>1</v>
      </c>
    </row>
    <row r="26" spans="1:41" ht="16.5" x14ac:dyDescent="0.25">
      <c r="A26" s="13">
        <v>22</v>
      </c>
      <c r="B26" s="16" t="s">
        <v>427</v>
      </c>
      <c r="C26" s="17" t="s">
        <v>84</v>
      </c>
      <c r="D26" s="10" t="s">
        <v>397</v>
      </c>
      <c r="E26" s="26" t="s">
        <v>112</v>
      </c>
      <c r="F26" s="26" t="s">
        <v>112</v>
      </c>
      <c r="G26" s="26" t="s">
        <v>112</v>
      </c>
      <c r="H26" s="26" t="s">
        <v>112</v>
      </c>
      <c r="I26" s="65"/>
      <c r="J26" s="60"/>
      <c r="K26" s="12" t="s">
        <v>111</v>
      </c>
      <c r="L26" s="12" t="s">
        <v>112</v>
      </c>
      <c r="M26" s="12" t="s">
        <v>112</v>
      </c>
      <c r="N26" s="12" t="s">
        <v>112</v>
      </c>
      <c r="O26" s="12" t="s">
        <v>112</v>
      </c>
      <c r="P26" s="12" t="s">
        <v>112</v>
      </c>
      <c r="Q26" s="60"/>
      <c r="R26" s="12" t="s">
        <v>112</v>
      </c>
      <c r="S26" s="12" t="s">
        <v>112</v>
      </c>
      <c r="T26" s="12" t="s">
        <v>112</v>
      </c>
      <c r="U26" s="12" t="s">
        <v>111</v>
      </c>
      <c r="V26" s="12" t="s">
        <v>112</v>
      </c>
      <c r="W26" s="12" t="s">
        <v>112</v>
      </c>
      <c r="X26" s="60"/>
      <c r="Y26" s="12" t="s">
        <v>112</v>
      </c>
      <c r="Z26" s="12" t="s">
        <v>112</v>
      </c>
      <c r="AA26" s="12" t="s">
        <v>112</v>
      </c>
      <c r="AB26" s="12" t="s">
        <v>112</v>
      </c>
      <c r="AC26" s="12" t="s">
        <v>112</v>
      </c>
      <c r="AD26" s="12" t="s">
        <v>111</v>
      </c>
      <c r="AE26" s="60"/>
      <c r="AF26" s="12" t="s">
        <v>112</v>
      </c>
      <c r="AG26" s="12" t="s">
        <v>112</v>
      </c>
      <c r="AH26" s="12" t="s">
        <v>112</v>
      </c>
      <c r="AI26" s="12" t="s">
        <v>112</v>
      </c>
      <c r="AJ26" s="5">
        <f t="shared" si="1"/>
        <v>23</v>
      </c>
      <c r="AK26" s="5">
        <f t="shared" si="2"/>
        <v>3</v>
      </c>
    </row>
    <row r="27" spans="1:41" ht="16.5" x14ac:dyDescent="0.25">
      <c r="A27" s="6">
        <v>23</v>
      </c>
      <c r="B27" s="16" t="s">
        <v>428</v>
      </c>
      <c r="C27" s="17" t="s">
        <v>429</v>
      </c>
      <c r="D27" s="10" t="s">
        <v>397</v>
      </c>
      <c r="E27" s="26" t="s">
        <v>112</v>
      </c>
      <c r="F27" s="26" t="s">
        <v>112</v>
      </c>
      <c r="G27" s="26" t="s">
        <v>112</v>
      </c>
      <c r="H27" s="26" t="s">
        <v>112</v>
      </c>
      <c r="I27" s="65"/>
      <c r="J27" s="60"/>
      <c r="K27" s="12" t="s">
        <v>112</v>
      </c>
      <c r="L27" s="12" t="s">
        <v>112</v>
      </c>
      <c r="M27" s="12" t="s">
        <v>112</v>
      </c>
      <c r="N27" s="12" t="s">
        <v>111</v>
      </c>
      <c r="O27" s="12" t="s">
        <v>112</v>
      </c>
      <c r="P27" s="12" t="s">
        <v>112</v>
      </c>
      <c r="Q27" s="60"/>
      <c r="R27" s="12" t="s">
        <v>112</v>
      </c>
      <c r="S27" s="12" t="s">
        <v>112</v>
      </c>
      <c r="T27" s="12" t="s">
        <v>112</v>
      </c>
      <c r="U27" s="12" t="s">
        <v>112</v>
      </c>
      <c r="V27" s="12" t="s">
        <v>112</v>
      </c>
      <c r="W27" s="12" t="s">
        <v>112</v>
      </c>
      <c r="X27" s="60"/>
      <c r="Y27" s="12" t="s">
        <v>112</v>
      </c>
      <c r="Z27" s="12" t="s">
        <v>112</v>
      </c>
      <c r="AA27" s="12" t="s">
        <v>112</v>
      </c>
      <c r="AB27" s="12" t="s">
        <v>112</v>
      </c>
      <c r="AC27" s="12" t="s">
        <v>112</v>
      </c>
      <c r="AD27" s="12" t="s">
        <v>112</v>
      </c>
      <c r="AE27" s="60"/>
      <c r="AF27" s="12" t="s">
        <v>112</v>
      </c>
      <c r="AG27" s="12" t="s">
        <v>112</v>
      </c>
      <c r="AH27" s="12" t="s">
        <v>112</v>
      </c>
      <c r="AI27" s="12" t="s">
        <v>112</v>
      </c>
      <c r="AJ27" s="5">
        <f t="shared" si="1"/>
        <v>25</v>
      </c>
      <c r="AK27" s="5">
        <f t="shared" si="2"/>
        <v>1</v>
      </c>
    </row>
    <row r="28" spans="1:41" ht="16.5" x14ac:dyDescent="0.25">
      <c r="A28" s="13">
        <v>24</v>
      </c>
      <c r="B28" s="16" t="s">
        <v>430</v>
      </c>
      <c r="C28" s="17" t="s">
        <v>431</v>
      </c>
      <c r="D28" s="10" t="s">
        <v>397</v>
      </c>
      <c r="E28" s="26" t="s">
        <v>112</v>
      </c>
      <c r="F28" s="26" t="s">
        <v>112</v>
      </c>
      <c r="G28" s="26" t="s">
        <v>112</v>
      </c>
      <c r="H28" s="26" t="s">
        <v>112</v>
      </c>
      <c r="I28" s="65"/>
      <c r="J28" s="60"/>
      <c r="K28" s="12" t="s">
        <v>112</v>
      </c>
      <c r="L28" s="12" t="s">
        <v>112</v>
      </c>
      <c r="M28" s="12" t="s">
        <v>112</v>
      </c>
      <c r="N28" s="12" t="s">
        <v>112</v>
      </c>
      <c r="O28" s="12" t="s">
        <v>112</v>
      </c>
      <c r="P28" s="12" t="s">
        <v>111</v>
      </c>
      <c r="Q28" s="60"/>
      <c r="R28" s="12" t="s">
        <v>112</v>
      </c>
      <c r="S28" s="12" t="s">
        <v>112</v>
      </c>
      <c r="T28" s="12" t="s">
        <v>112</v>
      </c>
      <c r="U28" s="12" t="s">
        <v>112</v>
      </c>
      <c r="V28" s="12" t="s">
        <v>112</v>
      </c>
      <c r="W28" s="12" t="s">
        <v>111</v>
      </c>
      <c r="X28" s="60"/>
      <c r="Y28" s="12" t="s">
        <v>112</v>
      </c>
      <c r="Z28" s="12" t="s">
        <v>112</v>
      </c>
      <c r="AA28" s="12" t="s">
        <v>112</v>
      </c>
      <c r="AB28" s="12" t="s">
        <v>112</v>
      </c>
      <c r="AC28" s="12" t="s">
        <v>112</v>
      </c>
      <c r="AD28" s="12" t="s">
        <v>111</v>
      </c>
      <c r="AE28" s="60"/>
      <c r="AF28" s="12" t="s">
        <v>112</v>
      </c>
      <c r="AG28" s="12" t="s">
        <v>112</v>
      </c>
      <c r="AH28" s="12" t="s">
        <v>112</v>
      </c>
      <c r="AI28" s="12" t="s">
        <v>112</v>
      </c>
      <c r="AJ28" s="5">
        <f t="shared" si="1"/>
        <v>23</v>
      </c>
      <c r="AK28" s="5">
        <f t="shared" si="2"/>
        <v>3</v>
      </c>
    </row>
    <row r="29" spans="1:41" ht="16.5" x14ac:dyDescent="0.25">
      <c r="A29" s="6">
        <v>25</v>
      </c>
      <c r="B29" s="16" t="s">
        <v>432</v>
      </c>
      <c r="C29" s="17" t="s">
        <v>433</v>
      </c>
      <c r="D29" s="10" t="s">
        <v>397</v>
      </c>
      <c r="E29" s="26" t="s">
        <v>112</v>
      </c>
      <c r="F29" s="26" t="s">
        <v>112</v>
      </c>
      <c r="G29" s="26" t="s">
        <v>112</v>
      </c>
      <c r="H29" s="26" t="s">
        <v>112</v>
      </c>
      <c r="I29" s="65"/>
      <c r="J29" s="60"/>
      <c r="K29" s="12" t="s">
        <v>112</v>
      </c>
      <c r="L29" s="12" t="s">
        <v>112</v>
      </c>
      <c r="M29" s="12" t="s">
        <v>112</v>
      </c>
      <c r="N29" s="12" t="s">
        <v>112</v>
      </c>
      <c r="O29" s="12" t="s">
        <v>112</v>
      </c>
      <c r="P29" s="12" t="s">
        <v>112</v>
      </c>
      <c r="Q29" s="60"/>
      <c r="R29" s="12" t="s">
        <v>111</v>
      </c>
      <c r="S29" s="12" t="s">
        <v>111</v>
      </c>
      <c r="T29" s="12" t="s">
        <v>111</v>
      </c>
      <c r="U29" s="12" t="s">
        <v>111</v>
      </c>
      <c r="V29" s="12" t="s">
        <v>111</v>
      </c>
      <c r="W29" s="12" t="s">
        <v>111</v>
      </c>
      <c r="X29" s="60"/>
      <c r="Y29" s="12" t="s">
        <v>111</v>
      </c>
      <c r="Z29" s="12" t="s">
        <v>111</v>
      </c>
      <c r="AA29" s="12" t="s">
        <v>111</v>
      </c>
      <c r="AB29" s="12" t="s">
        <v>111</v>
      </c>
      <c r="AC29" s="12" t="s">
        <v>111</v>
      </c>
      <c r="AD29" s="12" t="s">
        <v>111</v>
      </c>
      <c r="AE29" s="60"/>
      <c r="AF29" s="12" t="s">
        <v>111</v>
      </c>
      <c r="AG29" s="12" t="s">
        <v>111</v>
      </c>
      <c r="AH29" s="12" t="s">
        <v>111</v>
      </c>
      <c r="AI29" s="12" t="s">
        <v>111</v>
      </c>
      <c r="AJ29" s="5">
        <f t="shared" si="1"/>
        <v>10</v>
      </c>
      <c r="AK29" s="5">
        <f t="shared" si="2"/>
        <v>16</v>
      </c>
    </row>
    <row r="30" spans="1:41" ht="16.5" x14ac:dyDescent="0.25">
      <c r="A30" s="13">
        <v>26</v>
      </c>
      <c r="B30" s="16" t="s">
        <v>434</v>
      </c>
      <c r="C30" s="17" t="s">
        <v>435</v>
      </c>
      <c r="D30" s="10" t="s">
        <v>397</v>
      </c>
      <c r="E30" s="26" t="s">
        <v>111</v>
      </c>
      <c r="F30" s="26" t="s">
        <v>112</v>
      </c>
      <c r="G30" s="26" t="s">
        <v>111</v>
      </c>
      <c r="H30" s="26" t="s">
        <v>112</v>
      </c>
      <c r="I30" s="65"/>
      <c r="J30" s="60"/>
      <c r="K30" s="12" t="s">
        <v>112</v>
      </c>
      <c r="L30" s="12" t="s">
        <v>112</v>
      </c>
      <c r="M30" s="12" t="s">
        <v>112</v>
      </c>
      <c r="N30" s="12" t="s">
        <v>112</v>
      </c>
      <c r="O30" s="12" t="s">
        <v>112</v>
      </c>
      <c r="P30" s="12" t="s">
        <v>111</v>
      </c>
      <c r="Q30" s="60"/>
      <c r="R30" s="12" t="s">
        <v>112</v>
      </c>
      <c r="S30" s="12" t="s">
        <v>112</v>
      </c>
      <c r="T30" s="12" t="s">
        <v>112</v>
      </c>
      <c r="U30" s="12" t="s">
        <v>112</v>
      </c>
      <c r="V30" s="12" t="s">
        <v>112</v>
      </c>
      <c r="W30" s="12" t="s">
        <v>112</v>
      </c>
      <c r="X30" s="60"/>
      <c r="Y30" s="12" t="s">
        <v>112</v>
      </c>
      <c r="Z30" s="12" t="s">
        <v>112</v>
      </c>
      <c r="AA30" s="12" t="s">
        <v>112</v>
      </c>
      <c r="AB30" s="12" t="s">
        <v>112</v>
      </c>
      <c r="AC30" s="12" t="s">
        <v>111</v>
      </c>
      <c r="AD30" s="12" t="s">
        <v>111</v>
      </c>
      <c r="AE30" s="60"/>
      <c r="AF30" s="12" t="s">
        <v>112</v>
      </c>
      <c r="AG30" s="12" t="s">
        <v>112</v>
      </c>
      <c r="AH30" s="12" t="s">
        <v>112</v>
      </c>
      <c r="AI30" s="12" t="s">
        <v>112</v>
      </c>
      <c r="AJ30" s="5">
        <f t="shared" si="1"/>
        <v>21</v>
      </c>
      <c r="AK30" s="5">
        <f t="shared" si="2"/>
        <v>5</v>
      </c>
    </row>
    <row r="31" spans="1:41" ht="16.5" customHeight="1" x14ac:dyDescent="0.25">
      <c r="A31" s="6">
        <v>1</v>
      </c>
      <c r="B31" s="8" t="s">
        <v>436</v>
      </c>
      <c r="C31" s="9" t="s">
        <v>437</v>
      </c>
      <c r="D31" s="10" t="s">
        <v>397</v>
      </c>
      <c r="E31" s="26" t="s">
        <v>112</v>
      </c>
      <c r="F31" s="26" t="s">
        <v>112</v>
      </c>
      <c r="G31" s="26" t="s">
        <v>112</v>
      </c>
      <c r="H31" s="26" t="s">
        <v>112</v>
      </c>
      <c r="I31" s="65"/>
      <c r="J31" s="60"/>
      <c r="K31" s="12" t="s">
        <v>112</v>
      </c>
      <c r="L31" s="12" t="s">
        <v>112</v>
      </c>
      <c r="M31" s="12" t="s">
        <v>112</v>
      </c>
      <c r="N31" s="12" t="s">
        <v>112</v>
      </c>
      <c r="O31" s="12" t="s">
        <v>112</v>
      </c>
      <c r="P31" s="12" t="s">
        <v>112</v>
      </c>
      <c r="Q31" s="60"/>
      <c r="R31" s="12" t="s">
        <v>112</v>
      </c>
      <c r="S31" s="12" t="s">
        <v>112</v>
      </c>
      <c r="T31" s="12" t="s">
        <v>112</v>
      </c>
      <c r="U31" s="12" t="s">
        <v>112</v>
      </c>
      <c r="V31" s="12" t="s">
        <v>112</v>
      </c>
      <c r="W31" s="12" t="s">
        <v>112</v>
      </c>
      <c r="X31" s="60"/>
      <c r="Y31" s="12" t="s">
        <v>112</v>
      </c>
      <c r="Z31" s="12" t="s">
        <v>112</v>
      </c>
      <c r="AA31" s="12" t="s">
        <v>112</v>
      </c>
      <c r="AB31" s="12" t="s">
        <v>112</v>
      </c>
      <c r="AC31" s="12" t="s">
        <v>112</v>
      </c>
      <c r="AD31" s="12" t="s">
        <v>112</v>
      </c>
      <c r="AE31" s="60"/>
      <c r="AF31" s="12" t="s">
        <v>112</v>
      </c>
      <c r="AG31" s="12" t="s">
        <v>112</v>
      </c>
      <c r="AH31" s="12" t="s">
        <v>112</v>
      </c>
      <c r="AI31" s="12" t="s">
        <v>112</v>
      </c>
      <c r="AJ31" s="5">
        <f t="shared" si="1"/>
        <v>26</v>
      </c>
      <c r="AK31" s="5">
        <f t="shared" si="2"/>
        <v>0</v>
      </c>
    </row>
    <row r="32" spans="1:41" ht="16.5" x14ac:dyDescent="0.25">
      <c r="A32" s="13">
        <v>2</v>
      </c>
      <c r="B32" s="16" t="s">
        <v>438</v>
      </c>
      <c r="C32" s="17" t="s">
        <v>244</v>
      </c>
      <c r="D32" s="10" t="s">
        <v>397</v>
      </c>
      <c r="E32" s="26" t="s">
        <v>112</v>
      </c>
      <c r="F32" s="26" t="s">
        <v>111</v>
      </c>
      <c r="G32" s="26" t="s">
        <v>112</v>
      </c>
      <c r="H32" s="26" t="s">
        <v>112</v>
      </c>
      <c r="I32" s="65"/>
      <c r="J32" s="60"/>
      <c r="K32" s="12" t="s">
        <v>112</v>
      </c>
      <c r="L32" s="12" t="s">
        <v>112</v>
      </c>
      <c r="M32" s="12" t="s">
        <v>112</v>
      </c>
      <c r="N32" s="12" t="s">
        <v>112</v>
      </c>
      <c r="O32" s="12" t="s">
        <v>111</v>
      </c>
      <c r="P32" s="12" t="s">
        <v>112</v>
      </c>
      <c r="Q32" s="60"/>
      <c r="R32" s="12" t="s">
        <v>112</v>
      </c>
      <c r="S32" s="12" t="s">
        <v>112</v>
      </c>
      <c r="T32" s="12" t="s">
        <v>112</v>
      </c>
      <c r="U32" s="12" t="s">
        <v>112</v>
      </c>
      <c r="V32" s="12" t="s">
        <v>112</v>
      </c>
      <c r="W32" s="12" t="s">
        <v>111</v>
      </c>
      <c r="X32" s="60"/>
      <c r="Y32" s="12" t="s">
        <v>112</v>
      </c>
      <c r="Z32" s="12" t="s">
        <v>112</v>
      </c>
      <c r="AA32" s="12" t="s">
        <v>112</v>
      </c>
      <c r="AB32" s="12" t="s">
        <v>112</v>
      </c>
      <c r="AC32" s="12" t="s">
        <v>112</v>
      </c>
      <c r="AD32" s="12" t="s">
        <v>112</v>
      </c>
      <c r="AE32" s="60"/>
      <c r="AF32" s="12" t="s">
        <v>112</v>
      </c>
      <c r="AG32" s="12" t="s">
        <v>112</v>
      </c>
      <c r="AH32" s="12" t="s">
        <v>112</v>
      </c>
      <c r="AI32" s="12" t="s">
        <v>112</v>
      </c>
      <c r="AJ32" s="5">
        <f t="shared" si="1"/>
        <v>23</v>
      </c>
      <c r="AK32" s="5">
        <f t="shared" si="2"/>
        <v>3</v>
      </c>
    </row>
    <row r="33" spans="1:37" ht="16.5" x14ac:dyDescent="0.25">
      <c r="A33" s="6">
        <v>3</v>
      </c>
      <c r="B33" s="16" t="s">
        <v>439</v>
      </c>
      <c r="C33" s="17" t="s">
        <v>440</v>
      </c>
      <c r="D33" s="10" t="s">
        <v>397</v>
      </c>
      <c r="E33" s="26" t="s">
        <v>112</v>
      </c>
      <c r="F33" s="26" t="s">
        <v>112</v>
      </c>
      <c r="G33" s="26" t="s">
        <v>112</v>
      </c>
      <c r="H33" s="26" t="s">
        <v>112</v>
      </c>
      <c r="I33" s="65"/>
      <c r="J33" s="60"/>
      <c r="K33" s="12" t="s">
        <v>112</v>
      </c>
      <c r="L33" s="12" t="s">
        <v>112</v>
      </c>
      <c r="M33" s="12" t="s">
        <v>112</v>
      </c>
      <c r="N33" s="12" t="s">
        <v>112</v>
      </c>
      <c r="O33" s="12" t="s">
        <v>112</v>
      </c>
      <c r="P33" s="12" t="s">
        <v>112</v>
      </c>
      <c r="Q33" s="60"/>
      <c r="R33" s="12" t="s">
        <v>112</v>
      </c>
      <c r="S33" s="12" t="s">
        <v>112</v>
      </c>
      <c r="T33" s="12" t="s">
        <v>112</v>
      </c>
      <c r="U33" s="12" t="s">
        <v>112</v>
      </c>
      <c r="V33" s="12" t="s">
        <v>112</v>
      </c>
      <c r="W33" s="12" t="s">
        <v>112</v>
      </c>
      <c r="X33" s="60"/>
      <c r="Y33" s="12" t="s">
        <v>112</v>
      </c>
      <c r="Z33" s="12" t="s">
        <v>112</v>
      </c>
      <c r="AA33" s="12" t="s">
        <v>112</v>
      </c>
      <c r="AB33" s="12" t="s">
        <v>113</v>
      </c>
      <c r="AC33" s="12" t="s">
        <v>112</v>
      </c>
      <c r="AD33" s="12" t="s">
        <v>112</v>
      </c>
      <c r="AE33" s="60"/>
      <c r="AF33" s="12" t="s">
        <v>112</v>
      </c>
      <c r="AG33" s="12" t="s">
        <v>111</v>
      </c>
      <c r="AH33" s="12" t="s">
        <v>112</v>
      </c>
      <c r="AI33" s="12" t="s">
        <v>112</v>
      </c>
      <c r="AJ33" s="5">
        <f t="shared" si="1"/>
        <v>24</v>
      </c>
      <c r="AK33" s="5">
        <f t="shared" si="2"/>
        <v>1</v>
      </c>
    </row>
    <row r="34" spans="1:37" ht="16.5" x14ac:dyDescent="0.25">
      <c r="A34" s="6">
        <v>4</v>
      </c>
      <c r="B34" s="16" t="s">
        <v>441</v>
      </c>
      <c r="C34" s="17" t="s">
        <v>359</v>
      </c>
      <c r="D34" s="10" t="s">
        <v>397</v>
      </c>
      <c r="E34" s="26" t="s">
        <v>112</v>
      </c>
      <c r="F34" s="26" t="s">
        <v>112</v>
      </c>
      <c r="G34" s="26" t="s">
        <v>112</v>
      </c>
      <c r="H34" s="26" t="s">
        <v>112</v>
      </c>
      <c r="I34" s="65"/>
      <c r="J34" s="60"/>
      <c r="K34" s="12" t="s">
        <v>112</v>
      </c>
      <c r="L34" s="12" t="s">
        <v>112</v>
      </c>
      <c r="M34" s="12" t="s">
        <v>112</v>
      </c>
      <c r="N34" s="12" t="s">
        <v>112</v>
      </c>
      <c r="O34" s="12" t="s">
        <v>112</v>
      </c>
      <c r="P34" s="12" t="s">
        <v>111</v>
      </c>
      <c r="Q34" s="60"/>
      <c r="R34" s="12" t="s">
        <v>112</v>
      </c>
      <c r="S34" s="12" t="s">
        <v>112</v>
      </c>
      <c r="T34" s="12" t="s">
        <v>112</v>
      </c>
      <c r="U34" s="12" t="s">
        <v>112</v>
      </c>
      <c r="V34" s="12" t="s">
        <v>112</v>
      </c>
      <c r="W34" s="12" t="s">
        <v>112</v>
      </c>
      <c r="X34" s="60"/>
      <c r="Y34" s="12" t="s">
        <v>112</v>
      </c>
      <c r="Z34" s="12" t="s">
        <v>112</v>
      </c>
      <c r="AA34" s="12" t="s">
        <v>112</v>
      </c>
      <c r="AB34" s="12" t="s">
        <v>112</v>
      </c>
      <c r="AC34" s="12" t="s">
        <v>112</v>
      </c>
      <c r="AD34" s="12" t="s">
        <v>111</v>
      </c>
      <c r="AE34" s="60"/>
      <c r="AF34" s="12" t="s">
        <v>112</v>
      </c>
      <c r="AG34" s="12" t="s">
        <v>112</v>
      </c>
      <c r="AH34" s="12" t="s">
        <v>112</v>
      </c>
      <c r="AI34" s="12" t="s">
        <v>112</v>
      </c>
      <c r="AJ34" s="5">
        <f t="shared" si="1"/>
        <v>24</v>
      </c>
      <c r="AK34" s="5">
        <f t="shared" si="2"/>
        <v>2</v>
      </c>
    </row>
    <row r="35" spans="1:37" ht="16.5" x14ac:dyDescent="0.25">
      <c r="A35" s="13">
        <v>5</v>
      </c>
      <c r="B35" s="16" t="s">
        <v>117</v>
      </c>
      <c r="C35" s="17" t="s">
        <v>442</v>
      </c>
      <c r="D35" s="10" t="s">
        <v>397</v>
      </c>
      <c r="E35" s="26" t="s">
        <v>112</v>
      </c>
      <c r="F35" s="26" t="s">
        <v>112</v>
      </c>
      <c r="G35" s="26" t="s">
        <v>112</v>
      </c>
      <c r="H35" s="26" t="s">
        <v>112</v>
      </c>
      <c r="I35" s="65"/>
      <c r="J35" s="60"/>
      <c r="K35" s="12" t="s">
        <v>112</v>
      </c>
      <c r="L35" s="12" t="s">
        <v>112</v>
      </c>
      <c r="M35" s="12" t="s">
        <v>112</v>
      </c>
      <c r="N35" s="12" t="s">
        <v>112</v>
      </c>
      <c r="O35" s="12" t="s">
        <v>112</v>
      </c>
      <c r="P35" s="12" t="s">
        <v>112</v>
      </c>
      <c r="Q35" s="60"/>
      <c r="R35" s="12" t="s">
        <v>112</v>
      </c>
      <c r="S35" s="12" t="s">
        <v>112</v>
      </c>
      <c r="T35" s="12" t="s">
        <v>112</v>
      </c>
      <c r="U35" s="12" t="s">
        <v>112</v>
      </c>
      <c r="V35" s="12" t="s">
        <v>112</v>
      </c>
      <c r="W35" s="12" t="s">
        <v>112</v>
      </c>
      <c r="X35" s="60"/>
      <c r="Y35" s="12" t="s">
        <v>112</v>
      </c>
      <c r="Z35" s="12" t="s">
        <v>112</v>
      </c>
      <c r="AA35" s="12" t="s">
        <v>112</v>
      </c>
      <c r="AB35" s="12" t="s">
        <v>112</v>
      </c>
      <c r="AC35" s="12" t="s">
        <v>112</v>
      </c>
      <c r="AD35" s="12" t="s">
        <v>112</v>
      </c>
      <c r="AE35" s="60"/>
      <c r="AF35" s="12" t="s">
        <v>112</v>
      </c>
      <c r="AG35" s="12" t="s">
        <v>112</v>
      </c>
      <c r="AH35" s="12" t="s">
        <v>112</v>
      </c>
      <c r="AI35" s="12" t="s">
        <v>112</v>
      </c>
      <c r="AJ35" s="5">
        <f t="shared" si="1"/>
        <v>26</v>
      </c>
      <c r="AK35" s="5">
        <f t="shared" si="2"/>
        <v>0</v>
      </c>
    </row>
    <row r="36" spans="1:37" ht="16.5" x14ac:dyDescent="0.25">
      <c r="A36" s="6">
        <v>6</v>
      </c>
      <c r="B36" s="16" t="s">
        <v>443</v>
      </c>
      <c r="C36" s="17" t="s">
        <v>444</v>
      </c>
      <c r="D36" s="10" t="s">
        <v>397</v>
      </c>
      <c r="E36" s="26" t="s">
        <v>112</v>
      </c>
      <c r="F36" s="26" t="s">
        <v>112</v>
      </c>
      <c r="G36" s="26" t="s">
        <v>112</v>
      </c>
      <c r="H36" s="26" t="s">
        <v>112</v>
      </c>
      <c r="I36" s="65"/>
      <c r="J36" s="60"/>
      <c r="K36" s="12" t="s">
        <v>112</v>
      </c>
      <c r="L36" s="12" t="s">
        <v>112</v>
      </c>
      <c r="M36" s="12" t="s">
        <v>112</v>
      </c>
      <c r="N36" s="12" t="s">
        <v>112</v>
      </c>
      <c r="O36" s="12" t="s">
        <v>112</v>
      </c>
      <c r="P36" s="12" t="s">
        <v>112</v>
      </c>
      <c r="Q36" s="60"/>
      <c r="R36" s="12" t="s">
        <v>112</v>
      </c>
      <c r="S36" s="12" t="s">
        <v>112</v>
      </c>
      <c r="T36" s="12" t="s">
        <v>112</v>
      </c>
      <c r="U36" s="12" t="s">
        <v>112</v>
      </c>
      <c r="V36" s="12" t="s">
        <v>112</v>
      </c>
      <c r="W36" s="12" t="s">
        <v>112</v>
      </c>
      <c r="X36" s="60"/>
      <c r="Y36" s="12" t="s">
        <v>112</v>
      </c>
      <c r="Z36" s="12" t="s">
        <v>112</v>
      </c>
      <c r="AA36" s="12" t="s">
        <v>112</v>
      </c>
      <c r="AB36" s="12" t="s">
        <v>112</v>
      </c>
      <c r="AC36" s="12" t="s">
        <v>112</v>
      </c>
      <c r="AD36" s="12" t="s">
        <v>112</v>
      </c>
      <c r="AE36" s="60"/>
      <c r="AF36" s="12" t="s">
        <v>112</v>
      </c>
      <c r="AG36" s="12" t="s">
        <v>112</v>
      </c>
      <c r="AH36" s="12" t="s">
        <v>112</v>
      </c>
      <c r="AI36" s="12" t="s">
        <v>112</v>
      </c>
      <c r="AJ36" s="5">
        <f t="shared" si="1"/>
        <v>26</v>
      </c>
      <c r="AK36" s="5">
        <f t="shared" si="2"/>
        <v>0</v>
      </c>
    </row>
    <row r="37" spans="1:37" ht="16.5" x14ac:dyDescent="0.25">
      <c r="A37" s="6">
        <v>7</v>
      </c>
      <c r="B37" s="16" t="s">
        <v>445</v>
      </c>
      <c r="C37" s="17" t="s">
        <v>56</v>
      </c>
      <c r="D37" s="10" t="s">
        <v>397</v>
      </c>
      <c r="E37" s="26" t="s">
        <v>112</v>
      </c>
      <c r="F37" s="26" t="s">
        <v>112</v>
      </c>
      <c r="G37" s="26" t="s">
        <v>112</v>
      </c>
      <c r="H37" s="26" t="s">
        <v>112</v>
      </c>
      <c r="I37" s="65"/>
      <c r="J37" s="60"/>
      <c r="K37" s="12" t="s">
        <v>112</v>
      </c>
      <c r="L37" s="12" t="s">
        <v>112</v>
      </c>
      <c r="M37" s="12" t="s">
        <v>112</v>
      </c>
      <c r="N37" s="12" t="s">
        <v>112</v>
      </c>
      <c r="O37" s="12" t="s">
        <v>112</v>
      </c>
      <c r="P37" s="12" t="s">
        <v>111</v>
      </c>
      <c r="Q37" s="60"/>
      <c r="R37" s="12" t="s">
        <v>112</v>
      </c>
      <c r="S37" s="12" t="s">
        <v>112</v>
      </c>
      <c r="T37" s="12" t="s">
        <v>112</v>
      </c>
      <c r="U37" s="12" t="s">
        <v>112</v>
      </c>
      <c r="V37" s="12" t="s">
        <v>112</v>
      </c>
      <c r="W37" s="12" t="s">
        <v>111</v>
      </c>
      <c r="X37" s="60"/>
      <c r="Y37" s="12" t="s">
        <v>112</v>
      </c>
      <c r="Z37" s="12" t="s">
        <v>112</v>
      </c>
      <c r="AA37" s="12" t="s">
        <v>112</v>
      </c>
      <c r="AB37" s="12" t="s">
        <v>112</v>
      </c>
      <c r="AC37" s="12" t="s">
        <v>112</v>
      </c>
      <c r="AD37" s="12" t="s">
        <v>111</v>
      </c>
      <c r="AE37" s="60"/>
      <c r="AF37" s="12" t="s">
        <v>112</v>
      </c>
      <c r="AG37" s="12" t="s">
        <v>112</v>
      </c>
      <c r="AH37" s="12" t="s">
        <v>112</v>
      </c>
      <c r="AI37" s="12" t="s">
        <v>112</v>
      </c>
      <c r="AJ37" s="5">
        <f t="shared" si="1"/>
        <v>23</v>
      </c>
      <c r="AK37" s="5">
        <f t="shared" si="2"/>
        <v>3</v>
      </c>
    </row>
    <row r="38" spans="1:37" ht="16.5" x14ac:dyDescent="0.25">
      <c r="A38" s="13">
        <v>8</v>
      </c>
      <c r="B38" s="16" t="s">
        <v>266</v>
      </c>
      <c r="C38" s="17" t="s">
        <v>446</v>
      </c>
      <c r="D38" s="10" t="s">
        <v>397</v>
      </c>
      <c r="E38" s="26" t="s">
        <v>111</v>
      </c>
      <c r="F38" s="26" t="s">
        <v>111</v>
      </c>
      <c r="G38" s="26" t="s">
        <v>111</v>
      </c>
      <c r="H38" s="26" t="s">
        <v>111</v>
      </c>
      <c r="I38" s="65"/>
      <c r="J38" s="60"/>
      <c r="K38" s="12" t="s">
        <v>111</v>
      </c>
      <c r="L38" s="12" t="s">
        <v>111</v>
      </c>
      <c r="M38" s="12" t="s">
        <v>111</v>
      </c>
      <c r="N38" s="12" t="s">
        <v>111</v>
      </c>
      <c r="O38" s="12" t="s">
        <v>111</v>
      </c>
      <c r="P38" s="12" t="s">
        <v>111</v>
      </c>
      <c r="Q38" s="60"/>
      <c r="R38" s="12" t="s">
        <v>111</v>
      </c>
      <c r="S38" s="12" t="s">
        <v>111</v>
      </c>
      <c r="T38" s="12" t="s">
        <v>111</v>
      </c>
      <c r="U38" s="12" t="s">
        <v>111</v>
      </c>
      <c r="V38" s="12" t="s">
        <v>111</v>
      </c>
      <c r="W38" s="12" t="s">
        <v>111</v>
      </c>
      <c r="X38" s="60"/>
      <c r="Y38" s="12" t="s">
        <v>111</v>
      </c>
      <c r="Z38" s="12" t="s">
        <v>111</v>
      </c>
      <c r="AA38" s="12" t="s">
        <v>111</v>
      </c>
      <c r="AB38" s="12" t="s">
        <v>111</v>
      </c>
      <c r="AC38" s="12" t="s">
        <v>111</v>
      </c>
      <c r="AD38" s="12" t="s">
        <v>111</v>
      </c>
      <c r="AE38" s="60"/>
      <c r="AF38" s="12" t="s">
        <v>111</v>
      </c>
      <c r="AG38" s="12" t="s">
        <v>111</v>
      </c>
      <c r="AH38" s="12" t="s">
        <v>111</v>
      </c>
      <c r="AI38" s="12" t="s">
        <v>111</v>
      </c>
      <c r="AJ38" s="5">
        <f t="shared" si="1"/>
        <v>0</v>
      </c>
      <c r="AK38" s="5">
        <f t="shared" si="2"/>
        <v>26</v>
      </c>
    </row>
    <row r="39" spans="1:37" ht="16.5" x14ac:dyDescent="0.25">
      <c r="A39" s="6">
        <v>9</v>
      </c>
      <c r="B39" s="16" t="s">
        <v>58</v>
      </c>
      <c r="C39" s="17" t="s">
        <v>250</v>
      </c>
      <c r="D39" s="10" t="s">
        <v>397</v>
      </c>
      <c r="E39" s="26" t="s">
        <v>112</v>
      </c>
      <c r="F39" s="26" t="s">
        <v>112</v>
      </c>
      <c r="G39" s="26" t="s">
        <v>112</v>
      </c>
      <c r="H39" s="26" t="s">
        <v>112</v>
      </c>
      <c r="I39" s="65"/>
      <c r="J39" s="60"/>
      <c r="K39" s="12" t="s">
        <v>111</v>
      </c>
      <c r="L39" s="12" t="s">
        <v>111</v>
      </c>
      <c r="M39" s="12" t="s">
        <v>112</v>
      </c>
      <c r="N39" s="12" t="s">
        <v>111</v>
      </c>
      <c r="O39" s="12" t="s">
        <v>111</v>
      </c>
      <c r="P39" s="12" t="s">
        <v>111</v>
      </c>
      <c r="Q39" s="60"/>
      <c r="R39" s="12" t="s">
        <v>112</v>
      </c>
      <c r="S39" s="12" t="s">
        <v>112</v>
      </c>
      <c r="T39" s="12" t="s">
        <v>112</v>
      </c>
      <c r="U39" s="12" t="s">
        <v>112</v>
      </c>
      <c r="V39" s="12" t="s">
        <v>112</v>
      </c>
      <c r="W39" s="12" t="s">
        <v>112</v>
      </c>
      <c r="X39" s="60"/>
      <c r="Y39" s="12" t="s">
        <v>112</v>
      </c>
      <c r="Z39" s="12" t="s">
        <v>112</v>
      </c>
      <c r="AA39" s="12" t="s">
        <v>112</v>
      </c>
      <c r="AB39" s="12" t="s">
        <v>112</v>
      </c>
      <c r="AC39" s="12" t="s">
        <v>111</v>
      </c>
      <c r="AD39" s="12" t="s">
        <v>112</v>
      </c>
      <c r="AE39" s="60"/>
      <c r="AF39" s="12" t="s">
        <v>111</v>
      </c>
      <c r="AG39" s="12" t="s">
        <v>112</v>
      </c>
      <c r="AH39" s="12" t="s">
        <v>111</v>
      </c>
      <c r="AI39" s="12" t="s">
        <v>112</v>
      </c>
      <c r="AJ39" s="5">
        <f t="shared" si="1"/>
        <v>18</v>
      </c>
      <c r="AK39" s="5">
        <f t="shared" si="2"/>
        <v>8</v>
      </c>
    </row>
    <row r="40" spans="1:37" ht="16.5" x14ac:dyDescent="0.25">
      <c r="A40" s="6">
        <v>10</v>
      </c>
      <c r="B40" s="16" t="s">
        <v>447</v>
      </c>
      <c r="C40" s="17" t="s">
        <v>448</v>
      </c>
      <c r="D40" s="10" t="s">
        <v>397</v>
      </c>
      <c r="E40" s="26" t="s">
        <v>112</v>
      </c>
      <c r="F40" s="26" t="s">
        <v>111</v>
      </c>
      <c r="G40" s="26" t="s">
        <v>112</v>
      </c>
      <c r="H40" s="26" t="s">
        <v>111</v>
      </c>
      <c r="I40" s="65"/>
      <c r="J40" s="60"/>
      <c r="K40" s="12" t="s">
        <v>111</v>
      </c>
      <c r="L40" s="12" t="s">
        <v>111</v>
      </c>
      <c r="M40" s="12" t="s">
        <v>112</v>
      </c>
      <c r="N40" s="12" t="s">
        <v>112</v>
      </c>
      <c r="O40" s="12" t="s">
        <v>112</v>
      </c>
      <c r="P40" s="12" t="s">
        <v>111</v>
      </c>
      <c r="Q40" s="60"/>
      <c r="R40" s="12" t="s">
        <v>112</v>
      </c>
      <c r="S40" s="12" t="s">
        <v>112</v>
      </c>
      <c r="T40" s="12" t="s">
        <v>111</v>
      </c>
      <c r="U40" s="12" t="s">
        <v>112</v>
      </c>
      <c r="V40" s="12" t="s">
        <v>112</v>
      </c>
      <c r="W40" s="12" t="s">
        <v>112</v>
      </c>
      <c r="X40" s="60"/>
      <c r="Y40" s="12" t="s">
        <v>112</v>
      </c>
      <c r="Z40" s="12" t="s">
        <v>113</v>
      </c>
      <c r="AA40" s="12" t="s">
        <v>113</v>
      </c>
      <c r="AB40" s="12" t="s">
        <v>112</v>
      </c>
      <c r="AC40" s="12" t="s">
        <v>112</v>
      </c>
      <c r="AD40" s="12" t="s">
        <v>112</v>
      </c>
      <c r="AE40" s="60"/>
      <c r="AF40" s="12" t="s">
        <v>111</v>
      </c>
      <c r="AG40" s="12" t="s">
        <v>112</v>
      </c>
      <c r="AH40" s="12" t="s">
        <v>112</v>
      </c>
      <c r="AI40" s="12" t="s">
        <v>112</v>
      </c>
      <c r="AJ40" s="5">
        <f t="shared" si="1"/>
        <v>17</v>
      </c>
      <c r="AK40" s="5">
        <f t="shared" si="2"/>
        <v>7</v>
      </c>
    </row>
    <row r="41" spans="1:37" ht="16.5" x14ac:dyDescent="0.25">
      <c r="A41" s="13">
        <v>11</v>
      </c>
      <c r="B41" s="16" t="s">
        <v>449</v>
      </c>
      <c r="C41" s="17" t="s">
        <v>450</v>
      </c>
      <c r="D41" s="10" t="s">
        <v>397</v>
      </c>
      <c r="E41" s="26" t="s">
        <v>112</v>
      </c>
      <c r="F41" s="26" t="s">
        <v>112</v>
      </c>
      <c r="G41" s="26" t="s">
        <v>112</v>
      </c>
      <c r="H41" s="26" t="s">
        <v>111</v>
      </c>
      <c r="I41" s="65"/>
      <c r="J41" s="60"/>
      <c r="K41" s="12" t="s">
        <v>112</v>
      </c>
      <c r="L41" s="12" t="s">
        <v>112</v>
      </c>
      <c r="M41" s="12" t="s">
        <v>112</v>
      </c>
      <c r="N41" s="12" t="s">
        <v>112</v>
      </c>
      <c r="O41" s="12" t="s">
        <v>112</v>
      </c>
      <c r="P41" s="12" t="s">
        <v>111</v>
      </c>
      <c r="Q41" s="60"/>
      <c r="R41" s="12" t="s">
        <v>112</v>
      </c>
      <c r="S41" s="12" t="s">
        <v>112</v>
      </c>
      <c r="T41" s="12" t="s">
        <v>111</v>
      </c>
      <c r="U41" s="12" t="s">
        <v>111</v>
      </c>
      <c r="V41" s="12" t="s">
        <v>111</v>
      </c>
      <c r="W41" s="12" t="s">
        <v>111</v>
      </c>
      <c r="X41" s="60"/>
      <c r="Y41" s="12" t="s">
        <v>112</v>
      </c>
      <c r="Z41" s="12" t="s">
        <v>111</v>
      </c>
      <c r="AA41" s="12" t="s">
        <v>111</v>
      </c>
      <c r="AB41" s="12" t="s">
        <v>111</v>
      </c>
      <c r="AC41" s="12" t="s">
        <v>111</v>
      </c>
      <c r="AD41" s="12" t="s">
        <v>111</v>
      </c>
      <c r="AE41" s="60"/>
      <c r="AF41" s="12" t="s">
        <v>112</v>
      </c>
      <c r="AG41" s="12" t="s">
        <v>112</v>
      </c>
      <c r="AH41" s="12" t="s">
        <v>112</v>
      </c>
      <c r="AI41" s="12" t="s">
        <v>112</v>
      </c>
      <c r="AJ41" s="5">
        <f t="shared" si="1"/>
        <v>15</v>
      </c>
      <c r="AK41" s="5">
        <f t="shared" si="2"/>
        <v>11</v>
      </c>
    </row>
    <row r="42" spans="1:37" ht="16.5" x14ac:dyDescent="0.25">
      <c r="A42" s="6">
        <v>12</v>
      </c>
      <c r="B42" s="16" t="s">
        <v>451</v>
      </c>
      <c r="C42" s="17" t="s">
        <v>452</v>
      </c>
      <c r="D42" s="10" t="s">
        <v>397</v>
      </c>
      <c r="E42" s="26" t="s">
        <v>112</v>
      </c>
      <c r="F42" s="26" t="s">
        <v>112</v>
      </c>
      <c r="G42" s="26" t="s">
        <v>112</v>
      </c>
      <c r="H42" s="26" t="s">
        <v>112</v>
      </c>
      <c r="I42" s="65"/>
      <c r="J42" s="60"/>
      <c r="K42" s="12" t="s">
        <v>112</v>
      </c>
      <c r="L42" s="12" t="s">
        <v>111</v>
      </c>
      <c r="M42" s="12" t="s">
        <v>112</v>
      </c>
      <c r="N42" s="12" t="s">
        <v>112</v>
      </c>
      <c r="O42" s="12" t="s">
        <v>112</v>
      </c>
      <c r="P42" s="12" t="s">
        <v>112</v>
      </c>
      <c r="Q42" s="60"/>
      <c r="R42" s="12" t="s">
        <v>112</v>
      </c>
      <c r="S42" s="12" t="s">
        <v>112</v>
      </c>
      <c r="T42" s="12" t="s">
        <v>111</v>
      </c>
      <c r="U42" s="12" t="s">
        <v>111</v>
      </c>
      <c r="V42" s="12" t="s">
        <v>112</v>
      </c>
      <c r="W42" s="12" t="s">
        <v>112</v>
      </c>
      <c r="X42" s="60"/>
      <c r="Y42" s="12" t="s">
        <v>112</v>
      </c>
      <c r="Z42" s="12" t="s">
        <v>112</v>
      </c>
      <c r="AA42" s="12" t="s">
        <v>112</v>
      </c>
      <c r="AB42" s="12" t="s">
        <v>112</v>
      </c>
      <c r="AC42" s="12" t="s">
        <v>111</v>
      </c>
      <c r="AD42" s="12" t="s">
        <v>111</v>
      </c>
      <c r="AE42" s="60"/>
      <c r="AF42" s="12" t="s">
        <v>112</v>
      </c>
      <c r="AG42" s="12" t="s">
        <v>111</v>
      </c>
      <c r="AH42" s="12" t="s">
        <v>112</v>
      </c>
      <c r="AI42" s="12" t="s">
        <v>112</v>
      </c>
      <c r="AJ42" s="5">
        <f t="shared" si="1"/>
        <v>20</v>
      </c>
      <c r="AK42" s="5">
        <f t="shared" si="2"/>
        <v>6</v>
      </c>
    </row>
    <row r="43" spans="1:37" ht="16.5" x14ac:dyDescent="0.25">
      <c r="A43" s="6">
        <v>13</v>
      </c>
      <c r="B43" s="16" t="s">
        <v>453</v>
      </c>
      <c r="C43" s="17" t="s">
        <v>121</v>
      </c>
      <c r="D43" s="10" t="s">
        <v>397</v>
      </c>
      <c r="E43" s="26" t="s">
        <v>112</v>
      </c>
      <c r="F43" s="26" t="s">
        <v>112</v>
      </c>
      <c r="G43" s="26" t="s">
        <v>112</v>
      </c>
      <c r="H43" s="26" t="s">
        <v>112</v>
      </c>
      <c r="I43" s="65"/>
      <c r="J43" s="60"/>
      <c r="K43" s="12" t="s">
        <v>112</v>
      </c>
      <c r="L43" s="12" t="s">
        <v>112</v>
      </c>
      <c r="M43" s="12" t="s">
        <v>112</v>
      </c>
      <c r="N43" s="12" t="s">
        <v>112</v>
      </c>
      <c r="O43" s="12" t="s">
        <v>112</v>
      </c>
      <c r="P43" s="12" t="s">
        <v>111</v>
      </c>
      <c r="Q43" s="60"/>
      <c r="R43" s="12" t="s">
        <v>112</v>
      </c>
      <c r="S43" s="12" t="s">
        <v>112</v>
      </c>
      <c r="T43" s="12" t="s">
        <v>112</v>
      </c>
      <c r="U43" s="12" t="s">
        <v>112</v>
      </c>
      <c r="V43" s="12" t="s">
        <v>112</v>
      </c>
      <c r="W43" s="12" t="s">
        <v>112</v>
      </c>
      <c r="X43" s="60"/>
      <c r="Y43" s="12" t="s">
        <v>112</v>
      </c>
      <c r="Z43" s="12" t="s">
        <v>112</v>
      </c>
      <c r="AA43" s="12" t="s">
        <v>112</v>
      </c>
      <c r="AB43" s="12" t="s">
        <v>111</v>
      </c>
      <c r="AC43" s="12" t="s">
        <v>112</v>
      </c>
      <c r="AD43" s="12" t="s">
        <v>112</v>
      </c>
      <c r="AE43" s="60"/>
      <c r="AF43" s="12" t="s">
        <v>111</v>
      </c>
      <c r="AG43" s="12" t="s">
        <v>111</v>
      </c>
      <c r="AH43" s="12" t="s">
        <v>111</v>
      </c>
      <c r="AI43" s="12" t="s">
        <v>111</v>
      </c>
      <c r="AJ43" s="5">
        <f t="shared" si="1"/>
        <v>20</v>
      </c>
      <c r="AK43" s="5">
        <f t="shared" si="2"/>
        <v>6</v>
      </c>
    </row>
    <row r="44" spans="1:37" ht="16.5" x14ac:dyDescent="0.25">
      <c r="A44" s="13">
        <v>14</v>
      </c>
      <c r="B44" s="16" t="s">
        <v>454</v>
      </c>
      <c r="C44" s="17" t="s">
        <v>66</v>
      </c>
      <c r="D44" s="10" t="s">
        <v>397</v>
      </c>
      <c r="E44" s="26" t="s">
        <v>112</v>
      </c>
      <c r="F44" s="26" t="s">
        <v>112</v>
      </c>
      <c r="G44" s="26" t="s">
        <v>112</v>
      </c>
      <c r="H44" s="26" t="s">
        <v>112</v>
      </c>
      <c r="I44" s="65"/>
      <c r="J44" s="60"/>
      <c r="K44" s="12" t="s">
        <v>112</v>
      </c>
      <c r="L44" s="12" t="s">
        <v>112</v>
      </c>
      <c r="M44" s="12" t="s">
        <v>112</v>
      </c>
      <c r="N44" s="12" t="s">
        <v>112</v>
      </c>
      <c r="O44" s="12" t="s">
        <v>112</v>
      </c>
      <c r="P44" s="12" t="s">
        <v>112</v>
      </c>
      <c r="Q44" s="60"/>
      <c r="R44" s="12" t="s">
        <v>112</v>
      </c>
      <c r="S44" s="12" t="s">
        <v>112</v>
      </c>
      <c r="T44" s="12" t="s">
        <v>112</v>
      </c>
      <c r="U44" s="12" t="s">
        <v>112</v>
      </c>
      <c r="V44" s="12" t="s">
        <v>112</v>
      </c>
      <c r="W44" s="12" t="s">
        <v>112</v>
      </c>
      <c r="X44" s="60"/>
      <c r="Y44" s="12" t="s">
        <v>112</v>
      </c>
      <c r="Z44" s="12" t="s">
        <v>112</v>
      </c>
      <c r="AA44" s="12" t="s">
        <v>112</v>
      </c>
      <c r="AB44" s="12" t="s">
        <v>112</v>
      </c>
      <c r="AC44" s="12" t="s">
        <v>111</v>
      </c>
      <c r="AD44" s="12" t="s">
        <v>112</v>
      </c>
      <c r="AE44" s="60"/>
      <c r="AF44" s="12" t="s">
        <v>112</v>
      </c>
      <c r="AG44" s="12" t="s">
        <v>112</v>
      </c>
      <c r="AH44" s="12" t="s">
        <v>112</v>
      </c>
      <c r="AI44" s="12" t="s">
        <v>112</v>
      </c>
      <c r="AJ44" s="5">
        <f t="shared" si="1"/>
        <v>25</v>
      </c>
      <c r="AK44" s="5">
        <f t="shared" si="2"/>
        <v>1</v>
      </c>
    </row>
    <row r="45" spans="1:37" ht="16.5" x14ac:dyDescent="0.25">
      <c r="A45" s="6">
        <v>15</v>
      </c>
      <c r="B45" s="16" t="s">
        <v>455</v>
      </c>
      <c r="C45" s="17" t="s">
        <v>229</v>
      </c>
      <c r="D45" s="10" t="s">
        <v>397</v>
      </c>
      <c r="E45" s="26" t="s">
        <v>112</v>
      </c>
      <c r="F45" s="26" t="s">
        <v>112</v>
      </c>
      <c r="G45" s="26" t="s">
        <v>112</v>
      </c>
      <c r="H45" s="26" t="s">
        <v>112</v>
      </c>
      <c r="I45" s="65"/>
      <c r="J45" s="60"/>
      <c r="K45" s="12" t="s">
        <v>112</v>
      </c>
      <c r="L45" s="12" t="s">
        <v>112</v>
      </c>
      <c r="M45" s="12" t="s">
        <v>112</v>
      </c>
      <c r="N45" s="12" t="s">
        <v>112</v>
      </c>
      <c r="O45" s="12" t="s">
        <v>112</v>
      </c>
      <c r="P45" s="12" t="s">
        <v>112</v>
      </c>
      <c r="Q45" s="60"/>
      <c r="R45" s="12" t="s">
        <v>112</v>
      </c>
      <c r="S45" s="12" t="s">
        <v>112</v>
      </c>
      <c r="T45" s="12" t="s">
        <v>112</v>
      </c>
      <c r="U45" s="12" t="s">
        <v>112</v>
      </c>
      <c r="V45" s="12" t="s">
        <v>112</v>
      </c>
      <c r="W45" s="12" t="s">
        <v>112</v>
      </c>
      <c r="X45" s="60"/>
      <c r="Y45" s="12" t="s">
        <v>113</v>
      </c>
      <c r="Z45" s="12" t="s">
        <v>112</v>
      </c>
      <c r="AA45" s="12" t="s">
        <v>112</v>
      </c>
      <c r="AB45" s="12" t="s">
        <v>112</v>
      </c>
      <c r="AC45" s="12" t="s">
        <v>112</v>
      </c>
      <c r="AD45" s="12" t="s">
        <v>112</v>
      </c>
      <c r="AE45" s="60"/>
      <c r="AF45" s="12" t="s">
        <v>112</v>
      </c>
      <c r="AG45" s="12" t="s">
        <v>112</v>
      </c>
      <c r="AH45" s="12" t="s">
        <v>112</v>
      </c>
      <c r="AI45" s="12" t="s">
        <v>112</v>
      </c>
      <c r="AJ45" s="5">
        <f t="shared" si="1"/>
        <v>25</v>
      </c>
      <c r="AK45" s="5">
        <f t="shared" si="2"/>
        <v>0</v>
      </c>
    </row>
    <row r="46" spans="1:37" ht="16.5" x14ac:dyDescent="0.25">
      <c r="A46" s="6">
        <v>16</v>
      </c>
      <c r="B46" s="16" t="s">
        <v>97</v>
      </c>
      <c r="C46" s="17" t="s">
        <v>84</v>
      </c>
      <c r="D46" s="10" t="s">
        <v>397</v>
      </c>
      <c r="E46" s="26" t="s">
        <v>112</v>
      </c>
      <c r="F46" s="26" t="s">
        <v>112</v>
      </c>
      <c r="G46" s="26" t="s">
        <v>112</v>
      </c>
      <c r="H46" s="26" t="s">
        <v>112</v>
      </c>
      <c r="I46" s="65"/>
      <c r="J46" s="60"/>
      <c r="K46" s="12" t="s">
        <v>111</v>
      </c>
      <c r="L46" s="12" t="s">
        <v>112</v>
      </c>
      <c r="M46" s="12" t="s">
        <v>112</v>
      </c>
      <c r="N46" s="12" t="s">
        <v>112</v>
      </c>
      <c r="O46" s="12" t="s">
        <v>112</v>
      </c>
      <c r="P46" s="12" t="s">
        <v>112</v>
      </c>
      <c r="Q46" s="60"/>
      <c r="R46" s="12" t="s">
        <v>112</v>
      </c>
      <c r="S46" s="12" t="s">
        <v>112</v>
      </c>
      <c r="T46" s="12" t="s">
        <v>112</v>
      </c>
      <c r="U46" s="12" t="s">
        <v>111</v>
      </c>
      <c r="V46" s="12" t="s">
        <v>112</v>
      </c>
      <c r="W46" s="12" t="s">
        <v>112</v>
      </c>
      <c r="X46" s="60"/>
      <c r="Y46" s="12" t="s">
        <v>112</v>
      </c>
      <c r="Z46" s="12" t="s">
        <v>112</v>
      </c>
      <c r="AA46" s="12" t="s">
        <v>112</v>
      </c>
      <c r="AB46" s="12" t="s">
        <v>112</v>
      </c>
      <c r="AC46" s="12" t="s">
        <v>112</v>
      </c>
      <c r="AD46" s="12" t="s">
        <v>113</v>
      </c>
      <c r="AE46" s="60"/>
      <c r="AF46" s="12" t="s">
        <v>112</v>
      </c>
      <c r="AG46" s="12" t="s">
        <v>112</v>
      </c>
      <c r="AH46" s="12" t="s">
        <v>112</v>
      </c>
      <c r="AI46" s="12" t="s">
        <v>112</v>
      </c>
      <c r="AJ46" s="5">
        <f t="shared" si="1"/>
        <v>23</v>
      </c>
      <c r="AK46" s="5">
        <f t="shared" si="2"/>
        <v>2</v>
      </c>
    </row>
    <row r="47" spans="1:37" ht="16.5" x14ac:dyDescent="0.25">
      <c r="A47" s="13">
        <v>17</v>
      </c>
      <c r="B47" s="16" t="s">
        <v>456</v>
      </c>
      <c r="C47" s="17" t="s">
        <v>457</v>
      </c>
      <c r="D47" s="10" t="s">
        <v>397</v>
      </c>
      <c r="E47" s="26" t="s">
        <v>111</v>
      </c>
      <c r="F47" s="26" t="s">
        <v>111</v>
      </c>
      <c r="G47" s="26" t="s">
        <v>111</v>
      </c>
      <c r="H47" s="26" t="s">
        <v>111</v>
      </c>
      <c r="I47" s="65"/>
      <c r="J47" s="60"/>
      <c r="K47" s="12" t="s">
        <v>111</v>
      </c>
      <c r="L47" s="12" t="s">
        <v>111</v>
      </c>
      <c r="M47" s="12" t="s">
        <v>111</v>
      </c>
      <c r="N47" s="12" t="s">
        <v>111</v>
      </c>
      <c r="O47" s="12" t="s">
        <v>111</v>
      </c>
      <c r="P47" s="12" t="s">
        <v>111</v>
      </c>
      <c r="Q47" s="60"/>
      <c r="R47" s="12" t="s">
        <v>111</v>
      </c>
      <c r="S47" s="12" t="s">
        <v>111</v>
      </c>
      <c r="T47" s="12" t="s">
        <v>111</v>
      </c>
      <c r="U47" s="12" t="s">
        <v>111</v>
      </c>
      <c r="V47" s="12" t="s">
        <v>111</v>
      </c>
      <c r="W47" s="12" t="s">
        <v>111</v>
      </c>
      <c r="X47" s="60"/>
      <c r="Y47" s="12" t="s">
        <v>111</v>
      </c>
      <c r="Z47" s="12" t="s">
        <v>111</v>
      </c>
      <c r="AA47" s="12" t="s">
        <v>111</v>
      </c>
      <c r="AB47" s="12" t="s">
        <v>111</v>
      </c>
      <c r="AC47" s="12" t="s">
        <v>111</v>
      </c>
      <c r="AD47" s="12" t="s">
        <v>111</v>
      </c>
      <c r="AE47" s="60"/>
      <c r="AF47" s="12" t="s">
        <v>111</v>
      </c>
      <c r="AG47" s="12" t="s">
        <v>111</v>
      </c>
      <c r="AH47" s="12" t="s">
        <v>111</v>
      </c>
      <c r="AI47" s="12" t="s">
        <v>111</v>
      </c>
      <c r="AJ47" s="5">
        <f t="shared" si="1"/>
        <v>0</v>
      </c>
      <c r="AK47" s="5">
        <f t="shared" si="2"/>
        <v>26</v>
      </c>
    </row>
    <row r="48" spans="1:37" ht="16.5" x14ac:dyDescent="0.25">
      <c r="A48" s="6">
        <v>18</v>
      </c>
      <c r="B48" s="16" t="s">
        <v>458</v>
      </c>
      <c r="C48" s="17" t="s">
        <v>459</v>
      </c>
      <c r="D48" s="10" t="s">
        <v>397</v>
      </c>
      <c r="E48" s="26" t="s">
        <v>112</v>
      </c>
      <c r="F48" s="26" t="s">
        <v>112</v>
      </c>
      <c r="G48" s="26" t="s">
        <v>112</v>
      </c>
      <c r="H48" s="26" t="s">
        <v>111</v>
      </c>
      <c r="I48" s="65"/>
      <c r="J48" s="60"/>
      <c r="K48" s="12" t="s">
        <v>112</v>
      </c>
      <c r="L48" s="12" t="s">
        <v>112</v>
      </c>
      <c r="M48" s="12" t="s">
        <v>112</v>
      </c>
      <c r="N48" s="12" t="s">
        <v>112</v>
      </c>
      <c r="O48" s="12" t="s">
        <v>112</v>
      </c>
      <c r="P48" s="12" t="s">
        <v>112</v>
      </c>
      <c r="Q48" s="60"/>
      <c r="R48" s="12" t="s">
        <v>112</v>
      </c>
      <c r="S48" s="12" t="s">
        <v>112</v>
      </c>
      <c r="T48" s="12" t="s">
        <v>112</v>
      </c>
      <c r="U48" s="12" t="s">
        <v>112</v>
      </c>
      <c r="V48" s="12" t="s">
        <v>112</v>
      </c>
      <c r="W48" s="12" t="s">
        <v>112</v>
      </c>
      <c r="X48" s="60"/>
      <c r="Y48" s="12" t="s">
        <v>112</v>
      </c>
      <c r="Z48" s="12" t="s">
        <v>112</v>
      </c>
      <c r="AA48" s="12" t="s">
        <v>112</v>
      </c>
      <c r="AB48" s="12" t="s">
        <v>111</v>
      </c>
      <c r="AC48" s="12" t="s">
        <v>112</v>
      </c>
      <c r="AD48" s="12" t="s">
        <v>111</v>
      </c>
      <c r="AE48" s="60"/>
      <c r="AF48" s="12" t="s">
        <v>112</v>
      </c>
      <c r="AG48" s="12" t="s">
        <v>112</v>
      </c>
      <c r="AH48" s="12" t="s">
        <v>112</v>
      </c>
      <c r="AI48" s="12" t="s">
        <v>112</v>
      </c>
      <c r="AJ48" s="5">
        <f t="shared" si="1"/>
        <v>23</v>
      </c>
      <c r="AK48" s="5">
        <f t="shared" si="2"/>
        <v>3</v>
      </c>
    </row>
    <row r="49" spans="1:37" ht="16.5" x14ac:dyDescent="0.25">
      <c r="A49" s="6">
        <v>19</v>
      </c>
      <c r="B49" s="16" t="s">
        <v>460</v>
      </c>
      <c r="C49" s="17" t="s">
        <v>461</v>
      </c>
      <c r="D49" s="10" t="s">
        <v>397</v>
      </c>
      <c r="E49" s="26" t="s">
        <v>112</v>
      </c>
      <c r="F49" s="26" t="s">
        <v>112</v>
      </c>
      <c r="G49" s="26" t="s">
        <v>112</v>
      </c>
      <c r="H49" s="26" t="s">
        <v>112</v>
      </c>
      <c r="I49" s="65"/>
      <c r="J49" s="60"/>
      <c r="K49" s="12" t="s">
        <v>112</v>
      </c>
      <c r="L49" s="12" t="s">
        <v>112</v>
      </c>
      <c r="M49" s="12" t="s">
        <v>112</v>
      </c>
      <c r="N49" s="12" t="s">
        <v>112</v>
      </c>
      <c r="O49" s="12" t="s">
        <v>111</v>
      </c>
      <c r="P49" s="12" t="s">
        <v>111</v>
      </c>
      <c r="Q49" s="60"/>
      <c r="R49" s="12" t="s">
        <v>111</v>
      </c>
      <c r="S49" s="12" t="s">
        <v>111</v>
      </c>
      <c r="T49" s="12" t="s">
        <v>111</v>
      </c>
      <c r="U49" s="12" t="s">
        <v>111</v>
      </c>
      <c r="V49" s="12" t="s">
        <v>111</v>
      </c>
      <c r="W49" s="12" t="s">
        <v>111</v>
      </c>
      <c r="X49" s="60"/>
      <c r="Y49" s="12" t="s">
        <v>112</v>
      </c>
      <c r="Z49" s="12" t="s">
        <v>112</v>
      </c>
      <c r="AA49" s="12" t="s">
        <v>112</v>
      </c>
      <c r="AB49" s="12" t="s">
        <v>112</v>
      </c>
      <c r="AC49" s="12" t="s">
        <v>112</v>
      </c>
      <c r="AD49" s="12" t="s">
        <v>112</v>
      </c>
      <c r="AE49" s="60"/>
      <c r="AF49" s="12" t="s">
        <v>112</v>
      </c>
      <c r="AG49" s="12" t="s">
        <v>112</v>
      </c>
      <c r="AH49" s="12" t="s">
        <v>112</v>
      </c>
      <c r="AI49" s="12" t="s">
        <v>112</v>
      </c>
      <c r="AJ49" s="5">
        <f t="shared" si="1"/>
        <v>18</v>
      </c>
      <c r="AK49" s="5">
        <f t="shared" si="2"/>
        <v>8</v>
      </c>
    </row>
    <row r="50" spans="1:37" ht="16.5" x14ac:dyDescent="0.25">
      <c r="A50" s="13">
        <v>20</v>
      </c>
      <c r="B50" s="16" t="s">
        <v>462</v>
      </c>
      <c r="C50" s="17" t="s">
        <v>41</v>
      </c>
      <c r="D50" s="10" t="s">
        <v>397</v>
      </c>
      <c r="E50" s="26" t="s">
        <v>112</v>
      </c>
      <c r="F50" s="26" t="s">
        <v>112</v>
      </c>
      <c r="G50" s="26" t="s">
        <v>112</v>
      </c>
      <c r="H50" s="26" t="s">
        <v>112</v>
      </c>
      <c r="I50" s="65"/>
      <c r="J50" s="60"/>
      <c r="K50" s="12" t="s">
        <v>112</v>
      </c>
      <c r="L50" s="12" t="s">
        <v>112</v>
      </c>
      <c r="M50" s="12" t="s">
        <v>112</v>
      </c>
      <c r="N50" s="12" t="s">
        <v>112</v>
      </c>
      <c r="O50" s="12" t="s">
        <v>112</v>
      </c>
      <c r="P50" s="12" t="s">
        <v>112</v>
      </c>
      <c r="Q50" s="60"/>
      <c r="R50" s="12" t="s">
        <v>112</v>
      </c>
      <c r="S50" s="12" t="s">
        <v>112</v>
      </c>
      <c r="T50" s="12" t="s">
        <v>112</v>
      </c>
      <c r="U50" s="12" t="s">
        <v>112</v>
      </c>
      <c r="V50" s="12" t="s">
        <v>112</v>
      </c>
      <c r="W50" s="12" t="s">
        <v>112</v>
      </c>
      <c r="X50" s="60"/>
      <c r="Y50" s="12" t="s">
        <v>112</v>
      </c>
      <c r="Z50" s="12" t="s">
        <v>112</v>
      </c>
      <c r="AA50" s="12" t="s">
        <v>112</v>
      </c>
      <c r="AB50" s="12" t="s">
        <v>112</v>
      </c>
      <c r="AC50" s="12" t="s">
        <v>112</v>
      </c>
      <c r="AD50" s="12" t="s">
        <v>111</v>
      </c>
      <c r="AE50" s="60"/>
      <c r="AF50" s="12" t="s">
        <v>112</v>
      </c>
      <c r="AG50" s="12" t="s">
        <v>112</v>
      </c>
      <c r="AH50" s="12" t="s">
        <v>112</v>
      </c>
      <c r="AI50" s="12" t="s">
        <v>112</v>
      </c>
      <c r="AJ50" s="5">
        <f t="shared" si="1"/>
        <v>25</v>
      </c>
      <c r="AK50" s="5">
        <f t="shared" si="2"/>
        <v>1</v>
      </c>
    </row>
    <row r="51" spans="1:37" ht="16.5" x14ac:dyDescent="0.25">
      <c r="A51" s="6">
        <v>21</v>
      </c>
      <c r="B51" s="16" t="s">
        <v>463</v>
      </c>
      <c r="C51" s="17" t="s">
        <v>464</v>
      </c>
      <c r="D51" s="10" t="s">
        <v>397</v>
      </c>
      <c r="E51" s="26" t="s">
        <v>112</v>
      </c>
      <c r="F51" s="26" t="s">
        <v>112</v>
      </c>
      <c r="G51" s="26" t="s">
        <v>112</v>
      </c>
      <c r="H51" s="26" t="s">
        <v>112</v>
      </c>
      <c r="I51" s="65"/>
      <c r="J51" s="60"/>
      <c r="K51" s="12" t="s">
        <v>112</v>
      </c>
      <c r="L51" s="12" t="s">
        <v>112</v>
      </c>
      <c r="M51" s="12" t="s">
        <v>112</v>
      </c>
      <c r="N51" s="12" t="s">
        <v>112</v>
      </c>
      <c r="O51" s="12" t="s">
        <v>112</v>
      </c>
      <c r="P51" s="12" t="s">
        <v>112</v>
      </c>
      <c r="Q51" s="60"/>
      <c r="R51" s="12" t="s">
        <v>112</v>
      </c>
      <c r="S51" s="12" t="s">
        <v>112</v>
      </c>
      <c r="T51" s="12" t="s">
        <v>112</v>
      </c>
      <c r="U51" s="12" t="s">
        <v>112</v>
      </c>
      <c r="V51" s="12" t="s">
        <v>112</v>
      </c>
      <c r="W51" s="12" t="s">
        <v>112</v>
      </c>
      <c r="X51" s="60"/>
      <c r="Y51" s="12" t="s">
        <v>113</v>
      </c>
      <c r="Z51" s="12" t="s">
        <v>113</v>
      </c>
      <c r="AA51" s="12" t="s">
        <v>112</v>
      </c>
      <c r="AB51" s="12" t="s">
        <v>112</v>
      </c>
      <c r="AC51" s="12" t="s">
        <v>111</v>
      </c>
      <c r="AD51" s="12" t="s">
        <v>113</v>
      </c>
      <c r="AE51" s="60"/>
      <c r="AF51" s="12" t="s">
        <v>111</v>
      </c>
      <c r="AG51" s="12" t="s">
        <v>112</v>
      </c>
      <c r="AH51" s="12" t="s">
        <v>112</v>
      </c>
      <c r="AI51" s="12" t="s">
        <v>112</v>
      </c>
      <c r="AJ51" s="5">
        <f t="shared" si="1"/>
        <v>21</v>
      </c>
      <c r="AK51" s="5">
        <f t="shared" si="2"/>
        <v>2</v>
      </c>
    </row>
    <row r="52" spans="1:37" ht="16.5" x14ac:dyDescent="0.25">
      <c r="A52" s="6">
        <v>22</v>
      </c>
      <c r="B52" s="16" t="s">
        <v>465</v>
      </c>
      <c r="C52" s="17" t="s">
        <v>246</v>
      </c>
      <c r="D52" s="10" t="s">
        <v>397</v>
      </c>
      <c r="E52" s="26" t="s">
        <v>112</v>
      </c>
      <c r="F52" s="26" t="s">
        <v>112</v>
      </c>
      <c r="G52" s="26" t="s">
        <v>112</v>
      </c>
      <c r="H52" s="26" t="s">
        <v>111</v>
      </c>
      <c r="I52" s="65"/>
      <c r="J52" s="60"/>
      <c r="K52" s="12" t="s">
        <v>112</v>
      </c>
      <c r="L52" s="12" t="s">
        <v>112</v>
      </c>
      <c r="M52" s="12" t="s">
        <v>112</v>
      </c>
      <c r="N52" s="12" t="s">
        <v>112</v>
      </c>
      <c r="O52" s="12" t="s">
        <v>112</v>
      </c>
      <c r="P52" s="12" t="s">
        <v>112</v>
      </c>
      <c r="Q52" s="60"/>
      <c r="R52" s="12" t="s">
        <v>112</v>
      </c>
      <c r="S52" s="12" t="s">
        <v>112</v>
      </c>
      <c r="T52" s="12" t="s">
        <v>112</v>
      </c>
      <c r="U52" s="12" t="s">
        <v>112</v>
      </c>
      <c r="V52" s="12" t="s">
        <v>112</v>
      </c>
      <c r="W52" s="12" t="s">
        <v>112</v>
      </c>
      <c r="X52" s="60"/>
      <c r="Y52" s="12" t="s">
        <v>112</v>
      </c>
      <c r="Z52" s="12" t="s">
        <v>112</v>
      </c>
      <c r="AA52" s="12" t="s">
        <v>112</v>
      </c>
      <c r="AB52" s="12" t="s">
        <v>112</v>
      </c>
      <c r="AC52" s="12" t="s">
        <v>112</v>
      </c>
      <c r="AD52" s="12" t="s">
        <v>112</v>
      </c>
      <c r="AE52" s="60"/>
      <c r="AF52" s="12" t="s">
        <v>112</v>
      </c>
      <c r="AG52" s="12" t="s">
        <v>112</v>
      </c>
      <c r="AH52" s="12" t="s">
        <v>112</v>
      </c>
      <c r="AI52" s="12" t="s">
        <v>112</v>
      </c>
      <c r="AJ52" s="5">
        <f t="shared" si="1"/>
        <v>25</v>
      </c>
      <c r="AK52" s="5">
        <f t="shared" si="2"/>
        <v>1</v>
      </c>
    </row>
    <row r="53" spans="1:37" ht="16.5" x14ac:dyDescent="0.25">
      <c r="A53" s="13">
        <v>23</v>
      </c>
      <c r="B53" s="16" t="s">
        <v>322</v>
      </c>
      <c r="C53" s="17" t="s">
        <v>246</v>
      </c>
      <c r="D53" s="10" t="s">
        <v>397</v>
      </c>
      <c r="E53" s="26" t="s">
        <v>112</v>
      </c>
      <c r="F53" s="26" t="s">
        <v>112</v>
      </c>
      <c r="G53" s="26" t="s">
        <v>112</v>
      </c>
      <c r="H53" s="26" t="s">
        <v>112</v>
      </c>
      <c r="I53" s="65"/>
      <c r="J53" s="60"/>
      <c r="K53" s="12" t="s">
        <v>112</v>
      </c>
      <c r="L53" s="12" t="s">
        <v>112</v>
      </c>
      <c r="M53" s="12" t="s">
        <v>112</v>
      </c>
      <c r="N53" s="12" t="s">
        <v>112</v>
      </c>
      <c r="O53" s="12" t="s">
        <v>112</v>
      </c>
      <c r="P53" s="12" t="s">
        <v>112</v>
      </c>
      <c r="Q53" s="60"/>
      <c r="R53" s="12" t="s">
        <v>112</v>
      </c>
      <c r="S53" s="12" t="s">
        <v>112</v>
      </c>
      <c r="T53" s="12" t="s">
        <v>112</v>
      </c>
      <c r="U53" s="12" t="s">
        <v>112</v>
      </c>
      <c r="V53" s="12" t="s">
        <v>112</v>
      </c>
      <c r="W53" s="12" t="s">
        <v>112</v>
      </c>
      <c r="X53" s="60"/>
      <c r="Y53" s="12" t="s">
        <v>112</v>
      </c>
      <c r="Z53" s="12" t="s">
        <v>112</v>
      </c>
      <c r="AA53" s="12" t="s">
        <v>112</v>
      </c>
      <c r="AB53" s="12" t="s">
        <v>112</v>
      </c>
      <c r="AC53" s="12" t="s">
        <v>112</v>
      </c>
      <c r="AD53" s="12" t="s">
        <v>112</v>
      </c>
      <c r="AE53" s="60"/>
      <c r="AF53" s="12" t="s">
        <v>112</v>
      </c>
      <c r="AG53" s="12" t="s">
        <v>112</v>
      </c>
      <c r="AH53" s="12" t="s">
        <v>112</v>
      </c>
      <c r="AI53" s="12" t="s">
        <v>112</v>
      </c>
      <c r="AJ53" s="5">
        <f t="shared" si="1"/>
        <v>26</v>
      </c>
      <c r="AK53" s="5">
        <f t="shared" si="2"/>
        <v>0</v>
      </c>
    </row>
    <row r="54" spans="1:37" ht="16.5" x14ac:dyDescent="0.25">
      <c r="A54" s="6">
        <v>24</v>
      </c>
      <c r="B54" s="16" t="s">
        <v>466</v>
      </c>
      <c r="C54" s="17" t="s">
        <v>467</v>
      </c>
      <c r="D54" s="10" t="s">
        <v>397</v>
      </c>
      <c r="E54" s="26" t="s">
        <v>112</v>
      </c>
      <c r="F54" s="26" t="s">
        <v>112</v>
      </c>
      <c r="G54" s="26" t="s">
        <v>112</v>
      </c>
      <c r="H54" s="26" t="s">
        <v>111</v>
      </c>
      <c r="I54" s="65"/>
      <c r="J54" s="60"/>
      <c r="K54" s="12" t="s">
        <v>111</v>
      </c>
      <c r="L54" s="12" t="s">
        <v>112</v>
      </c>
      <c r="M54" s="12" t="s">
        <v>112</v>
      </c>
      <c r="N54" s="12" t="s">
        <v>112</v>
      </c>
      <c r="O54" s="12" t="s">
        <v>112</v>
      </c>
      <c r="P54" s="12" t="s">
        <v>112</v>
      </c>
      <c r="Q54" s="60"/>
      <c r="R54" s="12" t="s">
        <v>112</v>
      </c>
      <c r="S54" s="12" t="s">
        <v>112</v>
      </c>
      <c r="T54" s="12" t="s">
        <v>112</v>
      </c>
      <c r="U54" s="12" t="s">
        <v>112</v>
      </c>
      <c r="V54" s="12" t="s">
        <v>112</v>
      </c>
      <c r="W54" s="12" t="s">
        <v>111</v>
      </c>
      <c r="X54" s="60"/>
      <c r="Y54" s="12" t="s">
        <v>112</v>
      </c>
      <c r="Z54" s="12" t="s">
        <v>111</v>
      </c>
      <c r="AA54" s="12" t="s">
        <v>112</v>
      </c>
      <c r="AB54" s="12" t="s">
        <v>112</v>
      </c>
      <c r="AC54" s="12" t="s">
        <v>112</v>
      </c>
      <c r="AD54" s="12" t="s">
        <v>112</v>
      </c>
      <c r="AE54" s="60"/>
      <c r="AF54" s="12" t="s">
        <v>112</v>
      </c>
      <c r="AG54" s="12" t="s">
        <v>112</v>
      </c>
      <c r="AH54" s="12" t="s">
        <v>112</v>
      </c>
      <c r="AI54" s="12" t="s">
        <v>112</v>
      </c>
      <c r="AJ54" s="5">
        <f t="shared" si="1"/>
        <v>22</v>
      </c>
      <c r="AK54" s="5">
        <f t="shared" si="2"/>
        <v>4</v>
      </c>
    </row>
    <row r="55" spans="1:37" ht="16.5" x14ac:dyDescent="0.25">
      <c r="A55" s="6">
        <v>25</v>
      </c>
      <c r="B55" s="16" t="s">
        <v>468</v>
      </c>
      <c r="C55" s="17" t="s">
        <v>460</v>
      </c>
      <c r="D55" s="10" t="s">
        <v>397</v>
      </c>
      <c r="E55" s="26" t="s">
        <v>112</v>
      </c>
      <c r="F55" s="26" t="s">
        <v>111</v>
      </c>
      <c r="G55" s="26" t="s">
        <v>112</v>
      </c>
      <c r="H55" s="26" t="s">
        <v>111</v>
      </c>
      <c r="I55" s="65"/>
      <c r="J55" s="60"/>
      <c r="K55" s="12" t="s">
        <v>112</v>
      </c>
      <c r="L55" s="12" t="s">
        <v>112</v>
      </c>
      <c r="M55" s="12" t="s">
        <v>111</v>
      </c>
      <c r="N55" s="12" t="s">
        <v>112</v>
      </c>
      <c r="O55" s="12" t="s">
        <v>112</v>
      </c>
      <c r="P55" s="12" t="s">
        <v>111</v>
      </c>
      <c r="Q55" s="60"/>
      <c r="R55" s="12" t="s">
        <v>112</v>
      </c>
      <c r="S55" s="12" t="s">
        <v>112</v>
      </c>
      <c r="T55" s="12" t="s">
        <v>112</v>
      </c>
      <c r="U55" s="12" t="s">
        <v>111</v>
      </c>
      <c r="V55" s="12" t="s">
        <v>112</v>
      </c>
      <c r="W55" s="12" t="s">
        <v>111</v>
      </c>
      <c r="X55" s="60"/>
      <c r="Y55" s="12" t="s">
        <v>112</v>
      </c>
      <c r="Z55" s="12" t="s">
        <v>112</v>
      </c>
      <c r="AA55" s="12" t="s">
        <v>112</v>
      </c>
      <c r="AB55" s="12" t="s">
        <v>112</v>
      </c>
      <c r="AC55" s="12" t="s">
        <v>112</v>
      </c>
      <c r="AD55" s="12" t="s">
        <v>112</v>
      </c>
      <c r="AE55" s="60"/>
      <c r="AF55" s="12" t="s">
        <v>112</v>
      </c>
      <c r="AG55" s="12" t="s">
        <v>112</v>
      </c>
      <c r="AH55" s="12" t="s">
        <v>112</v>
      </c>
      <c r="AI55" s="12" t="s">
        <v>112</v>
      </c>
      <c r="AJ55" s="5">
        <f t="shared" si="1"/>
        <v>20</v>
      </c>
      <c r="AK55" s="5">
        <f t="shared" si="2"/>
        <v>6</v>
      </c>
    </row>
    <row r="56" spans="1:37" ht="16.5" x14ac:dyDescent="0.25">
      <c r="A56" s="13">
        <v>26</v>
      </c>
      <c r="B56" s="16" t="s">
        <v>468</v>
      </c>
      <c r="C56" s="17" t="s">
        <v>469</v>
      </c>
      <c r="D56" s="10" t="s">
        <v>397</v>
      </c>
      <c r="E56" s="26" t="s">
        <v>112</v>
      </c>
      <c r="F56" s="26" t="s">
        <v>112</v>
      </c>
      <c r="G56" s="26" t="s">
        <v>112</v>
      </c>
      <c r="H56" s="26" t="s">
        <v>111</v>
      </c>
      <c r="I56" s="65"/>
      <c r="J56" s="60"/>
      <c r="K56" s="12" t="s">
        <v>112</v>
      </c>
      <c r="L56" s="12" t="s">
        <v>112</v>
      </c>
      <c r="M56" s="12" t="s">
        <v>112</v>
      </c>
      <c r="N56" s="12" t="s">
        <v>112</v>
      </c>
      <c r="O56" s="12" t="s">
        <v>112</v>
      </c>
      <c r="P56" s="12" t="s">
        <v>112</v>
      </c>
      <c r="Q56" s="60"/>
      <c r="R56" s="12" t="s">
        <v>112</v>
      </c>
      <c r="S56" s="12" t="s">
        <v>112</v>
      </c>
      <c r="T56" s="12" t="s">
        <v>112</v>
      </c>
      <c r="U56" s="12" t="s">
        <v>111</v>
      </c>
      <c r="V56" s="12" t="s">
        <v>111</v>
      </c>
      <c r="W56" s="12" t="s">
        <v>112</v>
      </c>
      <c r="X56" s="60"/>
      <c r="Y56" s="12" t="s">
        <v>112</v>
      </c>
      <c r="Z56" s="12" t="s">
        <v>112</v>
      </c>
      <c r="AA56" s="12" t="s">
        <v>112</v>
      </c>
      <c r="AB56" s="12" t="s">
        <v>112</v>
      </c>
      <c r="AC56" s="12" t="s">
        <v>112</v>
      </c>
      <c r="AD56" s="12" t="s">
        <v>111</v>
      </c>
      <c r="AE56" s="60"/>
      <c r="AF56" s="12" t="s">
        <v>112</v>
      </c>
      <c r="AG56" s="12" t="s">
        <v>112</v>
      </c>
      <c r="AH56" s="12" t="s">
        <v>112</v>
      </c>
      <c r="AI56" s="12" t="s">
        <v>112</v>
      </c>
      <c r="AJ56" s="5">
        <f t="shared" si="1"/>
        <v>22</v>
      </c>
      <c r="AK56" s="5">
        <f t="shared" si="2"/>
        <v>4</v>
      </c>
    </row>
    <row r="57" spans="1:37" ht="16.5" x14ac:dyDescent="0.25">
      <c r="A57" s="6">
        <v>27</v>
      </c>
      <c r="B57" s="16" t="s">
        <v>470</v>
      </c>
      <c r="C57" s="17" t="s">
        <v>471</v>
      </c>
      <c r="D57" s="10" t="s">
        <v>397</v>
      </c>
      <c r="E57" s="26" t="s">
        <v>112</v>
      </c>
      <c r="F57" s="26" t="s">
        <v>111</v>
      </c>
      <c r="G57" s="26" t="s">
        <v>112</v>
      </c>
      <c r="H57" s="26" t="s">
        <v>111</v>
      </c>
      <c r="I57" s="65"/>
      <c r="J57" s="60"/>
      <c r="K57" s="12" t="s">
        <v>112</v>
      </c>
      <c r="L57" s="12" t="s">
        <v>112</v>
      </c>
      <c r="M57" s="12" t="s">
        <v>112</v>
      </c>
      <c r="N57" s="12" t="s">
        <v>111</v>
      </c>
      <c r="O57" s="12" t="s">
        <v>112</v>
      </c>
      <c r="P57" s="12" t="s">
        <v>112</v>
      </c>
      <c r="Q57" s="60"/>
      <c r="R57" s="12" t="s">
        <v>112</v>
      </c>
      <c r="S57" s="12" t="s">
        <v>112</v>
      </c>
      <c r="T57" s="12" t="s">
        <v>112</v>
      </c>
      <c r="U57" s="12" t="s">
        <v>112</v>
      </c>
      <c r="V57" s="12" t="s">
        <v>112</v>
      </c>
      <c r="W57" s="12" t="s">
        <v>112</v>
      </c>
      <c r="X57" s="60"/>
      <c r="Y57" s="12" t="s">
        <v>112</v>
      </c>
      <c r="Z57" s="12" t="s">
        <v>111</v>
      </c>
      <c r="AA57" s="12" t="s">
        <v>112</v>
      </c>
      <c r="AB57" s="12" t="s">
        <v>112</v>
      </c>
      <c r="AC57" s="12" t="s">
        <v>112</v>
      </c>
      <c r="AD57" s="12" t="s">
        <v>112</v>
      </c>
      <c r="AE57" s="60"/>
      <c r="AF57" s="12" t="s">
        <v>112</v>
      </c>
      <c r="AG57" s="12" t="s">
        <v>112</v>
      </c>
      <c r="AH57" s="12" t="s">
        <v>112</v>
      </c>
      <c r="AI57" s="12" t="s">
        <v>112</v>
      </c>
      <c r="AJ57" s="5">
        <f t="shared" si="1"/>
        <v>22</v>
      </c>
      <c r="AK57" s="5">
        <f t="shared" si="2"/>
        <v>4</v>
      </c>
    </row>
    <row r="58" spans="1:37" ht="16.5" x14ac:dyDescent="0.25">
      <c r="A58" s="6">
        <v>28</v>
      </c>
      <c r="B58" s="16" t="s">
        <v>472</v>
      </c>
      <c r="C58" s="17" t="s">
        <v>471</v>
      </c>
      <c r="D58" s="10" t="s">
        <v>397</v>
      </c>
      <c r="E58" s="26" t="s">
        <v>112</v>
      </c>
      <c r="F58" s="26" t="s">
        <v>112</v>
      </c>
      <c r="G58" s="26" t="s">
        <v>112</v>
      </c>
      <c r="H58" s="26" t="s">
        <v>112</v>
      </c>
      <c r="I58" s="65"/>
      <c r="J58" s="60"/>
      <c r="K58" s="12" t="s">
        <v>112</v>
      </c>
      <c r="L58" s="12" t="s">
        <v>112</v>
      </c>
      <c r="M58" s="12" t="s">
        <v>112</v>
      </c>
      <c r="N58" s="12" t="s">
        <v>112</v>
      </c>
      <c r="O58" s="12" t="s">
        <v>112</v>
      </c>
      <c r="P58" s="12" t="s">
        <v>112</v>
      </c>
      <c r="Q58" s="60"/>
      <c r="R58" s="12" t="s">
        <v>112</v>
      </c>
      <c r="S58" s="12" t="s">
        <v>112</v>
      </c>
      <c r="T58" s="12" t="s">
        <v>112</v>
      </c>
      <c r="U58" s="12" t="s">
        <v>112</v>
      </c>
      <c r="V58" s="12" t="s">
        <v>112</v>
      </c>
      <c r="W58" s="12" t="s">
        <v>112</v>
      </c>
      <c r="X58" s="60"/>
      <c r="Y58" s="12" t="s">
        <v>112</v>
      </c>
      <c r="Z58" s="12" t="s">
        <v>111</v>
      </c>
      <c r="AA58" s="12" t="s">
        <v>112</v>
      </c>
      <c r="AB58" s="12" t="s">
        <v>112</v>
      </c>
      <c r="AC58" s="12" t="s">
        <v>112</v>
      </c>
      <c r="AD58" s="12" t="s">
        <v>112</v>
      </c>
      <c r="AE58" s="60"/>
      <c r="AF58" s="12" t="s">
        <v>112</v>
      </c>
      <c r="AG58" s="12" t="s">
        <v>112</v>
      </c>
      <c r="AH58" s="12" t="s">
        <v>112</v>
      </c>
      <c r="AI58" s="12" t="s">
        <v>112</v>
      </c>
      <c r="AJ58" s="5">
        <f t="shared" si="1"/>
        <v>25</v>
      </c>
      <c r="AK58" s="5">
        <f t="shared" si="2"/>
        <v>1</v>
      </c>
    </row>
    <row r="59" spans="1:37" ht="16.5" x14ac:dyDescent="0.25">
      <c r="A59" s="13">
        <v>29</v>
      </c>
      <c r="B59" s="16" t="s">
        <v>473</v>
      </c>
      <c r="C59" s="17" t="s">
        <v>474</v>
      </c>
      <c r="D59" s="10" t="s">
        <v>397</v>
      </c>
      <c r="E59" s="26" t="s">
        <v>112</v>
      </c>
      <c r="F59" s="26" t="s">
        <v>112</v>
      </c>
      <c r="G59" s="26" t="s">
        <v>112</v>
      </c>
      <c r="H59" s="26" t="s">
        <v>111</v>
      </c>
      <c r="I59" s="65"/>
      <c r="J59" s="60"/>
      <c r="K59" s="12" t="s">
        <v>112</v>
      </c>
      <c r="L59" s="12" t="s">
        <v>112</v>
      </c>
      <c r="M59" s="12" t="s">
        <v>112</v>
      </c>
      <c r="N59" s="12" t="s">
        <v>112</v>
      </c>
      <c r="O59" s="12" t="s">
        <v>111</v>
      </c>
      <c r="P59" s="12" t="s">
        <v>112</v>
      </c>
      <c r="Q59" s="60"/>
      <c r="R59" s="12" t="s">
        <v>112</v>
      </c>
      <c r="S59" s="12" t="s">
        <v>112</v>
      </c>
      <c r="T59" s="12" t="s">
        <v>112</v>
      </c>
      <c r="U59" s="12" t="s">
        <v>112</v>
      </c>
      <c r="V59" s="12" t="s">
        <v>112</v>
      </c>
      <c r="W59" s="12" t="s">
        <v>112</v>
      </c>
      <c r="X59" s="60"/>
      <c r="Y59" s="12" t="s">
        <v>112</v>
      </c>
      <c r="Z59" s="12" t="s">
        <v>112</v>
      </c>
      <c r="AA59" s="12" t="s">
        <v>112</v>
      </c>
      <c r="AB59" s="12" t="s">
        <v>112</v>
      </c>
      <c r="AC59" s="12" t="s">
        <v>112</v>
      </c>
      <c r="AD59" s="12" t="s">
        <v>112</v>
      </c>
      <c r="AE59" s="60"/>
      <c r="AF59" s="12" t="s">
        <v>112</v>
      </c>
      <c r="AG59" s="12" t="s">
        <v>112</v>
      </c>
      <c r="AH59" s="12" t="s">
        <v>112</v>
      </c>
      <c r="AI59" s="12" t="s">
        <v>112</v>
      </c>
      <c r="AJ59" s="5">
        <f t="shared" si="1"/>
        <v>24</v>
      </c>
      <c r="AK59" s="5">
        <f t="shared" si="2"/>
        <v>2</v>
      </c>
    </row>
    <row r="60" spans="1:37" ht="16.5" x14ac:dyDescent="0.25">
      <c r="A60" s="6">
        <v>30</v>
      </c>
      <c r="B60" s="16" t="s">
        <v>475</v>
      </c>
      <c r="C60" s="17"/>
      <c r="D60" s="10" t="s">
        <v>397</v>
      </c>
      <c r="E60" s="26" t="s">
        <v>124</v>
      </c>
      <c r="F60" s="26" t="s">
        <v>124</v>
      </c>
      <c r="G60" s="26" t="s">
        <v>124</v>
      </c>
      <c r="H60" s="26" t="s">
        <v>124</v>
      </c>
      <c r="I60" s="66"/>
      <c r="J60" s="61"/>
      <c r="K60" s="12" t="s">
        <v>124</v>
      </c>
      <c r="L60" s="12" t="s">
        <v>124</v>
      </c>
      <c r="M60" s="12" t="s">
        <v>112</v>
      </c>
      <c r="N60" s="12" t="s">
        <v>112</v>
      </c>
      <c r="O60" s="12" t="s">
        <v>112</v>
      </c>
      <c r="P60" s="12" t="s">
        <v>112</v>
      </c>
      <c r="Q60" s="61"/>
      <c r="R60" s="12" t="s">
        <v>112</v>
      </c>
      <c r="S60" s="12" t="s">
        <v>112</v>
      </c>
      <c r="T60" s="12" t="s">
        <v>112</v>
      </c>
      <c r="U60" s="12" t="s">
        <v>111</v>
      </c>
      <c r="V60" s="12" t="s">
        <v>112</v>
      </c>
      <c r="W60" s="12" t="s">
        <v>112</v>
      </c>
      <c r="X60" s="61"/>
      <c r="Y60" s="12" t="s">
        <v>112</v>
      </c>
      <c r="Z60" s="12" t="s">
        <v>112</v>
      </c>
      <c r="AA60" s="12" t="s">
        <v>112</v>
      </c>
      <c r="AB60" s="12" t="s">
        <v>112</v>
      </c>
      <c r="AC60" s="12" t="s">
        <v>112</v>
      </c>
      <c r="AD60" s="12" t="s">
        <v>112</v>
      </c>
      <c r="AE60" s="61"/>
      <c r="AF60" s="12" t="s">
        <v>112</v>
      </c>
      <c r="AG60" s="12" t="s">
        <v>112</v>
      </c>
      <c r="AH60" s="12" t="s">
        <v>112</v>
      </c>
      <c r="AI60" s="12" t="s">
        <v>112</v>
      </c>
      <c r="AJ60" s="5">
        <f t="shared" si="1"/>
        <v>19</v>
      </c>
      <c r="AK60" s="5">
        <f t="shared" si="2"/>
        <v>1</v>
      </c>
    </row>
  </sheetData>
  <mergeCells count="16">
    <mergeCell ref="A1:AI1"/>
    <mergeCell ref="A2:AI2"/>
    <mergeCell ref="A3:A4"/>
    <mergeCell ref="B3:B4"/>
    <mergeCell ref="C3:C4"/>
    <mergeCell ref="D3:D4"/>
    <mergeCell ref="I5:I60"/>
    <mergeCell ref="J5:J60"/>
    <mergeCell ref="Q5:Q60"/>
    <mergeCell ref="X5:X60"/>
    <mergeCell ref="AE5:AE60"/>
    <mergeCell ref="AL9:AO9"/>
    <mergeCell ref="AL17:AO17"/>
    <mergeCell ref="AJ3:AJ4"/>
    <mergeCell ref="AK3:AK4"/>
    <mergeCell ref="AL3:AM3"/>
  </mergeCells>
  <conditionalFormatting sqref="E5:AE5 E4:AI4">
    <cfRule type="expression" dxfId="150" priority="24">
      <formula>IF(E$4=TODAY(),TRUE,FALSE)</formula>
    </cfRule>
  </conditionalFormatting>
  <conditionalFormatting sqref="E5:AE5">
    <cfRule type="cellIs" dxfId="149" priority="21" operator="equal">
      <formula>"L"</formula>
    </cfRule>
    <cfRule type="cellIs" dxfId="148" priority="22" operator="equal">
      <formula>"A"</formula>
    </cfRule>
    <cfRule type="cellIs" dxfId="147" priority="23" operator="equal">
      <formula>"P"</formula>
    </cfRule>
  </conditionalFormatting>
  <conditionalFormatting sqref="E3:AI4 E5:AE5">
    <cfRule type="expression" dxfId="146" priority="25">
      <formula>E$3="Sun"</formula>
    </cfRule>
  </conditionalFormatting>
  <conditionalFormatting sqref="AF5:AI60 E6:H60 K6:P60 R6:W60 Y6:AD60">
    <cfRule type="cellIs" dxfId="145" priority="8" operator="equal">
      <formula>"L"</formula>
    </cfRule>
    <cfRule type="cellIs" dxfId="144" priority="9" operator="equal">
      <formula>"A"</formula>
    </cfRule>
    <cfRule type="cellIs" dxfId="143" priority="10" operator="equal">
      <formula>"P"</formula>
    </cfRule>
    <cfRule type="expression" dxfId="142" priority="11">
      <formula>IF(E$4=TODAY(),TRUE,FALSE)</formula>
    </cfRule>
    <cfRule type="expression" dxfId="141" priority="12">
      <formula>E$3="Sun"</formula>
    </cfRule>
  </conditionalFormatting>
  <conditionalFormatting sqref="AJ3:AK3">
    <cfRule type="expression" dxfId="140" priority="26">
      <formula>#REF!="Sun"</formula>
    </cfRule>
  </conditionalFormatting>
  <conditionalFormatting sqref="AJ5:AK60">
    <cfRule type="expression" dxfId="139" priority="13">
      <formula>#REF!="Sun"</formula>
    </cfRule>
  </conditionalFormatting>
  <conditionalFormatting sqref="AL5:AL7">
    <cfRule type="expression" dxfId="138" priority="5">
      <formula>AL$3="Sun"</formula>
    </cfRule>
  </conditionalFormatting>
  <conditionalFormatting sqref="AL10:AL13">
    <cfRule type="expression" dxfId="137" priority="2">
      <formula>AL$3="Sun"</formula>
    </cfRule>
  </conditionalFormatting>
  <conditionalFormatting sqref="AL18:AL21">
    <cfRule type="expression" dxfId="136" priority="1">
      <formula>AL$3="Sun"</formula>
    </cfRule>
  </conditionalFormatting>
  <conditionalFormatting sqref="AL4:AM4">
    <cfRule type="expression" dxfId="135" priority="6">
      <formula>AL$3="Sun"</formula>
    </cfRule>
  </conditionalFormatting>
  <conditionalFormatting sqref="AM10:AO10 AM18:AO18">
    <cfRule type="expression" dxfId="134" priority="7">
      <formula>AM$3="Sun"</formula>
    </cfRule>
  </conditionalFormatting>
  <conditionalFormatting sqref="AO19">
    <cfRule type="expression" dxfId="133" priority="4">
      <formula>AO$3="Sun"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3B8D-BBE2-4232-B8C2-D539DB286644}">
  <dimension ref="A1:AO57"/>
  <sheetViews>
    <sheetView topLeftCell="E8" workbookViewId="0">
      <selection activeCell="AN11" sqref="AN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7" width="3.7109375" style="1" bestFit="1" customWidth="1"/>
    <col min="8" max="8" width="3.85546875" style="1"/>
    <col min="9" max="9" width="4.5703125" style="1" bestFit="1" customWidth="1"/>
    <col min="10" max="10" width="3.5703125" style="1" bestFit="1" customWidth="1"/>
    <col min="11" max="16" width="4.5703125" style="1" customWidth="1"/>
    <col min="17" max="17" width="3.5703125" style="1" bestFit="1" customWidth="1"/>
    <col min="18" max="21" width="4.5703125" style="1" customWidth="1"/>
    <col min="22" max="22" width="3.85546875" style="1"/>
    <col min="23" max="23" width="4.7109375" style="1" bestFit="1" customWidth="1"/>
    <col min="24" max="24" width="3.5703125" style="1" bestFit="1" customWidth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3.5703125" style="1" bestFit="1" customWidth="1"/>
    <col min="32" max="32" width="3.7109375" style="1" bestFit="1" customWidth="1"/>
    <col min="33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spans="1:41" ht="17.25" x14ac:dyDescent="0.3">
      <c r="A2" s="46" t="s">
        <v>119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spans="1:41" ht="15.75" x14ac:dyDescent="0.25">
      <c r="A3" s="62" t="s">
        <v>0</v>
      </c>
      <c r="B3" s="62" t="s">
        <v>1</v>
      </c>
      <c r="C3" s="62" t="s">
        <v>2</v>
      </c>
      <c r="D3" s="62" t="s">
        <v>3</v>
      </c>
      <c r="E3" s="2" t="str">
        <f t="shared" ref="E3:AI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48" t="s">
        <v>4</v>
      </c>
      <c r="AK3" s="48" t="s">
        <v>5</v>
      </c>
      <c r="AL3" s="49" t="s">
        <v>126</v>
      </c>
      <c r="AM3" s="50"/>
      <c r="AN3" s="3"/>
      <c r="AO3" s="3"/>
    </row>
    <row r="4" spans="1:41" ht="34.5" x14ac:dyDescent="0.25">
      <c r="A4" s="63"/>
      <c r="B4" s="63"/>
      <c r="C4" s="63"/>
      <c r="D4" s="63"/>
      <c r="E4" s="20">
        <v>45566</v>
      </c>
      <c r="F4" s="20">
        <v>45567</v>
      </c>
      <c r="G4" s="20">
        <v>45568</v>
      </c>
      <c r="H4" s="20">
        <v>45569</v>
      </c>
      <c r="I4" s="20">
        <v>45570</v>
      </c>
      <c r="J4" s="20">
        <v>45571</v>
      </c>
      <c r="K4" s="20">
        <v>45572</v>
      </c>
      <c r="L4" s="20">
        <v>45573</v>
      </c>
      <c r="M4" s="20">
        <v>45574</v>
      </c>
      <c r="N4" s="20">
        <v>45575</v>
      </c>
      <c r="O4" s="20">
        <v>45576</v>
      </c>
      <c r="P4" s="20">
        <v>45577</v>
      </c>
      <c r="Q4" s="20">
        <v>45578</v>
      </c>
      <c r="R4" s="20">
        <v>45579</v>
      </c>
      <c r="S4" s="20">
        <v>45580</v>
      </c>
      <c r="T4" s="20">
        <v>45581</v>
      </c>
      <c r="U4" s="20">
        <v>45582</v>
      </c>
      <c r="V4" s="20">
        <v>45583</v>
      </c>
      <c r="W4" s="20">
        <v>45584</v>
      </c>
      <c r="X4" s="20">
        <v>45585</v>
      </c>
      <c r="Y4" s="20">
        <v>45586</v>
      </c>
      <c r="Z4" s="20">
        <v>45587</v>
      </c>
      <c r="AA4" s="20">
        <v>45588</v>
      </c>
      <c r="AB4" s="20">
        <v>45589</v>
      </c>
      <c r="AC4" s="20">
        <v>45590</v>
      </c>
      <c r="AD4" s="20">
        <v>45591</v>
      </c>
      <c r="AE4" s="20">
        <v>45592</v>
      </c>
      <c r="AF4" s="20">
        <v>45593</v>
      </c>
      <c r="AG4" s="20">
        <v>45594</v>
      </c>
      <c r="AH4" s="20">
        <v>45595</v>
      </c>
      <c r="AI4" s="20">
        <v>45596</v>
      </c>
      <c r="AJ4" s="48"/>
      <c r="AK4" s="48"/>
      <c r="AL4" s="5" t="s">
        <v>127</v>
      </c>
      <c r="AM4" s="5">
        <f>SUM(AM5:AM7)</f>
        <v>31</v>
      </c>
      <c r="AN4" s="3"/>
      <c r="AO4" s="3"/>
    </row>
    <row r="5" spans="1:41" ht="15" customHeight="1" x14ac:dyDescent="0.25">
      <c r="A5" s="13">
        <v>1</v>
      </c>
      <c r="B5" s="34" t="s">
        <v>476</v>
      </c>
      <c r="C5" s="34" t="s">
        <v>477</v>
      </c>
      <c r="D5" s="11" t="s">
        <v>478</v>
      </c>
      <c r="E5" s="11" t="s">
        <v>112</v>
      </c>
      <c r="F5" s="11" t="s">
        <v>112</v>
      </c>
      <c r="G5" s="11" t="s">
        <v>111</v>
      </c>
      <c r="H5" s="11" t="s">
        <v>111</v>
      </c>
      <c r="I5" s="11" t="s">
        <v>112</v>
      </c>
      <c r="J5" s="59" t="s">
        <v>125</v>
      </c>
      <c r="K5" s="11" t="s">
        <v>111</v>
      </c>
      <c r="L5" s="11" t="s">
        <v>111</v>
      </c>
      <c r="M5" s="11" t="s">
        <v>112</v>
      </c>
      <c r="N5" s="11" t="s">
        <v>111</v>
      </c>
      <c r="O5" s="11" t="s">
        <v>111</v>
      </c>
      <c r="P5" s="11" t="s">
        <v>112</v>
      </c>
      <c r="Q5" s="59" t="s">
        <v>125</v>
      </c>
      <c r="R5" s="11" t="s">
        <v>112</v>
      </c>
      <c r="S5" s="11" t="s">
        <v>112</v>
      </c>
      <c r="T5" s="11" t="s">
        <v>112</v>
      </c>
      <c r="U5" s="11" t="s">
        <v>112</v>
      </c>
      <c r="V5" s="11" t="s">
        <v>112</v>
      </c>
      <c r="W5" s="11" t="s">
        <v>111</v>
      </c>
      <c r="X5" s="59" t="s">
        <v>125</v>
      </c>
      <c r="Y5" s="11" t="s">
        <v>112</v>
      </c>
      <c r="Z5" s="11" t="s">
        <v>111</v>
      </c>
      <c r="AA5" s="11" t="s">
        <v>112</v>
      </c>
      <c r="AB5" s="11" t="s">
        <v>112</v>
      </c>
      <c r="AC5" s="11" t="s">
        <v>112</v>
      </c>
      <c r="AD5" s="11" t="s">
        <v>111</v>
      </c>
      <c r="AE5" s="59" t="s">
        <v>125</v>
      </c>
      <c r="AF5" s="11" t="s">
        <v>111</v>
      </c>
      <c r="AG5" s="11" t="s">
        <v>111</v>
      </c>
      <c r="AH5" s="11" t="s">
        <v>112</v>
      </c>
      <c r="AI5" s="11" t="s">
        <v>111</v>
      </c>
      <c r="AJ5" s="5">
        <f>COUNTIF(E5:AI5,"P")</f>
        <v>15</v>
      </c>
      <c r="AK5" s="5">
        <f t="shared" ref="AK5:AK57" si="1">COUNTIF(E5:AH5,"A")</f>
        <v>11</v>
      </c>
      <c r="AL5" s="5" t="s">
        <v>7</v>
      </c>
      <c r="AM5" s="13">
        <v>27</v>
      </c>
      <c r="AN5" s="14"/>
      <c r="AO5" s="3"/>
    </row>
    <row r="6" spans="1:41" x14ac:dyDescent="0.25">
      <c r="A6" s="13">
        <v>2</v>
      </c>
      <c r="B6" s="34" t="s">
        <v>479</v>
      </c>
      <c r="C6" s="34" t="s">
        <v>480</v>
      </c>
      <c r="D6" s="11" t="s">
        <v>478</v>
      </c>
      <c r="E6" s="11" t="s">
        <v>112</v>
      </c>
      <c r="F6" s="11" t="s">
        <v>112</v>
      </c>
      <c r="G6" s="11" t="s">
        <v>112</v>
      </c>
      <c r="H6" s="11" t="s">
        <v>112</v>
      </c>
      <c r="I6" s="11" t="s">
        <v>111</v>
      </c>
      <c r="J6" s="60"/>
      <c r="K6" s="11" t="s">
        <v>112</v>
      </c>
      <c r="L6" s="11" t="s">
        <v>112</v>
      </c>
      <c r="M6" s="11" t="s">
        <v>112</v>
      </c>
      <c r="N6" s="11" t="s">
        <v>112</v>
      </c>
      <c r="O6" s="11" t="s">
        <v>112</v>
      </c>
      <c r="P6" s="11" t="s">
        <v>112</v>
      </c>
      <c r="Q6" s="60"/>
      <c r="R6" s="11" t="s">
        <v>112</v>
      </c>
      <c r="S6" s="11" t="s">
        <v>112</v>
      </c>
      <c r="T6" s="11" t="s">
        <v>112</v>
      </c>
      <c r="U6" s="11" t="s">
        <v>112</v>
      </c>
      <c r="V6" s="11" t="s">
        <v>112</v>
      </c>
      <c r="W6" s="11" t="s">
        <v>111</v>
      </c>
      <c r="X6" s="60"/>
      <c r="Y6" s="11" t="s">
        <v>112</v>
      </c>
      <c r="Z6" s="11" t="s">
        <v>112</v>
      </c>
      <c r="AA6" s="11" t="s">
        <v>112</v>
      </c>
      <c r="AB6" s="11" t="s">
        <v>112</v>
      </c>
      <c r="AC6" s="11" t="s">
        <v>112</v>
      </c>
      <c r="AD6" s="11" t="s">
        <v>112</v>
      </c>
      <c r="AE6" s="60"/>
      <c r="AF6" s="11" t="s">
        <v>112</v>
      </c>
      <c r="AG6" s="11" t="s">
        <v>112</v>
      </c>
      <c r="AH6" s="11" t="s">
        <v>112</v>
      </c>
      <c r="AI6" s="11" t="s">
        <v>112</v>
      </c>
      <c r="AJ6" s="5">
        <f t="shared" ref="AJ6:AJ57" si="2">COUNTIF(E6:AI6,"P")</f>
        <v>25</v>
      </c>
      <c r="AK6" s="5">
        <f t="shared" si="1"/>
        <v>2</v>
      </c>
      <c r="AL6" s="5" t="s">
        <v>8</v>
      </c>
      <c r="AM6" s="13">
        <v>4</v>
      </c>
      <c r="AN6" s="3"/>
      <c r="AO6" s="3"/>
    </row>
    <row r="7" spans="1:41" x14ac:dyDescent="0.25">
      <c r="A7" s="13">
        <v>3</v>
      </c>
      <c r="B7" s="34" t="s">
        <v>481</v>
      </c>
      <c r="C7" s="34" t="s">
        <v>482</v>
      </c>
      <c r="D7" s="11" t="s">
        <v>478</v>
      </c>
      <c r="E7" s="11" t="s">
        <v>112</v>
      </c>
      <c r="F7" s="11" t="s">
        <v>112</v>
      </c>
      <c r="G7" s="11" t="s">
        <v>112</v>
      </c>
      <c r="H7" s="11" t="s">
        <v>112</v>
      </c>
      <c r="I7" s="11" t="s">
        <v>111</v>
      </c>
      <c r="J7" s="60"/>
      <c r="K7" s="11" t="s">
        <v>112</v>
      </c>
      <c r="L7" s="11" t="s">
        <v>112</v>
      </c>
      <c r="M7" s="11" t="s">
        <v>112</v>
      </c>
      <c r="N7" s="11" t="s">
        <v>112</v>
      </c>
      <c r="O7" s="11" t="s">
        <v>112</v>
      </c>
      <c r="P7" s="11" t="s">
        <v>112</v>
      </c>
      <c r="Q7" s="60"/>
      <c r="R7" s="11" t="s">
        <v>112</v>
      </c>
      <c r="S7" s="11" t="s">
        <v>112</v>
      </c>
      <c r="T7" s="11" t="s">
        <v>112</v>
      </c>
      <c r="U7" s="11" t="s">
        <v>112</v>
      </c>
      <c r="V7" s="11" t="s">
        <v>111</v>
      </c>
      <c r="W7" s="11" t="s">
        <v>112</v>
      </c>
      <c r="X7" s="60"/>
      <c r="Y7" s="11" t="s">
        <v>112</v>
      </c>
      <c r="Z7" s="11" t="s">
        <v>112</v>
      </c>
      <c r="AA7" s="11" t="s">
        <v>112</v>
      </c>
      <c r="AB7" s="11" t="s">
        <v>112</v>
      </c>
      <c r="AC7" s="11" t="s">
        <v>112</v>
      </c>
      <c r="AD7" s="11" t="s">
        <v>112</v>
      </c>
      <c r="AE7" s="60"/>
      <c r="AF7" s="11" t="s">
        <v>112</v>
      </c>
      <c r="AG7" s="11" t="s">
        <v>112</v>
      </c>
      <c r="AH7" s="11" t="s">
        <v>112</v>
      </c>
      <c r="AI7" s="11" t="s">
        <v>112</v>
      </c>
      <c r="AJ7" s="5">
        <f t="shared" si="2"/>
        <v>25</v>
      </c>
      <c r="AK7" s="5">
        <f t="shared" si="1"/>
        <v>2</v>
      </c>
      <c r="AL7" s="5"/>
      <c r="AM7" s="13"/>
      <c r="AN7" s="3"/>
      <c r="AO7" s="3"/>
    </row>
    <row r="8" spans="1:41" x14ac:dyDescent="0.25">
      <c r="A8" s="13">
        <v>4</v>
      </c>
      <c r="B8" s="34" t="s">
        <v>195</v>
      </c>
      <c r="C8" s="34" t="s">
        <v>483</v>
      </c>
      <c r="D8" s="11" t="s">
        <v>478</v>
      </c>
      <c r="E8" s="11" t="s">
        <v>112</v>
      </c>
      <c r="F8" s="11" t="s">
        <v>112</v>
      </c>
      <c r="G8" s="11" t="s">
        <v>112</v>
      </c>
      <c r="H8" s="11" t="s">
        <v>112</v>
      </c>
      <c r="I8" s="11" t="s">
        <v>111</v>
      </c>
      <c r="J8" s="60"/>
      <c r="K8" s="11" t="s">
        <v>112</v>
      </c>
      <c r="L8" s="11" t="s">
        <v>112</v>
      </c>
      <c r="M8" s="11" t="s">
        <v>112</v>
      </c>
      <c r="N8" s="11" t="s">
        <v>113</v>
      </c>
      <c r="O8" s="11" t="s">
        <v>111</v>
      </c>
      <c r="P8" s="11" t="s">
        <v>112</v>
      </c>
      <c r="Q8" s="60"/>
      <c r="R8" s="11" t="s">
        <v>111</v>
      </c>
      <c r="S8" s="11" t="s">
        <v>111</v>
      </c>
      <c r="T8" s="11" t="s">
        <v>111</v>
      </c>
      <c r="U8" s="11" t="s">
        <v>111</v>
      </c>
      <c r="V8" s="11" t="s">
        <v>111</v>
      </c>
      <c r="W8" s="11" t="s">
        <v>111</v>
      </c>
      <c r="X8" s="60"/>
      <c r="Y8" s="11" t="s">
        <v>112</v>
      </c>
      <c r="Z8" s="11" t="s">
        <v>111</v>
      </c>
      <c r="AA8" s="11" t="s">
        <v>111</v>
      </c>
      <c r="AB8" s="11" t="s">
        <v>111</v>
      </c>
      <c r="AC8" s="11" t="s">
        <v>111</v>
      </c>
      <c r="AD8" s="11" t="s">
        <v>111</v>
      </c>
      <c r="AE8" s="60"/>
      <c r="AF8" s="11" t="s">
        <v>111</v>
      </c>
      <c r="AG8" s="11" t="s">
        <v>111</v>
      </c>
      <c r="AH8" s="11" t="s">
        <v>111</v>
      </c>
      <c r="AI8" s="11" t="s">
        <v>111</v>
      </c>
      <c r="AJ8" s="5">
        <f t="shared" si="2"/>
        <v>9</v>
      </c>
      <c r="AK8" s="5">
        <f t="shared" si="1"/>
        <v>16</v>
      </c>
      <c r="AL8"/>
      <c r="AM8"/>
      <c r="AN8"/>
      <c r="AO8"/>
    </row>
    <row r="9" spans="1:41" ht="15.75" x14ac:dyDescent="0.25">
      <c r="A9" s="13">
        <v>5</v>
      </c>
      <c r="B9" s="34" t="s">
        <v>484</v>
      </c>
      <c r="C9" s="34" t="s">
        <v>485</v>
      </c>
      <c r="D9" s="11" t="s">
        <v>478</v>
      </c>
      <c r="E9" s="11" t="s">
        <v>112</v>
      </c>
      <c r="F9" s="11" t="s">
        <v>112</v>
      </c>
      <c r="G9" s="11" t="s">
        <v>112</v>
      </c>
      <c r="H9" s="11" t="s">
        <v>112</v>
      </c>
      <c r="I9" s="11" t="s">
        <v>111</v>
      </c>
      <c r="J9" s="60"/>
      <c r="K9" s="11" t="s">
        <v>111</v>
      </c>
      <c r="L9" s="11" t="s">
        <v>111</v>
      </c>
      <c r="M9" s="11" t="s">
        <v>112</v>
      </c>
      <c r="N9" s="11" t="s">
        <v>111</v>
      </c>
      <c r="O9" s="11" t="s">
        <v>111</v>
      </c>
      <c r="P9" s="11" t="s">
        <v>112</v>
      </c>
      <c r="Q9" s="60"/>
      <c r="R9" s="11" t="s">
        <v>111</v>
      </c>
      <c r="S9" s="11" t="s">
        <v>112</v>
      </c>
      <c r="T9" s="11" t="s">
        <v>111</v>
      </c>
      <c r="U9" s="11" t="s">
        <v>112</v>
      </c>
      <c r="V9" s="11" t="s">
        <v>111</v>
      </c>
      <c r="W9" s="11" t="s">
        <v>112</v>
      </c>
      <c r="X9" s="60"/>
      <c r="Y9" s="11" t="s">
        <v>112</v>
      </c>
      <c r="Z9" s="11" t="s">
        <v>112</v>
      </c>
      <c r="AA9" s="11" t="s">
        <v>112</v>
      </c>
      <c r="AB9" s="11" t="s">
        <v>112</v>
      </c>
      <c r="AC9" s="11" t="s">
        <v>111</v>
      </c>
      <c r="AD9" s="11" t="s">
        <v>111</v>
      </c>
      <c r="AE9" s="60"/>
      <c r="AF9" s="11" t="s">
        <v>112</v>
      </c>
      <c r="AG9" s="11" t="s">
        <v>112</v>
      </c>
      <c r="AH9" s="11" t="s">
        <v>112</v>
      </c>
      <c r="AI9" s="11" t="s">
        <v>112</v>
      </c>
      <c r="AJ9" s="5">
        <f t="shared" si="2"/>
        <v>17</v>
      </c>
      <c r="AK9" s="5">
        <f t="shared" si="1"/>
        <v>10</v>
      </c>
      <c r="AL9" s="49" t="s">
        <v>9</v>
      </c>
      <c r="AM9" s="50"/>
      <c r="AN9" s="50"/>
      <c r="AO9" s="52"/>
    </row>
    <row r="10" spans="1:41" x14ac:dyDescent="0.25">
      <c r="A10" s="13">
        <v>6</v>
      </c>
      <c r="B10" s="34" t="s">
        <v>486</v>
      </c>
      <c r="C10" s="34" t="s">
        <v>487</v>
      </c>
      <c r="D10" s="11" t="s">
        <v>478</v>
      </c>
      <c r="E10" s="11" t="s">
        <v>112</v>
      </c>
      <c r="F10" s="11" t="s">
        <v>112</v>
      </c>
      <c r="G10" s="11" t="s">
        <v>112</v>
      </c>
      <c r="H10" s="11" t="s">
        <v>112</v>
      </c>
      <c r="I10" s="11" t="s">
        <v>111</v>
      </c>
      <c r="J10" s="60"/>
      <c r="K10" s="11" t="s">
        <v>112</v>
      </c>
      <c r="L10" s="11" t="s">
        <v>112</v>
      </c>
      <c r="M10" s="11" t="s">
        <v>112</v>
      </c>
      <c r="N10" s="11" t="s">
        <v>112</v>
      </c>
      <c r="O10" s="11" t="s">
        <v>112</v>
      </c>
      <c r="P10" s="11" t="s">
        <v>112</v>
      </c>
      <c r="Q10" s="60"/>
      <c r="R10" s="11" t="s">
        <v>112</v>
      </c>
      <c r="S10" s="11" t="s">
        <v>112</v>
      </c>
      <c r="T10" s="11" t="s">
        <v>111</v>
      </c>
      <c r="U10" s="11" t="s">
        <v>112</v>
      </c>
      <c r="V10" s="11" t="s">
        <v>112</v>
      </c>
      <c r="W10" s="11" t="s">
        <v>112</v>
      </c>
      <c r="X10" s="60"/>
      <c r="Y10" s="11" t="s">
        <v>112</v>
      </c>
      <c r="Z10" s="11" t="s">
        <v>111</v>
      </c>
      <c r="AA10" s="11" t="s">
        <v>112</v>
      </c>
      <c r="AB10" s="11" t="s">
        <v>112</v>
      </c>
      <c r="AC10" s="11" t="s">
        <v>112</v>
      </c>
      <c r="AD10" s="11" t="s">
        <v>111</v>
      </c>
      <c r="AE10" s="60"/>
      <c r="AF10" s="11" t="s">
        <v>112</v>
      </c>
      <c r="AG10" s="11" t="s">
        <v>112</v>
      </c>
      <c r="AH10" s="11" t="s">
        <v>112</v>
      </c>
      <c r="AI10" s="11" t="s">
        <v>112</v>
      </c>
      <c r="AJ10" s="5">
        <f t="shared" si="2"/>
        <v>23</v>
      </c>
      <c r="AK10" s="5">
        <f t="shared" si="1"/>
        <v>4</v>
      </c>
      <c r="AL10" s="5" t="s">
        <v>10</v>
      </c>
      <c r="AM10" s="5" t="s">
        <v>11</v>
      </c>
      <c r="AN10" s="5" t="s">
        <v>12</v>
      </c>
      <c r="AO10" s="5" t="s">
        <v>13</v>
      </c>
    </row>
    <row r="11" spans="1:41" x14ac:dyDescent="0.25">
      <c r="A11" s="13">
        <v>7</v>
      </c>
      <c r="B11" s="34" t="s">
        <v>488</v>
      </c>
      <c r="C11" s="34" t="s">
        <v>489</v>
      </c>
      <c r="D11" s="11" t="s">
        <v>478</v>
      </c>
      <c r="E11" s="11" t="s">
        <v>112</v>
      </c>
      <c r="F11" s="11" t="s">
        <v>112</v>
      </c>
      <c r="G11" s="11" t="s">
        <v>112</v>
      </c>
      <c r="H11" s="11" t="s">
        <v>112</v>
      </c>
      <c r="I11" s="11" t="s">
        <v>112</v>
      </c>
      <c r="J11" s="60"/>
      <c r="K11" s="11" t="s">
        <v>112</v>
      </c>
      <c r="L11" s="11" t="s">
        <v>112</v>
      </c>
      <c r="M11" s="11" t="s">
        <v>112</v>
      </c>
      <c r="N11" s="11" t="s">
        <v>112</v>
      </c>
      <c r="O11" s="11" t="s">
        <v>112</v>
      </c>
      <c r="P11" s="11" t="s">
        <v>112</v>
      </c>
      <c r="Q11" s="60"/>
      <c r="R11" s="11" t="s">
        <v>112</v>
      </c>
      <c r="S11" s="11" t="s">
        <v>112</v>
      </c>
      <c r="T11" s="11" t="s">
        <v>112</v>
      </c>
      <c r="U11" s="11" t="s">
        <v>112</v>
      </c>
      <c r="V11" s="11" t="s">
        <v>112</v>
      </c>
      <c r="W11" s="11" t="s">
        <v>112</v>
      </c>
      <c r="X11" s="60"/>
      <c r="Y11" s="11" t="s">
        <v>112</v>
      </c>
      <c r="Z11" s="11" t="s">
        <v>112</v>
      </c>
      <c r="AA11" s="11" t="s">
        <v>112</v>
      </c>
      <c r="AB11" s="11" t="s">
        <v>112</v>
      </c>
      <c r="AC11" s="11" t="s">
        <v>112</v>
      </c>
      <c r="AD11" s="11" t="s">
        <v>112</v>
      </c>
      <c r="AE11" s="60"/>
      <c r="AF11" s="11" t="s">
        <v>112</v>
      </c>
      <c r="AG11" s="11" t="s">
        <v>112</v>
      </c>
      <c r="AH11" s="11" t="s">
        <v>112</v>
      </c>
      <c r="AI11" s="11" t="s">
        <v>112</v>
      </c>
      <c r="AJ11" s="5">
        <f t="shared" si="2"/>
        <v>27</v>
      </c>
      <c r="AK11" s="5">
        <f t="shared" si="1"/>
        <v>0</v>
      </c>
      <c r="AL11" s="5" t="s">
        <v>14</v>
      </c>
      <c r="AM11" s="13">
        <f>21*$AM$5</f>
        <v>567</v>
      </c>
      <c r="AN11" s="13">
        <f>32*$AM$5</f>
        <v>864</v>
      </c>
      <c r="AO11" s="13">
        <f>SUM(AM11:AN11)</f>
        <v>1431</v>
      </c>
    </row>
    <row r="12" spans="1:41" x14ac:dyDescent="0.25">
      <c r="A12" s="13">
        <v>8</v>
      </c>
      <c r="B12" s="34" t="s">
        <v>312</v>
      </c>
      <c r="C12" s="34" t="s">
        <v>244</v>
      </c>
      <c r="D12" s="11" t="s">
        <v>478</v>
      </c>
      <c r="E12" s="11" t="s">
        <v>112</v>
      </c>
      <c r="F12" s="11" t="s">
        <v>112</v>
      </c>
      <c r="G12" s="11" t="s">
        <v>112</v>
      </c>
      <c r="H12" s="11" t="s">
        <v>112</v>
      </c>
      <c r="I12" s="11" t="s">
        <v>112</v>
      </c>
      <c r="J12" s="60"/>
      <c r="K12" s="11" t="s">
        <v>112</v>
      </c>
      <c r="L12" s="11" t="s">
        <v>112</v>
      </c>
      <c r="M12" s="11" t="s">
        <v>112</v>
      </c>
      <c r="N12" s="11" t="s">
        <v>112</v>
      </c>
      <c r="O12" s="11" t="s">
        <v>112</v>
      </c>
      <c r="P12" s="11" t="s">
        <v>112</v>
      </c>
      <c r="Q12" s="60"/>
      <c r="R12" s="11" t="s">
        <v>112</v>
      </c>
      <c r="S12" s="11" t="s">
        <v>112</v>
      </c>
      <c r="T12" s="11" t="s">
        <v>112</v>
      </c>
      <c r="U12" s="11" t="s">
        <v>112</v>
      </c>
      <c r="V12" s="11" t="s">
        <v>112</v>
      </c>
      <c r="W12" s="11" t="s">
        <v>112</v>
      </c>
      <c r="X12" s="60"/>
      <c r="Y12" s="11" t="s">
        <v>112</v>
      </c>
      <c r="Z12" s="11" t="s">
        <v>112</v>
      </c>
      <c r="AA12" s="11" t="s">
        <v>112</v>
      </c>
      <c r="AB12" s="11" t="s">
        <v>112</v>
      </c>
      <c r="AC12" s="11" t="s">
        <v>112</v>
      </c>
      <c r="AD12" s="11" t="s">
        <v>112</v>
      </c>
      <c r="AE12" s="60"/>
      <c r="AF12" s="11" t="s">
        <v>112</v>
      </c>
      <c r="AG12" s="11" t="s">
        <v>112</v>
      </c>
      <c r="AH12" s="11" t="s">
        <v>112</v>
      </c>
      <c r="AI12" s="11" t="s">
        <v>112</v>
      </c>
      <c r="AJ12" s="5">
        <f t="shared" si="2"/>
        <v>27</v>
      </c>
      <c r="AK12" s="5">
        <f t="shared" si="1"/>
        <v>0</v>
      </c>
      <c r="AL12" s="5" t="s">
        <v>15</v>
      </c>
      <c r="AM12" s="13">
        <f>SUM(AJ5:AJ25)</f>
        <v>431</v>
      </c>
      <c r="AN12" s="13">
        <f>SUM(AJ26:AJ57)</f>
        <v>704</v>
      </c>
      <c r="AO12" s="13">
        <f>AM12+AN12</f>
        <v>1135</v>
      </c>
    </row>
    <row r="13" spans="1:41" x14ac:dyDescent="0.25">
      <c r="A13" s="13">
        <v>9</v>
      </c>
      <c r="B13" s="34" t="s">
        <v>490</v>
      </c>
      <c r="C13" s="34" t="s">
        <v>491</v>
      </c>
      <c r="D13" s="11" t="s">
        <v>478</v>
      </c>
      <c r="E13" s="11" t="s">
        <v>112</v>
      </c>
      <c r="F13" s="11" t="s">
        <v>112</v>
      </c>
      <c r="G13" s="11" t="s">
        <v>112</v>
      </c>
      <c r="H13" s="11" t="s">
        <v>112</v>
      </c>
      <c r="I13" s="11" t="s">
        <v>112</v>
      </c>
      <c r="J13" s="60"/>
      <c r="K13" s="11" t="s">
        <v>112</v>
      </c>
      <c r="L13" s="11" t="s">
        <v>111</v>
      </c>
      <c r="M13" s="11" t="s">
        <v>112</v>
      </c>
      <c r="N13" s="11" t="s">
        <v>112</v>
      </c>
      <c r="O13" s="11" t="s">
        <v>112</v>
      </c>
      <c r="P13" s="11" t="s">
        <v>112</v>
      </c>
      <c r="Q13" s="60"/>
      <c r="R13" s="11" t="s">
        <v>112</v>
      </c>
      <c r="S13" s="11" t="s">
        <v>112</v>
      </c>
      <c r="T13" s="11" t="s">
        <v>112</v>
      </c>
      <c r="U13" s="11" t="s">
        <v>111</v>
      </c>
      <c r="V13" s="11" t="s">
        <v>112</v>
      </c>
      <c r="W13" s="11" t="s">
        <v>112</v>
      </c>
      <c r="X13" s="60"/>
      <c r="Y13" s="11" t="s">
        <v>111</v>
      </c>
      <c r="Z13" s="11" t="s">
        <v>111</v>
      </c>
      <c r="AA13" s="11" t="s">
        <v>112</v>
      </c>
      <c r="AB13" s="11" t="s">
        <v>112</v>
      </c>
      <c r="AC13" s="11" t="s">
        <v>112</v>
      </c>
      <c r="AD13" s="11" t="s">
        <v>112</v>
      </c>
      <c r="AE13" s="60"/>
      <c r="AF13" s="11" t="s">
        <v>111</v>
      </c>
      <c r="AG13" s="11" t="s">
        <v>112</v>
      </c>
      <c r="AH13" s="11" t="s">
        <v>112</v>
      </c>
      <c r="AI13" s="11" t="s">
        <v>112</v>
      </c>
      <c r="AJ13" s="5">
        <f t="shared" si="2"/>
        <v>22</v>
      </c>
      <c r="AK13" s="5">
        <f t="shared" si="1"/>
        <v>5</v>
      </c>
      <c r="AL13" s="5" t="s">
        <v>16</v>
      </c>
      <c r="AM13" s="18">
        <f>AM12/AM11</f>
        <v>0.76014109347442682</v>
      </c>
      <c r="AN13" s="18">
        <f>AN12/AN11</f>
        <v>0.81481481481481477</v>
      </c>
      <c r="AO13" s="18">
        <f>AO12/AO11</f>
        <v>0.79315164220824597</v>
      </c>
    </row>
    <row r="14" spans="1:41" x14ac:dyDescent="0.25">
      <c r="A14" s="13">
        <v>10</v>
      </c>
      <c r="B14" s="34" t="s">
        <v>492</v>
      </c>
      <c r="C14" s="34" t="s">
        <v>493</v>
      </c>
      <c r="D14" s="11" t="s">
        <v>478</v>
      </c>
      <c r="E14" s="11" t="s">
        <v>112</v>
      </c>
      <c r="F14" s="11" t="s">
        <v>112</v>
      </c>
      <c r="G14" s="11" t="s">
        <v>112</v>
      </c>
      <c r="H14" s="11" t="s">
        <v>112</v>
      </c>
      <c r="I14" s="11" t="s">
        <v>111</v>
      </c>
      <c r="J14" s="60"/>
      <c r="K14" s="11" t="s">
        <v>112</v>
      </c>
      <c r="L14" s="11" t="s">
        <v>112</v>
      </c>
      <c r="M14" s="11" t="s">
        <v>111</v>
      </c>
      <c r="N14" s="11" t="s">
        <v>112</v>
      </c>
      <c r="O14" s="11" t="s">
        <v>111</v>
      </c>
      <c r="P14" s="11" t="s">
        <v>112</v>
      </c>
      <c r="Q14" s="60"/>
      <c r="R14" s="11" t="s">
        <v>112</v>
      </c>
      <c r="S14" s="11" t="s">
        <v>112</v>
      </c>
      <c r="T14" s="11" t="s">
        <v>112</v>
      </c>
      <c r="U14" s="11" t="s">
        <v>112</v>
      </c>
      <c r="V14" s="11" t="s">
        <v>112</v>
      </c>
      <c r="W14" s="11" t="s">
        <v>112</v>
      </c>
      <c r="X14" s="60"/>
      <c r="Y14" s="11" t="s">
        <v>112</v>
      </c>
      <c r="Z14" s="11" t="s">
        <v>112</v>
      </c>
      <c r="AA14" s="11" t="s">
        <v>112</v>
      </c>
      <c r="AB14" s="11" t="s">
        <v>112</v>
      </c>
      <c r="AC14" s="11" t="s">
        <v>112</v>
      </c>
      <c r="AD14" s="11" t="s">
        <v>112</v>
      </c>
      <c r="AE14" s="60"/>
      <c r="AF14" s="11" t="s">
        <v>112</v>
      </c>
      <c r="AG14" s="11" t="s">
        <v>112</v>
      </c>
      <c r="AH14" s="11" t="s">
        <v>112</v>
      </c>
      <c r="AI14" s="11" t="s">
        <v>112</v>
      </c>
      <c r="AJ14" s="5">
        <f t="shared" si="2"/>
        <v>24</v>
      </c>
      <c r="AK14" s="5">
        <f t="shared" si="1"/>
        <v>3</v>
      </c>
      <c r="AL14"/>
      <c r="AM14"/>
      <c r="AN14"/>
      <c r="AO14"/>
    </row>
    <row r="15" spans="1:41" x14ac:dyDescent="0.25">
      <c r="A15" s="13">
        <v>11</v>
      </c>
      <c r="B15" s="34" t="s">
        <v>264</v>
      </c>
      <c r="C15" s="34" t="s">
        <v>494</v>
      </c>
      <c r="D15" s="11" t="s">
        <v>478</v>
      </c>
      <c r="E15" s="11" t="s">
        <v>112</v>
      </c>
      <c r="F15" s="11" t="s">
        <v>112</v>
      </c>
      <c r="G15" s="11" t="s">
        <v>112</v>
      </c>
      <c r="H15" s="11" t="s">
        <v>112</v>
      </c>
      <c r="I15" s="11" t="s">
        <v>111</v>
      </c>
      <c r="J15" s="60"/>
      <c r="K15" s="11" t="s">
        <v>111</v>
      </c>
      <c r="L15" s="11" t="s">
        <v>112</v>
      </c>
      <c r="M15" s="11" t="s">
        <v>111</v>
      </c>
      <c r="N15" s="11" t="s">
        <v>112</v>
      </c>
      <c r="O15" s="11" t="s">
        <v>112</v>
      </c>
      <c r="P15" s="11" t="s">
        <v>112</v>
      </c>
      <c r="Q15" s="60"/>
      <c r="R15" s="11" t="s">
        <v>112</v>
      </c>
      <c r="S15" s="11" t="s">
        <v>112</v>
      </c>
      <c r="T15" s="11" t="s">
        <v>111</v>
      </c>
      <c r="U15" s="11" t="s">
        <v>112</v>
      </c>
      <c r="V15" s="11" t="s">
        <v>112</v>
      </c>
      <c r="W15" s="11" t="s">
        <v>112</v>
      </c>
      <c r="X15" s="60"/>
      <c r="Y15" s="11" t="s">
        <v>112</v>
      </c>
      <c r="Z15" s="11" t="s">
        <v>112</v>
      </c>
      <c r="AA15" s="11" t="s">
        <v>111</v>
      </c>
      <c r="AB15" s="11" t="s">
        <v>112</v>
      </c>
      <c r="AC15" s="11" t="s">
        <v>112</v>
      </c>
      <c r="AD15" s="11" t="s">
        <v>112</v>
      </c>
      <c r="AE15" s="60"/>
      <c r="AF15" s="11" t="s">
        <v>112</v>
      </c>
      <c r="AG15" s="11" t="s">
        <v>112</v>
      </c>
      <c r="AH15" s="11" t="s">
        <v>112</v>
      </c>
      <c r="AI15" s="11" t="s">
        <v>112</v>
      </c>
      <c r="AJ15" s="5">
        <f t="shared" si="2"/>
        <v>22</v>
      </c>
      <c r="AK15" s="5">
        <f t="shared" si="1"/>
        <v>5</v>
      </c>
      <c r="AL15"/>
      <c r="AM15"/>
      <c r="AN15"/>
      <c r="AO15"/>
    </row>
    <row r="16" spans="1:41" x14ac:dyDescent="0.25">
      <c r="A16" s="13">
        <v>12</v>
      </c>
      <c r="B16" s="34" t="s">
        <v>495</v>
      </c>
      <c r="C16" s="34" t="s">
        <v>50</v>
      </c>
      <c r="D16" s="11" t="s">
        <v>478</v>
      </c>
      <c r="E16" s="11" t="s">
        <v>112</v>
      </c>
      <c r="F16" s="11" t="s">
        <v>112</v>
      </c>
      <c r="G16" s="11" t="s">
        <v>112</v>
      </c>
      <c r="H16" s="11" t="s">
        <v>112</v>
      </c>
      <c r="I16" s="11" t="s">
        <v>111</v>
      </c>
      <c r="J16" s="60"/>
      <c r="K16" s="11" t="s">
        <v>112</v>
      </c>
      <c r="L16" s="11" t="s">
        <v>112</v>
      </c>
      <c r="M16" s="11" t="s">
        <v>112</v>
      </c>
      <c r="N16" s="11" t="s">
        <v>112</v>
      </c>
      <c r="O16" s="11" t="s">
        <v>112</v>
      </c>
      <c r="P16" s="11" t="s">
        <v>112</v>
      </c>
      <c r="Q16" s="60"/>
      <c r="R16" s="11" t="s">
        <v>112</v>
      </c>
      <c r="S16" s="11" t="s">
        <v>112</v>
      </c>
      <c r="T16" s="11" t="s">
        <v>112</v>
      </c>
      <c r="U16" s="11" t="s">
        <v>112</v>
      </c>
      <c r="V16" s="11" t="s">
        <v>112</v>
      </c>
      <c r="W16" s="11" t="s">
        <v>111</v>
      </c>
      <c r="X16" s="60"/>
      <c r="Y16" s="11" t="s">
        <v>111</v>
      </c>
      <c r="Z16" s="11" t="s">
        <v>112</v>
      </c>
      <c r="AA16" s="11" t="s">
        <v>112</v>
      </c>
      <c r="AB16" s="11" t="s">
        <v>111</v>
      </c>
      <c r="AC16" s="11" t="s">
        <v>112</v>
      </c>
      <c r="AD16" s="11" t="s">
        <v>112</v>
      </c>
      <c r="AE16" s="60"/>
      <c r="AF16" s="11" t="s">
        <v>112</v>
      </c>
      <c r="AG16" s="11" t="s">
        <v>112</v>
      </c>
      <c r="AH16" s="11" t="s">
        <v>112</v>
      </c>
      <c r="AI16" s="11" t="s">
        <v>112</v>
      </c>
      <c r="AJ16" s="5">
        <f t="shared" si="2"/>
        <v>23</v>
      </c>
      <c r="AK16" s="5">
        <f t="shared" si="1"/>
        <v>4</v>
      </c>
      <c r="AL16"/>
      <c r="AM16"/>
      <c r="AN16"/>
      <c r="AO16"/>
    </row>
    <row r="17" spans="1:41" ht="15.75" x14ac:dyDescent="0.25">
      <c r="A17" s="13">
        <v>13</v>
      </c>
      <c r="B17" s="34" t="s">
        <v>496</v>
      </c>
      <c r="C17" s="34" t="s">
        <v>66</v>
      </c>
      <c r="D17" s="11" t="s">
        <v>478</v>
      </c>
      <c r="E17" s="11" t="s">
        <v>112</v>
      </c>
      <c r="F17" s="11" t="s">
        <v>112</v>
      </c>
      <c r="G17" s="11" t="s">
        <v>112</v>
      </c>
      <c r="H17" s="11" t="s">
        <v>112</v>
      </c>
      <c r="I17" s="11" t="s">
        <v>112</v>
      </c>
      <c r="J17" s="60"/>
      <c r="K17" s="11" t="s">
        <v>112</v>
      </c>
      <c r="L17" s="11" t="s">
        <v>111</v>
      </c>
      <c r="M17" s="11" t="s">
        <v>112</v>
      </c>
      <c r="N17" s="11" t="s">
        <v>112</v>
      </c>
      <c r="O17" s="11" t="s">
        <v>112</v>
      </c>
      <c r="P17" s="11" t="s">
        <v>112</v>
      </c>
      <c r="Q17" s="60"/>
      <c r="R17" s="11" t="s">
        <v>112</v>
      </c>
      <c r="S17" s="11" t="s">
        <v>112</v>
      </c>
      <c r="T17" s="11" t="s">
        <v>112</v>
      </c>
      <c r="U17" s="11" t="s">
        <v>112</v>
      </c>
      <c r="V17" s="11" t="s">
        <v>112</v>
      </c>
      <c r="W17" s="11" t="s">
        <v>112</v>
      </c>
      <c r="X17" s="60"/>
      <c r="Y17" s="11" t="s">
        <v>112</v>
      </c>
      <c r="Z17" s="11" t="s">
        <v>112</v>
      </c>
      <c r="AA17" s="11" t="s">
        <v>112</v>
      </c>
      <c r="AB17" s="11" t="s">
        <v>112</v>
      </c>
      <c r="AC17" s="11" t="s">
        <v>111</v>
      </c>
      <c r="AD17" s="11" t="s">
        <v>112</v>
      </c>
      <c r="AE17" s="60"/>
      <c r="AF17" s="11" t="s">
        <v>112</v>
      </c>
      <c r="AG17" s="11" t="s">
        <v>112</v>
      </c>
      <c r="AH17" s="11" t="s">
        <v>112</v>
      </c>
      <c r="AI17" s="11" t="s">
        <v>112</v>
      </c>
      <c r="AJ17" s="5">
        <f t="shared" si="2"/>
        <v>25</v>
      </c>
      <c r="AK17" s="5">
        <f t="shared" si="1"/>
        <v>2</v>
      </c>
      <c r="AL17" s="49" t="s">
        <v>128</v>
      </c>
      <c r="AM17" s="50"/>
      <c r="AN17" s="50"/>
      <c r="AO17" s="52"/>
    </row>
    <row r="18" spans="1:41" x14ac:dyDescent="0.25">
      <c r="A18" s="13">
        <v>14</v>
      </c>
      <c r="B18" s="34" t="s">
        <v>497</v>
      </c>
      <c r="C18" s="34" t="s">
        <v>498</v>
      </c>
      <c r="D18" s="11" t="s">
        <v>478</v>
      </c>
      <c r="E18" s="11" t="s">
        <v>112</v>
      </c>
      <c r="F18" s="11" t="s">
        <v>112</v>
      </c>
      <c r="G18" s="11" t="s">
        <v>112</v>
      </c>
      <c r="H18" s="11" t="s">
        <v>112</v>
      </c>
      <c r="I18" s="11" t="s">
        <v>111</v>
      </c>
      <c r="J18" s="60"/>
      <c r="K18" s="11" t="s">
        <v>112</v>
      </c>
      <c r="L18" s="11" t="s">
        <v>111</v>
      </c>
      <c r="M18" s="11" t="s">
        <v>112</v>
      </c>
      <c r="N18" s="11" t="s">
        <v>112</v>
      </c>
      <c r="O18" s="11" t="s">
        <v>112</v>
      </c>
      <c r="P18" s="11" t="s">
        <v>112</v>
      </c>
      <c r="Q18" s="60"/>
      <c r="R18" s="11" t="s">
        <v>112</v>
      </c>
      <c r="S18" s="11" t="s">
        <v>112</v>
      </c>
      <c r="T18" s="11" t="s">
        <v>111</v>
      </c>
      <c r="U18" s="11" t="s">
        <v>112</v>
      </c>
      <c r="V18" s="11" t="s">
        <v>112</v>
      </c>
      <c r="W18" s="11" t="s">
        <v>112</v>
      </c>
      <c r="X18" s="60"/>
      <c r="Y18" s="11" t="s">
        <v>112</v>
      </c>
      <c r="Z18" s="11" t="s">
        <v>112</v>
      </c>
      <c r="AA18" s="11" t="s">
        <v>112</v>
      </c>
      <c r="AB18" s="11" t="s">
        <v>112</v>
      </c>
      <c r="AC18" s="11" t="s">
        <v>112</v>
      </c>
      <c r="AD18" s="11" t="s">
        <v>112</v>
      </c>
      <c r="AE18" s="60"/>
      <c r="AF18" s="11" t="s">
        <v>112</v>
      </c>
      <c r="AG18" s="11" t="s">
        <v>112</v>
      </c>
      <c r="AH18" s="11" t="s">
        <v>112</v>
      </c>
      <c r="AI18" s="11" t="s">
        <v>112</v>
      </c>
      <c r="AJ18" s="5">
        <f t="shared" si="2"/>
        <v>24</v>
      </c>
      <c r="AK18" s="5">
        <f t="shared" si="1"/>
        <v>3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x14ac:dyDescent="0.25">
      <c r="A19" s="13">
        <v>15</v>
      </c>
      <c r="B19" s="34" t="s">
        <v>499</v>
      </c>
      <c r="C19" s="34" t="s">
        <v>500</v>
      </c>
      <c r="D19" s="11" t="s">
        <v>478</v>
      </c>
      <c r="E19" s="11" t="s">
        <v>112</v>
      </c>
      <c r="F19" s="11" t="s">
        <v>112</v>
      </c>
      <c r="G19" s="11" t="s">
        <v>112</v>
      </c>
      <c r="H19" s="11" t="s">
        <v>111</v>
      </c>
      <c r="I19" s="11" t="s">
        <v>112</v>
      </c>
      <c r="J19" s="60"/>
      <c r="K19" s="11" t="s">
        <v>112</v>
      </c>
      <c r="L19" s="11" t="s">
        <v>112</v>
      </c>
      <c r="M19" s="11" t="s">
        <v>112</v>
      </c>
      <c r="N19" s="11" t="s">
        <v>113</v>
      </c>
      <c r="O19" s="11" t="s">
        <v>113</v>
      </c>
      <c r="P19" s="11" t="s">
        <v>113</v>
      </c>
      <c r="Q19" s="60"/>
      <c r="R19" s="11" t="s">
        <v>113</v>
      </c>
      <c r="S19" s="11" t="s">
        <v>113</v>
      </c>
      <c r="T19" s="11" t="s">
        <v>113</v>
      </c>
      <c r="U19" s="11" t="s">
        <v>113</v>
      </c>
      <c r="V19" s="11" t="s">
        <v>112</v>
      </c>
      <c r="W19" s="11" t="s">
        <v>111</v>
      </c>
      <c r="X19" s="60"/>
      <c r="Y19" s="11" t="s">
        <v>112</v>
      </c>
      <c r="Z19" s="11" t="s">
        <v>112</v>
      </c>
      <c r="AA19" s="11" t="s">
        <v>112</v>
      </c>
      <c r="AB19" s="11" t="s">
        <v>112</v>
      </c>
      <c r="AC19" s="11" t="s">
        <v>111</v>
      </c>
      <c r="AD19" s="11" t="s">
        <v>112</v>
      </c>
      <c r="AE19" s="60"/>
      <c r="AF19" s="11" t="s">
        <v>112</v>
      </c>
      <c r="AG19" s="11" t="s">
        <v>112</v>
      </c>
      <c r="AH19" s="11" t="s">
        <v>112</v>
      </c>
      <c r="AI19" s="11" t="s">
        <v>112</v>
      </c>
      <c r="AJ19" s="5">
        <f t="shared" si="2"/>
        <v>17</v>
      </c>
      <c r="AK19" s="5">
        <f t="shared" si="1"/>
        <v>3</v>
      </c>
      <c r="AL19" s="5" t="s">
        <v>14</v>
      </c>
      <c r="AM19" s="13">
        <f>21*$AM$5</f>
        <v>567</v>
      </c>
      <c r="AN19" s="13">
        <f>32*$AM$5</f>
        <v>864</v>
      </c>
      <c r="AO19" s="13">
        <f>AM19+AN19</f>
        <v>1431</v>
      </c>
    </row>
    <row r="20" spans="1:41" x14ac:dyDescent="0.25">
      <c r="A20" s="13">
        <v>16</v>
      </c>
      <c r="B20" s="34" t="s">
        <v>501</v>
      </c>
      <c r="C20" s="34" t="s">
        <v>502</v>
      </c>
      <c r="D20" s="11" t="s">
        <v>478</v>
      </c>
      <c r="E20" s="11" t="s">
        <v>112</v>
      </c>
      <c r="F20" s="11" t="s">
        <v>112</v>
      </c>
      <c r="G20" s="11" t="s">
        <v>112</v>
      </c>
      <c r="H20" s="11" t="s">
        <v>112</v>
      </c>
      <c r="I20" s="11" t="s">
        <v>112</v>
      </c>
      <c r="J20" s="60"/>
      <c r="K20" s="11" t="s">
        <v>112</v>
      </c>
      <c r="L20" s="11" t="s">
        <v>112</v>
      </c>
      <c r="M20" s="11" t="s">
        <v>112</v>
      </c>
      <c r="N20" s="11" t="s">
        <v>112</v>
      </c>
      <c r="O20" s="11" t="s">
        <v>112</v>
      </c>
      <c r="P20" s="11" t="s">
        <v>112</v>
      </c>
      <c r="Q20" s="60"/>
      <c r="R20" s="11" t="s">
        <v>112</v>
      </c>
      <c r="S20" s="11" t="s">
        <v>112</v>
      </c>
      <c r="T20" s="11" t="s">
        <v>112</v>
      </c>
      <c r="U20" s="11" t="s">
        <v>112</v>
      </c>
      <c r="V20" s="11" t="s">
        <v>112</v>
      </c>
      <c r="W20" s="11" t="s">
        <v>112</v>
      </c>
      <c r="X20" s="60"/>
      <c r="Y20" s="11" t="s">
        <v>112</v>
      </c>
      <c r="Z20" s="11" t="s">
        <v>112</v>
      </c>
      <c r="AA20" s="11" t="s">
        <v>112</v>
      </c>
      <c r="AB20" s="11" t="s">
        <v>112</v>
      </c>
      <c r="AC20" s="11" t="s">
        <v>112</v>
      </c>
      <c r="AD20" s="11" t="s">
        <v>112</v>
      </c>
      <c r="AE20" s="60"/>
      <c r="AF20" s="11" t="s">
        <v>112</v>
      </c>
      <c r="AG20" s="11" t="s">
        <v>112</v>
      </c>
      <c r="AH20" s="11" t="s">
        <v>112</v>
      </c>
      <c r="AI20" s="11" t="s">
        <v>112</v>
      </c>
      <c r="AJ20" s="5">
        <f t="shared" si="2"/>
        <v>27</v>
      </c>
      <c r="AK20" s="5">
        <f t="shared" si="1"/>
        <v>0</v>
      </c>
      <c r="AL20" s="5" t="s">
        <v>17</v>
      </c>
      <c r="AM20" s="13">
        <f>AM19-AM12</f>
        <v>136</v>
      </c>
      <c r="AN20" s="13">
        <f>AN19-AN12</f>
        <v>160</v>
      </c>
      <c r="AO20" s="13">
        <f>AM20+AN20</f>
        <v>296</v>
      </c>
    </row>
    <row r="21" spans="1:41" x14ac:dyDescent="0.25">
      <c r="A21" s="13">
        <v>17</v>
      </c>
      <c r="B21" s="34" t="s">
        <v>469</v>
      </c>
      <c r="C21" s="34" t="s">
        <v>503</v>
      </c>
      <c r="D21" s="11" t="s">
        <v>478</v>
      </c>
      <c r="E21" s="11" t="s">
        <v>112</v>
      </c>
      <c r="F21" s="11" t="s">
        <v>112</v>
      </c>
      <c r="G21" s="11" t="s">
        <v>112</v>
      </c>
      <c r="H21" s="11" t="s">
        <v>111</v>
      </c>
      <c r="I21" s="11" t="s">
        <v>112</v>
      </c>
      <c r="J21" s="60"/>
      <c r="K21" s="11" t="s">
        <v>112</v>
      </c>
      <c r="L21" s="11" t="s">
        <v>111</v>
      </c>
      <c r="M21" s="11" t="s">
        <v>112</v>
      </c>
      <c r="N21" s="11" t="s">
        <v>112</v>
      </c>
      <c r="O21" s="11" t="s">
        <v>112</v>
      </c>
      <c r="P21" s="11" t="s">
        <v>112</v>
      </c>
      <c r="Q21" s="60"/>
      <c r="R21" s="11" t="s">
        <v>112</v>
      </c>
      <c r="S21" s="11" t="s">
        <v>112</v>
      </c>
      <c r="T21" s="11" t="s">
        <v>112</v>
      </c>
      <c r="U21" s="11" t="s">
        <v>112</v>
      </c>
      <c r="V21" s="11" t="s">
        <v>112</v>
      </c>
      <c r="W21" s="11" t="s">
        <v>112</v>
      </c>
      <c r="X21" s="60"/>
      <c r="Y21" s="11" t="s">
        <v>111</v>
      </c>
      <c r="Z21" s="11" t="s">
        <v>112</v>
      </c>
      <c r="AA21" s="11" t="s">
        <v>112</v>
      </c>
      <c r="AB21" s="11" t="s">
        <v>112</v>
      </c>
      <c r="AC21" s="11" t="s">
        <v>112</v>
      </c>
      <c r="AD21" s="11" t="s">
        <v>112</v>
      </c>
      <c r="AE21" s="60"/>
      <c r="AF21" s="11" t="s">
        <v>112</v>
      </c>
      <c r="AG21" s="11" t="s">
        <v>112</v>
      </c>
      <c r="AH21" s="11" t="s">
        <v>112</v>
      </c>
      <c r="AI21" s="11" t="s">
        <v>112</v>
      </c>
      <c r="AJ21" s="5">
        <f t="shared" si="2"/>
        <v>24</v>
      </c>
      <c r="AK21" s="5">
        <f t="shared" si="1"/>
        <v>3</v>
      </c>
      <c r="AL21" s="5" t="s">
        <v>16</v>
      </c>
      <c r="AM21" s="18">
        <f>AM20/AM19</f>
        <v>0.23985890652557318</v>
      </c>
      <c r="AN21" s="18">
        <f>AN20/AN19</f>
        <v>0.18518518518518517</v>
      </c>
      <c r="AO21" s="18">
        <f>AO20/AO19</f>
        <v>0.20684835779175401</v>
      </c>
    </row>
    <row r="22" spans="1:41" x14ac:dyDescent="0.25">
      <c r="A22" s="13">
        <v>18</v>
      </c>
      <c r="B22" s="34" t="s">
        <v>504</v>
      </c>
      <c r="C22" s="34" t="s">
        <v>146</v>
      </c>
      <c r="D22" s="11" t="s">
        <v>478</v>
      </c>
      <c r="E22" s="11" t="s">
        <v>112</v>
      </c>
      <c r="F22" s="11" t="s">
        <v>112</v>
      </c>
      <c r="G22" s="11" t="s">
        <v>112</v>
      </c>
      <c r="H22" s="11" t="s">
        <v>112</v>
      </c>
      <c r="I22" s="11" t="s">
        <v>112</v>
      </c>
      <c r="J22" s="60"/>
      <c r="K22" s="11" t="s">
        <v>112</v>
      </c>
      <c r="L22" s="11" t="s">
        <v>112</v>
      </c>
      <c r="M22" s="11" t="s">
        <v>112</v>
      </c>
      <c r="N22" s="11" t="s">
        <v>112</v>
      </c>
      <c r="O22" s="11" t="s">
        <v>112</v>
      </c>
      <c r="P22" s="11" t="s">
        <v>112</v>
      </c>
      <c r="Q22" s="60"/>
      <c r="R22" s="11" t="s">
        <v>112</v>
      </c>
      <c r="S22" s="11" t="s">
        <v>112</v>
      </c>
      <c r="T22" s="11" t="s">
        <v>112</v>
      </c>
      <c r="U22" s="11" t="s">
        <v>112</v>
      </c>
      <c r="V22" s="11" t="s">
        <v>112</v>
      </c>
      <c r="W22" s="11" t="s">
        <v>112</v>
      </c>
      <c r="X22" s="60"/>
      <c r="Y22" s="11" t="s">
        <v>112</v>
      </c>
      <c r="Z22" s="11" t="s">
        <v>111</v>
      </c>
      <c r="AA22" s="11" t="s">
        <v>112</v>
      </c>
      <c r="AB22" s="11" t="s">
        <v>112</v>
      </c>
      <c r="AC22" s="11" t="s">
        <v>112</v>
      </c>
      <c r="AD22" s="11" t="s">
        <v>111</v>
      </c>
      <c r="AE22" s="60"/>
      <c r="AF22" s="11" t="s">
        <v>112</v>
      </c>
      <c r="AG22" s="11" t="s">
        <v>112</v>
      </c>
      <c r="AH22" s="11" t="s">
        <v>112</v>
      </c>
      <c r="AI22" s="11" t="s">
        <v>112</v>
      </c>
      <c r="AJ22" s="5">
        <f t="shared" si="2"/>
        <v>25</v>
      </c>
      <c r="AK22" s="5">
        <f t="shared" si="1"/>
        <v>2</v>
      </c>
    </row>
    <row r="23" spans="1:41" x14ac:dyDescent="0.25">
      <c r="A23" s="13">
        <v>19</v>
      </c>
      <c r="B23" s="34" t="s">
        <v>505</v>
      </c>
      <c r="C23" s="34" t="s">
        <v>321</v>
      </c>
      <c r="D23" s="11" t="s">
        <v>478</v>
      </c>
      <c r="E23" s="11" t="s">
        <v>111</v>
      </c>
      <c r="F23" s="11" t="s">
        <v>111</v>
      </c>
      <c r="G23" s="11" t="s">
        <v>111</v>
      </c>
      <c r="H23" s="11" t="s">
        <v>111</v>
      </c>
      <c r="I23" s="11" t="s">
        <v>111</v>
      </c>
      <c r="J23" s="60"/>
      <c r="K23" s="11" t="s">
        <v>111</v>
      </c>
      <c r="L23" s="11" t="s">
        <v>111</v>
      </c>
      <c r="M23" s="11" t="s">
        <v>111</v>
      </c>
      <c r="N23" s="11" t="s">
        <v>111</v>
      </c>
      <c r="O23" s="11" t="s">
        <v>111</v>
      </c>
      <c r="P23" s="11" t="s">
        <v>111</v>
      </c>
      <c r="Q23" s="60"/>
      <c r="R23" s="11" t="s">
        <v>111</v>
      </c>
      <c r="S23" s="11" t="s">
        <v>111</v>
      </c>
      <c r="T23" s="11" t="s">
        <v>111</v>
      </c>
      <c r="U23" s="11" t="s">
        <v>111</v>
      </c>
      <c r="V23" s="11" t="s">
        <v>111</v>
      </c>
      <c r="W23" s="11" t="s">
        <v>111</v>
      </c>
      <c r="X23" s="60"/>
      <c r="Y23" s="11" t="s">
        <v>111</v>
      </c>
      <c r="Z23" s="11" t="s">
        <v>111</v>
      </c>
      <c r="AA23" s="11" t="s">
        <v>111</v>
      </c>
      <c r="AB23" s="11" t="s">
        <v>111</v>
      </c>
      <c r="AC23" s="11" t="s">
        <v>111</v>
      </c>
      <c r="AD23" s="11" t="s">
        <v>111</v>
      </c>
      <c r="AE23" s="60"/>
      <c r="AF23" s="11" t="s">
        <v>111</v>
      </c>
      <c r="AG23" s="11" t="s">
        <v>111</v>
      </c>
      <c r="AH23" s="11" t="s">
        <v>111</v>
      </c>
      <c r="AI23" s="11" t="s">
        <v>111</v>
      </c>
      <c r="AJ23" s="5">
        <f t="shared" si="2"/>
        <v>0</v>
      </c>
      <c r="AK23" s="5">
        <f t="shared" si="1"/>
        <v>26</v>
      </c>
    </row>
    <row r="24" spans="1:41" x14ac:dyDescent="0.25">
      <c r="A24" s="13">
        <v>20</v>
      </c>
      <c r="B24" s="34" t="s">
        <v>506</v>
      </c>
      <c r="C24" s="34" t="s">
        <v>507</v>
      </c>
      <c r="D24" s="11" t="s">
        <v>478</v>
      </c>
      <c r="E24" s="11" t="s">
        <v>112</v>
      </c>
      <c r="F24" s="11" t="s">
        <v>112</v>
      </c>
      <c r="G24" s="11" t="s">
        <v>112</v>
      </c>
      <c r="H24" s="11" t="s">
        <v>112</v>
      </c>
      <c r="I24" s="11" t="s">
        <v>111</v>
      </c>
      <c r="J24" s="60"/>
      <c r="K24" s="11" t="s">
        <v>111</v>
      </c>
      <c r="L24" s="11" t="s">
        <v>112</v>
      </c>
      <c r="M24" s="11" t="s">
        <v>111</v>
      </c>
      <c r="N24" s="11" t="s">
        <v>112</v>
      </c>
      <c r="O24" s="11" t="s">
        <v>112</v>
      </c>
      <c r="P24" s="11" t="s">
        <v>112</v>
      </c>
      <c r="Q24" s="60"/>
      <c r="R24" s="11" t="s">
        <v>112</v>
      </c>
      <c r="S24" s="11" t="s">
        <v>111</v>
      </c>
      <c r="T24" s="11" t="s">
        <v>112</v>
      </c>
      <c r="U24" s="11" t="s">
        <v>111</v>
      </c>
      <c r="V24" s="11" t="s">
        <v>111</v>
      </c>
      <c r="W24" s="11" t="s">
        <v>111</v>
      </c>
      <c r="X24" s="60"/>
      <c r="Y24" s="11" t="s">
        <v>112</v>
      </c>
      <c r="Z24" s="11" t="s">
        <v>112</v>
      </c>
      <c r="AA24" s="11" t="s">
        <v>112</v>
      </c>
      <c r="AB24" s="11" t="s">
        <v>112</v>
      </c>
      <c r="AC24" s="11" t="s">
        <v>111</v>
      </c>
      <c r="AD24" s="11" t="s">
        <v>112</v>
      </c>
      <c r="AE24" s="60"/>
      <c r="AF24" s="11" t="s">
        <v>112</v>
      </c>
      <c r="AG24" s="11" t="s">
        <v>112</v>
      </c>
      <c r="AH24" s="11" t="s">
        <v>112</v>
      </c>
      <c r="AI24" s="11" t="s">
        <v>112</v>
      </c>
      <c r="AJ24" s="5">
        <f t="shared" si="2"/>
        <v>19</v>
      </c>
      <c r="AK24" s="5">
        <f t="shared" si="1"/>
        <v>8</v>
      </c>
    </row>
    <row r="25" spans="1:41" x14ac:dyDescent="0.25">
      <c r="A25" s="13">
        <v>21</v>
      </c>
      <c r="B25" s="34" t="s">
        <v>508</v>
      </c>
      <c r="C25" s="34" t="s">
        <v>509</v>
      </c>
      <c r="D25" s="11" t="s">
        <v>478</v>
      </c>
      <c r="E25" s="11" t="s">
        <v>111</v>
      </c>
      <c r="F25" s="11" t="s">
        <v>111</v>
      </c>
      <c r="G25" s="11" t="s">
        <v>111</v>
      </c>
      <c r="H25" s="11" t="s">
        <v>111</v>
      </c>
      <c r="I25" s="11" t="s">
        <v>111</v>
      </c>
      <c r="J25" s="60"/>
      <c r="K25" s="11" t="s">
        <v>111</v>
      </c>
      <c r="L25" s="11" t="s">
        <v>111</v>
      </c>
      <c r="M25" s="11" t="s">
        <v>111</v>
      </c>
      <c r="N25" s="11" t="s">
        <v>111</v>
      </c>
      <c r="O25" s="11" t="s">
        <v>111</v>
      </c>
      <c r="P25" s="11" t="s">
        <v>111</v>
      </c>
      <c r="Q25" s="60"/>
      <c r="R25" s="11" t="s">
        <v>111</v>
      </c>
      <c r="S25" s="11" t="s">
        <v>111</v>
      </c>
      <c r="T25" s="11" t="s">
        <v>111</v>
      </c>
      <c r="U25" s="11" t="s">
        <v>112</v>
      </c>
      <c r="V25" s="11" t="s">
        <v>112</v>
      </c>
      <c r="W25" s="11" t="s">
        <v>111</v>
      </c>
      <c r="X25" s="60"/>
      <c r="Y25" s="11" t="s">
        <v>112</v>
      </c>
      <c r="Z25" s="11" t="s">
        <v>111</v>
      </c>
      <c r="AA25" s="11" t="s">
        <v>112</v>
      </c>
      <c r="AB25" s="11" t="s">
        <v>112</v>
      </c>
      <c r="AC25" s="11" t="s">
        <v>112</v>
      </c>
      <c r="AD25" s="11" t="s">
        <v>112</v>
      </c>
      <c r="AE25" s="60"/>
      <c r="AF25" s="11" t="s">
        <v>112</v>
      </c>
      <c r="AG25" s="11" t="s">
        <v>112</v>
      </c>
      <c r="AH25" s="11" t="s">
        <v>112</v>
      </c>
      <c r="AI25" s="11" t="s">
        <v>112</v>
      </c>
      <c r="AJ25" s="5">
        <f t="shared" si="2"/>
        <v>11</v>
      </c>
      <c r="AK25" s="5">
        <f t="shared" si="1"/>
        <v>16</v>
      </c>
    </row>
    <row r="26" spans="1:41" x14ac:dyDescent="0.25">
      <c r="A26" s="13">
        <v>1</v>
      </c>
      <c r="B26" s="34" t="s">
        <v>135</v>
      </c>
      <c r="C26" s="34" t="s">
        <v>229</v>
      </c>
      <c r="D26" s="11" t="s">
        <v>478</v>
      </c>
      <c r="E26" s="11" t="s">
        <v>112</v>
      </c>
      <c r="F26" s="11" t="s">
        <v>112</v>
      </c>
      <c r="G26" s="11" t="s">
        <v>112</v>
      </c>
      <c r="H26" s="11" t="s">
        <v>112</v>
      </c>
      <c r="I26" s="11" t="s">
        <v>112</v>
      </c>
      <c r="J26" s="60"/>
      <c r="K26" s="11" t="s">
        <v>112</v>
      </c>
      <c r="L26" s="11" t="s">
        <v>112</v>
      </c>
      <c r="M26" s="11" t="s">
        <v>112</v>
      </c>
      <c r="N26" s="11" t="s">
        <v>112</v>
      </c>
      <c r="O26" s="11" t="s">
        <v>112</v>
      </c>
      <c r="P26" s="11" t="s">
        <v>112</v>
      </c>
      <c r="Q26" s="60"/>
      <c r="R26" s="11" t="s">
        <v>112</v>
      </c>
      <c r="S26" s="11" t="s">
        <v>112</v>
      </c>
      <c r="T26" s="11" t="s">
        <v>112</v>
      </c>
      <c r="U26" s="11" t="s">
        <v>112</v>
      </c>
      <c r="V26" s="11" t="s">
        <v>112</v>
      </c>
      <c r="W26" s="11" t="s">
        <v>112</v>
      </c>
      <c r="X26" s="60"/>
      <c r="Y26" s="11" t="s">
        <v>111</v>
      </c>
      <c r="Z26" s="11" t="s">
        <v>112</v>
      </c>
      <c r="AA26" s="11" t="s">
        <v>112</v>
      </c>
      <c r="AB26" s="11" t="s">
        <v>112</v>
      </c>
      <c r="AC26" s="11" t="s">
        <v>112</v>
      </c>
      <c r="AD26" s="11" t="s">
        <v>112</v>
      </c>
      <c r="AE26" s="60"/>
      <c r="AF26" s="11" t="s">
        <v>112</v>
      </c>
      <c r="AG26" s="11" t="s">
        <v>112</v>
      </c>
      <c r="AH26" s="11" t="s">
        <v>112</v>
      </c>
      <c r="AI26" s="11" t="s">
        <v>112</v>
      </c>
      <c r="AJ26" s="5">
        <f t="shared" si="2"/>
        <v>26</v>
      </c>
      <c r="AK26" s="5">
        <f t="shared" si="1"/>
        <v>1</v>
      </c>
    </row>
    <row r="27" spans="1:41" x14ac:dyDescent="0.25">
      <c r="A27" s="13">
        <v>2</v>
      </c>
      <c r="B27" s="34" t="s">
        <v>510</v>
      </c>
      <c r="C27" s="34" t="s">
        <v>511</v>
      </c>
      <c r="D27" s="11" t="s">
        <v>478</v>
      </c>
      <c r="E27" s="11" t="s">
        <v>112</v>
      </c>
      <c r="F27" s="11" t="s">
        <v>112</v>
      </c>
      <c r="G27" s="11" t="s">
        <v>112</v>
      </c>
      <c r="H27" s="11" t="s">
        <v>112</v>
      </c>
      <c r="I27" s="11" t="s">
        <v>112</v>
      </c>
      <c r="J27" s="60"/>
      <c r="K27" s="11" t="s">
        <v>112</v>
      </c>
      <c r="L27" s="11" t="s">
        <v>112</v>
      </c>
      <c r="M27" s="11" t="s">
        <v>112</v>
      </c>
      <c r="N27" s="11" t="s">
        <v>112</v>
      </c>
      <c r="O27" s="11" t="s">
        <v>112</v>
      </c>
      <c r="P27" s="11" t="s">
        <v>112</v>
      </c>
      <c r="Q27" s="60"/>
      <c r="R27" s="11" t="s">
        <v>112</v>
      </c>
      <c r="S27" s="11" t="s">
        <v>112</v>
      </c>
      <c r="T27" s="11" t="s">
        <v>112</v>
      </c>
      <c r="U27" s="11" t="s">
        <v>112</v>
      </c>
      <c r="V27" s="11" t="s">
        <v>112</v>
      </c>
      <c r="W27" s="11" t="s">
        <v>112</v>
      </c>
      <c r="X27" s="60"/>
      <c r="Y27" s="11" t="s">
        <v>112</v>
      </c>
      <c r="Z27" s="11" t="s">
        <v>112</v>
      </c>
      <c r="AA27" s="11" t="s">
        <v>112</v>
      </c>
      <c r="AB27" s="11" t="s">
        <v>112</v>
      </c>
      <c r="AC27" s="11" t="s">
        <v>112</v>
      </c>
      <c r="AD27" s="11" t="s">
        <v>112</v>
      </c>
      <c r="AE27" s="60"/>
      <c r="AF27" s="11" t="s">
        <v>111</v>
      </c>
      <c r="AG27" s="11" t="s">
        <v>112</v>
      </c>
      <c r="AH27" s="11" t="s">
        <v>112</v>
      </c>
      <c r="AI27" s="11" t="s">
        <v>112</v>
      </c>
      <c r="AJ27" s="5">
        <f t="shared" si="2"/>
        <v>26</v>
      </c>
      <c r="AK27" s="5">
        <f t="shared" si="1"/>
        <v>1</v>
      </c>
    </row>
    <row r="28" spans="1:41" x14ac:dyDescent="0.25">
      <c r="A28" s="13">
        <v>3</v>
      </c>
      <c r="B28" s="34" t="s">
        <v>512</v>
      </c>
      <c r="C28" s="34" t="s">
        <v>513</v>
      </c>
      <c r="D28" s="11" t="s">
        <v>478</v>
      </c>
      <c r="E28" s="11" t="s">
        <v>112</v>
      </c>
      <c r="F28" s="11" t="s">
        <v>112</v>
      </c>
      <c r="G28" s="11" t="s">
        <v>112</v>
      </c>
      <c r="H28" s="11" t="s">
        <v>112</v>
      </c>
      <c r="I28" s="11" t="s">
        <v>112</v>
      </c>
      <c r="J28" s="60"/>
      <c r="K28" s="11" t="s">
        <v>112</v>
      </c>
      <c r="L28" s="11" t="s">
        <v>112</v>
      </c>
      <c r="M28" s="11" t="s">
        <v>112</v>
      </c>
      <c r="N28" s="11" t="s">
        <v>112</v>
      </c>
      <c r="O28" s="11" t="s">
        <v>112</v>
      </c>
      <c r="P28" s="11" t="s">
        <v>111</v>
      </c>
      <c r="Q28" s="60"/>
      <c r="R28" s="11" t="s">
        <v>112</v>
      </c>
      <c r="S28" s="11" t="s">
        <v>112</v>
      </c>
      <c r="T28" s="11" t="s">
        <v>112</v>
      </c>
      <c r="U28" s="11" t="s">
        <v>112</v>
      </c>
      <c r="V28" s="11" t="s">
        <v>112</v>
      </c>
      <c r="W28" s="11" t="s">
        <v>112</v>
      </c>
      <c r="X28" s="60"/>
      <c r="Y28" s="11" t="s">
        <v>112</v>
      </c>
      <c r="Z28" s="11" t="s">
        <v>112</v>
      </c>
      <c r="AA28" s="11" t="s">
        <v>112</v>
      </c>
      <c r="AB28" s="11" t="s">
        <v>112</v>
      </c>
      <c r="AC28" s="11" t="s">
        <v>112</v>
      </c>
      <c r="AD28" s="11" t="s">
        <v>112</v>
      </c>
      <c r="AE28" s="60"/>
      <c r="AF28" s="11" t="s">
        <v>112</v>
      </c>
      <c r="AG28" s="11" t="s">
        <v>112</v>
      </c>
      <c r="AH28" s="11" t="s">
        <v>112</v>
      </c>
      <c r="AI28" s="11" t="s">
        <v>112</v>
      </c>
      <c r="AJ28" s="5">
        <f t="shared" si="2"/>
        <v>26</v>
      </c>
      <c r="AK28" s="5">
        <f t="shared" si="1"/>
        <v>1</v>
      </c>
    </row>
    <row r="29" spans="1:41" x14ac:dyDescent="0.25">
      <c r="A29" s="13">
        <v>4</v>
      </c>
      <c r="B29" s="34" t="s">
        <v>514</v>
      </c>
      <c r="C29" s="34" t="s">
        <v>515</v>
      </c>
      <c r="D29" s="11" t="s">
        <v>478</v>
      </c>
      <c r="E29" s="11" t="s">
        <v>112</v>
      </c>
      <c r="F29" s="11" t="s">
        <v>111</v>
      </c>
      <c r="G29" s="11" t="s">
        <v>112</v>
      </c>
      <c r="H29" s="11" t="s">
        <v>112</v>
      </c>
      <c r="I29" s="11" t="s">
        <v>112</v>
      </c>
      <c r="J29" s="60"/>
      <c r="K29" s="11" t="s">
        <v>112</v>
      </c>
      <c r="L29" s="11" t="s">
        <v>112</v>
      </c>
      <c r="M29" s="11" t="s">
        <v>112</v>
      </c>
      <c r="N29" s="11" t="s">
        <v>112</v>
      </c>
      <c r="O29" s="11" t="s">
        <v>112</v>
      </c>
      <c r="P29" s="11" t="s">
        <v>112</v>
      </c>
      <c r="Q29" s="60"/>
      <c r="R29" s="11" t="s">
        <v>112</v>
      </c>
      <c r="S29" s="11" t="s">
        <v>112</v>
      </c>
      <c r="T29" s="11" t="s">
        <v>112</v>
      </c>
      <c r="U29" s="11" t="s">
        <v>112</v>
      </c>
      <c r="V29" s="11" t="s">
        <v>112</v>
      </c>
      <c r="W29" s="11" t="s">
        <v>112</v>
      </c>
      <c r="X29" s="60"/>
      <c r="Y29" s="11" t="s">
        <v>112</v>
      </c>
      <c r="Z29" s="11" t="s">
        <v>112</v>
      </c>
      <c r="AA29" s="11" t="s">
        <v>112</v>
      </c>
      <c r="AB29" s="11" t="s">
        <v>112</v>
      </c>
      <c r="AC29" s="11" t="s">
        <v>111</v>
      </c>
      <c r="AD29" s="11" t="s">
        <v>112</v>
      </c>
      <c r="AE29" s="60"/>
      <c r="AF29" s="11" t="s">
        <v>112</v>
      </c>
      <c r="AG29" s="11" t="s">
        <v>112</v>
      </c>
      <c r="AH29" s="11" t="s">
        <v>112</v>
      </c>
      <c r="AI29" s="11" t="s">
        <v>112</v>
      </c>
      <c r="AJ29" s="5">
        <f t="shared" si="2"/>
        <v>25</v>
      </c>
      <c r="AK29" s="5">
        <f t="shared" si="1"/>
        <v>2</v>
      </c>
    </row>
    <row r="30" spans="1:41" x14ac:dyDescent="0.25">
      <c r="A30" s="13">
        <v>5</v>
      </c>
      <c r="B30" s="34" t="s">
        <v>430</v>
      </c>
      <c r="C30" s="34" t="s">
        <v>516</v>
      </c>
      <c r="D30" s="11" t="s">
        <v>478</v>
      </c>
      <c r="E30" s="11" t="s">
        <v>112</v>
      </c>
      <c r="F30" s="11" t="s">
        <v>355</v>
      </c>
      <c r="G30" s="11" t="s">
        <v>112</v>
      </c>
      <c r="H30" s="11" t="s">
        <v>112</v>
      </c>
      <c r="I30" s="11" t="s">
        <v>112</v>
      </c>
      <c r="J30" s="60"/>
      <c r="K30" s="11" t="s">
        <v>112</v>
      </c>
      <c r="L30" s="11" t="s">
        <v>112</v>
      </c>
      <c r="M30" s="11" t="s">
        <v>112</v>
      </c>
      <c r="N30" s="11" t="s">
        <v>112</v>
      </c>
      <c r="O30" s="11" t="s">
        <v>112</v>
      </c>
      <c r="P30" s="11" t="s">
        <v>112</v>
      </c>
      <c r="Q30" s="60"/>
      <c r="R30" s="11" t="s">
        <v>112</v>
      </c>
      <c r="S30" s="11" t="s">
        <v>112</v>
      </c>
      <c r="T30" s="11" t="s">
        <v>111</v>
      </c>
      <c r="U30" s="11" t="s">
        <v>112</v>
      </c>
      <c r="V30" s="11" t="s">
        <v>113</v>
      </c>
      <c r="W30" s="11" t="s">
        <v>113</v>
      </c>
      <c r="X30" s="60"/>
      <c r="Y30" s="11" t="s">
        <v>112</v>
      </c>
      <c r="Z30" s="11" t="s">
        <v>112</v>
      </c>
      <c r="AA30" s="11" t="s">
        <v>112</v>
      </c>
      <c r="AB30" s="11" t="s">
        <v>112</v>
      </c>
      <c r="AC30" s="11" t="s">
        <v>112</v>
      </c>
      <c r="AD30" s="11" t="s">
        <v>112</v>
      </c>
      <c r="AE30" s="60"/>
      <c r="AF30" s="11" t="s">
        <v>112</v>
      </c>
      <c r="AG30" s="11" t="s">
        <v>111</v>
      </c>
      <c r="AH30" s="11" t="s">
        <v>112</v>
      </c>
      <c r="AI30" s="11" t="s">
        <v>112</v>
      </c>
      <c r="AJ30" s="5">
        <f t="shared" si="2"/>
        <v>23</v>
      </c>
      <c r="AK30" s="5">
        <f t="shared" si="1"/>
        <v>2</v>
      </c>
    </row>
    <row r="31" spans="1:41" x14ac:dyDescent="0.25">
      <c r="A31" s="13">
        <v>6</v>
      </c>
      <c r="B31" s="34" t="s">
        <v>139</v>
      </c>
      <c r="C31" s="34" t="s">
        <v>480</v>
      </c>
      <c r="D31" s="11" t="s">
        <v>478</v>
      </c>
      <c r="E31" s="11" t="s">
        <v>112</v>
      </c>
      <c r="F31" s="11" t="s">
        <v>355</v>
      </c>
      <c r="G31" s="11" t="s">
        <v>112</v>
      </c>
      <c r="H31" s="11" t="s">
        <v>111</v>
      </c>
      <c r="I31" s="11" t="s">
        <v>112</v>
      </c>
      <c r="J31" s="60"/>
      <c r="K31" s="11" t="s">
        <v>112</v>
      </c>
      <c r="L31" s="11" t="s">
        <v>111</v>
      </c>
      <c r="M31" s="11" t="s">
        <v>111</v>
      </c>
      <c r="N31" s="11" t="s">
        <v>112</v>
      </c>
      <c r="O31" s="11" t="s">
        <v>112</v>
      </c>
      <c r="P31" s="11" t="s">
        <v>112</v>
      </c>
      <c r="Q31" s="60"/>
      <c r="R31" s="11" t="s">
        <v>112</v>
      </c>
      <c r="S31" s="11" t="s">
        <v>112</v>
      </c>
      <c r="T31" s="11" t="s">
        <v>112</v>
      </c>
      <c r="U31" s="11" t="s">
        <v>112</v>
      </c>
      <c r="V31" s="11" t="s">
        <v>112</v>
      </c>
      <c r="W31" s="11" t="s">
        <v>112</v>
      </c>
      <c r="X31" s="60"/>
      <c r="Y31" s="11" t="s">
        <v>112</v>
      </c>
      <c r="Z31" s="11" t="s">
        <v>112</v>
      </c>
      <c r="AA31" s="11" t="s">
        <v>112</v>
      </c>
      <c r="AB31" s="11" t="s">
        <v>112</v>
      </c>
      <c r="AC31" s="11" t="s">
        <v>112</v>
      </c>
      <c r="AD31" s="11" t="s">
        <v>112</v>
      </c>
      <c r="AE31" s="60"/>
      <c r="AF31" s="11" t="s">
        <v>112</v>
      </c>
      <c r="AG31" s="11" t="s">
        <v>112</v>
      </c>
      <c r="AH31" s="11" t="s">
        <v>112</v>
      </c>
      <c r="AI31" s="11" t="s">
        <v>112</v>
      </c>
      <c r="AJ31" s="5">
        <f t="shared" si="2"/>
        <v>24</v>
      </c>
      <c r="AK31" s="5">
        <f t="shared" si="1"/>
        <v>3</v>
      </c>
    </row>
    <row r="32" spans="1:41" x14ac:dyDescent="0.25">
      <c r="A32" s="13">
        <v>7</v>
      </c>
      <c r="B32" s="34" t="s">
        <v>517</v>
      </c>
      <c r="C32" s="34" t="s">
        <v>518</v>
      </c>
      <c r="D32" s="11" t="s">
        <v>478</v>
      </c>
      <c r="E32" s="11" t="s">
        <v>112</v>
      </c>
      <c r="F32" s="11" t="s">
        <v>355</v>
      </c>
      <c r="G32" s="11" t="s">
        <v>112</v>
      </c>
      <c r="H32" s="11" t="s">
        <v>112</v>
      </c>
      <c r="I32" s="11" t="s">
        <v>112</v>
      </c>
      <c r="J32" s="60"/>
      <c r="K32" s="11" t="s">
        <v>112</v>
      </c>
      <c r="L32" s="11" t="s">
        <v>112</v>
      </c>
      <c r="M32" s="11" t="s">
        <v>112</v>
      </c>
      <c r="N32" s="11" t="s">
        <v>111</v>
      </c>
      <c r="O32" s="11" t="s">
        <v>111</v>
      </c>
      <c r="P32" s="11" t="s">
        <v>111</v>
      </c>
      <c r="Q32" s="60"/>
      <c r="R32" s="11" t="s">
        <v>112</v>
      </c>
      <c r="S32" s="11" t="s">
        <v>112</v>
      </c>
      <c r="T32" s="11" t="s">
        <v>112</v>
      </c>
      <c r="U32" s="11" t="s">
        <v>111</v>
      </c>
      <c r="V32" s="11" t="s">
        <v>112</v>
      </c>
      <c r="W32" s="11" t="s">
        <v>112</v>
      </c>
      <c r="X32" s="60"/>
      <c r="Y32" s="11" t="s">
        <v>112</v>
      </c>
      <c r="Z32" s="11" t="s">
        <v>112</v>
      </c>
      <c r="AA32" s="11" t="s">
        <v>112</v>
      </c>
      <c r="AB32" s="11" t="s">
        <v>112</v>
      </c>
      <c r="AC32" s="11" t="s">
        <v>112</v>
      </c>
      <c r="AD32" s="11" t="s">
        <v>112</v>
      </c>
      <c r="AE32" s="60"/>
      <c r="AF32" s="11" t="s">
        <v>112</v>
      </c>
      <c r="AG32" s="11" t="s">
        <v>112</v>
      </c>
      <c r="AH32" s="11" t="s">
        <v>112</v>
      </c>
      <c r="AI32" s="11" t="s">
        <v>112</v>
      </c>
      <c r="AJ32" s="5">
        <f t="shared" si="2"/>
        <v>23</v>
      </c>
      <c r="AK32" s="5">
        <f t="shared" si="1"/>
        <v>4</v>
      </c>
    </row>
    <row r="33" spans="1:37" x14ac:dyDescent="0.25">
      <c r="A33" s="13">
        <v>8</v>
      </c>
      <c r="B33" s="34" t="s">
        <v>519</v>
      </c>
      <c r="C33" s="34" t="s">
        <v>520</v>
      </c>
      <c r="D33" s="11" t="s">
        <v>478</v>
      </c>
      <c r="E33" s="11" t="s">
        <v>112</v>
      </c>
      <c r="F33" s="11" t="s">
        <v>355</v>
      </c>
      <c r="G33" s="11" t="s">
        <v>111</v>
      </c>
      <c r="H33" s="11" t="s">
        <v>111</v>
      </c>
      <c r="I33" s="11" t="s">
        <v>111</v>
      </c>
      <c r="J33" s="60"/>
      <c r="K33" s="11" t="s">
        <v>111</v>
      </c>
      <c r="L33" s="11" t="s">
        <v>111</v>
      </c>
      <c r="M33" s="11" t="s">
        <v>112</v>
      </c>
      <c r="N33" s="11" t="s">
        <v>111</v>
      </c>
      <c r="O33" s="11" t="s">
        <v>112</v>
      </c>
      <c r="P33" s="11" t="s">
        <v>111</v>
      </c>
      <c r="Q33" s="60"/>
      <c r="R33" s="11" t="s">
        <v>112</v>
      </c>
      <c r="S33" s="11" t="s">
        <v>112</v>
      </c>
      <c r="T33" s="11" t="s">
        <v>111</v>
      </c>
      <c r="U33" s="11" t="s">
        <v>111</v>
      </c>
      <c r="V33" s="11" t="s">
        <v>112</v>
      </c>
      <c r="W33" s="11" t="s">
        <v>112</v>
      </c>
      <c r="X33" s="60"/>
      <c r="Y33" s="11" t="s">
        <v>111</v>
      </c>
      <c r="Z33" s="11" t="s">
        <v>111</v>
      </c>
      <c r="AA33" s="11" t="s">
        <v>111</v>
      </c>
      <c r="AB33" s="11" t="s">
        <v>111</v>
      </c>
      <c r="AC33" s="11" t="s">
        <v>111</v>
      </c>
      <c r="AD33" s="11" t="s">
        <v>112</v>
      </c>
      <c r="AE33" s="60"/>
      <c r="AF33" s="11" t="s">
        <v>112</v>
      </c>
      <c r="AG33" s="11" t="s">
        <v>112</v>
      </c>
      <c r="AH33" s="11" t="s">
        <v>112</v>
      </c>
      <c r="AI33" s="11" t="s">
        <v>111</v>
      </c>
      <c r="AJ33" s="5">
        <f t="shared" si="2"/>
        <v>12</v>
      </c>
      <c r="AK33" s="5">
        <f t="shared" si="1"/>
        <v>14</v>
      </c>
    </row>
    <row r="34" spans="1:37" x14ac:dyDescent="0.25">
      <c r="A34" s="13">
        <v>9</v>
      </c>
      <c r="B34" s="34" t="s">
        <v>521</v>
      </c>
      <c r="C34" s="34" t="s">
        <v>522</v>
      </c>
      <c r="D34" s="11" t="s">
        <v>478</v>
      </c>
      <c r="E34" s="11" t="s">
        <v>112</v>
      </c>
      <c r="F34" s="11" t="s">
        <v>355</v>
      </c>
      <c r="G34" s="11" t="s">
        <v>112</v>
      </c>
      <c r="H34" s="11" t="s">
        <v>112</v>
      </c>
      <c r="I34" s="11" t="s">
        <v>112</v>
      </c>
      <c r="J34" s="60"/>
      <c r="K34" s="11" t="s">
        <v>112</v>
      </c>
      <c r="L34" s="11" t="s">
        <v>111</v>
      </c>
      <c r="M34" s="11" t="s">
        <v>112</v>
      </c>
      <c r="N34" s="11" t="s">
        <v>112</v>
      </c>
      <c r="O34" s="11" t="s">
        <v>111</v>
      </c>
      <c r="P34" s="11" t="s">
        <v>111</v>
      </c>
      <c r="Q34" s="60"/>
      <c r="R34" s="11" t="s">
        <v>112</v>
      </c>
      <c r="S34" s="11" t="s">
        <v>112</v>
      </c>
      <c r="T34" s="11" t="s">
        <v>112</v>
      </c>
      <c r="U34" s="11" t="s">
        <v>112</v>
      </c>
      <c r="V34" s="11" t="s">
        <v>112</v>
      </c>
      <c r="W34" s="11" t="s">
        <v>112</v>
      </c>
      <c r="X34" s="60"/>
      <c r="Y34" s="11" t="s">
        <v>112</v>
      </c>
      <c r="Z34" s="11" t="s">
        <v>112</v>
      </c>
      <c r="AA34" s="11" t="s">
        <v>112</v>
      </c>
      <c r="AB34" s="11" t="s">
        <v>112</v>
      </c>
      <c r="AC34" s="11" t="s">
        <v>112</v>
      </c>
      <c r="AD34" s="11" t="s">
        <v>112</v>
      </c>
      <c r="AE34" s="60"/>
      <c r="AF34" s="11" t="s">
        <v>112</v>
      </c>
      <c r="AG34" s="11" t="s">
        <v>112</v>
      </c>
      <c r="AH34" s="11" t="s">
        <v>112</v>
      </c>
      <c r="AI34" s="11" t="s">
        <v>112</v>
      </c>
      <c r="AJ34" s="5">
        <f t="shared" si="2"/>
        <v>24</v>
      </c>
      <c r="AK34" s="5">
        <f t="shared" si="1"/>
        <v>3</v>
      </c>
    </row>
    <row r="35" spans="1:37" x14ac:dyDescent="0.25">
      <c r="A35" s="13">
        <v>10</v>
      </c>
      <c r="B35" s="34" t="s">
        <v>523</v>
      </c>
      <c r="C35" s="34" t="s">
        <v>524</v>
      </c>
      <c r="D35" s="11" t="s">
        <v>478</v>
      </c>
      <c r="E35" s="11" t="s">
        <v>112</v>
      </c>
      <c r="F35" s="11" t="s">
        <v>111</v>
      </c>
      <c r="G35" s="11" t="s">
        <v>112</v>
      </c>
      <c r="H35" s="11" t="s">
        <v>112</v>
      </c>
      <c r="I35" s="11" t="s">
        <v>111</v>
      </c>
      <c r="J35" s="60"/>
      <c r="K35" s="11" t="s">
        <v>112</v>
      </c>
      <c r="L35" s="11" t="s">
        <v>111</v>
      </c>
      <c r="M35" s="11" t="s">
        <v>111</v>
      </c>
      <c r="N35" s="11" t="s">
        <v>112</v>
      </c>
      <c r="O35" s="11" t="s">
        <v>112</v>
      </c>
      <c r="P35" s="11" t="s">
        <v>112</v>
      </c>
      <c r="Q35" s="60"/>
      <c r="R35" s="11" t="s">
        <v>112</v>
      </c>
      <c r="S35" s="11" t="s">
        <v>112</v>
      </c>
      <c r="T35" s="11" t="s">
        <v>112</v>
      </c>
      <c r="U35" s="11" t="s">
        <v>112</v>
      </c>
      <c r="V35" s="11" t="s">
        <v>112</v>
      </c>
      <c r="W35" s="11" t="s">
        <v>112</v>
      </c>
      <c r="X35" s="60"/>
      <c r="Y35" s="11" t="s">
        <v>112</v>
      </c>
      <c r="Z35" s="11" t="s">
        <v>112</v>
      </c>
      <c r="AA35" s="11" t="s">
        <v>112</v>
      </c>
      <c r="AB35" s="11" t="s">
        <v>112</v>
      </c>
      <c r="AC35" s="11" t="s">
        <v>112</v>
      </c>
      <c r="AD35" s="11" t="s">
        <v>111</v>
      </c>
      <c r="AE35" s="60"/>
      <c r="AF35" s="11" t="s">
        <v>112</v>
      </c>
      <c r="AG35" s="11" t="s">
        <v>112</v>
      </c>
      <c r="AH35" s="11" t="s">
        <v>112</v>
      </c>
      <c r="AI35" s="11" t="s">
        <v>112</v>
      </c>
      <c r="AJ35" s="5">
        <f t="shared" si="2"/>
        <v>22</v>
      </c>
      <c r="AK35" s="5">
        <f t="shared" si="1"/>
        <v>5</v>
      </c>
    </row>
    <row r="36" spans="1:37" x14ac:dyDescent="0.25">
      <c r="A36" s="13">
        <v>11</v>
      </c>
      <c r="B36" s="34" t="s">
        <v>525</v>
      </c>
      <c r="C36" s="34" t="s">
        <v>526</v>
      </c>
      <c r="D36" s="11" t="s">
        <v>478</v>
      </c>
      <c r="E36" s="11" t="s">
        <v>112</v>
      </c>
      <c r="F36" s="11" t="s">
        <v>355</v>
      </c>
      <c r="G36" s="11" t="s">
        <v>112</v>
      </c>
      <c r="H36" s="11" t="s">
        <v>112</v>
      </c>
      <c r="I36" s="11" t="s">
        <v>112</v>
      </c>
      <c r="J36" s="60"/>
      <c r="K36" s="11" t="s">
        <v>111</v>
      </c>
      <c r="L36" s="11" t="s">
        <v>112</v>
      </c>
      <c r="M36" s="11" t="s">
        <v>112</v>
      </c>
      <c r="N36" s="11" t="s">
        <v>112</v>
      </c>
      <c r="O36" s="11" t="s">
        <v>112</v>
      </c>
      <c r="P36" s="11" t="s">
        <v>112</v>
      </c>
      <c r="Q36" s="60"/>
      <c r="R36" s="11" t="s">
        <v>112</v>
      </c>
      <c r="S36" s="11" t="s">
        <v>112</v>
      </c>
      <c r="T36" s="11" t="s">
        <v>112</v>
      </c>
      <c r="U36" s="11" t="s">
        <v>112</v>
      </c>
      <c r="V36" s="11" t="s">
        <v>112</v>
      </c>
      <c r="W36" s="11" t="s">
        <v>112</v>
      </c>
      <c r="X36" s="60"/>
      <c r="Y36" s="11" t="s">
        <v>111</v>
      </c>
      <c r="Z36" s="11" t="s">
        <v>112</v>
      </c>
      <c r="AA36" s="11" t="s">
        <v>112</v>
      </c>
      <c r="AB36" s="11" t="s">
        <v>112</v>
      </c>
      <c r="AC36" s="11" t="s">
        <v>112</v>
      </c>
      <c r="AD36" s="11" t="s">
        <v>111</v>
      </c>
      <c r="AE36" s="60"/>
      <c r="AF36" s="11" t="s">
        <v>112</v>
      </c>
      <c r="AG36" s="11" t="s">
        <v>112</v>
      </c>
      <c r="AH36" s="11" t="s">
        <v>112</v>
      </c>
      <c r="AI36" s="11" t="s">
        <v>112</v>
      </c>
      <c r="AJ36" s="5">
        <f t="shared" si="2"/>
        <v>24</v>
      </c>
      <c r="AK36" s="5">
        <f t="shared" si="1"/>
        <v>3</v>
      </c>
    </row>
    <row r="37" spans="1:37" x14ac:dyDescent="0.25">
      <c r="A37" s="13">
        <v>12</v>
      </c>
      <c r="B37" s="34" t="s">
        <v>527</v>
      </c>
      <c r="C37" s="34" t="s">
        <v>528</v>
      </c>
      <c r="D37" s="11" t="s">
        <v>478</v>
      </c>
      <c r="E37" s="11" t="s">
        <v>112</v>
      </c>
      <c r="F37" s="11" t="s">
        <v>355</v>
      </c>
      <c r="G37" s="11" t="s">
        <v>112</v>
      </c>
      <c r="H37" s="11" t="s">
        <v>112</v>
      </c>
      <c r="I37" s="11" t="s">
        <v>112</v>
      </c>
      <c r="J37" s="60"/>
      <c r="K37" s="11" t="s">
        <v>112</v>
      </c>
      <c r="L37" s="11" t="s">
        <v>111</v>
      </c>
      <c r="M37" s="11" t="s">
        <v>112</v>
      </c>
      <c r="N37" s="11" t="s">
        <v>112</v>
      </c>
      <c r="O37" s="11" t="s">
        <v>112</v>
      </c>
      <c r="P37" s="11" t="s">
        <v>112</v>
      </c>
      <c r="Q37" s="60"/>
      <c r="R37" s="11" t="s">
        <v>112</v>
      </c>
      <c r="S37" s="11" t="s">
        <v>112</v>
      </c>
      <c r="T37" s="11" t="s">
        <v>112</v>
      </c>
      <c r="U37" s="11" t="s">
        <v>112</v>
      </c>
      <c r="V37" s="11" t="s">
        <v>112</v>
      </c>
      <c r="W37" s="11" t="s">
        <v>112</v>
      </c>
      <c r="X37" s="60"/>
      <c r="Y37" s="11" t="s">
        <v>111</v>
      </c>
      <c r="Z37" s="11" t="s">
        <v>112</v>
      </c>
      <c r="AA37" s="11" t="s">
        <v>112</v>
      </c>
      <c r="AB37" s="11" t="s">
        <v>112</v>
      </c>
      <c r="AC37" s="11" t="s">
        <v>111</v>
      </c>
      <c r="AD37" s="11" t="s">
        <v>111</v>
      </c>
      <c r="AE37" s="60"/>
      <c r="AF37" s="11" t="s">
        <v>112</v>
      </c>
      <c r="AG37" s="11" t="s">
        <v>112</v>
      </c>
      <c r="AH37" s="11" t="s">
        <v>112</v>
      </c>
      <c r="AI37" s="11" t="s">
        <v>112</v>
      </c>
      <c r="AJ37" s="5">
        <f t="shared" si="2"/>
        <v>23</v>
      </c>
      <c r="AK37" s="5">
        <f t="shared" si="1"/>
        <v>4</v>
      </c>
    </row>
    <row r="38" spans="1:37" x14ac:dyDescent="0.25">
      <c r="A38" s="13">
        <v>13</v>
      </c>
      <c r="B38" s="34" t="s">
        <v>529</v>
      </c>
      <c r="C38" s="34" t="s">
        <v>530</v>
      </c>
      <c r="D38" s="11" t="s">
        <v>478</v>
      </c>
      <c r="E38" s="11" t="s">
        <v>112</v>
      </c>
      <c r="F38" s="11" t="s">
        <v>355</v>
      </c>
      <c r="G38" s="11" t="s">
        <v>112</v>
      </c>
      <c r="H38" s="11" t="s">
        <v>112</v>
      </c>
      <c r="I38" s="11" t="s">
        <v>112</v>
      </c>
      <c r="J38" s="60"/>
      <c r="K38" s="11" t="s">
        <v>111</v>
      </c>
      <c r="L38" s="11" t="s">
        <v>112</v>
      </c>
      <c r="M38" s="11" t="s">
        <v>111</v>
      </c>
      <c r="N38" s="11" t="s">
        <v>112</v>
      </c>
      <c r="O38" s="11" t="s">
        <v>112</v>
      </c>
      <c r="P38" s="11" t="s">
        <v>112</v>
      </c>
      <c r="Q38" s="60"/>
      <c r="R38" s="11" t="s">
        <v>112</v>
      </c>
      <c r="S38" s="11" t="s">
        <v>111</v>
      </c>
      <c r="T38" s="11" t="s">
        <v>112</v>
      </c>
      <c r="U38" s="11" t="s">
        <v>112</v>
      </c>
      <c r="V38" s="11" t="s">
        <v>112</v>
      </c>
      <c r="W38" s="11" t="s">
        <v>112</v>
      </c>
      <c r="X38" s="60"/>
      <c r="Y38" s="11" t="s">
        <v>112</v>
      </c>
      <c r="Z38" s="11" t="s">
        <v>112</v>
      </c>
      <c r="AA38" s="11" t="s">
        <v>112</v>
      </c>
      <c r="AB38" s="11" t="s">
        <v>112</v>
      </c>
      <c r="AC38" s="11" t="s">
        <v>112</v>
      </c>
      <c r="AD38" s="11" t="s">
        <v>112</v>
      </c>
      <c r="AE38" s="60"/>
      <c r="AF38" s="11" t="s">
        <v>112</v>
      </c>
      <c r="AG38" s="11" t="s">
        <v>112</v>
      </c>
      <c r="AH38" s="11" t="s">
        <v>112</v>
      </c>
      <c r="AI38" s="11" t="s">
        <v>112</v>
      </c>
      <c r="AJ38" s="5">
        <f t="shared" si="2"/>
        <v>24</v>
      </c>
      <c r="AK38" s="5">
        <f t="shared" si="1"/>
        <v>3</v>
      </c>
    </row>
    <row r="39" spans="1:37" x14ac:dyDescent="0.25">
      <c r="A39" s="13">
        <v>14</v>
      </c>
      <c r="B39" s="34" t="s">
        <v>531</v>
      </c>
      <c r="C39" s="34" t="s">
        <v>264</v>
      </c>
      <c r="D39" s="11" t="s">
        <v>478</v>
      </c>
      <c r="E39" s="11" t="s">
        <v>112</v>
      </c>
      <c r="F39" s="11" t="s">
        <v>355</v>
      </c>
      <c r="G39" s="11" t="s">
        <v>112</v>
      </c>
      <c r="H39" s="11" t="s">
        <v>112</v>
      </c>
      <c r="I39" s="11" t="s">
        <v>112</v>
      </c>
      <c r="J39" s="60"/>
      <c r="K39" s="11" t="s">
        <v>111</v>
      </c>
      <c r="L39" s="11" t="s">
        <v>111</v>
      </c>
      <c r="M39" s="11" t="s">
        <v>112</v>
      </c>
      <c r="N39" s="11" t="s">
        <v>112</v>
      </c>
      <c r="O39" s="11" t="s">
        <v>112</v>
      </c>
      <c r="P39" s="11" t="s">
        <v>112</v>
      </c>
      <c r="Q39" s="60"/>
      <c r="R39" s="11" t="s">
        <v>112</v>
      </c>
      <c r="S39" s="11" t="s">
        <v>111</v>
      </c>
      <c r="T39" s="11" t="s">
        <v>112</v>
      </c>
      <c r="U39" s="11" t="s">
        <v>111</v>
      </c>
      <c r="V39" s="11" t="s">
        <v>112</v>
      </c>
      <c r="W39" s="11" t="s">
        <v>112</v>
      </c>
      <c r="X39" s="60"/>
      <c r="Y39" s="11" t="s">
        <v>111</v>
      </c>
      <c r="Z39" s="11" t="s">
        <v>112</v>
      </c>
      <c r="AA39" s="11" t="s">
        <v>112</v>
      </c>
      <c r="AB39" s="11" t="s">
        <v>112</v>
      </c>
      <c r="AC39" s="11" t="s">
        <v>112</v>
      </c>
      <c r="AD39" s="11" t="s">
        <v>112</v>
      </c>
      <c r="AE39" s="60"/>
      <c r="AF39" s="11" t="s">
        <v>112</v>
      </c>
      <c r="AG39" s="11" t="s">
        <v>112</v>
      </c>
      <c r="AH39" s="11" t="s">
        <v>112</v>
      </c>
      <c r="AI39" s="11" t="s">
        <v>112</v>
      </c>
      <c r="AJ39" s="5">
        <f t="shared" si="2"/>
        <v>22</v>
      </c>
      <c r="AK39" s="5">
        <f t="shared" si="1"/>
        <v>5</v>
      </c>
    </row>
    <row r="40" spans="1:37" x14ac:dyDescent="0.25">
      <c r="A40" s="13">
        <v>15</v>
      </c>
      <c r="B40" s="34" t="s">
        <v>532</v>
      </c>
      <c r="C40" s="34" t="s">
        <v>533</v>
      </c>
      <c r="D40" s="11" t="s">
        <v>478</v>
      </c>
      <c r="E40" s="11" t="s">
        <v>112</v>
      </c>
      <c r="F40" s="11" t="s">
        <v>355</v>
      </c>
      <c r="G40" s="11" t="s">
        <v>112</v>
      </c>
      <c r="H40" s="11" t="s">
        <v>112</v>
      </c>
      <c r="I40" s="11" t="s">
        <v>112</v>
      </c>
      <c r="J40" s="60"/>
      <c r="K40" s="11" t="s">
        <v>112</v>
      </c>
      <c r="L40" s="11" t="s">
        <v>112</v>
      </c>
      <c r="M40" s="11" t="s">
        <v>112</v>
      </c>
      <c r="N40" s="11" t="s">
        <v>112</v>
      </c>
      <c r="O40" s="11" t="s">
        <v>112</v>
      </c>
      <c r="P40" s="11" t="s">
        <v>112</v>
      </c>
      <c r="Q40" s="60"/>
      <c r="R40" s="11" t="s">
        <v>112</v>
      </c>
      <c r="S40" s="11" t="s">
        <v>112</v>
      </c>
      <c r="T40" s="11" t="s">
        <v>112</v>
      </c>
      <c r="U40" s="11" t="s">
        <v>112</v>
      </c>
      <c r="V40" s="11" t="s">
        <v>112</v>
      </c>
      <c r="W40" s="11" t="s">
        <v>112</v>
      </c>
      <c r="X40" s="60"/>
      <c r="Y40" s="11" t="s">
        <v>112</v>
      </c>
      <c r="Z40" s="11" t="s">
        <v>112</v>
      </c>
      <c r="AA40" s="11" t="s">
        <v>112</v>
      </c>
      <c r="AB40" s="11" t="s">
        <v>112</v>
      </c>
      <c r="AC40" s="11" t="s">
        <v>112</v>
      </c>
      <c r="AD40" s="11" t="s">
        <v>112</v>
      </c>
      <c r="AE40" s="60"/>
      <c r="AF40" s="11" t="s">
        <v>112</v>
      </c>
      <c r="AG40" s="11" t="s">
        <v>112</v>
      </c>
      <c r="AH40" s="11" t="s">
        <v>112</v>
      </c>
      <c r="AI40" s="11" t="s">
        <v>112</v>
      </c>
      <c r="AJ40" s="5">
        <f t="shared" si="2"/>
        <v>27</v>
      </c>
      <c r="AK40" s="5">
        <f t="shared" si="1"/>
        <v>0</v>
      </c>
    </row>
    <row r="41" spans="1:37" x14ac:dyDescent="0.25">
      <c r="A41" s="13">
        <v>16</v>
      </c>
      <c r="B41" s="34" t="s">
        <v>411</v>
      </c>
      <c r="C41" s="34" t="s">
        <v>89</v>
      </c>
      <c r="D41" s="11" t="s">
        <v>478</v>
      </c>
      <c r="E41" s="11" t="s">
        <v>112</v>
      </c>
      <c r="F41" s="11" t="s">
        <v>355</v>
      </c>
      <c r="G41" s="11" t="s">
        <v>112</v>
      </c>
      <c r="H41" s="11" t="s">
        <v>112</v>
      </c>
      <c r="I41" s="11" t="s">
        <v>112</v>
      </c>
      <c r="J41" s="60"/>
      <c r="K41" s="11" t="s">
        <v>112</v>
      </c>
      <c r="L41" s="11" t="s">
        <v>111</v>
      </c>
      <c r="M41" s="11" t="s">
        <v>112</v>
      </c>
      <c r="N41" s="11" t="s">
        <v>112</v>
      </c>
      <c r="O41" s="11" t="s">
        <v>112</v>
      </c>
      <c r="P41" s="11" t="s">
        <v>112</v>
      </c>
      <c r="Q41" s="60"/>
      <c r="R41" s="11" t="s">
        <v>112</v>
      </c>
      <c r="S41" s="11" t="s">
        <v>112</v>
      </c>
      <c r="T41" s="11" t="s">
        <v>112</v>
      </c>
      <c r="U41" s="11" t="s">
        <v>112</v>
      </c>
      <c r="V41" s="11" t="s">
        <v>112</v>
      </c>
      <c r="W41" s="11" t="s">
        <v>112</v>
      </c>
      <c r="X41" s="60"/>
      <c r="Y41" s="11" t="s">
        <v>112</v>
      </c>
      <c r="Z41" s="11" t="s">
        <v>112</v>
      </c>
      <c r="AA41" s="11" t="s">
        <v>112</v>
      </c>
      <c r="AB41" s="11" t="s">
        <v>112</v>
      </c>
      <c r="AC41" s="11" t="s">
        <v>112</v>
      </c>
      <c r="AD41" s="11" t="s">
        <v>111</v>
      </c>
      <c r="AE41" s="60"/>
      <c r="AF41" s="11" t="s">
        <v>112</v>
      </c>
      <c r="AG41" s="11" t="s">
        <v>111</v>
      </c>
      <c r="AH41" s="11" t="s">
        <v>112</v>
      </c>
      <c r="AI41" s="11" t="s">
        <v>112</v>
      </c>
      <c r="AJ41" s="5">
        <f t="shared" si="2"/>
        <v>24</v>
      </c>
      <c r="AK41" s="5">
        <f t="shared" si="1"/>
        <v>3</v>
      </c>
    </row>
    <row r="42" spans="1:37" x14ac:dyDescent="0.25">
      <c r="A42" s="13">
        <v>17</v>
      </c>
      <c r="B42" s="34" t="s">
        <v>534</v>
      </c>
      <c r="C42" s="34" t="s">
        <v>535</v>
      </c>
      <c r="D42" s="11" t="s">
        <v>478</v>
      </c>
      <c r="E42" s="11" t="s">
        <v>112</v>
      </c>
      <c r="F42" s="11" t="s">
        <v>355</v>
      </c>
      <c r="G42" s="11" t="s">
        <v>112</v>
      </c>
      <c r="H42" s="11" t="s">
        <v>112</v>
      </c>
      <c r="I42" s="11" t="s">
        <v>112</v>
      </c>
      <c r="J42" s="60"/>
      <c r="K42" s="11" t="s">
        <v>112</v>
      </c>
      <c r="L42" s="11" t="s">
        <v>112</v>
      </c>
      <c r="M42" s="11" t="s">
        <v>112</v>
      </c>
      <c r="N42" s="11" t="s">
        <v>112</v>
      </c>
      <c r="O42" s="11" t="s">
        <v>112</v>
      </c>
      <c r="P42" s="11" t="s">
        <v>112</v>
      </c>
      <c r="Q42" s="60"/>
      <c r="R42" s="11" t="s">
        <v>112</v>
      </c>
      <c r="S42" s="11" t="s">
        <v>112</v>
      </c>
      <c r="T42" s="11" t="s">
        <v>112</v>
      </c>
      <c r="U42" s="11" t="s">
        <v>112</v>
      </c>
      <c r="V42" s="11" t="s">
        <v>112</v>
      </c>
      <c r="W42" s="11" t="s">
        <v>112</v>
      </c>
      <c r="X42" s="60"/>
      <c r="Y42" s="11" t="s">
        <v>112</v>
      </c>
      <c r="Z42" s="11" t="s">
        <v>112</v>
      </c>
      <c r="AA42" s="11" t="s">
        <v>112</v>
      </c>
      <c r="AB42" s="11" t="s">
        <v>112</v>
      </c>
      <c r="AC42" s="11" t="s">
        <v>112</v>
      </c>
      <c r="AD42" s="11" t="s">
        <v>112</v>
      </c>
      <c r="AE42" s="60"/>
      <c r="AF42" s="11" t="s">
        <v>112</v>
      </c>
      <c r="AG42" s="11" t="s">
        <v>112</v>
      </c>
      <c r="AH42" s="11" t="s">
        <v>112</v>
      </c>
      <c r="AI42" s="11" t="s">
        <v>112</v>
      </c>
      <c r="AJ42" s="5">
        <f t="shared" si="2"/>
        <v>27</v>
      </c>
      <c r="AK42" s="5">
        <f t="shared" si="1"/>
        <v>0</v>
      </c>
    </row>
    <row r="43" spans="1:37" x14ac:dyDescent="0.25">
      <c r="A43" s="13">
        <v>18</v>
      </c>
      <c r="B43" s="34" t="s">
        <v>536</v>
      </c>
      <c r="C43" s="34" t="s">
        <v>537</v>
      </c>
      <c r="D43" s="11" t="s">
        <v>478</v>
      </c>
      <c r="E43" s="11" t="s">
        <v>112</v>
      </c>
      <c r="F43" s="11" t="s">
        <v>355</v>
      </c>
      <c r="G43" s="11" t="s">
        <v>112</v>
      </c>
      <c r="H43" s="11" t="s">
        <v>112</v>
      </c>
      <c r="I43" s="11" t="s">
        <v>112</v>
      </c>
      <c r="J43" s="60"/>
      <c r="K43" s="11" t="s">
        <v>112</v>
      </c>
      <c r="L43" s="11" t="s">
        <v>112</v>
      </c>
      <c r="M43" s="11" t="s">
        <v>112</v>
      </c>
      <c r="N43" s="11" t="s">
        <v>112</v>
      </c>
      <c r="O43" s="11" t="s">
        <v>112</v>
      </c>
      <c r="P43" s="11" t="s">
        <v>111</v>
      </c>
      <c r="Q43" s="60"/>
      <c r="R43" s="11" t="s">
        <v>112</v>
      </c>
      <c r="S43" s="11" t="s">
        <v>112</v>
      </c>
      <c r="T43" s="11" t="s">
        <v>112</v>
      </c>
      <c r="U43" s="11" t="s">
        <v>112</v>
      </c>
      <c r="V43" s="11" t="s">
        <v>112</v>
      </c>
      <c r="W43" s="11" t="s">
        <v>112</v>
      </c>
      <c r="X43" s="60"/>
      <c r="Y43" s="11" t="s">
        <v>112</v>
      </c>
      <c r="Z43" s="11" t="s">
        <v>111</v>
      </c>
      <c r="AA43" s="11" t="s">
        <v>112</v>
      </c>
      <c r="AB43" s="11" t="s">
        <v>112</v>
      </c>
      <c r="AC43" s="11" t="s">
        <v>112</v>
      </c>
      <c r="AD43" s="11" t="s">
        <v>112</v>
      </c>
      <c r="AE43" s="60"/>
      <c r="AF43" s="11" t="s">
        <v>112</v>
      </c>
      <c r="AG43" s="11" t="s">
        <v>112</v>
      </c>
      <c r="AH43" s="11" t="s">
        <v>112</v>
      </c>
      <c r="AI43" s="11" t="s">
        <v>112</v>
      </c>
      <c r="AJ43" s="5">
        <f t="shared" si="2"/>
        <v>25</v>
      </c>
      <c r="AK43" s="5">
        <f t="shared" si="1"/>
        <v>2</v>
      </c>
    </row>
    <row r="44" spans="1:37" x14ac:dyDescent="0.25">
      <c r="A44" s="13">
        <v>19</v>
      </c>
      <c r="B44" s="34" t="s">
        <v>538</v>
      </c>
      <c r="C44" s="34" t="s">
        <v>64</v>
      </c>
      <c r="D44" s="11" t="s">
        <v>478</v>
      </c>
      <c r="E44" s="11" t="s">
        <v>112</v>
      </c>
      <c r="F44" s="11" t="s">
        <v>355</v>
      </c>
      <c r="G44" s="11" t="s">
        <v>112</v>
      </c>
      <c r="H44" s="11" t="s">
        <v>112</v>
      </c>
      <c r="I44" s="11" t="s">
        <v>111</v>
      </c>
      <c r="J44" s="60"/>
      <c r="K44" s="11" t="s">
        <v>112</v>
      </c>
      <c r="L44" s="11" t="s">
        <v>112</v>
      </c>
      <c r="M44" s="11" t="s">
        <v>112</v>
      </c>
      <c r="N44" s="11" t="s">
        <v>112</v>
      </c>
      <c r="O44" s="11" t="s">
        <v>112</v>
      </c>
      <c r="P44" s="11" t="s">
        <v>112</v>
      </c>
      <c r="Q44" s="60"/>
      <c r="R44" s="11" t="s">
        <v>111</v>
      </c>
      <c r="S44" s="11" t="s">
        <v>112</v>
      </c>
      <c r="T44" s="11" t="s">
        <v>112</v>
      </c>
      <c r="U44" s="11" t="s">
        <v>112</v>
      </c>
      <c r="V44" s="11" t="s">
        <v>112</v>
      </c>
      <c r="W44" s="11" t="s">
        <v>112</v>
      </c>
      <c r="X44" s="60"/>
      <c r="Y44" s="11" t="s">
        <v>111</v>
      </c>
      <c r="Z44" s="11" t="s">
        <v>112</v>
      </c>
      <c r="AA44" s="11" t="s">
        <v>111</v>
      </c>
      <c r="AB44" s="11" t="s">
        <v>112</v>
      </c>
      <c r="AC44" s="11" t="s">
        <v>111</v>
      </c>
      <c r="AD44" s="11" t="s">
        <v>112</v>
      </c>
      <c r="AE44" s="60"/>
      <c r="AF44" s="11" t="s">
        <v>111</v>
      </c>
      <c r="AG44" s="11" t="s">
        <v>112</v>
      </c>
      <c r="AH44" s="11" t="s">
        <v>112</v>
      </c>
      <c r="AI44" s="11" t="s">
        <v>112</v>
      </c>
      <c r="AJ44" s="5">
        <f t="shared" si="2"/>
        <v>21</v>
      </c>
      <c r="AK44" s="5">
        <f t="shared" si="1"/>
        <v>6</v>
      </c>
    </row>
    <row r="45" spans="1:37" x14ac:dyDescent="0.25">
      <c r="A45" s="13">
        <v>20</v>
      </c>
      <c r="B45" s="34" t="s">
        <v>539</v>
      </c>
      <c r="C45" s="34" t="s">
        <v>540</v>
      </c>
      <c r="D45" s="11" t="s">
        <v>478</v>
      </c>
      <c r="E45" s="11" t="s">
        <v>112</v>
      </c>
      <c r="F45" s="11" t="s">
        <v>355</v>
      </c>
      <c r="G45" s="11" t="s">
        <v>112</v>
      </c>
      <c r="H45" s="11" t="s">
        <v>112</v>
      </c>
      <c r="I45" s="11" t="s">
        <v>111</v>
      </c>
      <c r="J45" s="60"/>
      <c r="K45" s="11" t="s">
        <v>112</v>
      </c>
      <c r="L45" s="11" t="s">
        <v>112</v>
      </c>
      <c r="M45" s="11" t="s">
        <v>112</v>
      </c>
      <c r="N45" s="11" t="s">
        <v>112</v>
      </c>
      <c r="O45" s="11" t="s">
        <v>112</v>
      </c>
      <c r="P45" s="11" t="s">
        <v>112</v>
      </c>
      <c r="Q45" s="60"/>
      <c r="R45" s="11" t="s">
        <v>112</v>
      </c>
      <c r="S45" s="11" t="s">
        <v>112</v>
      </c>
      <c r="T45" s="11" t="s">
        <v>113</v>
      </c>
      <c r="U45" s="11" t="s">
        <v>113</v>
      </c>
      <c r="V45" s="11" t="s">
        <v>112</v>
      </c>
      <c r="W45" s="11" t="s">
        <v>111</v>
      </c>
      <c r="X45" s="60"/>
      <c r="Y45" s="11" t="s">
        <v>111</v>
      </c>
      <c r="Z45" s="11" t="s">
        <v>111</v>
      </c>
      <c r="AA45" s="11" t="s">
        <v>112</v>
      </c>
      <c r="AB45" s="11" t="s">
        <v>112</v>
      </c>
      <c r="AC45" s="11" t="s">
        <v>112</v>
      </c>
      <c r="AD45" s="11" t="s">
        <v>112</v>
      </c>
      <c r="AE45" s="60"/>
      <c r="AF45" s="11" t="s">
        <v>112</v>
      </c>
      <c r="AG45" s="11" t="s">
        <v>112</v>
      </c>
      <c r="AH45" s="11" t="s">
        <v>112</v>
      </c>
      <c r="AI45" s="11" t="s">
        <v>112</v>
      </c>
      <c r="AJ45" s="5">
        <f t="shared" si="2"/>
        <v>21</v>
      </c>
      <c r="AK45" s="5">
        <f t="shared" si="1"/>
        <v>4</v>
      </c>
    </row>
    <row r="46" spans="1:37" x14ac:dyDescent="0.25">
      <c r="A46" s="13">
        <v>21</v>
      </c>
      <c r="B46" s="34" t="s">
        <v>541</v>
      </c>
      <c r="C46" s="34" t="s">
        <v>148</v>
      </c>
      <c r="D46" s="11" t="s">
        <v>478</v>
      </c>
      <c r="E46" s="11" t="s">
        <v>111</v>
      </c>
      <c r="F46" s="11" t="s">
        <v>355</v>
      </c>
      <c r="G46" s="11" t="s">
        <v>112</v>
      </c>
      <c r="H46" s="11" t="s">
        <v>112</v>
      </c>
      <c r="I46" s="11" t="s">
        <v>111</v>
      </c>
      <c r="J46" s="60"/>
      <c r="K46" s="11" t="s">
        <v>112</v>
      </c>
      <c r="L46" s="11" t="s">
        <v>111</v>
      </c>
      <c r="M46" s="11" t="s">
        <v>112</v>
      </c>
      <c r="N46" s="11" t="s">
        <v>112</v>
      </c>
      <c r="O46" s="11" t="s">
        <v>112</v>
      </c>
      <c r="P46" s="11" t="s">
        <v>112</v>
      </c>
      <c r="Q46" s="60"/>
      <c r="R46" s="11" t="s">
        <v>112</v>
      </c>
      <c r="S46" s="11" t="s">
        <v>112</v>
      </c>
      <c r="T46" s="11" t="s">
        <v>112</v>
      </c>
      <c r="U46" s="11" t="s">
        <v>112</v>
      </c>
      <c r="V46" s="11" t="s">
        <v>111</v>
      </c>
      <c r="W46" s="11" t="s">
        <v>112</v>
      </c>
      <c r="X46" s="60"/>
      <c r="Y46" s="11" t="s">
        <v>112</v>
      </c>
      <c r="Z46" s="11" t="s">
        <v>111</v>
      </c>
      <c r="AA46" s="11" t="s">
        <v>112</v>
      </c>
      <c r="AB46" s="11" t="s">
        <v>112</v>
      </c>
      <c r="AC46" s="11" t="s">
        <v>112</v>
      </c>
      <c r="AD46" s="11" t="s">
        <v>112</v>
      </c>
      <c r="AE46" s="60"/>
      <c r="AF46" s="11" t="s">
        <v>111</v>
      </c>
      <c r="AG46" s="11" t="s">
        <v>111</v>
      </c>
      <c r="AH46" s="11" t="s">
        <v>111</v>
      </c>
      <c r="AI46" s="11" t="s">
        <v>112</v>
      </c>
      <c r="AJ46" s="5">
        <f t="shared" si="2"/>
        <v>19</v>
      </c>
      <c r="AK46" s="5">
        <f t="shared" si="1"/>
        <v>8</v>
      </c>
    </row>
    <row r="47" spans="1:37" x14ac:dyDescent="0.25">
      <c r="A47" s="13">
        <v>22</v>
      </c>
      <c r="B47" s="34" t="s">
        <v>542</v>
      </c>
      <c r="C47" s="34" t="s">
        <v>138</v>
      </c>
      <c r="D47" s="11" t="s">
        <v>478</v>
      </c>
      <c r="E47" s="11" t="s">
        <v>111</v>
      </c>
      <c r="F47" s="11" t="s">
        <v>111</v>
      </c>
      <c r="G47" s="11" t="s">
        <v>111</v>
      </c>
      <c r="H47" s="11" t="s">
        <v>111</v>
      </c>
      <c r="I47" s="11" t="s">
        <v>111</v>
      </c>
      <c r="J47" s="60"/>
      <c r="K47" s="11" t="s">
        <v>111</v>
      </c>
      <c r="L47" s="11" t="s">
        <v>111</v>
      </c>
      <c r="M47" s="11" t="s">
        <v>111</v>
      </c>
      <c r="N47" s="11" t="s">
        <v>111</v>
      </c>
      <c r="O47" s="11" t="s">
        <v>111</v>
      </c>
      <c r="P47" s="11" t="s">
        <v>111</v>
      </c>
      <c r="Q47" s="60"/>
      <c r="R47" s="11" t="s">
        <v>111</v>
      </c>
      <c r="S47" s="11" t="s">
        <v>111</v>
      </c>
      <c r="T47" s="11" t="s">
        <v>111</v>
      </c>
      <c r="U47" s="11" t="s">
        <v>111</v>
      </c>
      <c r="V47" s="11" t="s">
        <v>111</v>
      </c>
      <c r="W47" s="11" t="s">
        <v>111</v>
      </c>
      <c r="X47" s="60"/>
      <c r="Y47" s="11" t="s">
        <v>111</v>
      </c>
      <c r="Z47" s="11" t="s">
        <v>111</v>
      </c>
      <c r="AA47" s="11" t="s">
        <v>111</v>
      </c>
      <c r="AB47" s="11" t="s">
        <v>111</v>
      </c>
      <c r="AC47" s="11" t="s">
        <v>111</v>
      </c>
      <c r="AD47" s="11" t="s">
        <v>111</v>
      </c>
      <c r="AE47" s="60"/>
      <c r="AF47" s="11" t="s">
        <v>111</v>
      </c>
      <c r="AG47" s="11" t="s">
        <v>111</v>
      </c>
      <c r="AH47" s="11" t="s">
        <v>111</v>
      </c>
      <c r="AI47" s="11" t="s">
        <v>111</v>
      </c>
      <c r="AJ47" s="5">
        <f t="shared" si="2"/>
        <v>0</v>
      </c>
      <c r="AK47" s="5">
        <f t="shared" si="1"/>
        <v>26</v>
      </c>
    </row>
    <row r="48" spans="1:37" x14ac:dyDescent="0.25">
      <c r="A48" s="13">
        <v>23</v>
      </c>
      <c r="B48" s="34" t="s">
        <v>543</v>
      </c>
      <c r="C48" s="34" t="s">
        <v>140</v>
      </c>
      <c r="D48" s="11" t="s">
        <v>478</v>
      </c>
      <c r="E48" s="11" t="s">
        <v>355</v>
      </c>
      <c r="F48" s="11" t="s">
        <v>355</v>
      </c>
      <c r="G48" s="11" t="s">
        <v>112</v>
      </c>
      <c r="H48" s="11" t="s">
        <v>112</v>
      </c>
      <c r="I48" s="11" t="s">
        <v>111</v>
      </c>
      <c r="J48" s="60"/>
      <c r="K48" s="11" t="s">
        <v>112</v>
      </c>
      <c r="L48" s="11" t="s">
        <v>111</v>
      </c>
      <c r="M48" s="11" t="s">
        <v>112</v>
      </c>
      <c r="N48" s="11" t="s">
        <v>112</v>
      </c>
      <c r="O48" s="11" t="s">
        <v>112</v>
      </c>
      <c r="P48" s="11" t="s">
        <v>112</v>
      </c>
      <c r="Q48" s="60"/>
      <c r="R48" s="11" t="s">
        <v>112</v>
      </c>
      <c r="S48" s="11" t="s">
        <v>112</v>
      </c>
      <c r="T48" s="11" t="s">
        <v>112</v>
      </c>
      <c r="U48" s="11" t="s">
        <v>112</v>
      </c>
      <c r="V48" s="11" t="s">
        <v>112</v>
      </c>
      <c r="W48" s="11" t="s">
        <v>112</v>
      </c>
      <c r="X48" s="60"/>
      <c r="Y48" s="11" t="s">
        <v>112</v>
      </c>
      <c r="Z48" s="11" t="s">
        <v>112</v>
      </c>
      <c r="AA48" s="11" t="s">
        <v>112</v>
      </c>
      <c r="AB48" s="11" t="s">
        <v>112</v>
      </c>
      <c r="AC48" s="11" t="s">
        <v>112</v>
      </c>
      <c r="AD48" s="11" t="s">
        <v>112</v>
      </c>
      <c r="AE48" s="60"/>
      <c r="AF48" s="11" t="s">
        <v>112</v>
      </c>
      <c r="AG48" s="11" t="s">
        <v>112</v>
      </c>
      <c r="AH48" s="11" t="s">
        <v>112</v>
      </c>
      <c r="AI48" s="11" t="s">
        <v>112</v>
      </c>
      <c r="AJ48" s="5">
        <f t="shared" si="2"/>
        <v>25</v>
      </c>
      <c r="AK48" s="5">
        <f t="shared" si="1"/>
        <v>2</v>
      </c>
    </row>
    <row r="49" spans="1:37" x14ac:dyDescent="0.25">
      <c r="A49" s="13">
        <v>24</v>
      </c>
      <c r="B49" s="34" t="s">
        <v>544</v>
      </c>
      <c r="C49" s="34"/>
      <c r="D49" s="11" t="s">
        <v>478</v>
      </c>
      <c r="E49" s="11" t="s">
        <v>355</v>
      </c>
      <c r="F49" s="11" t="s">
        <v>355</v>
      </c>
      <c r="G49" s="11" t="s">
        <v>112</v>
      </c>
      <c r="H49" s="11" t="s">
        <v>112</v>
      </c>
      <c r="I49" s="11" t="s">
        <v>111</v>
      </c>
      <c r="J49" s="60"/>
      <c r="K49" s="11" t="s">
        <v>112</v>
      </c>
      <c r="L49" s="11" t="s">
        <v>112</v>
      </c>
      <c r="M49" s="11" t="s">
        <v>112</v>
      </c>
      <c r="N49" s="11" t="s">
        <v>111</v>
      </c>
      <c r="O49" s="11" t="s">
        <v>112</v>
      </c>
      <c r="P49" s="11" t="s">
        <v>112</v>
      </c>
      <c r="Q49" s="60"/>
      <c r="R49" s="11" t="s">
        <v>112</v>
      </c>
      <c r="S49" s="11" t="s">
        <v>111</v>
      </c>
      <c r="T49" s="11" t="s">
        <v>112</v>
      </c>
      <c r="U49" s="11" t="s">
        <v>112</v>
      </c>
      <c r="V49" s="11" t="s">
        <v>112</v>
      </c>
      <c r="W49" s="11" t="s">
        <v>112</v>
      </c>
      <c r="X49" s="60"/>
      <c r="Y49" s="11" t="s">
        <v>112</v>
      </c>
      <c r="Z49" s="11" t="s">
        <v>111</v>
      </c>
      <c r="AA49" s="11" t="s">
        <v>112</v>
      </c>
      <c r="AB49" s="11" t="s">
        <v>112</v>
      </c>
      <c r="AC49" s="11" t="s">
        <v>111</v>
      </c>
      <c r="AD49" s="11" t="s">
        <v>112</v>
      </c>
      <c r="AE49" s="60"/>
      <c r="AF49" s="11" t="s">
        <v>111</v>
      </c>
      <c r="AG49" s="11" t="s">
        <v>111</v>
      </c>
      <c r="AH49" s="11" t="s">
        <v>111</v>
      </c>
      <c r="AI49" s="11" t="s">
        <v>112</v>
      </c>
      <c r="AJ49" s="5">
        <f t="shared" si="2"/>
        <v>19</v>
      </c>
      <c r="AK49" s="5">
        <f t="shared" si="1"/>
        <v>8</v>
      </c>
    </row>
    <row r="50" spans="1:37" x14ac:dyDescent="0.25">
      <c r="A50" s="13">
        <v>25</v>
      </c>
      <c r="B50" s="34" t="s">
        <v>545</v>
      </c>
      <c r="C50" s="34" t="s">
        <v>498</v>
      </c>
      <c r="D50" s="11" t="s">
        <v>478</v>
      </c>
      <c r="E50" s="11" t="s">
        <v>355</v>
      </c>
      <c r="F50" s="11" t="s">
        <v>355</v>
      </c>
      <c r="G50" s="11" t="s">
        <v>112</v>
      </c>
      <c r="H50" s="11" t="s">
        <v>112</v>
      </c>
      <c r="I50" s="11" t="s">
        <v>111</v>
      </c>
      <c r="J50" s="60"/>
      <c r="K50" s="11" t="s">
        <v>112</v>
      </c>
      <c r="L50" s="11" t="s">
        <v>111</v>
      </c>
      <c r="M50" s="11" t="s">
        <v>111</v>
      </c>
      <c r="N50" s="11" t="s">
        <v>112</v>
      </c>
      <c r="O50" s="11" t="s">
        <v>112</v>
      </c>
      <c r="P50" s="11" t="s">
        <v>112</v>
      </c>
      <c r="Q50" s="60"/>
      <c r="R50" s="11" t="s">
        <v>112</v>
      </c>
      <c r="S50" s="11" t="s">
        <v>112</v>
      </c>
      <c r="T50" s="11" t="s">
        <v>112</v>
      </c>
      <c r="U50" s="11" t="s">
        <v>112</v>
      </c>
      <c r="V50" s="11" t="s">
        <v>112</v>
      </c>
      <c r="W50" s="11" t="s">
        <v>112</v>
      </c>
      <c r="X50" s="60"/>
      <c r="Y50" s="11" t="s">
        <v>112</v>
      </c>
      <c r="Z50" s="11" t="s">
        <v>112</v>
      </c>
      <c r="AA50" s="11" t="s">
        <v>112</v>
      </c>
      <c r="AB50" s="11" t="s">
        <v>111</v>
      </c>
      <c r="AC50" s="11" t="s">
        <v>112</v>
      </c>
      <c r="AD50" s="11" t="s">
        <v>112</v>
      </c>
      <c r="AE50" s="60"/>
      <c r="AF50" s="11" t="s">
        <v>111</v>
      </c>
      <c r="AG50" s="11" t="s">
        <v>112</v>
      </c>
      <c r="AH50" s="11" t="s">
        <v>112</v>
      </c>
      <c r="AI50" s="11" t="s">
        <v>112</v>
      </c>
      <c r="AJ50" s="5">
        <f t="shared" si="2"/>
        <v>22</v>
      </c>
      <c r="AK50" s="5">
        <f t="shared" si="1"/>
        <v>5</v>
      </c>
    </row>
    <row r="51" spans="1:37" x14ac:dyDescent="0.25">
      <c r="A51" s="13">
        <v>26</v>
      </c>
      <c r="B51" s="34" t="s">
        <v>546</v>
      </c>
      <c r="C51" s="34" t="s">
        <v>391</v>
      </c>
      <c r="D51" s="11" t="s">
        <v>478</v>
      </c>
      <c r="E51" s="11" t="s">
        <v>355</v>
      </c>
      <c r="F51" s="11" t="s">
        <v>111</v>
      </c>
      <c r="G51" s="11" t="s">
        <v>112</v>
      </c>
      <c r="H51" s="11" t="s">
        <v>112</v>
      </c>
      <c r="I51" s="11" t="s">
        <v>111</v>
      </c>
      <c r="J51" s="60"/>
      <c r="K51" s="11" t="s">
        <v>112</v>
      </c>
      <c r="L51" s="11" t="s">
        <v>112</v>
      </c>
      <c r="M51" s="11" t="s">
        <v>112</v>
      </c>
      <c r="N51" s="11" t="s">
        <v>112</v>
      </c>
      <c r="O51" s="11" t="s">
        <v>112</v>
      </c>
      <c r="P51" s="11" t="s">
        <v>111</v>
      </c>
      <c r="Q51" s="60"/>
      <c r="R51" s="11" t="s">
        <v>112</v>
      </c>
      <c r="S51" s="11" t="s">
        <v>112</v>
      </c>
      <c r="T51" s="11" t="s">
        <v>112</v>
      </c>
      <c r="U51" s="11" t="s">
        <v>112</v>
      </c>
      <c r="V51" s="11" t="s">
        <v>112</v>
      </c>
      <c r="W51" s="11" t="s">
        <v>112</v>
      </c>
      <c r="X51" s="60"/>
      <c r="Y51" s="11" t="s">
        <v>112</v>
      </c>
      <c r="Z51" s="11" t="s">
        <v>112</v>
      </c>
      <c r="AA51" s="11" t="s">
        <v>112</v>
      </c>
      <c r="AB51" s="11" t="s">
        <v>112</v>
      </c>
      <c r="AC51" s="11" t="s">
        <v>112</v>
      </c>
      <c r="AD51" s="11" t="s">
        <v>112</v>
      </c>
      <c r="AE51" s="60"/>
      <c r="AF51" s="11" t="s">
        <v>112</v>
      </c>
      <c r="AG51" s="11" t="s">
        <v>112</v>
      </c>
      <c r="AH51" s="11" t="s">
        <v>111</v>
      </c>
      <c r="AI51" s="11" t="s">
        <v>111</v>
      </c>
      <c r="AJ51" s="5">
        <f t="shared" si="2"/>
        <v>22</v>
      </c>
      <c r="AK51" s="5">
        <f t="shared" si="1"/>
        <v>4</v>
      </c>
    </row>
    <row r="52" spans="1:37" x14ac:dyDescent="0.25">
      <c r="A52" s="13">
        <v>27</v>
      </c>
      <c r="B52" s="34" t="s">
        <v>547</v>
      </c>
      <c r="C52" s="34" t="s">
        <v>448</v>
      </c>
      <c r="D52" s="11" t="s">
        <v>478</v>
      </c>
      <c r="E52" s="11" t="s">
        <v>112</v>
      </c>
      <c r="F52" s="11" t="s">
        <v>111</v>
      </c>
      <c r="G52" s="11" t="s">
        <v>112</v>
      </c>
      <c r="H52" s="11" t="s">
        <v>112</v>
      </c>
      <c r="I52" s="11" t="s">
        <v>112</v>
      </c>
      <c r="J52" s="60"/>
      <c r="K52" s="11" t="s">
        <v>112</v>
      </c>
      <c r="L52" s="11" t="s">
        <v>112</v>
      </c>
      <c r="M52" s="11" t="s">
        <v>112</v>
      </c>
      <c r="N52" s="11" t="s">
        <v>112</v>
      </c>
      <c r="O52" s="11" t="s">
        <v>112</v>
      </c>
      <c r="P52" s="11" t="s">
        <v>112</v>
      </c>
      <c r="Q52" s="60"/>
      <c r="R52" s="11" t="s">
        <v>112</v>
      </c>
      <c r="S52" s="11" t="s">
        <v>112</v>
      </c>
      <c r="T52" s="11" t="s">
        <v>112</v>
      </c>
      <c r="U52" s="11" t="s">
        <v>112</v>
      </c>
      <c r="V52" s="11" t="s">
        <v>112</v>
      </c>
      <c r="W52" s="11" t="s">
        <v>111</v>
      </c>
      <c r="X52" s="60"/>
      <c r="Y52" s="11" t="s">
        <v>111</v>
      </c>
      <c r="Z52" s="11" t="s">
        <v>112</v>
      </c>
      <c r="AA52" s="11" t="s">
        <v>112</v>
      </c>
      <c r="AB52" s="11" t="s">
        <v>112</v>
      </c>
      <c r="AC52" s="11" t="s">
        <v>112</v>
      </c>
      <c r="AD52" s="11" t="s">
        <v>112</v>
      </c>
      <c r="AE52" s="60"/>
      <c r="AF52" s="11" t="s">
        <v>112</v>
      </c>
      <c r="AG52" s="11" t="s">
        <v>112</v>
      </c>
      <c r="AH52" s="11" t="s">
        <v>112</v>
      </c>
      <c r="AI52" s="11" t="s">
        <v>112</v>
      </c>
      <c r="AJ52" s="5">
        <f t="shared" si="2"/>
        <v>24</v>
      </c>
      <c r="AK52" s="5">
        <f t="shared" si="1"/>
        <v>3</v>
      </c>
    </row>
    <row r="53" spans="1:37" x14ac:dyDescent="0.25">
      <c r="A53" s="13">
        <v>28</v>
      </c>
      <c r="B53" s="34" t="s">
        <v>547</v>
      </c>
      <c r="C53" s="34" t="s">
        <v>50</v>
      </c>
      <c r="D53" s="11" t="s">
        <v>478</v>
      </c>
      <c r="E53" s="11" t="s">
        <v>111</v>
      </c>
      <c r="F53" s="11" t="s">
        <v>355</v>
      </c>
      <c r="G53" s="11" t="s">
        <v>112</v>
      </c>
      <c r="H53" s="11" t="s">
        <v>111</v>
      </c>
      <c r="I53" s="11" t="s">
        <v>111</v>
      </c>
      <c r="J53" s="60"/>
      <c r="K53" s="11" t="s">
        <v>112</v>
      </c>
      <c r="L53" s="11" t="s">
        <v>111</v>
      </c>
      <c r="M53" s="11" t="s">
        <v>112</v>
      </c>
      <c r="N53" s="11" t="s">
        <v>111</v>
      </c>
      <c r="O53" s="11" t="s">
        <v>111</v>
      </c>
      <c r="P53" s="11" t="s">
        <v>111</v>
      </c>
      <c r="Q53" s="60"/>
      <c r="R53" s="11" t="s">
        <v>112</v>
      </c>
      <c r="S53" s="11" t="s">
        <v>112</v>
      </c>
      <c r="T53" s="11" t="s">
        <v>112</v>
      </c>
      <c r="U53" s="11" t="s">
        <v>111</v>
      </c>
      <c r="V53" s="11" t="s">
        <v>112</v>
      </c>
      <c r="W53" s="11" t="s">
        <v>112</v>
      </c>
      <c r="X53" s="60"/>
      <c r="Y53" s="11" t="s">
        <v>112</v>
      </c>
      <c r="Z53" s="11" t="s">
        <v>111</v>
      </c>
      <c r="AA53" s="11" t="s">
        <v>111</v>
      </c>
      <c r="AB53" s="11" t="s">
        <v>111</v>
      </c>
      <c r="AC53" s="11" t="s">
        <v>111</v>
      </c>
      <c r="AD53" s="11" t="s">
        <v>111</v>
      </c>
      <c r="AE53" s="60"/>
      <c r="AF53" s="11" t="s">
        <v>111</v>
      </c>
      <c r="AG53" s="11" t="s">
        <v>112</v>
      </c>
      <c r="AH53" s="11" t="s">
        <v>112</v>
      </c>
      <c r="AI53" s="11" t="s">
        <v>111</v>
      </c>
      <c r="AJ53" s="5">
        <f t="shared" si="2"/>
        <v>12</v>
      </c>
      <c r="AK53" s="5">
        <f t="shared" si="1"/>
        <v>14</v>
      </c>
    </row>
    <row r="54" spans="1:37" x14ac:dyDescent="0.25">
      <c r="A54" s="13">
        <v>29</v>
      </c>
      <c r="B54" s="34" t="s">
        <v>548</v>
      </c>
      <c r="C54" s="34" t="s">
        <v>549</v>
      </c>
      <c r="D54" s="11" t="s">
        <v>478</v>
      </c>
      <c r="E54" s="11" t="s">
        <v>355</v>
      </c>
      <c r="F54" s="11" t="s">
        <v>355</v>
      </c>
      <c r="G54" s="11" t="s">
        <v>112</v>
      </c>
      <c r="H54" s="11" t="s">
        <v>111</v>
      </c>
      <c r="I54" s="11" t="s">
        <v>111</v>
      </c>
      <c r="J54" s="60"/>
      <c r="K54" s="11" t="s">
        <v>112</v>
      </c>
      <c r="L54" s="11" t="s">
        <v>112</v>
      </c>
      <c r="M54" s="11" t="s">
        <v>112</v>
      </c>
      <c r="N54" s="11" t="s">
        <v>112</v>
      </c>
      <c r="O54" s="11" t="s">
        <v>112</v>
      </c>
      <c r="P54" s="11" t="s">
        <v>111</v>
      </c>
      <c r="Q54" s="60"/>
      <c r="R54" s="11" t="s">
        <v>112</v>
      </c>
      <c r="S54" s="11" t="s">
        <v>112</v>
      </c>
      <c r="T54" s="11" t="s">
        <v>112</v>
      </c>
      <c r="U54" s="11" t="s">
        <v>112</v>
      </c>
      <c r="V54" s="11" t="s">
        <v>111</v>
      </c>
      <c r="W54" s="11" t="s">
        <v>112</v>
      </c>
      <c r="X54" s="60"/>
      <c r="Y54" s="11" t="s">
        <v>112</v>
      </c>
      <c r="Z54" s="11" t="s">
        <v>112</v>
      </c>
      <c r="AA54" s="11" t="s">
        <v>112</v>
      </c>
      <c r="AB54" s="11" t="s">
        <v>112</v>
      </c>
      <c r="AC54" s="11" t="s">
        <v>112</v>
      </c>
      <c r="AD54" s="11" t="s">
        <v>111</v>
      </c>
      <c r="AE54" s="60"/>
      <c r="AF54" s="11" t="s">
        <v>112</v>
      </c>
      <c r="AG54" s="11" t="s">
        <v>112</v>
      </c>
      <c r="AH54" s="11" t="s">
        <v>112</v>
      </c>
      <c r="AI54" s="11" t="s">
        <v>112</v>
      </c>
      <c r="AJ54" s="5">
        <f t="shared" si="2"/>
        <v>22</v>
      </c>
      <c r="AK54" s="5">
        <f t="shared" si="1"/>
        <v>5</v>
      </c>
    </row>
    <row r="55" spans="1:37" x14ac:dyDescent="0.25">
      <c r="A55" s="13">
        <v>30</v>
      </c>
      <c r="B55" s="34" t="s">
        <v>550</v>
      </c>
      <c r="C55" s="34" t="s">
        <v>209</v>
      </c>
      <c r="D55" s="11" t="s">
        <v>478</v>
      </c>
      <c r="E55" s="11" t="s">
        <v>355</v>
      </c>
      <c r="F55" s="11" t="s">
        <v>355</v>
      </c>
      <c r="G55" s="11" t="s">
        <v>112</v>
      </c>
      <c r="H55" s="11" t="s">
        <v>112</v>
      </c>
      <c r="I55" s="11" t="s">
        <v>111</v>
      </c>
      <c r="J55" s="60"/>
      <c r="K55" s="11" t="s">
        <v>111</v>
      </c>
      <c r="L55" s="11" t="s">
        <v>112</v>
      </c>
      <c r="M55" s="11" t="s">
        <v>112</v>
      </c>
      <c r="N55" s="11" t="s">
        <v>112</v>
      </c>
      <c r="O55" s="11" t="s">
        <v>112</v>
      </c>
      <c r="P55" s="11" t="s">
        <v>112</v>
      </c>
      <c r="Q55" s="60"/>
      <c r="R55" s="11" t="s">
        <v>112</v>
      </c>
      <c r="S55" s="11" t="s">
        <v>112</v>
      </c>
      <c r="T55" s="11" t="s">
        <v>112</v>
      </c>
      <c r="U55" s="11" t="s">
        <v>112</v>
      </c>
      <c r="V55" s="11" t="s">
        <v>112</v>
      </c>
      <c r="W55" s="11" t="s">
        <v>112</v>
      </c>
      <c r="X55" s="60"/>
      <c r="Y55" s="11" t="s">
        <v>112</v>
      </c>
      <c r="Z55" s="11" t="s">
        <v>112</v>
      </c>
      <c r="AA55" s="11" t="s">
        <v>112</v>
      </c>
      <c r="AB55" s="11" t="s">
        <v>111</v>
      </c>
      <c r="AC55" s="11" t="s">
        <v>112</v>
      </c>
      <c r="AD55" s="11" t="s">
        <v>112</v>
      </c>
      <c r="AE55" s="60"/>
      <c r="AF55" s="11" t="s">
        <v>111</v>
      </c>
      <c r="AG55" s="11" t="s">
        <v>112</v>
      </c>
      <c r="AH55" s="11" t="s">
        <v>112</v>
      </c>
      <c r="AI55" s="11" t="s">
        <v>112</v>
      </c>
      <c r="AJ55" s="5">
        <f t="shared" si="2"/>
        <v>23</v>
      </c>
      <c r="AK55" s="5">
        <f t="shared" si="1"/>
        <v>4</v>
      </c>
    </row>
    <row r="56" spans="1:37" x14ac:dyDescent="0.25">
      <c r="A56" s="13">
        <v>31</v>
      </c>
      <c r="B56" s="34" t="s">
        <v>551</v>
      </c>
      <c r="C56" s="34" t="s">
        <v>118</v>
      </c>
      <c r="D56" s="11" t="s">
        <v>478</v>
      </c>
      <c r="E56" s="11" t="s">
        <v>355</v>
      </c>
      <c r="F56" s="11" t="s">
        <v>355</v>
      </c>
      <c r="G56" s="11" t="s">
        <v>112</v>
      </c>
      <c r="H56" s="11" t="s">
        <v>112</v>
      </c>
      <c r="I56" s="11" t="s">
        <v>112</v>
      </c>
      <c r="J56" s="60"/>
      <c r="K56" s="11" t="s">
        <v>112</v>
      </c>
      <c r="L56" s="11" t="s">
        <v>112</v>
      </c>
      <c r="M56" s="11" t="s">
        <v>112</v>
      </c>
      <c r="N56" s="11" t="s">
        <v>112</v>
      </c>
      <c r="O56" s="11" t="s">
        <v>112</v>
      </c>
      <c r="P56" s="11" t="s">
        <v>112</v>
      </c>
      <c r="Q56" s="60"/>
      <c r="R56" s="11" t="s">
        <v>112</v>
      </c>
      <c r="S56" s="11" t="s">
        <v>112</v>
      </c>
      <c r="T56" s="11" t="s">
        <v>112</v>
      </c>
      <c r="U56" s="11" t="s">
        <v>111</v>
      </c>
      <c r="V56" s="11" t="s">
        <v>112</v>
      </c>
      <c r="W56" s="11" t="s">
        <v>112</v>
      </c>
      <c r="X56" s="60"/>
      <c r="Y56" s="11" t="s">
        <v>111</v>
      </c>
      <c r="Z56" s="11" t="s">
        <v>112</v>
      </c>
      <c r="AA56" s="11" t="s">
        <v>112</v>
      </c>
      <c r="AB56" s="11" t="s">
        <v>112</v>
      </c>
      <c r="AC56" s="11" t="s">
        <v>112</v>
      </c>
      <c r="AD56" s="11" t="s">
        <v>112</v>
      </c>
      <c r="AE56" s="60"/>
      <c r="AF56" s="11" t="s">
        <v>112</v>
      </c>
      <c r="AG56" s="11" t="s">
        <v>112</v>
      </c>
      <c r="AH56" s="11" t="s">
        <v>112</v>
      </c>
      <c r="AI56" s="11" t="s">
        <v>112</v>
      </c>
      <c r="AJ56" s="5">
        <f t="shared" si="2"/>
        <v>25</v>
      </c>
      <c r="AK56" s="5">
        <f t="shared" si="1"/>
        <v>2</v>
      </c>
    </row>
    <row r="57" spans="1:37" x14ac:dyDescent="0.25">
      <c r="A57" s="13">
        <v>32</v>
      </c>
      <c r="B57" s="34" t="s">
        <v>552</v>
      </c>
      <c r="C57" s="34" t="s">
        <v>553</v>
      </c>
      <c r="D57" s="11" t="s">
        <v>478</v>
      </c>
      <c r="E57" s="11" t="s">
        <v>111</v>
      </c>
      <c r="F57" s="11" t="s">
        <v>355</v>
      </c>
      <c r="G57" s="11" t="s">
        <v>112</v>
      </c>
      <c r="H57" s="11" t="s">
        <v>112</v>
      </c>
      <c r="I57" s="11" t="s">
        <v>112</v>
      </c>
      <c r="J57" s="61"/>
      <c r="K57" s="11" t="s">
        <v>112</v>
      </c>
      <c r="L57" s="11" t="s">
        <v>112</v>
      </c>
      <c r="M57" s="11" t="s">
        <v>111</v>
      </c>
      <c r="N57" s="11" t="s">
        <v>111</v>
      </c>
      <c r="O57" s="11" t="s">
        <v>112</v>
      </c>
      <c r="P57" s="11" t="s">
        <v>112</v>
      </c>
      <c r="Q57" s="61"/>
      <c r="R57" s="11" t="s">
        <v>112</v>
      </c>
      <c r="S57" s="11" t="s">
        <v>112</v>
      </c>
      <c r="T57" s="11" t="s">
        <v>112</v>
      </c>
      <c r="U57" s="11" t="s">
        <v>112</v>
      </c>
      <c r="V57" s="11" t="s">
        <v>112</v>
      </c>
      <c r="W57" s="11" t="s">
        <v>111</v>
      </c>
      <c r="X57" s="61"/>
      <c r="Y57" s="11" t="s">
        <v>112</v>
      </c>
      <c r="Z57" s="11" t="s">
        <v>112</v>
      </c>
      <c r="AA57" s="11" t="s">
        <v>112</v>
      </c>
      <c r="AB57" s="11" t="s">
        <v>112</v>
      </c>
      <c r="AC57" s="11" t="s">
        <v>112</v>
      </c>
      <c r="AD57" s="11" t="s">
        <v>112</v>
      </c>
      <c r="AE57" s="61"/>
      <c r="AF57" s="11" t="s">
        <v>111</v>
      </c>
      <c r="AG57" s="11" t="s">
        <v>112</v>
      </c>
      <c r="AH57" s="11" t="s">
        <v>112</v>
      </c>
      <c r="AI57" s="11" t="s">
        <v>112</v>
      </c>
      <c r="AJ57" s="5">
        <f t="shared" si="2"/>
        <v>22</v>
      </c>
      <c r="AK57" s="5">
        <f t="shared" si="1"/>
        <v>5</v>
      </c>
    </row>
  </sheetData>
  <mergeCells count="15">
    <mergeCell ref="A1:AK1"/>
    <mergeCell ref="A2:AK2"/>
    <mergeCell ref="A3:A4"/>
    <mergeCell ref="B3:B4"/>
    <mergeCell ref="C3:C4"/>
    <mergeCell ref="D3:D4"/>
    <mergeCell ref="AJ3:AJ4"/>
    <mergeCell ref="AK3:AK4"/>
    <mergeCell ref="AL3:AM3"/>
    <mergeCell ref="J5:J57"/>
    <mergeCell ref="Q5:Q57"/>
    <mergeCell ref="X5:X57"/>
    <mergeCell ref="AE5:AE57"/>
    <mergeCell ref="AL9:AO9"/>
    <mergeCell ref="AL17:AO17"/>
  </mergeCells>
  <conditionalFormatting sqref="E3:AI4 G5:Q5 X5 AE5 E5:F22 R5:W57 Y5:AD57 AF5:AI57 G6:I22 K6:P57 E23:I57">
    <cfRule type="expression" dxfId="132" priority="18">
      <formula>E$3="Sun"</formula>
    </cfRule>
  </conditionalFormatting>
  <conditionalFormatting sqref="G5:Q5 X5 AE5 E5:F22 R5:W57 Y5:AD57 AF5:AI57 G6:I22 K6:P57 E23:I57 E4:AI4">
    <cfRule type="expression" dxfId="131" priority="17">
      <formula>IF(E$4=TODAY(),TRUE,FALSE)</formula>
    </cfRule>
  </conditionalFormatting>
  <conditionalFormatting sqref="G5:Q5 X5 AE5 E5:F22 R5:W57 Y5:AD57 AF5:AI57 G6:I22 K6:P57 E23:I57">
    <cfRule type="cellIs" dxfId="130" priority="14" operator="equal">
      <formula>"L"</formula>
    </cfRule>
    <cfRule type="cellIs" dxfId="129" priority="15" operator="equal">
      <formula>"A"</formula>
    </cfRule>
    <cfRule type="cellIs" dxfId="128" priority="16" operator="equal">
      <formula>"P"</formula>
    </cfRule>
  </conditionalFormatting>
  <conditionalFormatting sqref="AJ3:AK3 AJ5:AK57">
    <cfRule type="expression" dxfId="127" priority="19">
      <formula>#REF!="Sun"</formula>
    </cfRule>
  </conditionalFormatting>
  <conditionalFormatting sqref="AL5:AL7">
    <cfRule type="expression" dxfId="126" priority="5">
      <formula>AL$3="Sun"</formula>
    </cfRule>
  </conditionalFormatting>
  <conditionalFormatting sqref="AL10:AL13">
    <cfRule type="expression" dxfId="125" priority="2">
      <formula>AL$3="Sun"</formula>
    </cfRule>
  </conditionalFormatting>
  <conditionalFormatting sqref="AL18:AL21">
    <cfRule type="expression" dxfId="124" priority="1">
      <formula>AL$3="Sun"</formula>
    </cfRule>
  </conditionalFormatting>
  <conditionalFormatting sqref="AL4:AM4">
    <cfRule type="expression" dxfId="123" priority="6">
      <formula>AL$3="Sun"</formula>
    </cfRule>
  </conditionalFormatting>
  <conditionalFormatting sqref="AM10:AO10 AM18:AO18">
    <cfRule type="expression" dxfId="122" priority="7">
      <formula>AM$3="Sun"</formula>
    </cfRule>
  </conditionalFormatting>
  <conditionalFormatting sqref="AO19">
    <cfRule type="expression" dxfId="121" priority="4">
      <formula>AO$3="Sun"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7DF0-03E9-4BE1-B443-208C697AD36C}">
  <dimension ref="A1:AO50"/>
  <sheetViews>
    <sheetView topLeftCell="E1" workbookViewId="0">
      <selection activeCell="AN11" sqref="AN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10" width="4" style="1" bestFit="1" customWidth="1"/>
    <col min="11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spans="1:41" ht="17.25" x14ac:dyDescent="0.3">
      <c r="A2" s="46" t="s">
        <v>119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spans="1:41" ht="15.75" x14ac:dyDescent="0.25">
      <c r="A3" s="62" t="s">
        <v>0</v>
      </c>
      <c r="B3" s="62" t="s">
        <v>1</v>
      </c>
      <c r="C3" s="62" t="s">
        <v>2</v>
      </c>
      <c r="D3" s="62" t="s">
        <v>3</v>
      </c>
      <c r="E3" s="2" t="str">
        <f t="shared" ref="E3:AI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48" t="s">
        <v>4</v>
      </c>
      <c r="AK3" s="48" t="s">
        <v>5</v>
      </c>
      <c r="AL3" s="49" t="s">
        <v>126</v>
      </c>
      <c r="AM3" s="50"/>
      <c r="AN3" s="3"/>
      <c r="AO3" s="3"/>
    </row>
    <row r="4" spans="1:41" ht="34.5" x14ac:dyDescent="0.25">
      <c r="A4" s="63"/>
      <c r="B4" s="63"/>
      <c r="C4" s="63"/>
      <c r="D4" s="63"/>
      <c r="E4" s="20">
        <v>45566</v>
      </c>
      <c r="F4" s="20">
        <v>45567</v>
      </c>
      <c r="G4" s="20">
        <v>45568</v>
      </c>
      <c r="H4" s="20">
        <v>45569</v>
      </c>
      <c r="I4" s="20">
        <v>45570</v>
      </c>
      <c r="J4" s="20">
        <v>45571</v>
      </c>
      <c r="K4" s="20">
        <v>45572</v>
      </c>
      <c r="L4" s="20">
        <v>45573</v>
      </c>
      <c r="M4" s="20">
        <v>45574</v>
      </c>
      <c r="N4" s="20">
        <v>45575</v>
      </c>
      <c r="O4" s="20">
        <v>45576</v>
      </c>
      <c r="P4" s="20">
        <v>45577</v>
      </c>
      <c r="Q4" s="20">
        <v>45578</v>
      </c>
      <c r="R4" s="20">
        <v>45579</v>
      </c>
      <c r="S4" s="20">
        <v>45580</v>
      </c>
      <c r="T4" s="20">
        <v>45581</v>
      </c>
      <c r="U4" s="20">
        <v>45582</v>
      </c>
      <c r="V4" s="20">
        <v>45583</v>
      </c>
      <c r="W4" s="20">
        <v>45584</v>
      </c>
      <c r="X4" s="20">
        <v>45585</v>
      </c>
      <c r="Y4" s="20">
        <v>45586</v>
      </c>
      <c r="Z4" s="20">
        <v>45587</v>
      </c>
      <c r="AA4" s="20">
        <v>45588</v>
      </c>
      <c r="AB4" s="20">
        <v>45589</v>
      </c>
      <c r="AC4" s="20">
        <v>45590</v>
      </c>
      <c r="AD4" s="20">
        <v>45591</v>
      </c>
      <c r="AE4" s="20">
        <v>45592</v>
      </c>
      <c r="AF4" s="20">
        <v>45593</v>
      </c>
      <c r="AG4" s="20">
        <v>45594</v>
      </c>
      <c r="AH4" s="20">
        <v>45595</v>
      </c>
      <c r="AI4" s="20">
        <v>45596</v>
      </c>
      <c r="AJ4" s="48"/>
      <c r="AK4" s="48"/>
      <c r="AL4" s="5" t="s">
        <v>127</v>
      </c>
      <c r="AM4" s="5">
        <f>SUM(AM5:AM7)</f>
        <v>31</v>
      </c>
      <c r="AN4" s="3"/>
      <c r="AO4" s="3"/>
    </row>
    <row r="5" spans="1:41" ht="15" customHeight="1" x14ac:dyDescent="0.25">
      <c r="A5" s="13">
        <v>1</v>
      </c>
      <c r="B5" s="34" t="s">
        <v>554</v>
      </c>
      <c r="C5" s="34" t="s">
        <v>555</v>
      </c>
      <c r="D5" s="11" t="s">
        <v>556</v>
      </c>
      <c r="E5" s="11" t="s">
        <v>112</v>
      </c>
      <c r="F5" s="11" t="s">
        <v>112</v>
      </c>
      <c r="G5" s="11" t="s">
        <v>112</v>
      </c>
      <c r="H5" s="11" t="s">
        <v>112</v>
      </c>
      <c r="I5" s="11" t="s">
        <v>112</v>
      </c>
      <c r="J5" s="59" t="s">
        <v>115</v>
      </c>
      <c r="K5" s="11" t="s">
        <v>112</v>
      </c>
      <c r="L5" s="11" t="s">
        <v>112</v>
      </c>
      <c r="M5" s="11" t="s">
        <v>112</v>
      </c>
      <c r="N5" s="11" t="s">
        <v>112</v>
      </c>
      <c r="O5" s="11" t="s">
        <v>112</v>
      </c>
      <c r="P5" s="11" t="s">
        <v>112</v>
      </c>
      <c r="Q5" s="59" t="s">
        <v>115</v>
      </c>
      <c r="R5" s="11" t="s">
        <v>112</v>
      </c>
      <c r="S5" s="11" t="s">
        <v>112</v>
      </c>
      <c r="T5" s="11" t="s">
        <v>112</v>
      </c>
      <c r="U5" s="11" t="s">
        <v>112</v>
      </c>
      <c r="V5" s="11" t="s">
        <v>112</v>
      </c>
      <c r="W5" s="11" t="s">
        <v>112</v>
      </c>
      <c r="X5" s="59" t="s">
        <v>115</v>
      </c>
      <c r="Y5" s="11" t="s">
        <v>112</v>
      </c>
      <c r="Z5" s="11" t="s">
        <v>111</v>
      </c>
      <c r="AA5" s="11" t="s">
        <v>112</v>
      </c>
      <c r="AB5" s="11" t="s">
        <v>112</v>
      </c>
      <c r="AC5" s="11" t="s">
        <v>112</v>
      </c>
      <c r="AD5" s="11" t="s">
        <v>112</v>
      </c>
      <c r="AE5" s="59" t="s">
        <v>115</v>
      </c>
      <c r="AF5" s="11" t="s">
        <v>112</v>
      </c>
      <c r="AG5" s="11" t="s">
        <v>112</v>
      </c>
      <c r="AH5" s="11" t="s">
        <v>112</v>
      </c>
      <c r="AI5" s="11" t="s">
        <v>112</v>
      </c>
      <c r="AJ5" s="5">
        <f>COUNTIF(E5:AI5,"P")</f>
        <v>26</v>
      </c>
      <c r="AK5" s="5">
        <f t="shared" ref="AK5:AK50" si="1">COUNTIF(E5:AH5,"A")</f>
        <v>1</v>
      </c>
      <c r="AL5" s="5" t="s">
        <v>7</v>
      </c>
      <c r="AM5" s="13">
        <v>27</v>
      </c>
      <c r="AN5" s="14"/>
      <c r="AO5" s="3"/>
    </row>
    <row r="6" spans="1:41" x14ac:dyDescent="0.25">
      <c r="A6" s="13">
        <v>2</v>
      </c>
      <c r="B6" s="34" t="s">
        <v>46</v>
      </c>
      <c r="C6" s="34" t="s">
        <v>437</v>
      </c>
      <c r="D6" s="11" t="s">
        <v>556</v>
      </c>
      <c r="E6" s="11" t="s">
        <v>112</v>
      </c>
      <c r="F6" s="11" t="s">
        <v>112</v>
      </c>
      <c r="G6" s="11" t="s">
        <v>112</v>
      </c>
      <c r="H6" s="11" t="s">
        <v>112</v>
      </c>
      <c r="I6" s="11" t="s">
        <v>112</v>
      </c>
      <c r="J6" s="60"/>
      <c r="K6" s="11" t="s">
        <v>112</v>
      </c>
      <c r="L6" s="11" t="s">
        <v>112</v>
      </c>
      <c r="M6" s="11" t="s">
        <v>112</v>
      </c>
      <c r="N6" s="11" t="s">
        <v>112</v>
      </c>
      <c r="O6" s="11" t="s">
        <v>112</v>
      </c>
      <c r="P6" s="11" t="s">
        <v>112</v>
      </c>
      <c r="Q6" s="60"/>
      <c r="R6" s="11" t="s">
        <v>111</v>
      </c>
      <c r="S6" s="11" t="s">
        <v>112</v>
      </c>
      <c r="T6" s="11" t="s">
        <v>112</v>
      </c>
      <c r="U6" s="11" t="s">
        <v>112</v>
      </c>
      <c r="V6" s="11" t="s">
        <v>112</v>
      </c>
      <c r="W6" s="11" t="s">
        <v>112</v>
      </c>
      <c r="X6" s="60"/>
      <c r="Y6" s="11" t="s">
        <v>112</v>
      </c>
      <c r="Z6" s="11" t="s">
        <v>112</v>
      </c>
      <c r="AA6" s="11" t="s">
        <v>112</v>
      </c>
      <c r="AB6" s="11" t="s">
        <v>112</v>
      </c>
      <c r="AC6" s="11" t="s">
        <v>112</v>
      </c>
      <c r="AD6" s="11" t="s">
        <v>112</v>
      </c>
      <c r="AE6" s="60"/>
      <c r="AF6" s="11" t="s">
        <v>112</v>
      </c>
      <c r="AG6" s="11" t="s">
        <v>112</v>
      </c>
      <c r="AH6" s="11" t="s">
        <v>112</v>
      </c>
      <c r="AI6" s="11" t="s">
        <v>112</v>
      </c>
      <c r="AJ6" s="5">
        <f t="shared" ref="AJ6:AJ50" si="2">COUNTIF(E6:AI6,"P")</f>
        <v>26</v>
      </c>
      <c r="AK6" s="5">
        <f t="shared" si="1"/>
        <v>1</v>
      </c>
      <c r="AL6" s="5" t="s">
        <v>8</v>
      </c>
      <c r="AM6" s="13">
        <v>4</v>
      </c>
      <c r="AN6" s="3"/>
      <c r="AO6" s="3"/>
    </row>
    <row r="7" spans="1:41" x14ac:dyDescent="0.25">
      <c r="A7" s="13">
        <v>3</v>
      </c>
      <c r="B7" s="34" t="s">
        <v>557</v>
      </c>
      <c r="C7" s="34" t="s">
        <v>558</v>
      </c>
      <c r="D7" s="11" t="s">
        <v>556</v>
      </c>
      <c r="E7" s="11" t="s">
        <v>112</v>
      </c>
      <c r="F7" s="11" t="s">
        <v>112</v>
      </c>
      <c r="G7" s="11" t="s">
        <v>112</v>
      </c>
      <c r="H7" s="11" t="s">
        <v>112</v>
      </c>
      <c r="I7" s="11" t="s">
        <v>112</v>
      </c>
      <c r="J7" s="60"/>
      <c r="K7" s="11" t="s">
        <v>112</v>
      </c>
      <c r="L7" s="11" t="s">
        <v>112</v>
      </c>
      <c r="M7" s="11" t="s">
        <v>112</v>
      </c>
      <c r="N7" s="11" t="s">
        <v>112</v>
      </c>
      <c r="O7" s="11" t="s">
        <v>112</v>
      </c>
      <c r="P7" s="11" t="s">
        <v>112</v>
      </c>
      <c r="Q7" s="60"/>
      <c r="R7" s="11" t="s">
        <v>112</v>
      </c>
      <c r="S7" s="11" t="s">
        <v>112</v>
      </c>
      <c r="T7" s="11" t="s">
        <v>112</v>
      </c>
      <c r="U7" s="11" t="s">
        <v>112</v>
      </c>
      <c r="V7" s="11" t="s">
        <v>112</v>
      </c>
      <c r="W7" s="11" t="s">
        <v>111</v>
      </c>
      <c r="X7" s="60"/>
      <c r="Y7" s="11" t="s">
        <v>112</v>
      </c>
      <c r="Z7" s="11" t="s">
        <v>112</v>
      </c>
      <c r="AA7" s="11" t="s">
        <v>111</v>
      </c>
      <c r="AB7" s="11" t="s">
        <v>111</v>
      </c>
      <c r="AC7" s="11" t="s">
        <v>111</v>
      </c>
      <c r="AD7" s="11" t="s">
        <v>112</v>
      </c>
      <c r="AE7" s="60"/>
      <c r="AF7" s="11" t="s">
        <v>112</v>
      </c>
      <c r="AG7" s="11" t="s">
        <v>112</v>
      </c>
      <c r="AH7" s="11" t="s">
        <v>112</v>
      </c>
      <c r="AI7" s="11" t="s">
        <v>112</v>
      </c>
      <c r="AJ7" s="5">
        <f t="shared" si="2"/>
        <v>23</v>
      </c>
      <c r="AK7" s="5">
        <f t="shared" si="1"/>
        <v>4</v>
      </c>
      <c r="AL7" s="5"/>
      <c r="AM7" s="13"/>
      <c r="AN7" s="3"/>
      <c r="AO7" s="3"/>
    </row>
    <row r="8" spans="1:41" x14ac:dyDescent="0.25">
      <c r="A8" s="13">
        <v>4</v>
      </c>
      <c r="B8" s="34" t="s">
        <v>559</v>
      </c>
      <c r="C8" s="34" t="s">
        <v>148</v>
      </c>
      <c r="D8" s="11" t="s">
        <v>556</v>
      </c>
      <c r="E8" s="11" t="s">
        <v>112</v>
      </c>
      <c r="F8" s="11" t="s">
        <v>112</v>
      </c>
      <c r="G8" s="11" t="s">
        <v>112</v>
      </c>
      <c r="H8" s="11" t="s">
        <v>112</v>
      </c>
      <c r="I8" s="11" t="s">
        <v>112</v>
      </c>
      <c r="J8" s="60"/>
      <c r="K8" s="11" t="s">
        <v>111</v>
      </c>
      <c r="L8" s="11" t="s">
        <v>112</v>
      </c>
      <c r="M8" s="11" t="s">
        <v>112</v>
      </c>
      <c r="N8" s="11" t="s">
        <v>112</v>
      </c>
      <c r="O8" s="11" t="s">
        <v>112</v>
      </c>
      <c r="P8" s="11" t="s">
        <v>112</v>
      </c>
      <c r="Q8" s="60"/>
      <c r="R8" s="11" t="s">
        <v>112</v>
      </c>
      <c r="S8" s="11" t="s">
        <v>112</v>
      </c>
      <c r="T8" s="11" t="s">
        <v>112</v>
      </c>
      <c r="U8" s="11" t="s">
        <v>112</v>
      </c>
      <c r="V8" s="11" t="s">
        <v>112</v>
      </c>
      <c r="W8" s="11" t="s">
        <v>112</v>
      </c>
      <c r="X8" s="60"/>
      <c r="Y8" s="11" t="s">
        <v>112</v>
      </c>
      <c r="Z8" s="11" t="s">
        <v>112</v>
      </c>
      <c r="AA8" s="11" t="s">
        <v>112</v>
      </c>
      <c r="AB8" s="11" t="s">
        <v>112</v>
      </c>
      <c r="AC8" s="11" t="s">
        <v>111</v>
      </c>
      <c r="AD8" s="11" t="s">
        <v>111</v>
      </c>
      <c r="AE8" s="60"/>
      <c r="AF8" s="11" t="s">
        <v>111</v>
      </c>
      <c r="AG8" s="11" t="s">
        <v>111</v>
      </c>
      <c r="AH8" s="11" t="s">
        <v>111</v>
      </c>
      <c r="AI8" s="11" t="s">
        <v>112</v>
      </c>
      <c r="AJ8" s="5">
        <f t="shared" si="2"/>
        <v>21</v>
      </c>
      <c r="AK8" s="5">
        <f t="shared" si="1"/>
        <v>6</v>
      </c>
      <c r="AL8"/>
      <c r="AM8"/>
      <c r="AN8"/>
      <c r="AO8"/>
    </row>
    <row r="9" spans="1:41" ht="15.75" x14ac:dyDescent="0.25">
      <c r="A9" s="13">
        <v>5</v>
      </c>
      <c r="B9" s="34" t="s">
        <v>560</v>
      </c>
      <c r="C9" s="34" t="s">
        <v>89</v>
      </c>
      <c r="D9" s="11" t="s">
        <v>556</v>
      </c>
      <c r="E9" s="11" t="s">
        <v>112</v>
      </c>
      <c r="F9" s="11" t="s">
        <v>111</v>
      </c>
      <c r="G9" s="11" t="s">
        <v>112</v>
      </c>
      <c r="H9" s="11" t="s">
        <v>112</v>
      </c>
      <c r="I9" s="11" t="s">
        <v>112</v>
      </c>
      <c r="J9" s="60"/>
      <c r="K9" s="11" t="s">
        <v>111</v>
      </c>
      <c r="L9" s="11" t="s">
        <v>111</v>
      </c>
      <c r="M9" s="11" t="s">
        <v>112</v>
      </c>
      <c r="N9" s="11" t="s">
        <v>112</v>
      </c>
      <c r="O9" s="11" t="s">
        <v>112</v>
      </c>
      <c r="P9" s="11" t="s">
        <v>112</v>
      </c>
      <c r="Q9" s="60"/>
      <c r="R9" s="11" t="s">
        <v>111</v>
      </c>
      <c r="S9" s="11" t="s">
        <v>112</v>
      </c>
      <c r="T9" s="11" t="s">
        <v>112</v>
      </c>
      <c r="U9" s="11" t="s">
        <v>112</v>
      </c>
      <c r="V9" s="11" t="s">
        <v>112</v>
      </c>
      <c r="W9" s="11" t="s">
        <v>111</v>
      </c>
      <c r="X9" s="60"/>
      <c r="Y9" s="11" t="s">
        <v>111</v>
      </c>
      <c r="Z9" s="11" t="s">
        <v>112</v>
      </c>
      <c r="AA9" s="11" t="s">
        <v>112</v>
      </c>
      <c r="AB9" s="11" t="s">
        <v>112</v>
      </c>
      <c r="AC9" s="11" t="s">
        <v>111</v>
      </c>
      <c r="AD9" s="11" t="s">
        <v>111</v>
      </c>
      <c r="AE9" s="60"/>
      <c r="AF9" s="11" t="s">
        <v>112</v>
      </c>
      <c r="AG9" s="11" t="s">
        <v>112</v>
      </c>
      <c r="AH9" s="11" t="s">
        <v>112</v>
      </c>
      <c r="AI9" s="11" t="s">
        <v>112</v>
      </c>
      <c r="AJ9" s="5">
        <f t="shared" si="2"/>
        <v>19</v>
      </c>
      <c r="AK9" s="5">
        <f t="shared" si="1"/>
        <v>8</v>
      </c>
      <c r="AL9" s="49" t="s">
        <v>9</v>
      </c>
      <c r="AM9" s="50"/>
      <c r="AN9" s="50"/>
      <c r="AO9" s="52"/>
    </row>
    <row r="10" spans="1:41" x14ac:dyDescent="0.25">
      <c r="A10" s="13">
        <v>6</v>
      </c>
      <c r="B10" s="34" t="s">
        <v>561</v>
      </c>
      <c r="C10" s="34" t="s">
        <v>562</v>
      </c>
      <c r="D10" s="11" t="s">
        <v>556</v>
      </c>
      <c r="E10" s="11" t="s">
        <v>112</v>
      </c>
      <c r="F10" s="11" t="s">
        <v>112</v>
      </c>
      <c r="G10" s="11" t="s">
        <v>112</v>
      </c>
      <c r="H10" s="11" t="s">
        <v>112</v>
      </c>
      <c r="I10" s="11" t="s">
        <v>112</v>
      </c>
      <c r="J10" s="60"/>
      <c r="K10" s="11" t="s">
        <v>112</v>
      </c>
      <c r="L10" s="11" t="s">
        <v>112</v>
      </c>
      <c r="M10" s="11" t="s">
        <v>112</v>
      </c>
      <c r="N10" s="11" t="s">
        <v>112</v>
      </c>
      <c r="O10" s="11" t="s">
        <v>112</v>
      </c>
      <c r="P10" s="11" t="s">
        <v>112</v>
      </c>
      <c r="Q10" s="60"/>
      <c r="R10" s="11" t="s">
        <v>112</v>
      </c>
      <c r="S10" s="11" t="s">
        <v>112</v>
      </c>
      <c r="T10" s="11" t="s">
        <v>112</v>
      </c>
      <c r="U10" s="11" t="s">
        <v>112</v>
      </c>
      <c r="V10" s="11" t="s">
        <v>112</v>
      </c>
      <c r="W10" s="11" t="s">
        <v>112</v>
      </c>
      <c r="X10" s="60"/>
      <c r="Y10" s="11" t="s">
        <v>112</v>
      </c>
      <c r="Z10" s="11" t="s">
        <v>112</v>
      </c>
      <c r="AA10" s="11" t="s">
        <v>112</v>
      </c>
      <c r="AB10" s="11" t="s">
        <v>112</v>
      </c>
      <c r="AC10" s="11" t="s">
        <v>111</v>
      </c>
      <c r="AD10" s="11" t="s">
        <v>111</v>
      </c>
      <c r="AE10" s="60"/>
      <c r="AF10" s="11" t="s">
        <v>112</v>
      </c>
      <c r="AG10" s="11" t="s">
        <v>112</v>
      </c>
      <c r="AH10" s="11" t="s">
        <v>112</v>
      </c>
      <c r="AI10" s="11" t="s">
        <v>112</v>
      </c>
      <c r="AJ10" s="5">
        <f t="shared" si="2"/>
        <v>25</v>
      </c>
      <c r="AK10" s="5">
        <f t="shared" si="1"/>
        <v>2</v>
      </c>
      <c r="AL10" s="5" t="s">
        <v>10</v>
      </c>
      <c r="AM10" s="5" t="s">
        <v>11</v>
      </c>
      <c r="AN10" s="5" t="s">
        <v>12</v>
      </c>
      <c r="AO10" s="5" t="s">
        <v>13</v>
      </c>
    </row>
    <row r="11" spans="1:41" x14ac:dyDescent="0.25">
      <c r="A11" s="13">
        <v>7</v>
      </c>
      <c r="B11" s="34" t="s">
        <v>563</v>
      </c>
      <c r="C11" s="34" t="s">
        <v>50</v>
      </c>
      <c r="D11" s="11" t="s">
        <v>556</v>
      </c>
      <c r="E11" s="11" t="s">
        <v>112</v>
      </c>
      <c r="F11" s="11" t="s">
        <v>112</v>
      </c>
      <c r="G11" s="11" t="s">
        <v>112</v>
      </c>
      <c r="H11" s="11" t="s">
        <v>111</v>
      </c>
      <c r="I11" s="11" t="s">
        <v>111</v>
      </c>
      <c r="J11" s="60"/>
      <c r="K11" s="11" t="s">
        <v>111</v>
      </c>
      <c r="L11" s="11" t="s">
        <v>112</v>
      </c>
      <c r="M11" s="11" t="s">
        <v>112</v>
      </c>
      <c r="N11" s="11" t="s">
        <v>112</v>
      </c>
      <c r="O11" s="11" t="s">
        <v>112</v>
      </c>
      <c r="P11" s="11" t="s">
        <v>112</v>
      </c>
      <c r="Q11" s="60"/>
      <c r="R11" s="11" t="s">
        <v>112</v>
      </c>
      <c r="S11" s="11" t="s">
        <v>112</v>
      </c>
      <c r="T11" s="11" t="s">
        <v>112</v>
      </c>
      <c r="U11" s="11" t="s">
        <v>112</v>
      </c>
      <c r="V11" s="11" t="s">
        <v>112</v>
      </c>
      <c r="W11" s="11" t="s">
        <v>111</v>
      </c>
      <c r="X11" s="60"/>
      <c r="Y11" s="11" t="s">
        <v>112</v>
      </c>
      <c r="Z11" s="11" t="s">
        <v>112</v>
      </c>
      <c r="AA11" s="11" t="s">
        <v>112</v>
      </c>
      <c r="AB11" s="11" t="s">
        <v>112</v>
      </c>
      <c r="AC11" s="11" t="s">
        <v>111</v>
      </c>
      <c r="AD11" s="11" t="s">
        <v>112</v>
      </c>
      <c r="AE11" s="60"/>
      <c r="AF11" s="11" t="s">
        <v>112</v>
      </c>
      <c r="AG11" s="11" t="s">
        <v>112</v>
      </c>
      <c r="AH11" s="11" t="s">
        <v>112</v>
      </c>
      <c r="AI11" s="11" t="s">
        <v>112</v>
      </c>
      <c r="AJ11" s="5">
        <f t="shared" si="2"/>
        <v>22</v>
      </c>
      <c r="AK11" s="5">
        <f t="shared" si="1"/>
        <v>5</v>
      </c>
      <c r="AL11" s="5" t="s">
        <v>14</v>
      </c>
      <c r="AM11" s="13">
        <f>23*$AM$5</f>
        <v>621</v>
      </c>
      <c r="AN11" s="13">
        <f>23*$AM$5</f>
        <v>621</v>
      </c>
      <c r="AO11" s="13">
        <f>SUM(AM11:AN11)</f>
        <v>1242</v>
      </c>
    </row>
    <row r="12" spans="1:41" x14ac:dyDescent="0.25">
      <c r="A12" s="13">
        <v>8</v>
      </c>
      <c r="B12" s="34" t="s">
        <v>564</v>
      </c>
      <c r="C12" s="34" t="s">
        <v>522</v>
      </c>
      <c r="D12" s="11" t="s">
        <v>556</v>
      </c>
      <c r="E12" s="11" t="s">
        <v>112</v>
      </c>
      <c r="F12" s="11" t="s">
        <v>112</v>
      </c>
      <c r="G12" s="11" t="s">
        <v>112</v>
      </c>
      <c r="H12" s="11" t="s">
        <v>112</v>
      </c>
      <c r="I12" s="11" t="s">
        <v>112</v>
      </c>
      <c r="J12" s="60"/>
      <c r="K12" s="11" t="s">
        <v>111</v>
      </c>
      <c r="L12" s="11" t="s">
        <v>112</v>
      </c>
      <c r="M12" s="11" t="s">
        <v>112</v>
      </c>
      <c r="N12" s="11" t="s">
        <v>112</v>
      </c>
      <c r="O12" s="11" t="s">
        <v>112</v>
      </c>
      <c r="P12" s="11" t="s">
        <v>112</v>
      </c>
      <c r="Q12" s="60"/>
      <c r="R12" s="11" t="s">
        <v>112</v>
      </c>
      <c r="S12" s="11" t="s">
        <v>112</v>
      </c>
      <c r="T12" s="11" t="s">
        <v>112</v>
      </c>
      <c r="U12" s="11" t="s">
        <v>112</v>
      </c>
      <c r="V12" s="11" t="s">
        <v>112</v>
      </c>
      <c r="W12" s="11" t="s">
        <v>112</v>
      </c>
      <c r="X12" s="60"/>
      <c r="Y12" s="11" t="s">
        <v>112</v>
      </c>
      <c r="Z12" s="11" t="s">
        <v>112</v>
      </c>
      <c r="AA12" s="11" t="s">
        <v>112</v>
      </c>
      <c r="AB12" s="11" t="s">
        <v>112</v>
      </c>
      <c r="AC12" s="11" t="s">
        <v>111</v>
      </c>
      <c r="AD12" s="11" t="s">
        <v>112</v>
      </c>
      <c r="AE12" s="60"/>
      <c r="AF12" s="11" t="s">
        <v>112</v>
      </c>
      <c r="AG12" s="11" t="s">
        <v>112</v>
      </c>
      <c r="AH12" s="11" t="s">
        <v>112</v>
      </c>
      <c r="AI12" s="11" t="s">
        <v>112</v>
      </c>
      <c r="AJ12" s="5">
        <f t="shared" si="2"/>
        <v>25</v>
      </c>
      <c r="AK12" s="5">
        <f t="shared" si="1"/>
        <v>2</v>
      </c>
      <c r="AL12" s="5" t="s">
        <v>15</v>
      </c>
      <c r="AM12" s="13">
        <f>SUM(AJ5:AJ27)</f>
        <v>540</v>
      </c>
      <c r="AN12" s="13">
        <f>SUM(AJ28:AJ50)</f>
        <v>437</v>
      </c>
      <c r="AO12" s="13">
        <f>AM12+AN12</f>
        <v>977</v>
      </c>
    </row>
    <row r="13" spans="1:41" x14ac:dyDescent="0.25">
      <c r="A13" s="13">
        <v>9</v>
      </c>
      <c r="B13" s="34" t="s">
        <v>565</v>
      </c>
      <c r="C13" s="34" t="s">
        <v>566</v>
      </c>
      <c r="D13" s="11" t="s">
        <v>556</v>
      </c>
      <c r="E13" s="11" t="s">
        <v>112</v>
      </c>
      <c r="F13" s="11" t="s">
        <v>112</v>
      </c>
      <c r="G13" s="11" t="s">
        <v>112</v>
      </c>
      <c r="H13" s="11" t="s">
        <v>112</v>
      </c>
      <c r="I13" s="11" t="s">
        <v>112</v>
      </c>
      <c r="J13" s="60"/>
      <c r="K13" s="11" t="s">
        <v>112</v>
      </c>
      <c r="L13" s="11" t="s">
        <v>112</v>
      </c>
      <c r="M13" s="11" t="s">
        <v>112</v>
      </c>
      <c r="N13" s="11" t="s">
        <v>112</v>
      </c>
      <c r="O13" s="11" t="s">
        <v>112</v>
      </c>
      <c r="P13" s="11" t="s">
        <v>111</v>
      </c>
      <c r="Q13" s="60"/>
      <c r="R13" s="11" t="s">
        <v>112</v>
      </c>
      <c r="S13" s="11" t="s">
        <v>112</v>
      </c>
      <c r="T13" s="11" t="s">
        <v>112</v>
      </c>
      <c r="U13" s="11" t="s">
        <v>112</v>
      </c>
      <c r="V13" s="11" t="s">
        <v>112</v>
      </c>
      <c r="W13" s="11" t="s">
        <v>112</v>
      </c>
      <c r="X13" s="60"/>
      <c r="Y13" s="11" t="s">
        <v>112</v>
      </c>
      <c r="Z13" s="11" t="s">
        <v>112</v>
      </c>
      <c r="AA13" s="11" t="s">
        <v>112</v>
      </c>
      <c r="AB13" s="11" t="s">
        <v>112</v>
      </c>
      <c r="AC13" s="11" t="s">
        <v>112</v>
      </c>
      <c r="AD13" s="11" t="s">
        <v>112</v>
      </c>
      <c r="AE13" s="60"/>
      <c r="AF13" s="11" t="s">
        <v>112</v>
      </c>
      <c r="AG13" s="11" t="s">
        <v>112</v>
      </c>
      <c r="AH13" s="11" t="s">
        <v>112</v>
      </c>
      <c r="AI13" s="11" t="s">
        <v>112</v>
      </c>
      <c r="AJ13" s="5">
        <f t="shared" si="2"/>
        <v>26</v>
      </c>
      <c r="AK13" s="5">
        <f t="shared" si="1"/>
        <v>1</v>
      </c>
      <c r="AL13" s="5" t="s">
        <v>16</v>
      </c>
      <c r="AM13" s="18">
        <f>AM12/AM11</f>
        <v>0.86956521739130432</v>
      </c>
      <c r="AN13" s="18">
        <f>AN12/AN11</f>
        <v>0.70370370370370372</v>
      </c>
      <c r="AO13" s="18">
        <f>AO12/AO11</f>
        <v>0.78663446054750408</v>
      </c>
    </row>
    <row r="14" spans="1:41" x14ac:dyDescent="0.25">
      <c r="A14" s="13">
        <v>10</v>
      </c>
      <c r="B14" s="34" t="s">
        <v>567</v>
      </c>
      <c r="C14" s="34" t="s">
        <v>568</v>
      </c>
      <c r="D14" s="11" t="s">
        <v>556</v>
      </c>
      <c r="E14" s="11" t="s">
        <v>112</v>
      </c>
      <c r="F14" s="11" t="s">
        <v>112</v>
      </c>
      <c r="G14" s="11" t="s">
        <v>112</v>
      </c>
      <c r="H14" s="11" t="s">
        <v>112</v>
      </c>
      <c r="I14" s="11" t="s">
        <v>112</v>
      </c>
      <c r="J14" s="60"/>
      <c r="K14" s="11" t="s">
        <v>112</v>
      </c>
      <c r="L14" s="11" t="s">
        <v>112</v>
      </c>
      <c r="M14" s="11" t="s">
        <v>112</v>
      </c>
      <c r="N14" s="11" t="s">
        <v>112</v>
      </c>
      <c r="O14" s="11" t="s">
        <v>112</v>
      </c>
      <c r="P14" s="11" t="s">
        <v>112</v>
      </c>
      <c r="Q14" s="60"/>
      <c r="R14" s="11" t="s">
        <v>112</v>
      </c>
      <c r="S14" s="11" t="s">
        <v>111</v>
      </c>
      <c r="T14" s="11" t="s">
        <v>111</v>
      </c>
      <c r="U14" s="11" t="s">
        <v>111</v>
      </c>
      <c r="V14" s="11" t="s">
        <v>111</v>
      </c>
      <c r="W14" s="11" t="s">
        <v>111</v>
      </c>
      <c r="X14" s="60"/>
      <c r="Y14" s="11" t="s">
        <v>112</v>
      </c>
      <c r="Z14" s="11" t="s">
        <v>112</v>
      </c>
      <c r="AA14" s="11" t="s">
        <v>112</v>
      </c>
      <c r="AB14" s="11" t="s">
        <v>112</v>
      </c>
      <c r="AC14" s="11" t="s">
        <v>112</v>
      </c>
      <c r="AD14" s="11" t="s">
        <v>112</v>
      </c>
      <c r="AE14" s="60"/>
      <c r="AF14" s="11" t="s">
        <v>112</v>
      </c>
      <c r="AG14" s="11" t="s">
        <v>112</v>
      </c>
      <c r="AH14" s="11" t="s">
        <v>112</v>
      </c>
      <c r="AI14" s="11" t="s">
        <v>112</v>
      </c>
      <c r="AJ14" s="5">
        <f t="shared" si="2"/>
        <v>22</v>
      </c>
      <c r="AK14" s="5">
        <f t="shared" si="1"/>
        <v>5</v>
      </c>
      <c r="AL14"/>
      <c r="AM14"/>
      <c r="AN14"/>
      <c r="AO14"/>
    </row>
    <row r="15" spans="1:41" x14ac:dyDescent="0.25">
      <c r="A15" s="13">
        <v>11</v>
      </c>
      <c r="B15" s="34" t="s">
        <v>569</v>
      </c>
      <c r="C15" s="34" t="s">
        <v>142</v>
      </c>
      <c r="D15" s="11" t="s">
        <v>556</v>
      </c>
      <c r="E15" s="11" t="s">
        <v>112</v>
      </c>
      <c r="F15" s="11" t="s">
        <v>112</v>
      </c>
      <c r="G15" s="11" t="s">
        <v>112</v>
      </c>
      <c r="H15" s="11" t="s">
        <v>112</v>
      </c>
      <c r="I15" s="11" t="s">
        <v>112</v>
      </c>
      <c r="J15" s="60"/>
      <c r="K15" s="11" t="s">
        <v>112</v>
      </c>
      <c r="L15" s="11" t="s">
        <v>112</v>
      </c>
      <c r="M15" s="11" t="s">
        <v>112</v>
      </c>
      <c r="N15" s="11" t="s">
        <v>112</v>
      </c>
      <c r="O15" s="11" t="s">
        <v>112</v>
      </c>
      <c r="P15" s="11" t="s">
        <v>112</v>
      </c>
      <c r="Q15" s="60"/>
      <c r="R15" s="11" t="s">
        <v>112</v>
      </c>
      <c r="S15" s="11" t="s">
        <v>112</v>
      </c>
      <c r="T15" s="11" t="s">
        <v>112</v>
      </c>
      <c r="U15" s="11" t="s">
        <v>112</v>
      </c>
      <c r="V15" s="11" t="s">
        <v>112</v>
      </c>
      <c r="W15" s="11" t="s">
        <v>112</v>
      </c>
      <c r="X15" s="60"/>
      <c r="Y15" s="11" t="s">
        <v>112</v>
      </c>
      <c r="Z15" s="11" t="s">
        <v>112</v>
      </c>
      <c r="AA15" s="11" t="s">
        <v>112</v>
      </c>
      <c r="AB15" s="11" t="s">
        <v>112</v>
      </c>
      <c r="AC15" s="11" t="s">
        <v>112</v>
      </c>
      <c r="AD15" s="11" t="s">
        <v>112</v>
      </c>
      <c r="AE15" s="60"/>
      <c r="AF15" s="11" t="s">
        <v>112</v>
      </c>
      <c r="AG15" s="11" t="s">
        <v>112</v>
      </c>
      <c r="AH15" s="11" t="s">
        <v>112</v>
      </c>
      <c r="AI15" s="11" t="s">
        <v>112</v>
      </c>
      <c r="AJ15" s="5">
        <f t="shared" si="2"/>
        <v>27</v>
      </c>
      <c r="AK15" s="5">
        <f t="shared" si="1"/>
        <v>0</v>
      </c>
      <c r="AL15"/>
      <c r="AM15"/>
      <c r="AN15"/>
      <c r="AO15"/>
    </row>
    <row r="16" spans="1:41" x14ac:dyDescent="0.25">
      <c r="A16" s="13">
        <v>12</v>
      </c>
      <c r="B16" s="34" t="s">
        <v>570</v>
      </c>
      <c r="C16" s="34" t="s">
        <v>571</v>
      </c>
      <c r="D16" s="11" t="s">
        <v>556</v>
      </c>
      <c r="E16" s="11" t="s">
        <v>112</v>
      </c>
      <c r="F16" s="11" t="s">
        <v>112</v>
      </c>
      <c r="G16" s="11" t="s">
        <v>112</v>
      </c>
      <c r="H16" s="11" t="s">
        <v>112</v>
      </c>
      <c r="I16" s="11" t="s">
        <v>112</v>
      </c>
      <c r="J16" s="60"/>
      <c r="K16" s="11" t="s">
        <v>112</v>
      </c>
      <c r="L16" s="11" t="s">
        <v>112</v>
      </c>
      <c r="M16" s="11" t="s">
        <v>112</v>
      </c>
      <c r="N16" s="11" t="s">
        <v>112</v>
      </c>
      <c r="O16" s="11" t="s">
        <v>112</v>
      </c>
      <c r="P16" s="11" t="s">
        <v>112</v>
      </c>
      <c r="Q16" s="60"/>
      <c r="R16" s="11" t="s">
        <v>112</v>
      </c>
      <c r="S16" s="11" t="s">
        <v>112</v>
      </c>
      <c r="T16" s="11" t="s">
        <v>112</v>
      </c>
      <c r="U16" s="11" t="s">
        <v>111</v>
      </c>
      <c r="V16" s="11" t="s">
        <v>112</v>
      </c>
      <c r="W16" s="11" t="s">
        <v>112</v>
      </c>
      <c r="X16" s="60"/>
      <c r="Y16" s="11" t="s">
        <v>112</v>
      </c>
      <c r="Z16" s="11" t="s">
        <v>112</v>
      </c>
      <c r="AA16" s="11" t="s">
        <v>111</v>
      </c>
      <c r="AB16" s="11" t="s">
        <v>111</v>
      </c>
      <c r="AC16" s="11" t="s">
        <v>111</v>
      </c>
      <c r="AD16" s="11" t="s">
        <v>111</v>
      </c>
      <c r="AE16" s="60"/>
      <c r="AF16" s="11" t="s">
        <v>112</v>
      </c>
      <c r="AG16" s="11" t="s">
        <v>112</v>
      </c>
      <c r="AH16" s="11" t="s">
        <v>112</v>
      </c>
      <c r="AI16" s="11" t="s">
        <v>112</v>
      </c>
      <c r="AJ16" s="5">
        <f t="shared" si="2"/>
        <v>22</v>
      </c>
      <c r="AK16" s="5">
        <f t="shared" si="1"/>
        <v>5</v>
      </c>
      <c r="AL16"/>
      <c r="AM16"/>
      <c r="AN16"/>
      <c r="AO16"/>
    </row>
    <row r="17" spans="1:41" ht="15.75" x14ac:dyDescent="0.25">
      <c r="A17" s="13">
        <v>13</v>
      </c>
      <c r="B17" s="34" t="s">
        <v>572</v>
      </c>
      <c r="C17" s="34" t="s">
        <v>573</v>
      </c>
      <c r="D17" s="11" t="s">
        <v>556</v>
      </c>
      <c r="E17" s="11" t="s">
        <v>112</v>
      </c>
      <c r="F17" s="11" t="s">
        <v>112</v>
      </c>
      <c r="G17" s="11" t="s">
        <v>112</v>
      </c>
      <c r="H17" s="11" t="s">
        <v>112</v>
      </c>
      <c r="I17" s="11" t="s">
        <v>112</v>
      </c>
      <c r="J17" s="60"/>
      <c r="K17" s="11" t="s">
        <v>112</v>
      </c>
      <c r="L17" s="11" t="s">
        <v>112</v>
      </c>
      <c r="M17" s="11" t="s">
        <v>112</v>
      </c>
      <c r="N17" s="11" t="s">
        <v>112</v>
      </c>
      <c r="O17" s="11" t="s">
        <v>112</v>
      </c>
      <c r="P17" s="11" t="s">
        <v>112</v>
      </c>
      <c r="Q17" s="60"/>
      <c r="R17" s="11" t="s">
        <v>112</v>
      </c>
      <c r="S17" s="11" t="s">
        <v>112</v>
      </c>
      <c r="T17" s="11" t="s">
        <v>112</v>
      </c>
      <c r="U17" s="11" t="s">
        <v>112</v>
      </c>
      <c r="V17" s="11" t="s">
        <v>112</v>
      </c>
      <c r="W17" s="11" t="s">
        <v>112</v>
      </c>
      <c r="X17" s="60"/>
      <c r="Y17" s="11" t="s">
        <v>112</v>
      </c>
      <c r="Z17" s="11" t="s">
        <v>112</v>
      </c>
      <c r="AA17" s="11" t="s">
        <v>112</v>
      </c>
      <c r="AB17" s="11" t="s">
        <v>112</v>
      </c>
      <c r="AC17" s="11" t="s">
        <v>112</v>
      </c>
      <c r="AD17" s="11" t="s">
        <v>112</v>
      </c>
      <c r="AE17" s="60"/>
      <c r="AF17" s="11" t="s">
        <v>112</v>
      </c>
      <c r="AG17" s="11" t="s">
        <v>112</v>
      </c>
      <c r="AH17" s="11" t="s">
        <v>112</v>
      </c>
      <c r="AI17" s="11" t="s">
        <v>112</v>
      </c>
      <c r="AJ17" s="5">
        <f t="shared" si="2"/>
        <v>27</v>
      </c>
      <c r="AK17" s="5">
        <f t="shared" si="1"/>
        <v>0</v>
      </c>
      <c r="AL17" s="49" t="s">
        <v>128</v>
      </c>
      <c r="AM17" s="50"/>
      <c r="AN17" s="50"/>
      <c r="AO17" s="52"/>
    </row>
    <row r="18" spans="1:41" x14ac:dyDescent="0.25">
      <c r="A18" s="13">
        <v>14</v>
      </c>
      <c r="B18" s="34" t="s">
        <v>574</v>
      </c>
      <c r="C18" s="34" t="s">
        <v>575</v>
      </c>
      <c r="D18" s="11" t="s">
        <v>556</v>
      </c>
      <c r="E18" s="11" t="s">
        <v>112</v>
      </c>
      <c r="F18" s="11" t="s">
        <v>112</v>
      </c>
      <c r="G18" s="11" t="s">
        <v>112</v>
      </c>
      <c r="H18" s="11" t="s">
        <v>112</v>
      </c>
      <c r="I18" s="11" t="s">
        <v>112</v>
      </c>
      <c r="J18" s="60"/>
      <c r="K18" s="11" t="s">
        <v>112</v>
      </c>
      <c r="L18" s="11" t="s">
        <v>112</v>
      </c>
      <c r="M18" s="11" t="s">
        <v>112</v>
      </c>
      <c r="N18" s="11" t="s">
        <v>112</v>
      </c>
      <c r="O18" s="11" t="s">
        <v>112</v>
      </c>
      <c r="P18" s="11" t="s">
        <v>112</v>
      </c>
      <c r="Q18" s="60"/>
      <c r="R18" s="11" t="s">
        <v>112</v>
      </c>
      <c r="S18" s="11" t="s">
        <v>112</v>
      </c>
      <c r="T18" s="11" t="s">
        <v>111</v>
      </c>
      <c r="U18" s="11" t="s">
        <v>112</v>
      </c>
      <c r="V18" s="11" t="s">
        <v>112</v>
      </c>
      <c r="W18" s="11" t="s">
        <v>111</v>
      </c>
      <c r="X18" s="60"/>
      <c r="Y18" s="11" t="s">
        <v>112</v>
      </c>
      <c r="Z18" s="11" t="s">
        <v>112</v>
      </c>
      <c r="AA18" s="11" t="s">
        <v>111</v>
      </c>
      <c r="AB18" s="11" t="s">
        <v>111</v>
      </c>
      <c r="AC18" s="11" t="s">
        <v>111</v>
      </c>
      <c r="AD18" s="11" t="s">
        <v>111</v>
      </c>
      <c r="AE18" s="60"/>
      <c r="AF18" s="11" t="s">
        <v>112</v>
      </c>
      <c r="AG18" s="11" t="s">
        <v>112</v>
      </c>
      <c r="AH18" s="11" t="s">
        <v>112</v>
      </c>
      <c r="AI18" s="11" t="s">
        <v>112</v>
      </c>
      <c r="AJ18" s="5">
        <f t="shared" si="2"/>
        <v>21</v>
      </c>
      <c r="AK18" s="5">
        <f t="shared" si="1"/>
        <v>6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x14ac:dyDescent="0.25">
      <c r="A19" s="13">
        <v>15</v>
      </c>
      <c r="B19" s="34" t="s">
        <v>84</v>
      </c>
      <c r="C19" s="34" t="s">
        <v>576</v>
      </c>
      <c r="D19" s="11" t="s">
        <v>556</v>
      </c>
      <c r="E19" s="11" t="s">
        <v>112</v>
      </c>
      <c r="F19" s="11" t="s">
        <v>112</v>
      </c>
      <c r="G19" s="11" t="s">
        <v>112</v>
      </c>
      <c r="H19" s="11" t="s">
        <v>112</v>
      </c>
      <c r="I19" s="11" t="s">
        <v>112</v>
      </c>
      <c r="J19" s="60"/>
      <c r="K19" s="11" t="s">
        <v>111</v>
      </c>
      <c r="L19" s="11" t="s">
        <v>112</v>
      </c>
      <c r="M19" s="11" t="s">
        <v>112</v>
      </c>
      <c r="N19" s="11" t="s">
        <v>112</v>
      </c>
      <c r="O19" s="11" t="s">
        <v>112</v>
      </c>
      <c r="P19" s="11" t="s">
        <v>112</v>
      </c>
      <c r="Q19" s="60"/>
      <c r="R19" s="11" t="s">
        <v>112</v>
      </c>
      <c r="S19" s="11" t="s">
        <v>112</v>
      </c>
      <c r="T19" s="11" t="s">
        <v>112</v>
      </c>
      <c r="U19" s="11" t="s">
        <v>112</v>
      </c>
      <c r="V19" s="11" t="s">
        <v>112</v>
      </c>
      <c r="W19" s="11" t="s">
        <v>112</v>
      </c>
      <c r="X19" s="60"/>
      <c r="Y19" s="11" t="s">
        <v>112</v>
      </c>
      <c r="Z19" s="11" t="s">
        <v>112</v>
      </c>
      <c r="AA19" s="11" t="s">
        <v>112</v>
      </c>
      <c r="AB19" s="11" t="s">
        <v>112</v>
      </c>
      <c r="AC19" s="11" t="s">
        <v>112</v>
      </c>
      <c r="AD19" s="11" t="s">
        <v>112</v>
      </c>
      <c r="AE19" s="60"/>
      <c r="AF19" s="11" t="s">
        <v>112</v>
      </c>
      <c r="AG19" s="11" t="s">
        <v>112</v>
      </c>
      <c r="AH19" s="11" t="s">
        <v>112</v>
      </c>
      <c r="AI19" s="11" t="s">
        <v>112</v>
      </c>
      <c r="AJ19" s="5">
        <f t="shared" si="2"/>
        <v>26</v>
      </c>
      <c r="AK19" s="5">
        <f t="shared" si="1"/>
        <v>1</v>
      </c>
      <c r="AL19" s="5" t="s">
        <v>14</v>
      </c>
      <c r="AM19" s="13">
        <f>23*$AM$5</f>
        <v>621</v>
      </c>
      <c r="AN19" s="13">
        <f>23*$AM$5</f>
        <v>621</v>
      </c>
      <c r="AO19" s="13">
        <f>AM19+AN19</f>
        <v>1242</v>
      </c>
    </row>
    <row r="20" spans="1:41" x14ac:dyDescent="0.25">
      <c r="A20" s="13">
        <v>16</v>
      </c>
      <c r="B20" s="34" t="s">
        <v>577</v>
      </c>
      <c r="C20" s="34" t="s">
        <v>578</v>
      </c>
      <c r="D20" s="11" t="s">
        <v>556</v>
      </c>
      <c r="E20" s="11" t="s">
        <v>112</v>
      </c>
      <c r="F20" s="11" t="s">
        <v>112</v>
      </c>
      <c r="G20" s="11" t="s">
        <v>112</v>
      </c>
      <c r="H20" s="11" t="s">
        <v>112</v>
      </c>
      <c r="I20" s="11" t="s">
        <v>112</v>
      </c>
      <c r="J20" s="60"/>
      <c r="K20" s="11" t="s">
        <v>112</v>
      </c>
      <c r="L20" s="11" t="s">
        <v>112</v>
      </c>
      <c r="M20" s="11" t="s">
        <v>112</v>
      </c>
      <c r="N20" s="11" t="s">
        <v>112</v>
      </c>
      <c r="O20" s="11" t="s">
        <v>111</v>
      </c>
      <c r="P20" s="11" t="s">
        <v>112</v>
      </c>
      <c r="Q20" s="60"/>
      <c r="R20" s="11" t="s">
        <v>112</v>
      </c>
      <c r="S20" s="11" t="s">
        <v>112</v>
      </c>
      <c r="T20" s="11" t="s">
        <v>112</v>
      </c>
      <c r="U20" s="11" t="s">
        <v>112</v>
      </c>
      <c r="V20" s="11" t="s">
        <v>112</v>
      </c>
      <c r="W20" s="11" t="s">
        <v>112</v>
      </c>
      <c r="X20" s="60"/>
      <c r="Y20" s="11" t="s">
        <v>112</v>
      </c>
      <c r="Z20" s="11" t="s">
        <v>112</v>
      </c>
      <c r="AA20" s="11" t="s">
        <v>111</v>
      </c>
      <c r="AB20" s="11" t="s">
        <v>111</v>
      </c>
      <c r="AC20" s="11" t="s">
        <v>111</v>
      </c>
      <c r="AD20" s="11" t="s">
        <v>111</v>
      </c>
      <c r="AE20" s="60"/>
      <c r="AF20" s="11" t="s">
        <v>112</v>
      </c>
      <c r="AG20" s="11" t="s">
        <v>112</v>
      </c>
      <c r="AH20" s="11" t="s">
        <v>112</v>
      </c>
      <c r="AI20" s="11" t="s">
        <v>112</v>
      </c>
      <c r="AJ20" s="5">
        <f t="shared" si="2"/>
        <v>22</v>
      </c>
      <c r="AK20" s="5">
        <f t="shared" si="1"/>
        <v>5</v>
      </c>
      <c r="AL20" s="5" t="s">
        <v>17</v>
      </c>
      <c r="AM20" s="13">
        <f>AM19-AM12</f>
        <v>81</v>
      </c>
      <c r="AN20" s="13">
        <f>AN19-AN12</f>
        <v>184</v>
      </c>
      <c r="AO20" s="13">
        <f>AM20+AN20</f>
        <v>265</v>
      </c>
    </row>
    <row r="21" spans="1:41" x14ac:dyDescent="0.25">
      <c r="A21" s="13">
        <v>17</v>
      </c>
      <c r="B21" s="34" t="s">
        <v>579</v>
      </c>
      <c r="C21" s="34" t="s">
        <v>22</v>
      </c>
      <c r="D21" s="11" t="s">
        <v>556</v>
      </c>
      <c r="E21" s="11" t="s">
        <v>112</v>
      </c>
      <c r="F21" s="11" t="s">
        <v>112</v>
      </c>
      <c r="G21" s="11" t="s">
        <v>112</v>
      </c>
      <c r="H21" s="11" t="s">
        <v>112</v>
      </c>
      <c r="I21" s="11" t="s">
        <v>112</v>
      </c>
      <c r="J21" s="60"/>
      <c r="K21" s="11" t="s">
        <v>112</v>
      </c>
      <c r="L21" s="11" t="s">
        <v>112</v>
      </c>
      <c r="M21" s="11" t="s">
        <v>112</v>
      </c>
      <c r="N21" s="11" t="s">
        <v>112</v>
      </c>
      <c r="O21" s="11" t="s">
        <v>112</v>
      </c>
      <c r="P21" s="11" t="s">
        <v>112</v>
      </c>
      <c r="Q21" s="60"/>
      <c r="R21" s="11" t="s">
        <v>112</v>
      </c>
      <c r="S21" s="11" t="s">
        <v>112</v>
      </c>
      <c r="T21" s="11" t="s">
        <v>112</v>
      </c>
      <c r="U21" s="11" t="s">
        <v>112</v>
      </c>
      <c r="V21" s="11" t="s">
        <v>112</v>
      </c>
      <c r="W21" s="11" t="s">
        <v>112</v>
      </c>
      <c r="X21" s="60"/>
      <c r="Y21" s="11" t="s">
        <v>111</v>
      </c>
      <c r="Z21" s="11" t="s">
        <v>112</v>
      </c>
      <c r="AA21" s="11" t="s">
        <v>111</v>
      </c>
      <c r="AB21" s="11" t="s">
        <v>111</v>
      </c>
      <c r="AC21" s="11" t="s">
        <v>112</v>
      </c>
      <c r="AD21" s="11" t="s">
        <v>112</v>
      </c>
      <c r="AE21" s="60"/>
      <c r="AF21" s="11" t="s">
        <v>112</v>
      </c>
      <c r="AG21" s="11" t="s">
        <v>112</v>
      </c>
      <c r="AH21" s="11" t="s">
        <v>112</v>
      </c>
      <c r="AI21" s="11" t="s">
        <v>112</v>
      </c>
      <c r="AJ21" s="5">
        <f t="shared" si="2"/>
        <v>24</v>
      </c>
      <c r="AK21" s="5">
        <f t="shared" si="1"/>
        <v>3</v>
      </c>
      <c r="AL21" s="5" t="s">
        <v>16</v>
      </c>
      <c r="AM21" s="18">
        <f>AM20/AM19</f>
        <v>0.13043478260869565</v>
      </c>
      <c r="AN21" s="18">
        <f>AN20/AN19</f>
        <v>0.29629629629629628</v>
      </c>
      <c r="AO21" s="18">
        <f>AO20/AO19</f>
        <v>0.21336553945249598</v>
      </c>
    </row>
    <row r="22" spans="1:41" x14ac:dyDescent="0.25">
      <c r="A22" s="13">
        <v>18</v>
      </c>
      <c r="B22" s="34" t="s">
        <v>580</v>
      </c>
      <c r="C22" s="34" t="s">
        <v>581</v>
      </c>
      <c r="D22" s="11" t="s">
        <v>556</v>
      </c>
      <c r="E22" s="11" t="s">
        <v>112</v>
      </c>
      <c r="F22" s="11" t="s">
        <v>112</v>
      </c>
      <c r="G22" s="11" t="s">
        <v>112</v>
      </c>
      <c r="H22" s="11" t="s">
        <v>112</v>
      </c>
      <c r="I22" s="11" t="s">
        <v>112</v>
      </c>
      <c r="J22" s="60"/>
      <c r="K22" s="11" t="s">
        <v>112</v>
      </c>
      <c r="L22" s="11" t="s">
        <v>112</v>
      </c>
      <c r="M22" s="11" t="s">
        <v>112</v>
      </c>
      <c r="N22" s="11" t="s">
        <v>112</v>
      </c>
      <c r="O22" s="11" t="s">
        <v>112</v>
      </c>
      <c r="P22" s="11" t="s">
        <v>112</v>
      </c>
      <c r="Q22" s="60"/>
      <c r="R22" s="11" t="s">
        <v>111</v>
      </c>
      <c r="S22" s="11" t="s">
        <v>112</v>
      </c>
      <c r="T22" s="11" t="s">
        <v>112</v>
      </c>
      <c r="U22" s="11" t="s">
        <v>112</v>
      </c>
      <c r="V22" s="11" t="s">
        <v>112</v>
      </c>
      <c r="W22" s="11" t="s">
        <v>112</v>
      </c>
      <c r="X22" s="60"/>
      <c r="Y22" s="11" t="s">
        <v>111</v>
      </c>
      <c r="Z22" s="11" t="s">
        <v>112</v>
      </c>
      <c r="AA22" s="11" t="s">
        <v>112</v>
      </c>
      <c r="AB22" s="11" t="s">
        <v>112</v>
      </c>
      <c r="AC22" s="11" t="s">
        <v>112</v>
      </c>
      <c r="AD22" s="11" t="s">
        <v>112</v>
      </c>
      <c r="AE22" s="60"/>
      <c r="AF22" s="11" t="s">
        <v>112</v>
      </c>
      <c r="AG22" s="11" t="s">
        <v>112</v>
      </c>
      <c r="AH22" s="11" t="s">
        <v>112</v>
      </c>
      <c r="AI22" s="11" t="s">
        <v>112</v>
      </c>
      <c r="AJ22" s="5">
        <f t="shared" si="2"/>
        <v>25</v>
      </c>
      <c r="AK22" s="5">
        <f t="shared" si="1"/>
        <v>2</v>
      </c>
    </row>
    <row r="23" spans="1:41" x14ac:dyDescent="0.25">
      <c r="A23" s="13">
        <v>19</v>
      </c>
      <c r="B23" s="34" t="s">
        <v>582</v>
      </c>
      <c r="C23" s="34" t="s">
        <v>96</v>
      </c>
      <c r="D23" s="11" t="s">
        <v>556</v>
      </c>
      <c r="E23" s="11" t="s">
        <v>112</v>
      </c>
      <c r="F23" s="11" t="s">
        <v>112</v>
      </c>
      <c r="G23" s="11" t="s">
        <v>112</v>
      </c>
      <c r="H23" s="11" t="s">
        <v>112</v>
      </c>
      <c r="I23" s="11" t="s">
        <v>112</v>
      </c>
      <c r="J23" s="60"/>
      <c r="K23" s="11" t="s">
        <v>112</v>
      </c>
      <c r="L23" s="11" t="s">
        <v>112</v>
      </c>
      <c r="M23" s="11" t="s">
        <v>112</v>
      </c>
      <c r="N23" s="11" t="s">
        <v>112</v>
      </c>
      <c r="O23" s="11" t="s">
        <v>112</v>
      </c>
      <c r="P23" s="11" t="s">
        <v>112</v>
      </c>
      <c r="Q23" s="60"/>
      <c r="R23" s="11" t="s">
        <v>112</v>
      </c>
      <c r="S23" s="11" t="s">
        <v>112</v>
      </c>
      <c r="T23" s="11" t="s">
        <v>112</v>
      </c>
      <c r="U23" s="11" t="s">
        <v>112</v>
      </c>
      <c r="V23" s="11" t="s">
        <v>112</v>
      </c>
      <c r="W23" s="11" t="s">
        <v>112</v>
      </c>
      <c r="X23" s="60"/>
      <c r="Y23" s="11" t="s">
        <v>112</v>
      </c>
      <c r="Z23" s="11" t="s">
        <v>112</v>
      </c>
      <c r="AA23" s="11" t="s">
        <v>112</v>
      </c>
      <c r="AB23" s="11" t="s">
        <v>112</v>
      </c>
      <c r="AC23" s="11" t="s">
        <v>112</v>
      </c>
      <c r="AD23" s="11" t="s">
        <v>112</v>
      </c>
      <c r="AE23" s="60"/>
      <c r="AF23" s="11" t="s">
        <v>112</v>
      </c>
      <c r="AG23" s="11" t="s">
        <v>112</v>
      </c>
      <c r="AH23" s="11" t="s">
        <v>112</v>
      </c>
      <c r="AI23" s="11" t="s">
        <v>112</v>
      </c>
      <c r="AJ23" s="5">
        <f t="shared" si="2"/>
        <v>27</v>
      </c>
      <c r="AK23" s="5">
        <f t="shared" si="1"/>
        <v>0</v>
      </c>
    </row>
    <row r="24" spans="1:41" x14ac:dyDescent="0.25">
      <c r="A24" s="13">
        <v>20</v>
      </c>
      <c r="B24" s="34" t="s">
        <v>583</v>
      </c>
      <c r="C24" s="34" t="s">
        <v>584</v>
      </c>
      <c r="D24" s="11" t="s">
        <v>556</v>
      </c>
      <c r="E24" s="11" t="s">
        <v>112</v>
      </c>
      <c r="F24" s="11" t="s">
        <v>112</v>
      </c>
      <c r="G24" s="11" t="s">
        <v>112</v>
      </c>
      <c r="H24" s="11" t="s">
        <v>112</v>
      </c>
      <c r="I24" s="11" t="s">
        <v>112</v>
      </c>
      <c r="J24" s="60"/>
      <c r="K24" s="11" t="s">
        <v>112</v>
      </c>
      <c r="L24" s="11" t="s">
        <v>112</v>
      </c>
      <c r="M24" s="11" t="s">
        <v>112</v>
      </c>
      <c r="N24" s="11" t="s">
        <v>112</v>
      </c>
      <c r="O24" s="11" t="s">
        <v>112</v>
      </c>
      <c r="P24" s="11" t="s">
        <v>112</v>
      </c>
      <c r="Q24" s="60"/>
      <c r="R24" s="11" t="s">
        <v>112</v>
      </c>
      <c r="S24" s="11" t="s">
        <v>112</v>
      </c>
      <c r="T24" s="11" t="s">
        <v>112</v>
      </c>
      <c r="U24" s="11" t="s">
        <v>112</v>
      </c>
      <c r="V24" s="11" t="s">
        <v>112</v>
      </c>
      <c r="W24" s="11" t="s">
        <v>112</v>
      </c>
      <c r="X24" s="60"/>
      <c r="Y24" s="11" t="s">
        <v>112</v>
      </c>
      <c r="Z24" s="11" t="s">
        <v>112</v>
      </c>
      <c r="AA24" s="11" t="s">
        <v>111</v>
      </c>
      <c r="AB24" s="11" t="s">
        <v>111</v>
      </c>
      <c r="AC24" s="11" t="s">
        <v>111</v>
      </c>
      <c r="AD24" s="11" t="s">
        <v>112</v>
      </c>
      <c r="AE24" s="60"/>
      <c r="AF24" s="11" t="s">
        <v>112</v>
      </c>
      <c r="AG24" s="11" t="s">
        <v>112</v>
      </c>
      <c r="AH24" s="11" t="s">
        <v>112</v>
      </c>
      <c r="AI24" s="11" t="s">
        <v>112</v>
      </c>
      <c r="AJ24" s="5">
        <f t="shared" si="2"/>
        <v>24</v>
      </c>
      <c r="AK24" s="5">
        <f t="shared" si="1"/>
        <v>3</v>
      </c>
    </row>
    <row r="25" spans="1:41" x14ac:dyDescent="0.25">
      <c r="A25" s="13">
        <v>21</v>
      </c>
      <c r="B25" s="34" t="s">
        <v>585</v>
      </c>
      <c r="C25" s="34" t="s">
        <v>121</v>
      </c>
      <c r="D25" s="11" t="s">
        <v>556</v>
      </c>
      <c r="E25" s="11" t="s">
        <v>112</v>
      </c>
      <c r="F25" s="11" t="s">
        <v>112</v>
      </c>
      <c r="G25" s="11" t="s">
        <v>112</v>
      </c>
      <c r="H25" s="11" t="s">
        <v>112</v>
      </c>
      <c r="I25" s="11" t="s">
        <v>112</v>
      </c>
      <c r="J25" s="60"/>
      <c r="K25" s="11" t="s">
        <v>112</v>
      </c>
      <c r="L25" s="11" t="s">
        <v>112</v>
      </c>
      <c r="M25" s="11" t="s">
        <v>112</v>
      </c>
      <c r="N25" s="11" t="s">
        <v>112</v>
      </c>
      <c r="O25" s="11" t="s">
        <v>112</v>
      </c>
      <c r="P25" s="11" t="s">
        <v>112</v>
      </c>
      <c r="Q25" s="60"/>
      <c r="R25" s="11" t="s">
        <v>112</v>
      </c>
      <c r="S25" s="11" t="s">
        <v>112</v>
      </c>
      <c r="T25" s="11" t="s">
        <v>112</v>
      </c>
      <c r="U25" s="11" t="s">
        <v>112</v>
      </c>
      <c r="V25" s="11" t="s">
        <v>112</v>
      </c>
      <c r="W25" s="11" t="s">
        <v>112</v>
      </c>
      <c r="X25" s="60"/>
      <c r="Y25" s="11" t="s">
        <v>112</v>
      </c>
      <c r="Z25" s="11" t="s">
        <v>112</v>
      </c>
      <c r="AA25" s="11" t="s">
        <v>111</v>
      </c>
      <c r="AB25" s="11" t="s">
        <v>111</v>
      </c>
      <c r="AC25" s="11" t="s">
        <v>111</v>
      </c>
      <c r="AD25" s="11" t="s">
        <v>111</v>
      </c>
      <c r="AE25" s="60"/>
      <c r="AF25" s="11" t="s">
        <v>112</v>
      </c>
      <c r="AG25" s="11" t="s">
        <v>112</v>
      </c>
      <c r="AH25" s="11" t="s">
        <v>112</v>
      </c>
      <c r="AI25" s="11" t="s">
        <v>112</v>
      </c>
      <c r="AJ25" s="5">
        <f t="shared" si="2"/>
        <v>23</v>
      </c>
      <c r="AK25" s="5">
        <f t="shared" si="1"/>
        <v>4</v>
      </c>
    </row>
    <row r="26" spans="1:41" x14ac:dyDescent="0.25">
      <c r="A26" s="13">
        <v>22</v>
      </c>
      <c r="B26" s="34" t="s">
        <v>272</v>
      </c>
      <c r="C26" s="34" t="s">
        <v>345</v>
      </c>
      <c r="D26" s="11" t="s">
        <v>556</v>
      </c>
      <c r="E26" s="11" t="s">
        <v>111</v>
      </c>
      <c r="F26" s="11" t="s">
        <v>112</v>
      </c>
      <c r="G26" s="11" t="s">
        <v>112</v>
      </c>
      <c r="H26" s="11" t="s">
        <v>112</v>
      </c>
      <c r="I26" s="11" t="s">
        <v>112</v>
      </c>
      <c r="J26" s="60"/>
      <c r="K26" s="11" t="s">
        <v>112</v>
      </c>
      <c r="L26" s="11" t="s">
        <v>112</v>
      </c>
      <c r="M26" s="11" t="s">
        <v>112</v>
      </c>
      <c r="N26" s="11" t="s">
        <v>112</v>
      </c>
      <c r="O26" s="11" t="s">
        <v>112</v>
      </c>
      <c r="P26" s="11" t="s">
        <v>111</v>
      </c>
      <c r="Q26" s="60"/>
      <c r="R26" s="11" t="s">
        <v>111</v>
      </c>
      <c r="S26" s="11" t="s">
        <v>111</v>
      </c>
      <c r="T26" s="11" t="s">
        <v>111</v>
      </c>
      <c r="U26" s="11" t="s">
        <v>111</v>
      </c>
      <c r="V26" s="11" t="s">
        <v>111</v>
      </c>
      <c r="W26" s="11" t="s">
        <v>111</v>
      </c>
      <c r="X26" s="60"/>
      <c r="Y26" s="11" t="s">
        <v>111</v>
      </c>
      <c r="Z26" s="11" t="s">
        <v>586</v>
      </c>
      <c r="AA26" s="11" t="s">
        <v>112</v>
      </c>
      <c r="AB26" s="11" t="s">
        <v>112</v>
      </c>
      <c r="AC26" s="11" t="s">
        <v>111</v>
      </c>
      <c r="AD26" s="11" t="s">
        <v>111</v>
      </c>
      <c r="AE26" s="60"/>
      <c r="AF26" s="11" t="s">
        <v>111</v>
      </c>
      <c r="AG26" s="11" t="s">
        <v>111</v>
      </c>
      <c r="AH26" s="11" t="s">
        <v>111</v>
      </c>
      <c r="AI26" s="11" t="s">
        <v>111</v>
      </c>
      <c r="AJ26" s="5">
        <f t="shared" si="2"/>
        <v>11</v>
      </c>
      <c r="AK26" s="5">
        <f t="shared" si="1"/>
        <v>14</v>
      </c>
    </row>
    <row r="27" spans="1:41" x14ac:dyDescent="0.25">
      <c r="A27" s="13">
        <v>23</v>
      </c>
      <c r="B27" s="34" t="s">
        <v>587</v>
      </c>
      <c r="C27" s="34" t="s">
        <v>435</v>
      </c>
      <c r="D27" s="11" t="s">
        <v>556</v>
      </c>
      <c r="E27" s="11" t="s">
        <v>112</v>
      </c>
      <c r="F27" s="11" t="s">
        <v>112</v>
      </c>
      <c r="G27" s="11" t="s">
        <v>112</v>
      </c>
      <c r="H27" s="11" t="s">
        <v>112</v>
      </c>
      <c r="I27" s="11" t="s">
        <v>111</v>
      </c>
      <c r="J27" s="60"/>
      <c r="K27" s="11" t="s">
        <v>112</v>
      </c>
      <c r="L27" s="11" t="s">
        <v>112</v>
      </c>
      <c r="M27" s="11" t="s">
        <v>112</v>
      </c>
      <c r="N27" s="11" t="s">
        <v>112</v>
      </c>
      <c r="O27" s="11" t="s">
        <v>112</v>
      </c>
      <c r="P27" s="11" t="s">
        <v>112</v>
      </c>
      <c r="Q27" s="60"/>
      <c r="R27" s="11" t="s">
        <v>112</v>
      </c>
      <c r="S27" s="11" t="s">
        <v>112</v>
      </c>
      <c r="T27" s="11" t="s">
        <v>112</v>
      </c>
      <c r="U27" s="11" t="s">
        <v>112</v>
      </c>
      <c r="V27" s="11" t="s">
        <v>112</v>
      </c>
      <c r="W27" s="11" t="s">
        <v>112</v>
      </c>
      <c r="X27" s="60"/>
      <c r="Y27" s="11" t="s">
        <v>112</v>
      </c>
      <c r="Z27" s="11" t="s">
        <v>112</v>
      </c>
      <c r="AA27" s="11" t="s">
        <v>112</v>
      </c>
      <c r="AB27" s="11" t="s">
        <v>112</v>
      </c>
      <c r="AC27" s="11" t="s">
        <v>112</v>
      </c>
      <c r="AD27" s="11" t="s">
        <v>112</v>
      </c>
      <c r="AE27" s="60"/>
      <c r="AF27" s="11" t="s">
        <v>112</v>
      </c>
      <c r="AG27" s="11" t="s">
        <v>112</v>
      </c>
      <c r="AH27" s="11" t="s">
        <v>112</v>
      </c>
      <c r="AI27" s="11" t="s">
        <v>112</v>
      </c>
      <c r="AJ27" s="5">
        <f t="shared" si="2"/>
        <v>26</v>
      </c>
      <c r="AK27" s="5">
        <f t="shared" si="1"/>
        <v>1</v>
      </c>
    </row>
    <row r="28" spans="1:41" x14ac:dyDescent="0.25">
      <c r="A28" s="13">
        <v>1</v>
      </c>
      <c r="B28" s="34" t="s">
        <v>588</v>
      </c>
      <c r="C28" s="34" t="s">
        <v>589</v>
      </c>
      <c r="D28" s="11" t="s">
        <v>556</v>
      </c>
      <c r="E28" s="11" t="s">
        <v>112</v>
      </c>
      <c r="F28" s="11" t="s">
        <v>112</v>
      </c>
      <c r="G28" s="11" t="s">
        <v>112</v>
      </c>
      <c r="H28" s="11" t="s">
        <v>112</v>
      </c>
      <c r="I28" s="11" t="s">
        <v>112</v>
      </c>
      <c r="J28" s="60"/>
      <c r="K28" s="11" t="s">
        <v>112</v>
      </c>
      <c r="L28" s="11" t="s">
        <v>112</v>
      </c>
      <c r="M28" s="11" t="s">
        <v>112</v>
      </c>
      <c r="N28" s="11" t="s">
        <v>112</v>
      </c>
      <c r="O28" s="11" t="s">
        <v>112</v>
      </c>
      <c r="P28" s="11" t="s">
        <v>112</v>
      </c>
      <c r="Q28" s="60"/>
      <c r="R28" s="11" t="s">
        <v>111</v>
      </c>
      <c r="S28" s="11" t="s">
        <v>112</v>
      </c>
      <c r="T28" s="11" t="s">
        <v>112</v>
      </c>
      <c r="U28" s="11" t="s">
        <v>112</v>
      </c>
      <c r="V28" s="11" t="s">
        <v>111</v>
      </c>
      <c r="W28" s="11" t="s">
        <v>112</v>
      </c>
      <c r="X28" s="60"/>
      <c r="Y28" s="11" t="s">
        <v>112</v>
      </c>
      <c r="Z28" s="11" t="s">
        <v>112</v>
      </c>
      <c r="AA28" s="11" t="s">
        <v>112</v>
      </c>
      <c r="AB28" s="11" t="s">
        <v>112</v>
      </c>
      <c r="AC28" s="11" t="s">
        <v>112</v>
      </c>
      <c r="AD28" s="11" t="s">
        <v>112</v>
      </c>
      <c r="AE28" s="60"/>
      <c r="AF28" s="11" t="s">
        <v>112</v>
      </c>
      <c r="AG28" s="11" t="s">
        <v>112</v>
      </c>
      <c r="AH28" s="11" t="s">
        <v>111</v>
      </c>
      <c r="AI28" s="11" t="s">
        <v>112</v>
      </c>
      <c r="AJ28" s="5">
        <f t="shared" si="2"/>
        <v>24</v>
      </c>
      <c r="AK28" s="5">
        <f t="shared" si="1"/>
        <v>3</v>
      </c>
    </row>
    <row r="29" spans="1:41" x14ac:dyDescent="0.25">
      <c r="A29" s="13">
        <v>2</v>
      </c>
      <c r="B29" s="34" t="s">
        <v>590</v>
      </c>
      <c r="C29" s="34" t="s">
        <v>522</v>
      </c>
      <c r="D29" s="11" t="s">
        <v>556</v>
      </c>
      <c r="E29" s="11" t="s">
        <v>112</v>
      </c>
      <c r="F29" s="11" t="s">
        <v>112</v>
      </c>
      <c r="G29" s="11" t="s">
        <v>112</v>
      </c>
      <c r="H29" s="11" t="s">
        <v>112</v>
      </c>
      <c r="I29" s="11" t="s">
        <v>112</v>
      </c>
      <c r="J29" s="60"/>
      <c r="K29" s="11" t="s">
        <v>112</v>
      </c>
      <c r="L29" s="11" t="s">
        <v>112</v>
      </c>
      <c r="M29" s="11" t="s">
        <v>112</v>
      </c>
      <c r="N29" s="11" t="s">
        <v>111</v>
      </c>
      <c r="O29" s="11" t="s">
        <v>112</v>
      </c>
      <c r="P29" s="11" t="s">
        <v>112</v>
      </c>
      <c r="Q29" s="60"/>
      <c r="R29" s="11" t="s">
        <v>112</v>
      </c>
      <c r="S29" s="11" t="s">
        <v>112</v>
      </c>
      <c r="T29" s="11" t="s">
        <v>112</v>
      </c>
      <c r="U29" s="11" t="s">
        <v>111</v>
      </c>
      <c r="V29" s="11" t="s">
        <v>112</v>
      </c>
      <c r="W29" s="11" t="s">
        <v>112</v>
      </c>
      <c r="X29" s="60"/>
      <c r="Y29" s="11" t="s">
        <v>112</v>
      </c>
      <c r="Z29" s="11" t="s">
        <v>112</v>
      </c>
      <c r="AA29" s="11" t="s">
        <v>112</v>
      </c>
      <c r="AB29" s="11" t="s">
        <v>112</v>
      </c>
      <c r="AC29" s="11" t="s">
        <v>112</v>
      </c>
      <c r="AD29" s="11" t="s">
        <v>112</v>
      </c>
      <c r="AE29" s="60"/>
      <c r="AF29" s="11" t="s">
        <v>112</v>
      </c>
      <c r="AG29" s="11" t="s">
        <v>112</v>
      </c>
      <c r="AH29" s="11" t="s">
        <v>112</v>
      </c>
      <c r="AI29" s="11" t="s">
        <v>112</v>
      </c>
      <c r="AJ29" s="5">
        <f t="shared" si="2"/>
        <v>25</v>
      </c>
      <c r="AK29" s="5">
        <f t="shared" si="1"/>
        <v>2</v>
      </c>
    </row>
    <row r="30" spans="1:41" x14ac:dyDescent="0.25">
      <c r="A30" s="13">
        <v>3</v>
      </c>
      <c r="B30" s="34" t="s">
        <v>591</v>
      </c>
      <c r="C30" s="34" t="s">
        <v>315</v>
      </c>
      <c r="D30" s="11" t="s">
        <v>556</v>
      </c>
      <c r="E30" s="11" t="s">
        <v>112</v>
      </c>
      <c r="F30" s="11" t="s">
        <v>112</v>
      </c>
      <c r="G30" s="11" t="s">
        <v>112</v>
      </c>
      <c r="H30" s="11" t="s">
        <v>112</v>
      </c>
      <c r="I30" s="11" t="s">
        <v>112</v>
      </c>
      <c r="J30" s="60"/>
      <c r="K30" s="11" t="s">
        <v>111</v>
      </c>
      <c r="L30" s="11" t="s">
        <v>111</v>
      </c>
      <c r="M30" s="11" t="s">
        <v>112</v>
      </c>
      <c r="N30" s="11" t="s">
        <v>112</v>
      </c>
      <c r="O30" s="11" t="s">
        <v>111</v>
      </c>
      <c r="P30" s="11" t="s">
        <v>112</v>
      </c>
      <c r="Q30" s="60"/>
      <c r="R30" s="11" t="s">
        <v>112</v>
      </c>
      <c r="S30" s="11" t="s">
        <v>112</v>
      </c>
      <c r="T30" s="11" t="s">
        <v>112</v>
      </c>
      <c r="U30" s="11" t="s">
        <v>111</v>
      </c>
      <c r="V30" s="11" t="s">
        <v>112</v>
      </c>
      <c r="W30" s="11" t="s">
        <v>112</v>
      </c>
      <c r="X30" s="60"/>
      <c r="Y30" s="11" t="s">
        <v>112</v>
      </c>
      <c r="Z30" s="11" t="s">
        <v>112</v>
      </c>
      <c r="AA30" s="11" t="s">
        <v>112</v>
      </c>
      <c r="AB30" s="11" t="s">
        <v>112</v>
      </c>
      <c r="AC30" s="11" t="s">
        <v>112</v>
      </c>
      <c r="AD30" s="11" t="s">
        <v>112</v>
      </c>
      <c r="AE30" s="60"/>
      <c r="AF30" s="11" t="s">
        <v>112</v>
      </c>
      <c r="AG30" s="11" t="s">
        <v>112</v>
      </c>
      <c r="AH30" s="11" t="s">
        <v>112</v>
      </c>
      <c r="AI30" s="11" t="s">
        <v>112</v>
      </c>
      <c r="AJ30" s="5">
        <f t="shared" si="2"/>
        <v>23</v>
      </c>
      <c r="AK30" s="5">
        <f t="shared" si="1"/>
        <v>4</v>
      </c>
    </row>
    <row r="31" spans="1:41" x14ac:dyDescent="0.25">
      <c r="A31" s="13">
        <v>4</v>
      </c>
      <c r="B31" s="34" t="s">
        <v>592</v>
      </c>
      <c r="C31" s="34" t="s">
        <v>136</v>
      </c>
      <c r="D31" s="11" t="s">
        <v>556</v>
      </c>
      <c r="E31" s="11" t="s">
        <v>111</v>
      </c>
      <c r="F31" s="11" t="s">
        <v>111</v>
      </c>
      <c r="G31" s="11" t="s">
        <v>111</v>
      </c>
      <c r="H31" s="11" t="s">
        <v>111</v>
      </c>
      <c r="I31" s="11" t="s">
        <v>111</v>
      </c>
      <c r="J31" s="60"/>
      <c r="K31" s="11" t="s">
        <v>112</v>
      </c>
      <c r="L31" s="11" t="s">
        <v>112</v>
      </c>
      <c r="M31" s="11" t="s">
        <v>112</v>
      </c>
      <c r="N31" s="11" t="s">
        <v>112</v>
      </c>
      <c r="O31" s="11" t="s">
        <v>111</v>
      </c>
      <c r="P31" s="11" t="s">
        <v>112</v>
      </c>
      <c r="Q31" s="60"/>
      <c r="R31" s="11" t="s">
        <v>111</v>
      </c>
      <c r="S31" s="11" t="s">
        <v>112</v>
      </c>
      <c r="T31" s="11" t="s">
        <v>112</v>
      </c>
      <c r="U31" s="11" t="s">
        <v>112</v>
      </c>
      <c r="V31" s="11" t="s">
        <v>112</v>
      </c>
      <c r="W31" s="11" t="s">
        <v>112</v>
      </c>
      <c r="X31" s="60"/>
      <c r="Y31" s="11" t="s">
        <v>111</v>
      </c>
      <c r="Z31" s="11" t="s">
        <v>111</v>
      </c>
      <c r="AA31" s="11" t="s">
        <v>111</v>
      </c>
      <c r="AB31" s="11" t="s">
        <v>111</v>
      </c>
      <c r="AC31" s="11" t="s">
        <v>111</v>
      </c>
      <c r="AD31" s="11" t="s">
        <v>111</v>
      </c>
      <c r="AE31" s="60"/>
      <c r="AF31" s="11" t="s">
        <v>111</v>
      </c>
      <c r="AG31" s="11" t="s">
        <v>111</v>
      </c>
      <c r="AH31" s="11" t="s">
        <v>111</v>
      </c>
      <c r="AI31" s="11" t="s">
        <v>111</v>
      </c>
      <c r="AJ31" s="5">
        <f t="shared" si="2"/>
        <v>10</v>
      </c>
      <c r="AK31" s="5">
        <f t="shared" si="1"/>
        <v>16</v>
      </c>
    </row>
    <row r="32" spans="1:41" x14ac:dyDescent="0.25">
      <c r="A32" s="13">
        <v>5</v>
      </c>
      <c r="B32" s="34" t="s">
        <v>400</v>
      </c>
      <c r="C32" s="34" t="s">
        <v>26</v>
      </c>
      <c r="D32" s="11" t="s">
        <v>556</v>
      </c>
      <c r="E32" s="11" t="s">
        <v>112</v>
      </c>
      <c r="F32" s="11" t="s">
        <v>112</v>
      </c>
      <c r="G32" s="11" t="s">
        <v>112</v>
      </c>
      <c r="H32" s="11" t="s">
        <v>111</v>
      </c>
      <c r="I32" s="11" t="s">
        <v>111</v>
      </c>
      <c r="J32" s="60"/>
      <c r="K32" s="11" t="s">
        <v>112</v>
      </c>
      <c r="L32" s="11" t="s">
        <v>112</v>
      </c>
      <c r="M32" s="11" t="s">
        <v>112</v>
      </c>
      <c r="N32" s="11" t="s">
        <v>112</v>
      </c>
      <c r="O32" s="11" t="s">
        <v>112</v>
      </c>
      <c r="P32" s="11" t="s">
        <v>112</v>
      </c>
      <c r="Q32" s="60"/>
      <c r="R32" s="11" t="s">
        <v>112</v>
      </c>
      <c r="S32" s="11" t="s">
        <v>112</v>
      </c>
      <c r="T32" s="11" t="s">
        <v>112</v>
      </c>
      <c r="U32" s="11" t="s">
        <v>112</v>
      </c>
      <c r="V32" s="11" t="s">
        <v>112</v>
      </c>
      <c r="W32" s="11" t="s">
        <v>112</v>
      </c>
      <c r="X32" s="60"/>
      <c r="Y32" s="11" t="s">
        <v>112</v>
      </c>
      <c r="Z32" s="11" t="s">
        <v>112</v>
      </c>
      <c r="AA32" s="11" t="s">
        <v>111</v>
      </c>
      <c r="AB32" s="11" t="s">
        <v>111</v>
      </c>
      <c r="AC32" s="11" t="s">
        <v>111</v>
      </c>
      <c r="AD32" s="11" t="s">
        <v>111</v>
      </c>
      <c r="AE32" s="60"/>
      <c r="AF32" s="11" t="s">
        <v>112</v>
      </c>
      <c r="AG32" s="11" t="s">
        <v>112</v>
      </c>
      <c r="AH32" s="11" t="s">
        <v>112</v>
      </c>
      <c r="AI32" s="11" t="s">
        <v>112</v>
      </c>
      <c r="AJ32" s="5">
        <f t="shared" si="2"/>
        <v>21</v>
      </c>
      <c r="AK32" s="5">
        <f t="shared" si="1"/>
        <v>6</v>
      </c>
    </row>
    <row r="33" spans="1:37" x14ac:dyDescent="0.25">
      <c r="A33" s="13">
        <v>6</v>
      </c>
      <c r="B33" s="34" t="s">
        <v>593</v>
      </c>
      <c r="C33" s="34" t="s">
        <v>581</v>
      </c>
      <c r="D33" s="11" t="s">
        <v>556</v>
      </c>
      <c r="E33" s="11" t="s">
        <v>112</v>
      </c>
      <c r="F33" s="11" t="s">
        <v>112</v>
      </c>
      <c r="G33" s="11" t="s">
        <v>112</v>
      </c>
      <c r="H33" s="11" t="s">
        <v>112</v>
      </c>
      <c r="I33" s="11" t="s">
        <v>112</v>
      </c>
      <c r="J33" s="60"/>
      <c r="K33" s="11" t="s">
        <v>112</v>
      </c>
      <c r="L33" s="11" t="s">
        <v>112</v>
      </c>
      <c r="M33" s="11" t="s">
        <v>112</v>
      </c>
      <c r="N33" s="11" t="s">
        <v>112</v>
      </c>
      <c r="O33" s="11" t="s">
        <v>112</v>
      </c>
      <c r="P33" s="11" t="s">
        <v>112</v>
      </c>
      <c r="Q33" s="60"/>
      <c r="R33" s="11" t="s">
        <v>111</v>
      </c>
      <c r="S33" s="11" t="s">
        <v>112</v>
      </c>
      <c r="T33" s="11" t="s">
        <v>112</v>
      </c>
      <c r="U33" s="11" t="s">
        <v>112</v>
      </c>
      <c r="V33" s="11" t="s">
        <v>112</v>
      </c>
      <c r="W33" s="11" t="s">
        <v>112</v>
      </c>
      <c r="X33" s="60"/>
      <c r="Y33" s="11" t="s">
        <v>112</v>
      </c>
      <c r="Z33" s="11" t="s">
        <v>112</v>
      </c>
      <c r="AA33" s="11" t="s">
        <v>112</v>
      </c>
      <c r="AB33" s="11" t="s">
        <v>112</v>
      </c>
      <c r="AC33" s="11" t="s">
        <v>111</v>
      </c>
      <c r="AD33" s="11" t="s">
        <v>112</v>
      </c>
      <c r="AE33" s="60"/>
      <c r="AF33" s="11" t="s">
        <v>112</v>
      </c>
      <c r="AG33" s="11" t="s">
        <v>112</v>
      </c>
      <c r="AH33" s="11" t="s">
        <v>112</v>
      </c>
      <c r="AI33" s="11" t="s">
        <v>112</v>
      </c>
      <c r="AJ33" s="5">
        <f t="shared" si="2"/>
        <v>25</v>
      </c>
      <c r="AK33" s="5">
        <f t="shared" si="1"/>
        <v>2</v>
      </c>
    </row>
    <row r="34" spans="1:37" x14ac:dyDescent="0.25">
      <c r="A34" s="13">
        <v>7</v>
      </c>
      <c r="B34" s="34" t="s">
        <v>594</v>
      </c>
      <c r="C34" s="34" t="s">
        <v>595</v>
      </c>
      <c r="D34" s="11" t="s">
        <v>556</v>
      </c>
      <c r="E34" s="11" t="s">
        <v>111</v>
      </c>
      <c r="F34" s="11" t="s">
        <v>112</v>
      </c>
      <c r="G34" s="11" t="s">
        <v>112</v>
      </c>
      <c r="H34" s="11" t="s">
        <v>112</v>
      </c>
      <c r="I34" s="11" t="s">
        <v>112</v>
      </c>
      <c r="J34" s="60"/>
      <c r="K34" s="11" t="s">
        <v>111</v>
      </c>
      <c r="L34" s="11" t="s">
        <v>111</v>
      </c>
      <c r="M34" s="11" t="s">
        <v>111</v>
      </c>
      <c r="N34" s="11" t="s">
        <v>111</v>
      </c>
      <c r="O34" s="11" t="s">
        <v>111</v>
      </c>
      <c r="P34" s="11" t="s">
        <v>111</v>
      </c>
      <c r="Q34" s="60"/>
      <c r="R34" s="11" t="s">
        <v>111</v>
      </c>
      <c r="S34" s="11" t="s">
        <v>111</v>
      </c>
      <c r="T34" s="11" t="s">
        <v>111</v>
      </c>
      <c r="U34" s="11" t="s">
        <v>111</v>
      </c>
      <c r="V34" s="11" t="s">
        <v>111</v>
      </c>
      <c r="W34" s="11" t="s">
        <v>111</v>
      </c>
      <c r="X34" s="60"/>
      <c r="Y34" s="11" t="s">
        <v>111</v>
      </c>
      <c r="Z34" s="11" t="s">
        <v>112</v>
      </c>
      <c r="AA34" s="11" t="s">
        <v>111</v>
      </c>
      <c r="AB34" s="11" t="s">
        <v>111</v>
      </c>
      <c r="AC34" s="11" t="s">
        <v>111</v>
      </c>
      <c r="AD34" s="11" t="s">
        <v>111</v>
      </c>
      <c r="AE34" s="60"/>
      <c r="AF34" s="11" t="s">
        <v>111</v>
      </c>
      <c r="AG34" s="11" t="s">
        <v>112</v>
      </c>
      <c r="AH34" s="11" t="s">
        <v>112</v>
      </c>
      <c r="AI34" s="11" t="s">
        <v>112</v>
      </c>
      <c r="AJ34" s="5">
        <f t="shared" si="2"/>
        <v>8</v>
      </c>
      <c r="AK34" s="5">
        <f t="shared" si="1"/>
        <v>19</v>
      </c>
    </row>
    <row r="35" spans="1:37" x14ac:dyDescent="0.25">
      <c r="A35" s="13">
        <v>8</v>
      </c>
      <c r="B35" s="34" t="s">
        <v>596</v>
      </c>
      <c r="C35" s="34" t="s">
        <v>442</v>
      </c>
      <c r="D35" s="11" t="s">
        <v>556</v>
      </c>
      <c r="E35" s="11" t="s">
        <v>112</v>
      </c>
      <c r="F35" s="11" t="s">
        <v>112</v>
      </c>
      <c r="G35" s="11" t="s">
        <v>112</v>
      </c>
      <c r="H35" s="11" t="s">
        <v>112</v>
      </c>
      <c r="I35" s="11" t="s">
        <v>111</v>
      </c>
      <c r="J35" s="60"/>
      <c r="K35" s="11" t="s">
        <v>112</v>
      </c>
      <c r="L35" s="11" t="s">
        <v>112</v>
      </c>
      <c r="M35" s="11" t="s">
        <v>112</v>
      </c>
      <c r="N35" s="11" t="s">
        <v>112</v>
      </c>
      <c r="O35" s="11" t="s">
        <v>112</v>
      </c>
      <c r="P35" s="11" t="s">
        <v>112</v>
      </c>
      <c r="Q35" s="60"/>
      <c r="R35" s="11" t="s">
        <v>112</v>
      </c>
      <c r="S35" s="11" t="s">
        <v>112</v>
      </c>
      <c r="T35" s="11" t="s">
        <v>112</v>
      </c>
      <c r="U35" s="11" t="s">
        <v>112</v>
      </c>
      <c r="V35" s="11" t="s">
        <v>112</v>
      </c>
      <c r="W35" s="11" t="s">
        <v>112</v>
      </c>
      <c r="X35" s="60"/>
      <c r="Y35" s="11" t="s">
        <v>112</v>
      </c>
      <c r="Z35" s="11" t="s">
        <v>112</v>
      </c>
      <c r="AA35" s="11" t="s">
        <v>111</v>
      </c>
      <c r="AB35" s="11" t="s">
        <v>111</v>
      </c>
      <c r="AC35" s="11" t="s">
        <v>112</v>
      </c>
      <c r="AD35" s="11" t="s">
        <v>112</v>
      </c>
      <c r="AE35" s="60"/>
      <c r="AF35" s="11" t="s">
        <v>112</v>
      </c>
      <c r="AG35" s="11" t="s">
        <v>112</v>
      </c>
      <c r="AH35" s="11" t="s">
        <v>112</v>
      </c>
      <c r="AI35" s="11" t="s">
        <v>112</v>
      </c>
      <c r="AJ35" s="5">
        <f t="shared" si="2"/>
        <v>24</v>
      </c>
      <c r="AK35" s="5">
        <f t="shared" si="1"/>
        <v>3</v>
      </c>
    </row>
    <row r="36" spans="1:37" x14ac:dyDescent="0.25">
      <c r="A36" s="13">
        <v>9</v>
      </c>
      <c r="B36" s="34" t="s">
        <v>597</v>
      </c>
      <c r="C36" s="34" t="s">
        <v>452</v>
      </c>
      <c r="D36" s="11" t="s">
        <v>556</v>
      </c>
      <c r="E36" s="11" t="s">
        <v>112</v>
      </c>
      <c r="F36" s="11" t="s">
        <v>112</v>
      </c>
      <c r="G36" s="11" t="s">
        <v>112</v>
      </c>
      <c r="H36" s="11" t="s">
        <v>111</v>
      </c>
      <c r="I36" s="11" t="s">
        <v>111</v>
      </c>
      <c r="J36" s="60"/>
      <c r="K36" s="11" t="s">
        <v>112</v>
      </c>
      <c r="L36" s="11" t="s">
        <v>112</v>
      </c>
      <c r="M36" s="11" t="s">
        <v>112</v>
      </c>
      <c r="N36" s="11" t="s">
        <v>112</v>
      </c>
      <c r="O36" s="11" t="s">
        <v>112</v>
      </c>
      <c r="P36" s="11" t="s">
        <v>112</v>
      </c>
      <c r="Q36" s="60"/>
      <c r="R36" s="11" t="s">
        <v>112</v>
      </c>
      <c r="S36" s="11" t="s">
        <v>112</v>
      </c>
      <c r="T36" s="11" t="s">
        <v>112</v>
      </c>
      <c r="U36" s="11" t="s">
        <v>112</v>
      </c>
      <c r="V36" s="11" t="s">
        <v>112</v>
      </c>
      <c r="W36" s="11" t="s">
        <v>112</v>
      </c>
      <c r="X36" s="60"/>
      <c r="Y36" s="11" t="s">
        <v>112</v>
      </c>
      <c r="Z36" s="11" t="s">
        <v>112</v>
      </c>
      <c r="AA36" s="11" t="s">
        <v>111</v>
      </c>
      <c r="AB36" s="11" t="s">
        <v>111</v>
      </c>
      <c r="AC36" s="11" t="s">
        <v>111</v>
      </c>
      <c r="AD36" s="11" t="s">
        <v>112</v>
      </c>
      <c r="AE36" s="60"/>
      <c r="AF36" s="11" t="s">
        <v>111</v>
      </c>
      <c r="AG36" s="11" t="s">
        <v>111</v>
      </c>
      <c r="AH36" s="11" t="s">
        <v>111</v>
      </c>
      <c r="AI36" s="11" t="s">
        <v>111</v>
      </c>
      <c r="AJ36" s="5">
        <f t="shared" si="2"/>
        <v>18</v>
      </c>
      <c r="AK36" s="5">
        <f t="shared" si="1"/>
        <v>8</v>
      </c>
    </row>
    <row r="37" spans="1:37" x14ac:dyDescent="0.25">
      <c r="A37" s="13">
        <v>10</v>
      </c>
      <c r="B37" s="34" t="s">
        <v>598</v>
      </c>
      <c r="C37" s="34" t="s">
        <v>599</v>
      </c>
      <c r="D37" s="11" t="s">
        <v>556</v>
      </c>
      <c r="E37" s="11" t="s">
        <v>112</v>
      </c>
      <c r="F37" s="11" t="s">
        <v>112</v>
      </c>
      <c r="G37" s="11" t="s">
        <v>112</v>
      </c>
      <c r="H37" s="11" t="s">
        <v>111</v>
      </c>
      <c r="I37" s="11" t="s">
        <v>111</v>
      </c>
      <c r="J37" s="60"/>
      <c r="K37" s="11" t="s">
        <v>111</v>
      </c>
      <c r="L37" s="11" t="s">
        <v>112</v>
      </c>
      <c r="M37" s="11" t="s">
        <v>112</v>
      </c>
      <c r="N37" s="11" t="s">
        <v>112</v>
      </c>
      <c r="O37" s="11" t="s">
        <v>112</v>
      </c>
      <c r="P37" s="11" t="s">
        <v>112</v>
      </c>
      <c r="Q37" s="60"/>
      <c r="R37" s="11" t="s">
        <v>112</v>
      </c>
      <c r="S37" s="11" t="s">
        <v>112</v>
      </c>
      <c r="T37" s="11" t="s">
        <v>112</v>
      </c>
      <c r="U37" s="11" t="s">
        <v>112</v>
      </c>
      <c r="V37" s="11" t="s">
        <v>112</v>
      </c>
      <c r="W37" s="11" t="s">
        <v>111</v>
      </c>
      <c r="X37" s="60"/>
      <c r="Y37" s="11" t="s">
        <v>112</v>
      </c>
      <c r="Z37" s="11" t="s">
        <v>111</v>
      </c>
      <c r="AA37" s="11" t="s">
        <v>112</v>
      </c>
      <c r="AB37" s="11" t="s">
        <v>112</v>
      </c>
      <c r="AC37" s="11" t="s">
        <v>112</v>
      </c>
      <c r="AD37" s="11" t="s">
        <v>112</v>
      </c>
      <c r="AE37" s="60"/>
      <c r="AF37" s="11" t="s">
        <v>112</v>
      </c>
      <c r="AG37" s="11" t="s">
        <v>112</v>
      </c>
      <c r="AH37" s="11" t="s">
        <v>112</v>
      </c>
      <c r="AI37" s="11" t="s">
        <v>112</v>
      </c>
      <c r="AJ37" s="5">
        <f t="shared" si="2"/>
        <v>22</v>
      </c>
      <c r="AK37" s="5">
        <f t="shared" si="1"/>
        <v>5</v>
      </c>
    </row>
    <row r="38" spans="1:37" x14ac:dyDescent="0.25">
      <c r="A38" s="13">
        <v>11</v>
      </c>
      <c r="B38" s="34" t="s">
        <v>600</v>
      </c>
      <c r="C38" s="34" t="s">
        <v>601</v>
      </c>
      <c r="D38" s="11" t="s">
        <v>556</v>
      </c>
      <c r="E38" s="11" t="s">
        <v>112</v>
      </c>
      <c r="F38" s="11" t="s">
        <v>112</v>
      </c>
      <c r="G38" s="11" t="s">
        <v>112</v>
      </c>
      <c r="H38" s="11" t="s">
        <v>112</v>
      </c>
      <c r="I38" s="11" t="s">
        <v>112</v>
      </c>
      <c r="J38" s="60"/>
      <c r="K38" s="11" t="s">
        <v>111</v>
      </c>
      <c r="L38" s="11" t="s">
        <v>111</v>
      </c>
      <c r="M38" s="11" t="s">
        <v>111</v>
      </c>
      <c r="N38" s="11" t="s">
        <v>111</v>
      </c>
      <c r="O38" s="11" t="s">
        <v>111</v>
      </c>
      <c r="P38" s="11" t="s">
        <v>111</v>
      </c>
      <c r="Q38" s="60"/>
      <c r="R38" s="11" t="s">
        <v>111</v>
      </c>
      <c r="S38" s="11" t="s">
        <v>111</v>
      </c>
      <c r="T38" s="11" t="s">
        <v>111</v>
      </c>
      <c r="U38" s="11" t="s">
        <v>111</v>
      </c>
      <c r="V38" s="11" t="s">
        <v>111</v>
      </c>
      <c r="W38" s="11" t="s">
        <v>111</v>
      </c>
      <c r="X38" s="60"/>
      <c r="Y38" s="11" t="s">
        <v>111</v>
      </c>
      <c r="Z38" s="11" t="s">
        <v>111</v>
      </c>
      <c r="AA38" s="11" t="s">
        <v>111</v>
      </c>
      <c r="AB38" s="11" t="s">
        <v>111</v>
      </c>
      <c r="AC38" s="11" t="s">
        <v>111</v>
      </c>
      <c r="AD38" s="11" t="s">
        <v>111</v>
      </c>
      <c r="AE38" s="60"/>
      <c r="AF38" s="11" t="s">
        <v>111</v>
      </c>
      <c r="AG38" s="11" t="s">
        <v>111</v>
      </c>
      <c r="AH38" s="11" t="s">
        <v>111</v>
      </c>
      <c r="AI38" s="11" t="s">
        <v>111</v>
      </c>
      <c r="AJ38" s="5">
        <f t="shared" si="2"/>
        <v>5</v>
      </c>
      <c r="AK38" s="5">
        <f t="shared" si="1"/>
        <v>21</v>
      </c>
    </row>
    <row r="39" spans="1:37" x14ac:dyDescent="0.25">
      <c r="A39" s="13">
        <v>12</v>
      </c>
      <c r="B39" s="34" t="s">
        <v>602</v>
      </c>
      <c r="C39" s="34" t="s">
        <v>196</v>
      </c>
      <c r="D39" s="11" t="s">
        <v>556</v>
      </c>
      <c r="E39" s="11" t="s">
        <v>112</v>
      </c>
      <c r="F39" s="11" t="s">
        <v>112</v>
      </c>
      <c r="G39" s="11" t="s">
        <v>112</v>
      </c>
      <c r="H39" s="11" t="s">
        <v>112</v>
      </c>
      <c r="I39" s="11" t="s">
        <v>112</v>
      </c>
      <c r="J39" s="60"/>
      <c r="K39" s="11" t="s">
        <v>112</v>
      </c>
      <c r="L39" s="11" t="s">
        <v>112</v>
      </c>
      <c r="M39" s="11" t="s">
        <v>112</v>
      </c>
      <c r="N39" s="11" t="s">
        <v>112</v>
      </c>
      <c r="O39" s="11" t="s">
        <v>112</v>
      </c>
      <c r="P39" s="11" t="s">
        <v>112</v>
      </c>
      <c r="Q39" s="60"/>
      <c r="R39" s="11" t="s">
        <v>112</v>
      </c>
      <c r="S39" s="11" t="s">
        <v>112</v>
      </c>
      <c r="T39" s="11" t="s">
        <v>112</v>
      </c>
      <c r="U39" s="11" t="s">
        <v>112</v>
      </c>
      <c r="V39" s="11" t="s">
        <v>112</v>
      </c>
      <c r="W39" s="11" t="s">
        <v>112</v>
      </c>
      <c r="X39" s="60"/>
      <c r="Y39" s="11" t="s">
        <v>111</v>
      </c>
      <c r="Z39" s="11" t="s">
        <v>111</v>
      </c>
      <c r="AA39" s="11" t="s">
        <v>111</v>
      </c>
      <c r="AB39" s="11" t="s">
        <v>111</v>
      </c>
      <c r="AC39" s="11" t="s">
        <v>111</v>
      </c>
      <c r="AD39" s="11" t="s">
        <v>112</v>
      </c>
      <c r="AE39" s="60"/>
      <c r="AF39" s="11" t="s">
        <v>112</v>
      </c>
      <c r="AG39" s="11" t="s">
        <v>112</v>
      </c>
      <c r="AH39" s="11" t="s">
        <v>112</v>
      </c>
      <c r="AI39" s="11" t="s">
        <v>112</v>
      </c>
      <c r="AJ39" s="5">
        <f t="shared" si="2"/>
        <v>22</v>
      </c>
      <c r="AK39" s="5">
        <f t="shared" si="1"/>
        <v>5</v>
      </c>
    </row>
    <row r="40" spans="1:37" x14ac:dyDescent="0.25">
      <c r="A40" s="13">
        <v>13</v>
      </c>
      <c r="B40" s="34" t="s">
        <v>603</v>
      </c>
      <c r="C40" s="34" t="s">
        <v>136</v>
      </c>
      <c r="D40" s="11" t="s">
        <v>556</v>
      </c>
      <c r="E40" s="11" t="s">
        <v>112</v>
      </c>
      <c r="F40" s="11" t="s">
        <v>112</v>
      </c>
      <c r="G40" s="11" t="s">
        <v>112</v>
      </c>
      <c r="H40" s="11" t="s">
        <v>112</v>
      </c>
      <c r="I40" s="11" t="s">
        <v>112</v>
      </c>
      <c r="J40" s="60"/>
      <c r="K40" s="11" t="s">
        <v>112</v>
      </c>
      <c r="L40" s="11" t="s">
        <v>111</v>
      </c>
      <c r="M40" s="11" t="s">
        <v>111</v>
      </c>
      <c r="N40" s="11" t="s">
        <v>111</v>
      </c>
      <c r="O40" s="11" t="s">
        <v>111</v>
      </c>
      <c r="P40" s="11" t="s">
        <v>111</v>
      </c>
      <c r="Q40" s="60"/>
      <c r="R40" s="11" t="s">
        <v>112</v>
      </c>
      <c r="S40" s="11" t="s">
        <v>112</v>
      </c>
      <c r="T40" s="11" t="s">
        <v>112</v>
      </c>
      <c r="U40" s="11" t="s">
        <v>111</v>
      </c>
      <c r="V40" s="11" t="s">
        <v>112</v>
      </c>
      <c r="W40" s="11" t="s">
        <v>112</v>
      </c>
      <c r="X40" s="60"/>
      <c r="Y40" s="11" t="s">
        <v>112</v>
      </c>
      <c r="Z40" s="11" t="s">
        <v>112</v>
      </c>
      <c r="AA40" s="11" t="s">
        <v>111</v>
      </c>
      <c r="AB40" s="11" t="s">
        <v>111</v>
      </c>
      <c r="AC40" s="11" t="s">
        <v>111</v>
      </c>
      <c r="AD40" s="11" t="s">
        <v>112</v>
      </c>
      <c r="AE40" s="60"/>
      <c r="AF40" s="11" t="s">
        <v>112</v>
      </c>
      <c r="AG40" s="11" t="s">
        <v>112</v>
      </c>
      <c r="AH40" s="11" t="s">
        <v>112</v>
      </c>
      <c r="AI40" s="11" t="s">
        <v>112</v>
      </c>
      <c r="AJ40" s="5">
        <f t="shared" si="2"/>
        <v>18</v>
      </c>
      <c r="AK40" s="5">
        <f t="shared" si="1"/>
        <v>9</v>
      </c>
    </row>
    <row r="41" spans="1:37" x14ac:dyDescent="0.25">
      <c r="A41" s="13">
        <v>14</v>
      </c>
      <c r="B41" s="34" t="s">
        <v>604</v>
      </c>
      <c r="C41" s="34" t="s">
        <v>50</v>
      </c>
      <c r="D41" s="11" t="s">
        <v>556</v>
      </c>
      <c r="E41" s="11" t="s">
        <v>112</v>
      </c>
      <c r="F41" s="11" t="s">
        <v>112</v>
      </c>
      <c r="G41" s="11" t="s">
        <v>112</v>
      </c>
      <c r="H41" s="11" t="s">
        <v>111</v>
      </c>
      <c r="I41" s="11" t="s">
        <v>111</v>
      </c>
      <c r="J41" s="60"/>
      <c r="K41" s="11" t="s">
        <v>111</v>
      </c>
      <c r="L41" s="11" t="s">
        <v>112</v>
      </c>
      <c r="M41" s="11" t="s">
        <v>112</v>
      </c>
      <c r="N41" s="11" t="s">
        <v>112</v>
      </c>
      <c r="O41" s="11" t="s">
        <v>112</v>
      </c>
      <c r="P41" s="11" t="s">
        <v>112</v>
      </c>
      <c r="Q41" s="60"/>
      <c r="R41" s="11" t="s">
        <v>112</v>
      </c>
      <c r="S41" s="11" t="s">
        <v>112</v>
      </c>
      <c r="T41" s="11" t="s">
        <v>112</v>
      </c>
      <c r="U41" s="11" t="s">
        <v>111</v>
      </c>
      <c r="V41" s="11" t="s">
        <v>112</v>
      </c>
      <c r="W41" s="11" t="s">
        <v>111</v>
      </c>
      <c r="X41" s="60"/>
      <c r="Y41" s="11" t="s">
        <v>112</v>
      </c>
      <c r="Z41" s="11" t="s">
        <v>111</v>
      </c>
      <c r="AA41" s="11" t="s">
        <v>111</v>
      </c>
      <c r="AB41" s="11" t="s">
        <v>111</v>
      </c>
      <c r="AC41" s="11" t="s">
        <v>111</v>
      </c>
      <c r="AD41" s="11" t="s">
        <v>111</v>
      </c>
      <c r="AE41" s="60"/>
      <c r="AF41" s="11" t="s">
        <v>112</v>
      </c>
      <c r="AG41" s="11" t="s">
        <v>112</v>
      </c>
      <c r="AH41" s="11" t="s">
        <v>112</v>
      </c>
      <c r="AI41" s="11" t="s">
        <v>112</v>
      </c>
      <c r="AJ41" s="5">
        <f t="shared" si="2"/>
        <v>17</v>
      </c>
      <c r="AK41" s="5">
        <f t="shared" si="1"/>
        <v>10</v>
      </c>
    </row>
    <row r="42" spans="1:37" x14ac:dyDescent="0.25">
      <c r="A42" s="13">
        <v>15</v>
      </c>
      <c r="B42" s="34" t="s">
        <v>605</v>
      </c>
      <c r="C42" s="34" t="s">
        <v>599</v>
      </c>
      <c r="D42" s="11" t="s">
        <v>556</v>
      </c>
      <c r="E42" s="11" t="s">
        <v>112</v>
      </c>
      <c r="F42" s="11" t="s">
        <v>112</v>
      </c>
      <c r="G42" s="11" t="s">
        <v>112</v>
      </c>
      <c r="H42" s="11" t="s">
        <v>111</v>
      </c>
      <c r="I42" s="11" t="s">
        <v>111</v>
      </c>
      <c r="J42" s="60"/>
      <c r="K42" s="11" t="s">
        <v>111</v>
      </c>
      <c r="L42" s="11" t="s">
        <v>112</v>
      </c>
      <c r="M42" s="11" t="s">
        <v>112</v>
      </c>
      <c r="N42" s="11" t="s">
        <v>112</v>
      </c>
      <c r="O42" s="11" t="s">
        <v>112</v>
      </c>
      <c r="P42" s="11" t="s">
        <v>112</v>
      </c>
      <c r="Q42" s="60"/>
      <c r="R42" s="11" t="s">
        <v>112</v>
      </c>
      <c r="S42" s="11" t="s">
        <v>112</v>
      </c>
      <c r="T42" s="11" t="s">
        <v>112</v>
      </c>
      <c r="U42" s="11" t="s">
        <v>112</v>
      </c>
      <c r="V42" s="11" t="s">
        <v>112</v>
      </c>
      <c r="W42" s="11" t="s">
        <v>111</v>
      </c>
      <c r="X42" s="60"/>
      <c r="Y42" s="11" t="s">
        <v>112</v>
      </c>
      <c r="Z42" s="11" t="s">
        <v>111</v>
      </c>
      <c r="AA42" s="11" t="s">
        <v>111</v>
      </c>
      <c r="AB42" s="11" t="s">
        <v>112</v>
      </c>
      <c r="AC42" s="11" t="s">
        <v>112</v>
      </c>
      <c r="AD42" s="11" t="s">
        <v>112</v>
      </c>
      <c r="AE42" s="60"/>
      <c r="AF42" s="11" t="s">
        <v>112</v>
      </c>
      <c r="AG42" s="11" t="s">
        <v>112</v>
      </c>
      <c r="AH42" s="11" t="s">
        <v>112</v>
      </c>
      <c r="AI42" s="11" t="s">
        <v>112</v>
      </c>
      <c r="AJ42" s="5">
        <f t="shared" si="2"/>
        <v>21</v>
      </c>
      <c r="AK42" s="5">
        <f t="shared" si="1"/>
        <v>6</v>
      </c>
    </row>
    <row r="43" spans="1:37" x14ac:dyDescent="0.25">
      <c r="A43" s="13">
        <v>16</v>
      </c>
      <c r="B43" s="34" t="s">
        <v>606</v>
      </c>
      <c r="C43" s="34" t="s">
        <v>64</v>
      </c>
      <c r="D43" s="11" t="s">
        <v>556</v>
      </c>
      <c r="E43" s="11" t="s">
        <v>112</v>
      </c>
      <c r="F43" s="11" t="s">
        <v>111</v>
      </c>
      <c r="G43" s="11" t="s">
        <v>112</v>
      </c>
      <c r="H43" s="11" t="s">
        <v>112</v>
      </c>
      <c r="I43" s="11" t="s">
        <v>112</v>
      </c>
      <c r="J43" s="60"/>
      <c r="K43" s="11" t="s">
        <v>111</v>
      </c>
      <c r="L43" s="11" t="s">
        <v>112</v>
      </c>
      <c r="M43" s="11" t="s">
        <v>112</v>
      </c>
      <c r="N43" s="11" t="s">
        <v>112</v>
      </c>
      <c r="O43" s="11" t="s">
        <v>112</v>
      </c>
      <c r="P43" s="11" t="s">
        <v>112</v>
      </c>
      <c r="Q43" s="60"/>
      <c r="R43" s="11" t="s">
        <v>112</v>
      </c>
      <c r="S43" s="11" t="s">
        <v>112</v>
      </c>
      <c r="T43" s="11" t="s">
        <v>112</v>
      </c>
      <c r="U43" s="11" t="s">
        <v>112</v>
      </c>
      <c r="V43" s="11" t="s">
        <v>112</v>
      </c>
      <c r="W43" s="11" t="s">
        <v>112</v>
      </c>
      <c r="X43" s="60"/>
      <c r="Y43" s="11" t="s">
        <v>111</v>
      </c>
      <c r="Z43" s="11" t="s">
        <v>112</v>
      </c>
      <c r="AA43" s="11" t="s">
        <v>111</v>
      </c>
      <c r="AB43" s="11" t="s">
        <v>111</v>
      </c>
      <c r="AC43" s="11" t="s">
        <v>111</v>
      </c>
      <c r="AD43" s="11" t="s">
        <v>111</v>
      </c>
      <c r="AE43" s="60"/>
      <c r="AF43" s="11" t="s">
        <v>112</v>
      </c>
      <c r="AG43" s="11" t="s">
        <v>112</v>
      </c>
      <c r="AH43" s="11" t="s">
        <v>111</v>
      </c>
      <c r="AI43" s="11" t="s">
        <v>111</v>
      </c>
      <c r="AJ43" s="5">
        <f t="shared" si="2"/>
        <v>18</v>
      </c>
      <c r="AK43" s="5">
        <f t="shared" si="1"/>
        <v>8</v>
      </c>
    </row>
    <row r="44" spans="1:37" x14ac:dyDescent="0.25">
      <c r="A44" s="13">
        <v>17</v>
      </c>
      <c r="B44" s="34" t="s">
        <v>607</v>
      </c>
      <c r="C44" s="34" t="s">
        <v>608</v>
      </c>
      <c r="D44" s="11" t="s">
        <v>556</v>
      </c>
      <c r="E44" s="11" t="s">
        <v>111</v>
      </c>
      <c r="F44" s="11" t="s">
        <v>112</v>
      </c>
      <c r="G44" s="11" t="s">
        <v>112</v>
      </c>
      <c r="H44" s="11" t="s">
        <v>112</v>
      </c>
      <c r="I44" s="11" t="s">
        <v>112</v>
      </c>
      <c r="J44" s="60"/>
      <c r="K44" s="11" t="s">
        <v>112</v>
      </c>
      <c r="L44" s="11" t="s">
        <v>111</v>
      </c>
      <c r="M44" s="11" t="s">
        <v>112</v>
      </c>
      <c r="N44" s="11" t="s">
        <v>111</v>
      </c>
      <c r="O44" s="11" t="s">
        <v>112</v>
      </c>
      <c r="P44" s="11" t="s">
        <v>112</v>
      </c>
      <c r="Q44" s="60"/>
      <c r="R44" s="11" t="s">
        <v>112</v>
      </c>
      <c r="S44" s="11" t="s">
        <v>111</v>
      </c>
      <c r="T44" s="11" t="s">
        <v>111</v>
      </c>
      <c r="U44" s="11" t="s">
        <v>112</v>
      </c>
      <c r="V44" s="11" t="s">
        <v>111</v>
      </c>
      <c r="W44" s="11" t="s">
        <v>111</v>
      </c>
      <c r="X44" s="60"/>
      <c r="Y44" s="11" t="s">
        <v>111</v>
      </c>
      <c r="Z44" s="11" t="s">
        <v>111</v>
      </c>
      <c r="AA44" s="11" t="s">
        <v>111</v>
      </c>
      <c r="AB44" s="11" t="s">
        <v>111</v>
      </c>
      <c r="AC44" s="11" t="s">
        <v>111</v>
      </c>
      <c r="AD44" s="11" t="s">
        <v>111</v>
      </c>
      <c r="AE44" s="60"/>
      <c r="AF44" s="11" t="s">
        <v>111</v>
      </c>
      <c r="AG44" s="11" t="s">
        <v>112</v>
      </c>
      <c r="AH44" s="11" t="s">
        <v>112</v>
      </c>
      <c r="AI44" s="11" t="s">
        <v>112</v>
      </c>
      <c r="AJ44" s="5">
        <f t="shared" si="2"/>
        <v>13</v>
      </c>
      <c r="AK44" s="5">
        <f t="shared" si="1"/>
        <v>14</v>
      </c>
    </row>
    <row r="45" spans="1:37" x14ac:dyDescent="0.25">
      <c r="A45" s="13">
        <v>18</v>
      </c>
      <c r="B45" s="34" t="s">
        <v>609</v>
      </c>
      <c r="C45" s="34" t="s">
        <v>136</v>
      </c>
      <c r="D45" s="11" t="s">
        <v>556</v>
      </c>
      <c r="E45" s="11" t="s">
        <v>112</v>
      </c>
      <c r="F45" s="11" t="s">
        <v>112</v>
      </c>
      <c r="G45" s="11" t="s">
        <v>112</v>
      </c>
      <c r="H45" s="11" t="s">
        <v>112</v>
      </c>
      <c r="I45" s="11" t="s">
        <v>112</v>
      </c>
      <c r="J45" s="60"/>
      <c r="K45" s="11" t="s">
        <v>112</v>
      </c>
      <c r="L45" s="11" t="s">
        <v>112</v>
      </c>
      <c r="M45" s="11" t="s">
        <v>112</v>
      </c>
      <c r="N45" s="11" t="s">
        <v>112</v>
      </c>
      <c r="O45" s="11" t="s">
        <v>112</v>
      </c>
      <c r="P45" s="11" t="s">
        <v>112</v>
      </c>
      <c r="Q45" s="60"/>
      <c r="R45" s="11" t="s">
        <v>112</v>
      </c>
      <c r="S45" s="11" t="s">
        <v>112</v>
      </c>
      <c r="T45" s="11" t="s">
        <v>112</v>
      </c>
      <c r="U45" s="11" t="s">
        <v>111</v>
      </c>
      <c r="V45" s="11" t="s">
        <v>112</v>
      </c>
      <c r="W45" s="11" t="s">
        <v>112</v>
      </c>
      <c r="X45" s="60"/>
      <c r="Y45" s="11" t="s">
        <v>112</v>
      </c>
      <c r="Z45" s="11" t="s">
        <v>112</v>
      </c>
      <c r="AA45" s="11" t="s">
        <v>112</v>
      </c>
      <c r="AB45" s="11" t="s">
        <v>112</v>
      </c>
      <c r="AC45" s="11" t="s">
        <v>112</v>
      </c>
      <c r="AD45" s="11" t="s">
        <v>112</v>
      </c>
      <c r="AE45" s="60"/>
      <c r="AF45" s="11" t="s">
        <v>112</v>
      </c>
      <c r="AG45" s="11" t="s">
        <v>112</v>
      </c>
      <c r="AH45" s="11" t="s">
        <v>112</v>
      </c>
      <c r="AI45" s="11" t="s">
        <v>112</v>
      </c>
      <c r="AJ45" s="5">
        <f t="shared" si="2"/>
        <v>26</v>
      </c>
      <c r="AK45" s="5">
        <f t="shared" si="1"/>
        <v>1</v>
      </c>
    </row>
    <row r="46" spans="1:37" x14ac:dyDescent="0.25">
      <c r="A46" s="13">
        <v>19</v>
      </c>
      <c r="B46" s="34" t="s">
        <v>610</v>
      </c>
      <c r="C46" s="34" t="s">
        <v>611</v>
      </c>
      <c r="D46" s="11" t="s">
        <v>556</v>
      </c>
      <c r="E46" s="11" t="s">
        <v>112</v>
      </c>
      <c r="F46" s="11" t="s">
        <v>111</v>
      </c>
      <c r="G46" s="11" t="s">
        <v>112</v>
      </c>
      <c r="H46" s="11" t="s">
        <v>112</v>
      </c>
      <c r="I46" s="11" t="s">
        <v>112</v>
      </c>
      <c r="J46" s="60"/>
      <c r="K46" s="11" t="s">
        <v>112</v>
      </c>
      <c r="L46" s="11" t="s">
        <v>112</v>
      </c>
      <c r="M46" s="11" t="s">
        <v>112</v>
      </c>
      <c r="N46" s="11" t="s">
        <v>112</v>
      </c>
      <c r="O46" s="11" t="s">
        <v>111</v>
      </c>
      <c r="P46" s="11" t="s">
        <v>112</v>
      </c>
      <c r="Q46" s="60"/>
      <c r="R46" s="11" t="s">
        <v>112</v>
      </c>
      <c r="S46" s="11" t="s">
        <v>111</v>
      </c>
      <c r="T46" s="11" t="s">
        <v>112</v>
      </c>
      <c r="U46" s="11" t="s">
        <v>112</v>
      </c>
      <c r="V46" s="11" t="s">
        <v>112</v>
      </c>
      <c r="W46" s="11" t="s">
        <v>112</v>
      </c>
      <c r="X46" s="60"/>
      <c r="Y46" s="11" t="s">
        <v>112</v>
      </c>
      <c r="Z46" s="11" t="s">
        <v>112</v>
      </c>
      <c r="AA46" s="11" t="s">
        <v>112</v>
      </c>
      <c r="AB46" s="11" t="s">
        <v>112</v>
      </c>
      <c r="AC46" s="11" t="s">
        <v>112</v>
      </c>
      <c r="AD46" s="11" t="s">
        <v>111</v>
      </c>
      <c r="AE46" s="60"/>
      <c r="AF46" s="11" t="s">
        <v>111</v>
      </c>
      <c r="AG46" s="11" t="s">
        <v>112</v>
      </c>
      <c r="AH46" s="11" t="s">
        <v>111</v>
      </c>
      <c r="AI46" s="11" t="s">
        <v>112</v>
      </c>
      <c r="AJ46" s="5">
        <f t="shared" si="2"/>
        <v>21</v>
      </c>
      <c r="AK46" s="5">
        <f t="shared" si="1"/>
        <v>6</v>
      </c>
    </row>
    <row r="47" spans="1:37" x14ac:dyDescent="0.25">
      <c r="A47" s="13">
        <v>20</v>
      </c>
      <c r="B47" s="34" t="s">
        <v>612</v>
      </c>
      <c r="C47" s="34" t="s">
        <v>581</v>
      </c>
      <c r="D47" s="11" t="s">
        <v>556</v>
      </c>
      <c r="E47" s="11" t="s">
        <v>112</v>
      </c>
      <c r="F47" s="11" t="s">
        <v>112</v>
      </c>
      <c r="G47" s="11" t="s">
        <v>112</v>
      </c>
      <c r="H47" s="11" t="s">
        <v>112</v>
      </c>
      <c r="I47" s="11" t="s">
        <v>112</v>
      </c>
      <c r="J47" s="60"/>
      <c r="K47" s="11" t="s">
        <v>112</v>
      </c>
      <c r="L47" s="11" t="s">
        <v>112</v>
      </c>
      <c r="M47" s="11" t="s">
        <v>112</v>
      </c>
      <c r="N47" s="11" t="s">
        <v>112</v>
      </c>
      <c r="O47" s="11" t="s">
        <v>112</v>
      </c>
      <c r="P47" s="11" t="s">
        <v>112</v>
      </c>
      <c r="Q47" s="60"/>
      <c r="R47" s="11" t="s">
        <v>111</v>
      </c>
      <c r="S47" s="11" t="s">
        <v>111</v>
      </c>
      <c r="T47" s="11" t="s">
        <v>111</v>
      </c>
      <c r="U47" s="11" t="s">
        <v>111</v>
      </c>
      <c r="V47" s="11" t="s">
        <v>111</v>
      </c>
      <c r="W47" s="11" t="s">
        <v>111</v>
      </c>
      <c r="X47" s="60"/>
      <c r="Y47" s="11" t="s">
        <v>111</v>
      </c>
      <c r="Z47" s="11" t="s">
        <v>111</v>
      </c>
      <c r="AA47" s="11" t="s">
        <v>111</v>
      </c>
      <c r="AB47" s="11" t="s">
        <v>111</v>
      </c>
      <c r="AC47" s="11" t="s">
        <v>111</v>
      </c>
      <c r="AD47" s="11" t="s">
        <v>112</v>
      </c>
      <c r="AE47" s="60"/>
      <c r="AF47" s="11" t="s">
        <v>112</v>
      </c>
      <c r="AG47" s="11" t="s">
        <v>111</v>
      </c>
      <c r="AH47" s="11" t="s">
        <v>112</v>
      </c>
      <c r="AI47" s="11" t="s">
        <v>112</v>
      </c>
      <c r="AJ47" s="5">
        <f t="shared" si="2"/>
        <v>15</v>
      </c>
      <c r="AK47" s="5">
        <f t="shared" si="1"/>
        <v>12</v>
      </c>
    </row>
    <row r="48" spans="1:37" x14ac:dyDescent="0.25">
      <c r="A48" s="13">
        <v>21</v>
      </c>
      <c r="B48" s="34" t="s">
        <v>613</v>
      </c>
      <c r="C48" s="34" t="s">
        <v>614</v>
      </c>
      <c r="D48" s="11" t="s">
        <v>556</v>
      </c>
      <c r="E48" s="11" t="s">
        <v>112</v>
      </c>
      <c r="F48" s="11" t="s">
        <v>111</v>
      </c>
      <c r="G48" s="11" t="s">
        <v>112</v>
      </c>
      <c r="H48" s="11" t="s">
        <v>112</v>
      </c>
      <c r="I48" s="11" t="s">
        <v>112</v>
      </c>
      <c r="J48" s="60"/>
      <c r="K48" s="11" t="s">
        <v>112</v>
      </c>
      <c r="L48" s="11" t="s">
        <v>112</v>
      </c>
      <c r="M48" s="11" t="s">
        <v>112</v>
      </c>
      <c r="N48" s="11" t="s">
        <v>112</v>
      </c>
      <c r="O48" s="11" t="s">
        <v>112</v>
      </c>
      <c r="P48" s="11" t="s">
        <v>112</v>
      </c>
      <c r="Q48" s="60"/>
      <c r="R48" s="11" t="s">
        <v>112</v>
      </c>
      <c r="S48" s="11" t="s">
        <v>112</v>
      </c>
      <c r="T48" s="11" t="s">
        <v>111</v>
      </c>
      <c r="U48" s="11" t="s">
        <v>112</v>
      </c>
      <c r="V48" s="11" t="s">
        <v>112</v>
      </c>
      <c r="W48" s="11" t="s">
        <v>111</v>
      </c>
      <c r="X48" s="60"/>
      <c r="Y48" s="11" t="s">
        <v>112</v>
      </c>
      <c r="Z48" s="11" t="s">
        <v>112</v>
      </c>
      <c r="AA48" s="11" t="s">
        <v>112</v>
      </c>
      <c r="AB48" s="11" t="s">
        <v>111</v>
      </c>
      <c r="AC48" s="11" t="s">
        <v>112</v>
      </c>
      <c r="AD48" s="11" t="s">
        <v>111</v>
      </c>
      <c r="AE48" s="60"/>
      <c r="AF48" s="11" t="s">
        <v>111</v>
      </c>
      <c r="AG48" s="11" t="s">
        <v>112</v>
      </c>
      <c r="AH48" s="11" t="s">
        <v>112</v>
      </c>
      <c r="AI48" s="11" t="s">
        <v>111</v>
      </c>
      <c r="AJ48" s="5">
        <f t="shared" si="2"/>
        <v>20</v>
      </c>
      <c r="AK48" s="5">
        <f t="shared" si="1"/>
        <v>6</v>
      </c>
    </row>
    <row r="49" spans="1:37" x14ac:dyDescent="0.25">
      <c r="A49" s="13">
        <v>22</v>
      </c>
      <c r="B49" s="34" t="s">
        <v>615</v>
      </c>
      <c r="C49" s="34" t="s">
        <v>616</v>
      </c>
      <c r="D49" s="11" t="s">
        <v>556</v>
      </c>
      <c r="E49" s="11" t="s">
        <v>112</v>
      </c>
      <c r="F49" s="11" t="s">
        <v>112</v>
      </c>
      <c r="G49" s="11" t="s">
        <v>112</v>
      </c>
      <c r="H49" s="11" t="s">
        <v>112</v>
      </c>
      <c r="I49" s="11" t="s">
        <v>112</v>
      </c>
      <c r="J49" s="60"/>
      <c r="K49" s="11" t="s">
        <v>112</v>
      </c>
      <c r="L49" s="11" t="s">
        <v>111</v>
      </c>
      <c r="M49" s="11" t="s">
        <v>112</v>
      </c>
      <c r="N49" s="11" t="s">
        <v>112</v>
      </c>
      <c r="O49" s="11" t="s">
        <v>112</v>
      </c>
      <c r="P49" s="11" t="s">
        <v>112</v>
      </c>
      <c r="Q49" s="60"/>
      <c r="R49" s="11" t="s">
        <v>112</v>
      </c>
      <c r="S49" s="11" t="s">
        <v>112</v>
      </c>
      <c r="T49" s="11" t="s">
        <v>112</v>
      </c>
      <c r="U49" s="11" t="s">
        <v>112</v>
      </c>
      <c r="V49" s="11" t="s">
        <v>112</v>
      </c>
      <c r="W49" s="11" t="s">
        <v>112</v>
      </c>
      <c r="X49" s="60"/>
      <c r="Y49" s="11" t="s">
        <v>111</v>
      </c>
      <c r="Z49" s="11" t="s">
        <v>112</v>
      </c>
      <c r="AA49" s="11" t="s">
        <v>112</v>
      </c>
      <c r="AB49" s="11" t="s">
        <v>112</v>
      </c>
      <c r="AC49" s="11" t="s">
        <v>111</v>
      </c>
      <c r="AD49" s="11" t="s">
        <v>111</v>
      </c>
      <c r="AE49" s="60"/>
      <c r="AF49" s="11" t="s">
        <v>112</v>
      </c>
      <c r="AG49" s="11" t="s">
        <v>112</v>
      </c>
      <c r="AH49" s="11" t="s">
        <v>112</v>
      </c>
      <c r="AI49" s="11" t="s">
        <v>112</v>
      </c>
      <c r="AJ49" s="5">
        <f t="shared" si="2"/>
        <v>23</v>
      </c>
      <c r="AK49" s="5">
        <f t="shared" si="1"/>
        <v>4</v>
      </c>
    </row>
    <row r="50" spans="1:37" x14ac:dyDescent="0.25">
      <c r="A50" s="13">
        <v>23</v>
      </c>
      <c r="B50" s="34" t="s">
        <v>617</v>
      </c>
      <c r="C50" s="34" t="s">
        <v>618</v>
      </c>
      <c r="D50" s="11" t="s">
        <v>556</v>
      </c>
      <c r="E50" s="11" t="s">
        <v>586</v>
      </c>
      <c r="F50" s="11" t="s">
        <v>112</v>
      </c>
      <c r="G50" s="11" t="s">
        <v>586</v>
      </c>
      <c r="H50" s="11" t="s">
        <v>112</v>
      </c>
      <c r="I50" s="11" t="s">
        <v>112</v>
      </c>
      <c r="J50" s="61"/>
      <c r="K50" s="11" t="s">
        <v>112</v>
      </c>
      <c r="L50" s="11" t="s">
        <v>111</v>
      </c>
      <c r="M50" s="11" t="s">
        <v>111</v>
      </c>
      <c r="N50" s="11" t="s">
        <v>112</v>
      </c>
      <c r="O50" s="11" t="s">
        <v>112</v>
      </c>
      <c r="P50" s="11" t="s">
        <v>112</v>
      </c>
      <c r="Q50" s="61"/>
      <c r="R50" s="11" t="s">
        <v>112</v>
      </c>
      <c r="S50" s="11" t="s">
        <v>112</v>
      </c>
      <c r="T50" s="11" t="s">
        <v>111</v>
      </c>
      <c r="U50" s="11" t="s">
        <v>112</v>
      </c>
      <c r="V50" s="11" t="s">
        <v>112</v>
      </c>
      <c r="W50" s="11" t="s">
        <v>112</v>
      </c>
      <c r="X50" s="61"/>
      <c r="Y50" s="11" t="s">
        <v>112</v>
      </c>
      <c r="Z50" s="11" t="s">
        <v>112</v>
      </c>
      <c r="AA50" s="11" t="s">
        <v>111</v>
      </c>
      <c r="AB50" s="11" t="s">
        <v>111</v>
      </c>
      <c r="AC50" s="11" t="s">
        <v>111</v>
      </c>
      <c r="AD50" s="11" t="s">
        <v>111</v>
      </c>
      <c r="AE50" s="61"/>
      <c r="AF50" s="11" t="s">
        <v>112</v>
      </c>
      <c r="AG50" s="11" t="s">
        <v>112</v>
      </c>
      <c r="AH50" s="11" t="s">
        <v>112</v>
      </c>
      <c r="AI50" s="11" t="s">
        <v>112</v>
      </c>
      <c r="AJ50" s="5">
        <f t="shared" si="2"/>
        <v>18</v>
      </c>
      <c r="AK50" s="5">
        <f t="shared" si="1"/>
        <v>7</v>
      </c>
    </row>
  </sheetData>
  <mergeCells count="15">
    <mergeCell ref="A1:AK1"/>
    <mergeCell ref="A2:AK2"/>
    <mergeCell ref="A3:A4"/>
    <mergeCell ref="B3:B4"/>
    <mergeCell ref="C3:C4"/>
    <mergeCell ref="D3:D4"/>
    <mergeCell ref="AJ3:AJ4"/>
    <mergeCell ref="AK3:AK4"/>
    <mergeCell ref="AL3:AM3"/>
    <mergeCell ref="J5:J50"/>
    <mergeCell ref="Q5:Q50"/>
    <mergeCell ref="X5:X50"/>
    <mergeCell ref="AE5:AE50"/>
    <mergeCell ref="AL9:AO9"/>
    <mergeCell ref="AL17:AO17"/>
  </mergeCells>
  <conditionalFormatting sqref="E5:Q5 X5 AE5 R5:W50 Y5:AD50 AF5:AI50 E6:I50 K6:P50 E4:AI4">
    <cfRule type="expression" dxfId="120" priority="17">
      <formula>IF(E$4=TODAY(),TRUE,FALSE)</formula>
    </cfRule>
  </conditionalFormatting>
  <conditionalFormatting sqref="E5:Q5 X5 AE5 R5:W50 Y5:AD50 AF5:AI50 E6:I50 K6:P50">
    <cfRule type="cellIs" dxfId="119" priority="14" operator="equal">
      <formula>"L"</formula>
    </cfRule>
    <cfRule type="cellIs" dxfId="118" priority="15" operator="equal">
      <formula>"A"</formula>
    </cfRule>
    <cfRule type="cellIs" dxfId="117" priority="16" operator="equal">
      <formula>"P"</formula>
    </cfRule>
  </conditionalFormatting>
  <conditionalFormatting sqref="E3:AI4 E5:Q5 X5 AE5 R5:W50 Y5:AD50 AF5:AI50 E6:I50 K6:P50">
    <cfRule type="expression" dxfId="116" priority="18">
      <formula>E$3="Sun"</formula>
    </cfRule>
  </conditionalFormatting>
  <conditionalFormatting sqref="AJ3:AK3 AJ5:AK50">
    <cfRule type="expression" dxfId="115" priority="19">
      <formula>#REF!="Sun"</formula>
    </cfRule>
  </conditionalFormatting>
  <conditionalFormatting sqref="AL5:AL7">
    <cfRule type="expression" dxfId="114" priority="5">
      <formula>AL$3="Sun"</formula>
    </cfRule>
  </conditionalFormatting>
  <conditionalFormatting sqref="AL10:AL13">
    <cfRule type="expression" dxfId="113" priority="2">
      <formula>AL$3="Sun"</formula>
    </cfRule>
  </conditionalFormatting>
  <conditionalFormatting sqref="AL18:AL21">
    <cfRule type="expression" dxfId="112" priority="1">
      <formula>AL$3="Sun"</formula>
    </cfRule>
  </conditionalFormatting>
  <conditionalFormatting sqref="AL4:AM4">
    <cfRule type="expression" dxfId="111" priority="6">
      <formula>AL$3="Sun"</formula>
    </cfRule>
  </conditionalFormatting>
  <conditionalFormatting sqref="AM10:AO10 AM18:AO18">
    <cfRule type="expression" dxfId="110" priority="7">
      <formula>AM$3="Sun"</formula>
    </cfRule>
  </conditionalFormatting>
  <conditionalFormatting sqref="AO19">
    <cfRule type="expression" dxfId="109" priority="4">
      <formula>AO$3="Sun"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649D-66ED-4449-9AEB-F09313F1DE1C}">
  <dimension ref="A1:AO47"/>
  <sheetViews>
    <sheetView topLeftCell="E1" workbookViewId="0">
      <selection activeCell="AN11" sqref="AN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10" width="4" style="1" bestFit="1" customWidth="1"/>
    <col min="11" max="15" width="4.5703125" style="1" customWidth="1"/>
    <col min="16" max="16" width="3.7109375" style="1" bestFit="1" customWidth="1"/>
    <col min="17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spans="1:41" ht="17.25" x14ac:dyDescent="0.3">
      <c r="A2" s="46" t="s">
        <v>619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spans="1:41" ht="15.75" x14ac:dyDescent="0.25">
      <c r="A3" s="62" t="s">
        <v>0</v>
      </c>
      <c r="B3" s="62" t="s">
        <v>1</v>
      </c>
      <c r="C3" s="62" t="s">
        <v>2</v>
      </c>
      <c r="D3" s="62" t="s">
        <v>3</v>
      </c>
      <c r="E3" s="2" t="str">
        <f t="shared" ref="E3:AI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48" t="s">
        <v>4</v>
      </c>
      <c r="AK3" s="48" t="s">
        <v>5</v>
      </c>
      <c r="AL3" s="49" t="s">
        <v>126</v>
      </c>
      <c r="AM3" s="50"/>
      <c r="AN3" s="3"/>
      <c r="AO3" s="3"/>
    </row>
    <row r="4" spans="1:41" ht="34.5" x14ac:dyDescent="0.25">
      <c r="A4" s="63"/>
      <c r="B4" s="63"/>
      <c r="C4" s="63"/>
      <c r="D4" s="63"/>
      <c r="E4" s="20">
        <v>45566</v>
      </c>
      <c r="F4" s="20">
        <v>45567</v>
      </c>
      <c r="G4" s="20">
        <v>45568</v>
      </c>
      <c r="H4" s="20">
        <v>45569</v>
      </c>
      <c r="I4" s="20">
        <v>45570</v>
      </c>
      <c r="J4" s="20">
        <v>45571</v>
      </c>
      <c r="K4" s="20">
        <v>45572</v>
      </c>
      <c r="L4" s="20">
        <v>45573</v>
      </c>
      <c r="M4" s="20">
        <v>45574</v>
      </c>
      <c r="N4" s="20">
        <v>45575</v>
      </c>
      <c r="O4" s="20">
        <v>45576</v>
      </c>
      <c r="P4" s="20">
        <v>45577</v>
      </c>
      <c r="Q4" s="20">
        <v>45578</v>
      </c>
      <c r="R4" s="20">
        <v>45579</v>
      </c>
      <c r="S4" s="20">
        <v>45580</v>
      </c>
      <c r="T4" s="20">
        <v>45581</v>
      </c>
      <c r="U4" s="20">
        <v>45582</v>
      </c>
      <c r="V4" s="20">
        <v>45583</v>
      </c>
      <c r="W4" s="20">
        <v>45584</v>
      </c>
      <c r="X4" s="20">
        <v>45585</v>
      </c>
      <c r="Y4" s="20">
        <v>45586</v>
      </c>
      <c r="Z4" s="20">
        <v>45587</v>
      </c>
      <c r="AA4" s="20">
        <v>45588</v>
      </c>
      <c r="AB4" s="20">
        <v>45589</v>
      </c>
      <c r="AC4" s="20">
        <v>45590</v>
      </c>
      <c r="AD4" s="20">
        <v>45591</v>
      </c>
      <c r="AE4" s="20">
        <v>45592</v>
      </c>
      <c r="AF4" s="20">
        <v>45593</v>
      </c>
      <c r="AG4" s="20">
        <v>45594</v>
      </c>
      <c r="AH4" s="20">
        <v>45595</v>
      </c>
      <c r="AI4" s="20">
        <v>45596</v>
      </c>
      <c r="AJ4" s="48"/>
      <c r="AK4" s="48"/>
      <c r="AL4" s="5" t="s">
        <v>127</v>
      </c>
      <c r="AM4" s="5">
        <f>SUM(AM5:AM7)</f>
        <v>31</v>
      </c>
      <c r="AN4" s="3"/>
      <c r="AO4" s="3"/>
    </row>
    <row r="5" spans="1:41" ht="15" customHeight="1" x14ac:dyDescent="0.25">
      <c r="A5" s="6">
        <v>1</v>
      </c>
      <c r="B5" s="35" t="s">
        <v>22</v>
      </c>
      <c r="C5" s="36" t="s">
        <v>95</v>
      </c>
      <c r="D5" s="10" t="s">
        <v>620</v>
      </c>
      <c r="E5" s="11" t="s">
        <v>112</v>
      </c>
      <c r="F5" s="11" t="s">
        <v>112</v>
      </c>
      <c r="G5" s="11" t="s">
        <v>112</v>
      </c>
      <c r="H5" s="11" t="s">
        <v>112</v>
      </c>
      <c r="I5" s="11" t="s">
        <v>112</v>
      </c>
      <c r="J5" s="59" t="s">
        <v>621</v>
      </c>
      <c r="K5" s="11" t="s">
        <v>112</v>
      </c>
      <c r="L5" s="11" t="s">
        <v>112</v>
      </c>
      <c r="M5" s="11" t="s">
        <v>112</v>
      </c>
      <c r="N5" s="11" t="s">
        <v>112</v>
      </c>
      <c r="O5" s="11" t="s">
        <v>112</v>
      </c>
      <c r="P5" s="67" t="s">
        <v>622</v>
      </c>
      <c r="Q5" s="59" t="s">
        <v>621</v>
      </c>
      <c r="R5" s="11" t="s">
        <v>112</v>
      </c>
      <c r="S5" s="11" t="s">
        <v>112</v>
      </c>
      <c r="T5" s="11" t="s">
        <v>112</v>
      </c>
      <c r="U5" s="11" t="s">
        <v>111</v>
      </c>
      <c r="V5" s="11" t="s">
        <v>111</v>
      </c>
      <c r="W5" s="11" t="s">
        <v>112</v>
      </c>
      <c r="X5" s="59" t="s">
        <v>621</v>
      </c>
      <c r="Y5" s="11" t="s">
        <v>112</v>
      </c>
      <c r="Z5" s="11" t="s">
        <v>112</v>
      </c>
      <c r="AA5" s="11" t="s">
        <v>112</v>
      </c>
      <c r="AB5" s="11" t="s">
        <v>112</v>
      </c>
      <c r="AC5" s="11" t="s">
        <v>112</v>
      </c>
      <c r="AD5" s="11" t="s">
        <v>112</v>
      </c>
      <c r="AE5" s="59" t="s">
        <v>621</v>
      </c>
      <c r="AF5" s="11" t="s">
        <v>112</v>
      </c>
      <c r="AG5" s="11" t="s">
        <v>111</v>
      </c>
      <c r="AH5" s="11" t="s">
        <v>112</v>
      </c>
      <c r="AI5" s="11" t="s">
        <v>112</v>
      </c>
      <c r="AJ5" s="5">
        <f>COUNTIF(E5:AI5,"P")</f>
        <v>23</v>
      </c>
      <c r="AK5" s="5">
        <f t="shared" ref="AK5:AK47" si="1">COUNTIF(E5:AH5,"A")</f>
        <v>3</v>
      </c>
      <c r="AL5" s="5" t="s">
        <v>7</v>
      </c>
      <c r="AM5" s="13">
        <v>26</v>
      </c>
      <c r="AN5" s="14"/>
      <c r="AO5" s="3"/>
    </row>
    <row r="6" spans="1:41" x14ac:dyDescent="0.25">
      <c r="A6" s="13">
        <v>2</v>
      </c>
      <c r="B6" s="35" t="s">
        <v>623</v>
      </c>
      <c r="C6" s="36" t="s">
        <v>290</v>
      </c>
      <c r="D6" s="10" t="s">
        <v>620</v>
      </c>
      <c r="E6" s="11" t="s">
        <v>112</v>
      </c>
      <c r="F6" s="11" t="s">
        <v>112</v>
      </c>
      <c r="G6" s="11" t="s">
        <v>112</v>
      </c>
      <c r="H6" s="11" t="s">
        <v>112</v>
      </c>
      <c r="I6" s="11" t="s">
        <v>111</v>
      </c>
      <c r="J6" s="60"/>
      <c r="K6" s="11" t="s">
        <v>112</v>
      </c>
      <c r="L6" s="11" t="s">
        <v>112</v>
      </c>
      <c r="M6" s="11" t="s">
        <v>112</v>
      </c>
      <c r="N6" s="11" t="s">
        <v>112</v>
      </c>
      <c r="O6" s="11" t="s">
        <v>112</v>
      </c>
      <c r="P6" s="68"/>
      <c r="Q6" s="60"/>
      <c r="R6" s="11" t="s">
        <v>112</v>
      </c>
      <c r="S6" s="11" t="s">
        <v>112</v>
      </c>
      <c r="T6" s="11" t="s">
        <v>112</v>
      </c>
      <c r="U6" s="11" t="s">
        <v>112</v>
      </c>
      <c r="V6" s="11" t="s">
        <v>112</v>
      </c>
      <c r="W6" s="11" t="s">
        <v>112</v>
      </c>
      <c r="X6" s="60"/>
      <c r="Y6" s="11" t="s">
        <v>112</v>
      </c>
      <c r="Z6" s="11" t="s">
        <v>112</v>
      </c>
      <c r="AA6" s="11" t="s">
        <v>112</v>
      </c>
      <c r="AB6" s="11" t="s">
        <v>112</v>
      </c>
      <c r="AC6" s="11" t="s">
        <v>112</v>
      </c>
      <c r="AD6" s="11" t="s">
        <v>112</v>
      </c>
      <c r="AE6" s="60"/>
      <c r="AF6" s="11" t="s">
        <v>112</v>
      </c>
      <c r="AG6" s="11" t="s">
        <v>113</v>
      </c>
      <c r="AH6" s="11" t="s">
        <v>113</v>
      </c>
      <c r="AI6" s="11" t="s">
        <v>112</v>
      </c>
      <c r="AJ6" s="5">
        <f t="shared" ref="AJ6:AJ47" si="2">COUNTIF(E6:AI6,"P")</f>
        <v>23</v>
      </c>
      <c r="AK6" s="5">
        <f t="shared" si="1"/>
        <v>1</v>
      </c>
      <c r="AL6" s="5" t="s">
        <v>8</v>
      </c>
      <c r="AM6" s="13">
        <v>4</v>
      </c>
      <c r="AN6" s="3"/>
      <c r="AO6" s="3"/>
    </row>
    <row r="7" spans="1:41" x14ac:dyDescent="0.25">
      <c r="A7" s="6">
        <v>3</v>
      </c>
      <c r="B7" s="35" t="s">
        <v>624</v>
      </c>
      <c r="C7" s="36" t="s">
        <v>625</v>
      </c>
      <c r="D7" s="10" t="s">
        <v>620</v>
      </c>
      <c r="E7" s="11" t="s">
        <v>112</v>
      </c>
      <c r="F7" s="11" t="s">
        <v>112</v>
      </c>
      <c r="G7" s="11" t="s">
        <v>112</v>
      </c>
      <c r="H7" s="11" t="s">
        <v>112</v>
      </c>
      <c r="I7" s="11" t="s">
        <v>111</v>
      </c>
      <c r="J7" s="60"/>
      <c r="K7" s="11" t="s">
        <v>112</v>
      </c>
      <c r="L7" s="11" t="s">
        <v>112</v>
      </c>
      <c r="M7" s="11" t="s">
        <v>112</v>
      </c>
      <c r="N7" s="11" t="s">
        <v>112</v>
      </c>
      <c r="O7" s="11" t="s">
        <v>112</v>
      </c>
      <c r="P7" s="68"/>
      <c r="Q7" s="60"/>
      <c r="R7" s="11" t="s">
        <v>112</v>
      </c>
      <c r="S7" s="11" t="s">
        <v>112</v>
      </c>
      <c r="T7" s="11" t="s">
        <v>112</v>
      </c>
      <c r="U7" s="11" t="s">
        <v>112</v>
      </c>
      <c r="V7" s="11" t="s">
        <v>112</v>
      </c>
      <c r="W7" s="11" t="s">
        <v>112</v>
      </c>
      <c r="X7" s="60"/>
      <c r="Y7" s="11" t="s">
        <v>112</v>
      </c>
      <c r="Z7" s="11" t="s">
        <v>112</v>
      </c>
      <c r="AA7" s="11" t="s">
        <v>112</v>
      </c>
      <c r="AB7" s="11" t="s">
        <v>112</v>
      </c>
      <c r="AC7" s="11" t="s">
        <v>111</v>
      </c>
      <c r="AD7" s="11" t="s">
        <v>112</v>
      </c>
      <c r="AE7" s="60"/>
      <c r="AF7" s="11" t="s">
        <v>112</v>
      </c>
      <c r="AG7" s="11" t="s">
        <v>112</v>
      </c>
      <c r="AH7" s="11" t="s">
        <v>111</v>
      </c>
      <c r="AI7" s="11" t="s">
        <v>112</v>
      </c>
      <c r="AJ7" s="5">
        <f t="shared" si="2"/>
        <v>23</v>
      </c>
      <c r="AK7" s="5">
        <f t="shared" si="1"/>
        <v>3</v>
      </c>
      <c r="AL7" s="5" t="s">
        <v>394</v>
      </c>
      <c r="AM7" s="13">
        <v>1</v>
      </c>
      <c r="AN7" s="3"/>
      <c r="AO7" s="3"/>
    </row>
    <row r="8" spans="1:41" x14ac:dyDescent="0.25">
      <c r="A8" s="13">
        <v>4</v>
      </c>
      <c r="B8" s="35" t="s">
        <v>626</v>
      </c>
      <c r="C8" s="36" t="s">
        <v>95</v>
      </c>
      <c r="D8" s="10" t="s">
        <v>620</v>
      </c>
      <c r="E8" s="11" t="s">
        <v>112</v>
      </c>
      <c r="F8" s="11" t="s">
        <v>112</v>
      </c>
      <c r="G8" s="11" t="s">
        <v>112</v>
      </c>
      <c r="H8" s="11" t="s">
        <v>112</v>
      </c>
      <c r="I8" s="11" t="s">
        <v>112</v>
      </c>
      <c r="J8" s="60"/>
      <c r="K8" s="11" t="s">
        <v>112</v>
      </c>
      <c r="L8" s="11" t="s">
        <v>112</v>
      </c>
      <c r="M8" s="11" t="s">
        <v>112</v>
      </c>
      <c r="N8" s="11" t="s">
        <v>112</v>
      </c>
      <c r="O8" s="11" t="s">
        <v>112</v>
      </c>
      <c r="P8" s="68"/>
      <c r="Q8" s="60"/>
      <c r="R8" s="11" t="s">
        <v>112</v>
      </c>
      <c r="S8" s="11" t="s">
        <v>112</v>
      </c>
      <c r="T8" s="11" t="s">
        <v>112</v>
      </c>
      <c r="U8" s="11" t="s">
        <v>112</v>
      </c>
      <c r="V8" s="11" t="s">
        <v>111</v>
      </c>
      <c r="W8" s="11" t="s">
        <v>112</v>
      </c>
      <c r="X8" s="60"/>
      <c r="Y8" s="11" t="s">
        <v>112</v>
      </c>
      <c r="Z8" s="11" t="s">
        <v>112</v>
      </c>
      <c r="AA8" s="11" t="s">
        <v>112</v>
      </c>
      <c r="AB8" s="11" t="s">
        <v>112</v>
      </c>
      <c r="AC8" s="11" t="s">
        <v>112</v>
      </c>
      <c r="AD8" s="11" t="s">
        <v>112</v>
      </c>
      <c r="AE8" s="60"/>
      <c r="AF8" s="11" t="s">
        <v>112</v>
      </c>
      <c r="AG8" s="11" t="s">
        <v>112</v>
      </c>
      <c r="AH8" s="11" t="s">
        <v>112</v>
      </c>
      <c r="AI8" s="11" t="s">
        <v>112</v>
      </c>
      <c r="AJ8" s="5">
        <f t="shared" si="2"/>
        <v>25</v>
      </c>
      <c r="AK8" s="5">
        <f t="shared" si="1"/>
        <v>1</v>
      </c>
      <c r="AL8"/>
      <c r="AM8"/>
      <c r="AN8"/>
      <c r="AO8"/>
    </row>
    <row r="9" spans="1:41" ht="15.75" x14ac:dyDescent="0.25">
      <c r="A9" s="6">
        <v>5</v>
      </c>
      <c r="B9" s="35" t="s">
        <v>57</v>
      </c>
      <c r="C9" s="36" t="s">
        <v>484</v>
      </c>
      <c r="D9" s="10" t="s">
        <v>620</v>
      </c>
      <c r="E9" s="11" t="s">
        <v>112</v>
      </c>
      <c r="F9" s="11" t="s">
        <v>112</v>
      </c>
      <c r="G9" s="11" t="s">
        <v>112</v>
      </c>
      <c r="H9" s="11" t="s">
        <v>112</v>
      </c>
      <c r="I9" s="11" t="s">
        <v>111</v>
      </c>
      <c r="J9" s="60"/>
      <c r="K9" s="11" t="s">
        <v>112</v>
      </c>
      <c r="L9" s="11" t="s">
        <v>112</v>
      </c>
      <c r="M9" s="11" t="s">
        <v>111</v>
      </c>
      <c r="N9" s="11" t="s">
        <v>111</v>
      </c>
      <c r="O9" s="11" t="s">
        <v>111</v>
      </c>
      <c r="P9" s="68"/>
      <c r="Q9" s="60"/>
      <c r="R9" s="11" t="s">
        <v>111</v>
      </c>
      <c r="S9" s="11" t="s">
        <v>112</v>
      </c>
      <c r="T9" s="11" t="s">
        <v>112</v>
      </c>
      <c r="U9" s="11" t="s">
        <v>112</v>
      </c>
      <c r="V9" s="11" t="s">
        <v>111</v>
      </c>
      <c r="W9" s="11" t="s">
        <v>111</v>
      </c>
      <c r="X9" s="60"/>
      <c r="Y9" s="11" t="s">
        <v>112</v>
      </c>
      <c r="Z9" s="11" t="s">
        <v>112</v>
      </c>
      <c r="AA9" s="11" t="s">
        <v>112</v>
      </c>
      <c r="AB9" s="11" t="s">
        <v>112</v>
      </c>
      <c r="AC9" s="11" t="s">
        <v>111</v>
      </c>
      <c r="AD9" s="11" t="s">
        <v>111</v>
      </c>
      <c r="AE9" s="60"/>
      <c r="AF9" s="11" t="s">
        <v>112</v>
      </c>
      <c r="AG9" s="11" t="s">
        <v>112</v>
      </c>
      <c r="AH9" s="11" t="s">
        <v>112</v>
      </c>
      <c r="AI9" s="11" t="s">
        <v>112</v>
      </c>
      <c r="AJ9" s="5">
        <f t="shared" si="2"/>
        <v>17</v>
      </c>
      <c r="AK9" s="5">
        <f t="shared" si="1"/>
        <v>9</v>
      </c>
      <c r="AL9" s="49" t="s">
        <v>9</v>
      </c>
      <c r="AM9" s="50"/>
      <c r="AN9" s="50"/>
      <c r="AO9" s="52"/>
    </row>
    <row r="10" spans="1:41" x14ac:dyDescent="0.25">
      <c r="A10" s="13">
        <v>6</v>
      </c>
      <c r="B10" s="35" t="s">
        <v>627</v>
      </c>
      <c r="C10" s="36" t="s">
        <v>404</v>
      </c>
      <c r="D10" s="10" t="s">
        <v>620</v>
      </c>
      <c r="E10" s="11" t="s">
        <v>112</v>
      </c>
      <c r="F10" s="11" t="s">
        <v>112</v>
      </c>
      <c r="G10" s="11" t="s">
        <v>112</v>
      </c>
      <c r="H10" s="11" t="s">
        <v>111</v>
      </c>
      <c r="I10" s="11" t="s">
        <v>111</v>
      </c>
      <c r="J10" s="60"/>
      <c r="K10" s="11" t="s">
        <v>112</v>
      </c>
      <c r="L10" s="11" t="s">
        <v>112</v>
      </c>
      <c r="M10" s="11" t="s">
        <v>111</v>
      </c>
      <c r="N10" s="11" t="s">
        <v>111</v>
      </c>
      <c r="O10" s="11" t="s">
        <v>112</v>
      </c>
      <c r="P10" s="68"/>
      <c r="Q10" s="60"/>
      <c r="R10" s="11" t="s">
        <v>112</v>
      </c>
      <c r="S10" s="11" t="s">
        <v>112</v>
      </c>
      <c r="T10" s="11" t="s">
        <v>112</v>
      </c>
      <c r="U10" s="11" t="s">
        <v>112</v>
      </c>
      <c r="V10" s="11" t="s">
        <v>111</v>
      </c>
      <c r="W10" s="11" t="s">
        <v>112</v>
      </c>
      <c r="X10" s="60"/>
      <c r="Y10" s="11" t="s">
        <v>112</v>
      </c>
      <c r="Z10" s="11" t="s">
        <v>112</v>
      </c>
      <c r="AA10" s="11" t="s">
        <v>112</v>
      </c>
      <c r="AB10" s="11" t="s">
        <v>112</v>
      </c>
      <c r="AC10" s="11" t="s">
        <v>112</v>
      </c>
      <c r="AD10" s="11" t="s">
        <v>112</v>
      </c>
      <c r="AE10" s="60"/>
      <c r="AF10" s="11" t="s">
        <v>111</v>
      </c>
      <c r="AG10" s="11" t="s">
        <v>112</v>
      </c>
      <c r="AH10" s="11" t="s">
        <v>112</v>
      </c>
      <c r="AI10" s="11" t="s">
        <v>112</v>
      </c>
      <c r="AJ10" s="5">
        <f t="shared" si="2"/>
        <v>20</v>
      </c>
      <c r="AK10" s="5">
        <f t="shared" si="1"/>
        <v>6</v>
      </c>
      <c r="AL10" s="5" t="s">
        <v>10</v>
      </c>
      <c r="AM10" s="5" t="s">
        <v>11</v>
      </c>
      <c r="AN10" s="5" t="s">
        <v>12</v>
      </c>
      <c r="AO10" s="5" t="s">
        <v>13</v>
      </c>
    </row>
    <row r="11" spans="1:41" x14ac:dyDescent="0.25">
      <c r="A11" s="6">
        <v>7</v>
      </c>
      <c r="B11" s="35" t="s">
        <v>628</v>
      </c>
      <c r="C11" s="36" t="s">
        <v>452</v>
      </c>
      <c r="D11" s="10" t="s">
        <v>620</v>
      </c>
      <c r="E11" s="11" t="s">
        <v>112</v>
      </c>
      <c r="F11" s="11" t="s">
        <v>112</v>
      </c>
      <c r="G11" s="11" t="s">
        <v>112</v>
      </c>
      <c r="H11" s="11" t="s">
        <v>112</v>
      </c>
      <c r="I11" s="11" t="s">
        <v>111</v>
      </c>
      <c r="J11" s="60"/>
      <c r="K11" s="11" t="s">
        <v>112</v>
      </c>
      <c r="L11" s="11" t="s">
        <v>112</v>
      </c>
      <c r="M11" s="11" t="s">
        <v>112</v>
      </c>
      <c r="N11" s="11" t="s">
        <v>111</v>
      </c>
      <c r="O11" s="11" t="s">
        <v>112</v>
      </c>
      <c r="P11" s="68"/>
      <c r="Q11" s="60"/>
      <c r="R11" s="11" t="s">
        <v>112</v>
      </c>
      <c r="S11" s="11" t="s">
        <v>112</v>
      </c>
      <c r="T11" s="11" t="s">
        <v>112</v>
      </c>
      <c r="U11" s="11" t="s">
        <v>111</v>
      </c>
      <c r="V11" s="11" t="s">
        <v>112</v>
      </c>
      <c r="W11" s="11" t="s">
        <v>111</v>
      </c>
      <c r="X11" s="60"/>
      <c r="Y11" s="11" t="s">
        <v>112</v>
      </c>
      <c r="Z11" s="11" t="s">
        <v>112</v>
      </c>
      <c r="AA11" s="11" t="s">
        <v>112</v>
      </c>
      <c r="AB11" s="11" t="s">
        <v>112</v>
      </c>
      <c r="AC11" s="11" t="s">
        <v>111</v>
      </c>
      <c r="AD11" s="11" t="s">
        <v>112</v>
      </c>
      <c r="AE11" s="60"/>
      <c r="AF11" s="11" t="s">
        <v>112</v>
      </c>
      <c r="AG11" s="11" t="s">
        <v>112</v>
      </c>
      <c r="AH11" s="11" t="s">
        <v>112</v>
      </c>
      <c r="AI11" s="11" t="s">
        <v>111</v>
      </c>
      <c r="AJ11" s="5">
        <f t="shared" si="2"/>
        <v>20</v>
      </c>
      <c r="AK11" s="5">
        <f t="shared" si="1"/>
        <v>5</v>
      </c>
      <c r="AL11" s="5" t="s">
        <v>14</v>
      </c>
      <c r="AM11" s="13">
        <f>17*$AM$5</f>
        <v>442</v>
      </c>
      <c r="AN11" s="13">
        <f>26*$AM$5</f>
        <v>676</v>
      </c>
      <c r="AO11" s="13">
        <f>SUM(AM11:AN11)</f>
        <v>1118</v>
      </c>
    </row>
    <row r="12" spans="1:41" x14ac:dyDescent="0.25">
      <c r="A12" s="13">
        <v>8</v>
      </c>
      <c r="B12" s="35" t="s">
        <v>629</v>
      </c>
      <c r="C12" s="36" t="s">
        <v>95</v>
      </c>
      <c r="D12" s="10" t="s">
        <v>620</v>
      </c>
      <c r="E12" s="11" t="s">
        <v>112</v>
      </c>
      <c r="F12" s="11" t="s">
        <v>112</v>
      </c>
      <c r="G12" s="11" t="s">
        <v>112</v>
      </c>
      <c r="H12" s="11" t="s">
        <v>112</v>
      </c>
      <c r="I12" s="11" t="s">
        <v>111</v>
      </c>
      <c r="J12" s="60"/>
      <c r="K12" s="11" t="s">
        <v>112</v>
      </c>
      <c r="L12" s="11" t="s">
        <v>112</v>
      </c>
      <c r="M12" s="11" t="s">
        <v>112</v>
      </c>
      <c r="N12" s="11" t="s">
        <v>112</v>
      </c>
      <c r="O12" s="11" t="s">
        <v>112</v>
      </c>
      <c r="P12" s="68"/>
      <c r="Q12" s="60"/>
      <c r="R12" s="11" t="s">
        <v>112</v>
      </c>
      <c r="S12" s="11" t="s">
        <v>112</v>
      </c>
      <c r="T12" s="11" t="s">
        <v>112</v>
      </c>
      <c r="U12" s="11" t="s">
        <v>112</v>
      </c>
      <c r="V12" s="11" t="s">
        <v>112</v>
      </c>
      <c r="W12" s="11" t="s">
        <v>112</v>
      </c>
      <c r="X12" s="60"/>
      <c r="Y12" s="11" t="s">
        <v>112</v>
      </c>
      <c r="Z12" s="11" t="s">
        <v>112</v>
      </c>
      <c r="AA12" s="11" t="s">
        <v>112</v>
      </c>
      <c r="AB12" s="11" t="s">
        <v>112</v>
      </c>
      <c r="AC12" s="11" t="s">
        <v>112</v>
      </c>
      <c r="AD12" s="11" t="s">
        <v>111</v>
      </c>
      <c r="AE12" s="60"/>
      <c r="AF12" s="11" t="s">
        <v>112</v>
      </c>
      <c r="AG12" s="11" t="s">
        <v>112</v>
      </c>
      <c r="AH12" s="11" t="s">
        <v>112</v>
      </c>
      <c r="AI12" s="11" t="s">
        <v>112</v>
      </c>
      <c r="AJ12" s="5">
        <f t="shared" si="2"/>
        <v>24</v>
      </c>
      <c r="AK12" s="5">
        <f t="shared" si="1"/>
        <v>2</v>
      </c>
      <c r="AL12" s="5" t="s">
        <v>15</v>
      </c>
      <c r="AM12" s="13">
        <f>SUM(AJ5:AJ21)</f>
        <v>383</v>
      </c>
      <c r="AN12" s="13">
        <f>SUM(AJ22:AJ47)</f>
        <v>568</v>
      </c>
      <c r="AO12" s="13">
        <f>AM12+AN12</f>
        <v>951</v>
      </c>
    </row>
    <row r="13" spans="1:41" x14ac:dyDescent="0.25">
      <c r="A13" s="6">
        <v>9</v>
      </c>
      <c r="B13" s="35" t="s">
        <v>630</v>
      </c>
      <c r="C13" s="36" t="s">
        <v>526</v>
      </c>
      <c r="D13" s="10" t="s">
        <v>620</v>
      </c>
      <c r="E13" s="11" t="s">
        <v>112</v>
      </c>
      <c r="F13" s="11" t="s">
        <v>112</v>
      </c>
      <c r="G13" s="11" t="s">
        <v>112</v>
      </c>
      <c r="H13" s="11" t="s">
        <v>112</v>
      </c>
      <c r="I13" s="11" t="s">
        <v>112</v>
      </c>
      <c r="J13" s="60"/>
      <c r="K13" s="11" t="s">
        <v>112</v>
      </c>
      <c r="L13" s="11" t="s">
        <v>112</v>
      </c>
      <c r="M13" s="11" t="s">
        <v>112</v>
      </c>
      <c r="N13" s="11" t="s">
        <v>112</v>
      </c>
      <c r="O13" s="11" t="s">
        <v>112</v>
      </c>
      <c r="P13" s="68"/>
      <c r="Q13" s="60"/>
      <c r="R13" s="11" t="s">
        <v>112</v>
      </c>
      <c r="S13" s="11" t="s">
        <v>112</v>
      </c>
      <c r="T13" s="11" t="s">
        <v>112</v>
      </c>
      <c r="U13" s="11" t="s">
        <v>112</v>
      </c>
      <c r="V13" s="11" t="s">
        <v>112</v>
      </c>
      <c r="W13" s="11" t="s">
        <v>112</v>
      </c>
      <c r="X13" s="60"/>
      <c r="Y13" s="11" t="s">
        <v>112</v>
      </c>
      <c r="Z13" s="11" t="s">
        <v>112</v>
      </c>
      <c r="AA13" s="11" t="s">
        <v>112</v>
      </c>
      <c r="AB13" s="11" t="s">
        <v>112</v>
      </c>
      <c r="AC13" s="11" t="s">
        <v>112</v>
      </c>
      <c r="AD13" s="11" t="s">
        <v>112</v>
      </c>
      <c r="AE13" s="60"/>
      <c r="AF13" s="11" t="s">
        <v>112</v>
      </c>
      <c r="AG13" s="11" t="s">
        <v>112</v>
      </c>
      <c r="AH13" s="11" t="s">
        <v>112</v>
      </c>
      <c r="AI13" s="11" t="s">
        <v>112</v>
      </c>
      <c r="AJ13" s="5">
        <f t="shared" si="2"/>
        <v>26</v>
      </c>
      <c r="AK13" s="5">
        <f t="shared" si="1"/>
        <v>0</v>
      </c>
      <c r="AL13" s="5" t="s">
        <v>16</v>
      </c>
      <c r="AM13" s="18">
        <f>AM12/AM11</f>
        <v>0.86651583710407243</v>
      </c>
      <c r="AN13" s="18">
        <f>AN12/AN11</f>
        <v>0.84023668639053251</v>
      </c>
      <c r="AO13" s="18">
        <f>AO12/AO11</f>
        <v>0.8506261180679785</v>
      </c>
    </row>
    <row r="14" spans="1:41" x14ac:dyDescent="0.25">
      <c r="A14" s="13">
        <v>10</v>
      </c>
      <c r="B14" s="35" t="s">
        <v>631</v>
      </c>
      <c r="C14" s="36" t="s">
        <v>632</v>
      </c>
      <c r="D14" s="10" t="s">
        <v>620</v>
      </c>
      <c r="E14" s="11" t="s">
        <v>112</v>
      </c>
      <c r="F14" s="11" t="s">
        <v>112</v>
      </c>
      <c r="G14" s="11" t="s">
        <v>112</v>
      </c>
      <c r="H14" s="11" t="s">
        <v>112</v>
      </c>
      <c r="I14" s="11" t="s">
        <v>112</v>
      </c>
      <c r="J14" s="60"/>
      <c r="K14" s="11" t="s">
        <v>112</v>
      </c>
      <c r="L14" s="11" t="s">
        <v>112</v>
      </c>
      <c r="M14" s="11" t="s">
        <v>112</v>
      </c>
      <c r="N14" s="11" t="s">
        <v>112</v>
      </c>
      <c r="O14" s="11" t="s">
        <v>112</v>
      </c>
      <c r="P14" s="68"/>
      <c r="Q14" s="60"/>
      <c r="R14" s="11" t="s">
        <v>112</v>
      </c>
      <c r="S14" s="11" t="s">
        <v>112</v>
      </c>
      <c r="T14" s="11" t="s">
        <v>112</v>
      </c>
      <c r="U14" s="11" t="s">
        <v>112</v>
      </c>
      <c r="V14" s="11" t="s">
        <v>112</v>
      </c>
      <c r="W14" s="11" t="s">
        <v>112</v>
      </c>
      <c r="X14" s="60"/>
      <c r="Y14" s="11" t="s">
        <v>112</v>
      </c>
      <c r="Z14" s="11" t="s">
        <v>112</v>
      </c>
      <c r="AA14" s="11" t="s">
        <v>112</v>
      </c>
      <c r="AB14" s="11" t="s">
        <v>112</v>
      </c>
      <c r="AC14" s="11" t="s">
        <v>112</v>
      </c>
      <c r="AD14" s="11" t="s">
        <v>112</v>
      </c>
      <c r="AE14" s="60"/>
      <c r="AF14" s="11" t="s">
        <v>112</v>
      </c>
      <c r="AG14" s="11" t="s">
        <v>112</v>
      </c>
      <c r="AH14" s="11" t="s">
        <v>112</v>
      </c>
      <c r="AI14" s="11" t="s">
        <v>112</v>
      </c>
      <c r="AJ14" s="5">
        <f t="shared" si="2"/>
        <v>26</v>
      </c>
      <c r="AK14" s="5">
        <f t="shared" si="1"/>
        <v>0</v>
      </c>
      <c r="AL14"/>
      <c r="AM14"/>
      <c r="AN14"/>
      <c r="AO14"/>
    </row>
    <row r="15" spans="1:41" x14ac:dyDescent="0.25">
      <c r="A15" s="6">
        <v>11</v>
      </c>
      <c r="B15" s="35" t="s">
        <v>633</v>
      </c>
      <c r="C15" s="36" t="s">
        <v>566</v>
      </c>
      <c r="D15" s="10" t="s">
        <v>620</v>
      </c>
      <c r="E15" s="11" t="s">
        <v>112</v>
      </c>
      <c r="F15" s="11" t="s">
        <v>112</v>
      </c>
      <c r="G15" s="11" t="s">
        <v>112</v>
      </c>
      <c r="H15" s="11" t="s">
        <v>112</v>
      </c>
      <c r="I15" s="11" t="s">
        <v>112</v>
      </c>
      <c r="J15" s="60"/>
      <c r="K15" s="11" t="s">
        <v>112</v>
      </c>
      <c r="L15" s="11" t="s">
        <v>111</v>
      </c>
      <c r="M15" s="11" t="s">
        <v>112</v>
      </c>
      <c r="N15" s="11" t="s">
        <v>112</v>
      </c>
      <c r="O15" s="11" t="s">
        <v>112</v>
      </c>
      <c r="P15" s="68"/>
      <c r="Q15" s="60"/>
      <c r="R15" s="11" t="s">
        <v>112</v>
      </c>
      <c r="S15" s="11" t="s">
        <v>112</v>
      </c>
      <c r="T15" s="11" t="s">
        <v>112</v>
      </c>
      <c r="U15" s="11" t="s">
        <v>112</v>
      </c>
      <c r="V15" s="11" t="s">
        <v>112</v>
      </c>
      <c r="W15" s="11" t="s">
        <v>112</v>
      </c>
      <c r="X15" s="60"/>
      <c r="Y15" s="11" t="s">
        <v>112</v>
      </c>
      <c r="Z15" s="11" t="s">
        <v>112</v>
      </c>
      <c r="AA15" s="11" t="s">
        <v>112</v>
      </c>
      <c r="AB15" s="11" t="s">
        <v>112</v>
      </c>
      <c r="AC15" s="11" t="s">
        <v>112</v>
      </c>
      <c r="AD15" s="11" t="s">
        <v>112</v>
      </c>
      <c r="AE15" s="60"/>
      <c r="AF15" s="11" t="s">
        <v>112</v>
      </c>
      <c r="AG15" s="11" t="s">
        <v>112</v>
      </c>
      <c r="AH15" s="11" t="s">
        <v>112</v>
      </c>
      <c r="AI15" s="11" t="s">
        <v>112</v>
      </c>
      <c r="AJ15" s="5">
        <f t="shared" si="2"/>
        <v>25</v>
      </c>
      <c r="AK15" s="5">
        <f t="shared" si="1"/>
        <v>1</v>
      </c>
      <c r="AL15"/>
      <c r="AM15"/>
      <c r="AN15"/>
      <c r="AO15"/>
    </row>
    <row r="16" spans="1:41" x14ac:dyDescent="0.25">
      <c r="A16" s="13">
        <v>12</v>
      </c>
      <c r="B16" s="35" t="s">
        <v>634</v>
      </c>
      <c r="C16" s="36" t="s">
        <v>333</v>
      </c>
      <c r="D16" s="10" t="s">
        <v>620</v>
      </c>
      <c r="E16" s="11" t="s">
        <v>112</v>
      </c>
      <c r="F16" s="11" t="s">
        <v>112</v>
      </c>
      <c r="G16" s="11" t="s">
        <v>111</v>
      </c>
      <c r="H16" s="11" t="s">
        <v>112</v>
      </c>
      <c r="I16" s="11" t="s">
        <v>111</v>
      </c>
      <c r="J16" s="60"/>
      <c r="K16" s="11" t="s">
        <v>111</v>
      </c>
      <c r="L16" s="11" t="s">
        <v>111</v>
      </c>
      <c r="M16" s="11" t="s">
        <v>111</v>
      </c>
      <c r="N16" s="11" t="s">
        <v>112</v>
      </c>
      <c r="O16" s="11" t="s">
        <v>111</v>
      </c>
      <c r="P16" s="68"/>
      <c r="Q16" s="60"/>
      <c r="R16" s="11" t="s">
        <v>112</v>
      </c>
      <c r="S16" s="11" t="s">
        <v>112</v>
      </c>
      <c r="T16" s="11" t="s">
        <v>112</v>
      </c>
      <c r="U16" s="11" t="s">
        <v>111</v>
      </c>
      <c r="V16" s="11" t="s">
        <v>111</v>
      </c>
      <c r="W16" s="11" t="s">
        <v>111</v>
      </c>
      <c r="X16" s="60"/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111</v>
      </c>
      <c r="AE16" s="60"/>
      <c r="AF16" s="11" t="s">
        <v>111</v>
      </c>
      <c r="AG16" s="11" t="s">
        <v>112</v>
      </c>
      <c r="AH16" s="11" t="s">
        <v>112</v>
      </c>
      <c r="AI16" s="11" t="s">
        <v>112</v>
      </c>
      <c r="AJ16" s="5">
        <f t="shared" si="2"/>
        <v>10</v>
      </c>
      <c r="AK16" s="5">
        <f t="shared" si="1"/>
        <v>16</v>
      </c>
      <c r="AL16"/>
      <c r="AM16"/>
      <c r="AN16"/>
      <c r="AO16"/>
    </row>
    <row r="17" spans="1:41" ht="15.75" x14ac:dyDescent="0.25">
      <c r="A17" s="6">
        <v>13</v>
      </c>
      <c r="B17" s="35" t="s">
        <v>635</v>
      </c>
      <c r="C17" s="36" t="s">
        <v>636</v>
      </c>
      <c r="D17" s="10" t="s">
        <v>620</v>
      </c>
      <c r="E17" s="11" t="s">
        <v>112</v>
      </c>
      <c r="F17" s="11" t="s">
        <v>112</v>
      </c>
      <c r="G17" s="11" t="s">
        <v>112</v>
      </c>
      <c r="H17" s="11" t="s">
        <v>112</v>
      </c>
      <c r="I17" s="11" t="s">
        <v>111</v>
      </c>
      <c r="J17" s="60"/>
      <c r="K17" s="11" t="s">
        <v>112</v>
      </c>
      <c r="L17" s="11" t="s">
        <v>112</v>
      </c>
      <c r="M17" s="11" t="s">
        <v>112</v>
      </c>
      <c r="N17" s="11" t="s">
        <v>112</v>
      </c>
      <c r="O17" s="11" t="s">
        <v>112</v>
      </c>
      <c r="P17" s="68"/>
      <c r="Q17" s="60"/>
      <c r="R17" s="11" t="s">
        <v>112</v>
      </c>
      <c r="S17" s="11" t="s">
        <v>112</v>
      </c>
      <c r="T17" s="11" t="s">
        <v>112</v>
      </c>
      <c r="U17" s="11" t="s">
        <v>112</v>
      </c>
      <c r="V17" s="11" t="s">
        <v>112</v>
      </c>
      <c r="W17" s="11" t="s">
        <v>112</v>
      </c>
      <c r="X17" s="60"/>
      <c r="Y17" s="11" t="s">
        <v>112</v>
      </c>
      <c r="Z17" s="11" t="s">
        <v>112</v>
      </c>
      <c r="AA17" s="11" t="s">
        <v>112</v>
      </c>
      <c r="AB17" s="11" t="s">
        <v>112</v>
      </c>
      <c r="AC17" s="11" t="s">
        <v>112</v>
      </c>
      <c r="AD17" s="11" t="s">
        <v>112</v>
      </c>
      <c r="AE17" s="60"/>
      <c r="AF17" s="11" t="s">
        <v>112</v>
      </c>
      <c r="AG17" s="11" t="s">
        <v>112</v>
      </c>
      <c r="AH17" s="11" t="s">
        <v>112</v>
      </c>
      <c r="AI17" s="11" t="s">
        <v>112</v>
      </c>
      <c r="AJ17" s="5">
        <f t="shared" si="2"/>
        <v>25</v>
      </c>
      <c r="AK17" s="5">
        <f t="shared" si="1"/>
        <v>1</v>
      </c>
      <c r="AL17" s="49" t="s">
        <v>128</v>
      </c>
      <c r="AM17" s="50"/>
      <c r="AN17" s="50"/>
      <c r="AO17" s="52"/>
    </row>
    <row r="18" spans="1:41" x14ac:dyDescent="0.25">
      <c r="A18" s="13">
        <v>14</v>
      </c>
      <c r="B18" s="35" t="s">
        <v>637</v>
      </c>
      <c r="C18" s="36" t="s">
        <v>638</v>
      </c>
      <c r="D18" s="10" t="s">
        <v>620</v>
      </c>
      <c r="E18" s="11" t="s">
        <v>112</v>
      </c>
      <c r="F18" s="11" t="s">
        <v>112</v>
      </c>
      <c r="G18" s="11" t="s">
        <v>112</v>
      </c>
      <c r="H18" s="11" t="s">
        <v>112</v>
      </c>
      <c r="I18" s="11" t="s">
        <v>112</v>
      </c>
      <c r="J18" s="60"/>
      <c r="K18" s="11" t="s">
        <v>112</v>
      </c>
      <c r="L18" s="11" t="s">
        <v>112</v>
      </c>
      <c r="M18" s="11" t="s">
        <v>112</v>
      </c>
      <c r="N18" s="11" t="s">
        <v>112</v>
      </c>
      <c r="O18" s="11" t="s">
        <v>112</v>
      </c>
      <c r="P18" s="68"/>
      <c r="Q18" s="60"/>
      <c r="R18" s="11" t="s">
        <v>112</v>
      </c>
      <c r="S18" s="11" t="s">
        <v>112</v>
      </c>
      <c r="T18" s="11" t="s">
        <v>112</v>
      </c>
      <c r="U18" s="11" t="s">
        <v>112</v>
      </c>
      <c r="V18" s="11" t="s">
        <v>112</v>
      </c>
      <c r="W18" s="11" t="s">
        <v>112</v>
      </c>
      <c r="X18" s="60"/>
      <c r="Y18" s="11" t="s">
        <v>112</v>
      </c>
      <c r="Z18" s="11" t="s">
        <v>112</v>
      </c>
      <c r="AA18" s="11" t="s">
        <v>112</v>
      </c>
      <c r="AB18" s="11" t="s">
        <v>112</v>
      </c>
      <c r="AC18" s="11" t="s">
        <v>112</v>
      </c>
      <c r="AD18" s="11" t="s">
        <v>112</v>
      </c>
      <c r="AE18" s="60"/>
      <c r="AF18" s="11" t="s">
        <v>112</v>
      </c>
      <c r="AG18" s="11" t="s">
        <v>112</v>
      </c>
      <c r="AH18" s="11" t="s">
        <v>112</v>
      </c>
      <c r="AI18" s="11" t="s">
        <v>111</v>
      </c>
      <c r="AJ18" s="5">
        <f t="shared" si="2"/>
        <v>25</v>
      </c>
      <c r="AK18" s="5">
        <f t="shared" si="1"/>
        <v>0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x14ac:dyDescent="0.25">
      <c r="A19" s="6">
        <v>15</v>
      </c>
      <c r="B19" s="35" t="s">
        <v>639</v>
      </c>
      <c r="C19" s="36" t="s">
        <v>182</v>
      </c>
      <c r="D19" s="10" t="s">
        <v>620</v>
      </c>
      <c r="E19" s="11" t="s">
        <v>112</v>
      </c>
      <c r="F19" s="11" t="s">
        <v>112</v>
      </c>
      <c r="G19" s="11" t="s">
        <v>112</v>
      </c>
      <c r="H19" s="11" t="s">
        <v>112</v>
      </c>
      <c r="I19" s="11" t="s">
        <v>112</v>
      </c>
      <c r="J19" s="60"/>
      <c r="K19" s="11" t="s">
        <v>112</v>
      </c>
      <c r="L19" s="11" t="s">
        <v>112</v>
      </c>
      <c r="M19" s="11" t="s">
        <v>112</v>
      </c>
      <c r="N19" s="11" t="s">
        <v>112</v>
      </c>
      <c r="O19" s="11" t="s">
        <v>112</v>
      </c>
      <c r="P19" s="68"/>
      <c r="Q19" s="60"/>
      <c r="R19" s="11" t="s">
        <v>112</v>
      </c>
      <c r="S19" s="11" t="s">
        <v>112</v>
      </c>
      <c r="T19" s="11" t="s">
        <v>112</v>
      </c>
      <c r="U19" s="11" t="s">
        <v>112</v>
      </c>
      <c r="V19" s="11" t="s">
        <v>112</v>
      </c>
      <c r="W19" s="11" t="s">
        <v>111</v>
      </c>
      <c r="X19" s="60"/>
      <c r="Y19" s="11" t="s">
        <v>112</v>
      </c>
      <c r="Z19" s="11" t="s">
        <v>112</v>
      </c>
      <c r="AA19" s="11" t="s">
        <v>112</v>
      </c>
      <c r="AB19" s="11" t="s">
        <v>112</v>
      </c>
      <c r="AC19" s="11" t="s">
        <v>112</v>
      </c>
      <c r="AD19" s="11" t="s">
        <v>112</v>
      </c>
      <c r="AE19" s="60"/>
      <c r="AF19" s="11" t="s">
        <v>112</v>
      </c>
      <c r="AG19" s="11" t="s">
        <v>112</v>
      </c>
      <c r="AH19" s="11" t="s">
        <v>112</v>
      </c>
      <c r="AI19" s="11" t="s">
        <v>112</v>
      </c>
      <c r="AJ19" s="5">
        <f t="shared" si="2"/>
        <v>25</v>
      </c>
      <c r="AK19" s="5">
        <f t="shared" si="1"/>
        <v>1</v>
      </c>
      <c r="AL19" s="5" t="s">
        <v>14</v>
      </c>
      <c r="AM19" s="13">
        <f>17*$AM$5</f>
        <v>442</v>
      </c>
      <c r="AN19" s="13">
        <f>26*$AM$5</f>
        <v>676</v>
      </c>
      <c r="AO19" s="13">
        <f>AM19+AN19</f>
        <v>1118</v>
      </c>
    </row>
    <row r="20" spans="1:41" x14ac:dyDescent="0.25">
      <c r="A20" s="13">
        <v>16</v>
      </c>
      <c r="B20" s="35" t="s">
        <v>640</v>
      </c>
      <c r="C20" s="36" t="s">
        <v>641</v>
      </c>
      <c r="D20" s="10" t="s">
        <v>620</v>
      </c>
      <c r="E20" s="11" t="s">
        <v>112</v>
      </c>
      <c r="F20" s="11" t="s">
        <v>112</v>
      </c>
      <c r="G20" s="11" t="s">
        <v>111</v>
      </c>
      <c r="H20" s="11" t="s">
        <v>112</v>
      </c>
      <c r="I20" s="11" t="s">
        <v>112</v>
      </c>
      <c r="J20" s="60"/>
      <c r="K20" s="11" t="s">
        <v>111</v>
      </c>
      <c r="L20" s="11" t="s">
        <v>112</v>
      </c>
      <c r="M20" s="11" t="s">
        <v>111</v>
      </c>
      <c r="N20" s="11" t="s">
        <v>112</v>
      </c>
      <c r="O20" s="11" t="s">
        <v>112</v>
      </c>
      <c r="P20" s="68"/>
      <c r="Q20" s="60"/>
      <c r="R20" s="11" t="s">
        <v>112</v>
      </c>
      <c r="S20" s="11" t="s">
        <v>112</v>
      </c>
      <c r="T20" s="11" t="s">
        <v>112</v>
      </c>
      <c r="U20" s="11" t="s">
        <v>112</v>
      </c>
      <c r="V20" s="11" t="s">
        <v>112</v>
      </c>
      <c r="W20" s="11" t="s">
        <v>111</v>
      </c>
      <c r="X20" s="60"/>
      <c r="Y20" s="11" t="s">
        <v>112</v>
      </c>
      <c r="Z20" s="11" t="s">
        <v>112</v>
      </c>
      <c r="AA20" s="11" t="s">
        <v>112</v>
      </c>
      <c r="AB20" s="11" t="s">
        <v>112</v>
      </c>
      <c r="AC20" s="11" t="s">
        <v>112</v>
      </c>
      <c r="AD20" s="11" t="s">
        <v>112</v>
      </c>
      <c r="AE20" s="60"/>
      <c r="AF20" s="11" t="s">
        <v>112</v>
      </c>
      <c r="AG20" s="11" t="s">
        <v>112</v>
      </c>
      <c r="AH20" s="11" t="s">
        <v>111</v>
      </c>
      <c r="AI20" s="11" t="s">
        <v>112</v>
      </c>
      <c r="AJ20" s="5">
        <f t="shared" si="2"/>
        <v>21</v>
      </c>
      <c r="AK20" s="5">
        <f t="shared" si="1"/>
        <v>5</v>
      </c>
      <c r="AL20" s="5" t="s">
        <v>17</v>
      </c>
      <c r="AM20" s="13">
        <f>AM19-AM12</f>
        <v>59</v>
      </c>
      <c r="AN20" s="13">
        <f>AN19-AN12</f>
        <v>108</v>
      </c>
      <c r="AO20" s="13">
        <f>AM20+AN20</f>
        <v>167</v>
      </c>
    </row>
    <row r="21" spans="1:41" x14ac:dyDescent="0.25">
      <c r="A21" s="6">
        <v>17</v>
      </c>
      <c r="B21" s="35" t="s">
        <v>642</v>
      </c>
      <c r="C21" s="36" t="s">
        <v>643</v>
      </c>
      <c r="D21" s="10" t="s">
        <v>620</v>
      </c>
      <c r="E21" s="11" t="s">
        <v>112</v>
      </c>
      <c r="F21" s="11" t="s">
        <v>112</v>
      </c>
      <c r="G21" s="11" t="s">
        <v>112</v>
      </c>
      <c r="H21" s="11" t="s">
        <v>112</v>
      </c>
      <c r="I21" s="11" t="s">
        <v>112</v>
      </c>
      <c r="J21" s="60"/>
      <c r="K21" s="11" t="s">
        <v>112</v>
      </c>
      <c r="L21" s="11" t="s">
        <v>112</v>
      </c>
      <c r="M21" s="11" t="s">
        <v>112</v>
      </c>
      <c r="N21" s="11" t="s">
        <v>112</v>
      </c>
      <c r="O21" s="11" t="s">
        <v>111</v>
      </c>
      <c r="P21" s="68"/>
      <c r="Q21" s="60"/>
      <c r="R21" s="11" t="s">
        <v>112</v>
      </c>
      <c r="S21" s="11" t="s">
        <v>112</v>
      </c>
      <c r="T21" s="11" t="s">
        <v>112</v>
      </c>
      <c r="U21" s="11" t="s">
        <v>112</v>
      </c>
      <c r="V21" s="11" t="s">
        <v>112</v>
      </c>
      <c r="W21" s="11" t="s">
        <v>112</v>
      </c>
      <c r="X21" s="60"/>
      <c r="Y21" s="11" t="s">
        <v>112</v>
      </c>
      <c r="Z21" s="11" t="s">
        <v>112</v>
      </c>
      <c r="AA21" s="11" t="s">
        <v>112</v>
      </c>
      <c r="AB21" s="11" t="s">
        <v>112</v>
      </c>
      <c r="AC21" s="11" t="s">
        <v>112</v>
      </c>
      <c r="AD21" s="11" t="s">
        <v>112</v>
      </c>
      <c r="AE21" s="60"/>
      <c r="AF21" s="11" t="s">
        <v>112</v>
      </c>
      <c r="AG21" s="11" t="s">
        <v>112</v>
      </c>
      <c r="AH21" s="11" t="s">
        <v>112</v>
      </c>
      <c r="AI21" s="11" t="s">
        <v>112</v>
      </c>
      <c r="AJ21" s="5">
        <f t="shared" si="2"/>
        <v>25</v>
      </c>
      <c r="AK21" s="5">
        <f t="shared" si="1"/>
        <v>1</v>
      </c>
      <c r="AL21" s="5" t="s">
        <v>16</v>
      </c>
      <c r="AM21" s="18">
        <f>AM20/AM19</f>
        <v>0.1334841628959276</v>
      </c>
      <c r="AN21" s="18">
        <f>AN20/AN19</f>
        <v>0.15976331360946747</v>
      </c>
      <c r="AO21" s="18">
        <f>AO20/AO19</f>
        <v>0.14937388193202147</v>
      </c>
    </row>
    <row r="22" spans="1:41" x14ac:dyDescent="0.25">
      <c r="A22" s="13">
        <v>1</v>
      </c>
      <c r="B22" s="35" t="s">
        <v>132</v>
      </c>
      <c r="C22" s="36" t="s">
        <v>96</v>
      </c>
      <c r="D22" s="10" t="s">
        <v>620</v>
      </c>
      <c r="E22" s="11" t="s">
        <v>112</v>
      </c>
      <c r="F22" s="11" t="s">
        <v>112</v>
      </c>
      <c r="G22" s="11" t="s">
        <v>112</v>
      </c>
      <c r="H22" s="11" t="s">
        <v>112</v>
      </c>
      <c r="I22" s="11" t="s">
        <v>112</v>
      </c>
      <c r="J22" s="60"/>
      <c r="K22" s="11" t="s">
        <v>111</v>
      </c>
      <c r="L22" s="11" t="s">
        <v>111</v>
      </c>
      <c r="M22" s="11" t="s">
        <v>112</v>
      </c>
      <c r="N22" s="11" t="s">
        <v>112</v>
      </c>
      <c r="O22" s="11" t="s">
        <v>112</v>
      </c>
      <c r="P22" s="68"/>
      <c r="Q22" s="60"/>
      <c r="R22" s="11" t="s">
        <v>112</v>
      </c>
      <c r="S22" s="11" t="s">
        <v>112</v>
      </c>
      <c r="T22" s="11" t="s">
        <v>112</v>
      </c>
      <c r="U22" s="11" t="s">
        <v>112</v>
      </c>
      <c r="V22" s="11" t="s">
        <v>112</v>
      </c>
      <c r="W22" s="11" t="s">
        <v>112</v>
      </c>
      <c r="X22" s="60"/>
      <c r="Y22" s="11" t="s">
        <v>112</v>
      </c>
      <c r="Z22" s="11" t="s">
        <v>112</v>
      </c>
      <c r="AA22" s="11" t="s">
        <v>112</v>
      </c>
      <c r="AB22" s="11" t="s">
        <v>112</v>
      </c>
      <c r="AC22" s="11" t="s">
        <v>112</v>
      </c>
      <c r="AD22" s="11" t="s">
        <v>112</v>
      </c>
      <c r="AE22" s="60"/>
      <c r="AF22" s="11" t="s">
        <v>112</v>
      </c>
      <c r="AG22" s="11" t="s">
        <v>112</v>
      </c>
      <c r="AH22" s="11" t="s">
        <v>112</v>
      </c>
      <c r="AI22" s="11" t="s">
        <v>112</v>
      </c>
      <c r="AJ22" s="5">
        <f t="shared" si="2"/>
        <v>24</v>
      </c>
      <c r="AK22" s="5">
        <f t="shared" si="1"/>
        <v>2</v>
      </c>
    </row>
    <row r="23" spans="1:41" x14ac:dyDescent="0.25">
      <c r="A23" s="6">
        <v>2</v>
      </c>
      <c r="B23" s="35" t="s">
        <v>137</v>
      </c>
      <c r="C23" s="36" t="s">
        <v>345</v>
      </c>
      <c r="D23" s="10" t="s">
        <v>620</v>
      </c>
      <c r="E23" s="11" t="s">
        <v>112</v>
      </c>
      <c r="F23" s="11" t="s">
        <v>112</v>
      </c>
      <c r="G23" s="11" t="s">
        <v>112</v>
      </c>
      <c r="H23" s="11" t="s">
        <v>112</v>
      </c>
      <c r="I23" s="11" t="s">
        <v>112</v>
      </c>
      <c r="J23" s="60"/>
      <c r="K23" s="11" t="s">
        <v>112</v>
      </c>
      <c r="L23" s="11" t="s">
        <v>112</v>
      </c>
      <c r="M23" s="11" t="s">
        <v>112</v>
      </c>
      <c r="N23" s="11" t="s">
        <v>112</v>
      </c>
      <c r="O23" s="11" t="s">
        <v>112</v>
      </c>
      <c r="P23" s="68"/>
      <c r="Q23" s="60"/>
      <c r="R23" s="11" t="s">
        <v>112</v>
      </c>
      <c r="S23" s="11" t="s">
        <v>112</v>
      </c>
      <c r="T23" s="11" t="s">
        <v>112</v>
      </c>
      <c r="U23" s="11" t="s">
        <v>112</v>
      </c>
      <c r="V23" s="11" t="s">
        <v>112</v>
      </c>
      <c r="W23" s="11" t="s">
        <v>111</v>
      </c>
      <c r="X23" s="60"/>
      <c r="Y23" s="11" t="s">
        <v>112</v>
      </c>
      <c r="Z23" s="11" t="s">
        <v>112</v>
      </c>
      <c r="AA23" s="11" t="s">
        <v>112</v>
      </c>
      <c r="AB23" s="11" t="s">
        <v>112</v>
      </c>
      <c r="AC23" s="11" t="s">
        <v>112</v>
      </c>
      <c r="AD23" s="11" t="s">
        <v>112</v>
      </c>
      <c r="AE23" s="60"/>
      <c r="AF23" s="11" t="s">
        <v>112</v>
      </c>
      <c r="AG23" s="11" t="s">
        <v>112</v>
      </c>
      <c r="AH23" s="11" t="s">
        <v>112</v>
      </c>
      <c r="AI23" s="11" t="s">
        <v>112</v>
      </c>
      <c r="AJ23" s="5">
        <f t="shared" si="2"/>
        <v>25</v>
      </c>
      <c r="AK23" s="5">
        <f t="shared" si="1"/>
        <v>1</v>
      </c>
    </row>
    <row r="24" spans="1:41" x14ac:dyDescent="0.25">
      <c r="A24" s="13">
        <v>3</v>
      </c>
      <c r="B24" s="35" t="s">
        <v>644</v>
      </c>
      <c r="C24" s="36" t="s">
        <v>404</v>
      </c>
      <c r="D24" s="10" t="s">
        <v>620</v>
      </c>
      <c r="E24" s="11" t="s">
        <v>112</v>
      </c>
      <c r="F24" s="11" t="s">
        <v>112</v>
      </c>
      <c r="G24" s="11" t="s">
        <v>112</v>
      </c>
      <c r="H24" s="11" t="s">
        <v>112</v>
      </c>
      <c r="I24" s="11" t="s">
        <v>112</v>
      </c>
      <c r="J24" s="60"/>
      <c r="K24" s="11" t="s">
        <v>112</v>
      </c>
      <c r="L24" s="11" t="s">
        <v>112</v>
      </c>
      <c r="M24" s="11" t="s">
        <v>111</v>
      </c>
      <c r="N24" s="11" t="s">
        <v>112</v>
      </c>
      <c r="O24" s="11" t="s">
        <v>112</v>
      </c>
      <c r="P24" s="68"/>
      <c r="Q24" s="60"/>
      <c r="R24" s="11" t="s">
        <v>112</v>
      </c>
      <c r="S24" s="11" t="s">
        <v>112</v>
      </c>
      <c r="T24" s="11" t="s">
        <v>112</v>
      </c>
      <c r="U24" s="11" t="s">
        <v>112</v>
      </c>
      <c r="V24" s="11" t="s">
        <v>112</v>
      </c>
      <c r="W24" s="11" t="s">
        <v>111</v>
      </c>
      <c r="X24" s="60"/>
      <c r="Y24" s="11" t="s">
        <v>111</v>
      </c>
      <c r="Z24" s="11" t="s">
        <v>111</v>
      </c>
      <c r="AA24" s="11" t="s">
        <v>111</v>
      </c>
      <c r="AB24" s="11" t="s">
        <v>111</v>
      </c>
      <c r="AC24" s="11" t="s">
        <v>111</v>
      </c>
      <c r="AD24" s="11" t="s">
        <v>111</v>
      </c>
      <c r="AE24" s="60"/>
      <c r="AF24" s="11" t="s">
        <v>111</v>
      </c>
      <c r="AG24" s="11" t="s">
        <v>111</v>
      </c>
      <c r="AH24" s="11" t="s">
        <v>111</v>
      </c>
      <c r="AI24" s="11" t="s">
        <v>111</v>
      </c>
      <c r="AJ24" s="5">
        <f t="shared" si="2"/>
        <v>14</v>
      </c>
      <c r="AK24" s="5">
        <f t="shared" si="1"/>
        <v>11</v>
      </c>
    </row>
    <row r="25" spans="1:41" x14ac:dyDescent="0.25">
      <c r="A25" s="6">
        <v>4</v>
      </c>
      <c r="B25" s="35" t="s">
        <v>141</v>
      </c>
      <c r="C25" s="36" t="s">
        <v>490</v>
      </c>
      <c r="D25" s="10" t="s">
        <v>620</v>
      </c>
      <c r="E25" s="11" t="s">
        <v>112</v>
      </c>
      <c r="F25" s="11" t="s">
        <v>112</v>
      </c>
      <c r="G25" s="11" t="s">
        <v>112</v>
      </c>
      <c r="H25" s="11" t="s">
        <v>112</v>
      </c>
      <c r="I25" s="11" t="s">
        <v>112</v>
      </c>
      <c r="J25" s="60"/>
      <c r="K25" s="11" t="s">
        <v>111</v>
      </c>
      <c r="L25" s="11" t="s">
        <v>112</v>
      </c>
      <c r="M25" s="11" t="s">
        <v>112</v>
      </c>
      <c r="N25" s="11" t="s">
        <v>112</v>
      </c>
      <c r="O25" s="11" t="s">
        <v>112</v>
      </c>
      <c r="P25" s="68"/>
      <c r="Q25" s="60"/>
      <c r="R25" s="11" t="s">
        <v>112</v>
      </c>
      <c r="S25" s="11" t="s">
        <v>112</v>
      </c>
      <c r="T25" s="11" t="s">
        <v>112</v>
      </c>
      <c r="U25" s="11" t="s">
        <v>112</v>
      </c>
      <c r="V25" s="11" t="s">
        <v>112</v>
      </c>
      <c r="W25" s="11" t="s">
        <v>112</v>
      </c>
      <c r="X25" s="60"/>
      <c r="Y25" s="11" t="s">
        <v>112</v>
      </c>
      <c r="Z25" s="11" t="s">
        <v>112</v>
      </c>
      <c r="AA25" s="11" t="s">
        <v>112</v>
      </c>
      <c r="AB25" s="11" t="s">
        <v>112</v>
      </c>
      <c r="AC25" s="11" t="s">
        <v>112</v>
      </c>
      <c r="AD25" s="11" t="s">
        <v>112</v>
      </c>
      <c r="AE25" s="60"/>
      <c r="AF25" s="11" t="s">
        <v>112</v>
      </c>
      <c r="AG25" s="11" t="s">
        <v>112</v>
      </c>
      <c r="AH25" s="11" t="s">
        <v>113</v>
      </c>
      <c r="AI25" s="11" t="s">
        <v>112</v>
      </c>
      <c r="AJ25" s="5">
        <f t="shared" si="2"/>
        <v>24</v>
      </c>
      <c r="AK25" s="5">
        <f t="shared" si="1"/>
        <v>1</v>
      </c>
    </row>
    <row r="26" spans="1:41" x14ac:dyDescent="0.25">
      <c r="A26" s="13">
        <v>5</v>
      </c>
      <c r="B26" s="35" t="s">
        <v>143</v>
      </c>
      <c r="C26" s="35" t="s">
        <v>581</v>
      </c>
      <c r="D26" s="10" t="s">
        <v>620</v>
      </c>
      <c r="E26" s="11" t="s">
        <v>112</v>
      </c>
      <c r="F26" s="11" t="s">
        <v>112</v>
      </c>
      <c r="G26" s="11" t="s">
        <v>112</v>
      </c>
      <c r="H26" s="11" t="s">
        <v>112</v>
      </c>
      <c r="I26" s="11" t="s">
        <v>112</v>
      </c>
      <c r="J26" s="60"/>
      <c r="K26" s="11" t="s">
        <v>112</v>
      </c>
      <c r="L26" s="11" t="s">
        <v>112</v>
      </c>
      <c r="M26" s="11" t="s">
        <v>112</v>
      </c>
      <c r="N26" s="11" t="s">
        <v>112</v>
      </c>
      <c r="O26" s="11" t="s">
        <v>112</v>
      </c>
      <c r="P26" s="68"/>
      <c r="Q26" s="60"/>
      <c r="R26" s="11" t="s">
        <v>112</v>
      </c>
      <c r="S26" s="11" t="s">
        <v>113</v>
      </c>
      <c r="T26" s="11" t="s">
        <v>113</v>
      </c>
      <c r="U26" s="11" t="s">
        <v>113</v>
      </c>
      <c r="V26" s="11" t="s">
        <v>113</v>
      </c>
      <c r="W26" s="11" t="s">
        <v>111</v>
      </c>
      <c r="X26" s="60"/>
      <c r="Y26" s="11" t="s">
        <v>111</v>
      </c>
      <c r="Z26" s="11" t="s">
        <v>111</v>
      </c>
      <c r="AA26" s="11" t="s">
        <v>112</v>
      </c>
      <c r="AB26" s="11" t="s">
        <v>112</v>
      </c>
      <c r="AC26" s="11" t="s">
        <v>112</v>
      </c>
      <c r="AD26" s="11" t="s">
        <v>112</v>
      </c>
      <c r="AE26" s="60"/>
      <c r="AF26" s="11" t="s">
        <v>112</v>
      </c>
      <c r="AG26" s="11" t="s">
        <v>112</v>
      </c>
      <c r="AH26" s="11" t="s">
        <v>112</v>
      </c>
      <c r="AI26" s="11" t="s">
        <v>112</v>
      </c>
      <c r="AJ26" s="5">
        <f t="shared" si="2"/>
        <v>19</v>
      </c>
      <c r="AK26" s="5">
        <f t="shared" si="1"/>
        <v>3</v>
      </c>
    </row>
    <row r="27" spans="1:41" x14ac:dyDescent="0.25">
      <c r="A27" s="6">
        <v>6</v>
      </c>
      <c r="B27" s="35" t="s">
        <v>596</v>
      </c>
      <c r="C27" s="36" t="s">
        <v>645</v>
      </c>
      <c r="D27" s="10" t="s">
        <v>620</v>
      </c>
      <c r="E27" s="11" t="s">
        <v>112</v>
      </c>
      <c r="F27" s="11" t="s">
        <v>112</v>
      </c>
      <c r="G27" s="11" t="s">
        <v>112</v>
      </c>
      <c r="H27" s="11" t="s">
        <v>112</v>
      </c>
      <c r="I27" s="11" t="s">
        <v>111</v>
      </c>
      <c r="J27" s="60"/>
      <c r="K27" s="11" t="s">
        <v>112</v>
      </c>
      <c r="L27" s="11" t="s">
        <v>112</v>
      </c>
      <c r="M27" s="11" t="s">
        <v>112</v>
      </c>
      <c r="N27" s="11" t="s">
        <v>112</v>
      </c>
      <c r="O27" s="11" t="s">
        <v>112</v>
      </c>
      <c r="P27" s="68"/>
      <c r="Q27" s="60"/>
      <c r="R27" s="11" t="s">
        <v>112</v>
      </c>
      <c r="S27" s="11" t="s">
        <v>112</v>
      </c>
      <c r="T27" s="11" t="s">
        <v>112</v>
      </c>
      <c r="U27" s="11" t="s">
        <v>111</v>
      </c>
      <c r="V27" s="11" t="s">
        <v>112</v>
      </c>
      <c r="W27" s="11" t="s">
        <v>111</v>
      </c>
      <c r="X27" s="60"/>
      <c r="Y27" s="11" t="s">
        <v>111</v>
      </c>
      <c r="Z27" s="11" t="s">
        <v>111</v>
      </c>
      <c r="AA27" s="11" t="s">
        <v>112</v>
      </c>
      <c r="AB27" s="11" t="s">
        <v>112</v>
      </c>
      <c r="AC27" s="11" t="s">
        <v>112</v>
      </c>
      <c r="AD27" s="11" t="s">
        <v>112</v>
      </c>
      <c r="AE27" s="60"/>
      <c r="AF27" s="11" t="s">
        <v>111</v>
      </c>
      <c r="AG27" s="11" t="s">
        <v>112</v>
      </c>
      <c r="AH27" s="11" t="s">
        <v>112</v>
      </c>
      <c r="AI27" s="11" t="s">
        <v>112</v>
      </c>
      <c r="AJ27" s="5">
        <f t="shared" si="2"/>
        <v>20</v>
      </c>
      <c r="AK27" s="5">
        <f t="shared" si="1"/>
        <v>6</v>
      </c>
    </row>
    <row r="28" spans="1:41" x14ac:dyDescent="0.25">
      <c r="A28" s="13">
        <v>7</v>
      </c>
      <c r="B28" s="37" t="s">
        <v>646</v>
      </c>
      <c r="C28" s="38" t="s">
        <v>647</v>
      </c>
      <c r="D28" s="10" t="s">
        <v>620</v>
      </c>
      <c r="E28" s="11" t="s">
        <v>112</v>
      </c>
      <c r="F28" s="11" t="s">
        <v>112</v>
      </c>
      <c r="G28" s="11" t="s">
        <v>112</v>
      </c>
      <c r="H28" s="11" t="s">
        <v>111</v>
      </c>
      <c r="I28" s="11" t="s">
        <v>112</v>
      </c>
      <c r="J28" s="60"/>
      <c r="K28" s="11" t="s">
        <v>112</v>
      </c>
      <c r="L28" s="11" t="s">
        <v>112</v>
      </c>
      <c r="M28" s="11" t="s">
        <v>112</v>
      </c>
      <c r="N28" s="11" t="s">
        <v>112</v>
      </c>
      <c r="O28" s="11" t="s">
        <v>112</v>
      </c>
      <c r="P28" s="68"/>
      <c r="Q28" s="60"/>
      <c r="R28" s="11" t="s">
        <v>112</v>
      </c>
      <c r="S28" s="11" t="s">
        <v>112</v>
      </c>
      <c r="T28" s="11" t="s">
        <v>112</v>
      </c>
      <c r="U28" s="11" t="s">
        <v>112</v>
      </c>
      <c r="V28" s="11" t="s">
        <v>112</v>
      </c>
      <c r="W28" s="11" t="s">
        <v>112</v>
      </c>
      <c r="X28" s="60"/>
      <c r="Y28" s="11" t="s">
        <v>112</v>
      </c>
      <c r="Z28" s="11" t="s">
        <v>113</v>
      </c>
      <c r="AA28" s="11" t="s">
        <v>112</v>
      </c>
      <c r="AB28" s="11" t="s">
        <v>112</v>
      </c>
      <c r="AC28" s="11" t="s">
        <v>112</v>
      </c>
      <c r="AD28" s="11" t="s">
        <v>112</v>
      </c>
      <c r="AE28" s="60"/>
      <c r="AF28" s="11" t="s">
        <v>112</v>
      </c>
      <c r="AG28" s="11" t="s">
        <v>112</v>
      </c>
      <c r="AH28" s="11" t="s">
        <v>112</v>
      </c>
      <c r="AI28" s="11" t="s">
        <v>112</v>
      </c>
      <c r="AJ28" s="5">
        <f t="shared" si="2"/>
        <v>24</v>
      </c>
      <c r="AK28" s="5">
        <f t="shared" si="1"/>
        <v>1</v>
      </c>
    </row>
    <row r="29" spans="1:41" x14ac:dyDescent="0.25">
      <c r="A29" s="6">
        <v>8</v>
      </c>
      <c r="B29" s="39" t="s">
        <v>648</v>
      </c>
      <c r="C29" s="39" t="s">
        <v>649</v>
      </c>
      <c r="D29" s="10" t="s">
        <v>620</v>
      </c>
      <c r="E29" s="11" t="s">
        <v>112</v>
      </c>
      <c r="F29" s="11" t="s">
        <v>112</v>
      </c>
      <c r="G29" s="11" t="s">
        <v>112</v>
      </c>
      <c r="H29" s="11" t="s">
        <v>112</v>
      </c>
      <c r="I29" s="11" t="s">
        <v>112</v>
      </c>
      <c r="J29" s="60"/>
      <c r="K29" s="11" t="s">
        <v>112</v>
      </c>
      <c r="L29" s="11" t="s">
        <v>112</v>
      </c>
      <c r="M29" s="11" t="s">
        <v>112</v>
      </c>
      <c r="N29" s="11" t="s">
        <v>112</v>
      </c>
      <c r="O29" s="11" t="s">
        <v>112</v>
      </c>
      <c r="P29" s="68"/>
      <c r="Q29" s="60"/>
      <c r="R29" s="11" t="s">
        <v>112</v>
      </c>
      <c r="S29" s="11" t="s">
        <v>112</v>
      </c>
      <c r="T29" s="11" t="s">
        <v>112</v>
      </c>
      <c r="U29" s="11" t="s">
        <v>112</v>
      </c>
      <c r="V29" s="11" t="s">
        <v>112</v>
      </c>
      <c r="W29" s="11" t="s">
        <v>112</v>
      </c>
      <c r="X29" s="60"/>
      <c r="Y29" s="11" t="s">
        <v>111</v>
      </c>
      <c r="Z29" s="11" t="s">
        <v>112</v>
      </c>
      <c r="AA29" s="11" t="s">
        <v>112</v>
      </c>
      <c r="AB29" s="11" t="s">
        <v>112</v>
      </c>
      <c r="AC29" s="11" t="s">
        <v>112</v>
      </c>
      <c r="AD29" s="11" t="s">
        <v>112</v>
      </c>
      <c r="AE29" s="60"/>
      <c r="AF29" s="11" t="s">
        <v>112</v>
      </c>
      <c r="AG29" s="11" t="s">
        <v>112</v>
      </c>
      <c r="AH29" s="11" t="s">
        <v>112</v>
      </c>
      <c r="AI29" s="11" t="s">
        <v>112</v>
      </c>
      <c r="AJ29" s="5">
        <f t="shared" si="2"/>
        <v>25</v>
      </c>
      <c r="AK29" s="5">
        <f t="shared" si="1"/>
        <v>1</v>
      </c>
    </row>
    <row r="30" spans="1:41" x14ac:dyDescent="0.25">
      <c r="A30" s="13">
        <v>9</v>
      </c>
      <c r="B30" s="39" t="s">
        <v>411</v>
      </c>
      <c r="C30" s="39" t="s">
        <v>290</v>
      </c>
      <c r="D30" s="10" t="s">
        <v>620</v>
      </c>
      <c r="E30" s="11" t="s">
        <v>112</v>
      </c>
      <c r="F30" s="11" t="s">
        <v>112</v>
      </c>
      <c r="G30" s="11" t="s">
        <v>112</v>
      </c>
      <c r="H30" s="11" t="s">
        <v>112</v>
      </c>
      <c r="I30" s="11" t="s">
        <v>112</v>
      </c>
      <c r="J30" s="60"/>
      <c r="K30" s="11" t="s">
        <v>112</v>
      </c>
      <c r="L30" s="11" t="s">
        <v>112</v>
      </c>
      <c r="M30" s="11" t="s">
        <v>112</v>
      </c>
      <c r="N30" s="11" t="s">
        <v>112</v>
      </c>
      <c r="O30" s="11" t="s">
        <v>112</v>
      </c>
      <c r="P30" s="68"/>
      <c r="Q30" s="60"/>
      <c r="R30" s="11" t="s">
        <v>112</v>
      </c>
      <c r="S30" s="11" t="s">
        <v>112</v>
      </c>
      <c r="T30" s="11" t="s">
        <v>112</v>
      </c>
      <c r="U30" s="11" t="s">
        <v>112</v>
      </c>
      <c r="V30" s="11" t="s">
        <v>112</v>
      </c>
      <c r="W30" s="11" t="s">
        <v>112</v>
      </c>
      <c r="X30" s="60"/>
      <c r="Y30" s="11" t="s">
        <v>112</v>
      </c>
      <c r="Z30" s="11" t="s">
        <v>112</v>
      </c>
      <c r="AA30" s="11" t="s">
        <v>112</v>
      </c>
      <c r="AB30" s="11" t="s">
        <v>112</v>
      </c>
      <c r="AC30" s="11" t="s">
        <v>112</v>
      </c>
      <c r="AD30" s="11" t="s">
        <v>112</v>
      </c>
      <c r="AE30" s="60"/>
      <c r="AF30" s="11" t="s">
        <v>112</v>
      </c>
      <c r="AG30" s="11" t="s">
        <v>112</v>
      </c>
      <c r="AH30" s="11" t="s">
        <v>112</v>
      </c>
      <c r="AI30" s="11" t="s">
        <v>112</v>
      </c>
      <c r="AJ30" s="5">
        <f t="shared" si="2"/>
        <v>26</v>
      </c>
      <c r="AK30" s="5">
        <f t="shared" si="1"/>
        <v>0</v>
      </c>
    </row>
    <row r="31" spans="1:41" x14ac:dyDescent="0.25">
      <c r="A31" s="6">
        <v>10</v>
      </c>
      <c r="B31" s="39" t="s">
        <v>411</v>
      </c>
      <c r="C31" s="39" t="s">
        <v>650</v>
      </c>
      <c r="D31" s="10" t="s">
        <v>620</v>
      </c>
      <c r="E31" s="11" t="s">
        <v>112</v>
      </c>
      <c r="F31" s="11" t="s">
        <v>112</v>
      </c>
      <c r="G31" s="11" t="s">
        <v>112</v>
      </c>
      <c r="H31" s="11" t="s">
        <v>112</v>
      </c>
      <c r="I31" s="11" t="s">
        <v>112</v>
      </c>
      <c r="J31" s="60"/>
      <c r="K31" s="11" t="s">
        <v>112</v>
      </c>
      <c r="L31" s="11" t="s">
        <v>112</v>
      </c>
      <c r="M31" s="11" t="s">
        <v>112</v>
      </c>
      <c r="N31" s="11" t="s">
        <v>112</v>
      </c>
      <c r="O31" s="11" t="s">
        <v>112</v>
      </c>
      <c r="P31" s="68"/>
      <c r="Q31" s="60"/>
      <c r="R31" s="11" t="s">
        <v>112</v>
      </c>
      <c r="S31" s="11" t="s">
        <v>112</v>
      </c>
      <c r="T31" s="11" t="s">
        <v>112</v>
      </c>
      <c r="U31" s="11" t="s">
        <v>112</v>
      </c>
      <c r="V31" s="11" t="s">
        <v>112</v>
      </c>
      <c r="W31" s="11" t="s">
        <v>112</v>
      </c>
      <c r="X31" s="60"/>
      <c r="Y31" s="11" t="s">
        <v>112</v>
      </c>
      <c r="Z31" s="11" t="s">
        <v>112</v>
      </c>
      <c r="AA31" s="11" t="s">
        <v>112</v>
      </c>
      <c r="AB31" s="11" t="s">
        <v>112</v>
      </c>
      <c r="AC31" s="11" t="s">
        <v>112</v>
      </c>
      <c r="AD31" s="11" t="s">
        <v>112</v>
      </c>
      <c r="AE31" s="60"/>
      <c r="AF31" s="11" t="s">
        <v>112</v>
      </c>
      <c r="AG31" s="11" t="s">
        <v>111</v>
      </c>
      <c r="AH31" s="11" t="s">
        <v>113</v>
      </c>
      <c r="AI31" s="11" t="s">
        <v>112</v>
      </c>
      <c r="AJ31" s="5">
        <f t="shared" si="2"/>
        <v>24</v>
      </c>
      <c r="AK31" s="5">
        <f t="shared" si="1"/>
        <v>1</v>
      </c>
    </row>
    <row r="32" spans="1:41" x14ac:dyDescent="0.25">
      <c r="A32" s="13">
        <v>11</v>
      </c>
      <c r="B32" s="39" t="s">
        <v>651</v>
      </c>
      <c r="C32" s="40" t="s">
        <v>652</v>
      </c>
      <c r="D32" s="10" t="s">
        <v>620</v>
      </c>
      <c r="E32" s="11" t="s">
        <v>112</v>
      </c>
      <c r="F32" s="11" t="s">
        <v>112</v>
      </c>
      <c r="G32" s="11" t="s">
        <v>112</v>
      </c>
      <c r="H32" s="11" t="s">
        <v>112</v>
      </c>
      <c r="I32" s="11" t="s">
        <v>112</v>
      </c>
      <c r="J32" s="60"/>
      <c r="K32" s="11" t="s">
        <v>112</v>
      </c>
      <c r="L32" s="11" t="s">
        <v>112</v>
      </c>
      <c r="M32" s="11" t="s">
        <v>112</v>
      </c>
      <c r="N32" s="11" t="s">
        <v>112</v>
      </c>
      <c r="O32" s="11" t="s">
        <v>112</v>
      </c>
      <c r="P32" s="68"/>
      <c r="Q32" s="60"/>
      <c r="R32" s="11" t="s">
        <v>112</v>
      </c>
      <c r="S32" s="11" t="s">
        <v>112</v>
      </c>
      <c r="T32" s="11" t="s">
        <v>112</v>
      </c>
      <c r="U32" s="11" t="s">
        <v>112</v>
      </c>
      <c r="V32" s="11" t="s">
        <v>112</v>
      </c>
      <c r="W32" s="11" t="s">
        <v>112</v>
      </c>
      <c r="X32" s="60"/>
      <c r="Y32" s="11" t="s">
        <v>111</v>
      </c>
      <c r="Z32" s="11" t="s">
        <v>112</v>
      </c>
      <c r="AA32" s="11" t="s">
        <v>112</v>
      </c>
      <c r="AB32" s="11" t="s">
        <v>112</v>
      </c>
      <c r="AC32" s="11" t="s">
        <v>112</v>
      </c>
      <c r="AD32" s="11" t="s">
        <v>112</v>
      </c>
      <c r="AE32" s="60"/>
      <c r="AF32" s="11" t="s">
        <v>112</v>
      </c>
      <c r="AG32" s="11" t="s">
        <v>112</v>
      </c>
      <c r="AH32" s="11" t="s">
        <v>112</v>
      </c>
      <c r="AI32" s="11" t="s">
        <v>112</v>
      </c>
      <c r="AJ32" s="5">
        <f t="shared" si="2"/>
        <v>25</v>
      </c>
      <c r="AK32" s="5">
        <f t="shared" si="1"/>
        <v>1</v>
      </c>
    </row>
    <row r="33" spans="1:37" x14ac:dyDescent="0.25">
      <c r="A33" s="6">
        <v>12</v>
      </c>
      <c r="B33" s="34" t="s">
        <v>653</v>
      </c>
      <c r="C33" s="41" t="s">
        <v>89</v>
      </c>
      <c r="D33" s="10" t="s">
        <v>620</v>
      </c>
      <c r="E33" s="11" t="s">
        <v>112</v>
      </c>
      <c r="F33" s="11" t="s">
        <v>111</v>
      </c>
      <c r="G33" s="11" t="s">
        <v>112</v>
      </c>
      <c r="H33" s="11" t="s">
        <v>112</v>
      </c>
      <c r="I33" s="11" t="s">
        <v>111</v>
      </c>
      <c r="J33" s="60"/>
      <c r="K33" s="11" t="s">
        <v>112</v>
      </c>
      <c r="L33" s="11" t="s">
        <v>112</v>
      </c>
      <c r="M33" s="11" t="s">
        <v>112</v>
      </c>
      <c r="N33" s="11" t="s">
        <v>111</v>
      </c>
      <c r="O33" s="11" t="s">
        <v>112</v>
      </c>
      <c r="P33" s="68"/>
      <c r="Q33" s="60"/>
      <c r="R33" s="11" t="s">
        <v>111</v>
      </c>
      <c r="S33" s="11" t="s">
        <v>111</v>
      </c>
      <c r="T33" s="11" t="s">
        <v>112</v>
      </c>
      <c r="U33" s="11" t="s">
        <v>112</v>
      </c>
      <c r="V33" s="11" t="s">
        <v>111</v>
      </c>
      <c r="W33" s="11" t="s">
        <v>111</v>
      </c>
      <c r="X33" s="60"/>
      <c r="Y33" s="11" t="s">
        <v>112</v>
      </c>
      <c r="Z33" s="11" t="s">
        <v>112</v>
      </c>
      <c r="AA33" s="11" t="s">
        <v>112</v>
      </c>
      <c r="AB33" s="11" t="s">
        <v>113</v>
      </c>
      <c r="AC33" s="11" t="s">
        <v>113</v>
      </c>
      <c r="AD33" s="11" t="s">
        <v>113</v>
      </c>
      <c r="AE33" s="60"/>
      <c r="AF33" s="11" t="s">
        <v>111</v>
      </c>
      <c r="AG33" s="11" t="s">
        <v>112</v>
      </c>
      <c r="AH33" s="11" t="s">
        <v>111</v>
      </c>
      <c r="AI33" s="11" t="s">
        <v>111</v>
      </c>
      <c r="AJ33" s="5">
        <f t="shared" si="2"/>
        <v>13</v>
      </c>
      <c r="AK33" s="5">
        <f t="shared" si="1"/>
        <v>9</v>
      </c>
    </row>
    <row r="34" spans="1:37" x14ac:dyDescent="0.25">
      <c r="A34" s="13">
        <v>13</v>
      </c>
      <c r="B34" s="35" t="s">
        <v>654</v>
      </c>
      <c r="C34" s="36" t="s">
        <v>655</v>
      </c>
      <c r="D34" s="10" t="s">
        <v>620</v>
      </c>
      <c r="E34" s="11" t="s">
        <v>112</v>
      </c>
      <c r="F34" s="11" t="s">
        <v>112</v>
      </c>
      <c r="G34" s="11" t="s">
        <v>112</v>
      </c>
      <c r="H34" s="11" t="s">
        <v>112</v>
      </c>
      <c r="I34" s="11" t="s">
        <v>112</v>
      </c>
      <c r="J34" s="60"/>
      <c r="K34" s="11" t="s">
        <v>111</v>
      </c>
      <c r="L34" s="11" t="s">
        <v>112</v>
      </c>
      <c r="M34" s="11" t="s">
        <v>112</v>
      </c>
      <c r="N34" s="11" t="s">
        <v>112</v>
      </c>
      <c r="O34" s="11" t="s">
        <v>112</v>
      </c>
      <c r="P34" s="68"/>
      <c r="Q34" s="60"/>
      <c r="R34" s="11" t="s">
        <v>112</v>
      </c>
      <c r="S34" s="11" t="s">
        <v>112</v>
      </c>
      <c r="T34" s="11" t="s">
        <v>112</v>
      </c>
      <c r="U34" s="11" t="s">
        <v>112</v>
      </c>
      <c r="V34" s="11" t="s">
        <v>112</v>
      </c>
      <c r="W34" s="11" t="s">
        <v>112</v>
      </c>
      <c r="X34" s="60"/>
      <c r="Y34" s="11" t="s">
        <v>111</v>
      </c>
      <c r="Z34" s="11" t="s">
        <v>112</v>
      </c>
      <c r="AA34" s="11" t="s">
        <v>112</v>
      </c>
      <c r="AB34" s="11" t="s">
        <v>112</v>
      </c>
      <c r="AC34" s="11" t="s">
        <v>112</v>
      </c>
      <c r="AD34" s="11" t="s">
        <v>112</v>
      </c>
      <c r="AE34" s="60"/>
      <c r="AF34" s="11" t="s">
        <v>112</v>
      </c>
      <c r="AG34" s="11" t="s">
        <v>111</v>
      </c>
      <c r="AH34" s="11" t="s">
        <v>112</v>
      </c>
      <c r="AI34" s="11" t="s">
        <v>112</v>
      </c>
      <c r="AJ34" s="5">
        <f t="shared" si="2"/>
        <v>23</v>
      </c>
      <c r="AK34" s="5">
        <f t="shared" si="1"/>
        <v>3</v>
      </c>
    </row>
    <row r="35" spans="1:37" x14ac:dyDescent="0.25">
      <c r="A35" s="6">
        <v>14</v>
      </c>
      <c r="B35" s="35" t="s">
        <v>656</v>
      </c>
      <c r="C35" s="36" t="s">
        <v>650</v>
      </c>
      <c r="D35" s="10" t="s">
        <v>620</v>
      </c>
      <c r="E35" s="11" t="s">
        <v>112</v>
      </c>
      <c r="F35" s="11" t="s">
        <v>112</v>
      </c>
      <c r="G35" s="11" t="s">
        <v>112</v>
      </c>
      <c r="H35" s="11" t="s">
        <v>112</v>
      </c>
      <c r="I35" s="11" t="s">
        <v>112</v>
      </c>
      <c r="J35" s="60"/>
      <c r="K35" s="11" t="s">
        <v>112</v>
      </c>
      <c r="L35" s="11" t="s">
        <v>112</v>
      </c>
      <c r="M35" s="11" t="s">
        <v>112</v>
      </c>
      <c r="N35" s="11" t="s">
        <v>112</v>
      </c>
      <c r="O35" s="11" t="s">
        <v>112</v>
      </c>
      <c r="P35" s="68"/>
      <c r="Q35" s="60"/>
      <c r="R35" s="11" t="s">
        <v>112</v>
      </c>
      <c r="S35" s="11" t="s">
        <v>112</v>
      </c>
      <c r="T35" s="11" t="s">
        <v>112</v>
      </c>
      <c r="U35" s="11" t="s">
        <v>112</v>
      </c>
      <c r="V35" s="11" t="s">
        <v>112</v>
      </c>
      <c r="W35" s="11" t="s">
        <v>112</v>
      </c>
      <c r="X35" s="60"/>
      <c r="Y35" s="11" t="s">
        <v>112</v>
      </c>
      <c r="Z35" s="11" t="s">
        <v>113</v>
      </c>
      <c r="AA35" s="11" t="s">
        <v>113</v>
      </c>
      <c r="AB35" s="11" t="s">
        <v>112</v>
      </c>
      <c r="AC35" s="11" t="s">
        <v>112</v>
      </c>
      <c r="AD35" s="11" t="s">
        <v>112</v>
      </c>
      <c r="AE35" s="60"/>
      <c r="AF35" s="11" t="s">
        <v>112</v>
      </c>
      <c r="AG35" s="11" t="s">
        <v>112</v>
      </c>
      <c r="AH35" s="11" t="s">
        <v>112</v>
      </c>
      <c r="AI35" s="11" t="s">
        <v>112</v>
      </c>
      <c r="AJ35" s="5">
        <f t="shared" si="2"/>
        <v>24</v>
      </c>
      <c r="AK35" s="5">
        <f t="shared" si="1"/>
        <v>0</v>
      </c>
    </row>
    <row r="36" spans="1:37" x14ac:dyDescent="0.25">
      <c r="A36" s="13">
        <v>15</v>
      </c>
      <c r="B36" s="23" t="s">
        <v>657</v>
      </c>
      <c r="C36" s="23" t="s">
        <v>533</v>
      </c>
      <c r="D36" s="10" t="s">
        <v>620</v>
      </c>
      <c r="E36" s="11" t="s">
        <v>112</v>
      </c>
      <c r="F36" s="11" t="s">
        <v>112</v>
      </c>
      <c r="G36" s="11" t="s">
        <v>112</v>
      </c>
      <c r="H36" s="11" t="s">
        <v>112</v>
      </c>
      <c r="I36" s="11" t="s">
        <v>112</v>
      </c>
      <c r="J36" s="60"/>
      <c r="K36" s="11" t="s">
        <v>112</v>
      </c>
      <c r="L36" s="11" t="s">
        <v>112</v>
      </c>
      <c r="M36" s="11" t="s">
        <v>112</v>
      </c>
      <c r="N36" s="11" t="s">
        <v>112</v>
      </c>
      <c r="O36" s="11" t="s">
        <v>112</v>
      </c>
      <c r="P36" s="68"/>
      <c r="Q36" s="60"/>
      <c r="R36" s="11" t="s">
        <v>112</v>
      </c>
      <c r="S36" s="11" t="s">
        <v>112</v>
      </c>
      <c r="T36" s="11" t="s">
        <v>112</v>
      </c>
      <c r="U36" s="11" t="s">
        <v>112</v>
      </c>
      <c r="V36" s="11" t="s">
        <v>112</v>
      </c>
      <c r="W36" s="11" t="s">
        <v>112</v>
      </c>
      <c r="X36" s="60"/>
      <c r="Y36" s="11" t="s">
        <v>111</v>
      </c>
      <c r="Z36" s="11" t="s">
        <v>112</v>
      </c>
      <c r="AA36" s="11" t="s">
        <v>112</v>
      </c>
      <c r="AB36" s="11" t="s">
        <v>112</v>
      </c>
      <c r="AC36" s="11" t="s">
        <v>112</v>
      </c>
      <c r="AD36" s="11" t="s">
        <v>112</v>
      </c>
      <c r="AE36" s="60"/>
      <c r="AF36" s="11" t="s">
        <v>112</v>
      </c>
      <c r="AG36" s="11" t="s">
        <v>112</v>
      </c>
      <c r="AH36" s="11" t="s">
        <v>112</v>
      </c>
      <c r="AI36" s="11" t="s">
        <v>112</v>
      </c>
      <c r="AJ36" s="5">
        <f t="shared" si="2"/>
        <v>25</v>
      </c>
      <c r="AK36" s="5">
        <f t="shared" si="1"/>
        <v>1</v>
      </c>
    </row>
    <row r="37" spans="1:37" x14ac:dyDescent="0.25">
      <c r="A37" s="6">
        <v>16</v>
      </c>
      <c r="B37" s="23" t="s">
        <v>658</v>
      </c>
      <c r="C37" s="23" t="s">
        <v>290</v>
      </c>
      <c r="D37" s="10" t="s">
        <v>620</v>
      </c>
      <c r="E37" s="11" t="s">
        <v>112</v>
      </c>
      <c r="F37" s="11" t="s">
        <v>112</v>
      </c>
      <c r="G37" s="11" t="s">
        <v>112</v>
      </c>
      <c r="H37" s="11" t="s">
        <v>112</v>
      </c>
      <c r="I37" s="11" t="s">
        <v>112</v>
      </c>
      <c r="J37" s="60"/>
      <c r="K37" s="11" t="s">
        <v>112</v>
      </c>
      <c r="L37" s="11" t="s">
        <v>112</v>
      </c>
      <c r="M37" s="11" t="s">
        <v>112</v>
      </c>
      <c r="N37" s="11" t="s">
        <v>112</v>
      </c>
      <c r="O37" s="11" t="s">
        <v>112</v>
      </c>
      <c r="P37" s="68"/>
      <c r="Q37" s="60"/>
      <c r="R37" s="11" t="s">
        <v>112</v>
      </c>
      <c r="S37" s="11" t="s">
        <v>112</v>
      </c>
      <c r="T37" s="11" t="s">
        <v>112</v>
      </c>
      <c r="U37" s="11" t="s">
        <v>112</v>
      </c>
      <c r="V37" s="11" t="s">
        <v>112</v>
      </c>
      <c r="W37" s="11" t="s">
        <v>112</v>
      </c>
      <c r="X37" s="60"/>
      <c r="Y37" s="11" t="s">
        <v>112</v>
      </c>
      <c r="Z37" s="11" t="s">
        <v>112</v>
      </c>
      <c r="AA37" s="11" t="s">
        <v>112</v>
      </c>
      <c r="AB37" s="11" t="s">
        <v>112</v>
      </c>
      <c r="AC37" s="11" t="s">
        <v>112</v>
      </c>
      <c r="AD37" s="11" t="s">
        <v>112</v>
      </c>
      <c r="AE37" s="60"/>
      <c r="AF37" s="11" t="s">
        <v>112</v>
      </c>
      <c r="AG37" s="11" t="s">
        <v>111</v>
      </c>
      <c r="AH37" s="11" t="s">
        <v>112</v>
      </c>
      <c r="AI37" s="11" t="s">
        <v>112</v>
      </c>
      <c r="AJ37" s="5">
        <f t="shared" si="2"/>
        <v>25</v>
      </c>
      <c r="AK37" s="5">
        <f t="shared" si="1"/>
        <v>1</v>
      </c>
    </row>
    <row r="38" spans="1:37" x14ac:dyDescent="0.25">
      <c r="A38" s="13">
        <v>17</v>
      </c>
      <c r="B38" s="23" t="s">
        <v>659</v>
      </c>
      <c r="C38" s="23" t="s">
        <v>660</v>
      </c>
      <c r="D38" s="10" t="s">
        <v>620</v>
      </c>
      <c r="E38" s="11" t="s">
        <v>112</v>
      </c>
      <c r="F38" s="11" t="s">
        <v>112</v>
      </c>
      <c r="G38" s="11" t="s">
        <v>112</v>
      </c>
      <c r="H38" s="11" t="s">
        <v>112</v>
      </c>
      <c r="I38" s="11" t="s">
        <v>112</v>
      </c>
      <c r="J38" s="60"/>
      <c r="K38" s="11" t="s">
        <v>112</v>
      </c>
      <c r="L38" s="11" t="s">
        <v>112</v>
      </c>
      <c r="M38" s="11" t="s">
        <v>112</v>
      </c>
      <c r="N38" s="11" t="s">
        <v>112</v>
      </c>
      <c r="O38" s="11" t="s">
        <v>112</v>
      </c>
      <c r="P38" s="68"/>
      <c r="Q38" s="60"/>
      <c r="R38" s="11" t="s">
        <v>112</v>
      </c>
      <c r="S38" s="11" t="s">
        <v>112</v>
      </c>
      <c r="T38" s="11" t="s">
        <v>112</v>
      </c>
      <c r="U38" s="11" t="s">
        <v>112</v>
      </c>
      <c r="V38" s="11" t="s">
        <v>112</v>
      </c>
      <c r="W38" s="11" t="s">
        <v>112</v>
      </c>
      <c r="X38" s="60"/>
      <c r="Y38" s="11" t="s">
        <v>112</v>
      </c>
      <c r="Z38" s="11" t="s">
        <v>112</v>
      </c>
      <c r="AA38" s="11" t="s">
        <v>111</v>
      </c>
      <c r="AB38" s="11" t="s">
        <v>112</v>
      </c>
      <c r="AC38" s="11" t="s">
        <v>112</v>
      </c>
      <c r="AD38" s="11" t="s">
        <v>112</v>
      </c>
      <c r="AE38" s="60"/>
      <c r="AF38" s="11" t="s">
        <v>112</v>
      </c>
      <c r="AG38" s="11" t="s">
        <v>112</v>
      </c>
      <c r="AH38" s="11" t="s">
        <v>112</v>
      </c>
      <c r="AI38" s="11" t="s">
        <v>112</v>
      </c>
      <c r="AJ38" s="5">
        <f t="shared" si="2"/>
        <v>25</v>
      </c>
      <c r="AK38" s="5">
        <f t="shared" si="1"/>
        <v>1</v>
      </c>
    </row>
    <row r="39" spans="1:37" x14ac:dyDescent="0.25">
      <c r="A39" s="6">
        <v>18</v>
      </c>
      <c r="B39" s="23" t="s">
        <v>661</v>
      </c>
      <c r="C39" s="23" t="s">
        <v>98</v>
      </c>
      <c r="D39" s="10" t="s">
        <v>620</v>
      </c>
      <c r="E39" s="11" t="s">
        <v>112</v>
      </c>
      <c r="F39" s="11" t="s">
        <v>112</v>
      </c>
      <c r="G39" s="11" t="s">
        <v>112</v>
      </c>
      <c r="H39" s="11" t="s">
        <v>112</v>
      </c>
      <c r="I39" s="11" t="s">
        <v>112</v>
      </c>
      <c r="J39" s="60"/>
      <c r="K39" s="11" t="s">
        <v>112</v>
      </c>
      <c r="L39" s="11" t="s">
        <v>112</v>
      </c>
      <c r="M39" s="11" t="s">
        <v>112</v>
      </c>
      <c r="N39" s="11" t="s">
        <v>112</v>
      </c>
      <c r="O39" s="11" t="s">
        <v>112</v>
      </c>
      <c r="P39" s="68"/>
      <c r="Q39" s="60"/>
      <c r="R39" s="11" t="s">
        <v>112</v>
      </c>
      <c r="S39" s="11" t="s">
        <v>112</v>
      </c>
      <c r="T39" s="11" t="s">
        <v>112</v>
      </c>
      <c r="U39" s="11" t="s">
        <v>112</v>
      </c>
      <c r="V39" s="11" t="s">
        <v>112</v>
      </c>
      <c r="W39" s="11" t="s">
        <v>112</v>
      </c>
      <c r="X39" s="60"/>
      <c r="Y39" s="11" t="s">
        <v>112</v>
      </c>
      <c r="Z39" s="11" t="s">
        <v>112</v>
      </c>
      <c r="AA39" s="11" t="s">
        <v>112</v>
      </c>
      <c r="AB39" s="11" t="s">
        <v>112</v>
      </c>
      <c r="AC39" s="11" t="s">
        <v>112</v>
      </c>
      <c r="AD39" s="11" t="s">
        <v>112</v>
      </c>
      <c r="AE39" s="60"/>
      <c r="AF39" s="11" t="s">
        <v>112</v>
      </c>
      <c r="AG39" s="11" t="s">
        <v>112</v>
      </c>
      <c r="AH39" s="11" t="s">
        <v>112</v>
      </c>
      <c r="AI39" s="11" t="s">
        <v>112</v>
      </c>
      <c r="AJ39" s="5">
        <f t="shared" si="2"/>
        <v>26</v>
      </c>
      <c r="AK39" s="5">
        <f t="shared" si="1"/>
        <v>0</v>
      </c>
    </row>
    <row r="40" spans="1:37" x14ac:dyDescent="0.25">
      <c r="A40" s="13">
        <v>19</v>
      </c>
      <c r="B40" s="23" t="s">
        <v>662</v>
      </c>
      <c r="C40" s="23" t="s">
        <v>663</v>
      </c>
      <c r="D40" s="10" t="s">
        <v>620</v>
      </c>
      <c r="E40" s="11" t="s">
        <v>112</v>
      </c>
      <c r="F40" s="11" t="s">
        <v>112</v>
      </c>
      <c r="G40" s="11" t="s">
        <v>112</v>
      </c>
      <c r="H40" s="11" t="s">
        <v>112</v>
      </c>
      <c r="I40" s="11" t="s">
        <v>112</v>
      </c>
      <c r="J40" s="60"/>
      <c r="K40" s="11" t="s">
        <v>112</v>
      </c>
      <c r="L40" s="11" t="s">
        <v>112</v>
      </c>
      <c r="M40" s="11" t="s">
        <v>112</v>
      </c>
      <c r="N40" s="11" t="s">
        <v>112</v>
      </c>
      <c r="O40" s="11" t="s">
        <v>112</v>
      </c>
      <c r="P40" s="68"/>
      <c r="Q40" s="60"/>
      <c r="R40" s="11" t="s">
        <v>112</v>
      </c>
      <c r="S40" s="11" t="s">
        <v>112</v>
      </c>
      <c r="T40" s="11" t="s">
        <v>112</v>
      </c>
      <c r="U40" s="11" t="s">
        <v>112</v>
      </c>
      <c r="V40" s="11" t="s">
        <v>112</v>
      </c>
      <c r="W40" s="11" t="s">
        <v>112</v>
      </c>
      <c r="X40" s="60"/>
      <c r="Y40" s="11" t="s">
        <v>112</v>
      </c>
      <c r="Z40" s="11" t="s">
        <v>112</v>
      </c>
      <c r="AA40" s="11" t="s">
        <v>112</v>
      </c>
      <c r="AB40" s="11" t="s">
        <v>112</v>
      </c>
      <c r="AC40" s="11" t="s">
        <v>112</v>
      </c>
      <c r="AD40" s="11" t="s">
        <v>112</v>
      </c>
      <c r="AE40" s="60"/>
      <c r="AF40" s="11" t="s">
        <v>112</v>
      </c>
      <c r="AG40" s="11" t="s">
        <v>112</v>
      </c>
      <c r="AH40" s="11" t="s">
        <v>112</v>
      </c>
      <c r="AI40" s="11" t="s">
        <v>112</v>
      </c>
      <c r="AJ40" s="5">
        <f t="shared" si="2"/>
        <v>26</v>
      </c>
      <c r="AK40" s="5">
        <f t="shared" si="1"/>
        <v>0</v>
      </c>
    </row>
    <row r="41" spans="1:37" x14ac:dyDescent="0.25">
      <c r="A41" s="6">
        <v>20</v>
      </c>
      <c r="B41" s="23" t="s">
        <v>664</v>
      </c>
      <c r="C41" s="23" t="s">
        <v>493</v>
      </c>
      <c r="D41" s="10" t="s">
        <v>620</v>
      </c>
      <c r="E41" s="11" t="s">
        <v>112</v>
      </c>
      <c r="F41" s="11" t="s">
        <v>112</v>
      </c>
      <c r="G41" s="11" t="s">
        <v>112</v>
      </c>
      <c r="H41" s="11" t="s">
        <v>112</v>
      </c>
      <c r="I41" s="11" t="s">
        <v>112</v>
      </c>
      <c r="J41" s="60"/>
      <c r="K41" s="11" t="s">
        <v>112</v>
      </c>
      <c r="L41" s="11" t="s">
        <v>112</v>
      </c>
      <c r="M41" s="11" t="s">
        <v>112</v>
      </c>
      <c r="N41" s="11" t="s">
        <v>112</v>
      </c>
      <c r="O41" s="11" t="s">
        <v>112</v>
      </c>
      <c r="P41" s="68"/>
      <c r="Q41" s="60"/>
      <c r="R41" s="11" t="s">
        <v>112</v>
      </c>
      <c r="S41" s="11" t="s">
        <v>112</v>
      </c>
      <c r="T41" s="11" t="s">
        <v>112</v>
      </c>
      <c r="U41" s="11" t="s">
        <v>112</v>
      </c>
      <c r="V41" s="11" t="s">
        <v>112</v>
      </c>
      <c r="W41" s="11" t="s">
        <v>112</v>
      </c>
      <c r="X41" s="60"/>
      <c r="Y41" s="11" t="s">
        <v>112</v>
      </c>
      <c r="Z41" s="11" t="s">
        <v>112</v>
      </c>
      <c r="AA41" s="11" t="s">
        <v>112</v>
      </c>
      <c r="AB41" s="11" t="s">
        <v>112</v>
      </c>
      <c r="AC41" s="11" t="s">
        <v>112</v>
      </c>
      <c r="AD41" s="11" t="s">
        <v>112</v>
      </c>
      <c r="AE41" s="60"/>
      <c r="AF41" s="11" t="s">
        <v>112</v>
      </c>
      <c r="AG41" s="11" t="s">
        <v>112</v>
      </c>
      <c r="AH41" s="11" t="s">
        <v>112</v>
      </c>
      <c r="AI41" s="11" t="s">
        <v>112</v>
      </c>
      <c r="AJ41" s="5">
        <f t="shared" si="2"/>
        <v>26</v>
      </c>
      <c r="AK41" s="5">
        <f t="shared" si="1"/>
        <v>0</v>
      </c>
    </row>
    <row r="42" spans="1:37" x14ac:dyDescent="0.25">
      <c r="A42" s="13">
        <v>21</v>
      </c>
      <c r="B42" s="23" t="s">
        <v>665</v>
      </c>
      <c r="C42" s="23" t="s">
        <v>666</v>
      </c>
      <c r="D42" s="10" t="s">
        <v>620</v>
      </c>
      <c r="E42" s="11" t="s">
        <v>112</v>
      </c>
      <c r="F42" s="11" t="s">
        <v>112</v>
      </c>
      <c r="G42" s="11" t="s">
        <v>112</v>
      </c>
      <c r="H42" s="11" t="s">
        <v>111</v>
      </c>
      <c r="I42" s="11" t="s">
        <v>112</v>
      </c>
      <c r="J42" s="60"/>
      <c r="K42" s="11" t="s">
        <v>112</v>
      </c>
      <c r="L42" s="11" t="s">
        <v>112</v>
      </c>
      <c r="M42" s="11" t="s">
        <v>112</v>
      </c>
      <c r="N42" s="11" t="s">
        <v>112</v>
      </c>
      <c r="O42" s="11" t="s">
        <v>112</v>
      </c>
      <c r="P42" s="68"/>
      <c r="Q42" s="60"/>
      <c r="R42" s="11" t="s">
        <v>112</v>
      </c>
      <c r="S42" s="11" t="s">
        <v>112</v>
      </c>
      <c r="T42" s="11" t="s">
        <v>112</v>
      </c>
      <c r="U42" s="11" t="s">
        <v>112</v>
      </c>
      <c r="V42" s="11" t="s">
        <v>112</v>
      </c>
      <c r="W42" s="11" t="s">
        <v>112</v>
      </c>
      <c r="X42" s="60"/>
      <c r="Y42" s="11" t="s">
        <v>112</v>
      </c>
      <c r="Z42" s="11" t="s">
        <v>112</v>
      </c>
      <c r="AA42" s="11" t="s">
        <v>112</v>
      </c>
      <c r="AB42" s="11" t="s">
        <v>112</v>
      </c>
      <c r="AC42" s="11" t="s">
        <v>112</v>
      </c>
      <c r="AD42" s="11" t="s">
        <v>112</v>
      </c>
      <c r="AE42" s="60"/>
      <c r="AF42" s="11" t="s">
        <v>112</v>
      </c>
      <c r="AG42" s="11" t="s">
        <v>112</v>
      </c>
      <c r="AH42" s="11" t="s">
        <v>112</v>
      </c>
      <c r="AI42" s="11" t="s">
        <v>112</v>
      </c>
      <c r="AJ42" s="5">
        <f t="shared" si="2"/>
        <v>25</v>
      </c>
      <c r="AK42" s="5">
        <f t="shared" si="1"/>
        <v>1</v>
      </c>
    </row>
    <row r="43" spans="1:37" x14ac:dyDescent="0.25">
      <c r="A43" s="6">
        <v>22</v>
      </c>
      <c r="B43" s="23" t="s">
        <v>667</v>
      </c>
      <c r="C43" s="23" t="s">
        <v>668</v>
      </c>
      <c r="D43" s="10" t="s">
        <v>620</v>
      </c>
      <c r="E43" s="11" t="s">
        <v>111</v>
      </c>
      <c r="F43" s="11" t="s">
        <v>111</v>
      </c>
      <c r="G43" s="11" t="s">
        <v>111</v>
      </c>
      <c r="H43" s="11" t="s">
        <v>111</v>
      </c>
      <c r="I43" s="11" t="s">
        <v>111</v>
      </c>
      <c r="J43" s="60"/>
      <c r="K43" s="11" t="s">
        <v>111</v>
      </c>
      <c r="L43" s="11" t="s">
        <v>111</v>
      </c>
      <c r="M43" s="11" t="s">
        <v>111</v>
      </c>
      <c r="N43" s="11" t="s">
        <v>111</v>
      </c>
      <c r="O43" s="11" t="s">
        <v>111</v>
      </c>
      <c r="P43" s="68"/>
      <c r="Q43" s="60"/>
      <c r="R43" s="11" t="s">
        <v>111</v>
      </c>
      <c r="S43" s="11" t="s">
        <v>111</v>
      </c>
      <c r="T43" s="11" t="s">
        <v>111</v>
      </c>
      <c r="U43" s="11" t="s">
        <v>111</v>
      </c>
      <c r="V43" s="11" t="s">
        <v>111</v>
      </c>
      <c r="W43" s="11" t="s">
        <v>111</v>
      </c>
      <c r="X43" s="60"/>
      <c r="Y43" s="11" t="s">
        <v>111</v>
      </c>
      <c r="Z43" s="11" t="s">
        <v>111</v>
      </c>
      <c r="AA43" s="11" t="s">
        <v>111</v>
      </c>
      <c r="AB43" s="11" t="s">
        <v>111</v>
      </c>
      <c r="AC43" s="11" t="s">
        <v>111</v>
      </c>
      <c r="AD43" s="11" t="s">
        <v>111</v>
      </c>
      <c r="AE43" s="60"/>
      <c r="AF43" s="11" t="s">
        <v>111</v>
      </c>
      <c r="AG43" s="11" t="s">
        <v>111</v>
      </c>
      <c r="AH43" s="11" t="s">
        <v>111</v>
      </c>
      <c r="AI43" s="11" t="s">
        <v>111</v>
      </c>
      <c r="AJ43" s="5">
        <f t="shared" si="2"/>
        <v>0</v>
      </c>
      <c r="AK43" s="5">
        <f t="shared" si="1"/>
        <v>25</v>
      </c>
    </row>
    <row r="44" spans="1:37" x14ac:dyDescent="0.25">
      <c r="A44" s="13">
        <v>23</v>
      </c>
      <c r="B44" s="23" t="s">
        <v>669</v>
      </c>
      <c r="C44" s="23" t="s">
        <v>570</v>
      </c>
      <c r="D44" s="10" t="s">
        <v>620</v>
      </c>
      <c r="E44" s="11" t="s">
        <v>112</v>
      </c>
      <c r="F44" s="11" t="s">
        <v>112</v>
      </c>
      <c r="G44" s="11" t="s">
        <v>112</v>
      </c>
      <c r="H44" s="11" t="s">
        <v>112</v>
      </c>
      <c r="I44" s="11" t="s">
        <v>112</v>
      </c>
      <c r="J44" s="60"/>
      <c r="K44" s="11" t="s">
        <v>111</v>
      </c>
      <c r="L44" s="11" t="s">
        <v>112</v>
      </c>
      <c r="M44" s="11" t="s">
        <v>111</v>
      </c>
      <c r="N44" s="11" t="s">
        <v>112</v>
      </c>
      <c r="O44" s="11" t="s">
        <v>112</v>
      </c>
      <c r="P44" s="68"/>
      <c r="Q44" s="60"/>
      <c r="R44" s="11" t="s">
        <v>111</v>
      </c>
      <c r="S44" s="11" t="s">
        <v>112</v>
      </c>
      <c r="T44" s="11" t="s">
        <v>112</v>
      </c>
      <c r="U44" s="11" t="s">
        <v>112</v>
      </c>
      <c r="V44" s="11" t="s">
        <v>112</v>
      </c>
      <c r="W44" s="11" t="s">
        <v>111</v>
      </c>
      <c r="X44" s="60"/>
      <c r="Y44" s="11" t="s">
        <v>112</v>
      </c>
      <c r="Z44" s="11" t="s">
        <v>112</v>
      </c>
      <c r="AA44" s="11" t="s">
        <v>112</v>
      </c>
      <c r="AB44" s="11" t="s">
        <v>112</v>
      </c>
      <c r="AC44" s="11" t="s">
        <v>112</v>
      </c>
      <c r="AD44" s="11" t="s">
        <v>112</v>
      </c>
      <c r="AE44" s="60"/>
      <c r="AF44" s="11" t="s">
        <v>112</v>
      </c>
      <c r="AG44" s="11" t="s">
        <v>112</v>
      </c>
      <c r="AH44" s="11" t="s">
        <v>111</v>
      </c>
      <c r="AI44" s="11" t="s">
        <v>112</v>
      </c>
      <c r="AJ44" s="5">
        <f t="shared" si="2"/>
        <v>21</v>
      </c>
      <c r="AK44" s="5">
        <f t="shared" si="1"/>
        <v>5</v>
      </c>
    </row>
    <row r="45" spans="1:37" x14ac:dyDescent="0.25">
      <c r="A45" s="6">
        <v>24</v>
      </c>
      <c r="B45" s="23" t="s">
        <v>670</v>
      </c>
      <c r="C45" s="23" t="s">
        <v>671</v>
      </c>
      <c r="D45" s="10" t="s">
        <v>620</v>
      </c>
      <c r="E45" s="11" t="s">
        <v>112</v>
      </c>
      <c r="F45" s="11" t="s">
        <v>112</v>
      </c>
      <c r="G45" s="11" t="s">
        <v>112</v>
      </c>
      <c r="H45" s="11" t="s">
        <v>112</v>
      </c>
      <c r="I45" s="11" t="s">
        <v>112</v>
      </c>
      <c r="J45" s="60"/>
      <c r="K45" s="11" t="s">
        <v>112</v>
      </c>
      <c r="L45" s="11" t="s">
        <v>112</v>
      </c>
      <c r="M45" s="11" t="s">
        <v>112</v>
      </c>
      <c r="N45" s="11" t="s">
        <v>113</v>
      </c>
      <c r="O45" s="11" t="s">
        <v>112</v>
      </c>
      <c r="P45" s="68"/>
      <c r="Q45" s="60"/>
      <c r="R45" s="11" t="s">
        <v>112</v>
      </c>
      <c r="S45" s="11" t="s">
        <v>112</v>
      </c>
      <c r="T45" s="11" t="s">
        <v>112</v>
      </c>
      <c r="U45" s="11" t="s">
        <v>112</v>
      </c>
      <c r="V45" s="11" t="s">
        <v>112</v>
      </c>
      <c r="W45" s="11" t="s">
        <v>112</v>
      </c>
      <c r="X45" s="60"/>
      <c r="Y45" s="11" t="s">
        <v>111</v>
      </c>
      <c r="Z45" s="11" t="s">
        <v>112</v>
      </c>
      <c r="AA45" s="11" t="s">
        <v>112</v>
      </c>
      <c r="AB45" s="11" t="s">
        <v>112</v>
      </c>
      <c r="AC45" s="11" t="s">
        <v>112</v>
      </c>
      <c r="AD45" s="11" t="s">
        <v>112</v>
      </c>
      <c r="AE45" s="60"/>
      <c r="AF45" s="11" t="s">
        <v>112</v>
      </c>
      <c r="AG45" s="11" t="s">
        <v>112</v>
      </c>
      <c r="AH45" s="11" t="s">
        <v>112</v>
      </c>
      <c r="AI45" s="11" t="s">
        <v>112</v>
      </c>
      <c r="AJ45" s="5">
        <f t="shared" si="2"/>
        <v>24</v>
      </c>
      <c r="AK45" s="5">
        <f t="shared" si="1"/>
        <v>1</v>
      </c>
    </row>
    <row r="46" spans="1:37" x14ac:dyDescent="0.25">
      <c r="A46" s="13">
        <v>25</v>
      </c>
      <c r="B46" s="42" t="s">
        <v>672</v>
      </c>
      <c r="C46" s="42" t="s">
        <v>673</v>
      </c>
      <c r="D46" s="10" t="s">
        <v>620</v>
      </c>
      <c r="E46" s="21" t="s">
        <v>112</v>
      </c>
      <c r="F46" s="21" t="s">
        <v>112</v>
      </c>
      <c r="G46" s="21" t="s">
        <v>112</v>
      </c>
      <c r="H46" s="21" t="s">
        <v>111</v>
      </c>
      <c r="I46" s="21" t="s">
        <v>112</v>
      </c>
      <c r="J46" s="60"/>
      <c r="K46" s="21" t="s">
        <v>112</v>
      </c>
      <c r="L46" s="21" t="s">
        <v>112</v>
      </c>
      <c r="M46" s="21" t="s">
        <v>112</v>
      </c>
      <c r="N46" s="21" t="s">
        <v>112</v>
      </c>
      <c r="O46" s="21" t="s">
        <v>112</v>
      </c>
      <c r="P46" s="68"/>
      <c r="Q46" s="60"/>
      <c r="R46" s="21" t="s">
        <v>112</v>
      </c>
      <c r="S46" s="21" t="s">
        <v>112</v>
      </c>
      <c r="T46" s="21" t="s">
        <v>112</v>
      </c>
      <c r="U46" s="21" t="s">
        <v>112</v>
      </c>
      <c r="V46" s="21" t="s">
        <v>112</v>
      </c>
      <c r="W46" s="21" t="s">
        <v>111</v>
      </c>
      <c r="X46" s="60"/>
      <c r="Y46" s="21" t="s">
        <v>112</v>
      </c>
      <c r="Z46" s="21" t="s">
        <v>112</v>
      </c>
      <c r="AA46" s="21" t="s">
        <v>112</v>
      </c>
      <c r="AB46" s="21" t="s">
        <v>112</v>
      </c>
      <c r="AC46" s="21" t="s">
        <v>112</v>
      </c>
      <c r="AD46" s="21" t="s">
        <v>112</v>
      </c>
      <c r="AE46" s="60"/>
      <c r="AF46" s="21" t="s">
        <v>112</v>
      </c>
      <c r="AG46" s="21" t="s">
        <v>112</v>
      </c>
      <c r="AH46" s="21" t="s">
        <v>112</v>
      </c>
      <c r="AI46" s="21" t="s">
        <v>112</v>
      </c>
      <c r="AJ46" s="22">
        <f t="shared" si="2"/>
        <v>24</v>
      </c>
      <c r="AK46" s="22">
        <f t="shared" si="1"/>
        <v>2</v>
      </c>
    </row>
    <row r="47" spans="1:37" x14ac:dyDescent="0.25">
      <c r="A47" s="6">
        <v>26</v>
      </c>
      <c r="B47" s="23" t="s">
        <v>536</v>
      </c>
      <c r="C47" s="23" t="s">
        <v>509</v>
      </c>
      <c r="D47" s="10" t="s">
        <v>620</v>
      </c>
      <c r="E47" s="11" t="s">
        <v>111</v>
      </c>
      <c r="F47" s="11" t="s">
        <v>111</v>
      </c>
      <c r="G47" s="11" t="s">
        <v>111</v>
      </c>
      <c r="H47" s="11" t="s">
        <v>111</v>
      </c>
      <c r="I47" s="11" t="s">
        <v>111</v>
      </c>
      <c r="J47" s="61"/>
      <c r="K47" s="11" t="s">
        <v>111</v>
      </c>
      <c r="L47" s="11" t="s">
        <v>111</v>
      </c>
      <c r="M47" s="11" t="s">
        <v>111</v>
      </c>
      <c r="N47" s="11" t="s">
        <v>111</v>
      </c>
      <c r="O47" s="11" t="s">
        <v>111</v>
      </c>
      <c r="P47" s="69"/>
      <c r="Q47" s="61"/>
      <c r="R47" s="11" t="s">
        <v>111</v>
      </c>
      <c r="S47" s="11" t="s">
        <v>111</v>
      </c>
      <c r="T47" s="11" t="s">
        <v>111</v>
      </c>
      <c r="U47" s="11" t="s">
        <v>112</v>
      </c>
      <c r="V47" s="11" t="s">
        <v>112</v>
      </c>
      <c r="W47" s="11" t="s">
        <v>112</v>
      </c>
      <c r="X47" s="61"/>
      <c r="Y47" s="11" t="s">
        <v>112</v>
      </c>
      <c r="Z47" s="11" t="s">
        <v>111</v>
      </c>
      <c r="AA47" s="11" t="s">
        <v>112</v>
      </c>
      <c r="AB47" s="11" t="s">
        <v>112</v>
      </c>
      <c r="AC47" s="11" t="s">
        <v>112</v>
      </c>
      <c r="AD47" s="11" t="s">
        <v>112</v>
      </c>
      <c r="AE47" s="61"/>
      <c r="AF47" s="11" t="s">
        <v>112</v>
      </c>
      <c r="AG47" s="11" t="s">
        <v>111</v>
      </c>
      <c r="AH47" s="11" t="s">
        <v>112</v>
      </c>
      <c r="AI47" s="11" t="s">
        <v>112</v>
      </c>
      <c r="AJ47" s="5">
        <f t="shared" si="2"/>
        <v>11</v>
      </c>
      <c r="AK47" s="5">
        <f t="shared" si="1"/>
        <v>15</v>
      </c>
    </row>
  </sheetData>
  <mergeCells count="16">
    <mergeCell ref="A1:AK1"/>
    <mergeCell ref="A2:AK2"/>
    <mergeCell ref="A3:A4"/>
    <mergeCell ref="B3:B4"/>
    <mergeCell ref="C3:C4"/>
    <mergeCell ref="D3:D4"/>
    <mergeCell ref="AJ3:AJ4"/>
    <mergeCell ref="AK3:AK4"/>
    <mergeCell ref="AL3:AM3"/>
    <mergeCell ref="J5:J47"/>
    <mergeCell ref="P5:P47"/>
    <mergeCell ref="Q5:Q47"/>
    <mergeCell ref="X5:X47"/>
    <mergeCell ref="AE5:AE47"/>
    <mergeCell ref="AL9:AO9"/>
    <mergeCell ref="AL17:AO17"/>
  </mergeCells>
  <conditionalFormatting sqref="E5:Q5 X5 AE5 R5:W47 Y5:AD47 AF5:AI47 E6:I47 K6:O47 E4:AI4">
    <cfRule type="expression" dxfId="108" priority="18">
      <formula>IF(E$4=TODAY(),TRUE,FALSE)</formula>
    </cfRule>
  </conditionalFormatting>
  <conditionalFormatting sqref="E5:Q5 X5 AE5 R5:W47 Y5:AD47 AF5:AI47 E6:I47 K6:O47">
    <cfRule type="cellIs" dxfId="107" priority="15" operator="equal">
      <formula>"L"</formula>
    </cfRule>
    <cfRule type="cellIs" dxfId="106" priority="16" operator="equal">
      <formula>"A"</formula>
    </cfRule>
    <cfRule type="cellIs" dxfId="105" priority="17" operator="equal">
      <formula>"P"</formula>
    </cfRule>
  </conditionalFormatting>
  <conditionalFormatting sqref="E3:AI4 E5:Q5 X5 AE5 R5:W47 Y5:AD47 AF5:AI47 E6:I47 K6:O47">
    <cfRule type="expression" dxfId="104" priority="19">
      <formula>E$3="Sun"</formula>
    </cfRule>
  </conditionalFormatting>
  <conditionalFormatting sqref="AJ3:AK3 AJ5:AK47">
    <cfRule type="expression" dxfId="103" priority="20">
      <formula>#REF!="Sun"</formula>
    </cfRule>
  </conditionalFormatting>
  <conditionalFormatting sqref="AL5:AL7">
    <cfRule type="expression" dxfId="102" priority="5">
      <formula>AL$3="Sun"</formula>
    </cfRule>
  </conditionalFormatting>
  <conditionalFormatting sqref="AL10:AL13">
    <cfRule type="expression" dxfId="101" priority="2">
      <formula>AL$3="Sun"</formula>
    </cfRule>
  </conditionalFormatting>
  <conditionalFormatting sqref="AL18:AL21">
    <cfRule type="expression" dxfId="100" priority="1">
      <formula>AL$3="Sun"</formula>
    </cfRule>
  </conditionalFormatting>
  <conditionalFormatting sqref="AL4:AM4">
    <cfRule type="expression" dxfId="99" priority="6">
      <formula>AL$3="Sun"</formula>
    </cfRule>
  </conditionalFormatting>
  <conditionalFormatting sqref="AM10:AO10 AM18:AO18">
    <cfRule type="expression" dxfId="98" priority="7">
      <formula>AM$3="Sun"</formula>
    </cfRule>
  </conditionalFormatting>
  <conditionalFormatting sqref="AO19">
    <cfRule type="expression" dxfId="97" priority="4">
      <formula>AO$3="Sun"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8DB7-E24E-45D8-9A0F-5A0E538B65A0}">
  <dimension ref="A1:AN52"/>
  <sheetViews>
    <sheetView topLeftCell="C10" workbookViewId="0">
      <selection activeCell="AL11" sqref="AL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6" width="3.7109375" style="1" bestFit="1" customWidth="1"/>
    <col min="7" max="7" width="3.85546875" style="1" bestFit="1"/>
    <col min="8" max="8" width="4.5703125" style="1" bestFit="1" customWidth="1"/>
    <col min="9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4" width="3.7109375" style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</row>
    <row r="2" spans="1:40" ht="17.25" x14ac:dyDescent="0.3">
      <c r="A2" s="46" t="s">
        <v>619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</row>
    <row r="3" spans="1:40" ht="15.75" x14ac:dyDescent="0.25">
      <c r="A3" s="62" t="s">
        <v>0</v>
      </c>
      <c r="B3" s="62" t="s">
        <v>1</v>
      </c>
      <c r="C3" s="62" t="s">
        <v>3</v>
      </c>
      <c r="D3" s="2" t="str">
        <f t="shared" ref="D3:AH3" si="0">TEXT(D4,"ddd")</f>
        <v>Tue</v>
      </c>
      <c r="E3" s="2" t="str">
        <f t="shared" si="0"/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48" t="s">
        <v>4</v>
      </c>
      <c r="AJ3" s="48" t="s">
        <v>5</v>
      </c>
      <c r="AK3" s="49" t="s">
        <v>126</v>
      </c>
      <c r="AL3" s="50"/>
      <c r="AM3" s="3"/>
      <c r="AN3" s="3"/>
    </row>
    <row r="4" spans="1:40" ht="34.5" x14ac:dyDescent="0.25">
      <c r="A4" s="63"/>
      <c r="B4" s="63"/>
      <c r="C4" s="63"/>
      <c r="D4" s="20">
        <v>45566</v>
      </c>
      <c r="E4" s="20">
        <v>45567</v>
      </c>
      <c r="F4" s="20">
        <v>45568</v>
      </c>
      <c r="G4" s="20">
        <v>45569</v>
      </c>
      <c r="H4" s="20">
        <v>45570</v>
      </c>
      <c r="I4" s="20">
        <v>45571</v>
      </c>
      <c r="J4" s="20">
        <v>45572</v>
      </c>
      <c r="K4" s="20">
        <v>45573</v>
      </c>
      <c r="L4" s="20">
        <v>45574</v>
      </c>
      <c r="M4" s="20">
        <v>45575</v>
      </c>
      <c r="N4" s="20">
        <v>45576</v>
      </c>
      <c r="O4" s="20">
        <v>45577</v>
      </c>
      <c r="P4" s="20">
        <v>45578</v>
      </c>
      <c r="Q4" s="20">
        <v>45579</v>
      </c>
      <c r="R4" s="20">
        <v>45580</v>
      </c>
      <c r="S4" s="20">
        <v>45581</v>
      </c>
      <c r="T4" s="20">
        <v>45582</v>
      </c>
      <c r="U4" s="20">
        <v>45583</v>
      </c>
      <c r="V4" s="20">
        <v>45584</v>
      </c>
      <c r="W4" s="20">
        <v>45585</v>
      </c>
      <c r="X4" s="20">
        <v>45586</v>
      </c>
      <c r="Y4" s="20">
        <v>45587</v>
      </c>
      <c r="Z4" s="20">
        <v>45588</v>
      </c>
      <c r="AA4" s="20">
        <v>45589</v>
      </c>
      <c r="AB4" s="20">
        <v>45590</v>
      </c>
      <c r="AC4" s="20">
        <v>45591</v>
      </c>
      <c r="AD4" s="20">
        <v>45592</v>
      </c>
      <c r="AE4" s="20">
        <v>45593</v>
      </c>
      <c r="AF4" s="20">
        <v>45594</v>
      </c>
      <c r="AG4" s="20">
        <v>45595</v>
      </c>
      <c r="AH4" s="20">
        <v>45596</v>
      </c>
      <c r="AI4" s="48"/>
      <c r="AJ4" s="48"/>
      <c r="AK4" s="5" t="s">
        <v>127</v>
      </c>
      <c r="AL4" s="5">
        <f>SUM(AL5:AL7)</f>
        <v>31</v>
      </c>
      <c r="AM4" s="3"/>
      <c r="AN4" s="3"/>
    </row>
    <row r="5" spans="1:40" ht="15" customHeight="1" x14ac:dyDescent="0.25">
      <c r="A5" s="6">
        <v>1</v>
      </c>
      <c r="B5" s="35" t="s">
        <v>117</v>
      </c>
      <c r="C5" s="10" t="s">
        <v>674</v>
      </c>
      <c r="D5" s="11" t="s">
        <v>112</v>
      </c>
      <c r="E5" s="11" t="s">
        <v>112</v>
      </c>
      <c r="F5" s="11" t="s">
        <v>112</v>
      </c>
      <c r="G5" s="11" t="s">
        <v>112</v>
      </c>
      <c r="H5" s="11" t="s">
        <v>112</v>
      </c>
      <c r="I5" s="59" t="s">
        <v>115</v>
      </c>
      <c r="J5" s="11" t="s">
        <v>112</v>
      </c>
      <c r="K5" s="11" t="s">
        <v>112</v>
      </c>
      <c r="L5" s="11" t="s">
        <v>112</v>
      </c>
      <c r="M5" s="11" t="s">
        <v>112</v>
      </c>
      <c r="N5" s="11" t="s">
        <v>112</v>
      </c>
      <c r="O5" s="67" t="s">
        <v>622</v>
      </c>
      <c r="P5" s="59" t="s">
        <v>115</v>
      </c>
      <c r="Q5" s="11" t="s">
        <v>112</v>
      </c>
      <c r="R5" s="11" t="s">
        <v>112</v>
      </c>
      <c r="S5" s="11" t="s">
        <v>112</v>
      </c>
      <c r="T5" s="11" t="s">
        <v>112</v>
      </c>
      <c r="U5" s="11" t="s">
        <v>112</v>
      </c>
      <c r="V5" s="11" t="s">
        <v>111</v>
      </c>
      <c r="W5" s="59" t="s">
        <v>115</v>
      </c>
      <c r="X5" s="11" t="s">
        <v>112</v>
      </c>
      <c r="Y5" s="11" t="s">
        <v>112</v>
      </c>
      <c r="Z5" s="11" t="s">
        <v>112</v>
      </c>
      <c r="AA5" s="11" t="s">
        <v>112</v>
      </c>
      <c r="AB5" s="11" t="s">
        <v>112</v>
      </c>
      <c r="AC5" s="11" t="s">
        <v>111</v>
      </c>
      <c r="AD5" s="59" t="s">
        <v>115</v>
      </c>
      <c r="AE5" s="11" t="s">
        <v>112</v>
      </c>
      <c r="AF5" s="11" t="s">
        <v>112</v>
      </c>
      <c r="AG5" s="11" t="s">
        <v>112</v>
      </c>
      <c r="AH5" s="11" t="s">
        <v>112</v>
      </c>
      <c r="AI5" s="5">
        <f>COUNTIF(D5:AH5,"P")</f>
        <v>24</v>
      </c>
      <c r="AJ5" s="5">
        <f t="shared" ref="AJ5:AJ52" si="1">COUNTIF(D5:AG5,"A")</f>
        <v>2</v>
      </c>
      <c r="AK5" s="5" t="s">
        <v>7</v>
      </c>
      <c r="AL5" s="13">
        <v>26</v>
      </c>
      <c r="AM5" s="14"/>
      <c r="AN5" s="3"/>
    </row>
    <row r="6" spans="1:40" x14ac:dyDescent="0.25">
      <c r="A6" s="13">
        <v>2</v>
      </c>
      <c r="B6" s="35" t="s">
        <v>675</v>
      </c>
      <c r="C6" s="10" t="s">
        <v>674</v>
      </c>
      <c r="D6" s="11" t="s">
        <v>112</v>
      </c>
      <c r="E6" s="11" t="s">
        <v>112</v>
      </c>
      <c r="F6" s="11" t="s">
        <v>112</v>
      </c>
      <c r="G6" s="11" t="s">
        <v>112</v>
      </c>
      <c r="H6" s="11" t="s">
        <v>112</v>
      </c>
      <c r="I6" s="60"/>
      <c r="J6" s="11" t="s">
        <v>112</v>
      </c>
      <c r="K6" s="11" t="s">
        <v>112</v>
      </c>
      <c r="L6" s="11" t="s">
        <v>112</v>
      </c>
      <c r="M6" s="11" t="s">
        <v>112</v>
      </c>
      <c r="N6" s="11" t="s">
        <v>112</v>
      </c>
      <c r="O6" s="68"/>
      <c r="P6" s="60"/>
      <c r="Q6" s="11" t="s">
        <v>112</v>
      </c>
      <c r="R6" s="11" t="s">
        <v>112</v>
      </c>
      <c r="S6" s="11" t="s">
        <v>112</v>
      </c>
      <c r="T6" s="11" t="s">
        <v>112</v>
      </c>
      <c r="U6" s="11" t="s">
        <v>112</v>
      </c>
      <c r="V6" s="11" t="s">
        <v>112</v>
      </c>
      <c r="W6" s="60"/>
      <c r="X6" s="11" t="s">
        <v>112</v>
      </c>
      <c r="Y6" s="11" t="s">
        <v>112</v>
      </c>
      <c r="Z6" s="11" t="s">
        <v>112</v>
      </c>
      <c r="AA6" s="11" t="s">
        <v>112</v>
      </c>
      <c r="AB6" s="11" t="s">
        <v>112</v>
      </c>
      <c r="AC6" s="11" t="s">
        <v>111</v>
      </c>
      <c r="AD6" s="60"/>
      <c r="AE6" s="11" t="s">
        <v>112</v>
      </c>
      <c r="AF6" s="11" t="s">
        <v>112</v>
      </c>
      <c r="AG6" s="11" t="s">
        <v>112</v>
      </c>
      <c r="AH6" s="11" t="s">
        <v>112</v>
      </c>
      <c r="AI6" s="5">
        <f t="shared" ref="AI6:AI52" si="2">COUNTIF(D6:AH6,"P")</f>
        <v>25</v>
      </c>
      <c r="AJ6" s="5">
        <f t="shared" si="1"/>
        <v>1</v>
      </c>
      <c r="AK6" s="5" t="s">
        <v>8</v>
      </c>
      <c r="AL6" s="13">
        <v>4</v>
      </c>
      <c r="AM6" s="3"/>
      <c r="AN6" s="3"/>
    </row>
    <row r="7" spans="1:40" x14ac:dyDescent="0.25">
      <c r="A7" s="6">
        <v>3</v>
      </c>
      <c r="B7" s="35" t="s">
        <v>676</v>
      </c>
      <c r="C7" s="10" t="s">
        <v>674</v>
      </c>
      <c r="D7" s="11" t="s">
        <v>112</v>
      </c>
      <c r="E7" s="11" t="s">
        <v>112</v>
      </c>
      <c r="F7" s="11" t="s">
        <v>112</v>
      </c>
      <c r="G7" s="11" t="s">
        <v>111</v>
      </c>
      <c r="H7" s="11" t="s">
        <v>111</v>
      </c>
      <c r="I7" s="60"/>
      <c r="J7" s="11" t="s">
        <v>112</v>
      </c>
      <c r="K7" s="11" t="s">
        <v>112</v>
      </c>
      <c r="L7" s="11" t="s">
        <v>112</v>
      </c>
      <c r="M7" s="11" t="s">
        <v>112</v>
      </c>
      <c r="N7" s="11" t="s">
        <v>111</v>
      </c>
      <c r="O7" s="68"/>
      <c r="P7" s="60"/>
      <c r="Q7" s="11" t="s">
        <v>112</v>
      </c>
      <c r="R7" s="11" t="s">
        <v>112</v>
      </c>
      <c r="S7" s="11" t="s">
        <v>112</v>
      </c>
      <c r="T7" s="11" t="s">
        <v>112</v>
      </c>
      <c r="U7" s="11" t="s">
        <v>112</v>
      </c>
      <c r="V7" s="11" t="s">
        <v>112</v>
      </c>
      <c r="W7" s="60"/>
      <c r="X7" s="11" t="s">
        <v>112</v>
      </c>
      <c r="Y7" s="11" t="s">
        <v>112</v>
      </c>
      <c r="Z7" s="11" t="s">
        <v>112</v>
      </c>
      <c r="AA7" s="11" t="s">
        <v>112</v>
      </c>
      <c r="AB7" s="11" t="s">
        <v>112</v>
      </c>
      <c r="AC7" s="11" t="s">
        <v>112</v>
      </c>
      <c r="AD7" s="60"/>
      <c r="AE7" s="11" t="s">
        <v>112</v>
      </c>
      <c r="AF7" s="11" t="s">
        <v>112</v>
      </c>
      <c r="AG7" s="11" t="s">
        <v>112</v>
      </c>
      <c r="AH7" s="11" t="s">
        <v>112</v>
      </c>
      <c r="AI7" s="5">
        <f t="shared" si="2"/>
        <v>23</v>
      </c>
      <c r="AJ7" s="5">
        <f t="shared" si="1"/>
        <v>3</v>
      </c>
      <c r="AK7" s="5" t="s">
        <v>394</v>
      </c>
      <c r="AL7" s="13">
        <v>1</v>
      </c>
      <c r="AM7" s="3"/>
      <c r="AN7" s="3"/>
    </row>
    <row r="8" spans="1:40" x14ac:dyDescent="0.25">
      <c r="A8" s="13">
        <v>4</v>
      </c>
      <c r="B8" s="35" t="s">
        <v>677</v>
      </c>
      <c r="C8" s="10" t="s">
        <v>674</v>
      </c>
      <c r="D8" s="11" t="s">
        <v>112</v>
      </c>
      <c r="E8" s="11" t="s">
        <v>112</v>
      </c>
      <c r="F8" s="11" t="s">
        <v>112</v>
      </c>
      <c r="G8" s="11" t="s">
        <v>111</v>
      </c>
      <c r="H8" s="11" t="s">
        <v>111</v>
      </c>
      <c r="I8" s="60"/>
      <c r="J8" s="11" t="s">
        <v>112</v>
      </c>
      <c r="K8" s="11" t="s">
        <v>112</v>
      </c>
      <c r="L8" s="11" t="s">
        <v>112</v>
      </c>
      <c r="M8" s="11" t="s">
        <v>112</v>
      </c>
      <c r="N8" s="11" t="s">
        <v>111</v>
      </c>
      <c r="O8" s="68"/>
      <c r="P8" s="60"/>
      <c r="Q8" s="11" t="s">
        <v>111</v>
      </c>
      <c r="R8" s="11" t="s">
        <v>112</v>
      </c>
      <c r="S8" s="11" t="s">
        <v>112</v>
      </c>
      <c r="T8" s="11" t="s">
        <v>112</v>
      </c>
      <c r="U8" s="11" t="s">
        <v>111</v>
      </c>
      <c r="V8" s="11" t="s">
        <v>111</v>
      </c>
      <c r="W8" s="60"/>
      <c r="X8" s="11" t="s">
        <v>112</v>
      </c>
      <c r="Y8" s="11" t="s">
        <v>112</v>
      </c>
      <c r="Z8" s="11" t="s">
        <v>112</v>
      </c>
      <c r="AA8" s="11" t="s">
        <v>112</v>
      </c>
      <c r="AB8" s="11" t="s">
        <v>112</v>
      </c>
      <c r="AC8" s="11" t="s">
        <v>111</v>
      </c>
      <c r="AD8" s="60"/>
      <c r="AE8" s="11" t="s">
        <v>111</v>
      </c>
      <c r="AF8" s="11" t="s">
        <v>112</v>
      </c>
      <c r="AG8" s="11" t="s">
        <v>112</v>
      </c>
      <c r="AH8" s="11" t="s">
        <v>112</v>
      </c>
      <c r="AI8" s="5">
        <f t="shared" si="2"/>
        <v>18</v>
      </c>
      <c r="AJ8" s="5">
        <f t="shared" si="1"/>
        <v>8</v>
      </c>
      <c r="AK8"/>
      <c r="AL8"/>
      <c r="AM8"/>
      <c r="AN8"/>
    </row>
    <row r="9" spans="1:40" ht="15.75" x14ac:dyDescent="0.25">
      <c r="A9" s="6">
        <v>5</v>
      </c>
      <c r="B9" s="35" t="s">
        <v>678</v>
      </c>
      <c r="C9" s="10" t="s">
        <v>674</v>
      </c>
      <c r="D9" s="11" t="s">
        <v>112</v>
      </c>
      <c r="E9" s="11" t="s">
        <v>111</v>
      </c>
      <c r="F9" s="11" t="s">
        <v>112</v>
      </c>
      <c r="G9" s="11" t="s">
        <v>111</v>
      </c>
      <c r="H9" s="11" t="s">
        <v>111</v>
      </c>
      <c r="I9" s="60"/>
      <c r="J9" s="11" t="s">
        <v>112</v>
      </c>
      <c r="K9" s="11" t="s">
        <v>112</v>
      </c>
      <c r="L9" s="11" t="s">
        <v>112</v>
      </c>
      <c r="M9" s="11" t="s">
        <v>112</v>
      </c>
      <c r="N9" s="11" t="s">
        <v>112</v>
      </c>
      <c r="O9" s="68"/>
      <c r="P9" s="60"/>
      <c r="Q9" s="11" t="s">
        <v>112</v>
      </c>
      <c r="R9" s="11" t="s">
        <v>112</v>
      </c>
      <c r="S9" s="11" t="s">
        <v>111</v>
      </c>
      <c r="T9" s="11" t="s">
        <v>111</v>
      </c>
      <c r="U9" s="11" t="s">
        <v>112</v>
      </c>
      <c r="V9" s="11" t="s">
        <v>112</v>
      </c>
      <c r="W9" s="60"/>
      <c r="X9" s="11" t="s">
        <v>112</v>
      </c>
      <c r="Y9" s="11" t="s">
        <v>112</v>
      </c>
      <c r="Z9" s="11" t="s">
        <v>112</v>
      </c>
      <c r="AA9" s="11" t="s">
        <v>111</v>
      </c>
      <c r="AB9" s="11" t="s">
        <v>112</v>
      </c>
      <c r="AC9" s="11" t="s">
        <v>112</v>
      </c>
      <c r="AD9" s="60"/>
      <c r="AE9" s="11" t="s">
        <v>112</v>
      </c>
      <c r="AF9" s="11" t="s">
        <v>112</v>
      </c>
      <c r="AG9" s="11" t="s">
        <v>112</v>
      </c>
      <c r="AH9" s="11" t="s">
        <v>112</v>
      </c>
      <c r="AI9" s="5">
        <f t="shared" si="2"/>
        <v>20</v>
      </c>
      <c r="AJ9" s="5">
        <f t="shared" si="1"/>
        <v>6</v>
      </c>
      <c r="AK9" s="49" t="s">
        <v>9</v>
      </c>
      <c r="AL9" s="50"/>
      <c r="AM9" s="50"/>
      <c r="AN9" s="52"/>
    </row>
    <row r="10" spans="1:40" x14ac:dyDescent="0.25">
      <c r="A10" s="13">
        <v>6</v>
      </c>
      <c r="B10" s="35" t="s">
        <v>57</v>
      </c>
      <c r="C10" s="10" t="s">
        <v>674</v>
      </c>
      <c r="D10" s="11" t="s">
        <v>111</v>
      </c>
      <c r="E10" s="11" t="s">
        <v>111</v>
      </c>
      <c r="F10" s="11" t="s">
        <v>111</v>
      </c>
      <c r="G10" s="11" t="s">
        <v>112</v>
      </c>
      <c r="H10" s="11" t="s">
        <v>111</v>
      </c>
      <c r="I10" s="60"/>
      <c r="J10" s="11" t="s">
        <v>111</v>
      </c>
      <c r="K10" s="11" t="s">
        <v>112</v>
      </c>
      <c r="L10" s="11" t="s">
        <v>112</v>
      </c>
      <c r="M10" s="11" t="s">
        <v>112</v>
      </c>
      <c r="N10" s="11" t="s">
        <v>112</v>
      </c>
      <c r="O10" s="68"/>
      <c r="P10" s="60"/>
      <c r="Q10" s="11" t="s">
        <v>112</v>
      </c>
      <c r="R10" s="11" t="s">
        <v>112</v>
      </c>
      <c r="S10" s="11" t="s">
        <v>112</v>
      </c>
      <c r="T10" s="11" t="s">
        <v>112</v>
      </c>
      <c r="U10" s="11" t="s">
        <v>112</v>
      </c>
      <c r="V10" s="11" t="s">
        <v>112</v>
      </c>
      <c r="W10" s="60"/>
      <c r="X10" s="11" t="s">
        <v>112</v>
      </c>
      <c r="Y10" s="11" t="s">
        <v>112</v>
      </c>
      <c r="Z10" s="11" t="s">
        <v>111</v>
      </c>
      <c r="AA10" s="11" t="s">
        <v>111</v>
      </c>
      <c r="AB10" s="11" t="s">
        <v>111</v>
      </c>
      <c r="AC10" s="11" t="s">
        <v>112</v>
      </c>
      <c r="AD10" s="60"/>
      <c r="AE10" s="11" t="s">
        <v>112</v>
      </c>
      <c r="AF10" s="11" t="s">
        <v>112</v>
      </c>
      <c r="AG10" s="11" t="s">
        <v>112</v>
      </c>
      <c r="AH10" s="11" t="s">
        <v>112</v>
      </c>
      <c r="AI10" s="5">
        <f t="shared" si="2"/>
        <v>18</v>
      </c>
      <c r="AJ10" s="5">
        <f t="shared" si="1"/>
        <v>8</v>
      </c>
      <c r="AK10" s="5" t="s">
        <v>10</v>
      </c>
      <c r="AL10" s="5" t="s">
        <v>11</v>
      </c>
      <c r="AM10" s="5" t="s">
        <v>12</v>
      </c>
      <c r="AN10" s="5" t="s">
        <v>13</v>
      </c>
    </row>
    <row r="11" spans="1:40" x14ac:dyDescent="0.25">
      <c r="A11" s="6">
        <v>7</v>
      </c>
      <c r="B11" s="35" t="s">
        <v>679</v>
      </c>
      <c r="C11" s="10" t="s">
        <v>674</v>
      </c>
      <c r="D11" s="11" t="s">
        <v>112</v>
      </c>
      <c r="E11" s="11" t="s">
        <v>112</v>
      </c>
      <c r="F11" s="11" t="s">
        <v>112</v>
      </c>
      <c r="G11" s="11" t="s">
        <v>112</v>
      </c>
      <c r="H11" s="11" t="s">
        <v>111</v>
      </c>
      <c r="I11" s="60"/>
      <c r="J11" s="11" t="s">
        <v>112</v>
      </c>
      <c r="K11" s="11" t="s">
        <v>112</v>
      </c>
      <c r="L11" s="11" t="s">
        <v>111</v>
      </c>
      <c r="M11" s="11" t="s">
        <v>111</v>
      </c>
      <c r="N11" s="11" t="s">
        <v>111</v>
      </c>
      <c r="O11" s="68"/>
      <c r="P11" s="60"/>
      <c r="Q11" s="11" t="s">
        <v>111</v>
      </c>
      <c r="R11" s="11" t="s">
        <v>112</v>
      </c>
      <c r="S11" s="11" t="s">
        <v>112</v>
      </c>
      <c r="T11" s="11" t="s">
        <v>112</v>
      </c>
      <c r="U11" s="11" t="s">
        <v>111</v>
      </c>
      <c r="V11" s="11" t="s">
        <v>111</v>
      </c>
      <c r="W11" s="60"/>
      <c r="X11" s="11" t="s">
        <v>112</v>
      </c>
      <c r="Y11" s="11" t="s">
        <v>112</v>
      </c>
      <c r="Z11" s="11" t="s">
        <v>112</v>
      </c>
      <c r="AA11" s="11" t="s">
        <v>112</v>
      </c>
      <c r="AB11" s="11" t="s">
        <v>111</v>
      </c>
      <c r="AC11" s="11" t="s">
        <v>111</v>
      </c>
      <c r="AD11" s="60"/>
      <c r="AE11" s="11" t="s">
        <v>112</v>
      </c>
      <c r="AF11" s="11" t="s">
        <v>112</v>
      </c>
      <c r="AG11" s="11" t="s">
        <v>112</v>
      </c>
      <c r="AH11" s="11" t="s">
        <v>112</v>
      </c>
      <c r="AI11" s="5">
        <f t="shared" si="2"/>
        <v>17</v>
      </c>
      <c r="AJ11" s="5">
        <f t="shared" si="1"/>
        <v>9</v>
      </c>
      <c r="AK11" s="5" t="s">
        <v>14</v>
      </c>
      <c r="AL11" s="13">
        <f>29*$AL$5</f>
        <v>754</v>
      </c>
      <c r="AM11" s="13">
        <f>19*$AL$5</f>
        <v>494</v>
      </c>
      <c r="AN11" s="13">
        <f>SUM(AL11:AM11)</f>
        <v>1248</v>
      </c>
    </row>
    <row r="12" spans="1:40" x14ac:dyDescent="0.25">
      <c r="A12" s="13">
        <v>8</v>
      </c>
      <c r="B12" s="35" t="s">
        <v>680</v>
      </c>
      <c r="C12" s="10" t="s">
        <v>674</v>
      </c>
      <c r="D12" s="11" t="s">
        <v>112</v>
      </c>
      <c r="E12" s="11" t="s">
        <v>112</v>
      </c>
      <c r="F12" s="11" t="s">
        <v>112</v>
      </c>
      <c r="G12" s="11" t="s">
        <v>111</v>
      </c>
      <c r="H12" s="11" t="s">
        <v>111</v>
      </c>
      <c r="I12" s="60"/>
      <c r="J12" s="11" t="s">
        <v>112</v>
      </c>
      <c r="K12" s="11" t="s">
        <v>112</v>
      </c>
      <c r="L12" s="11" t="s">
        <v>111</v>
      </c>
      <c r="M12" s="11" t="s">
        <v>111</v>
      </c>
      <c r="N12" s="11" t="s">
        <v>111</v>
      </c>
      <c r="O12" s="68"/>
      <c r="P12" s="60"/>
      <c r="Q12" s="11" t="s">
        <v>112</v>
      </c>
      <c r="R12" s="11" t="s">
        <v>112</v>
      </c>
      <c r="S12" s="11" t="s">
        <v>112</v>
      </c>
      <c r="T12" s="11" t="s">
        <v>111</v>
      </c>
      <c r="U12" s="11" t="s">
        <v>112</v>
      </c>
      <c r="V12" s="11" t="s">
        <v>111</v>
      </c>
      <c r="W12" s="60"/>
      <c r="X12" s="11" t="s">
        <v>112</v>
      </c>
      <c r="Y12" s="11" t="s">
        <v>112</v>
      </c>
      <c r="Z12" s="11" t="s">
        <v>112</v>
      </c>
      <c r="AA12" s="11" t="s">
        <v>112</v>
      </c>
      <c r="AB12" s="11" t="s">
        <v>112</v>
      </c>
      <c r="AC12" s="11" t="s">
        <v>112</v>
      </c>
      <c r="AD12" s="60"/>
      <c r="AE12" s="11" t="s">
        <v>111</v>
      </c>
      <c r="AF12" s="11" t="s">
        <v>112</v>
      </c>
      <c r="AG12" s="11" t="s">
        <v>112</v>
      </c>
      <c r="AH12" s="11" t="s">
        <v>112</v>
      </c>
      <c r="AI12" s="5">
        <f t="shared" si="2"/>
        <v>18</v>
      </c>
      <c r="AJ12" s="5">
        <f t="shared" si="1"/>
        <v>8</v>
      </c>
      <c r="AK12" s="5" t="s">
        <v>15</v>
      </c>
      <c r="AL12" s="13">
        <f>SUM(AI5:AI33)</f>
        <v>624</v>
      </c>
      <c r="AM12" s="13">
        <f>SUM(AI34:AI52)</f>
        <v>426</v>
      </c>
      <c r="AN12" s="13">
        <f>AL12+AM12</f>
        <v>1050</v>
      </c>
    </row>
    <row r="13" spans="1:40" x14ac:dyDescent="0.25">
      <c r="A13" s="6">
        <v>9</v>
      </c>
      <c r="B13" s="35" t="s">
        <v>681</v>
      </c>
      <c r="C13" s="10" t="s">
        <v>674</v>
      </c>
      <c r="D13" s="11" t="s">
        <v>112</v>
      </c>
      <c r="E13" s="11" t="s">
        <v>112</v>
      </c>
      <c r="F13" s="11" t="s">
        <v>112</v>
      </c>
      <c r="G13" s="11" t="s">
        <v>112</v>
      </c>
      <c r="H13" s="11" t="s">
        <v>112</v>
      </c>
      <c r="I13" s="60"/>
      <c r="J13" s="11" t="s">
        <v>112</v>
      </c>
      <c r="K13" s="11" t="s">
        <v>112</v>
      </c>
      <c r="L13" s="11" t="s">
        <v>112</v>
      </c>
      <c r="M13" s="11" t="s">
        <v>112</v>
      </c>
      <c r="N13" s="11" t="s">
        <v>112</v>
      </c>
      <c r="O13" s="68"/>
      <c r="P13" s="60"/>
      <c r="Q13" s="11" t="s">
        <v>112</v>
      </c>
      <c r="R13" s="11" t="s">
        <v>112</v>
      </c>
      <c r="S13" s="11" t="s">
        <v>112</v>
      </c>
      <c r="T13" s="11" t="s">
        <v>112</v>
      </c>
      <c r="U13" s="11" t="s">
        <v>112</v>
      </c>
      <c r="V13" s="11" t="s">
        <v>112</v>
      </c>
      <c r="W13" s="60"/>
      <c r="X13" s="11" t="s">
        <v>112</v>
      </c>
      <c r="Y13" s="11" t="s">
        <v>112</v>
      </c>
      <c r="Z13" s="11" t="s">
        <v>112</v>
      </c>
      <c r="AA13" s="11" t="s">
        <v>112</v>
      </c>
      <c r="AB13" s="11" t="s">
        <v>113</v>
      </c>
      <c r="AC13" s="11" t="s">
        <v>113</v>
      </c>
      <c r="AD13" s="60"/>
      <c r="AE13" s="11" t="s">
        <v>112</v>
      </c>
      <c r="AF13" s="11" t="s">
        <v>112</v>
      </c>
      <c r="AG13" s="11" t="s">
        <v>112</v>
      </c>
      <c r="AH13" s="11" t="s">
        <v>112</v>
      </c>
      <c r="AI13" s="5">
        <f t="shared" si="2"/>
        <v>24</v>
      </c>
      <c r="AJ13" s="5">
        <f t="shared" si="1"/>
        <v>0</v>
      </c>
      <c r="AK13" s="5" t="s">
        <v>16</v>
      </c>
      <c r="AL13" s="18">
        <f>AL12/AL11</f>
        <v>0.82758620689655171</v>
      </c>
      <c r="AM13" s="18">
        <f>AM12/AM11</f>
        <v>0.86234817813765186</v>
      </c>
      <c r="AN13" s="18">
        <f>AN12/AN11</f>
        <v>0.84134615384615385</v>
      </c>
    </row>
    <row r="14" spans="1:40" x14ac:dyDescent="0.25">
      <c r="A14" s="13">
        <v>10</v>
      </c>
      <c r="B14" s="35" t="s">
        <v>682</v>
      </c>
      <c r="C14" s="10" t="s">
        <v>674</v>
      </c>
      <c r="D14" s="11" t="s">
        <v>112</v>
      </c>
      <c r="E14" s="11" t="s">
        <v>112</v>
      </c>
      <c r="F14" s="11" t="s">
        <v>112</v>
      </c>
      <c r="G14" s="11" t="s">
        <v>112</v>
      </c>
      <c r="H14" s="11" t="s">
        <v>111</v>
      </c>
      <c r="I14" s="60"/>
      <c r="J14" s="11" t="s">
        <v>112</v>
      </c>
      <c r="K14" s="11" t="s">
        <v>112</v>
      </c>
      <c r="L14" s="11" t="s">
        <v>112</v>
      </c>
      <c r="M14" s="11" t="s">
        <v>112</v>
      </c>
      <c r="N14" s="11" t="s">
        <v>112</v>
      </c>
      <c r="O14" s="68"/>
      <c r="P14" s="60"/>
      <c r="Q14" s="11" t="s">
        <v>112</v>
      </c>
      <c r="R14" s="11" t="s">
        <v>112</v>
      </c>
      <c r="S14" s="11" t="s">
        <v>112</v>
      </c>
      <c r="T14" s="11" t="s">
        <v>112</v>
      </c>
      <c r="U14" s="11" t="s">
        <v>112</v>
      </c>
      <c r="V14" s="11" t="s">
        <v>112</v>
      </c>
      <c r="W14" s="60"/>
      <c r="X14" s="11" t="s">
        <v>112</v>
      </c>
      <c r="Y14" s="11" t="s">
        <v>112</v>
      </c>
      <c r="Z14" s="11" t="s">
        <v>112</v>
      </c>
      <c r="AA14" s="11" t="s">
        <v>112</v>
      </c>
      <c r="AB14" s="11" t="s">
        <v>112</v>
      </c>
      <c r="AC14" s="11" t="s">
        <v>112</v>
      </c>
      <c r="AD14" s="60"/>
      <c r="AE14" s="11" t="s">
        <v>112</v>
      </c>
      <c r="AF14" s="11" t="s">
        <v>112</v>
      </c>
      <c r="AG14" s="11" t="s">
        <v>112</v>
      </c>
      <c r="AH14" s="11" t="s">
        <v>112</v>
      </c>
      <c r="AI14" s="5">
        <f t="shared" si="2"/>
        <v>25</v>
      </c>
      <c r="AJ14" s="5">
        <f t="shared" si="1"/>
        <v>1</v>
      </c>
      <c r="AK14"/>
      <c r="AL14"/>
      <c r="AM14"/>
      <c r="AN14"/>
    </row>
    <row r="15" spans="1:40" x14ac:dyDescent="0.25">
      <c r="A15" s="6">
        <v>11</v>
      </c>
      <c r="B15" s="35" t="s">
        <v>683</v>
      </c>
      <c r="C15" s="10" t="s">
        <v>674</v>
      </c>
      <c r="D15" s="11" t="s">
        <v>112</v>
      </c>
      <c r="E15" s="11" t="s">
        <v>111</v>
      </c>
      <c r="F15" s="11" t="s">
        <v>111</v>
      </c>
      <c r="G15" s="11" t="s">
        <v>111</v>
      </c>
      <c r="H15" s="11" t="s">
        <v>111</v>
      </c>
      <c r="I15" s="60"/>
      <c r="J15" s="11" t="s">
        <v>112</v>
      </c>
      <c r="K15" s="11" t="s">
        <v>112</v>
      </c>
      <c r="L15" s="11" t="s">
        <v>112</v>
      </c>
      <c r="M15" s="11" t="s">
        <v>111</v>
      </c>
      <c r="N15" s="11" t="s">
        <v>111</v>
      </c>
      <c r="O15" s="68"/>
      <c r="P15" s="60"/>
      <c r="Q15" s="11" t="s">
        <v>112</v>
      </c>
      <c r="R15" s="11" t="s">
        <v>112</v>
      </c>
      <c r="S15" s="11" t="s">
        <v>112</v>
      </c>
      <c r="T15" s="11" t="s">
        <v>111</v>
      </c>
      <c r="U15" s="11" t="s">
        <v>112</v>
      </c>
      <c r="V15" s="11" t="s">
        <v>112</v>
      </c>
      <c r="W15" s="60"/>
      <c r="X15" s="11" t="s">
        <v>112</v>
      </c>
      <c r="Y15" s="11" t="s">
        <v>112</v>
      </c>
      <c r="Z15" s="11" t="s">
        <v>112</v>
      </c>
      <c r="AA15" s="11" t="s">
        <v>111</v>
      </c>
      <c r="AB15" s="11" t="s">
        <v>112</v>
      </c>
      <c r="AC15" s="11" t="s">
        <v>111</v>
      </c>
      <c r="AD15" s="60"/>
      <c r="AE15" s="11" t="s">
        <v>112</v>
      </c>
      <c r="AF15" s="11" t="s">
        <v>112</v>
      </c>
      <c r="AG15" s="11" t="s">
        <v>112</v>
      </c>
      <c r="AH15" s="11" t="s">
        <v>112</v>
      </c>
      <c r="AI15" s="5">
        <f t="shared" si="2"/>
        <v>17</v>
      </c>
      <c r="AJ15" s="5">
        <f t="shared" si="1"/>
        <v>9</v>
      </c>
      <c r="AK15"/>
      <c r="AL15"/>
      <c r="AM15"/>
      <c r="AN15"/>
    </row>
    <row r="16" spans="1:40" x14ac:dyDescent="0.25">
      <c r="A16" s="13">
        <v>12</v>
      </c>
      <c r="B16" s="35" t="s">
        <v>684</v>
      </c>
      <c r="C16" s="10" t="s">
        <v>674</v>
      </c>
      <c r="D16" s="11" t="s">
        <v>112</v>
      </c>
      <c r="E16" s="11" t="s">
        <v>112</v>
      </c>
      <c r="F16" s="11" t="s">
        <v>112</v>
      </c>
      <c r="G16" s="11" t="s">
        <v>112</v>
      </c>
      <c r="H16" s="11" t="s">
        <v>111</v>
      </c>
      <c r="I16" s="60"/>
      <c r="J16" s="11" t="s">
        <v>112</v>
      </c>
      <c r="K16" s="11" t="s">
        <v>112</v>
      </c>
      <c r="L16" s="11" t="s">
        <v>112</v>
      </c>
      <c r="M16" s="11" t="s">
        <v>112</v>
      </c>
      <c r="N16" s="11" t="s">
        <v>112</v>
      </c>
      <c r="O16" s="68"/>
      <c r="P16" s="60"/>
      <c r="Q16" s="11" t="s">
        <v>112</v>
      </c>
      <c r="R16" s="11" t="s">
        <v>112</v>
      </c>
      <c r="S16" s="11" t="s">
        <v>112</v>
      </c>
      <c r="T16" s="11" t="s">
        <v>112</v>
      </c>
      <c r="U16" s="11" t="s">
        <v>112</v>
      </c>
      <c r="V16" s="11" t="s">
        <v>112</v>
      </c>
      <c r="W16" s="60"/>
      <c r="X16" s="11" t="s">
        <v>112</v>
      </c>
      <c r="Y16" s="11" t="s">
        <v>112</v>
      </c>
      <c r="Z16" s="11" t="s">
        <v>112</v>
      </c>
      <c r="AA16" s="11" t="s">
        <v>112</v>
      </c>
      <c r="AB16" s="11" t="s">
        <v>112</v>
      </c>
      <c r="AC16" s="11" t="s">
        <v>112</v>
      </c>
      <c r="AD16" s="60"/>
      <c r="AE16" s="11" t="s">
        <v>112</v>
      </c>
      <c r="AF16" s="11" t="s">
        <v>112</v>
      </c>
      <c r="AG16" s="11" t="s">
        <v>112</v>
      </c>
      <c r="AH16" s="11" t="s">
        <v>112</v>
      </c>
      <c r="AI16" s="5">
        <f t="shared" si="2"/>
        <v>25</v>
      </c>
      <c r="AJ16" s="5">
        <f t="shared" si="1"/>
        <v>1</v>
      </c>
      <c r="AK16"/>
      <c r="AL16"/>
      <c r="AM16"/>
      <c r="AN16"/>
    </row>
    <row r="17" spans="1:40" ht="15.75" x14ac:dyDescent="0.25">
      <c r="A17" s="6">
        <v>13</v>
      </c>
      <c r="B17" s="35" t="s">
        <v>685</v>
      </c>
      <c r="C17" s="10" t="s">
        <v>674</v>
      </c>
      <c r="D17" s="11" t="s">
        <v>112</v>
      </c>
      <c r="E17" s="11" t="s">
        <v>112</v>
      </c>
      <c r="F17" s="11" t="s">
        <v>112</v>
      </c>
      <c r="G17" s="11" t="s">
        <v>111</v>
      </c>
      <c r="H17" s="11" t="s">
        <v>111</v>
      </c>
      <c r="I17" s="60"/>
      <c r="J17" s="11" t="s">
        <v>112</v>
      </c>
      <c r="K17" s="11" t="s">
        <v>112</v>
      </c>
      <c r="L17" s="11" t="s">
        <v>112</v>
      </c>
      <c r="M17" s="11" t="s">
        <v>112</v>
      </c>
      <c r="N17" s="11" t="s">
        <v>112</v>
      </c>
      <c r="O17" s="68"/>
      <c r="P17" s="60"/>
      <c r="Q17" s="11" t="s">
        <v>112</v>
      </c>
      <c r="R17" s="11" t="s">
        <v>112</v>
      </c>
      <c r="S17" s="11" t="s">
        <v>112</v>
      </c>
      <c r="T17" s="11" t="s">
        <v>112</v>
      </c>
      <c r="U17" s="11" t="s">
        <v>112</v>
      </c>
      <c r="V17" s="11" t="s">
        <v>113</v>
      </c>
      <c r="W17" s="60"/>
      <c r="X17" s="11" t="s">
        <v>113</v>
      </c>
      <c r="Y17" s="11" t="s">
        <v>113</v>
      </c>
      <c r="Z17" s="11" t="s">
        <v>113</v>
      </c>
      <c r="AA17" s="11" t="s">
        <v>113</v>
      </c>
      <c r="AB17" s="11" t="s">
        <v>113</v>
      </c>
      <c r="AC17" s="11" t="s">
        <v>113</v>
      </c>
      <c r="AD17" s="60"/>
      <c r="AE17" s="11" t="s">
        <v>112</v>
      </c>
      <c r="AF17" s="11" t="s">
        <v>112</v>
      </c>
      <c r="AG17" s="11" t="s">
        <v>112</v>
      </c>
      <c r="AH17" s="11" t="s">
        <v>112</v>
      </c>
      <c r="AI17" s="5">
        <f t="shared" si="2"/>
        <v>17</v>
      </c>
      <c r="AJ17" s="5">
        <f t="shared" si="1"/>
        <v>2</v>
      </c>
      <c r="AK17" s="49" t="s">
        <v>128</v>
      </c>
      <c r="AL17" s="50"/>
      <c r="AM17" s="50"/>
      <c r="AN17" s="52"/>
    </row>
    <row r="18" spans="1:40" x14ac:dyDescent="0.25">
      <c r="A18" s="13">
        <v>14</v>
      </c>
      <c r="B18" s="35" t="s">
        <v>686</v>
      </c>
      <c r="C18" s="10" t="s">
        <v>674</v>
      </c>
      <c r="D18" s="11" t="s">
        <v>112</v>
      </c>
      <c r="E18" s="11" t="s">
        <v>112</v>
      </c>
      <c r="F18" s="11" t="s">
        <v>112</v>
      </c>
      <c r="G18" s="11" t="s">
        <v>111</v>
      </c>
      <c r="H18" s="11" t="s">
        <v>112</v>
      </c>
      <c r="I18" s="60"/>
      <c r="J18" s="11" t="s">
        <v>112</v>
      </c>
      <c r="K18" s="11" t="s">
        <v>112</v>
      </c>
      <c r="L18" s="11" t="s">
        <v>112</v>
      </c>
      <c r="M18" s="11" t="s">
        <v>111</v>
      </c>
      <c r="N18" s="11" t="s">
        <v>111</v>
      </c>
      <c r="O18" s="68"/>
      <c r="P18" s="60"/>
      <c r="Q18" s="11" t="s">
        <v>111</v>
      </c>
      <c r="R18" s="11" t="s">
        <v>111</v>
      </c>
      <c r="S18" s="11" t="s">
        <v>111</v>
      </c>
      <c r="T18" s="11" t="s">
        <v>111</v>
      </c>
      <c r="U18" s="11" t="s">
        <v>111</v>
      </c>
      <c r="V18" s="11" t="s">
        <v>111</v>
      </c>
      <c r="W18" s="60"/>
      <c r="X18" s="11" t="s">
        <v>111</v>
      </c>
      <c r="Y18" s="11" t="s">
        <v>111</v>
      </c>
      <c r="Z18" s="11" t="s">
        <v>111</v>
      </c>
      <c r="AA18" s="11" t="s">
        <v>112</v>
      </c>
      <c r="AB18" s="11" t="s">
        <v>112</v>
      </c>
      <c r="AC18" s="11" t="s">
        <v>112</v>
      </c>
      <c r="AD18" s="60"/>
      <c r="AE18" s="11" t="s">
        <v>112</v>
      </c>
      <c r="AF18" s="11" t="s">
        <v>112</v>
      </c>
      <c r="AG18" s="11" t="s">
        <v>112</v>
      </c>
      <c r="AH18" s="11" t="s">
        <v>112</v>
      </c>
      <c r="AI18" s="5">
        <f t="shared" si="2"/>
        <v>14</v>
      </c>
      <c r="AJ18" s="5">
        <f t="shared" si="1"/>
        <v>12</v>
      </c>
      <c r="AK18" s="5" t="s">
        <v>10</v>
      </c>
      <c r="AL18" s="5" t="s">
        <v>11</v>
      </c>
      <c r="AM18" s="5" t="s">
        <v>12</v>
      </c>
      <c r="AN18" s="5" t="s">
        <v>13</v>
      </c>
    </row>
    <row r="19" spans="1:40" x14ac:dyDescent="0.25">
      <c r="A19" s="6">
        <v>15</v>
      </c>
      <c r="B19" s="35" t="s">
        <v>130</v>
      </c>
      <c r="C19" s="10" t="s">
        <v>674</v>
      </c>
      <c r="D19" s="11" t="s">
        <v>111</v>
      </c>
      <c r="E19" s="11" t="s">
        <v>112</v>
      </c>
      <c r="F19" s="11" t="s">
        <v>112</v>
      </c>
      <c r="G19" s="11" t="s">
        <v>112</v>
      </c>
      <c r="H19" s="11" t="s">
        <v>111</v>
      </c>
      <c r="I19" s="60"/>
      <c r="J19" s="11" t="s">
        <v>112</v>
      </c>
      <c r="K19" s="11" t="s">
        <v>112</v>
      </c>
      <c r="L19" s="11" t="s">
        <v>112</v>
      </c>
      <c r="M19" s="11" t="s">
        <v>112</v>
      </c>
      <c r="N19" s="11" t="s">
        <v>112</v>
      </c>
      <c r="O19" s="68"/>
      <c r="P19" s="60"/>
      <c r="Q19" s="11" t="s">
        <v>112</v>
      </c>
      <c r="R19" s="11" t="s">
        <v>112</v>
      </c>
      <c r="S19" s="11" t="s">
        <v>112</v>
      </c>
      <c r="T19" s="11" t="s">
        <v>112</v>
      </c>
      <c r="U19" s="11" t="s">
        <v>112</v>
      </c>
      <c r="V19" s="11" t="s">
        <v>112</v>
      </c>
      <c r="W19" s="60"/>
      <c r="X19" s="11" t="s">
        <v>112</v>
      </c>
      <c r="Y19" s="11" t="s">
        <v>111</v>
      </c>
      <c r="Z19" s="11" t="s">
        <v>111</v>
      </c>
      <c r="AA19" s="11" t="s">
        <v>112</v>
      </c>
      <c r="AB19" s="11" t="s">
        <v>112</v>
      </c>
      <c r="AC19" s="11" t="s">
        <v>112</v>
      </c>
      <c r="AD19" s="60"/>
      <c r="AE19" s="11" t="s">
        <v>112</v>
      </c>
      <c r="AF19" s="11" t="s">
        <v>112</v>
      </c>
      <c r="AG19" s="11" t="s">
        <v>112</v>
      </c>
      <c r="AH19" s="11" t="s">
        <v>112</v>
      </c>
      <c r="AI19" s="5">
        <f t="shared" si="2"/>
        <v>22</v>
      </c>
      <c r="AJ19" s="5">
        <f t="shared" si="1"/>
        <v>4</v>
      </c>
      <c r="AK19" s="5" t="s">
        <v>14</v>
      </c>
      <c r="AL19" s="13">
        <f>29*$AL$5</f>
        <v>754</v>
      </c>
      <c r="AM19" s="13">
        <f>19*$AL$5</f>
        <v>494</v>
      </c>
      <c r="AN19" s="13">
        <f>AL19+AM19</f>
        <v>1248</v>
      </c>
    </row>
    <row r="20" spans="1:40" x14ac:dyDescent="0.25">
      <c r="A20" s="13">
        <v>16</v>
      </c>
      <c r="B20" s="35" t="s">
        <v>687</v>
      </c>
      <c r="C20" s="10" t="s">
        <v>674</v>
      </c>
      <c r="D20" s="11" t="s">
        <v>112</v>
      </c>
      <c r="E20" s="11" t="s">
        <v>112</v>
      </c>
      <c r="F20" s="11" t="s">
        <v>112</v>
      </c>
      <c r="G20" s="11" t="s">
        <v>112</v>
      </c>
      <c r="H20" s="11" t="s">
        <v>112</v>
      </c>
      <c r="I20" s="60"/>
      <c r="J20" s="11" t="s">
        <v>112</v>
      </c>
      <c r="K20" s="11" t="s">
        <v>112</v>
      </c>
      <c r="L20" s="11" t="s">
        <v>112</v>
      </c>
      <c r="M20" s="11" t="s">
        <v>112</v>
      </c>
      <c r="N20" s="11" t="s">
        <v>112</v>
      </c>
      <c r="O20" s="68"/>
      <c r="P20" s="60"/>
      <c r="Q20" s="11" t="s">
        <v>112</v>
      </c>
      <c r="R20" s="11" t="s">
        <v>112</v>
      </c>
      <c r="S20" s="11" t="s">
        <v>112</v>
      </c>
      <c r="T20" s="11" t="s">
        <v>112</v>
      </c>
      <c r="U20" s="11" t="s">
        <v>112</v>
      </c>
      <c r="V20" s="11" t="s">
        <v>112</v>
      </c>
      <c r="W20" s="60"/>
      <c r="X20" s="11" t="s">
        <v>112</v>
      </c>
      <c r="Y20" s="11" t="s">
        <v>112</v>
      </c>
      <c r="Z20" s="11" t="s">
        <v>112</v>
      </c>
      <c r="AA20" s="11" t="s">
        <v>112</v>
      </c>
      <c r="AB20" s="11" t="s">
        <v>112</v>
      </c>
      <c r="AC20" s="11" t="s">
        <v>112</v>
      </c>
      <c r="AD20" s="60"/>
      <c r="AE20" s="11" t="s">
        <v>112</v>
      </c>
      <c r="AF20" s="11" t="s">
        <v>112</v>
      </c>
      <c r="AG20" s="11" t="s">
        <v>112</v>
      </c>
      <c r="AH20" s="11" t="s">
        <v>112</v>
      </c>
      <c r="AI20" s="5">
        <f t="shared" si="2"/>
        <v>26</v>
      </c>
      <c r="AJ20" s="5">
        <f t="shared" si="1"/>
        <v>0</v>
      </c>
      <c r="AK20" s="5" t="s">
        <v>17</v>
      </c>
      <c r="AL20" s="13">
        <f>AL19-AL12</f>
        <v>130</v>
      </c>
      <c r="AM20" s="13">
        <f>AM19-AM12</f>
        <v>68</v>
      </c>
      <c r="AN20" s="13">
        <f>AL20+AM20</f>
        <v>198</v>
      </c>
    </row>
    <row r="21" spans="1:40" x14ac:dyDescent="0.25">
      <c r="A21" s="6">
        <v>17</v>
      </c>
      <c r="B21" s="35" t="s">
        <v>312</v>
      </c>
      <c r="C21" s="10" t="s">
        <v>674</v>
      </c>
      <c r="D21" s="11" t="s">
        <v>112</v>
      </c>
      <c r="E21" s="11" t="s">
        <v>111</v>
      </c>
      <c r="F21" s="11" t="s">
        <v>111</v>
      </c>
      <c r="G21" s="11" t="s">
        <v>111</v>
      </c>
      <c r="H21" s="11" t="s">
        <v>112</v>
      </c>
      <c r="I21" s="60"/>
      <c r="J21" s="11" t="s">
        <v>112</v>
      </c>
      <c r="K21" s="11" t="s">
        <v>112</v>
      </c>
      <c r="L21" s="11" t="s">
        <v>112</v>
      </c>
      <c r="M21" s="11" t="s">
        <v>111</v>
      </c>
      <c r="N21" s="11" t="s">
        <v>112</v>
      </c>
      <c r="O21" s="68"/>
      <c r="P21" s="60"/>
      <c r="Q21" s="11" t="s">
        <v>112</v>
      </c>
      <c r="R21" s="11" t="s">
        <v>111</v>
      </c>
      <c r="S21" s="11" t="s">
        <v>112</v>
      </c>
      <c r="T21" s="11" t="s">
        <v>112</v>
      </c>
      <c r="U21" s="11" t="s">
        <v>112</v>
      </c>
      <c r="V21" s="11" t="s">
        <v>111</v>
      </c>
      <c r="W21" s="60"/>
      <c r="X21" s="11" t="s">
        <v>112</v>
      </c>
      <c r="Y21" s="11" t="s">
        <v>112</v>
      </c>
      <c r="Z21" s="11" t="s">
        <v>112</v>
      </c>
      <c r="AA21" s="11" t="s">
        <v>112</v>
      </c>
      <c r="AB21" s="11" t="s">
        <v>112</v>
      </c>
      <c r="AC21" s="11" t="s">
        <v>112</v>
      </c>
      <c r="AD21" s="60"/>
      <c r="AE21" s="11" t="s">
        <v>112</v>
      </c>
      <c r="AF21" s="11" t="s">
        <v>111</v>
      </c>
      <c r="AG21" s="11" t="s">
        <v>112</v>
      </c>
      <c r="AH21" s="11" t="s">
        <v>112</v>
      </c>
      <c r="AI21" s="5">
        <f t="shared" si="2"/>
        <v>19</v>
      </c>
      <c r="AJ21" s="5">
        <f t="shared" si="1"/>
        <v>7</v>
      </c>
      <c r="AK21" s="5" t="s">
        <v>16</v>
      </c>
      <c r="AL21" s="18">
        <f>AL20/AL19</f>
        <v>0.17241379310344829</v>
      </c>
      <c r="AM21" s="18">
        <f>AM20/AM19</f>
        <v>0.13765182186234817</v>
      </c>
      <c r="AN21" s="18">
        <f>AN20/AN19</f>
        <v>0.15865384615384615</v>
      </c>
    </row>
    <row r="22" spans="1:40" x14ac:dyDescent="0.25">
      <c r="A22" s="13">
        <v>18</v>
      </c>
      <c r="B22" s="35" t="s">
        <v>688</v>
      </c>
      <c r="C22" s="10" t="s">
        <v>674</v>
      </c>
      <c r="D22" s="11" t="s">
        <v>112</v>
      </c>
      <c r="E22" s="11" t="s">
        <v>112</v>
      </c>
      <c r="F22" s="11" t="s">
        <v>112</v>
      </c>
      <c r="G22" s="11" t="s">
        <v>112</v>
      </c>
      <c r="H22" s="11" t="s">
        <v>111</v>
      </c>
      <c r="I22" s="60"/>
      <c r="J22" s="11" t="s">
        <v>112</v>
      </c>
      <c r="K22" s="11" t="s">
        <v>112</v>
      </c>
      <c r="L22" s="11" t="s">
        <v>112</v>
      </c>
      <c r="M22" s="11" t="s">
        <v>112</v>
      </c>
      <c r="N22" s="11" t="s">
        <v>112</v>
      </c>
      <c r="O22" s="68"/>
      <c r="P22" s="60"/>
      <c r="Q22" s="11" t="s">
        <v>112</v>
      </c>
      <c r="R22" s="11" t="s">
        <v>112</v>
      </c>
      <c r="S22" s="11" t="s">
        <v>112</v>
      </c>
      <c r="T22" s="11" t="s">
        <v>112</v>
      </c>
      <c r="U22" s="11" t="s">
        <v>112</v>
      </c>
      <c r="V22" s="11" t="s">
        <v>112</v>
      </c>
      <c r="W22" s="60"/>
      <c r="X22" s="11" t="s">
        <v>112</v>
      </c>
      <c r="Y22" s="11" t="s">
        <v>112</v>
      </c>
      <c r="Z22" s="11" t="s">
        <v>112</v>
      </c>
      <c r="AA22" s="11" t="s">
        <v>112</v>
      </c>
      <c r="AB22" s="11" t="s">
        <v>112</v>
      </c>
      <c r="AC22" s="11" t="s">
        <v>111</v>
      </c>
      <c r="AD22" s="60"/>
      <c r="AE22" s="11" t="s">
        <v>112</v>
      </c>
      <c r="AF22" s="11" t="s">
        <v>112</v>
      </c>
      <c r="AG22" s="11" t="s">
        <v>112</v>
      </c>
      <c r="AH22" s="11" t="s">
        <v>112</v>
      </c>
      <c r="AI22" s="5">
        <f t="shared" si="2"/>
        <v>24</v>
      </c>
      <c r="AJ22" s="5">
        <f t="shared" si="1"/>
        <v>2</v>
      </c>
    </row>
    <row r="23" spans="1:40" x14ac:dyDescent="0.25">
      <c r="A23" s="6">
        <v>19</v>
      </c>
      <c r="B23" s="35" t="s">
        <v>689</v>
      </c>
      <c r="C23" s="10" t="s">
        <v>674</v>
      </c>
      <c r="D23" s="11" t="s">
        <v>112</v>
      </c>
      <c r="E23" s="11" t="s">
        <v>112</v>
      </c>
      <c r="F23" s="11" t="s">
        <v>112</v>
      </c>
      <c r="G23" s="11" t="s">
        <v>112</v>
      </c>
      <c r="H23" s="11" t="s">
        <v>112</v>
      </c>
      <c r="I23" s="60"/>
      <c r="J23" s="11" t="s">
        <v>112</v>
      </c>
      <c r="K23" s="11" t="s">
        <v>112</v>
      </c>
      <c r="L23" s="11" t="s">
        <v>112</v>
      </c>
      <c r="M23" s="11" t="s">
        <v>112</v>
      </c>
      <c r="N23" s="11" t="s">
        <v>112</v>
      </c>
      <c r="O23" s="68"/>
      <c r="P23" s="60"/>
      <c r="Q23" s="11" t="s">
        <v>112</v>
      </c>
      <c r="R23" s="11" t="s">
        <v>111</v>
      </c>
      <c r="S23" s="11" t="s">
        <v>112</v>
      </c>
      <c r="T23" s="11" t="s">
        <v>112</v>
      </c>
      <c r="U23" s="11" t="s">
        <v>112</v>
      </c>
      <c r="V23" s="11" t="s">
        <v>112</v>
      </c>
      <c r="W23" s="60"/>
      <c r="X23" s="11" t="s">
        <v>112</v>
      </c>
      <c r="Y23" s="11" t="s">
        <v>112</v>
      </c>
      <c r="Z23" s="11" t="s">
        <v>112</v>
      </c>
      <c r="AA23" s="11" t="s">
        <v>112</v>
      </c>
      <c r="AB23" s="11" t="s">
        <v>112</v>
      </c>
      <c r="AC23" s="11" t="s">
        <v>112</v>
      </c>
      <c r="AD23" s="60"/>
      <c r="AE23" s="11" t="s">
        <v>112</v>
      </c>
      <c r="AF23" s="11" t="s">
        <v>112</v>
      </c>
      <c r="AG23" s="11" t="s">
        <v>112</v>
      </c>
      <c r="AH23" s="11" t="s">
        <v>112</v>
      </c>
      <c r="AI23" s="5">
        <f t="shared" si="2"/>
        <v>25</v>
      </c>
      <c r="AJ23" s="5">
        <f t="shared" si="1"/>
        <v>1</v>
      </c>
    </row>
    <row r="24" spans="1:40" x14ac:dyDescent="0.25">
      <c r="A24" s="13">
        <v>20</v>
      </c>
      <c r="B24" s="35" t="s">
        <v>302</v>
      </c>
      <c r="C24" s="10" t="s">
        <v>674</v>
      </c>
      <c r="D24" s="11" t="s">
        <v>112</v>
      </c>
      <c r="E24" s="11" t="s">
        <v>112</v>
      </c>
      <c r="F24" s="11" t="s">
        <v>112</v>
      </c>
      <c r="G24" s="11" t="s">
        <v>112</v>
      </c>
      <c r="H24" s="11" t="s">
        <v>112</v>
      </c>
      <c r="I24" s="60"/>
      <c r="J24" s="11" t="s">
        <v>112</v>
      </c>
      <c r="K24" s="11" t="s">
        <v>112</v>
      </c>
      <c r="L24" s="11" t="s">
        <v>112</v>
      </c>
      <c r="M24" s="11" t="s">
        <v>112</v>
      </c>
      <c r="N24" s="11" t="s">
        <v>112</v>
      </c>
      <c r="O24" s="68"/>
      <c r="P24" s="60"/>
      <c r="Q24" s="11" t="s">
        <v>112</v>
      </c>
      <c r="R24" s="11" t="s">
        <v>112</v>
      </c>
      <c r="S24" s="11" t="s">
        <v>112</v>
      </c>
      <c r="T24" s="11" t="s">
        <v>112</v>
      </c>
      <c r="U24" s="11" t="s">
        <v>112</v>
      </c>
      <c r="V24" s="11" t="s">
        <v>112</v>
      </c>
      <c r="W24" s="60"/>
      <c r="X24" s="11" t="s">
        <v>112</v>
      </c>
      <c r="Y24" s="11" t="s">
        <v>112</v>
      </c>
      <c r="Z24" s="11" t="s">
        <v>112</v>
      </c>
      <c r="AA24" s="11" t="s">
        <v>112</v>
      </c>
      <c r="AB24" s="11" t="s">
        <v>112</v>
      </c>
      <c r="AC24" s="11" t="s">
        <v>112</v>
      </c>
      <c r="AD24" s="60"/>
      <c r="AE24" s="11" t="s">
        <v>112</v>
      </c>
      <c r="AF24" s="11" t="s">
        <v>112</v>
      </c>
      <c r="AG24" s="11" t="s">
        <v>112</v>
      </c>
      <c r="AH24" s="11" t="s">
        <v>112</v>
      </c>
      <c r="AI24" s="5">
        <f t="shared" si="2"/>
        <v>26</v>
      </c>
      <c r="AJ24" s="5">
        <f t="shared" si="1"/>
        <v>0</v>
      </c>
    </row>
    <row r="25" spans="1:40" x14ac:dyDescent="0.25">
      <c r="A25" s="6">
        <v>21</v>
      </c>
      <c r="B25" s="35" t="s">
        <v>306</v>
      </c>
      <c r="C25" s="10" t="s">
        <v>674</v>
      </c>
      <c r="D25" s="11" t="s">
        <v>112</v>
      </c>
      <c r="E25" s="11" t="s">
        <v>112</v>
      </c>
      <c r="F25" s="11" t="s">
        <v>112</v>
      </c>
      <c r="G25" s="11" t="s">
        <v>112</v>
      </c>
      <c r="H25" s="11" t="s">
        <v>111</v>
      </c>
      <c r="I25" s="60"/>
      <c r="J25" s="11" t="s">
        <v>112</v>
      </c>
      <c r="K25" s="11" t="s">
        <v>112</v>
      </c>
      <c r="L25" s="11" t="s">
        <v>111</v>
      </c>
      <c r="M25" s="11" t="s">
        <v>112</v>
      </c>
      <c r="N25" s="11" t="s">
        <v>112</v>
      </c>
      <c r="O25" s="68"/>
      <c r="P25" s="60"/>
      <c r="Q25" s="11" t="s">
        <v>112</v>
      </c>
      <c r="R25" s="11" t="s">
        <v>112</v>
      </c>
      <c r="S25" s="11" t="s">
        <v>112</v>
      </c>
      <c r="T25" s="11" t="s">
        <v>112</v>
      </c>
      <c r="U25" s="11" t="s">
        <v>112</v>
      </c>
      <c r="V25" s="11" t="s">
        <v>112</v>
      </c>
      <c r="W25" s="60"/>
      <c r="X25" s="11" t="s">
        <v>112</v>
      </c>
      <c r="Y25" s="11" t="s">
        <v>112</v>
      </c>
      <c r="Z25" s="11" t="s">
        <v>112</v>
      </c>
      <c r="AA25" s="11" t="s">
        <v>112</v>
      </c>
      <c r="AB25" s="11" t="s">
        <v>112</v>
      </c>
      <c r="AC25" s="11" t="s">
        <v>111</v>
      </c>
      <c r="AD25" s="60"/>
      <c r="AE25" s="11" t="s">
        <v>112</v>
      </c>
      <c r="AF25" s="11" t="s">
        <v>112</v>
      </c>
      <c r="AG25" s="11" t="s">
        <v>113</v>
      </c>
      <c r="AH25" s="11" t="s">
        <v>112</v>
      </c>
      <c r="AI25" s="5">
        <f t="shared" si="2"/>
        <v>22</v>
      </c>
      <c r="AJ25" s="5">
        <f t="shared" si="1"/>
        <v>3</v>
      </c>
    </row>
    <row r="26" spans="1:40" x14ac:dyDescent="0.25">
      <c r="A26" s="13">
        <v>22</v>
      </c>
      <c r="B26" s="35" t="s">
        <v>690</v>
      </c>
      <c r="C26" s="10" t="s">
        <v>674</v>
      </c>
      <c r="D26" s="11" t="s">
        <v>112</v>
      </c>
      <c r="E26" s="11" t="s">
        <v>112</v>
      </c>
      <c r="F26" s="11" t="s">
        <v>112</v>
      </c>
      <c r="G26" s="11" t="s">
        <v>112</v>
      </c>
      <c r="H26" s="11" t="s">
        <v>112</v>
      </c>
      <c r="I26" s="60"/>
      <c r="J26" s="11" t="s">
        <v>112</v>
      </c>
      <c r="K26" s="11" t="s">
        <v>112</v>
      </c>
      <c r="L26" s="11" t="s">
        <v>112</v>
      </c>
      <c r="M26" s="11" t="s">
        <v>112</v>
      </c>
      <c r="N26" s="11" t="s">
        <v>111</v>
      </c>
      <c r="O26" s="68"/>
      <c r="P26" s="60"/>
      <c r="Q26" s="11" t="s">
        <v>112</v>
      </c>
      <c r="R26" s="11" t="s">
        <v>112</v>
      </c>
      <c r="S26" s="11" t="s">
        <v>112</v>
      </c>
      <c r="T26" s="11" t="s">
        <v>112</v>
      </c>
      <c r="U26" s="11" t="s">
        <v>112</v>
      </c>
      <c r="V26" s="11" t="s">
        <v>112</v>
      </c>
      <c r="W26" s="60"/>
      <c r="X26" s="11" t="s">
        <v>111</v>
      </c>
      <c r="Y26" s="11" t="s">
        <v>112</v>
      </c>
      <c r="Z26" s="11" t="s">
        <v>112</v>
      </c>
      <c r="AA26" s="11" t="s">
        <v>112</v>
      </c>
      <c r="AB26" s="11" t="s">
        <v>112</v>
      </c>
      <c r="AC26" s="11" t="s">
        <v>112</v>
      </c>
      <c r="AD26" s="60"/>
      <c r="AE26" s="11" t="s">
        <v>112</v>
      </c>
      <c r="AF26" s="11" t="s">
        <v>112</v>
      </c>
      <c r="AG26" s="11" t="s">
        <v>113</v>
      </c>
      <c r="AH26" s="11" t="s">
        <v>112</v>
      </c>
      <c r="AI26" s="5">
        <f t="shared" si="2"/>
        <v>23</v>
      </c>
      <c r="AJ26" s="5">
        <f t="shared" si="1"/>
        <v>2</v>
      </c>
    </row>
    <row r="27" spans="1:40" x14ac:dyDescent="0.25">
      <c r="A27" s="6">
        <v>23</v>
      </c>
      <c r="B27" s="35" t="s">
        <v>482</v>
      </c>
      <c r="C27" s="10" t="s">
        <v>674</v>
      </c>
      <c r="D27" s="11" t="s">
        <v>112</v>
      </c>
      <c r="E27" s="11" t="s">
        <v>112</v>
      </c>
      <c r="F27" s="11" t="s">
        <v>112</v>
      </c>
      <c r="G27" s="11" t="s">
        <v>112</v>
      </c>
      <c r="H27" s="11" t="s">
        <v>112</v>
      </c>
      <c r="I27" s="60"/>
      <c r="J27" s="11" t="s">
        <v>112</v>
      </c>
      <c r="K27" s="11" t="s">
        <v>112</v>
      </c>
      <c r="L27" s="11" t="s">
        <v>112</v>
      </c>
      <c r="M27" s="11" t="s">
        <v>112</v>
      </c>
      <c r="N27" s="11" t="s">
        <v>112</v>
      </c>
      <c r="O27" s="68"/>
      <c r="P27" s="60"/>
      <c r="Q27" s="11" t="s">
        <v>112</v>
      </c>
      <c r="R27" s="11" t="s">
        <v>112</v>
      </c>
      <c r="S27" s="11" t="s">
        <v>112</v>
      </c>
      <c r="T27" s="11" t="s">
        <v>112</v>
      </c>
      <c r="U27" s="11" t="s">
        <v>112</v>
      </c>
      <c r="V27" s="11" t="s">
        <v>112</v>
      </c>
      <c r="W27" s="60"/>
      <c r="X27" s="11" t="s">
        <v>111</v>
      </c>
      <c r="Y27" s="11" t="s">
        <v>112</v>
      </c>
      <c r="Z27" s="11" t="s">
        <v>112</v>
      </c>
      <c r="AA27" s="11" t="s">
        <v>112</v>
      </c>
      <c r="AB27" s="11" t="s">
        <v>112</v>
      </c>
      <c r="AC27" s="11" t="s">
        <v>112</v>
      </c>
      <c r="AD27" s="60"/>
      <c r="AE27" s="11" t="s">
        <v>112</v>
      </c>
      <c r="AF27" s="11" t="s">
        <v>112</v>
      </c>
      <c r="AG27" s="11" t="s">
        <v>112</v>
      </c>
      <c r="AH27" s="11" t="s">
        <v>112</v>
      </c>
      <c r="AI27" s="5">
        <f t="shared" si="2"/>
        <v>25</v>
      </c>
      <c r="AJ27" s="5">
        <f t="shared" si="1"/>
        <v>1</v>
      </c>
    </row>
    <row r="28" spans="1:40" x14ac:dyDescent="0.25">
      <c r="A28" s="13">
        <v>24</v>
      </c>
      <c r="B28" s="37" t="s">
        <v>691</v>
      </c>
      <c r="C28" s="10" t="s">
        <v>674</v>
      </c>
      <c r="D28" s="11" t="s">
        <v>112</v>
      </c>
      <c r="E28" s="11" t="s">
        <v>112</v>
      </c>
      <c r="F28" s="11" t="s">
        <v>112</v>
      </c>
      <c r="G28" s="11" t="s">
        <v>112</v>
      </c>
      <c r="H28" s="11" t="s">
        <v>112</v>
      </c>
      <c r="I28" s="60"/>
      <c r="J28" s="11" t="s">
        <v>112</v>
      </c>
      <c r="K28" s="11" t="s">
        <v>112</v>
      </c>
      <c r="L28" s="11" t="s">
        <v>112</v>
      </c>
      <c r="M28" s="11" t="s">
        <v>112</v>
      </c>
      <c r="N28" s="11" t="s">
        <v>112</v>
      </c>
      <c r="O28" s="68"/>
      <c r="P28" s="60"/>
      <c r="Q28" s="11" t="s">
        <v>112</v>
      </c>
      <c r="R28" s="11" t="s">
        <v>112</v>
      </c>
      <c r="S28" s="11" t="s">
        <v>112</v>
      </c>
      <c r="T28" s="11" t="s">
        <v>112</v>
      </c>
      <c r="U28" s="11" t="s">
        <v>112</v>
      </c>
      <c r="V28" s="11" t="s">
        <v>112</v>
      </c>
      <c r="W28" s="60"/>
      <c r="X28" s="11" t="s">
        <v>112</v>
      </c>
      <c r="Y28" s="11" t="s">
        <v>112</v>
      </c>
      <c r="Z28" s="11" t="s">
        <v>112</v>
      </c>
      <c r="AA28" s="11" t="s">
        <v>112</v>
      </c>
      <c r="AB28" s="11" t="s">
        <v>112</v>
      </c>
      <c r="AC28" s="11" t="s">
        <v>112</v>
      </c>
      <c r="AD28" s="60"/>
      <c r="AE28" s="11" t="s">
        <v>112</v>
      </c>
      <c r="AF28" s="11" t="s">
        <v>112</v>
      </c>
      <c r="AG28" s="11" t="s">
        <v>112</v>
      </c>
      <c r="AH28" s="11" t="s">
        <v>112</v>
      </c>
      <c r="AI28" s="5">
        <f t="shared" si="2"/>
        <v>26</v>
      </c>
      <c r="AJ28" s="5">
        <f t="shared" si="1"/>
        <v>0</v>
      </c>
    </row>
    <row r="29" spans="1:40" x14ac:dyDescent="0.25">
      <c r="A29" s="6">
        <v>25</v>
      </c>
      <c r="B29" s="39" t="s">
        <v>692</v>
      </c>
      <c r="C29" s="10" t="s">
        <v>674</v>
      </c>
      <c r="D29" s="11" t="s">
        <v>112</v>
      </c>
      <c r="E29" s="11" t="s">
        <v>112</v>
      </c>
      <c r="F29" s="11" t="s">
        <v>112</v>
      </c>
      <c r="G29" s="11" t="s">
        <v>112</v>
      </c>
      <c r="H29" s="11" t="s">
        <v>112</v>
      </c>
      <c r="I29" s="60"/>
      <c r="J29" s="11" t="s">
        <v>112</v>
      </c>
      <c r="K29" s="11" t="s">
        <v>112</v>
      </c>
      <c r="L29" s="11" t="s">
        <v>112</v>
      </c>
      <c r="M29" s="11" t="s">
        <v>112</v>
      </c>
      <c r="N29" s="11" t="s">
        <v>112</v>
      </c>
      <c r="O29" s="68"/>
      <c r="P29" s="60"/>
      <c r="Q29" s="11" t="s">
        <v>112</v>
      </c>
      <c r="R29" s="11" t="s">
        <v>112</v>
      </c>
      <c r="S29" s="11" t="s">
        <v>112</v>
      </c>
      <c r="T29" s="11" t="s">
        <v>112</v>
      </c>
      <c r="U29" s="11" t="s">
        <v>112</v>
      </c>
      <c r="V29" s="11" t="s">
        <v>112</v>
      </c>
      <c r="W29" s="60"/>
      <c r="X29" s="11" t="s">
        <v>112</v>
      </c>
      <c r="Y29" s="11" t="s">
        <v>112</v>
      </c>
      <c r="Z29" s="11" t="s">
        <v>112</v>
      </c>
      <c r="AA29" s="11" t="s">
        <v>112</v>
      </c>
      <c r="AB29" s="11" t="s">
        <v>112</v>
      </c>
      <c r="AC29" s="11" t="s">
        <v>112</v>
      </c>
      <c r="AD29" s="60"/>
      <c r="AE29" s="11" t="s">
        <v>112</v>
      </c>
      <c r="AF29" s="11" t="s">
        <v>112</v>
      </c>
      <c r="AG29" s="11" t="s">
        <v>112</v>
      </c>
      <c r="AH29" s="11" t="s">
        <v>112</v>
      </c>
      <c r="AI29" s="5">
        <f t="shared" si="2"/>
        <v>26</v>
      </c>
      <c r="AJ29" s="5">
        <f t="shared" si="1"/>
        <v>0</v>
      </c>
    </row>
    <row r="30" spans="1:40" x14ac:dyDescent="0.25">
      <c r="A30" s="13">
        <v>26</v>
      </c>
      <c r="B30" s="39" t="s">
        <v>693</v>
      </c>
      <c r="C30" s="10" t="s">
        <v>674</v>
      </c>
      <c r="D30" s="11" t="s">
        <v>111</v>
      </c>
      <c r="E30" s="11" t="s">
        <v>111</v>
      </c>
      <c r="F30" s="11" t="s">
        <v>112</v>
      </c>
      <c r="G30" s="11" t="s">
        <v>112</v>
      </c>
      <c r="H30" s="11" t="s">
        <v>111</v>
      </c>
      <c r="I30" s="60"/>
      <c r="J30" s="11" t="s">
        <v>112</v>
      </c>
      <c r="K30" s="11" t="s">
        <v>112</v>
      </c>
      <c r="L30" s="11" t="s">
        <v>111</v>
      </c>
      <c r="M30" s="11" t="s">
        <v>112</v>
      </c>
      <c r="N30" s="11" t="s">
        <v>112</v>
      </c>
      <c r="O30" s="68"/>
      <c r="P30" s="60"/>
      <c r="Q30" s="11" t="s">
        <v>112</v>
      </c>
      <c r="R30" s="11" t="s">
        <v>112</v>
      </c>
      <c r="S30" s="11" t="s">
        <v>111</v>
      </c>
      <c r="T30" s="11" t="s">
        <v>112</v>
      </c>
      <c r="U30" s="11" t="s">
        <v>112</v>
      </c>
      <c r="V30" s="11" t="s">
        <v>112</v>
      </c>
      <c r="W30" s="60"/>
      <c r="X30" s="11" t="s">
        <v>112</v>
      </c>
      <c r="Y30" s="11" t="s">
        <v>111</v>
      </c>
      <c r="Z30" s="11" t="s">
        <v>111</v>
      </c>
      <c r="AA30" s="11" t="s">
        <v>111</v>
      </c>
      <c r="AB30" s="11" t="s">
        <v>111</v>
      </c>
      <c r="AC30" s="11" t="s">
        <v>111</v>
      </c>
      <c r="AD30" s="60"/>
      <c r="AE30" s="11" t="s">
        <v>111</v>
      </c>
      <c r="AF30" s="11" t="s">
        <v>111</v>
      </c>
      <c r="AG30" s="11" t="s">
        <v>111</v>
      </c>
      <c r="AH30" s="11" t="s">
        <v>111</v>
      </c>
      <c r="AI30" s="5">
        <f t="shared" si="2"/>
        <v>12</v>
      </c>
      <c r="AJ30" s="5">
        <f t="shared" si="1"/>
        <v>13</v>
      </c>
    </row>
    <row r="31" spans="1:40" x14ac:dyDescent="0.25">
      <c r="A31" s="6">
        <v>27</v>
      </c>
      <c r="B31" s="39" t="s">
        <v>694</v>
      </c>
      <c r="C31" s="10" t="s">
        <v>674</v>
      </c>
      <c r="D31" s="11" t="s">
        <v>112</v>
      </c>
      <c r="E31" s="11" t="s">
        <v>112</v>
      </c>
      <c r="F31" s="11" t="s">
        <v>112</v>
      </c>
      <c r="G31" s="11" t="s">
        <v>112</v>
      </c>
      <c r="H31" s="11" t="s">
        <v>111</v>
      </c>
      <c r="I31" s="60"/>
      <c r="J31" s="11" t="s">
        <v>112</v>
      </c>
      <c r="K31" s="11" t="s">
        <v>112</v>
      </c>
      <c r="L31" s="11" t="s">
        <v>112</v>
      </c>
      <c r="M31" s="11" t="s">
        <v>112</v>
      </c>
      <c r="N31" s="11" t="s">
        <v>112</v>
      </c>
      <c r="O31" s="68"/>
      <c r="P31" s="60"/>
      <c r="Q31" s="11" t="s">
        <v>112</v>
      </c>
      <c r="R31" s="11" t="s">
        <v>112</v>
      </c>
      <c r="S31" s="11" t="s">
        <v>112</v>
      </c>
      <c r="T31" s="11" t="s">
        <v>112</v>
      </c>
      <c r="U31" s="11" t="s">
        <v>112</v>
      </c>
      <c r="V31" s="11" t="s">
        <v>112</v>
      </c>
      <c r="W31" s="60"/>
      <c r="X31" s="11" t="s">
        <v>112</v>
      </c>
      <c r="Y31" s="11" t="s">
        <v>112</v>
      </c>
      <c r="Z31" s="11" t="s">
        <v>112</v>
      </c>
      <c r="AA31" s="11" t="s">
        <v>112</v>
      </c>
      <c r="AB31" s="11" t="s">
        <v>112</v>
      </c>
      <c r="AC31" s="11" t="s">
        <v>112</v>
      </c>
      <c r="AD31" s="60"/>
      <c r="AE31" s="11" t="s">
        <v>112</v>
      </c>
      <c r="AF31" s="11" t="s">
        <v>112</v>
      </c>
      <c r="AG31" s="11" t="s">
        <v>112</v>
      </c>
      <c r="AH31" s="11" t="s">
        <v>112</v>
      </c>
      <c r="AI31" s="5">
        <f t="shared" si="2"/>
        <v>25</v>
      </c>
      <c r="AJ31" s="5">
        <f t="shared" si="1"/>
        <v>1</v>
      </c>
    </row>
    <row r="32" spans="1:40" x14ac:dyDescent="0.25">
      <c r="A32" s="13">
        <v>28</v>
      </c>
      <c r="B32" s="39" t="s">
        <v>533</v>
      </c>
      <c r="C32" s="10" t="s">
        <v>674</v>
      </c>
      <c r="D32" s="11" t="s">
        <v>112</v>
      </c>
      <c r="E32" s="11" t="s">
        <v>112</v>
      </c>
      <c r="F32" s="11" t="s">
        <v>112</v>
      </c>
      <c r="G32" s="11" t="s">
        <v>112</v>
      </c>
      <c r="H32" s="11" t="s">
        <v>112</v>
      </c>
      <c r="I32" s="60"/>
      <c r="J32" s="11" t="s">
        <v>112</v>
      </c>
      <c r="K32" s="11" t="s">
        <v>112</v>
      </c>
      <c r="L32" s="11" t="s">
        <v>111</v>
      </c>
      <c r="M32" s="11" t="s">
        <v>112</v>
      </c>
      <c r="N32" s="11" t="s">
        <v>112</v>
      </c>
      <c r="O32" s="68"/>
      <c r="P32" s="60"/>
      <c r="Q32" s="11" t="s">
        <v>112</v>
      </c>
      <c r="R32" s="11" t="s">
        <v>112</v>
      </c>
      <c r="S32" s="11" t="s">
        <v>112</v>
      </c>
      <c r="T32" s="11" t="s">
        <v>112</v>
      </c>
      <c r="U32" s="11" t="s">
        <v>112</v>
      </c>
      <c r="V32" s="11" t="s">
        <v>112</v>
      </c>
      <c r="W32" s="60"/>
      <c r="X32" s="11" t="s">
        <v>112</v>
      </c>
      <c r="Y32" s="11" t="s">
        <v>112</v>
      </c>
      <c r="Z32" s="11" t="s">
        <v>112</v>
      </c>
      <c r="AA32" s="11" t="s">
        <v>112</v>
      </c>
      <c r="AB32" s="11" t="s">
        <v>112</v>
      </c>
      <c r="AC32" s="11" t="s">
        <v>112</v>
      </c>
      <c r="AD32" s="60"/>
      <c r="AE32" s="11" t="s">
        <v>111</v>
      </c>
      <c r="AF32" s="11" t="s">
        <v>112</v>
      </c>
      <c r="AG32" s="11" t="s">
        <v>111</v>
      </c>
      <c r="AH32" s="11" t="s">
        <v>112</v>
      </c>
      <c r="AI32" s="5">
        <f t="shared" si="2"/>
        <v>23</v>
      </c>
      <c r="AJ32" s="5">
        <f t="shared" si="1"/>
        <v>3</v>
      </c>
    </row>
    <row r="33" spans="1:36" x14ac:dyDescent="0.25">
      <c r="A33" s="6">
        <v>29</v>
      </c>
      <c r="B33" s="34" t="s">
        <v>581</v>
      </c>
      <c r="C33" s="10" t="s">
        <v>674</v>
      </c>
      <c r="D33" s="11" t="s">
        <v>112</v>
      </c>
      <c r="E33" s="11" t="s">
        <v>112</v>
      </c>
      <c r="F33" s="11" t="s">
        <v>112</v>
      </c>
      <c r="G33" s="11" t="s">
        <v>112</v>
      </c>
      <c r="H33" s="11" t="s">
        <v>111</v>
      </c>
      <c r="I33" s="60"/>
      <c r="J33" s="11" t="s">
        <v>111</v>
      </c>
      <c r="K33" s="11" t="s">
        <v>113</v>
      </c>
      <c r="L33" s="11" t="s">
        <v>113</v>
      </c>
      <c r="M33" s="11" t="s">
        <v>111</v>
      </c>
      <c r="N33" s="11" t="s">
        <v>111</v>
      </c>
      <c r="O33" s="68"/>
      <c r="P33" s="60"/>
      <c r="Q33" s="11" t="s">
        <v>112</v>
      </c>
      <c r="R33" s="11" t="s">
        <v>112</v>
      </c>
      <c r="S33" s="11" t="s">
        <v>111</v>
      </c>
      <c r="T33" s="11" t="s">
        <v>112</v>
      </c>
      <c r="U33" s="11" t="s">
        <v>111</v>
      </c>
      <c r="V33" s="11" t="s">
        <v>112</v>
      </c>
      <c r="W33" s="60"/>
      <c r="X33" s="11" t="s">
        <v>112</v>
      </c>
      <c r="Y33" s="11" t="s">
        <v>112</v>
      </c>
      <c r="Z33" s="11" t="s">
        <v>112</v>
      </c>
      <c r="AA33" s="11" t="s">
        <v>113</v>
      </c>
      <c r="AB33" s="11" t="s">
        <v>113</v>
      </c>
      <c r="AC33" s="11" t="s">
        <v>113</v>
      </c>
      <c r="AD33" s="60"/>
      <c r="AE33" s="11" t="s">
        <v>112</v>
      </c>
      <c r="AF33" s="11" t="s">
        <v>112</v>
      </c>
      <c r="AG33" s="11" t="s">
        <v>112</v>
      </c>
      <c r="AH33" s="11" t="s">
        <v>112</v>
      </c>
      <c r="AI33" s="5">
        <f t="shared" si="2"/>
        <v>15</v>
      </c>
      <c r="AJ33" s="5">
        <f t="shared" si="1"/>
        <v>6</v>
      </c>
    </row>
    <row r="34" spans="1:36" x14ac:dyDescent="0.25">
      <c r="A34" s="13">
        <v>1</v>
      </c>
      <c r="B34" s="35" t="s">
        <v>695</v>
      </c>
      <c r="C34" s="10" t="s">
        <v>674</v>
      </c>
      <c r="D34" s="11" t="s">
        <v>112</v>
      </c>
      <c r="E34" s="11" t="s">
        <v>112</v>
      </c>
      <c r="F34" s="11" t="s">
        <v>112</v>
      </c>
      <c r="G34" s="11" t="s">
        <v>112</v>
      </c>
      <c r="H34" s="11" t="s">
        <v>112</v>
      </c>
      <c r="I34" s="60"/>
      <c r="J34" s="11" t="s">
        <v>112</v>
      </c>
      <c r="K34" s="11" t="s">
        <v>112</v>
      </c>
      <c r="L34" s="11" t="s">
        <v>112</v>
      </c>
      <c r="M34" s="11" t="s">
        <v>112</v>
      </c>
      <c r="N34" s="11" t="s">
        <v>112</v>
      </c>
      <c r="O34" s="68"/>
      <c r="P34" s="60"/>
      <c r="Q34" s="11" t="s">
        <v>111</v>
      </c>
      <c r="R34" s="11" t="s">
        <v>112</v>
      </c>
      <c r="S34" s="11" t="s">
        <v>112</v>
      </c>
      <c r="T34" s="11" t="s">
        <v>112</v>
      </c>
      <c r="U34" s="11" t="s">
        <v>112</v>
      </c>
      <c r="V34" s="11" t="s">
        <v>111</v>
      </c>
      <c r="W34" s="60"/>
      <c r="X34" s="11" t="s">
        <v>112</v>
      </c>
      <c r="Y34" s="11" t="s">
        <v>112</v>
      </c>
      <c r="Z34" s="11" t="s">
        <v>112</v>
      </c>
      <c r="AA34" s="11" t="s">
        <v>112</v>
      </c>
      <c r="AB34" s="11" t="s">
        <v>111</v>
      </c>
      <c r="AC34" s="11" t="s">
        <v>111</v>
      </c>
      <c r="AD34" s="60"/>
      <c r="AE34" s="11" t="s">
        <v>111</v>
      </c>
      <c r="AF34" s="11" t="s">
        <v>111</v>
      </c>
      <c r="AG34" s="11" t="s">
        <v>111</v>
      </c>
      <c r="AH34" s="11" t="s">
        <v>111</v>
      </c>
      <c r="AI34" s="5">
        <f t="shared" si="2"/>
        <v>18</v>
      </c>
      <c r="AJ34" s="5">
        <f t="shared" si="1"/>
        <v>7</v>
      </c>
    </row>
    <row r="35" spans="1:36" x14ac:dyDescent="0.25">
      <c r="A35" s="6">
        <v>2</v>
      </c>
      <c r="B35" s="35" t="s">
        <v>696</v>
      </c>
      <c r="C35" s="10" t="s">
        <v>674</v>
      </c>
      <c r="D35" s="11" t="s">
        <v>112</v>
      </c>
      <c r="E35" s="11" t="s">
        <v>112</v>
      </c>
      <c r="F35" s="11" t="s">
        <v>112</v>
      </c>
      <c r="G35" s="11" t="s">
        <v>112</v>
      </c>
      <c r="H35" s="11" t="s">
        <v>111</v>
      </c>
      <c r="I35" s="60"/>
      <c r="J35" s="11" t="s">
        <v>112</v>
      </c>
      <c r="K35" s="11" t="s">
        <v>111</v>
      </c>
      <c r="L35" s="11" t="s">
        <v>112</v>
      </c>
      <c r="M35" s="11" t="s">
        <v>112</v>
      </c>
      <c r="N35" s="11" t="s">
        <v>112</v>
      </c>
      <c r="O35" s="68"/>
      <c r="P35" s="60"/>
      <c r="Q35" s="11" t="s">
        <v>112</v>
      </c>
      <c r="R35" s="11" t="s">
        <v>112</v>
      </c>
      <c r="S35" s="11" t="s">
        <v>112</v>
      </c>
      <c r="T35" s="11" t="s">
        <v>112</v>
      </c>
      <c r="U35" s="11" t="s">
        <v>112</v>
      </c>
      <c r="V35" s="11" t="s">
        <v>112</v>
      </c>
      <c r="W35" s="60"/>
      <c r="X35" s="11" t="s">
        <v>112</v>
      </c>
      <c r="Y35" s="11" t="s">
        <v>111</v>
      </c>
      <c r="Z35" s="11" t="s">
        <v>112</v>
      </c>
      <c r="AA35" s="11" t="s">
        <v>112</v>
      </c>
      <c r="AB35" s="11" t="s">
        <v>112</v>
      </c>
      <c r="AC35" s="11" t="s">
        <v>112</v>
      </c>
      <c r="AD35" s="60"/>
      <c r="AE35" s="11" t="s">
        <v>112</v>
      </c>
      <c r="AF35" s="11" t="s">
        <v>112</v>
      </c>
      <c r="AG35" s="11" t="s">
        <v>112</v>
      </c>
      <c r="AH35" s="11" t="s">
        <v>112</v>
      </c>
      <c r="AI35" s="5">
        <f t="shared" si="2"/>
        <v>23</v>
      </c>
      <c r="AJ35" s="5">
        <f t="shared" si="1"/>
        <v>3</v>
      </c>
    </row>
    <row r="36" spans="1:36" x14ac:dyDescent="0.25">
      <c r="A36" s="13">
        <v>3</v>
      </c>
      <c r="B36" s="23" t="s">
        <v>697</v>
      </c>
      <c r="C36" s="10" t="s">
        <v>674</v>
      </c>
      <c r="D36" s="11" t="s">
        <v>112</v>
      </c>
      <c r="E36" s="11" t="s">
        <v>112</v>
      </c>
      <c r="F36" s="11" t="s">
        <v>112</v>
      </c>
      <c r="G36" s="11" t="s">
        <v>112</v>
      </c>
      <c r="H36" s="11" t="s">
        <v>112</v>
      </c>
      <c r="I36" s="60"/>
      <c r="J36" s="11" t="s">
        <v>112</v>
      </c>
      <c r="K36" s="11" t="s">
        <v>112</v>
      </c>
      <c r="L36" s="11" t="s">
        <v>112</v>
      </c>
      <c r="M36" s="11" t="s">
        <v>112</v>
      </c>
      <c r="N36" s="11" t="s">
        <v>112</v>
      </c>
      <c r="O36" s="68"/>
      <c r="P36" s="60"/>
      <c r="Q36" s="11" t="s">
        <v>112</v>
      </c>
      <c r="R36" s="11" t="s">
        <v>112</v>
      </c>
      <c r="S36" s="11" t="s">
        <v>112</v>
      </c>
      <c r="T36" s="11" t="s">
        <v>112</v>
      </c>
      <c r="U36" s="11" t="s">
        <v>112</v>
      </c>
      <c r="V36" s="11" t="s">
        <v>112</v>
      </c>
      <c r="W36" s="60"/>
      <c r="X36" s="11" t="s">
        <v>112</v>
      </c>
      <c r="Y36" s="11" t="s">
        <v>112</v>
      </c>
      <c r="Z36" s="11" t="s">
        <v>112</v>
      </c>
      <c r="AA36" s="11" t="s">
        <v>112</v>
      </c>
      <c r="AB36" s="11" t="s">
        <v>112</v>
      </c>
      <c r="AC36" s="11" t="s">
        <v>112</v>
      </c>
      <c r="AD36" s="60"/>
      <c r="AE36" s="11" t="s">
        <v>112</v>
      </c>
      <c r="AF36" s="11" t="s">
        <v>112</v>
      </c>
      <c r="AG36" s="11" t="s">
        <v>112</v>
      </c>
      <c r="AH36" s="11" t="s">
        <v>112</v>
      </c>
      <c r="AI36" s="5">
        <f t="shared" si="2"/>
        <v>26</v>
      </c>
      <c r="AJ36" s="5">
        <f t="shared" si="1"/>
        <v>0</v>
      </c>
    </row>
    <row r="37" spans="1:36" x14ac:dyDescent="0.25">
      <c r="A37" s="6">
        <v>4</v>
      </c>
      <c r="B37" s="23" t="s">
        <v>49</v>
      </c>
      <c r="C37" s="10" t="s">
        <v>674</v>
      </c>
      <c r="D37" s="11" t="s">
        <v>112</v>
      </c>
      <c r="E37" s="11" t="s">
        <v>112</v>
      </c>
      <c r="F37" s="11" t="s">
        <v>112</v>
      </c>
      <c r="G37" s="11" t="s">
        <v>112</v>
      </c>
      <c r="H37" s="11" t="s">
        <v>112</v>
      </c>
      <c r="I37" s="60"/>
      <c r="J37" s="11" t="s">
        <v>112</v>
      </c>
      <c r="K37" s="11" t="s">
        <v>112</v>
      </c>
      <c r="L37" s="11" t="s">
        <v>112</v>
      </c>
      <c r="M37" s="11" t="s">
        <v>112</v>
      </c>
      <c r="N37" s="11" t="s">
        <v>112</v>
      </c>
      <c r="O37" s="68"/>
      <c r="P37" s="60"/>
      <c r="Q37" s="11" t="s">
        <v>112</v>
      </c>
      <c r="R37" s="11" t="s">
        <v>112</v>
      </c>
      <c r="S37" s="11" t="s">
        <v>112</v>
      </c>
      <c r="T37" s="11" t="s">
        <v>112</v>
      </c>
      <c r="U37" s="11" t="s">
        <v>112</v>
      </c>
      <c r="V37" s="11" t="s">
        <v>112</v>
      </c>
      <c r="W37" s="60"/>
      <c r="X37" s="11" t="s">
        <v>112</v>
      </c>
      <c r="Y37" s="11" t="s">
        <v>112</v>
      </c>
      <c r="Z37" s="11" t="s">
        <v>112</v>
      </c>
      <c r="AA37" s="11" t="s">
        <v>113</v>
      </c>
      <c r="AB37" s="11" t="s">
        <v>113</v>
      </c>
      <c r="AC37" s="11" t="s">
        <v>113</v>
      </c>
      <c r="AD37" s="60"/>
      <c r="AE37" s="11" t="s">
        <v>113</v>
      </c>
      <c r="AF37" s="11" t="s">
        <v>113</v>
      </c>
      <c r="AG37" s="11" t="s">
        <v>112</v>
      </c>
      <c r="AH37" s="11" t="s">
        <v>112</v>
      </c>
      <c r="AI37" s="5">
        <f t="shared" si="2"/>
        <v>21</v>
      </c>
      <c r="AJ37" s="5">
        <f t="shared" si="1"/>
        <v>0</v>
      </c>
    </row>
    <row r="38" spans="1:36" x14ac:dyDescent="0.25">
      <c r="A38" s="13">
        <v>5</v>
      </c>
      <c r="B38" s="23" t="s">
        <v>698</v>
      </c>
      <c r="C38" s="10" t="s">
        <v>674</v>
      </c>
      <c r="D38" s="11" t="s">
        <v>112</v>
      </c>
      <c r="E38" s="11" t="s">
        <v>112</v>
      </c>
      <c r="F38" s="11" t="s">
        <v>111</v>
      </c>
      <c r="G38" s="11" t="s">
        <v>111</v>
      </c>
      <c r="H38" s="11" t="s">
        <v>112</v>
      </c>
      <c r="I38" s="60"/>
      <c r="J38" s="11" t="s">
        <v>112</v>
      </c>
      <c r="K38" s="11" t="s">
        <v>112</v>
      </c>
      <c r="L38" s="11" t="s">
        <v>112</v>
      </c>
      <c r="M38" s="11" t="s">
        <v>112</v>
      </c>
      <c r="N38" s="11" t="s">
        <v>112</v>
      </c>
      <c r="O38" s="68"/>
      <c r="P38" s="60"/>
      <c r="Q38" s="11" t="s">
        <v>112</v>
      </c>
      <c r="R38" s="11" t="s">
        <v>112</v>
      </c>
      <c r="S38" s="11" t="s">
        <v>112</v>
      </c>
      <c r="T38" s="11" t="s">
        <v>112</v>
      </c>
      <c r="U38" s="11" t="s">
        <v>112</v>
      </c>
      <c r="V38" s="11" t="s">
        <v>112</v>
      </c>
      <c r="W38" s="60"/>
      <c r="X38" s="11" t="s">
        <v>112</v>
      </c>
      <c r="Y38" s="11" t="s">
        <v>112</v>
      </c>
      <c r="Z38" s="11" t="s">
        <v>112</v>
      </c>
      <c r="AA38" s="11" t="s">
        <v>112</v>
      </c>
      <c r="AB38" s="11" t="s">
        <v>112</v>
      </c>
      <c r="AC38" s="11" t="s">
        <v>112</v>
      </c>
      <c r="AD38" s="60"/>
      <c r="AE38" s="11" t="s">
        <v>112</v>
      </c>
      <c r="AF38" s="11" t="s">
        <v>112</v>
      </c>
      <c r="AG38" s="11" t="s">
        <v>112</v>
      </c>
      <c r="AH38" s="11" t="s">
        <v>112</v>
      </c>
      <c r="AI38" s="5">
        <f t="shared" si="2"/>
        <v>24</v>
      </c>
      <c r="AJ38" s="5">
        <f t="shared" si="1"/>
        <v>2</v>
      </c>
    </row>
    <row r="39" spans="1:36" x14ac:dyDescent="0.25">
      <c r="A39" s="6">
        <v>6</v>
      </c>
      <c r="B39" s="23" t="s">
        <v>699</v>
      </c>
      <c r="C39" s="10" t="s">
        <v>674</v>
      </c>
      <c r="D39" s="11" t="s">
        <v>112</v>
      </c>
      <c r="E39" s="11" t="s">
        <v>112</v>
      </c>
      <c r="F39" s="11" t="s">
        <v>112</v>
      </c>
      <c r="G39" s="11" t="s">
        <v>112</v>
      </c>
      <c r="H39" s="11" t="s">
        <v>112</v>
      </c>
      <c r="I39" s="60"/>
      <c r="J39" s="11" t="s">
        <v>112</v>
      </c>
      <c r="K39" s="11" t="s">
        <v>112</v>
      </c>
      <c r="L39" s="11" t="s">
        <v>112</v>
      </c>
      <c r="M39" s="11" t="s">
        <v>112</v>
      </c>
      <c r="N39" s="11" t="s">
        <v>112</v>
      </c>
      <c r="O39" s="68"/>
      <c r="P39" s="60"/>
      <c r="Q39" s="11" t="s">
        <v>112</v>
      </c>
      <c r="R39" s="11" t="s">
        <v>112</v>
      </c>
      <c r="S39" s="11" t="s">
        <v>112</v>
      </c>
      <c r="T39" s="11" t="s">
        <v>112</v>
      </c>
      <c r="U39" s="11" t="s">
        <v>112</v>
      </c>
      <c r="V39" s="11" t="s">
        <v>112</v>
      </c>
      <c r="W39" s="60"/>
      <c r="X39" s="11" t="s">
        <v>112</v>
      </c>
      <c r="Y39" s="11" t="s">
        <v>112</v>
      </c>
      <c r="Z39" s="11" t="s">
        <v>112</v>
      </c>
      <c r="AA39" s="11" t="s">
        <v>112</v>
      </c>
      <c r="AB39" s="11" t="s">
        <v>112</v>
      </c>
      <c r="AC39" s="11" t="s">
        <v>112</v>
      </c>
      <c r="AD39" s="60"/>
      <c r="AE39" s="11" t="s">
        <v>112</v>
      </c>
      <c r="AF39" s="11" t="s">
        <v>112</v>
      </c>
      <c r="AG39" s="11" t="s">
        <v>112</v>
      </c>
      <c r="AH39" s="11" t="s">
        <v>112</v>
      </c>
      <c r="AI39" s="5">
        <f t="shared" si="2"/>
        <v>26</v>
      </c>
      <c r="AJ39" s="5">
        <f t="shared" si="1"/>
        <v>0</v>
      </c>
    </row>
    <row r="40" spans="1:36" x14ac:dyDescent="0.25">
      <c r="A40" s="13">
        <v>7</v>
      </c>
      <c r="B40" s="23" t="s">
        <v>700</v>
      </c>
      <c r="C40" s="10" t="s">
        <v>674</v>
      </c>
      <c r="D40" s="11" t="s">
        <v>112</v>
      </c>
      <c r="E40" s="11" t="s">
        <v>112</v>
      </c>
      <c r="F40" s="11" t="s">
        <v>112</v>
      </c>
      <c r="G40" s="11" t="s">
        <v>112</v>
      </c>
      <c r="H40" s="11" t="s">
        <v>112</v>
      </c>
      <c r="I40" s="60"/>
      <c r="J40" s="11" t="s">
        <v>112</v>
      </c>
      <c r="K40" s="11" t="s">
        <v>112</v>
      </c>
      <c r="L40" s="11" t="s">
        <v>112</v>
      </c>
      <c r="M40" s="11" t="s">
        <v>112</v>
      </c>
      <c r="N40" s="11" t="s">
        <v>112</v>
      </c>
      <c r="O40" s="68"/>
      <c r="P40" s="60"/>
      <c r="Q40" s="11" t="s">
        <v>112</v>
      </c>
      <c r="R40" s="11" t="s">
        <v>112</v>
      </c>
      <c r="S40" s="11" t="s">
        <v>112</v>
      </c>
      <c r="T40" s="11" t="s">
        <v>112</v>
      </c>
      <c r="U40" s="11" t="s">
        <v>112</v>
      </c>
      <c r="V40" s="11" t="s">
        <v>112</v>
      </c>
      <c r="W40" s="60"/>
      <c r="X40" s="11" t="s">
        <v>113</v>
      </c>
      <c r="Y40" s="11" t="s">
        <v>112</v>
      </c>
      <c r="Z40" s="11" t="s">
        <v>112</v>
      </c>
      <c r="AA40" s="11" t="s">
        <v>112</v>
      </c>
      <c r="AB40" s="11" t="s">
        <v>112</v>
      </c>
      <c r="AC40" s="11" t="s">
        <v>112</v>
      </c>
      <c r="AD40" s="60"/>
      <c r="AE40" s="11" t="s">
        <v>112</v>
      </c>
      <c r="AF40" s="11" t="s">
        <v>112</v>
      </c>
      <c r="AG40" s="11" t="s">
        <v>112</v>
      </c>
      <c r="AH40" s="11" t="s">
        <v>112</v>
      </c>
      <c r="AI40" s="5">
        <f t="shared" si="2"/>
        <v>25</v>
      </c>
      <c r="AJ40" s="5">
        <f t="shared" si="1"/>
        <v>0</v>
      </c>
    </row>
    <row r="41" spans="1:36" x14ac:dyDescent="0.25">
      <c r="A41" s="6">
        <v>8</v>
      </c>
      <c r="B41" s="23" t="s">
        <v>91</v>
      </c>
      <c r="C41" s="10" t="s">
        <v>674</v>
      </c>
      <c r="D41" s="11" t="s">
        <v>112</v>
      </c>
      <c r="E41" s="11" t="s">
        <v>112</v>
      </c>
      <c r="F41" s="11" t="s">
        <v>112</v>
      </c>
      <c r="G41" s="11" t="s">
        <v>112</v>
      </c>
      <c r="H41" s="11" t="s">
        <v>111</v>
      </c>
      <c r="I41" s="60"/>
      <c r="J41" s="11" t="s">
        <v>112</v>
      </c>
      <c r="K41" s="11" t="s">
        <v>112</v>
      </c>
      <c r="L41" s="11" t="s">
        <v>112</v>
      </c>
      <c r="M41" s="11" t="s">
        <v>113</v>
      </c>
      <c r="N41" s="11" t="s">
        <v>113</v>
      </c>
      <c r="O41" s="68"/>
      <c r="P41" s="60"/>
      <c r="Q41" s="11" t="s">
        <v>112</v>
      </c>
      <c r="R41" s="11" t="s">
        <v>112</v>
      </c>
      <c r="S41" s="11" t="s">
        <v>112</v>
      </c>
      <c r="T41" s="11" t="s">
        <v>112</v>
      </c>
      <c r="U41" s="11" t="s">
        <v>112</v>
      </c>
      <c r="V41" s="11" t="s">
        <v>112</v>
      </c>
      <c r="W41" s="60"/>
      <c r="X41" s="11" t="s">
        <v>112</v>
      </c>
      <c r="Y41" s="11" t="s">
        <v>111</v>
      </c>
      <c r="Z41" s="11" t="s">
        <v>111</v>
      </c>
      <c r="AA41" s="11" t="s">
        <v>112</v>
      </c>
      <c r="AB41" s="11" t="s">
        <v>112</v>
      </c>
      <c r="AC41" s="11" t="s">
        <v>112</v>
      </c>
      <c r="AD41" s="60"/>
      <c r="AE41" s="11" t="s">
        <v>112</v>
      </c>
      <c r="AF41" s="11" t="s">
        <v>112</v>
      </c>
      <c r="AG41" s="11" t="s">
        <v>112</v>
      </c>
      <c r="AH41" s="11" t="s">
        <v>112</v>
      </c>
      <c r="AI41" s="5">
        <f t="shared" si="2"/>
        <v>21</v>
      </c>
      <c r="AJ41" s="5">
        <f t="shared" si="1"/>
        <v>3</v>
      </c>
    </row>
    <row r="42" spans="1:36" x14ac:dyDescent="0.25">
      <c r="A42" s="13">
        <v>9</v>
      </c>
      <c r="B42" s="23" t="s">
        <v>701</v>
      </c>
      <c r="C42" s="10" t="s">
        <v>674</v>
      </c>
      <c r="D42" s="11" t="s">
        <v>112</v>
      </c>
      <c r="E42" s="11" t="s">
        <v>112</v>
      </c>
      <c r="F42" s="11" t="s">
        <v>112</v>
      </c>
      <c r="G42" s="11" t="s">
        <v>112</v>
      </c>
      <c r="H42" s="11" t="s">
        <v>112</v>
      </c>
      <c r="I42" s="60"/>
      <c r="J42" s="11" t="s">
        <v>112</v>
      </c>
      <c r="K42" s="11" t="s">
        <v>112</v>
      </c>
      <c r="L42" s="11" t="s">
        <v>112</v>
      </c>
      <c r="M42" s="11" t="s">
        <v>112</v>
      </c>
      <c r="N42" s="11" t="s">
        <v>112</v>
      </c>
      <c r="O42" s="68"/>
      <c r="P42" s="60"/>
      <c r="Q42" s="11" t="s">
        <v>113</v>
      </c>
      <c r="R42" s="11" t="s">
        <v>112</v>
      </c>
      <c r="S42" s="11" t="s">
        <v>112</v>
      </c>
      <c r="T42" s="11" t="s">
        <v>112</v>
      </c>
      <c r="U42" s="11" t="s">
        <v>112</v>
      </c>
      <c r="V42" s="11" t="s">
        <v>112</v>
      </c>
      <c r="W42" s="60"/>
      <c r="X42" s="11" t="s">
        <v>112</v>
      </c>
      <c r="Y42" s="11" t="s">
        <v>112</v>
      </c>
      <c r="Z42" s="11" t="s">
        <v>112</v>
      </c>
      <c r="AA42" s="11" t="s">
        <v>112</v>
      </c>
      <c r="AB42" s="11" t="s">
        <v>112</v>
      </c>
      <c r="AC42" s="11" t="s">
        <v>112</v>
      </c>
      <c r="AD42" s="60"/>
      <c r="AE42" s="11" t="s">
        <v>112</v>
      </c>
      <c r="AF42" s="11" t="s">
        <v>112</v>
      </c>
      <c r="AG42" s="11" t="s">
        <v>112</v>
      </c>
      <c r="AH42" s="11" t="s">
        <v>112</v>
      </c>
      <c r="AI42" s="5">
        <f t="shared" si="2"/>
        <v>25</v>
      </c>
      <c r="AJ42" s="5">
        <f t="shared" si="1"/>
        <v>0</v>
      </c>
    </row>
    <row r="43" spans="1:36" x14ac:dyDescent="0.25">
      <c r="A43" s="6">
        <v>10</v>
      </c>
      <c r="B43" s="23" t="s">
        <v>532</v>
      </c>
      <c r="C43" s="10" t="s">
        <v>674</v>
      </c>
      <c r="D43" s="11" t="s">
        <v>112</v>
      </c>
      <c r="E43" s="11" t="s">
        <v>112</v>
      </c>
      <c r="F43" s="11" t="s">
        <v>111</v>
      </c>
      <c r="G43" s="11" t="s">
        <v>112</v>
      </c>
      <c r="H43" s="11" t="s">
        <v>112</v>
      </c>
      <c r="I43" s="60"/>
      <c r="J43" s="11" t="s">
        <v>112</v>
      </c>
      <c r="K43" s="11" t="s">
        <v>112</v>
      </c>
      <c r="L43" s="11" t="s">
        <v>111</v>
      </c>
      <c r="M43" s="11" t="s">
        <v>112</v>
      </c>
      <c r="N43" s="11" t="s">
        <v>112</v>
      </c>
      <c r="O43" s="68"/>
      <c r="P43" s="60"/>
      <c r="Q43" s="11" t="s">
        <v>112</v>
      </c>
      <c r="R43" s="11" t="s">
        <v>112</v>
      </c>
      <c r="S43" s="11" t="s">
        <v>112</v>
      </c>
      <c r="T43" s="11" t="s">
        <v>112</v>
      </c>
      <c r="U43" s="11" t="s">
        <v>112</v>
      </c>
      <c r="V43" s="11" t="s">
        <v>112</v>
      </c>
      <c r="W43" s="60"/>
      <c r="X43" s="11" t="s">
        <v>112</v>
      </c>
      <c r="Y43" s="11" t="s">
        <v>112</v>
      </c>
      <c r="Z43" s="11" t="s">
        <v>112</v>
      </c>
      <c r="AA43" s="11" t="s">
        <v>112</v>
      </c>
      <c r="AB43" s="11" t="s">
        <v>112</v>
      </c>
      <c r="AC43" s="11" t="s">
        <v>112</v>
      </c>
      <c r="AD43" s="60"/>
      <c r="AE43" s="11" t="s">
        <v>112</v>
      </c>
      <c r="AF43" s="11" t="s">
        <v>112</v>
      </c>
      <c r="AG43" s="11" t="s">
        <v>111</v>
      </c>
      <c r="AH43" s="11" t="s">
        <v>112</v>
      </c>
      <c r="AI43" s="5">
        <f t="shared" si="2"/>
        <v>23</v>
      </c>
      <c r="AJ43" s="5">
        <f t="shared" si="1"/>
        <v>3</v>
      </c>
    </row>
    <row r="44" spans="1:36" x14ac:dyDescent="0.25">
      <c r="A44" s="13">
        <v>11</v>
      </c>
      <c r="B44" s="23" t="s">
        <v>702</v>
      </c>
      <c r="C44" s="11" t="s">
        <v>674</v>
      </c>
      <c r="D44" s="11" t="s">
        <v>112</v>
      </c>
      <c r="E44" s="11" t="s">
        <v>111</v>
      </c>
      <c r="F44" s="11" t="s">
        <v>111</v>
      </c>
      <c r="G44" s="11" t="s">
        <v>112</v>
      </c>
      <c r="H44" s="11" t="s">
        <v>111</v>
      </c>
      <c r="I44" s="60"/>
      <c r="J44" s="11" t="s">
        <v>112</v>
      </c>
      <c r="K44" s="11" t="s">
        <v>112</v>
      </c>
      <c r="L44" s="11" t="s">
        <v>111</v>
      </c>
      <c r="M44" s="11" t="s">
        <v>112</v>
      </c>
      <c r="N44" s="11" t="s">
        <v>112</v>
      </c>
      <c r="O44" s="68"/>
      <c r="P44" s="60"/>
      <c r="Q44" s="11" t="s">
        <v>112</v>
      </c>
      <c r="R44" s="11" t="s">
        <v>112</v>
      </c>
      <c r="S44" s="11" t="s">
        <v>111</v>
      </c>
      <c r="T44" s="11" t="s">
        <v>112</v>
      </c>
      <c r="U44" s="11" t="s">
        <v>112</v>
      </c>
      <c r="V44" s="11" t="s">
        <v>112</v>
      </c>
      <c r="W44" s="60"/>
      <c r="X44" s="11" t="s">
        <v>112</v>
      </c>
      <c r="Y44" s="11" t="s">
        <v>112</v>
      </c>
      <c r="Z44" s="11" t="s">
        <v>112</v>
      </c>
      <c r="AA44" s="11" t="s">
        <v>112</v>
      </c>
      <c r="AB44" s="11" t="s">
        <v>112</v>
      </c>
      <c r="AC44" s="11" t="s">
        <v>112</v>
      </c>
      <c r="AD44" s="60"/>
      <c r="AE44" s="11" t="s">
        <v>112</v>
      </c>
      <c r="AF44" s="11" t="s">
        <v>111</v>
      </c>
      <c r="AG44" s="11" t="s">
        <v>112</v>
      </c>
      <c r="AH44" s="11" t="s">
        <v>112</v>
      </c>
      <c r="AI44" s="5">
        <f t="shared" si="2"/>
        <v>20</v>
      </c>
      <c r="AJ44" s="5">
        <f t="shared" si="1"/>
        <v>6</v>
      </c>
    </row>
    <row r="45" spans="1:36" x14ac:dyDescent="0.25">
      <c r="A45" s="6">
        <v>12</v>
      </c>
      <c r="B45" s="23" t="s">
        <v>669</v>
      </c>
      <c r="C45" s="11" t="s">
        <v>674</v>
      </c>
      <c r="D45" s="11" t="s">
        <v>112</v>
      </c>
      <c r="E45" s="11" t="s">
        <v>112</v>
      </c>
      <c r="F45" s="11" t="s">
        <v>112</v>
      </c>
      <c r="G45" s="11" t="s">
        <v>112</v>
      </c>
      <c r="H45" s="11" t="s">
        <v>112</v>
      </c>
      <c r="I45" s="60"/>
      <c r="J45" s="11" t="s">
        <v>112</v>
      </c>
      <c r="K45" s="11" t="s">
        <v>112</v>
      </c>
      <c r="L45" s="11" t="s">
        <v>111</v>
      </c>
      <c r="M45" s="11" t="s">
        <v>112</v>
      </c>
      <c r="N45" s="11" t="s">
        <v>112</v>
      </c>
      <c r="O45" s="68"/>
      <c r="P45" s="60"/>
      <c r="Q45" s="11" t="s">
        <v>112</v>
      </c>
      <c r="R45" s="11" t="s">
        <v>112</v>
      </c>
      <c r="S45" s="11" t="s">
        <v>111</v>
      </c>
      <c r="T45" s="11" t="s">
        <v>112</v>
      </c>
      <c r="U45" s="11" t="s">
        <v>112</v>
      </c>
      <c r="V45" s="11" t="s">
        <v>112</v>
      </c>
      <c r="W45" s="60"/>
      <c r="X45" s="11" t="s">
        <v>112</v>
      </c>
      <c r="Y45" s="11" t="s">
        <v>112</v>
      </c>
      <c r="Z45" s="11" t="s">
        <v>112</v>
      </c>
      <c r="AA45" s="11" t="s">
        <v>112</v>
      </c>
      <c r="AB45" s="11" t="s">
        <v>112</v>
      </c>
      <c r="AC45" s="11" t="s">
        <v>112</v>
      </c>
      <c r="AD45" s="60"/>
      <c r="AE45" s="11" t="s">
        <v>112</v>
      </c>
      <c r="AF45" s="11" t="s">
        <v>112</v>
      </c>
      <c r="AG45" s="11" t="s">
        <v>112</v>
      </c>
      <c r="AH45" s="11" t="s">
        <v>112</v>
      </c>
      <c r="AI45" s="5">
        <f t="shared" si="2"/>
        <v>24</v>
      </c>
      <c r="AJ45" s="5">
        <f t="shared" si="1"/>
        <v>2</v>
      </c>
    </row>
    <row r="46" spans="1:36" x14ac:dyDescent="0.25">
      <c r="A46" s="13">
        <v>13</v>
      </c>
      <c r="B46" s="23" t="s">
        <v>703</v>
      </c>
      <c r="C46" s="11" t="s">
        <v>674</v>
      </c>
      <c r="D46" s="11" t="s">
        <v>112</v>
      </c>
      <c r="E46" s="11" t="s">
        <v>112</v>
      </c>
      <c r="F46" s="11" t="s">
        <v>112</v>
      </c>
      <c r="G46" s="11" t="s">
        <v>112</v>
      </c>
      <c r="H46" s="11" t="s">
        <v>111</v>
      </c>
      <c r="I46" s="60"/>
      <c r="J46" s="11" t="s">
        <v>112</v>
      </c>
      <c r="K46" s="11" t="s">
        <v>112</v>
      </c>
      <c r="L46" s="11" t="s">
        <v>112</v>
      </c>
      <c r="M46" s="11" t="s">
        <v>111</v>
      </c>
      <c r="N46" s="11" t="s">
        <v>112</v>
      </c>
      <c r="O46" s="68"/>
      <c r="P46" s="60"/>
      <c r="Q46" s="11" t="s">
        <v>111</v>
      </c>
      <c r="R46" s="11" t="s">
        <v>112</v>
      </c>
      <c r="S46" s="11" t="s">
        <v>112</v>
      </c>
      <c r="T46" s="11" t="s">
        <v>112</v>
      </c>
      <c r="U46" s="11" t="s">
        <v>112</v>
      </c>
      <c r="V46" s="11" t="s">
        <v>112</v>
      </c>
      <c r="W46" s="60"/>
      <c r="X46" s="11" t="s">
        <v>111</v>
      </c>
      <c r="Y46" s="11" t="s">
        <v>111</v>
      </c>
      <c r="Z46" s="11" t="s">
        <v>111</v>
      </c>
      <c r="AA46" s="11" t="s">
        <v>112</v>
      </c>
      <c r="AB46" s="11" t="s">
        <v>112</v>
      </c>
      <c r="AC46" s="11" t="s">
        <v>112</v>
      </c>
      <c r="AD46" s="60"/>
      <c r="AE46" s="11" t="s">
        <v>112</v>
      </c>
      <c r="AF46" s="11" t="s">
        <v>112</v>
      </c>
      <c r="AG46" s="11" t="s">
        <v>112</v>
      </c>
      <c r="AH46" s="11" t="s">
        <v>112</v>
      </c>
      <c r="AI46" s="5">
        <f t="shared" si="2"/>
        <v>20</v>
      </c>
      <c r="AJ46" s="5">
        <f t="shared" si="1"/>
        <v>6</v>
      </c>
    </row>
    <row r="47" spans="1:36" x14ac:dyDescent="0.25">
      <c r="A47" s="6">
        <v>14</v>
      </c>
      <c r="B47" s="23" t="s">
        <v>704</v>
      </c>
      <c r="C47" s="11" t="s">
        <v>674</v>
      </c>
      <c r="D47" s="11" t="s">
        <v>112</v>
      </c>
      <c r="E47" s="11" t="s">
        <v>112</v>
      </c>
      <c r="F47" s="11" t="s">
        <v>112</v>
      </c>
      <c r="G47" s="11" t="s">
        <v>112</v>
      </c>
      <c r="H47" s="11" t="s">
        <v>112</v>
      </c>
      <c r="I47" s="60"/>
      <c r="J47" s="11" t="s">
        <v>112</v>
      </c>
      <c r="K47" s="11" t="s">
        <v>112</v>
      </c>
      <c r="L47" s="11" t="s">
        <v>112</v>
      </c>
      <c r="M47" s="11" t="s">
        <v>112</v>
      </c>
      <c r="N47" s="11" t="s">
        <v>112</v>
      </c>
      <c r="O47" s="68"/>
      <c r="P47" s="60"/>
      <c r="Q47" s="11" t="s">
        <v>112</v>
      </c>
      <c r="R47" s="11" t="s">
        <v>112</v>
      </c>
      <c r="S47" s="11" t="s">
        <v>112</v>
      </c>
      <c r="T47" s="11" t="s">
        <v>112</v>
      </c>
      <c r="U47" s="11" t="s">
        <v>112</v>
      </c>
      <c r="V47" s="11" t="s">
        <v>112</v>
      </c>
      <c r="W47" s="60"/>
      <c r="X47" s="11" t="s">
        <v>111</v>
      </c>
      <c r="Y47" s="11" t="s">
        <v>112</v>
      </c>
      <c r="Z47" s="11" t="s">
        <v>112</v>
      </c>
      <c r="AA47" s="11" t="s">
        <v>112</v>
      </c>
      <c r="AB47" s="11" t="s">
        <v>111</v>
      </c>
      <c r="AC47" s="11" t="s">
        <v>111</v>
      </c>
      <c r="AD47" s="60"/>
      <c r="AE47" s="11" t="s">
        <v>112</v>
      </c>
      <c r="AF47" s="11" t="s">
        <v>112</v>
      </c>
      <c r="AG47" s="11" t="s">
        <v>112</v>
      </c>
      <c r="AH47" s="11" t="s">
        <v>112</v>
      </c>
      <c r="AI47" s="5">
        <f t="shared" si="2"/>
        <v>23</v>
      </c>
      <c r="AJ47" s="5">
        <f t="shared" si="1"/>
        <v>3</v>
      </c>
    </row>
    <row r="48" spans="1:36" x14ac:dyDescent="0.25">
      <c r="A48" s="13">
        <v>15</v>
      </c>
      <c r="B48" s="23" t="s">
        <v>705</v>
      </c>
      <c r="C48" s="11" t="s">
        <v>674</v>
      </c>
      <c r="D48" s="11" t="s">
        <v>112</v>
      </c>
      <c r="E48" s="11" t="s">
        <v>112</v>
      </c>
      <c r="F48" s="11" t="s">
        <v>112</v>
      </c>
      <c r="G48" s="11" t="s">
        <v>112</v>
      </c>
      <c r="H48" s="11" t="s">
        <v>112</v>
      </c>
      <c r="I48" s="60"/>
      <c r="J48" s="11" t="s">
        <v>112</v>
      </c>
      <c r="K48" s="11" t="s">
        <v>112</v>
      </c>
      <c r="L48" s="11" t="s">
        <v>111</v>
      </c>
      <c r="M48" s="11" t="s">
        <v>113</v>
      </c>
      <c r="N48" s="11" t="s">
        <v>112</v>
      </c>
      <c r="O48" s="68"/>
      <c r="P48" s="60"/>
      <c r="Q48" s="11" t="s">
        <v>112</v>
      </c>
      <c r="R48" s="11" t="s">
        <v>111</v>
      </c>
      <c r="S48" s="11" t="s">
        <v>112</v>
      </c>
      <c r="T48" s="11" t="s">
        <v>112</v>
      </c>
      <c r="U48" s="11" t="s">
        <v>112</v>
      </c>
      <c r="V48" s="11" t="s">
        <v>112</v>
      </c>
      <c r="W48" s="60"/>
      <c r="X48" s="11" t="s">
        <v>112</v>
      </c>
      <c r="Y48" s="11" t="s">
        <v>112</v>
      </c>
      <c r="Z48" s="11" t="s">
        <v>112</v>
      </c>
      <c r="AA48" s="11" t="s">
        <v>112</v>
      </c>
      <c r="AB48" s="11" t="s">
        <v>112</v>
      </c>
      <c r="AC48" s="11" t="s">
        <v>112</v>
      </c>
      <c r="AD48" s="60"/>
      <c r="AE48" s="11" t="s">
        <v>112</v>
      </c>
      <c r="AF48" s="11" t="s">
        <v>112</v>
      </c>
      <c r="AG48" s="11" t="s">
        <v>112</v>
      </c>
      <c r="AH48" s="11" t="s">
        <v>112</v>
      </c>
      <c r="AI48" s="5">
        <f t="shared" si="2"/>
        <v>23</v>
      </c>
      <c r="AJ48" s="5">
        <f t="shared" si="1"/>
        <v>2</v>
      </c>
    </row>
    <row r="49" spans="1:36" x14ac:dyDescent="0.25">
      <c r="A49" s="6">
        <v>16</v>
      </c>
      <c r="B49" s="23" t="s">
        <v>706</v>
      </c>
      <c r="C49" s="11" t="s">
        <v>674</v>
      </c>
      <c r="D49" s="11" t="s">
        <v>112</v>
      </c>
      <c r="E49" s="11" t="s">
        <v>112</v>
      </c>
      <c r="F49" s="11" t="s">
        <v>112</v>
      </c>
      <c r="G49" s="11" t="s">
        <v>112</v>
      </c>
      <c r="H49" s="11" t="s">
        <v>111</v>
      </c>
      <c r="I49" s="60"/>
      <c r="J49" s="11" t="s">
        <v>112</v>
      </c>
      <c r="K49" s="11" t="s">
        <v>112</v>
      </c>
      <c r="L49" s="11" t="s">
        <v>112</v>
      </c>
      <c r="M49" s="11" t="s">
        <v>112</v>
      </c>
      <c r="N49" s="11" t="s">
        <v>112</v>
      </c>
      <c r="O49" s="68"/>
      <c r="P49" s="60"/>
      <c r="Q49" s="11" t="s">
        <v>112</v>
      </c>
      <c r="R49" s="11" t="s">
        <v>112</v>
      </c>
      <c r="S49" s="11" t="s">
        <v>111</v>
      </c>
      <c r="T49" s="11" t="s">
        <v>113</v>
      </c>
      <c r="U49" s="11" t="s">
        <v>112</v>
      </c>
      <c r="V49" s="11" t="s">
        <v>112</v>
      </c>
      <c r="W49" s="60"/>
      <c r="X49" s="11" t="s">
        <v>112</v>
      </c>
      <c r="Y49" s="11" t="s">
        <v>112</v>
      </c>
      <c r="Z49" s="11" t="s">
        <v>112</v>
      </c>
      <c r="AA49" s="11" t="s">
        <v>112</v>
      </c>
      <c r="AB49" s="11" t="s">
        <v>112</v>
      </c>
      <c r="AC49" s="11" t="s">
        <v>112</v>
      </c>
      <c r="AD49" s="60"/>
      <c r="AE49" s="11" t="s">
        <v>112</v>
      </c>
      <c r="AF49" s="11" t="s">
        <v>112</v>
      </c>
      <c r="AG49" s="11" t="s">
        <v>112</v>
      </c>
      <c r="AH49" s="11" t="s">
        <v>111</v>
      </c>
      <c r="AI49" s="5">
        <f t="shared" si="2"/>
        <v>22</v>
      </c>
      <c r="AJ49" s="5">
        <f t="shared" si="1"/>
        <v>2</v>
      </c>
    </row>
    <row r="50" spans="1:36" x14ac:dyDescent="0.25">
      <c r="A50" s="13">
        <v>17</v>
      </c>
      <c r="B50" s="23" t="s">
        <v>707</v>
      </c>
      <c r="C50" s="11" t="s">
        <v>674</v>
      </c>
      <c r="D50" s="11" t="s">
        <v>112</v>
      </c>
      <c r="E50" s="11" t="s">
        <v>112</v>
      </c>
      <c r="F50" s="11" t="s">
        <v>111</v>
      </c>
      <c r="G50" s="11" t="s">
        <v>112</v>
      </c>
      <c r="H50" s="11" t="s">
        <v>112</v>
      </c>
      <c r="I50" s="60"/>
      <c r="J50" s="11" t="s">
        <v>112</v>
      </c>
      <c r="K50" s="11" t="s">
        <v>112</v>
      </c>
      <c r="L50" s="11" t="s">
        <v>112</v>
      </c>
      <c r="M50" s="11" t="s">
        <v>112</v>
      </c>
      <c r="N50" s="11" t="s">
        <v>112</v>
      </c>
      <c r="O50" s="68"/>
      <c r="P50" s="60"/>
      <c r="Q50" s="11" t="s">
        <v>112</v>
      </c>
      <c r="R50" s="11" t="s">
        <v>112</v>
      </c>
      <c r="S50" s="11" t="s">
        <v>112</v>
      </c>
      <c r="T50" s="11" t="s">
        <v>112</v>
      </c>
      <c r="U50" s="11" t="s">
        <v>112</v>
      </c>
      <c r="V50" s="11" t="s">
        <v>112</v>
      </c>
      <c r="W50" s="60"/>
      <c r="X50" s="11" t="s">
        <v>112</v>
      </c>
      <c r="Y50" s="11" t="s">
        <v>112</v>
      </c>
      <c r="Z50" s="11" t="s">
        <v>112</v>
      </c>
      <c r="AA50" s="11" t="s">
        <v>111</v>
      </c>
      <c r="AB50" s="11" t="s">
        <v>112</v>
      </c>
      <c r="AC50" s="11" t="s">
        <v>112</v>
      </c>
      <c r="AD50" s="60"/>
      <c r="AE50" s="11" t="s">
        <v>112</v>
      </c>
      <c r="AF50" s="11" t="s">
        <v>112</v>
      </c>
      <c r="AG50" s="11" t="s">
        <v>112</v>
      </c>
      <c r="AH50" s="11" t="s">
        <v>112</v>
      </c>
      <c r="AI50" s="5">
        <f t="shared" si="2"/>
        <v>24</v>
      </c>
      <c r="AJ50" s="5">
        <f t="shared" si="1"/>
        <v>2</v>
      </c>
    </row>
    <row r="51" spans="1:36" x14ac:dyDescent="0.25">
      <c r="A51" s="6">
        <v>18</v>
      </c>
      <c r="B51" s="23" t="s">
        <v>708</v>
      </c>
      <c r="C51" s="11" t="s">
        <v>674</v>
      </c>
      <c r="D51" s="11" t="s">
        <v>112</v>
      </c>
      <c r="E51" s="11" t="s">
        <v>112</v>
      </c>
      <c r="F51" s="11" t="s">
        <v>112</v>
      </c>
      <c r="G51" s="11" t="s">
        <v>112</v>
      </c>
      <c r="H51" s="11" t="s">
        <v>112</v>
      </c>
      <c r="I51" s="60"/>
      <c r="J51" s="11" t="s">
        <v>112</v>
      </c>
      <c r="K51" s="11" t="s">
        <v>112</v>
      </c>
      <c r="L51" s="11" t="s">
        <v>112</v>
      </c>
      <c r="M51" s="11" t="s">
        <v>112</v>
      </c>
      <c r="N51" s="11" t="s">
        <v>112</v>
      </c>
      <c r="O51" s="68"/>
      <c r="P51" s="60"/>
      <c r="Q51" s="11" t="s">
        <v>112</v>
      </c>
      <c r="R51" s="11" t="s">
        <v>112</v>
      </c>
      <c r="S51" s="11" t="s">
        <v>112</v>
      </c>
      <c r="T51" s="11" t="s">
        <v>112</v>
      </c>
      <c r="U51" s="11" t="s">
        <v>112</v>
      </c>
      <c r="V51" s="11" t="s">
        <v>112</v>
      </c>
      <c r="W51" s="60"/>
      <c r="X51" s="11" t="s">
        <v>112</v>
      </c>
      <c r="Y51" s="11" t="s">
        <v>112</v>
      </c>
      <c r="Z51" s="11" t="s">
        <v>112</v>
      </c>
      <c r="AA51" s="11" t="s">
        <v>112</v>
      </c>
      <c r="AB51" s="11" t="s">
        <v>112</v>
      </c>
      <c r="AC51" s="11" t="s">
        <v>112</v>
      </c>
      <c r="AD51" s="60"/>
      <c r="AE51" s="11" t="s">
        <v>112</v>
      </c>
      <c r="AF51" s="11" t="s">
        <v>112</v>
      </c>
      <c r="AG51" s="11" t="s">
        <v>112</v>
      </c>
      <c r="AH51" s="11" t="s">
        <v>112</v>
      </c>
      <c r="AI51" s="5">
        <f t="shared" si="2"/>
        <v>26</v>
      </c>
      <c r="AJ51" s="5">
        <f t="shared" si="1"/>
        <v>0</v>
      </c>
    </row>
    <row r="52" spans="1:36" x14ac:dyDescent="0.25">
      <c r="A52" s="13">
        <v>19</v>
      </c>
      <c r="B52" s="23" t="s">
        <v>531</v>
      </c>
      <c r="C52" s="11" t="s">
        <v>674</v>
      </c>
      <c r="D52" s="11" t="s">
        <v>111</v>
      </c>
      <c r="E52" s="11" t="s">
        <v>111</v>
      </c>
      <c r="F52" s="11" t="s">
        <v>111</v>
      </c>
      <c r="G52" s="11" t="s">
        <v>111</v>
      </c>
      <c r="H52" s="11" t="s">
        <v>111</v>
      </c>
      <c r="I52" s="61"/>
      <c r="J52" s="11" t="s">
        <v>111</v>
      </c>
      <c r="K52" s="11" t="s">
        <v>111</v>
      </c>
      <c r="L52" s="11" t="s">
        <v>111</v>
      </c>
      <c r="M52" s="11" t="s">
        <v>111</v>
      </c>
      <c r="N52" s="11" t="s">
        <v>111</v>
      </c>
      <c r="O52" s="69"/>
      <c r="P52" s="61"/>
      <c r="Q52" s="11" t="s">
        <v>111</v>
      </c>
      <c r="R52" s="11" t="s">
        <v>111</v>
      </c>
      <c r="S52" s="11" t="s">
        <v>111</v>
      </c>
      <c r="T52" s="11" t="s">
        <v>111</v>
      </c>
      <c r="U52" s="11" t="s">
        <v>112</v>
      </c>
      <c r="V52" s="11" t="s">
        <v>112</v>
      </c>
      <c r="W52" s="61"/>
      <c r="X52" s="11" t="s">
        <v>112</v>
      </c>
      <c r="Y52" s="11" t="s">
        <v>112</v>
      </c>
      <c r="Z52" s="11" t="s">
        <v>112</v>
      </c>
      <c r="AA52" s="11" t="s">
        <v>112</v>
      </c>
      <c r="AB52" s="11" t="s">
        <v>112</v>
      </c>
      <c r="AC52" s="11" t="s">
        <v>112</v>
      </c>
      <c r="AD52" s="61"/>
      <c r="AE52" s="11" t="s">
        <v>112</v>
      </c>
      <c r="AF52" s="11" t="s">
        <v>112</v>
      </c>
      <c r="AG52" s="11" t="s">
        <v>112</v>
      </c>
      <c r="AH52" s="11" t="s">
        <v>112</v>
      </c>
      <c r="AI52" s="5">
        <f t="shared" si="2"/>
        <v>12</v>
      </c>
      <c r="AJ52" s="5">
        <f t="shared" si="1"/>
        <v>14</v>
      </c>
    </row>
  </sheetData>
  <mergeCells count="15">
    <mergeCell ref="A1:AJ1"/>
    <mergeCell ref="A2:AJ2"/>
    <mergeCell ref="A3:A4"/>
    <mergeCell ref="B3:B4"/>
    <mergeCell ref="C3:C4"/>
    <mergeCell ref="AI3:AI4"/>
    <mergeCell ref="AJ3:AJ4"/>
    <mergeCell ref="AK3:AL3"/>
    <mergeCell ref="I5:I52"/>
    <mergeCell ref="O5:O52"/>
    <mergeCell ref="P5:P52"/>
    <mergeCell ref="W5:W52"/>
    <mergeCell ref="AD5:AD52"/>
    <mergeCell ref="AK9:AN9"/>
    <mergeCell ref="AK17:AN17"/>
  </mergeCells>
  <conditionalFormatting sqref="B1:B1048576">
    <cfRule type="duplicateValues" dxfId="96" priority="28"/>
  </conditionalFormatting>
  <conditionalFormatting sqref="D5:H52 J5:N52 Q5:V52 X5:AC52 AE5:AH52 D4:AH4">
    <cfRule type="expression" dxfId="95" priority="39">
      <formula>IF(D$4=TODAY(),TRUE,FALSE)</formula>
    </cfRule>
  </conditionalFormatting>
  <conditionalFormatting sqref="D5:H52 J5:N52 Q5:V52 X5:AC52 AE5:AH52">
    <cfRule type="cellIs" dxfId="94" priority="36" operator="equal">
      <formula>"L"</formula>
    </cfRule>
    <cfRule type="cellIs" dxfId="93" priority="37" operator="equal">
      <formula>"A"</formula>
    </cfRule>
    <cfRule type="cellIs" dxfId="92" priority="38" operator="equal">
      <formula>"P"</formula>
    </cfRule>
  </conditionalFormatting>
  <conditionalFormatting sqref="D3:AH4 D5:H52 J5:N52 Q5:V52 X5:AC52 AE5:AH52">
    <cfRule type="expression" dxfId="91" priority="40">
      <formula>D$3="Sun"</formula>
    </cfRule>
  </conditionalFormatting>
  <conditionalFormatting sqref="I5">
    <cfRule type="cellIs" dxfId="90" priority="24" operator="equal">
      <formula>"A"</formula>
    </cfRule>
    <cfRule type="cellIs" dxfId="89" priority="23" operator="equal">
      <formula>"L"</formula>
    </cfRule>
    <cfRule type="cellIs" dxfId="88" priority="25" operator="equal">
      <formula>"P"</formula>
    </cfRule>
    <cfRule type="expression" dxfId="87" priority="26">
      <formula>IF(I$4=TODAY(),TRUE,FALSE)</formula>
    </cfRule>
    <cfRule type="expression" dxfId="86" priority="27">
      <formula>I$3="Sun"</formula>
    </cfRule>
  </conditionalFormatting>
  <conditionalFormatting sqref="O5:P5">
    <cfRule type="cellIs" dxfId="85" priority="18" operator="equal">
      <formula>"L"</formula>
    </cfRule>
    <cfRule type="expression" dxfId="84" priority="22">
      <formula>O$3="Sun"</formula>
    </cfRule>
    <cfRule type="expression" dxfId="83" priority="21">
      <formula>IF(O$4=TODAY(),TRUE,FALSE)</formula>
    </cfRule>
    <cfRule type="cellIs" dxfId="82" priority="20" operator="equal">
      <formula>"P"</formula>
    </cfRule>
    <cfRule type="cellIs" dxfId="81" priority="19" operator="equal">
      <formula>"A"</formula>
    </cfRule>
  </conditionalFormatting>
  <conditionalFormatting sqref="W5">
    <cfRule type="cellIs" dxfId="80" priority="13" operator="equal">
      <formula>"L"</formula>
    </cfRule>
    <cfRule type="cellIs" dxfId="79" priority="14" operator="equal">
      <formula>"A"</formula>
    </cfRule>
    <cfRule type="cellIs" dxfId="78" priority="15" operator="equal">
      <formula>"P"</formula>
    </cfRule>
    <cfRule type="expression" dxfId="77" priority="16">
      <formula>IF(W$4=TODAY(),TRUE,FALSE)</formula>
    </cfRule>
    <cfRule type="expression" dxfId="76" priority="17">
      <formula>W$3="Sun"</formula>
    </cfRule>
  </conditionalFormatting>
  <conditionalFormatting sqref="AD5">
    <cfRule type="cellIs" dxfId="75" priority="8" operator="equal">
      <formula>"L"</formula>
    </cfRule>
    <cfRule type="cellIs" dxfId="74" priority="9" operator="equal">
      <formula>"A"</formula>
    </cfRule>
    <cfRule type="cellIs" dxfId="73" priority="10" operator="equal">
      <formula>"P"</formula>
    </cfRule>
    <cfRule type="expression" dxfId="72" priority="11">
      <formula>IF(AD$4=TODAY(),TRUE,FALSE)</formula>
    </cfRule>
    <cfRule type="expression" dxfId="71" priority="12">
      <formula>AD$3="Sun"</formula>
    </cfRule>
  </conditionalFormatting>
  <conditionalFormatting sqref="AI3:AJ3 AI5:AJ52">
    <cfRule type="expression" dxfId="70" priority="41">
      <formula>#REF!="Sun"</formula>
    </cfRule>
  </conditionalFormatting>
  <conditionalFormatting sqref="AK5:AK7">
    <cfRule type="expression" dxfId="69" priority="5">
      <formula>AK$3="Sun"</formula>
    </cfRule>
  </conditionalFormatting>
  <conditionalFormatting sqref="AK10:AK13">
    <cfRule type="expression" dxfId="68" priority="2">
      <formula>AK$3="Sun"</formula>
    </cfRule>
  </conditionalFormatting>
  <conditionalFormatting sqref="AK18:AK21">
    <cfRule type="expression" dxfId="67" priority="1">
      <formula>AK$3="Sun"</formula>
    </cfRule>
  </conditionalFormatting>
  <conditionalFormatting sqref="AK4:AL4">
    <cfRule type="expression" dxfId="66" priority="6">
      <formula>AK$3="Sun"</formula>
    </cfRule>
  </conditionalFormatting>
  <conditionalFormatting sqref="AL10:AN10 AL18:AN18">
    <cfRule type="expression" dxfId="65" priority="7">
      <formula>AL$3="Sun"</formula>
    </cfRule>
  </conditionalFormatting>
  <conditionalFormatting sqref="AN19">
    <cfRule type="expression" dxfId="64" priority="4">
      <formula>AN$3="Sun"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A9EA-F7B6-4F1E-BEA4-C4DB1A77DEDB}">
  <dimension ref="A1:AO48"/>
  <sheetViews>
    <sheetView topLeftCell="E3" workbookViewId="0">
      <selection activeCell="AN11" sqref="AN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spans="1:41" ht="17.25" x14ac:dyDescent="0.3">
      <c r="A2" s="46" t="s">
        <v>619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spans="1:41" ht="15.75" x14ac:dyDescent="0.25">
      <c r="A3" s="62" t="s">
        <v>0</v>
      </c>
      <c r="B3" s="62" t="s">
        <v>1</v>
      </c>
      <c r="C3" s="62" t="s">
        <v>2</v>
      </c>
      <c r="D3" s="62" t="s">
        <v>3</v>
      </c>
      <c r="E3" s="2" t="str">
        <f t="shared" ref="E3:AI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48" t="s">
        <v>4</v>
      </c>
      <c r="AK3" s="48" t="s">
        <v>5</v>
      </c>
      <c r="AL3" s="49" t="s">
        <v>126</v>
      </c>
      <c r="AM3" s="50"/>
      <c r="AN3" s="3"/>
      <c r="AO3" s="3"/>
    </row>
    <row r="4" spans="1:41" ht="34.5" x14ac:dyDescent="0.25">
      <c r="A4" s="63"/>
      <c r="B4" s="63"/>
      <c r="C4" s="63"/>
      <c r="D4" s="63"/>
      <c r="E4" s="20">
        <v>45566</v>
      </c>
      <c r="F4" s="20">
        <v>45567</v>
      </c>
      <c r="G4" s="20">
        <v>45568</v>
      </c>
      <c r="H4" s="20">
        <v>45569</v>
      </c>
      <c r="I4" s="20">
        <v>45570</v>
      </c>
      <c r="J4" s="20">
        <v>45571</v>
      </c>
      <c r="K4" s="20">
        <v>45572</v>
      </c>
      <c r="L4" s="20">
        <v>45573</v>
      </c>
      <c r="M4" s="20">
        <v>45574</v>
      </c>
      <c r="N4" s="20">
        <v>45575</v>
      </c>
      <c r="O4" s="20">
        <v>45576</v>
      </c>
      <c r="P4" s="20">
        <v>45577</v>
      </c>
      <c r="Q4" s="20">
        <v>45578</v>
      </c>
      <c r="R4" s="20">
        <v>45579</v>
      </c>
      <c r="S4" s="20">
        <v>45580</v>
      </c>
      <c r="T4" s="20">
        <v>45581</v>
      </c>
      <c r="U4" s="20">
        <v>45582</v>
      </c>
      <c r="V4" s="20">
        <v>45583</v>
      </c>
      <c r="W4" s="20">
        <v>45584</v>
      </c>
      <c r="X4" s="20">
        <v>45585</v>
      </c>
      <c r="Y4" s="20">
        <v>45586</v>
      </c>
      <c r="Z4" s="20">
        <v>45587</v>
      </c>
      <c r="AA4" s="20">
        <v>45588</v>
      </c>
      <c r="AB4" s="20">
        <v>45589</v>
      </c>
      <c r="AC4" s="20">
        <v>45590</v>
      </c>
      <c r="AD4" s="20">
        <v>45591</v>
      </c>
      <c r="AE4" s="20">
        <v>45592</v>
      </c>
      <c r="AF4" s="20">
        <v>45593</v>
      </c>
      <c r="AG4" s="20">
        <v>45594</v>
      </c>
      <c r="AH4" s="20">
        <v>45595</v>
      </c>
      <c r="AI4" s="20">
        <v>45596</v>
      </c>
      <c r="AJ4" s="48"/>
      <c r="AK4" s="48"/>
      <c r="AL4" s="5" t="s">
        <v>127</v>
      </c>
      <c r="AM4" s="5">
        <f>SUM(AM5:AM7)</f>
        <v>31</v>
      </c>
      <c r="AN4" s="3"/>
      <c r="AO4" s="3"/>
    </row>
    <row r="5" spans="1:41" ht="15" customHeight="1" x14ac:dyDescent="0.25">
      <c r="A5" s="6">
        <v>1</v>
      </c>
      <c r="B5" s="35" t="s">
        <v>709</v>
      </c>
      <c r="C5" s="36" t="s">
        <v>710</v>
      </c>
      <c r="D5" s="10" t="s">
        <v>711</v>
      </c>
      <c r="E5" s="11" t="s">
        <v>112</v>
      </c>
      <c r="F5" s="11" t="s">
        <v>112</v>
      </c>
      <c r="G5" s="11" t="s">
        <v>112</v>
      </c>
      <c r="H5" s="11" t="s">
        <v>112</v>
      </c>
      <c r="I5" s="11" t="s">
        <v>112</v>
      </c>
      <c r="J5" s="59" t="s">
        <v>115</v>
      </c>
      <c r="K5" s="11" t="s">
        <v>112</v>
      </c>
      <c r="L5" s="11" t="s">
        <v>111</v>
      </c>
      <c r="M5" s="11" t="s">
        <v>112</v>
      </c>
      <c r="N5" s="11" t="s">
        <v>112</v>
      </c>
      <c r="O5" s="11" t="s">
        <v>112</v>
      </c>
      <c r="P5" s="67" t="s">
        <v>622</v>
      </c>
      <c r="Q5" s="59" t="s">
        <v>115</v>
      </c>
      <c r="R5" s="11" t="s">
        <v>112</v>
      </c>
      <c r="S5" s="11" t="s">
        <v>112</v>
      </c>
      <c r="T5" s="11" t="s">
        <v>112</v>
      </c>
      <c r="U5" s="11" t="s">
        <v>112</v>
      </c>
      <c r="V5" s="11" t="s">
        <v>112</v>
      </c>
      <c r="W5" s="11" t="s">
        <v>112</v>
      </c>
      <c r="X5" s="59" t="s">
        <v>115</v>
      </c>
      <c r="Y5" s="11" t="s">
        <v>111</v>
      </c>
      <c r="Z5" s="11" t="s">
        <v>112</v>
      </c>
      <c r="AA5" s="11" t="s">
        <v>112</v>
      </c>
      <c r="AB5" s="11" t="s">
        <v>112</v>
      </c>
      <c r="AC5" s="11" t="s">
        <v>112</v>
      </c>
      <c r="AD5" s="11" t="s">
        <v>112</v>
      </c>
      <c r="AE5" s="59" t="s">
        <v>115</v>
      </c>
      <c r="AF5" s="11" t="s">
        <v>112</v>
      </c>
      <c r="AG5" s="11" t="s">
        <v>111</v>
      </c>
      <c r="AH5" s="11" t="s">
        <v>112</v>
      </c>
      <c r="AI5" s="11" t="s">
        <v>112</v>
      </c>
      <c r="AJ5" s="5">
        <f>COUNTIF(E5:AI5,"P")</f>
        <v>23</v>
      </c>
      <c r="AK5" s="5">
        <f t="shared" ref="AK5:AK48" si="1">COUNTIF(E5:AH5,"A")</f>
        <v>3</v>
      </c>
      <c r="AL5" s="5" t="s">
        <v>7</v>
      </c>
      <c r="AM5" s="13">
        <v>26</v>
      </c>
      <c r="AN5" s="14"/>
      <c r="AO5" s="3"/>
    </row>
    <row r="6" spans="1:41" x14ac:dyDescent="0.25">
      <c r="A6" s="13">
        <v>2</v>
      </c>
      <c r="B6" s="35" t="s">
        <v>548</v>
      </c>
      <c r="C6" s="36" t="s">
        <v>448</v>
      </c>
      <c r="D6" s="10" t="s">
        <v>711</v>
      </c>
      <c r="E6" s="11" t="s">
        <v>112</v>
      </c>
      <c r="F6" s="11" t="s">
        <v>111</v>
      </c>
      <c r="G6" s="11" t="s">
        <v>111</v>
      </c>
      <c r="H6" s="11" t="s">
        <v>111</v>
      </c>
      <c r="I6" s="11" t="s">
        <v>111</v>
      </c>
      <c r="J6" s="60"/>
      <c r="K6" s="11" t="s">
        <v>111</v>
      </c>
      <c r="L6" s="11" t="s">
        <v>112</v>
      </c>
      <c r="M6" s="11" t="s">
        <v>112</v>
      </c>
      <c r="N6" s="11" t="s">
        <v>113</v>
      </c>
      <c r="O6" s="11" t="s">
        <v>112</v>
      </c>
      <c r="P6" s="68"/>
      <c r="Q6" s="60"/>
      <c r="R6" s="11" t="s">
        <v>112</v>
      </c>
      <c r="S6" s="11" t="s">
        <v>112</v>
      </c>
      <c r="T6" s="11" t="s">
        <v>112</v>
      </c>
      <c r="U6" s="11" t="s">
        <v>112</v>
      </c>
      <c r="V6" s="11" t="s">
        <v>112</v>
      </c>
      <c r="W6" s="11" t="s">
        <v>111</v>
      </c>
      <c r="X6" s="60"/>
      <c r="Y6" s="11" t="s">
        <v>112</v>
      </c>
      <c r="Z6" s="11" t="s">
        <v>112</v>
      </c>
      <c r="AA6" s="11" t="s">
        <v>111</v>
      </c>
      <c r="AB6" s="11" t="s">
        <v>112</v>
      </c>
      <c r="AC6" s="11" t="s">
        <v>112</v>
      </c>
      <c r="AD6" s="11" t="s">
        <v>112</v>
      </c>
      <c r="AE6" s="60"/>
      <c r="AF6" s="11" t="s">
        <v>112</v>
      </c>
      <c r="AG6" s="11" t="s">
        <v>112</v>
      </c>
      <c r="AH6" s="11" t="s">
        <v>112</v>
      </c>
      <c r="AI6" s="11" t="s">
        <v>112</v>
      </c>
      <c r="AJ6" s="5">
        <f t="shared" ref="AJ6:AJ48" si="2">COUNTIF(E6:AI6,"P")</f>
        <v>18</v>
      </c>
      <c r="AK6" s="5">
        <f t="shared" si="1"/>
        <v>7</v>
      </c>
      <c r="AL6" s="5" t="s">
        <v>8</v>
      </c>
      <c r="AM6" s="13">
        <v>4</v>
      </c>
      <c r="AN6" s="3"/>
      <c r="AO6" s="3"/>
    </row>
    <row r="7" spans="1:41" x14ac:dyDescent="0.25">
      <c r="A7" s="6">
        <v>3</v>
      </c>
      <c r="B7" s="35" t="s">
        <v>132</v>
      </c>
      <c r="C7" s="36" t="s">
        <v>452</v>
      </c>
      <c r="D7" s="10" t="s">
        <v>711</v>
      </c>
      <c r="E7" s="11" t="s">
        <v>112</v>
      </c>
      <c r="F7" s="11" t="s">
        <v>112</v>
      </c>
      <c r="G7" s="11" t="s">
        <v>112</v>
      </c>
      <c r="H7" s="11" t="s">
        <v>112</v>
      </c>
      <c r="I7" s="11" t="s">
        <v>112</v>
      </c>
      <c r="J7" s="60"/>
      <c r="K7" s="11" t="s">
        <v>112</v>
      </c>
      <c r="L7" s="11" t="s">
        <v>112</v>
      </c>
      <c r="M7" s="11" t="s">
        <v>112</v>
      </c>
      <c r="N7" s="11" t="s">
        <v>112</v>
      </c>
      <c r="O7" s="11" t="s">
        <v>112</v>
      </c>
      <c r="P7" s="68"/>
      <c r="Q7" s="60"/>
      <c r="R7" s="11" t="s">
        <v>112</v>
      </c>
      <c r="S7" s="11" t="s">
        <v>112</v>
      </c>
      <c r="T7" s="11" t="s">
        <v>112</v>
      </c>
      <c r="U7" s="11" t="s">
        <v>112</v>
      </c>
      <c r="V7" s="11" t="s">
        <v>112</v>
      </c>
      <c r="W7" s="11" t="s">
        <v>112</v>
      </c>
      <c r="X7" s="60"/>
      <c r="Y7" s="11" t="s">
        <v>112</v>
      </c>
      <c r="Z7" s="11" t="s">
        <v>112</v>
      </c>
      <c r="AA7" s="11" t="s">
        <v>112</v>
      </c>
      <c r="AB7" s="11" t="s">
        <v>112</v>
      </c>
      <c r="AC7" s="11" t="s">
        <v>112</v>
      </c>
      <c r="AD7" s="11" t="s">
        <v>112</v>
      </c>
      <c r="AE7" s="60"/>
      <c r="AF7" s="11" t="s">
        <v>112</v>
      </c>
      <c r="AG7" s="11" t="s">
        <v>112</v>
      </c>
      <c r="AH7" s="11" t="s">
        <v>112</v>
      </c>
      <c r="AI7" s="11" t="s">
        <v>112</v>
      </c>
      <c r="AJ7" s="5">
        <f t="shared" si="2"/>
        <v>26</v>
      </c>
      <c r="AK7" s="5">
        <f t="shared" si="1"/>
        <v>0</v>
      </c>
      <c r="AL7" s="5" t="s">
        <v>394</v>
      </c>
      <c r="AM7" s="13">
        <v>1</v>
      </c>
      <c r="AN7" s="3"/>
      <c r="AO7" s="3"/>
    </row>
    <row r="8" spans="1:41" x14ac:dyDescent="0.25">
      <c r="A8" s="13">
        <v>4</v>
      </c>
      <c r="B8" s="35" t="s">
        <v>712</v>
      </c>
      <c r="C8" s="36" t="s">
        <v>101</v>
      </c>
      <c r="D8" s="10" t="s">
        <v>711</v>
      </c>
      <c r="E8" s="11" t="s">
        <v>112</v>
      </c>
      <c r="F8" s="11" t="s">
        <v>112</v>
      </c>
      <c r="G8" s="11" t="s">
        <v>112</v>
      </c>
      <c r="H8" s="11" t="s">
        <v>112</v>
      </c>
      <c r="I8" s="11" t="s">
        <v>112</v>
      </c>
      <c r="J8" s="60"/>
      <c r="K8" s="11" t="s">
        <v>112</v>
      </c>
      <c r="L8" s="11" t="s">
        <v>112</v>
      </c>
      <c r="M8" s="11" t="s">
        <v>112</v>
      </c>
      <c r="N8" s="11" t="s">
        <v>112</v>
      </c>
      <c r="O8" s="11" t="s">
        <v>112</v>
      </c>
      <c r="P8" s="68"/>
      <c r="Q8" s="60"/>
      <c r="R8" s="11" t="s">
        <v>112</v>
      </c>
      <c r="S8" s="11" t="s">
        <v>112</v>
      </c>
      <c r="T8" s="11" t="s">
        <v>112</v>
      </c>
      <c r="U8" s="11" t="s">
        <v>112</v>
      </c>
      <c r="V8" s="11" t="s">
        <v>112</v>
      </c>
      <c r="W8" s="11" t="s">
        <v>112</v>
      </c>
      <c r="X8" s="60"/>
      <c r="Y8" s="11" t="s">
        <v>112</v>
      </c>
      <c r="Z8" s="11" t="s">
        <v>112</v>
      </c>
      <c r="AA8" s="11" t="s">
        <v>112</v>
      </c>
      <c r="AB8" s="11" t="s">
        <v>112</v>
      </c>
      <c r="AC8" s="11" t="s">
        <v>112</v>
      </c>
      <c r="AD8" s="11" t="s">
        <v>112</v>
      </c>
      <c r="AE8" s="60"/>
      <c r="AF8" s="11" t="s">
        <v>112</v>
      </c>
      <c r="AG8" s="11" t="s">
        <v>112</v>
      </c>
      <c r="AH8" s="11" t="s">
        <v>112</v>
      </c>
      <c r="AI8" s="11" t="s">
        <v>112</v>
      </c>
      <c r="AJ8" s="5">
        <f t="shared" si="2"/>
        <v>26</v>
      </c>
      <c r="AK8" s="5">
        <f t="shared" si="1"/>
        <v>0</v>
      </c>
      <c r="AL8"/>
      <c r="AM8"/>
      <c r="AN8"/>
      <c r="AO8"/>
    </row>
    <row r="9" spans="1:41" ht="15.75" x14ac:dyDescent="0.25">
      <c r="A9" s="6">
        <v>5</v>
      </c>
      <c r="B9" s="35" t="s">
        <v>596</v>
      </c>
      <c r="C9" s="36" t="s">
        <v>182</v>
      </c>
      <c r="D9" s="10" t="s">
        <v>711</v>
      </c>
      <c r="E9" s="11" t="s">
        <v>112</v>
      </c>
      <c r="F9" s="11" t="s">
        <v>112</v>
      </c>
      <c r="G9" s="11" t="s">
        <v>112</v>
      </c>
      <c r="H9" s="11" t="s">
        <v>112</v>
      </c>
      <c r="I9" s="11" t="s">
        <v>112</v>
      </c>
      <c r="J9" s="60"/>
      <c r="K9" s="11" t="s">
        <v>112</v>
      </c>
      <c r="L9" s="11" t="s">
        <v>112</v>
      </c>
      <c r="M9" s="11" t="s">
        <v>111</v>
      </c>
      <c r="N9" s="11" t="s">
        <v>112</v>
      </c>
      <c r="O9" s="11" t="s">
        <v>112</v>
      </c>
      <c r="P9" s="68"/>
      <c r="Q9" s="60"/>
      <c r="R9" s="11" t="s">
        <v>112</v>
      </c>
      <c r="S9" s="11" t="s">
        <v>112</v>
      </c>
      <c r="T9" s="11" t="s">
        <v>112</v>
      </c>
      <c r="U9" s="11" t="s">
        <v>112</v>
      </c>
      <c r="V9" s="11" t="s">
        <v>112</v>
      </c>
      <c r="W9" s="11" t="s">
        <v>112</v>
      </c>
      <c r="X9" s="60"/>
      <c r="Y9" s="11" t="s">
        <v>112</v>
      </c>
      <c r="Z9" s="11" t="s">
        <v>112</v>
      </c>
      <c r="AA9" s="11" t="s">
        <v>112</v>
      </c>
      <c r="AB9" s="11" t="s">
        <v>112</v>
      </c>
      <c r="AC9" s="11" t="s">
        <v>112</v>
      </c>
      <c r="AD9" s="11" t="s">
        <v>112</v>
      </c>
      <c r="AE9" s="60"/>
      <c r="AF9" s="11" t="s">
        <v>112</v>
      </c>
      <c r="AG9" s="11" t="s">
        <v>112</v>
      </c>
      <c r="AH9" s="11" t="s">
        <v>112</v>
      </c>
      <c r="AI9" s="11" t="s">
        <v>112</v>
      </c>
      <c r="AJ9" s="5">
        <f t="shared" si="2"/>
        <v>25</v>
      </c>
      <c r="AK9" s="5">
        <f t="shared" si="1"/>
        <v>1</v>
      </c>
      <c r="AL9" s="49" t="s">
        <v>9</v>
      </c>
      <c r="AM9" s="50"/>
      <c r="AN9" s="50"/>
      <c r="AO9" s="52"/>
    </row>
    <row r="10" spans="1:41" x14ac:dyDescent="0.25">
      <c r="A10" s="13">
        <v>6</v>
      </c>
      <c r="B10" s="35" t="s">
        <v>713</v>
      </c>
      <c r="C10" s="36" t="s">
        <v>710</v>
      </c>
      <c r="D10" s="10" t="s">
        <v>711</v>
      </c>
      <c r="E10" s="11" t="s">
        <v>112</v>
      </c>
      <c r="F10" s="11" t="s">
        <v>112</v>
      </c>
      <c r="G10" s="11" t="s">
        <v>112</v>
      </c>
      <c r="H10" s="11" t="s">
        <v>112</v>
      </c>
      <c r="I10" s="11" t="s">
        <v>112</v>
      </c>
      <c r="J10" s="60"/>
      <c r="K10" s="11" t="s">
        <v>112</v>
      </c>
      <c r="L10" s="11" t="s">
        <v>111</v>
      </c>
      <c r="M10" s="11" t="s">
        <v>112</v>
      </c>
      <c r="N10" s="11" t="s">
        <v>112</v>
      </c>
      <c r="O10" s="11" t="s">
        <v>112</v>
      </c>
      <c r="P10" s="68"/>
      <c r="Q10" s="60"/>
      <c r="R10" s="11" t="s">
        <v>112</v>
      </c>
      <c r="S10" s="11" t="s">
        <v>111</v>
      </c>
      <c r="T10" s="11" t="s">
        <v>112</v>
      </c>
      <c r="U10" s="11" t="s">
        <v>112</v>
      </c>
      <c r="V10" s="11" t="s">
        <v>112</v>
      </c>
      <c r="W10" s="11" t="s">
        <v>112</v>
      </c>
      <c r="X10" s="60"/>
      <c r="Y10" s="11" t="s">
        <v>111</v>
      </c>
      <c r="Z10" s="11" t="s">
        <v>112</v>
      </c>
      <c r="AA10" s="11" t="s">
        <v>112</v>
      </c>
      <c r="AB10" s="11" t="s">
        <v>112</v>
      </c>
      <c r="AC10" s="11" t="s">
        <v>112</v>
      </c>
      <c r="AD10" s="11" t="s">
        <v>111</v>
      </c>
      <c r="AE10" s="60"/>
      <c r="AF10" s="11" t="s">
        <v>112</v>
      </c>
      <c r="AG10" s="11" t="s">
        <v>111</v>
      </c>
      <c r="AH10" s="11" t="s">
        <v>112</v>
      </c>
      <c r="AI10" s="11" t="s">
        <v>112</v>
      </c>
      <c r="AJ10" s="5">
        <f t="shared" si="2"/>
        <v>21</v>
      </c>
      <c r="AK10" s="5">
        <f t="shared" si="1"/>
        <v>5</v>
      </c>
      <c r="AL10" s="5" t="s">
        <v>10</v>
      </c>
      <c r="AM10" s="5" t="s">
        <v>11</v>
      </c>
      <c r="AN10" s="5" t="s">
        <v>12</v>
      </c>
      <c r="AO10" s="5" t="s">
        <v>13</v>
      </c>
    </row>
    <row r="11" spans="1:41" x14ac:dyDescent="0.25">
      <c r="A11" s="6">
        <v>7</v>
      </c>
      <c r="B11" s="35" t="s">
        <v>714</v>
      </c>
      <c r="C11" s="36" t="s">
        <v>581</v>
      </c>
      <c r="D11" s="10" t="s">
        <v>711</v>
      </c>
      <c r="E11" s="11" t="s">
        <v>112</v>
      </c>
      <c r="F11" s="11" t="s">
        <v>112</v>
      </c>
      <c r="G11" s="11" t="s">
        <v>112</v>
      </c>
      <c r="H11" s="11" t="s">
        <v>112</v>
      </c>
      <c r="I11" s="11" t="s">
        <v>112</v>
      </c>
      <c r="J11" s="60"/>
      <c r="K11" s="11" t="s">
        <v>112</v>
      </c>
      <c r="L11" s="11" t="s">
        <v>112</v>
      </c>
      <c r="M11" s="11" t="s">
        <v>112</v>
      </c>
      <c r="N11" s="11" t="s">
        <v>112</v>
      </c>
      <c r="O11" s="11" t="s">
        <v>112</v>
      </c>
      <c r="P11" s="68"/>
      <c r="Q11" s="60"/>
      <c r="R11" s="11" t="s">
        <v>113</v>
      </c>
      <c r="S11" s="11" t="s">
        <v>112</v>
      </c>
      <c r="T11" s="11" t="s">
        <v>112</v>
      </c>
      <c r="U11" s="11" t="s">
        <v>112</v>
      </c>
      <c r="V11" s="11" t="s">
        <v>112</v>
      </c>
      <c r="W11" s="11" t="s">
        <v>112</v>
      </c>
      <c r="X11" s="60"/>
      <c r="Y11" s="11" t="s">
        <v>112</v>
      </c>
      <c r="Z11" s="11" t="s">
        <v>112</v>
      </c>
      <c r="AA11" s="11" t="s">
        <v>112</v>
      </c>
      <c r="AB11" s="11" t="s">
        <v>112</v>
      </c>
      <c r="AC11" s="11" t="s">
        <v>112</v>
      </c>
      <c r="AD11" s="11" t="s">
        <v>112</v>
      </c>
      <c r="AE11" s="60"/>
      <c r="AF11" s="11" t="s">
        <v>112</v>
      </c>
      <c r="AG11" s="11" t="s">
        <v>112</v>
      </c>
      <c r="AH11" s="11" t="s">
        <v>112</v>
      </c>
      <c r="AI11" s="11" t="s">
        <v>112</v>
      </c>
      <c r="AJ11" s="5">
        <f t="shared" si="2"/>
        <v>25</v>
      </c>
      <c r="AK11" s="5">
        <f t="shared" si="1"/>
        <v>0</v>
      </c>
      <c r="AL11" s="5" t="s">
        <v>14</v>
      </c>
      <c r="AM11" s="13">
        <f>19*$AM$5</f>
        <v>494</v>
      </c>
      <c r="AN11" s="13">
        <f>25*$AM$5</f>
        <v>650</v>
      </c>
      <c r="AO11" s="13">
        <f>SUM(AM11:AN11)</f>
        <v>1144</v>
      </c>
    </row>
    <row r="12" spans="1:41" x14ac:dyDescent="0.25">
      <c r="A12" s="13">
        <v>8</v>
      </c>
      <c r="B12" s="35" t="s">
        <v>247</v>
      </c>
      <c r="C12" s="36" t="s">
        <v>715</v>
      </c>
      <c r="D12" s="10" t="s">
        <v>711</v>
      </c>
      <c r="E12" s="11" t="s">
        <v>112</v>
      </c>
      <c r="F12" s="11" t="s">
        <v>112</v>
      </c>
      <c r="G12" s="11" t="s">
        <v>112</v>
      </c>
      <c r="H12" s="11" t="s">
        <v>112</v>
      </c>
      <c r="I12" s="11" t="s">
        <v>112</v>
      </c>
      <c r="J12" s="60"/>
      <c r="K12" s="11" t="s">
        <v>112</v>
      </c>
      <c r="L12" s="11" t="s">
        <v>112</v>
      </c>
      <c r="M12" s="11" t="s">
        <v>112</v>
      </c>
      <c r="N12" s="11" t="s">
        <v>112</v>
      </c>
      <c r="O12" s="11" t="s">
        <v>112</v>
      </c>
      <c r="P12" s="68"/>
      <c r="Q12" s="60"/>
      <c r="R12" s="11" t="s">
        <v>112</v>
      </c>
      <c r="S12" s="11" t="s">
        <v>112</v>
      </c>
      <c r="T12" s="11" t="s">
        <v>112</v>
      </c>
      <c r="U12" s="11" t="s">
        <v>112</v>
      </c>
      <c r="V12" s="11" t="s">
        <v>112</v>
      </c>
      <c r="W12" s="11" t="s">
        <v>112</v>
      </c>
      <c r="X12" s="60"/>
      <c r="Y12" s="11" t="s">
        <v>112</v>
      </c>
      <c r="Z12" s="11" t="s">
        <v>112</v>
      </c>
      <c r="AA12" s="11" t="s">
        <v>112</v>
      </c>
      <c r="AB12" s="11" t="s">
        <v>112</v>
      </c>
      <c r="AC12" s="11" t="s">
        <v>112</v>
      </c>
      <c r="AD12" s="11" t="s">
        <v>112</v>
      </c>
      <c r="AE12" s="60"/>
      <c r="AF12" s="11" t="s">
        <v>112</v>
      </c>
      <c r="AG12" s="11" t="s">
        <v>112</v>
      </c>
      <c r="AH12" s="11" t="s">
        <v>112</v>
      </c>
      <c r="AI12" s="11" t="s">
        <v>112</v>
      </c>
      <c r="AJ12" s="5">
        <f t="shared" si="2"/>
        <v>26</v>
      </c>
      <c r="AK12" s="5">
        <f t="shared" si="1"/>
        <v>0</v>
      </c>
      <c r="AL12" s="5" t="s">
        <v>15</v>
      </c>
      <c r="AM12" s="13">
        <f>SUM(AJ30:AJ48)</f>
        <v>405</v>
      </c>
      <c r="AN12" s="13">
        <f>SUM(AJ5:AJ29)</f>
        <v>575</v>
      </c>
      <c r="AO12" s="13">
        <f>AM12+AN12</f>
        <v>980</v>
      </c>
    </row>
    <row r="13" spans="1:41" x14ac:dyDescent="0.25">
      <c r="A13" s="6">
        <v>9</v>
      </c>
      <c r="B13" s="35" t="s">
        <v>716</v>
      </c>
      <c r="C13" s="36" t="s">
        <v>313</v>
      </c>
      <c r="D13" s="10" t="s">
        <v>711</v>
      </c>
      <c r="E13" s="11" t="s">
        <v>112</v>
      </c>
      <c r="F13" s="11" t="s">
        <v>112</v>
      </c>
      <c r="G13" s="11" t="s">
        <v>112</v>
      </c>
      <c r="H13" s="11" t="s">
        <v>112</v>
      </c>
      <c r="I13" s="11" t="s">
        <v>112</v>
      </c>
      <c r="J13" s="60"/>
      <c r="K13" s="11" t="s">
        <v>112</v>
      </c>
      <c r="L13" s="11" t="s">
        <v>112</v>
      </c>
      <c r="M13" s="11" t="s">
        <v>112</v>
      </c>
      <c r="N13" s="11" t="s">
        <v>112</v>
      </c>
      <c r="O13" s="11" t="s">
        <v>112</v>
      </c>
      <c r="P13" s="68"/>
      <c r="Q13" s="60"/>
      <c r="R13" s="11" t="s">
        <v>112</v>
      </c>
      <c r="S13" s="11" t="s">
        <v>112</v>
      </c>
      <c r="T13" s="11" t="s">
        <v>112</v>
      </c>
      <c r="U13" s="11" t="s">
        <v>112</v>
      </c>
      <c r="V13" s="11" t="s">
        <v>112</v>
      </c>
      <c r="W13" s="11" t="s">
        <v>112</v>
      </c>
      <c r="X13" s="60"/>
      <c r="Y13" s="11" t="s">
        <v>112</v>
      </c>
      <c r="Z13" s="11" t="s">
        <v>112</v>
      </c>
      <c r="AA13" s="11" t="s">
        <v>112</v>
      </c>
      <c r="AB13" s="11" t="s">
        <v>112</v>
      </c>
      <c r="AC13" s="11" t="s">
        <v>112</v>
      </c>
      <c r="AD13" s="11" t="s">
        <v>112</v>
      </c>
      <c r="AE13" s="60"/>
      <c r="AF13" s="11" t="s">
        <v>112</v>
      </c>
      <c r="AG13" s="11" t="s">
        <v>112</v>
      </c>
      <c r="AH13" s="11" t="s">
        <v>112</v>
      </c>
      <c r="AI13" s="11" t="s">
        <v>112</v>
      </c>
      <c r="AJ13" s="5">
        <f t="shared" si="2"/>
        <v>26</v>
      </c>
      <c r="AK13" s="5">
        <f t="shared" si="1"/>
        <v>0</v>
      </c>
      <c r="AL13" s="5" t="s">
        <v>16</v>
      </c>
      <c r="AM13" s="18">
        <f>AM12/AM11</f>
        <v>0.81983805668016196</v>
      </c>
      <c r="AN13" s="18">
        <f>AN12/AN11</f>
        <v>0.88461538461538458</v>
      </c>
      <c r="AO13" s="18">
        <f>AO12/AO11</f>
        <v>0.85664335664335667</v>
      </c>
    </row>
    <row r="14" spans="1:41" x14ac:dyDescent="0.25">
      <c r="A14" s="13">
        <v>10</v>
      </c>
      <c r="B14" s="35" t="s">
        <v>717</v>
      </c>
      <c r="C14" s="36" t="s">
        <v>97</v>
      </c>
      <c r="D14" s="10" t="s">
        <v>711</v>
      </c>
      <c r="E14" s="11" t="s">
        <v>112</v>
      </c>
      <c r="F14" s="11" t="s">
        <v>112</v>
      </c>
      <c r="G14" s="11" t="s">
        <v>112</v>
      </c>
      <c r="H14" s="11" t="s">
        <v>112</v>
      </c>
      <c r="I14" s="11" t="s">
        <v>112</v>
      </c>
      <c r="J14" s="60"/>
      <c r="K14" s="11" t="s">
        <v>112</v>
      </c>
      <c r="L14" s="11" t="s">
        <v>112</v>
      </c>
      <c r="M14" s="11" t="s">
        <v>112</v>
      </c>
      <c r="N14" s="11" t="s">
        <v>112</v>
      </c>
      <c r="O14" s="11" t="s">
        <v>111</v>
      </c>
      <c r="P14" s="68"/>
      <c r="Q14" s="60"/>
      <c r="R14" s="11" t="s">
        <v>111</v>
      </c>
      <c r="S14" s="11" t="s">
        <v>112</v>
      </c>
      <c r="T14" s="11" t="s">
        <v>112</v>
      </c>
      <c r="U14" s="11" t="s">
        <v>112</v>
      </c>
      <c r="V14" s="11" t="s">
        <v>112</v>
      </c>
      <c r="W14" s="11" t="s">
        <v>112</v>
      </c>
      <c r="X14" s="60"/>
      <c r="Y14" s="11" t="s">
        <v>112</v>
      </c>
      <c r="Z14" s="11" t="s">
        <v>112</v>
      </c>
      <c r="AA14" s="11" t="s">
        <v>112</v>
      </c>
      <c r="AB14" s="11" t="s">
        <v>112</v>
      </c>
      <c r="AC14" s="11" t="s">
        <v>112</v>
      </c>
      <c r="AD14" s="11" t="s">
        <v>112</v>
      </c>
      <c r="AE14" s="60"/>
      <c r="AF14" s="11" t="s">
        <v>112</v>
      </c>
      <c r="AG14" s="11" t="s">
        <v>112</v>
      </c>
      <c r="AH14" s="11" t="s">
        <v>112</v>
      </c>
      <c r="AI14" s="11" t="s">
        <v>112</v>
      </c>
      <c r="AJ14" s="5">
        <f t="shared" si="2"/>
        <v>24</v>
      </c>
      <c r="AK14" s="5">
        <f t="shared" si="1"/>
        <v>2</v>
      </c>
      <c r="AL14"/>
      <c r="AM14"/>
      <c r="AN14"/>
      <c r="AO14"/>
    </row>
    <row r="15" spans="1:41" x14ac:dyDescent="0.25">
      <c r="A15" s="6">
        <v>11</v>
      </c>
      <c r="B15" s="35" t="s">
        <v>718</v>
      </c>
      <c r="C15" s="36" t="s">
        <v>343</v>
      </c>
      <c r="D15" s="10" t="s">
        <v>711</v>
      </c>
      <c r="E15" s="11" t="s">
        <v>112</v>
      </c>
      <c r="F15" s="11" t="s">
        <v>112</v>
      </c>
      <c r="G15" s="11" t="s">
        <v>112</v>
      </c>
      <c r="H15" s="11" t="s">
        <v>112</v>
      </c>
      <c r="I15" s="11" t="s">
        <v>112</v>
      </c>
      <c r="J15" s="60"/>
      <c r="K15" s="11" t="s">
        <v>112</v>
      </c>
      <c r="L15" s="11" t="s">
        <v>112</v>
      </c>
      <c r="M15" s="11" t="s">
        <v>112</v>
      </c>
      <c r="N15" s="11" t="s">
        <v>112</v>
      </c>
      <c r="O15" s="11" t="s">
        <v>112</v>
      </c>
      <c r="P15" s="68"/>
      <c r="Q15" s="60"/>
      <c r="R15" s="11" t="s">
        <v>112</v>
      </c>
      <c r="S15" s="11" t="s">
        <v>112</v>
      </c>
      <c r="T15" s="11" t="s">
        <v>112</v>
      </c>
      <c r="U15" s="11" t="s">
        <v>112</v>
      </c>
      <c r="V15" s="11" t="s">
        <v>112</v>
      </c>
      <c r="W15" s="11" t="s">
        <v>112</v>
      </c>
      <c r="X15" s="60"/>
      <c r="Y15" s="11" t="s">
        <v>112</v>
      </c>
      <c r="Z15" s="11" t="s">
        <v>112</v>
      </c>
      <c r="AA15" s="11" t="s">
        <v>112</v>
      </c>
      <c r="AB15" s="11" t="s">
        <v>112</v>
      </c>
      <c r="AC15" s="11" t="s">
        <v>112</v>
      </c>
      <c r="AD15" s="11" t="s">
        <v>112</v>
      </c>
      <c r="AE15" s="60"/>
      <c r="AF15" s="11" t="s">
        <v>112</v>
      </c>
      <c r="AG15" s="11" t="s">
        <v>112</v>
      </c>
      <c r="AH15" s="11" t="s">
        <v>112</v>
      </c>
      <c r="AI15" s="11" t="s">
        <v>112</v>
      </c>
      <c r="AJ15" s="5">
        <f t="shared" si="2"/>
        <v>26</v>
      </c>
      <c r="AK15" s="5">
        <f t="shared" si="1"/>
        <v>0</v>
      </c>
      <c r="AL15"/>
      <c r="AM15"/>
      <c r="AN15"/>
      <c r="AO15"/>
    </row>
    <row r="16" spans="1:41" x14ac:dyDescent="0.25">
      <c r="A16" s="13">
        <v>12</v>
      </c>
      <c r="B16" s="35" t="s">
        <v>662</v>
      </c>
      <c r="C16" s="36" t="s">
        <v>719</v>
      </c>
      <c r="D16" s="10" t="s">
        <v>711</v>
      </c>
      <c r="E16" s="11" t="s">
        <v>112</v>
      </c>
      <c r="F16" s="11" t="s">
        <v>112</v>
      </c>
      <c r="G16" s="11" t="s">
        <v>112</v>
      </c>
      <c r="H16" s="11" t="s">
        <v>112</v>
      </c>
      <c r="I16" s="11" t="s">
        <v>112</v>
      </c>
      <c r="J16" s="60"/>
      <c r="K16" s="11" t="s">
        <v>111</v>
      </c>
      <c r="L16" s="11" t="s">
        <v>111</v>
      </c>
      <c r="M16" s="11" t="s">
        <v>112</v>
      </c>
      <c r="N16" s="11" t="s">
        <v>112</v>
      </c>
      <c r="O16" s="11" t="s">
        <v>112</v>
      </c>
      <c r="P16" s="68"/>
      <c r="Q16" s="60"/>
      <c r="R16" s="11" t="s">
        <v>112</v>
      </c>
      <c r="S16" s="11" t="s">
        <v>112</v>
      </c>
      <c r="T16" s="11" t="s">
        <v>112</v>
      </c>
      <c r="U16" s="11" t="s">
        <v>112</v>
      </c>
      <c r="V16" s="11" t="s">
        <v>112</v>
      </c>
      <c r="W16" s="11" t="s">
        <v>112</v>
      </c>
      <c r="X16" s="60"/>
      <c r="Y16" s="11" t="s">
        <v>112</v>
      </c>
      <c r="Z16" s="11" t="s">
        <v>112</v>
      </c>
      <c r="AA16" s="11" t="s">
        <v>112</v>
      </c>
      <c r="AB16" s="11" t="s">
        <v>111</v>
      </c>
      <c r="AC16" s="11" t="s">
        <v>112</v>
      </c>
      <c r="AD16" s="11" t="s">
        <v>112</v>
      </c>
      <c r="AE16" s="60"/>
      <c r="AF16" s="11" t="s">
        <v>112</v>
      </c>
      <c r="AG16" s="11" t="s">
        <v>112</v>
      </c>
      <c r="AH16" s="11" t="s">
        <v>112</v>
      </c>
      <c r="AI16" s="11" t="s">
        <v>112</v>
      </c>
      <c r="AJ16" s="5">
        <f t="shared" si="2"/>
        <v>23</v>
      </c>
      <c r="AK16" s="5">
        <f t="shared" si="1"/>
        <v>3</v>
      </c>
      <c r="AL16"/>
      <c r="AM16"/>
      <c r="AN16"/>
      <c r="AO16"/>
    </row>
    <row r="17" spans="1:41" ht="15.75" x14ac:dyDescent="0.25">
      <c r="A17" s="6">
        <v>13</v>
      </c>
      <c r="B17" s="35" t="s">
        <v>720</v>
      </c>
      <c r="C17" s="36" t="s">
        <v>721</v>
      </c>
      <c r="D17" s="10" t="s">
        <v>711</v>
      </c>
      <c r="E17" s="11" t="s">
        <v>112</v>
      </c>
      <c r="F17" s="11" t="s">
        <v>112</v>
      </c>
      <c r="G17" s="11" t="s">
        <v>112</v>
      </c>
      <c r="H17" s="11" t="s">
        <v>112</v>
      </c>
      <c r="I17" s="11" t="s">
        <v>112</v>
      </c>
      <c r="J17" s="60"/>
      <c r="K17" s="11" t="s">
        <v>112</v>
      </c>
      <c r="L17" s="11" t="s">
        <v>112</v>
      </c>
      <c r="M17" s="11" t="s">
        <v>112</v>
      </c>
      <c r="N17" s="11" t="s">
        <v>112</v>
      </c>
      <c r="O17" s="11" t="s">
        <v>112</v>
      </c>
      <c r="P17" s="68"/>
      <c r="Q17" s="60"/>
      <c r="R17" s="11" t="s">
        <v>112</v>
      </c>
      <c r="S17" s="11" t="s">
        <v>112</v>
      </c>
      <c r="T17" s="11" t="s">
        <v>112</v>
      </c>
      <c r="U17" s="11" t="s">
        <v>112</v>
      </c>
      <c r="V17" s="11" t="s">
        <v>112</v>
      </c>
      <c r="W17" s="11" t="s">
        <v>112</v>
      </c>
      <c r="X17" s="60"/>
      <c r="Y17" s="11" t="s">
        <v>112</v>
      </c>
      <c r="Z17" s="11" t="s">
        <v>112</v>
      </c>
      <c r="AA17" s="11" t="s">
        <v>112</v>
      </c>
      <c r="AB17" s="11" t="s">
        <v>112</v>
      </c>
      <c r="AC17" s="11" t="s">
        <v>112</v>
      </c>
      <c r="AD17" s="11" t="s">
        <v>112</v>
      </c>
      <c r="AE17" s="60"/>
      <c r="AF17" s="11" t="s">
        <v>112</v>
      </c>
      <c r="AG17" s="11" t="s">
        <v>112</v>
      </c>
      <c r="AH17" s="11" t="s">
        <v>112</v>
      </c>
      <c r="AI17" s="11" t="s">
        <v>112</v>
      </c>
      <c r="AJ17" s="5">
        <f t="shared" si="2"/>
        <v>26</v>
      </c>
      <c r="AK17" s="5">
        <f t="shared" si="1"/>
        <v>0</v>
      </c>
      <c r="AL17" s="49" t="s">
        <v>128</v>
      </c>
      <c r="AM17" s="50"/>
      <c r="AN17" s="50"/>
      <c r="AO17" s="52"/>
    </row>
    <row r="18" spans="1:41" x14ac:dyDescent="0.25">
      <c r="A18" s="13">
        <v>14</v>
      </c>
      <c r="B18" s="35" t="s">
        <v>722</v>
      </c>
      <c r="C18" s="36" t="s">
        <v>721</v>
      </c>
      <c r="D18" s="10" t="s">
        <v>711</v>
      </c>
      <c r="E18" s="11" t="s">
        <v>112</v>
      </c>
      <c r="F18" s="11" t="s">
        <v>112</v>
      </c>
      <c r="G18" s="11" t="s">
        <v>112</v>
      </c>
      <c r="H18" s="11" t="s">
        <v>112</v>
      </c>
      <c r="I18" s="11" t="s">
        <v>112</v>
      </c>
      <c r="J18" s="60"/>
      <c r="K18" s="11" t="s">
        <v>112</v>
      </c>
      <c r="L18" s="11" t="s">
        <v>112</v>
      </c>
      <c r="M18" s="11" t="s">
        <v>112</v>
      </c>
      <c r="N18" s="11" t="s">
        <v>112</v>
      </c>
      <c r="O18" s="11" t="s">
        <v>112</v>
      </c>
      <c r="P18" s="68"/>
      <c r="Q18" s="60"/>
      <c r="R18" s="11" t="s">
        <v>112</v>
      </c>
      <c r="S18" s="11" t="s">
        <v>112</v>
      </c>
      <c r="T18" s="11" t="s">
        <v>112</v>
      </c>
      <c r="U18" s="11" t="s">
        <v>112</v>
      </c>
      <c r="V18" s="11" t="s">
        <v>112</v>
      </c>
      <c r="W18" s="11" t="s">
        <v>112</v>
      </c>
      <c r="X18" s="60"/>
      <c r="Y18" s="11" t="s">
        <v>112</v>
      </c>
      <c r="Z18" s="11" t="s">
        <v>112</v>
      </c>
      <c r="AA18" s="11" t="s">
        <v>112</v>
      </c>
      <c r="AB18" s="11" t="s">
        <v>112</v>
      </c>
      <c r="AC18" s="11" t="s">
        <v>112</v>
      </c>
      <c r="AD18" s="11" t="s">
        <v>112</v>
      </c>
      <c r="AE18" s="60"/>
      <c r="AF18" s="11" t="s">
        <v>112</v>
      </c>
      <c r="AG18" s="11" t="s">
        <v>112</v>
      </c>
      <c r="AH18" s="11" t="s">
        <v>112</v>
      </c>
      <c r="AI18" s="11" t="s">
        <v>112</v>
      </c>
      <c r="AJ18" s="5">
        <f t="shared" si="2"/>
        <v>26</v>
      </c>
      <c r="AK18" s="5">
        <f t="shared" si="1"/>
        <v>0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x14ac:dyDescent="0.25">
      <c r="A19" s="6">
        <v>15</v>
      </c>
      <c r="B19" s="35" t="s">
        <v>723</v>
      </c>
      <c r="C19" s="36" t="s">
        <v>724</v>
      </c>
      <c r="D19" s="10" t="s">
        <v>711</v>
      </c>
      <c r="E19" s="11" t="s">
        <v>112</v>
      </c>
      <c r="F19" s="11" t="s">
        <v>112</v>
      </c>
      <c r="G19" s="11" t="s">
        <v>111</v>
      </c>
      <c r="H19" s="11" t="s">
        <v>112</v>
      </c>
      <c r="I19" s="11" t="s">
        <v>111</v>
      </c>
      <c r="J19" s="60"/>
      <c r="K19" s="11" t="s">
        <v>112</v>
      </c>
      <c r="L19" s="11" t="s">
        <v>112</v>
      </c>
      <c r="M19" s="11" t="s">
        <v>112</v>
      </c>
      <c r="N19" s="11" t="s">
        <v>111</v>
      </c>
      <c r="O19" s="11" t="s">
        <v>112</v>
      </c>
      <c r="P19" s="68"/>
      <c r="Q19" s="60"/>
      <c r="R19" s="11" t="s">
        <v>112</v>
      </c>
      <c r="S19" s="11" t="s">
        <v>111</v>
      </c>
      <c r="T19" s="11" t="s">
        <v>112</v>
      </c>
      <c r="U19" s="11" t="s">
        <v>112</v>
      </c>
      <c r="V19" s="11" t="s">
        <v>112</v>
      </c>
      <c r="W19" s="11" t="s">
        <v>111</v>
      </c>
      <c r="X19" s="60"/>
      <c r="Y19" s="11" t="s">
        <v>112</v>
      </c>
      <c r="Z19" s="11" t="s">
        <v>112</v>
      </c>
      <c r="AA19" s="11" t="s">
        <v>112</v>
      </c>
      <c r="AB19" s="11" t="s">
        <v>112</v>
      </c>
      <c r="AC19" s="11" t="s">
        <v>112</v>
      </c>
      <c r="AD19" s="11" t="s">
        <v>112</v>
      </c>
      <c r="AE19" s="60"/>
      <c r="AF19" s="11" t="s">
        <v>112</v>
      </c>
      <c r="AG19" s="11" t="s">
        <v>112</v>
      </c>
      <c r="AH19" s="11" t="s">
        <v>112</v>
      </c>
      <c r="AI19" s="11" t="s">
        <v>112</v>
      </c>
      <c r="AJ19" s="5">
        <f t="shared" si="2"/>
        <v>21</v>
      </c>
      <c r="AK19" s="5">
        <f t="shared" si="1"/>
        <v>5</v>
      </c>
      <c r="AL19" s="5" t="s">
        <v>14</v>
      </c>
      <c r="AM19" s="13">
        <f>19*$AM$5</f>
        <v>494</v>
      </c>
      <c r="AN19" s="13">
        <f>25*$AM$5</f>
        <v>650</v>
      </c>
      <c r="AO19" s="13">
        <f>AM19+AN19</f>
        <v>1144</v>
      </c>
    </row>
    <row r="20" spans="1:41" x14ac:dyDescent="0.25">
      <c r="A20" s="13">
        <v>16</v>
      </c>
      <c r="B20" s="35" t="s">
        <v>725</v>
      </c>
      <c r="C20" s="36" t="s">
        <v>362</v>
      </c>
      <c r="D20" s="10" t="s">
        <v>711</v>
      </c>
      <c r="E20" s="11" t="s">
        <v>112</v>
      </c>
      <c r="F20" s="11" t="s">
        <v>112</v>
      </c>
      <c r="G20" s="11" t="s">
        <v>112</v>
      </c>
      <c r="H20" s="11" t="s">
        <v>112</v>
      </c>
      <c r="I20" s="11" t="s">
        <v>112</v>
      </c>
      <c r="J20" s="60"/>
      <c r="K20" s="11" t="s">
        <v>112</v>
      </c>
      <c r="L20" s="11" t="s">
        <v>112</v>
      </c>
      <c r="M20" s="11" t="s">
        <v>112</v>
      </c>
      <c r="N20" s="11" t="s">
        <v>111</v>
      </c>
      <c r="O20" s="11" t="s">
        <v>112</v>
      </c>
      <c r="P20" s="68"/>
      <c r="Q20" s="60"/>
      <c r="R20" s="11" t="s">
        <v>112</v>
      </c>
      <c r="S20" s="11" t="s">
        <v>111</v>
      </c>
      <c r="T20" s="11" t="s">
        <v>111</v>
      </c>
      <c r="U20" s="11" t="s">
        <v>111</v>
      </c>
      <c r="V20" s="11" t="s">
        <v>111</v>
      </c>
      <c r="W20" s="11" t="s">
        <v>111</v>
      </c>
      <c r="X20" s="60"/>
      <c r="Y20" s="11" t="s">
        <v>112</v>
      </c>
      <c r="Z20" s="11" t="s">
        <v>111</v>
      </c>
      <c r="AA20" s="11" t="s">
        <v>111</v>
      </c>
      <c r="AB20" s="11" t="s">
        <v>111</v>
      </c>
      <c r="AC20" s="11" t="s">
        <v>111</v>
      </c>
      <c r="AD20" s="11" t="s">
        <v>111</v>
      </c>
      <c r="AE20" s="60"/>
      <c r="AF20" s="11" t="s">
        <v>111</v>
      </c>
      <c r="AG20" s="11" t="s">
        <v>111</v>
      </c>
      <c r="AH20" s="11" t="s">
        <v>111</v>
      </c>
      <c r="AI20" s="11" t="s">
        <v>111</v>
      </c>
      <c r="AJ20" s="5">
        <f t="shared" si="2"/>
        <v>11</v>
      </c>
      <c r="AK20" s="5">
        <f t="shared" si="1"/>
        <v>14</v>
      </c>
      <c r="AL20" s="5" t="s">
        <v>17</v>
      </c>
      <c r="AM20" s="13">
        <f>AM19-AM12</f>
        <v>89</v>
      </c>
      <c r="AN20" s="13">
        <f>AN19-AN12</f>
        <v>75</v>
      </c>
      <c r="AO20" s="13">
        <f>AM20+AN20</f>
        <v>164</v>
      </c>
    </row>
    <row r="21" spans="1:41" x14ac:dyDescent="0.25">
      <c r="A21" s="6">
        <v>17</v>
      </c>
      <c r="B21" s="35" t="s">
        <v>596</v>
      </c>
      <c r="C21" s="36" t="s">
        <v>726</v>
      </c>
      <c r="D21" s="10" t="s">
        <v>711</v>
      </c>
      <c r="E21" s="11" t="s">
        <v>112</v>
      </c>
      <c r="F21" s="11" t="s">
        <v>112</v>
      </c>
      <c r="G21" s="11" t="s">
        <v>112</v>
      </c>
      <c r="H21" s="11" t="s">
        <v>112</v>
      </c>
      <c r="I21" s="11" t="s">
        <v>112</v>
      </c>
      <c r="J21" s="60"/>
      <c r="K21" s="11" t="s">
        <v>112</v>
      </c>
      <c r="L21" s="11" t="s">
        <v>112</v>
      </c>
      <c r="M21" s="11" t="s">
        <v>112</v>
      </c>
      <c r="N21" s="11" t="s">
        <v>112</v>
      </c>
      <c r="O21" s="11" t="s">
        <v>112</v>
      </c>
      <c r="P21" s="68"/>
      <c r="Q21" s="60"/>
      <c r="R21" s="11" t="s">
        <v>112</v>
      </c>
      <c r="S21" s="11" t="s">
        <v>112</v>
      </c>
      <c r="T21" s="11" t="s">
        <v>112</v>
      </c>
      <c r="U21" s="11" t="s">
        <v>112</v>
      </c>
      <c r="V21" s="11" t="s">
        <v>112</v>
      </c>
      <c r="W21" s="11" t="s">
        <v>112</v>
      </c>
      <c r="X21" s="60"/>
      <c r="Y21" s="11" t="s">
        <v>112</v>
      </c>
      <c r="Z21" s="11" t="s">
        <v>112</v>
      </c>
      <c r="AA21" s="11" t="s">
        <v>112</v>
      </c>
      <c r="AB21" s="11" t="s">
        <v>112</v>
      </c>
      <c r="AC21" s="11" t="s">
        <v>112</v>
      </c>
      <c r="AD21" s="11" t="s">
        <v>112</v>
      </c>
      <c r="AE21" s="60"/>
      <c r="AF21" s="11" t="s">
        <v>112</v>
      </c>
      <c r="AG21" s="11" t="s">
        <v>112</v>
      </c>
      <c r="AH21" s="11" t="s">
        <v>112</v>
      </c>
      <c r="AI21" s="11" t="s">
        <v>112</v>
      </c>
      <c r="AJ21" s="5">
        <f t="shared" si="2"/>
        <v>26</v>
      </c>
      <c r="AK21" s="5">
        <f t="shared" si="1"/>
        <v>0</v>
      </c>
      <c r="AL21" s="5" t="s">
        <v>16</v>
      </c>
      <c r="AM21" s="18">
        <f>AM20/AM19</f>
        <v>0.18016194331983806</v>
      </c>
      <c r="AN21" s="18">
        <f>AN20/AN19</f>
        <v>0.11538461538461539</v>
      </c>
      <c r="AO21" s="18">
        <f>AO20/AO19</f>
        <v>0.14335664335664336</v>
      </c>
    </row>
    <row r="22" spans="1:41" x14ac:dyDescent="0.25">
      <c r="A22" s="13">
        <v>18</v>
      </c>
      <c r="B22" s="35" t="s">
        <v>727</v>
      </c>
      <c r="C22" s="36" t="s">
        <v>581</v>
      </c>
      <c r="D22" s="10" t="s">
        <v>711</v>
      </c>
      <c r="E22" s="11" t="s">
        <v>112</v>
      </c>
      <c r="F22" s="11" t="s">
        <v>112</v>
      </c>
      <c r="G22" s="11" t="s">
        <v>112</v>
      </c>
      <c r="H22" s="11" t="s">
        <v>112</v>
      </c>
      <c r="I22" s="11" t="s">
        <v>112</v>
      </c>
      <c r="J22" s="60"/>
      <c r="K22" s="11" t="s">
        <v>112</v>
      </c>
      <c r="L22" s="11" t="s">
        <v>112</v>
      </c>
      <c r="M22" s="11" t="s">
        <v>112</v>
      </c>
      <c r="N22" s="11" t="s">
        <v>112</v>
      </c>
      <c r="O22" s="11" t="s">
        <v>112</v>
      </c>
      <c r="P22" s="68"/>
      <c r="Q22" s="60"/>
      <c r="R22" s="11" t="s">
        <v>112</v>
      </c>
      <c r="S22" s="11" t="s">
        <v>112</v>
      </c>
      <c r="T22" s="11" t="s">
        <v>112</v>
      </c>
      <c r="U22" s="11" t="s">
        <v>112</v>
      </c>
      <c r="V22" s="11" t="s">
        <v>112</v>
      </c>
      <c r="W22" s="11" t="s">
        <v>112</v>
      </c>
      <c r="X22" s="60"/>
      <c r="Y22" s="11" t="s">
        <v>112</v>
      </c>
      <c r="Z22" s="11" t="s">
        <v>112</v>
      </c>
      <c r="AA22" s="11" t="s">
        <v>112</v>
      </c>
      <c r="AB22" s="11" t="s">
        <v>112</v>
      </c>
      <c r="AC22" s="11" t="s">
        <v>112</v>
      </c>
      <c r="AD22" s="11" t="s">
        <v>112</v>
      </c>
      <c r="AE22" s="60"/>
      <c r="AF22" s="11" t="s">
        <v>112</v>
      </c>
      <c r="AG22" s="11" t="s">
        <v>112</v>
      </c>
      <c r="AH22" s="11" t="s">
        <v>112</v>
      </c>
      <c r="AI22" s="11" t="s">
        <v>112</v>
      </c>
      <c r="AJ22" s="5">
        <f t="shared" si="2"/>
        <v>26</v>
      </c>
      <c r="AK22" s="5">
        <f t="shared" si="1"/>
        <v>0</v>
      </c>
    </row>
    <row r="23" spans="1:41" x14ac:dyDescent="0.25">
      <c r="A23" s="6">
        <v>19</v>
      </c>
      <c r="B23" s="35" t="s">
        <v>728</v>
      </c>
      <c r="C23" s="36" t="s">
        <v>362</v>
      </c>
      <c r="D23" s="10" t="s">
        <v>711</v>
      </c>
      <c r="E23" s="11" t="s">
        <v>112</v>
      </c>
      <c r="F23" s="11" t="s">
        <v>112</v>
      </c>
      <c r="G23" s="11" t="s">
        <v>112</v>
      </c>
      <c r="H23" s="11" t="s">
        <v>112</v>
      </c>
      <c r="I23" s="11" t="s">
        <v>112</v>
      </c>
      <c r="J23" s="60"/>
      <c r="K23" s="11" t="s">
        <v>112</v>
      </c>
      <c r="L23" s="11" t="s">
        <v>112</v>
      </c>
      <c r="M23" s="11" t="s">
        <v>112</v>
      </c>
      <c r="N23" s="11" t="s">
        <v>112</v>
      </c>
      <c r="O23" s="11" t="s">
        <v>112</v>
      </c>
      <c r="P23" s="68"/>
      <c r="Q23" s="60"/>
      <c r="R23" s="11" t="s">
        <v>112</v>
      </c>
      <c r="S23" s="11" t="s">
        <v>112</v>
      </c>
      <c r="T23" s="11" t="s">
        <v>111</v>
      </c>
      <c r="U23" s="11" t="s">
        <v>111</v>
      </c>
      <c r="V23" s="11" t="s">
        <v>111</v>
      </c>
      <c r="W23" s="11" t="s">
        <v>112</v>
      </c>
      <c r="X23" s="60"/>
      <c r="Y23" s="11" t="s">
        <v>112</v>
      </c>
      <c r="Z23" s="11" t="s">
        <v>112</v>
      </c>
      <c r="AA23" s="11" t="s">
        <v>112</v>
      </c>
      <c r="AB23" s="11" t="s">
        <v>112</v>
      </c>
      <c r="AC23" s="11" t="s">
        <v>112</v>
      </c>
      <c r="AD23" s="11" t="s">
        <v>112</v>
      </c>
      <c r="AE23" s="60"/>
      <c r="AF23" s="11" t="s">
        <v>112</v>
      </c>
      <c r="AG23" s="11" t="s">
        <v>112</v>
      </c>
      <c r="AH23" s="11" t="s">
        <v>111</v>
      </c>
      <c r="AI23" s="11" t="s">
        <v>111</v>
      </c>
      <c r="AJ23" s="5">
        <f t="shared" si="2"/>
        <v>21</v>
      </c>
      <c r="AK23" s="5">
        <f t="shared" si="1"/>
        <v>4</v>
      </c>
    </row>
    <row r="24" spans="1:41" x14ac:dyDescent="0.25">
      <c r="A24" s="13">
        <v>20</v>
      </c>
      <c r="B24" s="35" t="s">
        <v>729</v>
      </c>
      <c r="C24" s="36" t="s">
        <v>730</v>
      </c>
      <c r="D24" s="10" t="s">
        <v>711</v>
      </c>
      <c r="E24" s="11" t="s">
        <v>112</v>
      </c>
      <c r="F24" s="11" t="s">
        <v>112</v>
      </c>
      <c r="G24" s="11" t="s">
        <v>112</v>
      </c>
      <c r="H24" s="11" t="s">
        <v>112</v>
      </c>
      <c r="I24" s="11" t="s">
        <v>112</v>
      </c>
      <c r="J24" s="60"/>
      <c r="K24" s="11" t="s">
        <v>112</v>
      </c>
      <c r="L24" s="11" t="s">
        <v>111</v>
      </c>
      <c r="M24" s="11" t="s">
        <v>112</v>
      </c>
      <c r="N24" s="11" t="s">
        <v>112</v>
      </c>
      <c r="O24" s="11" t="s">
        <v>112</v>
      </c>
      <c r="P24" s="68"/>
      <c r="Q24" s="60"/>
      <c r="R24" s="11" t="s">
        <v>112</v>
      </c>
      <c r="S24" s="11" t="s">
        <v>112</v>
      </c>
      <c r="T24" s="11" t="s">
        <v>112</v>
      </c>
      <c r="U24" s="11" t="s">
        <v>112</v>
      </c>
      <c r="V24" s="11" t="s">
        <v>112</v>
      </c>
      <c r="W24" s="11" t="s">
        <v>112</v>
      </c>
      <c r="X24" s="60"/>
      <c r="Y24" s="11" t="s">
        <v>112</v>
      </c>
      <c r="Z24" s="11" t="s">
        <v>112</v>
      </c>
      <c r="AA24" s="11" t="s">
        <v>112</v>
      </c>
      <c r="AB24" s="11" t="s">
        <v>112</v>
      </c>
      <c r="AC24" s="11" t="s">
        <v>112</v>
      </c>
      <c r="AD24" s="11" t="s">
        <v>112</v>
      </c>
      <c r="AE24" s="60"/>
      <c r="AF24" s="11" t="s">
        <v>112</v>
      </c>
      <c r="AG24" s="11" t="s">
        <v>112</v>
      </c>
      <c r="AH24" s="11" t="s">
        <v>111</v>
      </c>
      <c r="AI24" s="11" t="s">
        <v>112</v>
      </c>
      <c r="AJ24" s="5">
        <f t="shared" si="2"/>
        <v>24</v>
      </c>
      <c r="AK24" s="5">
        <f t="shared" si="1"/>
        <v>2</v>
      </c>
    </row>
    <row r="25" spans="1:41" x14ac:dyDescent="0.25">
      <c r="A25" s="6">
        <v>21</v>
      </c>
      <c r="B25" s="35" t="s">
        <v>731</v>
      </c>
      <c r="C25" s="36" t="s">
        <v>732</v>
      </c>
      <c r="D25" s="10" t="s">
        <v>711</v>
      </c>
      <c r="E25" s="11" t="s">
        <v>112</v>
      </c>
      <c r="F25" s="11" t="s">
        <v>112</v>
      </c>
      <c r="G25" s="11" t="s">
        <v>112</v>
      </c>
      <c r="H25" s="11" t="s">
        <v>112</v>
      </c>
      <c r="I25" s="11" t="s">
        <v>112</v>
      </c>
      <c r="J25" s="60"/>
      <c r="K25" s="11" t="s">
        <v>112</v>
      </c>
      <c r="L25" s="11" t="s">
        <v>112</v>
      </c>
      <c r="M25" s="11" t="s">
        <v>111</v>
      </c>
      <c r="N25" s="11" t="s">
        <v>111</v>
      </c>
      <c r="O25" s="11" t="s">
        <v>112</v>
      </c>
      <c r="P25" s="68"/>
      <c r="Q25" s="60"/>
      <c r="R25" s="11" t="s">
        <v>112</v>
      </c>
      <c r="S25" s="11" t="s">
        <v>112</v>
      </c>
      <c r="T25" s="11" t="s">
        <v>112</v>
      </c>
      <c r="U25" s="11" t="s">
        <v>112</v>
      </c>
      <c r="V25" s="11" t="s">
        <v>112</v>
      </c>
      <c r="W25" s="11" t="s">
        <v>112</v>
      </c>
      <c r="X25" s="60"/>
      <c r="Y25" s="11" t="s">
        <v>112</v>
      </c>
      <c r="Z25" s="11" t="s">
        <v>112</v>
      </c>
      <c r="AA25" s="11" t="s">
        <v>112</v>
      </c>
      <c r="AB25" s="11" t="s">
        <v>112</v>
      </c>
      <c r="AC25" s="11" t="s">
        <v>112</v>
      </c>
      <c r="AD25" s="11" t="s">
        <v>112</v>
      </c>
      <c r="AE25" s="60"/>
      <c r="AF25" s="11" t="s">
        <v>112</v>
      </c>
      <c r="AG25" s="11" t="s">
        <v>112</v>
      </c>
      <c r="AH25" s="11" t="s">
        <v>112</v>
      </c>
      <c r="AI25" s="11" t="s">
        <v>112</v>
      </c>
      <c r="AJ25" s="5">
        <f t="shared" si="2"/>
        <v>24</v>
      </c>
      <c r="AK25" s="5">
        <f t="shared" si="1"/>
        <v>2</v>
      </c>
    </row>
    <row r="26" spans="1:41" x14ac:dyDescent="0.25">
      <c r="A26" s="13">
        <v>22</v>
      </c>
      <c r="B26" s="35" t="s">
        <v>733</v>
      </c>
      <c r="C26" s="36" t="s">
        <v>734</v>
      </c>
      <c r="D26" s="10" t="s">
        <v>711</v>
      </c>
      <c r="E26" s="11" t="s">
        <v>111</v>
      </c>
      <c r="F26" s="11" t="s">
        <v>112</v>
      </c>
      <c r="G26" s="11" t="s">
        <v>112</v>
      </c>
      <c r="H26" s="11" t="s">
        <v>112</v>
      </c>
      <c r="I26" s="11" t="s">
        <v>112</v>
      </c>
      <c r="J26" s="60"/>
      <c r="K26" s="11" t="s">
        <v>112</v>
      </c>
      <c r="L26" s="11" t="s">
        <v>112</v>
      </c>
      <c r="M26" s="11" t="s">
        <v>112</v>
      </c>
      <c r="N26" s="11" t="s">
        <v>111</v>
      </c>
      <c r="O26" s="11" t="s">
        <v>112</v>
      </c>
      <c r="P26" s="68"/>
      <c r="Q26" s="60"/>
      <c r="R26" s="11" t="s">
        <v>112</v>
      </c>
      <c r="S26" s="11" t="s">
        <v>112</v>
      </c>
      <c r="T26" s="11" t="s">
        <v>112</v>
      </c>
      <c r="U26" s="11" t="s">
        <v>112</v>
      </c>
      <c r="V26" s="11" t="s">
        <v>112</v>
      </c>
      <c r="W26" s="11" t="s">
        <v>112</v>
      </c>
      <c r="X26" s="60"/>
      <c r="Y26" s="11" t="s">
        <v>112</v>
      </c>
      <c r="Z26" s="11" t="s">
        <v>112</v>
      </c>
      <c r="AA26" s="11" t="s">
        <v>112</v>
      </c>
      <c r="AB26" s="11" t="s">
        <v>112</v>
      </c>
      <c r="AC26" s="11" t="s">
        <v>112</v>
      </c>
      <c r="AD26" s="11" t="s">
        <v>112</v>
      </c>
      <c r="AE26" s="60"/>
      <c r="AF26" s="11" t="s">
        <v>112</v>
      </c>
      <c r="AG26" s="11" t="s">
        <v>112</v>
      </c>
      <c r="AH26" s="11" t="s">
        <v>112</v>
      </c>
      <c r="AI26" s="11" t="s">
        <v>112</v>
      </c>
      <c r="AJ26" s="5">
        <f t="shared" si="2"/>
        <v>24</v>
      </c>
      <c r="AK26" s="5">
        <f t="shared" si="1"/>
        <v>2</v>
      </c>
    </row>
    <row r="27" spans="1:41" x14ac:dyDescent="0.25">
      <c r="A27" s="6">
        <v>23</v>
      </c>
      <c r="B27" s="35" t="s">
        <v>735</v>
      </c>
      <c r="C27" s="36" t="s">
        <v>736</v>
      </c>
      <c r="D27" s="10" t="s">
        <v>711</v>
      </c>
      <c r="E27" s="11" t="s">
        <v>112</v>
      </c>
      <c r="F27" s="11" t="s">
        <v>112</v>
      </c>
      <c r="G27" s="11" t="s">
        <v>112</v>
      </c>
      <c r="H27" s="11" t="s">
        <v>112</v>
      </c>
      <c r="I27" s="11" t="s">
        <v>112</v>
      </c>
      <c r="J27" s="60"/>
      <c r="K27" s="11" t="s">
        <v>112</v>
      </c>
      <c r="L27" s="11" t="s">
        <v>112</v>
      </c>
      <c r="M27" s="11" t="s">
        <v>112</v>
      </c>
      <c r="N27" s="11" t="s">
        <v>112</v>
      </c>
      <c r="O27" s="11" t="s">
        <v>112</v>
      </c>
      <c r="P27" s="68"/>
      <c r="Q27" s="60"/>
      <c r="R27" s="11" t="s">
        <v>112</v>
      </c>
      <c r="S27" s="11" t="s">
        <v>112</v>
      </c>
      <c r="T27" s="11" t="s">
        <v>112</v>
      </c>
      <c r="U27" s="11" t="s">
        <v>112</v>
      </c>
      <c r="V27" s="11" t="s">
        <v>112</v>
      </c>
      <c r="W27" s="11" t="s">
        <v>112</v>
      </c>
      <c r="X27" s="60"/>
      <c r="Y27" s="11" t="s">
        <v>112</v>
      </c>
      <c r="Z27" s="11" t="s">
        <v>112</v>
      </c>
      <c r="AA27" s="11" t="s">
        <v>112</v>
      </c>
      <c r="AB27" s="11" t="s">
        <v>112</v>
      </c>
      <c r="AC27" s="11" t="s">
        <v>112</v>
      </c>
      <c r="AD27" s="11" t="s">
        <v>112</v>
      </c>
      <c r="AE27" s="60"/>
      <c r="AF27" s="11" t="s">
        <v>112</v>
      </c>
      <c r="AG27" s="11" t="s">
        <v>112</v>
      </c>
      <c r="AH27" s="11" t="s">
        <v>112</v>
      </c>
      <c r="AI27" s="11" t="s">
        <v>112</v>
      </c>
      <c r="AJ27" s="5">
        <f t="shared" si="2"/>
        <v>26</v>
      </c>
      <c r="AK27" s="5">
        <f t="shared" si="1"/>
        <v>0</v>
      </c>
    </row>
    <row r="28" spans="1:41" x14ac:dyDescent="0.25">
      <c r="A28" s="13">
        <v>24</v>
      </c>
      <c r="B28" s="35" t="s">
        <v>733</v>
      </c>
      <c r="C28" s="35" t="s">
        <v>321</v>
      </c>
      <c r="D28" s="10" t="s">
        <v>711</v>
      </c>
      <c r="E28" s="11" t="s">
        <v>112</v>
      </c>
      <c r="F28" s="11" t="s">
        <v>112</v>
      </c>
      <c r="G28" s="11" t="s">
        <v>112</v>
      </c>
      <c r="H28" s="11" t="s">
        <v>112</v>
      </c>
      <c r="I28" s="11" t="s">
        <v>112</v>
      </c>
      <c r="J28" s="60"/>
      <c r="K28" s="11" t="s">
        <v>112</v>
      </c>
      <c r="L28" s="11" t="s">
        <v>112</v>
      </c>
      <c r="M28" s="11" t="s">
        <v>112</v>
      </c>
      <c r="N28" s="11" t="s">
        <v>112</v>
      </c>
      <c r="O28" s="11" t="s">
        <v>112</v>
      </c>
      <c r="P28" s="68"/>
      <c r="Q28" s="60"/>
      <c r="R28" s="11" t="s">
        <v>111</v>
      </c>
      <c r="S28" s="11" t="s">
        <v>111</v>
      </c>
      <c r="T28" s="11" t="s">
        <v>111</v>
      </c>
      <c r="U28" s="11" t="s">
        <v>111</v>
      </c>
      <c r="V28" s="11" t="s">
        <v>112</v>
      </c>
      <c r="W28" s="11" t="s">
        <v>112</v>
      </c>
      <c r="X28" s="60"/>
      <c r="Y28" s="11" t="s">
        <v>112</v>
      </c>
      <c r="Z28" s="11" t="s">
        <v>112</v>
      </c>
      <c r="AA28" s="11" t="s">
        <v>112</v>
      </c>
      <c r="AB28" s="11" t="s">
        <v>112</v>
      </c>
      <c r="AC28" s="11" t="s">
        <v>112</v>
      </c>
      <c r="AD28" s="11" t="s">
        <v>112</v>
      </c>
      <c r="AE28" s="60"/>
      <c r="AF28" s="11" t="s">
        <v>112</v>
      </c>
      <c r="AG28" s="11" t="s">
        <v>112</v>
      </c>
      <c r="AH28" s="11" t="s">
        <v>112</v>
      </c>
      <c r="AI28" s="11" t="s">
        <v>112</v>
      </c>
      <c r="AJ28" s="5">
        <f t="shared" si="2"/>
        <v>22</v>
      </c>
      <c r="AK28" s="5">
        <f t="shared" si="1"/>
        <v>4</v>
      </c>
    </row>
    <row r="29" spans="1:41" x14ac:dyDescent="0.25">
      <c r="A29" s="6">
        <v>25</v>
      </c>
      <c r="B29" s="39" t="s">
        <v>596</v>
      </c>
      <c r="C29" s="39" t="s">
        <v>737</v>
      </c>
      <c r="D29" s="10" t="s">
        <v>711</v>
      </c>
      <c r="E29" s="11" t="s">
        <v>124</v>
      </c>
      <c r="F29" s="11" t="s">
        <v>124</v>
      </c>
      <c r="G29" s="11" t="s">
        <v>124</v>
      </c>
      <c r="H29" s="11" t="s">
        <v>124</v>
      </c>
      <c r="I29" s="11" t="s">
        <v>124</v>
      </c>
      <c r="J29" s="60"/>
      <c r="K29" s="11" t="s">
        <v>124</v>
      </c>
      <c r="L29" s="11" t="s">
        <v>124</v>
      </c>
      <c r="M29" s="11" t="s">
        <v>124</v>
      </c>
      <c r="N29" s="11" t="s">
        <v>124</v>
      </c>
      <c r="O29" s="11" t="s">
        <v>124</v>
      </c>
      <c r="P29" s="68"/>
      <c r="Q29" s="60"/>
      <c r="R29" s="11" t="s">
        <v>124</v>
      </c>
      <c r="S29" s="11" t="s">
        <v>124</v>
      </c>
      <c r="T29" s="11" t="s">
        <v>124</v>
      </c>
      <c r="U29" s="11" t="s">
        <v>124</v>
      </c>
      <c r="V29" s="11" t="s">
        <v>124</v>
      </c>
      <c r="W29" s="11" t="s">
        <v>124</v>
      </c>
      <c r="X29" s="60"/>
      <c r="Y29" s="11" t="s">
        <v>124</v>
      </c>
      <c r="Z29" s="11" t="s">
        <v>112</v>
      </c>
      <c r="AA29" s="11" t="s">
        <v>112</v>
      </c>
      <c r="AB29" s="11" t="s">
        <v>112</v>
      </c>
      <c r="AC29" s="11" t="s">
        <v>112</v>
      </c>
      <c r="AD29" s="11" t="s">
        <v>112</v>
      </c>
      <c r="AE29" s="60"/>
      <c r="AF29" s="11" t="s">
        <v>112</v>
      </c>
      <c r="AG29" s="11" t="s">
        <v>112</v>
      </c>
      <c r="AH29" s="11" t="s">
        <v>112</v>
      </c>
      <c r="AI29" s="11" t="s">
        <v>112</v>
      </c>
      <c r="AJ29" s="5">
        <f t="shared" si="2"/>
        <v>9</v>
      </c>
      <c r="AK29" s="5">
        <f t="shared" si="1"/>
        <v>0</v>
      </c>
    </row>
    <row r="30" spans="1:41" x14ac:dyDescent="0.25">
      <c r="A30" s="13">
        <v>1</v>
      </c>
      <c r="B30" s="35" t="s">
        <v>738</v>
      </c>
      <c r="C30" s="36" t="s">
        <v>22</v>
      </c>
      <c r="D30" s="10" t="s">
        <v>711</v>
      </c>
      <c r="E30" s="11" t="s">
        <v>112</v>
      </c>
      <c r="F30" s="11" t="s">
        <v>112</v>
      </c>
      <c r="G30" s="11" t="s">
        <v>112</v>
      </c>
      <c r="H30" s="11" t="s">
        <v>112</v>
      </c>
      <c r="I30" s="11" t="s">
        <v>112</v>
      </c>
      <c r="J30" s="60"/>
      <c r="K30" s="11" t="s">
        <v>112</v>
      </c>
      <c r="L30" s="11" t="s">
        <v>112</v>
      </c>
      <c r="M30" s="11" t="s">
        <v>112</v>
      </c>
      <c r="N30" s="11" t="s">
        <v>112</v>
      </c>
      <c r="O30" s="11" t="s">
        <v>112</v>
      </c>
      <c r="P30" s="68"/>
      <c r="Q30" s="60"/>
      <c r="R30" s="11" t="s">
        <v>112</v>
      </c>
      <c r="S30" s="11" t="s">
        <v>111</v>
      </c>
      <c r="T30" s="11" t="s">
        <v>111</v>
      </c>
      <c r="U30" s="11" t="s">
        <v>111</v>
      </c>
      <c r="V30" s="11" t="s">
        <v>112</v>
      </c>
      <c r="W30" s="11" t="s">
        <v>112</v>
      </c>
      <c r="X30" s="60"/>
      <c r="Y30" s="11" t="s">
        <v>112</v>
      </c>
      <c r="Z30" s="11" t="s">
        <v>112</v>
      </c>
      <c r="AA30" s="11" t="s">
        <v>112</v>
      </c>
      <c r="AB30" s="11" t="s">
        <v>112</v>
      </c>
      <c r="AC30" s="11" t="s">
        <v>112</v>
      </c>
      <c r="AD30" s="11" t="s">
        <v>112</v>
      </c>
      <c r="AE30" s="60"/>
      <c r="AF30" s="11" t="s">
        <v>112</v>
      </c>
      <c r="AG30" s="11" t="s">
        <v>112</v>
      </c>
      <c r="AH30" s="11" t="s">
        <v>112</v>
      </c>
      <c r="AI30" s="11" t="s">
        <v>112</v>
      </c>
      <c r="AJ30" s="5">
        <f t="shared" si="2"/>
        <v>23</v>
      </c>
      <c r="AK30" s="5">
        <f t="shared" si="1"/>
        <v>3</v>
      </c>
    </row>
    <row r="31" spans="1:41" x14ac:dyDescent="0.25">
      <c r="A31" s="6">
        <v>2</v>
      </c>
      <c r="B31" s="35" t="s">
        <v>739</v>
      </c>
      <c r="C31" s="36" t="s">
        <v>498</v>
      </c>
      <c r="D31" s="10" t="s">
        <v>711</v>
      </c>
      <c r="E31" s="11" t="s">
        <v>112</v>
      </c>
      <c r="F31" s="11" t="s">
        <v>112</v>
      </c>
      <c r="G31" s="11" t="s">
        <v>112</v>
      </c>
      <c r="H31" s="11" t="s">
        <v>112</v>
      </c>
      <c r="I31" s="11" t="s">
        <v>112</v>
      </c>
      <c r="J31" s="60"/>
      <c r="K31" s="11" t="s">
        <v>112</v>
      </c>
      <c r="L31" s="11" t="s">
        <v>111</v>
      </c>
      <c r="M31" s="11" t="s">
        <v>112</v>
      </c>
      <c r="N31" s="11" t="s">
        <v>112</v>
      </c>
      <c r="O31" s="11" t="s">
        <v>112</v>
      </c>
      <c r="P31" s="68"/>
      <c r="Q31" s="60"/>
      <c r="R31" s="11" t="s">
        <v>112</v>
      </c>
      <c r="S31" s="11" t="s">
        <v>111</v>
      </c>
      <c r="T31" s="11" t="s">
        <v>111</v>
      </c>
      <c r="U31" s="11" t="s">
        <v>112</v>
      </c>
      <c r="V31" s="11" t="s">
        <v>112</v>
      </c>
      <c r="W31" s="11" t="s">
        <v>112</v>
      </c>
      <c r="X31" s="60"/>
      <c r="Y31" s="11" t="s">
        <v>112</v>
      </c>
      <c r="Z31" s="11" t="s">
        <v>112</v>
      </c>
      <c r="AA31" s="11" t="s">
        <v>112</v>
      </c>
      <c r="AB31" s="11" t="s">
        <v>112</v>
      </c>
      <c r="AC31" s="11" t="s">
        <v>111</v>
      </c>
      <c r="AD31" s="11" t="s">
        <v>112</v>
      </c>
      <c r="AE31" s="60"/>
      <c r="AF31" s="11" t="s">
        <v>112</v>
      </c>
      <c r="AG31" s="11" t="s">
        <v>112</v>
      </c>
      <c r="AH31" s="11" t="s">
        <v>112</v>
      </c>
      <c r="AI31" s="11" t="s">
        <v>112</v>
      </c>
      <c r="AJ31" s="5">
        <f t="shared" si="2"/>
        <v>22</v>
      </c>
      <c r="AK31" s="5">
        <f t="shared" si="1"/>
        <v>4</v>
      </c>
    </row>
    <row r="32" spans="1:41" x14ac:dyDescent="0.25">
      <c r="A32" s="13">
        <v>3</v>
      </c>
      <c r="B32" s="35" t="s">
        <v>740</v>
      </c>
      <c r="C32" s="36" t="s">
        <v>533</v>
      </c>
      <c r="D32" s="10" t="s">
        <v>711</v>
      </c>
      <c r="E32" s="11" t="s">
        <v>112</v>
      </c>
      <c r="F32" s="11" t="s">
        <v>112</v>
      </c>
      <c r="G32" s="11" t="s">
        <v>112</v>
      </c>
      <c r="H32" s="11" t="s">
        <v>112</v>
      </c>
      <c r="I32" s="11" t="s">
        <v>112</v>
      </c>
      <c r="J32" s="60"/>
      <c r="K32" s="11" t="s">
        <v>112</v>
      </c>
      <c r="L32" s="11" t="s">
        <v>112</v>
      </c>
      <c r="M32" s="11" t="s">
        <v>112</v>
      </c>
      <c r="N32" s="11" t="s">
        <v>112</v>
      </c>
      <c r="O32" s="11" t="s">
        <v>112</v>
      </c>
      <c r="P32" s="68"/>
      <c r="Q32" s="60"/>
      <c r="R32" s="11" t="s">
        <v>112</v>
      </c>
      <c r="S32" s="11" t="s">
        <v>111</v>
      </c>
      <c r="T32" s="11" t="s">
        <v>111</v>
      </c>
      <c r="U32" s="11" t="s">
        <v>112</v>
      </c>
      <c r="V32" s="11" t="s">
        <v>112</v>
      </c>
      <c r="W32" s="11" t="s">
        <v>112</v>
      </c>
      <c r="X32" s="60"/>
      <c r="Y32" s="11" t="s">
        <v>112</v>
      </c>
      <c r="Z32" s="11" t="s">
        <v>112</v>
      </c>
      <c r="AA32" s="11" t="s">
        <v>112</v>
      </c>
      <c r="AB32" s="11" t="s">
        <v>112</v>
      </c>
      <c r="AC32" s="11" t="s">
        <v>112</v>
      </c>
      <c r="AD32" s="11" t="s">
        <v>112</v>
      </c>
      <c r="AE32" s="60"/>
      <c r="AF32" s="11" t="s">
        <v>112</v>
      </c>
      <c r="AG32" s="11" t="s">
        <v>112</v>
      </c>
      <c r="AH32" s="11" t="s">
        <v>112</v>
      </c>
      <c r="AI32" s="11" t="s">
        <v>112</v>
      </c>
      <c r="AJ32" s="5">
        <f t="shared" si="2"/>
        <v>24</v>
      </c>
      <c r="AK32" s="5">
        <f t="shared" si="1"/>
        <v>2</v>
      </c>
    </row>
    <row r="33" spans="1:37" x14ac:dyDescent="0.25">
      <c r="A33" s="6">
        <v>4</v>
      </c>
      <c r="B33" s="35" t="s">
        <v>741</v>
      </c>
      <c r="C33" s="35" t="s">
        <v>636</v>
      </c>
      <c r="D33" s="10" t="s">
        <v>711</v>
      </c>
      <c r="E33" s="11" t="s">
        <v>112</v>
      </c>
      <c r="F33" s="11" t="s">
        <v>112</v>
      </c>
      <c r="G33" s="11" t="s">
        <v>112</v>
      </c>
      <c r="H33" s="11" t="s">
        <v>112</v>
      </c>
      <c r="I33" s="11" t="s">
        <v>112</v>
      </c>
      <c r="J33" s="60"/>
      <c r="K33" s="11" t="s">
        <v>112</v>
      </c>
      <c r="L33" s="11" t="s">
        <v>112</v>
      </c>
      <c r="M33" s="11" t="s">
        <v>112</v>
      </c>
      <c r="N33" s="11" t="s">
        <v>112</v>
      </c>
      <c r="O33" s="11" t="s">
        <v>112</v>
      </c>
      <c r="P33" s="68"/>
      <c r="Q33" s="60"/>
      <c r="R33" s="11" t="s">
        <v>112</v>
      </c>
      <c r="S33" s="11" t="s">
        <v>111</v>
      </c>
      <c r="T33" s="11" t="s">
        <v>111</v>
      </c>
      <c r="U33" s="11" t="s">
        <v>112</v>
      </c>
      <c r="V33" s="11" t="s">
        <v>112</v>
      </c>
      <c r="W33" s="11" t="s">
        <v>112</v>
      </c>
      <c r="X33" s="60"/>
      <c r="Y33" s="11" t="s">
        <v>111</v>
      </c>
      <c r="Z33" s="11" t="s">
        <v>111</v>
      </c>
      <c r="AA33" s="11" t="s">
        <v>112</v>
      </c>
      <c r="AB33" s="11" t="s">
        <v>112</v>
      </c>
      <c r="AC33" s="11" t="s">
        <v>112</v>
      </c>
      <c r="AD33" s="11" t="s">
        <v>112</v>
      </c>
      <c r="AE33" s="60"/>
      <c r="AF33" s="11" t="s">
        <v>112</v>
      </c>
      <c r="AG33" s="11" t="s">
        <v>112</v>
      </c>
      <c r="AH33" s="11" t="s">
        <v>112</v>
      </c>
      <c r="AI33" s="11" t="s">
        <v>112</v>
      </c>
      <c r="AJ33" s="5">
        <f t="shared" si="2"/>
        <v>22</v>
      </c>
      <c r="AK33" s="5">
        <f t="shared" si="1"/>
        <v>4</v>
      </c>
    </row>
    <row r="34" spans="1:37" x14ac:dyDescent="0.25">
      <c r="A34" s="13">
        <v>5</v>
      </c>
      <c r="B34" s="35" t="s">
        <v>742</v>
      </c>
      <c r="C34" s="36" t="s">
        <v>595</v>
      </c>
      <c r="D34" s="10" t="s">
        <v>711</v>
      </c>
      <c r="E34" s="11" t="s">
        <v>111</v>
      </c>
      <c r="F34" s="11" t="s">
        <v>112</v>
      </c>
      <c r="G34" s="11" t="s">
        <v>112</v>
      </c>
      <c r="H34" s="11" t="s">
        <v>111</v>
      </c>
      <c r="I34" s="11" t="s">
        <v>112</v>
      </c>
      <c r="J34" s="60"/>
      <c r="K34" s="11" t="s">
        <v>112</v>
      </c>
      <c r="L34" s="11" t="s">
        <v>112</v>
      </c>
      <c r="M34" s="11" t="s">
        <v>112</v>
      </c>
      <c r="N34" s="11" t="s">
        <v>112</v>
      </c>
      <c r="O34" s="11" t="s">
        <v>112</v>
      </c>
      <c r="P34" s="68"/>
      <c r="Q34" s="60"/>
      <c r="R34" s="11" t="s">
        <v>112</v>
      </c>
      <c r="S34" s="11" t="s">
        <v>111</v>
      </c>
      <c r="T34" s="11" t="s">
        <v>111</v>
      </c>
      <c r="U34" s="11" t="s">
        <v>112</v>
      </c>
      <c r="V34" s="11" t="s">
        <v>112</v>
      </c>
      <c r="W34" s="11" t="s">
        <v>111</v>
      </c>
      <c r="X34" s="60"/>
      <c r="Y34" s="11" t="s">
        <v>111</v>
      </c>
      <c r="Z34" s="11" t="s">
        <v>112</v>
      </c>
      <c r="AA34" s="11" t="s">
        <v>112</v>
      </c>
      <c r="AB34" s="11" t="s">
        <v>112</v>
      </c>
      <c r="AC34" s="11" t="s">
        <v>112</v>
      </c>
      <c r="AD34" s="11" t="s">
        <v>112</v>
      </c>
      <c r="AE34" s="60"/>
      <c r="AF34" s="11" t="s">
        <v>111</v>
      </c>
      <c r="AG34" s="11" t="s">
        <v>112</v>
      </c>
      <c r="AH34" s="11" t="s">
        <v>112</v>
      </c>
      <c r="AI34" s="11" t="s">
        <v>112</v>
      </c>
      <c r="AJ34" s="5">
        <f t="shared" si="2"/>
        <v>19</v>
      </c>
      <c r="AK34" s="5">
        <f t="shared" si="1"/>
        <v>7</v>
      </c>
    </row>
    <row r="35" spans="1:37" x14ac:dyDescent="0.25">
      <c r="A35" s="6">
        <v>6</v>
      </c>
      <c r="B35" s="37" t="s">
        <v>743</v>
      </c>
      <c r="C35" s="38" t="s">
        <v>744</v>
      </c>
      <c r="D35" s="10" t="s">
        <v>711</v>
      </c>
      <c r="E35" s="11" t="s">
        <v>112</v>
      </c>
      <c r="F35" s="11" t="s">
        <v>111</v>
      </c>
      <c r="G35" s="11" t="s">
        <v>112</v>
      </c>
      <c r="H35" s="11" t="s">
        <v>112</v>
      </c>
      <c r="I35" s="11" t="s">
        <v>112</v>
      </c>
      <c r="J35" s="60"/>
      <c r="K35" s="11" t="s">
        <v>112</v>
      </c>
      <c r="L35" s="11" t="s">
        <v>112</v>
      </c>
      <c r="M35" s="11" t="s">
        <v>112</v>
      </c>
      <c r="N35" s="11" t="s">
        <v>111</v>
      </c>
      <c r="O35" s="11" t="s">
        <v>112</v>
      </c>
      <c r="P35" s="68"/>
      <c r="Q35" s="60"/>
      <c r="R35" s="11" t="s">
        <v>112</v>
      </c>
      <c r="S35" s="11" t="s">
        <v>111</v>
      </c>
      <c r="T35" s="11" t="s">
        <v>111</v>
      </c>
      <c r="U35" s="11" t="s">
        <v>111</v>
      </c>
      <c r="V35" s="11" t="s">
        <v>111</v>
      </c>
      <c r="W35" s="11" t="s">
        <v>111</v>
      </c>
      <c r="X35" s="60"/>
      <c r="Y35" s="11" t="s">
        <v>112</v>
      </c>
      <c r="Z35" s="11" t="s">
        <v>112</v>
      </c>
      <c r="AA35" s="11" t="s">
        <v>112</v>
      </c>
      <c r="AB35" s="11" t="s">
        <v>112</v>
      </c>
      <c r="AC35" s="11" t="s">
        <v>112</v>
      </c>
      <c r="AD35" s="11" t="s">
        <v>111</v>
      </c>
      <c r="AE35" s="60"/>
      <c r="AF35" s="11" t="s">
        <v>111</v>
      </c>
      <c r="AG35" s="11" t="s">
        <v>111</v>
      </c>
      <c r="AH35" s="11" t="s">
        <v>111</v>
      </c>
      <c r="AI35" s="11" t="s">
        <v>111</v>
      </c>
      <c r="AJ35" s="5">
        <f t="shared" si="2"/>
        <v>14</v>
      </c>
      <c r="AK35" s="5">
        <f t="shared" si="1"/>
        <v>11</v>
      </c>
    </row>
    <row r="36" spans="1:37" x14ac:dyDescent="0.25">
      <c r="A36" s="13">
        <v>7</v>
      </c>
      <c r="B36" s="39" t="s">
        <v>745</v>
      </c>
      <c r="C36" s="39" t="s">
        <v>140</v>
      </c>
      <c r="D36" s="10" t="s">
        <v>711</v>
      </c>
      <c r="E36" s="11" t="s">
        <v>112</v>
      </c>
      <c r="F36" s="11" t="s">
        <v>112</v>
      </c>
      <c r="G36" s="11" t="s">
        <v>112</v>
      </c>
      <c r="H36" s="11" t="s">
        <v>112</v>
      </c>
      <c r="I36" s="11" t="s">
        <v>112</v>
      </c>
      <c r="J36" s="60"/>
      <c r="K36" s="11" t="s">
        <v>112</v>
      </c>
      <c r="L36" s="11" t="s">
        <v>112</v>
      </c>
      <c r="M36" s="11" t="s">
        <v>112</v>
      </c>
      <c r="N36" s="11" t="s">
        <v>112</v>
      </c>
      <c r="O36" s="11" t="s">
        <v>112</v>
      </c>
      <c r="P36" s="68"/>
      <c r="Q36" s="60"/>
      <c r="R36" s="11" t="s">
        <v>112</v>
      </c>
      <c r="S36" s="11" t="s">
        <v>111</v>
      </c>
      <c r="T36" s="11" t="s">
        <v>111</v>
      </c>
      <c r="U36" s="11" t="s">
        <v>112</v>
      </c>
      <c r="V36" s="11" t="s">
        <v>112</v>
      </c>
      <c r="W36" s="11" t="s">
        <v>112</v>
      </c>
      <c r="X36" s="60"/>
      <c r="Y36" s="11" t="s">
        <v>111</v>
      </c>
      <c r="Z36" s="11" t="s">
        <v>112</v>
      </c>
      <c r="AA36" s="11" t="s">
        <v>112</v>
      </c>
      <c r="AB36" s="11" t="s">
        <v>112</v>
      </c>
      <c r="AC36" s="11" t="s">
        <v>112</v>
      </c>
      <c r="AD36" s="11" t="s">
        <v>112</v>
      </c>
      <c r="AE36" s="60"/>
      <c r="AF36" s="11" t="s">
        <v>112</v>
      </c>
      <c r="AG36" s="11" t="s">
        <v>112</v>
      </c>
      <c r="AH36" s="11" t="s">
        <v>112</v>
      </c>
      <c r="AI36" s="11" t="s">
        <v>112</v>
      </c>
      <c r="AJ36" s="5">
        <f t="shared" si="2"/>
        <v>23</v>
      </c>
      <c r="AK36" s="5">
        <f t="shared" si="1"/>
        <v>3</v>
      </c>
    </row>
    <row r="37" spans="1:37" x14ac:dyDescent="0.25">
      <c r="A37" s="6">
        <v>8</v>
      </c>
      <c r="B37" s="35" t="s">
        <v>746</v>
      </c>
      <c r="C37" s="35" t="s">
        <v>747</v>
      </c>
      <c r="D37" s="10" t="s">
        <v>711</v>
      </c>
      <c r="E37" s="11" t="s">
        <v>112</v>
      </c>
      <c r="F37" s="11" t="s">
        <v>112</v>
      </c>
      <c r="G37" s="11" t="s">
        <v>112</v>
      </c>
      <c r="H37" s="11" t="s">
        <v>112</v>
      </c>
      <c r="I37" s="11" t="s">
        <v>112</v>
      </c>
      <c r="J37" s="60"/>
      <c r="K37" s="11" t="s">
        <v>112</v>
      </c>
      <c r="L37" s="11" t="s">
        <v>112</v>
      </c>
      <c r="M37" s="11" t="s">
        <v>112</v>
      </c>
      <c r="N37" s="11" t="s">
        <v>112</v>
      </c>
      <c r="O37" s="11" t="s">
        <v>112</v>
      </c>
      <c r="P37" s="68"/>
      <c r="Q37" s="60"/>
      <c r="R37" s="11" t="s">
        <v>112</v>
      </c>
      <c r="S37" s="11" t="s">
        <v>111</v>
      </c>
      <c r="T37" s="11" t="s">
        <v>111</v>
      </c>
      <c r="U37" s="11" t="s">
        <v>112</v>
      </c>
      <c r="V37" s="11" t="s">
        <v>112</v>
      </c>
      <c r="W37" s="11" t="s">
        <v>112</v>
      </c>
      <c r="X37" s="60"/>
      <c r="Y37" s="11" t="s">
        <v>112</v>
      </c>
      <c r="Z37" s="11" t="s">
        <v>112</v>
      </c>
      <c r="AA37" s="11" t="s">
        <v>112</v>
      </c>
      <c r="AB37" s="11" t="s">
        <v>112</v>
      </c>
      <c r="AC37" s="11" t="s">
        <v>112</v>
      </c>
      <c r="AD37" s="11" t="s">
        <v>112</v>
      </c>
      <c r="AE37" s="60"/>
      <c r="AF37" s="11" t="s">
        <v>112</v>
      </c>
      <c r="AG37" s="11" t="s">
        <v>112</v>
      </c>
      <c r="AH37" s="11" t="s">
        <v>112</v>
      </c>
      <c r="AI37" s="11" t="s">
        <v>112</v>
      </c>
      <c r="AJ37" s="5">
        <f t="shared" si="2"/>
        <v>24</v>
      </c>
      <c r="AK37" s="5">
        <f t="shared" si="1"/>
        <v>2</v>
      </c>
    </row>
    <row r="38" spans="1:37" x14ac:dyDescent="0.25">
      <c r="A38" s="13">
        <v>9</v>
      </c>
      <c r="B38" s="23" t="s">
        <v>84</v>
      </c>
      <c r="C38" s="23" t="s">
        <v>36</v>
      </c>
      <c r="D38" s="10" t="s">
        <v>711</v>
      </c>
      <c r="E38" s="11" t="s">
        <v>112</v>
      </c>
      <c r="F38" s="11" t="s">
        <v>112</v>
      </c>
      <c r="G38" s="11" t="s">
        <v>112</v>
      </c>
      <c r="H38" s="11" t="s">
        <v>112</v>
      </c>
      <c r="I38" s="11" t="s">
        <v>112</v>
      </c>
      <c r="J38" s="60"/>
      <c r="K38" s="11" t="s">
        <v>112</v>
      </c>
      <c r="L38" s="11" t="s">
        <v>112</v>
      </c>
      <c r="M38" s="11" t="s">
        <v>112</v>
      </c>
      <c r="N38" s="11" t="s">
        <v>112</v>
      </c>
      <c r="O38" s="11" t="s">
        <v>112</v>
      </c>
      <c r="P38" s="68"/>
      <c r="Q38" s="60"/>
      <c r="R38" s="11" t="s">
        <v>112</v>
      </c>
      <c r="S38" s="11" t="s">
        <v>111</v>
      </c>
      <c r="T38" s="11" t="s">
        <v>111</v>
      </c>
      <c r="U38" s="11" t="s">
        <v>112</v>
      </c>
      <c r="V38" s="11" t="s">
        <v>112</v>
      </c>
      <c r="W38" s="11" t="s">
        <v>112</v>
      </c>
      <c r="X38" s="60"/>
      <c r="Y38" s="11" t="s">
        <v>112</v>
      </c>
      <c r="Z38" s="11" t="s">
        <v>112</v>
      </c>
      <c r="AA38" s="11" t="s">
        <v>112</v>
      </c>
      <c r="AB38" s="11" t="s">
        <v>112</v>
      </c>
      <c r="AC38" s="11" t="s">
        <v>112</v>
      </c>
      <c r="AD38" s="11" t="s">
        <v>112</v>
      </c>
      <c r="AE38" s="60"/>
      <c r="AF38" s="11" t="s">
        <v>112</v>
      </c>
      <c r="AG38" s="11" t="s">
        <v>112</v>
      </c>
      <c r="AH38" s="11" t="s">
        <v>112</v>
      </c>
      <c r="AI38" s="11" t="s">
        <v>112</v>
      </c>
      <c r="AJ38" s="5">
        <f t="shared" si="2"/>
        <v>24</v>
      </c>
      <c r="AK38" s="5">
        <f t="shared" si="1"/>
        <v>2</v>
      </c>
    </row>
    <row r="39" spans="1:37" x14ac:dyDescent="0.25">
      <c r="A39" s="6">
        <v>10</v>
      </c>
      <c r="B39" s="23" t="s">
        <v>748</v>
      </c>
      <c r="C39" s="23" t="s">
        <v>749</v>
      </c>
      <c r="D39" s="10" t="s">
        <v>711</v>
      </c>
      <c r="E39" s="11" t="s">
        <v>112</v>
      </c>
      <c r="F39" s="11" t="s">
        <v>112</v>
      </c>
      <c r="G39" s="11" t="s">
        <v>112</v>
      </c>
      <c r="H39" s="11" t="s">
        <v>112</v>
      </c>
      <c r="I39" s="11" t="s">
        <v>112</v>
      </c>
      <c r="J39" s="60"/>
      <c r="K39" s="11" t="s">
        <v>112</v>
      </c>
      <c r="L39" s="11" t="s">
        <v>112</v>
      </c>
      <c r="M39" s="11" t="s">
        <v>112</v>
      </c>
      <c r="N39" s="11" t="s">
        <v>112</v>
      </c>
      <c r="O39" s="11" t="s">
        <v>112</v>
      </c>
      <c r="P39" s="68"/>
      <c r="Q39" s="60"/>
      <c r="R39" s="11" t="s">
        <v>111</v>
      </c>
      <c r="S39" s="11" t="s">
        <v>111</v>
      </c>
      <c r="T39" s="11" t="s">
        <v>111</v>
      </c>
      <c r="U39" s="11" t="s">
        <v>112</v>
      </c>
      <c r="V39" s="11" t="s">
        <v>112</v>
      </c>
      <c r="W39" s="11" t="s">
        <v>112</v>
      </c>
      <c r="X39" s="60"/>
      <c r="Y39" s="11" t="s">
        <v>112</v>
      </c>
      <c r="Z39" s="11" t="s">
        <v>112</v>
      </c>
      <c r="AA39" s="11" t="s">
        <v>112</v>
      </c>
      <c r="AB39" s="11" t="s">
        <v>112</v>
      </c>
      <c r="AC39" s="11" t="s">
        <v>112</v>
      </c>
      <c r="AD39" s="11" t="s">
        <v>112</v>
      </c>
      <c r="AE39" s="60"/>
      <c r="AF39" s="11" t="s">
        <v>112</v>
      </c>
      <c r="AG39" s="11" t="s">
        <v>112</v>
      </c>
      <c r="AH39" s="11" t="s">
        <v>112</v>
      </c>
      <c r="AI39" s="11" t="s">
        <v>112</v>
      </c>
      <c r="AJ39" s="5">
        <f t="shared" si="2"/>
        <v>23</v>
      </c>
      <c r="AK39" s="5">
        <f t="shared" si="1"/>
        <v>3</v>
      </c>
    </row>
    <row r="40" spans="1:37" x14ac:dyDescent="0.25">
      <c r="A40" s="13">
        <v>11</v>
      </c>
      <c r="B40" s="23" t="s">
        <v>750</v>
      </c>
      <c r="C40" s="23" t="s">
        <v>751</v>
      </c>
      <c r="D40" s="10" t="s">
        <v>711</v>
      </c>
      <c r="E40" s="11" t="s">
        <v>112</v>
      </c>
      <c r="F40" s="11" t="s">
        <v>112</v>
      </c>
      <c r="G40" s="11" t="s">
        <v>112</v>
      </c>
      <c r="H40" s="11" t="s">
        <v>112</v>
      </c>
      <c r="I40" s="11" t="s">
        <v>112</v>
      </c>
      <c r="J40" s="60"/>
      <c r="K40" s="11" t="s">
        <v>112</v>
      </c>
      <c r="L40" s="11" t="s">
        <v>112</v>
      </c>
      <c r="M40" s="11" t="s">
        <v>112</v>
      </c>
      <c r="N40" s="11" t="s">
        <v>112</v>
      </c>
      <c r="O40" s="11" t="s">
        <v>112</v>
      </c>
      <c r="P40" s="68"/>
      <c r="Q40" s="60"/>
      <c r="R40" s="11" t="s">
        <v>112</v>
      </c>
      <c r="S40" s="11" t="s">
        <v>111</v>
      </c>
      <c r="T40" s="11" t="s">
        <v>111</v>
      </c>
      <c r="U40" s="11" t="s">
        <v>112</v>
      </c>
      <c r="V40" s="11" t="s">
        <v>112</v>
      </c>
      <c r="W40" s="11" t="s">
        <v>112</v>
      </c>
      <c r="X40" s="60"/>
      <c r="Y40" s="11" t="s">
        <v>112</v>
      </c>
      <c r="Z40" s="11" t="s">
        <v>112</v>
      </c>
      <c r="AA40" s="11" t="s">
        <v>112</v>
      </c>
      <c r="AB40" s="11" t="s">
        <v>112</v>
      </c>
      <c r="AC40" s="11" t="s">
        <v>112</v>
      </c>
      <c r="AD40" s="11" t="s">
        <v>112</v>
      </c>
      <c r="AE40" s="60"/>
      <c r="AF40" s="11" t="s">
        <v>112</v>
      </c>
      <c r="AG40" s="11" t="s">
        <v>112</v>
      </c>
      <c r="AH40" s="11" t="s">
        <v>112</v>
      </c>
      <c r="AI40" s="11" t="s">
        <v>112</v>
      </c>
      <c r="AJ40" s="5">
        <f t="shared" si="2"/>
        <v>24</v>
      </c>
      <c r="AK40" s="5">
        <f t="shared" si="1"/>
        <v>2</v>
      </c>
    </row>
    <row r="41" spans="1:37" x14ac:dyDescent="0.25">
      <c r="A41" s="6">
        <v>12</v>
      </c>
      <c r="B41" s="23" t="s">
        <v>752</v>
      </c>
      <c r="C41" s="23" t="s">
        <v>753</v>
      </c>
      <c r="D41" s="10" t="s">
        <v>711</v>
      </c>
      <c r="E41" s="11" t="s">
        <v>112</v>
      </c>
      <c r="F41" s="11" t="s">
        <v>112</v>
      </c>
      <c r="G41" s="11" t="s">
        <v>112</v>
      </c>
      <c r="H41" s="11" t="s">
        <v>112</v>
      </c>
      <c r="I41" s="11" t="s">
        <v>112</v>
      </c>
      <c r="J41" s="60"/>
      <c r="K41" s="11" t="s">
        <v>112</v>
      </c>
      <c r="L41" s="11" t="s">
        <v>112</v>
      </c>
      <c r="M41" s="11" t="s">
        <v>112</v>
      </c>
      <c r="N41" s="11" t="s">
        <v>112</v>
      </c>
      <c r="O41" s="11" t="s">
        <v>112</v>
      </c>
      <c r="P41" s="68"/>
      <c r="Q41" s="60"/>
      <c r="R41" s="11" t="s">
        <v>112</v>
      </c>
      <c r="S41" s="11" t="s">
        <v>111</v>
      </c>
      <c r="T41" s="11" t="s">
        <v>111</v>
      </c>
      <c r="U41" s="11" t="s">
        <v>112</v>
      </c>
      <c r="V41" s="11" t="s">
        <v>112</v>
      </c>
      <c r="W41" s="11" t="s">
        <v>112</v>
      </c>
      <c r="X41" s="60"/>
      <c r="Y41" s="11" t="s">
        <v>112</v>
      </c>
      <c r="Z41" s="11" t="s">
        <v>112</v>
      </c>
      <c r="AA41" s="11" t="s">
        <v>112</v>
      </c>
      <c r="AB41" s="11" t="s">
        <v>112</v>
      </c>
      <c r="AC41" s="11" t="s">
        <v>112</v>
      </c>
      <c r="AD41" s="11" t="s">
        <v>112</v>
      </c>
      <c r="AE41" s="60"/>
      <c r="AF41" s="11" t="s">
        <v>112</v>
      </c>
      <c r="AG41" s="11" t="s">
        <v>112</v>
      </c>
      <c r="AH41" s="11" t="s">
        <v>112</v>
      </c>
      <c r="AI41" s="11" t="s">
        <v>112</v>
      </c>
      <c r="AJ41" s="5">
        <f t="shared" si="2"/>
        <v>24</v>
      </c>
      <c r="AK41" s="5">
        <f t="shared" si="1"/>
        <v>2</v>
      </c>
    </row>
    <row r="42" spans="1:37" x14ac:dyDescent="0.25">
      <c r="A42" s="13">
        <v>13</v>
      </c>
      <c r="B42" s="23" t="s">
        <v>754</v>
      </c>
      <c r="C42" s="23" t="s">
        <v>755</v>
      </c>
      <c r="D42" s="10" t="s">
        <v>711</v>
      </c>
      <c r="E42" s="11" t="s">
        <v>112</v>
      </c>
      <c r="F42" s="11" t="s">
        <v>112</v>
      </c>
      <c r="G42" s="11" t="s">
        <v>112</v>
      </c>
      <c r="H42" s="11" t="s">
        <v>112</v>
      </c>
      <c r="I42" s="11" t="s">
        <v>112</v>
      </c>
      <c r="J42" s="60"/>
      <c r="K42" s="11" t="s">
        <v>112</v>
      </c>
      <c r="L42" s="11" t="s">
        <v>112</v>
      </c>
      <c r="M42" s="11" t="s">
        <v>112</v>
      </c>
      <c r="N42" s="11" t="s">
        <v>112</v>
      </c>
      <c r="O42" s="11" t="s">
        <v>111</v>
      </c>
      <c r="P42" s="68"/>
      <c r="Q42" s="60"/>
      <c r="R42" s="11" t="s">
        <v>112</v>
      </c>
      <c r="S42" s="11" t="s">
        <v>111</v>
      </c>
      <c r="T42" s="11" t="s">
        <v>111</v>
      </c>
      <c r="U42" s="11" t="s">
        <v>112</v>
      </c>
      <c r="V42" s="11" t="s">
        <v>112</v>
      </c>
      <c r="W42" s="11" t="s">
        <v>112</v>
      </c>
      <c r="X42" s="60"/>
      <c r="Y42" s="11" t="s">
        <v>112</v>
      </c>
      <c r="Z42" s="11" t="s">
        <v>112</v>
      </c>
      <c r="AA42" s="11" t="s">
        <v>112</v>
      </c>
      <c r="AB42" s="11" t="s">
        <v>112</v>
      </c>
      <c r="AC42" s="11" t="s">
        <v>112</v>
      </c>
      <c r="AD42" s="11" t="s">
        <v>111</v>
      </c>
      <c r="AE42" s="60"/>
      <c r="AF42" s="11" t="s">
        <v>112</v>
      </c>
      <c r="AG42" s="11" t="s">
        <v>112</v>
      </c>
      <c r="AH42" s="11" t="s">
        <v>112</v>
      </c>
      <c r="AI42" s="11" t="s">
        <v>112</v>
      </c>
      <c r="AJ42" s="5">
        <f t="shared" si="2"/>
        <v>22</v>
      </c>
      <c r="AK42" s="5">
        <f t="shared" si="1"/>
        <v>4</v>
      </c>
    </row>
    <row r="43" spans="1:37" x14ac:dyDescent="0.25">
      <c r="A43" s="6">
        <v>14</v>
      </c>
      <c r="B43" s="23" t="s">
        <v>756</v>
      </c>
      <c r="C43" s="23" t="s">
        <v>34</v>
      </c>
      <c r="D43" s="10" t="s">
        <v>711</v>
      </c>
      <c r="E43" s="11" t="s">
        <v>111</v>
      </c>
      <c r="F43" s="11" t="s">
        <v>112</v>
      </c>
      <c r="G43" s="11" t="s">
        <v>112</v>
      </c>
      <c r="H43" s="11" t="s">
        <v>112</v>
      </c>
      <c r="I43" s="11" t="s">
        <v>111</v>
      </c>
      <c r="J43" s="60"/>
      <c r="K43" s="11" t="s">
        <v>112</v>
      </c>
      <c r="L43" s="11" t="s">
        <v>112</v>
      </c>
      <c r="M43" s="11" t="s">
        <v>112</v>
      </c>
      <c r="N43" s="11" t="s">
        <v>111</v>
      </c>
      <c r="O43" s="11" t="s">
        <v>111</v>
      </c>
      <c r="P43" s="68"/>
      <c r="Q43" s="60"/>
      <c r="R43" s="11" t="s">
        <v>112</v>
      </c>
      <c r="S43" s="11" t="s">
        <v>111</v>
      </c>
      <c r="T43" s="11" t="s">
        <v>111</v>
      </c>
      <c r="U43" s="11" t="s">
        <v>111</v>
      </c>
      <c r="V43" s="11" t="s">
        <v>112</v>
      </c>
      <c r="W43" s="11" t="s">
        <v>111</v>
      </c>
      <c r="X43" s="60"/>
      <c r="Y43" s="11" t="s">
        <v>112</v>
      </c>
      <c r="Z43" s="11" t="s">
        <v>112</v>
      </c>
      <c r="AA43" s="11" t="s">
        <v>112</v>
      </c>
      <c r="AB43" s="11" t="s">
        <v>111</v>
      </c>
      <c r="AC43" s="11" t="s">
        <v>111</v>
      </c>
      <c r="AD43" s="11" t="s">
        <v>111</v>
      </c>
      <c r="AE43" s="60"/>
      <c r="AF43" s="11" t="s">
        <v>112</v>
      </c>
      <c r="AG43" s="11" t="s">
        <v>112</v>
      </c>
      <c r="AH43" s="11" t="s">
        <v>112</v>
      </c>
      <c r="AI43" s="11" t="s">
        <v>112</v>
      </c>
      <c r="AJ43" s="5">
        <f t="shared" si="2"/>
        <v>15</v>
      </c>
      <c r="AK43" s="5">
        <f t="shared" si="1"/>
        <v>11</v>
      </c>
    </row>
    <row r="44" spans="1:37" x14ac:dyDescent="0.25">
      <c r="A44" s="13">
        <v>15</v>
      </c>
      <c r="B44" s="23" t="s">
        <v>757</v>
      </c>
      <c r="C44" s="23" t="s">
        <v>758</v>
      </c>
      <c r="D44" s="10" t="s">
        <v>711</v>
      </c>
      <c r="E44" s="11" t="s">
        <v>112</v>
      </c>
      <c r="F44" s="11" t="s">
        <v>112</v>
      </c>
      <c r="G44" s="11" t="s">
        <v>112</v>
      </c>
      <c r="H44" s="11" t="s">
        <v>112</v>
      </c>
      <c r="I44" s="11" t="s">
        <v>112</v>
      </c>
      <c r="J44" s="60"/>
      <c r="K44" s="11" t="s">
        <v>112</v>
      </c>
      <c r="L44" s="11" t="s">
        <v>112</v>
      </c>
      <c r="M44" s="11" t="s">
        <v>112</v>
      </c>
      <c r="N44" s="11" t="s">
        <v>112</v>
      </c>
      <c r="O44" s="11" t="s">
        <v>112</v>
      </c>
      <c r="P44" s="68"/>
      <c r="Q44" s="60"/>
      <c r="R44" s="11" t="s">
        <v>112</v>
      </c>
      <c r="S44" s="11" t="s">
        <v>111</v>
      </c>
      <c r="T44" s="11" t="s">
        <v>111</v>
      </c>
      <c r="U44" s="11" t="s">
        <v>112</v>
      </c>
      <c r="V44" s="11" t="s">
        <v>112</v>
      </c>
      <c r="W44" s="11" t="s">
        <v>112</v>
      </c>
      <c r="X44" s="60"/>
      <c r="Y44" s="11" t="s">
        <v>112</v>
      </c>
      <c r="Z44" s="11" t="s">
        <v>112</v>
      </c>
      <c r="AA44" s="11" t="s">
        <v>112</v>
      </c>
      <c r="AB44" s="11" t="s">
        <v>112</v>
      </c>
      <c r="AC44" s="11" t="s">
        <v>112</v>
      </c>
      <c r="AD44" s="11" t="s">
        <v>112</v>
      </c>
      <c r="AE44" s="60"/>
      <c r="AF44" s="11" t="s">
        <v>112</v>
      </c>
      <c r="AG44" s="11" t="s">
        <v>112</v>
      </c>
      <c r="AH44" s="11" t="s">
        <v>112</v>
      </c>
      <c r="AI44" s="11" t="s">
        <v>112</v>
      </c>
      <c r="AJ44" s="5">
        <f t="shared" si="2"/>
        <v>24</v>
      </c>
      <c r="AK44" s="5">
        <f t="shared" si="1"/>
        <v>2</v>
      </c>
    </row>
    <row r="45" spans="1:37" x14ac:dyDescent="0.25">
      <c r="A45" s="6">
        <v>16</v>
      </c>
      <c r="B45" s="23" t="s">
        <v>759</v>
      </c>
      <c r="C45" s="23" t="s">
        <v>760</v>
      </c>
      <c r="D45" s="10" t="s">
        <v>711</v>
      </c>
      <c r="E45" s="11" t="s">
        <v>112</v>
      </c>
      <c r="F45" s="11" t="s">
        <v>112</v>
      </c>
      <c r="G45" s="11" t="s">
        <v>112</v>
      </c>
      <c r="H45" s="11" t="s">
        <v>112</v>
      </c>
      <c r="I45" s="11" t="s">
        <v>112</v>
      </c>
      <c r="J45" s="60"/>
      <c r="K45" s="11" t="s">
        <v>112</v>
      </c>
      <c r="L45" s="11" t="s">
        <v>112</v>
      </c>
      <c r="M45" s="11" t="s">
        <v>112</v>
      </c>
      <c r="N45" s="11" t="s">
        <v>112</v>
      </c>
      <c r="O45" s="11" t="s">
        <v>112</v>
      </c>
      <c r="P45" s="68"/>
      <c r="Q45" s="60"/>
      <c r="R45" s="11" t="s">
        <v>112</v>
      </c>
      <c r="S45" s="11" t="s">
        <v>111</v>
      </c>
      <c r="T45" s="11" t="s">
        <v>111</v>
      </c>
      <c r="U45" s="11" t="s">
        <v>112</v>
      </c>
      <c r="V45" s="11" t="s">
        <v>112</v>
      </c>
      <c r="W45" s="11" t="s">
        <v>112</v>
      </c>
      <c r="X45" s="60"/>
      <c r="Y45" s="11" t="s">
        <v>112</v>
      </c>
      <c r="Z45" s="11" t="s">
        <v>112</v>
      </c>
      <c r="AA45" s="11" t="s">
        <v>112</v>
      </c>
      <c r="AB45" s="11" t="s">
        <v>112</v>
      </c>
      <c r="AC45" s="11" t="s">
        <v>111</v>
      </c>
      <c r="AD45" s="11" t="s">
        <v>111</v>
      </c>
      <c r="AE45" s="60"/>
      <c r="AF45" s="11" t="s">
        <v>111</v>
      </c>
      <c r="AG45" s="11" t="s">
        <v>111</v>
      </c>
      <c r="AH45" s="11" t="s">
        <v>111</v>
      </c>
      <c r="AI45" s="11" t="s">
        <v>111</v>
      </c>
      <c r="AJ45" s="5">
        <f t="shared" si="2"/>
        <v>18</v>
      </c>
      <c r="AK45" s="5">
        <f t="shared" si="1"/>
        <v>7</v>
      </c>
    </row>
    <row r="46" spans="1:37" x14ac:dyDescent="0.25">
      <c r="A46" s="13">
        <v>17</v>
      </c>
      <c r="B46" s="23" t="s">
        <v>761</v>
      </c>
      <c r="C46" s="23" t="s">
        <v>95</v>
      </c>
      <c r="D46" s="10" t="s">
        <v>711</v>
      </c>
      <c r="E46" s="11" t="s">
        <v>112</v>
      </c>
      <c r="F46" s="11" t="s">
        <v>112</v>
      </c>
      <c r="G46" s="11" t="s">
        <v>112</v>
      </c>
      <c r="H46" s="11" t="s">
        <v>112</v>
      </c>
      <c r="I46" s="11" t="s">
        <v>112</v>
      </c>
      <c r="J46" s="60"/>
      <c r="K46" s="11" t="s">
        <v>112</v>
      </c>
      <c r="L46" s="11" t="s">
        <v>112</v>
      </c>
      <c r="M46" s="11" t="s">
        <v>112</v>
      </c>
      <c r="N46" s="11" t="s">
        <v>112</v>
      </c>
      <c r="O46" s="11" t="s">
        <v>112</v>
      </c>
      <c r="P46" s="68"/>
      <c r="Q46" s="60"/>
      <c r="R46" s="11" t="s">
        <v>112</v>
      </c>
      <c r="S46" s="11" t="s">
        <v>111</v>
      </c>
      <c r="T46" s="11" t="s">
        <v>111</v>
      </c>
      <c r="U46" s="11" t="s">
        <v>112</v>
      </c>
      <c r="V46" s="11" t="s">
        <v>112</v>
      </c>
      <c r="W46" s="11" t="s">
        <v>112</v>
      </c>
      <c r="X46" s="60"/>
      <c r="Y46" s="11" t="s">
        <v>112</v>
      </c>
      <c r="Z46" s="11" t="s">
        <v>112</v>
      </c>
      <c r="AA46" s="11" t="s">
        <v>112</v>
      </c>
      <c r="AB46" s="11" t="s">
        <v>112</v>
      </c>
      <c r="AC46" s="11" t="s">
        <v>112</v>
      </c>
      <c r="AD46" s="11" t="s">
        <v>111</v>
      </c>
      <c r="AE46" s="60"/>
      <c r="AF46" s="11" t="s">
        <v>112</v>
      </c>
      <c r="AG46" s="11" t="s">
        <v>112</v>
      </c>
      <c r="AH46" s="11" t="s">
        <v>112</v>
      </c>
      <c r="AI46" s="11" t="s">
        <v>112</v>
      </c>
      <c r="AJ46" s="5">
        <f t="shared" si="2"/>
        <v>23</v>
      </c>
      <c r="AK46" s="5">
        <f t="shared" si="1"/>
        <v>3</v>
      </c>
    </row>
    <row r="47" spans="1:37" x14ac:dyDescent="0.25">
      <c r="A47" s="6">
        <v>18</v>
      </c>
      <c r="B47" s="42" t="s">
        <v>389</v>
      </c>
      <c r="C47" s="42" t="s">
        <v>762</v>
      </c>
      <c r="D47" s="10" t="s">
        <v>711</v>
      </c>
      <c r="E47" s="11" t="s">
        <v>112</v>
      </c>
      <c r="F47" s="11" t="s">
        <v>111</v>
      </c>
      <c r="G47" s="11" t="s">
        <v>112</v>
      </c>
      <c r="H47" s="11" t="s">
        <v>112</v>
      </c>
      <c r="I47" s="11" t="s">
        <v>111</v>
      </c>
      <c r="J47" s="60"/>
      <c r="K47" s="11" t="s">
        <v>111</v>
      </c>
      <c r="L47" s="11" t="s">
        <v>111</v>
      </c>
      <c r="M47" s="11" t="s">
        <v>111</v>
      </c>
      <c r="N47" s="11" t="s">
        <v>111</v>
      </c>
      <c r="O47" s="11" t="s">
        <v>112</v>
      </c>
      <c r="P47" s="68"/>
      <c r="Q47" s="60"/>
      <c r="R47" s="11" t="s">
        <v>112</v>
      </c>
      <c r="S47" s="11" t="s">
        <v>111</v>
      </c>
      <c r="T47" s="11" t="s">
        <v>111</v>
      </c>
      <c r="U47" s="11" t="s">
        <v>112</v>
      </c>
      <c r="V47" s="11" t="s">
        <v>112</v>
      </c>
      <c r="W47" s="11" t="s">
        <v>111</v>
      </c>
      <c r="X47" s="60"/>
      <c r="Y47" s="11" t="s">
        <v>112</v>
      </c>
      <c r="Z47" s="11" t="s">
        <v>113</v>
      </c>
      <c r="AA47" s="11" t="s">
        <v>111</v>
      </c>
      <c r="AB47" s="11" t="s">
        <v>111</v>
      </c>
      <c r="AC47" s="11" t="s">
        <v>111</v>
      </c>
      <c r="AD47" s="11" t="s">
        <v>112</v>
      </c>
      <c r="AE47" s="60"/>
      <c r="AF47" s="11" t="s">
        <v>112</v>
      </c>
      <c r="AG47" s="11" t="s">
        <v>112</v>
      </c>
      <c r="AH47" s="11" t="s">
        <v>112</v>
      </c>
      <c r="AI47" s="11" t="s">
        <v>112</v>
      </c>
      <c r="AJ47" s="5">
        <f t="shared" si="2"/>
        <v>13</v>
      </c>
      <c r="AK47" s="22">
        <f t="shared" si="1"/>
        <v>12</v>
      </c>
    </row>
    <row r="48" spans="1:37" x14ac:dyDescent="0.25">
      <c r="A48" s="13">
        <v>19</v>
      </c>
      <c r="B48" s="23" t="s">
        <v>763</v>
      </c>
      <c r="C48" s="23" t="s">
        <v>764</v>
      </c>
      <c r="D48" s="10" t="s">
        <v>711</v>
      </c>
      <c r="E48" s="11" t="s">
        <v>112</v>
      </c>
      <c r="F48" s="11" t="s">
        <v>112</v>
      </c>
      <c r="G48" s="11" t="s">
        <v>112</v>
      </c>
      <c r="H48" s="11" t="s">
        <v>112</v>
      </c>
      <c r="I48" s="11" t="s">
        <v>112</v>
      </c>
      <c r="J48" s="61"/>
      <c r="K48" s="11" t="s">
        <v>112</v>
      </c>
      <c r="L48" s="11" t="s">
        <v>112</v>
      </c>
      <c r="M48" s="11" t="s">
        <v>112</v>
      </c>
      <c r="N48" s="11" t="s">
        <v>112</v>
      </c>
      <c r="O48" s="11" t="s">
        <v>112</v>
      </c>
      <c r="P48" s="69"/>
      <c r="Q48" s="61"/>
      <c r="R48" s="11" t="s">
        <v>112</v>
      </c>
      <c r="S48" s="11" t="s">
        <v>111</v>
      </c>
      <c r="T48" s="11" t="s">
        <v>111</v>
      </c>
      <c r="U48" s="11" t="s">
        <v>112</v>
      </c>
      <c r="V48" s="11" t="s">
        <v>112</v>
      </c>
      <c r="W48" s="11" t="s">
        <v>112</v>
      </c>
      <c r="X48" s="61"/>
      <c r="Y48" s="11" t="s">
        <v>112</v>
      </c>
      <c r="Z48" s="11" t="s">
        <v>112</v>
      </c>
      <c r="AA48" s="11" t="s">
        <v>112</v>
      </c>
      <c r="AB48" s="11" t="s">
        <v>112</v>
      </c>
      <c r="AC48" s="11" t="s">
        <v>112</v>
      </c>
      <c r="AD48" s="11" t="s">
        <v>112</v>
      </c>
      <c r="AE48" s="61"/>
      <c r="AF48" s="11" t="s">
        <v>112</v>
      </c>
      <c r="AG48" s="11" t="s">
        <v>112</v>
      </c>
      <c r="AH48" s="11" t="s">
        <v>112</v>
      </c>
      <c r="AI48" s="11" t="s">
        <v>112</v>
      </c>
      <c r="AJ48" s="5">
        <f t="shared" si="2"/>
        <v>24</v>
      </c>
      <c r="AK48" s="5">
        <f t="shared" si="1"/>
        <v>2</v>
      </c>
    </row>
  </sheetData>
  <mergeCells count="16">
    <mergeCell ref="A1:AK1"/>
    <mergeCell ref="A2:AK2"/>
    <mergeCell ref="A3:A4"/>
    <mergeCell ref="B3:B4"/>
    <mergeCell ref="C3:C4"/>
    <mergeCell ref="D3:D4"/>
    <mergeCell ref="AJ3:AJ4"/>
    <mergeCell ref="AK3:AK4"/>
    <mergeCell ref="AL3:AM3"/>
    <mergeCell ref="J5:J48"/>
    <mergeCell ref="P5:P48"/>
    <mergeCell ref="Q5:Q48"/>
    <mergeCell ref="X5:X48"/>
    <mergeCell ref="AE5:AE48"/>
    <mergeCell ref="AL9:AO9"/>
    <mergeCell ref="AL17:AO17"/>
  </mergeCells>
  <conditionalFormatting sqref="E5:I48 K5:O48 R5:W48 Y5:AD48 AF5:AI48 E4:AI4">
    <cfRule type="expression" dxfId="63" priority="48">
      <formula>IF(E$4=TODAY(),TRUE,FALSE)</formula>
    </cfRule>
  </conditionalFormatting>
  <conditionalFormatting sqref="E5:I48 K5:O48 R5:W48 Y5:AD48 AF5:AI48">
    <cfRule type="cellIs" dxfId="62" priority="45" operator="equal">
      <formula>"L"</formula>
    </cfRule>
    <cfRule type="cellIs" dxfId="61" priority="46" operator="equal">
      <formula>"A"</formula>
    </cfRule>
    <cfRule type="cellIs" dxfId="60" priority="47" operator="equal">
      <formula>"P"</formula>
    </cfRule>
  </conditionalFormatting>
  <conditionalFormatting sqref="E3:AI4 E5:I48 K5:O48 R5:W48 Y5:AD48 AF5:AI48">
    <cfRule type="expression" dxfId="59" priority="49">
      <formula>E$3="Sun"</formula>
    </cfRule>
  </conditionalFormatting>
  <conditionalFormatting sqref="J5">
    <cfRule type="cellIs" dxfId="58" priority="23" operator="equal">
      <formula>"L"</formula>
    </cfRule>
    <cfRule type="cellIs" dxfId="57" priority="24" operator="equal">
      <formula>"A"</formula>
    </cfRule>
    <cfRule type="cellIs" dxfId="56" priority="25" operator="equal">
      <formula>"P"</formula>
    </cfRule>
    <cfRule type="expression" dxfId="55" priority="26">
      <formula>IF(J$4=TODAY(),TRUE,FALSE)</formula>
    </cfRule>
    <cfRule type="expression" dxfId="54" priority="27">
      <formula>J$3="Sun"</formula>
    </cfRule>
  </conditionalFormatting>
  <conditionalFormatting sqref="P5:Q5">
    <cfRule type="expression" dxfId="53" priority="22">
      <formula>P$3="Sun"</formula>
    </cfRule>
    <cfRule type="expression" dxfId="52" priority="21">
      <formula>IF(P$4=TODAY(),TRUE,FALSE)</formula>
    </cfRule>
    <cfRule type="cellIs" dxfId="51" priority="20" operator="equal">
      <formula>"P"</formula>
    </cfRule>
    <cfRule type="cellIs" dxfId="50" priority="19" operator="equal">
      <formula>"A"</formula>
    </cfRule>
    <cfRule type="cellIs" dxfId="49" priority="18" operator="equal">
      <formula>"L"</formula>
    </cfRule>
  </conditionalFormatting>
  <conditionalFormatting sqref="X5">
    <cfRule type="expression" dxfId="48" priority="17">
      <formula>X$3="Sun"</formula>
    </cfRule>
    <cfRule type="cellIs" dxfId="47" priority="13" operator="equal">
      <formula>"L"</formula>
    </cfRule>
    <cfRule type="cellIs" dxfId="46" priority="14" operator="equal">
      <formula>"A"</formula>
    </cfRule>
    <cfRule type="cellIs" dxfId="45" priority="15" operator="equal">
      <formula>"P"</formula>
    </cfRule>
    <cfRule type="expression" dxfId="44" priority="16">
      <formula>IF(X$4=TODAY(),TRUE,FALSE)</formula>
    </cfRule>
  </conditionalFormatting>
  <conditionalFormatting sqref="AE5">
    <cfRule type="cellIs" dxfId="43" priority="8" operator="equal">
      <formula>"L"</formula>
    </cfRule>
    <cfRule type="cellIs" dxfId="42" priority="9" operator="equal">
      <formula>"A"</formula>
    </cfRule>
    <cfRule type="cellIs" dxfId="41" priority="10" operator="equal">
      <formula>"P"</formula>
    </cfRule>
    <cfRule type="expression" dxfId="40" priority="11">
      <formula>IF(AE$4=TODAY(),TRUE,FALSE)</formula>
    </cfRule>
    <cfRule type="expression" dxfId="39" priority="12">
      <formula>AE$3="Sun"</formula>
    </cfRule>
  </conditionalFormatting>
  <conditionalFormatting sqref="AJ3:AK3 AJ5:AK48">
    <cfRule type="expression" dxfId="38" priority="50">
      <formula>#REF!="Sun"</formula>
    </cfRule>
  </conditionalFormatting>
  <conditionalFormatting sqref="AL5:AL7">
    <cfRule type="expression" dxfId="37" priority="5">
      <formula>AL$3="Sun"</formula>
    </cfRule>
  </conditionalFormatting>
  <conditionalFormatting sqref="AL10:AL13">
    <cfRule type="expression" dxfId="36" priority="2">
      <formula>AL$3="Sun"</formula>
    </cfRule>
  </conditionalFormatting>
  <conditionalFormatting sqref="AL18:AL21">
    <cfRule type="expression" dxfId="35" priority="1">
      <formula>AL$3="Sun"</formula>
    </cfRule>
  </conditionalFormatting>
  <conditionalFormatting sqref="AL4:AM4">
    <cfRule type="expression" dxfId="34" priority="6">
      <formula>AL$3="Sun"</formula>
    </cfRule>
  </conditionalFormatting>
  <conditionalFormatting sqref="AM10:AO10 AM18:AO18">
    <cfRule type="expression" dxfId="33" priority="7">
      <formula>AM$3="Sun"</formula>
    </cfRule>
  </conditionalFormatting>
  <conditionalFormatting sqref="AO19">
    <cfRule type="expression" dxfId="32" priority="4">
      <formula>AO$3="Sun"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5745-53E3-4081-B275-0C6A939A5D93}">
  <dimension ref="A1:AO48"/>
  <sheetViews>
    <sheetView topLeftCell="E7" workbookViewId="0">
      <selection activeCell="AN11" sqref="AN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23.28515625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spans="1:41" ht="17.25" x14ac:dyDescent="0.3">
      <c r="A2" s="46" t="s">
        <v>619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spans="1:41" ht="15.75" x14ac:dyDescent="0.25">
      <c r="A3" s="62" t="s">
        <v>0</v>
      </c>
      <c r="B3" s="62" t="s">
        <v>1</v>
      </c>
      <c r="C3" s="62" t="s">
        <v>2</v>
      </c>
      <c r="D3" s="62" t="s">
        <v>3</v>
      </c>
      <c r="E3" s="2" t="str">
        <f t="shared" ref="E3:AI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48" t="s">
        <v>4</v>
      </c>
      <c r="AK3" s="48" t="s">
        <v>5</v>
      </c>
      <c r="AL3" s="49" t="s">
        <v>126</v>
      </c>
      <c r="AM3" s="50"/>
      <c r="AN3" s="3"/>
      <c r="AO3" s="3"/>
    </row>
    <row r="4" spans="1:41" ht="34.5" x14ac:dyDescent="0.25">
      <c r="A4" s="63"/>
      <c r="B4" s="63"/>
      <c r="C4" s="63"/>
      <c r="D4" s="63"/>
      <c r="E4" s="20">
        <v>45566</v>
      </c>
      <c r="F4" s="20">
        <v>45567</v>
      </c>
      <c r="G4" s="20">
        <v>45568</v>
      </c>
      <c r="H4" s="20">
        <v>45569</v>
      </c>
      <c r="I4" s="20">
        <v>45570</v>
      </c>
      <c r="J4" s="20">
        <v>45571</v>
      </c>
      <c r="K4" s="20">
        <v>45572</v>
      </c>
      <c r="L4" s="20">
        <v>45573</v>
      </c>
      <c r="M4" s="20">
        <v>45574</v>
      </c>
      <c r="N4" s="20">
        <v>45575</v>
      </c>
      <c r="O4" s="20">
        <v>45576</v>
      </c>
      <c r="P4" s="20">
        <v>45577</v>
      </c>
      <c r="Q4" s="20">
        <v>45578</v>
      </c>
      <c r="R4" s="20">
        <v>45579</v>
      </c>
      <c r="S4" s="20">
        <v>45580</v>
      </c>
      <c r="T4" s="20">
        <v>45581</v>
      </c>
      <c r="U4" s="20">
        <v>45582</v>
      </c>
      <c r="V4" s="20">
        <v>45583</v>
      </c>
      <c r="W4" s="20">
        <v>45584</v>
      </c>
      <c r="X4" s="20">
        <v>45585</v>
      </c>
      <c r="Y4" s="20">
        <v>45586</v>
      </c>
      <c r="Z4" s="20">
        <v>45587</v>
      </c>
      <c r="AA4" s="20">
        <v>45588</v>
      </c>
      <c r="AB4" s="20">
        <v>45589</v>
      </c>
      <c r="AC4" s="20">
        <v>45590</v>
      </c>
      <c r="AD4" s="20">
        <v>45591</v>
      </c>
      <c r="AE4" s="20">
        <v>45592</v>
      </c>
      <c r="AF4" s="20">
        <v>45593</v>
      </c>
      <c r="AG4" s="20">
        <v>45594</v>
      </c>
      <c r="AH4" s="20">
        <v>45595</v>
      </c>
      <c r="AI4" s="20">
        <v>45596</v>
      </c>
      <c r="AJ4" s="48"/>
      <c r="AK4" s="48"/>
      <c r="AL4" s="5" t="s">
        <v>127</v>
      </c>
      <c r="AM4" s="5">
        <f>SUM(AM5:AM7)</f>
        <v>31</v>
      </c>
      <c r="AN4" s="3"/>
      <c r="AO4" s="3"/>
    </row>
    <row r="5" spans="1:41" ht="15" customHeight="1" x14ac:dyDescent="0.25">
      <c r="A5" s="6">
        <v>1</v>
      </c>
      <c r="B5" s="35" t="s">
        <v>765</v>
      </c>
      <c r="C5" s="36" t="s">
        <v>766</v>
      </c>
      <c r="D5" s="10" t="s">
        <v>819</v>
      </c>
      <c r="E5" s="11" t="s">
        <v>111</v>
      </c>
      <c r="F5" s="11" t="s">
        <v>111</v>
      </c>
      <c r="G5" s="11" t="s">
        <v>112</v>
      </c>
      <c r="H5" s="11" t="s">
        <v>112</v>
      </c>
      <c r="I5" s="11" t="s">
        <v>112</v>
      </c>
      <c r="J5" s="59" t="s">
        <v>621</v>
      </c>
      <c r="K5" s="11" t="s">
        <v>112</v>
      </c>
      <c r="L5" s="11" t="s">
        <v>112</v>
      </c>
      <c r="M5" s="11" t="s">
        <v>112</v>
      </c>
      <c r="N5" s="11" t="s">
        <v>112</v>
      </c>
      <c r="O5" s="11" t="s">
        <v>112</v>
      </c>
      <c r="P5" s="67" t="s">
        <v>622</v>
      </c>
      <c r="Q5" s="59" t="s">
        <v>621</v>
      </c>
      <c r="R5" s="11" t="s">
        <v>112</v>
      </c>
      <c r="S5" s="11" t="s">
        <v>112</v>
      </c>
      <c r="T5" s="11" t="s">
        <v>112</v>
      </c>
      <c r="U5" s="11" t="s">
        <v>112</v>
      </c>
      <c r="V5" s="11" t="s">
        <v>112</v>
      </c>
      <c r="W5" s="11" t="s">
        <v>112</v>
      </c>
      <c r="X5" s="59" t="s">
        <v>621</v>
      </c>
      <c r="Y5" s="11" t="s">
        <v>112</v>
      </c>
      <c r="Z5" s="11" t="s">
        <v>112</v>
      </c>
      <c r="AA5" s="11" t="s">
        <v>112</v>
      </c>
      <c r="AB5" s="11" t="s">
        <v>112</v>
      </c>
      <c r="AC5" s="11" t="s">
        <v>112</v>
      </c>
      <c r="AD5" s="11" t="s">
        <v>112</v>
      </c>
      <c r="AE5" s="59" t="s">
        <v>621</v>
      </c>
      <c r="AF5" s="11" t="s">
        <v>112</v>
      </c>
      <c r="AG5" s="11" t="s">
        <v>112</v>
      </c>
      <c r="AH5" s="11" t="s">
        <v>586</v>
      </c>
      <c r="AI5" s="11" t="s">
        <v>112</v>
      </c>
      <c r="AJ5" s="5">
        <f>COUNTIF(E5:AI5,"P")</f>
        <v>23</v>
      </c>
      <c r="AK5" s="5">
        <f t="shared" ref="AK5:AK44" si="1">COUNTIF(E5:AH5,"A")</f>
        <v>2</v>
      </c>
      <c r="AL5" s="5" t="s">
        <v>7</v>
      </c>
      <c r="AM5" s="13">
        <v>26</v>
      </c>
      <c r="AN5" s="14"/>
      <c r="AO5" s="3"/>
    </row>
    <row r="6" spans="1:41" x14ac:dyDescent="0.25">
      <c r="A6" s="13">
        <v>2</v>
      </c>
      <c r="B6" s="35" t="s">
        <v>767</v>
      </c>
      <c r="C6" s="36" t="s">
        <v>768</v>
      </c>
      <c r="D6" s="10" t="s">
        <v>819</v>
      </c>
      <c r="E6" s="11" t="s">
        <v>111</v>
      </c>
      <c r="F6" s="11" t="s">
        <v>112</v>
      </c>
      <c r="G6" s="11" t="s">
        <v>112</v>
      </c>
      <c r="H6" s="11" t="s">
        <v>112</v>
      </c>
      <c r="I6" s="11" t="s">
        <v>112</v>
      </c>
      <c r="J6" s="60"/>
      <c r="K6" s="11" t="s">
        <v>111</v>
      </c>
      <c r="L6" s="11" t="s">
        <v>112</v>
      </c>
      <c r="M6" s="11" t="s">
        <v>112</v>
      </c>
      <c r="N6" s="11" t="s">
        <v>112</v>
      </c>
      <c r="O6" s="11" t="s">
        <v>112</v>
      </c>
      <c r="P6" s="68"/>
      <c r="Q6" s="60"/>
      <c r="R6" s="11" t="s">
        <v>112</v>
      </c>
      <c r="S6" s="11" t="s">
        <v>112</v>
      </c>
      <c r="T6" s="11" t="s">
        <v>112</v>
      </c>
      <c r="U6" s="11" t="s">
        <v>112</v>
      </c>
      <c r="V6" s="11" t="s">
        <v>112</v>
      </c>
      <c r="W6" s="11" t="s">
        <v>112</v>
      </c>
      <c r="X6" s="60"/>
      <c r="Y6" s="11" t="s">
        <v>112</v>
      </c>
      <c r="Z6" s="11" t="s">
        <v>113</v>
      </c>
      <c r="AA6" s="11" t="s">
        <v>113</v>
      </c>
      <c r="AB6" s="11" t="s">
        <v>113</v>
      </c>
      <c r="AC6" s="11" t="s">
        <v>112</v>
      </c>
      <c r="AD6" s="11" t="s">
        <v>112</v>
      </c>
      <c r="AE6" s="60"/>
      <c r="AF6" s="11" t="s">
        <v>112</v>
      </c>
      <c r="AG6" s="11" t="s">
        <v>112</v>
      </c>
      <c r="AH6" s="11" t="s">
        <v>112</v>
      </c>
      <c r="AI6" s="11" t="s">
        <v>112</v>
      </c>
      <c r="AJ6" s="5">
        <f t="shared" ref="AJ6:AJ44" si="2">COUNTIF(E6:AI6,"P")</f>
        <v>21</v>
      </c>
      <c r="AK6" s="5">
        <f t="shared" si="1"/>
        <v>2</v>
      </c>
      <c r="AL6" s="5" t="s">
        <v>8</v>
      </c>
      <c r="AM6" s="13">
        <v>4</v>
      </c>
      <c r="AN6" s="3"/>
      <c r="AO6" s="3"/>
    </row>
    <row r="7" spans="1:41" x14ac:dyDescent="0.25">
      <c r="A7" s="6">
        <v>3</v>
      </c>
      <c r="B7" s="35" t="s">
        <v>769</v>
      </c>
      <c r="C7" s="36" t="s">
        <v>770</v>
      </c>
      <c r="D7" s="10" t="s">
        <v>819</v>
      </c>
      <c r="E7" s="11" t="s">
        <v>112</v>
      </c>
      <c r="F7" s="11" t="s">
        <v>112</v>
      </c>
      <c r="G7" s="11" t="s">
        <v>112</v>
      </c>
      <c r="H7" s="11" t="s">
        <v>112</v>
      </c>
      <c r="I7" s="11" t="s">
        <v>112</v>
      </c>
      <c r="J7" s="60"/>
      <c r="K7" s="11" t="s">
        <v>112</v>
      </c>
      <c r="L7" s="11" t="s">
        <v>112</v>
      </c>
      <c r="M7" s="11" t="s">
        <v>112</v>
      </c>
      <c r="N7" s="11" t="s">
        <v>112</v>
      </c>
      <c r="O7" s="11" t="s">
        <v>111</v>
      </c>
      <c r="P7" s="68"/>
      <c r="Q7" s="60"/>
      <c r="R7" s="11" t="s">
        <v>112</v>
      </c>
      <c r="S7" s="11" t="s">
        <v>112</v>
      </c>
      <c r="T7" s="11" t="s">
        <v>112</v>
      </c>
      <c r="U7" s="11" t="s">
        <v>112</v>
      </c>
      <c r="V7" s="11" t="s">
        <v>112</v>
      </c>
      <c r="W7" s="11" t="s">
        <v>112</v>
      </c>
      <c r="X7" s="60"/>
      <c r="Y7" s="11" t="s">
        <v>112</v>
      </c>
      <c r="Z7" s="11" t="s">
        <v>112</v>
      </c>
      <c r="AA7" s="11" t="s">
        <v>112</v>
      </c>
      <c r="AB7" s="11" t="s">
        <v>112</v>
      </c>
      <c r="AC7" s="11" t="s">
        <v>112</v>
      </c>
      <c r="AD7" s="11" t="s">
        <v>112</v>
      </c>
      <c r="AE7" s="60"/>
      <c r="AF7" s="11" t="s">
        <v>112</v>
      </c>
      <c r="AG7" s="11" t="s">
        <v>112</v>
      </c>
      <c r="AH7" s="11" t="s">
        <v>112</v>
      </c>
      <c r="AI7" s="11" t="s">
        <v>112</v>
      </c>
      <c r="AJ7" s="5">
        <f t="shared" si="2"/>
        <v>25</v>
      </c>
      <c r="AK7" s="5">
        <f t="shared" si="1"/>
        <v>1</v>
      </c>
      <c r="AL7" s="5" t="s">
        <v>394</v>
      </c>
      <c r="AM7" s="13">
        <v>1</v>
      </c>
      <c r="AN7" s="3"/>
      <c r="AO7" s="3"/>
    </row>
    <row r="8" spans="1:41" x14ac:dyDescent="0.25">
      <c r="A8" s="13">
        <v>4</v>
      </c>
      <c r="B8" s="35" t="s">
        <v>771</v>
      </c>
      <c r="C8" s="36" t="s">
        <v>751</v>
      </c>
      <c r="D8" s="10" t="s">
        <v>819</v>
      </c>
      <c r="E8" s="11" t="s">
        <v>112</v>
      </c>
      <c r="F8" s="11" t="s">
        <v>112</v>
      </c>
      <c r="G8" s="11" t="s">
        <v>112</v>
      </c>
      <c r="H8" s="11" t="s">
        <v>112</v>
      </c>
      <c r="I8" s="11" t="s">
        <v>112</v>
      </c>
      <c r="J8" s="60"/>
      <c r="K8" s="11" t="s">
        <v>112</v>
      </c>
      <c r="L8" s="11" t="s">
        <v>112</v>
      </c>
      <c r="M8" s="11" t="s">
        <v>112</v>
      </c>
      <c r="N8" s="11" t="s">
        <v>112</v>
      </c>
      <c r="O8" s="11" t="s">
        <v>112</v>
      </c>
      <c r="P8" s="68"/>
      <c r="Q8" s="60"/>
      <c r="R8" s="11" t="s">
        <v>112</v>
      </c>
      <c r="S8" s="11" t="s">
        <v>112</v>
      </c>
      <c r="T8" s="11" t="s">
        <v>112</v>
      </c>
      <c r="U8" s="11" t="s">
        <v>112</v>
      </c>
      <c r="V8" s="11" t="s">
        <v>112</v>
      </c>
      <c r="W8" s="11" t="s">
        <v>112</v>
      </c>
      <c r="X8" s="60"/>
      <c r="Y8" s="11" t="s">
        <v>112</v>
      </c>
      <c r="Z8" s="11" t="s">
        <v>112</v>
      </c>
      <c r="AA8" s="11" t="s">
        <v>112</v>
      </c>
      <c r="AB8" s="11" t="s">
        <v>112</v>
      </c>
      <c r="AC8" s="11" t="s">
        <v>112</v>
      </c>
      <c r="AD8" s="11" t="s">
        <v>112</v>
      </c>
      <c r="AE8" s="60"/>
      <c r="AF8" s="11" t="s">
        <v>112</v>
      </c>
      <c r="AG8" s="11" t="s">
        <v>112</v>
      </c>
      <c r="AH8" s="11" t="s">
        <v>112</v>
      </c>
      <c r="AI8" s="11" t="s">
        <v>112</v>
      </c>
      <c r="AJ8" s="5">
        <f t="shared" si="2"/>
        <v>26</v>
      </c>
      <c r="AK8" s="5">
        <f t="shared" si="1"/>
        <v>0</v>
      </c>
      <c r="AL8"/>
      <c r="AM8"/>
      <c r="AN8"/>
      <c r="AO8"/>
    </row>
    <row r="9" spans="1:41" ht="15.75" x14ac:dyDescent="0.25">
      <c r="A9" s="6">
        <v>5</v>
      </c>
      <c r="B9" s="35" t="s">
        <v>772</v>
      </c>
      <c r="C9" s="36" t="s">
        <v>773</v>
      </c>
      <c r="D9" s="10" t="s">
        <v>819</v>
      </c>
      <c r="E9" s="11" t="s">
        <v>111</v>
      </c>
      <c r="F9" s="11" t="s">
        <v>111</v>
      </c>
      <c r="G9" s="11" t="s">
        <v>111</v>
      </c>
      <c r="H9" s="11" t="s">
        <v>111</v>
      </c>
      <c r="I9" s="11" t="s">
        <v>111</v>
      </c>
      <c r="J9" s="60"/>
      <c r="K9" s="11" t="s">
        <v>111</v>
      </c>
      <c r="L9" s="11" t="s">
        <v>111</v>
      </c>
      <c r="M9" s="11" t="s">
        <v>111</v>
      </c>
      <c r="N9" s="11" t="s">
        <v>111</v>
      </c>
      <c r="O9" s="11" t="s">
        <v>111</v>
      </c>
      <c r="P9" s="68"/>
      <c r="Q9" s="60"/>
      <c r="R9" s="11" t="s">
        <v>111</v>
      </c>
      <c r="S9" s="11" t="s">
        <v>111</v>
      </c>
      <c r="T9" s="11" t="s">
        <v>111</v>
      </c>
      <c r="U9" s="11" t="s">
        <v>111</v>
      </c>
      <c r="V9" s="11" t="s">
        <v>111</v>
      </c>
      <c r="W9" s="11" t="s">
        <v>111</v>
      </c>
      <c r="X9" s="60"/>
      <c r="Y9" s="11" t="s">
        <v>111</v>
      </c>
      <c r="Z9" s="11" t="s">
        <v>111</v>
      </c>
      <c r="AA9" s="11" t="s">
        <v>111</v>
      </c>
      <c r="AB9" s="11" t="s">
        <v>111</v>
      </c>
      <c r="AC9" s="11" t="s">
        <v>111</v>
      </c>
      <c r="AD9" s="11" t="s">
        <v>111</v>
      </c>
      <c r="AE9" s="60"/>
      <c r="AF9" s="11" t="s">
        <v>111</v>
      </c>
      <c r="AG9" s="11" t="s">
        <v>111</v>
      </c>
      <c r="AH9" s="11" t="s">
        <v>111</v>
      </c>
      <c r="AI9" s="11" t="s">
        <v>111</v>
      </c>
      <c r="AJ9" s="5">
        <f t="shared" si="2"/>
        <v>0</v>
      </c>
      <c r="AK9" s="5">
        <f t="shared" si="1"/>
        <v>25</v>
      </c>
      <c r="AL9" s="49" t="s">
        <v>9</v>
      </c>
      <c r="AM9" s="50"/>
      <c r="AN9" s="50"/>
      <c r="AO9" s="52"/>
    </row>
    <row r="10" spans="1:41" x14ac:dyDescent="0.25">
      <c r="A10" s="13">
        <v>6</v>
      </c>
      <c r="B10" s="35" t="s">
        <v>216</v>
      </c>
      <c r="C10" s="36" t="s">
        <v>448</v>
      </c>
      <c r="D10" s="10" t="s">
        <v>819</v>
      </c>
      <c r="E10" s="11" t="s">
        <v>111</v>
      </c>
      <c r="F10" s="11" t="s">
        <v>111</v>
      </c>
      <c r="G10" s="11" t="s">
        <v>112</v>
      </c>
      <c r="H10" s="11" t="s">
        <v>112</v>
      </c>
      <c r="I10" s="11" t="s">
        <v>112</v>
      </c>
      <c r="J10" s="60"/>
      <c r="K10" s="11" t="s">
        <v>111</v>
      </c>
      <c r="L10" s="11" t="s">
        <v>112</v>
      </c>
      <c r="M10" s="11" t="s">
        <v>112</v>
      </c>
      <c r="N10" s="11" t="s">
        <v>112</v>
      </c>
      <c r="O10" s="11" t="s">
        <v>112</v>
      </c>
      <c r="P10" s="68"/>
      <c r="Q10" s="60"/>
      <c r="R10" s="11" t="s">
        <v>112</v>
      </c>
      <c r="S10" s="11" t="s">
        <v>112</v>
      </c>
      <c r="T10" s="11" t="s">
        <v>112</v>
      </c>
      <c r="U10" s="11" t="s">
        <v>112</v>
      </c>
      <c r="V10" s="11" t="s">
        <v>112</v>
      </c>
      <c r="W10" s="11" t="s">
        <v>112</v>
      </c>
      <c r="X10" s="60"/>
      <c r="Y10" s="11" t="s">
        <v>112</v>
      </c>
      <c r="Z10" s="11" t="s">
        <v>113</v>
      </c>
      <c r="AA10" s="11" t="s">
        <v>113</v>
      </c>
      <c r="AB10" s="11" t="s">
        <v>112</v>
      </c>
      <c r="AC10" s="11" t="s">
        <v>112</v>
      </c>
      <c r="AD10" s="11" t="s">
        <v>112</v>
      </c>
      <c r="AE10" s="60"/>
      <c r="AF10" s="11" t="s">
        <v>112</v>
      </c>
      <c r="AG10" s="11" t="s">
        <v>112</v>
      </c>
      <c r="AH10" s="11" t="s">
        <v>112</v>
      </c>
      <c r="AI10" s="11" t="s">
        <v>112</v>
      </c>
      <c r="AJ10" s="5">
        <f t="shared" si="2"/>
        <v>21</v>
      </c>
      <c r="AK10" s="5">
        <f t="shared" si="1"/>
        <v>3</v>
      </c>
      <c r="AL10" s="5" t="s">
        <v>10</v>
      </c>
      <c r="AM10" s="5" t="s">
        <v>11</v>
      </c>
      <c r="AN10" s="5" t="s">
        <v>12</v>
      </c>
      <c r="AO10" s="5" t="s">
        <v>13</v>
      </c>
    </row>
    <row r="11" spans="1:41" x14ac:dyDescent="0.25">
      <c r="A11" s="6">
        <v>7</v>
      </c>
      <c r="B11" s="35" t="s">
        <v>774</v>
      </c>
      <c r="C11" s="36" t="s">
        <v>775</v>
      </c>
      <c r="D11" s="10" t="s">
        <v>819</v>
      </c>
      <c r="E11" s="11" t="s">
        <v>112</v>
      </c>
      <c r="F11" s="11" t="s">
        <v>112</v>
      </c>
      <c r="G11" s="11" t="s">
        <v>112</v>
      </c>
      <c r="H11" s="11" t="s">
        <v>112</v>
      </c>
      <c r="I11" s="11" t="s">
        <v>112</v>
      </c>
      <c r="J11" s="60"/>
      <c r="K11" s="11" t="s">
        <v>112</v>
      </c>
      <c r="L11" s="11" t="s">
        <v>112</v>
      </c>
      <c r="M11" s="11" t="s">
        <v>111</v>
      </c>
      <c r="N11" s="11" t="s">
        <v>111</v>
      </c>
      <c r="O11" s="11" t="s">
        <v>111</v>
      </c>
      <c r="P11" s="68"/>
      <c r="Q11" s="60"/>
      <c r="R11" s="11" t="s">
        <v>112</v>
      </c>
      <c r="S11" s="11" t="s">
        <v>112</v>
      </c>
      <c r="T11" s="11" t="s">
        <v>112</v>
      </c>
      <c r="U11" s="11" t="s">
        <v>112</v>
      </c>
      <c r="V11" s="11" t="s">
        <v>112</v>
      </c>
      <c r="W11" s="11" t="s">
        <v>112</v>
      </c>
      <c r="X11" s="60"/>
      <c r="Y11" s="11" t="s">
        <v>112</v>
      </c>
      <c r="Z11" s="11" t="s">
        <v>112</v>
      </c>
      <c r="AA11" s="11" t="s">
        <v>112</v>
      </c>
      <c r="AB11" s="11" t="s">
        <v>112</v>
      </c>
      <c r="AC11" s="11" t="s">
        <v>112</v>
      </c>
      <c r="AD11" s="11" t="s">
        <v>111</v>
      </c>
      <c r="AE11" s="60"/>
      <c r="AF11" s="11" t="s">
        <v>111</v>
      </c>
      <c r="AG11" s="11" t="s">
        <v>111</v>
      </c>
      <c r="AH11" s="11" t="s">
        <v>111</v>
      </c>
      <c r="AI11" s="11" t="s">
        <v>111</v>
      </c>
      <c r="AJ11" s="5">
        <f t="shared" si="2"/>
        <v>18</v>
      </c>
      <c r="AK11" s="5">
        <f t="shared" si="1"/>
        <v>7</v>
      </c>
      <c r="AL11" s="5" t="s">
        <v>14</v>
      </c>
      <c r="AM11" s="13">
        <f>18*$AM$5</f>
        <v>468</v>
      </c>
      <c r="AN11" s="13">
        <f>22*$AM$5</f>
        <v>572</v>
      </c>
      <c r="AO11" s="13">
        <f>SUM(AM11:AN11)</f>
        <v>1040</v>
      </c>
    </row>
    <row r="12" spans="1:41" x14ac:dyDescent="0.25">
      <c r="A12" s="13">
        <v>8</v>
      </c>
      <c r="B12" s="35" t="s">
        <v>776</v>
      </c>
      <c r="C12" s="36" t="s">
        <v>160</v>
      </c>
      <c r="D12" s="10" t="s">
        <v>819</v>
      </c>
      <c r="E12" s="11" t="s">
        <v>112</v>
      </c>
      <c r="F12" s="11" t="s">
        <v>111</v>
      </c>
      <c r="G12" s="11" t="s">
        <v>112</v>
      </c>
      <c r="H12" s="11" t="s">
        <v>112</v>
      </c>
      <c r="I12" s="11" t="s">
        <v>112</v>
      </c>
      <c r="J12" s="60"/>
      <c r="K12" s="11" t="s">
        <v>112</v>
      </c>
      <c r="L12" s="11" t="s">
        <v>112</v>
      </c>
      <c r="M12" s="11" t="s">
        <v>112</v>
      </c>
      <c r="N12" s="11" t="s">
        <v>112</v>
      </c>
      <c r="O12" s="11" t="s">
        <v>112</v>
      </c>
      <c r="P12" s="68"/>
      <c r="Q12" s="60"/>
      <c r="R12" s="11" t="s">
        <v>112</v>
      </c>
      <c r="S12" s="11" t="s">
        <v>112</v>
      </c>
      <c r="T12" s="11" t="s">
        <v>112</v>
      </c>
      <c r="U12" s="11" t="s">
        <v>112</v>
      </c>
      <c r="V12" s="11" t="s">
        <v>112</v>
      </c>
      <c r="W12" s="11" t="s">
        <v>112</v>
      </c>
      <c r="X12" s="60"/>
      <c r="Y12" s="11" t="s">
        <v>112</v>
      </c>
      <c r="Z12" s="11" t="s">
        <v>112</v>
      </c>
      <c r="AA12" s="11" t="s">
        <v>112</v>
      </c>
      <c r="AB12" s="11" t="s">
        <v>112</v>
      </c>
      <c r="AC12" s="11" t="s">
        <v>112</v>
      </c>
      <c r="AD12" s="11" t="s">
        <v>111</v>
      </c>
      <c r="AE12" s="60"/>
      <c r="AF12" s="11" t="s">
        <v>112</v>
      </c>
      <c r="AG12" s="11" t="s">
        <v>112</v>
      </c>
      <c r="AH12" s="11" t="s">
        <v>112</v>
      </c>
      <c r="AI12" s="11" t="s">
        <v>112</v>
      </c>
      <c r="AJ12" s="5">
        <f t="shared" si="2"/>
        <v>24</v>
      </c>
      <c r="AK12" s="5">
        <f t="shared" si="1"/>
        <v>2</v>
      </c>
      <c r="AL12" s="5" t="s">
        <v>15</v>
      </c>
      <c r="AM12" s="13">
        <f>SUM(AJ5:AJ22)</f>
        <v>369</v>
      </c>
      <c r="AN12" s="13">
        <f>SUM(AJ23:AJ44)</f>
        <v>409</v>
      </c>
      <c r="AO12" s="13">
        <f>AM12+AN12</f>
        <v>778</v>
      </c>
    </row>
    <row r="13" spans="1:41" x14ac:dyDescent="0.25">
      <c r="A13" s="6">
        <v>9</v>
      </c>
      <c r="B13" s="35" t="s">
        <v>777</v>
      </c>
      <c r="C13" s="36" t="s">
        <v>778</v>
      </c>
      <c r="D13" s="10" t="s">
        <v>819</v>
      </c>
      <c r="E13" s="11" t="s">
        <v>112</v>
      </c>
      <c r="F13" s="11" t="s">
        <v>112</v>
      </c>
      <c r="G13" s="11" t="s">
        <v>112</v>
      </c>
      <c r="H13" s="11" t="s">
        <v>112</v>
      </c>
      <c r="I13" s="11" t="s">
        <v>112</v>
      </c>
      <c r="J13" s="60"/>
      <c r="K13" s="11" t="s">
        <v>112</v>
      </c>
      <c r="L13" s="11" t="s">
        <v>112</v>
      </c>
      <c r="M13" s="11" t="s">
        <v>112</v>
      </c>
      <c r="N13" s="11" t="s">
        <v>112</v>
      </c>
      <c r="O13" s="11" t="s">
        <v>112</v>
      </c>
      <c r="P13" s="68"/>
      <c r="Q13" s="60"/>
      <c r="R13" s="11" t="s">
        <v>112</v>
      </c>
      <c r="S13" s="11" t="s">
        <v>112</v>
      </c>
      <c r="T13" s="11" t="s">
        <v>112</v>
      </c>
      <c r="U13" s="11" t="s">
        <v>112</v>
      </c>
      <c r="V13" s="11" t="s">
        <v>112</v>
      </c>
      <c r="W13" s="11" t="s">
        <v>112</v>
      </c>
      <c r="X13" s="60"/>
      <c r="Y13" s="11" t="s">
        <v>112</v>
      </c>
      <c r="Z13" s="11" t="s">
        <v>112</v>
      </c>
      <c r="AA13" s="11" t="s">
        <v>112</v>
      </c>
      <c r="AB13" s="11" t="s">
        <v>111</v>
      </c>
      <c r="AC13" s="11" t="s">
        <v>112</v>
      </c>
      <c r="AD13" s="11" t="s">
        <v>112</v>
      </c>
      <c r="AE13" s="60"/>
      <c r="AF13" s="11" t="s">
        <v>112</v>
      </c>
      <c r="AG13" s="11" t="s">
        <v>112</v>
      </c>
      <c r="AH13" s="11" t="s">
        <v>112</v>
      </c>
      <c r="AI13" s="11" t="s">
        <v>112</v>
      </c>
      <c r="AJ13" s="5">
        <f t="shared" si="2"/>
        <v>25</v>
      </c>
      <c r="AK13" s="5">
        <f t="shared" si="1"/>
        <v>1</v>
      </c>
      <c r="AL13" s="5" t="s">
        <v>16</v>
      </c>
      <c r="AM13" s="18">
        <f>AM12/AM11</f>
        <v>0.78846153846153844</v>
      </c>
      <c r="AN13" s="18">
        <f>AN12/AN11</f>
        <v>0.715034965034965</v>
      </c>
      <c r="AO13" s="18">
        <f>AO12/AO11</f>
        <v>0.74807692307692308</v>
      </c>
    </row>
    <row r="14" spans="1:41" x14ac:dyDescent="0.25">
      <c r="A14" s="13">
        <v>10</v>
      </c>
      <c r="B14" s="35" t="s">
        <v>779</v>
      </c>
      <c r="C14" s="36" t="s">
        <v>64</v>
      </c>
      <c r="D14" s="10" t="s">
        <v>819</v>
      </c>
      <c r="E14" s="11" t="s">
        <v>112</v>
      </c>
      <c r="F14" s="11" t="s">
        <v>112</v>
      </c>
      <c r="G14" s="11" t="s">
        <v>112</v>
      </c>
      <c r="H14" s="11" t="s">
        <v>112</v>
      </c>
      <c r="I14" s="11" t="s">
        <v>111</v>
      </c>
      <c r="J14" s="60"/>
      <c r="K14" s="11" t="s">
        <v>112</v>
      </c>
      <c r="L14" s="11" t="s">
        <v>112</v>
      </c>
      <c r="M14" s="11" t="s">
        <v>112</v>
      </c>
      <c r="N14" s="11" t="s">
        <v>112</v>
      </c>
      <c r="O14" s="11" t="s">
        <v>112</v>
      </c>
      <c r="P14" s="68"/>
      <c r="Q14" s="60"/>
      <c r="R14" s="11" t="s">
        <v>112</v>
      </c>
      <c r="S14" s="11" t="s">
        <v>112</v>
      </c>
      <c r="T14" s="11" t="s">
        <v>112</v>
      </c>
      <c r="U14" s="11" t="s">
        <v>111</v>
      </c>
      <c r="V14" s="11" t="s">
        <v>112</v>
      </c>
      <c r="W14" s="11" t="s">
        <v>112</v>
      </c>
      <c r="X14" s="60"/>
      <c r="Y14" s="11" t="s">
        <v>112</v>
      </c>
      <c r="Z14" s="11" t="s">
        <v>112</v>
      </c>
      <c r="AA14" s="11" t="s">
        <v>112</v>
      </c>
      <c r="AB14" s="11" t="s">
        <v>113</v>
      </c>
      <c r="AC14" s="11" t="s">
        <v>112</v>
      </c>
      <c r="AD14" s="11" t="s">
        <v>112</v>
      </c>
      <c r="AE14" s="60"/>
      <c r="AF14" s="11" t="s">
        <v>112</v>
      </c>
      <c r="AG14" s="11" t="s">
        <v>112</v>
      </c>
      <c r="AH14" s="11" t="s">
        <v>112</v>
      </c>
      <c r="AI14" s="11" t="s">
        <v>112</v>
      </c>
      <c r="AJ14" s="5">
        <f t="shared" si="2"/>
        <v>23</v>
      </c>
      <c r="AK14" s="5">
        <f t="shared" si="1"/>
        <v>2</v>
      </c>
      <c r="AL14"/>
      <c r="AM14"/>
      <c r="AN14"/>
      <c r="AO14"/>
    </row>
    <row r="15" spans="1:41" x14ac:dyDescent="0.25">
      <c r="A15" s="6">
        <v>11</v>
      </c>
      <c r="B15" s="39" t="s">
        <v>780</v>
      </c>
      <c r="C15" s="40" t="s">
        <v>747</v>
      </c>
      <c r="D15" s="10" t="s">
        <v>819</v>
      </c>
      <c r="E15" s="11" t="s">
        <v>111</v>
      </c>
      <c r="F15" s="11" t="s">
        <v>112</v>
      </c>
      <c r="G15" s="11" t="s">
        <v>112</v>
      </c>
      <c r="H15" s="11" t="s">
        <v>112</v>
      </c>
      <c r="I15" s="11" t="s">
        <v>112</v>
      </c>
      <c r="J15" s="60"/>
      <c r="K15" s="11" t="s">
        <v>112</v>
      </c>
      <c r="L15" s="11" t="s">
        <v>112</v>
      </c>
      <c r="M15" s="11" t="s">
        <v>112</v>
      </c>
      <c r="N15" s="11" t="s">
        <v>112</v>
      </c>
      <c r="O15" s="11" t="s">
        <v>112</v>
      </c>
      <c r="P15" s="68"/>
      <c r="Q15" s="60"/>
      <c r="R15" s="11" t="s">
        <v>112</v>
      </c>
      <c r="S15" s="11" t="s">
        <v>112</v>
      </c>
      <c r="T15" s="11" t="s">
        <v>112</v>
      </c>
      <c r="U15" s="11" t="s">
        <v>111</v>
      </c>
      <c r="V15" s="11" t="s">
        <v>112</v>
      </c>
      <c r="W15" s="11" t="s">
        <v>112</v>
      </c>
      <c r="X15" s="60"/>
      <c r="Y15" s="11" t="s">
        <v>112</v>
      </c>
      <c r="Z15" s="11" t="s">
        <v>112</v>
      </c>
      <c r="AA15" s="11" t="s">
        <v>111</v>
      </c>
      <c r="AB15" s="11" t="s">
        <v>112</v>
      </c>
      <c r="AC15" s="11" t="s">
        <v>112</v>
      </c>
      <c r="AD15" s="11" t="s">
        <v>112</v>
      </c>
      <c r="AE15" s="60"/>
      <c r="AF15" s="11" t="s">
        <v>112</v>
      </c>
      <c r="AG15" s="11" t="s">
        <v>112</v>
      </c>
      <c r="AH15" s="11" t="s">
        <v>112</v>
      </c>
      <c r="AI15" s="11" t="s">
        <v>112</v>
      </c>
      <c r="AJ15" s="5">
        <f t="shared" si="2"/>
        <v>23</v>
      </c>
      <c r="AK15" s="5">
        <f t="shared" si="1"/>
        <v>3</v>
      </c>
      <c r="AL15"/>
      <c r="AM15"/>
      <c r="AN15"/>
      <c r="AO15"/>
    </row>
    <row r="16" spans="1:41" x14ac:dyDescent="0.25">
      <c r="A16" s="13">
        <v>12</v>
      </c>
      <c r="B16" s="34" t="s">
        <v>781</v>
      </c>
      <c r="C16" s="41" t="s">
        <v>782</v>
      </c>
      <c r="D16" s="10" t="s">
        <v>819</v>
      </c>
      <c r="E16" s="11" t="s">
        <v>112</v>
      </c>
      <c r="F16" s="11" t="s">
        <v>112</v>
      </c>
      <c r="G16" s="11" t="s">
        <v>112</v>
      </c>
      <c r="H16" s="11" t="s">
        <v>112</v>
      </c>
      <c r="I16" s="11" t="s">
        <v>112</v>
      </c>
      <c r="J16" s="60"/>
      <c r="K16" s="11" t="s">
        <v>112</v>
      </c>
      <c r="L16" s="11" t="s">
        <v>112</v>
      </c>
      <c r="M16" s="11" t="s">
        <v>112</v>
      </c>
      <c r="N16" s="11" t="s">
        <v>112</v>
      </c>
      <c r="O16" s="11" t="s">
        <v>112</v>
      </c>
      <c r="P16" s="68"/>
      <c r="Q16" s="60"/>
      <c r="R16" s="11" t="s">
        <v>112</v>
      </c>
      <c r="S16" s="11" t="s">
        <v>112</v>
      </c>
      <c r="T16" s="11" t="s">
        <v>112</v>
      </c>
      <c r="U16" s="11" t="s">
        <v>112</v>
      </c>
      <c r="V16" s="11" t="s">
        <v>112</v>
      </c>
      <c r="W16" s="11" t="s">
        <v>112</v>
      </c>
      <c r="X16" s="60"/>
      <c r="Y16" s="11" t="s">
        <v>112</v>
      </c>
      <c r="Z16" s="11" t="s">
        <v>112</v>
      </c>
      <c r="AA16" s="11" t="s">
        <v>112</v>
      </c>
      <c r="AB16" s="11" t="s">
        <v>112</v>
      </c>
      <c r="AC16" s="11" t="s">
        <v>111</v>
      </c>
      <c r="AD16" s="11" t="s">
        <v>112</v>
      </c>
      <c r="AE16" s="60"/>
      <c r="AF16" s="11" t="s">
        <v>112</v>
      </c>
      <c r="AG16" s="11" t="s">
        <v>112</v>
      </c>
      <c r="AH16" s="11" t="s">
        <v>112</v>
      </c>
      <c r="AI16" s="11" t="s">
        <v>112</v>
      </c>
      <c r="AJ16" s="5">
        <f t="shared" si="2"/>
        <v>25</v>
      </c>
      <c r="AK16" s="5">
        <f t="shared" si="1"/>
        <v>1</v>
      </c>
      <c r="AL16"/>
      <c r="AM16"/>
      <c r="AN16"/>
      <c r="AO16"/>
    </row>
    <row r="17" spans="1:41" ht="15.75" x14ac:dyDescent="0.25">
      <c r="A17" s="6">
        <v>13</v>
      </c>
      <c r="B17" s="35" t="s">
        <v>783</v>
      </c>
      <c r="C17" s="36" t="s">
        <v>784</v>
      </c>
      <c r="D17" s="10" t="s">
        <v>819</v>
      </c>
      <c r="E17" s="11" t="s">
        <v>111</v>
      </c>
      <c r="F17" s="11" t="s">
        <v>112</v>
      </c>
      <c r="G17" s="11" t="s">
        <v>112</v>
      </c>
      <c r="H17" s="11" t="s">
        <v>112</v>
      </c>
      <c r="I17" s="11" t="s">
        <v>112</v>
      </c>
      <c r="J17" s="60"/>
      <c r="K17" s="11" t="s">
        <v>111</v>
      </c>
      <c r="L17" s="11" t="s">
        <v>112</v>
      </c>
      <c r="M17" s="11" t="s">
        <v>112</v>
      </c>
      <c r="N17" s="11" t="s">
        <v>112</v>
      </c>
      <c r="O17" s="11" t="s">
        <v>112</v>
      </c>
      <c r="P17" s="68"/>
      <c r="Q17" s="60"/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113</v>
      </c>
      <c r="X17" s="60"/>
      <c r="Y17" s="11" t="s">
        <v>112</v>
      </c>
      <c r="Z17" s="11" t="s">
        <v>112</v>
      </c>
      <c r="AA17" s="11" t="s">
        <v>112</v>
      </c>
      <c r="AB17" s="11" t="s">
        <v>112</v>
      </c>
      <c r="AC17" s="11" t="s">
        <v>111</v>
      </c>
      <c r="AD17" s="11" t="s">
        <v>111</v>
      </c>
      <c r="AE17" s="60"/>
      <c r="AF17" s="11" t="s">
        <v>112</v>
      </c>
      <c r="AG17" s="11" t="s">
        <v>112</v>
      </c>
      <c r="AH17" s="11" t="s">
        <v>112</v>
      </c>
      <c r="AI17" s="11" t="s">
        <v>112</v>
      </c>
      <c r="AJ17" s="5">
        <f t="shared" si="2"/>
        <v>16</v>
      </c>
      <c r="AK17" s="5">
        <f t="shared" si="1"/>
        <v>9</v>
      </c>
      <c r="AL17" s="49" t="s">
        <v>128</v>
      </c>
      <c r="AM17" s="50"/>
      <c r="AN17" s="50"/>
      <c r="AO17" s="52"/>
    </row>
    <row r="18" spans="1:41" x14ac:dyDescent="0.25">
      <c r="A18" s="13">
        <v>14</v>
      </c>
      <c r="B18" s="35" t="s">
        <v>785</v>
      </c>
      <c r="C18" s="36" t="s">
        <v>786</v>
      </c>
      <c r="D18" s="10" t="s">
        <v>819</v>
      </c>
      <c r="E18" s="11" t="s">
        <v>111</v>
      </c>
      <c r="F18" s="11" t="s">
        <v>112</v>
      </c>
      <c r="G18" s="11" t="s">
        <v>111</v>
      </c>
      <c r="H18" s="11" t="s">
        <v>112</v>
      </c>
      <c r="I18" s="11" t="s">
        <v>112</v>
      </c>
      <c r="J18" s="60"/>
      <c r="K18" s="11" t="s">
        <v>112</v>
      </c>
      <c r="L18" s="11" t="s">
        <v>112</v>
      </c>
      <c r="M18" s="11" t="s">
        <v>112</v>
      </c>
      <c r="N18" s="11" t="s">
        <v>112</v>
      </c>
      <c r="O18" s="11" t="s">
        <v>111</v>
      </c>
      <c r="P18" s="68"/>
      <c r="Q18" s="60"/>
      <c r="R18" s="11" t="s">
        <v>112</v>
      </c>
      <c r="S18" s="11" t="s">
        <v>112</v>
      </c>
      <c r="T18" s="11" t="s">
        <v>112</v>
      </c>
      <c r="U18" s="11" t="s">
        <v>112</v>
      </c>
      <c r="V18" s="11" t="s">
        <v>112</v>
      </c>
      <c r="W18" s="11" t="s">
        <v>112</v>
      </c>
      <c r="X18" s="60"/>
      <c r="Y18" s="11" t="s">
        <v>112</v>
      </c>
      <c r="Z18" s="11" t="s">
        <v>112</v>
      </c>
      <c r="AA18" s="11" t="s">
        <v>112</v>
      </c>
      <c r="AB18" s="11" t="s">
        <v>112</v>
      </c>
      <c r="AC18" s="11" t="s">
        <v>112</v>
      </c>
      <c r="AD18" s="11" t="s">
        <v>112</v>
      </c>
      <c r="AE18" s="60"/>
      <c r="AF18" s="11" t="s">
        <v>112</v>
      </c>
      <c r="AG18" s="11" t="s">
        <v>112</v>
      </c>
      <c r="AH18" s="11" t="s">
        <v>112</v>
      </c>
      <c r="AI18" s="11" t="s">
        <v>112</v>
      </c>
      <c r="AJ18" s="5">
        <f t="shared" si="2"/>
        <v>23</v>
      </c>
      <c r="AK18" s="5">
        <f t="shared" si="1"/>
        <v>3</v>
      </c>
      <c r="AL18" s="5" t="s">
        <v>10</v>
      </c>
      <c r="AM18" s="5" t="s">
        <v>11</v>
      </c>
      <c r="AN18" s="5" t="s">
        <v>12</v>
      </c>
      <c r="AO18" s="5" t="s">
        <v>13</v>
      </c>
    </row>
    <row r="19" spans="1:41" x14ac:dyDescent="0.25">
      <c r="A19" s="6">
        <v>15</v>
      </c>
      <c r="B19" s="35" t="s">
        <v>787</v>
      </c>
      <c r="C19" s="36" t="s">
        <v>788</v>
      </c>
      <c r="D19" s="10" t="s">
        <v>819</v>
      </c>
      <c r="E19" s="11" t="s">
        <v>112</v>
      </c>
      <c r="F19" s="11" t="s">
        <v>112</v>
      </c>
      <c r="G19" s="11" t="s">
        <v>112</v>
      </c>
      <c r="H19" s="11" t="s">
        <v>112</v>
      </c>
      <c r="I19" s="11" t="s">
        <v>111</v>
      </c>
      <c r="J19" s="60"/>
      <c r="K19" s="11" t="s">
        <v>112</v>
      </c>
      <c r="L19" s="11" t="s">
        <v>112</v>
      </c>
      <c r="M19" s="11" t="s">
        <v>112</v>
      </c>
      <c r="N19" s="11" t="s">
        <v>112</v>
      </c>
      <c r="O19" s="11" t="s">
        <v>112</v>
      </c>
      <c r="P19" s="68"/>
      <c r="Q19" s="60"/>
      <c r="R19" s="11" t="s">
        <v>112</v>
      </c>
      <c r="S19" s="11" t="s">
        <v>112</v>
      </c>
      <c r="T19" s="11" t="s">
        <v>112</v>
      </c>
      <c r="U19" s="11" t="s">
        <v>112</v>
      </c>
      <c r="V19" s="11" t="s">
        <v>112</v>
      </c>
      <c r="W19" s="11" t="s">
        <v>112</v>
      </c>
      <c r="X19" s="60"/>
      <c r="Y19" s="11" t="s">
        <v>112</v>
      </c>
      <c r="Z19" s="11" t="s">
        <v>112</v>
      </c>
      <c r="AA19" s="11" t="s">
        <v>112</v>
      </c>
      <c r="AB19" s="11" t="s">
        <v>113</v>
      </c>
      <c r="AC19" s="11" t="s">
        <v>112</v>
      </c>
      <c r="AD19" s="11" t="s">
        <v>112</v>
      </c>
      <c r="AE19" s="60"/>
      <c r="AF19" s="11" t="s">
        <v>112</v>
      </c>
      <c r="AG19" s="11" t="s">
        <v>112</v>
      </c>
      <c r="AH19" s="11" t="s">
        <v>112</v>
      </c>
      <c r="AI19" s="11" t="s">
        <v>112</v>
      </c>
      <c r="AJ19" s="5">
        <f t="shared" si="2"/>
        <v>24</v>
      </c>
      <c r="AK19" s="5">
        <f t="shared" si="1"/>
        <v>1</v>
      </c>
      <c r="AL19" s="5" t="s">
        <v>14</v>
      </c>
      <c r="AM19" s="13">
        <f>18*$AM$5</f>
        <v>468</v>
      </c>
      <c r="AN19" s="13">
        <f>22*$AM$5</f>
        <v>572</v>
      </c>
      <c r="AO19" s="13">
        <f>AM19+AN19</f>
        <v>1040</v>
      </c>
    </row>
    <row r="20" spans="1:41" x14ac:dyDescent="0.25">
      <c r="A20" s="13">
        <v>16</v>
      </c>
      <c r="B20" s="35" t="s">
        <v>789</v>
      </c>
      <c r="C20" s="36" t="s">
        <v>321</v>
      </c>
      <c r="D20" s="10" t="s">
        <v>819</v>
      </c>
      <c r="E20" s="11" t="s">
        <v>112</v>
      </c>
      <c r="F20" s="11" t="s">
        <v>112</v>
      </c>
      <c r="G20" s="11" t="s">
        <v>112</v>
      </c>
      <c r="H20" s="11" t="s">
        <v>112</v>
      </c>
      <c r="I20" s="11" t="s">
        <v>112</v>
      </c>
      <c r="J20" s="60"/>
      <c r="K20" s="11" t="s">
        <v>112</v>
      </c>
      <c r="L20" s="11" t="s">
        <v>112</v>
      </c>
      <c r="M20" s="11" t="s">
        <v>112</v>
      </c>
      <c r="N20" s="11" t="s">
        <v>111</v>
      </c>
      <c r="O20" s="11" t="s">
        <v>112</v>
      </c>
      <c r="P20" s="68"/>
      <c r="Q20" s="60"/>
      <c r="R20" s="11" t="s">
        <v>112</v>
      </c>
      <c r="S20" s="11" t="s">
        <v>111</v>
      </c>
      <c r="T20" s="11" t="s">
        <v>112</v>
      </c>
      <c r="U20" s="11" t="s">
        <v>112</v>
      </c>
      <c r="V20" s="11" t="s">
        <v>112</v>
      </c>
      <c r="W20" s="11" t="s">
        <v>112</v>
      </c>
      <c r="X20" s="60"/>
      <c r="Y20" s="11" t="s">
        <v>112</v>
      </c>
      <c r="Z20" s="11" t="s">
        <v>112</v>
      </c>
      <c r="AA20" s="11" t="s">
        <v>112</v>
      </c>
      <c r="AB20" s="11" t="s">
        <v>112</v>
      </c>
      <c r="AC20" s="11" t="s">
        <v>112</v>
      </c>
      <c r="AD20" s="11" t="s">
        <v>112</v>
      </c>
      <c r="AE20" s="60"/>
      <c r="AF20" s="11" t="s">
        <v>112</v>
      </c>
      <c r="AG20" s="11" t="s">
        <v>112</v>
      </c>
      <c r="AH20" s="11" t="s">
        <v>112</v>
      </c>
      <c r="AI20" s="11" t="s">
        <v>112</v>
      </c>
      <c r="AJ20" s="5">
        <f t="shared" si="2"/>
        <v>24</v>
      </c>
      <c r="AK20" s="5">
        <f t="shared" si="1"/>
        <v>2</v>
      </c>
      <c r="AL20" s="5" t="s">
        <v>17</v>
      </c>
      <c r="AM20" s="13">
        <f>AM19-AM12</f>
        <v>99</v>
      </c>
      <c r="AN20" s="13">
        <f>AN19-AN12</f>
        <v>163</v>
      </c>
      <c r="AO20" s="13">
        <f>AM20+AN20</f>
        <v>262</v>
      </c>
    </row>
    <row r="21" spans="1:41" x14ac:dyDescent="0.25">
      <c r="A21" s="6">
        <v>17</v>
      </c>
      <c r="B21" s="35" t="s">
        <v>453</v>
      </c>
      <c r="C21" s="36" t="s">
        <v>758</v>
      </c>
      <c r="D21" s="10" t="s">
        <v>819</v>
      </c>
      <c r="E21" s="11" t="s">
        <v>112</v>
      </c>
      <c r="F21" s="11" t="s">
        <v>112</v>
      </c>
      <c r="G21" s="11" t="s">
        <v>112</v>
      </c>
      <c r="H21" s="11" t="s">
        <v>112</v>
      </c>
      <c r="I21" s="11" t="s">
        <v>111</v>
      </c>
      <c r="J21" s="60"/>
      <c r="K21" s="11" t="s">
        <v>112</v>
      </c>
      <c r="L21" s="11" t="s">
        <v>112</v>
      </c>
      <c r="M21" s="11" t="s">
        <v>112</v>
      </c>
      <c r="N21" s="11" t="s">
        <v>112</v>
      </c>
      <c r="O21" s="11" t="s">
        <v>112</v>
      </c>
      <c r="P21" s="68"/>
      <c r="Q21" s="60"/>
      <c r="R21" s="11" t="s">
        <v>112</v>
      </c>
      <c r="S21" s="11" t="s">
        <v>112</v>
      </c>
      <c r="T21" s="11" t="s">
        <v>112</v>
      </c>
      <c r="U21" s="11" t="s">
        <v>112</v>
      </c>
      <c r="V21" s="11" t="s">
        <v>112</v>
      </c>
      <c r="W21" s="11" t="s">
        <v>112</v>
      </c>
      <c r="X21" s="60"/>
      <c r="Y21" s="11" t="s">
        <v>112</v>
      </c>
      <c r="Z21" s="11" t="s">
        <v>112</v>
      </c>
      <c r="AA21" s="11" t="s">
        <v>112</v>
      </c>
      <c r="AB21" s="11" t="s">
        <v>111</v>
      </c>
      <c r="AC21" s="11" t="s">
        <v>112</v>
      </c>
      <c r="AD21" s="11" t="s">
        <v>112</v>
      </c>
      <c r="AE21" s="60"/>
      <c r="AF21" s="11" t="s">
        <v>112</v>
      </c>
      <c r="AG21" s="11" t="s">
        <v>112</v>
      </c>
      <c r="AH21" s="11" t="s">
        <v>112</v>
      </c>
      <c r="AI21" s="11" t="s">
        <v>112</v>
      </c>
      <c r="AJ21" s="5">
        <f t="shared" si="2"/>
        <v>24</v>
      </c>
      <c r="AK21" s="5">
        <f t="shared" si="1"/>
        <v>2</v>
      </c>
      <c r="AL21" s="5" t="s">
        <v>16</v>
      </c>
      <c r="AM21" s="18">
        <f>AM20/AM19</f>
        <v>0.21153846153846154</v>
      </c>
      <c r="AN21" s="18">
        <f>AN20/AN19</f>
        <v>0.28496503496503495</v>
      </c>
      <c r="AO21" s="18">
        <f>AO20/AO19</f>
        <v>0.25192307692307692</v>
      </c>
    </row>
    <row r="22" spans="1:41" x14ac:dyDescent="0.25">
      <c r="A22" s="13">
        <v>18</v>
      </c>
      <c r="B22" s="35" t="s">
        <v>790</v>
      </c>
      <c r="C22" s="36"/>
      <c r="D22" s="10" t="s">
        <v>819</v>
      </c>
      <c r="E22" s="11" t="s">
        <v>124</v>
      </c>
      <c r="F22" s="11" t="s">
        <v>124</v>
      </c>
      <c r="G22" s="11" t="s">
        <v>124</v>
      </c>
      <c r="H22" s="11" t="s">
        <v>124</v>
      </c>
      <c r="I22" s="11" t="s">
        <v>124</v>
      </c>
      <c r="J22" s="60"/>
      <c r="K22" s="11" t="s">
        <v>124</v>
      </c>
      <c r="L22" s="11" t="s">
        <v>124</v>
      </c>
      <c r="M22" s="11" t="s">
        <v>124</v>
      </c>
      <c r="N22" s="11" t="s">
        <v>124</v>
      </c>
      <c r="O22" s="11" t="s">
        <v>124</v>
      </c>
      <c r="P22" s="68"/>
      <c r="Q22" s="60"/>
      <c r="R22" s="11" t="s">
        <v>124</v>
      </c>
      <c r="S22" s="11" t="s">
        <v>124</v>
      </c>
      <c r="T22" s="11" t="s">
        <v>124</v>
      </c>
      <c r="U22" s="11" t="s">
        <v>124</v>
      </c>
      <c r="V22" s="11" t="s">
        <v>124</v>
      </c>
      <c r="W22" s="11" t="s">
        <v>124</v>
      </c>
      <c r="X22" s="60"/>
      <c r="Y22" s="11" t="s">
        <v>124</v>
      </c>
      <c r="Z22" s="11" t="s">
        <v>124</v>
      </c>
      <c r="AA22" s="11" t="s">
        <v>124</v>
      </c>
      <c r="AB22" s="11" t="s">
        <v>124</v>
      </c>
      <c r="AC22" s="11" t="s">
        <v>124</v>
      </c>
      <c r="AD22" s="11" t="s">
        <v>124</v>
      </c>
      <c r="AE22" s="60"/>
      <c r="AF22" s="11" t="s">
        <v>112</v>
      </c>
      <c r="AG22" s="11" t="s">
        <v>112</v>
      </c>
      <c r="AH22" s="11" t="s">
        <v>112</v>
      </c>
      <c r="AI22" s="11" t="s">
        <v>112</v>
      </c>
      <c r="AJ22" s="5">
        <f t="shared" si="2"/>
        <v>4</v>
      </c>
      <c r="AK22" s="5">
        <f t="shared" si="1"/>
        <v>0</v>
      </c>
    </row>
    <row r="23" spans="1:41" x14ac:dyDescent="0.25">
      <c r="A23" s="6">
        <v>1</v>
      </c>
      <c r="B23" s="35" t="s">
        <v>791</v>
      </c>
      <c r="C23" s="36" t="s">
        <v>792</v>
      </c>
      <c r="D23" s="10" t="s">
        <v>819</v>
      </c>
      <c r="E23" s="11" t="s">
        <v>112</v>
      </c>
      <c r="F23" s="11" t="s">
        <v>112</v>
      </c>
      <c r="G23" s="11" t="s">
        <v>112</v>
      </c>
      <c r="H23" s="11" t="s">
        <v>112</v>
      </c>
      <c r="I23" s="11" t="s">
        <v>111</v>
      </c>
      <c r="J23" s="60"/>
      <c r="K23" s="11" t="s">
        <v>111</v>
      </c>
      <c r="L23" s="11" t="s">
        <v>112</v>
      </c>
      <c r="M23" s="11" t="s">
        <v>112</v>
      </c>
      <c r="N23" s="11" t="s">
        <v>112</v>
      </c>
      <c r="O23" s="11" t="s">
        <v>112</v>
      </c>
      <c r="P23" s="68"/>
      <c r="Q23" s="60"/>
      <c r="R23" s="11" t="s">
        <v>112</v>
      </c>
      <c r="S23" s="11" t="s">
        <v>112</v>
      </c>
      <c r="T23" s="11" t="s">
        <v>112</v>
      </c>
      <c r="U23" s="11" t="s">
        <v>111</v>
      </c>
      <c r="V23" s="11" t="s">
        <v>112</v>
      </c>
      <c r="W23" s="11" t="s">
        <v>112</v>
      </c>
      <c r="X23" s="60"/>
      <c r="Y23" s="11" t="s">
        <v>112</v>
      </c>
      <c r="Z23" s="11" t="s">
        <v>112</v>
      </c>
      <c r="AA23" s="11" t="s">
        <v>112</v>
      </c>
      <c r="AB23" s="11" t="s">
        <v>112</v>
      </c>
      <c r="AC23" s="11" t="s">
        <v>112</v>
      </c>
      <c r="AD23" s="11" t="s">
        <v>112</v>
      </c>
      <c r="AE23" s="60"/>
      <c r="AF23" s="11" t="s">
        <v>112</v>
      </c>
      <c r="AG23" s="11" t="s">
        <v>112</v>
      </c>
      <c r="AH23" s="11" t="s">
        <v>112</v>
      </c>
      <c r="AI23" s="11" t="s">
        <v>112</v>
      </c>
      <c r="AJ23" s="5">
        <f t="shared" si="2"/>
        <v>23</v>
      </c>
      <c r="AK23" s="5">
        <f t="shared" si="1"/>
        <v>3</v>
      </c>
    </row>
    <row r="24" spans="1:41" x14ac:dyDescent="0.25">
      <c r="A24" s="13">
        <v>2</v>
      </c>
      <c r="B24" s="35" t="s">
        <v>793</v>
      </c>
      <c r="C24" s="36" t="s">
        <v>794</v>
      </c>
      <c r="D24" s="10" t="s">
        <v>819</v>
      </c>
      <c r="E24" s="11" t="s">
        <v>111</v>
      </c>
      <c r="F24" s="11" t="s">
        <v>111</v>
      </c>
      <c r="G24" s="11" t="s">
        <v>111</v>
      </c>
      <c r="H24" s="11" t="s">
        <v>111</v>
      </c>
      <c r="I24" s="11" t="s">
        <v>111</v>
      </c>
      <c r="J24" s="60"/>
      <c r="K24" s="11" t="s">
        <v>111</v>
      </c>
      <c r="L24" s="11" t="s">
        <v>111</v>
      </c>
      <c r="M24" s="11" t="s">
        <v>111</v>
      </c>
      <c r="N24" s="11" t="s">
        <v>111</v>
      </c>
      <c r="O24" s="11" t="s">
        <v>111</v>
      </c>
      <c r="P24" s="68"/>
      <c r="Q24" s="60"/>
      <c r="R24" s="11" t="s">
        <v>111</v>
      </c>
      <c r="S24" s="11" t="s">
        <v>111</v>
      </c>
      <c r="T24" s="11" t="s">
        <v>111</v>
      </c>
      <c r="U24" s="11" t="s">
        <v>111</v>
      </c>
      <c r="V24" s="11" t="s">
        <v>111</v>
      </c>
      <c r="W24" s="11" t="s">
        <v>111</v>
      </c>
      <c r="X24" s="60"/>
      <c r="Y24" s="11" t="s">
        <v>111</v>
      </c>
      <c r="Z24" s="11" t="s">
        <v>111</v>
      </c>
      <c r="AA24" s="11" t="s">
        <v>111</v>
      </c>
      <c r="AB24" s="11" t="s">
        <v>111</v>
      </c>
      <c r="AC24" s="11" t="s">
        <v>111</v>
      </c>
      <c r="AD24" s="11" t="s">
        <v>111</v>
      </c>
      <c r="AE24" s="60"/>
      <c r="AF24" s="11" t="s">
        <v>111</v>
      </c>
      <c r="AG24" s="11" t="s">
        <v>111</v>
      </c>
      <c r="AH24" s="11" t="s">
        <v>111</v>
      </c>
      <c r="AI24" s="11" t="s">
        <v>111</v>
      </c>
      <c r="AJ24" s="5">
        <f t="shared" si="2"/>
        <v>0</v>
      </c>
      <c r="AK24" s="5">
        <f t="shared" si="1"/>
        <v>25</v>
      </c>
    </row>
    <row r="25" spans="1:41" x14ac:dyDescent="0.25">
      <c r="A25" s="6">
        <v>3</v>
      </c>
      <c r="B25" s="35" t="s">
        <v>795</v>
      </c>
      <c r="C25" s="36" t="s">
        <v>121</v>
      </c>
      <c r="D25" s="10" t="s">
        <v>819</v>
      </c>
      <c r="E25" s="11" t="s">
        <v>112</v>
      </c>
      <c r="F25" s="11" t="s">
        <v>111</v>
      </c>
      <c r="G25" s="11" t="s">
        <v>111</v>
      </c>
      <c r="H25" s="11" t="s">
        <v>111</v>
      </c>
      <c r="I25" s="11" t="s">
        <v>112</v>
      </c>
      <c r="J25" s="60"/>
      <c r="K25" s="11" t="s">
        <v>112</v>
      </c>
      <c r="L25" s="11" t="s">
        <v>112</v>
      </c>
      <c r="M25" s="11" t="s">
        <v>112</v>
      </c>
      <c r="N25" s="11" t="s">
        <v>112</v>
      </c>
      <c r="O25" s="11" t="s">
        <v>112</v>
      </c>
      <c r="P25" s="68"/>
      <c r="Q25" s="60"/>
      <c r="R25" s="11" t="s">
        <v>112</v>
      </c>
      <c r="S25" s="11" t="s">
        <v>112</v>
      </c>
      <c r="T25" s="11" t="s">
        <v>112</v>
      </c>
      <c r="U25" s="11" t="s">
        <v>111</v>
      </c>
      <c r="V25" s="11" t="s">
        <v>112</v>
      </c>
      <c r="W25" s="11" t="s">
        <v>112</v>
      </c>
      <c r="X25" s="60"/>
      <c r="Y25" s="11" t="s">
        <v>112</v>
      </c>
      <c r="Z25" s="11" t="s">
        <v>111</v>
      </c>
      <c r="AA25" s="11" t="s">
        <v>112</v>
      </c>
      <c r="AB25" s="11" t="s">
        <v>111</v>
      </c>
      <c r="AC25" s="11" t="s">
        <v>112</v>
      </c>
      <c r="AD25" s="11" t="s">
        <v>112</v>
      </c>
      <c r="AE25" s="60"/>
      <c r="AF25" s="11" t="s">
        <v>112</v>
      </c>
      <c r="AG25" s="11" t="s">
        <v>112</v>
      </c>
      <c r="AH25" s="11" t="s">
        <v>112</v>
      </c>
      <c r="AI25" s="11" t="s">
        <v>112</v>
      </c>
      <c r="AJ25" s="5">
        <f t="shared" si="2"/>
        <v>20</v>
      </c>
      <c r="AK25" s="5">
        <f t="shared" si="1"/>
        <v>6</v>
      </c>
    </row>
    <row r="26" spans="1:41" x14ac:dyDescent="0.25">
      <c r="A26" s="13">
        <v>4</v>
      </c>
      <c r="B26" s="35" t="s">
        <v>796</v>
      </c>
      <c r="C26" s="36" t="s">
        <v>797</v>
      </c>
      <c r="D26" s="10" t="s">
        <v>819</v>
      </c>
      <c r="E26" s="11" t="s">
        <v>111</v>
      </c>
      <c r="F26" s="11" t="s">
        <v>111</v>
      </c>
      <c r="G26" s="11" t="s">
        <v>111</v>
      </c>
      <c r="H26" s="11" t="s">
        <v>111</v>
      </c>
      <c r="I26" s="11" t="s">
        <v>111</v>
      </c>
      <c r="J26" s="60"/>
      <c r="K26" s="11" t="s">
        <v>111</v>
      </c>
      <c r="L26" s="11" t="s">
        <v>111</v>
      </c>
      <c r="M26" s="11" t="s">
        <v>111</v>
      </c>
      <c r="N26" s="11" t="s">
        <v>111</v>
      </c>
      <c r="O26" s="11" t="s">
        <v>111</v>
      </c>
      <c r="P26" s="68"/>
      <c r="Q26" s="60"/>
      <c r="R26" s="11" t="s">
        <v>111</v>
      </c>
      <c r="S26" s="11" t="s">
        <v>111</v>
      </c>
      <c r="T26" s="11" t="s">
        <v>111</v>
      </c>
      <c r="U26" s="11" t="s">
        <v>111</v>
      </c>
      <c r="V26" s="11" t="s">
        <v>111</v>
      </c>
      <c r="W26" s="11" t="s">
        <v>111</v>
      </c>
      <c r="X26" s="60"/>
      <c r="Y26" s="11" t="s">
        <v>111</v>
      </c>
      <c r="Z26" s="11" t="s">
        <v>111</v>
      </c>
      <c r="AA26" s="11" t="s">
        <v>111</v>
      </c>
      <c r="AB26" s="11" t="s">
        <v>111</v>
      </c>
      <c r="AC26" s="11" t="s">
        <v>111</v>
      </c>
      <c r="AD26" s="11" t="s">
        <v>111</v>
      </c>
      <c r="AE26" s="60"/>
      <c r="AF26" s="11" t="s">
        <v>111</v>
      </c>
      <c r="AG26" s="11" t="s">
        <v>111</v>
      </c>
      <c r="AH26" s="11" t="s">
        <v>111</v>
      </c>
      <c r="AI26" s="11" t="s">
        <v>111</v>
      </c>
      <c r="AJ26" s="5">
        <f t="shared" si="2"/>
        <v>0</v>
      </c>
      <c r="AK26" s="5">
        <f t="shared" si="1"/>
        <v>25</v>
      </c>
    </row>
    <row r="27" spans="1:41" x14ac:dyDescent="0.25">
      <c r="A27" s="6">
        <v>5</v>
      </c>
      <c r="B27" s="35" t="s">
        <v>798</v>
      </c>
      <c r="C27" s="36" t="s">
        <v>799</v>
      </c>
      <c r="D27" s="10" t="s">
        <v>819</v>
      </c>
      <c r="E27" s="11" t="s">
        <v>112</v>
      </c>
      <c r="F27" s="11" t="s">
        <v>112</v>
      </c>
      <c r="G27" s="11" t="s">
        <v>112</v>
      </c>
      <c r="H27" s="11" t="s">
        <v>112</v>
      </c>
      <c r="I27" s="11" t="s">
        <v>112</v>
      </c>
      <c r="J27" s="60"/>
      <c r="K27" s="11" t="s">
        <v>112</v>
      </c>
      <c r="L27" s="11" t="s">
        <v>112</v>
      </c>
      <c r="M27" s="11" t="s">
        <v>112</v>
      </c>
      <c r="N27" s="11" t="s">
        <v>112</v>
      </c>
      <c r="O27" s="11" t="s">
        <v>112</v>
      </c>
      <c r="P27" s="68"/>
      <c r="Q27" s="60"/>
      <c r="R27" s="11" t="s">
        <v>112</v>
      </c>
      <c r="S27" s="11" t="s">
        <v>112</v>
      </c>
      <c r="T27" s="11" t="s">
        <v>112</v>
      </c>
      <c r="U27" s="11" t="s">
        <v>112</v>
      </c>
      <c r="V27" s="11" t="s">
        <v>112</v>
      </c>
      <c r="W27" s="11" t="s">
        <v>112</v>
      </c>
      <c r="X27" s="60"/>
      <c r="Y27" s="11" t="s">
        <v>112</v>
      </c>
      <c r="Z27" s="11" t="s">
        <v>112</v>
      </c>
      <c r="AA27" s="11" t="s">
        <v>111</v>
      </c>
      <c r="AB27" s="11" t="s">
        <v>112</v>
      </c>
      <c r="AC27" s="11" t="s">
        <v>112</v>
      </c>
      <c r="AD27" s="11" t="s">
        <v>112</v>
      </c>
      <c r="AE27" s="60"/>
      <c r="AF27" s="11" t="s">
        <v>112</v>
      </c>
      <c r="AG27" s="11" t="s">
        <v>112</v>
      </c>
      <c r="AH27" s="11" t="s">
        <v>112</v>
      </c>
      <c r="AI27" s="11" t="s">
        <v>111</v>
      </c>
      <c r="AJ27" s="5">
        <f t="shared" si="2"/>
        <v>24</v>
      </c>
      <c r="AK27" s="5">
        <f t="shared" si="1"/>
        <v>1</v>
      </c>
    </row>
    <row r="28" spans="1:41" x14ac:dyDescent="0.25">
      <c r="A28" s="13">
        <v>6</v>
      </c>
      <c r="B28" s="35" t="s">
        <v>800</v>
      </c>
      <c r="C28" s="36" t="s">
        <v>406</v>
      </c>
      <c r="D28" s="10" t="s">
        <v>819</v>
      </c>
      <c r="E28" s="11" t="s">
        <v>111</v>
      </c>
      <c r="F28" s="11" t="s">
        <v>112</v>
      </c>
      <c r="G28" s="11" t="s">
        <v>112</v>
      </c>
      <c r="H28" s="11" t="s">
        <v>111</v>
      </c>
      <c r="I28" s="11" t="s">
        <v>111</v>
      </c>
      <c r="J28" s="60"/>
      <c r="K28" s="11" t="s">
        <v>112</v>
      </c>
      <c r="L28" s="11" t="s">
        <v>112</v>
      </c>
      <c r="M28" s="11" t="s">
        <v>112</v>
      </c>
      <c r="N28" s="11" t="s">
        <v>112</v>
      </c>
      <c r="O28" s="11" t="s">
        <v>112</v>
      </c>
      <c r="P28" s="68"/>
      <c r="Q28" s="60"/>
      <c r="R28" s="11" t="s">
        <v>112</v>
      </c>
      <c r="S28" s="11" t="s">
        <v>112</v>
      </c>
      <c r="T28" s="11" t="s">
        <v>112</v>
      </c>
      <c r="U28" s="11" t="s">
        <v>111</v>
      </c>
      <c r="V28" s="11" t="s">
        <v>112</v>
      </c>
      <c r="W28" s="11" t="s">
        <v>112</v>
      </c>
      <c r="X28" s="60"/>
      <c r="Y28" s="11" t="s">
        <v>112</v>
      </c>
      <c r="Z28" s="11" t="s">
        <v>112</v>
      </c>
      <c r="AA28" s="11" t="s">
        <v>112</v>
      </c>
      <c r="AB28" s="11" t="s">
        <v>112</v>
      </c>
      <c r="AC28" s="11" t="s">
        <v>112</v>
      </c>
      <c r="AD28" s="11" t="s">
        <v>112</v>
      </c>
      <c r="AE28" s="60"/>
      <c r="AF28" s="11" t="s">
        <v>111</v>
      </c>
      <c r="AG28" s="11" t="s">
        <v>112</v>
      </c>
      <c r="AH28" s="11" t="s">
        <v>111</v>
      </c>
      <c r="AI28" s="11" t="s">
        <v>112</v>
      </c>
      <c r="AJ28" s="5">
        <f t="shared" si="2"/>
        <v>20</v>
      </c>
      <c r="AK28" s="5">
        <f t="shared" si="1"/>
        <v>6</v>
      </c>
    </row>
    <row r="29" spans="1:41" x14ac:dyDescent="0.25">
      <c r="A29" s="6">
        <v>7</v>
      </c>
      <c r="B29" s="35" t="s">
        <v>262</v>
      </c>
      <c r="C29" s="36" t="s">
        <v>801</v>
      </c>
      <c r="D29" s="10" t="s">
        <v>819</v>
      </c>
      <c r="E29" s="11" t="s">
        <v>112</v>
      </c>
      <c r="F29" s="11" t="s">
        <v>112</v>
      </c>
      <c r="G29" s="11" t="s">
        <v>112</v>
      </c>
      <c r="H29" s="11" t="s">
        <v>112</v>
      </c>
      <c r="I29" s="11" t="s">
        <v>112</v>
      </c>
      <c r="J29" s="60"/>
      <c r="K29" s="11" t="s">
        <v>112</v>
      </c>
      <c r="L29" s="11" t="s">
        <v>112</v>
      </c>
      <c r="M29" s="11" t="s">
        <v>112</v>
      </c>
      <c r="N29" s="11" t="s">
        <v>112</v>
      </c>
      <c r="O29" s="11" t="s">
        <v>112</v>
      </c>
      <c r="P29" s="68"/>
      <c r="Q29" s="60"/>
      <c r="R29" s="11" t="s">
        <v>112</v>
      </c>
      <c r="S29" s="11" t="s">
        <v>112</v>
      </c>
      <c r="T29" s="11" t="s">
        <v>112</v>
      </c>
      <c r="U29" s="11" t="s">
        <v>112</v>
      </c>
      <c r="V29" s="11" t="s">
        <v>112</v>
      </c>
      <c r="W29" s="11" t="s">
        <v>112</v>
      </c>
      <c r="X29" s="60"/>
      <c r="Y29" s="11" t="s">
        <v>112</v>
      </c>
      <c r="Z29" s="11" t="s">
        <v>112</v>
      </c>
      <c r="AA29" s="11" t="s">
        <v>112</v>
      </c>
      <c r="AB29" s="11" t="s">
        <v>112</v>
      </c>
      <c r="AC29" s="11" t="s">
        <v>112</v>
      </c>
      <c r="AD29" s="11" t="s">
        <v>111</v>
      </c>
      <c r="AE29" s="60"/>
      <c r="AF29" s="11" t="s">
        <v>112</v>
      </c>
      <c r="AG29" s="11" t="s">
        <v>112</v>
      </c>
      <c r="AH29" s="11" t="s">
        <v>112</v>
      </c>
      <c r="AI29" s="11" t="s">
        <v>112</v>
      </c>
      <c r="AJ29" s="5">
        <f t="shared" si="2"/>
        <v>25</v>
      </c>
      <c r="AK29" s="5">
        <f t="shared" si="1"/>
        <v>1</v>
      </c>
    </row>
    <row r="30" spans="1:41" x14ac:dyDescent="0.25">
      <c r="A30" s="13">
        <v>8</v>
      </c>
      <c r="B30" s="34" t="s">
        <v>802</v>
      </c>
      <c r="C30" s="34" t="s">
        <v>160</v>
      </c>
      <c r="D30" s="10" t="s">
        <v>819</v>
      </c>
      <c r="E30" s="11" t="s">
        <v>112</v>
      </c>
      <c r="F30" s="11" t="s">
        <v>112</v>
      </c>
      <c r="G30" s="11" t="s">
        <v>112</v>
      </c>
      <c r="H30" s="11" t="s">
        <v>112</v>
      </c>
      <c r="I30" s="11" t="s">
        <v>112</v>
      </c>
      <c r="J30" s="60"/>
      <c r="K30" s="11" t="s">
        <v>112</v>
      </c>
      <c r="L30" s="11" t="s">
        <v>112</v>
      </c>
      <c r="M30" s="11" t="s">
        <v>112</v>
      </c>
      <c r="N30" s="11" t="s">
        <v>112</v>
      </c>
      <c r="O30" s="11" t="s">
        <v>112</v>
      </c>
      <c r="P30" s="68"/>
      <c r="Q30" s="60"/>
      <c r="R30" s="11" t="s">
        <v>112</v>
      </c>
      <c r="S30" s="11" t="s">
        <v>112</v>
      </c>
      <c r="T30" s="11" t="s">
        <v>112</v>
      </c>
      <c r="U30" s="11" t="s">
        <v>112</v>
      </c>
      <c r="V30" s="11" t="s">
        <v>112</v>
      </c>
      <c r="W30" s="11" t="s">
        <v>112</v>
      </c>
      <c r="X30" s="60"/>
      <c r="Y30" s="11" t="s">
        <v>113</v>
      </c>
      <c r="Z30" s="11" t="s">
        <v>112</v>
      </c>
      <c r="AA30" s="11" t="s">
        <v>112</v>
      </c>
      <c r="AB30" s="11" t="s">
        <v>112</v>
      </c>
      <c r="AC30" s="11" t="s">
        <v>112</v>
      </c>
      <c r="AD30" s="11" t="s">
        <v>112</v>
      </c>
      <c r="AE30" s="60"/>
      <c r="AF30" s="11" t="s">
        <v>112</v>
      </c>
      <c r="AG30" s="11" t="s">
        <v>112</v>
      </c>
      <c r="AH30" s="11" t="s">
        <v>112</v>
      </c>
      <c r="AI30" s="11" t="s">
        <v>112</v>
      </c>
      <c r="AJ30" s="5">
        <f t="shared" si="2"/>
        <v>25</v>
      </c>
      <c r="AK30" s="5">
        <f t="shared" si="1"/>
        <v>0</v>
      </c>
    </row>
    <row r="31" spans="1:41" x14ac:dyDescent="0.25">
      <c r="A31" s="6">
        <v>9</v>
      </c>
      <c r="B31" s="34" t="s">
        <v>803</v>
      </c>
      <c r="C31" s="34" t="s">
        <v>252</v>
      </c>
      <c r="D31" s="10" t="s">
        <v>819</v>
      </c>
      <c r="E31" s="11" t="s">
        <v>112</v>
      </c>
      <c r="F31" s="11" t="s">
        <v>112</v>
      </c>
      <c r="G31" s="11" t="s">
        <v>112</v>
      </c>
      <c r="H31" s="11" t="s">
        <v>112</v>
      </c>
      <c r="I31" s="11" t="s">
        <v>112</v>
      </c>
      <c r="J31" s="60"/>
      <c r="K31" s="11" t="s">
        <v>112</v>
      </c>
      <c r="L31" s="11" t="s">
        <v>112</v>
      </c>
      <c r="M31" s="11" t="s">
        <v>112</v>
      </c>
      <c r="N31" s="11" t="s">
        <v>112</v>
      </c>
      <c r="O31" s="11" t="s">
        <v>112</v>
      </c>
      <c r="P31" s="68"/>
      <c r="Q31" s="60"/>
      <c r="R31" s="11" t="s">
        <v>112</v>
      </c>
      <c r="S31" s="11" t="s">
        <v>112</v>
      </c>
      <c r="T31" s="11" t="s">
        <v>112</v>
      </c>
      <c r="U31" s="11" t="s">
        <v>112</v>
      </c>
      <c r="V31" s="11" t="s">
        <v>112</v>
      </c>
      <c r="W31" s="11" t="s">
        <v>112</v>
      </c>
      <c r="X31" s="60"/>
      <c r="Y31" s="11" t="s">
        <v>112</v>
      </c>
      <c r="Z31" s="11" t="s">
        <v>111</v>
      </c>
      <c r="AA31" s="11" t="s">
        <v>111</v>
      </c>
      <c r="AB31" s="11" t="s">
        <v>112</v>
      </c>
      <c r="AC31" s="11" t="s">
        <v>111</v>
      </c>
      <c r="AD31" s="11" t="s">
        <v>111</v>
      </c>
      <c r="AE31" s="60"/>
      <c r="AF31" s="11" t="s">
        <v>112</v>
      </c>
      <c r="AG31" s="11" t="s">
        <v>112</v>
      </c>
      <c r="AH31" s="11" t="s">
        <v>112</v>
      </c>
      <c r="AI31" s="11" t="s">
        <v>112</v>
      </c>
      <c r="AJ31" s="5">
        <f t="shared" si="2"/>
        <v>22</v>
      </c>
      <c r="AK31" s="5">
        <f t="shared" si="1"/>
        <v>4</v>
      </c>
    </row>
    <row r="32" spans="1:41" x14ac:dyDescent="0.25">
      <c r="A32" s="13">
        <v>10</v>
      </c>
      <c r="B32" s="34" t="s">
        <v>804</v>
      </c>
      <c r="C32" s="34" t="s">
        <v>435</v>
      </c>
      <c r="D32" s="10" t="s">
        <v>819</v>
      </c>
      <c r="E32" s="11" t="s">
        <v>112</v>
      </c>
      <c r="F32" s="11" t="s">
        <v>112</v>
      </c>
      <c r="G32" s="11" t="s">
        <v>112</v>
      </c>
      <c r="H32" s="11" t="s">
        <v>111</v>
      </c>
      <c r="I32" s="11" t="s">
        <v>112</v>
      </c>
      <c r="J32" s="60"/>
      <c r="K32" s="11" t="s">
        <v>112</v>
      </c>
      <c r="L32" s="11" t="s">
        <v>112</v>
      </c>
      <c r="M32" s="11" t="s">
        <v>112</v>
      </c>
      <c r="N32" s="11" t="s">
        <v>112</v>
      </c>
      <c r="O32" s="11" t="s">
        <v>112</v>
      </c>
      <c r="P32" s="68"/>
      <c r="Q32" s="60"/>
      <c r="R32" s="11" t="s">
        <v>112</v>
      </c>
      <c r="S32" s="11" t="s">
        <v>112</v>
      </c>
      <c r="T32" s="11" t="s">
        <v>112</v>
      </c>
      <c r="U32" s="11" t="s">
        <v>112</v>
      </c>
      <c r="V32" s="11" t="s">
        <v>112</v>
      </c>
      <c r="W32" s="11" t="s">
        <v>112</v>
      </c>
      <c r="X32" s="60"/>
      <c r="Y32" s="11" t="s">
        <v>112</v>
      </c>
      <c r="Z32" s="11" t="s">
        <v>112</v>
      </c>
      <c r="AA32" s="11" t="s">
        <v>112</v>
      </c>
      <c r="AB32" s="11" t="s">
        <v>112</v>
      </c>
      <c r="AC32" s="11" t="s">
        <v>112</v>
      </c>
      <c r="AD32" s="11" t="s">
        <v>112</v>
      </c>
      <c r="AE32" s="60"/>
      <c r="AF32" s="11" t="s">
        <v>112</v>
      </c>
      <c r="AG32" s="11" t="s">
        <v>112</v>
      </c>
      <c r="AH32" s="11" t="s">
        <v>112</v>
      </c>
      <c r="AI32" s="11" t="s">
        <v>112</v>
      </c>
      <c r="AJ32" s="5">
        <f t="shared" si="2"/>
        <v>25</v>
      </c>
      <c r="AK32" s="5">
        <f t="shared" si="1"/>
        <v>1</v>
      </c>
    </row>
    <row r="33" spans="1:37" x14ac:dyDescent="0.25">
      <c r="A33" s="6">
        <v>11</v>
      </c>
      <c r="B33" s="34" t="s">
        <v>805</v>
      </c>
      <c r="C33" s="34" t="s">
        <v>435</v>
      </c>
      <c r="D33" s="10" t="s">
        <v>819</v>
      </c>
      <c r="E33" s="11" t="s">
        <v>112</v>
      </c>
      <c r="F33" s="11" t="s">
        <v>111</v>
      </c>
      <c r="G33" s="11" t="s">
        <v>111</v>
      </c>
      <c r="H33" s="11" t="s">
        <v>111</v>
      </c>
      <c r="I33" s="11" t="s">
        <v>111</v>
      </c>
      <c r="J33" s="60"/>
      <c r="K33" s="11" t="s">
        <v>111</v>
      </c>
      <c r="L33" s="11" t="s">
        <v>111</v>
      </c>
      <c r="M33" s="11" t="s">
        <v>111</v>
      </c>
      <c r="N33" s="11" t="s">
        <v>111</v>
      </c>
      <c r="O33" s="11" t="s">
        <v>111</v>
      </c>
      <c r="P33" s="68"/>
      <c r="Q33" s="60"/>
      <c r="R33" s="11" t="s">
        <v>112</v>
      </c>
      <c r="S33" s="11" t="s">
        <v>112</v>
      </c>
      <c r="T33" s="11" t="s">
        <v>112</v>
      </c>
      <c r="U33" s="11" t="s">
        <v>111</v>
      </c>
      <c r="V33" s="11" t="s">
        <v>112</v>
      </c>
      <c r="W33" s="11" t="s">
        <v>112</v>
      </c>
      <c r="X33" s="60"/>
      <c r="Y33" s="11" t="s">
        <v>112</v>
      </c>
      <c r="Z33" s="11" t="s">
        <v>112</v>
      </c>
      <c r="AA33" s="11" t="s">
        <v>112</v>
      </c>
      <c r="AB33" s="11" t="s">
        <v>112</v>
      </c>
      <c r="AC33" s="11" t="s">
        <v>112</v>
      </c>
      <c r="AD33" s="11" t="s">
        <v>112</v>
      </c>
      <c r="AE33" s="60"/>
      <c r="AF33" s="11" t="s">
        <v>112</v>
      </c>
      <c r="AG33" s="11" t="s">
        <v>112</v>
      </c>
      <c r="AH33" s="11" t="s">
        <v>112</v>
      </c>
      <c r="AI33" s="11" t="s">
        <v>112</v>
      </c>
      <c r="AJ33" s="5">
        <f t="shared" si="2"/>
        <v>16</v>
      </c>
      <c r="AK33" s="5">
        <f t="shared" si="1"/>
        <v>10</v>
      </c>
    </row>
    <row r="34" spans="1:37" x14ac:dyDescent="0.25">
      <c r="A34" s="13">
        <v>12</v>
      </c>
      <c r="B34" s="34" t="s">
        <v>139</v>
      </c>
      <c r="C34" s="34" t="s">
        <v>806</v>
      </c>
      <c r="D34" s="10" t="s">
        <v>819</v>
      </c>
      <c r="E34" s="11" t="s">
        <v>111</v>
      </c>
      <c r="F34" s="11" t="s">
        <v>111</v>
      </c>
      <c r="G34" s="11" t="s">
        <v>111</v>
      </c>
      <c r="H34" s="11" t="s">
        <v>111</v>
      </c>
      <c r="I34" s="11" t="s">
        <v>111</v>
      </c>
      <c r="J34" s="60"/>
      <c r="K34" s="11" t="s">
        <v>111</v>
      </c>
      <c r="L34" s="11" t="s">
        <v>111</v>
      </c>
      <c r="M34" s="11" t="s">
        <v>111</v>
      </c>
      <c r="N34" s="11" t="s">
        <v>111</v>
      </c>
      <c r="O34" s="11" t="s">
        <v>111</v>
      </c>
      <c r="P34" s="68"/>
      <c r="Q34" s="60"/>
      <c r="R34" s="11" t="s">
        <v>111</v>
      </c>
      <c r="S34" s="11" t="s">
        <v>111</v>
      </c>
      <c r="T34" s="11" t="s">
        <v>111</v>
      </c>
      <c r="U34" s="11" t="s">
        <v>111</v>
      </c>
      <c r="V34" s="11" t="s">
        <v>111</v>
      </c>
      <c r="W34" s="11" t="s">
        <v>111</v>
      </c>
      <c r="X34" s="60"/>
      <c r="Y34" s="11" t="s">
        <v>111</v>
      </c>
      <c r="Z34" s="11" t="s">
        <v>111</v>
      </c>
      <c r="AA34" s="11" t="s">
        <v>111</v>
      </c>
      <c r="AB34" s="11" t="s">
        <v>111</v>
      </c>
      <c r="AC34" s="11" t="s">
        <v>111</v>
      </c>
      <c r="AD34" s="11" t="s">
        <v>111</v>
      </c>
      <c r="AE34" s="60"/>
      <c r="AF34" s="11" t="s">
        <v>111</v>
      </c>
      <c r="AG34" s="11" t="s">
        <v>111</v>
      </c>
      <c r="AH34" s="11" t="s">
        <v>111</v>
      </c>
      <c r="AI34" s="11" t="s">
        <v>111</v>
      </c>
      <c r="AJ34" s="5">
        <f t="shared" si="2"/>
        <v>0</v>
      </c>
      <c r="AK34" s="5">
        <f t="shared" si="1"/>
        <v>25</v>
      </c>
    </row>
    <row r="35" spans="1:37" x14ac:dyDescent="0.25">
      <c r="A35" s="6">
        <v>13</v>
      </c>
      <c r="B35" s="34" t="s">
        <v>807</v>
      </c>
      <c r="C35" s="34" t="s">
        <v>808</v>
      </c>
      <c r="D35" s="10" t="s">
        <v>819</v>
      </c>
      <c r="E35" s="11" t="s">
        <v>112</v>
      </c>
      <c r="F35" s="11" t="s">
        <v>112</v>
      </c>
      <c r="G35" s="11" t="s">
        <v>112</v>
      </c>
      <c r="H35" s="11" t="s">
        <v>112</v>
      </c>
      <c r="I35" s="11" t="s">
        <v>112</v>
      </c>
      <c r="J35" s="60"/>
      <c r="K35" s="11" t="s">
        <v>112</v>
      </c>
      <c r="L35" s="11" t="s">
        <v>112</v>
      </c>
      <c r="M35" s="11" t="s">
        <v>112</v>
      </c>
      <c r="N35" s="11" t="s">
        <v>112</v>
      </c>
      <c r="O35" s="11" t="s">
        <v>112</v>
      </c>
      <c r="P35" s="68"/>
      <c r="Q35" s="60"/>
      <c r="R35" s="11" t="s">
        <v>112</v>
      </c>
      <c r="S35" s="11" t="s">
        <v>111</v>
      </c>
      <c r="T35" s="11" t="s">
        <v>111</v>
      </c>
      <c r="U35" s="11" t="s">
        <v>111</v>
      </c>
      <c r="V35" s="11" t="s">
        <v>111</v>
      </c>
      <c r="W35" s="11" t="s">
        <v>111</v>
      </c>
      <c r="X35" s="60"/>
      <c r="Y35" s="11" t="s">
        <v>112</v>
      </c>
      <c r="Z35" s="11" t="s">
        <v>112</v>
      </c>
      <c r="AA35" s="11" t="s">
        <v>112</v>
      </c>
      <c r="AB35" s="11" t="s">
        <v>112</v>
      </c>
      <c r="AC35" s="11" t="s">
        <v>112</v>
      </c>
      <c r="AD35" s="11" t="s">
        <v>112</v>
      </c>
      <c r="AE35" s="60"/>
      <c r="AF35" s="11" t="s">
        <v>112</v>
      </c>
      <c r="AG35" s="11" t="s">
        <v>112</v>
      </c>
      <c r="AH35" s="11" t="s">
        <v>112</v>
      </c>
      <c r="AI35" s="11" t="s">
        <v>112</v>
      </c>
      <c r="AJ35" s="5">
        <f t="shared" si="2"/>
        <v>21</v>
      </c>
      <c r="AK35" s="5">
        <f t="shared" si="1"/>
        <v>5</v>
      </c>
    </row>
    <row r="36" spans="1:37" x14ac:dyDescent="0.25">
      <c r="A36" s="13">
        <v>14</v>
      </c>
      <c r="B36" s="34" t="s">
        <v>411</v>
      </c>
      <c r="C36" s="34" t="s">
        <v>362</v>
      </c>
      <c r="D36" s="10" t="s">
        <v>819</v>
      </c>
      <c r="E36" s="11" t="s">
        <v>111</v>
      </c>
      <c r="F36" s="11" t="s">
        <v>112</v>
      </c>
      <c r="G36" s="11" t="s">
        <v>111</v>
      </c>
      <c r="H36" s="11" t="s">
        <v>111</v>
      </c>
      <c r="I36" s="11" t="s">
        <v>111</v>
      </c>
      <c r="J36" s="60"/>
      <c r="K36" s="11" t="s">
        <v>112</v>
      </c>
      <c r="L36" s="11" t="s">
        <v>112</v>
      </c>
      <c r="M36" s="11" t="s">
        <v>111</v>
      </c>
      <c r="N36" s="11" t="s">
        <v>111</v>
      </c>
      <c r="O36" s="11" t="s">
        <v>111</v>
      </c>
      <c r="P36" s="68"/>
      <c r="Q36" s="60"/>
      <c r="R36" s="11" t="s">
        <v>111</v>
      </c>
      <c r="S36" s="11" t="s">
        <v>111</v>
      </c>
      <c r="T36" s="11" t="s">
        <v>111</v>
      </c>
      <c r="U36" s="11" t="s">
        <v>111</v>
      </c>
      <c r="V36" s="11" t="s">
        <v>111</v>
      </c>
      <c r="W36" s="11" t="s">
        <v>111</v>
      </c>
      <c r="X36" s="60"/>
      <c r="Y36" s="11" t="s">
        <v>111</v>
      </c>
      <c r="Z36" s="11" t="s">
        <v>111</v>
      </c>
      <c r="AA36" s="11" t="s">
        <v>111</v>
      </c>
      <c r="AB36" s="11" t="s">
        <v>111</v>
      </c>
      <c r="AC36" s="11" t="s">
        <v>111</v>
      </c>
      <c r="AD36" s="11" t="s">
        <v>111</v>
      </c>
      <c r="AE36" s="60"/>
      <c r="AF36" s="11" t="s">
        <v>111</v>
      </c>
      <c r="AG36" s="11" t="s">
        <v>111</v>
      </c>
      <c r="AH36" s="11" t="s">
        <v>111</v>
      </c>
      <c r="AI36" s="11" t="s">
        <v>112</v>
      </c>
      <c r="AJ36" s="5">
        <f t="shared" si="2"/>
        <v>4</v>
      </c>
      <c r="AK36" s="5">
        <f t="shared" si="1"/>
        <v>22</v>
      </c>
    </row>
    <row r="37" spans="1:37" x14ac:dyDescent="0.25">
      <c r="A37" s="6">
        <v>15</v>
      </c>
      <c r="B37" s="39" t="s">
        <v>809</v>
      </c>
      <c r="C37" s="39" t="s">
        <v>782</v>
      </c>
      <c r="D37" s="10" t="s">
        <v>819</v>
      </c>
      <c r="E37" s="11" t="s">
        <v>112</v>
      </c>
      <c r="F37" s="11" t="s">
        <v>112</v>
      </c>
      <c r="G37" s="11" t="s">
        <v>112</v>
      </c>
      <c r="H37" s="11" t="s">
        <v>112</v>
      </c>
      <c r="I37" s="11" t="s">
        <v>112</v>
      </c>
      <c r="J37" s="60"/>
      <c r="K37" s="11" t="s">
        <v>111</v>
      </c>
      <c r="L37" s="11" t="s">
        <v>112</v>
      </c>
      <c r="M37" s="11" t="s">
        <v>112</v>
      </c>
      <c r="N37" s="11" t="s">
        <v>112</v>
      </c>
      <c r="O37" s="11" t="s">
        <v>112</v>
      </c>
      <c r="P37" s="68"/>
      <c r="Q37" s="60"/>
      <c r="R37" s="11" t="s">
        <v>112</v>
      </c>
      <c r="S37" s="11" t="s">
        <v>111</v>
      </c>
      <c r="T37" s="11" t="s">
        <v>111</v>
      </c>
      <c r="U37" s="11" t="s">
        <v>111</v>
      </c>
      <c r="V37" s="11" t="s">
        <v>111</v>
      </c>
      <c r="W37" s="11" t="s">
        <v>111</v>
      </c>
      <c r="X37" s="60"/>
      <c r="Y37" s="11" t="s">
        <v>112</v>
      </c>
      <c r="Z37" s="11" t="s">
        <v>112</v>
      </c>
      <c r="AA37" s="11" t="s">
        <v>112</v>
      </c>
      <c r="AB37" s="11" t="s">
        <v>112</v>
      </c>
      <c r="AC37" s="11" t="s">
        <v>112</v>
      </c>
      <c r="AD37" s="11" t="s">
        <v>112</v>
      </c>
      <c r="AE37" s="60"/>
      <c r="AF37" s="11" t="s">
        <v>112</v>
      </c>
      <c r="AG37" s="11" t="s">
        <v>112</v>
      </c>
      <c r="AH37" s="11" t="s">
        <v>112</v>
      </c>
      <c r="AI37" s="11" t="s">
        <v>112</v>
      </c>
      <c r="AJ37" s="5">
        <f t="shared" si="2"/>
        <v>20</v>
      </c>
      <c r="AK37" s="5">
        <f t="shared" si="1"/>
        <v>6</v>
      </c>
    </row>
    <row r="38" spans="1:37" x14ac:dyDescent="0.25">
      <c r="A38" s="13">
        <v>16</v>
      </c>
      <c r="B38" s="39" t="s">
        <v>810</v>
      </c>
      <c r="C38" s="39" t="s">
        <v>811</v>
      </c>
      <c r="D38" s="10" t="s">
        <v>819</v>
      </c>
      <c r="E38" s="11" t="s">
        <v>112</v>
      </c>
      <c r="F38" s="11" t="s">
        <v>112</v>
      </c>
      <c r="G38" s="11" t="s">
        <v>111</v>
      </c>
      <c r="H38" s="11" t="s">
        <v>112</v>
      </c>
      <c r="I38" s="11" t="s">
        <v>112</v>
      </c>
      <c r="J38" s="60"/>
      <c r="K38" s="11" t="s">
        <v>112</v>
      </c>
      <c r="L38" s="11" t="s">
        <v>112</v>
      </c>
      <c r="M38" s="11" t="s">
        <v>111</v>
      </c>
      <c r="N38" s="11" t="s">
        <v>112</v>
      </c>
      <c r="O38" s="11" t="s">
        <v>112</v>
      </c>
      <c r="P38" s="68"/>
      <c r="Q38" s="60"/>
      <c r="R38" s="11" t="s">
        <v>112</v>
      </c>
      <c r="S38" s="11" t="s">
        <v>112</v>
      </c>
      <c r="T38" s="11" t="s">
        <v>112</v>
      </c>
      <c r="U38" s="11" t="s">
        <v>112</v>
      </c>
      <c r="V38" s="11" t="s">
        <v>112</v>
      </c>
      <c r="W38" s="11" t="s">
        <v>112</v>
      </c>
      <c r="X38" s="60"/>
      <c r="Y38" s="11" t="s">
        <v>112</v>
      </c>
      <c r="Z38" s="11" t="s">
        <v>112</v>
      </c>
      <c r="AA38" s="11" t="s">
        <v>112</v>
      </c>
      <c r="AB38" s="11" t="s">
        <v>112</v>
      </c>
      <c r="AC38" s="11" t="s">
        <v>112</v>
      </c>
      <c r="AD38" s="11" t="s">
        <v>111</v>
      </c>
      <c r="AE38" s="60"/>
      <c r="AF38" s="11" t="s">
        <v>111</v>
      </c>
      <c r="AG38" s="11" t="s">
        <v>112</v>
      </c>
      <c r="AH38" s="11" t="s">
        <v>112</v>
      </c>
      <c r="AI38" s="11" t="s">
        <v>112</v>
      </c>
      <c r="AJ38" s="5">
        <f t="shared" si="2"/>
        <v>22</v>
      </c>
      <c r="AK38" s="5">
        <f t="shared" si="1"/>
        <v>4</v>
      </c>
    </row>
    <row r="39" spans="1:37" x14ac:dyDescent="0.25">
      <c r="A39" s="6">
        <v>17</v>
      </c>
      <c r="B39" s="39" t="s">
        <v>812</v>
      </c>
      <c r="C39" s="39" t="s">
        <v>813</v>
      </c>
      <c r="D39" s="10" t="s">
        <v>819</v>
      </c>
      <c r="E39" s="11" t="s">
        <v>112</v>
      </c>
      <c r="F39" s="11" t="s">
        <v>112</v>
      </c>
      <c r="G39" s="11" t="s">
        <v>112</v>
      </c>
      <c r="H39" s="11" t="s">
        <v>112</v>
      </c>
      <c r="I39" s="11" t="s">
        <v>112</v>
      </c>
      <c r="J39" s="60"/>
      <c r="K39" s="11" t="s">
        <v>112</v>
      </c>
      <c r="L39" s="11" t="s">
        <v>112</v>
      </c>
      <c r="M39" s="11" t="s">
        <v>112</v>
      </c>
      <c r="N39" s="11" t="s">
        <v>112</v>
      </c>
      <c r="O39" s="11" t="s">
        <v>112</v>
      </c>
      <c r="P39" s="68"/>
      <c r="Q39" s="60"/>
      <c r="R39" s="11" t="s">
        <v>112</v>
      </c>
      <c r="S39" s="11" t="s">
        <v>112</v>
      </c>
      <c r="T39" s="11" t="s">
        <v>112</v>
      </c>
      <c r="U39" s="11" t="s">
        <v>112</v>
      </c>
      <c r="V39" s="11" t="s">
        <v>112</v>
      </c>
      <c r="W39" s="11" t="s">
        <v>112</v>
      </c>
      <c r="X39" s="60"/>
      <c r="Y39" s="11" t="s">
        <v>112</v>
      </c>
      <c r="Z39" s="11" t="s">
        <v>113</v>
      </c>
      <c r="AA39" s="11" t="s">
        <v>112</v>
      </c>
      <c r="AB39" s="11" t="s">
        <v>112</v>
      </c>
      <c r="AC39" s="11" t="s">
        <v>112</v>
      </c>
      <c r="AD39" s="11" t="s">
        <v>112</v>
      </c>
      <c r="AE39" s="60"/>
      <c r="AF39" s="11" t="s">
        <v>112</v>
      </c>
      <c r="AG39" s="11" t="s">
        <v>112</v>
      </c>
      <c r="AH39" s="11" t="s">
        <v>112</v>
      </c>
      <c r="AI39" s="11" t="s">
        <v>112</v>
      </c>
      <c r="AJ39" s="5">
        <f t="shared" si="2"/>
        <v>25</v>
      </c>
      <c r="AK39" s="5">
        <f t="shared" si="1"/>
        <v>0</v>
      </c>
    </row>
    <row r="40" spans="1:37" x14ac:dyDescent="0.25">
      <c r="A40" s="13">
        <v>18</v>
      </c>
      <c r="B40" s="23" t="s">
        <v>424</v>
      </c>
      <c r="C40" s="23" t="s">
        <v>146</v>
      </c>
      <c r="D40" s="10" t="s">
        <v>819</v>
      </c>
      <c r="E40" s="11" t="s">
        <v>112</v>
      </c>
      <c r="F40" s="11" t="s">
        <v>112</v>
      </c>
      <c r="G40" s="11" t="s">
        <v>112</v>
      </c>
      <c r="H40" s="11" t="s">
        <v>112</v>
      </c>
      <c r="I40" s="11" t="s">
        <v>112</v>
      </c>
      <c r="J40" s="60"/>
      <c r="K40" s="11" t="s">
        <v>112</v>
      </c>
      <c r="L40" s="11" t="s">
        <v>112</v>
      </c>
      <c r="M40" s="11" t="s">
        <v>112</v>
      </c>
      <c r="N40" s="11" t="s">
        <v>112</v>
      </c>
      <c r="O40" s="11" t="s">
        <v>112</v>
      </c>
      <c r="P40" s="68"/>
      <c r="Q40" s="60"/>
      <c r="R40" s="11" t="s">
        <v>112</v>
      </c>
      <c r="S40" s="11" t="s">
        <v>112</v>
      </c>
      <c r="T40" s="11" t="s">
        <v>112</v>
      </c>
      <c r="U40" s="11" t="s">
        <v>112</v>
      </c>
      <c r="V40" s="11" t="s">
        <v>112</v>
      </c>
      <c r="W40" s="11" t="s">
        <v>112</v>
      </c>
      <c r="X40" s="60"/>
      <c r="Y40" s="11" t="s">
        <v>112</v>
      </c>
      <c r="Z40" s="11" t="s">
        <v>112</v>
      </c>
      <c r="AA40" s="11" t="s">
        <v>112</v>
      </c>
      <c r="AB40" s="11" t="s">
        <v>112</v>
      </c>
      <c r="AC40" s="11" t="s">
        <v>112</v>
      </c>
      <c r="AD40" s="11" t="s">
        <v>112</v>
      </c>
      <c r="AE40" s="60"/>
      <c r="AF40" s="11" t="s">
        <v>112</v>
      </c>
      <c r="AG40" s="11" t="s">
        <v>112</v>
      </c>
      <c r="AH40" s="11" t="s">
        <v>112</v>
      </c>
      <c r="AI40" s="11" t="s">
        <v>112</v>
      </c>
      <c r="AJ40" s="5">
        <f t="shared" si="2"/>
        <v>26</v>
      </c>
      <c r="AK40" s="5">
        <f t="shared" si="1"/>
        <v>0</v>
      </c>
    </row>
    <row r="41" spans="1:37" x14ac:dyDescent="0.25">
      <c r="A41" s="6">
        <v>19</v>
      </c>
      <c r="B41" s="23" t="s">
        <v>814</v>
      </c>
      <c r="C41" s="23" t="s">
        <v>815</v>
      </c>
      <c r="D41" s="10" t="s">
        <v>819</v>
      </c>
      <c r="E41" s="11" t="s">
        <v>112</v>
      </c>
      <c r="F41" s="11" t="s">
        <v>112</v>
      </c>
      <c r="G41" s="11" t="s">
        <v>112</v>
      </c>
      <c r="H41" s="11" t="s">
        <v>112</v>
      </c>
      <c r="I41" s="11" t="s">
        <v>112</v>
      </c>
      <c r="J41" s="60"/>
      <c r="K41" s="11" t="s">
        <v>111</v>
      </c>
      <c r="L41" s="11" t="s">
        <v>112</v>
      </c>
      <c r="M41" s="11" t="s">
        <v>111</v>
      </c>
      <c r="N41" s="11" t="s">
        <v>112</v>
      </c>
      <c r="O41" s="11" t="s">
        <v>112</v>
      </c>
      <c r="P41" s="68"/>
      <c r="Q41" s="60"/>
      <c r="R41" s="11" t="s">
        <v>112</v>
      </c>
      <c r="S41" s="11" t="s">
        <v>112</v>
      </c>
      <c r="T41" s="11" t="s">
        <v>112</v>
      </c>
      <c r="U41" s="11" t="s">
        <v>112</v>
      </c>
      <c r="V41" s="11" t="s">
        <v>112</v>
      </c>
      <c r="W41" s="11" t="s">
        <v>111</v>
      </c>
      <c r="X41" s="60"/>
      <c r="Y41" s="11" t="s">
        <v>112</v>
      </c>
      <c r="Z41" s="11" t="s">
        <v>113</v>
      </c>
      <c r="AA41" s="11" t="s">
        <v>112</v>
      </c>
      <c r="AB41" s="11" t="s">
        <v>112</v>
      </c>
      <c r="AC41" s="11" t="s">
        <v>112</v>
      </c>
      <c r="AD41" s="11" t="s">
        <v>111</v>
      </c>
      <c r="AE41" s="60"/>
      <c r="AF41" s="11" t="s">
        <v>112</v>
      </c>
      <c r="AG41" s="11" t="s">
        <v>112</v>
      </c>
      <c r="AH41" s="11" t="s">
        <v>112</v>
      </c>
      <c r="AI41" s="11" t="s">
        <v>112</v>
      </c>
      <c r="AJ41" s="5">
        <f t="shared" si="2"/>
        <v>21</v>
      </c>
      <c r="AK41" s="5">
        <f t="shared" si="1"/>
        <v>4</v>
      </c>
    </row>
    <row r="42" spans="1:37" x14ac:dyDescent="0.25">
      <c r="A42" s="13">
        <v>20</v>
      </c>
      <c r="B42" s="23" t="s">
        <v>816</v>
      </c>
      <c r="C42" s="23"/>
      <c r="D42" s="10" t="s">
        <v>819</v>
      </c>
      <c r="E42" s="11" t="s">
        <v>111</v>
      </c>
      <c r="F42" s="11" t="s">
        <v>112</v>
      </c>
      <c r="G42" s="11" t="s">
        <v>112</v>
      </c>
      <c r="H42" s="11" t="s">
        <v>112</v>
      </c>
      <c r="I42" s="11" t="s">
        <v>112</v>
      </c>
      <c r="J42" s="60"/>
      <c r="K42" s="11" t="s">
        <v>112</v>
      </c>
      <c r="L42" s="11" t="s">
        <v>112</v>
      </c>
      <c r="M42" s="11" t="s">
        <v>112</v>
      </c>
      <c r="N42" s="11" t="s">
        <v>112</v>
      </c>
      <c r="O42" s="11" t="s">
        <v>112</v>
      </c>
      <c r="P42" s="68"/>
      <c r="Q42" s="60"/>
      <c r="R42" s="11" t="s">
        <v>112</v>
      </c>
      <c r="S42" s="11" t="s">
        <v>112</v>
      </c>
      <c r="T42" s="11" t="s">
        <v>112</v>
      </c>
      <c r="U42" s="11" t="s">
        <v>112</v>
      </c>
      <c r="V42" s="11" t="s">
        <v>112</v>
      </c>
      <c r="W42" s="11" t="s">
        <v>112</v>
      </c>
      <c r="X42" s="60"/>
      <c r="Y42" s="11" t="s">
        <v>112</v>
      </c>
      <c r="Z42" s="11" t="s">
        <v>112</v>
      </c>
      <c r="AA42" s="11" t="s">
        <v>112</v>
      </c>
      <c r="AB42" s="11" t="s">
        <v>112</v>
      </c>
      <c r="AC42" s="11" t="s">
        <v>112</v>
      </c>
      <c r="AD42" s="11" t="s">
        <v>112</v>
      </c>
      <c r="AE42" s="60"/>
      <c r="AF42" s="11" t="s">
        <v>112</v>
      </c>
      <c r="AG42" s="11" t="s">
        <v>112</v>
      </c>
      <c r="AH42" s="11" t="s">
        <v>112</v>
      </c>
      <c r="AI42" s="11" t="s">
        <v>112</v>
      </c>
      <c r="AJ42" s="5">
        <f t="shared" si="2"/>
        <v>25</v>
      </c>
      <c r="AK42" s="5">
        <f t="shared" si="1"/>
        <v>1</v>
      </c>
    </row>
    <row r="43" spans="1:37" x14ac:dyDescent="0.25">
      <c r="A43" s="6">
        <v>21</v>
      </c>
      <c r="B43" s="23" t="s">
        <v>158</v>
      </c>
      <c r="C43" s="23" t="s">
        <v>817</v>
      </c>
      <c r="D43" s="10" t="s">
        <v>819</v>
      </c>
      <c r="E43" s="11" t="s">
        <v>112</v>
      </c>
      <c r="F43" s="11" t="s">
        <v>112</v>
      </c>
      <c r="G43" s="11" t="s">
        <v>112</v>
      </c>
      <c r="H43" s="11" t="s">
        <v>112</v>
      </c>
      <c r="I43" s="11" t="s">
        <v>112</v>
      </c>
      <c r="J43" s="60"/>
      <c r="K43" s="11" t="s">
        <v>112</v>
      </c>
      <c r="L43" s="11" t="s">
        <v>111</v>
      </c>
      <c r="M43" s="11" t="s">
        <v>111</v>
      </c>
      <c r="N43" s="11" t="s">
        <v>112</v>
      </c>
      <c r="O43" s="11" t="s">
        <v>112</v>
      </c>
      <c r="P43" s="68"/>
      <c r="Q43" s="60"/>
      <c r="R43" s="11" t="s">
        <v>112</v>
      </c>
      <c r="S43" s="11" t="s">
        <v>112</v>
      </c>
      <c r="T43" s="11" t="s">
        <v>112</v>
      </c>
      <c r="U43" s="11" t="s">
        <v>112</v>
      </c>
      <c r="V43" s="11" t="s">
        <v>112</v>
      </c>
      <c r="W43" s="11" t="s">
        <v>112</v>
      </c>
      <c r="X43" s="60"/>
      <c r="Y43" s="11" t="s">
        <v>112</v>
      </c>
      <c r="Z43" s="11" t="s">
        <v>112</v>
      </c>
      <c r="AA43" s="11" t="s">
        <v>112</v>
      </c>
      <c r="AB43" s="11" t="s">
        <v>112</v>
      </c>
      <c r="AC43" s="11" t="s">
        <v>112</v>
      </c>
      <c r="AD43" s="11" t="s">
        <v>111</v>
      </c>
      <c r="AE43" s="60"/>
      <c r="AF43" s="11" t="s">
        <v>112</v>
      </c>
      <c r="AG43" s="11" t="s">
        <v>112</v>
      </c>
      <c r="AH43" s="11" t="s">
        <v>112</v>
      </c>
      <c r="AI43" s="11" t="s">
        <v>112</v>
      </c>
      <c r="AJ43" s="5">
        <f t="shared" si="2"/>
        <v>23</v>
      </c>
      <c r="AK43" s="5">
        <f t="shared" si="1"/>
        <v>3</v>
      </c>
    </row>
    <row r="44" spans="1:37" x14ac:dyDescent="0.25">
      <c r="A44" s="13">
        <v>22</v>
      </c>
      <c r="B44" s="23" t="s">
        <v>818</v>
      </c>
      <c r="C44" s="23" t="s">
        <v>486</v>
      </c>
      <c r="D44" s="10" t="s">
        <v>819</v>
      </c>
      <c r="E44" s="11" t="s">
        <v>112</v>
      </c>
      <c r="F44" s="11" t="s">
        <v>112</v>
      </c>
      <c r="G44" s="11" t="s">
        <v>111</v>
      </c>
      <c r="H44" s="11" t="s">
        <v>111</v>
      </c>
      <c r="I44" s="11" t="s">
        <v>111</v>
      </c>
      <c r="J44" s="61"/>
      <c r="K44" s="11" t="s">
        <v>112</v>
      </c>
      <c r="L44" s="11" t="s">
        <v>112</v>
      </c>
      <c r="M44" s="11" t="s">
        <v>112</v>
      </c>
      <c r="N44" s="11" t="s">
        <v>112</v>
      </c>
      <c r="O44" s="11" t="s">
        <v>112</v>
      </c>
      <c r="P44" s="69"/>
      <c r="Q44" s="61"/>
      <c r="R44" s="11" t="s">
        <v>112</v>
      </c>
      <c r="S44" s="11" t="s">
        <v>112</v>
      </c>
      <c r="T44" s="11" t="s">
        <v>112</v>
      </c>
      <c r="U44" s="11" t="s">
        <v>112</v>
      </c>
      <c r="V44" s="11" t="s">
        <v>112</v>
      </c>
      <c r="W44" s="11" t="s">
        <v>112</v>
      </c>
      <c r="X44" s="61"/>
      <c r="Y44" s="11" t="s">
        <v>113</v>
      </c>
      <c r="Z44" s="11" t="s">
        <v>112</v>
      </c>
      <c r="AA44" s="11" t="s">
        <v>112</v>
      </c>
      <c r="AB44" s="11" t="s">
        <v>112</v>
      </c>
      <c r="AC44" s="11" t="s">
        <v>112</v>
      </c>
      <c r="AD44" s="11" t="s">
        <v>112</v>
      </c>
      <c r="AE44" s="61"/>
      <c r="AF44" s="11" t="s">
        <v>112</v>
      </c>
      <c r="AG44" s="11" t="s">
        <v>112</v>
      </c>
      <c r="AH44" s="11" t="s">
        <v>112</v>
      </c>
      <c r="AI44" s="11" t="s">
        <v>112</v>
      </c>
      <c r="AJ44" s="5">
        <f t="shared" si="2"/>
        <v>22</v>
      </c>
      <c r="AK44" s="5">
        <f t="shared" si="1"/>
        <v>3</v>
      </c>
    </row>
    <row r="45" spans="1:37" x14ac:dyDescent="0.25">
      <c r="A45" s="19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4"/>
      <c r="AK45" s="44"/>
    </row>
    <row r="46" spans="1:37" x14ac:dyDescent="0.25">
      <c r="A46" s="19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4"/>
      <c r="AK46" s="44"/>
    </row>
    <row r="47" spans="1:37" x14ac:dyDescent="0.25">
      <c r="A47" s="19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4"/>
      <c r="AK47" s="44"/>
    </row>
    <row r="48" spans="1:37" x14ac:dyDescent="0.25">
      <c r="A48" s="19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4"/>
      <c r="AK48" s="44"/>
    </row>
  </sheetData>
  <mergeCells count="16">
    <mergeCell ref="A1:AK1"/>
    <mergeCell ref="A2:AK2"/>
    <mergeCell ref="A3:A4"/>
    <mergeCell ref="B3:B4"/>
    <mergeCell ref="C3:C4"/>
    <mergeCell ref="D3:D4"/>
    <mergeCell ref="AJ3:AJ4"/>
    <mergeCell ref="AK3:AK4"/>
    <mergeCell ref="AL3:AM3"/>
    <mergeCell ref="J5:J44"/>
    <mergeCell ref="P5:P44"/>
    <mergeCell ref="Q5:Q44"/>
    <mergeCell ref="X5:X44"/>
    <mergeCell ref="AE5:AE44"/>
    <mergeCell ref="AL9:AO9"/>
    <mergeCell ref="AL17:AO17"/>
  </mergeCells>
  <conditionalFormatting sqref="E5:I44 K5:O44 R5:W44 Y5:AD44 AF5:AI44 E4:AI4">
    <cfRule type="expression" dxfId="31" priority="40">
      <formula>IF(E$4=TODAY(),TRUE,FALSE)</formula>
    </cfRule>
  </conditionalFormatting>
  <conditionalFormatting sqref="E5:I44 K5:O44 R5:W44 Y5:AD44 AF5:AI44">
    <cfRule type="cellIs" dxfId="30" priority="37" operator="equal">
      <formula>"L"</formula>
    </cfRule>
    <cfRule type="cellIs" dxfId="29" priority="38" operator="equal">
      <formula>"A"</formula>
    </cfRule>
    <cfRule type="cellIs" dxfId="28" priority="39" operator="equal">
      <formula>"P"</formula>
    </cfRule>
  </conditionalFormatting>
  <conditionalFormatting sqref="E3:AI4 E5:I44 K5:O44 R5:W44 Y5:AD44 AF5:AI44">
    <cfRule type="expression" dxfId="27" priority="41">
      <formula>E$3="Sun"</formula>
    </cfRule>
  </conditionalFormatting>
  <conditionalFormatting sqref="J5">
    <cfRule type="cellIs" dxfId="26" priority="23" operator="equal">
      <formula>"L"</formula>
    </cfRule>
    <cfRule type="cellIs" dxfId="25" priority="24" operator="equal">
      <formula>"A"</formula>
    </cfRule>
    <cfRule type="cellIs" dxfId="24" priority="25" operator="equal">
      <formula>"P"</formula>
    </cfRule>
    <cfRule type="expression" dxfId="23" priority="26">
      <formula>IF(J$4=TODAY(),TRUE,FALSE)</formula>
    </cfRule>
    <cfRule type="expression" dxfId="22" priority="27">
      <formula>J$3="Sun"</formula>
    </cfRule>
  </conditionalFormatting>
  <conditionalFormatting sqref="P5:Q5">
    <cfRule type="expression" dxfId="21" priority="17">
      <formula>P$3="Sun"</formula>
    </cfRule>
    <cfRule type="cellIs" dxfId="20" priority="13" operator="equal">
      <formula>"L"</formula>
    </cfRule>
    <cfRule type="cellIs" dxfId="19" priority="14" operator="equal">
      <formula>"A"</formula>
    </cfRule>
    <cfRule type="cellIs" dxfId="18" priority="15" operator="equal">
      <formula>"P"</formula>
    </cfRule>
    <cfRule type="expression" dxfId="17" priority="16">
      <formula>IF(P$4=TODAY(),TRUE,FALSE)</formula>
    </cfRule>
  </conditionalFormatting>
  <conditionalFormatting sqref="X5">
    <cfRule type="expression" dxfId="16" priority="22">
      <formula>X$3="Sun"</formula>
    </cfRule>
    <cfRule type="expression" dxfId="15" priority="21">
      <formula>IF(X$4=TODAY(),TRUE,FALSE)</formula>
    </cfRule>
    <cfRule type="cellIs" dxfId="14" priority="20" operator="equal">
      <formula>"P"</formula>
    </cfRule>
    <cfRule type="cellIs" dxfId="13" priority="19" operator="equal">
      <formula>"A"</formula>
    </cfRule>
    <cfRule type="cellIs" dxfId="12" priority="18" operator="equal">
      <formula>"L"</formula>
    </cfRule>
  </conditionalFormatting>
  <conditionalFormatting sqref="AE5">
    <cfRule type="cellIs" dxfId="11" priority="8" operator="equal">
      <formula>"L"</formula>
    </cfRule>
    <cfRule type="cellIs" dxfId="10" priority="9" operator="equal">
      <formula>"A"</formula>
    </cfRule>
    <cfRule type="cellIs" dxfId="9" priority="10" operator="equal">
      <formula>"P"</formula>
    </cfRule>
    <cfRule type="expression" dxfId="8" priority="11">
      <formula>IF(AE$4=TODAY(),TRUE,FALSE)</formula>
    </cfRule>
    <cfRule type="expression" dxfId="7" priority="12">
      <formula>AE$3="Sun"</formula>
    </cfRule>
  </conditionalFormatting>
  <conditionalFormatting sqref="AJ3:AK3 AJ5:AK44">
    <cfRule type="expression" dxfId="6" priority="42">
      <formula>#REF!="Sun"</formula>
    </cfRule>
  </conditionalFormatting>
  <conditionalFormatting sqref="AL5:AL7">
    <cfRule type="expression" dxfId="5" priority="5">
      <formula>AL$3="Sun"</formula>
    </cfRule>
  </conditionalFormatting>
  <conditionalFormatting sqref="AL10:AL13">
    <cfRule type="expression" dxfId="4" priority="2">
      <formula>AL$3="Sun"</formula>
    </cfRule>
  </conditionalFormatting>
  <conditionalFormatting sqref="AL18:AL21">
    <cfRule type="expression" dxfId="3" priority="1">
      <formula>AL$3="Sun"</formula>
    </cfRule>
  </conditionalFormatting>
  <conditionalFormatting sqref="AL4:AM4">
    <cfRule type="expression" dxfId="2" priority="6">
      <formula>AL$3="Sun"</formula>
    </cfRule>
  </conditionalFormatting>
  <conditionalFormatting sqref="AM10:AO10 AM18:AO18">
    <cfRule type="expression" dxfId="1" priority="7">
      <formula>AM$3="Sun"</formula>
    </cfRule>
  </conditionalFormatting>
  <conditionalFormatting sqref="AO19">
    <cfRule type="expression" dxfId="0" priority="4">
      <formula>AO$3="Sun"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Sheet-October-2024</vt:lpstr>
      <vt:lpstr>ECE (ROSE)</vt:lpstr>
      <vt:lpstr>ECE (Daffodils)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2025-01-22T06:08:53Z</dcterms:modified>
</cp:coreProperties>
</file>