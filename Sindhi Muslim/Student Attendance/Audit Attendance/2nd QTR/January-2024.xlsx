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Audit Attendance\2nd QTR\"/>
    </mc:Choice>
  </mc:AlternateContent>
  <xr:revisionPtr revIDLastSave="0" documentId="13_ncr:1_{FE4D750F-3F6C-4A3E-8BD5-2333BBAA4D15}" xr6:coauthVersionLast="47" xr6:coauthVersionMax="47" xr10:uidLastSave="{00000000-0000-0000-0000-000000000000}"/>
  <bookViews>
    <workbookView xWindow="-120" yWindow="-120" windowWidth="20730" windowHeight="11160" firstSheet="1" activeTab="2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13" i="8" l="1"/>
  <c r="AO14" i="5"/>
  <c r="AO22" i="5" s="1"/>
  <c r="AO23" i="5" s="1"/>
  <c r="AN14" i="5"/>
  <c r="AO21" i="5"/>
  <c r="AN21" i="5"/>
  <c r="AN13" i="5"/>
  <c r="AO13" i="5"/>
  <c r="AO21" i="8"/>
  <c r="AO22" i="8" s="1"/>
  <c r="AO23" i="8" s="1"/>
  <c r="AN21" i="8"/>
  <c r="AN22" i="8" s="1"/>
  <c r="AN15" i="8"/>
  <c r="AO14" i="8"/>
  <c r="AO15" i="8" s="1"/>
  <c r="AN14" i="8"/>
  <c r="AP14" i="8" s="1"/>
  <c r="AP15" i="8" s="1"/>
  <c r="AP13" i="8"/>
  <c r="AO13" i="8"/>
  <c r="AN4" i="8"/>
  <c r="AP13" i="5"/>
  <c r="AN4" i="5"/>
  <c r="AL56" i="11"/>
  <c r="AK56" i="11"/>
  <c r="AL55" i="11"/>
  <c r="AK55" i="11"/>
  <c r="AL54" i="11"/>
  <c r="AK54" i="11"/>
  <c r="AL53" i="11"/>
  <c r="AK53" i="11"/>
  <c r="AL52" i="11"/>
  <c r="AK52" i="11"/>
  <c r="AL51" i="11"/>
  <c r="AK51" i="11"/>
  <c r="AL50" i="11"/>
  <c r="AK50" i="11"/>
  <c r="AL49" i="11"/>
  <c r="AK49" i="11"/>
  <c r="AL48" i="11"/>
  <c r="AK48" i="11"/>
  <c r="AL47" i="11"/>
  <c r="AK47" i="11"/>
  <c r="AL46" i="11"/>
  <c r="AK46" i="11"/>
  <c r="AL45" i="11"/>
  <c r="AK45" i="11"/>
  <c r="AL44" i="11"/>
  <c r="AK44" i="11"/>
  <c r="AL43" i="11"/>
  <c r="AK43" i="11"/>
  <c r="AL42" i="11"/>
  <c r="AK42" i="11"/>
  <c r="AL41" i="11"/>
  <c r="AK41" i="11"/>
  <c r="AL40" i="11"/>
  <c r="AK40" i="11"/>
  <c r="AL39" i="11"/>
  <c r="AK39" i="11"/>
  <c r="AL38" i="11"/>
  <c r="AK38" i="11"/>
  <c r="AL37" i="11"/>
  <c r="AK37" i="11"/>
  <c r="AL36" i="11"/>
  <c r="AK36" i="11"/>
  <c r="AL35" i="11"/>
  <c r="AK35" i="11"/>
  <c r="AL34" i="11"/>
  <c r="AK34" i="11"/>
  <c r="AL33" i="11"/>
  <c r="AK33" i="11"/>
  <c r="AO14" i="11" s="1"/>
  <c r="AO15" i="11" s="1"/>
  <c r="AL32" i="11"/>
  <c r="AK32" i="11"/>
  <c r="AL31" i="11"/>
  <c r="AK31" i="11"/>
  <c r="AL30" i="11"/>
  <c r="AK30" i="11"/>
  <c r="AL29" i="11"/>
  <c r="AK29" i="11"/>
  <c r="AL28" i="11"/>
  <c r="AK28" i="11"/>
  <c r="AL27" i="11"/>
  <c r="AK27" i="11"/>
  <c r="AL26" i="11"/>
  <c r="AK26" i="11"/>
  <c r="AL25" i="11"/>
  <c r="AK25" i="11"/>
  <c r="AL24" i="11"/>
  <c r="AK24" i="11"/>
  <c r="AL23" i="11"/>
  <c r="AK23" i="11"/>
  <c r="AL22" i="11"/>
  <c r="AK22" i="11"/>
  <c r="AO21" i="11"/>
  <c r="AN21" i="11"/>
  <c r="AP21" i="11" s="1"/>
  <c r="AL21" i="11"/>
  <c r="AK21" i="11"/>
  <c r="AL20" i="11"/>
  <c r="AK20" i="11"/>
  <c r="AL19" i="11"/>
  <c r="AK19" i="11"/>
  <c r="AL18" i="11"/>
  <c r="AK18" i="11"/>
  <c r="AL17" i="11"/>
  <c r="AK17" i="11"/>
  <c r="AL16" i="11"/>
  <c r="AK16" i="11"/>
  <c r="AL15" i="11"/>
  <c r="AK15" i="11"/>
  <c r="AL14" i="11"/>
  <c r="AK14" i="11"/>
  <c r="AO13" i="11"/>
  <c r="AN13" i="11"/>
  <c r="AP13" i="11" s="1"/>
  <c r="AL13" i="11"/>
  <c r="AK13" i="11"/>
  <c r="AL12" i="11"/>
  <c r="AK12" i="11"/>
  <c r="AL11" i="11"/>
  <c r="AK11" i="11"/>
  <c r="AL10" i="11"/>
  <c r="AK10" i="11"/>
  <c r="AL9" i="11"/>
  <c r="AK9" i="11"/>
  <c r="AL8" i="11"/>
  <c r="AK8" i="11"/>
  <c r="AL7" i="11"/>
  <c r="AK7" i="11"/>
  <c r="AL6" i="11"/>
  <c r="AK6" i="11"/>
  <c r="AL5" i="11"/>
  <c r="AK5" i="11"/>
  <c r="AN14" i="11" s="1"/>
  <c r="AN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P14" i="5" l="1"/>
  <c r="AN22" i="5"/>
  <c r="AN15" i="5"/>
  <c r="AP15" i="5"/>
  <c r="AO15" i="5"/>
  <c r="AN23" i="8"/>
  <c r="AP22" i="8"/>
  <c r="AP21" i="8"/>
  <c r="AN23" i="5"/>
  <c r="AP22" i="5"/>
  <c r="AP21" i="5"/>
  <c r="AO22" i="11"/>
  <c r="AO23" i="11" s="1"/>
  <c r="AP14" i="11"/>
  <c r="AP15" i="11" s="1"/>
  <c r="AN22" i="11"/>
  <c r="AN15" i="11"/>
  <c r="AP23" i="8" l="1"/>
  <c r="AP23" i="5"/>
  <c r="AN23" i="11"/>
  <c r="AP22" i="11"/>
  <c r="AP23" i="11" s="1"/>
  <c r="AL56" i="10" l="1"/>
  <c r="AK56" i="10"/>
  <c r="AL55" i="10"/>
  <c r="AK55" i="10"/>
  <c r="AL54" i="10"/>
  <c r="AK54" i="10"/>
  <c r="AL53" i="10"/>
  <c r="AK53" i="10"/>
  <c r="AL52" i="10"/>
  <c r="AK52" i="10"/>
  <c r="AL51" i="10"/>
  <c r="AK51" i="10"/>
  <c r="AL50" i="10"/>
  <c r="AK50" i="10"/>
  <c r="AL49" i="10"/>
  <c r="AK49" i="10"/>
  <c r="AL48" i="10"/>
  <c r="AK48" i="10"/>
  <c r="AL47" i="10"/>
  <c r="AK47" i="10"/>
  <c r="AL46" i="10"/>
  <c r="AK46" i="10"/>
  <c r="AL45" i="10"/>
  <c r="AK45" i="10"/>
  <c r="AL44" i="10"/>
  <c r="AK44" i="10"/>
  <c r="AL43" i="10"/>
  <c r="AK43" i="10"/>
  <c r="AL42" i="10"/>
  <c r="AK42" i="10"/>
  <c r="AL41" i="10"/>
  <c r="AK41" i="10"/>
  <c r="AL40" i="10"/>
  <c r="AK40" i="10"/>
  <c r="AL39" i="10"/>
  <c r="AK39" i="10"/>
  <c r="AL38" i="10"/>
  <c r="AK38" i="10"/>
  <c r="AL37" i="10"/>
  <c r="AK37" i="10"/>
  <c r="AL36" i="10"/>
  <c r="AK36" i="10"/>
  <c r="AL35" i="10"/>
  <c r="AK35" i="10"/>
  <c r="AL34" i="10"/>
  <c r="AK34" i="10"/>
  <c r="AL33" i="10"/>
  <c r="AK33" i="10"/>
  <c r="AL32" i="10"/>
  <c r="AK32" i="10"/>
  <c r="AL31" i="10"/>
  <c r="AK31" i="10"/>
  <c r="AN14" i="10" s="1"/>
  <c r="AL30" i="10"/>
  <c r="AK30" i="10"/>
  <c r="AL29" i="10"/>
  <c r="AK29" i="10"/>
  <c r="AL28" i="10"/>
  <c r="AK28" i="10"/>
  <c r="AL27" i="10"/>
  <c r="AK27" i="10"/>
  <c r="AL26" i="10"/>
  <c r="AK26" i="10"/>
  <c r="AL25" i="10"/>
  <c r="AK25" i="10"/>
  <c r="AL24" i="10"/>
  <c r="AK24" i="10"/>
  <c r="AL23" i="10"/>
  <c r="AK23" i="10"/>
  <c r="AL22" i="10"/>
  <c r="AK22" i="10"/>
  <c r="AO21" i="10"/>
  <c r="AN21" i="10"/>
  <c r="AP21" i="10" s="1"/>
  <c r="AL21" i="10"/>
  <c r="AK21" i="10"/>
  <c r="AL20" i="10"/>
  <c r="AK20" i="10"/>
  <c r="AL19" i="10"/>
  <c r="AK19" i="10"/>
  <c r="AL18" i="10"/>
  <c r="AK18" i="10"/>
  <c r="AL17" i="10"/>
  <c r="AK17" i="10"/>
  <c r="AL16" i="10"/>
  <c r="AK16" i="10"/>
  <c r="AL15" i="10"/>
  <c r="AK15" i="10"/>
  <c r="AL14" i="10"/>
  <c r="AK14" i="10"/>
  <c r="AO13" i="10"/>
  <c r="AN13" i="10"/>
  <c r="AP13" i="10" s="1"/>
  <c r="AL13" i="10"/>
  <c r="AK13" i="10"/>
  <c r="AL12" i="10"/>
  <c r="AK12" i="10"/>
  <c r="AL11" i="10"/>
  <c r="AK11" i="10"/>
  <c r="AL10" i="10"/>
  <c r="AK10" i="10"/>
  <c r="AL9" i="10"/>
  <c r="AK9" i="10"/>
  <c r="AL8" i="10"/>
  <c r="AK8" i="10"/>
  <c r="AL7" i="10"/>
  <c r="AK7" i="10"/>
  <c r="AL6" i="10"/>
  <c r="AK6" i="10"/>
  <c r="AL5" i="10"/>
  <c r="AK5" i="10"/>
  <c r="AO14" i="10" s="1"/>
  <c r="AO15" i="10" s="1"/>
  <c r="AN4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P14" i="10" l="1"/>
  <c r="AP15" i="10" s="1"/>
  <c r="AN22" i="10"/>
  <c r="AN15" i="10"/>
  <c r="AO22" i="10"/>
  <c r="AO23" i="10" s="1"/>
  <c r="AN23" i="10" l="1"/>
  <c r="AP22" i="10"/>
  <c r="AP23" i="10" s="1"/>
  <c r="AL60" i="9" l="1"/>
  <c r="AK60" i="9"/>
  <c r="AL59" i="9"/>
  <c r="AK59" i="9"/>
  <c r="AL58" i="9"/>
  <c r="AK58" i="9"/>
  <c r="AL57" i="9"/>
  <c r="AK57" i="9"/>
  <c r="AL56" i="9"/>
  <c r="AK56" i="9"/>
  <c r="AL55" i="9"/>
  <c r="AK55" i="9"/>
  <c r="AL54" i="9"/>
  <c r="AK54" i="9"/>
  <c r="AL53" i="9"/>
  <c r="AK53" i="9"/>
  <c r="AL52" i="9"/>
  <c r="AK52" i="9"/>
  <c r="AL51" i="9"/>
  <c r="AK51" i="9"/>
  <c r="AL50" i="9"/>
  <c r="AK50" i="9"/>
  <c r="AL49" i="9"/>
  <c r="AK49" i="9"/>
  <c r="AL48" i="9"/>
  <c r="AK48" i="9"/>
  <c r="AL47" i="9"/>
  <c r="AK47" i="9"/>
  <c r="AL46" i="9"/>
  <c r="AK46" i="9"/>
  <c r="AL45" i="9"/>
  <c r="AK45" i="9"/>
  <c r="AL44" i="9"/>
  <c r="AK44" i="9"/>
  <c r="AL43" i="9"/>
  <c r="AK43" i="9"/>
  <c r="AL42" i="9"/>
  <c r="AK42" i="9"/>
  <c r="AL41" i="9"/>
  <c r="AK41" i="9"/>
  <c r="AL40" i="9"/>
  <c r="AK40" i="9"/>
  <c r="AL39" i="9"/>
  <c r="AK39" i="9"/>
  <c r="AL38" i="9"/>
  <c r="AK38" i="9"/>
  <c r="AL37" i="9"/>
  <c r="AK37" i="9"/>
  <c r="AL36" i="9"/>
  <c r="AK36" i="9"/>
  <c r="AL35" i="9"/>
  <c r="AK35" i="9"/>
  <c r="AL34" i="9"/>
  <c r="AK34" i="9"/>
  <c r="AL33" i="9"/>
  <c r="AK33" i="9"/>
  <c r="AL32" i="9"/>
  <c r="AK32" i="9"/>
  <c r="AL31" i="9"/>
  <c r="AK31" i="9"/>
  <c r="AL30" i="9"/>
  <c r="AK30" i="9"/>
  <c r="AL29" i="9"/>
  <c r="AK29" i="9"/>
  <c r="AN14" i="9" s="1"/>
  <c r="AL28" i="9"/>
  <c r="AK28" i="9"/>
  <c r="AL27" i="9"/>
  <c r="AK27" i="9"/>
  <c r="AL26" i="9"/>
  <c r="AK26" i="9"/>
  <c r="AL25" i="9"/>
  <c r="AK25" i="9"/>
  <c r="AL24" i="9"/>
  <c r="AK24" i="9"/>
  <c r="AL23" i="9"/>
  <c r="AK23" i="9"/>
  <c r="AL22" i="9"/>
  <c r="AK22" i="9"/>
  <c r="AO21" i="9"/>
  <c r="AN21" i="9"/>
  <c r="AP21" i="9" s="1"/>
  <c r="AL21" i="9"/>
  <c r="AK21" i="9"/>
  <c r="AL20" i="9"/>
  <c r="AK20" i="9"/>
  <c r="AL19" i="9"/>
  <c r="AK19" i="9"/>
  <c r="AL18" i="9"/>
  <c r="AK18" i="9"/>
  <c r="AL17" i="9"/>
  <c r="AK17" i="9"/>
  <c r="AL16" i="9"/>
  <c r="AK16" i="9"/>
  <c r="AL15" i="9"/>
  <c r="AK15" i="9"/>
  <c r="AL14" i="9"/>
  <c r="AK14" i="9"/>
  <c r="AO13" i="9"/>
  <c r="AN13" i="9"/>
  <c r="AP13" i="9" s="1"/>
  <c r="AL13" i="9"/>
  <c r="AK13" i="9"/>
  <c r="AL12" i="9"/>
  <c r="AK12" i="9"/>
  <c r="AL11" i="9"/>
  <c r="AK11" i="9"/>
  <c r="AL10" i="9"/>
  <c r="AK10" i="9"/>
  <c r="AL9" i="9"/>
  <c r="AK9" i="9"/>
  <c r="AL8" i="9"/>
  <c r="AK8" i="9"/>
  <c r="AL7" i="9"/>
  <c r="AK7" i="9"/>
  <c r="AL6" i="9"/>
  <c r="AK6" i="9"/>
  <c r="AL5" i="9"/>
  <c r="AK5" i="9"/>
  <c r="AO14" i="9" s="1"/>
  <c r="AO15" i="9" s="1"/>
  <c r="AN4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P14" i="9" l="1"/>
  <c r="AP15" i="9" s="1"/>
  <c r="AN15" i="9"/>
  <c r="AO22" i="9"/>
  <c r="AO23" i="9" s="1"/>
  <c r="AN22" i="9"/>
  <c r="AN23" i="9" l="1"/>
  <c r="AP22" i="9"/>
  <c r="AP23" i="9" s="1"/>
  <c r="AL60" i="8" l="1"/>
  <c r="AK60" i="8"/>
  <c r="AL59" i="8"/>
  <c r="AK59" i="8"/>
  <c r="AL58" i="8"/>
  <c r="AK58" i="8"/>
  <c r="AL57" i="8"/>
  <c r="AK57" i="8"/>
  <c r="AL56" i="8"/>
  <c r="AK56" i="8"/>
  <c r="AL55" i="8"/>
  <c r="AK55" i="8"/>
  <c r="AL54" i="8"/>
  <c r="AK54" i="8"/>
  <c r="AL53" i="8"/>
  <c r="AK53" i="8"/>
  <c r="AL52" i="8"/>
  <c r="AK52" i="8"/>
  <c r="AL51" i="8"/>
  <c r="AK51" i="8"/>
  <c r="AL50" i="8"/>
  <c r="AK50" i="8"/>
  <c r="AL49" i="8"/>
  <c r="AK49" i="8"/>
  <c r="AL48" i="8"/>
  <c r="AK48" i="8"/>
  <c r="AL47" i="8"/>
  <c r="AK47" i="8"/>
  <c r="AL46" i="8"/>
  <c r="AK46" i="8"/>
  <c r="AL45" i="8"/>
  <c r="AK45" i="8"/>
  <c r="AL44" i="8"/>
  <c r="AK44" i="8"/>
  <c r="AL43" i="8"/>
  <c r="AK43" i="8"/>
  <c r="AL42" i="8"/>
  <c r="AK42" i="8"/>
  <c r="AL41" i="8"/>
  <c r="AK41" i="8"/>
  <c r="AL40" i="8"/>
  <c r="AK40" i="8"/>
  <c r="AL39" i="8"/>
  <c r="AK39" i="8"/>
  <c r="AL38" i="8"/>
  <c r="AK38" i="8"/>
  <c r="AL37" i="8"/>
  <c r="AK37" i="8"/>
  <c r="AL36" i="8"/>
  <c r="AK36" i="8"/>
  <c r="AL35" i="8"/>
  <c r="AK35" i="8"/>
  <c r="AL34" i="8"/>
  <c r="AK34" i="8"/>
  <c r="AL33" i="8"/>
  <c r="AK33" i="8"/>
  <c r="AL32" i="8"/>
  <c r="AK32" i="8"/>
  <c r="AL31" i="8"/>
  <c r="AK31" i="8"/>
  <c r="AL30" i="8"/>
  <c r="AK30" i="8"/>
  <c r="AL29" i="8"/>
  <c r="AK29" i="8"/>
  <c r="AL28" i="8"/>
  <c r="AK28" i="8"/>
  <c r="AL27" i="8"/>
  <c r="AK27" i="8"/>
  <c r="AL26" i="8"/>
  <c r="AK26" i="8"/>
  <c r="AL25" i="8"/>
  <c r="AK25" i="8"/>
  <c r="AL24" i="8"/>
  <c r="AK24" i="8"/>
  <c r="AL23" i="8"/>
  <c r="AK23" i="8"/>
  <c r="AL22" i="8"/>
  <c r="AK22" i="8"/>
  <c r="AL21" i="8"/>
  <c r="AK21" i="8"/>
  <c r="AL20" i="8"/>
  <c r="AK20" i="8"/>
  <c r="AL19" i="8"/>
  <c r="AK19" i="8"/>
  <c r="AL18" i="8"/>
  <c r="AK18" i="8"/>
  <c r="AL17" i="8"/>
  <c r="AK17" i="8"/>
  <c r="AL16" i="8"/>
  <c r="AK16" i="8"/>
  <c r="AL15" i="8"/>
  <c r="AK15" i="8"/>
  <c r="AL14" i="8"/>
  <c r="AK14" i="8"/>
  <c r="AL13" i="8"/>
  <c r="AK13" i="8"/>
  <c r="AL12" i="8"/>
  <c r="AK12" i="8"/>
  <c r="AL11" i="8"/>
  <c r="AK11" i="8"/>
  <c r="AL10" i="8"/>
  <c r="AK10" i="8"/>
  <c r="AL9" i="8"/>
  <c r="AK9" i="8"/>
  <c r="AL8" i="8"/>
  <c r="AK8" i="8"/>
  <c r="AL7" i="8"/>
  <c r="AK7" i="8"/>
  <c r="AL6" i="8"/>
  <c r="AK6" i="8"/>
  <c r="AL5" i="8"/>
  <c r="AK5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L58" i="5" l="1"/>
  <c r="AK58" i="5"/>
  <c r="AL57" i="5"/>
  <c r="AK57" i="5"/>
  <c r="AL56" i="5"/>
  <c r="AK56" i="5"/>
  <c r="AL55" i="5"/>
  <c r="AK55" i="5"/>
  <c r="AL54" i="5"/>
  <c r="AK54" i="5"/>
  <c r="AL53" i="5"/>
  <c r="AK53" i="5"/>
  <c r="AL52" i="5"/>
  <c r="AK52" i="5"/>
  <c r="AL51" i="5"/>
  <c r="AK51" i="5"/>
  <c r="AL50" i="5"/>
  <c r="AK50" i="5"/>
  <c r="AL49" i="5"/>
  <c r="AK49" i="5"/>
  <c r="AL48" i="5"/>
  <c r="AK48" i="5"/>
  <c r="AL47" i="5"/>
  <c r="AK47" i="5"/>
  <c r="AL46" i="5"/>
  <c r="AK46" i="5"/>
  <c r="AL45" i="5"/>
  <c r="AK45" i="5"/>
  <c r="AL44" i="5"/>
  <c r="AK44" i="5"/>
  <c r="AL43" i="5"/>
  <c r="AK43" i="5"/>
  <c r="AL42" i="5"/>
  <c r="AK42" i="5"/>
  <c r="AL41" i="5"/>
  <c r="AK41" i="5"/>
  <c r="AL40" i="5"/>
  <c r="AK40" i="5"/>
  <c r="AL39" i="5"/>
  <c r="AK39" i="5"/>
  <c r="AL38" i="5"/>
  <c r="AK38" i="5"/>
  <c r="AL37" i="5"/>
  <c r="AK37" i="5"/>
  <c r="AL36" i="5"/>
  <c r="AK36" i="5"/>
  <c r="AL35" i="5"/>
  <c r="AK35" i="5"/>
  <c r="AL34" i="5"/>
  <c r="AK34" i="5"/>
  <c r="AL33" i="5"/>
  <c r="AK33" i="5"/>
  <c r="AL32" i="5"/>
  <c r="AK32" i="5"/>
  <c r="AL31" i="5"/>
  <c r="AK31" i="5"/>
  <c r="AL30" i="5"/>
  <c r="AK30" i="5"/>
  <c r="AL29" i="5"/>
  <c r="AK29" i="5"/>
  <c r="AL28" i="5"/>
  <c r="AK28" i="5"/>
  <c r="AL27" i="5"/>
  <c r="AK27" i="5"/>
  <c r="AL26" i="5"/>
  <c r="AK26" i="5"/>
  <c r="AL25" i="5"/>
  <c r="AK25" i="5"/>
  <c r="AL24" i="5"/>
  <c r="AK24" i="5"/>
  <c r="AL23" i="5"/>
  <c r="AK23" i="5"/>
  <c r="AL22" i="5"/>
  <c r="AK22" i="5"/>
  <c r="AL21" i="5"/>
  <c r="AK21" i="5"/>
  <c r="AL20" i="5"/>
  <c r="AK20" i="5"/>
  <c r="AL19" i="5"/>
  <c r="AK19" i="5"/>
  <c r="AL18" i="5"/>
  <c r="AK18" i="5"/>
  <c r="AL17" i="5"/>
  <c r="AK17" i="5"/>
  <c r="AL16" i="5"/>
  <c r="AK16" i="5"/>
  <c r="AL15" i="5"/>
  <c r="AK15" i="5"/>
  <c r="AL14" i="5"/>
  <c r="AK14" i="5"/>
  <c r="AL13" i="5"/>
  <c r="AK13" i="5"/>
  <c r="AL12" i="5"/>
  <c r="AK12" i="5"/>
  <c r="AL11" i="5"/>
  <c r="AK11" i="5"/>
  <c r="AL10" i="5"/>
  <c r="AK10" i="5"/>
  <c r="AL9" i="5"/>
  <c r="AK9" i="5"/>
  <c r="AL8" i="5"/>
  <c r="AK8" i="5"/>
  <c r="AL7" i="5"/>
  <c r="AK7" i="5"/>
  <c r="AL6" i="5"/>
  <c r="AK6" i="5"/>
  <c r="AL5" i="5"/>
  <c r="AK5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J16" i="18" l="1"/>
  <c r="I16" i="18"/>
  <c r="M16" i="18" s="1"/>
  <c r="J15" i="18"/>
  <c r="I15" i="18"/>
  <c r="J14" i="18"/>
  <c r="K14" i="18" s="1"/>
  <c r="I14" i="18"/>
  <c r="J13" i="18"/>
  <c r="I13" i="18"/>
  <c r="K13" i="18" s="1"/>
  <c r="J12" i="18"/>
  <c r="I12" i="18"/>
  <c r="J11" i="18"/>
  <c r="K11" i="18" s="1"/>
  <c r="I11" i="18"/>
  <c r="E17" i="18"/>
  <c r="C17" i="18"/>
  <c r="B17" i="18"/>
  <c r="K16" i="18"/>
  <c r="G16" i="18"/>
  <c r="F16" i="18"/>
  <c r="D16" i="18"/>
  <c r="G15" i="18"/>
  <c r="F15" i="18"/>
  <c r="D15" i="18"/>
  <c r="G14" i="18"/>
  <c r="L14" i="18" s="1"/>
  <c r="F14" i="18"/>
  <c r="H14" i="18" s="1"/>
  <c r="D14" i="18"/>
  <c r="M13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M21" i="17"/>
  <c r="AL21" i="17"/>
  <c r="AM14" i="17"/>
  <c r="AM15" i="17" s="1"/>
  <c r="AL14" i="17"/>
  <c r="AL15" i="17" s="1"/>
  <c r="AM13" i="17"/>
  <c r="AL13" i="17"/>
  <c r="AN13" i="17" s="1"/>
  <c r="AL22" i="17"/>
  <c r="AL4" i="17"/>
  <c r="AJ39" i="17"/>
  <c r="AI39" i="17"/>
  <c r="AJ38" i="17"/>
  <c r="AI38" i="17"/>
  <c r="AJ37" i="17"/>
  <c r="AI37" i="17"/>
  <c r="AJ36" i="17"/>
  <c r="AI36" i="17"/>
  <c r="AJ35" i="17"/>
  <c r="AI35" i="17"/>
  <c r="AJ34" i="17"/>
  <c r="AI34" i="17"/>
  <c r="AJ33" i="17"/>
  <c r="AI33" i="17"/>
  <c r="AJ32" i="17"/>
  <c r="AI32" i="17"/>
  <c r="AJ31" i="17"/>
  <c r="AI31" i="17"/>
  <c r="AJ30" i="17"/>
  <c r="AI30" i="17"/>
  <c r="AJ29" i="17"/>
  <c r="AI29" i="17"/>
  <c r="AJ28" i="17"/>
  <c r="AI28" i="17"/>
  <c r="AJ27" i="17"/>
  <c r="AI27" i="17"/>
  <c r="AJ26" i="17"/>
  <c r="AI26" i="17"/>
  <c r="AJ25" i="17"/>
  <c r="AI25" i="17"/>
  <c r="AJ24" i="17"/>
  <c r="AI24" i="17"/>
  <c r="AJ23" i="17"/>
  <c r="AI23" i="17"/>
  <c r="AJ22" i="17"/>
  <c r="AI22" i="17"/>
  <c r="AJ21" i="17"/>
  <c r="AI21" i="17"/>
  <c r="AJ20" i="17"/>
  <c r="AI20" i="17"/>
  <c r="AJ19" i="17"/>
  <c r="AI19" i="17"/>
  <c r="AJ18" i="17"/>
  <c r="AI18" i="17"/>
  <c r="AJ17" i="17"/>
  <c r="AI17" i="17"/>
  <c r="AJ16" i="17"/>
  <c r="AI16" i="17"/>
  <c r="AJ15" i="17"/>
  <c r="AI15" i="17"/>
  <c r="AJ14" i="17"/>
  <c r="AI14" i="17"/>
  <c r="AJ13" i="17"/>
  <c r="AI13" i="17"/>
  <c r="AJ12" i="17"/>
  <c r="AI12" i="17"/>
  <c r="AJ11" i="17"/>
  <c r="AI11" i="17"/>
  <c r="AJ10" i="17"/>
  <c r="AI10" i="17"/>
  <c r="AJ9" i="17"/>
  <c r="AI9" i="17"/>
  <c r="AJ8" i="17"/>
  <c r="AI8" i="17"/>
  <c r="AJ7" i="17"/>
  <c r="AI7" i="17"/>
  <c r="AJ6" i="17"/>
  <c r="AI6" i="17"/>
  <c r="AJ5" i="17"/>
  <c r="AI5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H15" i="18" l="1"/>
  <c r="L13" i="18"/>
  <c r="O13" i="18" s="1"/>
  <c r="L12" i="18"/>
  <c r="H12" i="18"/>
  <c r="M12" i="18"/>
  <c r="O12" i="18" s="1"/>
  <c r="L11" i="18"/>
  <c r="H10" i="18"/>
  <c r="H7" i="18"/>
  <c r="N14" i="18"/>
  <c r="F17" i="18"/>
  <c r="H11" i="18"/>
  <c r="N11" i="18" s="1"/>
  <c r="H16" i="18"/>
  <c r="N16" i="18" s="1"/>
  <c r="G17" i="18"/>
  <c r="M15" i="18"/>
  <c r="O15" i="18" s="1"/>
  <c r="H8" i="18"/>
  <c r="L15" i="18"/>
  <c r="H6" i="18"/>
  <c r="D17" i="18"/>
  <c r="M11" i="18"/>
  <c r="O11" i="18" s="1"/>
  <c r="H9" i="18"/>
  <c r="K12" i="18"/>
  <c r="N12" i="18" s="1"/>
  <c r="H13" i="18"/>
  <c r="N13" i="18" s="1"/>
  <c r="M14" i="18"/>
  <c r="O14" i="18" s="1"/>
  <c r="K15" i="18"/>
  <c r="N15" i="18" s="1"/>
  <c r="L16" i="18"/>
  <c r="O16" i="18" s="1"/>
  <c r="AM22" i="17"/>
  <c r="AM23" i="17" s="1"/>
  <c r="AN14" i="17"/>
  <c r="AN15" i="17"/>
  <c r="AL23" i="17"/>
  <c r="AN22" i="17"/>
  <c r="AN21" i="17"/>
  <c r="H17" i="18" l="1"/>
  <c r="AN23" i="17"/>
  <c r="AM21" i="16" l="1"/>
  <c r="AL21" i="16"/>
  <c r="AL14" i="16"/>
  <c r="AM14" i="16"/>
  <c r="AM13" i="16"/>
  <c r="AL13" i="16"/>
  <c r="AL15" i="16" s="1"/>
  <c r="AN13" i="16"/>
  <c r="AL4" i="16"/>
  <c r="AJ46" i="16"/>
  <c r="AI46" i="16"/>
  <c r="AJ45" i="16"/>
  <c r="AI45" i="16"/>
  <c r="AJ44" i="16"/>
  <c r="AI44" i="16"/>
  <c r="AJ43" i="16"/>
  <c r="AI43" i="16"/>
  <c r="AJ42" i="16"/>
  <c r="AI42" i="16"/>
  <c r="AJ41" i="16"/>
  <c r="AI41" i="16"/>
  <c r="AJ40" i="16"/>
  <c r="AI40" i="16"/>
  <c r="AJ39" i="16"/>
  <c r="AI39" i="16"/>
  <c r="AJ38" i="16"/>
  <c r="AI38" i="16"/>
  <c r="AJ37" i="16"/>
  <c r="AI37" i="16"/>
  <c r="AJ36" i="16"/>
  <c r="AI36" i="16"/>
  <c r="AJ35" i="16"/>
  <c r="AI35" i="16"/>
  <c r="AJ34" i="16"/>
  <c r="AI34" i="16"/>
  <c r="AJ33" i="16"/>
  <c r="AI33" i="16"/>
  <c r="AJ32" i="16"/>
  <c r="AI32" i="16"/>
  <c r="AJ31" i="16"/>
  <c r="AI31" i="16"/>
  <c r="AJ30" i="16"/>
  <c r="AI30" i="16"/>
  <c r="AJ29" i="16"/>
  <c r="AI29" i="16"/>
  <c r="AJ28" i="16"/>
  <c r="AI28" i="16"/>
  <c r="AJ27" i="16"/>
  <c r="AI27" i="16"/>
  <c r="AJ26" i="16"/>
  <c r="AI26" i="16"/>
  <c r="AJ25" i="16"/>
  <c r="AI25" i="16"/>
  <c r="AJ24" i="16"/>
  <c r="AI24" i="16"/>
  <c r="AJ23" i="16"/>
  <c r="AI23" i="16"/>
  <c r="AJ22" i="16"/>
  <c r="AI22" i="16"/>
  <c r="AJ21" i="16"/>
  <c r="AI21" i="16"/>
  <c r="AJ20" i="16"/>
  <c r="AI20" i="16"/>
  <c r="AJ19" i="16"/>
  <c r="AI19" i="16"/>
  <c r="AJ18" i="16"/>
  <c r="AI18" i="16"/>
  <c r="AJ17" i="16"/>
  <c r="AI17" i="16"/>
  <c r="AJ16" i="16"/>
  <c r="AI16" i="16"/>
  <c r="AJ15" i="16"/>
  <c r="AI15" i="16"/>
  <c r="AJ14" i="16"/>
  <c r="AI14" i="16"/>
  <c r="AJ13" i="16"/>
  <c r="AI13" i="16"/>
  <c r="AJ12" i="16"/>
  <c r="AI12" i="16"/>
  <c r="AJ11" i="16"/>
  <c r="AI11" i="16"/>
  <c r="AJ10" i="16"/>
  <c r="AI10" i="16"/>
  <c r="AJ9" i="16"/>
  <c r="AI9" i="16"/>
  <c r="AJ8" i="16"/>
  <c r="AI8" i="16"/>
  <c r="AJ7" i="16"/>
  <c r="AI7" i="16"/>
  <c r="AJ6" i="16"/>
  <c r="AI6" i="16"/>
  <c r="AJ5" i="16"/>
  <c r="AI5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M22" i="16" l="1"/>
  <c r="AM23" i="16" s="1"/>
  <c r="AL22" i="16"/>
  <c r="AL23" i="16" s="1"/>
  <c r="AN14" i="16"/>
  <c r="AN15" i="16" s="1"/>
  <c r="AM15" i="16"/>
  <c r="AN21" i="16"/>
  <c r="AN22" i="16" l="1"/>
  <c r="AN23" i="16" s="1"/>
  <c r="AL21" i="15" l="1"/>
  <c r="AK21" i="15"/>
  <c r="AL14" i="15"/>
  <c r="AL15" i="15" s="1"/>
  <c r="AK14" i="15"/>
  <c r="AL13" i="15"/>
  <c r="AK13" i="15"/>
  <c r="AL22" i="15"/>
  <c r="AL23" i="15" s="1"/>
  <c r="AK22" i="15"/>
  <c r="AM14" i="15"/>
  <c r="AM13" i="15"/>
  <c r="AK4" i="15"/>
  <c r="AI52" i="15"/>
  <c r="AH52" i="15"/>
  <c r="AI51" i="15"/>
  <c r="AH51" i="15"/>
  <c r="AI50" i="15"/>
  <c r="AH50" i="15"/>
  <c r="AI49" i="15"/>
  <c r="AH49" i="15"/>
  <c r="AI48" i="15"/>
  <c r="AH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AI23" i="15"/>
  <c r="AH23" i="15"/>
  <c r="AI22" i="15"/>
  <c r="AH22" i="15"/>
  <c r="AI21" i="15"/>
  <c r="AH21" i="15"/>
  <c r="AI20" i="15"/>
  <c r="AH20" i="15"/>
  <c r="AI19" i="15"/>
  <c r="AH19" i="15"/>
  <c r="AI18" i="15"/>
  <c r="AH18" i="15"/>
  <c r="AI17" i="15"/>
  <c r="AH17" i="15"/>
  <c r="AI16" i="15"/>
  <c r="AH16" i="15"/>
  <c r="AI15" i="15"/>
  <c r="AH15" i="15"/>
  <c r="AI14" i="15"/>
  <c r="AH14" i="15"/>
  <c r="AI13" i="15"/>
  <c r="AH13" i="15"/>
  <c r="AI12" i="15"/>
  <c r="AH12" i="15"/>
  <c r="AI11" i="15"/>
  <c r="AH11" i="15"/>
  <c r="AI10" i="15"/>
  <c r="AH10" i="15"/>
  <c r="AI9" i="15"/>
  <c r="AH9" i="15"/>
  <c r="AI8" i="15"/>
  <c r="AH8" i="15"/>
  <c r="AI7" i="15"/>
  <c r="AH7" i="15"/>
  <c r="AI6" i="15"/>
  <c r="AH6" i="15"/>
  <c r="AI5" i="15"/>
  <c r="AH5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K15" i="15" l="1"/>
  <c r="AM15" i="15"/>
  <c r="AK23" i="15"/>
  <c r="AM22" i="15"/>
  <c r="AM21" i="15"/>
  <c r="AM23" i="15" l="1"/>
  <c r="AM21" i="14" l="1"/>
  <c r="AL21" i="14"/>
  <c r="AM14" i="14"/>
  <c r="AM15" i="14" s="1"/>
  <c r="AL14" i="14"/>
  <c r="AL15" i="14" s="1"/>
  <c r="AM13" i="14"/>
  <c r="AL13" i="14"/>
  <c r="AM22" i="14"/>
  <c r="AM23" i="14" s="1"/>
  <c r="AN14" i="14"/>
  <c r="AL4" i="14"/>
  <c r="AJ49" i="14"/>
  <c r="AI49" i="14"/>
  <c r="AJ48" i="14"/>
  <c r="AI48" i="14"/>
  <c r="AJ47" i="14"/>
  <c r="AI47" i="14"/>
  <c r="AJ46" i="14"/>
  <c r="AI46" i="14"/>
  <c r="AJ45" i="14"/>
  <c r="AI45" i="14"/>
  <c r="AJ44" i="14"/>
  <c r="AI44" i="14"/>
  <c r="AJ43" i="14"/>
  <c r="AI43" i="14"/>
  <c r="AJ42" i="14"/>
  <c r="AI42" i="14"/>
  <c r="AJ41" i="14"/>
  <c r="AI41" i="14"/>
  <c r="AJ40" i="14"/>
  <c r="AI40" i="14"/>
  <c r="AJ39" i="14"/>
  <c r="AI39" i="14"/>
  <c r="AJ38" i="14"/>
  <c r="AI38" i="14"/>
  <c r="AJ37" i="14"/>
  <c r="AI37" i="14"/>
  <c r="AJ36" i="14"/>
  <c r="AI36" i="14"/>
  <c r="AJ35" i="14"/>
  <c r="AI35" i="14"/>
  <c r="AJ34" i="14"/>
  <c r="AI34" i="14"/>
  <c r="AJ33" i="14"/>
  <c r="AI33" i="14"/>
  <c r="AJ32" i="14"/>
  <c r="AI32" i="14"/>
  <c r="AJ31" i="14"/>
  <c r="AI31" i="14"/>
  <c r="AJ30" i="14"/>
  <c r="AI30" i="14"/>
  <c r="AJ29" i="14"/>
  <c r="AI29" i="14"/>
  <c r="AJ28" i="14"/>
  <c r="AI28" i="14"/>
  <c r="AJ27" i="14"/>
  <c r="AI27" i="14"/>
  <c r="AJ26" i="14"/>
  <c r="AI26" i="14"/>
  <c r="AJ25" i="14"/>
  <c r="AI25" i="14"/>
  <c r="AJ24" i="14"/>
  <c r="AI24" i="14"/>
  <c r="AJ23" i="14"/>
  <c r="AI23" i="14"/>
  <c r="AJ22" i="14"/>
  <c r="AI22" i="14"/>
  <c r="AJ21" i="14"/>
  <c r="AI21" i="14"/>
  <c r="AJ20" i="14"/>
  <c r="AI20" i="14"/>
  <c r="AJ19" i="14"/>
  <c r="AI19" i="14"/>
  <c r="AJ18" i="14"/>
  <c r="AI18" i="14"/>
  <c r="AJ17" i="14"/>
  <c r="AI17" i="14"/>
  <c r="AJ16" i="14"/>
  <c r="AI16" i="14"/>
  <c r="AJ15" i="14"/>
  <c r="AI15" i="14"/>
  <c r="AJ14" i="14"/>
  <c r="AI14" i="14"/>
  <c r="AJ13" i="14"/>
  <c r="AI13" i="14"/>
  <c r="AJ12" i="14"/>
  <c r="AI12" i="14"/>
  <c r="AJ11" i="14"/>
  <c r="AI11" i="14"/>
  <c r="AJ10" i="14"/>
  <c r="AI10" i="14"/>
  <c r="AJ9" i="14"/>
  <c r="AI9" i="14"/>
  <c r="AJ8" i="14"/>
  <c r="AI8" i="14"/>
  <c r="AJ7" i="14"/>
  <c r="AI7" i="14"/>
  <c r="AJ6" i="14"/>
  <c r="AI6" i="14"/>
  <c r="AJ5" i="14"/>
  <c r="AI5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AL22" i="14" l="1"/>
  <c r="AN13" i="14"/>
  <c r="AN15" i="14"/>
  <c r="AL23" i="14"/>
  <c r="AN22" i="14"/>
  <c r="AN21" i="14"/>
  <c r="AN23" i="14" l="1"/>
  <c r="AM21" i="13" l="1"/>
  <c r="AL21" i="13"/>
  <c r="AM14" i="13"/>
  <c r="AL14" i="13"/>
  <c r="AL15" i="13" s="1"/>
  <c r="AM13" i="13"/>
  <c r="AL13" i="13"/>
  <c r="AM22" i="13"/>
  <c r="AM23" i="13" s="1"/>
  <c r="AL22" i="13"/>
  <c r="AN14" i="13"/>
  <c r="AN13" i="13"/>
  <c r="AL4" i="13"/>
  <c r="AJ50" i="13"/>
  <c r="AI50" i="13"/>
  <c r="AJ49" i="13"/>
  <c r="AI49" i="13"/>
  <c r="AJ48" i="13"/>
  <c r="AI48" i="13"/>
  <c r="AJ47" i="13"/>
  <c r="AI47" i="13"/>
  <c r="AJ46" i="13"/>
  <c r="AI46" i="13"/>
  <c r="AJ45" i="13"/>
  <c r="AI45" i="13"/>
  <c r="AJ44" i="13"/>
  <c r="AI44" i="13"/>
  <c r="AJ43" i="13"/>
  <c r="AI43" i="13"/>
  <c r="AJ42" i="13"/>
  <c r="AI42" i="13"/>
  <c r="AJ41" i="13"/>
  <c r="AI41" i="13"/>
  <c r="AJ40" i="13"/>
  <c r="AI40" i="13"/>
  <c r="AJ39" i="13"/>
  <c r="AI39" i="13"/>
  <c r="AJ38" i="13"/>
  <c r="AI38" i="13"/>
  <c r="AJ37" i="13"/>
  <c r="AI37" i="13"/>
  <c r="AJ36" i="13"/>
  <c r="AI36" i="13"/>
  <c r="AJ35" i="13"/>
  <c r="AI35" i="13"/>
  <c r="AJ34" i="13"/>
  <c r="AI34" i="13"/>
  <c r="AJ33" i="13"/>
  <c r="AI33" i="13"/>
  <c r="AJ32" i="13"/>
  <c r="AI32" i="13"/>
  <c r="AJ31" i="13"/>
  <c r="AI31" i="13"/>
  <c r="AJ30" i="13"/>
  <c r="AI30" i="13"/>
  <c r="AJ29" i="13"/>
  <c r="AI29" i="13"/>
  <c r="AJ28" i="13"/>
  <c r="AI28" i="13"/>
  <c r="AJ27" i="13"/>
  <c r="AI27" i="13"/>
  <c r="AJ26" i="13"/>
  <c r="AI26" i="13"/>
  <c r="AJ25" i="13"/>
  <c r="AI25" i="13"/>
  <c r="AJ24" i="13"/>
  <c r="AI24" i="13"/>
  <c r="AJ23" i="13"/>
  <c r="AI23" i="13"/>
  <c r="AJ22" i="13"/>
  <c r="AI22" i="13"/>
  <c r="AJ21" i="13"/>
  <c r="AI21" i="13"/>
  <c r="AJ20" i="13"/>
  <c r="AI20" i="13"/>
  <c r="AJ19" i="13"/>
  <c r="AI19" i="13"/>
  <c r="AJ18" i="13"/>
  <c r="AI18" i="13"/>
  <c r="AJ17" i="13"/>
  <c r="AI17" i="13"/>
  <c r="AJ16" i="13"/>
  <c r="AI16" i="13"/>
  <c r="AJ15" i="13"/>
  <c r="AI15" i="13"/>
  <c r="AJ14" i="13"/>
  <c r="AI14" i="13"/>
  <c r="AJ13" i="13"/>
  <c r="AI13" i="13"/>
  <c r="AJ12" i="13"/>
  <c r="AI12" i="13"/>
  <c r="AJ11" i="13"/>
  <c r="AI11" i="13"/>
  <c r="AJ10" i="13"/>
  <c r="AI10" i="13"/>
  <c r="AJ9" i="13"/>
  <c r="AI9" i="13"/>
  <c r="AJ8" i="13"/>
  <c r="AI8" i="13"/>
  <c r="AJ7" i="13"/>
  <c r="AI7" i="13"/>
  <c r="AJ6" i="13"/>
  <c r="AI6" i="13"/>
  <c r="AJ5" i="13"/>
  <c r="AI5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M15" i="13" l="1"/>
  <c r="AN15" i="13"/>
  <c r="AL23" i="13"/>
  <c r="AN22" i="13"/>
  <c r="AN21" i="13"/>
  <c r="AN23" i="13" l="1"/>
  <c r="AM21" i="12" l="1"/>
  <c r="AL21" i="12"/>
  <c r="AM14" i="12"/>
  <c r="AM15" i="12" s="1"/>
  <c r="AL14" i="12"/>
  <c r="AL15" i="12" s="1"/>
  <c r="AM13" i="12"/>
  <c r="AL13" i="12"/>
  <c r="AM22" i="12"/>
  <c r="AM23" i="12" s="1"/>
  <c r="AL22" i="12"/>
  <c r="AN14" i="12"/>
  <c r="AL4" i="12"/>
  <c r="AJ57" i="12"/>
  <c r="AI57" i="12"/>
  <c r="AJ56" i="12"/>
  <c r="AI56" i="12"/>
  <c r="AJ55" i="12"/>
  <c r="AI55" i="12"/>
  <c r="AJ54" i="12"/>
  <c r="AI54" i="12"/>
  <c r="AJ53" i="12"/>
  <c r="AI53" i="12"/>
  <c r="AJ52" i="12"/>
  <c r="AI52" i="12"/>
  <c r="AJ51" i="12"/>
  <c r="AI51" i="12"/>
  <c r="AJ50" i="12"/>
  <c r="AI50" i="12"/>
  <c r="AJ49" i="12"/>
  <c r="AI49" i="12"/>
  <c r="AJ48" i="12"/>
  <c r="AI48" i="12"/>
  <c r="AJ47" i="12"/>
  <c r="AI47" i="12"/>
  <c r="AJ46" i="12"/>
  <c r="AI46" i="12"/>
  <c r="AJ45" i="12"/>
  <c r="AI45" i="12"/>
  <c r="AJ44" i="12"/>
  <c r="AI44" i="12"/>
  <c r="AJ43" i="12"/>
  <c r="AI43" i="12"/>
  <c r="AJ42" i="12"/>
  <c r="AI42" i="12"/>
  <c r="AJ41" i="12"/>
  <c r="AI41" i="12"/>
  <c r="AJ40" i="12"/>
  <c r="AI40" i="12"/>
  <c r="AJ39" i="12"/>
  <c r="AI39" i="12"/>
  <c r="AJ38" i="12"/>
  <c r="AI38" i="12"/>
  <c r="AJ37" i="12"/>
  <c r="AI37" i="12"/>
  <c r="AJ36" i="12"/>
  <c r="AI36" i="12"/>
  <c r="AJ35" i="12"/>
  <c r="AI35" i="12"/>
  <c r="AJ34" i="12"/>
  <c r="AI34" i="12"/>
  <c r="AJ33" i="12"/>
  <c r="AI33" i="12"/>
  <c r="AJ32" i="12"/>
  <c r="AI32" i="12"/>
  <c r="AJ31" i="12"/>
  <c r="AI31" i="12"/>
  <c r="AJ30" i="12"/>
  <c r="AI30" i="12"/>
  <c r="AJ29" i="12"/>
  <c r="AI29" i="12"/>
  <c r="AJ28" i="12"/>
  <c r="AI28" i="12"/>
  <c r="AJ27" i="12"/>
  <c r="AI27" i="12"/>
  <c r="AJ26" i="12"/>
  <c r="AI26" i="12"/>
  <c r="AJ25" i="12"/>
  <c r="AI25" i="12"/>
  <c r="AJ24" i="12"/>
  <c r="AI24" i="12"/>
  <c r="AJ23" i="12"/>
  <c r="AI23" i="12"/>
  <c r="AJ22" i="12"/>
  <c r="AI22" i="12"/>
  <c r="AJ21" i="12"/>
  <c r="AI21" i="12"/>
  <c r="AJ20" i="12"/>
  <c r="AI20" i="12"/>
  <c r="AJ19" i="12"/>
  <c r="AI19" i="12"/>
  <c r="AJ18" i="12"/>
  <c r="AI18" i="12"/>
  <c r="AJ17" i="12"/>
  <c r="AI17" i="12"/>
  <c r="AJ16" i="12"/>
  <c r="AI16" i="12"/>
  <c r="AJ15" i="12"/>
  <c r="AI15" i="12"/>
  <c r="AJ14" i="12"/>
  <c r="AI14" i="12"/>
  <c r="AJ13" i="12"/>
  <c r="AI13" i="12"/>
  <c r="AJ12" i="12"/>
  <c r="AI12" i="12"/>
  <c r="AJ11" i="12"/>
  <c r="AI11" i="12"/>
  <c r="AJ10" i="12"/>
  <c r="AI10" i="12"/>
  <c r="AJ9" i="12"/>
  <c r="AI9" i="12"/>
  <c r="AJ8" i="12"/>
  <c r="AI8" i="12"/>
  <c r="AJ7" i="12"/>
  <c r="AI7" i="12"/>
  <c r="AJ6" i="12"/>
  <c r="AI6" i="12"/>
  <c r="AJ5" i="12"/>
  <c r="AI5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N13" i="12" l="1"/>
  <c r="AN15" i="12" s="1"/>
  <c r="AL23" i="12"/>
  <c r="AN22" i="12"/>
  <c r="AN21" i="12"/>
  <c r="AN23" i="12" l="1"/>
  <c r="I10" i="18" l="1"/>
  <c r="J10" i="18"/>
  <c r="L10" i="18" s="1"/>
  <c r="K10" i="18" l="1"/>
  <c r="N10" i="18" s="1"/>
  <c r="M10" i="18"/>
  <c r="O10" i="18" s="1"/>
  <c r="I9" i="18" l="1"/>
  <c r="J9" i="18"/>
  <c r="L9" i="18" s="1"/>
  <c r="O9" i="18" l="1"/>
  <c r="K9" i="18"/>
  <c r="N9" i="18" s="1"/>
  <c r="M9" i="18"/>
  <c r="I8" i="18" l="1"/>
  <c r="J8" i="18"/>
  <c r="L8" i="18" s="1"/>
  <c r="M8" i="18" l="1"/>
  <c r="K8" i="18"/>
  <c r="N8" i="18" s="1"/>
  <c r="O8" i="18"/>
  <c r="J7" i="18" l="1"/>
  <c r="L7" i="18" s="1"/>
  <c r="I7" i="18"/>
  <c r="O7" i="18" l="1"/>
  <c r="M7" i="18"/>
  <c r="K7" i="18"/>
  <c r="N7" i="18" s="1"/>
  <c r="I6" i="18" l="1"/>
  <c r="I17" i="18" l="1"/>
  <c r="M6" i="18"/>
  <c r="J6" i="18"/>
  <c r="K6" i="18" s="1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<sst xmlns="http://schemas.openxmlformats.org/spreadsheetml/2006/main" count="14427" uniqueCount="832">
  <si>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</si>
  <si>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</si>
  <si>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</si>
  <si>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</si>
  <si>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</si>
  <si>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</si>
  <si>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</si>
  <si>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</si>
  <si>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</si>
  <si>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</si>
  <si>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</si>
  <si>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</si>
  <si>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</si>
  <si>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</si>
  <si>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</si>
  <si>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</si>
  <si>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</si>
  <si>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</si>
  <si>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</si>
  <si>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</si>
  <si>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</si>
  <si>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</si>
  <si>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</si>
  <si>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</si>
  <si>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</si>
  <si>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</si>
  <si>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</si>
  <si>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</si>
  <si>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</si>
  <si>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</si>
  <si>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</si>
  <si>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</si>
  <si>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</si>
  <si>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</si>
  <si>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</si>
  <si>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</si>
  <si>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</si>
  <si>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</si>
  <si>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</si>
  <si>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</si>
  <si>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</si>
  <si>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</si>
  <si>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</si>
  <si>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</si>
  <si>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</si>
  <si>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</si>
  <si>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</si>
  <si>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</si>
  <si>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</si>
  <si>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</si>
  <si>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</si>
  <si>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</si>
  <si>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</si>
  <si>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</si>
  <si>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</si>
  <si>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</si>
  <si>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</si>
  <si>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</si>
  <si>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</si>
  <si>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</si>
  <si>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</si>
  <si>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</si>
  <si>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</si>
  <si>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</si>
  <si>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</si>
  <si>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</si>
  <si>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</si>
  <si>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</si>
  <si>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</si>
  <si>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</si>
  <si>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</si>
  <si>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</si>
  <si>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</si>
  <si>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</si>
  <si>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</si>
  <si>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</si>
  <si>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</si>
  <si>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</si>
  <si>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</si>
  <si>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</si>
  <si>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</si>
  <si>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</si>
  <si>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</si>
  <si>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</si>
  <si>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</si>
  <si>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</si>
  <si>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</si>
  <si>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</si>
  <si>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</si>
  <si>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</si>
  <si>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</si>
  <si>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</si>
  <si>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</si>
  <si>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</si>
  <si>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</si>
  <si>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</si>
  <si>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</si>
  <si>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</si>
  <si>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</si>
  <si>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</si>
  <si>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</si>
  <si>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</si>
  <si>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</si>
  <si>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</si>
  <si>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</si>
  <si>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</si>
  <si>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</si>
  <si>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</si>
  <si>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</si>
  <si>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</si>
  <si>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</si>
  <si>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</si>
  <si>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</si>
  <si>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</si>
  <si>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</si>
  <si>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Abdullah</t>
  </si>
  <si>
    <t>Jameel Hussain</t>
  </si>
  <si>
    <t>Israr</t>
  </si>
  <si>
    <t>Zulfiqar Ali</t>
  </si>
  <si>
    <t>Zakria</t>
  </si>
  <si>
    <t>Anabia</t>
  </si>
  <si>
    <t>Monthly Attendence Month of November-2024</t>
  </si>
  <si>
    <t>IQBAL DAY - IQBAL DAY - IQBAL DAY - IQBAL DAY - IQBAL DAY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</si>
  <si>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</si>
  <si>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</si>
  <si>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</si>
  <si>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</si>
  <si>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</si>
  <si>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</si>
  <si>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</si>
  <si>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</si>
  <si>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</si>
  <si>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</si>
  <si>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</si>
  <si>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</si>
  <si>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</si>
  <si>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</si>
  <si>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</si>
  <si>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</si>
  <si>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</si>
  <si>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</si>
  <si>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</si>
  <si>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</si>
  <si>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</si>
  <si>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</si>
  <si>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</si>
  <si>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</si>
  <si>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</si>
  <si>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</si>
  <si>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</si>
  <si>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</si>
  <si>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</si>
  <si>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</si>
  <si>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</si>
  <si>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</si>
  <si>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</si>
  <si>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</si>
  <si>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</si>
  <si>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</si>
  <si>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</si>
  <si>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</si>
  <si>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</si>
  <si>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</si>
  <si>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</si>
  <si>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</si>
  <si>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</si>
  <si>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</si>
  <si>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</si>
  <si>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</si>
  <si>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</si>
  <si>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</si>
  <si>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</si>
  <si>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</si>
  <si>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</si>
  <si>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</si>
  <si>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</si>
  <si>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</si>
  <si>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</si>
  <si>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</si>
  <si>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</si>
  <si>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</si>
  <si>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</si>
  <si>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</si>
  <si>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</si>
  <si>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</si>
  <si>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</si>
  <si>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</si>
  <si>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</si>
  <si>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</si>
  <si>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</si>
  <si>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</si>
  <si>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</si>
  <si>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</si>
  <si>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</si>
  <si>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</si>
  <si>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</si>
  <si>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</si>
  <si>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</si>
  <si>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</si>
  <si>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</si>
  <si>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</si>
  <si>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</si>
  <si>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</si>
  <si>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</si>
  <si>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</si>
  <si>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</si>
  <si>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</si>
  <si>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</si>
  <si>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</si>
  <si>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</si>
  <si>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</si>
  <si>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</si>
  <si>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</si>
  <si>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</si>
  <si>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</si>
  <si>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</si>
  <si>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</si>
  <si>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</si>
  <si>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</si>
  <si>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</si>
  <si>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</si>
  <si>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</si>
  <si>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</si>
  <si>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</si>
  <si>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</si>
  <si>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</si>
  <si>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</si>
  <si>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</si>
  <si>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</si>
  <si>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</si>
  <si>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</si>
  <si>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</si>
  <si>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</si>
  <si>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</si>
  <si>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</si>
  <si>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</si>
  <si>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</si>
  <si>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</si>
  <si>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</si>
  <si>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</si>
  <si>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</si>
  <si>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</si>
  <si>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</si>
  <si>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</si>
  <si>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</si>
  <si>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</si>
  <si>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</si>
  <si>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</si>
  <si>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</si>
  <si>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</si>
  <si>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</si>
  <si>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</si>
  <si>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</si>
  <si>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</si>
  <si>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</si>
  <si>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</si>
  <si>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</si>
  <si>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</si>
  <si>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</si>
  <si>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</si>
  <si>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</si>
  <si>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</si>
  <si>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</si>
  <si>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</si>
  <si>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</si>
  <si>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</si>
  <si>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</si>
  <si>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</si>
  <si>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</si>
  <si>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</si>
  <si>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</si>
  <si>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</si>
  <si>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</si>
  <si>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</si>
  <si>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</si>
  <si>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</si>
  <si>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</si>
  <si>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</si>
  <si>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</si>
  <si>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</si>
  <si>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</si>
  <si>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</si>
  <si>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</si>
  <si>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</si>
  <si>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</si>
  <si>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</si>
  <si>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</si>
  <si>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</si>
  <si>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</si>
  <si>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</si>
  <si>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</si>
  <si>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</si>
  <si>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</si>
  <si>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</si>
  <si>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</si>
  <si>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</si>
  <si>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</si>
  <si>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</si>
  <si>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</si>
  <si>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</si>
  <si>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</si>
  <si>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</si>
  <si>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</si>
  <si>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</si>
  <si>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</si>
  <si>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</si>
  <si>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</si>
  <si>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</si>
  <si>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</si>
  <si>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</si>
  <si>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</si>
  <si>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</si>
  <si>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</si>
  <si>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</si>
  <si>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</si>
  <si>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</si>
  <si>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</si>
  <si>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</si>
  <si>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</si>
  <si>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</si>
  <si>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</si>
  <si>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</si>
  <si>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</si>
  <si>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</si>
  <si>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</si>
  <si>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</si>
  <si>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</si>
  <si>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</si>
  <si>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</si>
  <si>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</si>
  <si>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</si>
  <si>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</si>
  <si>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</si>
  <si>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</si>
  <si>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</si>
  <si>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</si>
  <si>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</si>
  <si>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</si>
  <si>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</si>
  <si>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</si>
  <si>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</si>
  <si>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</si>
  <si>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</si>
  <si>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</si>
  <si>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</si>
  <si>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</si>
  <si>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</si>
  <si>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</si>
  <si>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</si>
  <si>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</si>
  <si>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</si>
  <si>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</si>
  <si>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</si>
  <si>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</si>
  <si>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</si>
  <si>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</si>
  <si>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</si>
  <si>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</si>
  <si>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</si>
  <si>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</si>
  <si>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</si>
  <si>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</si>
  <si>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</si>
  <si>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</si>
  <si>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</si>
  <si>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</si>
  <si>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</si>
  <si>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</si>
  <si>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</si>
  <si>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</si>
  <si>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</si>
  <si>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</si>
  <si>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</si>
  <si>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</si>
  <si>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</si>
  <si>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</si>
  <si>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</si>
  <si>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</si>
  <si>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</si>
  <si>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</si>
  <si>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</si>
  <si>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</si>
  <si>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</si>
  <si>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</si>
  <si>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</si>
  <si>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</si>
  <si>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</si>
  <si>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</si>
  <si>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</si>
  <si>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</si>
  <si>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</si>
  <si>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</si>
  <si>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</si>
  <si>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</si>
  <si>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</si>
  <si>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</si>
  <si>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</si>
  <si>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</si>
  <si>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</si>
  <si>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</si>
  <si>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</si>
  <si>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</si>
  <si>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</si>
  <si>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</si>
  <si>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</si>
  <si>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</si>
  <si>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</si>
  <si>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</si>
  <si>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</si>
  <si>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</si>
  <si>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</si>
  <si>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</si>
  <si>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</si>
  <si>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</si>
  <si>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</si>
  <si>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</si>
  <si>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</si>
  <si>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</si>
  <si>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</si>
  <si>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</si>
  <si>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</si>
  <si>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</si>
  <si>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</si>
  <si>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</si>
  <si>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</si>
  <si>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</si>
  <si>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</si>
  <si>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</si>
  <si>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</si>
  <si>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</si>
  <si>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</si>
  <si>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</si>
  <si>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</si>
  <si>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</si>
  <si>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</si>
  <si>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</si>
  <si>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</si>
  <si>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</si>
  <si>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</si>
  <si>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</si>
  <si>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</si>
  <si>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</si>
  <si>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</si>
  <si>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</si>
  <si>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</si>
  <si>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</si>
  <si>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</si>
  <si>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</si>
  <si>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</si>
  <si>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</si>
  <si>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</si>
  <si>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</si>
  <si>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</si>
  <si>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</si>
  <si>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</si>
  <si>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</si>
  <si>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</si>
  <si>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</si>
  <si>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</si>
  <si>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</si>
  <si>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</si>
  <si>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</si>
  <si>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</si>
  <si>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</si>
  <si>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</si>
  <si>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</si>
  <si>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</si>
  <si>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</si>
  <si>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</si>
  <si>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</si>
  <si>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</si>
  <si>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p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</si>
  <si>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</si>
  <si>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</si>
  <si>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</si>
  <si>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</si>
  <si>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</si>
  <si>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</si>
  <si>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</si>
  <si>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</si>
  <si>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</si>
  <si>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</si>
  <si>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</si>
  <si>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</si>
  <si>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</si>
  <si>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</si>
  <si>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</si>
  <si>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</si>
  <si>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</si>
  <si>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</si>
  <si>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</si>
  <si>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</si>
  <si>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</si>
  <si>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</si>
  <si>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</si>
  <si>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</si>
  <si>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</si>
  <si>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</si>
  <si>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</si>
  <si>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</si>
  <si>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</si>
  <si>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</si>
  <si>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</si>
  <si>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</si>
  <si>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</si>
  <si>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</si>
  <si>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</si>
  <si>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</si>
  <si>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</si>
  <si>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</si>
  <si>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</si>
  <si>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</si>
  <si>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</si>
  <si>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</si>
  <si>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</si>
  <si>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</si>
  <si>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</si>
  <si>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</si>
  <si>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</si>
  <si>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</si>
  <si>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</si>
  <si>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</si>
  <si>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</si>
  <si>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</si>
  <si>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</si>
  <si>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</si>
  <si>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</si>
  <si>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</si>
  <si>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</si>
  <si>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</si>
  <si>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</si>
  <si>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</si>
  <si>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</si>
  <si>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</si>
  <si>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</si>
  <si>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</si>
  <si>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</si>
  <si>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</si>
  <si>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</si>
  <si>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</si>
  <si>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</si>
  <si>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</si>
  <si>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</si>
  <si>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</si>
  <si>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</si>
  <si>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</si>
  <si>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</si>
  <si>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</si>
  <si>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</si>
  <si>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</si>
  <si>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</si>
  <si>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</si>
  <si>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</si>
  <si>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>IQBAL DAY - IQBAL DAY - IQBAL DAY - IQBAL 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</si>
  <si>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</si>
  <si>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</si>
  <si>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</si>
  <si>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</si>
  <si>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</si>
  <si>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</si>
  <si>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</si>
  <si>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</si>
  <si>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</si>
  <si>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</si>
  <si>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</si>
  <si>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</si>
  <si>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</si>
  <si>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</si>
  <si>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</si>
  <si>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</si>
  <si>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</si>
  <si>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</si>
  <si>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</si>
  <si>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</si>
  <si>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</si>
  <si>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</si>
  <si>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</si>
  <si>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</si>
  <si>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</si>
  <si>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</si>
  <si>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</si>
  <si>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</si>
  <si>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</si>
  <si>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</si>
  <si>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</si>
  <si>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</si>
  <si>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</si>
  <si>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</si>
  <si>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</si>
  <si>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</si>
  <si>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</si>
  <si>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</si>
  <si>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</si>
  <si>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</si>
  <si>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</si>
  <si>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</si>
  <si>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</si>
  <si>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</si>
  <si>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</si>
  <si>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</si>
  <si>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</si>
  <si>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</si>
  <si>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</si>
  <si>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</si>
  <si>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</si>
  <si>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</si>
  <si>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</si>
  <si>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</si>
  <si>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</si>
  <si>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</si>
  <si>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</si>
  <si>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</si>
  <si>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</si>
  <si>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</si>
  <si>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</si>
  <si>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</si>
  <si>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Monthly Attendence Month of August-2024</t>
  </si>
  <si>
    <t>Six</t>
  </si>
  <si>
    <t>SUNDAY - SUNDAY - SUNDAY - SUNDAY</t>
  </si>
  <si>
    <t>IQBAL DAY - IQBAL DAY - IQBAL 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</si>
  <si>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</si>
  <si>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</si>
  <si>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</si>
  <si>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</si>
  <si>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</si>
  <si>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</si>
  <si>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</si>
  <si>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</si>
  <si>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</si>
  <si>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</si>
  <si>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</si>
  <si>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</si>
  <si>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</si>
  <si>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</si>
  <si>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</si>
  <si>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</si>
  <si>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</si>
  <si>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</si>
  <si>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</si>
  <si>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</si>
  <si>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</si>
  <si>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Fahmida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</si>
  <si>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</si>
  <si>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</si>
  <si>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</si>
  <si>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</si>
  <si>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</si>
  <si>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</si>
  <si>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</si>
  <si>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</si>
  <si>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</si>
  <si>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</si>
  <si>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</si>
  <si>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</si>
  <si>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</si>
  <si>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</si>
  <si>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</si>
  <si>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</si>
  <si>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</si>
  <si>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</si>
  <si>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</si>
  <si>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</si>
  <si>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</si>
  <si>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</si>
  <si>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</si>
  <si>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 xml:space="preserve">Zainab </t>
  </si>
  <si>
    <t>Murtaza Ali</t>
  </si>
  <si>
    <t>Muskan</t>
  </si>
  <si>
    <t>Zara Bano</t>
  </si>
  <si>
    <t>Nabi Bux</t>
  </si>
  <si>
    <t xml:space="preserve">Razia 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</si>
  <si>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</si>
  <si>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</si>
  <si>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</si>
  <si>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</si>
  <si>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</si>
  <si>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</si>
  <si>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</si>
  <si>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</si>
  <si>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.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</si>
  <si>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</si>
  <si>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</si>
  <si>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</si>
  <si>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</si>
  <si>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</si>
  <si>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</si>
  <si>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</si>
  <si>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</si>
  <si>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 xml:space="preserve">Mubashir </t>
  </si>
  <si>
    <t>M. Anwaar</t>
  </si>
  <si>
    <t>M. Hassan</t>
  </si>
  <si>
    <t>M. Raza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</si>
  <si>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</si>
  <si>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</si>
  <si>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</si>
  <si>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</si>
  <si>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</si>
  <si>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</si>
  <si>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</si>
  <si>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Ayesha Agha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</si>
  <si>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</si>
  <si>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</si>
  <si>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</si>
  <si>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</si>
  <si>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</si>
  <si>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</si>
  <si>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</si>
  <si>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</si>
  <si>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</si>
  <si>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</si>
  <si>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</si>
  <si>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</si>
  <si>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</si>
  <si>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</si>
  <si>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</si>
  <si>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</si>
  <si>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</si>
  <si>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</si>
  <si>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</si>
  <si>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</si>
  <si>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</si>
  <si>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</si>
  <si>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</si>
  <si>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</si>
  <si>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</si>
  <si>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</si>
  <si>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</si>
  <si>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</si>
  <si>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</si>
  <si>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</si>
  <si>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</si>
  <si>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</si>
  <si>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</si>
  <si>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</si>
  <si>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</si>
  <si>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</si>
  <si>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</si>
  <si>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</si>
  <si>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</si>
  <si>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</si>
  <si>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</si>
  <si>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</si>
  <si>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</si>
  <si>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</si>
  <si>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</si>
  <si>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</si>
  <si>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</si>
  <si>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</si>
  <si>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</si>
  <si>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</si>
  <si>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</si>
  <si>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</si>
  <si>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</si>
  <si>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</si>
  <si>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</si>
  <si>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</si>
  <si>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</si>
  <si>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</si>
  <si>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</si>
  <si>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</si>
  <si>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</si>
  <si>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</si>
  <si>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</si>
  <si>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</si>
  <si>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</si>
  <si>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</si>
  <si>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</si>
  <si>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</si>
  <si>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</si>
  <si>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</si>
  <si>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</si>
  <si>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</si>
  <si>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</si>
  <si>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</si>
  <si>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</si>
  <si>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</si>
  <si>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</si>
  <si>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</si>
  <si>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</si>
  <si>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</si>
  <si>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</si>
  <si>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</si>
  <si>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</si>
  <si>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</si>
  <si>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</si>
  <si>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</si>
  <si>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</si>
  <si>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</si>
  <si>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</si>
  <si>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</si>
  <si>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</si>
  <si>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</si>
  <si>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</si>
  <si>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</si>
  <si>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</si>
  <si>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</si>
  <si>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</si>
  <si>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</si>
  <si>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</si>
  <si>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</si>
  <si>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</si>
  <si>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</si>
  <si>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</si>
  <si>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</si>
  <si>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</si>
  <si>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</si>
  <si>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</si>
  <si>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</si>
  <si>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</si>
  <si>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</si>
  <si>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</si>
  <si>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</si>
  <si>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</si>
  <si>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</si>
  <si>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</si>
  <si>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</si>
  <si>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</si>
  <si>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</si>
  <si>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</si>
  <si>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</si>
  <si>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</si>
  <si>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</si>
  <si>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</si>
  <si>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</si>
  <si>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</si>
  <si>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Monthly Attendence Month of December-2024</t>
  </si>
  <si>
    <t>Monthly Attendence Month of January-2024</t>
  </si>
  <si>
    <t>SHAB-E-MAIRAJ - SHAB-E-MAIRAJ - SHAB-E-MAIRAJ - SHAB-E-MAIRAJ</t>
  </si>
  <si>
    <t>Shab-E-Mairaj</t>
  </si>
  <si>
    <t>Mir Muhammad</t>
  </si>
  <si>
    <t>-</t>
  </si>
  <si>
    <t>SHAB-E-MAIRAJ - SHAB-E-MAIRAJ - SHAB-E-MAIRAJ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</si>
</sst>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4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5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0" fillId="3" borderId="2" xfId="0" applyFill="1" applyBorder="1" applyAlignment="1">
      <alignment vertical="center" textRotation="255"/>
    </xf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3" fillId="5" borderId="34" xfId="0" applyFont="1" applyFill="1" applyBorder="1"/>
    <xf numFmtId="0" fontId="3" fillId="5" borderId="6" xfId="0" applyFont="1" applyFill="1" applyBorder="1"/>
    <xf numFmtId="0" fontId="3" fillId="5" borderId="35" xfId="0" applyFont="1" applyFill="1" applyBorder="1"/>
    <xf numFmtId="0" fontId="3" fillId="5" borderId="23" xfId="0" applyFont="1" applyFill="1" applyBorder="1"/>
    <xf numFmtId="0" fontId="3" fillId="5" borderId="3" xfId="0" applyFont="1" applyFill="1" applyBorder="1"/>
    <xf numFmtId="0" fontId="3" fillId="5" borderId="17" xfId="0" applyFont="1" applyFill="1" applyBorder="1"/>
    <xf numFmtId="0" fontId="3" fillId="5" borderId="26" xfId="0" applyFont="1" applyFill="1" applyBorder="1"/>
    <xf numFmtId="0" fontId="3" fillId="5" borderId="2" xfId="0" applyFont="1" applyFill="1" applyBorder="1"/>
    <xf numFmtId="0" fontId="3" fillId="5" borderId="27" xfId="0" applyFont="1" applyFill="1" applyBorder="1"/>
    <xf numFmtId="0" fontId="17" fillId="5" borderId="16" xfId="0" applyFont="1" applyFill="1" applyBorder="1" applyAlignment="1">
      <alignment horizontal="center"/>
    </xf>
    <xf numFmtId="0" fontId="17" fillId="5" borderId="12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/>
    </xf>
    <xf numFmtId="0" fontId="13" fillId="5" borderId="2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7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textRotation="255"/>
    </xf>
    <xf numFmtId="0" fontId="2" fillId="4" borderId="3" xfId="0" applyFont="1" applyFill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4" borderId="2" xfId="0" applyFont="1" applyFill="1" applyBorder="1" applyAlignment="1">
      <alignment horizontal="center" vertical="top" textRotation="255"/>
    </xf>
    <xf numFmtId="0" fontId="2" fillId="4" borderId="9" xfId="0" applyFont="1" applyFill="1" applyBorder="1" applyAlignment="1">
      <alignment horizontal="center" vertical="top" textRotation="255"/>
    </xf>
    <xf numFmtId="0" fontId="2" fillId="4" borderId="6" xfId="0" applyFont="1" applyFill="1" applyBorder="1" applyAlignment="1">
      <alignment horizontal="center" vertical="top" textRotation="255"/>
    </xf>
  </cellXfs>
  <cellStyles count="2">
    <cellStyle name="Normal" xfId="0" builtinId="0"/>
    <cellStyle name="Percent" xfId="1" builtinId="5"/>
  </cellStyles>
  <dxfs count="335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workbookViewId="0">
      <selection activeCell="M10" sqref="M10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3" t="s">
        <v>3</v>
      </c>
      <c r="B4" s="105" t="s">
        <v>823</v>
      </c>
      <c r="C4" s="106"/>
      <c r="D4" s="106"/>
      <c r="E4" s="107"/>
      <c r="F4" s="107"/>
      <c r="G4" s="107"/>
      <c r="H4" s="107"/>
      <c r="I4" s="106"/>
      <c r="J4" s="106"/>
      <c r="K4" s="106"/>
      <c r="L4" s="107"/>
      <c r="M4" s="107"/>
      <c r="N4" s="108"/>
      <c r="O4" s="109"/>
    </row>
    <row r="5" spans="1:15" ht="34.5" thickBot="1" x14ac:dyDescent="0.3">
      <c r="A5" s="104"/>
      <c r="B5" s="80" t="s">
        <v>11</v>
      </c>
      <c r="C5" s="80" t="s">
        <v>12</v>
      </c>
      <c r="D5" s="80" t="s">
        <v>13</v>
      </c>
      <c r="E5" s="81" t="s">
        <v>807</v>
      </c>
      <c r="F5" s="80" t="s">
        <v>808</v>
      </c>
      <c r="G5" s="80" t="s">
        <v>809</v>
      </c>
      <c r="H5" s="82" t="s">
        <v>810</v>
      </c>
      <c r="I5" s="83" t="s">
        <v>811</v>
      </c>
      <c r="J5" s="84" t="s">
        <v>812</v>
      </c>
      <c r="K5" s="85" t="s">
        <v>813</v>
      </c>
      <c r="L5" s="98" t="s">
        <v>814</v>
      </c>
      <c r="M5" s="99" t="s">
        <v>815</v>
      </c>
      <c r="N5" s="99" t="s">
        <v>815</v>
      </c>
      <c r="O5" s="100" t="s">
        <v>816</v>
      </c>
    </row>
    <row r="6" spans="1:15" ht="18.75" x14ac:dyDescent="0.3">
      <c r="A6" s="68" t="s">
        <v>817</v>
      </c>
      <c r="B6" s="72">
        <v>27</v>
      </c>
      <c r="C6" s="72">
        <v>27</v>
      </c>
      <c r="D6" s="72">
        <f>SUM(B6:C6)</f>
        <v>54</v>
      </c>
      <c r="E6" s="73">
        <v>24</v>
      </c>
      <c r="F6" s="74">
        <f>B6*E6</f>
        <v>648</v>
      </c>
      <c r="G6" s="74">
        <f t="shared" ref="G6:G16" si="0">C6*E6</f>
        <v>648</v>
      </c>
      <c r="H6" s="75">
        <f>SUM(F6:G6)</f>
        <v>1296</v>
      </c>
      <c r="I6" s="86">
        <f>'ECE (ROSE)'!V14</f>
        <v>0</v>
      </c>
      <c r="J6" s="87">
        <f>'ECE (ROSE)'!W14</f>
        <v>0</v>
      </c>
      <c r="K6" s="88">
        <f>SUM(I6:J6)</f>
        <v>0</v>
      </c>
      <c r="L6" s="76">
        <f>J6/G6</f>
        <v>0</v>
      </c>
      <c r="M6" s="77">
        <f>I6/F6</f>
        <v>0</v>
      </c>
      <c r="N6" s="78">
        <f>K6/H6</f>
        <v>0</v>
      </c>
      <c r="O6" s="79">
        <f>AVERAGE(L6:M6)</f>
        <v>0</v>
      </c>
    </row>
    <row r="7" spans="1:15" ht="18.75" x14ac:dyDescent="0.3">
      <c r="A7" s="68" t="s">
        <v>818</v>
      </c>
      <c r="B7" s="37">
        <v>31</v>
      </c>
      <c r="C7" s="37">
        <v>25</v>
      </c>
      <c r="D7" s="37">
        <f>SUM(B7:C7)</f>
        <v>56</v>
      </c>
      <c r="E7" s="67">
        <v>24</v>
      </c>
      <c r="F7" s="38">
        <f>B7*E7</f>
        <v>744</v>
      </c>
      <c r="G7" s="38">
        <f t="shared" si="0"/>
        <v>600</v>
      </c>
      <c r="H7" s="39">
        <f>SUM(F7:G7)</f>
        <v>1344</v>
      </c>
      <c r="I7" s="89" t="str">
        <f>'ECE (Daffodills)'!V14</f>
        <v>P</v>
      </c>
      <c r="J7" s="90" t="str">
        <f>'ECE (Daffodills)'!W14</f>
        <v>P</v>
      </c>
      <c r="K7" s="91">
        <f>SUM(I7:J7)</f>
        <v>0</v>
      </c>
      <c r="L7" s="40" t="e">
        <f>J7/G7</f>
        <v>#VALUE!</v>
      </c>
      <c r="M7" s="41" t="e">
        <f>I7/F7</f>
        <v>#VALUE!</v>
      </c>
      <c r="N7" s="42">
        <f>K7/H7</f>
        <v>0</v>
      </c>
      <c r="O7" s="43" t="e">
        <f>AVERAGE(L7:M7)</f>
        <v>#VALUE!</v>
      </c>
    </row>
    <row r="8" spans="1:15" ht="18.75" x14ac:dyDescent="0.3">
      <c r="A8" s="69" t="s">
        <v>819</v>
      </c>
      <c r="B8" s="37">
        <v>32</v>
      </c>
      <c r="C8" s="37">
        <v>24</v>
      </c>
      <c r="D8" s="37">
        <f t="shared" ref="D8:D16" si="1">SUM(B8:C8)</f>
        <v>56</v>
      </c>
      <c r="E8" s="67">
        <v>24</v>
      </c>
      <c r="F8" s="38">
        <f t="shared" ref="F8:F16" si="2">B8*E8</f>
        <v>768</v>
      </c>
      <c r="G8" s="38">
        <f t="shared" si="0"/>
        <v>576</v>
      </c>
      <c r="H8" s="39">
        <f t="shared" ref="H8:H16" si="3">SUM(F8:G8)</f>
        <v>1344</v>
      </c>
      <c r="I8" s="89" t="str">
        <f>'Class-I'!V14</f>
        <v>P</v>
      </c>
      <c r="J8" s="90" t="str">
        <f>'Class-I'!W14</f>
        <v>P</v>
      </c>
      <c r="K8" s="91">
        <f t="shared" ref="K8:K16" si="4">SUM(I8:J8)</f>
        <v>0</v>
      </c>
      <c r="L8" s="40" t="e">
        <f t="shared" ref="L8:L16" si="5">J8/G8</f>
        <v>#VALUE!</v>
      </c>
      <c r="M8" s="41" t="e">
        <f t="shared" ref="M8:M16" si="6">I8/F8</f>
        <v>#VALUE!</v>
      </c>
      <c r="N8" s="42">
        <f t="shared" ref="N8:N16" si="7">K8/H8</f>
        <v>0</v>
      </c>
      <c r="O8" s="43" t="e">
        <f t="shared" ref="O8:O16" si="8">AVERAGE(L8:M8)</f>
        <v>#VALUE!</v>
      </c>
    </row>
    <row r="9" spans="1:15" ht="18.75" x14ac:dyDescent="0.3">
      <c r="A9" s="70" t="s">
        <v>329</v>
      </c>
      <c r="B9" s="37">
        <v>26</v>
      </c>
      <c r="C9" s="37">
        <v>26</v>
      </c>
      <c r="D9" s="37">
        <f t="shared" si="1"/>
        <v>52</v>
      </c>
      <c r="E9" s="67">
        <v>24</v>
      </c>
      <c r="F9" s="38">
        <f t="shared" si="2"/>
        <v>624</v>
      </c>
      <c r="G9" s="38">
        <f t="shared" si="0"/>
        <v>624</v>
      </c>
      <c r="H9" s="39">
        <f t="shared" si="3"/>
        <v>1248</v>
      </c>
      <c r="I9" s="89" t="str">
        <f>'Class-II'!V14</f>
        <v>P</v>
      </c>
      <c r="J9" s="90" t="str">
        <f>'Class-II'!W14</f>
        <v>P</v>
      </c>
      <c r="K9" s="91">
        <f t="shared" si="4"/>
        <v>0</v>
      </c>
      <c r="L9" s="40" t="e">
        <f t="shared" si="5"/>
        <v>#VALUE!</v>
      </c>
      <c r="M9" s="41" t="e">
        <f t="shared" si="6"/>
        <v>#VALUE!</v>
      </c>
      <c r="N9" s="42">
        <f t="shared" si="7"/>
        <v>0</v>
      </c>
      <c r="O9" s="43" t="e">
        <f t="shared" si="8"/>
        <v>#VALUE!</v>
      </c>
    </row>
    <row r="10" spans="1:15" ht="18.75" x14ac:dyDescent="0.3">
      <c r="A10" s="69" t="s">
        <v>395</v>
      </c>
      <c r="B10" s="37">
        <v>28</v>
      </c>
      <c r="C10" s="37">
        <v>24</v>
      </c>
      <c r="D10" s="37">
        <f t="shared" si="1"/>
        <v>52</v>
      </c>
      <c r="E10" s="38">
        <v>24</v>
      </c>
      <c r="F10" s="38">
        <f t="shared" si="2"/>
        <v>672</v>
      </c>
      <c r="G10" s="38">
        <f t="shared" si="0"/>
        <v>576</v>
      </c>
      <c r="H10" s="39">
        <f t="shared" si="3"/>
        <v>1248</v>
      </c>
      <c r="I10" s="89" t="str">
        <f>'Class-III'!V14</f>
        <v>P</v>
      </c>
      <c r="J10" s="90" t="str">
        <f>'Class-III'!W14</f>
        <v>P</v>
      </c>
      <c r="K10" s="91">
        <f>SUM(I10:J10)</f>
        <v>0</v>
      </c>
      <c r="L10" s="40" t="e">
        <f t="shared" si="5"/>
        <v>#VALUE!</v>
      </c>
      <c r="M10" s="41" t="e">
        <f t="shared" si="6"/>
        <v>#VALUE!</v>
      </c>
      <c r="N10" s="42">
        <f>K10/H10</f>
        <v>0</v>
      </c>
      <c r="O10" s="43" t="e">
        <f t="shared" si="8"/>
        <v>#VALUE!</v>
      </c>
    </row>
    <row r="11" spans="1:15" ht="18.75" x14ac:dyDescent="0.3">
      <c r="A11" s="69" t="s">
        <v>470</v>
      </c>
      <c r="B11" s="37">
        <v>21</v>
      </c>
      <c r="C11" s="37">
        <v>32</v>
      </c>
      <c r="D11" s="37">
        <f t="shared" si="1"/>
        <v>53</v>
      </c>
      <c r="E11" s="38">
        <v>24</v>
      </c>
      <c r="F11" s="38">
        <f t="shared" si="2"/>
        <v>504</v>
      </c>
      <c r="G11" s="38">
        <f t="shared" si="0"/>
        <v>768</v>
      </c>
      <c r="H11" s="39">
        <f t="shared" si="3"/>
        <v>1272</v>
      </c>
      <c r="I11" s="89">
        <f>'Class-IV'!AL14</f>
        <v>383</v>
      </c>
      <c r="J11" s="90">
        <f>'Class-IV'!AM14</f>
        <v>655</v>
      </c>
      <c r="K11" s="91">
        <f t="shared" si="4"/>
        <v>1038</v>
      </c>
      <c r="L11" s="40">
        <f t="shared" si="5"/>
        <v>0.85286458333333337</v>
      </c>
      <c r="M11" s="41">
        <f t="shared" si="6"/>
        <v>0.75992063492063489</v>
      </c>
      <c r="N11" s="42">
        <f t="shared" si="7"/>
        <v>0.81603773584905659</v>
      </c>
      <c r="O11" s="43">
        <f t="shared" si="8"/>
        <v>0.80639260912698418</v>
      </c>
    </row>
    <row r="12" spans="1:15" ht="18.75" x14ac:dyDescent="0.3">
      <c r="A12" s="69" t="s">
        <v>551</v>
      </c>
      <c r="B12" s="37">
        <v>23</v>
      </c>
      <c r="C12" s="37">
        <v>23</v>
      </c>
      <c r="D12" s="37">
        <f t="shared" si="1"/>
        <v>46</v>
      </c>
      <c r="E12" s="38">
        <v>24</v>
      </c>
      <c r="F12" s="38">
        <f t="shared" si="2"/>
        <v>552</v>
      </c>
      <c r="G12" s="38">
        <f t="shared" si="0"/>
        <v>552</v>
      </c>
      <c r="H12" s="39">
        <f t="shared" si="3"/>
        <v>1104</v>
      </c>
      <c r="I12" s="89">
        <f>'Class-V'!AL14</f>
        <v>487</v>
      </c>
      <c r="J12" s="90">
        <f>'Class-V'!AM14</f>
        <v>446</v>
      </c>
      <c r="K12" s="91">
        <f t="shared" si="4"/>
        <v>933</v>
      </c>
      <c r="L12" s="40">
        <f t="shared" si="5"/>
        <v>0.80797101449275366</v>
      </c>
      <c r="M12" s="41">
        <f t="shared" si="6"/>
        <v>0.88224637681159424</v>
      </c>
      <c r="N12" s="42">
        <f t="shared" si="7"/>
        <v>0.84510869565217395</v>
      </c>
      <c r="O12" s="43">
        <f t="shared" si="8"/>
        <v>0.84510869565217395</v>
      </c>
    </row>
    <row r="13" spans="1:15" ht="18.75" x14ac:dyDescent="0.3">
      <c r="A13" s="70" t="s">
        <v>617</v>
      </c>
      <c r="B13" s="37">
        <v>17</v>
      </c>
      <c r="C13" s="37">
        <v>28</v>
      </c>
      <c r="D13" s="37">
        <f t="shared" si="1"/>
        <v>45</v>
      </c>
      <c r="E13" s="38">
        <v>24</v>
      </c>
      <c r="F13" s="38">
        <f t="shared" si="2"/>
        <v>408</v>
      </c>
      <c r="G13" s="38">
        <f t="shared" si="0"/>
        <v>672</v>
      </c>
      <c r="H13" s="39">
        <f t="shared" si="3"/>
        <v>1080</v>
      </c>
      <c r="I13" s="89">
        <f>'Class-VI'!AL14</f>
        <v>362</v>
      </c>
      <c r="J13" s="90">
        <f>'Class-VI'!AM14</f>
        <v>627</v>
      </c>
      <c r="K13" s="91">
        <f t="shared" si="4"/>
        <v>989</v>
      </c>
      <c r="L13" s="40">
        <f t="shared" si="5"/>
        <v>0.9330357142857143</v>
      </c>
      <c r="M13" s="41">
        <f t="shared" si="6"/>
        <v>0.88725490196078427</v>
      </c>
      <c r="N13" s="42">
        <f t="shared" si="7"/>
        <v>0.91574074074074074</v>
      </c>
      <c r="O13" s="43">
        <f t="shared" si="8"/>
        <v>0.91014530812324934</v>
      </c>
    </row>
    <row r="14" spans="1:15" ht="18.75" x14ac:dyDescent="0.3">
      <c r="A14" s="70" t="s">
        <v>820</v>
      </c>
      <c r="B14" s="37">
        <v>29</v>
      </c>
      <c r="C14" s="37">
        <v>19</v>
      </c>
      <c r="D14" s="37">
        <f t="shared" si="1"/>
        <v>48</v>
      </c>
      <c r="E14" s="38">
        <v>24</v>
      </c>
      <c r="F14" s="38">
        <f t="shared" si="2"/>
        <v>696</v>
      </c>
      <c r="G14" s="38">
        <f t="shared" si="0"/>
        <v>456</v>
      </c>
      <c r="H14" s="39">
        <f t="shared" si="3"/>
        <v>1152</v>
      </c>
      <c r="I14" s="89">
        <f>'Class-VII'!AK14</f>
        <v>557</v>
      </c>
      <c r="J14" s="90">
        <f>'Class-VII'!AL14</f>
        <v>397</v>
      </c>
      <c r="K14" s="91">
        <f t="shared" si="4"/>
        <v>954</v>
      </c>
      <c r="L14" s="40">
        <f t="shared" si="5"/>
        <v>0.87061403508771928</v>
      </c>
      <c r="M14" s="41">
        <f t="shared" si="6"/>
        <v>0.80028735632183912</v>
      </c>
      <c r="N14" s="42">
        <f t="shared" si="7"/>
        <v>0.828125</v>
      </c>
      <c r="O14" s="43">
        <f t="shared" si="8"/>
        <v>0.83545069570477914</v>
      </c>
    </row>
    <row r="15" spans="1:15" ht="18.75" x14ac:dyDescent="0.3">
      <c r="A15" s="70" t="s">
        <v>821</v>
      </c>
      <c r="B15" s="37">
        <v>19</v>
      </c>
      <c r="C15" s="37">
        <v>23</v>
      </c>
      <c r="D15" s="37">
        <f t="shared" si="1"/>
        <v>42</v>
      </c>
      <c r="E15" s="38">
        <v>24</v>
      </c>
      <c r="F15" s="38">
        <f t="shared" si="2"/>
        <v>456</v>
      </c>
      <c r="G15" s="38">
        <f t="shared" si="0"/>
        <v>552</v>
      </c>
      <c r="H15" s="39">
        <f t="shared" si="3"/>
        <v>1008</v>
      </c>
      <c r="I15" s="89">
        <f>'Class-VIII'!AL14</f>
        <v>341</v>
      </c>
      <c r="J15" s="90">
        <f>'Class-VIII'!AM14</f>
        <v>493</v>
      </c>
      <c r="K15" s="91">
        <f t="shared" si="4"/>
        <v>834</v>
      </c>
      <c r="L15" s="40">
        <f t="shared" si="5"/>
        <v>0.89311594202898548</v>
      </c>
      <c r="M15" s="41">
        <f t="shared" si="6"/>
        <v>0.7478070175438597</v>
      </c>
      <c r="N15" s="42">
        <f t="shared" si="7"/>
        <v>0.82738095238095233</v>
      </c>
      <c r="O15" s="43">
        <f t="shared" si="8"/>
        <v>0.82046147978642259</v>
      </c>
    </row>
    <row r="16" spans="1:15" ht="19.5" thickBot="1" x14ac:dyDescent="0.35">
      <c r="A16" s="71" t="s">
        <v>822</v>
      </c>
      <c r="B16" s="46">
        <v>16</v>
      </c>
      <c r="C16" s="46">
        <v>19</v>
      </c>
      <c r="D16" s="46">
        <f t="shared" si="1"/>
        <v>35</v>
      </c>
      <c r="E16" s="47">
        <v>24</v>
      </c>
      <c r="F16" s="47">
        <f t="shared" si="2"/>
        <v>384</v>
      </c>
      <c r="G16" s="47">
        <f t="shared" si="0"/>
        <v>456</v>
      </c>
      <c r="H16" s="48">
        <f t="shared" si="3"/>
        <v>840</v>
      </c>
      <c r="I16" s="92">
        <f>'Class-IX'!AL14</f>
        <v>325</v>
      </c>
      <c r="J16" s="93">
        <f>'Class-IX'!AM14</f>
        <v>363</v>
      </c>
      <c r="K16" s="94">
        <f t="shared" si="4"/>
        <v>688</v>
      </c>
      <c r="L16" s="49">
        <f t="shared" si="5"/>
        <v>0.79605263157894735</v>
      </c>
      <c r="M16" s="50">
        <f t="shared" si="6"/>
        <v>0.84635416666666663</v>
      </c>
      <c r="N16" s="51">
        <f t="shared" si="7"/>
        <v>0.81904761904761902</v>
      </c>
      <c r="O16" s="52">
        <f t="shared" si="8"/>
        <v>0.82120339912280693</v>
      </c>
    </row>
    <row r="17" spans="1:15" ht="18.75" x14ac:dyDescent="0.3">
      <c r="A17" s="53" t="s">
        <v>13</v>
      </c>
      <c r="B17" s="54">
        <f t="shared" ref="B17:K17" si="9">SUM(B6:B16)</f>
        <v>269</v>
      </c>
      <c r="C17" s="54">
        <f t="shared" si="9"/>
        <v>270</v>
      </c>
      <c r="D17" s="54">
        <f t="shared" si="9"/>
        <v>539</v>
      </c>
      <c r="E17" s="55">
        <f t="shared" si="9"/>
        <v>264</v>
      </c>
      <c r="F17" s="55">
        <f t="shared" si="9"/>
        <v>6456</v>
      </c>
      <c r="G17" s="55">
        <f t="shared" si="9"/>
        <v>6480</v>
      </c>
      <c r="H17" s="61">
        <f t="shared" si="9"/>
        <v>12936</v>
      </c>
      <c r="I17" s="95">
        <f t="shared" si="9"/>
        <v>2455</v>
      </c>
      <c r="J17" s="96">
        <f t="shared" si="9"/>
        <v>2981</v>
      </c>
      <c r="K17" s="97">
        <f t="shared" si="9"/>
        <v>5436</v>
      </c>
      <c r="L17" s="63">
        <f>J17/G17</f>
        <v>0.46003086419753086</v>
      </c>
      <c r="M17" s="56">
        <f>I17/F17</f>
        <v>0.38026641883519208</v>
      </c>
      <c r="N17" s="56">
        <f>AVERAGE(N6:N16)</f>
        <v>0.45922188578823114</v>
      </c>
      <c r="O17" s="57" t="e">
        <f>AVERAGE(O6:O16)</f>
        <v>#VALUE!</v>
      </c>
    </row>
    <row r="18" spans="1:15" ht="15.75" thickBot="1" x14ac:dyDescent="0.3">
      <c r="A18" s="58" t="s">
        <v>16</v>
      </c>
      <c r="B18" s="59">
        <v>1</v>
      </c>
      <c r="C18" s="59">
        <v>1</v>
      </c>
      <c r="D18" s="60">
        <v>1</v>
      </c>
      <c r="E18" s="59">
        <v>1</v>
      </c>
      <c r="F18" s="59">
        <v>1</v>
      </c>
      <c r="G18" s="60">
        <v>1</v>
      </c>
      <c r="H18" s="62">
        <v>1</v>
      </c>
      <c r="I18" s="65">
        <f>I17/F17</f>
        <v>0.38026641883519208</v>
      </c>
      <c r="J18" s="60">
        <f>J17/G17</f>
        <v>0.46003086419753086</v>
      </c>
      <c r="K18" s="66">
        <f>K17/H17</f>
        <v>0.42022263450834879</v>
      </c>
      <c r="L18" s="64">
        <v>0.54</v>
      </c>
      <c r="M18" s="44">
        <v>0.56000000000000005</v>
      </c>
      <c r="N18" s="44">
        <v>0.55000000000000004</v>
      </c>
      <c r="O18" s="45">
        <f>AVERAGE(L17:M17)</f>
        <v>0.42014864151636144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AP58"/>
  <sheetViews>
    <sheetView topLeftCell="E7" workbookViewId="0">
      <selection activeCell="AO15" sqref="AO1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1" width="8" style="1" customWidth="1"/>
    <col min="42" max="42" width="7" style="1" customWidth="1"/>
    <col min="43" max="16384" width="3.85546875" style="1"/>
  </cols>
  <sheetData>
    <row r="1" spans="1:42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</row>
    <row r="2" spans="1:42" ht="17.25" x14ac:dyDescent="0.3">
      <c r="A2" s="114" t="s">
        <v>826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1:42" ht="15.75" x14ac:dyDescent="0.25">
      <c r="A3" s="124" t="s">
        <v>0</v>
      </c>
      <c r="B3" s="124" t="s">
        <v>824</v>
      </c>
      <c r="C3" s="124" t="s">
        <v>1</v>
      </c>
      <c r="D3" s="124" t="s">
        <v>2</v>
      </c>
      <c r="E3" s="124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5" t="s">
        <v>4</v>
      </c>
      <c r="AL3" s="116" t="s">
        <v>5</v>
      </c>
      <c r="AM3" s="110" t="s">
        <v>126</v>
      </c>
      <c r="AN3" s="111"/>
      <c r="AO3" s="3"/>
      <c r="AP3" s="3"/>
    </row>
    <row r="4" spans="1:42" ht="33.75" x14ac:dyDescent="0.25">
      <c r="A4" s="124"/>
      <c r="B4" s="124"/>
      <c r="C4" s="124"/>
      <c r="D4" s="124"/>
      <c r="E4" s="124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5"/>
      <c r="AL4" s="117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/>
      <c r="C5" s="7" t="s">
        <v>19</v>
      </c>
      <c r="D5" s="7" t="s">
        <v>20</v>
      </c>
      <c r="E5" s="8" t="s">
        <v>6</v>
      </c>
      <c r="F5" s="101" t="s">
        <v>111</v>
      </c>
      <c r="G5" s="101" t="s">
        <v>111</v>
      </c>
      <c r="H5" s="101" t="s">
        <v>112</v>
      </c>
      <c r="I5" s="101" t="s">
        <v>112</v>
      </c>
      <c r="J5" s="118" t="s">
        <v>396</v>
      </c>
      <c r="K5" s="101" t="s">
        <v>111</v>
      </c>
      <c r="L5" s="101" t="s">
        <v>112</v>
      </c>
      <c r="M5" s="101" t="s">
        <v>112</v>
      </c>
      <c r="N5" s="101" t="s">
        <v>112</v>
      </c>
      <c r="O5" s="101" t="s">
        <v>112</v>
      </c>
      <c r="P5" s="101" t="s">
        <v>112</v>
      </c>
      <c r="Q5" s="118" t="s">
        <v>396</v>
      </c>
      <c r="R5" s="101" t="s">
        <v>112</v>
      </c>
      <c r="S5" s="101" t="s">
        <v>112</v>
      </c>
      <c r="T5" s="101" t="s">
        <v>112</v>
      </c>
      <c r="U5" s="101"/>
      <c r="V5" s="101"/>
      <c r="W5" s="101"/>
      <c r="X5" s="118" t="s">
        <v>396</v>
      </c>
      <c r="Y5" s="101"/>
      <c r="Z5" s="101"/>
      <c r="AA5" s="101"/>
      <c r="AB5" s="101"/>
      <c r="AC5" s="101"/>
      <c r="AD5" s="101"/>
      <c r="AE5" s="118" t="s">
        <v>396</v>
      </c>
      <c r="AF5" s="101"/>
      <c r="AG5" s="101"/>
      <c r="AH5" s="101"/>
      <c r="AI5" s="101"/>
      <c r="AJ5" s="101"/>
      <c r="AK5" s="5">
        <f t="shared" ref="AK5:AK58" si="1">COUNTIF(F5:AJ5,"P")</f>
        <v>10</v>
      </c>
      <c r="AL5" s="5">
        <f t="shared" ref="AL5:AL58" si="2">COUNTIF(F5:AJ5,"A")</f>
        <v>3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>
        <v>135</v>
      </c>
      <c r="C6" s="7" t="s">
        <v>25</v>
      </c>
      <c r="D6" s="7" t="s">
        <v>26</v>
      </c>
      <c r="E6" s="8" t="s">
        <v>6</v>
      </c>
      <c r="F6" s="101" t="s">
        <v>111</v>
      </c>
      <c r="G6" s="101" t="s">
        <v>111</v>
      </c>
      <c r="H6" s="101" t="s">
        <v>111</v>
      </c>
      <c r="I6" s="101" t="s">
        <v>112</v>
      </c>
      <c r="J6" s="119"/>
      <c r="K6" s="101" t="s">
        <v>112</v>
      </c>
      <c r="L6" s="101" t="s">
        <v>112</v>
      </c>
      <c r="M6" s="101" t="s">
        <v>111</v>
      </c>
      <c r="N6" s="101" t="s">
        <v>112</v>
      </c>
      <c r="O6" s="101" t="s">
        <v>111</v>
      </c>
      <c r="P6" s="101" t="s">
        <v>112</v>
      </c>
      <c r="Q6" s="119"/>
      <c r="R6" s="101" t="s">
        <v>112</v>
      </c>
      <c r="S6" s="101" t="s">
        <v>112</v>
      </c>
      <c r="T6" s="101" t="s">
        <v>112</v>
      </c>
      <c r="U6" s="101"/>
      <c r="V6" s="101"/>
      <c r="W6" s="101"/>
      <c r="X6" s="119"/>
      <c r="Y6" s="101"/>
      <c r="Z6" s="101"/>
      <c r="AA6" s="101"/>
      <c r="AB6" s="101"/>
      <c r="AC6" s="101"/>
      <c r="AD6" s="101"/>
      <c r="AE6" s="119"/>
      <c r="AF6" s="101"/>
      <c r="AG6" s="101"/>
      <c r="AH6" s="101"/>
      <c r="AI6" s="101"/>
      <c r="AJ6" s="101"/>
      <c r="AK6" s="5">
        <f t="shared" si="1"/>
        <v>8</v>
      </c>
      <c r="AL6" s="5">
        <f t="shared" si="2"/>
        <v>5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137</v>
      </c>
      <c r="C7" s="7" t="s">
        <v>29</v>
      </c>
      <c r="D7" s="7" t="s">
        <v>30</v>
      </c>
      <c r="E7" s="8" t="s">
        <v>6</v>
      </c>
      <c r="F7" s="101" t="s">
        <v>111</v>
      </c>
      <c r="G7" s="101" t="s">
        <v>112</v>
      </c>
      <c r="H7" s="101" t="s">
        <v>112</v>
      </c>
      <c r="I7" s="101" t="s">
        <v>112</v>
      </c>
      <c r="J7" s="119"/>
      <c r="K7" s="101" t="s">
        <v>112</v>
      </c>
      <c r="L7" s="101" t="s">
        <v>112</v>
      </c>
      <c r="M7" s="101" t="s">
        <v>112</v>
      </c>
      <c r="N7" s="101" t="s">
        <v>112</v>
      </c>
      <c r="O7" s="101" t="s">
        <v>112</v>
      </c>
      <c r="P7" s="101" t="s">
        <v>112</v>
      </c>
      <c r="Q7" s="119"/>
      <c r="R7" s="101" t="s">
        <v>111</v>
      </c>
      <c r="S7" s="101" t="s">
        <v>112</v>
      </c>
      <c r="T7" s="101" t="s">
        <v>112</v>
      </c>
      <c r="U7" s="101"/>
      <c r="V7" s="101"/>
      <c r="W7" s="101"/>
      <c r="X7" s="119"/>
      <c r="Y7" s="101"/>
      <c r="Z7" s="101"/>
      <c r="AA7" s="101"/>
      <c r="AB7" s="101"/>
      <c r="AC7" s="101"/>
      <c r="AD7" s="101"/>
      <c r="AE7" s="119"/>
      <c r="AF7" s="101"/>
      <c r="AG7" s="101"/>
      <c r="AH7" s="101"/>
      <c r="AI7" s="101"/>
      <c r="AJ7" s="101"/>
      <c r="AK7" s="5">
        <f t="shared" si="1"/>
        <v>11</v>
      </c>
      <c r="AL7" s="5">
        <f t="shared" si="2"/>
        <v>2</v>
      </c>
      <c r="AM7" s="5" t="s">
        <v>828</v>
      </c>
      <c r="AN7" s="9">
        <v>1</v>
      </c>
      <c r="AO7" s="3"/>
      <c r="AP7" s="3"/>
    </row>
    <row r="8" spans="1:42" ht="16.5" x14ac:dyDescent="0.25">
      <c r="A8" s="9">
        <v>4</v>
      </c>
      <c r="B8" s="11"/>
      <c r="C8" s="7" t="s">
        <v>33</v>
      </c>
      <c r="D8" s="7" t="s">
        <v>34</v>
      </c>
      <c r="E8" s="8" t="s">
        <v>6</v>
      </c>
      <c r="F8" s="101" t="s">
        <v>111</v>
      </c>
      <c r="G8" s="101" t="s">
        <v>111</v>
      </c>
      <c r="H8" s="101" t="s">
        <v>111</v>
      </c>
      <c r="I8" s="101" t="s">
        <v>111</v>
      </c>
      <c r="J8" s="119"/>
      <c r="K8" s="101" t="s">
        <v>112</v>
      </c>
      <c r="L8" s="101" t="s">
        <v>112</v>
      </c>
      <c r="M8" s="101" t="s">
        <v>112</v>
      </c>
      <c r="N8" s="101" t="s">
        <v>112</v>
      </c>
      <c r="O8" s="101" t="s">
        <v>112</v>
      </c>
      <c r="P8" s="101" t="s">
        <v>112</v>
      </c>
      <c r="Q8" s="119"/>
      <c r="R8" s="101" t="s">
        <v>112</v>
      </c>
      <c r="S8" s="101" t="s">
        <v>111</v>
      </c>
      <c r="T8" s="101" t="s">
        <v>112</v>
      </c>
      <c r="U8" s="101"/>
      <c r="V8" s="101"/>
      <c r="W8" s="101"/>
      <c r="X8" s="119"/>
      <c r="Y8" s="101"/>
      <c r="Z8" s="101"/>
      <c r="AA8" s="101"/>
      <c r="AB8" s="101"/>
      <c r="AC8" s="101"/>
      <c r="AD8" s="101"/>
      <c r="AE8" s="119"/>
      <c r="AF8" s="101"/>
      <c r="AG8" s="101"/>
      <c r="AH8" s="101"/>
      <c r="AI8" s="101"/>
      <c r="AJ8" s="101"/>
      <c r="AK8" s="5">
        <f t="shared" si="1"/>
        <v>8</v>
      </c>
      <c r="AL8" s="5">
        <f t="shared" si="2"/>
        <v>5</v>
      </c>
      <c r="AM8" s="5"/>
      <c r="AN8" s="9"/>
      <c r="AO8"/>
      <c r="AP8"/>
    </row>
    <row r="9" spans="1:42" ht="16.5" x14ac:dyDescent="0.25">
      <c r="A9" s="9">
        <v>5</v>
      </c>
      <c r="B9" s="102">
        <v>143</v>
      </c>
      <c r="C9" s="7" t="s">
        <v>37</v>
      </c>
      <c r="D9" s="7" t="s">
        <v>38</v>
      </c>
      <c r="E9" s="8" t="s">
        <v>6</v>
      </c>
      <c r="F9" s="101" t="s">
        <v>111</v>
      </c>
      <c r="G9" s="101" t="s">
        <v>111</v>
      </c>
      <c r="H9" s="101" t="s">
        <v>111</v>
      </c>
      <c r="I9" s="101" t="s">
        <v>111</v>
      </c>
      <c r="J9" s="119"/>
      <c r="K9" s="101" t="s">
        <v>111</v>
      </c>
      <c r="L9" s="101" t="s">
        <v>111</v>
      </c>
      <c r="M9" s="101" t="s">
        <v>111</v>
      </c>
      <c r="N9" s="101" t="s">
        <v>111</v>
      </c>
      <c r="O9" s="101" t="s">
        <v>112</v>
      </c>
      <c r="P9" s="101" t="s">
        <v>112</v>
      </c>
      <c r="Q9" s="119"/>
      <c r="R9" s="101" t="s">
        <v>112</v>
      </c>
      <c r="S9" s="101" t="s">
        <v>112</v>
      </c>
      <c r="T9" s="101" t="s">
        <v>112</v>
      </c>
      <c r="U9" s="101"/>
      <c r="V9" s="101"/>
      <c r="W9" s="101"/>
      <c r="X9" s="119"/>
      <c r="Y9" s="101"/>
      <c r="Z9" s="101"/>
      <c r="AA9" s="101"/>
      <c r="AB9" s="101"/>
      <c r="AC9" s="101"/>
      <c r="AD9" s="101"/>
      <c r="AE9" s="119"/>
      <c r="AF9" s="101"/>
      <c r="AG9" s="101"/>
      <c r="AH9" s="101"/>
      <c r="AI9" s="101"/>
      <c r="AJ9" s="101"/>
      <c r="AK9" s="5">
        <f t="shared" si="1"/>
        <v>5</v>
      </c>
      <c r="AL9" s="5">
        <f t="shared" si="2"/>
        <v>8</v>
      </c>
      <c r="AM9" s="5"/>
      <c r="AN9" s="9"/>
    </row>
    <row r="10" spans="1:42" ht="16.5" x14ac:dyDescent="0.25">
      <c r="A10" s="9">
        <v>6</v>
      </c>
      <c r="B10" s="102">
        <v>146</v>
      </c>
      <c r="C10" s="7" t="s">
        <v>43</v>
      </c>
      <c r="D10" s="7" t="s">
        <v>44</v>
      </c>
      <c r="E10" s="8" t="s">
        <v>6</v>
      </c>
      <c r="F10" s="101" t="s">
        <v>111</v>
      </c>
      <c r="G10" s="101" t="s">
        <v>112</v>
      </c>
      <c r="H10" s="101" t="s">
        <v>112</v>
      </c>
      <c r="I10" s="101" t="s">
        <v>112</v>
      </c>
      <c r="J10" s="119"/>
      <c r="K10" s="101" t="s">
        <v>112</v>
      </c>
      <c r="L10" s="101" t="s">
        <v>112</v>
      </c>
      <c r="M10" s="101" t="s">
        <v>112</v>
      </c>
      <c r="N10" s="101" t="s">
        <v>112</v>
      </c>
      <c r="O10" s="101" t="s">
        <v>112</v>
      </c>
      <c r="P10" s="101" t="s">
        <v>112</v>
      </c>
      <c r="Q10" s="119"/>
      <c r="R10" s="101" t="s">
        <v>111</v>
      </c>
      <c r="S10" s="101" t="s">
        <v>112</v>
      </c>
      <c r="T10" s="101" t="s">
        <v>112</v>
      </c>
      <c r="U10" s="101"/>
      <c r="V10" s="101"/>
      <c r="W10" s="101"/>
      <c r="X10" s="119"/>
      <c r="Y10" s="101"/>
      <c r="Z10" s="101"/>
      <c r="AA10" s="101"/>
      <c r="AB10" s="101"/>
      <c r="AC10" s="101"/>
      <c r="AD10" s="101"/>
      <c r="AE10" s="119"/>
      <c r="AF10" s="101"/>
      <c r="AG10" s="101"/>
      <c r="AH10" s="101"/>
      <c r="AI10" s="101"/>
      <c r="AJ10" s="101"/>
      <c r="AK10" s="5">
        <f t="shared" si="1"/>
        <v>11</v>
      </c>
      <c r="AL10" s="5">
        <f t="shared" si="2"/>
        <v>2</v>
      </c>
    </row>
    <row r="11" spans="1:42" ht="16.5" x14ac:dyDescent="0.25">
      <c r="A11" s="9">
        <v>7</v>
      </c>
      <c r="B11" s="102">
        <v>148</v>
      </c>
      <c r="C11" s="7" t="s">
        <v>45</v>
      </c>
      <c r="D11" s="7" t="s">
        <v>46</v>
      </c>
      <c r="E11" s="8" t="s">
        <v>6</v>
      </c>
      <c r="F11" s="101" t="s">
        <v>111</v>
      </c>
      <c r="G11" s="101" t="s">
        <v>112</v>
      </c>
      <c r="H11" s="101" t="s">
        <v>112</v>
      </c>
      <c r="I11" s="101" t="s">
        <v>112</v>
      </c>
      <c r="J11" s="119"/>
      <c r="K11" s="101" t="s">
        <v>111</v>
      </c>
      <c r="L11" s="101" t="s">
        <v>111</v>
      </c>
      <c r="M11" s="101" t="s">
        <v>111</v>
      </c>
      <c r="N11" s="101" t="s">
        <v>111</v>
      </c>
      <c r="O11" s="101" t="s">
        <v>111</v>
      </c>
      <c r="P11" s="101" t="s">
        <v>111</v>
      </c>
      <c r="Q11" s="119"/>
      <c r="R11" s="101" t="s">
        <v>112</v>
      </c>
      <c r="S11" s="101" t="s">
        <v>112</v>
      </c>
      <c r="T11" s="101" t="s">
        <v>112</v>
      </c>
      <c r="U11" s="101"/>
      <c r="V11" s="101"/>
      <c r="W11" s="101"/>
      <c r="X11" s="119"/>
      <c r="Y11" s="101"/>
      <c r="Z11" s="101"/>
      <c r="AA11" s="101"/>
      <c r="AB11" s="101"/>
      <c r="AC11" s="101"/>
      <c r="AD11" s="101"/>
      <c r="AE11" s="119"/>
      <c r="AF11" s="101"/>
      <c r="AG11" s="101"/>
      <c r="AH11" s="101"/>
      <c r="AI11" s="101"/>
      <c r="AJ11" s="101"/>
      <c r="AK11" s="5">
        <f t="shared" si="1"/>
        <v>6</v>
      </c>
      <c r="AL11" s="5">
        <f t="shared" si="2"/>
        <v>7</v>
      </c>
      <c r="AM11" s="110" t="s">
        <v>9</v>
      </c>
      <c r="AN11" s="111"/>
      <c r="AO11" s="111"/>
      <c r="AP11" s="112"/>
    </row>
    <row r="12" spans="1:42" ht="16.5" x14ac:dyDescent="0.25">
      <c r="A12" s="9">
        <v>8</v>
      </c>
      <c r="B12" s="102">
        <v>150</v>
      </c>
      <c r="C12" s="7" t="s">
        <v>47</v>
      </c>
      <c r="D12" s="7" t="s">
        <v>48</v>
      </c>
      <c r="E12" s="8" t="s">
        <v>6</v>
      </c>
      <c r="F12" s="101" t="s">
        <v>111</v>
      </c>
      <c r="G12" s="101" t="s">
        <v>112</v>
      </c>
      <c r="H12" s="101" t="s">
        <v>111</v>
      </c>
      <c r="I12" s="101" t="s">
        <v>111</v>
      </c>
      <c r="J12" s="119"/>
      <c r="K12" s="101" t="s">
        <v>111</v>
      </c>
      <c r="L12" s="101" t="s">
        <v>112</v>
      </c>
      <c r="M12" s="101" t="s">
        <v>112</v>
      </c>
      <c r="N12" s="101" t="s">
        <v>112</v>
      </c>
      <c r="O12" s="101" t="s">
        <v>112</v>
      </c>
      <c r="P12" s="101" t="s">
        <v>112</v>
      </c>
      <c r="Q12" s="119"/>
      <c r="R12" s="101" t="s">
        <v>112</v>
      </c>
      <c r="S12" s="101" t="s">
        <v>112</v>
      </c>
      <c r="T12" s="101" t="s">
        <v>112</v>
      </c>
      <c r="U12" s="101"/>
      <c r="V12" s="101"/>
      <c r="W12" s="101"/>
      <c r="X12" s="119"/>
      <c r="Y12" s="101"/>
      <c r="Z12" s="101"/>
      <c r="AA12" s="101"/>
      <c r="AB12" s="101"/>
      <c r="AC12" s="101"/>
      <c r="AD12" s="101"/>
      <c r="AE12" s="119"/>
      <c r="AF12" s="101"/>
      <c r="AG12" s="101"/>
      <c r="AH12" s="101"/>
      <c r="AI12" s="101"/>
      <c r="AJ12" s="101"/>
      <c r="AK12" s="5">
        <f t="shared" si="1"/>
        <v>9</v>
      </c>
      <c r="AL12" s="5">
        <f t="shared" si="2"/>
        <v>4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02">
        <v>151</v>
      </c>
      <c r="C13" s="7" t="s">
        <v>49</v>
      </c>
      <c r="D13" s="7" t="s">
        <v>50</v>
      </c>
      <c r="E13" s="8" t="s">
        <v>6</v>
      </c>
      <c r="F13" s="101" t="s">
        <v>111</v>
      </c>
      <c r="G13" s="101" t="s">
        <v>112</v>
      </c>
      <c r="H13" s="101" t="s">
        <v>112</v>
      </c>
      <c r="I13" s="101" t="s">
        <v>112</v>
      </c>
      <c r="J13" s="119"/>
      <c r="K13" s="101" t="s">
        <v>112</v>
      </c>
      <c r="L13" s="101" t="s">
        <v>112</v>
      </c>
      <c r="M13" s="101" t="s">
        <v>112</v>
      </c>
      <c r="N13" s="101" t="s">
        <v>112</v>
      </c>
      <c r="O13" s="101" t="s">
        <v>112</v>
      </c>
      <c r="P13" s="101" t="s">
        <v>112</v>
      </c>
      <c r="Q13" s="119"/>
      <c r="R13" s="101" t="s">
        <v>112</v>
      </c>
      <c r="S13" s="101" t="s">
        <v>112</v>
      </c>
      <c r="T13" s="101" t="s">
        <v>112</v>
      </c>
      <c r="U13" s="101"/>
      <c r="V13" s="101"/>
      <c r="W13" s="101"/>
      <c r="X13" s="119"/>
      <c r="Y13" s="101"/>
      <c r="Z13" s="101"/>
      <c r="AA13" s="101"/>
      <c r="AB13" s="101"/>
      <c r="AC13" s="101"/>
      <c r="AD13" s="101"/>
      <c r="AE13" s="119"/>
      <c r="AF13" s="101"/>
      <c r="AG13" s="101"/>
      <c r="AH13" s="101"/>
      <c r="AI13" s="101"/>
      <c r="AJ13" s="101"/>
      <c r="AK13" s="5">
        <f t="shared" si="1"/>
        <v>12</v>
      </c>
      <c r="AL13" s="5">
        <f t="shared" si="2"/>
        <v>1</v>
      </c>
      <c r="AM13" s="5" t="s">
        <v>14</v>
      </c>
      <c r="AN13" s="9">
        <f>29*$AN$5</f>
        <v>754</v>
      </c>
      <c r="AO13" s="9">
        <f>25*$AN$5</f>
        <v>650</v>
      </c>
      <c r="AP13" s="9">
        <f>SUM(AN13:AO13)</f>
        <v>1404</v>
      </c>
    </row>
    <row r="14" spans="1:42" ht="16.5" x14ac:dyDescent="0.25">
      <c r="A14" s="9">
        <v>10</v>
      </c>
      <c r="B14" s="11">
        <v>160</v>
      </c>
      <c r="C14" s="7" t="s">
        <v>65</v>
      </c>
      <c r="D14" s="7" t="s">
        <v>66</v>
      </c>
      <c r="E14" s="8" t="s">
        <v>6</v>
      </c>
      <c r="F14" s="101" t="s">
        <v>111</v>
      </c>
      <c r="G14" s="101" t="s">
        <v>111</v>
      </c>
      <c r="H14" s="101" t="s">
        <v>111</v>
      </c>
      <c r="I14" s="101" t="s">
        <v>111</v>
      </c>
      <c r="J14" s="119"/>
      <c r="K14" s="101" t="s">
        <v>111</v>
      </c>
      <c r="L14" s="101" t="s">
        <v>112</v>
      </c>
      <c r="M14" s="101" t="s">
        <v>112</v>
      </c>
      <c r="N14" s="101" t="s">
        <v>112</v>
      </c>
      <c r="O14" s="101" t="s">
        <v>112</v>
      </c>
      <c r="P14" s="101" t="s">
        <v>112</v>
      </c>
      <c r="Q14" s="119"/>
      <c r="R14" s="101" t="s">
        <v>112</v>
      </c>
      <c r="S14" s="101" t="s">
        <v>112</v>
      </c>
      <c r="T14" s="101" t="s">
        <v>111</v>
      </c>
      <c r="U14" s="101"/>
      <c r="V14" s="101"/>
      <c r="W14" s="101"/>
      <c r="X14" s="119"/>
      <c r="Y14" s="101"/>
      <c r="Z14" s="101"/>
      <c r="AA14" s="101"/>
      <c r="AB14" s="101"/>
      <c r="AC14" s="101"/>
      <c r="AD14" s="101"/>
      <c r="AE14" s="119"/>
      <c r="AF14" s="101"/>
      <c r="AG14" s="101"/>
      <c r="AH14" s="101"/>
      <c r="AI14" s="101"/>
      <c r="AJ14" s="101"/>
      <c r="AK14" s="5">
        <f t="shared" si="1"/>
        <v>7</v>
      </c>
      <c r="AL14" s="5">
        <f t="shared" si="2"/>
        <v>6</v>
      </c>
      <c r="AM14" s="5" t="s">
        <v>15</v>
      </c>
      <c r="AN14" s="9">
        <f>SUM(AK30:AK58)</f>
        <v>228</v>
      </c>
      <c r="AO14" s="9">
        <f>SUM(AK5:AK29)</f>
        <v>202</v>
      </c>
      <c r="AP14" s="9">
        <f>AN14+AO14</f>
        <v>430</v>
      </c>
    </row>
    <row r="15" spans="1:42" ht="16.5" x14ac:dyDescent="0.25">
      <c r="A15" s="9">
        <v>11</v>
      </c>
      <c r="B15" s="11">
        <v>161</v>
      </c>
      <c r="C15" s="7" t="s">
        <v>67</v>
      </c>
      <c r="D15" s="7" t="s">
        <v>68</v>
      </c>
      <c r="E15" s="8" t="s">
        <v>6</v>
      </c>
      <c r="F15" s="101" t="s">
        <v>112</v>
      </c>
      <c r="G15" s="101" t="s">
        <v>112</v>
      </c>
      <c r="H15" s="101" t="s">
        <v>111</v>
      </c>
      <c r="I15" s="101" t="s">
        <v>112</v>
      </c>
      <c r="J15" s="119"/>
      <c r="K15" s="101" t="s">
        <v>112</v>
      </c>
      <c r="L15" s="101" t="s">
        <v>111</v>
      </c>
      <c r="M15" s="101" t="s">
        <v>112</v>
      </c>
      <c r="N15" s="101" t="s">
        <v>112</v>
      </c>
      <c r="O15" s="101" t="s">
        <v>112</v>
      </c>
      <c r="P15" s="101" t="s">
        <v>111</v>
      </c>
      <c r="Q15" s="119"/>
      <c r="R15" s="101" t="s">
        <v>112</v>
      </c>
      <c r="S15" s="101" t="s">
        <v>112</v>
      </c>
      <c r="T15" s="101" t="s">
        <v>112</v>
      </c>
      <c r="U15" s="101"/>
      <c r="V15" s="101"/>
      <c r="W15" s="101"/>
      <c r="X15" s="119"/>
      <c r="Y15" s="101"/>
      <c r="Z15" s="101"/>
      <c r="AA15" s="101"/>
      <c r="AB15" s="101"/>
      <c r="AC15" s="101"/>
      <c r="AD15" s="101"/>
      <c r="AE15" s="119"/>
      <c r="AF15" s="101"/>
      <c r="AG15" s="101"/>
      <c r="AH15" s="101"/>
      <c r="AI15" s="101"/>
      <c r="AJ15" s="101"/>
      <c r="AK15" s="5">
        <f t="shared" si="1"/>
        <v>10</v>
      </c>
      <c r="AL15" s="5">
        <f t="shared" si="2"/>
        <v>3</v>
      </c>
      <c r="AM15" s="5" t="s">
        <v>16</v>
      </c>
      <c r="AN15" s="12">
        <f>AN14/AN13</f>
        <v>0.30238726790450926</v>
      </c>
      <c r="AO15" s="12">
        <f>AO14/AO13</f>
        <v>0.31076923076923074</v>
      </c>
      <c r="AP15" s="12">
        <f>AP14/AP13</f>
        <v>0.30626780626780625</v>
      </c>
    </row>
    <row r="16" spans="1:42" ht="16.5" x14ac:dyDescent="0.25">
      <c r="A16" s="9">
        <v>12</v>
      </c>
      <c r="B16" s="11">
        <v>162</v>
      </c>
      <c r="C16" s="7" t="s">
        <v>69</v>
      </c>
      <c r="D16" s="7" t="s">
        <v>70</v>
      </c>
      <c r="E16" s="8" t="s">
        <v>6</v>
      </c>
      <c r="F16" s="101" t="s">
        <v>111</v>
      </c>
      <c r="G16" s="101" t="s">
        <v>111</v>
      </c>
      <c r="H16" s="101" t="s">
        <v>111</v>
      </c>
      <c r="I16" s="101" t="s">
        <v>111</v>
      </c>
      <c r="J16" s="119"/>
      <c r="K16" s="101" t="s">
        <v>112</v>
      </c>
      <c r="L16" s="101" t="s">
        <v>111</v>
      </c>
      <c r="M16" s="101" t="s">
        <v>111</v>
      </c>
      <c r="N16" s="101" t="s">
        <v>112</v>
      </c>
      <c r="O16" s="101" t="s">
        <v>112</v>
      </c>
      <c r="P16" s="101" t="s">
        <v>111</v>
      </c>
      <c r="Q16" s="119"/>
      <c r="R16" s="101" t="s">
        <v>112</v>
      </c>
      <c r="S16" s="101" t="s">
        <v>112</v>
      </c>
      <c r="T16" s="101" t="s">
        <v>112</v>
      </c>
      <c r="U16" s="101"/>
      <c r="V16" s="101"/>
      <c r="W16" s="101"/>
      <c r="X16" s="119"/>
      <c r="Y16" s="101"/>
      <c r="Z16" s="101"/>
      <c r="AA16" s="101"/>
      <c r="AB16" s="101"/>
      <c r="AC16" s="101"/>
      <c r="AD16" s="101"/>
      <c r="AE16" s="119"/>
      <c r="AF16" s="101"/>
      <c r="AG16" s="101"/>
      <c r="AH16" s="101"/>
      <c r="AI16" s="101"/>
      <c r="AJ16" s="101"/>
      <c r="AK16" s="5">
        <f t="shared" si="1"/>
        <v>6</v>
      </c>
      <c r="AL16" s="5">
        <f t="shared" si="2"/>
        <v>7</v>
      </c>
      <c r="AM16"/>
      <c r="AN16"/>
      <c r="AO16"/>
      <c r="AP16"/>
    </row>
    <row r="17" spans="1:42" ht="16.5" x14ac:dyDescent="0.25">
      <c r="A17" s="9">
        <v>13</v>
      </c>
      <c r="B17" s="11">
        <v>163</v>
      </c>
      <c r="C17" s="7" t="s">
        <v>71</v>
      </c>
      <c r="D17" s="7" t="s">
        <v>72</v>
      </c>
      <c r="E17" s="8" t="s">
        <v>6</v>
      </c>
      <c r="F17" s="101" t="s">
        <v>111</v>
      </c>
      <c r="G17" s="101" t="s">
        <v>111</v>
      </c>
      <c r="H17" s="101" t="s">
        <v>112</v>
      </c>
      <c r="I17" s="101" t="s">
        <v>112</v>
      </c>
      <c r="J17" s="119"/>
      <c r="K17" s="101" t="s">
        <v>112</v>
      </c>
      <c r="L17" s="101" t="s">
        <v>111</v>
      </c>
      <c r="M17" s="101" t="s">
        <v>112</v>
      </c>
      <c r="N17" s="101" t="s">
        <v>112</v>
      </c>
      <c r="O17" s="101" t="s">
        <v>112</v>
      </c>
      <c r="P17" s="101" t="s">
        <v>112</v>
      </c>
      <c r="Q17" s="119"/>
      <c r="R17" s="101" t="s">
        <v>112</v>
      </c>
      <c r="S17" s="101" t="s">
        <v>112</v>
      </c>
      <c r="T17" s="101" t="s">
        <v>112</v>
      </c>
      <c r="U17" s="101"/>
      <c r="V17" s="101"/>
      <c r="W17" s="101"/>
      <c r="X17" s="119"/>
      <c r="Y17" s="101"/>
      <c r="Z17" s="101"/>
      <c r="AA17" s="101"/>
      <c r="AB17" s="101"/>
      <c r="AC17" s="101"/>
      <c r="AD17" s="101"/>
      <c r="AE17" s="119"/>
      <c r="AF17" s="101"/>
      <c r="AG17" s="101"/>
      <c r="AH17" s="101"/>
      <c r="AI17" s="101"/>
      <c r="AJ17" s="101"/>
      <c r="AK17" s="5">
        <f t="shared" si="1"/>
        <v>10</v>
      </c>
      <c r="AL17" s="5">
        <f t="shared" si="2"/>
        <v>3</v>
      </c>
      <c r="AM17"/>
      <c r="AN17"/>
      <c r="AO17"/>
      <c r="AP17"/>
    </row>
    <row r="18" spans="1:42" ht="16.5" x14ac:dyDescent="0.25">
      <c r="A18" s="9">
        <v>14</v>
      </c>
      <c r="B18" s="11">
        <v>166</v>
      </c>
      <c r="C18" s="7" t="s">
        <v>75</v>
      </c>
      <c r="D18" s="7" t="s">
        <v>76</v>
      </c>
      <c r="E18" s="8" t="s">
        <v>6</v>
      </c>
      <c r="F18" s="101" t="s">
        <v>111</v>
      </c>
      <c r="G18" s="101" t="s">
        <v>111</v>
      </c>
      <c r="H18" s="101" t="s">
        <v>111</v>
      </c>
      <c r="I18" s="101" t="s">
        <v>111</v>
      </c>
      <c r="J18" s="119"/>
      <c r="K18" s="101" t="s">
        <v>111</v>
      </c>
      <c r="L18" s="101" t="s">
        <v>111</v>
      </c>
      <c r="M18" s="101" t="s">
        <v>111</v>
      </c>
      <c r="N18" s="101" t="s">
        <v>111</v>
      </c>
      <c r="O18" s="101" t="s">
        <v>113</v>
      </c>
      <c r="P18" s="101" t="s">
        <v>111</v>
      </c>
      <c r="Q18" s="119"/>
      <c r="R18" s="101" t="s">
        <v>112</v>
      </c>
      <c r="S18" s="101" t="s">
        <v>112</v>
      </c>
      <c r="T18" s="101" t="s">
        <v>112</v>
      </c>
      <c r="U18" s="101"/>
      <c r="V18" s="101"/>
      <c r="W18" s="101"/>
      <c r="X18" s="119"/>
      <c r="Y18" s="101"/>
      <c r="Z18" s="101"/>
      <c r="AA18" s="101"/>
      <c r="AB18" s="101"/>
      <c r="AC18" s="101"/>
      <c r="AD18" s="101"/>
      <c r="AE18" s="119"/>
      <c r="AF18" s="101"/>
      <c r="AG18" s="101"/>
      <c r="AH18" s="101"/>
      <c r="AI18" s="101"/>
      <c r="AJ18" s="101"/>
      <c r="AK18" s="5">
        <f t="shared" si="1"/>
        <v>3</v>
      </c>
      <c r="AL18" s="5">
        <f t="shared" si="2"/>
        <v>9</v>
      </c>
      <c r="AM18"/>
      <c r="AN18"/>
      <c r="AO18"/>
      <c r="AP18"/>
    </row>
    <row r="19" spans="1:42" ht="16.5" x14ac:dyDescent="0.25">
      <c r="A19" s="9">
        <v>15</v>
      </c>
      <c r="B19" s="11">
        <v>168</v>
      </c>
      <c r="C19" s="7" t="s">
        <v>77</v>
      </c>
      <c r="D19" s="7" t="s">
        <v>78</v>
      </c>
      <c r="E19" s="8" t="s">
        <v>6</v>
      </c>
      <c r="F19" s="101" t="s">
        <v>111</v>
      </c>
      <c r="G19" s="101" t="s">
        <v>111</v>
      </c>
      <c r="H19" s="101" t="s">
        <v>111</v>
      </c>
      <c r="I19" s="101" t="s">
        <v>111</v>
      </c>
      <c r="J19" s="119"/>
      <c r="K19" s="101" t="s">
        <v>112</v>
      </c>
      <c r="L19" s="101" t="s">
        <v>112</v>
      </c>
      <c r="M19" s="101" t="s">
        <v>112</v>
      </c>
      <c r="N19" s="101" t="s">
        <v>112</v>
      </c>
      <c r="O19" s="101" t="s">
        <v>112</v>
      </c>
      <c r="P19" s="101" t="s">
        <v>112</v>
      </c>
      <c r="Q19" s="119"/>
      <c r="R19" s="101" t="s">
        <v>113</v>
      </c>
      <c r="S19" s="101" t="s">
        <v>112</v>
      </c>
      <c r="T19" s="101" t="s">
        <v>112</v>
      </c>
      <c r="U19" s="101"/>
      <c r="V19" s="101"/>
      <c r="W19" s="101"/>
      <c r="X19" s="119"/>
      <c r="Y19" s="101"/>
      <c r="Z19" s="101"/>
      <c r="AA19" s="101"/>
      <c r="AB19" s="101"/>
      <c r="AC19" s="101"/>
      <c r="AD19" s="101"/>
      <c r="AE19" s="119"/>
      <c r="AF19" s="101"/>
      <c r="AG19" s="101"/>
      <c r="AH19" s="101"/>
      <c r="AI19" s="101"/>
      <c r="AJ19" s="101"/>
      <c r="AK19" s="5">
        <f t="shared" si="1"/>
        <v>8</v>
      </c>
      <c r="AL19" s="5">
        <f t="shared" si="2"/>
        <v>4</v>
      </c>
      <c r="AM19" s="110" t="s">
        <v>128</v>
      </c>
      <c r="AN19" s="111"/>
      <c r="AO19" s="111"/>
      <c r="AP19" s="112"/>
    </row>
    <row r="20" spans="1:42" ht="16.5" x14ac:dyDescent="0.25">
      <c r="A20" s="9">
        <v>16</v>
      </c>
      <c r="B20" s="11">
        <v>170</v>
      </c>
      <c r="C20" s="7" t="s">
        <v>81</v>
      </c>
      <c r="D20" s="7" t="s">
        <v>82</v>
      </c>
      <c r="E20" s="8" t="s">
        <v>6</v>
      </c>
      <c r="F20" s="101" t="s">
        <v>112</v>
      </c>
      <c r="G20" s="101" t="s">
        <v>111</v>
      </c>
      <c r="H20" s="101" t="s">
        <v>112</v>
      </c>
      <c r="I20" s="101" t="s">
        <v>112</v>
      </c>
      <c r="J20" s="119"/>
      <c r="K20" s="101" t="s">
        <v>112</v>
      </c>
      <c r="L20" s="101" t="s">
        <v>112</v>
      </c>
      <c r="M20" s="101" t="s">
        <v>112</v>
      </c>
      <c r="N20" s="101" t="s">
        <v>112</v>
      </c>
      <c r="O20" s="101" t="s">
        <v>112</v>
      </c>
      <c r="P20" s="101" t="s">
        <v>112</v>
      </c>
      <c r="Q20" s="119"/>
      <c r="R20" s="101" t="s">
        <v>112</v>
      </c>
      <c r="S20" s="101" t="s">
        <v>112</v>
      </c>
      <c r="T20" s="101" t="s">
        <v>112</v>
      </c>
      <c r="U20" s="101"/>
      <c r="V20" s="101"/>
      <c r="W20" s="101"/>
      <c r="X20" s="119"/>
      <c r="Y20" s="101"/>
      <c r="Z20" s="101"/>
      <c r="AA20" s="101"/>
      <c r="AB20" s="101"/>
      <c r="AC20" s="101"/>
      <c r="AD20" s="101"/>
      <c r="AE20" s="119"/>
      <c r="AF20" s="101"/>
      <c r="AG20" s="101"/>
      <c r="AH20" s="101"/>
      <c r="AI20" s="101"/>
      <c r="AJ20" s="101"/>
      <c r="AK20" s="5">
        <f t="shared" si="1"/>
        <v>12</v>
      </c>
      <c r="AL20" s="5">
        <f t="shared" si="2"/>
        <v>1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1">
        <v>171</v>
      </c>
      <c r="C21" s="7" t="s">
        <v>83</v>
      </c>
      <c r="D21" s="7" t="s">
        <v>84</v>
      </c>
      <c r="E21" s="8" t="s">
        <v>6</v>
      </c>
      <c r="F21" s="101" t="s">
        <v>111</v>
      </c>
      <c r="G21" s="101" t="s">
        <v>111</v>
      </c>
      <c r="H21" s="101" t="s">
        <v>111</v>
      </c>
      <c r="I21" s="101" t="s">
        <v>111</v>
      </c>
      <c r="J21" s="119"/>
      <c r="K21" s="101" t="s">
        <v>111</v>
      </c>
      <c r="L21" s="101" t="s">
        <v>111</v>
      </c>
      <c r="M21" s="101" t="s">
        <v>111</v>
      </c>
      <c r="N21" s="101" t="s">
        <v>111</v>
      </c>
      <c r="O21" s="101" t="s">
        <v>111</v>
      </c>
      <c r="P21" s="101" t="s">
        <v>112</v>
      </c>
      <c r="Q21" s="119"/>
      <c r="R21" s="101" t="s">
        <v>112</v>
      </c>
      <c r="S21" s="101" t="s">
        <v>112</v>
      </c>
      <c r="T21" s="101" t="s">
        <v>112</v>
      </c>
      <c r="U21" s="101"/>
      <c r="V21" s="101"/>
      <c r="W21" s="101"/>
      <c r="X21" s="119"/>
      <c r="Y21" s="101"/>
      <c r="Z21" s="101"/>
      <c r="AA21" s="101"/>
      <c r="AB21" s="101"/>
      <c r="AC21" s="101"/>
      <c r="AD21" s="101"/>
      <c r="AE21" s="119"/>
      <c r="AF21" s="101"/>
      <c r="AG21" s="101"/>
      <c r="AH21" s="101"/>
      <c r="AI21" s="101"/>
      <c r="AJ21" s="101"/>
      <c r="AK21" s="5">
        <f t="shared" si="1"/>
        <v>4</v>
      </c>
      <c r="AL21" s="5">
        <f t="shared" si="2"/>
        <v>9</v>
      </c>
      <c r="AM21" s="5" t="s">
        <v>14</v>
      </c>
      <c r="AN21" s="9">
        <f>29*$AN$5</f>
        <v>754</v>
      </c>
      <c r="AO21" s="9">
        <f>25*$AN$5</f>
        <v>650</v>
      </c>
      <c r="AP21" s="9">
        <f>AN21+AO21</f>
        <v>1404</v>
      </c>
    </row>
    <row r="22" spans="1:42" ht="16.5" x14ac:dyDescent="0.25">
      <c r="A22" s="9">
        <v>18</v>
      </c>
      <c r="B22" s="11">
        <v>172</v>
      </c>
      <c r="C22" s="7" t="s">
        <v>85</v>
      </c>
      <c r="D22" s="7" t="s">
        <v>86</v>
      </c>
      <c r="E22" s="8" t="s">
        <v>6</v>
      </c>
      <c r="F22" s="101" t="s">
        <v>111</v>
      </c>
      <c r="G22" s="101" t="s">
        <v>111</v>
      </c>
      <c r="H22" s="101" t="s">
        <v>111</v>
      </c>
      <c r="I22" s="101" t="s">
        <v>111</v>
      </c>
      <c r="J22" s="119"/>
      <c r="K22" s="101" t="s">
        <v>112</v>
      </c>
      <c r="L22" s="101" t="s">
        <v>112</v>
      </c>
      <c r="M22" s="101" t="s">
        <v>112</v>
      </c>
      <c r="N22" s="101" t="s">
        <v>111</v>
      </c>
      <c r="O22" s="101" t="s">
        <v>112</v>
      </c>
      <c r="P22" s="101" t="s">
        <v>111</v>
      </c>
      <c r="Q22" s="119"/>
      <c r="R22" s="101" t="s">
        <v>112</v>
      </c>
      <c r="S22" s="101" t="s">
        <v>112</v>
      </c>
      <c r="T22" s="101" t="s">
        <v>112</v>
      </c>
      <c r="U22" s="101"/>
      <c r="V22" s="101"/>
      <c r="W22" s="101"/>
      <c r="X22" s="119"/>
      <c r="Y22" s="101"/>
      <c r="Z22" s="101"/>
      <c r="AA22" s="101"/>
      <c r="AB22" s="101"/>
      <c r="AC22" s="101"/>
      <c r="AD22" s="101"/>
      <c r="AE22" s="119"/>
      <c r="AF22" s="101"/>
      <c r="AG22" s="101"/>
      <c r="AH22" s="101"/>
      <c r="AI22" s="101"/>
      <c r="AJ22" s="101"/>
      <c r="AK22" s="5">
        <f t="shared" si="1"/>
        <v>7</v>
      </c>
      <c r="AL22" s="5">
        <f t="shared" si="2"/>
        <v>6</v>
      </c>
      <c r="AM22" s="5" t="s">
        <v>17</v>
      </c>
      <c r="AN22" s="9">
        <f>AN21-AN14</f>
        <v>526</v>
      </c>
      <c r="AO22" s="9">
        <f>AO21-AO14</f>
        <v>448</v>
      </c>
      <c r="AP22" s="9">
        <f>AN22+AO22</f>
        <v>974</v>
      </c>
    </row>
    <row r="23" spans="1:42" ht="16.5" x14ac:dyDescent="0.25">
      <c r="A23" s="9">
        <v>19</v>
      </c>
      <c r="B23" s="11">
        <v>180</v>
      </c>
      <c r="C23" s="7" t="s">
        <v>91</v>
      </c>
      <c r="D23" s="7" t="s">
        <v>92</v>
      </c>
      <c r="E23" s="8" t="s">
        <v>6</v>
      </c>
      <c r="F23" s="101" t="s">
        <v>111</v>
      </c>
      <c r="G23" s="101" t="s">
        <v>112</v>
      </c>
      <c r="H23" s="101" t="s">
        <v>111</v>
      </c>
      <c r="I23" s="101" t="s">
        <v>111</v>
      </c>
      <c r="J23" s="119"/>
      <c r="K23" s="101" t="s">
        <v>112</v>
      </c>
      <c r="L23" s="101" t="s">
        <v>112</v>
      </c>
      <c r="M23" s="101" t="s">
        <v>112</v>
      </c>
      <c r="N23" s="101" t="s">
        <v>112</v>
      </c>
      <c r="O23" s="101" t="s">
        <v>112</v>
      </c>
      <c r="P23" s="101" t="s">
        <v>112</v>
      </c>
      <c r="Q23" s="119"/>
      <c r="R23" s="101" t="s">
        <v>111</v>
      </c>
      <c r="S23" s="101" t="s">
        <v>112</v>
      </c>
      <c r="T23" s="101" t="s">
        <v>112</v>
      </c>
      <c r="U23" s="101"/>
      <c r="V23" s="101"/>
      <c r="W23" s="101"/>
      <c r="X23" s="119"/>
      <c r="Y23" s="101"/>
      <c r="Z23" s="101"/>
      <c r="AA23" s="101"/>
      <c r="AB23" s="101"/>
      <c r="AC23" s="101"/>
      <c r="AD23" s="101"/>
      <c r="AE23" s="119"/>
      <c r="AF23" s="101"/>
      <c r="AG23" s="101"/>
      <c r="AH23" s="101"/>
      <c r="AI23" s="101"/>
      <c r="AJ23" s="101"/>
      <c r="AK23" s="5">
        <f t="shared" si="1"/>
        <v>9</v>
      </c>
      <c r="AL23" s="5">
        <f t="shared" si="2"/>
        <v>4</v>
      </c>
      <c r="AM23" s="5" t="s">
        <v>16</v>
      </c>
      <c r="AN23" s="12">
        <f>AN22/AN21</f>
        <v>0.69761273209549068</v>
      </c>
      <c r="AO23" s="12">
        <f>AO22/AO21</f>
        <v>0.6892307692307692</v>
      </c>
      <c r="AP23" s="12">
        <f>AP22/AP21</f>
        <v>0.69373219373219375</v>
      </c>
    </row>
    <row r="24" spans="1:42" ht="16.5" x14ac:dyDescent="0.25">
      <c r="A24" s="9">
        <v>20</v>
      </c>
      <c r="B24" s="11"/>
      <c r="C24" s="7" t="s">
        <v>99</v>
      </c>
      <c r="D24" s="7" t="s">
        <v>102</v>
      </c>
      <c r="E24" s="8" t="s">
        <v>6</v>
      </c>
      <c r="F24" s="101" t="s">
        <v>111</v>
      </c>
      <c r="G24" s="101" t="s">
        <v>112</v>
      </c>
      <c r="H24" s="101" t="s">
        <v>112</v>
      </c>
      <c r="I24" s="101" t="s">
        <v>111</v>
      </c>
      <c r="J24" s="119"/>
      <c r="K24" s="101" t="s">
        <v>112</v>
      </c>
      <c r="L24" s="101" t="s">
        <v>112</v>
      </c>
      <c r="M24" s="101" t="s">
        <v>112</v>
      </c>
      <c r="N24" s="101" t="s">
        <v>112</v>
      </c>
      <c r="O24" s="101" t="s">
        <v>112</v>
      </c>
      <c r="P24" s="101" t="s">
        <v>112</v>
      </c>
      <c r="Q24" s="119"/>
      <c r="R24" s="101" t="s">
        <v>112</v>
      </c>
      <c r="S24" s="101" t="s">
        <v>112</v>
      </c>
      <c r="T24" s="101" t="s">
        <v>112</v>
      </c>
      <c r="U24" s="101"/>
      <c r="V24" s="101"/>
      <c r="W24" s="101"/>
      <c r="X24" s="119"/>
      <c r="Y24" s="101"/>
      <c r="Z24" s="101"/>
      <c r="AA24" s="101"/>
      <c r="AB24" s="101"/>
      <c r="AC24" s="101"/>
      <c r="AD24" s="101"/>
      <c r="AE24" s="119"/>
      <c r="AF24" s="101"/>
      <c r="AG24" s="101"/>
      <c r="AH24" s="101"/>
      <c r="AI24" s="101"/>
      <c r="AJ24" s="101"/>
      <c r="AK24" s="5">
        <f t="shared" si="1"/>
        <v>11</v>
      </c>
      <c r="AL24" s="5">
        <f t="shared" si="2"/>
        <v>2</v>
      </c>
    </row>
    <row r="25" spans="1:42" ht="16.5" x14ac:dyDescent="0.25">
      <c r="A25" s="9">
        <v>21</v>
      </c>
      <c r="B25" s="11">
        <v>195</v>
      </c>
      <c r="C25" s="7" t="s">
        <v>105</v>
      </c>
      <c r="D25" s="7" t="s">
        <v>106</v>
      </c>
      <c r="E25" s="8" t="s">
        <v>6</v>
      </c>
      <c r="F25" s="101" t="s">
        <v>111</v>
      </c>
      <c r="G25" s="101" t="s">
        <v>112</v>
      </c>
      <c r="H25" s="101" t="s">
        <v>111</v>
      </c>
      <c r="I25" s="101" t="s">
        <v>111</v>
      </c>
      <c r="J25" s="119"/>
      <c r="K25" s="101" t="s">
        <v>111</v>
      </c>
      <c r="L25" s="101" t="s">
        <v>112</v>
      </c>
      <c r="M25" s="101" t="s">
        <v>112</v>
      </c>
      <c r="N25" s="101" t="s">
        <v>112</v>
      </c>
      <c r="O25" s="101" t="s">
        <v>112</v>
      </c>
      <c r="P25" s="101" t="s">
        <v>112</v>
      </c>
      <c r="Q25" s="119"/>
      <c r="R25" s="101" t="s">
        <v>112</v>
      </c>
      <c r="S25" s="101" t="s">
        <v>112</v>
      </c>
      <c r="T25" s="101" t="s">
        <v>112</v>
      </c>
      <c r="U25" s="101"/>
      <c r="V25" s="101"/>
      <c r="W25" s="101"/>
      <c r="X25" s="119"/>
      <c r="Y25" s="101"/>
      <c r="Z25" s="101"/>
      <c r="AA25" s="101"/>
      <c r="AB25" s="101"/>
      <c r="AC25" s="101"/>
      <c r="AD25" s="101"/>
      <c r="AE25" s="119"/>
      <c r="AF25" s="101"/>
      <c r="AG25" s="101"/>
      <c r="AH25" s="101"/>
      <c r="AI25" s="101"/>
      <c r="AJ25" s="101"/>
      <c r="AK25" s="5">
        <f t="shared" si="1"/>
        <v>9</v>
      </c>
      <c r="AL25" s="5">
        <f t="shared" si="2"/>
        <v>4</v>
      </c>
    </row>
    <row r="26" spans="1:42" ht="16.5" x14ac:dyDescent="0.25">
      <c r="A26" s="9">
        <v>22</v>
      </c>
      <c r="B26" s="11"/>
      <c r="C26" s="7" t="s">
        <v>107</v>
      </c>
      <c r="D26" s="7" t="s">
        <v>108</v>
      </c>
      <c r="E26" s="8" t="s">
        <v>6</v>
      </c>
      <c r="F26" s="101" t="s">
        <v>111</v>
      </c>
      <c r="G26" s="101" t="s">
        <v>112</v>
      </c>
      <c r="H26" s="101" t="s">
        <v>112</v>
      </c>
      <c r="I26" s="101" t="s">
        <v>112</v>
      </c>
      <c r="J26" s="119"/>
      <c r="K26" s="101" t="s">
        <v>111</v>
      </c>
      <c r="L26" s="101" t="s">
        <v>112</v>
      </c>
      <c r="M26" s="101" t="s">
        <v>112</v>
      </c>
      <c r="N26" s="101" t="s">
        <v>112</v>
      </c>
      <c r="O26" s="101" t="s">
        <v>111</v>
      </c>
      <c r="P26" s="101" t="s">
        <v>111</v>
      </c>
      <c r="Q26" s="119"/>
      <c r="R26" s="101" t="s">
        <v>112</v>
      </c>
      <c r="S26" s="101" t="s">
        <v>112</v>
      </c>
      <c r="T26" s="101" t="s">
        <v>112</v>
      </c>
      <c r="U26" s="101"/>
      <c r="V26" s="101"/>
      <c r="W26" s="101"/>
      <c r="X26" s="119"/>
      <c r="Y26" s="101"/>
      <c r="Z26" s="101"/>
      <c r="AA26" s="101"/>
      <c r="AB26" s="101"/>
      <c r="AC26" s="101"/>
      <c r="AD26" s="101"/>
      <c r="AE26" s="119"/>
      <c r="AF26" s="101"/>
      <c r="AG26" s="101"/>
      <c r="AH26" s="101"/>
      <c r="AI26" s="101"/>
      <c r="AJ26" s="101"/>
      <c r="AK26" s="5">
        <f t="shared" si="1"/>
        <v>9</v>
      </c>
      <c r="AL26" s="5">
        <f t="shared" si="2"/>
        <v>4</v>
      </c>
    </row>
    <row r="27" spans="1:42" ht="16.5" x14ac:dyDescent="0.25">
      <c r="A27" s="9">
        <v>23</v>
      </c>
      <c r="B27" s="14"/>
      <c r="C27" s="14" t="s">
        <v>120</v>
      </c>
      <c r="D27" s="14"/>
      <c r="E27" s="8" t="s">
        <v>6</v>
      </c>
      <c r="F27" s="101" t="s">
        <v>111</v>
      </c>
      <c r="G27" s="101" t="s">
        <v>111</v>
      </c>
      <c r="H27" s="101" t="s">
        <v>111</v>
      </c>
      <c r="I27" s="101" t="s">
        <v>111</v>
      </c>
      <c r="J27" s="119"/>
      <c r="K27" s="101" t="s">
        <v>111</v>
      </c>
      <c r="L27" s="101" t="s">
        <v>111</v>
      </c>
      <c r="M27" s="101" t="s">
        <v>111</v>
      </c>
      <c r="N27" s="101" t="s">
        <v>111</v>
      </c>
      <c r="O27" s="101" t="s">
        <v>111</v>
      </c>
      <c r="P27" s="101" t="s">
        <v>111</v>
      </c>
      <c r="Q27" s="119"/>
      <c r="R27" s="101" t="s">
        <v>111</v>
      </c>
      <c r="S27" s="101" t="s">
        <v>111</v>
      </c>
      <c r="T27" s="101" t="s">
        <v>111</v>
      </c>
      <c r="U27" s="101"/>
      <c r="V27" s="101"/>
      <c r="W27" s="101"/>
      <c r="X27" s="119"/>
      <c r="Y27" s="101"/>
      <c r="Z27" s="101"/>
      <c r="AA27" s="101"/>
      <c r="AB27" s="101"/>
      <c r="AC27" s="101"/>
      <c r="AD27" s="101"/>
      <c r="AE27" s="119"/>
      <c r="AF27" s="101"/>
      <c r="AG27" s="101"/>
      <c r="AH27" s="101"/>
      <c r="AI27" s="101"/>
      <c r="AJ27" s="101"/>
      <c r="AK27" s="5">
        <f t="shared" si="1"/>
        <v>0</v>
      </c>
      <c r="AL27" s="5">
        <f t="shared" si="2"/>
        <v>13</v>
      </c>
    </row>
    <row r="28" spans="1:42" ht="16.5" x14ac:dyDescent="0.25">
      <c r="A28" s="9">
        <v>24</v>
      </c>
      <c r="B28" s="14"/>
      <c r="C28" s="14" t="s">
        <v>123</v>
      </c>
      <c r="D28" s="14" t="s">
        <v>124</v>
      </c>
      <c r="E28" s="8" t="s">
        <v>6</v>
      </c>
      <c r="F28" s="101" t="s">
        <v>111</v>
      </c>
      <c r="G28" s="101" t="s">
        <v>112</v>
      </c>
      <c r="H28" s="101" t="s">
        <v>112</v>
      </c>
      <c r="I28" s="101" t="s">
        <v>112</v>
      </c>
      <c r="J28" s="119"/>
      <c r="K28" s="101" t="s">
        <v>112</v>
      </c>
      <c r="L28" s="101" t="s">
        <v>112</v>
      </c>
      <c r="M28" s="101" t="s">
        <v>112</v>
      </c>
      <c r="N28" s="101" t="s">
        <v>112</v>
      </c>
      <c r="O28" s="101" t="s">
        <v>112</v>
      </c>
      <c r="P28" s="101" t="s">
        <v>112</v>
      </c>
      <c r="Q28" s="119"/>
      <c r="R28" s="101" t="s">
        <v>112</v>
      </c>
      <c r="S28" s="101" t="s">
        <v>112</v>
      </c>
      <c r="T28" s="101" t="s">
        <v>112</v>
      </c>
      <c r="U28" s="101"/>
      <c r="V28" s="101"/>
      <c r="W28" s="101"/>
      <c r="X28" s="119"/>
      <c r="Y28" s="101"/>
      <c r="Z28" s="101"/>
      <c r="AA28" s="101"/>
      <c r="AB28" s="101"/>
      <c r="AC28" s="101"/>
      <c r="AD28" s="101"/>
      <c r="AE28" s="119"/>
      <c r="AF28" s="101"/>
      <c r="AG28" s="101"/>
      <c r="AH28" s="101"/>
      <c r="AI28" s="101"/>
      <c r="AJ28" s="101"/>
      <c r="AK28" s="5">
        <f t="shared" si="1"/>
        <v>12</v>
      </c>
      <c r="AL28" s="5">
        <f t="shared" si="2"/>
        <v>1</v>
      </c>
    </row>
    <row r="29" spans="1:42" ht="16.5" x14ac:dyDescent="0.25">
      <c r="A29" s="9">
        <v>25</v>
      </c>
      <c r="B29" s="14"/>
      <c r="C29" s="14" t="s">
        <v>119</v>
      </c>
      <c r="D29" s="14"/>
      <c r="E29" s="8" t="s">
        <v>6</v>
      </c>
      <c r="F29" s="101" t="s">
        <v>111</v>
      </c>
      <c r="G29" s="101" t="s">
        <v>111</v>
      </c>
      <c r="H29" s="101" t="s">
        <v>111</v>
      </c>
      <c r="I29" s="101" t="s">
        <v>111</v>
      </c>
      <c r="J29" s="119"/>
      <c r="K29" s="101" t="s">
        <v>111</v>
      </c>
      <c r="L29" s="101" t="s">
        <v>111</v>
      </c>
      <c r="M29" s="101" t="s">
        <v>112</v>
      </c>
      <c r="N29" s="101" t="s">
        <v>111</v>
      </c>
      <c r="O29" s="101" t="s">
        <v>112</v>
      </c>
      <c r="P29" s="101" t="s">
        <v>112</v>
      </c>
      <c r="Q29" s="119"/>
      <c r="R29" s="101" t="s">
        <v>112</v>
      </c>
      <c r="S29" s="101" t="s">
        <v>112</v>
      </c>
      <c r="T29" s="101" t="s">
        <v>111</v>
      </c>
      <c r="U29" s="101"/>
      <c r="V29" s="101"/>
      <c r="W29" s="101"/>
      <c r="X29" s="119"/>
      <c r="Y29" s="101"/>
      <c r="Z29" s="101"/>
      <c r="AA29" s="101"/>
      <c r="AB29" s="101"/>
      <c r="AC29" s="101"/>
      <c r="AD29" s="101"/>
      <c r="AE29" s="119"/>
      <c r="AF29" s="101"/>
      <c r="AG29" s="101"/>
      <c r="AH29" s="101"/>
      <c r="AI29" s="101"/>
      <c r="AJ29" s="101"/>
      <c r="AK29" s="5">
        <f t="shared" si="1"/>
        <v>5</v>
      </c>
      <c r="AL29" s="5">
        <f t="shared" si="2"/>
        <v>8</v>
      </c>
    </row>
    <row r="30" spans="1:42" ht="16.5" x14ac:dyDescent="0.25">
      <c r="A30" s="9">
        <v>1</v>
      </c>
      <c r="B30" s="11"/>
      <c r="C30" s="7" t="s">
        <v>21</v>
      </c>
      <c r="D30" s="7" t="s">
        <v>22</v>
      </c>
      <c r="E30" s="8" t="s">
        <v>6</v>
      </c>
      <c r="F30" s="101" t="s">
        <v>111</v>
      </c>
      <c r="G30" s="101" t="s">
        <v>112</v>
      </c>
      <c r="H30" s="101" t="s">
        <v>112</v>
      </c>
      <c r="I30" s="101" t="s">
        <v>112</v>
      </c>
      <c r="J30" s="119"/>
      <c r="K30" s="101" t="s">
        <v>112</v>
      </c>
      <c r="L30" s="101" t="s">
        <v>112</v>
      </c>
      <c r="M30" s="101" t="s">
        <v>112</v>
      </c>
      <c r="N30" s="101" t="s">
        <v>111</v>
      </c>
      <c r="O30" s="101" t="s">
        <v>112</v>
      </c>
      <c r="P30" s="101" t="s">
        <v>112</v>
      </c>
      <c r="Q30" s="119"/>
      <c r="R30" s="101" t="s">
        <v>112</v>
      </c>
      <c r="S30" s="101" t="s">
        <v>112</v>
      </c>
      <c r="T30" s="101" t="s">
        <v>112</v>
      </c>
      <c r="U30" s="101"/>
      <c r="V30" s="101"/>
      <c r="W30" s="101"/>
      <c r="X30" s="119"/>
      <c r="Y30" s="101"/>
      <c r="Z30" s="101"/>
      <c r="AA30" s="101"/>
      <c r="AB30" s="101"/>
      <c r="AC30" s="101"/>
      <c r="AD30" s="101"/>
      <c r="AE30" s="119"/>
      <c r="AF30" s="101"/>
      <c r="AG30" s="101"/>
      <c r="AH30" s="101"/>
      <c r="AI30" s="101"/>
      <c r="AJ30" s="101"/>
      <c r="AK30" s="5">
        <f t="shared" si="1"/>
        <v>11</v>
      </c>
      <c r="AL30" s="5">
        <f t="shared" si="2"/>
        <v>2</v>
      </c>
    </row>
    <row r="31" spans="1:42" ht="16.5" x14ac:dyDescent="0.25">
      <c r="A31" s="9">
        <v>2</v>
      </c>
      <c r="B31" s="11"/>
      <c r="C31" s="7" t="s">
        <v>23</v>
      </c>
      <c r="D31" s="7" t="s">
        <v>24</v>
      </c>
      <c r="E31" s="8" t="s">
        <v>6</v>
      </c>
      <c r="F31" s="101" t="s">
        <v>111</v>
      </c>
      <c r="G31" s="101" t="s">
        <v>111</v>
      </c>
      <c r="H31" s="101" t="s">
        <v>111</v>
      </c>
      <c r="I31" s="101" t="s">
        <v>111</v>
      </c>
      <c r="J31" s="119"/>
      <c r="K31" s="101" t="s">
        <v>112</v>
      </c>
      <c r="L31" s="101" t="s">
        <v>112</v>
      </c>
      <c r="M31" s="101" t="s">
        <v>112</v>
      </c>
      <c r="N31" s="101" t="s">
        <v>112</v>
      </c>
      <c r="O31" s="101" t="s">
        <v>112</v>
      </c>
      <c r="P31" s="101" t="s">
        <v>112</v>
      </c>
      <c r="Q31" s="119"/>
      <c r="R31" s="101" t="s">
        <v>112</v>
      </c>
      <c r="S31" s="101" t="s">
        <v>112</v>
      </c>
      <c r="T31" s="101" t="s">
        <v>111</v>
      </c>
      <c r="U31" s="101"/>
      <c r="V31" s="101"/>
      <c r="W31" s="101"/>
      <c r="X31" s="119"/>
      <c r="Y31" s="101"/>
      <c r="Z31" s="101"/>
      <c r="AA31" s="101"/>
      <c r="AB31" s="101"/>
      <c r="AC31" s="101"/>
      <c r="AD31" s="101"/>
      <c r="AE31" s="119"/>
      <c r="AF31" s="101"/>
      <c r="AG31" s="101"/>
      <c r="AH31" s="101"/>
      <c r="AI31" s="101"/>
      <c r="AJ31" s="101"/>
      <c r="AK31" s="5">
        <f t="shared" si="1"/>
        <v>8</v>
      </c>
      <c r="AL31" s="5">
        <f t="shared" si="2"/>
        <v>5</v>
      </c>
    </row>
    <row r="32" spans="1:42" ht="16.5" x14ac:dyDescent="0.25">
      <c r="A32" s="9">
        <v>3</v>
      </c>
      <c r="B32" s="11">
        <v>136</v>
      </c>
      <c r="C32" s="7" t="s">
        <v>27</v>
      </c>
      <c r="D32" s="7" t="s">
        <v>28</v>
      </c>
      <c r="E32" s="8" t="s">
        <v>6</v>
      </c>
      <c r="F32" s="101" t="s">
        <v>111</v>
      </c>
      <c r="G32" s="101" t="s">
        <v>111</v>
      </c>
      <c r="H32" s="101" t="s">
        <v>112</v>
      </c>
      <c r="I32" s="101" t="s">
        <v>112</v>
      </c>
      <c r="J32" s="119"/>
      <c r="K32" s="101" t="s">
        <v>112</v>
      </c>
      <c r="L32" s="101" t="s">
        <v>112</v>
      </c>
      <c r="M32" s="101" t="s">
        <v>112</v>
      </c>
      <c r="N32" s="101" t="s">
        <v>112</v>
      </c>
      <c r="O32" s="101" t="s">
        <v>112</v>
      </c>
      <c r="P32" s="101" t="s">
        <v>112</v>
      </c>
      <c r="Q32" s="119"/>
      <c r="R32" s="101" t="s">
        <v>112</v>
      </c>
      <c r="S32" s="101" t="s">
        <v>112</v>
      </c>
      <c r="T32" s="101" t="s">
        <v>112</v>
      </c>
      <c r="U32" s="101"/>
      <c r="V32" s="101"/>
      <c r="W32" s="101"/>
      <c r="X32" s="119"/>
      <c r="Y32" s="101"/>
      <c r="Z32" s="101"/>
      <c r="AA32" s="101"/>
      <c r="AB32" s="101"/>
      <c r="AC32" s="101"/>
      <c r="AD32" s="101"/>
      <c r="AE32" s="119"/>
      <c r="AF32" s="101"/>
      <c r="AG32" s="101"/>
      <c r="AH32" s="101"/>
      <c r="AI32" s="101"/>
      <c r="AJ32" s="101"/>
      <c r="AK32" s="5">
        <f t="shared" si="1"/>
        <v>11</v>
      </c>
      <c r="AL32" s="5">
        <f t="shared" si="2"/>
        <v>2</v>
      </c>
    </row>
    <row r="33" spans="1:38" ht="16.5" x14ac:dyDescent="0.25">
      <c r="A33" s="9">
        <v>4</v>
      </c>
      <c r="B33" s="11">
        <v>139</v>
      </c>
      <c r="C33" s="7" t="s">
        <v>31</v>
      </c>
      <c r="D33" s="7" t="s">
        <v>32</v>
      </c>
      <c r="E33" s="8" t="s">
        <v>6</v>
      </c>
      <c r="F33" s="101" t="s">
        <v>111</v>
      </c>
      <c r="G33" s="101" t="s">
        <v>111</v>
      </c>
      <c r="H33" s="101" t="s">
        <v>111</v>
      </c>
      <c r="I33" s="101" t="s">
        <v>111</v>
      </c>
      <c r="J33" s="119"/>
      <c r="K33" s="101" t="s">
        <v>112</v>
      </c>
      <c r="L33" s="101" t="s">
        <v>112</v>
      </c>
      <c r="M33" s="101" t="s">
        <v>112</v>
      </c>
      <c r="N33" s="101" t="s">
        <v>112</v>
      </c>
      <c r="O33" s="101" t="s">
        <v>112</v>
      </c>
      <c r="P33" s="101" t="s">
        <v>112</v>
      </c>
      <c r="Q33" s="119"/>
      <c r="R33" s="101" t="s">
        <v>112</v>
      </c>
      <c r="S33" s="101" t="s">
        <v>112</v>
      </c>
      <c r="T33" s="101" t="s">
        <v>112</v>
      </c>
      <c r="U33" s="101"/>
      <c r="V33" s="101"/>
      <c r="W33" s="101"/>
      <c r="X33" s="119"/>
      <c r="Y33" s="101"/>
      <c r="Z33" s="101"/>
      <c r="AA33" s="101"/>
      <c r="AB33" s="101"/>
      <c r="AC33" s="101"/>
      <c r="AD33" s="101"/>
      <c r="AE33" s="119"/>
      <c r="AF33" s="101"/>
      <c r="AG33" s="101"/>
      <c r="AH33" s="101"/>
      <c r="AI33" s="101"/>
      <c r="AJ33" s="101"/>
      <c r="AK33" s="5">
        <f t="shared" si="1"/>
        <v>9</v>
      </c>
      <c r="AL33" s="5">
        <f t="shared" si="2"/>
        <v>4</v>
      </c>
    </row>
    <row r="34" spans="1:38" ht="16.5" x14ac:dyDescent="0.25">
      <c r="A34" s="9">
        <v>5</v>
      </c>
      <c r="B34" s="11">
        <v>142</v>
      </c>
      <c r="C34" s="7" t="s">
        <v>35</v>
      </c>
      <c r="D34" s="7" t="s">
        <v>36</v>
      </c>
      <c r="E34" s="8" t="s">
        <v>6</v>
      </c>
      <c r="F34" s="101" t="s">
        <v>111</v>
      </c>
      <c r="G34" s="101" t="s">
        <v>111</v>
      </c>
      <c r="H34" s="101" t="s">
        <v>111</v>
      </c>
      <c r="I34" s="101" t="s">
        <v>111</v>
      </c>
      <c r="J34" s="119"/>
      <c r="K34" s="101" t="s">
        <v>111</v>
      </c>
      <c r="L34" s="101" t="s">
        <v>111</v>
      </c>
      <c r="M34" s="101" t="s">
        <v>111</v>
      </c>
      <c r="N34" s="101" t="s">
        <v>111</v>
      </c>
      <c r="O34" s="101" t="s">
        <v>112</v>
      </c>
      <c r="P34" s="101" t="s">
        <v>112</v>
      </c>
      <c r="Q34" s="119"/>
      <c r="R34" s="101" t="s">
        <v>112</v>
      </c>
      <c r="S34" s="101" t="s">
        <v>112</v>
      </c>
      <c r="T34" s="101" t="s">
        <v>112</v>
      </c>
      <c r="U34" s="101"/>
      <c r="V34" s="101"/>
      <c r="W34" s="101"/>
      <c r="X34" s="119"/>
      <c r="Y34" s="101"/>
      <c r="Z34" s="101"/>
      <c r="AA34" s="101"/>
      <c r="AB34" s="101"/>
      <c r="AC34" s="101"/>
      <c r="AD34" s="101"/>
      <c r="AE34" s="119"/>
      <c r="AF34" s="101"/>
      <c r="AG34" s="101"/>
      <c r="AH34" s="101"/>
      <c r="AI34" s="101"/>
      <c r="AJ34" s="101"/>
      <c r="AK34" s="5">
        <f t="shared" si="1"/>
        <v>5</v>
      </c>
      <c r="AL34" s="5">
        <f t="shared" si="2"/>
        <v>8</v>
      </c>
    </row>
    <row r="35" spans="1:38" ht="16.5" x14ac:dyDescent="0.25">
      <c r="A35" s="9">
        <v>6</v>
      </c>
      <c r="B35" s="102">
        <v>144</v>
      </c>
      <c r="C35" s="7" t="s">
        <v>39</v>
      </c>
      <c r="D35" s="7" t="s">
        <v>40</v>
      </c>
      <c r="E35" s="8" t="s">
        <v>6</v>
      </c>
      <c r="F35" s="101" t="s">
        <v>111</v>
      </c>
      <c r="G35" s="101" t="s">
        <v>111</v>
      </c>
      <c r="H35" s="101" t="s">
        <v>112</v>
      </c>
      <c r="I35" s="101" t="s">
        <v>112</v>
      </c>
      <c r="J35" s="119"/>
      <c r="K35" s="101" t="s">
        <v>112</v>
      </c>
      <c r="L35" s="101" t="s">
        <v>112</v>
      </c>
      <c r="M35" s="101" t="s">
        <v>112</v>
      </c>
      <c r="N35" s="101" t="s">
        <v>112</v>
      </c>
      <c r="O35" s="101" t="s">
        <v>112</v>
      </c>
      <c r="P35" s="101" t="s">
        <v>112</v>
      </c>
      <c r="Q35" s="119"/>
      <c r="R35" s="101" t="s">
        <v>112</v>
      </c>
      <c r="S35" s="101" t="s">
        <v>112</v>
      </c>
      <c r="T35" s="101" t="s">
        <v>112</v>
      </c>
      <c r="U35" s="101"/>
      <c r="V35" s="101"/>
      <c r="W35" s="101"/>
      <c r="X35" s="119"/>
      <c r="Y35" s="101"/>
      <c r="Z35" s="101"/>
      <c r="AA35" s="101"/>
      <c r="AB35" s="101"/>
      <c r="AC35" s="101"/>
      <c r="AD35" s="101"/>
      <c r="AE35" s="119"/>
      <c r="AF35" s="101"/>
      <c r="AG35" s="101"/>
      <c r="AH35" s="101"/>
      <c r="AI35" s="101"/>
      <c r="AJ35" s="101"/>
      <c r="AK35" s="5">
        <f t="shared" si="1"/>
        <v>11</v>
      </c>
      <c r="AL35" s="5">
        <f t="shared" si="2"/>
        <v>2</v>
      </c>
    </row>
    <row r="36" spans="1:38" ht="16.5" x14ac:dyDescent="0.25">
      <c r="A36" s="9">
        <v>7</v>
      </c>
      <c r="B36" s="102">
        <v>145</v>
      </c>
      <c r="C36" s="7" t="s">
        <v>41</v>
      </c>
      <c r="D36" s="7" t="s">
        <v>42</v>
      </c>
      <c r="E36" s="8" t="s">
        <v>6</v>
      </c>
      <c r="F36" s="101" t="s">
        <v>111</v>
      </c>
      <c r="G36" s="101" t="s">
        <v>111</v>
      </c>
      <c r="H36" s="101" t="s">
        <v>111</v>
      </c>
      <c r="I36" s="101" t="s">
        <v>111</v>
      </c>
      <c r="J36" s="119"/>
      <c r="K36" s="101" t="s">
        <v>111</v>
      </c>
      <c r="L36" s="101" t="s">
        <v>112</v>
      </c>
      <c r="M36" s="101" t="s">
        <v>112</v>
      </c>
      <c r="N36" s="101" t="s">
        <v>112</v>
      </c>
      <c r="O36" s="101" t="s">
        <v>112</v>
      </c>
      <c r="P36" s="101" t="s">
        <v>112</v>
      </c>
      <c r="Q36" s="119"/>
      <c r="R36" s="101" t="s">
        <v>112</v>
      </c>
      <c r="S36" s="101" t="s">
        <v>112</v>
      </c>
      <c r="T36" s="101" t="s">
        <v>112</v>
      </c>
      <c r="U36" s="101"/>
      <c r="V36" s="101"/>
      <c r="W36" s="101"/>
      <c r="X36" s="119"/>
      <c r="Y36" s="101"/>
      <c r="Z36" s="101"/>
      <c r="AA36" s="101"/>
      <c r="AB36" s="101"/>
      <c r="AC36" s="101"/>
      <c r="AD36" s="101"/>
      <c r="AE36" s="119"/>
      <c r="AF36" s="101"/>
      <c r="AG36" s="101"/>
      <c r="AH36" s="101"/>
      <c r="AI36" s="101"/>
      <c r="AJ36" s="101"/>
      <c r="AK36" s="5">
        <f t="shared" si="1"/>
        <v>8</v>
      </c>
      <c r="AL36" s="5">
        <f t="shared" si="2"/>
        <v>5</v>
      </c>
    </row>
    <row r="37" spans="1:38" ht="16.5" x14ac:dyDescent="0.25">
      <c r="A37" s="9">
        <v>8</v>
      </c>
      <c r="B37" s="102">
        <v>152</v>
      </c>
      <c r="C37" s="7" t="s">
        <v>51</v>
      </c>
      <c r="D37" s="7" t="s">
        <v>52</v>
      </c>
      <c r="E37" s="8" t="s">
        <v>6</v>
      </c>
      <c r="F37" s="101" t="s">
        <v>111</v>
      </c>
      <c r="G37" s="101" t="s">
        <v>111</v>
      </c>
      <c r="H37" s="101" t="s">
        <v>111</v>
      </c>
      <c r="I37" s="101" t="s">
        <v>111</v>
      </c>
      <c r="J37" s="119"/>
      <c r="K37" s="101" t="s">
        <v>112</v>
      </c>
      <c r="L37" s="101" t="s">
        <v>112</v>
      </c>
      <c r="M37" s="101" t="s">
        <v>112</v>
      </c>
      <c r="N37" s="101" t="s">
        <v>112</v>
      </c>
      <c r="O37" s="101" t="s">
        <v>112</v>
      </c>
      <c r="P37" s="101" t="s">
        <v>112</v>
      </c>
      <c r="Q37" s="119"/>
      <c r="R37" s="101" t="s">
        <v>112</v>
      </c>
      <c r="S37" s="101" t="s">
        <v>112</v>
      </c>
      <c r="T37" s="101" t="s">
        <v>112</v>
      </c>
      <c r="U37" s="101"/>
      <c r="V37" s="101"/>
      <c r="W37" s="101"/>
      <c r="X37" s="119"/>
      <c r="Y37" s="101"/>
      <c r="Z37" s="101"/>
      <c r="AA37" s="101"/>
      <c r="AB37" s="101"/>
      <c r="AC37" s="101"/>
      <c r="AD37" s="101"/>
      <c r="AE37" s="119"/>
      <c r="AF37" s="101"/>
      <c r="AG37" s="101"/>
      <c r="AH37" s="101"/>
      <c r="AI37" s="101"/>
      <c r="AJ37" s="101"/>
      <c r="AK37" s="5">
        <f t="shared" si="1"/>
        <v>9</v>
      </c>
      <c r="AL37" s="5">
        <f t="shared" si="2"/>
        <v>4</v>
      </c>
    </row>
    <row r="38" spans="1:38" ht="16.5" x14ac:dyDescent="0.25">
      <c r="A38" s="9">
        <v>9</v>
      </c>
      <c r="B38" s="102">
        <v>153</v>
      </c>
      <c r="C38" s="7" t="s">
        <v>53</v>
      </c>
      <c r="D38" s="7" t="s">
        <v>54</v>
      </c>
      <c r="E38" s="8" t="s">
        <v>6</v>
      </c>
      <c r="F38" s="101" t="s">
        <v>111</v>
      </c>
      <c r="G38" s="101" t="s">
        <v>111</v>
      </c>
      <c r="H38" s="101" t="s">
        <v>111</v>
      </c>
      <c r="I38" s="101" t="s">
        <v>111</v>
      </c>
      <c r="J38" s="119"/>
      <c r="K38" s="101" t="s">
        <v>111</v>
      </c>
      <c r="L38" s="101" t="s">
        <v>111</v>
      </c>
      <c r="M38" s="101" t="s">
        <v>111</v>
      </c>
      <c r="N38" s="101" t="s">
        <v>111</v>
      </c>
      <c r="O38" s="101" t="s">
        <v>113</v>
      </c>
      <c r="P38" s="101" t="s">
        <v>111</v>
      </c>
      <c r="Q38" s="119"/>
      <c r="R38" s="101" t="s">
        <v>111</v>
      </c>
      <c r="S38" s="101" t="s">
        <v>112</v>
      </c>
      <c r="T38" s="101" t="s">
        <v>111</v>
      </c>
      <c r="U38" s="101"/>
      <c r="V38" s="101"/>
      <c r="W38" s="101"/>
      <c r="X38" s="119"/>
      <c r="Y38" s="101"/>
      <c r="Z38" s="101"/>
      <c r="AA38" s="101"/>
      <c r="AB38" s="101"/>
      <c r="AC38" s="101"/>
      <c r="AD38" s="101"/>
      <c r="AE38" s="119"/>
      <c r="AF38" s="101"/>
      <c r="AG38" s="101"/>
      <c r="AH38" s="101"/>
      <c r="AI38" s="101"/>
      <c r="AJ38" s="101"/>
      <c r="AK38" s="5">
        <f t="shared" si="1"/>
        <v>1</v>
      </c>
      <c r="AL38" s="5">
        <f t="shared" si="2"/>
        <v>11</v>
      </c>
    </row>
    <row r="39" spans="1:38" ht="16.5" x14ac:dyDescent="0.25">
      <c r="A39" s="9">
        <v>10</v>
      </c>
      <c r="B39" s="102">
        <v>154</v>
      </c>
      <c r="C39" s="7" t="s">
        <v>55</v>
      </c>
      <c r="D39" s="7" t="s">
        <v>56</v>
      </c>
      <c r="E39" s="8" t="s">
        <v>6</v>
      </c>
      <c r="F39" s="101" t="s">
        <v>112</v>
      </c>
      <c r="G39" s="101" t="s">
        <v>112</v>
      </c>
      <c r="H39" s="101" t="s">
        <v>112</v>
      </c>
      <c r="I39" s="101" t="s">
        <v>111</v>
      </c>
      <c r="J39" s="119"/>
      <c r="K39" s="101" t="s">
        <v>111</v>
      </c>
      <c r="L39" s="101" t="s">
        <v>111</v>
      </c>
      <c r="M39" s="101" t="s">
        <v>112</v>
      </c>
      <c r="N39" s="101" t="s">
        <v>112</v>
      </c>
      <c r="O39" s="101" t="s">
        <v>112</v>
      </c>
      <c r="P39" s="101" t="s">
        <v>112</v>
      </c>
      <c r="Q39" s="119"/>
      <c r="R39" s="101" t="s">
        <v>112</v>
      </c>
      <c r="S39" s="101" t="s">
        <v>111</v>
      </c>
      <c r="T39" s="101" t="s">
        <v>112</v>
      </c>
      <c r="U39" s="101"/>
      <c r="V39" s="101"/>
      <c r="W39" s="101"/>
      <c r="X39" s="119"/>
      <c r="Y39" s="101"/>
      <c r="Z39" s="101"/>
      <c r="AA39" s="101"/>
      <c r="AB39" s="101"/>
      <c r="AC39" s="101"/>
      <c r="AD39" s="101"/>
      <c r="AE39" s="119"/>
      <c r="AF39" s="101"/>
      <c r="AG39" s="101"/>
      <c r="AH39" s="101"/>
      <c r="AI39" s="101"/>
      <c r="AJ39" s="101"/>
      <c r="AK39" s="5">
        <f t="shared" si="1"/>
        <v>9</v>
      </c>
      <c r="AL39" s="5">
        <f t="shared" si="2"/>
        <v>4</v>
      </c>
    </row>
    <row r="40" spans="1:38" ht="16.5" x14ac:dyDescent="0.25">
      <c r="A40" s="9">
        <v>11</v>
      </c>
      <c r="B40" s="102">
        <v>155</v>
      </c>
      <c r="C40" s="7" t="s">
        <v>57</v>
      </c>
      <c r="D40" s="7" t="s">
        <v>58</v>
      </c>
      <c r="E40" s="8" t="s">
        <v>6</v>
      </c>
      <c r="F40" s="101" t="s">
        <v>111</v>
      </c>
      <c r="G40" s="101" t="s">
        <v>112</v>
      </c>
      <c r="H40" s="101" t="s">
        <v>112</v>
      </c>
      <c r="I40" s="101" t="s">
        <v>112</v>
      </c>
      <c r="J40" s="119"/>
      <c r="K40" s="101" t="s">
        <v>112</v>
      </c>
      <c r="L40" s="101" t="s">
        <v>112</v>
      </c>
      <c r="M40" s="101" t="s">
        <v>112</v>
      </c>
      <c r="N40" s="101" t="s">
        <v>112</v>
      </c>
      <c r="O40" s="101" t="s">
        <v>112</v>
      </c>
      <c r="P40" s="101" t="s">
        <v>112</v>
      </c>
      <c r="Q40" s="119"/>
      <c r="R40" s="101" t="s">
        <v>112</v>
      </c>
      <c r="S40" s="101" t="s">
        <v>112</v>
      </c>
      <c r="T40" s="101" t="s">
        <v>111</v>
      </c>
      <c r="U40" s="101"/>
      <c r="V40" s="101"/>
      <c r="W40" s="101"/>
      <c r="X40" s="119"/>
      <c r="Y40" s="101"/>
      <c r="Z40" s="101"/>
      <c r="AA40" s="101"/>
      <c r="AB40" s="101"/>
      <c r="AC40" s="101"/>
      <c r="AD40" s="101"/>
      <c r="AE40" s="119"/>
      <c r="AF40" s="101"/>
      <c r="AG40" s="101"/>
      <c r="AH40" s="101"/>
      <c r="AI40" s="101"/>
      <c r="AJ40" s="101"/>
      <c r="AK40" s="5">
        <f t="shared" si="1"/>
        <v>11</v>
      </c>
      <c r="AL40" s="5">
        <f t="shared" si="2"/>
        <v>2</v>
      </c>
    </row>
    <row r="41" spans="1:38" ht="16.5" x14ac:dyDescent="0.25">
      <c r="A41" s="9">
        <v>12</v>
      </c>
      <c r="B41" s="102">
        <v>156</v>
      </c>
      <c r="C41" s="7" t="s">
        <v>59</v>
      </c>
      <c r="D41" s="7" t="s">
        <v>60</v>
      </c>
      <c r="E41" s="8" t="s">
        <v>6</v>
      </c>
      <c r="F41" s="101" t="s">
        <v>111</v>
      </c>
      <c r="G41" s="101" t="s">
        <v>112</v>
      </c>
      <c r="H41" s="101" t="s">
        <v>112</v>
      </c>
      <c r="I41" s="101" t="s">
        <v>112</v>
      </c>
      <c r="J41" s="119"/>
      <c r="K41" s="101" t="s">
        <v>112</v>
      </c>
      <c r="L41" s="101" t="s">
        <v>112</v>
      </c>
      <c r="M41" s="101" t="s">
        <v>112</v>
      </c>
      <c r="N41" s="101" t="s">
        <v>112</v>
      </c>
      <c r="O41" s="101" t="s">
        <v>112</v>
      </c>
      <c r="P41" s="101" t="s">
        <v>112</v>
      </c>
      <c r="Q41" s="119"/>
      <c r="R41" s="101" t="s">
        <v>112</v>
      </c>
      <c r="S41" s="101" t="s">
        <v>111</v>
      </c>
      <c r="T41" s="101" t="s">
        <v>112</v>
      </c>
      <c r="U41" s="101"/>
      <c r="V41" s="101"/>
      <c r="W41" s="101"/>
      <c r="X41" s="119"/>
      <c r="Y41" s="101"/>
      <c r="Z41" s="101"/>
      <c r="AA41" s="101"/>
      <c r="AB41" s="101"/>
      <c r="AC41" s="101"/>
      <c r="AD41" s="101"/>
      <c r="AE41" s="119"/>
      <c r="AF41" s="101"/>
      <c r="AG41" s="101"/>
      <c r="AH41" s="101"/>
      <c r="AI41" s="101"/>
      <c r="AJ41" s="101"/>
      <c r="AK41" s="5">
        <f t="shared" si="1"/>
        <v>11</v>
      </c>
      <c r="AL41" s="5">
        <f t="shared" si="2"/>
        <v>2</v>
      </c>
    </row>
    <row r="42" spans="1:38" ht="16.5" x14ac:dyDescent="0.25">
      <c r="A42" s="9">
        <v>13</v>
      </c>
      <c r="B42" s="102">
        <v>158</v>
      </c>
      <c r="C42" s="7" t="s">
        <v>61</v>
      </c>
      <c r="D42" s="7" t="s">
        <v>62</v>
      </c>
      <c r="E42" s="8" t="s">
        <v>6</v>
      </c>
      <c r="F42" s="101" t="s">
        <v>111</v>
      </c>
      <c r="G42" s="101" t="s">
        <v>111</v>
      </c>
      <c r="H42" s="101" t="s">
        <v>111</v>
      </c>
      <c r="I42" s="101" t="s">
        <v>111</v>
      </c>
      <c r="J42" s="119"/>
      <c r="K42" s="101" t="s">
        <v>111</v>
      </c>
      <c r="L42" s="101" t="s">
        <v>111</v>
      </c>
      <c r="M42" s="101" t="s">
        <v>112</v>
      </c>
      <c r="N42" s="101" t="s">
        <v>112</v>
      </c>
      <c r="O42" s="101" t="s">
        <v>112</v>
      </c>
      <c r="P42" s="101" t="s">
        <v>112</v>
      </c>
      <c r="Q42" s="119"/>
      <c r="R42" s="101" t="s">
        <v>112</v>
      </c>
      <c r="S42" s="101" t="s">
        <v>112</v>
      </c>
      <c r="T42" s="101" t="s">
        <v>112</v>
      </c>
      <c r="U42" s="101"/>
      <c r="V42" s="101"/>
      <c r="W42" s="101"/>
      <c r="X42" s="119"/>
      <c r="Y42" s="101"/>
      <c r="Z42" s="101"/>
      <c r="AA42" s="101"/>
      <c r="AB42" s="101"/>
      <c r="AC42" s="101"/>
      <c r="AD42" s="101"/>
      <c r="AE42" s="119"/>
      <c r="AF42" s="101"/>
      <c r="AG42" s="101"/>
      <c r="AH42" s="101"/>
      <c r="AI42" s="101"/>
      <c r="AJ42" s="101"/>
      <c r="AK42" s="5">
        <f t="shared" si="1"/>
        <v>7</v>
      </c>
      <c r="AL42" s="5">
        <f t="shared" si="2"/>
        <v>6</v>
      </c>
    </row>
    <row r="43" spans="1:38" ht="16.5" x14ac:dyDescent="0.25">
      <c r="A43" s="9">
        <v>14</v>
      </c>
      <c r="B43" s="11">
        <v>159</v>
      </c>
      <c r="C43" s="7" t="s">
        <v>63</v>
      </c>
      <c r="D43" s="7" t="s">
        <v>64</v>
      </c>
      <c r="E43" s="8" t="s">
        <v>6</v>
      </c>
      <c r="F43" s="101" t="s">
        <v>111</v>
      </c>
      <c r="G43" s="101" t="s">
        <v>111</v>
      </c>
      <c r="H43" s="101" t="s">
        <v>111</v>
      </c>
      <c r="I43" s="101" t="s">
        <v>111</v>
      </c>
      <c r="J43" s="119"/>
      <c r="K43" s="101" t="s">
        <v>112</v>
      </c>
      <c r="L43" s="101" t="s">
        <v>111</v>
      </c>
      <c r="M43" s="101" t="s">
        <v>112</v>
      </c>
      <c r="N43" s="101" t="s">
        <v>112</v>
      </c>
      <c r="O43" s="101" t="s">
        <v>111</v>
      </c>
      <c r="P43" s="101" t="s">
        <v>111</v>
      </c>
      <c r="Q43" s="119"/>
      <c r="R43" s="101" t="s">
        <v>112</v>
      </c>
      <c r="S43" s="101" t="s">
        <v>111</v>
      </c>
      <c r="T43" s="101" t="s">
        <v>112</v>
      </c>
      <c r="U43" s="101"/>
      <c r="V43" s="101"/>
      <c r="W43" s="101"/>
      <c r="X43" s="119"/>
      <c r="Y43" s="101"/>
      <c r="Z43" s="101"/>
      <c r="AA43" s="101"/>
      <c r="AB43" s="101"/>
      <c r="AC43" s="101"/>
      <c r="AD43" s="101"/>
      <c r="AE43" s="119"/>
      <c r="AF43" s="101"/>
      <c r="AG43" s="101"/>
      <c r="AH43" s="101"/>
      <c r="AI43" s="101"/>
      <c r="AJ43" s="101"/>
      <c r="AK43" s="5">
        <f t="shared" si="1"/>
        <v>5</v>
      </c>
      <c r="AL43" s="5">
        <f t="shared" si="2"/>
        <v>8</v>
      </c>
    </row>
    <row r="44" spans="1:38" ht="16.5" x14ac:dyDescent="0.25">
      <c r="A44" s="9">
        <v>15</v>
      </c>
      <c r="B44" s="11">
        <v>165</v>
      </c>
      <c r="C44" s="7" t="s">
        <v>73</v>
      </c>
      <c r="D44" s="7" t="s">
        <v>74</v>
      </c>
      <c r="E44" s="8" t="s">
        <v>6</v>
      </c>
      <c r="F44" s="101" t="s">
        <v>111</v>
      </c>
      <c r="G44" s="101" t="s">
        <v>111</v>
      </c>
      <c r="H44" s="101" t="s">
        <v>111</v>
      </c>
      <c r="I44" s="101" t="s">
        <v>111</v>
      </c>
      <c r="J44" s="119"/>
      <c r="K44" s="101" t="s">
        <v>111</v>
      </c>
      <c r="L44" s="101" t="s">
        <v>111</v>
      </c>
      <c r="M44" s="101" t="s">
        <v>112</v>
      </c>
      <c r="N44" s="101" t="s">
        <v>112</v>
      </c>
      <c r="O44" s="101" t="s">
        <v>112</v>
      </c>
      <c r="P44" s="101" t="s">
        <v>112</v>
      </c>
      <c r="Q44" s="119"/>
      <c r="R44" s="101" t="s">
        <v>111</v>
      </c>
      <c r="S44" s="101" t="s">
        <v>111</v>
      </c>
      <c r="T44" s="101" t="s">
        <v>112</v>
      </c>
      <c r="U44" s="101"/>
      <c r="V44" s="101"/>
      <c r="W44" s="101"/>
      <c r="X44" s="119"/>
      <c r="Y44" s="101"/>
      <c r="Z44" s="101"/>
      <c r="AA44" s="101"/>
      <c r="AB44" s="101"/>
      <c r="AC44" s="101"/>
      <c r="AD44" s="101"/>
      <c r="AE44" s="119"/>
      <c r="AF44" s="101"/>
      <c r="AG44" s="101"/>
      <c r="AH44" s="101"/>
      <c r="AI44" s="101"/>
      <c r="AJ44" s="101"/>
      <c r="AK44" s="5">
        <f t="shared" si="1"/>
        <v>5</v>
      </c>
      <c r="AL44" s="5">
        <f t="shared" si="2"/>
        <v>8</v>
      </c>
    </row>
    <row r="45" spans="1:38" ht="16.5" x14ac:dyDescent="0.25">
      <c r="A45" s="9">
        <v>16</v>
      </c>
      <c r="B45" s="11">
        <v>167</v>
      </c>
      <c r="C45" s="7" t="s">
        <v>87</v>
      </c>
      <c r="D45" s="7" t="s">
        <v>76</v>
      </c>
      <c r="E45" s="8" t="s">
        <v>6</v>
      </c>
      <c r="F45" s="101" t="s">
        <v>111</v>
      </c>
      <c r="G45" s="101" t="s">
        <v>111</v>
      </c>
      <c r="H45" s="101" t="s">
        <v>111</v>
      </c>
      <c r="I45" s="101" t="s">
        <v>111</v>
      </c>
      <c r="J45" s="119"/>
      <c r="K45" s="101" t="s">
        <v>111</v>
      </c>
      <c r="L45" s="101" t="s">
        <v>111</v>
      </c>
      <c r="M45" s="101" t="s">
        <v>111</v>
      </c>
      <c r="N45" s="101" t="s">
        <v>111</v>
      </c>
      <c r="O45" s="101" t="s">
        <v>113</v>
      </c>
      <c r="P45" s="101" t="s">
        <v>111</v>
      </c>
      <c r="Q45" s="119"/>
      <c r="R45" s="101" t="s">
        <v>112</v>
      </c>
      <c r="S45" s="101" t="s">
        <v>112</v>
      </c>
      <c r="T45" s="101" t="s">
        <v>112</v>
      </c>
      <c r="U45" s="101"/>
      <c r="V45" s="101"/>
      <c r="W45" s="101"/>
      <c r="X45" s="119"/>
      <c r="Y45" s="101"/>
      <c r="Z45" s="101"/>
      <c r="AA45" s="101"/>
      <c r="AB45" s="101"/>
      <c r="AC45" s="101"/>
      <c r="AD45" s="101"/>
      <c r="AE45" s="119"/>
      <c r="AF45" s="101"/>
      <c r="AG45" s="101"/>
      <c r="AH45" s="101"/>
      <c r="AI45" s="101"/>
      <c r="AJ45" s="101"/>
      <c r="AK45" s="5">
        <f t="shared" si="1"/>
        <v>3</v>
      </c>
      <c r="AL45" s="5">
        <f t="shared" si="2"/>
        <v>9</v>
      </c>
    </row>
    <row r="46" spans="1:38" ht="16.5" x14ac:dyDescent="0.25">
      <c r="A46" s="9">
        <v>17</v>
      </c>
      <c r="B46" s="11">
        <v>169</v>
      </c>
      <c r="C46" s="7" t="s">
        <v>79</v>
      </c>
      <c r="D46" s="7" t="s">
        <v>80</v>
      </c>
      <c r="E46" s="8" t="s">
        <v>6</v>
      </c>
      <c r="F46" s="101" t="s">
        <v>112</v>
      </c>
      <c r="G46" s="101" t="s">
        <v>111</v>
      </c>
      <c r="H46" s="101" t="s">
        <v>111</v>
      </c>
      <c r="I46" s="101" t="s">
        <v>112</v>
      </c>
      <c r="J46" s="119"/>
      <c r="K46" s="101" t="s">
        <v>112</v>
      </c>
      <c r="L46" s="101" t="s">
        <v>112</v>
      </c>
      <c r="M46" s="101" t="s">
        <v>111</v>
      </c>
      <c r="N46" s="101" t="s">
        <v>112</v>
      </c>
      <c r="O46" s="101" t="s">
        <v>112</v>
      </c>
      <c r="P46" s="101" t="s">
        <v>112</v>
      </c>
      <c r="Q46" s="119"/>
      <c r="R46" s="101" t="s">
        <v>112</v>
      </c>
      <c r="S46" s="101" t="s">
        <v>112</v>
      </c>
      <c r="T46" s="101" t="s">
        <v>112</v>
      </c>
      <c r="U46" s="101"/>
      <c r="V46" s="101"/>
      <c r="W46" s="101"/>
      <c r="X46" s="119"/>
      <c r="Y46" s="101"/>
      <c r="Z46" s="101"/>
      <c r="AA46" s="101"/>
      <c r="AB46" s="101"/>
      <c r="AC46" s="101"/>
      <c r="AD46" s="101"/>
      <c r="AE46" s="119"/>
      <c r="AF46" s="101"/>
      <c r="AG46" s="101"/>
      <c r="AH46" s="101"/>
      <c r="AI46" s="101"/>
      <c r="AJ46" s="101"/>
      <c r="AK46" s="5">
        <f t="shared" si="1"/>
        <v>10</v>
      </c>
      <c r="AL46" s="5">
        <f t="shared" si="2"/>
        <v>3</v>
      </c>
    </row>
    <row r="47" spans="1:38" ht="16.5" x14ac:dyDescent="0.25">
      <c r="A47" s="9">
        <v>18</v>
      </c>
      <c r="B47" s="11">
        <v>196</v>
      </c>
      <c r="C47" s="7" t="s">
        <v>88</v>
      </c>
      <c r="D47" s="7" t="s">
        <v>89</v>
      </c>
      <c r="E47" s="8" t="s">
        <v>6</v>
      </c>
      <c r="F47" s="101" t="s">
        <v>111</v>
      </c>
      <c r="G47" s="101" t="s">
        <v>111</v>
      </c>
      <c r="H47" s="101" t="s">
        <v>111</v>
      </c>
      <c r="I47" s="101" t="s">
        <v>111</v>
      </c>
      <c r="J47" s="119"/>
      <c r="K47" s="101" t="s">
        <v>111</v>
      </c>
      <c r="L47" s="101" t="s">
        <v>111</v>
      </c>
      <c r="M47" s="101" t="s">
        <v>111</v>
      </c>
      <c r="N47" s="101" t="s">
        <v>111</v>
      </c>
      <c r="O47" s="101" t="s">
        <v>113</v>
      </c>
      <c r="P47" s="101" t="s">
        <v>112</v>
      </c>
      <c r="Q47" s="119"/>
      <c r="R47" s="101" t="s">
        <v>112</v>
      </c>
      <c r="S47" s="101" t="s">
        <v>112</v>
      </c>
      <c r="T47" s="101" t="s">
        <v>112</v>
      </c>
      <c r="U47" s="101"/>
      <c r="V47" s="101"/>
      <c r="W47" s="101"/>
      <c r="X47" s="119"/>
      <c r="Y47" s="101"/>
      <c r="Z47" s="101"/>
      <c r="AA47" s="101"/>
      <c r="AB47" s="101"/>
      <c r="AC47" s="101"/>
      <c r="AD47" s="101"/>
      <c r="AE47" s="119"/>
      <c r="AF47" s="101"/>
      <c r="AG47" s="101"/>
      <c r="AH47" s="101"/>
      <c r="AI47" s="101"/>
      <c r="AJ47" s="101"/>
      <c r="AK47" s="5">
        <f t="shared" si="1"/>
        <v>4</v>
      </c>
      <c r="AL47" s="5">
        <f t="shared" si="2"/>
        <v>8</v>
      </c>
    </row>
    <row r="48" spans="1:38" ht="16.5" x14ac:dyDescent="0.25">
      <c r="A48" s="9">
        <v>19</v>
      </c>
      <c r="B48" s="11">
        <v>197</v>
      </c>
      <c r="C48" s="7" t="s">
        <v>90</v>
      </c>
      <c r="D48" s="7"/>
      <c r="E48" s="8" t="s">
        <v>6</v>
      </c>
      <c r="F48" s="101" t="s">
        <v>111</v>
      </c>
      <c r="G48" s="101" t="s">
        <v>111</v>
      </c>
      <c r="H48" s="101" t="s">
        <v>111</v>
      </c>
      <c r="I48" s="101" t="s">
        <v>111</v>
      </c>
      <c r="J48" s="119"/>
      <c r="K48" s="101" t="s">
        <v>111</v>
      </c>
      <c r="L48" s="101" t="s">
        <v>111</v>
      </c>
      <c r="M48" s="101" t="s">
        <v>111</v>
      </c>
      <c r="N48" s="101" t="s">
        <v>111</v>
      </c>
      <c r="O48" s="101" t="s">
        <v>113</v>
      </c>
      <c r="P48" s="101" t="s">
        <v>112</v>
      </c>
      <c r="Q48" s="119"/>
      <c r="R48" s="101" t="s">
        <v>112</v>
      </c>
      <c r="S48" s="101" t="s">
        <v>112</v>
      </c>
      <c r="T48" s="101" t="s">
        <v>112</v>
      </c>
      <c r="U48" s="101"/>
      <c r="V48" s="101"/>
      <c r="W48" s="101"/>
      <c r="X48" s="119"/>
      <c r="Y48" s="101"/>
      <c r="Z48" s="101"/>
      <c r="AA48" s="101"/>
      <c r="AB48" s="101"/>
      <c r="AC48" s="101"/>
      <c r="AD48" s="101"/>
      <c r="AE48" s="119"/>
      <c r="AF48" s="101"/>
      <c r="AG48" s="101"/>
      <c r="AH48" s="101"/>
      <c r="AI48" s="101"/>
      <c r="AJ48" s="101"/>
      <c r="AK48" s="5">
        <f t="shared" si="1"/>
        <v>4</v>
      </c>
      <c r="AL48" s="5">
        <f t="shared" si="2"/>
        <v>8</v>
      </c>
    </row>
    <row r="49" spans="1:38" ht="16.5" x14ac:dyDescent="0.25">
      <c r="A49" s="9">
        <v>20</v>
      </c>
      <c r="B49" s="11">
        <v>182</v>
      </c>
      <c r="C49" s="7" t="s">
        <v>93</v>
      </c>
      <c r="D49" s="7" t="s">
        <v>94</v>
      </c>
      <c r="E49" s="8" t="s">
        <v>6</v>
      </c>
      <c r="F49" s="101" t="s">
        <v>111</v>
      </c>
      <c r="G49" s="101" t="s">
        <v>111</v>
      </c>
      <c r="H49" s="101" t="s">
        <v>111</v>
      </c>
      <c r="I49" s="101" t="s">
        <v>111</v>
      </c>
      <c r="J49" s="119"/>
      <c r="K49" s="101" t="s">
        <v>112</v>
      </c>
      <c r="L49" s="101" t="s">
        <v>112</v>
      </c>
      <c r="M49" s="101" t="s">
        <v>111</v>
      </c>
      <c r="N49" s="101" t="s">
        <v>112</v>
      </c>
      <c r="O49" s="101" t="s">
        <v>112</v>
      </c>
      <c r="P49" s="101" t="s">
        <v>112</v>
      </c>
      <c r="Q49" s="119"/>
      <c r="R49" s="101" t="s">
        <v>111</v>
      </c>
      <c r="S49" s="101" t="s">
        <v>111</v>
      </c>
      <c r="T49" s="101" t="s">
        <v>112</v>
      </c>
      <c r="U49" s="101"/>
      <c r="V49" s="101"/>
      <c r="W49" s="101"/>
      <c r="X49" s="119"/>
      <c r="Y49" s="101"/>
      <c r="Z49" s="101"/>
      <c r="AA49" s="101"/>
      <c r="AB49" s="101"/>
      <c r="AC49" s="101"/>
      <c r="AD49" s="101"/>
      <c r="AE49" s="119"/>
      <c r="AF49" s="101"/>
      <c r="AG49" s="101"/>
      <c r="AH49" s="101"/>
      <c r="AI49" s="101"/>
      <c r="AJ49" s="101"/>
      <c r="AK49" s="5">
        <f t="shared" si="1"/>
        <v>6</v>
      </c>
      <c r="AL49" s="5">
        <f t="shared" si="2"/>
        <v>7</v>
      </c>
    </row>
    <row r="50" spans="1:38" ht="16.5" x14ac:dyDescent="0.25">
      <c r="A50" s="9">
        <v>21</v>
      </c>
      <c r="B50" s="11">
        <v>186</v>
      </c>
      <c r="C50" s="7" t="s">
        <v>95</v>
      </c>
      <c r="D50" s="7" t="s">
        <v>96</v>
      </c>
      <c r="E50" s="8" t="s">
        <v>6</v>
      </c>
      <c r="F50" s="101" t="s">
        <v>111</v>
      </c>
      <c r="G50" s="101" t="s">
        <v>112</v>
      </c>
      <c r="H50" s="101" t="s">
        <v>112</v>
      </c>
      <c r="I50" s="101" t="s">
        <v>112</v>
      </c>
      <c r="J50" s="119"/>
      <c r="K50" s="101" t="s">
        <v>112</v>
      </c>
      <c r="L50" s="101" t="s">
        <v>112</v>
      </c>
      <c r="M50" s="101" t="s">
        <v>112</v>
      </c>
      <c r="N50" s="101" t="s">
        <v>112</v>
      </c>
      <c r="O50" s="101" t="s">
        <v>112</v>
      </c>
      <c r="P50" s="101" t="s">
        <v>112</v>
      </c>
      <c r="Q50" s="119"/>
      <c r="R50" s="101" t="s">
        <v>112</v>
      </c>
      <c r="S50" s="101" t="s">
        <v>112</v>
      </c>
      <c r="T50" s="101" t="s">
        <v>112</v>
      </c>
      <c r="U50" s="101"/>
      <c r="V50" s="101"/>
      <c r="W50" s="101"/>
      <c r="X50" s="119"/>
      <c r="Y50" s="101"/>
      <c r="Z50" s="101"/>
      <c r="AA50" s="101"/>
      <c r="AB50" s="101"/>
      <c r="AC50" s="101"/>
      <c r="AD50" s="101"/>
      <c r="AE50" s="119"/>
      <c r="AF50" s="101"/>
      <c r="AG50" s="101"/>
      <c r="AH50" s="101"/>
      <c r="AI50" s="101"/>
      <c r="AJ50" s="101"/>
      <c r="AK50" s="5">
        <f t="shared" si="1"/>
        <v>12</v>
      </c>
      <c r="AL50" s="5">
        <f t="shared" si="2"/>
        <v>1</v>
      </c>
    </row>
    <row r="51" spans="1:38" ht="16.5" x14ac:dyDescent="0.25">
      <c r="A51" s="9">
        <v>22</v>
      </c>
      <c r="B51" s="11">
        <v>188</v>
      </c>
      <c r="C51" s="7" t="s">
        <v>97</v>
      </c>
      <c r="D51" s="7" t="s">
        <v>98</v>
      </c>
      <c r="E51" s="8" t="s">
        <v>6</v>
      </c>
      <c r="F51" s="101" t="s">
        <v>111</v>
      </c>
      <c r="G51" s="101" t="s">
        <v>111</v>
      </c>
      <c r="H51" s="101" t="s">
        <v>111</v>
      </c>
      <c r="I51" s="101" t="s">
        <v>111</v>
      </c>
      <c r="J51" s="119"/>
      <c r="K51" s="101" t="s">
        <v>111</v>
      </c>
      <c r="L51" s="101" t="s">
        <v>112</v>
      </c>
      <c r="M51" s="101" t="s">
        <v>112</v>
      </c>
      <c r="N51" s="101" t="s">
        <v>112</v>
      </c>
      <c r="O51" s="101" t="s">
        <v>112</v>
      </c>
      <c r="P51" s="101" t="s">
        <v>112</v>
      </c>
      <c r="Q51" s="119"/>
      <c r="R51" s="101" t="s">
        <v>112</v>
      </c>
      <c r="S51" s="101"/>
      <c r="T51" s="101" t="s">
        <v>112</v>
      </c>
      <c r="U51" s="101"/>
      <c r="V51" s="101"/>
      <c r="W51" s="101"/>
      <c r="X51" s="119"/>
      <c r="Y51" s="101"/>
      <c r="Z51" s="101"/>
      <c r="AA51" s="101"/>
      <c r="AB51" s="101"/>
      <c r="AC51" s="101"/>
      <c r="AD51" s="101"/>
      <c r="AE51" s="119"/>
      <c r="AF51" s="101"/>
      <c r="AG51" s="101"/>
      <c r="AH51" s="101"/>
      <c r="AI51" s="101"/>
      <c r="AJ51" s="101"/>
      <c r="AK51" s="5">
        <f t="shared" si="1"/>
        <v>7</v>
      </c>
      <c r="AL51" s="5">
        <f t="shared" si="2"/>
        <v>5</v>
      </c>
    </row>
    <row r="52" spans="1:38" ht="16.5" x14ac:dyDescent="0.25">
      <c r="A52" s="9">
        <v>23</v>
      </c>
      <c r="B52" s="11"/>
      <c r="C52" s="7" t="s">
        <v>109</v>
      </c>
      <c r="D52" s="7" t="s">
        <v>110</v>
      </c>
      <c r="E52" s="8" t="s">
        <v>6</v>
      </c>
      <c r="F52" s="101" t="s">
        <v>111</v>
      </c>
      <c r="G52" s="101" t="s">
        <v>112</v>
      </c>
      <c r="H52" s="101" t="s">
        <v>112</v>
      </c>
      <c r="I52" s="101" t="s">
        <v>112</v>
      </c>
      <c r="J52" s="119"/>
      <c r="K52" s="101" t="s">
        <v>112</v>
      </c>
      <c r="L52" s="101" t="s">
        <v>111</v>
      </c>
      <c r="M52" s="101" t="s">
        <v>112</v>
      </c>
      <c r="N52" s="101" t="s">
        <v>111</v>
      </c>
      <c r="O52" s="101" t="s">
        <v>112</v>
      </c>
      <c r="P52" s="101" t="s">
        <v>111</v>
      </c>
      <c r="Q52" s="119"/>
      <c r="R52" s="101" t="s">
        <v>111</v>
      </c>
      <c r="S52" s="101" t="s">
        <v>112</v>
      </c>
      <c r="T52" s="101" t="s">
        <v>111</v>
      </c>
      <c r="U52" s="101"/>
      <c r="V52" s="101"/>
      <c r="W52" s="101"/>
      <c r="X52" s="119"/>
      <c r="Y52" s="101"/>
      <c r="Z52" s="101"/>
      <c r="AA52" s="101"/>
      <c r="AB52" s="101"/>
      <c r="AC52" s="101"/>
      <c r="AD52" s="101"/>
      <c r="AE52" s="119"/>
      <c r="AF52" s="101"/>
      <c r="AG52" s="101"/>
      <c r="AH52" s="101"/>
      <c r="AI52" s="101"/>
      <c r="AJ52" s="101"/>
      <c r="AK52" s="5">
        <f t="shared" si="1"/>
        <v>7</v>
      </c>
      <c r="AL52" s="5">
        <f t="shared" si="2"/>
        <v>6</v>
      </c>
    </row>
    <row r="53" spans="1:38" ht="16.5" x14ac:dyDescent="0.25">
      <c r="A53" s="9">
        <v>24</v>
      </c>
      <c r="B53" s="14"/>
      <c r="C53" s="14" t="s">
        <v>114</v>
      </c>
      <c r="D53" s="14" t="s">
        <v>27</v>
      </c>
      <c r="E53" s="8" t="s">
        <v>6</v>
      </c>
      <c r="F53" s="101" t="s">
        <v>111</v>
      </c>
      <c r="G53" s="101" t="s">
        <v>111</v>
      </c>
      <c r="H53" s="101" t="s">
        <v>111</v>
      </c>
      <c r="I53" s="101" t="s">
        <v>111</v>
      </c>
      <c r="J53" s="119"/>
      <c r="K53" s="101" t="s">
        <v>111</v>
      </c>
      <c r="L53" s="101" t="s">
        <v>112</v>
      </c>
      <c r="M53" s="101" t="s">
        <v>112</v>
      </c>
      <c r="N53" s="101" t="s">
        <v>112</v>
      </c>
      <c r="O53" s="101" t="s">
        <v>112</v>
      </c>
      <c r="P53" s="101" t="s">
        <v>112</v>
      </c>
      <c r="Q53" s="119"/>
      <c r="R53" s="101" t="s">
        <v>112</v>
      </c>
      <c r="S53" s="101" t="s">
        <v>112</v>
      </c>
      <c r="T53" s="101" t="s">
        <v>112</v>
      </c>
      <c r="U53" s="101"/>
      <c r="V53" s="101"/>
      <c r="W53" s="101"/>
      <c r="X53" s="119"/>
      <c r="Y53" s="101"/>
      <c r="Z53" s="101"/>
      <c r="AA53" s="101"/>
      <c r="AB53" s="101"/>
      <c r="AC53" s="101"/>
      <c r="AD53" s="101"/>
      <c r="AE53" s="119"/>
      <c r="AF53" s="101"/>
      <c r="AG53" s="101"/>
      <c r="AH53" s="101"/>
      <c r="AI53" s="101"/>
      <c r="AJ53" s="101"/>
      <c r="AK53" s="5">
        <f t="shared" si="1"/>
        <v>8</v>
      </c>
      <c r="AL53" s="5">
        <f t="shared" si="2"/>
        <v>5</v>
      </c>
    </row>
    <row r="54" spans="1:38" ht="16.5" x14ac:dyDescent="0.25">
      <c r="A54" s="9">
        <v>25</v>
      </c>
      <c r="B54" s="14"/>
      <c r="C54" s="14" t="s">
        <v>103</v>
      </c>
      <c r="D54" s="14" t="s">
        <v>104</v>
      </c>
      <c r="E54" s="8" t="s">
        <v>6</v>
      </c>
      <c r="F54" s="101" t="s">
        <v>112</v>
      </c>
      <c r="G54" s="101" t="s">
        <v>112</v>
      </c>
      <c r="H54" s="101" t="s">
        <v>111</v>
      </c>
      <c r="I54" s="101" t="s">
        <v>111</v>
      </c>
      <c r="J54" s="119"/>
      <c r="K54" s="101" t="s">
        <v>112</v>
      </c>
      <c r="L54" s="101" t="s">
        <v>112</v>
      </c>
      <c r="M54" s="101" t="s">
        <v>112</v>
      </c>
      <c r="N54" s="101" t="s">
        <v>111</v>
      </c>
      <c r="O54" s="101" t="s">
        <v>112</v>
      </c>
      <c r="P54" s="101" t="s">
        <v>112</v>
      </c>
      <c r="Q54" s="119"/>
      <c r="R54" s="101" t="s">
        <v>112</v>
      </c>
      <c r="S54" s="101" t="s">
        <v>112</v>
      </c>
      <c r="T54" s="101" t="s">
        <v>112</v>
      </c>
      <c r="U54" s="101"/>
      <c r="V54" s="101"/>
      <c r="W54" s="101"/>
      <c r="X54" s="119"/>
      <c r="Y54" s="101"/>
      <c r="Z54" s="101"/>
      <c r="AA54" s="101"/>
      <c r="AB54" s="101"/>
      <c r="AC54" s="101"/>
      <c r="AD54" s="101"/>
      <c r="AE54" s="119"/>
      <c r="AF54" s="101"/>
      <c r="AG54" s="101"/>
      <c r="AH54" s="101"/>
      <c r="AI54" s="101"/>
      <c r="AJ54" s="101"/>
      <c r="AK54" s="5">
        <f t="shared" si="1"/>
        <v>10</v>
      </c>
      <c r="AL54" s="5">
        <f t="shared" si="2"/>
        <v>3</v>
      </c>
    </row>
    <row r="55" spans="1:38" ht="16.5" x14ac:dyDescent="0.25">
      <c r="A55" s="9">
        <v>26</v>
      </c>
      <c r="B55" s="14"/>
      <c r="C55" s="14" t="s">
        <v>115</v>
      </c>
      <c r="D55" s="14" t="s">
        <v>116</v>
      </c>
      <c r="E55" s="8" t="s">
        <v>6</v>
      </c>
      <c r="F55" s="101" t="s">
        <v>111</v>
      </c>
      <c r="G55" s="101" t="s">
        <v>111</v>
      </c>
      <c r="H55" s="101" t="s">
        <v>111</v>
      </c>
      <c r="I55" s="101" t="s">
        <v>111</v>
      </c>
      <c r="J55" s="119"/>
      <c r="K55" s="101" t="s">
        <v>111</v>
      </c>
      <c r="L55" s="101" t="s">
        <v>112</v>
      </c>
      <c r="M55" s="101" t="s">
        <v>112</v>
      </c>
      <c r="N55" s="101" t="s">
        <v>112</v>
      </c>
      <c r="O55" s="101" t="s">
        <v>112</v>
      </c>
      <c r="P55" s="101" t="s">
        <v>112</v>
      </c>
      <c r="Q55" s="119"/>
      <c r="R55" s="101" t="s">
        <v>112</v>
      </c>
      <c r="S55" s="101" t="s">
        <v>112</v>
      </c>
      <c r="T55" s="101" t="s">
        <v>112</v>
      </c>
      <c r="U55" s="101"/>
      <c r="V55" s="101"/>
      <c r="W55" s="101"/>
      <c r="X55" s="119"/>
      <c r="Y55" s="101"/>
      <c r="Z55" s="101"/>
      <c r="AA55" s="101"/>
      <c r="AB55" s="101"/>
      <c r="AC55" s="101"/>
      <c r="AD55" s="101"/>
      <c r="AE55" s="119"/>
      <c r="AF55" s="101"/>
      <c r="AG55" s="101"/>
      <c r="AH55" s="101"/>
      <c r="AI55" s="101"/>
      <c r="AJ55" s="101"/>
      <c r="AK55" s="5">
        <f t="shared" si="1"/>
        <v>8</v>
      </c>
      <c r="AL55" s="5">
        <f t="shared" si="2"/>
        <v>5</v>
      </c>
    </row>
    <row r="56" spans="1:38" ht="16.5" x14ac:dyDescent="0.25">
      <c r="A56" s="9">
        <v>27</v>
      </c>
      <c r="B56" s="14"/>
      <c r="C56" s="14" t="s">
        <v>117</v>
      </c>
      <c r="D56" s="14" t="s">
        <v>118</v>
      </c>
      <c r="E56" s="8" t="s">
        <v>6</v>
      </c>
      <c r="F56" s="101" t="s">
        <v>111</v>
      </c>
      <c r="G56" s="101" t="s">
        <v>111</v>
      </c>
      <c r="H56" s="101" t="s">
        <v>112</v>
      </c>
      <c r="I56" s="101" t="s">
        <v>112</v>
      </c>
      <c r="J56" s="119"/>
      <c r="K56" s="101" t="s">
        <v>111</v>
      </c>
      <c r="L56" s="101" t="s">
        <v>112</v>
      </c>
      <c r="M56" s="101" t="s">
        <v>112</v>
      </c>
      <c r="N56" s="101" t="s">
        <v>112</v>
      </c>
      <c r="O56" s="101" t="s">
        <v>112</v>
      </c>
      <c r="P56" s="101" t="s">
        <v>112</v>
      </c>
      <c r="Q56" s="119"/>
      <c r="R56" s="101" t="s">
        <v>112</v>
      </c>
      <c r="S56" s="101" t="s">
        <v>112</v>
      </c>
      <c r="T56" s="101" t="s">
        <v>112</v>
      </c>
      <c r="U56" s="101"/>
      <c r="V56" s="101"/>
      <c r="W56" s="101"/>
      <c r="X56" s="119"/>
      <c r="Y56" s="101"/>
      <c r="Z56" s="101"/>
      <c r="AA56" s="101"/>
      <c r="AB56" s="101"/>
      <c r="AC56" s="101"/>
      <c r="AD56" s="101"/>
      <c r="AE56" s="119"/>
      <c r="AF56" s="101"/>
      <c r="AG56" s="101"/>
      <c r="AH56" s="101"/>
      <c r="AI56" s="101"/>
      <c r="AJ56" s="101"/>
      <c r="AK56" s="5">
        <f t="shared" si="1"/>
        <v>10</v>
      </c>
      <c r="AL56" s="5">
        <f t="shared" si="2"/>
        <v>3</v>
      </c>
    </row>
    <row r="57" spans="1:38" ht="16.5" x14ac:dyDescent="0.25">
      <c r="A57" s="9">
        <v>28</v>
      </c>
      <c r="B57" s="14"/>
      <c r="C57" s="14" t="s">
        <v>125</v>
      </c>
      <c r="D57" s="14" t="s">
        <v>124</v>
      </c>
      <c r="E57" s="8" t="s">
        <v>6</v>
      </c>
      <c r="F57" s="101" t="s">
        <v>111</v>
      </c>
      <c r="G57" s="101" t="s">
        <v>112</v>
      </c>
      <c r="H57" s="101" t="s">
        <v>112</v>
      </c>
      <c r="I57" s="101" t="s">
        <v>112</v>
      </c>
      <c r="J57" s="119"/>
      <c r="K57" s="101" t="s">
        <v>112</v>
      </c>
      <c r="L57" s="101" t="s">
        <v>112</v>
      </c>
      <c r="M57" s="101" t="s">
        <v>112</v>
      </c>
      <c r="N57" s="101" t="s">
        <v>112</v>
      </c>
      <c r="O57" s="101" t="s">
        <v>112</v>
      </c>
      <c r="P57" s="101" t="s">
        <v>112</v>
      </c>
      <c r="Q57" s="119"/>
      <c r="R57" s="101" t="s">
        <v>112</v>
      </c>
      <c r="S57" s="101" t="s">
        <v>112</v>
      </c>
      <c r="T57" s="101" t="s">
        <v>112</v>
      </c>
      <c r="U57" s="101"/>
      <c r="V57" s="101"/>
      <c r="W57" s="101"/>
      <c r="X57" s="119"/>
      <c r="Y57" s="101"/>
      <c r="Z57" s="101"/>
      <c r="AA57" s="101"/>
      <c r="AB57" s="101"/>
      <c r="AC57" s="101"/>
      <c r="AD57" s="101"/>
      <c r="AE57" s="119"/>
      <c r="AF57" s="101"/>
      <c r="AG57" s="101"/>
      <c r="AH57" s="101"/>
      <c r="AI57" s="101"/>
      <c r="AJ57" s="101"/>
      <c r="AK57" s="5">
        <f t="shared" si="1"/>
        <v>12</v>
      </c>
      <c r="AL57" s="5">
        <f t="shared" si="2"/>
        <v>1</v>
      </c>
    </row>
    <row r="58" spans="1:38" ht="16.5" x14ac:dyDescent="0.25">
      <c r="A58" s="9">
        <v>29</v>
      </c>
      <c r="B58" s="11">
        <v>191</v>
      </c>
      <c r="C58" s="7" t="s">
        <v>100</v>
      </c>
      <c r="D58" s="7" t="s">
        <v>101</v>
      </c>
      <c r="E58" s="8" t="s">
        <v>6</v>
      </c>
      <c r="F58" s="101" t="s">
        <v>111</v>
      </c>
      <c r="G58" s="101" t="s">
        <v>111</v>
      </c>
      <c r="H58" s="101" t="s">
        <v>111</v>
      </c>
      <c r="I58" s="101" t="s">
        <v>111</v>
      </c>
      <c r="J58" s="120"/>
      <c r="K58" s="101" t="s">
        <v>111</v>
      </c>
      <c r="L58" s="101" t="s">
        <v>111</v>
      </c>
      <c r="M58" s="101" t="s">
        <v>112</v>
      </c>
      <c r="N58" s="101" t="s">
        <v>112</v>
      </c>
      <c r="O58" s="101" t="s">
        <v>112</v>
      </c>
      <c r="P58" s="101" t="s">
        <v>112</v>
      </c>
      <c r="Q58" s="120"/>
      <c r="R58" s="101" t="s">
        <v>112</v>
      </c>
      <c r="S58" s="101" t="s">
        <v>112</v>
      </c>
      <c r="T58" s="101" t="s">
        <v>111</v>
      </c>
      <c r="U58" s="101"/>
      <c r="V58" s="101"/>
      <c r="W58" s="101"/>
      <c r="X58" s="120"/>
      <c r="Y58" s="101"/>
      <c r="Z58" s="101"/>
      <c r="AA58" s="101"/>
      <c r="AB58" s="101"/>
      <c r="AC58" s="101"/>
      <c r="AD58" s="101"/>
      <c r="AE58" s="120"/>
      <c r="AF58" s="101"/>
      <c r="AG58" s="101"/>
      <c r="AH58" s="101"/>
      <c r="AI58" s="101"/>
      <c r="AJ58" s="101"/>
      <c r="AK58" s="5">
        <f t="shared" si="1"/>
        <v>6</v>
      </c>
      <c r="AL58" s="5">
        <f t="shared" si="2"/>
        <v>7</v>
      </c>
    </row>
  </sheetData>
  <mergeCells count="16">
    <mergeCell ref="A2:AL2"/>
    <mergeCell ref="J5:J58"/>
    <mergeCell ref="Q5:Q58"/>
    <mergeCell ref="X5:X58"/>
    <mergeCell ref="A3:A4"/>
    <mergeCell ref="B3:B4"/>
    <mergeCell ref="C3:C4"/>
    <mergeCell ref="D3:D4"/>
    <mergeCell ref="E3:E4"/>
    <mergeCell ref="AM3:AN3"/>
    <mergeCell ref="AM11:AP11"/>
    <mergeCell ref="AM19:AP19"/>
    <mergeCell ref="A1:AL1"/>
    <mergeCell ref="AK3:AK4"/>
    <mergeCell ref="AL3:AL4"/>
    <mergeCell ref="AE5:AE58"/>
  </mergeCells>
  <conditionalFormatting sqref="F3:AJ4 G5:J5 Q5 X5 AE5 F5:F58 K5:P58 R5:W58 Y5:AD58 AF5:AJ58 G6:I58">
    <cfRule type="expression" dxfId="320" priority="13">
      <formula>F$3="SUN"</formula>
    </cfRule>
  </conditionalFormatting>
  <conditionalFormatting sqref="F3:AJ4">
    <cfRule type="expression" dxfId="319" priority="14">
      <formula>F$4=TODAY()</formula>
    </cfRule>
  </conditionalFormatting>
  <conditionalFormatting sqref="G5:J5 Q5 X5 AE5 F5:F58 K5:P58 R5:W58 Y5:AD58 AF5:AJ58 G6:I58">
    <cfRule type="cellIs" dxfId="318" priority="16" operator="equal">
      <formula>"L"</formula>
    </cfRule>
    <cfRule type="cellIs" dxfId="317" priority="17" operator="equal">
      <formula>"A"</formula>
    </cfRule>
    <cfRule type="cellIs" dxfId="316" priority="18" operator="equal">
      <formula>"P"</formula>
    </cfRule>
    <cfRule type="expression" dxfId="315" priority="20">
      <formula>#REF!=TODAY()</formula>
    </cfRule>
  </conditionalFormatting>
  <conditionalFormatting sqref="AK3:AL3">
    <cfRule type="expression" dxfId="314" priority="15">
      <formula>#REF!="Sun"</formula>
    </cfRule>
  </conditionalFormatting>
  <conditionalFormatting sqref="AK5:AL58">
    <cfRule type="expression" dxfId="313" priority="19">
      <formula>#REF!="Sun"</formula>
    </cfRule>
  </conditionalFormatting>
  <conditionalFormatting sqref="AM5:AM9">
    <cfRule type="expression" dxfId="11" priority="4">
      <formula>AM$3="Sun"</formula>
    </cfRule>
  </conditionalFormatting>
  <conditionalFormatting sqref="AM12:AM15">
    <cfRule type="expression" dxfId="10" priority="2">
      <formula>AM$3="Sun"</formula>
    </cfRule>
  </conditionalFormatting>
  <conditionalFormatting sqref="AM20:AM23">
    <cfRule type="expression" dxfId="9" priority="1">
      <formula>AM$3="Sun"</formula>
    </cfRule>
  </conditionalFormatting>
  <conditionalFormatting sqref="AM4:AN4">
    <cfRule type="expression" dxfId="8" priority="5">
      <formula>AM$3="Sun"</formula>
    </cfRule>
  </conditionalFormatting>
  <conditionalFormatting sqref="AN12:AP12 AN20:AP20">
    <cfRule type="expression" dxfId="7" priority="6">
      <formula>AN$3="Sun"</formula>
    </cfRule>
  </conditionalFormatting>
  <conditionalFormatting sqref="AP21">
    <cfRule type="expression" dxfId="6" priority="3">
      <formula>AP$3="Sun"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1DF3F-C329-4E67-BE82-10031EA342AB}">
  <dimension ref="A1:AP60"/>
  <sheetViews>
    <sheetView tabSelected="1" topLeftCell="E4" workbookViewId="0">
      <selection activeCell="AO14" sqref="AO1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3.85546875" style="1" bestFit="1"/>
    <col min="37" max="37" width="6.7109375" style="1" bestFit="1" customWidth="1"/>
    <col min="38" max="38" width="6.7109375" style="1" customWidth="1"/>
    <col min="39" max="39" width="18.5703125" style="1" bestFit="1" customWidth="1"/>
    <col min="40" max="41" width="5.140625" style="1" bestFit="1" customWidth="1"/>
    <col min="42" max="42" width="5.42578125" style="1" bestFit="1" customWidth="1"/>
    <col min="43" max="16384" width="3.85546875" style="1"/>
  </cols>
  <sheetData>
    <row r="1" spans="1:42" ht="17.25" x14ac:dyDescent="0.25">
      <c r="A1" s="135" t="s">
        <v>18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7"/>
    </row>
    <row r="2" spans="1:42" ht="17.25" x14ac:dyDescent="0.3">
      <c r="A2" s="138" t="s">
        <v>121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139"/>
      <c r="AE2" s="139"/>
      <c r="AF2" s="139"/>
      <c r="AG2" s="139"/>
      <c r="AH2" s="139"/>
      <c r="AI2" s="139"/>
      <c r="AJ2" s="139"/>
      <c r="AK2" s="139"/>
      <c r="AL2" s="140"/>
    </row>
    <row r="3" spans="1:42" ht="15.75" x14ac:dyDescent="0.25">
      <c r="A3" s="124" t="s">
        <v>0</v>
      </c>
      <c r="B3" s="124" t="s">
        <v>824</v>
      </c>
      <c r="C3" s="124" t="s">
        <v>1</v>
      </c>
      <c r="D3" s="124" t="s">
        <v>2</v>
      </c>
      <c r="E3" s="124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5" t="s">
        <v>4</v>
      </c>
      <c r="AL3" s="115" t="s">
        <v>5</v>
      </c>
      <c r="AM3" s="110" t="s">
        <v>126</v>
      </c>
      <c r="AN3" s="111"/>
      <c r="AO3" s="3"/>
      <c r="AP3" s="3"/>
    </row>
    <row r="4" spans="1:42" ht="33.75" x14ac:dyDescent="0.25">
      <c r="A4" s="124"/>
      <c r="B4" s="124"/>
      <c r="C4" s="124"/>
      <c r="D4" s="124"/>
      <c r="E4" s="124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106</v>
      </c>
      <c r="C5" s="7" t="s">
        <v>130</v>
      </c>
      <c r="D5" s="7" t="s">
        <v>131</v>
      </c>
      <c r="E5" s="8" t="s">
        <v>6</v>
      </c>
      <c r="F5" s="101"/>
      <c r="G5" s="101" t="s">
        <v>111</v>
      </c>
      <c r="H5" s="101" t="s">
        <v>112</v>
      </c>
      <c r="I5" s="101" t="s">
        <v>111</v>
      </c>
      <c r="J5" s="125" t="s">
        <v>330</v>
      </c>
      <c r="K5" s="101" t="s">
        <v>111</v>
      </c>
      <c r="L5" s="101" t="s">
        <v>111</v>
      </c>
      <c r="M5" s="101" t="s">
        <v>112</v>
      </c>
      <c r="N5" s="101" t="s">
        <v>112</v>
      </c>
      <c r="O5" s="101" t="s">
        <v>112</v>
      </c>
      <c r="P5" s="101" t="s">
        <v>112</v>
      </c>
      <c r="Q5" s="125" t="s">
        <v>330</v>
      </c>
      <c r="R5" s="101" t="s">
        <v>112</v>
      </c>
      <c r="S5" s="101" t="s">
        <v>112</v>
      </c>
      <c r="T5" s="101" t="s">
        <v>112</v>
      </c>
      <c r="U5" s="101" t="s">
        <v>112</v>
      </c>
      <c r="V5" s="101" t="s">
        <v>112</v>
      </c>
      <c r="W5" s="101" t="s">
        <v>112</v>
      </c>
      <c r="X5" s="125" t="s">
        <v>330</v>
      </c>
      <c r="Y5" s="101" t="s">
        <v>112</v>
      </c>
      <c r="Z5" s="101" t="s">
        <v>112</v>
      </c>
      <c r="AA5" s="101" t="s">
        <v>112</v>
      </c>
      <c r="AB5" s="101" t="s">
        <v>112</v>
      </c>
      <c r="AC5" s="101"/>
      <c r="AD5" s="101"/>
      <c r="AE5" s="125" t="s">
        <v>330</v>
      </c>
      <c r="AF5" s="101"/>
      <c r="AG5" s="101"/>
      <c r="AH5" s="101"/>
      <c r="AI5" s="101"/>
      <c r="AJ5" s="101"/>
      <c r="AK5" s="5">
        <f t="shared" ref="AK5:AK60" si="1">COUNTIF(F5:AJ5,"P")</f>
        <v>15</v>
      </c>
      <c r="AL5" s="5">
        <f t="shared" ref="AL5:AL60" si="2">COUNTIF(F5:AJ5,"A")</f>
        <v>4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>
        <v>75</v>
      </c>
      <c r="C6" s="7" t="s">
        <v>132</v>
      </c>
      <c r="D6" s="7" t="s">
        <v>133</v>
      </c>
      <c r="E6" s="8" t="s">
        <v>6</v>
      </c>
      <c r="F6" s="101"/>
      <c r="G6" s="101" t="s">
        <v>112</v>
      </c>
      <c r="H6" s="101" t="s">
        <v>112</v>
      </c>
      <c r="I6" s="101" t="s">
        <v>112</v>
      </c>
      <c r="J6" s="125"/>
      <c r="K6" s="101" t="s">
        <v>112</v>
      </c>
      <c r="L6" s="101" t="s">
        <v>112</v>
      </c>
      <c r="M6" s="101" t="s">
        <v>112</v>
      </c>
      <c r="N6" s="101" t="s">
        <v>112</v>
      </c>
      <c r="O6" s="101" t="s">
        <v>112</v>
      </c>
      <c r="P6" s="101" t="s">
        <v>112</v>
      </c>
      <c r="Q6" s="125"/>
      <c r="R6" s="101" t="s">
        <v>112</v>
      </c>
      <c r="S6" s="101" t="s">
        <v>112</v>
      </c>
      <c r="T6" s="101" t="s">
        <v>112</v>
      </c>
      <c r="U6" s="101" t="s">
        <v>112</v>
      </c>
      <c r="V6" s="101" t="s">
        <v>112</v>
      </c>
      <c r="W6" s="101" t="s">
        <v>111</v>
      </c>
      <c r="X6" s="125"/>
      <c r="Y6" s="101" t="s">
        <v>111</v>
      </c>
      <c r="Z6" s="101" t="s">
        <v>111</v>
      </c>
      <c r="AA6" s="101" t="s">
        <v>112</v>
      </c>
      <c r="AB6" s="101" t="s">
        <v>112</v>
      </c>
      <c r="AC6" s="101"/>
      <c r="AD6" s="101"/>
      <c r="AE6" s="125"/>
      <c r="AF6" s="101"/>
      <c r="AG6" s="101"/>
      <c r="AH6" s="101"/>
      <c r="AI6" s="101"/>
      <c r="AJ6" s="101"/>
      <c r="AK6" s="5">
        <f t="shared" si="1"/>
        <v>16</v>
      </c>
      <c r="AL6" s="5">
        <f t="shared" si="2"/>
        <v>3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109</v>
      </c>
      <c r="C7" s="7" t="s">
        <v>134</v>
      </c>
      <c r="D7" s="7" t="s">
        <v>97</v>
      </c>
      <c r="E7" s="8" t="s">
        <v>6</v>
      </c>
      <c r="F7" s="101"/>
      <c r="G7" s="101" t="s">
        <v>111</v>
      </c>
      <c r="H7" s="101" t="s">
        <v>111</v>
      </c>
      <c r="I7" s="101" t="s">
        <v>111</v>
      </c>
      <c r="J7" s="125"/>
      <c r="K7" s="101" t="s">
        <v>111</v>
      </c>
      <c r="L7" s="101" t="s">
        <v>111</v>
      </c>
      <c r="M7" s="101" t="s">
        <v>111</v>
      </c>
      <c r="N7" s="101" t="s">
        <v>111</v>
      </c>
      <c r="O7" s="101" t="s">
        <v>111</v>
      </c>
      <c r="P7" s="101" t="s">
        <v>111</v>
      </c>
      <c r="Q7" s="125"/>
      <c r="R7" s="101" t="s">
        <v>112</v>
      </c>
      <c r="S7" s="101" t="s">
        <v>112</v>
      </c>
      <c r="T7" s="101" t="s">
        <v>112</v>
      </c>
      <c r="U7" s="101" t="s">
        <v>112</v>
      </c>
      <c r="V7" s="101" t="s">
        <v>112</v>
      </c>
      <c r="W7" s="101" t="s">
        <v>112</v>
      </c>
      <c r="X7" s="125"/>
      <c r="Y7" s="101" t="s">
        <v>112</v>
      </c>
      <c r="Z7" s="101" t="s">
        <v>112</v>
      </c>
      <c r="AA7" s="101" t="s">
        <v>112</v>
      </c>
      <c r="AB7" s="101" t="s">
        <v>112</v>
      </c>
      <c r="AC7" s="101"/>
      <c r="AD7" s="101"/>
      <c r="AE7" s="125"/>
      <c r="AF7" s="101"/>
      <c r="AG7" s="101"/>
      <c r="AH7" s="101"/>
      <c r="AI7" s="101"/>
      <c r="AJ7" s="101"/>
      <c r="AK7" s="5">
        <f t="shared" si="1"/>
        <v>10</v>
      </c>
      <c r="AL7" s="5">
        <f t="shared" si="2"/>
        <v>9</v>
      </c>
      <c r="AM7" s="5" t="s">
        <v>828</v>
      </c>
      <c r="AN7" s="9">
        <v>1</v>
      </c>
      <c r="AO7" s="3"/>
      <c r="AP7" s="3"/>
    </row>
    <row r="8" spans="1:42" ht="16.5" x14ac:dyDescent="0.25">
      <c r="A8" s="9">
        <v>4</v>
      </c>
      <c r="B8" s="11">
        <v>49</v>
      </c>
      <c r="C8" s="7" t="s">
        <v>135</v>
      </c>
      <c r="D8" s="7" t="s">
        <v>136</v>
      </c>
      <c r="E8" s="8" t="s">
        <v>6</v>
      </c>
      <c r="F8" s="101"/>
      <c r="G8" s="101" t="s">
        <v>111</v>
      </c>
      <c r="H8" s="101" t="s">
        <v>111</v>
      </c>
      <c r="I8" s="101" t="s">
        <v>111</v>
      </c>
      <c r="J8" s="125"/>
      <c r="K8" s="101" t="s">
        <v>112</v>
      </c>
      <c r="L8" s="101" t="s">
        <v>111</v>
      </c>
      <c r="M8" s="101" t="s">
        <v>112</v>
      </c>
      <c r="N8" s="101" t="s">
        <v>112</v>
      </c>
      <c r="O8" s="101" t="s">
        <v>112</v>
      </c>
      <c r="P8" s="101" t="s">
        <v>111</v>
      </c>
      <c r="Q8" s="125"/>
      <c r="R8" s="101" t="s">
        <v>112</v>
      </c>
      <c r="S8" s="101" t="s">
        <v>112</v>
      </c>
      <c r="T8" s="101" t="s">
        <v>112</v>
      </c>
      <c r="U8" s="101" t="s">
        <v>112</v>
      </c>
      <c r="V8" s="101" t="s">
        <v>111</v>
      </c>
      <c r="W8" s="101" t="s">
        <v>111</v>
      </c>
      <c r="X8" s="125"/>
      <c r="Y8" s="101" t="s">
        <v>111</v>
      </c>
      <c r="Z8" s="101" t="s">
        <v>112</v>
      </c>
      <c r="AA8" s="101" t="s">
        <v>112</v>
      </c>
      <c r="AB8" s="101" t="s">
        <v>112</v>
      </c>
      <c r="AC8" s="101"/>
      <c r="AD8" s="101"/>
      <c r="AE8" s="125"/>
      <c r="AF8" s="101"/>
      <c r="AG8" s="101"/>
      <c r="AH8" s="101"/>
      <c r="AI8" s="101"/>
      <c r="AJ8" s="101"/>
      <c r="AK8" s="5">
        <f t="shared" si="1"/>
        <v>11</v>
      </c>
      <c r="AL8" s="5">
        <f t="shared" si="2"/>
        <v>8</v>
      </c>
      <c r="AM8" s="5"/>
      <c r="AN8" s="9"/>
      <c r="AO8"/>
      <c r="AP8"/>
    </row>
    <row r="9" spans="1:42" ht="16.5" x14ac:dyDescent="0.25">
      <c r="A9" s="9">
        <v>5</v>
      </c>
      <c r="B9" s="11">
        <v>104</v>
      </c>
      <c r="C9" s="7" t="s">
        <v>137</v>
      </c>
      <c r="D9" s="7" t="s">
        <v>138</v>
      </c>
      <c r="E9" s="8" t="s">
        <v>6</v>
      </c>
      <c r="F9" s="101"/>
      <c r="G9" s="101" t="s">
        <v>112</v>
      </c>
      <c r="H9" s="101" t="s">
        <v>112</v>
      </c>
      <c r="I9" s="101" t="s">
        <v>111</v>
      </c>
      <c r="J9" s="125"/>
      <c r="K9" s="101" t="s">
        <v>112</v>
      </c>
      <c r="L9" s="101" t="s">
        <v>112</v>
      </c>
      <c r="M9" s="101" t="s">
        <v>112</v>
      </c>
      <c r="N9" s="101" t="s">
        <v>112</v>
      </c>
      <c r="O9" s="101" t="s">
        <v>112</v>
      </c>
      <c r="P9" s="101" t="s">
        <v>112</v>
      </c>
      <c r="Q9" s="125"/>
      <c r="R9" s="101" t="s">
        <v>112</v>
      </c>
      <c r="S9" s="101" t="s">
        <v>112</v>
      </c>
      <c r="T9" s="101" t="s">
        <v>112</v>
      </c>
      <c r="U9" s="101" t="s">
        <v>112</v>
      </c>
      <c r="V9" s="101" t="s">
        <v>112</v>
      </c>
      <c r="W9" s="101" t="s">
        <v>112</v>
      </c>
      <c r="X9" s="125"/>
      <c r="Y9" s="101" t="s">
        <v>112</v>
      </c>
      <c r="Z9" s="101" t="s">
        <v>111</v>
      </c>
      <c r="AA9" s="101" t="s">
        <v>112</v>
      </c>
      <c r="AB9" s="101" t="s">
        <v>112</v>
      </c>
      <c r="AC9" s="101"/>
      <c r="AD9" s="101"/>
      <c r="AE9" s="125"/>
      <c r="AF9" s="101"/>
      <c r="AG9" s="101"/>
      <c r="AH9" s="101"/>
      <c r="AI9" s="101"/>
      <c r="AJ9" s="101"/>
      <c r="AK9" s="5">
        <f t="shared" si="1"/>
        <v>17</v>
      </c>
      <c r="AL9" s="5">
        <f t="shared" si="2"/>
        <v>2</v>
      </c>
      <c r="AM9" s="5"/>
      <c r="AN9" s="9"/>
    </row>
    <row r="10" spans="1:42" ht="16.5" x14ac:dyDescent="0.25">
      <c r="A10" s="9">
        <v>6</v>
      </c>
      <c r="B10" s="11">
        <v>88</v>
      </c>
      <c r="C10" s="7" t="s">
        <v>139</v>
      </c>
      <c r="D10" s="7" t="s">
        <v>140</v>
      </c>
      <c r="E10" s="8" t="s">
        <v>6</v>
      </c>
      <c r="F10" s="101"/>
      <c r="G10" s="101" t="s">
        <v>112</v>
      </c>
      <c r="H10" s="101" t="s">
        <v>111</v>
      </c>
      <c r="I10" s="101" t="s">
        <v>111</v>
      </c>
      <c r="J10" s="125"/>
      <c r="K10" s="101" t="s">
        <v>112</v>
      </c>
      <c r="L10" s="101" t="s">
        <v>112</v>
      </c>
      <c r="M10" s="101" t="s">
        <v>112</v>
      </c>
      <c r="N10" s="101" t="s">
        <v>112</v>
      </c>
      <c r="O10" s="101" t="s">
        <v>112</v>
      </c>
      <c r="P10" s="101" t="s">
        <v>112</v>
      </c>
      <c r="Q10" s="125"/>
      <c r="R10" s="101" t="s">
        <v>112</v>
      </c>
      <c r="S10" s="101" t="s">
        <v>112</v>
      </c>
      <c r="T10" s="101" t="s">
        <v>112</v>
      </c>
      <c r="U10" s="101" t="s">
        <v>112</v>
      </c>
      <c r="V10" s="101" t="s">
        <v>111</v>
      </c>
      <c r="W10" s="101" t="s">
        <v>112</v>
      </c>
      <c r="X10" s="125"/>
      <c r="Y10" s="101" t="s">
        <v>112</v>
      </c>
      <c r="Z10" s="101" t="s">
        <v>112</v>
      </c>
      <c r="AA10" s="101" t="s">
        <v>112</v>
      </c>
      <c r="AB10" s="101" t="s">
        <v>112</v>
      </c>
      <c r="AC10" s="101"/>
      <c r="AD10" s="101"/>
      <c r="AE10" s="125"/>
      <c r="AF10" s="101"/>
      <c r="AG10" s="101"/>
      <c r="AH10" s="101"/>
      <c r="AI10" s="101"/>
      <c r="AJ10" s="101"/>
      <c r="AK10" s="5">
        <f t="shared" si="1"/>
        <v>16</v>
      </c>
      <c r="AL10" s="5">
        <f t="shared" si="2"/>
        <v>3</v>
      </c>
    </row>
    <row r="11" spans="1:42" ht="16.5" x14ac:dyDescent="0.25">
      <c r="A11" s="9">
        <v>7</v>
      </c>
      <c r="B11" s="11">
        <v>59</v>
      </c>
      <c r="C11" s="7" t="s">
        <v>141</v>
      </c>
      <c r="D11" s="7" t="s">
        <v>142</v>
      </c>
      <c r="E11" s="8" t="s">
        <v>6</v>
      </c>
      <c r="F11" s="101"/>
      <c r="G11" s="101" t="s">
        <v>112</v>
      </c>
      <c r="H11" s="101" t="s">
        <v>112</v>
      </c>
      <c r="I11" s="101" t="s">
        <v>111</v>
      </c>
      <c r="J11" s="125"/>
      <c r="K11" s="101" t="s">
        <v>111</v>
      </c>
      <c r="L11" s="101" t="s">
        <v>112</v>
      </c>
      <c r="M11" s="101" t="s">
        <v>112</v>
      </c>
      <c r="N11" s="101" t="s">
        <v>112</v>
      </c>
      <c r="O11" s="101" t="s">
        <v>112</v>
      </c>
      <c r="P11" s="101" t="s">
        <v>112</v>
      </c>
      <c r="Q11" s="125"/>
      <c r="R11" s="101" t="s">
        <v>112</v>
      </c>
      <c r="S11" s="101" t="s">
        <v>112</v>
      </c>
      <c r="T11" s="101" t="s">
        <v>112</v>
      </c>
      <c r="U11" s="101" t="s">
        <v>112</v>
      </c>
      <c r="V11" s="101" t="s">
        <v>112</v>
      </c>
      <c r="W11" s="101" t="s">
        <v>112</v>
      </c>
      <c r="X11" s="125"/>
      <c r="Y11" s="101" t="s">
        <v>111</v>
      </c>
      <c r="Z11" s="101" t="s">
        <v>111</v>
      </c>
      <c r="AA11" s="101" t="s">
        <v>112</v>
      </c>
      <c r="AB11" s="101" t="s">
        <v>112</v>
      </c>
      <c r="AC11" s="101"/>
      <c r="AD11" s="101"/>
      <c r="AE11" s="125"/>
      <c r="AF11" s="101"/>
      <c r="AG11" s="101"/>
      <c r="AH11" s="101"/>
      <c r="AI11" s="101"/>
      <c r="AJ11" s="101"/>
      <c r="AK11" s="5">
        <f t="shared" si="1"/>
        <v>15</v>
      </c>
      <c r="AL11" s="5">
        <f t="shared" si="2"/>
        <v>4</v>
      </c>
      <c r="AM11" s="110" t="s">
        <v>9</v>
      </c>
      <c r="AN11" s="111"/>
      <c r="AO11" s="111"/>
      <c r="AP11" s="112"/>
    </row>
    <row r="12" spans="1:42" ht="16.5" x14ac:dyDescent="0.25">
      <c r="A12" s="9">
        <v>8</v>
      </c>
      <c r="B12" s="11">
        <v>83</v>
      </c>
      <c r="C12" s="7" t="s">
        <v>143</v>
      </c>
      <c r="D12" s="7" t="s">
        <v>144</v>
      </c>
      <c r="E12" s="8" t="s">
        <v>6</v>
      </c>
      <c r="F12" s="101"/>
      <c r="G12" s="101" t="s">
        <v>112</v>
      </c>
      <c r="H12" s="101" t="s">
        <v>111</v>
      </c>
      <c r="I12" s="101" t="s">
        <v>111</v>
      </c>
      <c r="J12" s="125"/>
      <c r="K12" s="101" t="s">
        <v>112</v>
      </c>
      <c r="L12" s="101" t="s">
        <v>112</v>
      </c>
      <c r="M12" s="101" t="s">
        <v>112</v>
      </c>
      <c r="N12" s="101" t="s">
        <v>112</v>
      </c>
      <c r="O12" s="101" t="s">
        <v>112</v>
      </c>
      <c r="P12" s="101" t="s">
        <v>112</v>
      </c>
      <c r="Q12" s="125"/>
      <c r="R12" s="101" t="s">
        <v>112</v>
      </c>
      <c r="S12" s="101" t="s">
        <v>112</v>
      </c>
      <c r="T12" s="101" t="s">
        <v>112</v>
      </c>
      <c r="U12" s="101" t="s">
        <v>112</v>
      </c>
      <c r="V12" s="101" t="s">
        <v>111</v>
      </c>
      <c r="W12" s="101" t="s">
        <v>111</v>
      </c>
      <c r="X12" s="125"/>
      <c r="Y12" s="101" t="s">
        <v>112</v>
      </c>
      <c r="Z12" s="101" t="s">
        <v>112</v>
      </c>
      <c r="AA12" s="101" t="s">
        <v>112</v>
      </c>
      <c r="AB12" s="101" t="s">
        <v>111</v>
      </c>
      <c r="AC12" s="101"/>
      <c r="AD12" s="101"/>
      <c r="AE12" s="125"/>
      <c r="AF12" s="101"/>
      <c r="AG12" s="101"/>
      <c r="AH12" s="101"/>
      <c r="AI12" s="101"/>
      <c r="AJ12" s="101"/>
      <c r="AK12" s="5">
        <f t="shared" si="1"/>
        <v>14</v>
      </c>
      <c r="AL12" s="5">
        <f t="shared" si="2"/>
        <v>5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1">
        <v>89</v>
      </c>
      <c r="C13" s="7" t="s">
        <v>145</v>
      </c>
      <c r="D13" s="7" t="s">
        <v>146</v>
      </c>
      <c r="E13" s="8" t="s">
        <v>6</v>
      </c>
      <c r="F13" s="101"/>
      <c r="G13" s="101" t="s">
        <v>112</v>
      </c>
      <c r="H13" s="101" t="s">
        <v>111</v>
      </c>
      <c r="I13" s="101" t="s">
        <v>111</v>
      </c>
      <c r="J13" s="125"/>
      <c r="K13" s="101" t="s">
        <v>112</v>
      </c>
      <c r="L13" s="101" t="s">
        <v>112</v>
      </c>
      <c r="M13" s="101" t="s">
        <v>112</v>
      </c>
      <c r="N13" s="101" t="s">
        <v>112</v>
      </c>
      <c r="O13" s="101" t="s">
        <v>112</v>
      </c>
      <c r="P13" s="101" t="s">
        <v>112</v>
      </c>
      <c r="Q13" s="125"/>
      <c r="R13" s="101" t="s">
        <v>112</v>
      </c>
      <c r="S13" s="101" t="s">
        <v>112</v>
      </c>
      <c r="T13" s="101" t="s">
        <v>112</v>
      </c>
      <c r="U13" s="101" t="s">
        <v>112</v>
      </c>
      <c r="V13" s="101" t="s">
        <v>111</v>
      </c>
      <c r="W13" s="101" t="s">
        <v>112</v>
      </c>
      <c r="X13" s="125"/>
      <c r="Y13" s="101" t="s">
        <v>112</v>
      </c>
      <c r="Z13" s="101" t="s">
        <v>112</v>
      </c>
      <c r="AA13" s="101" t="s">
        <v>112</v>
      </c>
      <c r="AB13" s="101" t="s">
        <v>112</v>
      </c>
      <c r="AC13" s="101"/>
      <c r="AD13" s="101"/>
      <c r="AE13" s="125"/>
      <c r="AF13" s="101"/>
      <c r="AG13" s="101"/>
      <c r="AH13" s="101"/>
      <c r="AI13" s="101"/>
      <c r="AJ13" s="101"/>
      <c r="AK13" s="5">
        <f t="shared" si="1"/>
        <v>16</v>
      </c>
      <c r="AL13" s="5">
        <f t="shared" si="2"/>
        <v>3</v>
      </c>
      <c r="AM13" s="5" t="s">
        <v>14</v>
      </c>
      <c r="AN13" s="9">
        <f>32*$AN$5</f>
        <v>832</v>
      </c>
      <c r="AO13" s="9">
        <f>24*$AN$5</f>
        <v>624</v>
      </c>
      <c r="AP13" s="9">
        <f>SUM(AN13:AO13)</f>
        <v>1456</v>
      </c>
    </row>
    <row r="14" spans="1:42" ht="16.5" x14ac:dyDescent="0.25">
      <c r="A14" s="9">
        <v>10</v>
      </c>
      <c r="B14" s="102">
        <v>86</v>
      </c>
      <c r="C14" s="7" t="s">
        <v>147</v>
      </c>
      <c r="D14" s="7" t="s">
        <v>148</v>
      </c>
      <c r="E14" s="8" t="s">
        <v>6</v>
      </c>
      <c r="F14" s="101"/>
      <c r="G14" s="101" t="s">
        <v>112</v>
      </c>
      <c r="H14" s="101" t="s">
        <v>112</v>
      </c>
      <c r="I14" s="101" t="s">
        <v>111</v>
      </c>
      <c r="J14" s="125"/>
      <c r="K14" s="101" t="s">
        <v>112</v>
      </c>
      <c r="L14" s="101" t="s">
        <v>112</v>
      </c>
      <c r="M14" s="101" t="s">
        <v>112</v>
      </c>
      <c r="N14" s="101" t="s">
        <v>112</v>
      </c>
      <c r="O14" s="101" t="s">
        <v>111</v>
      </c>
      <c r="P14" s="101" t="s">
        <v>112</v>
      </c>
      <c r="Q14" s="125"/>
      <c r="R14" s="101" t="s">
        <v>112</v>
      </c>
      <c r="S14" s="101" t="s">
        <v>112</v>
      </c>
      <c r="T14" s="101" t="s">
        <v>112</v>
      </c>
      <c r="U14" s="101" t="s">
        <v>112</v>
      </c>
      <c r="V14" s="101" t="s">
        <v>112</v>
      </c>
      <c r="W14" s="101" t="s">
        <v>112</v>
      </c>
      <c r="X14" s="125"/>
      <c r="Y14" s="101" t="s">
        <v>112</v>
      </c>
      <c r="Z14" s="101" t="s">
        <v>112</v>
      </c>
      <c r="AA14" s="101" t="s">
        <v>112</v>
      </c>
      <c r="AB14" s="101" t="s">
        <v>112</v>
      </c>
      <c r="AC14" s="101"/>
      <c r="AD14" s="101"/>
      <c r="AE14" s="125"/>
      <c r="AF14" s="101"/>
      <c r="AG14" s="101"/>
      <c r="AH14" s="101"/>
      <c r="AI14" s="101"/>
      <c r="AJ14" s="101"/>
      <c r="AK14" s="5">
        <f t="shared" si="1"/>
        <v>17</v>
      </c>
      <c r="AL14" s="5">
        <f t="shared" si="2"/>
        <v>2</v>
      </c>
      <c r="AM14" s="5" t="s">
        <v>15</v>
      </c>
      <c r="AN14" s="9">
        <f>SUM(AK29:AK60)</f>
        <v>437</v>
      </c>
      <c r="AO14" s="9">
        <f>SUM(AK5:AK28)</f>
        <v>325</v>
      </c>
      <c r="AP14" s="9">
        <f>AN14+AO14</f>
        <v>762</v>
      </c>
    </row>
    <row r="15" spans="1:42" ht="16.5" x14ac:dyDescent="0.25">
      <c r="A15" s="9">
        <v>11</v>
      </c>
      <c r="B15" s="102">
        <v>105</v>
      </c>
      <c r="C15" s="7" t="s">
        <v>149</v>
      </c>
      <c r="D15" s="7" t="s">
        <v>150</v>
      </c>
      <c r="E15" s="8" t="s">
        <v>6</v>
      </c>
      <c r="F15" s="101"/>
      <c r="G15" s="101" t="s">
        <v>111</v>
      </c>
      <c r="H15" s="101" t="s">
        <v>111</v>
      </c>
      <c r="I15" s="101" t="s">
        <v>111</v>
      </c>
      <c r="J15" s="125"/>
      <c r="K15" s="101" t="s">
        <v>112</v>
      </c>
      <c r="L15" s="101" t="s">
        <v>112</v>
      </c>
      <c r="M15" s="101" t="s">
        <v>112</v>
      </c>
      <c r="N15" s="101" t="s">
        <v>112</v>
      </c>
      <c r="O15" s="101" t="s">
        <v>112</v>
      </c>
      <c r="P15" s="101" t="s">
        <v>112</v>
      </c>
      <c r="Q15" s="125"/>
      <c r="R15" s="101" t="s">
        <v>112</v>
      </c>
      <c r="S15" s="101" t="s">
        <v>112</v>
      </c>
      <c r="T15" s="101" t="s">
        <v>112</v>
      </c>
      <c r="U15" s="101" t="s">
        <v>112</v>
      </c>
      <c r="V15" s="101" t="s">
        <v>112</v>
      </c>
      <c r="W15" s="101" t="s">
        <v>112</v>
      </c>
      <c r="X15" s="125"/>
      <c r="Y15" s="101" t="s">
        <v>112</v>
      </c>
      <c r="Z15" s="101" t="s">
        <v>112</v>
      </c>
      <c r="AA15" s="101" t="s">
        <v>112</v>
      </c>
      <c r="AB15" s="101" t="s">
        <v>112</v>
      </c>
      <c r="AC15" s="101"/>
      <c r="AD15" s="101"/>
      <c r="AE15" s="125"/>
      <c r="AF15" s="101"/>
      <c r="AG15" s="101"/>
      <c r="AH15" s="101"/>
      <c r="AI15" s="101"/>
      <c r="AJ15" s="101"/>
      <c r="AK15" s="5">
        <f t="shared" si="1"/>
        <v>16</v>
      </c>
      <c r="AL15" s="5">
        <f t="shared" si="2"/>
        <v>3</v>
      </c>
      <c r="AM15" s="5" t="s">
        <v>16</v>
      </c>
      <c r="AN15" s="12">
        <f>AN14/AN13</f>
        <v>0.52524038461538458</v>
      </c>
      <c r="AO15" s="12">
        <f>AO14/AO13</f>
        <v>0.52083333333333337</v>
      </c>
      <c r="AP15" s="12">
        <f>AP14/AP13</f>
        <v>0.52335164835164838</v>
      </c>
    </row>
    <row r="16" spans="1:42" ht="16.5" x14ac:dyDescent="0.25">
      <c r="A16" s="9">
        <v>12</v>
      </c>
      <c r="B16" s="102">
        <v>84</v>
      </c>
      <c r="C16" s="7" t="s">
        <v>151</v>
      </c>
      <c r="D16" s="7" t="s">
        <v>152</v>
      </c>
      <c r="E16" s="8" t="s">
        <v>6</v>
      </c>
      <c r="F16" s="101"/>
      <c r="G16" s="101" t="s">
        <v>111</v>
      </c>
      <c r="H16" s="101" t="s">
        <v>111</v>
      </c>
      <c r="I16" s="101" t="s">
        <v>111</v>
      </c>
      <c r="J16" s="125"/>
      <c r="K16" s="101" t="s">
        <v>111</v>
      </c>
      <c r="L16" s="101" t="s">
        <v>112</v>
      </c>
      <c r="M16" s="101" t="s">
        <v>112</v>
      </c>
      <c r="N16" s="101" t="s">
        <v>112</v>
      </c>
      <c r="O16" s="101" t="s">
        <v>112</v>
      </c>
      <c r="P16" s="101" t="s">
        <v>112</v>
      </c>
      <c r="Q16" s="125"/>
      <c r="R16" s="101" t="s">
        <v>112</v>
      </c>
      <c r="S16" s="101" t="s">
        <v>111</v>
      </c>
      <c r="T16" s="101" t="s">
        <v>111</v>
      </c>
      <c r="U16" s="101" t="s">
        <v>111</v>
      </c>
      <c r="V16" s="101" t="s">
        <v>111</v>
      </c>
      <c r="W16" s="101" t="s">
        <v>111</v>
      </c>
      <c r="X16" s="125"/>
      <c r="Y16" s="101" t="s">
        <v>112</v>
      </c>
      <c r="Z16" s="101" t="s">
        <v>112</v>
      </c>
      <c r="AA16" s="101" t="s">
        <v>112</v>
      </c>
      <c r="AB16" s="101" t="s">
        <v>112</v>
      </c>
      <c r="AC16" s="101"/>
      <c r="AD16" s="101"/>
      <c r="AE16" s="125"/>
      <c r="AF16" s="101"/>
      <c r="AG16" s="101"/>
      <c r="AH16" s="101"/>
      <c r="AI16" s="101"/>
      <c r="AJ16" s="101"/>
      <c r="AK16" s="5">
        <f t="shared" si="1"/>
        <v>10</v>
      </c>
      <c r="AL16" s="5">
        <f t="shared" si="2"/>
        <v>9</v>
      </c>
      <c r="AM16"/>
      <c r="AN16"/>
      <c r="AO16"/>
      <c r="AP16"/>
    </row>
    <row r="17" spans="1:42" ht="16.5" x14ac:dyDescent="0.25">
      <c r="A17" s="9">
        <v>13</v>
      </c>
      <c r="B17" s="102">
        <v>85</v>
      </c>
      <c r="C17" s="7" t="s">
        <v>153</v>
      </c>
      <c r="D17" s="7" t="s">
        <v>154</v>
      </c>
      <c r="E17" s="8" t="s">
        <v>6</v>
      </c>
      <c r="F17" s="101"/>
      <c r="G17" s="101" t="s">
        <v>112</v>
      </c>
      <c r="H17" s="101" t="s">
        <v>111</v>
      </c>
      <c r="I17" s="101" t="s">
        <v>112</v>
      </c>
      <c r="J17" s="125"/>
      <c r="K17" s="101" t="s">
        <v>112</v>
      </c>
      <c r="L17" s="101" t="s">
        <v>112</v>
      </c>
      <c r="M17" s="101" t="s">
        <v>112</v>
      </c>
      <c r="N17" s="101" t="s">
        <v>112</v>
      </c>
      <c r="O17" s="101" t="s">
        <v>112</v>
      </c>
      <c r="P17" s="101" t="s">
        <v>111</v>
      </c>
      <c r="Q17" s="125"/>
      <c r="R17" s="101" t="s">
        <v>112</v>
      </c>
      <c r="S17" s="101" t="s">
        <v>112</v>
      </c>
      <c r="T17" s="101" t="s">
        <v>111</v>
      </c>
      <c r="U17" s="101" t="s">
        <v>111</v>
      </c>
      <c r="V17" s="101" t="s">
        <v>111</v>
      </c>
      <c r="W17" s="101" t="s">
        <v>111</v>
      </c>
      <c r="X17" s="125"/>
      <c r="Y17" s="101" t="s">
        <v>112</v>
      </c>
      <c r="Z17" s="101" t="s">
        <v>112</v>
      </c>
      <c r="AA17" s="101" t="s">
        <v>111</v>
      </c>
      <c r="AB17" s="101" t="s">
        <v>111</v>
      </c>
      <c r="AC17" s="101"/>
      <c r="AD17" s="101"/>
      <c r="AE17" s="125"/>
      <c r="AF17" s="101"/>
      <c r="AG17" s="101"/>
      <c r="AH17" s="101"/>
      <c r="AI17" s="101"/>
      <c r="AJ17" s="101"/>
      <c r="AK17" s="5">
        <f t="shared" si="1"/>
        <v>11</v>
      </c>
      <c r="AL17" s="5">
        <f t="shared" si="2"/>
        <v>8</v>
      </c>
      <c r="AM17"/>
      <c r="AN17"/>
      <c r="AO17"/>
      <c r="AP17"/>
    </row>
    <row r="18" spans="1:42" ht="16.5" x14ac:dyDescent="0.25">
      <c r="A18" s="9">
        <v>14</v>
      </c>
      <c r="B18" s="102">
        <v>102</v>
      </c>
      <c r="C18" s="7" t="s">
        <v>155</v>
      </c>
      <c r="D18" s="7" t="s">
        <v>156</v>
      </c>
      <c r="E18" s="8" t="s">
        <v>6</v>
      </c>
      <c r="F18" s="101"/>
      <c r="G18" s="101" t="s">
        <v>111</v>
      </c>
      <c r="H18" s="101" t="s">
        <v>112</v>
      </c>
      <c r="I18" s="101" t="s">
        <v>112</v>
      </c>
      <c r="J18" s="125"/>
      <c r="K18" s="101" t="s">
        <v>112</v>
      </c>
      <c r="L18" s="101" t="s">
        <v>112</v>
      </c>
      <c r="M18" s="101" t="s">
        <v>112</v>
      </c>
      <c r="N18" s="101" t="s">
        <v>112</v>
      </c>
      <c r="O18" s="101" t="s">
        <v>112</v>
      </c>
      <c r="P18" s="101" t="s">
        <v>112</v>
      </c>
      <c r="Q18" s="125"/>
      <c r="R18" s="101" t="s">
        <v>112</v>
      </c>
      <c r="S18" s="101" t="s">
        <v>112</v>
      </c>
      <c r="T18" s="101" t="s">
        <v>112</v>
      </c>
      <c r="U18" s="101" t="s">
        <v>112</v>
      </c>
      <c r="V18" s="101" t="s">
        <v>111</v>
      </c>
      <c r="W18" s="101" t="s">
        <v>111</v>
      </c>
      <c r="X18" s="125"/>
      <c r="Y18" s="101" t="s">
        <v>111</v>
      </c>
      <c r="Z18" s="101" t="s">
        <v>112</v>
      </c>
      <c r="AA18" s="101" t="s">
        <v>112</v>
      </c>
      <c r="AB18" s="101" t="s">
        <v>111</v>
      </c>
      <c r="AC18" s="101"/>
      <c r="AD18" s="101"/>
      <c r="AE18" s="125"/>
      <c r="AF18" s="101"/>
      <c r="AG18" s="101"/>
      <c r="AH18" s="101"/>
      <c r="AI18" s="101"/>
      <c r="AJ18" s="101"/>
      <c r="AK18" s="5">
        <f t="shared" si="1"/>
        <v>14</v>
      </c>
      <c r="AL18" s="5">
        <f t="shared" si="2"/>
        <v>5</v>
      </c>
      <c r="AM18"/>
      <c r="AN18"/>
      <c r="AO18"/>
      <c r="AP18"/>
    </row>
    <row r="19" spans="1:42" ht="16.5" x14ac:dyDescent="0.25">
      <c r="A19" s="9">
        <v>15</v>
      </c>
      <c r="B19" s="102">
        <v>87</v>
      </c>
      <c r="C19" s="7" t="s">
        <v>157</v>
      </c>
      <c r="D19" s="7" t="s">
        <v>158</v>
      </c>
      <c r="E19" s="8" t="s">
        <v>6</v>
      </c>
      <c r="F19" s="101"/>
      <c r="G19" s="101" t="s">
        <v>112</v>
      </c>
      <c r="H19" s="101" t="s">
        <v>111</v>
      </c>
      <c r="I19" s="101" t="s">
        <v>111</v>
      </c>
      <c r="J19" s="125"/>
      <c r="K19" s="101" t="s">
        <v>112</v>
      </c>
      <c r="L19" s="101" t="s">
        <v>112</v>
      </c>
      <c r="M19" s="101" t="s">
        <v>112</v>
      </c>
      <c r="N19" s="101" t="s">
        <v>112</v>
      </c>
      <c r="O19" s="101" t="s">
        <v>112</v>
      </c>
      <c r="P19" s="101" t="s">
        <v>112</v>
      </c>
      <c r="Q19" s="125"/>
      <c r="R19" s="101" t="s">
        <v>112</v>
      </c>
      <c r="S19" s="101" t="s">
        <v>112</v>
      </c>
      <c r="T19" s="101" t="s">
        <v>112</v>
      </c>
      <c r="U19" s="101" t="s">
        <v>112</v>
      </c>
      <c r="V19" s="101" t="s">
        <v>111</v>
      </c>
      <c r="W19" s="101" t="s">
        <v>112</v>
      </c>
      <c r="X19" s="125"/>
      <c r="Y19" s="101" t="s">
        <v>112</v>
      </c>
      <c r="Z19" s="101" t="s">
        <v>112</v>
      </c>
      <c r="AA19" s="101" t="s">
        <v>112</v>
      </c>
      <c r="AB19" s="101" t="s">
        <v>112</v>
      </c>
      <c r="AC19" s="101"/>
      <c r="AD19" s="101"/>
      <c r="AE19" s="125"/>
      <c r="AF19" s="101"/>
      <c r="AG19" s="101"/>
      <c r="AH19" s="101"/>
      <c r="AI19" s="101"/>
      <c r="AJ19" s="101"/>
      <c r="AK19" s="5">
        <f t="shared" si="1"/>
        <v>16</v>
      </c>
      <c r="AL19" s="5">
        <f t="shared" si="2"/>
        <v>3</v>
      </c>
      <c r="AM19" s="110" t="s">
        <v>128</v>
      </c>
      <c r="AN19" s="111"/>
      <c r="AO19" s="111"/>
      <c r="AP19" s="112"/>
    </row>
    <row r="20" spans="1:42" ht="16.5" x14ac:dyDescent="0.25">
      <c r="A20" s="9">
        <v>16</v>
      </c>
      <c r="B20" s="102">
        <v>71</v>
      </c>
      <c r="C20" s="7" t="s">
        <v>159</v>
      </c>
      <c r="D20" s="7" t="s">
        <v>140</v>
      </c>
      <c r="E20" s="8" t="s">
        <v>6</v>
      </c>
      <c r="F20" s="101"/>
      <c r="G20" s="101" t="s">
        <v>111</v>
      </c>
      <c r="H20" s="101" t="s">
        <v>111</v>
      </c>
      <c r="I20" s="101" t="s">
        <v>112</v>
      </c>
      <c r="J20" s="125"/>
      <c r="K20" s="101" t="s">
        <v>112</v>
      </c>
      <c r="L20" s="101" t="s">
        <v>112</v>
      </c>
      <c r="M20" s="101" t="s">
        <v>112</v>
      </c>
      <c r="N20" s="101" t="s">
        <v>112</v>
      </c>
      <c r="O20" s="101" t="s">
        <v>112</v>
      </c>
      <c r="P20" s="101" t="s">
        <v>112</v>
      </c>
      <c r="Q20" s="125"/>
      <c r="R20" s="101" t="s">
        <v>112</v>
      </c>
      <c r="S20" s="101" t="s">
        <v>112</v>
      </c>
      <c r="T20" s="101" t="s">
        <v>112</v>
      </c>
      <c r="U20" s="101" t="s">
        <v>112</v>
      </c>
      <c r="V20" s="101" t="s">
        <v>112</v>
      </c>
      <c r="W20" s="101" t="s">
        <v>112</v>
      </c>
      <c r="X20" s="125"/>
      <c r="Y20" s="101" t="s">
        <v>112</v>
      </c>
      <c r="Z20" s="101" t="s">
        <v>112</v>
      </c>
      <c r="AA20" s="101" t="s">
        <v>112</v>
      </c>
      <c r="AB20" s="101" t="s">
        <v>112</v>
      </c>
      <c r="AC20" s="101"/>
      <c r="AD20" s="101"/>
      <c r="AE20" s="125"/>
      <c r="AF20" s="101"/>
      <c r="AG20" s="101"/>
      <c r="AH20" s="101"/>
      <c r="AI20" s="101"/>
      <c r="AJ20" s="101"/>
      <c r="AK20" s="5">
        <f t="shared" si="1"/>
        <v>17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02">
        <v>81</v>
      </c>
      <c r="C21" s="7" t="s">
        <v>160</v>
      </c>
      <c r="D21" s="7" t="s">
        <v>161</v>
      </c>
      <c r="E21" s="8" t="s">
        <v>6</v>
      </c>
      <c r="F21" s="101"/>
      <c r="G21" s="101" t="s">
        <v>111</v>
      </c>
      <c r="H21" s="101" t="s">
        <v>111</v>
      </c>
      <c r="I21" s="101" t="s">
        <v>111</v>
      </c>
      <c r="J21" s="125"/>
      <c r="K21" s="101" t="s">
        <v>111</v>
      </c>
      <c r="L21" s="101" t="s">
        <v>112</v>
      </c>
      <c r="M21" s="101" t="s">
        <v>112</v>
      </c>
      <c r="N21" s="101" t="s">
        <v>112</v>
      </c>
      <c r="O21" s="101" t="s">
        <v>112</v>
      </c>
      <c r="P21" s="101" t="s">
        <v>112</v>
      </c>
      <c r="Q21" s="125"/>
      <c r="R21" s="101" t="s">
        <v>112</v>
      </c>
      <c r="S21" s="101" t="s">
        <v>111</v>
      </c>
      <c r="T21" s="101" t="s">
        <v>111</v>
      </c>
      <c r="U21" s="101" t="s">
        <v>112</v>
      </c>
      <c r="V21" s="101" t="s">
        <v>112</v>
      </c>
      <c r="W21" s="101" t="s">
        <v>112</v>
      </c>
      <c r="X21" s="125"/>
      <c r="Y21" s="101" t="s">
        <v>112</v>
      </c>
      <c r="Z21" s="101" t="s">
        <v>111</v>
      </c>
      <c r="AA21" s="101" t="s">
        <v>112</v>
      </c>
      <c r="AB21" s="101" t="s">
        <v>112</v>
      </c>
      <c r="AC21" s="101"/>
      <c r="AD21" s="101"/>
      <c r="AE21" s="125"/>
      <c r="AF21" s="101"/>
      <c r="AG21" s="101"/>
      <c r="AH21" s="101"/>
      <c r="AI21" s="101"/>
      <c r="AJ21" s="101"/>
      <c r="AK21" s="5">
        <f t="shared" si="1"/>
        <v>12</v>
      </c>
      <c r="AL21" s="5">
        <f t="shared" si="2"/>
        <v>7</v>
      </c>
      <c r="AM21" s="5" t="s">
        <v>14</v>
      </c>
      <c r="AN21" s="9">
        <f>32*$AN$5</f>
        <v>832</v>
      </c>
      <c r="AO21" s="9">
        <f>24*$AN$5</f>
        <v>624</v>
      </c>
      <c r="AP21" s="9">
        <f>AN21+AO21</f>
        <v>1456</v>
      </c>
    </row>
    <row r="22" spans="1:42" ht="16.5" x14ac:dyDescent="0.25">
      <c r="A22" s="9">
        <v>18</v>
      </c>
      <c r="B22" s="102">
        <v>82</v>
      </c>
      <c r="C22" s="7" t="s">
        <v>162</v>
      </c>
      <c r="D22" s="7" t="s">
        <v>163</v>
      </c>
      <c r="E22" s="8" t="s">
        <v>6</v>
      </c>
      <c r="F22" s="101"/>
      <c r="G22" s="101" t="s">
        <v>112</v>
      </c>
      <c r="H22" s="101" t="s">
        <v>112</v>
      </c>
      <c r="I22" s="101" t="s">
        <v>111</v>
      </c>
      <c r="J22" s="125"/>
      <c r="K22" s="101" t="s">
        <v>112</v>
      </c>
      <c r="L22" s="101" t="s">
        <v>112</v>
      </c>
      <c r="M22" s="101" t="s">
        <v>112</v>
      </c>
      <c r="N22" s="101" t="s">
        <v>112</v>
      </c>
      <c r="O22" s="101" t="s">
        <v>112</v>
      </c>
      <c r="P22" s="101" t="s">
        <v>111</v>
      </c>
      <c r="Q22" s="125"/>
      <c r="R22" s="101" t="s">
        <v>113</v>
      </c>
      <c r="S22" s="101" t="s">
        <v>111</v>
      </c>
      <c r="T22" s="101" t="s">
        <v>112</v>
      </c>
      <c r="U22" s="101" t="s">
        <v>112</v>
      </c>
      <c r="V22" s="101" t="s">
        <v>112</v>
      </c>
      <c r="W22" s="101" t="s">
        <v>112</v>
      </c>
      <c r="X22" s="125"/>
      <c r="Y22" s="101" t="s">
        <v>112</v>
      </c>
      <c r="Z22" s="101" t="s">
        <v>112</v>
      </c>
      <c r="AA22" s="101" t="s">
        <v>112</v>
      </c>
      <c r="AB22" s="101" t="s">
        <v>112</v>
      </c>
      <c r="AC22" s="101"/>
      <c r="AD22" s="101"/>
      <c r="AE22" s="125"/>
      <c r="AF22" s="101"/>
      <c r="AG22" s="101"/>
      <c r="AH22" s="101"/>
      <c r="AI22" s="101"/>
      <c r="AJ22" s="101"/>
      <c r="AK22" s="5">
        <f t="shared" si="1"/>
        <v>15</v>
      </c>
      <c r="AL22" s="5">
        <f t="shared" si="2"/>
        <v>3</v>
      </c>
      <c r="AM22" s="5" t="s">
        <v>17</v>
      </c>
      <c r="AN22" s="9">
        <f>AN21-AN14</f>
        <v>395</v>
      </c>
      <c r="AO22" s="9">
        <f>AO21-AO14</f>
        <v>299</v>
      </c>
      <c r="AP22" s="9">
        <f>AN22+AO22</f>
        <v>694</v>
      </c>
    </row>
    <row r="23" spans="1:42" ht="16.5" x14ac:dyDescent="0.25">
      <c r="A23" s="9">
        <v>19</v>
      </c>
      <c r="B23" s="102">
        <v>68</v>
      </c>
      <c r="C23" s="7" t="s">
        <v>164</v>
      </c>
      <c r="D23" s="7" t="s">
        <v>165</v>
      </c>
      <c r="E23" s="8" t="s">
        <v>6</v>
      </c>
      <c r="F23" s="101"/>
      <c r="G23" s="101" t="s">
        <v>111</v>
      </c>
      <c r="H23" s="101" t="s">
        <v>111</v>
      </c>
      <c r="I23" s="101" t="s">
        <v>111</v>
      </c>
      <c r="J23" s="125"/>
      <c r="K23" s="101" t="s">
        <v>112</v>
      </c>
      <c r="L23" s="101" t="s">
        <v>112</v>
      </c>
      <c r="M23" s="101" t="s">
        <v>112</v>
      </c>
      <c r="N23" s="101" t="s">
        <v>112</v>
      </c>
      <c r="O23" s="101" t="s">
        <v>112</v>
      </c>
      <c r="P23" s="101" t="s">
        <v>111</v>
      </c>
      <c r="Q23" s="125"/>
      <c r="R23" s="101" t="s">
        <v>112</v>
      </c>
      <c r="S23" s="101" t="s">
        <v>112</v>
      </c>
      <c r="T23" s="101" t="s">
        <v>111</v>
      </c>
      <c r="U23" s="101" t="s">
        <v>112</v>
      </c>
      <c r="V23" s="101" t="s">
        <v>112</v>
      </c>
      <c r="W23" s="101" t="s">
        <v>111</v>
      </c>
      <c r="X23" s="125"/>
      <c r="Y23" s="101" t="s">
        <v>112</v>
      </c>
      <c r="Z23" s="101" t="s">
        <v>112</v>
      </c>
      <c r="AA23" s="101" t="s">
        <v>112</v>
      </c>
      <c r="AB23" s="101" t="s">
        <v>112</v>
      </c>
      <c r="AC23" s="101"/>
      <c r="AD23" s="101"/>
      <c r="AE23" s="125"/>
      <c r="AF23" s="101"/>
      <c r="AG23" s="101"/>
      <c r="AH23" s="101"/>
      <c r="AI23" s="101"/>
      <c r="AJ23" s="101"/>
      <c r="AK23" s="5">
        <f t="shared" si="1"/>
        <v>13</v>
      </c>
      <c r="AL23" s="5">
        <f t="shared" si="2"/>
        <v>6</v>
      </c>
      <c r="AM23" s="5" t="s">
        <v>16</v>
      </c>
      <c r="AN23" s="12">
        <f>AN22/AN21</f>
        <v>0.47475961538461536</v>
      </c>
      <c r="AO23" s="12">
        <f>AO22/AO21</f>
        <v>0.47916666666666669</v>
      </c>
      <c r="AP23" s="12">
        <f>AP22/AP21</f>
        <v>0.47664835164835168</v>
      </c>
    </row>
    <row r="24" spans="1:42" ht="16.5" x14ac:dyDescent="0.25">
      <c r="A24" s="9">
        <v>20</v>
      </c>
      <c r="B24" s="102">
        <v>69</v>
      </c>
      <c r="C24" s="7" t="s">
        <v>166</v>
      </c>
      <c r="D24" s="7" t="s">
        <v>167</v>
      </c>
      <c r="E24" s="8" t="s">
        <v>6</v>
      </c>
      <c r="F24" s="101"/>
      <c r="G24" s="101" t="s">
        <v>111</v>
      </c>
      <c r="H24" s="101" t="s">
        <v>111</v>
      </c>
      <c r="I24" s="101" t="s">
        <v>111</v>
      </c>
      <c r="J24" s="125"/>
      <c r="K24" s="101" t="s">
        <v>111</v>
      </c>
      <c r="L24" s="101" t="s">
        <v>111</v>
      </c>
      <c r="M24" s="101" t="s">
        <v>111</v>
      </c>
      <c r="N24" s="101" t="s">
        <v>113</v>
      </c>
      <c r="O24" s="101" t="s">
        <v>113</v>
      </c>
      <c r="P24" s="101" t="s">
        <v>113</v>
      </c>
      <c r="Q24" s="125"/>
      <c r="R24" s="101" t="s">
        <v>113</v>
      </c>
      <c r="S24" s="101" t="s">
        <v>112</v>
      </c>
      <c r="T24" s="101" t="s">
        <v>112</v>
      </c>
      <c r="U24" s="101" t="s">
        <v>112</v>
      </c>
      <c r="V24" s="101" t="s">
        <v>112</v>
      </c>
      <c r="W24" s="101" t="s">
        <v>112</v>
      </c>
      <c r="X24" s="125"/>
      <c r="Y24" s="101" t="s">
        <v>112</v>
      </c>
      <c r="Z24" s="101" t="s">
        <v>112</v>
      </c>
      <c r="AA24" s="101" t="s">
        <v>111</v>
      </c>
      <c r="AB24" s="101" t="s">
        <v>112</v>
      </c>
      <c r="AC24" s="101"/>
      <c r="AD24" s="101"/>
      <c r="AE24" s="125"/>
      <c r="AF24" s="101"/>
      <c r="AG24" s="101"/>
      <c r="AH24" s="101"/>
      <c r="AI24" s="101"/>
      <c r="AJ24" s="101"/>
      <c r="AK24" s="5">
        <f t="shared" si="1"/>
        <v>8</v>
      </c>
      <c r="AL24" s="5">
        <f t="shared" si="2"/>
        <v>7</v>
      </c>
    </row>
    <row r="25" spans="1:42" ht="16.5" x14ac:dyDescent="0.25">
      <c r="A25" s="9">
        <v>21</v>
      </c>
      <c r="B25" s="102">
        <v>70</v>
      </c>
      <c r="C25" s="7" t="s">
        <v>168</v>
      </c>
      <c r="D25" s="7" t="s">
        <v>169</v>
      </c>
      <c r="E25" s="8" t="s">
        <v>6</v>
      </c>
      <c r="F25" s="101"/>
      <c r="G25" s="101" t="s">
        <v>111</v>
      </c>
      <c r="H25" s="101" t="s">
        <v>111</v>
      </c>
      <c r="I25" s="101" t="s">
        <v>111</v>
      </c>
      <c r="J25" s="125"/>
      <c r="K25" s="101" t="s">
        <v>112</v>
      </c>
      <c r="L25" s="101" t="s">
        <v>112</v>
      </c>
      <c r="M25" s="101" t="s">
        <v>112</v>
      </c>
      <c r="N25" s="101" t="s">
        <v>112</v>
      </c>
      <c r="O25" s="101" t="s">
        <v>111</v>
      </c>
      <c r="P25" s="101" t="s">
        <v>112</v>
      </c>
      <c r="Q25" s="125"/>
      <c r="R25" s="101" t="s">
        <v>112</v>
      </c>
      <c r="S25" s="101" t="s">
        <v>112</v>
      </c>
      <c r="T25" s="101" t="s">
        <v>112</v>
      </c>
      <c r="U25" s="101" t="s">
        <v>112</v>
      </c>
      <c r="V25" s="101" t="s">
        <v>112</v>
      </c>
      <c r="W25" s="101" t="s">
        <v>111</v>
      </c>
      <c r="X25" s="125"/>
      <c r="Y25" s="101" t="s">
        <v>111</v>
      </c>
      <c r="Z25" s="101" t="s">
        <v>112</v>
      </c>
      <c r="AA25" s="101" t="s">
        <v>111</v>
      </c>
      <c r="AB25" s="101" t="s">
        <v>112</v>
      </c>
      <c r="AC25" s="101"/>
      <c r="AD25" s="101"/>
      <c r="AE25" s="125"/>
      <c r="AF25" s="101"/>
      <c r="AG25" s="101"/>
      <c r="AH25" s="101"/>
      <c r="AI25" s="101"/>
      <c r="AJ25" s="101"/>
      <c r="AK25" s="5">
        <f t="shared" si="1"/>
        <v>12</v>
      </c>
      <c r="AL25" s="5">
        <f t="shared" si="2"/>
        <v>7</v>
      </c>
    </row>
    <row r="26" spans="1:42" ht="16.5" x14ac:dyDescent="0.25">
      <c r="A26" s="9">
        <v>22</v>
      </c>
      <c r="B26" s="102">
        <v>103</v>
      </c>
      <c r="C26" s="7" t="s">
        <v>170</v>
      </c>
      <c r="D26" s="7" t="s">
        <v>138</v>
      </c>
      <c r="E26" s="8" t="s">
        <v>6</v>
      </c>
      <c r="F26" s="101"/>
      <c r="G26" s="101" t="s">
        <v>112</v>
      </c>
      <c r="H26" s="101" t="s">
        <v>112</v>
      </c>
      <c r="I26" s="101" t="s">
        <v>111</v>
      </c>
      <c r="J26" s="125"/>
      <c r="K26" s="101" t="s">
        <v>112</v>
      </c>
      <c r="L26" s="101" t="s">
        <v>112</v>
      </c>
      <c r="M26" s="101" t="s">
        <v>112</v>
      </c>
      <c r="N26" s="101" t="s">
        <v>112</v>
      </c>
      <c r="O26" s="101" t="s">
        <v>112</v>
      </c>
      <c r="P26" s="101" t="s">
        <v>112</v>
      </c>
      <c r="Q26" s="125"/>
      <c r="R26" s="101" t="s">
        <v>112</v>
      </c>
      <c r="S26" s="101" t="s">
        <v>112</v>
      </c>
      <c r="T26" s="101" t="s">
        <v>112</v>
      </c>
      <c r="U26" s="101" t="s">
        <v>112</v>
      </c>
      <c r="V26" s="101" t="s">
        <v>112</v>
      </c>
      <c r="W26" s="101" t="s">
        <v>112</v>
      </c>
      <c r="X26" s="125"/>
      <c r="Y26" s="101" t="s">
        <v>112</v>
      </c>
      <c r="Z26" s="101" t="s">
        <v>111</v>
      </c>
      <c r="AA26" s="101" t="s">
        <v>112</v>
      </c>
      <c r="AB26" s="101" t="s">
        <v>112</v>
      </c>
      <c r="AC26" s="101"/>
      <c r="AD26" s="101"/>
      <c r="AE26" s="125"/>
      <c r="AF26" s="101"/>
      <c r="AG26" s="101"/>
      <c r="AH26" s="101"/>
      <c r="AI26" s="101"/>
      <c r="AJ26" s="101"/>
      <c r="AK26" s="5">
        <f t="shared" si="1"/>
        <v>17</v>
      </c>
      <c r="AL26" s="5">
        <f t="shared" si="2"/>
        <v>2</v>
      </c>
    </row>
    <row r="27" spans="1:42" ht="16.5" x14ac:dyDescent="0.25">
      <c r="A27" s="9">
        <v>23</v>
      </c>
      <c r="B27" s="11">
        <v>149</v>
      </c>
      <c r="C27" s="7" t="s">
        <v>171</v>
      </c>
      <c r="D27" s="7" t="s">
        <v>172</v>
      </c>
      <c r="E27" s="8" t="s">
        <v>6</v>
      </c>
      <c r="F27" s="101"/>
      <c r="G27" s="101" t="s">
        <v>112</v>
      </c>
      <c r="H27" s="101" t="s">
        <v>112</v>
      </c>
      <c r="I27" s="101" t="s">
        <v>111</v>
      </c>
      <c r="J27" s="125"/>
      <c r="K27" s="101" t="s">
        <v>111</v>
      </c>
      <c r="L27" s="101" t="s">
        <v>111</v>
      </c>
      <c r="M27" s="101" t="s">
        <v>111</v>
      </c>
      <c r="N27" s="101" t="s">
        <v>111</v>
      </c>
      <c r="O27" s="101" t="s">
        <v>111</v>
      </c>
      <c r="P27" s="101" t="s">
        <v>111</v>
      </c>
      <c r="Q27" s="125"/>
      <c r="R27" s="101" t="s">
        <v>112</v>
      </c>
      <c r="S27" s="101" t="s">
        <v>112</v>
      </c>
      <c r="T27" s="101" t="s">
        <v>111</v>
      </c>
      <c r="U27" s="101" t="s">
        <v>112</v>
      </c>
      <c r="V27" s="101" t="s">
        <v>112</v>
      </c>
      <c r="W27" s="101" t="s">
        <v>111</v>
      </c>
      <c r="X27" s="125"/>
      <c r="Y27" s="101" t="s">
        <v>111</v>
      </c>
      <c r="Z27" s="101" t="s">
        <v>112</v>
      </c>
      <c r="AA27" s="101" t="s">
        <v>112</v>
      </c>
      <c r="AB27" s="101" t="s">
        <v>112</v>
      </c>
      <c r="AC27" s="101"/>
      <c r="AD27" s="101"/>
      <c r="AE27" s="125"/>
      <c r="AF27" s="101"/>
      <c r="AG27" s="101"/>
      <c r="AH27" s="101"/>
      <c r="AI27" s="101"/>
      <c r="AJ27" s="101"/>
      <c r="AK27" s="5">
        <f t="shared" si="1"/>
        <v>9</v>
      </c>
      <c r="AL27" s="5">
        <f t="shared" si="2"/>
        <v>10</v>
      </c>
    </row>
    <row r="28" spans="1:42" ht="16.5" x14ac:dyDescent="0.25">
      <c r="A28" s="9">
        <v>24</v>
      </c>
      <c r="B28" s="11"/>
      <c r="C28" s="7" t="s">
        <v>173</v>
      </c>
      <c r="D28" s="7" t="s">
        <v>174</v>
      </c>
      <c r="E28" s="8" t="s">
        <v>6</v>
      </c>
      <c r="F28" s="101"/>
      <c r="G28" s="101" t="s">
        <v>111</v>
      </c>
      <c r="H28" s="101" t="s">
        <v>112</v>
      </c>
      <c r="I28" s="101" t="s">
        <v>111</v>
      </c>
      <c r="J28" s="125"/>
      <c r="K28" s="101" t="s">
        <v>111</v>
      </c>
      <c r="L28" s="101" t="s">
        <v>112</v>
      </c>
      <c r="M28" s="101" t="s">
        <v>111</v>
      </c>
      <c r="N28" s="101" t="s">
        <v>112</v>
      </c>
      <c r="O28" s="101" t="s">
        <v>112</v>
      </c>
      <c r="P28" s="101" t="s">
        <v>112</v>
      </c>
      <c r="Q28" s="125"/>
      <c r="R28" s="101" t="s">
        <v>112</v>
      </c>
      <c r="S28" s="101" t="s">
        <v>111</v>
      </c>
      <c r="T28" s="101" t="s">
        <v>111</v>
      </c>
      <c r="U28" s="101" t="s">
        <v>111</v>
      </c>
      <c r="V28" s="101" t="s">
        <v>111</v>
      </c>
      <c r="W28" s="101" t="s">
        <v>113</v>
      </c>
      <c r="X28" s="125"/>
      <c r="Y28" s="101" t="s">
        <v>111</v>
      </c>
      <c r="Z28" s="101" t="s">
        <v>111</v>
      </c>
      <c r="AA28" s="101" t="s">
        <v>112</v>
      </c>
      <c r="AB28" s="101" t="s">
        <v>112</v>
      </c>
      <c r="AC28" s="101"/>
      <c r="AD28" s="101"/>
      <c r="AE28" s="125"/>
      <c r="AF28" s="101"/>
      <c r="AG28" s="101"/>
      <c r="AH28" s="101"/>
      <c r="AI28" s="101"/>
      <c r="AJ28" s="101"/>
      <c r="AK28" s="5">
        <f t="shared" si="1"/>
        <v>8</v>
      </c>
      <c r="AL28" s="5">
        <f t="shared" si="2"/>
        <v>10</v>
      </c>
    </row>
    <row r="29" spans="1:42" ht="16.5" customHeight="1" x14ac:dyDescent="0.25">
      <c r="A29" s="6">
        <v>1</v>
      </c>
      <c r="B29" s="6">
        <v>61</v>
      </c>
      <c r="C29" s="132" t="s">
        <v>175</v>
      </c>
      <c r="D29" s="15" t="s">
        <v>176</v>
      </c>
      <c r="E29" s="16" t="s">
        <v>6</v>
      </c>
      <c r="F29" s="101"/>
      <c r="G29" s="101" t="s">
        <v>112</v>
      </c>
      <c r="H29" s="101" t="s">
        <v>112</v>
      </c>
      <c r="I29" s="101" t="s">
        <v>112</v>
      </c>
      <c r="J29" s="125"/>
      <c r="K29" s="101" t="s">
        <v>112</v>
      </c>
      <c r="L29" s="101" t="s">
        <v>112</v>
      </c>
      <c r="M29" s="101" t="s">
        <v>112</v>
      </c>
      <c r="N29" s="101" t="s">
        <v>112</v>
      </c>
      <c r="O29" s="101" t="s">
        <v>112</v>
      </c>
      <c r="P29" s="101" t="s">
        <v>112</v>
      </c>
      <c r="Q29" s="125"/>
      <c r="R29" s="101" t="s">
        <v>112</v>
      </c>
      <c r="S29" s="101" t="s">
        <v>112</v>
      </c>
      <c r="T29" s="101" t="s">
        <v>111</v>
      </c>
      <c r="U29" s="101" t="s">
        <v>112</v>
      </c>
      <c r="V29" s="101" t="s">
        <v>112</v>
      </c>
      <c r="W29" s="101" t="s">
        <v>112</v>
      </c>
      <c r="X29" s="125"/>
      <c r="Y29" s="101" t="s">
        <v>112</v>
      </c>
      <c r="Z29" s="101" t="s">
        <v>112</v>
      </c>
      <c r="AA29" s="101" t="s">
        <v>112</v>
      </c>
      <c r="AB29" s="101" t="s">
        <v>112</v>
      </c>
      <c r="AC29" s="101"/>
      <c r="AD29" s="101"/>
      <c r="AE29" s="125"/>
      <c r="AF29" s="101"/>
      <c r="AG29" s="101"/>
      <c r="AH29" s="101"/>
      <c r="AI29" s="101"/>
      <c r="AJ29" s="101"/>
      <c r="AK29" s="4">
        <f t="shared" si="1"/>
        <v>18</v>
      </c>
      <c r="AL29" s="4">
        <f t="shared" si="2"/>
        <v>1</v>
      </c>
    </row>
    <row r="30" spans="1:42" ht="16.5" x14ac:dyDescent="0.25">
      <c r="A30" s="11">
        <v>2</v>
      </c>
      <c r="B30" s="11">
        <v>79</v>
      </c>
      <c r="C30" s="133" t="s">
        <v>177</v>
      </c>
      <c r="D30" s="17" t="s">
        <v>178</v>
      </c>
      <c r="E30" s="16" t="s">
        <v>6</v>
      </c>
      <c r="F30" s="101"/>
      <c r="G30" s="101" t="s">
        <v>112</v>
      </c>
      <c r="H30" s="101" t="s">
        <v>112</v>
      </c>
      <c r="I30" s="101" t="s">
        <v>111</v>
      </c>
      <c r="J30" s="125"/>
      <c r="K30" s="101" t="s">
        <v>112</v>
      </c>
      <c r="L30" s="101" t="s">
        <v>112</v>
      </c>
      <c r="M30" s="101" t="s">
        <v>112</v>
      </c>
      <c r="N30" s="101" t="s">
        <v>112</v>
      </c>
      <c r="O30" s="101" t="s">
        <v>112</v>
      </c>
      <c r="P30" s="101" t="s">
        <v>112</v>
      </c>
      <c r="Q30" s="125"/>
      <c r="R30" s="101" t="s">
        <v>112</v>
      </c>
      <c r="S30" s="101" t="s">
        <v>112</v>
      </c>
      <c r="T30" s="101" t="s">
        <v>112</v>
      </c>
      <c r="U30" s="101" t="s">
        <v>112</v>
      </c>
      <c r="V30" s="101" t="s">
        <v>112</v>
      </c>
      <c r="W30" s="101" t="s">
        <v>112</v>
      </c>
      <c r="X30" s="125"/>
      <c r="Y30" s="101" t="s">
        <v>112</v>
      </c>
      <c r="Z30" s="101" t="s">
        <v>112</v>
      </c>
      <c r="AA30" s="101" t="s">
        <v>112</v>
      </c>
      <c r="AB30" s="101" t="s">
        <v>112</v>
      </c>
      <c r="AC30" s="101"/>
      <c r="AD30" s="101"/>
      <c r="AE30" s="125"/>
      <c r="AF30" s="101"/>
      <c r="AG30" s="101"/>
      <c r="AH30" s="101"/>
      <c r="AI30" s="101"/>
      <c r="AJ30" s="101"/>
      <c r="AK30" s="4">
        <f t="shared" si="1"/>
        <v>18</v>
      </c>
      <c r="AL30" s="4">
        <f t="shared" si="2"/>
        <v>1</v>
      </c>
    </row>
    <row r="31" spans="1:42" ht="16.5" x14ac:dyDescent="0.25">
      <c r="A31" s="6">
        <v>3</v>
      </c>
      <c r="B31" s="11">
        <v>16</v>
      </c>
      <c r="C31" s="133" t="s">
        <v>179</v>
      </c>
      <c r="D31" s="17" t="s">
        <v>180</v>
      </c>
      <c r="E31" s="16" t="s">
        <v>6</v>
      </c>
      <c r="F31" s="101"/>
      <c r="G31" s="101" t="s">
        <v>112</v>
      </c>
      <c r="H31" s="101" t="s">
        <v>111</v>
      </c>
      <c r="I31" s="101" t="s">
        <v>111</v>
      </c>
      <c r="J31" s="125"/>
      <c r="K31" s="101" t="s">
        <v>112</v>
      </c>
      <c r="L31" s="101" t="s">
        <v>112</v>
      </c>
      <c r="M31" s="101" t="s">
        <v>112</v>
      </c>
      <c r="N31" s="101" t="s">
        <v>112</v>
      </c>
      <c r="O31" s="101" t="s">
        <v>112</v>
      </c>
      <c r="P31" s="101" t="s">
        <v>112</v>
      </c>
      <c r="Q31" s="125"/>
      <c r="R31" s="101" t="s">
        <v>112</v>
      </c>
      <c r="S31" s="101" t="s">
        <v>112</v>
      </c>
      <c r="T31" s="101" t="s">
        <v>112</v>
      </c>
      <c r="U31" s="101" t="s">
        <v>112</v>
      </c>
      <c r="V31" s="101" t="s">
        <v>112</v>
      </c>
      <c r="W31" s="101" t="s">
        <v>112</v>
      </c>
      <c r="X31" s="125"/>
      <c r="Y31" s="101" t="s">
        <v>112</v>
      </c>
      <c r="Z31" s="101" t="s">
        <v>112</v>
      </c>
      <c r="AA31" s="101" t="s">
        <v>112</v>
      </c>
      <c r="AB31" s="101" t="s">
        <v>112</v>
      </c>
      <c r="AC31" s="101"/>
      <c r="AD31" s="101"/>
      <c r="AE31" s="125"/>
      <c r="AF31" s="101"/>
      <c r="AG31" s="101"/>
      <c r="AH31" s="101"/>
      <c r="AI31" s="101"/>
      <c r="AJ31" s="101"/>
      <c r="AK31" s="4">
        <f t="shared" si="1"/>
        <v>17</v>
      </c>
      <c r="AL31" s="4">
        <f t="shared" si="2"/>
        <v>2</v>
      </c>
    </row>
    <row r="32" spans="1:42" ht="16.5" x14ac:dyDescent="0.25">
      <c r="A32" s="11">
        <v>4</v>
      </c>
      <c r="B32" s="11">
        <v>78</v>
      </c>
      <c r="C32" s="133" t="s">
        <v>181</v>
      </c>
      <c r="D32" s="17" t="s">
        <v>182</v>
      </c>
      <c r="E32" s="16" t="s">
        <v>6</v>
      </c>
      <c r="F32" s="101"/>
      <c r="G32" s="101" t="s">
        <v>111</v>
      </c>
      <c r="H32" s="101" t="s">
        <v>111</v>
      </c>
      <c r="I32" s="101" t="s">
        <v>111</v>
      </c>
      <c r="J32" s="125"/>
      <c r="K32" s="101" t="s">
        <v>111</v>
      </c>
      <c r="L32" s="101" t="s">
        <v>111</v>
      </c>
      <c r="M32" s="101" t="s">
        <v>111</v>
      </c>
      <c r="N32" s="101" t="s">
        <v>112</v>
      </c>
      <c r="O32" s="101" t="s">
        <v>112</v>
      </c>
      <c r="P32" s="101" t="s">
        <v>112</v>
      </c>
      <c r="Q32" s="125"/>
      <c r="R32" s="101" t="s">
        <v>112</v>
      </c>
      <c r="S32" s="101" t="s">
        <v>112</v>
      </c>
      <c r="T32" s="101" t="s">
        <v>112</v>
      </c>
      <c r="U32" s="101" t="s">
        <v>112</v>
      </c>
      <c r="V32" s="101" t="s">
        <v>111</v>
      </c>
      <c r="W32" s="101" t="s">
        <v>111</v>
      </c>
      <c r="X32" s="125"/>
      <c r="Y32" s="101" t="s">
        <v>112</v>
      </c>
      <c r="Z32" s="101" t="s">
        <v>112</v>
      </c>
      <c r="AA32" s="101" t="s">
        <v>112</v>
      </c>
      <c r="AB32" s="101" t="s">
        <v>112</v>
      </c>
      <c r="AC32" s="101"/>
      <c r="AD32" s="101"/>
      <c r="AE32" s="125"/>
      <c r="AF32" s="101"/>
      <c r="AG32" s="101"/>
      <c r="AH32" s="101"/>
      <c r="AI32" s="101"/>
      <c r="AJ32" s="101"/>
      <c r="AK32" s="4">
        <f t="shared" si="1"/>
        <v>11</v>
      </c>
      <c r="AL32" s="4">
        <f t="shared" si="2"/>
        <v>8</v>
      </c>
    </row>
    <row r="33" spans="1:38" ht="16.5" x14ac:dyDescent="0.25">
      <c r="A33" s="6">
        <v>5</v>
      </c>
      <c r="B33" s="11">
        <v>76</v>
      </c>
      <c r="C33" s="133" t="s">
        <v>183</v>
      </c>
      <c r="D33" s="17" t="s">
        <v>184</v>
      </c>
      <c r="E33" s="16" t="s">
        <v>6</v>
      </c>
      <c r="F33" s="101"/>
      <c r="G33" s="101" t="s">
        <v>112</v>
      </c>
      <c r="H33" s="101" t="s">
        <v>112</v>
      </c>
      <c r="I33" s="101" t="s">
        <v>111</v>
      </c>
      <c r="J33" s="125"/>
      <c r="K33" s="101" t="s">
        <v>111</v>
      </c>
      <c r="L33" s="101" t="s">
        <v>112</v>
      </c>
      <c r="M33" s="101" t="s">
        <v>112</v>
      </c>
      <c r="N33" s="101" t="s">
        <v>112</v>
      </c>
      <c r="O33" s="101" t="s">
        <v>112</v>
      </c>
      <c r="P33" s="101" t="s">
        <v>112</v>
      </c>
      <c r="Q33" s="125"/>
      <c r="R33" s="101" t="s">
        <v>111</v>
      </c>
      <c r="S33" s="101" t="s">
        <v>112</v>
      </c>
      <c r="T33" s="101" t="s">
        <v>112</v>
      </c>
      <c r="U33" s="101" t="s">
        <v>112</v>
      </c>
      <c r="V33" s="101" t="s">
        <v>111</v>
      </c>
      <c r="W33" s="101" t="s">
        <v>112</v>
      </c>
      <c r="X33" s="125"/>
      <c r="Y33" s="101" t="s">
        <v>112</v>
      </c>
      <c r="Z33" s="101" t="s">
        <v>112</v>
      </c>
      <c r="AA33" s="101" t="s">
        <v>112</v>
      </c>
      <c r="AB33" s="101" t="s">
        <v>112</v>
      </c>
      <c r="AC33" s="101"/>
      <c r="AD33" s="101"/>
      <c r="AE33" s="125"/>
      <c r="AF33" s="101"/>
      <c r="AG33" s="101"/>
      <c r="AH33" s="101"/>
      <c r="AI33" s="101"/>
      <c r="AJ33" s="101"/>
      <c r="AK33" s="4">
        <f t="shared" si="1"/>
        <v>15</v>
      </c>
      <c r="AL33" s="4">
        <f t="shared" si="2"/>
        <v>4</v>
      </c>
    </row>
    <row r="34" spans="1:38" ht="16.5" x14ac:dyDescent="0.25">
      <c r="A34" s="11">
        <v>6</v>
      </c>
      <c r="B34" s="11">
        <v>95</v>
      </c>
      <c r="C34" s="133" t="s">
        <v>185</v>
      </c>
      <c r="D34" s="17" t="s">
        <v>186</v>
      </c>
      <c r="E34" s="16" t="s">
        <v>6</v>
      </c>
      <c r="F34" s="101"/>
      <c r="G34" s="101" t="s">
        <v>111</v>
      </c>
      <c r="H34" s="101" t="s">
        <v>111</v>
      </c>
      <c r="I34" s="101" t="s">
        <v>111</v>
      </c>
      <c r="J34" s="125"/>
      <c r="K34" s="101" t="s">
        <v>111</v>
      </c>
      <c r="L34" s="101" t="s">
        <v>111</v>
      </c>
      <c r="M34" s="101" t="s">
        <v>111</v>
      </c>
      <c r="N34" s="101" t="s">
        <v>111</v>
      </c>
      <c r="O34" s="101" t="s">
        <v>111</v>
      </c>
      <c r="P34" s="101" t="s">
        <v>111</v>
      </c>
      <c r="Q34" s="125"/>
      <c r="R34" s="101" t="s">
        <v>111</v>
      </c>
      <c r="S34" s="101" t="s">
        <v>111</v>
      </c>
      <c r="T34" s="101" t="s">
        <v>112</v>
      </c>
      <c r="U34" s="101" t="s">
        <v>112</v>
      </c>
      <c r="V34" s="101" t="s">
        <v>111</v>
      </c>
      <c r="W34" s="101" t="s">
        <v>112</v>
      </c>
      <c r="X34" s="125"/>
      <c r="Y34" s="101" t="s">
        <v>112</v>
      </c>
      <c r="Z34" s="101" t="s">
        <v>112</v>
      </c>
      <c r="AA34" s="101" t="s">
        <v>112</v>
      </c>
      <c r="AB34" s="101" t="s">
        <v>112</v>
      </c>
      <c r="AC34" s="101"/>
      <c r="AD34" s="101"/>
      <c r="AE34" s="125"/>
      <c r="AF34" s="101"/>
      <c r="AG34" s="101"/>
      <c r="AH34" s="101"/>
      <c r="AI34" s="101"/>
      <c r="AJ34" s="101"/>
      <c r="AK34" s="4">
        <f t="shared" si="1"/>
        <v>7</v>
      </c>
      <c r="AL34" s="4">
        <f t="shared" si="2"/>
        <v>12</v>
      </c>
    </row>
    <row r="35" spans="1:38" ht="16.5" x14ac:dyDescent="0.25">
      <c r="A35" s="6">
        <v>7</v>
      </c>
      <c r="B35" s="11">
        <v>108</v>
      </c>
      <c r="C35" s="133" t="s">
        <v>187</v>
      </c>
      <c r="D35" s="17" t="s">
        <v>188</v>
      </c>
      <c r="E35" s="16" t="s">
        <v>6</v>
      </c>
      <c r="F35" s="101"/>
      <c r="G35" s="101" t="s">
        <v>111</v>
      </c>
      <c r="H35" s="101" t="s">
        <v>111</v>
      </c>
      <c r="I35" s="101" t="s">
        <v>111</v>
      </c>
      <c r="J35" s="125"/>
      <c r="K35" s="101" t="s">
        <v>111</v>
      </c>
      <c r="L35" s="101" t="s">
        <v>111</v>
      </c>
      <c r="M35" s="101" t="s">
        <v>111</v>
      </c>
      <c r="N35" s="101" t="s">
        <v>111</v>
      </c>
      <c r="O35" s="101" t="s">
        <v>111</v>
      </c>
      <c r="P35" s="101" t="s">
        <v>111</v>
      </c>
      <c r="Q35" s="125"/>
      <c r="R35" s="101" t="s">
        <v>112</v>
      </c>
      <c r="S35" s="101" t="s">
        <v>112</v>
      </c>
      <c r="T35" s="101" t="s">
        <v>112</v>
      </c>
      <c r="U35" s="101" t="s">
        <v>112</v>
      </c>
      <c r="V35" s="101" t="s">
        <v>112</v>
      </c>
      <c r="W35" s="101" t="s">
        <v>112</v>
      </c>
      <c r="X35" s="125"/>
      <c r="Y35" s="101" t="s">
        <v>112</v>
      </c>
      <c r="Z35" s="101" t="s">
        <v>112</v>
      </c>
      <c r="AA35" s="101" t="s">
        <v>112</v>
      </c>
      <c r="AB35" s="101" t="s">
        <v>112</v>
      </c>
      <c r="AC35" s="101"/>
      <c r="AD35" s="101"/>
      <c r="AE35" s="125"/>
      <c r="AF35" s="101"/>
      <c r="AG35" s="101"/>
      <c r="AH35" s="101"/>
      <c r="AI35" s="101"/>
      <c r="AJ35" s="101"/>
      <c r="AK35" s="4">
        <f t="shared" si="1"/>
        <v>10</v>
      </c>
      <c r="AL35" s="4">
        <f t="shared" si="2"/>
        <v>9</v>
      </c>
    </row>
    <row r="36" spans="1:38" ht="16.5" x14ac:dyDescent="0.25">
      <c r="A36" s="11">
        <v>8</v>
      </c>
      <c r="B36" s="11">
        <v>131</v>
      </c>
      <c r="C36" s="133" t="s">
        <v>189</v>
      </c>
      <c r="D36" s="17" t="s">
        <v>190</v>
      </c>
      <c r="E36" s="16" t="s">
        <v>6</v>
      </c>
      <c r="F36" s="101"/>
      <c r="G36" s="101" t="s">
        <v>112</v>
      </c>
      <c r="H36" s="101" t="s">
        <v>111</v>
      </c>
      <c r="I36" s="101" t="s">
        <v>111</v>
      </c>
      <c r="J36" s="125"/>
      <c r="K36" s="101" t="s">
        <v>112</v>
      </c>
      <c r="L36" s="101" t="s">
        <v>112</v>
      </c>
      <c r="M36" s="101" t="s">
        <v>112</v>
      </c>
      <c r="N36" s="101" t="s">
        <v>112</v>
      </c>
      <c r="O36" s="101" t="s">
        <v>111</v>
      </c>
      <c r="P36" s="101" t="s">
        <v>111</v>
      </c>
      <c r="Q36" s="125"/>
      <c r="R36" s="101" t="s">
        <v>112</v>
      </c>
      <c r="S36" s="101" t="s">
        <v>112</v>
      </c>
      <c r="T36" s="101" t="s">
        <v>112</v>
      </c>
      <c r="U36" s="101" t="s">
        <v>112</v>
      </c>
      <c r="V36" s="101" t="s">
        <v>112</v>
      </c>
      <c r="W36" s="101" t="s">
        <v>112</v>
      </c>
      <c r="X36" s="125"/>
      <c r="Y36" s="101" t="s">
        <v>112</v>
      </c>
      <c r="Z36" s="101" t="s">
        <v>112</v>
      </c>
      <c r="AA36" s="101" t="s">
        <v>112</v>
      </c>
      <c r="AB36" s="101" t="s">
        <v>111</v>
      </c>
      <c r="AC36" s="101"/>
      <c r="AD36" s="101"/>
      <c r="AE36" s="125"/>
      <c r="AF36" s="101"/>
      <c r="AG36" s="101"/>
      <c r="AH36" s="101"/>
      <c r="AI36" s="101"/>
      <c r="AJ36" s="101"/>
      <c r="AK36" s="4">
        <f t="shared" si="1"/>
        <v>14</v>
      </c>
      <c r="AL36" s="4">
        <f t="shared" si="2"/>
        <v>5</v>
      </c>
    </row>
    <row r="37" spans="1:38" ht="16.5" x14ac:dyDescent="0.25">
      <c r="A37" s="6">
        <v>9</v>
      </c>
      <c r="B37" s="11">
        <v>101</v>
      </c>
      <c r="C37" s="133" t="s">
        <v>191</v>
      </c>
      <c r="D37" s="17" t="s">
        <v>192</v>
      </c>
      <c r="E37" s="16" t="s">
        <v>6</v>
      </c>
      <c r="F37" s="101"/>
      <c r="G37" s="101" t="s">
        <v>112</v>
      </c>
      <c r="H37" s="101" t="s">
        <v>112</v>
      </c>
      <c r="I37" s="101" t="s">
        <v>112</v>
      </c>
      <c r="J37" s="125"/>
      <c r="K37" s="101" t="s">
        <v>112</v>
      </c>
      <c r="L37" s="101" t="s">
        <v>112</v>
      </c>
      <c r="M37" s="101" t="s">
        <v>112</v>
      </c>
      <c r="N37" s="101" t="s">
        <v>112</v>
      </c>
      <c r="O37" s="101" t="s">
        <v>112</v>
      </c>
      <c r="P37" s="101" t="s">
        <v>112</v>
      </c>
      <c r="Q37" s="125"/>
      <c r="R37" s="101" t="s">
        <v>112</v>
      </c>
      <c r="S37" s="101" t="s">
        <v>112</v>
      </c>
      <c r="T37" s="101" t="s">
        <v>112</v>
      </c>
      <c r="U37" s="101" t="s">
        <v>112</v>
      </c>
      <c r="V37" s="101" t="s">
        <v>112</v>
      </c>
      <c r="W37" s="101" t="s">
        <v>112</v>
      </c>
      <c r="X37" s="125"/>
      <c r="Y37" s="101" t="s">
        <v>112</v>
      </c>
      <c r="Z37" s="101" t="s">
        <v>112</v>
      </c>
      <c r="AA37" s="101" t="s">
        <v>112</v>
      </c>
      <c r="AB37" s="101" t="s">
        <v>112</v>
      </c>
      <c r="AC37" s="101"/>
      <c r="AD37" s="101"/>
      <c r="AE37" s="125"/>
      <c r="AF37" s="101"/>
      <c r="AG37" s="101"/>
      <c r="AH37" s="101"/>
      <c r="AI37" s="101"/>
      <c r="AJ37" s="101"/>
      <c r="AK37" s="4">
        <f t="shared" si="1"/>
        <v>19</v>
      </c>
      <c r="AL37" s="4">
        <f t="shared" si="2"/>
        <v>0</v>
      </c>
    </row>
    <row r="38" spans="1:38" ht="16.5" x14ac:dyDescent="0.25">
      <c r="A38" s="11">
        <v>10</v>
      </c>
      <c r="B38" s="11">
        <v>100</v>
      </c>
      <c r="C38" s="133" t="s">
        <v>193</v>
      </c>
      <c r="D38" s="17" t="s">
        <v>194</v>
      </c>
      <c r="E38" s="16" t="s">
        <v>6</v>
      </c>
      <c r="F38" s="101"/>
      <c r="G38" s="101" t="s">
        <v>112</v>
      </c>
      <c r="H38" s="101" t="s">
        <v>112</v>
      </c>
      <c r="I38" s="101" t="s">
        <v>112</v>
      </c>
      <c r="J38" s="125"/>
      <c r="K38" s="101" t="s">
        <v>112</v>
      </c>
      <c r="L38" s="101" t="s">
        <v>112</v>
      </c>
      <c r="M38" s="101" t="s">
        <v>111</v>
      </c>
      <c r="N38" s="101" t="s">
        <v>111</v>
      </c>
      <c r="O38" s="101" t="s">
        <v>112</v>
      </c>
      <c r="P38" s="101" t="s">
        <v>112</v>
      </c>
      <c r="Q38" s="125"/>
      <c r="R38" s="101" t="s">
        <v>112</v>
      </c>
      <c r="S38" s="101" t="s">
        <v>111</v>
      </c>
      <c r="T38" s="101" t="s">
        <v>112</v>
      </c>
      <c r="U38" s="101" t="s">
        <v>112</v>
      </c>
      <c r="V38" s="101" t="s">
        <v>112</v>
      </c>
      <c r="W38" s="101" t="s">
        <v>112</v>
      </c>
      <c r="X38" s="125"/>
      <c r="Y38" s="101" t="s">
        <v>112</v>
      </c>
      <c r="Z38" s="101" t="s">
        <v>111</v>
      </c>
      <c r="AA38" s="101" t="s">
        <v>112</v>
      </c>
      <c r="AB38" s="101" t="s">
        <v>112</v>
      </c>
      <c r="AC38" s="101"/>
      <c r="AD38" s="101"/>
      <c r="AE38" s="125"/>
      <c r="AF38" s="101"/>
      <c r="AG38" s="101"/>
      <c r="AH38" s="101"/>
      <c r="AI38" s="101"/>
      <c r="AJ38" s="101"/>
      <c r="AK38" s="4">
        <f t="shared" si="1"/>
        <v>15</v>
      </c>
      <c r="AL38" s="4">
        <f t="shared" si="2"/>
        <v>4</v>
      </c>
    </row>
    <row r="39" spans="1:38" ht="16.5" x14ac:dyDescent="0.25">
      <c r="A39" s="6">
        <v>11</v>
      </c>
      <c r="B39" s="11">
        <v>90</v>
      </c>
      <c r="C39" s="133" t="s">
        <v>195</v>
      </c>
      <c r="D39" s="17" t="s">
        <v>146</v>
      </c>
      <c r="E39" s="16" t="s">
        <v>6</v>
      </c>
      <c r="F39" s="101"/>
      <c r="G39" s="101" t="s">
        <v>112</v>
      </c>
      <c r="H39" s="101" t="s">
        <v>111</v>
      </c>
      <c r="I39" s="101" t="s">
        <v>111</v>
      </c>
      <c r="J39" s="125"/>
      <c r="K39" s="101" t="s">
        <v>112</v>
      </c>
      <c r="L39" s="101" t="s">
        <v>112</v>
      </c>
      <c r="M39" s="101" t="s">
        <v>112</v>
      </c>
      <c r="N39" s="101" t="s">
        <v>112</v>
      </c>
      <c r="O39" s="101" t="s">
        <v>112</v>
      </c>
      <c r="P39" s="101" t="s">
        <v>112</v>
      </c>
      <c r="Q39" s="125"/>
      <c r="R39" s="101" t="s">
        <v>112</v>
      </c>
      <c r="S39" s="101" t="s">
        <v>112</v>
      </c>
      <c r="T39" s="101" t="s">
        <v>112</v>
      </c>
      <c r="U39" s="101" t="s">
        <v>112</v>
      </c>
      <c r="V39" s="101" t="s">
        <v>111</v>
      </c>
      <c r="W39" s="101" t="s">
        <v>112</v>
      </c>
      <c r="X39" s="125"/>
      <c r="Y39" s="101" t="s">
        <v>112</v>
      </c>
      <c r="Z39" s="101" t="s">
        <v>112</v>
      </c>
      <c r="AA39" s="101" t="s">
        <v>112</v>
      </c>
      <c r="AB39" s="101" t="s">
        <v>112</v>
      </c>
      <c r="AC39" s="101"/>
      <c r="AD39" s="101"/>
      <c r="AE39" s="125"/>
      <c r="AF39" s="101"/>
      <c r="AG39" s="101"/>
      <c r="AH39" s="101"/>
      <c r="AI39" s="101"/>
      <c r="AJ39" s="101"/>
      <c r="AK39" s="4">
        <f t="shared" si="1"/>
        <v>16</v>
      </c>
      <c r="AL39" s="4">
        <f t="shared" si="2"/>
        <v>3</v>
      </c>
    </row>
    <row r="40" spans="1:38" ht="16.5" x14ac:dyDescent="0.25">
      <c r="A40" s="11">
        <v>12</v>
      </c>
      <c r="B40" s="11">
        <v>73</v>
      </c>
      <c r="C40" s="133" t="s">
        <v>196</v>
      </c>
      <c r="D40" s="17" t="s">
        <v>197</v>
      </c>
      <c r="E40" s="16" t="s">
        <v>6</v>
      </c>
      <c r="F40" s="101"/>
      <c r="G40" s="101" t="s">
        <v>111</v>
      </c>
      <c r="H40" s="101" t="s">
        <v>112</v>
      </c>
      <c r="I40" s="101" t="s">
        <v>112</v>
      </c>
      <c r="J40" s="125"/>
      <c r="K40" s="101" t="s">
        <v>112</v>
      </c>
      <c r="L40" s="101" t="s">
        <v>112</v>
      </c>
      <c r="M40" s="101" t="s">
        <v>112</v>
      </c>
      <c r="N40" s="101" t="s">
        <v>112</v>
      </c>
      <c r="O40" s="101" t="s">
        <v>111</v>
      </c>
      <c r="P40" s="101" t="s">
        <v>111</v>
      </c>
      <c r="Q40" s="125"/>
      <c r="R40" s="101" t="s">
        <v>113</v>
      </c>
      <c r="S40" s="101" t="s">
        <v>113</v>
      </c>
      <c r="T40" s="101" t="s">
        <v>112</v>
      </c>
      <c r="U40" s="101" t="s">
        <v>112</v>
      </c>
      <c r="V40" s="101" t="s">
        <v>112</v>
      </c>
      <c r="W40" s="101" t="s">
        <v>111</v>
      </c>
      <c r="X40" s="125"/>
      <c r="Y40" s="101" t="s">
        <v>112</v>
      </c>
      <c r="Z40" s="101" t="s">
        <v>112</v>
      </c>
      <c r="AA40" s="101" t="s">
        <v>111</v>
      </c>
      <c r="AB40" s="101" t="s">
        <v>112</v>
      </c>
      <c r="AC40" s="101"/>
      <c r="AD40" s="101"/>
      <c r="AE40" s="125"/>
      <c r="AF40" s="101"/>
      <c r="AG40" s="101"/>
      <c r="AH40" s="101"/>
      <c r="AI40" s="101"/>
      <c r="AJ40" s="101"/>
      <c r="AK40" s="4">
        <f t="shared" si="1"/>
        <v>12</v>
      </c>
      <c r="AL40" s="4">
        <f t="shared" si="2"/>
        <v>5</v>
      </c>
    </row>
    <row r="41" spans="1:38" ht="16.5" x14ac:dyDescent="0.25">
      <c r="A41" s="6">
        <v>13</v>
      </c>
      <c r="B41" s="11">
        <v>74</v>
      </c>
      <c r="C41" s="133" t="s">
        <v>198</v>
      </c>
      <c r="D41" s="17" t="s">
        <v>199</v>
      </c>
      <c r="E41" s="16" t="s">
        <v>6</v>
      </c>
      <c r="F41" s="101"/>
      <c r="G41" s="101" t="s">
        <v>111</v>
      </c>
      <c r="H41" s="101" t="s">
        <v>112</v>
      </c>
      <c r="I41" s="101" t="s">
        <v>111</v>
      </c>
      <c r="J41" s="125"/>
      <c r="K41" s="101" t="s">
        <v>112</v>
      </c>
      <c r="L41" s="101" t="s">
        <v>112</v>
      </c>
      <c r="M41" s="101" t="s">
        <v>112</v>
      </c>
      <c r="N41" s="101" t="s">
        <v>112</v>
      </c>
      <c r="O41" s="101" t="s">
        <v>112</v>
      </c>
      <c r="P41" s="101" t="s">
        <v>111</v>
      </c>
      <c r="Q41" s="125"/>
      <c r="R41" s="101" t="s">
        <v>112</v>
      </c>
      <c r="S41" s="101" t="s">
        <v>112</v>
      </c>
      <c r="T41" s="101" t="s">
        <v>112</v>
      </c>
      <c r="U41" s="101" t="s">
        <v>112</v>
      </c>
      <c r="V41" s="101" t="s">
        <v>112</v>
      </c>
      <c r="W41" s="101" t="s">
        <v>112</v>
      </c>
      <c r="X41" s="125"/>
      <c r="Y41" s="101" t="s">
        <v>112</v>
      </c>
      <c r="Z41" s="101" t="s">
        <v>112</v>
      </c>
      <c r="AA41" s="101" t="s">
        <v>112</v>
      </c>
      <c r="AB41" s="101" t="s">
        <v>111</v>
      </c>
      <c r="AC41" s="101"/>
      <c r="AD41" s="101"/>
      <c r="AE41" s="125"/>
      <c r="AF41" s="101"/>
      <c r="AG41" s="101"/>
      <c r="AH41" s="101"/>
      <c r="AI41" s="101"/>
      <c r="AJ41" s="101"/>
      <c r="AK41" s="4">
        <f t="shared" si="1"/>
        <v>15</v>
      </c>
      <c r="AL41" s="4">
        <f t="shared" si="2"/>
        <v>4</v>
      </c>
    </row>
    <row r="42" spans="1:38" ht="16.5" x14ac:dyDescent="0.25">
      <c r="A42" s="11">
        <v>14</v>
      </c>
      <c r="B42" s="11">
        <v>77</v>
      </c>
      <c r="C42" s="133" t="s">
        <v>200</v>
      </c>
      <c r="D42" s="17" t="s">
        <v>201</v>
      </c>
      <c r="E42" s="16" t="s">
        <v>6</v>
      </c>
      <c r="F42" s="101"/>
      <c r="G42" s="101" t="s">
        <v>112</v>
      </c>
      <c r="H42" s="101" t="s">
        <v>112</v>
      </c>
      <c r="I42" s="101" t="s">
        <v>112</v>
      </c>
      <c r="J42" s="125"/>
      <c r="K42" s="101" t="s">
        <v>112</v>
      </c>
      <c r="L42" s="101" t="s">
        <v>112</v>
      </c>
      <c r="M42" s="101" t="s">
        <v>111</v>
      </c>
      <c r="N42" s="101" t="s">
        <v>112</v>
      </c>
      <c r="O42" s="101" t="s">
        <v>112</v>
      </c>
      <c r="P42" s="101" t="s">
        <v>112</v>
      </c>
      <c r="Q42" s="125"/>
      <c r="R42" s="101" t="s">
        <v>111</v>
      </c>
      <c r="S42" s="101" t="s">
        <v>112</v>
      </c>
      <c r="T42" s="101" t="s">
        <v>111</v>
      </c>
      <c r="U42" s="101" t="s">
        <v>112</v>
      </c>
      <c r="V42" s="101" t="s">
        <v>111</v>
      </c>
      <c r="W42" s="101" t="s">
        <v>112</v>
      </c>
      <c r="X42" s="125"/>
      <c r="Y42" s="101" t="s">
        <v>112</v>
      </c>
      <c r="Z42" s="101" t="s">
        <v>111</v>
      </c>
      <c r="AA42" s="101" t="s">
        <v>112</v>
      </c>
      <c r="AB42" s="101" t="s">
        <v>112</v>
      </c>
      <c r="AC42" s="101"/>
      <c r="AD42" s="101"/>
      <c r="AE42" s="125"/>
      <c r="AF42" s="101"/>
      <c r="AG42" s="101"/>
      <c r="AH42" s="101"/>
      <c r="AI42" s="101"/>
      <c r="AJ42" s="101"/>
      <c r="AK42" s="4">
        <f t="shared" si="1"/>
        <v>14</v>
      </c>
      <c r="AL42" s="4">
        <f t="shared" si="2"/>
        <v>5</v>
      </c>
    </row>
    <row r="43" spans="1:38" ht="16.5" x14ac:dyDescent="0.25">
      <c r="A43" s="6">
        <v>15</v>
      </c>
      <c r="B43" s="11">
        <v>80</v>
      </c>
      <c r="C43" s="133" t="s">
        <v>202</v>
      </c>
      <c r="D43" s="17" t="s">
        <v>203</v>
      </c>
      <c r="E43" s="16" t="s">
        <v>6</v>
      </c>
      <c r="F43" s="101"/>
      <c r="G43" s="101" t="s">
        <v>112</v>
      </c>
      <c r="H43" s="101" t="s">
        <v>112</v>
      </c>
      <c r="I43" s="101" t="s">
        <v>112</v>
      </c>
      <c r="J43" s="125"/>
      <c r="K43" s="101" t="s">
        <v>112</v>
      </c>
      <c r="L43" s="101" t="s">
        <v>112</v>
      </c>
      <c r="M43" s="101" t="s">
        <v>112</v>
      </c>
      <c r="N43" s="101" t="s">
        <v>112</v>
      </c>
      <c r="O43" s="101" t="s">
        <v>112</v>
      </c>
      <c r="P43" s="101" t="s">
        <v>112</v>
      </c>
      <c r="Q43" s="125"/>
      <c r="R43" s="101" t="s">
        <v>111</v>
      </c>
      <c r="S43" s="101" t="s">
        <v>112</v>
      </c>
      <c r="T43" s="101" t="s">
        <v>112</v>
      </c>
      <c r="U43" s="101" t="s">
        <v>112</v>
      </c>
      <c r="V43" s="101" t="s">
        <v>112</v>
      </c>
      <c r="W43" s="101" t="s">
        <v>111</v>
      </c>
      <c r="X43" s="125"/>
      <c r="Y43" s="101" t="s">
        <v>112</v>
      </c>
      <c r="Z43" s="101" t="s">
        <v>112</v>
      </c>
      <c r="AA43" s="101" t="s">
        <v>112</v>
      </c>
      <c r="AB43" s="101" t="s">
        <v>112</v>
      </c>
      <c r="AC43" s="101"/>
      <c r="AD43" s="101"/>
      <c r="AE43" s="125"/>
      <c r="AF43" s="101"/>
      <c r="AG43" s="101"/>
      <c r="AH43" s="101"/>
      <c r="AI43" s="101"/>
      <c r="AJ43" s="101"/>
      <c r="AK43" s="4">
        <f t="shared" si="1"/>
        <v>17</v>
      </c>
      <c r="AL43" s="4">
        <f t="shared" si="2"/>
        <v>2</v>
      </c>
    </row>
    <row r="44" spans="1:38" ht="16.5" x14ac:dyDescent="0.25">
      <c r="A44" s="11">
        <v>16</v>
      </c>
      <c r="B44" s="11">
        <v>93</v>
      </c>
      <c r="C44" s="133" t="s">
        <v>204</v>
      </c>
      <c r="D44" s="17" t="s">
        <v>58</v>
      </c>
      <c r="E44" s="16" t="s">
        <v>6</v>
      </c>
      <c r="F44" s="101"/>
      <c r="G44" s="101" t="s">
        <v>112</v>
      </c>
      <c r="H44" s="101" t="s">
        <v>112</v>
      </c>
      <c r="I44" s="101" t="s">
        <v>112</v>
      </c>
      <c r="J44" s="125"/>
      <c r="K44" s="101" t="s">
        <v>112</v>
      </c>
      <c r="L44" s="101" t="s">
        <v>112</v>
      </c>
      <c r="M44" s="101" t="s">
        <v>112</v>
      </c>
      <c r="N44" s="101" t="s">
        <v>112</v>
      </c>
      <c r="O44" s="101" t="s">
        <v>112</v>
      </c>
      <c r="P44" s="101" t="s">
        <v>112</v>
      </c>
      <c r="Q44" s="125"/>
      <c r="R44" s="101" t="s">
        <v>112</v>
      </c>
      <c r="S44" s="101" t="s">
        <v>112</v>
      </c>
      <c r="T44" s="101" t="s">
        <v>112</v>
      </c>
      <c r="U44" s="101" t="s">
        <v>112</v>
      </c>
      <c r="V44" s="101" t="s">
        <v>112</v>
      </c>
      <c r="W44" s="101" t="s">
        <v>112</v>
      </c>
      <c r="X44" s="125"/>
      <c r="Y44" s="101" t="s">
        <v>112</v>
      </c>
      <c r="Z44" s="101" t="s">
        <v>112</v>
      </c>
      <c r="AA44" s="101" t="s">
        <v>112</v>
      </c>
      <c r="AB44" s="101" t="s">
        <v>112</v>
      </c>
      <c r="AC44" s="101"/>
      <c r="AD44" s="101"/>
      <c r="AE44" s="125"/>
      <c r="AF44" s="101"/>
      <c r="AG44" s="101"/>
      <c r="AH44" s="101"/>
      <c r="AI44" s="101"/>
      <c r="AJ44" s="101"/>
      <c r="AK44" s="4">
        <f t="shared" si="1"/>
        <v>19</v>
      </c>
      <c r="AL44" s="4">
        <f t="shared" si="2"/>
        <v>0</v>
      </c>
    </row>
    <row r="45" spans="1:38" ht="16.5" x14ac:dyDescent="0.25">
      <c r="A45" s="6">
        <v>17</v>
      </c>
      <c r="B45" s="11">
        <v>14</v>
      </c>
      <c r="C45" s="133" t="s">
        <v>205</v>
      </c>
      <c r="D45" s="17" t="s">
        <v>206</v>
      </c>
      <c r="E45" s="16" t="s">
        <v>6</v>
      </c>
      <c r="F45" s="101"/>
      <c r="G45" s="101" t="s">
        <v>111</v>
      </c>
      <c r="H45" s="101" t="s">
        <v>111</v>
      </c>
      <c r="I45" s="101" t="s">
        <v>111</v>
      </c>
      <c r="J45" s="125"/>
      <c r="K45" s="101" t="s">
        <v>112</v>
      </c>
      <c r="L45" s="101" t="s">
        <v>112</v>
      </c>
      <c r="M45" s="101" t="s">
        <v>112</v>
      </c>
      <c r="N45" s="101" t="s">
        <v>112</v>
      </c>
      <c r="O45" s="101" t="s">
        <v>111</v>
      </c>
      <c r="P45" s="101" t="s">
        <v>112</v>
      </c>
      <c r="Q45" s="125"/>
      <c r="R45" s="101" t="s">
        <v>112</v>
      </c>
      <c r="S45" s="101" t="s">
        <v>112</v>
      </c>
      <c r="T45" s="101" t="s">
        <v>112</v>
      </c>
      <c r="U45" s="101" t="s">
        <v>112</v>
      </c>
      <c r="V45" s="101" t="s">
        <v>112</v>
      </c>
      <c r="W45" s="101" t="s">
        <v>112</v>
      </c>
      <c r="X45" s="125"/>
      <c r="Y45" s="101" t="s">
        <v>112</v>
      </c>
      <c r="Z45" s="101" t="s">
        <v>112</v>
      </c>
      <c r="AA45" s="101" t="s">
        <v>112</v>
      </c>
      <c r="AB45" s="101" t="s">
        <v>111</v>
      </c>
      <c r="AC45" s="101"/>
      <c r="AD45" s="101"/>
      <c r="AE45" s="125"/>
      <c r="AF45" s="101"/>
      <c r="AG45" s="101"/>
      <c r="AH45" s="101"/>
      <c r="AI45" s="101"/>
      <c r="AJ45" s="101"/>
      <c r="AK45" s="4">
        <f t="shared" si="1"/>
        <v>14</v>
      </c>
      <c r="AL45" s="4">
        <f t="shared" si="2"/>
        <v>5</v>
      </c>
    </row>
    <row r="46" spans="1:38" ht="16.5" x14ac:dyDescent="0.25">
      <c r="A46" s="11">
        <v>18</v>
      </c>
      <c r="B46" s="11">
        <v>94</v>
      </c>
      <c r="C46" s="133" t="s">
        <v>207</v>
      </c>
      <c r="D46" s="17" t="s">
        <v>206</v>
      </c>
      <c r="E46" s="16" t="s">
        <v>6</v>
      </c>
      <c r="F46" s="101"/>
      <c r="G46" s="101" t="s">
        <v>112</v>
      </c>
      <c r="H46" s="101" t="s">
        <v>112</v>
      </c>
      <c r="I46" s="101" t="s">
        <v>111</v>
      </c>
      <c r="J46" s="125"/>
      <c r="K46" s="101" t="s">
        <v>111</v>
      </c>
      <c r="L46" s="101" t="s">
        <v>112</v>
      </c>
      <c r="M46" s="101" t="s">
        <v>112</v>
      </c>
      <c r="N46" s="101" t="s">
        <v>111</v>
      </c>
      <c r="O46" s="101" t="s">
        <v>111</v>
      </c>
      <c r="P46" s="101" t="s">
        <v>113</v>
      </c>
      <c r="Q46" s="125"/>
      <c r="R46" s="101" t="s">
        <v>113</v>
      </c>
      <c r="S46" s="101" t="s">
        <v>113</v>
      </c>
      <c r="T46" s="101" t="s">
        <v>113</v>
      </c>
      <c r="U46" s="101" t="s">
        <v>113</v>
      </c>
      <c r="V46" s="101" t="s">
        <v>113</v>
      </c>
      <c r="W46" s="101" t="s">
        <v>113</v>
      </c>
      <c r="X46" s="125"/>
      <c r="Y46" s="101" t="s">
        <v>113</v>
      </c>
      <c r="Z46" s="101" t="s">
        <v>113</v>
      </c>
      <c r="AA46" s="101" t="s">
        <v>113</v>
      </c>
      <c r="AB46" s="101" t="s">
        <v>111</v>
      </c>
      <c r="AC46" s="101"/>
      <c r="AD46" s="101"/>
      <c r="AE46" s="125"/>
      <c r="AF46" s="101"/>
      <c r="AG46" s="101"/>
      <c r="AH46" s="101"/>
      <c r="AI46" s="101"/>
      <c r="AJ46" s="101"/>
      <c r="AK46" s="4">
        <f t="shared" si="1"/>
        <v>4</v>
      </c>
      <c r="AL46" s="4">
        <f t="shared" si="2"/>
        <v>5</v>
      </c>
    </row>
    <row r="47" spans="1:38" ht="16.5" x14ac:dyDescent="0.25">
      <c r="A47" s="6">
        <v>19</v>
      </c>
      <c r="B47" s="11">
        <v>111</v>
      </c>
      <c r="C47" s="133" t="s">
        <v>208</v>
      </c>
      <c r="D47" s="17" t="s">
        <v>209</v>
      </c>
      <c r="E47" s="16" t="s">
        <v>6</v>
      </c>
      <c r="F47" s="101"/>
      <c r="G47" s="101" t="s">
        <v>111</v>
      </c>
      <c r="H47" s="101" t="s">
        <v>111</v>
      </c>
      <c r="I47" s="101" t="s">
        <v>111</v>
      </c>
      <c r="J47" s="125"/>
      <c r="K47" s="101" t="s">
        <v>112</v>
      </c>
      <c r="L47" s="101" t="s">
        <v>111</v>
      </c>
      <c r="M47" s="101" t="s">
        <v>112</v>
      </c>
      <c r="N47" s="101" t="s">
        <v>112</v>
      </c>
      <c r="O47" s="101" t="s">
        <v>111</v>
      </c>
      <c r="P47" s="101" t="s">
        <v>112</v>
      </c>
      <c r="Q47" s="125"/>
      <c r="R47" s="101" t="s">
        <v>112</v>
      </c>
      <c r="S47" s="101" t="s">
        <v>112</v>
      </c>
      <c r="T47" s="101" t="s">
        <v>112</v>
      </c>
      <c r="U47" s="101" t="s">
        <v>112</v>
      </c>
      <c r="V47" s="101" t="s">
        <v>112</v>
      </c>
      <c r="W47" s="101" t="s">
        <v>112</v>
      </c>
      <c r="X47" s="125"/>
      <c r="Y47" s="101" t="s">
        <v>112</v>
      </c>
      <c r="Z47" s="101" t="s">
        <v>112</v>
      </c>
      <c r="AA47" s="101" t="s">
        <v>112</v>
      </c>
      <c r="AB47" s="101" t="s">
        <v>112</v>
      </c>
      <c r="AC47" s="101"/>
      <c r="AD47" s="101"/>
      <c r="AE47" s="125"/>
      <c r="AF47" s="101"/>
      <c r="AG47" s="101"/>
      <c r="AH47" s="101"/>
      <c r="AI47" s="101"/>
      <c r="AJ47" s="101"/>
      <c r="AK47" s="4">
        <f t="shared" si="1"/>
        <v>14</v>
      </c>
      <c r="AL47" s="4">
        <f t="shared" si="2"/>
        <v>5</v>
      </c>
    </row>
    <row r="48" spans="1:38" ht="16.5" x14ac:dyDescent="0.25">
      <c r="A48" s="11">
        <v>20</v>
      </c>
      <c r="B48" s="11">
        <v>113</v>
      </c>
      <c r="C48" s="133" t="s">
        <v>210</v>
      </c>
      <c r="D48" s="17" t="s">
        <v>78</v>
      </c>
      <c r="E48" s="16" t="s">
        <v>6</v>
      </c>
      <c r="F48" s="101"/>
      <c r="G48" s="101" t="s">
        <v>111</v>
      </c>
      <c r="H48" s="101" t="s">
        <v>111</v>
      </c>
      <c r="I48" s="101" t="s">
        <v>112</v>
      </c>
      <c r="J48" s="125"/>
      <c r="K48" s="101" t="s">
        <v>112</v>
      </c>
      <c r="L48" s="101" t="s">
        <v>112</v>
      </c>
      <c r="M48" s="101" t="s">
        <v>112</v>
      </c>
      <c r="N48" s="101" t="s">
        <v>112</v>
      </c>
      <c r="O48" s="101" t="s">
        <v>112</v>
      </c>
      <c r="P48" s="101" t="s">
        <v>112</v>
      </c>
      <c r="Q48" s="125"/>
      <c r="R48" s="101" t="s">
        <v>112</v>
      </c>
      <c r="S48" s="101" t="s">
        <v>112</v>
      </c>
      <c r="T48" s="101" t="s">
        <v>112</v>
      </c>
      <c r="U48" s="101" t="s">
        <v>112</v>
      </c>
      <c r="V48" s="101" t="s">
        <v>112</v>
      </c>
      <c r="W48" s="101" t="s">
        <v>112</v>
      </c>
      <c r="X48" s="125"/>
      <c r="Y48" s="101" t="s">
        <v>112</v>
      </c>
      <c r="Z48" s="101" t="s">
        <v>112</v>
      </c>
      <c r="AA48" s="101" t="s">
        <v>112</v>
      </c>
      <c r="AB48" s="101" t="s">
        <v>112</v>
      </c>
      <c r="AC48" s="101"/>
      <c r="AD48" s="101"/>
      <c r="AE48" s="125"/>
      <c r="AF48" s="101"/>
      <c r="AG48" s="101"/>
      <c r="AH48" s="101"/>
      <c r="AI48" s="101"/>
      <c r="AJ48" s="101"/>
      <c r="AK48" s="4">
        <f t="shared" si="1"/>
        <v>17</v>
      </c>
      <c r="AL48" s="4">
        <f t="shared" si="2"/>
        <v>2</v>
      </c>
    </row>
    <row r="49" spans="1:38" ht="16.5" x14ac:dyDescent="0.25">
      <c r="A49" s="6">
        <v>21</v>
      </c>
      <c r="B49" s="11">
        <v>115</v>
      </c>
      <c r="C49" s="133" t="s">
        <v>211</v>
      </c>
      <c r="D49" s="17" t="s">
        <v>212</v>
      </c>
      <c r="E49" s="16" t="s">
        <v>6</v>
      </c>
      <c r="F49" s="101"/>
      <c r="G49" s="101" t="s">
        <v>111</v>
      </c>
      <c r="H49" s="101" t="s">
        <v>111</v>
      </c>
      <c r="I49" s="101" t="s">
        <v>111</v>
      </c>
      <c r="J49" s="125"/>
      <c r="K49" s="101" t="s">
        <v>112</v>
      </c>
      <c r="L49" s="101" t="s">
        <v>112</v>
      </c>
      <c r="M49" s="101" t="s">
        <v>112</v>
      </c>
      <c r="N49" s="101" t="s">
        <v>112</v>
      </c>
      <c r="O49" s="101" t="s">
        <v>112</v>
      </c>
      <c r="P49" s="101" t="s">
        <v>112</v>
      </c>
      <c r="Q49" s="125"/>
      <c r="R49" s="101" t="s">
        <v>111</v>
      </c>
      <c r="S49" s="101" t="s">
        <v>111</v>
      </c>
      <c r="T49" s="101" t="s">
        <v>113</v>
      </c>
      <c r="U49" s="101" t="s">
        <v>113</v>
      </c>
      <c r="V49" s="101" t="s">
        <v>113</v>
      </c>
      <c r="W49" s="101" t="s">
        <v>113</v>
      </c>
      <c r="X49" s="125"/>
      <c r="Y49" s="101" t="s">
        <v>113</v>
      </c>
      <c r="Z49" s="101" t="s">
        <v>113</v>
      </c>
      <c r="AA49" s="101" t="s">
        <v>113</v>
      </c>
      <c r="AB49" s="101" t="s">
        <v>111</v>
      </c>
      <c r="AC49" s="101"/>
      <c r="AD49" s="101"/>
      <c r="AE49" s="125"/>
      <c r="AF49" s="101"/>
      <c r="AG49" s="101"/>
      <c r="AH49" s="101"/>
      <c r="AI49" s="101"/>
      <c r="AJ49" s="101"/>
      <c r="AK49" s="4">
        <f t="shared" si="1"/>
        <v>6</v>
      </c>
      <c r="AL49" s="4">
        <f t="shared" si="2"/>
        <v>6</v>
      </c>
    </row>
    <row r="50" spans="1:38" ht="16.5" x14ac:dyDescent="0.25">
      <c r="A50" s="11">
        <v>22</v>
      </c>
      <c r="B50" s="11">
        <v>114</v>
      </c>
      <c r="C50" s="133" t="s">
        <v>213</v>
      </c>
      <c r="D50" s="17" t="s">
        <v>212</v>
      </c>
      <c r="E50" s="16" t="s">
        <v>6</v>
      </c>
      <c r="F50" s="101"/>
      <c r="G50" s="101" t="s">
        <v>111</v>
      </c>
      <c r="H50" s="101" t="s">
        <v>111</v>
      </c>
      <c r="I50" s="101" t="s">
        <v>111</v>
      </c>
      <c r="J50" s="125"/>
      <c r="K50" s="101" t="s">
        <v>111</v>
      </c>
      <c r="L50" s="101" t="s">
        <v>111</v>
      </c>
      <c r="M50" s="101" t="s">
        <v>112</v>
      </c>
      <c r="N50" s="101" t="s">
        <v>112</v>
      </c>
      <c r="O50" s="101" t="s">
        <v>112</v>
      </c>
      <c r="P50" s="101" t="s">
        <v>112</v>
      </c>
      <c r="Q50" s="125"/>
      <c r="R50" s="101" t="s">
        <v>111</v>
      </c>
      <c r="S50" s="101" t="s">
        <v>111</v>
      </c>
      <c r="T50" s="101" t="s">
        <v>113</v>
      </c>
      <c r="U50" s="101" t="s">
        <v>113</v>
      </c>
      <c r="V50" s="101" t="s">
        <v>113</v>
      </c>
      <c r="W50" s="101" t="s">
        <v>113</v>
      </c>
      <c r="X50" s="125"/>
      <c r="Y50" s="101" t="s">
        <v>113</v>
      </c>
      <c r="Z50" s="101" t="s">
        <v>113</v>
      </c>
      <c r="AA50" s="101" t="s">
        <v>113</v>
      </c>
      <c r="AB50" s="101" t="s">
        <v>111</v>
      </c>
      <c r="AC50" s="101"/>
      <c r="AD50" s="101"/>
      <c r="AE50" s="125"/>
      <c r="AF50" s="101"/>
      <c r="AG50" s="101"/>
      <c r="AH50" s="101"/>
      <c r="AI50" s="101"/>
      <c r="AJ50" s="101"/>
      <c r="AK50" s="4">
        <f t="shared" si="1"/>
        <v>4</v>
      </c>
      <c r="AL50" s="4">
        <f t="shared" si="2"/>
        <v>8</v>
      </c>
    </row>
    <row r="51" spans="1:38" ht="16.5" x14ac:dyDescent="0.25">
      <c r="A51" s="6">
        <v>23</v>
      </c>
      <c r="B51" s="11">
        <v>141</v>
      </c>
      <c r="C51" s="133" t="s">
        <v>214</v>
      </c>
      <c r="D51" s="17" t="s">
        <v>215</v>
      </c>
      <c r="E51" s="16" t="s">
        <v>6</v>
      </c>
      <c r="F51" s="101"/>
      <c r="G51" s="101" t="s">
        <v>111</v>
      </c>
      <c r="H51" s="101" t="s">
        <v>111</v>
      </c>
      <c r="I51" s="101" t="s">
        <v>111</v>
      </c>
      <c r="J51" s="125"/>
      <c r="K51" s="101" t="s">
        <v>112</v>
      </c>
      <c r="L51" s="101" t="s">
        <v>112</v>
      </c>
      <c r="M51" s="101" t="s">
        <v>112</v>
      </c>
      <c r="N51" s="101" t="s">
        <v>112</v>
      </c>
      <c r="O51" s="101" t="s">
        <v>112</v>
      </c>
      <c r="P51" s="101" t="s">
        <v>111</v>
      </c>
      <c r="Q51" s="125"/>
      <c r="R51" s="101" t="s">
        <v>112</v>
      </c>
      <c r="S51" s="101" t="s">
        <v>112</v>
      </c>
      <c r="T51" s="101" t="s">
        <v>112</v>
      </c>
      <c r="U51" s="101" t="s">
        <v>112</v>
      </c>
      <c r="V51" s="101" t="s">
        <v>112</v>
      </c>
      <c r="W51" s="101" t="s">
        <v>111</v>
      </c>
      <c r="X51" s="125"/>
      <c r="Y51" s="101" t="s">
        <v>112</v>
      </c>
      <c r="Z51" s="101" t="s">
        <v>112</v>
      </c>
      <c r="AA51" s="101" t="s">
        <v>112</v>
      </c>
      <c r="AB51" s="101" t="s">
        <v>112</v>
      </c>
      <c r="AC51" s="101"/>
      <c r="AD51" s="101"/>
      <c r="AE51" s="125"/>
      <c r="AF51" s="101"/>
      <c r="AG51" s="101"/>
      <c r="AH51" s="101"/>
      <c r="AI51" s="101"/>
      <c r="AJ51" s="101"/>
      <c r="AK51" s="4">
        <f t="shared" si="1"/>
        <v>14</v>
      </c>
      <c r="AL51" s="4">
        <f t="shared" si="2"/>
        <v>5</v>
      </c>
    </row>
    <row r="52" spans="1:38" ht="16.5" x14ac:dyDescent="0.25">
      <c r="A52" s="11">
        <v>24</v>
      </c>
      <c r="B52" s="11">
        <v>140</v>
      </c>
      <c r="C52" s="133" t="s">
        <v>216</v>
      </c>
      <c r="D52" s="17" t="s">
        <v>215</v>
      </c>
      <c r="E52" s="16" t="s">
        <v>6</v>
      </c>
      <c r="F52" s="101"/>
      <c r="G52" s="101" t="s">
        <v>111</v>
      </c>
      <c r="H52" s="101" t="s">
        <v>111</v>
      </c>
      <c r="I52" s="101" t="s">
        <v>111</v>
      </c>
      <c r="J52" s="125"/>
      <c r="K52" s="101" t="s">
        <v>112</v>
      </c>
      <c r="L52" s="101" t="s">
        <v>112</v>
      </c>
      <c r="M52" s="101" t="s">
        <v>112</v>
      </c>
      <c r="N52" s="101" t="s">
        <v>112</v>
      </c>
      <c r="O52" s="101" t="s">
        <v>112</v>
      </c>
      <c r="P52" s="101" t="s">
        <v>111</v>
      </c>
      <c r="Q52" s="125"/>
      <c r="R52" s="101" t="s">
        <v>112</v>
      </c>
      <c r="S52" s="101" t="s">
        <v>112</v>
      </c>
      <c r="T52" s="101" t="s">
        <v>112</v>
      </c>
      <c r="U52" s="101" t="s">
        <v>112</v>
      </c>
      <c r="V52" s="101" t="s">
        <v>112</v>
      </c>
      <c r="W52" s="101" t="s">
        <v>111</v>
      </c>
      <c r="X52" s="125"/>
      <c r="Y52" s="101" t="s">
        <v>112</v>
      </c>
      <c r="Z52" s="101" t="s">
        <v>112</v>
      </c>
      <c r="AA52" s="101" t="s">
        <v>112</v>
      </c>
      <c r="AB52" s="101" t="s">
        <v>112</v>
      </c>
      <c r="AC52" s="101"/>
      <c r="AD52" s="101"/>
      <c r="AE52" s="125"/>
      <c r="AF52" s="101"/>
      <c r="AG52" s="101"/>
      <c r="AH52" s="101"/>
      <c r="AI52" s="101"/>
      <c r="AJ52" s="101"/>
      <c r="AK52" s="4">
        <f t="shared" si="1"/>
        <v>14</v>
      </c>
      <c r="AL52" s="4">
        <f t="shared" si="2"/>
        <v>5</v>
      </c>
    </row>
    <row r="53" spans="1:38" ht="16.5" x14ac:dyDescent="0.25">
      <c r="A53" s="6">
        <v>25</v>
      </c>
      <c r="B53" s="11">
        <v>96</v>
      </c>
      <c r="C53" s="133" t="s">
        <v>217</v>
      </c>
      <c r="D53" s="17" t="s">
        <v>218</v>
      </c>
      <c r="E53" s="16" t="s">
        <v>6</v>
      </c>
      <c r="F53" s="101"/>
      <c r="G53" s="101" t="s">
        <v>112</v>
      </c>
      <c r="H53" s="101" t="s">
        <v>112</v>
      </c>
      <c r="I53" s="101" t="s">
        <v>111</v>
      </c>
      <c r="J53" s="125"/>
      <c r="K53" s="101" t="s">
        <v>112</v>
      </c>
      <c r="L53" s="101" t="s">
        <v>112</v>
      </c>
      <c r="M53" s="101" t="s">
        <v>112</v>
      </c>
      <c r="N53" s="101" t="s">
        <v>111</v>
      </c>
      <c r="O53" s="101" t="s">
        <v>111</v>
      </c>
      <c r="P53" s="101" t="s">
        <v>112</v>
      </c>
      <c r="Q53" s="125"/>
      <c r="R53" s="101" t="s">
        <v>112</v>
      </c>
      <c r="S53" s="101" t="s">
        <v>112</v>
      </c>
      <c r="T53" s="101" t="s">
        <v>112</v>
      </c>
      <c r="U53" s="101" t="s">
        <v>112</v>
      </c>
      <c r="V53" s="101" t="s">
        <v>112</v>
      </c>
      <c r="W53" s="101" t="s">
        <v>111</v>
      </c>
      <c r="X53" s="125"/>
      <c r="Y53" s="101" t="s">
        <v>112</v>
      </c>
      <c r="Z53" s="101" t="s">
        <v>112</v>
      </c>
      <c r="AA53" s="101" t="s">
        <v>112</v>
      </c>
      <c r="AB53" s="101" t="s">
        <v>112</v>
      </c>
      <c r="AC53" s="101"/>
      <c r="AD53" s="101"/>
      <c r="AE53" s="125"/>
      <c r="AF53" s="101"/>
      <c r="AG53" s="101"/>
      <c r="AH53" s="101"/>
      <c r="AI53" s="101"/>
      <c r="AJ53" s="101"/>
      <c r="AK53" s="4">
        <f t="shared" si="1"/>
        <v>15</v>
      </c>
      <c r="AL53" s="4">
        <f t="shared" si="2"/>
        <v>4</v>
      </c>
    </row>
    <row r="54" spans="1:38" ht="16.5" x14ac:dyDescent="0.25">
      <c r="A54" s="11">
        <v>26</v>
      </c>
      <c r="B54" s="11"/>
      <c r="C54" s="133" t="s">
        <v>219</v>
      </c>
      <c r="D54" s="17" t="s">
        <v>140</v>
      </c>
      <c r="E54" s="16" t="s">
        <v>6</v>
      </c>
      <c r="F54" s="101"/>
      <c r="G54" s="101" t="s">
        <v>111</v>
      </c>
      <c r="H54" s="101" t="s">
        <v>111</v>
      </c>
      <c r="I54" s="101" t="s">
        <v>111</v>
      </c>
      <c r="J54" s="125"/>
      <c r="K54" s="101" t="s">
        <v>111</v>
      </c>
      <c r="L54" s="101" t="s">
        <v>111</v>
      </c>
      <c r="M54" s="101" t="s">
        <v>112</v>
      </c>
      <c r="N54" s="101" t="s">
        <v>112</v>
      </c>
      <c r="O54" s="101" t="s">
        <v>112</v>
      </c>
      <c r="P54" s="101" t="s">
        <v>111</v>
      </c>
      <c r="Q54" s="125"/>
      <c r="R54" s="101" t="s">
        <v>111</v>
      </c>
      <c r="S54" s="101" t="s">
        <v>112</v>
      </c>
      <c r="T54" s="101" t="s">
        <v>112</v>
      </c>
      <c r="U54" s="101" t="s">
        <v>112</v>
      </c>
      <c r="V54" s="101" t="s">
        <v>111</v>
      </c>
      <c r="W54" s="101" t="s">
        <v>111</v>
      </c>
      <c r="X54" s="125"/>
      <c r="Y54" s="101" t="s">
        <v>112</v>
      </c>
      <c r="Z54" s="101" t="s">
        <v>112</v>
      </c>
      <c r="AA54" s="101" t="s">
        <v>112</v>
      </c>
      <c r="AB54" s="101" t="s">
        <v>111</v>
      </c>
      <c r="AC54" s="101"/>
      <c r="AD54" s="101"/>
      <c r="AE54" s="125"/>
      <c r="AF54" s="101"/>
      <c r="AG54" s="101"/>
      <c r="AH54" s="101"/>
      <c r="AI54" s="101"/>
      <c r="AJ54" s="101"/>
      <c r="AK54" s="4">
        <f t="shared" si="1"/>
        <v>9</v>
      </c>
      <c r="AL54" s="4">
        <f t="shared" si="2"/>
        <v>10</v>
      </c>
    </row>
    <row r="55" spans="1:38" ht="16.5" x14ac:dyDescent="0.25">
      <c r="A55" s="6">
        <v>27</v>
      </c>
      <c r="B55" s="11"/>
      <c r="C55" s="133" t="s">
        <v>220</v>
      </c>
      <c r="D55" s="17" t="s">
        <v>221</v>
      </c>
      <c r="E55" s="16" t="s">
        <v>6</v>
      </c>
      <c r="F55" s="101"/>
      <c r="G55" s="101" t="s">
        <v>112</v>
      </c>
      <c r="H55" s="101" t="s">
        <v>111</v>
      </c>
      <c r="I55" s="101" t="s">
        <v>111</v>
      </c>
      <c r="J55" s="125"/>
      <c r="K55" s="101" t="s">
        <v>112</v>
      </c>
      <c r="L55" s="101" t="s">
        <v>111</v>
      </c>
      <c r="M55" s="101" t="s">
        <v>112</v>
      </c>
      <c r="N55" s="101" t="s">
        <v>112</v>
      </c>
      <c r="O55" s="101" t="s">
        <v>112</v>
      </c>
      <c r="P55" s="101" t="s">
        <v>112</v>
      </c>
      <c r="Q55" s="125"/>
      <c r="R55" s="101" t="s">
        <v>112</v>
      </c>
      <c r="S55" s="101" t="s">
        <v>112</v>
      </c>
      <c r="T55" s="101" t="s">
        <v>112</v>
      </c>
      <c r="U55" s="101" t="s">
        <v>112</v>
      </c>
      <c r="V55" s="101" t="s">
        <v>112</v>
      </c>
      <c r="W55" s="101" t="s">
        <v>111</v>
      </c>
      <c r="X55" s="125"/>
      <c r="Y55" s="101" t="s">
        <v>112</v>
      </c>
      <c r="Z55" s="101" t="s">
        <v>112</v>
      </c>
      <c r="AA55" s="101" t="s">
        <v>112</v>
      </c>
      <c r="AB55" s="101" t="s">
        <v>112</v>
      </c>
      <c r="AC55" s="101"/>
      <c r="AD55" s="101"/>
      <c r="AE55" s="125"/>
      <c r="AF55" s="101"/>
      <c r="AG55" s="101"/>
      <c r="AH55" s="101"/>
      <c r="AI55" s="101"/>
      <c r="AJ55" s="101"/>
      <c r="AK55" s="4">
        <f t="shared" si="1"/>
        <v>15</v>
      </c>
      <c r="AL55" s="4">
        <f t="shared" si="2"/>
        <v>4</v>
      </c>
    </row>
    <row r="56" spans="1:38" ht="16.5" x14ac:dyDescent="0.25">
      <c r="A56" s="11">
        <v>28</v>
      </c>
      <c r="B56" s="11"/>
      <c r="C56" s="133" t="s">
        <v>222</v>
      </c>
      <c r="D56" s="17" t="s">
        <v>223</v>
      </c>
      <c r="E56" s="16" t="s">
        <v>6</v>
      </c>
      <c r="F56" s="101"/>
      <c r="G56" s="101" t="s">
        <v>112</v>
      </c>
      <c r="H56" s="101" t="s">
        <v>111</v>
      </c>
      <c r="I56" s="101" t="s">
        <v>112</v>
      </c>
      <c r="J56" s="125"/>
      <c r="K56" s="101" t="s">
        <v>112</v>
      </c>
      <c r="L56" s="101" t="s">
        <v>112</v>
      </c>
      <c r="M56" s="101" t="s">
        <v>112</v>
      </c>
      <c r="N56" s="101" t="s">
        <v>112</v>
      </c>
      <c r="O56" s="101" t="s">
        <v>112</v>
      </c>
      <c r="P56" s="101" t="s">
        <v>111</v>
      </c>
      <c r="Q56" s="125"/>
      <c r="R56" s="101" t="s">
        <v>112</v>
      </c>
      <c r="S56" s="101" t="s">
        <v>112</v>
      </c>
      <c r="T56" s="101" t="s">
        <v>112</v>
      </c>
      <c r="U56" s="101" t="s">
        <v>112</v>
      </c>
      <c r="V56" s="101" t="s">
        <v>112</v>
      </c>
      <c r="W56" s="101" t="s">
        <v>111</v>
      </c>
      <c r="X56" s="125"/>
      <c r="Y56" s="101" t="s">
        <v>111</v>
      </c>
      <c r="Z56" s="101" t="s">
        <v>112</v>
      </c>
      <c r="AA56" s="101" t="s">
        <v>112</v>
      </c>
      <c r="AB56" s="101" t="s">
        <v>112</v>
      </c>
      <c r="AC56" s="101"/>
      <c r="AD56" s="101"/>
      <c r="AE56" s="125"/>
      <c r="AF56" s="101"/>
      <c r="AG56" s="101"/>
      <c r="AH56" s="101"/>
      <c r="AI56" s="101"/>
      <c r="AJ56" s="101"/>
      <c r="AK56" s="4">
        <f t="shared" si="1"/>
        <v>15</v>
      </c>
      <c r="AL56" s="4">
        <f t="shared" si="2"/>
        <v>4</v>
      </c>
    </row>
    <row r="57" spans="1:38" ht="16.5" x14ac:dyDescent="0.25">
      <c r="A57" s="6">
        <v>29</v>
      </c>
      <c r="B57" s="11">
        <v>72</v>
      </c>
      <c r="C57" s="133" t="s">
        <v>224</v>
      </c>
      <c r="D57" s="17" t="s">
        <v>225</v>
      </c>
      <c r="E57" s="16" t="s">
        <v>6</v>
      </c>
      <c r="F57" s="101"/>
      <c r="G57" s="101" t="s">
        <v>111</v>
      </c>
      <c r="H57" s="101" t="s">
        <v>111</v>
      </c>
      <c r="I57" s="101" t="s">
        <v>111</v>
      </c>
      <c r="J57" s="125"/>
      <c r="K57" s="101" t="s">
        <v>112</v>
      </c>
      <c r="L57" s="101" t="s">
        <v>112</v>
      </c>
      <c r="M57" s="101" t="s">
        <v>112</v>
      </c>
      <c r="N57" s="101" t="s">
        <v>112</v>
      </c>
      <c r="O57" s="101" t="s">
        <v>112</v>
      </c>
      <c r="P57" s="101" t="s">
        <v>112</v>
      </c>
      <c r="Q57" s="125"/>
      <c r="R57" s="101" t="s">
        <v>112</v>
      </c>
      <c r="S57" s="101" t="s">
        <v>112</v>
      </c>
      <c r="T57" s="101" t="s">
        <v>111</v>
      </c>
      <c r="U57" s="101" t="s">
        <v>112</v>
      </c>
      <c r="V57" s="101" t="s">
        <v>112</v>
      </c>
      <c r="W57" s="101" t="s">
        <v>111</v>
      </c>
      <c r="X57" s="125"/>
      <c r="Y57" s="101" t="s">
        <v>112</v>
      </c>
      <c r="Z57" s="101" t="s">
        <v>112</v>
      </c>
      <c r="AA57" s="101" t="s">
        <v>112</v>
      </c>
      <c r="AB57" s="101" t="s">
        <v>112</v>
      </c>
      <c r="AC57" s="101"/>
      <c r="AD57" s="101"/>
      <c r="AE57" s="125"/>
      <c r="AF57" s="101"/>
      <c r="AG57" s="101"/>
      <c r="AH57" s="101"/>
      <c r="AI57" s="101"/>
      <c r="AJ57" s="101"/>
      <c r="AK57" s="4">
        <f t="shared" si="1"/>
        <v>14</v>
      </c>
      <c r="AL57" s="4">
        <f t="shared" si="2"/>
        <v>5</v>
      </c>
    </row>
    <row r="58" spans="1:38" ht="16.5" x14ac:dyDescent="0.25">
      <c r="A58" s="11">
        <v>30</v>
      </c>
      <c r="B58" s="11">
        <v>92</v>
      </c>
      <c r="C58" s="134" t="s">
        <v>226</v>
      </c>
      <c r="D58" s="11" t="s">
        <v>227</v>
      </c>
      <c r="E58" s="16" t="s">
        <v>6</v>
      </c>
      <c r="F58" s="101"/>
      <c r="G58" s="101" t="s">
        <v>111</v>
      </c>
      <c r="H58" s="101" t="s">
        <v>111</v>
      </c>
      <c r="I58" s="101" t="s">
        <v>111</v>
      </c>
      <c r="J58" s="125"/>
      <c r="K58" s="101" t="s">
        <v>111</v>
      </c>
      <c r="L58" s="101" t="s">
        <v>112</v>
      </c>
      <c r="M58" s="101" t="s">
        <v>112</v>
      </c>
      <c r="N58" s="101" t="s">
        <v>112</v>
      </c>
      <c r="O58" s="101" t="s">
        <v>112</v>
      </c>
      <c r="P58" s="101" t="s">
        <v>111</v>
      </c>
      <c r="Q58" s="125"/>
      <c r="R58" s="101" t="s">
        <v>112</v>
      </c>
      <c r="S58" s="101" t="s">
        <v>112</v>
      </c>
      <c r="T58" s="101" t="s">
        <v>112</v>
      </c>
      <c r="U58" s="101" t="s">
        <v>112</v>
      </c>
      <c r="V58" s="101" t="s">
        <v>112</v>
      </c>
      <c r="W58" s="101" t="s">
        <v>112</v>
      </c>
      <c r="X58" s="125"/>
      <c r="Y58" s="101" t="s">
        <v>112</v>
      </c>
      <c r="Z58" s="101" t="s">
        <v>112</v>
      </c>
      <c r="AA58" s="101" t="s">
        <v>112</v>
      </c>
      <c r="AB58" s="101" t="s">
        <v>112</v>
      </c>
      <c r="AC58" s="101"/>
      <c r="AD58" s="101"/>
      <c r="AE58" s="125"/>
      <c r="AF58" s="101"/>
      <c r="AG58" s="101"/>
      <c r="AH58" s="101"/>
      <c r="AI58" s="101"/>
      <c r="AJ58" s="101"/>
      <c r="AK58" s="4">
        <f t="shared" si="1"/>
        <v>14</v>
      </c>
      <c r="AL58" s="4">
        <f t="shared" si="2"/>
        <v>5</v>
      </c>
    </row>
    <row r="59" spans="1:38" ht="16.5" x14ac:dyDescent="0.25">
      <c r="A59" s="6">
        <v>31</v>
      </c>
      <c r="B59" s="11"/>
      <c r="C59" s="134" t="s">
        <v>228</v>
      </c>
      <c r="D59" s="11" t="s">
        <v>229</v>
      </c>
      <c r="E59" s="16" t="s">
        <v>6</v>
      </c>
      <c r="F59" s="101"/>
      <c r="G59" s="101" t="s">
        <v>112</v>
      </c>
      <c r="H59" s="101" t="s">
        <v>112</v>
      </c>
      <c r="I59" s="101" t="s">
        <v>112</v>
      </c>
      <c r="J59" s="125"/>
      <c r="K59" s="101" t="s">
        <v>112</v>
      </c>
      <c r="L59" s="101" t="s">
        <v>112</v>
      </c>
      <c r="M59" s="101" t="s">
        <v>112</v>
      </c>
      <c r="N59" s="101" t="s">
        <v>112</v>
      </c>
      <c r="O59" s="101" t="s">
        <v>112</v>
      </c>
      <c r="P59" s="101" t="s">
        <v>112</v>
      </c>
      <c r="Q59" s="125"/>
      <c r="R59" s="101" t="s">
        <v>112</v>
      </c>
      <c r="S59" s="101" t="s">
        <v>112</v>
      </c>
      <c r="T59" s="101" t="s">
        <v>112</v>
      </c>
      <c r="U59" s="101" t="s">
        <v>112</v>
      </c>
      <c r="V59" s="101" t="s">
        <v>112</v>
      </c>
      <c r="W59" s="101" t="s">
        <v>112</v>
      </c>
      <c r="X59" s="125"/>
      <c r="Y59" s="101" t="s">
        <v>112</v>
      </c>
      <c r="Z59" s="101" t="s">
        <v>112</v>
      </c>
      <c r="AA59" s="101" t="s">
        <v>112</v>
      </c>
      <c r="AB59" s="101" t="s">
        <v>112</v>
      </c>
      <c r="AC59" s="101"/>
      <c r="AD59" s="101"/>
      <c r="AE59" s="125"/>
      <c r="AF59" s="101"/>
      <c r="AG59" s="101"/>
      <c r="AH59" s="101"/>
      <c r="AI59" s="101"/>
      <c r="AJ59" s="101"/>
      <c r="AK59" s="4">
        <f t="shared" si="1"/>
        <v>19</v>
      </c>
      <c r="AL59" s="4">
        <f t="shared" si="2"/>
        <v>0</v>
      </c>
    </row>
    <row r="60" spans="1:38" ht="16.5" x14ac:dyDescent="0.25">
      <c r="A60" s="6">
        <v>31</v>
      </c>
      <c r="B60" s="11"/>
      <c r="C60" s="134" t="s">
        <v>228</v>
      </c>
      <c r="D60" s="11" t="s">
        <v>229</v>
      </c>
      <c r="E60" s="16" t="s">
        <v>6</v>
      </c>
      <c r="F60" s="101"/>
      <c r="G60" s="101" t="s">
        <v>111</v>
      </c>
      <c r="H60" s="101" t="s">
        <v>111</v>
      </c>
      <c r="I60" s="101" t="s">
        <v>111</v>
      </c>
      <c r="J60" s="125"/>
      <c r="K60" s="101" t="s">
        <v>112</v>
      </c>
      <c r="L60" s="101" t="s">
        <v>112</v>
      </c>
      <c r="M60" s="101" t="s">
        <v>112</v>
      </c>
      <c r="N60" s="101" t="s">
        <v>112</v>
      </c>
      <c r="O60" s="101" t="s">
        <v>112</v>
      </c>
      <c r="P60" s="101" t="s">
        <v>111</v>
      </c>
      <c r="Q60" s="125"/>
      <c r="R60" s="101" t="s">
        <v>112</v>
      </c>
      <c r="S60" s="101" t="s">
        <v>112</v>
      </c>
      <c r="T60" s="101" t="s">
        <v>112</v>
      </c>
      <c r="U60" s="101" t="s">
        <v>112</v>
      </c>
      <c r="V60" s="101" t="s">
        <v>112</v>
      </c>
      <c r="W60" s="101" t="s">
        <v>112</v>
      </c>
      <c r="X60" s="125"/>
      <c r="Y60" s="101" t="s">
        <v>112</v>
      </c>
      <c r="Z60" s="101" t="s">
        <v>111</v>
      </c>
      <c r="AA60" s="101" t="s">
        <v>111</v>
      </c>
      <c r="AB60" s="101" t="s">
        <v>111</v>
      </c>
      <c r="AC60" s="101"/>
      <c r="AD60" s="101"/>
      <c r="AE60" s="125"/>
      <c r="AF60" s="101"/>
      <c r="AG60" s="101"/>
      <c r="AH60" s="101"/>
      <c r="AI60" s="101"/>
      <c r="AJ60" s="101"/>
      <c r="AK60" s="4">
        <f t="shared" si="1"/>
        <v>12</v>
      </c>
      <c r="AL60" s="4">
        <f t="shared" si="2"/>
        <v>7</v>
      </c>
    </row>
  </sheetData>
  <mergeCells count="16">
    <mergeCell ref="J5:J60"/>
    <mergeCell ref="Q5:Q60"/>
    <mergeCell ref="X5:X60"/>
    <mergeCell ref="AE5:AE60"/>
    <mergeCell ref="A3:A4"/>
    <mergeCell ref="B3:B4"/>
    <mergeCell ref="C3:C4"/>
    <mergeCell ref="D3:D4"/>
    <mergeCell ref="E3:E4"/>
    <mergeCell ref="AM19:AP19"/>
    <mergeCell ref="A1:AL1"/>
    <mergeCell ref="A2:AL2"/>
    <mergeCell ref="AM3:AN3"/>
    <mergeCell ref="AM11:AP11"/>
    <mergeCell ref="AK3:AK4"/>
    <mergeCell ref="AL3:AL4"/>
  </mergeCells>
  <conditionalFormatting sqref="B5:B28">
    <cfRule type="duplicateValues" dxfId="281" priority="46"/>
  </conditionalFormatting>
  <conditionalFormatting sqref="B29:B57">
    <cfRule type="duplicateValues" dxfId="280" priority="34"/>
  </conditionalFormatting>
  <conditionalFormatting sqref="F3:AJ4 G5:K5 F5:F60 G6:I60 K6:K60">
    <cfRule type="expression" dxfId="279" priority="35">
      <formula>F$4=TODAY()</formula>
    </cfRule>
  </conditionalFormatting>
  <conditionalFormatting sqref="G5:K5 F5:F60 G6:I60 K6:K60 F3:AJ4">
    <cfRule type="expression" dxfId="278" priority="44">
      <formula>F$3="Sun"</formula>
    </cfRule>
  </conditionalFormatting>
  <conditionalFormatting sqref="G5:K5 F5:F60 G6:I60 K6:K60">
    <cfRule type="cellIs" dxfId="277" priority="36" operator="equal">
      <formula>"L"</formula>
    </cfRule>
    <cfRule type="cellIs" dxfId="276" priority="37" operator="equal">
      <formula>"A"</formula>
    </cfRule>
    <cfRule type="cellIs" dxfId="275" priority="38" operator="equal">
      <formula>"P"</formula>
    </cfRule>
  </conditionalFormatting>
  <conditionalFormatting sqref="L5:P60 R5:W60 Y5:AD60 AF5:AJ60">
    <cfRule type="expression" dxfId="274" priority="13">
      <formula>L$4=TODAY()</formula>
    </cfRule>
    <cfRule type="cellIs" dxfId="273" priority="14" operator="equal">
      <formula>"L"</formula>
    </cfRule>
    <cfRule type="cellIs" dxfId="272" priority="15" operator="equal">
      <formula>"A"</formula>
    </cfRule>
    <cfRule type="cellIs" dxfId="271" priority="16" operator="equal">
      <formula>"P"</formula>
    </cfRule>
    <cfRule type="expression" dxfId="270" priority="17">
      <formula>L$3="Sun"</formula>
    </cfRule>
  </conditionalFormatting>
  <conditionalFormatting sqref="Q5">
    <cfRule type="expression" dxfId="269" priority="28">
      <formula>Q$4=TODAY()</formula>
    </cfRule>
    <cfRule type="cellIs" dxfId="268" priority="29" operator="equal">
      <formula>"L"</formula>
    </cfRule>
    <cfRule type="cellIs" dxfId="267" priority="30" operator="equal">
      <formula>"A"</formula>
    </cfRule>
    <cfRule type="cellIs" dxfId="266" priority="31" operator="equal">
      <formula>"P"</formula>
    </cfRule>
    <cfRule type="expression" dxfId="265" priority="32">
      <formula>Q$3="Sun"</formula>
    </cfRule>
  </conditionalFormatting>
  <conditionalFormatting sqref="X5">
    <cfRule type="expression" dxfId="264" priority="23">
      <formula>X$4=TODAY()</formula>
    </cfRule>
    <cfRule type="cellIs" dxfId="263" priority="24" operator="equal">
      <formula>"L"</formula>
    </cfRule>
    <cfRule type="cellIs" dxfId="262" priority="25" operator="equal">
      <formula>"A"</formula>
    </cfRule>
    <cfRule type="cellIs" dxfId="261" priority="26" operator="equal">
      <formula>"P"</formula>
    </cfRule>
    <cfRule type="expression" dxfId="260" priority="27">
      <formula>X$3="Sun"</formula>
    </cfRule>
  </conditionalFormatting>
  <conditionalFormatting sqref="AE5">
    <cfRule type="expression" dxfId="259" priority="18">
      <formula>AE$4=TODAY()</formula>
    </cfRule>
    <cfRule type="cellIs" dxfId="258" priority="19" operator="equal">
      <formula>"L"</formula>
    </cfRule>
    <cfRule type="cellIs" dxfId="257" priority="20" operator="equal">
      <formula>"A"</formula>
    </cfRule>
    <cfRule type="cellIs" dxfId="256" priority="21" operator="equal">
      <formula>"P"</formula>
    </cfRule>
    <cfRule type="expression" dxfId="255" priority="22">
      <formula>AE$3="Sun"</formula>
    </cfRule>
  </conditionalFormatting>
  <conditionalFormatting sqref="AK3:AL3">
    <cfRule type="expression" dxfId="254" priority="45">
      <formula>#REF!="Sun"</formula>
    </cfRule>
  </conditionalFormatting>
  <conditionalFormatting sqref="AK5:AL60">
    <cfRule type="expression" dxfId="253" priority="33">
      <formula>#REF!="Sun"</formula>
    </cfRule>
  </conditionalFormatting>
  <conditionalFormatting sqref="AM5:AM9">
    <cfRule type="expression" dxfId="5" priority="4">
      <formula>AM$3="Sun"</formula>
    </cfRule>
  </conditionalFormatting>
  <conditionalFormatting sqref="AM12:AM15">
    <cfRule type="expression" dxfId="4" priority="2">
      <formula>AM$3="Sun"</formula>
    </cfRule>
  </conditionalFormatting>
  <conditionalFormatting sqref="AM20:AM23">
    <cfRule type="expression" dxfId="3" priority="1">
      <formula>AM$3="Sun"</formula>
    </cfRule>
  </conditionalFormatting>
  <conditionalFormatting sqref="AM4:AN4">
    <cfRule type="expression" dxfId="2" priority="5">
      <formula>AM$3="Sun"</formula>
    </cfRule>
  </conditionalFormatting>
  <conditionalFormatting sqref="AN12:AP12 AN20:AP20">
    <cfRule type="expression" dxfId="1" priority="6">
      <formula>AN$3="Sun"</formula>
    </cfRule>
  </conditionalFormatting>
  <conditionalFormatting sqref="AP21">
    <cfRule type="expression" dxfId="0" priority="3">
      <formula>AP$3="Sun"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C447-DA65-432A-ADDC-3394CE53E0C8}">
  <dimension ref="A1:AP60"/>
  <sheetViews>
    <sheetView topLeftCell="E9" workbookViewId="0">
      <selection activeCell="AM3" sqref="AM3: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2" width="7.5703125" style="1" bestFit="1" customWidth="1"/>
    <col min="43" max="16384" width="3.85546875" style="1"/>
  </cols>
  <sheetData>
    <row r="1" spans="1:42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</row>
    <row r="2" spans="1:42" ht="17.25" x14ac:dyDescent="0.25">
      <c r="A2" s="113" t="s">
        <v>825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</row>
    <row r="3" spans="1:42" ht="15.75" x14ac:dyDescent="0.25">
      <c r="A3" s="127" t="s">
        <v>0</v>
      </c>
      <c r="B3" s="127" t="s">
        <v>824</v>
      </c>
      <c r="C3" s="127" t="s">
        <v>1</v>
      </c>
      <c r="D3" s="127" t="s">
        <v>2</v>
      </c>
      <c r="E3" s="127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6" t="s">
        <v>4</v>
      </c>
      <c r="AL3" s="116" t="s">
        <v>5</v>
      </c>
      <c r="AM3" s="110" t="s">
        <v>126</v>
      </c>
      <c r="AN3" s="111"/>
      <c r="AO3" s="3"/>
      <c r="AP3" s="3"/>
    </row>
    <row r="4" spans="1:42" ht="33.75" x14ac:dyDescent="0.25">
      <c r="A4" s="128"/>
      <c r="B4" s="128"/>
      <c r="C4" s="128"/>
      <c r="D4" s="128"/>
      <c r="E4" s="128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7"/>
      <c r="AL4" s="117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/>
      <c r="C5" s="7" t="s">
        <v>230</v>
      </c>
      <c r="D5" s="7" t="s">
        <v>231</v>
      </c>
      <c r="E5" s="8" t="s">
        <v>232</v>
      </c>
      <c r="F5" s="101" t="s">
        <v>111</v>
      </c>
      <c r="G5" s="101" t="s">
        <v>112</v>
      </c>
      <c r="H5" s="101" t="s">
        <v>112</v>
      </c>
      <c r="I5" s="101" t="s">
        <v>112</v>
      </c>
      <c r="J5" s="118" t="s">
        <v>233</v>
      </c>
      <c r="K5" s="101" t="s">
        <v>112</v>
      </c>
      <c r="L5" s="101" t="s">
        <v>112</v>
      </c>
      <c r="M5" s="101" t="s">
        <v>112</v>
      </c>
      <c r="N5" s="101" t="s">
        <v>112</v>
      </c>
      <c r="O5" s="101" t="s">
        <v>112</v>
      </c>
      <c r="P5" s="101" t="s">
        <v>112</v>
      </c>
      <c r="Q5" s="118" t="s">
        <v>233</v>
      </c>
      <c r="R5" s="101" t="s">
        <v>112</v>
      </c>
      <c r="S5" s="101" t="s">
        <v>112</v>
      </c>
      <c r="T5" s="101" t="s">
        <v>112</v>
      </c>
      <c r="U5" s="101" t="s">
        <v>112</v>
      </c>
      <c r="V5" s="101" t="s">
        <v>112</v>
      </c>
      <c r="W5" s="101" t="s">
        <v>112</v>
      </c>
      <c r="X5" s="118" t="s">
        <v>233</v>
      </c>
      <c r="Y5" s="101" t="s">
        <v>112</v>
      </c>
      <c r="Z5" s="101" t="s">
        <v>112</v>
      </c>
      <c r="AA5" s="101" t="s">
        <v>112</v>
      </c>
      <c r="AB5" s="101" t="s">
        <v>112</v>
      </c>
      <c r="AC5" s="101" t="s">
        <v>112</v>
      </c>
      <c r="AD5" s="101" t="s">
        <v>112</v>
      </c>
      <c r="AE5" s="118" t="s">
        <v>233</v>
      </c>
      <c r="AF5" s="101" t="s">
        <v>112</v>
      </c>
      <c r="AG5" s="121" t="s">
        <v>827</v>
      </c>
      <c r="AH5" s="101" t="s">
        <v>112</v>
      </c>
      <c r="AI5" s="101" t="s">
        <v>112</v>
      </c>
      <c r="AJ5" s="101" t="s">
        <v>112</v>
      </c>
      <c r="AK5" s="5">
        <f t="shared" ref="AK5:AK60" si="1">COUNTIF(F5:AJ5,"P")</f>
        <v>25</v>
      </c>
      <c r="AL5" s="5">
        <f t="shared" ref="AL5:AL60" si="2">COUNTIF(F5:AJ5,"A")</f>
        <v>1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/>
      <c r="C6" s="7" t="s">
        <v>132</v>
      </c>
      <c r="D6" s="7" t="s">
        <v>235</v>
      </c>
      <c r="E6" s="8" t="s">
        <v>232</v>
      </c>
      <c r="F6" s="101" t="s">
        <v>111</v>
      </c>
      <c r="G6" s="101" t="s">
        <v>111</v>
      </c>
      <c r="H6" s="101" t="s">
        <v>111</v>
      </c>
      <c r="I6" s="101" t="s">
        <v>111</v>
      </c>
      <c r="J6" s="119"/>
      <c r="K6" s="101" t="s">
        <v>111</v>
      </c>
      <c r="L6" s="101" t="s">
        <v>112</v>
      </c>
      <c r="M6" s="101" t="s">
        <v>112</v>
      </c>
      <c r="N6" s="101" t="s">
        <v>112</v>
      </c>
      <c r="O6" s="101" t="s">
        <v>112</v>
      </c>
      <c r="P6" s="101" t="s">
        <v>112</v>
      </c>
      <c r="Q6" s="119"/>
      <c r="R6" s="101" t="s">
        <v>112</v>
      </c>
      <c r="S6" s="101" t="s">
        <v>112</v>
      </c>
      <c r="T6" s="101" t="s">
        <v>112</v>
      </c>
      <c r="U6" s="101" t="s">
        <v>112</v>
      </c>
      <c r="V6" s="101" t="s">
        <v>112</v>
      </c>
      <c r="W6" s="101" t="s">
        <v>112</v>
      </c>
      <c r="X6" s="119"/>
      <c r="Y6" s="101" t="s">
        <v>112</v>
      </c>
      <c r="Z6" s="101" t="s">
        <v>111</v>
      </c>
      <c r="AA6" s="101" t="s">
        <v>112</v>
      </c>
      <c r="AB6" s="101" t="s">
        <v>112</v>
      </c>
      <c r="AC6" s="101" t="s">
        <v>112</v>
      </c>
      <c r="AD6" s="101" t="s">
        <v>112</v>
      </c>
      <c r="AE6" s="119"/>
      <c r="AF6" s="101" t="s">
        <v>111</v>
      </c>
      <c r="AG6" s="122"/>
      <c r="AH6" s="101" t="s">
        <v>112</v>
      </c>
      <c r="AI6" s="101" t="s">
        <v>112</v>
      </c>
      <c r="AJ6" s="101" t="s">
        <v>112</v>
      </c>
      <c r="AK6" s="5">
        <f t="shared" si="1"/>
        <v>19</v>
      </c>
      <c r="AL6" s="5">
        <f t="shared" si="2"/>
        <v>7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7" t="s">
        <v>236</v>
      </c>
      <c r="D7" s="7" t="s">
        <v>237</v>
      </c>
      <c r="E7" s="8" t="s">
        <v>232</v>
      </c>
      <c r="F7" s="101" t="s">
        <v>111</v>
      </c>
      <c r="G7" s="101" t="s">
        <v>111</v>
      </c>
      <c r="H7" s="101" t="s">
        <v>112</v>
      </c>
      <c r="I7" s="101" t="s">
        <v>112</v>
      </c>
      <c r="J7" s="119"/>
      <c r="K7" s="101" t="s">
        <v>112</v>
      </c>
      <c r="L7" s="101" t="s">
        <v>112</v>
      </c>
      <c r="M7" s="101" t="s">
        <v>112</v>
      </c>
      <c r="N7" s="101" t="s">
        <v>112</v>
      </c>
      <c r="O7" s="101" t="s">
        <v>112</v>
      </c>
      <c r="P7" s="101" t="s">
        <v>112</v>
      </c>
      <c r="Q7" s="119"/>
      <c r="R7" s="101" t="s">
        <v>112</v>
      </c>
      <c r="S7" s="101" t="s">
        <v>112</v>
      </c>
      <c r="T7" s="101" t="s">
        <v>112</v>
      </c>
      <c r="U7" s="101" t="s">
        <v>112</v>
      </c>
      <c r="V7" s="101" t="s">
        <v>112</v>
      </c>
      <c r="W7" s="101" t="s">
        <v>112</v>
      </c>
      <c r="X7" s="119"/>
      <c r="Y7" s="101" t="s">
        <v>112</v>
      </c>
      <c r="Z7" s="101" t="s">
        <v>112</v>
      </c>
      <c r="AA7" s="101" t="s">
        <v>112</v>
      </c>
      <c r="AB7" s="101" t="s">
        <v>112</v>
      </c>
      <c r="AC7" s="101" t="s">
        <v>112</v>
      </c>
      <c r="AD7" s="101" t="s">
        <v>112</v>
      </c>
      <c r="AE7" s="119"/>
      <c r="AF7" s="101" t="s">
        <v>112</v>
      </c>
      <c r="AG7" s="122"/>
      <c r="AH7" s="101" t="s">
        <v>112</v>
      </c>
      <c r="AI7" s="101" t="s">
        <v>111</v>
      </c>
      <c r="AJ7" s="101" t="s">
        <v>112</v>
      </c>
      <c r="AK7" s="5">
        <f t="shared" si="1"/>
        <v>23</v>
      </c>
      <c r="AL7" s="5">
        <f t="shared" si="2"/>
        <v>3</v>
      </c>
      <c r="AM7" s="5" t="s">
        <v>828</v>
      </c>
      <c r="AN7" s="9">
        <v>1</v>
      </c>
      <c r="AO7" s="3"/>
      <c r="AP7" s="3"/>
    </row>
    <row r="8" spans="1:42" ht="16.5" x14ac:dyDescent="0.25">
      <c r="A8" s="9">
        <v>4</v>
      </c>
      <c r="B8" s="11"/>
      <c r="C8" s="7" t="s">
        <v>238</v>
      </c>
      <c r="D8" s="7" t="s">
        <v>239</v>
      </c>
      <c r="E8" s="8" t="s">
        <v>232</v>
      </c>
      <c r="F8" s="101" t="s">
        <v>112</v>
      </c>
      <c r="G8" s="101" t="s">
        <v>112</v>
      </c>
      <c r="H8" s="101" t="s">
        <v>112</v>
      </c>
      <c r="I8" s="101" t="s">
        <v>112</v>
      </c>
      <c r="J8" s="119"/>
      <c r="K8" s="101" t="s">
        <v>112</v>
      </c>
      <c r="L8" s="101" t="s">
        <v>112</v>
      </c>
      <c r="M8" s="101" t="s">
        <v>112</v>
      </c>
      <c r="N8" s="101" t="s">
        <v>112</v>
      </c>
      <c r="O8" s="101" t="s">
        <v>112</v>
      </c>
      <c r="P8" s="101" t="s">
        <v>112</v>
      </c>
      <c r="Q8" s="119"/>
      <c r="R8" s="101" t="s">
        <v>112</v>
      </c>
      <c r="S8" s="101" t="s">
        <v>111</v>
      </c>
      <c r="T8" s="101" t="s">
        <v>111</v>
      </c>
      <c r="U8" s="101" t="s">
        <v>113</v>
      </c>
      <c r="V8" s="101" t="s">
        <v>112</v>
      </c>
      <c r="W8" s="101" t="s">
        <v>111</v>
      </c>
      <c r="X8" s="119"/>
      <c r="Y8" s="101" t="s">
        <v>111</v>
      </c>
      <c r="Z8" s="101" t="s">
        <v>112</v>
      </c>
      <c r="AA8" s="101" t="s">
        <v>112</v>
      </c>
      <c r="AB8" s="101" t="s">
        <v>113</v>
      </c>
      <c r="AC8" s="101" t="s">
        <v>113</v>
      </c>
      <c r="AD8" s="101" t="s">
        <v>113</v>
      </c>
      <c r="AE8" s="119"/>
      <c r="AF8" s="101" t="s">
        <v>113</v>
      </c>
      <c r="AG8" s="122"/>
      <c r="AH8" s="101" t="s">
        <v>113</v>
      </c>
      <c r="AI8" s="101" t="s">
        <v>113</v>
      </c>
      <c r="AJ8" s="101" t="s">
        <v>113</v>
      </c>
      <c r="AK8" s="5">
        <f t="shared" si="1"/>
        <v>14</v>
      </c>
      <c r="AL8" s="5">
        <f t="shared" si="2"/>
        <v>4</v>
      </c>
      <c r="AM8" s="5"/>
      <c r="AN8" s="9"/>
      <c r="AO8"/>
      <c r="AP8"/>
    </row>
    <row r="9" spans="1:42" ht="16.5" x14ac:dyDescent="0.25">
      <c r="A9" s="9">
        <v>5</v>
      </c>
      <c r="B9" s="11"/>
      <c r="C9" s="7" t="s">
        <v>240</v>
      </c>
      <c r="D9" s="7" t="s">
        <v>235</v>
      </c>
      <c r="E9" s="8" t="s">
        <v>232</v>
      </c>
      <c r="F9" s="101" t="s">
        <v>111</v>
      </c>
      <c r="G9" s="101" t="s">
        <v>112</v>
      </c>
      <c r="H9" s="101" t="s">
        <v>112</v>
      </c>
      <c r="I9" s="101" t="s">
        <v>111</v>
      </c>
      <c r="J9" s="119"/>
      <c r="K9" s="101" t="s">
        <v>112</v>
      </c>
      <c r="L9" s="101" t="s">
        <v>112</v>
      </c>
      <c r="M9" s="101" t="s">
        <v>112</v>
      </c>
      <c r="N9" s="101" t="s">
        <v>112</v>
      </c>
      <c r="O9" s="101" t="s">
        <v>111</v>
      </c>
      <c r="P9" s="101" t="s">
        <v>112</v>
      </c>
      <c r="Q9" s="119"/>
      <c r="R9" s="101" t="s">
        <v>111</v>
      </c>
      <c r="S9" s="101" t="s">
        <v>111</v>
      </c>
      <c r="T9" s="101" t="s">
        <v>112</v>
      </c>
      <c r="U9" s="101" t="s">
        <v>112</v>
      </c>
      <c r="V9" s="101" t="s">
        <v>112</v>
      </c>
      <c r="W9" s="101" t="s">
        <v>111</v>
      </c>
      <c r="X9" s="119"/>
      <c r="Y9" s="101" t="s">
        <v>112</v>
      </c>
      <c r="Z9" s="101" t="s">
        <v>111</v>
      </c>
      <c r="AA9" s="101" t="s">
        <v>112</v>
      </c>
      <c r="AB9" s="101" t="s">
        <v>112</v>
      </c>
      <c r="AC9" s="101" t="s">
        <v>112</v>
      </c>
      <c r="AD9" s="101" t="s">
        <v>112</v>
      </c>
      <c r="AE9" s="119"/>
      <c r="AF9" s="101" t="s">
        <v>112</v>
      </c>
      <c r="AG9" s="122"/>
      <c r="AH9" s="101" t="s">
        <v>112</v>
      </c>
      <c r="AI9" s="101" t="s">
        <v>112</v>
      </c>
      <c r="AJ9" s="101" t="s">
        <v>112</v>
      </c>
      <c r="AK9" s="5">
        <f t="shared" si="1"/>
        <v>19</v>
      </c>
      <c r="AL9" s="5">
        <f t="shared" si="2"/>
        <v>7</v>
      </c>
      <c r="AM9" s="5"/>
      <c r="AN9" s="9"/>
    </row>
    <row r="10" spans="1:42" ht="16.5" x14ac:dyDescent="0.25">
      <c r="A10" s="9">
        <v>6</v>
      </c>
      <c r="B10" s="11"/>
      <c r="C10" s="7" t="s">
        <v>241</v>
      </c>
      <c r="D10" s="7" t="s">
        <v>242</v>
      </c>
      <c r="E10" s="8" t="s">
        <v>232</v>
      </c>
      <c r="F10" s="101" t="s">
        <v>111</v>
      </c>
      <c r="G10" s="101" t="s">
        <v>111</v>
      </c>
      <c r="H10" s="101" t="s">
        <v>111</v>
      </c>
      <c r="I10" s="101" t="s">
        <v>111</v>
      </c>
      <c r="J10" s="119"/>
      <c r="K10" s="101" t="s">
        <v>111</v>
      </c>
      <c r="L10" s="101" t="s">
        <v>112</v>
      </c>
      <c r="M10" s="101" t="s">
        <v>111</v>
      </c>
      <c r="N10" s="101" t="s">
        <v>112</v>
      </c>
      <c r="O10" s="101" t="s">
        <v>112</v>
      </c>
      <c r="P10" s="101" t="s">
        <v>112</v>
      </c>
      <c r="Q10" s="119"/>
      <c r="R10" s="101" t="s">
        <v>112</v>
      </c>
      <c r="S10" s="101" t="s">
        <v>111</v>
      </c>
      <c r="T10" s="101" t="s">
        <v>112</v>
      </c>
      <c r="U10" s="101" t="s">
        <v>112</v>
      </c>
      <c r="V10" s="101" t="s">
        <v>112</v>
      </c>
      <c r="W10" s="101" t="s">
        <v>112</v>
      </c>
      <c r="X10" s="119"/>
      <c r="Y10" s="101" t="s">
        <v>112</v>
      </c>
      <c r="Z10" s="101" t="s">
        <v>112</v>
      </c>
      <c r="AA10" s="101" t="s">
        <v>112</v>
      </c>
      <c r="AB10" s="101" t="s">
        <v>112</v>
      </c>
      <c r="AC10" s="101" t="s">
        <v>112</v>
      </c>
      <c r="AD10" s="101" t="s">
        <v>111</v>
      </c>
      <c r="AE10" s="119"/>
      <c r="AF10" s="101" t="s">
        <v>111</v>
      </c>
      <c r="AG10" s="122"/>
      <c r="AH10" s="101" t="s">
        <v>111</v>
      </c>
      <c r="AI10" s="101" t="s">
        <v>112</v>
      </c>
      <c r="AJ10" s="101" t="s">
        <v>112</v>
      </c>
      <c r="AK10" s="5">
        <f t="shared" si="1"/>
        <v>16</v>
      </c>
      <c r="AL10" s="5">
        <f t="shared" si="2"/>
        <v>10</v>
      </c>
    </row>
    <row r="11" spans="1:42" ht="16.5" x14ac:dyDescent="0.25">
      <c r="A11" s="9">
        <v>7</v>
      </c>
      <c r="B11" s="11"/>
      <c r="C11" s="7" t="s">
        <v>243</v>
      </c>
      <c r="D11" s="7" t="s">
        <v>244</v>
      </c>
      <c r="E11" s="8" t="s">
        <v>232</v>
      </c>
      <c r="F11" s="101" t="s">
        <v>111</v>
      </c>
      <c r="G11" s="101" t="s">
        <v>112</v>
      </c>
      <c r="H11" s="101" t="s">
        <v>112</v>
      </c>
      <c r="I11" s="101" t="s">
        <v>111</v>
      </c>
      <c r="J11" s="119"/>
      <c r="K11" s="101" t="s">
        <v>112</v>
      </c>
      <c r="L11" s="101" t="s">
        <v>112</v>
      </c>
      <c r="M11" s="101" t="s">
        <v>112</v>
      </c>
      <c r="N11" s="101" t="s">
        <v>112</v>
      </c>
      <c r="O11" s="101" t="s">
        <v>112</v>
      </c>
      <c r="P11" s="101" t="s">
        <v>112</v>
      </c>
      <c r="Q11" s="119"/>
      <c r="R11" s="101" t="s">
        <v>112</v>
      </c>
      <c r="S11" s="101" t="s">
        <v>112</v>
      </c>
      <c r="T11" s="101" t="s">
        <v>113</v>
      </c>
      <c r="U11" s="101" t="s">
        <v>113</v>
      </c>
      <c r="V11" s="101" t="s">
        <v>112</v>
      </c>
      <c r="W11" s="101" t="s">
        <v>112</v>
      </c>
      <c r="X11" s="119"/>
      <c r="Y11" s="101" t="s">
        <v>112</v>
      </c>
      <c r="Z11" s="101" t="s">
        <v>112</v>
      </c>
      <c r="AA11" s="101" t="s">
        <v>112</v>
      </c>
      <c r="AB11" s="101" t="s">
        <v>112</v>
      </c>
      <c r="AC11" s="101" t="s">
        <v>112</v>
      </c>
      <c r="AD11" s="101" t="s">
        <v>112</v>
      </c>
      <c r="AE11" s="119"/>
      <c r="AF11" s="101" t="s">
        <v>112</v>
      </c>
      <c r="AG11" s="122"/>
      <c r="AH11" s="101" t="s">
        <v>112</v>
      </c>
      <c r="AI11" s="101" t="s">
        <v>112</v>
      </c>
      <c r="AJ11" s="101" t="s">
        <v>113</v>
      </c>
      <c r="AK11" s="5">
        <f t="shared" si="1"/>
        <v>21</v>
      </c>
      <c r="AL11" s="5">
        <f t="shared" si="2"/>
        <v>2</v>
      </c>
      <c r="AM11" s="110" t="s">
        <v>9</v>
      </c>
      <c r="AN11" s="111"/>
      <c r="AO11" s="111"/>
      <c r="AP11" s="112"/>
    </row>
    <row r="12" spans="1:42" ht="16.5" x14ac:dyDescent="0.25">
      <c r="A12" s="9">
        <v>8</v>
      </c>
      <c r="B12" s="11"/>
      <c r="C12" s="7" t="s">
        <v>245</v>
      </c>
      <c r="D12" s="7" t="s">
        <v>246</v>
      </c>
      <c r="E12" s="8" t="s">
        <v>232</v>
      </c>
      <c r="F12" s="101" t="s">
        <v>111</v>
      </c>
      <c r="G12" s="101" t="s">
        <v>112</v>
      </c>
      <c r="H12" s="101" t="s">
        <v>111</v>
      </c>
      <c r="I12" s="101" t="s">
        <v>112</v>
      </c>
      <c r="J12" s="119"/>
      <c r="K12" s="101" t="s">
        <v>112</v>
      </c>
      <c r="L12" s="101" t="s">
        <v>112</v>
      </c>
      <c r="M12" s="101" t="s">
        <v>112</v>
      </c>
      <c r="N12" s="101" t="s">
        <v>112</v>
      </c>
      <c r="O12" s="101" t="s">
        <v>112</v>
      </c>
      <c r="P12" s="101" t="s">
        <v>112</v>
      </c>
      <c r="Q12" s="119"/>
      <c r="R12" s="101" t="s">
        <v>111</v>
      </c>
      <c r="S12" s="101" t="s">
        <v>112</v>
      </c>
      <c r="T12" s="101" t="s">
        <v>112</v>
      </c>
      <c r="U12" s="101" t="s">
        <v>112</v>
      </c>
      <c r="V12" s="101" t="s">
        <v>112</v>
      </c>
      <c r="W12" s="101" t="s">
        <v>112</v>
      </c>
      <c r="X12" s="119"/>
      <c r="Y12" s="101" t="s">
        <v>112</v>
      </c>
      <c r="Z12" s="101" t="s">
        <v>112</v>
      </c>
      <c r="AA12" s="101" t="s">
        <v>112</v>
      </c>
      <c r="AB12" s="101" t="s">
        <v>112</v>
      </c>
      <c r="AC12" s="101" t="s">
        <v>112</v>
      </c>
      <c r="AD12" s="101" t="s">
        <v>112</v>
      </c>
      <c r="AE12" s="119"/>
      <c r="AF12" s="101" t="s">
        <v>112</v>
      </c>
      <c r="AG12" s="122"/>
      <c r="AH12" s="101" t="s">
        <v>112</v>
      </c>
      <c r="AI12" s="101" t="s">
        <v>112</v>
      </c>
      <c r="AJ12" s="101" t="s">
        <v>112</v>
      </c>
      <c r="AK12" s="5">
        <f t="shared" si="1"/>
        <v>23</v>
      </c>
      <c r="AL12" s="5">
        <f t="shared" si="2"/>
        <v>3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02"/>
      <c r="C13" s="7" t="s">
        <v>247</v>
      </c>
      <c r="D13" s="7" t="s">
        <v>248</v>
      </c>
      <c r="E13" s="8" t="s">
        <v>232</v>
      </c>
      <c r="F13" s="101" t="s">
        <v>112</v>
      </c>
      <c r="G13" s="101" t="s">
        <v>112</v>
      </c>
      <c r="H13" s="101" t="s">
        <v>111</v>
      </c>
      <c r="I13" s="101" t="s">
        <v>111</v>
      </c>
      <c r="J13" s="119"/>
      <c r="K13" s="101" t="s">
        <v>112</v>
      </c>
      <c r="L13" s="101" t="s">
        <v>112</v>
      </c>
      <c r="M13" s="101" t="s">
        <v>112</v>
      </c>
      <c r="N13" s="101" t="s">
        <v>112</v>
      </c>
      <c r="O13" s="101" t="s">
        <v>112</v>
      </c>
      <c r="P13" s="101" t="s">
        <v>112</v>
      </c>
      <c r="Q13" s="119"/>
      <c r="R13" s="101" t="s">
        <v>112</v>
      </c>
      <c r="S13" s="101" t="s">
        <v>112</v>
      </c>
      <c r="T13" s="101" t="s">
        <v>112</v>
      </c>
      <c r="U13" s="101" t="s">
        <v>112</v>
      </c>
      <c r="V13" s="101" t="s">
        <v>112</v>
      </c>
      <c r="W13" s="101" t="s">
        <v>111</v>
      </c>
      <c r="X13" s="119"/>
      <c r="Y13" s="101" t="s">
        <v>112</v>
      </c>
      <c r="Z13" s="101" t="s">
        <v>112</v>
      </c>
      <c r="AA13" s="101" t="s">
        <v>112</v>
      </c>
      <c r="AB13" s="101" t="s">
        <v>112</v>
      </c>
      <c r="AC13" s="101" t="s">
        <v>112</v>
      </c>
      <c r="AD13" s="101" t="s">
        <v>112</v>
      </c>
      <c r="AE13" s="119"/>
      <c r="AF13" s="101" t="s">
        <v>111</v>
      </c>
      <c r="AG13" s="122"/>
      <c r="AH13" s="101" t="s">
        <v>112</v>
      </c>
      <c r="AI13" s="101" t="s">
        <v>112</v>
      </c>
      <c r="AJ13" s="101" t="s">
        <v>112</v>
      </c>
      <c r="AK13" s="5">
        <f t="shared" si="1"/>
        <v>22</v>
      </c>
      <c r="AL13" s="5">
        <f t="shared" si="2"/>
        <v>4</v>
      </c>
      <c r="AM13" s="5" t="s">
        <v>14</v>
      </c>
      <c r="AN13" s="9">
        <f>32*$AN$5</f>
        <v>832</v>
      </c>
      <c r="AO13" s="9">
        <f>24*$AN$5</f>
        <v>624</v>
      </c>
      <c r="AP13" s="9">
        <f>SUM(AN13:AO13)</f>
        <v>1456</v>
      </c>
    </row>
    <row r="14" spans="1:42" ht="16.5" x14ac:dyDescent="0.25">
      <c r="A14" s="9">
        <v>10</v>
      </c>
      <c r="B14" s="11"/>
      <c r="C14" s="7" t="s">
        <v>249</v>
      </c>
      <c r="D14" s="7" t="s">
        <v>89</v>
      </c>
      <c r="E14" s="8" t="s">
        <v>232</v>
      </c>
      <c r="F14" s="101" t="s">
        <v>111</v>
      </c>
      <c r="G14" s="101" t="s">
        <v>112</v>
      </c>
      <c r="H14" s="101" t="s">
        <v>112</v>
      </c>
      <c r="I14" s="101" t="s">
        <v>112</v>
      </c>
      <c r="J14" s="119"/>
      <c r="K14" s="101" t="s">
        <v>112</v>
      </c>
      <c r="L14" s="101" t="s">
        <v>112</v>
      </c>
      <c r="M14" s="101" t="s">
        <v>112</v>
      </c>
      <c r="N14" s="101" t="s">
        <v>112</v>
      </c>
      <c r="O14" s="101" t="s">
        <v>112</v>
      </c>
      <c r="P14" s="101" t="s">
        <v>112</v>
      </c>
      <c r="Q14" s="119"/>
      <c r="R14" s="101" t="s">
        <v>112</v>
      </c>
      <c r="S14" s="101" t="s">
        <v>112</v>
      </c>
      <c r="T14" s="101" t="s">
        <v>112</v>
      </c>
      <c r="U14" s="101" t="s">
        <v>112</v>
      </c>
      <c r="V14" s="101" t="s">
        <v>112</v>
      </c>
      <c r="W14" s="101" t="s">
        <v>112</v>
      </c>
      <c r="X14" s="119"/>
      <c r="Y14" s="101" t="s">
        <v>112</v>
      </c>
      <c r="Z14" s="101" t="s">
        <v>112</v>
      </c>
      <c r="AA14" s="101" t="s">
        <v>112</v>
      </c>
      <c r="AB14" s="101" t="s">
        <v>112</v>
      </c>
      <c r="AC14" s="101" t="s">
        <v>112</v>
      </c>
      <c r="AD14" s="101" t="s">
        <v>112</v>
      </c>
      <c r="AE14" s="119"/>
      <c r="AF14" s="101" t="s">
        <v>112</v>
      </c>
      <c r="AG14" s="122"/>
      <c r="AH14" s="101" t="s">
        <v>112</v>
      </c>
      <c r="AI14" s="101" t="s">
        <v>112</v>
      </c>
      <c r="AJ14" s="101" t="s">
        <v>112</v>
      </c>
      <c r="AK14" s="5">
        <f t="shared" si="1"/>
        <v>25</v>
      </c>
      <c r="AL14" s="5">
        <f t="shared" si="2"/>
        <v>1</v>
      </c>
      <c r="AM14" s="5" t="s">
        <v>15</v>
      </c>
      <c r="AN14" s="9">
        <f>SUM(AK29:AK60)</f>
        <v>647</v>
      </c>
      <c r="AO14" s="9">
        <f>SUM(AK5:AK28)</f>
        <v>440</v>
      </c>
      <c r="AP14" s="9">
        <f>AN14+AO14</f>
        <v>1087</v>
      </c>
    </row>
    <row r="15" spans="1:42" ht="16.5" x14ac:dyDescent="0.25">
      <c r="A15" s="9">
        <v>11</v>
      </c>
      <c r="B15" s="11"/>
      <c r="C15" s="7" t="s">
        <v>250</v>
      </c>
      <c r="D15" s="7" t="s">
        <v>194</v>
      </c>
      <c r="E15" s="8" t="s">
        <v>232</v>
      </c>
      <c r="F15" s="101" t="s">
        <v>111</v>
      </c>
      <c r="G15" s="101" t="s">
        <v>112</v>
      </c>
      <c r="H15" s="101" t="s">
        <v>112</v>
      </c>
      <c r="I15" s="101" t="s">
        <v>111</v>
      </c>
      <c r="J15" s="119"/>
      <c r="K15" s="101" t="s">
        <v>112</v>
      </c>
      <c r="L15" s="101" t="s">
        <v>112</v>
      </c>
      <c r="M15" s="101" t="s">
        <v>111</v>
      </c>
      <c r="N15" s="101" t="s">
        <v>112</v>
      </c>
      <c r="O15" s="101" t="s">
        <v>112</v>
      </c>
      <c r="P15" s="101" t="s">
        <v>112</v>
      </c>
      <c r="Q15" s="119"/>
      <c r="R15" s="101" t="s">
        <v>112</v>
      </c>
      <c r="S15" s="101" t="s">
        <v>111</v>
      </c>
      <c r="T15" s="101" t="s">
        <v>112</v>
      </c>
      <c r="U15" s="101" t="s">
        <v>112</v>
      </c>
      <c r="V15" s="101" t="s">
        <v>112</v>
      </c>
      <c r="W15" s="101" t="s">
        <v>112</v>
      </c>
      <c r="X15" s="119"/>
      <c r="Y15" s="101" t="s">
        <v>112</v>
      </c>
      <c r="Z15" s="101" t="s">
        <v>112</v>
      </c>
      <c r="AA15" s="101" t="s">
        <v>112</v>
      </c>
      <c r="AB15" s="101" t="s">
        <v>112</v>
      </c>
      <c r="AC15" s="101" t="s">
        <v>112</v>
      </c>
      <c r="AD15" s="101" t="s">
        <v>111</v>
      </c>
      <c r="AE15" s="119"/>
      <c r="AF15" s="101" t="s">
        <v>112</v>
      </c>
      <c r="AG15" s="122"/>
      <c r="AH15" s="101" t="s">
        <v>112</v>
      </c>
      <c r="AI15" s="101" t="s">
        <v>111</v>
      </c>
      <c r="AJ15" s="101" t="s">
        <v>112</v>
      </c>
      <c r="AK15" s="5">
        <f t="shared" si="1"/>
        <v>20</v>
      </c>
      <c r="AL15" s="5">
        <f t="shared" si="2"/>
        <v>6</v>
      </c>
      <c r="AM15" s="5" t="s">
        <v>16</v>
      </c>
      <c r="AN15" s="12">
        <f>AN14/AN13</f>
        <v>0.77764423076923073</v>
      </c>
      <c r="AO15" s="12">
        <f>AO14/AO13</f>
        <v>0.70512820512820518</v>
      </c>
      <c r="AP15" s="12">
        <f>AP14/AP13</f>
        <v>0.74656593406593408</v>
      </c>
    </row>
    <row r="16" spans="1:42" ht="16.5" x14ac:dyDescent="0.25">
      <c r="A16" s="9">
        <v>12</v>
      </c>
      <c r="B16" s="11"/>
      <c r="C16" s="7" t="s">
        <v>251</v>
      </c>
      <c r="D16" s="7" t="s">
        <v>252</v>
      </c>
      <c r="E16" s="8" t="s">
        <v>232</v>
      </c>
      <c r="F16" s="101" t="s">
        <v>111</v>
      </c>
      <c r="G16" s="101" t="s">
        <v>111</v>
      </c>
      <c r="H16" s="101" t="s">
        <v>111</v>
      </c>
      <c r="I16" s="101" t="s">
        <v>111</v>
      </c>
      <c r="J16" s="119"/>
      <c r="K16" s="101" t="s">
        <v>112</v>
      </c>
      <c r="L16" s="101" t="s">
        <v>112</v>
      </c>
      <c r="M16" s="101" t="s">
        <v>112</v>
      </c>
      <c r="N16" s="101" t="s">
        <v>112</v>
      </c>
      <c r="O16" s="101" t="s">
        <v>111</v>
      </c>
      <c r="P16" s="101" t="s">
        <v>111</v>
      </c>
      <c r="Q16" s="119"/>
      <c r="R16" s="101" t="s">
        <v>112</v>
      </c>
      <c r="S16" s="101" t="s">
        <v>112</v>
      </c>
      <c r="T16" s="101" t="s">
        <v>111</v>
      </c>
      <c r="U16" s="101" t="s">
        <v>111</v>
      </c>
      <c r="V16" s="101" t="s">
        <v>112</v>
      </c>
      <c r="W16" s="101" t="s">
        <v>112</v>
      </c>
      <c r="X16" s="119"/>
      <c r="Y16" s="101" t="s">
        <v>112</v>
      </c>
      <c r="Z16" s="101" t="s">
        <v>112</v>
      </c>
      <c r="AA16" s="101" t="s">
        <v>111</v>
      </c>
      <c r="AB16" s="101" t="s">
        <v>112</v>
      </c>
      <c r="AC16" s="101" t="s">
        <v>112</v>
      </c>
      <c r="AD16" s="101" t="s">
        <v>111</v>
      </c>
      <c r="AE16" s="119"/>
      <c r="AF16" s="101" t="s">
        <v>111</v>
      </c>
      <c r="AG16" s="122"/>
      <c r="AH16" s="101" t="s">
        <v>111</v>
      </c>
      <c r="AI16" s="101" t="s">
        <v>111</v>
      </c>
      <c r="AJ16" s="101" t="s">
        <v>111</v>
      </c>
      <c r="AK16" s="5">
        <f t="shared" si="1"/>
        <v>12</v>
      </c>
      <c r="AL16" s="5">
        <f t="shared" si="2"/>
        <v>14</v>
      </c>
      <c r="AM16"/>
      <c r="AN16"/>
      <c r="AO16"/>
      <c r="AP16"/>
    </row>
    <row r="17" spans="1:42" ht="16.5" x14ac:dyDescent="0.25">
      <c r="A17" s="9">
        <v>13</v>
      </c>
      <c r="B17" s="11"/>
      <c r="C17" s="7" t="s">
        <v>253</v>
      </c>
      <c r="D17" s="7" t="s">
        <v>254</v>
      </c>
      <c r="E17" s="8" t="s">
        <v>232</v>
      </c>
      <c r="F17" s="101" t="s">
        <v>111</v>
      </c>
      <c r="G17" s="101" t="s">
        <v>111</v>
      </c>
      <c r="H17" s="101" t="s">
        <v>112</v>
      </c>
      <c r="I17" s="101" t="s">
        <v>111</v>
      </c>
      <c r="J17" s="119"/>
      <c r="K17" s="101" t="s">
        <v>112</v>
      </c>
      <c r="L17" s="101" t="s">
        <v>112</v>
      </c>
      <c r="M17" s="101" t="s">
        <v>112</v>
      </c>
      <c r="N17" s="101" t="s">
        <v>112</v>
      </c>
      <c r="O17" s="101" t="s">
        <v>112</v>
      </c>
      <c r="P17" s="101" t="s">
        <v>112</v>
      </c>
      <c r="Q17" s="119"/>
      <c r="R17" s="101" t="s">
        <v>112</v>
      </c>
      <c r="S17" s="101" t="s">
        <v>112</v>
      </c>
      <c r="T17" s="101" t="s">
        <v>112</v>
      </c>
      <c r="U17" s="101" t="s">
        <v>112</v>
      </c>
      <c r="V17" s="101" t="s">
        <v>112</v>
      </c>
      <c r="W17" s="101" t="s">
        <v>112</v>
      </c>
      <c r="X17" s="119"/>
      <c r="Y17" s="101" t="s">
        <v>112</v>
      </c>
      <c r="Z17" s="101" t="s">
        <v>112</v>
      </c>
      <c r="AA17" s="101" t="s">
        <v>112</v>
      </c>
      <c r="AB17" s="101" t="s">
        <v>112</v>
      </c>
      <c r="AC17" s="101" t="s">
        <v>112</v>
      </c>
      <c r="AD17" s="101" t="s">
        <v>112</v>
      </c>
      <c r="AE17" s="119"/>
      <c r="AF17" s="101" t="s">
        <v>112</v>
      </c>
      <c r="AG17" s="122"/>
      <c r="AH17" s="101" t="s">
        <v>112</v>
      </c>
      <c r="AI17" s="101" t="s">
        <v>111</v>
      </c>
      <c r="AJ17" s="101" t="s">
        <v>111</v>
      </c>
      <c r="AK17" s="5">
        <f t="shared" si="1"/>
        <v>21</v>
      </c>
      <c r="AL17" s="5">
        <f t="shared" si="2"/>
        <v>5</v>
      </c>
      <c r="AM17"/>
      <c r="AN17"/>
      <c r="AO17"/>
      <c r="AP17"/>
    </row>
    <row r="18" spans="1:42" ht="16.5" x14ac:dyDescent="0.25">
      <c r="A18" s="9">
        <v>14</v>
      </c>
      <c r="B18" s="11"/>
      <c r="C18" s="7" t="s">
        <v>255</v>
      </c>
      <c r="D18" s="7" t="s">
        <v>256</v>
      </c>
      <c r="E18" s="8" t="s">
        <v>232</v>
      </c>
      <c r="F18" s="101" t="s">
        <v>111</v>
      </c>
      <c r="G18" s="101" t="s">
        <v>112</v>
      </c>
      <c r="H18" s="101" t="s">
        <v>112</v>
      </c>
      <c r="I18" s="101" t="s">
        <v>111</v>
      </c>
      <c r="J18" s="119"/>
      <c r="K18" s="101" t="s">
        <v>111</v>
      </c>
      <c r="L18" s="101" t="s">
        <v>112</v>
      </c>
      <c r="M18" s="101" t="s">
        <v>112</v>
      </c>
      <c r="N18" s="101" t="s">
        <v>112</v>
      </c>
      <c r="O18" s="101" t="s">
        <v>112</v>
      </c>
      <c r="P18" s="101" t="s">
        <v>111</v>
      </c>
      <c r="Q18" s="119"/>
      <c r="R18" s="101" t="s">
        <v>111</v>
      </c>
      <c r="S18" s="101" t="s">
        <v>111</v>
      </c>
      <c r="T18" s="101" t="s">
        <v>111</v>
      </c>
      <c r="U18" s="101" t="s">
        <v>111</v>
      </c>
      <c r="V18" s="101" t="s">
        <v>111</v>
      </c>
      <c r="W18" s="101" t="s">
        <v>111</v>
      </c>
      <c r="X18" s="119"/>
      <c r="Y18" s="101" t="s">
        <v>111</v>
      </c>
      <c r="Z18" s="101" t="s">
        <v>112</v>
      </c>
      <c r="AA18" s="101" t="s">
        <v>111</v>
      </c>
      <c r="AB18" s="101" t="s">
        <v>112</v>
      </c>
      <c r="AC18" s="101" t="s">
        <v>112</v>
      </c>
      <c r="AD18" s="101" t="s">
        <v>112</v>
      </c>
      <c r="AE18" s="119"/>
      <c r="AF18" s="101" t="s">
        <v>111</v>
      </c>
      <c r="AG18" s="122"/>
      <c r="AH18" s="101" t="s">
        <v>111</v>
      </c>
      <c r="AI18" s="101" t="s">
        <v>111</v>
      </c>
      <c r="AJ18" s="101" t="s">
        <v>111</v>
      </c>
      <c r="AK18" s="5">
        <f t="shared" si="1"/>
        <v>10</v>
      </c>
      <c r="AL18" s="5">
        <f t="shared" si="2"/>
        <v>16</v>
      </c>
      <c r="AM18"/>
      <c r="AN18"/>
      <c r="AO18"/>
      <c r="AP18"/>
    </row>
    <row r="19" spans="1:42" ht="16.5" x14ac:dyDescent="0.25">
      <c r="A19" s="9">
        <v>15</v>
      </c>
      <c r="B19" s="11"/>
      <c r="C19" s="7" t="s">
        <v>257</v>
      </c>
      <c r="D19" s="7" t="s">
        <v>258</v>
      </c>
      <c r="E19" s="8" t="s">
        <v>232</v>
      </c>
      <c r="F19" s="101" t="s">
        <v>111</v>
      </c>
      <c r="G19" s="101" t="s">
        <v>111</v>
      </c>
      <c r="H19" s="101" t="s">
        <v>111</v>
      </c>
      <c r="I19" s="101" t="s">
        <v>111</v>
      </c>
      <c r="J19" s="119"/>
      <c r="K19" s="101" t="s">
        <v>112</v>
      </c>
      <c r="L19" s="101" t="s">
        <v>112</v>
      </c>
      <c r="M19" s="101" t="s">
        <v>112</v>
      </c>
      <c r="N19" s="101" t="s">
        <v>112</v>
      </c>
      <c r="O19" s="101" t="s">
        <v>112</v>
      </c>
      <c r="P19" s="101" t="s">
        <v>111</v>
      </c>
      <c r="Q19" s="119"/>
      <c r="R19" s="101" t="s">
        <v>112</v>
      </c>
      <c r="S19" s="101" t="s">
        <v>112</v>
      </c>
      <c r="T19" s="101" t="s">
        <v>112</v>
      </c>
      <c r="U19" s="101" t="s">
        <v>112</v>
      </c>
      <c r="V19" s="101" t="s">
        <v>112</v>
      </c>
      <c r="W19" s="101" t="s">
        <v>111</v>
      </c>
      <c r="X19" s="119"/>
      <c r="Y19" s="101" t="s">
        <v>112</v>
      </c>
      <c r="Z19" s="101" t="s">
        <v>111</v>
      </c>
      <c r="AA19" s="101" t="s">
        <v>112</v>
      </c>
      <c r="AB19" s="101" t="s">
        <v>111</v>
      </c>
      <c r="AC19" s="101" t="s">
        <v>112</v>
      </c>
      <c r="AD19" s="101" t="s">
        <v>111</v>
      </c>
      <c r="AE19" s="119"/>
      <c r="AF19" s="101" t="s">
        <v>112</v>
      </c>
      <c r="AG19" s="122"/>
      <c r="AH19" s="101" t="s">
        <v>111</v>
      </c>
      <c r="AI19" s="101" t="s">
        <v>111</v>
      </c>
      <c r="AJ19" s="101" t="s">
        <v>111</v>
      </c>
      <c r="AK19" s="5">
        <f t="shared" si="1"/>
        <v>14</v>
      </c>
      <c r="AL19" s="5">
        <f t="shared" si="2"/>
        <v>12</v>
      </c>
      <c r="AM19" s="110" t="s">
        <v>128</v>
      </c>
      <c r="AN19" s="111"/>
      <c r="AO19" s="111"/>
      <c r="AP19" s="112"/>
    </row>
    <row r="20" spans="1:42" ht="16.5" x14ac:dyDescent="0.25">
      <c r="A20" s="9">
        <v>16</v>
      </c>
      <c r="B20" s="11"/>
      <c r="C20" s="7" t="s">
        <v>259</v>
      </c>
      <c r="D20" s="7" t="s">
        <v>260</v>
      </c>
      <c r="E20" s="8" t="s">
        <v>232</v>
      </c>
      <c r="F20" s="101" t="s">
        <v>111</v>
      </c>
      <c r="G20" s="101" t="s">
        <v>112</v>
      </c>
      <c r="H20" s="101" t="s">
        <v>111</v>
      </c>
      <c r="I20" s="101" t="s">
        <v>112</v>
      </c>
      <c r="J20" s="119"/>
      <c r="K20" s="101" t="s">
        <v>112</v>
      </c>
      <c r="L20" s="101" t="s">
        <v>112</v>
      </c>
      <c r="M20" s="101" t="s">
        <v>112</v>
      </c>
      <c r="N20" s="101" t="s">
        <v>112</v>
      </c>
      <c r="O20" s="101" t="s">
        <v>112</v>
      </c>
      <c r="P20" s="101" t="s">
        <v>112</v>
      </c>
      <c r="Q20" s="119"/>
      <c r="R20" s="101" t="s">
        <v>112</v>
      </c>
      <c r="S20" s="101" t="s">
        <v>112</v>
      </c>
      <c r="T20" s="101" t="s">
        <v>112</v>
      </c>
      <c r="U20" s="101" t="s">
        <v>112</v>
      </c>
      <c r="V20" s="101" t="s">
        <v>111</v>
      </c>
      <c r="W20" s="101" t="s">
        <v>111</v>
      </c>
      <c r="X20" s="119"/>
      <c r="Y20" s="101" t="s">
        <v>113</v>
      </c>
      <c r="Z20" s="101" t="s">
        <v>113</v>
      </c>
      <c r="AA20" s="101" t="s">
        <v>113</v>
      </c>
      <c r="AB20" s="101" t="s">
        <v>113</v>
      </c>
      <c r="AC20" s="101" t="s">
        <v>113</v>
      </c>
      <c r="AD20" s="101" t="s">
        <v>113</v>
      </c>
      <c r="AE20" s="119"/>
      <c r="AF20" s="101" t="s">
        <v>113</v>
      </c>
      <c r="AG20" s="122"/>
      <c r="AH20" s="101" t="s">
        <v>113</v>
      </c>
      <c r="AI20" s="101" t="s">
        <v>113</v>
      </c>
      <c r="AJ20" s="101" t="s">
        <v>113</v>
      </c>
      <c r="AK20" s="5">
        <f t="shared" si="1"/>
        <v>12</v>
      </c>
      <c r="AL20" s="5">
        <f t="shared" si="2"/>
        <v>4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1"/>
      <c r="C21" s="7" t="s">
        <v>261</v>
      </c>
      <c r="D21" s="7" t="s">
        <v>260</v>
      </c>
      <c r="E21" s="8" t="s">
        <v>232</v>
      </c>
      <c r="F21" s="101" t="s">
        <v>111</v>
      </c>
      <c r="G21" s="101" t="s">
        <v>112</v>
      </c>
      <c r="H21" s="101" t="s">
        <v>111</v>
      </c>
      <c r="I21" s="101" t="s">
        <v>112</v>
      </c>
      <c r="J21" s="119"/>
      <c r="K21" s="101" t="s">
        <v>112</v>
      </c>
      <c r="L21" s="101" t="s">
        <v>112</v>
      </c>
      <c r="M21" s="101" t="s">
        <v>112</v>
      </c>
      <c r="N21" s="101" t="s">
        <v>112</v>
      </c>
      <c r="O21" s="101" t="s">
        <v>112</v>
      </c>
      <c r="P21" s="101" t="s">
        <v>112</v>
      </c>
      <c r="Q21" s="119"/>
      <c r="R21" s="101" t="s">
        <v>112</v>
      </c>
      <c r="S21" s="101" t="s">
        <v>112</v>
      </c>
      <c r="T21" s="101" t="s">
        <v>112</v>
      </c>
      <c r="U21" s="101" t="s">
        <v>112</v>
      </c>
      <c r="V21" s="101" t="s">
        <v>111</v>
      </c>
      <c r="W21" s="101" t="s">
        <v>111</v>
      </c>
      <c r="X21" s="119"/>
      <c r="Y21" s="101" t="s">
        <v>113</v>
      </c>
      <c r="Z21" s="101" t="s">
        <v>113</v>
      </c>
      <c r="AA21" s="101" t="s">
        <v>113</v>
      </c>
      <c r="AB21" s="101" t="s">
        <v>113</v>
      </c>
      <c r="AC21" s="101" t="s">
        <v>113</v>
      </c>
      <c r="AD21" s="101" t="s">
        <v>113</v>
      </c>
      <c r="AE21" s="119"/>
      <c r="AF21" s="101" t="s">
        <v>113</v>
      </c>
      <c r="AG21" s="122"/>
      <c r="AH21" s="101" t="s">
        <v>113</v>
      </c>
      <c r="AI21" s="101" t="s">
        <v>113</v>
      </c>
      <c r="AJ21" s="101" t="s">
        <v>113</v>
      </c>
      <c r="AK21" s="5">
        <f t="shared" si="1"/>
        <v>12</v>
      </c>
      <c r="AL21" s="5">
        <f t="shared" si="2"/>
        <v>4</v>
      </c>
      <c r="AM21" s="5" t="s">
        <v>14</v>
      </c>
      <c r="AN21" s="9">
        <f>32*$AN$5</f>
        <v>832</v>
      </c>
      <c r="AO21" s="9">
        <f>24*$AN$5</f>
        <v>624</v>
      </c>
      <c r="AP21" s="9">
        <f>AN21+AO21</f>
        <v>1456</v>
      </c>
    </row>
    <row r="22" spans="1:42" ht="16.5" x14ac:dyDescent="0.25">
      <c r="A22" s="9">
        <v>18</v>
      </c>
      <c r="B22" s="11"/>
      <c r="C22" s="7" t="s">
        <v>269</v>
      </c>
      <c r="D22" s="7" t="s">
        <v>270</v>
      </c>
      <c r="E22" s="8" t="s">
        <v>232</v>
      </c>
      <c r="F22" s="101" t="s">
        <v>111</v>
      </c>
      <c r="G22" s="101" t="s">
        <v>112</v>
      </c>
      <c r="H22" s="101" t="s">
        <v>112</v>
      </c>
      <c r="I22" s="101" t="s">
        <v>111</v>
      </c>
      <c r="J22" s="119"/>
      <c r="K22" s="101" t="s">
        <v>111</v>
      </c>
      <c r="L22" s="101" t="s">
        <v>111</v>
      </c>
      <c r="M22" s="101" t="s">
        <v>111</v>
      </c>
      <c r="N22" s="101" t="s">
        <v>111</v>
      </c>
      <c r="O22" s="101" t="s">
        <v>111</v>
      </c>
      <c r="P22" s="101" t="s">
        <v>111</v>
      </c>
      <c r="Q22" s="119"/>
      <c r="R22" s="101" t="s">
        <v>111</v>
      </c>
      <c r="S22" s="101" t="s">
        <v>111</v>
      </c>
      <c r="T22" s="101" t="s">
        <v>111</v>
      </c>
      <c r="U22" s="101" t="s">
        <v>111</v>
      </c>
      <c r="V22" s="101" t="s">
        <v>112</v>
      </c>
      <c r="W22" s="101" t="s">
        <v>112</v>
      </c>
      <c r="X22" s="119"/>
      <c r="Y22" s="101" t="s">
        <v>112</v>
      </c>
      <c r="Z22" s="101" t="s">
        <v>112</v>
      </c>
      <c r="AA22" s="101" t="s">
        <v>111</v>
      </c>
      <c r="AB22" s="101" t="s">
        <v>112</v>
      </c>
      <c r="AC22" s="101" t="s">
        <v>111</v>
      </c>
      <c r="AD22" s="101" t="s">
        <v>112</v>
      </c>
      <c r="AE22" s="119"/>
      <c r="AF22" s="101" t="s">
        <v>111</v>
      </c>
      <c r="AG22" s="122"/>
      <c r="AH22" s="101" t="s">
        <v>111</v>
      </c>
      <c r="AI22" s="101" t="s">
        <v>112</v>
      </c>
      <c r="AJ22" s="101" t="s">
        <v>111</v>
      </c>
      <c r="AK22" s="5">
        <f t="shared" si="1"/>
        <v>9</v>
      </c>
      <c r="AL22" s="5">
        <f t="shared" si="2"/>
        <v>17</v>
      </c>
      <c r="AM22" s="5" t="s">
        <v>17</v>
      </c>
      <c r="AN22" s="9">
        <f>AN21-AN14</f>
        <v>185</v>
      </c>
      <c r="AO22" s="9">
        <f>AO21-AO14</f>
        <v>184</v>
      </c>
      <c r="AP22" s="9">
        <f>AN22+AO22</f>
        <v>369</v>
      </c>
    </row>
    <row r="23" spans="1:42" ht="16.5" x14ac:dyDescent="0.25">
      <c r="A23" s="9">
        <v>19</v>
      </c>
      <c r="B23" s="11"/>
      <c r="C23" s="7" t="s">
        <v>271</v>
      </c>
      <c r="D23" s="7" t="s">
        <v>272</v>
      </c>
      <c r="E23" s="8" t="s">
        <v>232</v>
      </c>
      <c r="F23" s="101" t="s">
        <v>111</v>
      </c>
      <c r="G23" s="101" t="s">
        <v>111</v>
      </c>
      <c r="H23" s="101" t="s">
        <v>111</v>
      </c>
      <c r="I23" s="101" t="s">
        <v>111</v>
      </c>
      <c r="J23" s="119"/>
      <c r="K23" s="101" t="s">
        <v>112</v>
      </c>
      <c r="L23" s="101" t="s">
        <v>112</v>
      </c>
      <c r="M23" s="101" t="s">
        <v>112</v>
      </c>
      <c r="N23" s="101" t="s">
        <v>112</v>
      </c>
      <c r="O23" s="101" t="s">
        <v>112</v>
      </c>
      <c r="P23" s="101" t="s">
        <v>112</v>
      </c>
      <c r="Q23" s="119"/>
      <c r="R23" s="101" t="s">
        <v>112</v>
      </c>
      <c r="S23" s="101" t="s">
        <v>112</v>
      </c>
      <c r="T23" s="101" t="s">
        <v>112</v>
      </c>
      <c r="U23" s="101" t="s">
        <v>112</v>
      </c>
      <c r="V23" s="101" t="s">
        <v>112</v>
      </c>
      <c r="W23" s="101" t="s">
        <v>111</v>
      </c>
      <c r="X23" s="119"/>
      <c r="Y23" s="101" t="s">
        <v>111</v>
      </c>
      <c r="Z23" s="101" t="s">
        <v>111</v>
      </c>
      <c r="AA23" s="101" t="s">
        <v>112</v>
      </c>
      <c r="AB23" s="101" t="s">
        <v>112</v>
      </c>
      <c r="AC23" s="101" t="s">
        <v>112</v>
      </c>
      <c r="AD23" s="101" t="s">
        <v>111</v>
      </c>
      <c r="AE23" s="119"/>
      <c r="AF23" s="101" t="s">
        <v>112</v>
      </c>
      <c r="AG23" s="122"/>
      <c r="AH23" s="101" t="s">
        <v>112</v>
      </c>
      <c r="AI23" s="101" t="s">
        <v>112</v>
      </c>
      <c r="AJ23" s="101" t="s">
        <v>112</v>
      </c>
      <c r="AK23" s="5">
        <f t="shared" si="1"/>
        <v>18</v>
      </c>
      <c r="AL23" s="5">
        <f t="shared" si="2"/>
        <v>8</v>
      </c>
      <c r="AM23" s="5" t="s">
        <v>16</v>
      </c>
      <c r="AN23" s="12">
        <f>AN22/AN21</f>
        <v>0.22235576923076922</v>
      </c>
      <c r="AO23" s="12">
        <f>AO22/AO21</f>
        <v>0.29487179487179488</v>
      </c>
      <c r="AP23" s="12">
        <f>AP22/AP21</f>
        <v>0.25343406593406592</v>
      </c>
    </row>
    <row r="24" spans="1:42" ht="16.5" x14ac:dyDescent="0.25">
      <c r="A24" s="9">
        <v>20</v>
      </c>
      <c r="B24" s="11"/>
      <c r="C24" s="7" t="s">
        <v>267</v>
      </c>
      <c r="D24" s="7" t="s">
        <v>268</v>
      </c>
      <c r="E24" s="8" t="s">
        <v>232</v>
      </c>
      <c r="F24" s="101" t="s">
        <v>111</v>
      </c>
      <c r="G24" s="101" t="s">
        <v>112</v>
      </c>
      <c r="H24" s="101" t="s">
        <v>112</v>
      </c>
      <c r="I24" s="101" t="s">
        <v>111</v>
      </c>
      <c r="J24" s="119"/>
      <c r="K24" s="101" t="s">
        <v>111</v>
      </c>
      <c r="L24" s="101" t="s">
        <v>112</v>
      </c>
      <c r="M24" s="101" t="s">
        <v>112</v>
      </c>
      <c r="N24" s="101" t="s">
        <v>111</v>
      </c>
      <c r="O24" s="101" t="s">
        <v>111</v>
      </c>
      <c r="P24" s="101" t="s">
        <v>111</v>
      </c>
      <c r="Q24" s="119"/>
      <c r="R24" s="101" t="s">
        <v>112</v>
      </c>
      <c r="S24" s="101" t="s">
        <v>111</v>
      </c>
      <c r="T24" s="101" t="s">
        <v>112</v>
      </c>
      <c r="U24" s="101" t="s">
        <v>112</v>
      </c>
      <c r="V24" s="101" t="s">
        <v>112</v>
      </c>
      <c r="W24" s="101" t="s">
        <v>112</v>
      </c>
      <c r="X24" s="119"/>
      <c r="Y24" s="101" t="s">
        <v>112</v>
      </c>
      <c r="Z24" s="101" t="s">
        <v>112</v>
      </c>
      <c r="AA24" s="101" t="s">
        <v>112</v>
      </c>
      <c r="AB24" s="101" t="s">
        <v>112</v>
      </c>
      <c r="AC24" s="101" t="s">
        <v>112</v>
      </c>
      <c r="AD24" s="101" t="s">
        <v>112</v>
      </c>
      <c r="AE24" s="119"/>
      <c r="AF24" s="101" t="s">
        <v>112</v>
      </c>
      <c r="AG24" s="122"/>
      <c r="AH24" s="101" t="s">
        <v>112</v>
      </c>
      <c r="AI24" s="101" t="s">
        <v>112</v>
      </c>
      <c r="AJ24" s="101" t="s">
        <v>112</v>
      </c>
      <c r="AK24" s="5">
        <f t="shared" si="1"/>
        <v>19</v>
      </c>
      <c r="AL24" s="5">
        <f t="shared" si="2"/>
        <v>7</v>
      </c>
    </row>
    <row r="25" spans="1:42" ht="16.5" x14ac:dyDescent="0.25">
      <c r="A25" s="9">
        <v>21</v>
      </c>
      <c r="B25" s="11"/>
      <c r="C25" s="7" t="s">
        <v>262</v>
      </c>
      <c r="D25" s="7" t="s">
        <v>263</v>
      </c>
      <c r="E25" s="8" t="s">
        <v>232</v>
      </c>
      <c r="F25" s="101" t="s">
        <v>111</v>
      </c>
      <c r="G25" s="101" t="s">
        <v>112</v>
      </c>
      <c r="H25" s="101" t="s">
        <v>111</v>
      </c>
      <c r="I25" s="101" t="s">
        <v>112</v>
      </c>
      <c r="J25" s="119"/>
      <c r="K25" s="101" t="s">
        <v>112</v>
      </c>
      <c r="L25" s="101" t="s">
        <v>112</v>
      </c>
      <c r="M25" s="101" t="s">
        <v>112</v>
      </c>
      <c r="N25" s="101" t="s">
        <v>112</v>
      </c>
      <c r="O25" s="101" t="s">
        <v>112</v>
      </c>
      <c r="P25" s="101" t="s">
        <v>112</v>
      </c>
      <c r="Q25" s="119"/>
      <c r="R25" s="101" t="s">
        <v>112</v>
      </c>
      <c r="S25" s="101" t="s">
        <v>112</v>
      </c>
      <c r="T25" s="101" t="s">
        <v>112</v>
      </c>
      <c r="U25" s="101" t="s">
        <v>112</v>
      </c>
      <c r="V25" s="101" t="s">
        <v>112</v>
      </c>
      <c r="W25" s="101" t="s">
        <v>112</v>
      </c>
      <c r="X25" s="119"/>
      <c r="Y25" s="101" t="s">
        <v>112</v>
      </c>
      <c r="Z25" s="101" t="s">
        <v>112</v>
      </c>
      <c r="AA25" s="101" t="s">
        <v>112</v>
      </c>
      <c r="AB25" s="101" t="s">
        <v>112</v>
      </c>
      <c r="AC25" s="101" t="s">
        <v>111</v>
      </c>
      <c r="AD25" s="101" t="s">
        <v>112</v>
      </c>
      <c r="AE25" s="119"/>
      <c r="AF25" s="101" t="s">
        <v>112</v>
      </c>
      <c r="AG25" s="122"/>
      <c r="AH25" s="101" t="s">
        <v>112</v>
      </c>
      <c r="AI25" s="101" t="s">
        <v>112</v>
      </c>
      <c r="AJ25" s="101" t="s">
        <v>111</v>
      </c>
      <c r="AK25" s="5">
        <f t="shared" si="1"/>
        <v>22</v>
      </c>
      <c r="AL25" s="5">
        <f t="shared" si="2"/>
        <v>4</v>
      </c>
    </row>
    <row r="26" spans="1:42" ht="16.5" x14ac:dyDescent="0.25">
      <c r="A26" s="9">
        <v>22</v>
      </c>
      <c r="B26" s="11"/>
      <c r="C26" s="7" t="s">
        <v>264</v>
      </c>
      <c r="D26" s="7" t="s">
        <v>265</v>
      </c>
      <c r="E26" s="8" t="s">
        <v>232</v>
      </c>
      <c r="F26" s="101" t="s">
        <v>111</v>
      </c>
      <c r="G26" s="101" t="s">
        <v>112</v>
      </c>
      <c r="H26" s="101" t="s">
        <v>112</v>
      </c>
      <c r="I26" s="101" t="s">
        <v>112</v>
      </c>
      <c r="J26" s="119"/>
      <c r="K26" s="101" t="s">
        <v>112</v>
      </c>
      <c r="L26" s="101" t="s">
        <v>112</v>
      </c>
      <c r="M26" s="101" t="s">
        <v>112</v>
      </c>
      <c r="N26" s="101" t="s">
        <v>112</v>
      </c>
      <c r="O26" s="101" t="s">
        <v>112</v>
      </c>
      <c r="P26" s="101" t="s">
        <v>112</v>
      </c>
      <c r="Q26" s="119"/>
      <c r="R26" s="101" t="s">
        <v>112</v>
      </c>
      <c r="S26" s="101" t="s">
        <v>112</v>
      </c>
      <c r="T26" s="101" t="s">
        <v>112</v>
      </c>
      <c r="U26" s="101" t="s">
        <v>112</v>
      </c>
      <c r="V26" s="101" t="s">
        <v>112</v>
      </c>
      <c r="W26" s="101" t="s">
        <v>112</v>
      </c>
      <c r="X26" s="119"/>
      <c r="Y26" s="101" t="s">
        <v>112</v>
      </c>
      <c r="Z26" s="101" t="s">
        <v>112</v>
      </c>
      <c r="AA26" s="101" t="s">
        <v>112</v>
      </c>
      <c r="AB26" s="101" t="s">
        <v>112</v>
      </c>
      <c r="AC26" s="101" t="s">
        <v>112</v>
      </c>
      <c r="AD26" s="101" t="s">
        <v>112</v>
      </c>
      <c r="AE26" s="119"/>
      <c r="AF26" s="101" t="s">
        <v>112</v>
      </c>
      <c r="AG26" s="122"/>
      <c r="AH26" s="101" t="s">
        <v>112</v>
      </c>
      <c r="AI26" s="101" t="s">
        <v>112</v>
      </c>
      <c r="AJ26" s="101" t="s">
        <v>112</v>
      </c>
      <c r="AK26" s="5">
        <f t="shared" si="1"/>
        <v>25</v>
      </c>
      <c r="AL26" s="5">
        <f t="shared" si="2"/>
        <v>1</v>
      </c>
    </row>
    <row r="27" spans="1:42" ht="16.5" x14ac:dyDescent="0.25">
      <c r="A27" s="9">
        <v>23</v>
      </c>
      <c r="B27" s="11"/>
      <c r="C27" s="7" t="s">
        <v>264</v>
      </c>
      <c r="D27" s="7" t="s">
        <v>266</v>
      </c>
      <c r="E27" s="8" t="s">
        <v>232</v>
      </c>
      <c r="F27" s="101" t="s">
        <v>111</v>
      </c>
      <c r="G27" s="101" t="s">
        <v>111</v>
      </c>
      <c r="H27" s="101" t="s">
        <v>112</v>
      </c>
      <c r="I27" s="101" t="s">
        <v>112</v>
      </c>
      <c r="J27" s="119"/>
      <c r="K27" s="101" t="s">
        <v>111</v>
      </c>
      <c r="L27" s="101" t="s">
        <v>112</v>
      </c>
      <c r="M27" s="101" t="s">
        <v>112</v>
      </c>
      <c r="N27" s="101" t="s">
        <v>112</v>
      </c>
      <c r="O27" s="101" t="s">
        <v>112</v>
      </c>
      <c r="P27" s="101" t="s">
        <v>112</v>
      </c>
      <c r="Q27" s="119"/>
      <c r="R27" s="101" t="s">
        <v>112</v>
      </c>
      <c r="S27" s="101" t="s">
        <v>112</v>
      </c>
      <c r="T27" s="101" t="s">
        <v>112</v>
      </c>
      <c r="U27" s="101" t="s">
        <v>112</v>
      </c>
      <c r="V27" s="101" t="s">
        <v>112</v>
      </c>
      <c r="W27" s="101" t="s">
        <v>112</v>
      </c>
      <c r="X27" s="119"/>
      <c r="Y27" s="101" t="s">
        <v>112</v>
      </c>
      <c r="Z27" s="101" t="s">
        <v>112</v>
      </c>
      <c r="AA27" s="101" t="s">
        <v>112</v>
      </c>
      <c r="AB27" s="101" t="s">
        <v>112</v>
      </c>
      <c r="AC27" s="101" t="s">
        <v>112</v>
      </c>
      <c r="AD27" s="101" t="s">
        <v>112</v>
      </c>
      <c r="AE27" s="119"/>
      <c r="AF27" s="101" t="s">
        <v>113</v>
      </c>
      <c r="AG27" s="122"/>
      <c r="AH27" s="101" t="s">
        <v>112</v>
      </c>
      <c r="AI27" s="101" t="s">
        <v>112</v>
      </c>
      <c r="AJ27" s="101" t="s">
        <v>112</v>
      </c>
      <c r="AK27" s="5">
        <f t="shared" si="1"/>
        <v>22</v>
      </c>
      <c r="AL27" s="5">
        <f t="shared" si="2"/>
        <v>3</v>
      </c>
    </row>
    <row r="28" spans="1:42" ht="16.5" x14ac:dyDescent="0.25">
      <c r="A28" s="9">
        <v>24</v>
      </c>
      <c r="B28" s="11"/>
      <c r="C28" s="7" t="s">
        <v>234</v>
      </c>
      <c r="D28" s="7" t="s">
        <v>829</v>
      </c>
      <c r="E28" s="8" t="s">
        <v>232</v>
      </c>
      <c r="F28" s="101" t="s">
        <v>111</v>
      </c>
      <c r="G28" s="101" t="s">
        <v>111</v>
      </c>
      <c r="H28" s="101" t="s">
        <v>111</v>
      </c>
      <c r="I28" s="101" t="s">
        <v>111</v>
      </c>
      <c r="J28" s="119"/>
      <c r="K28" s="101" t="s">
        <v>112</v>
      </c>
      <c r="L28" s="101" t="s">
        <v>112</v>
      </c>
      <c r="M28" s="101" t="s">
        <v>112</v>
      </c>
      <c r="N28" s="101" t="s">
        <v>111</v>
      </c>
      <c r="O28" s="101" t="s">
        <v>112</v>
      </c>
      <c r="P28" s="101" t="s">
        <v>112</v>
      </c>
      <c r="Q28" s="119"/>
      <c r="R28" s="101" t="s">
        <v>111</v>
      </c>
      <c r="S28" s="101" t="s">
        <v>112</v>
      </c>
      <c r="T28" s="101" t="s">
        <v>112</v>
      </c>
      <c r="U28" s="101" t="s">
        <v>112</v>
      </c>
      <c r="V28" s="101" t="s">
        <v>112</v>
      </c>
      <c r="W28" s="101" t="s">
        <v>111</v>
      </c>
      <c r="X28" s="119"/>
      <c r="Y28" s="101" t="s">
        <v>112</v>
      </c>
      <c r="Z28" s="101" t="s">
        <v>112</v>
      </c>
      <c r="AA28" s="101" t="s">
        <v>112</v>
      </c>
      <c r="AB28" s="101" t="s">
        <v>112</v>
      </c>
      <c r="AC28" s="101" t="s">
        <v>111</v>
      </c>
      <c r="AD28" s="101" t="s">
        <v>112</v>
      </c>
      <c r="AE28" s="119"/>
      <c r="AF28" s="101" t="s">
        <v>111</v>
      </c>
      <c r="AG28" s="122"/>
      <c r="AH28" s="101" t="s">
        <v>112</v>
      </c>
      <c r="AI28" s="101" t="s">
        <v>112</v>
      </c>
      <c r="AJ28" s="101" t="s">
        <v>112</v>
      </c>
      <c r="AK28" s="5">
        <f t="shared" si="1"/>
        <v>17</v>
      </c>
      <c r="AL28" s="5">
        <f t="shared" si="2"/>
        <v>9</v>
      </c>
    </row>
    <row r="29" spans="1:42" ht="16.5" customHeight="1" x14ac:dyDescent="0.25">
      <c r="A29" s="9">
        <v>1</v>
      </c>
      <c r="B29" s="11"/>
      <c r="C29" s="7" t="s">
        <v>273</v>
      </c>
      <c r="D29" s="7" t="s">
        <v>266</v>
      </c>
      <c r="E29" s="8" t="s">
        <v>232</v>
      </c>
      <c r="F29" s="101" t="s">
        <v>111</v>
      </c>
      <c r="G29" s="101" t="s">
        <v>111</v>
      </c>
      <c r="H29" s="101" t="s">
        <v>111</v>
      </c>
      <c r="I29" s="101" t="s">
        <v>111</v>
      </c>
      <c r="J29" s="119"/>
      <c r="K29" s="101" t="s">
        <v>111</v>
      </c>
      <c r="L29" s="101" t="s">
        <v>112</v>
      </c>
      <c r="M29" s="101" t="s">
        <v>112</v>
      </c>
      <c r="N29" s="101" t="s">
        <v>112</v>
      </c>
      <c r="O29" s="101" t="s">
        <v>112</v>
      </c>
      <c r="P29" s="101" t="s">
        <v>111</v>
      </c>
      <c r="Q29" s="119"/>
      <c r="R29" s="101" t="s">
        <v>112</v>
      </c>
      <c r="S29" s="101" t="s">
        <v>112</v>
      </c>
      <c r="T29" s="101" t="s">
        <v>112</v>
      </c>
      <c r="U29" s="101" t="s">
        <v>112</v>
      </c>
      <c r="V29" s="101" t="s">
        <v>112</v>
      </c>
      <c r="W29" s="101" t="s">
        <v>112</v>
      </c>
      <c r="X29" s="119"/>
      <c r="Y29" s="101" t="s">
        <v>112</v>
      </c>
      <c r="Z29" s="101" t="s">
        <v>112</v>
      </c>
      <c r="AA29" s="101" t="s">
        <v>112</v>
      </c>
      <c r="AB29" s="101" t="s">
        <v>112</v>
      </c>
      <c r="AC29" s="101" t="s">
        <v>112</v>
      </c>
      <c r="AD29" s="101" t="s">
        <v>112</v>
      </c>
      <c r="AE29" s="119"/>
      <c r="AF29" s="101" t="s">
        <v>112</v>
      </c>
      <c r="AG29" s="122"/>
      <c r="AH29" s="101" t="s">
        <v>112</v>
      </c>
      <c r="AI29" s="101" t="s">
        <v>112</v>
      </c>
      <c r="AJ29" s="101" t="s">
        <v>111</v>
      </c>
      <c r="AK29" s="5">
        <f t="shared" si="1"/>
        <v>19</v>
      </c>
      <c r="AL29" s="5">
        <f t="shared" si="2"/>
        <v>7</v>
      </c>
    </row>
    <row r="30" spans="1:42" ht="16.5" x14ac:dyDescent="0.25">
      <c r="A30" s="9">
        <v>2</v>
      </c>
      <c r="B30" s="11"/>
      <c r="C30" s="7" t="s">
        <v>273</v>
      </c>
      <c r="D30" s="7" t="s">
        <v>274</v>
      </c>
      <c r="E30" s="8" t="s">
        <v>232</v>
      </c>
      <c r="F30" s="101" t="s">
        <v>111</v>
      </c>
      <c r="G30" s="101" t="s">
        <v>111</v>
      </c>
      <c r="H30" s="101" t="s">
        <v>111</v>
      </c>
      <c r="I30" s="101" t="s">
        <v>111</v>
      </c>
      <c r="J30" s="119"/>
      <c r="K30" s="101" t="s">
        <v>111</v>
      </c>
      <c r="L30" s="101" t="s">
        <v>112</v>
      </c>
      <c r="M30" s="101" t="s">
        <v>111</v>
      </c>
      <c r="N30" s="101" t="s">
        <v>112</v>
      </c>
      <c r="O30" s="101" t="s">
        <v>112</v>
      </c>
      <c r="P30" s="101" t="s">
        <v>111</v>
      </c>
      <c r="Q30" s="119"/>
      <c r="R30" s="101" t="s">
        <v>112</v>
      </c>
      <c r="S30" s="101" t="s">
        <v>112</v>
      </c>
      <c r="T30" s="101" t="s">
        <v>111</v>
      </c>
      <c r="U30" s="101" t="s">
        <v>112</v>
      </c>
      <c r="V30" s="101" t="s">
        <v>112</v>
      </c>
      <c r="W30" s="101" t="s">
        <v>111</v>
      </c>
      <c r="X30" s="119"/>
      <c r="Y30" s="101" t="s">
        <v>112</v>
      </c>
      <c r="Z30" s="101" t="s">
        <v>112</v>
      </c>
      <c r="AA30" s="101" t="s">
        <v>112</v>
      </c>
      <c r="AB30" s="101" t="s">
        <v>112</v>
      </c>
      <c r="AC30" s="101" t="s">
        <v>111</v>
      </c>
      <c r="AD30" s="101" t="s">
        <v>111</v>
      </c>
      <c r="AE30" s="119"/>
      <c r="AF30" s="101" t="s">
        <v>112</v>
      </c>
      <c r="AG30" s="122"/>
      <c r="AH30" s="101" t="s">
        <v>111</v>
      </c>
      <c r="AI30" s="101" t="s">
        <v>112</v>
      </c>
      <c r="AJ30" s="101" t="s">
        <v>112</v>
      </c>
      <c r="AK30" s="5">
        <f t="shared" si="1"/>
        <v>14</v>
      </c>
      <c r="AL30" s="5">
        <f t="shared" si="2"/>
        <v>12</v>
      </c>
    </row>
    <row r="31" spans="1:42" ht="16.5" x14ac:dyDescent="0.25">
      <c r="A31" s="9">
        <v>3</v>
      </c>
      <c r="B31" s="11"/>
      <c r="C31" s="7" t="s">
        <v>275</v>
      </c>
      <c r="D31" s="7" t="s">
        <v>276</v>
      </c>
      <c r="E31" s="8" t="s">
        <v>232</v>
      </c>
      <c r="F31" s="101" t="s">
        <v>112</v>
      </c>
      <c r="G31" s="101" t="s">
        <v>112</v>
      </c>
      <c r="H31" s="101" t="s">
        <v>112</v>
      </c>
      <c r="I31" s="101" t="s">
        <v>112</v>
      </c>
      <c r="J31" s="119"/>
      <c r="K31" s="101" t="s">
        <v>112</v>
      </c>
      <c r="L31" s="101" t="s">
        <v>112</v>
      </c>
      <c r="M31" s="101" t="s">
        <v>112</v>
      </c>
      <c r="N31" s="101" t="s">
        <v>112</v>
      </c>
      <c r="O31" s="101" t="s">
        <v>112</v>
      </c>
      <c r="P31" s="101" t="s">
        <v>111</v>
      </c>
      <c r="Q31" s="119"/>
      <c r="R31" s="101" t="s">
        <v>112</v>
      </c>
      <c r="S31" s="101" t="s">
        <v>112</v>
      </c>
      <c r="T31" s="101" t="s">
        <v>112</v>
      </c>
      <c r="U31" s="101" t="s">
        <v>112</v>
      </c>
      <c r="V31" s="101" t="s">
        <v>112</v>
      </c>
      <c r="W31" s="101" t="s">
        <v>112</v>
      </c>
      <c r="X31" s="119"/>
      <c r="Y31" s="101" t="s">
        <v>112</v>
      </c>
      <c r="Z31" s="101" t="s">
        <v>112</v>
      </c>
      <c r="AA31" s="101" t="s">
        <v>112</v>
      </c>
      <c r="AB31" s="101" t="s">
        <v>112</v>
      </c>
      <c r="AC31" s="101" t="s">
        <v>112</v>
      </c>
      <c r="AD31" s="101" t="s">
        <v>112</v>
      </c>
      <c r="AE31" s="119"/>
      <c r="AF31" s="101" t="s">
        <v>112</v>
      </c>
      <c r="AG31" s="122"/>
      <c r="AH31" s="101" t="s">
        <v>112</v>
      </c>
      <c r="AI31" s="101" t="s">
        <v>112</v>
      </c>
      <c r="AJ31" s="101" t="s">
        <v>112</v>
      </c>
      <c r="AK31" s="5">
        <f t="shared" si="1"/>
        <v>25</v>
      </c>
      <c r="AL31" s="5">
        <f t="shared" si="2"/>
        <v>1</v>
      </c>
    </row>
    <row r="32" spans="1:42" ht="16.5" x14ac:dyDescent="0.25">
      <c r="A32" s="9">
        <v>4</v>
      </c>
      <c r="B32" s="11"/>
      <c r="C32" s="7" t="s">
        <v>277</v>
      </c>
      <c r="D32" s="7" t="s">
        <v>278</v>
      </c>
      <c r="E32" s="8" t="s">
        <v>232</v>
      </c>
      <c r="F32" s="101" t="s">
        <v>111</v>
      </c>
      <c r="G32" s="101" t="s">
        <v>111</v>
      </c>
      <c r="H32" s="101" t="s">
        <v>111</v>
      </c>
      <c r="I32" s="101" t="s">
        <v>111</v>
      </c>
      <c r="J32" s="119"/>
      <c r="K32" s="101" t="s">
        <v>111</v>
      </c>
      <c r="L32" s="101" t="s">
        <v>111</v>
      </c>
      <c r="M32" s="101" t="s">
        <v>112</v>
      </c>
      <c r="N32" s="101" t="s">
        <v>111</v>
      </c>
      <c r="O32" s="101" t="s">
        <v>112</v>
      </c>
      <c r="P32" s="101" t="s">
        <v>112</v>
      </c>
      <c r="Q32" s="119"/>
      <c r="R32" s="101" t="s">
        <v>112</v>
      </c>
      <c r="S32" s="101" t="s">
        <v>111</v>
      </c>
      <c r="T32" s="101" t="s">
        <v>112</v>
      </c>
      <c r="U32" s="101" t="s">
        <v>112</v>
      </c>
      <c r="V32" s="101" t="s">
        <v>111</v>
      </c>
      <c r="W32" s="101" t="s">
        <v>112</v>
      </c>
      <c r="X32" s="119"/>
      <c r="Y32" s="101" t="s">
        <v>112</v>
      </c>
      <c r="Z32" s="101" t="s">
        <v>112</v>
      </c>
      <c r="AA32" s="101" t="s">
        <v>112</v>
      </c>
      <c r="AB32" s="101" t="s">
        <v>112</v>
      </c>
      <c r="AC32" s="101" t="s">
        <v>112</v>
      </c>
      <c r="AD32" s="101" t="s">
        <v>111</v>
      </c>
      <c r="AE32" s="119"/>
      <c r="AF32" s="101" t="s">
        <v>112</v>
      </c>
      <c r="AG32" s="122"/>
      <c r="AH32" s="101" t="s">
        <v>112</v>
      </c>
      <c r="AI32" s="101" t="s">
        <v>112</v>
      </c>
      <c r="AJ32" s="101" t="s">
        <v>112</v>
      </c>
      <c r="AK32" s="5">
        <f t="shared" si="1"/>
        <v>16</v>
      </c>
      <c r="AL32" s="5">
        <f t="shared" si="2"/>
        <v>10</v>
      </c>
    </row>
    <row r="33" spans="1:38" ht="16.5" x14ac:dyDescent="0.25">
      <c r="A33" s="9">
        <v>5</v>
      </c>
      <c r="B33" s="11"/>
      <c r="C33" s="7" t="s">
        <v>115</v>
      </c>
      <c r="D33" s="7" t="s">
        <v>279</v>
      </c>
      <c r="E33" s="8" t="s">
        <v>232</v>
      </c>
      <c r="F33" s="101" t="s">
        <v>111</v>
      </c>
      <c r="G33" s="101" t="s">
        <v>112</v>
      </c>
      <c r="H33" s="101" t="s">
        <v>112</v>
      </c>
      <c r="I33" s="101" t="s">
        <v>112</v>
      </c>
      <c r="J33" s="119"/>
      <c r="K33" s="101" t="s">
        <v>112</v>
      </c>
      <c r="L33" s="101" t="s">
        <v>112</v>
      </c>
      <c r="M33" s="101" t="s">
        <v>112</v>
      </c>
      <c r="N33" s="101" t="s">
        <v>112</v>
      </c>
      <c r="O33" s="101" t="s">
        <v>112</v>
      </c>
      <c r="P33" s="101" t="s">
        <v>112</v>
      </c>
      <c r="Q33" s="119"/>
      <c r="R33" s="101" t="s">
        <v>112</v>
      </c>
      <c r="S33" s="101" t="s">
        <v>112</v>
      </c>
      <c r="T33" s="101" t="s">
        <v>112</v>
      </c>
      <c r="U33" s="101" t="s">
        <v>112</v>
      </c>
      <c r="V33" s="101" t="s">
        <v>112</v>
      </c>
      <c r="W33" s="101" t="s">
        <v>112</v>
      </c>
      <c r="X33" s="119"/>
      <c r="Y33" s="101" t="s">
        <v>112</v>
      </c>
      <c r="Z33" s="101" t="s">
        <v>112</v>
      </c>
      <c r="AA33" s="101" t="s">
        <v>112</v>
      </c>
      <c r="AB33" s="101" t="s">
        <v>112</v>
      </c>
      <c r="AC33" s="101" t="s">
        <v>112</v>
      </c>
      <c r="AD33" s="101" t="s">
        <v>112</v>
      </c>
      <c r="AE33" s="119"/>
      <c r="AF33" s="101" t="s">
        <v>112</v>
      </c>
      <c r="AG33" s="122"/>
      <c r="AH33" s="101" t="s">
        <v>112</v>
      </c>
      <c r="AI33" s="101" t="s">
        <v>111</v>
      </c>
      <c r="AJ33" s="101" t="s">
        <v>112</v>
      </c>
      <c r="AK33" s="5">
        <f t="shared" si="1"/>
        <v>24</v>
      </c>
      <c r="AL33" s="5">
        <f t="shared" si="2"/>
        <v>2</v>
      </c>
    </row>
    <row r="34" spans="1:38" ht="15" customHeight="1" x14ac:dyDescent="0.25">
      <c r="A34" s="9">
        <v>6</v>
      </c>
      <c r="B34" s="11"/>
      <c r="C34" s="7" t="s">
        <v>280</v>
      </c>
      <c r="D34" s="7" t="s">
        <v>281</v>
      </c>
      <c r="E34" s="8" t="s">
        <v>232</v>
      </c>
      <c r="F34" s="101" t="s">
        <v>112</v>
      </c>
      <c r="G34" s="101" t="s">
        <v>112</v>
      </c>
      <c r="H34" s="101" t="s">
        <v>112</v>
      </c>
      <c r="I34" s="101" t="s">
        <v>112</v>
      </c>
      <c r="J34" s="119"/>
      <c r="K34" s="101" t="s">
        <v>112</v>
      </c>
      <c r="L34" s="101" t="s">
        <v>111</v>
      </c>
      <c r="M34" s="101" t="s">
        <v>112</v>
      </c>
      <c r="N34" s="101" t="s">
        <v>112</v>
      </c>
      <c r="O34" s="101" t="s">
        <v>112</v>
      </c>
      <c r="P34" s="101" t="s">
        <v>112</v>
      </c>
      <c r="Q34" s="119"/>
      <c r="R34" s="101" t="s">
        <v>112</v>
      </c>
      <c r="S34" s="101" t="s">
        <v>112</v>
      </c>
      <c r="T34" s="101" t="s">
        <v>112</v>
      </c>
      <c r="U34" s="101" t="s">
        <v>112</v>
      </c>
      <c r="V34" s="101" t="s">
        <v>112</v>
      </c>
      <c r="W34" s="101" t="s">
        <v>111</v>
      </c>
      <c r="X34" s="119"/>
      <c r="Y34" s="101" t="s">
        <v>112</v>
      </c>
      <c r="Z34" s="101" t="s">
        <v>112</v>
      </c>
      <c r="AA34" s="101" t="s">
        <v>112</v>
      </c>
      <c r="AB34" s="101" t="s">
        <v>112</v>
      </c>
      <c r="AC34" s="101" t="s">
        <v>112</v>
      </c>
      <c r="AD34" s="101" t="s">
        <v>112</v>
      </c>
      <c r="AE34" s="119"/>
      <c r="AF34" s="101" t="s">
        <v>111</v>
      </c>
      <c r="AG34" s="122"/>
      <c r="AH34" s="101" t="s">
        <v>111</v>
      </c>
      <c r="AI34" s="101" t="s">
        <v>112</v>
      </c>
      <c r="AJ34" s="101" t="s">
        <v>112</v>
      </c>
      <c r="AK34" s="5">
        <f t="shared" si="1"/>
        <v>22</v>
      </c>
      <c r="AL34" s="5">
        <f t="shared" si="2"/>
        <v>4</v>
      </c>
    </row>
    <row r="35" spans="1:38" ht="16.5" x14ac:dyDescent="0.25">
      <c r="A35" s="9">
        <v>7</v>
      </c>
      <c r="B35" s="11"/>
      <c r="C35" s="7" t="s">
        <v>282</v>
      </c>
      <c r="D35" s="7" t="s">
        <v>283</v>
      </c>
      <c r="E35" s="8" t="s">
        <v>232</v>
      </c>
      <c r="F35" s="101" t="s">
        <v>113</v>
      </c>
      <c r="G35" s="101" t="s">
        <v>113</v>
      </c>
      <c r="H35" s="101" t="s">
        <v>113</v>
      </c>
      <c r="I35" s="101" t="s">
        <v>113</v>
      </c>
      <c r="J35" s="119"/>
      <c r="K35" s="101" t="s">
        <v>113</v>
      </c>
      <c r="L35" s="101" t="s">
        <v>113</v>
      </c>
      <c r="M35" s="101" t="s">
        <v>113</v>
      </c>
      <c r="N35" s="101" t="s">
        <v>113</v>
      </c>
      <c r="O35" s="101" t="s">
        <v>113</v>
      </c>
      <c r="P35" s="101" t="s">
        <v>113</v>
      </c>
      <c r="Q35" s="119"/>
      <c r="R35" s="101" t="s">
        <v>113</v>
      </c>
      <c r="S35" s="101" t="s">
        <v>113</v>
      </c>
      <c r="T35" s="101" t="s">
        <v>112</v>
      </c>
      <c r="U35" s="101" t="s">
        <v>112</v>
      </c>
      <c r="V35" s="101" t="s">
        <v>111</v>
      </c>
      <c r="W35" s="101" t="s">
        <v>112</v>
      </c>
      <c r="X35" s="119"/>
      <c r="Y35" s="101" t="s">
        <v>112</v>
      </c>
      <c r="Z35" s="101" t="s">
        <v>111</v>
      </c>
      <c r="AA35" s="101" t="s">
        <v>112</v>
      </c>
      <c r="AB35" s="101" t="s">
        <v>112</v>
      </c>
      <c r="AC35" s="101" t="s">
        <v>112</v>
      </c>
      <c r="AD35" s="101" t="s">
        <v>112</v>
      </c>
      <c r="AE35" s="119"/>
      <c r="AF35" s="101" t="s">
        <v>112</v>
      </c>
      <c r="AG35" s="122"/>
      <c r="AH35" s="101" t="s">
        <v>112</v>
      </c>
      <c r="AI35" s="101" t="s">
        <v>112</v>
      </c>
      <c r="AJ35" s="101" t="s">
        <v>112</v>
      </c>
      <c r="AK35" s="5">
        <f t="shared" si="1"/>
        <v>12</v>
      </c>
      <c r="AL35" s="5">
        <f t="shared" si="2"/>
        <v>2</v>
      </c>
    </row>
    <row r="36" spans="1:38" ht="16.5" x14ac:dyDescent="0.25">
      <c r="A36" s="9">
        <v>8</v>
      </c>
      <c r="B36" s="11"/>
      <c r="C36" s="7" t="s">
        <v>284</v>
      </c>
      <c r="D36" s="7" t="s">
        <v>285</v>
      </c>
      <c r="E36" s="8" t="s">
        <v>232</v>
      </c>
      <c r="F36" s="101" t="s">
        <v>111</v>
      </c>
      <c r="G36" s="101" t="s">
        <v>112</v>
      </c>
      <c r="H36" s="101" t="s">
        <v>112</v>
      </c>
      <c r="I36" s="101" t="s">
        <v>111</v>
      </c>
      <c r="J36" s="119"/>
      <c r="K36" s="101" t="s">
        <v>111</v>
      </c>
      <c r="L36" s="101" t="s">
        <v>112</v>
      </c>
      <c r="M36" s="101" t="s">
        <v>112</v>
      </c>
      <c r="N36" s="101" t="s">
        <v>112</v>
      </c>
      <c r="O36" s="101" t="s">
        <v>112</v>
      </c>
      <c r="P36" s="101" t="s">
        <v>111</v>
      </c>
      <c r="Q36" s="119"/>
      <c r="R36" s="101" t="s">
        <v>112</v>
      </c>
      <c r="S36" s="101" t="s">
        <v>111</v>
      </c>
      <c r="T36" s="101" t="s">
        <v>112</v>
      </c>
      <c r="U36" s="101" t="s">
        <v>112</v>
      </c>
      <c r="V36" s="101" t="s">
        <v>112</v>
      </c>
      <c r="W36" s="101" t="s">
        <v>112</v>
      </c>
      <c r="X36" s="119"/>
      <c r="Y36" s="101" t="s">
        <v>112</v>
      </c>
      <c r="Z36" s="101" t="s">
        <v>112</v>
      </c>
      <c r="AA36" s="101" t="s">
        <v>112</v>
      </c>
      <c r="AB36" s="101" t="s">
        <v>112</v>
      </c>
      <c r="AC36" s="101" t="s">
        <v>112</v>
      </c>
      <c r="AD36" s="101" t="s">
        <v>112</v>
      </c>
      <c r="AE36" s="119"/>
      <c r="AF36" s="101" t="s">
        <v>112</v>
      </c>
      <c r="AG36" s="122"/>
      <c r="AH36" s="101" t="s">
        <v>112</v>
      </c>
      <c r="AI36" s="101" t="s">
        <v>112</v>
      </c>
      <c r="AJ36" s="101" t="s">
        <v>112</v>
      </c>
      <c r="AK36" s="5">
        <f t="shared" si="1"/>
        <v>21</v>
      </c>
      <c r="AL36" s="5">
        <f t="shared" si="2"/>
        <v>5</v>
      </c>
    </row>
    <row r="37" spans="1:38" ht="16.5" x14ac:dyDescent="0.25">
      <c r="A37" s="9">
        <v>9</v>
      </c>
      <c r="B37" s="11"/>
      <c r="C37" s="7" t="s">
        <v>96</v>
      </c>
      <c r="D37" s="7" t="s">
        <v>286</v>
      </c>
      <c r="E37" s="8" t="s">
        <v>232</v>
      </c>
      <c r="F37" s="101" t="s">
        <v>111</v>
      </c>
      <c r="G37" s="101" t="s">
        <v>112</v>
      </c>
      <c r="H37" s="101" t="s">
        <v>112</v>
      </c>
      <c r="I37" s="101" t="s">
        <v>112</v>
      </c>
      <c r="J37" s="119"/>
      <c r="K37" s="101" t="s">
        <v>112</v>
      </c>
      <c r="L37" s="101" t="s">
        <v>112</v>
      </c>
      <c r="M37" s="101" t="s">
        <v>112</v>
      </c>
      <c r="N37" s="101" t="s">
        <v>112</v>
      </c>
      <c r="O37" s="101" t="s">
        <v>112</v>
      </c>
      <c r="P37" s="101" t="s">
        <v>112</v>
      </c>
      <c r="Q37" s="119"/>
      <c r="R37" s="101" t="s">
        <v>112</v>
      </c>
      <c r="S37" s="101" t="s">
        <v>112</v>
      </c>
      <c r="T37" s="101" t="s">
        <v>112</v>
      </c>
      <c r="U37" s="101" t="s">
        <v>112</v>
      </c>
      <c r="V37" s="101" t="s">
        <v>112</v>
      </c>
      <c r="W37" s="101" t="s">
        <v>112</v>
      </c>
      <c r="X37" s="119"/>
      <c r="Y37" s="101" t="s">
        <v>112</v>
      </c>
      <c r="Z37" s="101" t="s">
        <v>112</v>
      </c>
      <c r="AA37" s="101" t="s">
        <v>112</v>
      </c>
      <c r="AB37" s="101" t="s">
        <v>112</v>
      </c>
      <c r="AC37" s="101" t="s">
        <v>112</v>
      </c>
      <c r="AD37" s="101" t="s">
        <v>112</v>
      </c>
      <c r="AE37" s="119"/>
      <c r="AF37" s="101" t="s">
        <v>112</v>
      </c>
      <c r="AG37" s="122"/>
      <c r="AH37" s="101" t="s">
        <v>111</v>
      </c>
      <c r="AI37" s="101" t="s">
        <v>112</v>
      </c>
      <c r="AJ37" s="101" t="s">
        <v>112</v>
      </c>
      <c r="AK37" s="5">
        <f t="shared" si="1"/>
        <v>24</v>
      </c>
      <c r="AL37" s="5">
        <f t="shared" si="2"/>
        <v>2</v>
      </c>
    </row>
    <row r="38" spans="1:38" ht="16.5" x14ac:dyDescent="0.25">
      <c r="A38" s="9">
        <v>10</v>
      </c>
      <c r="B38" s="11"/>
      <c r="C38" s="7" t="s">
        <v>287</v>
      </c>
      <c r="D38" s="7" t="s">
        <v>288</v>
      </c>
      <c r="E38" s="8" t="s">
        <v>232</v>
      </c>
      <c r="F38" s="101" t="s">
        <v>111</v>
      </c>
      <c r="G38" s="101" t="s">
        <v>113</v>
      </c>
      <c r="H38" s="101" t="s">
        <v>113</v>
      </c>
      <c r="I38" s="101" t="s">
        <v>113</v>
      </c>
      <c r="J38" s="119"/>
      <c r="K38" s="101" t="s">
        <v>113</v>
      </c>
      <c r="L38" s="101" t="s">
        <v>113</v>
      </c>
      <c r="M38" s="101" t="s">
        <v>113</v>
      </c>
      <c r="N38" s="101" t="s">
        <v>113</v>
      </c>
      <c r="O38" s="101" t="s">
        <v>113</v>
      </c>
      <c r="P38" s="101" t="s">
        <v>113</v>
      </c>
      <c r="Q38" s="119"/>
      <c r="R38" s="101" t="s">
        <v>112</v>
      </c>
      <c r="S38" s="101" t="s">
        <v>112</v>
      </c>
      <c r="T38" s="101" t="s">
        <v>112</v>
      </c>
      <c r="U38" s="101" t="s">
        <v>112</v>
      </c>
      <c r="V38" s="101" t="s">
        <v>112</v>
      </c>
      <c r="W38" s="101" t="s">
        <v>112</v>
      </c>
      <c r="X38" s="119"/>
      <c r="Y38" s="101" t="s">
        <v>112</v>
      </c>
      <c r="Z38" s="101" t="s">
        <v>112</v>
      </c>
      <c r="AA38" s="101" t="s">
        <v>112</v>
      </c>
      <c r="AB38" s="101" t="s">
        <v>112</v>
      </c>
      <c r="AC38" s="101" t="s">
        <v>112</v>
      </c>
      <c r="AD38" s="101" t="s">
        <v>112</v>
      </c>
      <c r="AE38" s="119"/>
      <c r="AF38" s="101" t="s">
        <v>112</v>
      </c>
      <c r="AG38" s="122"/>
      <c r="AH38" s="101" t="s">
        <v>112</v>
      </c>
      <c r="AI38" s="101" t="s">
        <v>112</v>
      </c>
      <c r="AJ38" s="101" t="s">
        <v>112</v>
      </c>
      <c r="AK38" s="5">
        <f t="shared" si="1"/>
        <v>16</v>
      </c>
      <c r="AL38" s="5">
        <f t="shared" si="2"/>
        <v>1</v>
      </c>
    </row>
    <row r="39" spans="1:38" ht="16.5" x14ac:dyDescent="0.25">
      <c r="A39" s="9">
        <v>11</v>
      </c>
      <c r="B39" s="11"/>
      <c r="C39" s="7" t="s">
        <v>289</v>
      </c>
      <c r="D39" s="7" t="s">
        <v>290</v>
      </c>
      <c r="E39" s="8" t="s">
        <v>232</v>
      </c>
      <c r="F39" s="101" t="s">
        <v>111</v>
      </c>
      <c r="G39" s="101" t="s">
        <v>112</v>
      </c>
      <c r="H39" s="101" t="s">
        <v>111</v>
      </c>
      <c r="I39" s="101" t="s">
        <v>112</v>
      </c>
      <c r="J39" s="119"/>
      <c r="K39" s="101" t="s">
        <v>112</v>
      </c>
      <c r="L39" s="101" t="s">
        <v>112</v>
      </c>
      <c r="M39" s="101" t="s">
        <v>112</v>
      </c>
      <c r="N39" s="101" t="s">
        <v>111</v>
      </c>
      <c r="O39" s="101" t="s">
        <v>112</v>
      </c>
      <c r="P39" s="101" t="s">
        <v>112</v>
      </c>
      <c r="Q39" s="119"/>
      <c r="R39" s="101" t="s">
        <v>112</v>
      </c>
      <c r="S39" s="101" t="s">
        <v>112</v>
      </c>
      <c r="T39" s="101" t="s">
        <v>112</v>
      </c>
      <c r="U39" s="101" t="s">
        <v>111</v>
      </c>
      <c r="V39" s="101" t="s">
        <v>112</v>
      </c>
      <c r="W39" s="101" t="s">
        <v>112</v>
      </c>
      <c r="X39" s="119"/>
      <c r="Y39" s="101" t="s">
        <v>112</v>
      </c>
      <c r="Z39" s="101" t="s">
        <v>112</v>
      </c>
      <c r="AA39" s="101" t="s">
        <v>112</v>
      </c>
      <c r="AB39" s="101" t="s">
        <v>112</v>
      </c>
      <c r="AC39" s="101" t="s">
        <v>112</v>
      </c>
      <c r="AD39" s="101" t="s">
        <v>112</v>
      </c>
      <c r="AE39" s="119"/>
      <c r="AF39" s="101" t="s">
        <v>112</v>
      </c>
      <c r="AG39" s="122"/>
      <c r="AH39" s="101" t="s">
        <v>112</v>
      </c>
      <c r="AI39" s="101" t="s">
        <v>112</v>
      </c>
      <c r="AJ39" s="101" t="s">
        <v>112</v>
      </c>
      <c r="AK39" s="5">
        <f t="shared" si="1"/>
        <v>22</v>
      </c>
      <c r="AL39" s="5">
        <f t="shared" si="2"/>
        <v>4</v>
      </c>
    </row>
    <row r="40" spans="1:38" ht="15" customHeight="1" x14ac:dyDescent="0.25">
      <c r="A40" s="9">
        <v>12</v>
      </c>
      <c r="B40" s="11"/>
      <c r="C40" s="7" t="s">
        <v>291</v>
      </c>
      <c r="D40" s="7" t="s">
        <v>292</v>
      </c>
      <c r="E40" s="8" t="s">
        <v>232</v>
      </c>
      <c r="F40" s="101" t="s">
        <v>111</v>
      </c>
      <c r="G40" s="101" t="s">
        <v>111</v>
      </c>
      <c r="H40" s="101" t="s">
        <v>112</v>
      </c>
      <c r="I40" s="101" t="s">
        <v>112</v>
      </c>
      <c r="J40" s="119"/>
      <c r="K40" s="101" t="s">
        <v>112</v>
      </c>
      <c r="L40" s="101" t="s">
        <v>112</v>
      </c>
      <c r="M40" s="101" t="s">
        <v>112</v>
      </c>
      <c r="N40" s="101" t="s">
        <v>112</v>
      </c>
      <c r="O40" s="101" t="s">
        <v>112</v>
      </c>
      <c r="P40" s="101" t="s">
        <v>112</v>
      </c>
      <c r="Q40" s="119"/>
      <c r="R40" s="101" t="s">
        <v>112</v>
      </c>
      <c r="S40" s="101" t="s">
        <v>112</v>
      </c>
      <c r="T40" s="101" t="s">
        <v>112</v>
      </c>
      <c r="U40" s="101" t="s">
        <v>112</v>
      </c>
      <c r="V40" s="101" t="s">
        <v>112</v>
      </c>
      <c r="W40" s="101" t="s">
        <v>112</v>
      </c>
      <c r="X40" s="119"/>
      <c r="Y40" s="101" t="s">
        <v>112</v>
      </c>
      <c r="Z40" s="101" t="s">
        <v>112</v>
      </c>
      <c r="AA40" s="101" t="s">
        <v>112</v>
      </c>
      <c r="AB40" s="101" t="s">
        <v>112</v>
      </c>
      <c r="AC40" s="101" t="s">
        <v>112</v>
      </c>
      <c r="AD40" s="101" t="s">
        <v>112</v>
      </c>
      <c r="AE40" s="119"/>
      <c r="AF40" s="101" t="s">
        <v>112</v>
      </c>
      <c r="AG40" s="122"/>
      <c r="AH40" s="101" t="s">
        <v>112</v>
      </c>
      <c r="AI40" s="101" t="s">
        <v>112</v>
      </c>
      <c r="AJ40" s="101" t="s">
        <v>112</v>
      </c>
      <c r="AK40" s="5">
        <f t="shared" si="1"/>
        <v>24</v>
      </c>
      <c r="AL40" s="5">
        <f t="shared" si="2"/>
        <v>2</v>
      </c>
    </row>
    <row r="41" spans="1:38" ht="16.5" x14ac:dyDescent="0.25">
      <c r="A41" s="9">
        <v>13</v>
      </c>
      <c r="B41" s="11"/>
      <c r="C41" s="7" t="s">
        <v>291</v>
      </c>
      <c r="D41" s="7" t="s">
        <v>207</v>
      </c>
      <c r="E41" s="8" t="s">
        <v>232</v>
      </c>
      <c r="F41" s="101" t="s">
        <v>111</v>
      </c>
      <c r="G41" s="101" t="s">
        <v>111</v>
      </c>
      <c r="H41" s="101" t="s">
        <v>111</v>
      </c>
      <c r="I41" s="101" t="s">
        <v>111</v>
      </c>
      <c r="J41" s="119"/>
      <c r="K41" s="101" t="s">
        <v>112</v>
      </c>
      <c r="L41" s="101" t="s">
        <v>112</v>
      </c>
      <c r="M41" s="101" t="s">
        <v>112</v>
      </c>
      <c r="N41" s="101" t="s">
        <v>112</v>
      </c>
      <c r="O41" s="101" t="s">
        <v>112</v>
      </c>
      <c r="P41" s="101" t="s">
        <v>112</v>
      </c>
      <c r="Q41" s="119"/>
      <c r="R41" s="101" t="s">
        <v>112</v>
      </c>
      <c r="S41" s="101" t="s">
        <v>111</v>
      </c>
      <c r="T41" s="101" t="s">
        <v>112</v>
      </c>
      <c r="U41" s="101" t="s">
        <v>112</v>
      </c>
      <c r="V41" s="101" t="s">
        <v>112</v>
      </c>
      <c r="W41" s="101" t="s">
        <v>112</v>
      </c>
      <c r="X41" s="119"/>
      <c r="Y41" s="101" t="s">
        <v>112</v>
      </c>
      <c r="Z41" s="101" t="s">
        <v>112</v>
      </c>
      <c r="AA41" s="101" t="s">
        <v>112</v>
      </c>
      <c r="AB41" s="101" t="s">
        <v>112</v>
      </c>
      <c r="AC41" s="101" t="s">
        <v>112</v>
      </c>
      <c r="AD41" s="101" t="s">
        <v>112</v>
      </c>
      <c r="AE41" s="119"/>
      <c r="AF41" s="101" t="s">
        <v>112</v>
      </c>
      <c r="AG41" s="122"/>
      <c r="AH41" s="101" t="s">
        <v>112</v>
      </c>
      <c r="AI41" s="101" t="s">
        <v>112</v>
      </c>
      <c r="AJ41" s="101" t="s">
        <v>111</v>
      </c>
      <c r="AK41" s="5">
        <f t="shared" si="1"/>
        <v>20</v>
      </c>
      <c r="AL41" s="5">
        <f t="shared" si="2"/>
        <v>6</v>
      </c>
    </row>
    <row r="42" spans="1:38" ht="16.5" x14ac:dyDescent="0.25">
      <c r="A42" s="9">
        <v>14</v>
      </c>
      <c r="B42" s="11"/>
      <c r="C42" s="7" t="s">
        <v>195</v>
      </c>
      <c r="D42" s="7" t="s">
        <v>293</v>
      </c>
      <c r="E42" s="8" t="s">
        <v>232</v>
      </c>
      <c r="F42" s="101" t="s">
        <v>111</v>
      </c>
      <c r="G42" s="101" t="s">
        <v>112</v>
      </c>
      <c r="H42" s="101" t="s">
        <v>112</v>
      </c>
      <c r="I42" s="101" t="s">
        <v>112</v>
      </c>
      <c r="J42" s="119"/>
      <c r="K42" s="101" t="s">
        <v>112</v>
      </c>
      <c r="L42" s="101" t="s">
        <v>112</v>
      </c>
      <c r="M42" s="101" t="s">
        <v>112</v>
      </c>
      <c r="N42" s="101" t="s">
        <v>112</v>
      </c>
      <c r="O42" s="101" t="s">
        <v>112</v>
      </c>
      <c r="P42" s="101" t="s">
        <v>112</v>
      </c>
      <c r="Q42" s="119"/>
      <c r="R42" s="101" t="s">
        <v>112</v>
      </c>
      <c r="S42" s="101" t="s">
        <v>112</v>
      </c>
      <c r="T42" s="101" t="s">
        <v>112</v>
      </c>
      <c r="U42" s="101" t="s">
        <v>112</v>
      </c>
      <c r="V42" s="101" t="s">
        <v>112</v>
      </c>
      <c r="W42" s="101" t="s">
        <v>112</v>
      </c>
      <c r="X42" s="119"/>
      <c r="Y42" s="101" t="s">
        <v>112</v>
      </c>
      <c r="Z42" s="101" t="s">
        <v>112</v>
      </c>
      <c r="AA42" s="101" t="s">
        <v>112</v>
      </c>
      <c r="AB42" s="101" t="s">
        <v>112</v>
      </c>
      <c r="AC42" s="101" t="s">
        <v>112</v>
      </c>
      <c r="AD42" s="101" t="s">
        <v>112</v>
      </c>
      <c r="AE42" s="119"/>
      <c r="AF42" s="101" t="s">
        <v>112</v>
      </c>
      <c r="AG42" s="122"/>
      <c r="AH42" s="101" t="s">
        <v>112</v>
      </c>
      <c r="AI42" s="101" t="s">
        <v>112</v>
      </c>
      <c r="AJ42" s="101" t="s">
        <v>112</v>
      </c>
      <c r="AK42" s="5">
        <f t="shared" si="1"/>
        <v>25</v>
      </c>
      <c r="AL42" s="5">
        <f t="shared" si="2"/>
        <v>1</v>
      </c>
    </row>
    <row r="43" spans="1:38" ht="16.5" x14ac:dyDescent="0.25">
      <c r="A43" s="9">
        <v>15</v>
      </c>
      <c r="B43" s="11"/>
      <c r="C43" s="7" t="s">
        <v>294</v>
      </c>
      <c r="D43" s="7" t="s">
        <v>295</v>
      </c>
      <c r="E43" s="8" t="s">
        <v>232</v>
      </c>
      <c r="F43" s="101" t="s">
        <v>111</v>
      </c>
      <c r="G43" s="101" t="s">
        <v>111</v>
      </c>
      <c r="H43" s="101" t="s">
        <v>111</v>
      </c>
      <c r="I43" s="101" t="s">
        <v>111</v>
      </c>
      <c r="J43" s="119"/>
      <c r="K43" s="101" t="s">
        <v>112</v>
      </c>
      <c r="L43" s="101" t="s">
        <v>112</v>
      </c>
      <c r="M43" s="101" t="s">
        <v>112</v>
      </c>
      <c r="N43" s="101" t="s">
        <v>111</v>
      </c>
      <c r="O43" s="101" t="s">
        <v>112</v>
      </c>
      <c r="P43" s="101" t="s">
        <v>112</v>
      </c>
      <c r="Q43" s="119"/>
      <c r="R43" s="101" t="s">
        <v>112</v>
      </c>
      <c r="S43" s="101" t="s">
        <v>112</v>
      </c>
      <c r="T43" s="101" t="s">
        <v>112</v>
      </c>
      <c r="U43" s="101" t="s">
        <v>112</v>
      </c>
      <c r="V43" s="101" t="s">
        <v>112</v>
      </c>
      <c r="W43" s="101" t="s">
        <v>112</v>
      </c>
      <c r="X43" s="119"/>
      <c r="Y43" s="101" t="s">
        <v>112</v>
      </c>
      <c r="Z43" s="101" t="s">
        <v>112</v>
      </c>
      <c r="AA43" s="101" t="s">
        <v>112</v>
      </c>
      <c r="AB43" s="101" t="s">
        <v>112</v>
      </c>
      <c r="AC43" s="101" t="s">
        <v>112</v>
      </c>
      <c r="AD43" s="101" t="s">
        <v>112</v>
      </c>
      <c r="AE43" s="119"/>
      <c r="AF43" s="101" t="s">
        <v>111</v>
      </c>
      <c r="AG43" s="122"/>
      <c r="AH43" s="101" t="s">
        <v>112</v>
      </c>
      <c r="AI43" s="101" t="s">
        <v>112</v>
      </c>
      <c r="AJ43" s="101" t="s">
        <v>112</v>
      </c>
      <c r="AK43" s="5">
        <f t="shared" si="1"/>
        <v>20</v>
      </c>
      <c r="AL43" s="5">
        <f t="shared" si="2"/>
        <v>6</v>
      </c>
    </row>
    <row r="44" spans="1:38" ht="16.5" x14ac:dyDescent="0.25">
      <c r="A44" s="9">
        <v>16</v>
      </c>
      <c r="B44" s="11"/>
      <c r="C44" s="7" t="s">
        <v>296</v>
      </c>
      <c r="D44" s="7" t="s">
        <v>297</v>
      </c>
      <c r="E44" s="8" t="s">
        <v>232</v>
      </c>
      <c r="F44" s="101" t="s">
        <v>111</v>
      </c>
      <c r="G44" s="101" t="s">
        <v>112</v>
      </c>
      <c r="H44" s="101" t="s">
        <v>112</v>
      </c>
      <c r="I44" s="101" t="s">
        <v>111</v>
      </c>
      <c r="J44" s="119"/>
      <c r="K44" s="101" t="s">
        <v>112</v>
      </c>
      <c r="L44" s="101" t="s">
        <v>112</v>
      </c>
      <c r="M44" s="101" t="s">
        <v>112</v>
      </c>
      <c r="N44" s="101" t="s">
        <v>112</v>
      </c>
      <c r="O44" s="101" t="s">
        <v>112</v>
      </c>
      <c r="P44" s="101" t="s">
        <v>112</v>
      </c>
      <c r="Q44" s="119"/>
      <c r="R44" s="101" t="s">
        <v>112</v>
      </c>
      <c r="S44" s="101" t="s">
        <v>112</v>
      </c>
      <c r="T44" s="101" t="s">
        <v>112</v>
      </c>
      <c r="U44" s="101" t="s">
        <v>112</v>
      </c>
      <c r="V44" s="101" t="s">
        <v>111</v>
      </c>
      <c r="W44" s="101" t="s">
        <v>112</v>
      </c>
      <c r="X44" s="119"/>
      <c r="Y44" s="101" t="s">
        <v>111</v>
      </c>
      <c r="Z44" s="101" t="s">
        <v>112</v>
      </c>
      <c r="AA44" s="101" t="s">
        <v>112</v>
      </c>
      <c r="AB44" s="101" t="s">
        <v>111</v>
      </c>
      <c r="AC44" s="101" t="s">
        <v>112</v>
      </c>
      <c r="AD44" s="101" t="s">
        <v>112</v>
      </c>
      <c r="AE44" s="119"/>
      <c r="AF44" s="101" t="s">
        <v>112</v>
      </c>
      <c r="AG44" s="122"/>
      <c r="AH44" s="101" t="s">
        <v>112</v>
      </c>
      <c r="AI44" s="101" t="s">
        <v>112</v>
      </c>
      <c r="AJ44" s="101" t="s">
        <v>112</v>
      </c>
      <c r="AK44" s="5">
        <f t="shared" si="1"/>
        <v>21</v>
      </c>
      <c r="AL44" s="5">
        <f t="shared" si="2"/>
        <v>5</v>
      </c>
    </row>
    <row r="45" spans="1:38" ht="16.5" x14ac:dyDescent="0.25">
      <c r="A45" s="9">
        <v>17</v>
      </c>
      <c r="B45" s="11"/>
      <c r="C45" s="7" t="s">
        <v>298</v>
      </c>
      <c r="D45" s="7" t="s">
        <v>235</v>
      </c>
      <c r="E45" s="8" t="s">
        <v>232</v>
      </c>
      <c r="F45" s="101" t="s">
        <v>111</v>
      </c>
      <c r="G45" s="101" t="s">
        <v>112</v>
      </c>
      <c r="H45" s="101" t="s">
        <v>112</v>
      </c>
      <c r="I45" s="101" t="s">
        <v>111</v>
      </c>
      <c r="J45" s="119"/>
      <c r="K45" s="101" t="s">
        <v>111</v>
      </c>
      <c r="L45" s="101" t="s">
        <v>112</v>
      </c>
      <c r="M45" s="101" t="s">
        <v>111</v>
      </c>
      <c r="N45" s="101" t="s">
        <v>112</v>
      </c>
      <c r="O45" s="101" t="s">
        <v>112</v>
      </c>
      <c r="P45" s="101" t="s">
        <v>112</v>
      </c>
      <c r="Q45" s="119"/>
      <c r="R45" s="101" t="s">
        <v>112</v>
      </c>
      <c r="S45" s="101" t="s">
        <v>112</v>
      </c>
      <c r="T45" s="101" t="s">
        <v>112</v>
      </c>
      <c r="U45" s="101" t="s">
        <v>112</v>
      </c>
      <c r="V45" s="101" t="s">
        <v>112</v>
      </c>
      <c r="W45" s="101" t="s">
        <v>112</v>
      </c>
      <c r="X45" s="119"/>
      <c r="Y45" s="101" t="s">
        <v>112</v>
      </c>
      <c r="Z45" s="101" t="s">
        <v>112</v>
      </c>
      <c r="AA45" s="101" t="s">
        <v>112</v>
      </c>
      <c r="AB45" s="101" t="s">
        <v>112</v>
      </c>
      <c r="AC45" s="101" t="s">
        <v>112</v>
      </c>
      <c r="AD45" s="101" t="s">
        <v>112</v>
      </c>
      <c r="AE45" s="119"/>
      <c r="AF45" s="101" t="s">
        <v>112</v>
      </c>
      <c r="AG45" s="122"/>
      <c r="AH45" s="101" t="s">
        <v>112</v>
      </c>
      <c r="AI45" s="101" t="s">
        <v>112</v>
      </c>
      <c r="AJ45" s="101" t="s">
        <v>112</v>
      </c>
      <c r="AK45" s="5">
        <f t="shared" si="1"/>
        <v>22</v>
      </c>
      <c r="AL45" s="5">
        <f t="shared" si="2"/>
        <v>4</v>
      </c>
    </row>
    <row r="46" spans="1:38" ht="16.5" x14ac:dyDescent="0.25">
      <c r="A46" s="9">
        <v>18</v>
      </c>
      <c r="B46" s="11"/>
      <c r="C46" s="7" t="s">
        <v>299</v>
      </c>
      <c r="D46" s="7" t="s">
        <v>293</v>
      </c>
      <c r="E46" s="8" t="s">
        <v>232</v>
      </c>
      <c r="F46" s="101" t="s">
        <v>111</v>
      </c>
      <c r="G46" s="101" t="s">
        <v>112</v>
      </c>
      <c r="H46" s="101" t="s">
        <v>112</v>
      </c>
      <c r="I46" s="101" t="s">
        <v>112</v>
      </c>
      <c r="J46" s="119"/>
      <c r="K46" s="101" t="s">
        <v>112</v>
      </c>
      <c r="L46" s="101" t="s">
        <v>112</v>
      </c>
      <c r="M46" s="101" t="s">
        <v>111</v>
      </c>
      <c r="N46" s="101" t="s">
        <v>112</v>
      </c>
      <c r="O46" s="101" t="s">
        <v>112</v>
      </c>
      <c r="P46" s="101" t="s">
        <v>112</v>
      </c>
      <c r="Q46" s="119"/>
      <c r="R46" s="101" t="s">
        <v>112</v>
      </c>
      <c r="S46" s="101" t="s">
        <v>112</v>
      </c>
      <c r="T46" s="101" t="s">
        <v>112</v>
      </c>
      <c r="U46" s="101" t="s">
        <v>112</v>
      </c>
      <c r="V46" s="101" t="s">
        <v>112</v>
      </c>
      <c r="W46" s="101" t="s">
        <v>112</v>
      </c>
      <c r="X46" s="119"/>
      <c r="Y46" s="101" t="s">
        <v>112</v>
      </c>
      <c r="Z46" s="101" t="s">
        <v>112</v>
      </c>
      <c r="AA46" s="101" t="s">
        <v>112</v>
      </c>
      <c r="AB46" s="101" t="s">
        <v>112</v>
      </c>
      <c r="AC46" s="101" t="s">
        <v>112</v>
      </c>
      <c r="AD46" s="101" t="s">
        <v>112</v>
      </c>
      <c r="AE46" s="119"/>
      <c r="AF46" s="101" t="s">
        <v>112</v>
      </c>
      <c r="AG46" s="122"/>
      <c r="AH46" s="101" t="s">
        <v>112</v>
      </c>
      <c r="AI46" s="101" t="s">
        <v>112</v>
      </c>
      <c r="AJ46" s="101" t="s">
        <v>112</v>
      </c>
      <c r="AK46" s="5">
        <f t="shared" si="1"/>
        <v>24</v>
      </c>
      <c r="AL46" s="5">
        <f t="shared" si="2"/>
        <v>2</v>
      </c>
    </row>
    <row r="47" spans="1:38" ht="16.5" x14ac:dyDescent="0.25">
      <c r="A47" s="9">
        <v>19</v>
      </c>
      <c r="B47" s="11"/>
      <c r="C47" s="7" t="s">
        <v>300</v>
      </c>
      <c r="D47" s="7" t="s">
        <v>301</v>
      </c>
      <c r="E47" s="8" t="s">
        <v>232</v>
      </c>
      <c r="F47" s="101" t="s">
        <v>111</v>
      </c>
      <c r="G47" s="101" t="s">
        <v>112</v>
      </c>
      <c r="H47" s="101" t="s">
        <v>111</v>
      </c>
      <c r="I47" s="101" t="s">
        <v>111</v>
      </c>
      <c r="J47" s="119"/>
      <c r="K47" s="101" t="s">
        <v>112</v>
      </c>
      <c r="L47" s="101" t="s">
        <v>112</v>
      </c>
      <c r="M47" s="101" t="s">
        <v>112</v>
      </c>
      <c r="N47" s="101" t="s">
        <v>112</v>
      </c>
      <c r="O47" s="101" t="s">
        <v>112</v>
      </c>
      <c r="P47" s="101" t="s">
        <v>112</v>
      </c>
      <c r="Q47" s="119"/>
      <c r="R47" s="101" t="s">
        <v>112</v>
      </c>
      <c r="S47" s="101" t="s">
        <v>112</v>
      </c>
      <c r="T47" s="101" t="s">
        <v>112</v>
      </c>
      <c r="U47" s="101" t="s">
        <v>112</v>
      </c>
      <c r="V47" s="101" t="s">
        <v>112</v>
      </c>
      <c r="W47" s="101" t="s">
        <v>112</v>
      </c>
      <c r="X47" s="119"/>
      <c r="Y47" s="101" t="s">
        <v>112</v>
      </c>
      <c r="Z47" s="101" t="s">
        <v>112</v>
      </c>
      <c r="AA47" s="101" t="s">
        <v>112</v>
      </c>
      <c r="AB47" s="101" t="s">
        <v>112</v>
      </c>
      <c r="AC47" s="101" t="s">
        <v>112</v>
      </c>
      <c r="AD47" s="101" t="s">
        <v>111</v>
      </c>
      <c r="AE47" s="119"/>
      <c r="AF47" s="101" t="s">
        <v>112</v>
      </c>
      <c r="AG47" s="122"/>
      <c r="AH47" s="101" t="s">
        <v>112</v>
      </c>
      <c r="AI47" s="101" t="s">
        <v>112</v>
      </c>
      <c r="AJ47" s="101" t="s">
        <v>112</v>
      </c>
      <c r="AK47" s="5">
        <f t="shared" si="1"/>
        <v>22</v>
      </c>
      <c r="AL47" s="5">
        <f t="shared" si="2"/>
        <v>4</v>
      </c>
    </row>
    <row r="48" spans="1:38" ht="16.5" x14ac:dyDescent="0.25">
      <c r="A48" s="9">
        <v>20</v>
      </c>
      <c r="B48" s="11"/>
      <c r="C48" s="7" t="s">
        <v>302</v>
      </c>
      <c r="D48" s="7" t="s">
        <v>303</v>
      </c>
      <c r="E48" s="8" t="s">
        <v>232</v>
      </c>
      <c r="F48" s="101" t="s">
        <v>111</v>
      </c>
      <c r="G48" s="101" t="s">
        <v>111</v>
      </c>
      <c r="H48" s="101" t="s">
        <v>112</v>
      </c>
      <c r="I48" s="101" t="s">
        <v>111</v>
      </c>
      <c r="J48" s="119"/>
      <c r="K48" s="101" t="s">
        <v>112</v>
      </c>
      <c r="L48" s="101" t="s">
        <v>112</v>
      </c>
      <c r="M48" s="101" t="s">
        <v>111</v>
      </c>
      <c r="N48" s="101" t="s">
        <v>112</v>
      </c>
      <c r="O48" s="101" t="s">
        <v>112</v>
      </c>
      <c r="P48" s="101" t="s">
        <v>112</v>
      </c>
      <c r="Q48" s="119"/>
      <c r="R48" s="101" t="s">
        <v>112</v>
      </c>
      <c r="S48" s="101" t="s">
        <v>112</v>
      </c>
      <c r="T48" s="101" t="s">
        <v>112</v>
      </c>
      <c r="U48" s="101" t="s">
        <v>112</v>
      </c>
      <c r="V48" s="101" t="s">
        <v>112</v>
      </c>
      <c r="W48" s="101" t="s">
        <v>112</v>
      </c>
      <c r="X48" s="119"/>
      <c r="Y48" s="101" t="s">
        <v>112</v>
      </c>
      <c r="Z48" s="101" t="s">
        <v>112</v>
      </c>
      <c r="AA48" s="101" t="s">
        <v>112</v>
      </c>
      <c r="AB48" s="101" t="s">
        <v>112</v>
      </c>
      <c r="AC48" s="101" t="s">
        <v>112</v>
      </c>
      <c r="AD48" s="101" t="s">
        <v>112</v>
      </c>
      <c r="AE48" s="119"/>
      <c r="AF48" s="101" t="s">
        <v>112</v>
      </c>
      <c r="AG48" s="122"/>
      <c r="AH48" s="101" t="s">
        <v>112</v>
      </c>
      <c r="AI48" s="101" t="s">
        <v>112</v>
      </c>
      <c r="AJ48" s="101" t="s">
        <v>112</v>
      </c>
      <c r="AK48" s="5">
        <f t="shared" si="1"/>
        <v>22</v>
      </c>
      <c r="AL48" s="5">
        <f t="shared" si="2"/>
        <v>4</v>
      </c>
    </row>
    <row r="49" spans="1:38" ht="16.5" x14ac:dyDescent="0.25">
      <c r="A49" s="9">
        <v>21</v>
      </c>
      <c r="B49" s="11"/>
      <c r="C49" s="7" t="s">
        <v>304</v>
      </c>
      <c r="D49" s="7" t="s">
        <v>305</v>
      </c>
      <c r="E49" s="8" t="s">
        <v>232</v>
      </c>
      <c r="F49" s="101" t="s">
        <v>111</v>
      </c>
      <c r="G49" s="101" t="s">
        <v>111</v>
      </c>
      <c r="H49" s="101" t="s">
        <v>111</v>
      </c>
      <c r="I49" s="101" t="s">
        <v>111</v>
      </c>
      <c r="J49" s="119"/>
      <c r="K49" s="101" t="s">
        <v>112</v>
      </c>
      <c r="L49" s="101" t="s">
        <v>111</v>
      </c>
      <c r="M49" s="101" t="s">
        <v>111</v>
      </c>
      <c r="N49" s="101" t="s">
        <v>112</v>
      </c>
      <c r="O49" s="101" t="s">
        <v>112</v>
      </c>
      <c r="P49" s="101" t="s">
        <v>112</v>
      </c>
      <c r="Q49" s="119"/>
      <c r="R49" s="101" t="s">
        <v>112</v>
      </c>
      <c r="S49" s="101" t="s">
        <v>112</v>
      </c>
      <c r="T49" s="101" t="s">
        <v>112</v>
      </c>
      <c r="U49" s="101" t="s">
        <v>112</v>
      </c>
      <c r="V49" s="101" t="s">
        <v>112</v>
      </c>
      <c r="W49" s="101" t="s">
        <v>112</v>
      </c>
      <c r="X49" s="119"/>
      <c r="Y49" s="101" t="s">
        <v>112</v>
      </c>
      <c r="Z49" s="101" t="s">
        <v>112</v>
      </c>
      <c r="AA49" s="101" t="s">
        <v>112</v>
      </c>
      <c r="AB49" s="101" t="s">
        <v>112</v>
      </c>
      <c r="AC49" s="101" t="s">
        <v>112</v>
      </c>
      <c r="AD49" s="101" t="s">
        <v>112</v>
      </c>
      <c r="AE49" s="119"/>
      <c r="AF49" s="101" t="s">
        <v>112</v>
      </c>
      <c r="AG49" s="122"/>
      <c r="AH49" s="101" t="s">
        <v>112</v>
      </c>
      <c r="AI49" s="101" t="s">
        <v>112</v>
      </c>
      <c r="AJ49" s="101" t="s">
        <v>112</v>
      </c>
      <c r="AK49" s="5">
        <f t="shared" si="1"/>
        <v>20</v>
      </c>
      <c r="AL49" s="5">
        <f t="shared" si="2"/>
        <v>6</v>
      </c>
    </row>
    <row r="50" spans="1:38" ht="16.5" x14ac:dyDescent="0.25">
      <c r="A50" s="9">
        <v>22</v>
      </c>
      <c r="B50" s="11"/>
      <c r="C50" s="7" t="s">
        <v>306</v>
      </c>
      <c r="D50" s="7" t="s">
        <v>307</v>
      </c>
      <c r="E50" s="8" t="s">
        <v>232</v>
      </c>
      <c r="F50" s="101" t="s">
        <v>112</v>
      </c>
      <c r="G50" s="101" t="s">
        <v>112</v>
      </c>
      <c r="H50" s="101" t="s">
        <v>111</v>
      </c>
      <c r="I50" s="101" t="s">
        <v>111</v>
      </c>
      <c r="J50" s="119"/>
      <c r="K50" s="101" t="s">
        <v>112</v>
      </c>
      <c r="L50" s="101" t="s">
        <v>112</v>
      </c>
      <c r="M50" s="101" t="s">
        <v>112</v>
      </c>
      <c r="N50" s="101" t="s">
        <v>112</v>
      </c>
      <c r="O50" s="101" t="s">
        <v>111</v>
      </c>
      <c r="P50" s="101" t="s">
        <v>112</v>
      </c>
      <c r="Q50" s="119"/>
      <c r="R50" s="101" t="s">
        <v>112</v>
      </c>
      <c r="S50" s="101" t="s">
        <v>112</v>
      </c>
      <c r="T50" s="101" t="s">
        <v>112</v>
      </c>
      <c r="U50" s="101" t="s">
        <v>112</v>
      </c>
      <c r="V50" s="101" t="s">
        <v>112</v>
      </c>
      <c r="W50" s="101" t="s">
        <v>112</v>
      </c>
      <c r="X50" s="119"/>
      <c r="Y50" s="101" t="s">
        <v>112</v>
      </c>
      <c r="Z50" s="101" t="s">
        <v>112</v>
      </c>
      <c r="AA50" s="101" t="s">
        <v>112</v>
      </c>
      <c r="AB50" s="101" t="s">
        <v>112</v>
      </c>
      <c r="AC50" s="101" t="s">
        <v>112</v>
      </c>
      <c r="AD50" s="101" t="s">
        <v>112</v>
      </c>
      <c r="AE50" s="119"/>
      <c r="AF50" s="101" t="s">
        <v>112</v>
      </c>
      <c r="AG50" s="122"/>
      <c r="AH50" s="101" t="s">
        <v>112</v>
      </c>
      <c r="AI50" s="101" t="s">
        <v>112</v>
      </c>
      <c r="AJ50" s="101" t="s">
        <v>111</v>
      </c>
      <c r="AK50" s="5">
        <f t="shared" si="1"/>
        <v>22</v>
      </c>
      <c r="AL50" s="5">
        <f t="shared" si="2"/>
        <v>4</v>
      </c>
    </row>
    <row r="51" spans="1:38" ht="16.5" x14ac:dyDescent="0.25">
      <c r="A51" s="9">
        <v>23</v>
      </c>
      <c r="B51" s="11"/>
      <c r="C51" s="7" t="s">
        <v>308</v>
      </c>
      <c r="D51" s="7" t="s">
        <v>309</v>
      </c>
      <c r="E51" s="8" t="s">
        <v>232</v>
      </c>
      <c r="F51" s="101" t="s">
        <v>111</v>
      </c>
      <c r="G51" s="101" t="s">
        <v>112</v>
      </c>
      <c r="H51" s="101" t="s">
        <v>112</v>
      </c>
      <c r="I51" s="101" t="s">
        <v>111</v>
      </c>
      <c r="J51" s="119"/>
      <c r="K51" s="101" t="s">
        <v>112</v>
      </c>
      <c r="L51" s="101" t="s">
        <v>112</v>
      </c>
      <c r="M51" s="101" t="s">
        <v>112</v>
      </c>
      <c r="N51" s="101" t="s">
        <v>112</v>
      </c>
      <c r="O51" s="101" t="s">
        <v>112</v>
      </c>
      <c r="P51" s="101" t="s">
        <v>111</v>
      </c>
      <c r="Q51" s="119"/>
      <c r="R51" s="101" t="s">
        <v>111</v>
      </c>
      <c r="S51" s="101" t="s">
        <v>111</v>
      </c>
      <c r="T51" s="101" t="s">
        <v>112</v>
      </c>
      <c r="U51" s="101" t="s">
        <v>112</v>
      </c>
      <c r="V51" s="101" t="s">
        <v>112</v>
      </c>
      <c r="W51" s="101" t="s">
        <v>112</v>
      </c>
      <c r="X51" s="119"/>
      <c r="Y51" s="101" t="s">
        <v>112</v>
      </c>
      <c r="Z51" s="101" t="s">
        <v>112</v>
      </c>
      <c r="AA51" s="101" t="s">
        <v>112</v>
      </c>
      <c r="AB51" s="101" t="s">
        <v>112</v>
      </c>
      <c r="AC51" s="101" t="s">
        <v>112</v>
      </c>
      <c r="AD51" s="101" t="s">
        <v>111</v>
      </c>
      <c r="AE51" s="119"/>
      <c r="AF51" s="101" t="s">
        <v>112</v>
      </c>
      <c r="AG51" s="122"/>
      <c r="AH51" s="101" t="s">
        <v>112</v>
      </c>
      <c r="AI51" s="101" t="s">
        <v>112</v>
      </c>
      <c r="AJ51" s="101" t="s">
        <v>112</v>
      </c>
      <c r="AK51" s="5">
        <f t="shared" si="1"/>
        <v>20</v>
      </c>
      <c r="AL51" s="5">
        <f t="shared" si="2"/>
        <v>6</v>
      </c>
    </row>
    <row r="52" spans="1:38" ht="16.5" x14ac:dyDescent="0.25">
      <c r="A52" s="9">
        <v>24</v>
      </c>
      <c r="B52" s="11"/>
      <c r="C52" s="7" t="s">
        <v>310</v>
      </c>
      <c r="D52" s="7" t="s">
        <v>311</v>
      </c>
      <c r="E52" s="8" t="s">
        <v>232</v>
      </c>
      <c r="F52" s="101" t="s">
        <v>112</v>
      </c>
      <c r="G52" s="101" t="s">
        <v>112</v>
      </c>
      <c r="H52" s="101" t="s">
        <v>112</v>
      </c>
      <c r="I52" s="101" t="s">
        <v>112</v>
      </c>
      <c r="J52" s="119"/>
      <c r="K52" s="101" t="s">
        <v>112</v>
      </c>
      <c r="L52" s="101" t="s">
        <v>112</v>
      </c>
      <c r="M52" s="101" t="s">
        <v>112</v>
      </c>
      <c r="N52" s="101" t="s">
        <v>112</v>
      </c>
      <c r="O52" s="101" t="s">
        <v>112</v>
      </c>
      <c r="P52" s="101" t="s">
        <v>112</v>
      </c>
      <c r="Q52" s="119"/>
      <c r="R52" s="101" t="s">
        <v>112</v>
      </c>
      <c r="S52" s="101" t="s">
        <v>112</v>
      </c>
      <c r="T52" s="101" t="s">
        <v>112</v>
      </c>
      <c r="U52" s="101" t="s">
        <v>112</v>
      </c>
      <c r="V52" s="101" t="s">
        <v>112</v>
      </c>
      <c r="W52" s="101" t="s">
        <v>112</v>
      </c>
      <c r="X52" s="119"/>
      <c r="Y52" s="101" t="s">
        <v>112</v>
      </c>
      <c r="Z52" s="101" t="s">
        <v>112</v>
      </c>
      <c r="AA52" s="101" t="s">
        <v>112</v>
      </c>
      <c r="AB52" s="101" t="s">
        <v>112</v>
      </c>
      <c r="AC52" s="101" t="s">
        <v>112</v>
      </c>
      <c r="AD52" s="101" t="s">
        <v>112</v>
      </c>
      <c r="AE52" s="119"/>
      <c r="AF52" s="101" t="s">
        <v>112</v>
      </c>
      <c r="AG52" s="122"/>
      <c r="AH52" s="101" t="s">
        <v>112</v>
      </c>
      <c r="AI52" s="101" t="s">
        <v>112</v>
      </c>
      <c r="AJ52" s="101" t="s">
        <v>112</v>
      </c>
      <c r="AK52" s="5">
        <f t="shared" si="1"/>
        <v>26</v>
      </c>
      <c r="AL52" s="5">
        <f t="shared" si="2"/>
        <v>0</v>
      </c>
    </row>
    <row r="53" spans="1:38" ht="16.5" x14ac:dyDescent="0.25">
      <c r="A53" s="9">
        <v>25</v>
      </c>
      <c r="B53" s="11"/>
      <c r="C53" s="7" t="s">
        <v>312</v>
      </c>
      <c r="D53" s="7" t="s">
        <v>313</v>
      </c>
      <c r="E53" s="8" t="s">
        <v>232</v>
      </c>
      <c r="F53" s="101" t="s">
        <v>111</v>
      </c>
      <c r="G53" s="101" t="s">
        <v>112</v>
      </c>
      <c r="H53" s="101" t="s">
        <v>112</v>
      </c>
      <c r="I53" s="101" t="s">
        <v>111</v>
      </c>
      <c r="J53" s="119"/>
      <c r="K53" s="101" t="s">
        <v>112</v>
      </c>
      <c r="L53" s="101" t="s">
        <v>112</v>
      </c>
      <c r="M53" s="101" t="s">
        <v>112</v>
      </c>
      <c r="N53" s="101" t="s">
        <v>112</v>
      </c>
      <c r="O53" s="101" t="s">
        <v>112</v>
      </c>
      <c r="P53" s="101" t="s">
        <v>112</v>
      </c>
      <c r="Q53" s="119"/>
      <c r="R53" s="101" t="s">
        <v>112</v>
      </c>
      <c r="S53" s="101" t="s">
        <v>112</v>
      </c>
      <c r="T53" s="101" t="s">
        <v>112</v>
      </c>
      <c r="U53" s="101" t="s">
        <v>112</v>
      </c>
      <c r="V53" s="101" t="s">
        <v>112</v>
      </c>
      <c r="W53" s="101" t="s">
        <v>112</v>
      </c>
      <c r="X53" s="119"/>
      <c r="Y53" s="101" t="s">
        <v>112</v>
      </c>
      <c r="Z53" s="101" t="s">
        <v>112</v>
      </c>
      <c r="AA53" s="101" t="s">
        <v>112</v>
      </c>
      <c r="AB53" s="101" t="s">
        <v>112</v>
      </c>
      <c r="AC53" s="101" t="s">
        <v>112</v>
      </c>
      <c r="AD53" s="101" t="s">
        <v>112</v>
      </c>
      <c r="AE53" s="119"/>
      <c r="AF53" s="101" t="s">
        <v>112</v>
      </c>
      <c r="AG53" s="122"/>
      <c r="AH53" s="101" t="s">
        <v>112</v>
      </c>
      <c r="AI53" s="101" t="s">
        <v>112</v>
      </c>
      <c r="AJ53" s="101" t="s">
        <v>112</v>
      </c>
      <c r="AK53" s="5">
        <f t="shared" si="1"/>
        <v>24</v>
      </c>
      <c r="AL53" s="5">
        <f t="shared" si="2"/>
        <v>2</v>
      </c>
    </row>
    <row r="54" spans="1:38" ht="16.5" x14ac:dyDescent="0.25">
      <c r="A54" s="9">
        <v>26</v>
      </c>
      <c r="B54" s="11"/>
      <c r="C54" s="7" t="s">
        <v>314</v>
      </c>
      <c r="D54" s="7" t="s">
        <v>315</v>
      </c>
      <c r="E54" s="8" t="s">
        <v>232</v>
      </c>
      <c r="F54" s="101" t="s">
        <v>111</v>
      </c>
      <c r="G54" s="101" t="s">
        <v>111</v>
      </c>
      <c r="H54" s="101" t="s">
        <v>111</v>
      </c>
      <c r="I54" s="101" t="s">
        <v>111</v>
      </c>
      <c r="J54" s="119"/>
      <c r="K54" s="101" t="s">
        <v>111</v>
      </c>
      <c r="L54" s="101" t="s">
        <v>111</v>
      </c>
      <c r="M54" s="101" t="s">
        <v>112</v>
      </c>
      <c r="N54" s="101" t="s">
        <v>112</v>
      </c>
      <c r="O54" s="101" t="s">
        <v>112</v>
      </c>
      <c r="P54" s="101" t="s">
        <v>112</v>
      </c>
      <c r="Q54" s="119"/>
      <c r="R54" s="101" t="s">
        <v>112</v>
      </c>
      <c r="S54" s="101" t="s">
        <v>112</v>
      </c>
      <c r="T54" s="101" t="s">
        <v>112</v>
      </c>
      <c r="U54" s="101" t="s">
        <v>111</v>
      </c>
      <c r="V54" s="101" t="s">
        <v>112</v>
      </c>
      <c r="W54" s="101" t="s">
        <v>112</v>
      </c>
      <c r="X54" s="119"/>
      <c r="Y54" s="101" t="s">
        <v>112</v>
      </c>
      <c r="Z54" s="101" t="s">
        <v>112</v>
      </c>
      <c r="AA54" s="101" t="s">
        <v>112</v>
      </c>
      <c r="AB54" s="101" t="s">
        <v>111</v>
      </c>
      <c r="AC54" s="101" t="s">
        <v>112</v>
      </c>
      <c r="AD54" s="101" t="s">
        <v>111</v>
      </c>
      <c r="AE54" s="119"/>
      <c r="AF54" s="101" t="s">
        <v>112</v>
      </c>
      <c r="AG54" s="122"/>
      <c r="AH54" s="101" t="s">
        <v>111</v>
      </c>
      <c r="AI54" s="101" t="s">
        <v>111</v>
      </c>
      <c r="AJ54" s="101" t="s">
        <v>113</v>
      </c>
      <c r="AK54" s="5">
        <f t="shared" si="1"/>
        <v>14</v>
      </c>
      <c r="AL54" s="5">
        <f t="shared" si="2"/>
        <v>11</v>
      </c>
    </row>
    <row r="55" spans="1:38" ht="16.5" x14ac:dyDescent="0.25">
      <c r="A55" s="9">
        <v>27</v>
      </c>
      <c r="B55" s="11"/>
      <c r="C55" s="7" t="s">
        <v>316</v>
      </c>
      <c r="D55" s="7" t="s">
        <v>317</v>
      </c>
      <c r="E55" s="8" t="s">
        <v>232</v>
      </c>
      <c r="F55" s="101" t="s">
        <v>111</v>
      </c>
      <c r="G55" s="101" t="s">
        <v>111</v>
      </c>
      <c r="H55" s="101" t="s">
        <v>111</v>
      </c>
      <c r="I55" s="101" t="s">
        <v>111</v>
      </c>
      <c r="J55" s="119"/>
      <c r="K55" s="101" t="s">
        <v>111</v>
      </c>
      <c r="L55" s="101" t="s">
        <v>111</v>
      </c>
      <c r="M55" s="101" t="s">
        <v>113</v>
      </c>
      <c r="N55" s="101" t="s">
        <v>113</v>
      </c>
      <c r="O55" s="101" t="s">
        <v>113</v>
      </c>
      <c r="P55" s="101" t="s">
        <v>113</v>
      </c>
      <c r="Q55" s="119"/>
      <c r="R55" s="101" t="s">
        <v>113</v>
      </c>
      <c r="S55" s="101" t="s">
        <v>111</v>
      </c>
      <c r="T55" s="101" t="s">
        <v>112</v>
      </c>
      <c r="U55" s="101" t="s">
        <v>112</v>
      </c>
      <c r="V55" s="101" t="s">
        <v>112</v>
      </c>
      <c r="W55" s="101" t="s">
        <v>112</v>
      </c>
      <c r="X55" s="119"/>
      <c r="Y55" s="101" t="s">
        <v>112</v>
      </c>
      <c r="Z55" s="101" t="s">
        <v>112</v>
      </c>
      <c r="AA55" s="101" t="s">
        <v>112</v>
      </c>
      <c r="AB55" s="101" t="s">
        <v>112</v>
      </c>
      <c r="AC55" s="101" t="s">
        <v>112</v>
      </c>
      <c r="AD55" s="101" t="s">
        <v>112</v>
      </c>
      <c r="AE55" s="119"/>
      <c r="AF55" s="101" t="s">
        <v>112</v>
      </c>
      <c r="AG55" s="122"/>
      <c r="AH55" s="101" t="s">
        <v>112</v>
      </c>
      <c r="AI55" s="101" t="s">
        <v>112</v>
      </c>
      <c r="AJ55" s="101" t="s">
        <v>111</v>
      </c>
      <c r="AK55" s="5">
        <f t="shared" si="1"/>
        <v>13</v>
      </c>
      <c r="AL55" s="5">
        <f t="shared" si="2"/>
        <v>8</v>
      </c>
    </row>
    <row r="56" spans="1:38" ht="16.5" x14ac:dyDescent="0.25">
      <c r="A56" s="9">
        <v>28</v>
      </c>
      <c r="B56" s="11"/>
      <c r="C56" s="7" t="s">
        <v>318</v>
      </c>
      <c r="D56" s="7" t="s">
        <v>319</v>
      </c>
      <c r="E56" s="8" t="s">
        <v>232</v>
      </c>
      <c r="F56" s="101" t="s">
        <v>111</v>
      </c>
      <c r="G56" s="101" t="s">
        <v>111</v>
      </c>
      <c r="H56" s="101" t="s">
        <v>111</v>
      </c>
      <c r="I56" s="101" t="s">
        <v>111</v>
      </c>
      <c r="J56" s="119"/>
      <c r="K56" s="101" t="s">
        <v>112</v>
      </c>
      <c r="L56" s="101" t="s">
        <v>112</v>
      </c>
      <c r="M56" s="101" t="s">
        <v>112</v>
      </c>
      <c r="N56" s="101" t="s">
        <v>112</v>
      </c>
      <c r="O56" s="101" t="s">
        <v>111</v>
      </c>
      <c r="P56" s="101" t="s">
        <v>111</v>
      </c>
      <c r="Q56" s="119"/>
      <c r="R56" s="101" t="s">
        <v>112</v>
      </c>
      <c r="S56" s="101" t="s">
        <v>112</v>
      </c>
      <c r="T56" s="101" t="s">
        <v>112</v>
      </c>
      <c r="U56" s="101" t="s">
        <v>112</v>
      </c>
      <c r="V56" s="101" t="s">
        <v>111</v>
      </c>
      <c r="W56" s="101" t="s">
        <v>111</v>
      </c>
      <c r="X56" s="119"/>
      <c r="Y56" s="101" t="s">
        <v>111</v>
      </c>
      <c r="Z56" s="101" t="s">
        <v>112</v>
      </c>
      <c r="AA56" s="101" t="s">
        <v>112</v>
      </c>
      <c r="AB56" s="101" t="s">
        <v>111</v>
      </c>
      <c r="AC56" s="101" t="s">
        <v>111</v>
      </c>
      <c r="AD56" s="101" t="s">
        <v>112</v>
      </c>
      <c r="AE56" s="119"/>
      <c r="AF56" s="101" t="s">
        <v>112</v>
      </c>
      <c r="AG56" s="122"/>
      <c r="AH56" s="101" t="s">
        <v>112</v>
      </c>
      <c r="AI56" s="101" t="s">
        <v>111</v>
      </c>
      <c r="AJ56" s="101" t="s">
        <v>112</v>
      </c>
      <c r="AK56" s="5">
        <f t="shared" si="1"/>
        <v>14</v>
      </c>
      <c r="AL56" s="5">
        <f t="shared" si="2"/>
        <v>12</v>
      </c>
    </row>
    <row r="57" spans="1:38" ht="16.5" x14ac:dyDescent="0.25">
      <c r="A57" s="9">
        <v>29</v>
      </c>
      <c r="B57" s="11"/>
      <c r="C57" s="7" t="s">
        <v>320</v>
      </c>
      <c r="D57" s="7" t="s">
        <v>34</v>
      </c>
      <c r="E57" s="8" t="s">
        <v>232</v>
      </c>
      <c r="F57" s="101" t="s">
        <v>111</v>
      </c>
      <c r="G57" s="101" t="s">
        <v>111</v>
      </c>
      <c r="H57" s="101" t="s">
        <v>111</v>
      </c>
      <c r="I57" s="101" t="s">
        <v>111</v>
      </c>
      <c r="J57" s="119"/>
      <c r="K57" s="101" t="s">
        <v>112</v>
      </c>
      <c r="L57" s="101" t="s">
        <v>112</v>
      </c>
      <c r="M57" s="101" t="s">
        <v>112</v>
      </c>
      <c r="N57" s="101" t="s">
        <v>112</v>
      </c>
      <c r="O57" s="101" t="s">
        <v>112</v>
      </c>
      <c r="P57" s="101" t="s">
        <v>112</v>
      </c>
      <c r="Q57" s="119"/>
      <c r="R57" s="101" t="s">
        <v>112</v>
      </c>
      <c r="S57" s="101" t="s">
        <v>112</v>
      </c>
      <c r="T57" s="101" t="s">
        <v>112</v>
      </c>
      <c r="U57" s="101" t="s">
        <v>112</v>
      </c>
      <c r="V57" s="101" t="s">
        <v>112</v>
      </c>
      <c r="W57" s="101" t="s">
        <v>112</v>
      </c>
      <c r="X57" s="119"/>
      <c r="Y57" s="101" t="s">
        <v>112</v>
      </c>
      <c r="Z57" s="101" t="s">
        <v>112</v>
      </c>
      <c r="AA57" s="101" t="s">
        <v>112</v>
      </c>
      <c r="AB57" s="101" t="s">
        <v>112</v>
      </c>
      <c r="AC57" s="101" t="s">
        <v>112</v>
      </c>
      <c r="AD57" s="101" t="s">
        <v>112</v>
      </c>
      <c r="AE57" s="119"/>
      <c r="AF57" s="101" t="s">
        <v>112</v>
      </c>
      <c r="AG57" s="122"/>
      <c r="AH57" s="101" t="s">
        <v>112</v>
      </c>
      <c r="AI57" s="101" t="s">
        <v>111</v>
      </c>
      <c r="AJ57" s="101" t="s">
        <v>112</v>
      </c>
      <c r="AK57" s="5">
        <f t="shared" si="1"/>
        <v>21</v>
      </c>
      <c r="AL57" s="5">
        <f t="shared" si="2"/>
        <v>5</v>
      </c>
    </row>
    <row r="58" spans="1:38" ht="16.5" x14ac:dyDescent="0.25">
      <c r="A58" s="9">
        <v>30</v>
      </c>
      <c r="B58" s="11"/>
      <c r="C58" s="7" t="s">
        <v>321</v>
      </c>
      <c r="D58" s="7" t="s">
        <v>322</v>
      </c>
      <c r="E58" s="8" t="s">
        <v>232</v>
      </c>
      <c r="F58" s="101" t="s">
        <v>111</v>
      </c>
      <c r="G58" s="101" t="s">
        <v>112</v>
      </c>
      <c r="H58" s="101" t="s">
        <v>112</v>
      </c>
      <c r="I58" s="101" t="s">
        <v>111</v>
      </c>
      <c r="J58" s="119"/>
      <c r="K58" s="101" t="s">
        <v>112</v>
      </c>
      <c r="L58" s="101" t="s">
        <v>112</v>
      </c>
      <c r="M58" s="101" t="s">
        <v>112</v>
      </c>
      <c r="N58" s="101" t="s">
        <v>112</v>
      </c>
      <c r="O58" s="101" t="s">
        <v>112</v>
      </c>
      <c r="P58" s="101" t="s">
        <v>112</v>
      </c>
      <c r="Q58" s="119"/>
      <c r="R58" s="101" t="s">
        <v>112</v>
      </c>
      <c r="S58" s="101" t="s">
        <v>112</v>
      </c>
      <c r="T58" s="101" t="s">
        <v>112</v>
      </c>
      <c r="U58" s="101" t="s">
        <v>112</v>
      </c>
      <c r="V58" s="101" t="s">
        <v>111</v>
      </c>
      <c r="W58" s="101" t="s">
        <v>112</v>
      </c>
      <c r="X58" s="119"/>
      <c r="Y58" s="101" t="s">
        <v>112</v>
      </c>
      <c r="Z58" s="101" t="s">
        <v>112</v>
      </c>
      <c r="AA58" s="101" t="s">
        <v>112</v>
      </c>
      <c r="AB58" s="101" t="s">
        <v>111</v>
      </c>
      <c r="AC58" s="101" t="s">
        <v>112</v>
      </c>
      <c r="AD58" s="101" t="s">
        <v>112</v>
      </c>
      <c r="AE58" s="119"/>
      <c r="AF58" s="101" t="s">
        <v>112</v>
      </c>
      <c r="AG58" s="122"/>
      <c r="AH58" s="101" t="s">
        <v>112</v>
      </c>
      <c r="AI58" s="101" t="s">
        <v>112</v>
      </c>
      <c r="AJ58" s="101" t="s">
        <v>112</v>
      </c>
      <c r="AK58" s="5">
        <f t="shared" si="1"/>
        <v>22</v>
      </c>
      <c r="AL58" s="5">
        <f t="shared" si="2"/>
        <v>4</v>
      </c>
    </row>
    <row r="59" spans="1:38" ht="16.5" x14ac:dyDescent="0.25">
      <c r="A59" s="9">
        <v>31</v>
      </c>
      <c r="B59" s="11"/>
      <c r="C59" s="7" t="s">
        <v>321</v>
      </c>
      <c r="D59" s="7" t="s">
        <v>323</v>
      </c>
      <c r="E59" s="8" t="s">
        <v>232</v>
      </c>
      <c r="F59" s="101" t="s">
        <v>111</v>
      </c>
      <c r="G59" s="101" t="s">
        <v>112</v>
      </c>
      <c r="H59" s="101" t="s">
        <v>111</v>
      </c>
      <c r="I59" s="101" t="s">
        <v>112</v>
      </c>
      <c r="J59" s="119"/>
      <c r="K59" s="101" t="s">
        <v>111</v>
      </c>
      <c r="L59" s="101" t="s">
        <v>112</v>
      </c>
      <c r="M59" s="101" t="s">
        <v>112</v>
      </c>
      <c r="N59" s="101" t="s">
        <v>112</v>
      </c>
      <c r="O59" s="101" t="s">
        <v>112</v>
      </c>
      <c r="P59" s="101" t="s">
        <v>112</v>
      </c>
      <c r="Q59" s="119"/>
      <c r="R59" s="101" t="s">
        <v>112</v>
      </c>
      <c r="S59" s="101" t="s">
        <v>112</v>
      </c>
      <c r="T59" s="101" t="s">
        <v>112</v>
      </c>
      <c r="U59" s="101" t="s">
        <v>112</v>
      </c>
      <c r="V59" s="101" t="s">
        <v>112</v>
      </c>
      <c r="W59" s="101" t="s">
        <v>112</v>
      </c>
      <c r="X59" s="119"/>
      <c r="Y59" s="101" t="s">
        <v>112</v>
      </c>
      <c r="Z59" s="101" t="s">
        <v>112</v>
      </c>
      <c r="AA59" s="101" t="s">
        <v>112</v>
      </c>
      <c r="AB59" s="101" t="s">
        <v>112</v>
      </c>
      <c r="AC59" s="101" t="s">
        <v>112</v>
      </c>
      <c r="AD59" s="101" t="s">
        <v>112</v>
      </c>
      <c r="AE59" s="119"/>
      <c r="AF59" s="101" t="s">
        <v>112</v>
      </c>
      <c r="AG59" s="122"/>
      <c r="AH59" s="101" t="s">
        <v>112</v>
      </c>
      <c r="AI59" s="101" t="s">
        <v>111</v>
      </c>
      <c r="AJ59" s="101" t="s">
        <v>111</v>
      </c>
      <c r="AK59" s="5">
        <f t="shared" si="1"/>
        <v>21</v>
      </c>
      <c r="AL59" s="5">
        <f t="shared" si="2"/>
        <v>5</v>
      </c>
    </row>
    <row r="60" spans="1:38" ht="16.5" x14ac:dyDescent="0.25">
      <c r="A60" s="9">
        <v>32</v>
      </c>
      <c r="B60" s="11"/>
      <c r="C60" s="7" t="s">
        <v>324</v>
      </c>
      <c r="D60" s="7" t="s">
        <v>325</v>
      </c>
      <c r="E60" s="8" t="s">
        <v>232</v>
      </c>
      <c r="F60" s="101" t="s">
        <v>111</v>
      </c>
      <c r="G60" s="101" t="s">
        <v>111</v>
      </c>
      <c r="H60" s="101" t="s">
        <v>111</v>
      </c>
      <c r="I60" s="101" t="s">
        <v>111</v>
      </c>
      <c r="J60" s="120"/>
      <c r="K60" s="101" t="s">
        <v>112</v>
      </c>
      <c r="L60" s="101" t="s">
        <v>111</v>
      </c>
      <c r="M60" s="101" t="s">
        <v>112</v>
      </c>
      <c r="N60" s="101" t="s">
        <v>112</v>
      </c>
      <c r="O60" s="101" t="s">
        <v>112</v>
      </c>
      <c r="P60" s="101" t="s">
        <v>111</v>
      </c>
      <c r="Q60" s="120"/>
      <c r="R60" s="101" t="s">
        <v>112</v>
      </c>
      <c r="S60" s="101" t="s">
        <v>112</v>
      </c>
      <c r="T60" s="101" t="s">
        <v>112</v>
      </c>
      <c r="U60" s="101" t="s">
        <v>112</v>
      </c>
      <c r="V60" s="101" t="s">
        <v>111</v>
      </c>
      <c r="W60" s="101" t="s">
        <v>111</v>
      </c>
      <c r="X60" s="120"/>
      <c r="Y60" s="101" t="s">
        <v>111</v>
      </c>
      <c r="Z60" s="101" t="s">
        <v>112</v>
      </c>
      <c r="AA60" s="101" t="s">
        <v>112</v>
      </c>
      <c r="AB60" s="101" t="s">
        <v>111</v>
      </c>
      <c r="AC60" s="101" t="s">
        <v>111</v>
      </c>
      <c r="AD60" s="101" t="s">
        <v>112</v>
      </c>
      <c r="AE60" s="120"/>
      <c r="AF60" s="101" t="s">
        <v>112</v>
      </c>
      <c r="AG60" s="123"/>
      <c r="AH60" s="101" t="s">
        <v>112</v>
      </c>
      <c r="AI60" s="101" t="s">
        <v>112</v>
      </c>
      <c r="AJ60" s="101" t="s">
        <v>112</v>
      </c>
      <c r="AK60" s="5">
        <f t="shared" si="1"/>
        <v>15</v>
      </c>
      <c r="AL60" s="5">
        <f t="shared" si="2"/>
        <v>11</v>
      </c>
    </row>
  </sheetData>
  <mergeCells count="17">
    <mergeCell ref="J5:J60"/>
    <mergeCell ref="Q5:Q60"/>
    <mergeCell ref="X5:X60"/>
    <mergeCell ref="AE5:AE60"/>
    <mergeCell ref="AG5:AG60"/>
    <mergeCell ref="A3:A4"/>
    <mergeCell ref="B3:B4"/>
    <mergeCell ref="C3:C4"/>
    <mergeCell ref="D3:D4"/>
    <mergeCell ref="A1:AL1"/>
    <mergeCell ref="A2:AL2"/>
    <mergeCell ref="E3:E4"/>
    <mergeCell ref="AK3:AK4"/>
    <mergeCell ref="AL3:AL4"/>
    <mergeCell ref="AM11:AP11"/>
    <mergeCell ref="AM19:AP19"/>
    <mergeCell ref="AM3:AN3"/>
  </mergeCells>
  <conditionalFormatting sqref="F3:AJ4 J5 Q5 X5 AE5 AG5 F5:I60 K5:P60 R5:W60 Y5:AD60 AF5:AF60 AH5:AJ60">
    <cfRule type="cellIs" dxfId="52" priority="8" operator="equal">
      <formula>"L"</formula>
    </cfRule>
    <cfRule type="cellIs" dxfId="51" priority="9" operator="equal">
      <formula>"P"</formula>
    </cfRule>
    <cfRule type="cellIs" dxfId="50" priority="10" operator="equal">
      <formula>"A"</formula>
    </cfRule>
    <cfRule type="expression" dxfId="49" priority="11">
      <formula>F$4=TODAY()</formula>
    </cfRule>
    <cfRule type="expression" dxfId="48" priority="12">
      <formula>F$3="SUN"</formula>
    </cfRule>
  </conditionalFormatting>
  <conditionalFormatting sqref="AK3:AL3">
    <cfRule type="expression" dxfId="47" priority="13">
      <formula>#REF!="Sun"</formula>
    </cfRule>
  </conditionalFormatting>
  <conditionalFormatting sqref="AK5:AL60">
    <cfRule type="expression" dxfId="46" priority="7">
      <formula>#REF!="Sun"</formula>
    </cfRule>
  </conditionalFormatting>
  <conditionalFormatting sqref="AM5:AM9">
    <cfRule type="expression" dxfId="45" priority="4">
      <formula>AM$3="Sun"</formula>
    </cfRule>
  </conditionalFormatting>
  <conditionalFormatting sqref="AM12:AM15">
    <cfRule type="expression" dxfId="44" priority="2">
      <formula>AM$3="Sun"</formula>
    </cfRule>
  </conditionalFormatting>
  <conditionalFormatting sqref="AM20:AM23">
    <cfRule type="expression" dxfId="43" priority="1">
      <formula>AM$3="Sun"</formula>
    </cfRule>
  </conditionalFormatting>
  <conditionalFormatting sqref="AM4:AN4">
    <cfRule type="expression" dxfId="42" priority="5">
      <formula>AM$3="Sun"</formula>
    </cfRule>
  </conditionalFormatting>
  <conditionalFormatting sqref="AN12:AP12 AN20:AP20">
    <cfRule type="expression" dxfId="41" priority="6">
      <formula>AN$3="Sun"</formula>
    </cfRule>
  </conditionalFormatting>
  <conditionalFormatting sqref="AP21">
    <cfRule type="expression" dxfId="40" priority="3">
      <formula>AP$3="Sun"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707-7B60-4607-BB08-5DC9BE92FC44}">
  <dimension ref="A1:AP56"/>
  <sheetViews>
    <sheetView topLeftCell="F1" workbookViewId="0">
      <selection activeCell="AN16" sqref="AN1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3" t="s">
        <v>326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  <c r="AK1" s="113"/>
      <c r="AL1" s="113"/>
    </row>
    <row r="2" spans="1:42" ht="17.25" x14ac:dyDescent="0.3">
      <c r="A2" s="114" t="s">
        <v>121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</row>
    <row r="3" spans="1:42" ht="15.75" x14ac:dyDescent="0.25">
      <c r="A3" s="124" t="s">
        <v>0</v>
      </c>
      <c r="B3" s="124" t="s">
        <v>824</v>
      </c>
      <c r="C3" s="124" t="s">
        <v>1</v>
      </c>
      <c r="D3" s="124" t="s">
        <v>2</v>
      </c>
      <c r="E3" s="124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5" t="s">
        <v>4</v>
      </c>
      <c r="AL3" s="115" t="s">
        <v>5</v>
      </c>
      <c r="AM3" s="110" t="s">
        <v>126</v>
      </c>
      <c r="AN3" s="111"/>
      <c r="AO3" s="3"/>
      <c r="AP3" s="3"/>
    </row>
    <row r="4" spans="1:42" ht="33.75" x14ac:dyDescent="0.25">
      <c r="A4" s="124"/>
      <c r="B4" s="124"/>
      <c r="C4" s="124"/>
      <c r="D4" s="124"/>
      <c r="E4" s="124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/>
      <c r="C5" s="7" t="s">
        <v>327</v>
      </c>
      <c r="D5" s="7" t="s">
        <v>328</v>
      </c>
      <c r="E5" s="8" t="s">
        <v>329</v>
      </c>
      <c r="F5" s="101" t="s">
        <v>111</v>
      </c>
      <c r="G5" s="101" t="s">
        <v>112</v>
      </c>
      <c r="H5" s="101" t="s">
        <v>111</v>
      </c>
      <c r="I5" s="101" t="s">
        <v>111</v>
      </c>
      <c r="J5" s="118" t="s">
        <v>330</v>
      </c>
      <c r="K5" s="101" t="s">
        <v>111</v>
      </c>
      <c r="L5" s="101" t="s">
        <v>112</v>
      </c>
      <c r="M5" s="101" t="s">
        <v>112</v>
      </c>
      <c r="N5" s="101" t="s">
        <v>112</v>
      </c>
      <c r="O5" s="101" t="s">
        <v>112</v>
      </c>
      <c r="P5" s="101" t="s">
        <v>112</v>
      </c>
      <c r="Q5" s="118" t="s">
        <v>330</v>
      </c>
      <c r="R5" s="101" t="s">
        <v>112</v>
      </c>
      <c r="S5" s="101" t="s">
        <v>112</v>
      </c>
      <c r="T5" s="101" t="s">
        <v>112</v>
      </c>
      <c r="U5" s="101" t="s">
        <v>112</v>
      </c>
      <c r="V5" s="101" t="s">
        <v>111</v>
      </c>
      <c r="W5" s="101" t="s">
        <v>111</v>
      </c>
      <c r="X5" s="118" t="s">
        <v>330</v>
      </c>
      <c r="Y5" s="101" t="s">
        <v>112</v>
      </c>
      <c r="Z5" s="101" t="s">
        <v>112</v>
      </c>
      <c r="AA5" s="101" t="s">
        <v>112</v>
      </c>
      <c r="AB5" s="101" t="s">
        <v>112</v>
      </c>
      <c r="AC5" s="101" t="s">
        <v>111</v>
      </c>
      <c r="AD5" s="101" t="s">
        <v>111</v>
      </c>
      <c r="AE5" s="118" t="s">
        <v>330</v>
      </c>
      <c r="AF5" s="101" t="s">
        <v>111</v>
      </c>
      <c r="AG5" s="141" t="s">
        <v>827</v>
      </c>
      <c r="AH5" s="101" t="s">
        <v>112</v>
      </c>
      <c r="AI5" s="101" t="s">
        <v>112</v>
      </c>
      <c r="AJ5" s="101" t="s">
        <v>111</v>
      </c>
      <c r="AK5" s="5">
        <f t="shared" ref="AK5:AK56" si="1">COUNTIF(F5:AJ5,"P")</f>
        <v>16</v>
      </c>
      <c r="AL5" s="5">
        <f t="shared" ref="AL5:AL56" si="2">COUNTIF(F5:AJ5,"A")</f>
        <v>10</v>
      </c>
      <c r="AM5" s="5" t="s">
        <v>7</v>
      </c>
      <c r="AN5" s="9">
        <v>26</v>
      </c>
      <c r="AO5" s="10"/>
      <c r="AP5" s="3"/>
    </row>
    <row r="6" spans="1:42" ht="16.5" x14ac:dyDescent="0.25">
      <c r="A6" s="9">
        <v>2</v>
      </c>
      <c r="B6" s="11"/>
      <c r="C6" s="7" t="s">
        <v>331</v>
      </c>
      <c r="D6" s="7" t="s">
        <v>332</v>
      </c>
      <c r="E6" s="8" t="s">
        <v>329</v>
      </c>
      <c r="F6" s="101" t="s">
        <v>111</v>
      </c>
      <c r="G6" s="101" t="s">
        <v>112</v>
      </c>
      <c r="H6" s="101" t="s">
        <v>112</v>
      </c>
      <c r="I6" s="101" t="s">
        <v>112</v>
      </c>
      <c r="J6" s="119"/>
      <c r="K6" s="101" t="s">
        <v>112</v>
      </c>
      <c r="L6" s="101" t="s">
        <v>112</v>
      </c>
      <c r="M6" s="101" t="s">
        <v>112</v>
      </c>
      <c r="N6" s="101" t="s">
        <v>112</v>
      </c>
      <c r="O6" s="101" t="s">
        <v>112</v>
      </c>
      <c r="P6" s="101" t="s">
        <v>112</v>
      </c>
      <c r="Q6" s="119"/>
      <c r="R6" s="101" t="s">
        <v>112</v>
      </c>
      <c r="S6" s="101" t="s">
        <v>112</v>
      </c>
      <c r="T6" s="101" t="s">
        <v>112</v>
      </c>
      <c r="U6" s="101" t="s">
        <v>112</v>
      </c>
      <c r="V6" s="101" t="s">
        <v>112</v>
      </c>
      <c r="W6" s="101" t="s">
        <v>111</v>
      </c>
      <c r="X6" s="119"/>
      <c r="Y6" s="101" t="s">
        <v>112</v>
      </c>
      <c r="Z6" s="101" t="s">
        <v>112</v>
      </c>
      <c r="AA6" s="101" t="s">
        <v>112</v>
      </c>
      <c r="AB6" s="101" t="s">
        <v>112</v>
      </c>
      <c r="AC6" s="101" t="s">
        <v>112</v>
      </c>
      <c r="AD6" s="101" t="s">
        <v>112</v>
      </c>
      <c r="AE6" s="119"/>
      <c r="AF6" s="101" t="s">
        <v>111</v>
      </c>
      <c r="AG6" s="142"/>
      <c r="AH6" s="101" t="s">
        <v>112</v>
      </c>
      <c r="AI6" s="101" t="s">
        <v>112</v>
      </c>
      <c r="AJ6" s="101" t="s">
        <v>111</v>
      </c>
      <c r="AK6" s="5">
        <f t="shared" si="1"/>
        <v>22</v>
      </c>
      <c r="AL6" s="5">
        <f t="shared" si="2"/>
        <v>4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/>
      <c r="C7" s="7" t="s">
        <v>333</v>
      </c>
      <c r="D7" s="7" t="s">
        <v>248</v>
      </c>
      <c r="E7" s="8" t="s">
        <v>329</v>
      </c>
      <c r="F7" s="101" t="s">
        <v>111</v>
      </c>
      <c r="G7" s="101" t="s">
        <v>111</v>
      </c>
      <c r="H7" s="101" t="s">
        <v>111</v>
      </c>
      <c r="I7" s="101" t="s">
        <v>111</v>
      </c>
      <c r="J7" s="119"/>
      <c r="K7" s="101" t="s">
        <v>111</v>
      </c>
      <c r="L7" s="101" t="s">
        <v>112</v>
      </c>
      <c r="M7" s="101" t="s">
        <v>112</v>
      </c>
      <c r="N7" s="101" t="s">
        <v>112</v>
      </c>
      <c r="O7" s="101" t="s">
        <v>112</v>
      </c>
      <c r="P7" s="101" t="s">
        <v>112</v>
      </c>
      <c r="Q7" s="119"/>
      <c r="R7" s="101" t="s">
        <v>111</v>
      </c>
      <c r="S7" s="101" t="s">
        <v>111</v>
      </c>
      <c r="T7" s="101" t="s">
        <v>112</v>
      </c>
      <c r="U7" s="101" t="s">
        <v>111</v>
      </c>
      <c r="V7" s="101" t="s">
        <v>111</v>
      </c>
      <c r="W7" s="101" t="s">
        <v>111</v>
      </c>
      <c r="X7" s="119"/>
      <c r="Y7" s="101" t="s">
        <v>112</v>
      </c>
      <c r="Z7" s="101" t="s">
        <v>112</v>
      </c>
      <c r="AA7" s="101" t="s">
        <v>112</v>
      </c>
      <c r="AB7" s="101" t="s">
        <v>112</v>
      </c>
      <c r="AC7" s="101" t="s">
        <v>112</v>
      </c>
      <c r="AD7" s="101" t="s">
        <v>112</v>
      </c>
      <c r="AE7" s="119"/>
      <c r="AF7" s="101" t="s">
        <v>112</v>
      </c>
      <c r="AG7" s="142"/>
      <c r="AH7" s="101" t="s">
        <v>112</v>
      </c>
      <c r="AI7" s="101" t="s">
        <v>112</v>
      </c>
      <c r="AJ7" s="101" t="s">
        <v>112</v>
      </c>
      <c r="AK7" s="5">
        <f t="shared" si="1"/>
        <v>16</v>
      </c>
      <c r="AL7" s="5">
        <f t="shared" si="2"/>
        <v>10</v>
      </c>
      <c r="AM7" s="5" t="s">
        <v>828</v>
      </c>
      <c r="AN7" s="9">
        <v>1</v>
      </c>
      <c r="AO7" s="3"/>
      <c r="AP7" s="3"/>
    </row>
    <row r="8" spans="1:42" ht="16.5" x14ac:dyDescent="0.25">
      <c r="A8" s="9">
        <v>4</v>
      </c>
      <c r="B8" s="11"/>
      <c r="C8" s="7" t="s">
        <v>234</v>
      </c>
      <c r="D8" s="7" t="s">
        <v>26</v>
      </c>
      <c r="E8" s="8" t="s">
        <v>329</v>
      </c>
      <c r="F8" s="101" t="s">
        <v>111</v>
      </c>
      <c r="G8" s="101" t="s">
        <v>111</v>
      </c>
      <c r="H8" s="101" t="s">
        <v>111</v>
      </c>
      <c r="I8" s="101" t="s">
        <v>111</v>
      </c>
      <c r="J8" s="119"/>
      <c r="K8" s="101" t="s">
        <v>112</v>
      </c>
      <c r="L8" s="101" t="s">
        <v>112</v>
      </c>
      <c r="M8" s="101" t="s">
        <v>111</v>
      </c>
      <c r="N8" s="101" t="s">
        <v>112</v>
      </c>
      <c r="O8" s="101" t="s">
        <v>112</v>
      </c>
      <c r="P8" s="101" t="s">
        <v>112</v>
      </c>
      <c r="Q8" s="119"/>
      <c r="R8" s="101" t="s">
        <v>112</v>
      </c>
      <c r="S8" s="101" t="s">
        <v>111</v>
      </c>
      <c r="T8" s="101" t="s">
        <v>112</v>
      </c>
      <c r="U8" s="101" t="s">
        <v>112</v>
      </c>
      <c r="V8" s="101" t="s">
        <v>112</v>
      </c>
      <c r="W8" s="101" t="s">
        <v>111</v>
      </c>
      <c r="X8" s="119"/>
      <c r="Y8" s="101" t="s">
        <v>112</v>
      </c>
      <c r="Z8" s="101" t="s">
        <v>112</v>
      </c>
      <c r="AA8" s="101" t="s">
        <v>112</v>
      </c>
      <c r="AB8" s="101" t="s">
        <v>112</v>
      </c>
      <c r="AC8" s="101" t="s">
        <v>111</v>
      </c>
      <c r="AD8" s="101" t="s">
        <v>112</v>
      </c>
      <c r="AE8" s="119"/>
      <c r="AF8" s="101" t="s">
        <v>112</v>
      </c>
      <c r="AG8" s="142"/>
      <c r="AH8" s="101" t="s">
        <v>112</v>
      </c>
      <c r="AI8" s="101" t="s">
        <v>112</v>
      </c>
      <c r="AJ8" s="101" t="s">
        <v>112</v>
      </c>
      <c r="AK8" s="5">
        <f t="shared" si="1"/>
        <v>18</v>
      </c>
      <c r="AL8" s="5">
        <f t="shared" si="2"/>
        <v>8</v>
      </c>
      <c r="AM8" s="5"/>
      <c r="AN8" s="9"/>
      <c r="AO8"/>
      <c r="AP8"/>
    </row>
    <row r="9" spans="1:42" ht="16.5" x14ac:dyDescent="0.25">
      <c r="A9" s="9">
        <v>5</v>
      </c>
      <c r="B9" s="11"/>
      <c r="C9" s="7" t="s">
        <v>271</v>
      </c>
      <c r="D9" s="7" t="s">
        <v>336</v>
      </c>
      <c r="E9" s="8" t="s">
        <v>329</v>
      </c>
      <c r="F9" s="101" t="s">
        <v>111</v>
      </c>
      <c r="G9" s="101" t="s">
        <v>112</v>
      </c>
      <c r="H9" s="101" t="s">
        <v>112</v>
      </c>
      <c r="I9" s="101" t="s">
        <v>112</v>
      </c>
      <c r="J9" s="119"/>
      <c r="K9" s="101" t="s">
        <v>112</v>
      </c>
      <c r="L9" s="101" t="s">
        <v>112</v>
      </c>
      <c r="M9" s="101" t="s">
        <v>112</v>
      </c>
      <c r="N9" s="101" t="s">
        <v>112</v>
      </c>
      <c r="O9" s="101" t="s">
        <v>112</v>
      </c>
      <c r="P9" s="101" t="s">
        <v>112</v>
      </c>
      <c r="Q9" s="119"/>
      <c r="R9" s="101" t="s">
        <v>112</v>
      </c>
      <c r="S9" s="101" t="s">
        <v>112</v>
      </c>
      <c r="T9" s="101" t="s">
        <v>112</v>
      </c>
      <c r="U9" s="101" t="s">
        <v>112</v>
      </c>
      <c r="V9" s="101" t="s">
        <v>111</v>
      </c>
      <c r="W9" s="101" t="s">
        <v>111</v>
      </c>
      <c r="X9" s="119"/>
      <c r="Y9" s="101" t="s">
        <v>111</v>
      </c>
      <c r="Z9" s="101" t="s">
        <v>112</v>
      </c>
      <c r="AA9" s="101" t="s">
        <v>112</v>
      </c>
      <c r="AB9" s="101" t="s">
        <v>112</v>
      </c>
      <c r="AC9" s="101" t="s">
        <v>112</v>
      </c>
      <c r="AD9" s="101" t="s">
        <v>112</v>
      </c>
      <c r="AE9" s="119"/>
      <c r="AF9" s="101" t="s">
        <v>111</v>
      </c>
      <c r="AG9" s="142"/>
      <c r="AH9" s="101" t="s">
        <v>111</v>
      </c>
      <c r="AI9" s="101" t="s">
        <v>111</v>
      </c>
      <c r="AJ9" s="101" t="s">
        <v>111</v>
      </c>
      <c r="AK9" s="5">
        <f t="shared" si="1"/>
        <v>18</v>
      </c>
      <c r="AL9" s="5">
        <f t="shared" si="2"/>
        <v>8</v>
      </c>
      <c r="AM9" s="5"/>
      <c r="AN9" s="9"/>
    </row>
    <row r="10" spans="1:42" ht="16.5" x14ac:dyDescent="0.25">
      <c r="A10" s="9">
        <v>6</v>
      </c>
      <c r="B10" s="11"/>
      <c r="C10" s="7" t="s">
        <v>271</v>
      </c>
      <c r="D10" s="7" t="s">
        <v>266</v>
      </c>
      <c r="E10" s="8" t="s">
        <v>329</v>
      </c>
      <c r="F10" s="101" t="s">
        <v>111</v>
      </c>
      <c r="G10" s="101" t="s">
        <v>111</v>
      </c>
      <c r="H10" s="101" t="s">
        <v>112</v>
      </c>
      <c r="I10" s="101" t="s">
        <v>112</v>
      </c>
      <c r="J10" s="119"/>
      <c r="K10" s="101" t="s">
        <v>111</v>
      </c>
      <c r="L10" s="101" t="s">
        <v>112</v>
      </c>
      <c r="M10" s="101" t="s">
        <v>112</v>
      </c>
      <c r="N10" s="101" t="s">
        <v>112</v>
      </c>
      <c r="O10" s="101" t="s">
        <v>112</v>
      </c>
      <c r="P10" s="101" t="s">
        <v>112</v>
      </c>
      <c r="Q10" s="119"/>
      <c r="R10" s="101" t="s">
        <v>112</v>
      </c>
      <c r="S10" s="101" t="s">
        <v>112</v>
      </c>
      <c r="T10" s="101" t="s">
        <v>112</v>
      </c>
      <c r="U10" s="101" t="s">
        <v>112</v>
      </c>
      <c r="V10" s="101" t="s">
        <v>112</v>
      </c>
      <c r="W10" s="101" t="s">
        <v>112</v>
      </c>
      <c r="X10" s="119"/>
      <c r="Y10" s="101" t="s">
        <v>112</v>
      </c>
      <c r="Z10" s="101" t="s">
        <v>112</v>
      </c>
      <c r="AA10" s="101" t="s">
        <v>112</v>
      </c>
      <c r="AB10" s="101" t="s">
        <v>112</v>
      </c>
      <c r="AC10" s="101" t="s">
        <v>112</v>
      </c>
      <c r="AD10" s="101" t="s">
        <v>112</v>
      </c>
      <c r="AE10" s="119"/>
      <c r="AF10" s="101" t="s">
        <v>112</v>
      </c>
      <c r="AG10" s="142"/>
      <c r="AH10" s="101" t="s">
        <v>112</v>
      </c>
      <c r="AI10" s="101" t="s">
        <v>112</v>
      </c>
      <c r="AJ10" s="101" t="s">
        <v>112</v>
      </c>
      <c r="AK10" s="5">
        <f t="shared" si="1"/>
        <v>23</v>
      </c>
      <c r="AL10" s="5">
        <f t="shared" si="2"/>
        <v>3</v>
      </c>
    </row>
    <row r="11" spans="1:42" ht="16.5" x14ac:dyDescent="0.25">
      <c r="A11" s="9">
        <v>7</v>
      </c>
      <c r="B11" s="11"/>
      <c r="C11" s="7" t="s">
        <v>139</v>
      </c>
      <c r="D11" s="7" t="s">
        <v>286</v>
      </c>
      <c r="E11" s="8" t="s">
        <v>329</v>
      </c>
      <c r="F11" s="101" t="s">
        <v>111</v>
      </c>
      <c r="G11" s="101" t="s">
        <v>111</v>
      </c>
      <c r="H11" s="101" t="s">
        <v>111</v>
      </c>
      <c r="I11" s="101" t="s">
        <v>112</v>
      </c>
      <c r="J11" s="119"/>
      <c r="K11" s="101" t="s">
        <v>112</v>
      </c>
      <c r="L11" s="101" t="s">
        <v>112</v>
      </c>
      <c r="M11" s="101" t="s">
        <v>112</v>
      </c>
      <c r="N11" s="101" t="s">
        <v>112</v>
      </c>
      <c r="O11" s="101" t="s">
        <v>112</v>
      </c>
      <c r="P11" s="101" t="s">
        <v>112</v>
      </c>
      <c r="Q11" s="119"/>
      <c r="R11" s="101" t="s">
        <v>112</v>
      </c>
      <c r="S11" s="101" t="s">
        <v>112</v>
      </c>
      <c r="T11" s="101" t="s">
        <v>112</v>
      </c>
      <c r="U11" s="101" t="s">
        <v>112</v>
      </c>
      <c r="V11" s="101" t="s">
        <v>112</v>
      </c>
      <c r="W11" s="101" t="s">
        <v>112</v>
      </c>
      <c r="X11" s="119"/>
      <c r="Y11" s="101" t="s">
        <v>112</v>
      </c>
      <c r="Z11" s="101" t="s">
        <v>112</v>
      </c>
      <c r="AA11" s="101" t="s">
        <v>112</v>
      </c>
      <c r="AB11" s="101" t="s">
        <v>112</v>
      </c>
      <c r="AC11" s="101" t="s">
        <v>112</v>
      </c>
      <c r="AD11" s="101" t="s">
        <v>112</v>
      </c>
      <c r="AE11" s="119"/>
      <c r="AF11" s="101" t="s">
        <v>112</v>
      </c>
      <c r="AG11" s="142"/>
      <c r="AH11" s="101" t="s">
        <v>112</v>
      </c>
      <c r="AI11" s="101" t="s">
        <v>112</v>
      </c>
      <c r="AJ11" s="101" t="s">
        <v>112</v>
      </c>
      <c r="AK11" s="5">
        <f t="shared" si="1"/>
        <v>23</v>
      </c>
      <c r="AL11" s="5">
        <f t="shared" si="2"/>
        <v>3</v>
      </c>
      <c r="AM11" s="110" t="s">
        <v>9</v>
      </c>
      <c r="AN11" s="111"/>
      <c r="AO11" s="111"/>
      <c r="AP11" s="112"/>
    </row>
    <row r="12" spans="1:42" ht="16.5" x14ac:dyDescent="0.25">
      <c r="A12" s="9">
        <v>8</v>
      </c>
      <c r="B12" s="11"/>
      <c r="C12" s="7" t="s">
        <v>91</v>
      </c>
      <c r="D12" s="7" t="s">
        <v>286</v>
      </c>
      <c r="E12" s="8" t="s">
        <v>329</v>
      </c>
      <c r="F12" s="101" t="s">
        <v>111</v>
      </c>
      <c r="G12" s="101" t="s">
        <v>112</v>
      </c>
      <c r="H12" s="101" t="s">
        <v>112</v>
      </c>
      <c r="I12" s="101" t="s">
        <v>112</v>
      </c>
      <c r="J12" s="119"/>
      <c r="K12" s="101" t="s">
        <v>112</v>
      </c>
      <c r="L12" s="101" t="s">
        <v>112</v>
      </c>
      <c r="M12" s="101" t="s">
        <v>112</v>
      </c>
      <c r="N12" s="101" t="s">
        <v>112</v>
      </c>
      <c r="O12" s="101" t="s">
        <v>112</v>
      </c>
      <c r="P12" s="101" t="s">
        <v>112</v>
      </c>
      <c r="Q12" s="119"/>
      <c r="R12" s="101" t="s">
        <v>112</v>
      </c>
      <c r="S12" s="101" t="s">
        <v>112</v>
      </c>
      <c r="T12" s="101" t="s">
        <v>112</v>
      </c>
      <c r="U12" s="101" t="s">
        <v>112</v>
      </c>
      <c r="V12" s="101" t="s">
        <v>112</v>
      </c>
      <c r="W12" s="101" t="s">
        <v>112</v>
      </c>
      <c r="X12" s="119"/>
      <c r="Y12" s="101" t="s">
        <v>112</v>
      </c>
      <c r="Z12" s="101" t="s">
        <v>112</v>
      </c>
      <c r="AA12" s="101" t="s">
        <v>112</v>
      </c>
      <c r="AB12" s="101" t="s">
        <v>112</v>
      </c>
      <c r="AC12" s="101" t="s">
        <v>112</v>
      </c>
      <c r="AD12" s="101" t="s">
        <v>112</v>
      </c>
      <c r="AE12" s="119"/>
      <c r="AF12" s="101" t="s">
        <v>112</v>
      </c>
      <c r="AG12" s="142"/>
      <c r="AH12" s="101" t="s">
        <v>112</v>
      </c>
      <c r="AI12" s="101" t="s">
        <v>113</v>
      </c>
      <c r="AJ12" s="101" t="s">
        <v>112</v>
      </c>
      <c r="AK12" s="5">
        <f t="shared" si="1"/>
        <v>24</v>
      </c>
      <c r="AL12" s="5">
        <f t="shared" si="2"/>
        <v>1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9">
        <v>9</v>
      </c>
      <c r="B13" s="11"/>
      <c r="C13" s="7" t="s">
        <v>338</v>
      </c>
      <c r="D13" s="7" t="s">
        <v>266</v>
      </c>
      <c r="E13" s="8" t="s">
        <v>329</v>
      </c>
      <c r="F13" s="101" t="s">
        <v>111</v>
      </c>
      <c r="G13" s="101" t="s">
        <v>111</v>
      </c>
      <c r="H13" s="101" t="s">
        <v>112</v>
      </c>
      <c r="I13" s="101" t="s">
        <v>112</v>
      </c>
      <c r="J13" s="119"/>
      <c r="K13" s="101" t="s">
        <v>111</v>
      </c>
      <c r="L13" s="101" t="s">
        <v>112</v>
      </c>
      <c r="M13" s="101" t="s">
        <v>111</v>
      </c>
      <c r="N13" s="101" t="s">
        <v>111</v>
      </c>
      <c r="O13" s="101" t="s">
        <v>112</v>
      </c>
      <c r="P13" s="101" t="s">
        <v>112</v>
      </c>
      <c r="Q13" s="119"/>
      <c r="R13" s="101" t="s">
        <v>112</v>
      </c>
      <c r="S13" s="101" t="s">
        <v>112</v>
      </c>
      <c r="T13" s="101" t="s">
        <v>112</v>
      </c>
      <c r="U13" s="101" t="s">
        <v>112</v>
      </c>
      <c r="V13" s="101" t="s">
        <v>112</v>
      </c>
      <c r="W13" s="101" t="s">
        <v>111</v>
      </c>
      <c r="X13" s="119"/>
      <c r="Y13" s="101" t="s">
        <v>112</v>
      </c>
      <c r="Z13" s="101" t="s">
        <v>112</v>
      </c>
      <c r="AA13" s="101" t="s">
        <v>112</v>
      </c>
      <c r="AB13" s="101" t="s">
        <v>112</v>
      </c>
      <c r="AC13" s="101" t="s">
        <v>112</v>
      </c>
      <c r="AD13" s="101" t="s">
        <v>111</v>
      </c>
      <c r="AE13" s="119"/>
      <c r="AF13" s="101" t="s">
        <v>112</v>
      </c>
      <c r="AG13" s="142"/>
      <c r="AH13" s="101" t="s">
        <v>112</v>
      </c>
      <c r="AI13" s="101" t="s">
        <v>112</v>
      </c>
      <c r="AJ13" s="101" t="s">
        <v>111</v>
      </c>
      <c r="AK13" s="5">
        <f t="shared" si="1"/>
        <v>18</v>
      </c>
      <c r="AL13" s="5">
        <f t="shared" si="2"/>
        <v>8</v>
      </c>
      <c r="AM13" s="5" t="s">
        <v>14</v>
      </c>
      <c r="AN13" s="9">
        <f>26*$AN$5</f>
        <v>676</v>
      </c>
      <c r="AO13" s="9">
        <f>26*$AN$5</f>
        <v>676</v>
      </c>
      <c r="AP13" s="9">
        <f>SUM(AN13:AO13)</f>
        <v>1352</v>
      </c>
    </row>
    <row r="14" spans="1:42" ht="16.5" x14ac:dyDescent="0.25">
      <c r="A14" s="9">
        <v>10</v>
      </c>
      <c r="B14" s="102"/>
      <c r="C14" s="7" t="s">
        <v>339</v>
      </c>
      <c r="D14" s="7" t="s">
        <v>22</v>
      </c>
      <c r="E14" s="8" t="s">
        <v>329</v>
      </c>
      <c r="F14" s="101" t="s">
        <v>111</v>
      </c>
      <c r="G14" s="101" t="s">
        <v>112</v>
      </c>
      <c r="H14" s="101" t="s">
        <v>112</v>
      </c>
      <c r="I14" s="101" t="s">
        <v>112</v>
      </c>
      <c r="J14" s="119"/>
      <c r="K14" s="101" t="s">
        <v>112</v>
      </c>
      <c r="L14" s="101" t="s">
        <v>112</v>
      </c>
      <c r="M14" s="101" t="s">
        <v>112</v>
      </c>
      <c r="N14" s="101" t="s">
        <v>112</v>
      </c>
      <c r="O14" s="101" t="s">
        <v>112</v>
      </c>
      <c r="P14" s="101" t="s">
        <v>112</v>
      </c>
      <c r="Q14" s="119"/>
      <c r="R14" s="101" t="s">
        <v>112</v>
      </c>
      <c r="S14" s="101" t="s">
        <v>112</v>
      </c>
      <c r="T14" s="101" t="s">
        <v>112</v>
      </c>
      <c r="U14" s="101" t="s">
        <v>112</v>
      </c>
      <c r="V14" s="101" t="s">
        <v>112</v>
      </c>
      <c r="W14" s="101" t="s">
        <v>112</v>
      </c>
      <c r="X14" s="119"/>
      <c r="Y14" s="101" t="s">
        <v>112</v>
      </c>
      <c r="Z14" s="101" t="s">
        <v>112</v>
      </c>
      <c r="AA14" s="101" t="s">
        <v>112</v>
      </c>
      <c r="AB14" s="101" t="s">
        <v>112</v>
      </c>
      <c r="AC14" s="101" t="s">
        <v>112</v>
      </c>
      <c r="AD14" s="101" t="s">
        <v>111</v>
      </c>
      <c r="AE14" s="119"/>
      <c r="AF14" s="101" t="s">
        <v>112</v>
      </c>
      <c r="AG14" s="142"/>
      <c r="AH14" s="101" t="s">
        <v>112</v>
      </c>
      <c r="AI14" s="101" t="s">
        <v>112</v>
      </c>
      <c r="AJ14" s="101" t="s">
        <v>112</v>
      </c>
      <c r="AK14" s="5">
        <f t="shared" si="1"/>
        <v>24</v>
      </c>
      <c r="AL14" s="5">
        <f t="shared" si="2"/>
        <v>2</v>
      </c>
      <c r="AM14" s="5" t="s">
        <v>15</v>
      </c>
      <c r="AN14" s="9">
        <f>SUM(AK31:AK56)</f>
        <v>463</v>
      </c>
      <c r="AO14" s="9">
        <f>SUM(AK5:AK30)</f>
        <v>458</v>
      </c>
      <c r="AP14" s="9">
        <f>AN14+AO14</f>
        <v>921</v>
      </c>
    </row>
    <row r="15" spans="1:42" ht="16.5" x14ac:dyDescent="0.25">
      <c r="A15" s="9">
        <v>11</v>
      </c>
      <c r="B15" s="102"/>
      <c r="C15" s="7" t="s">
        <v>340</v>
      </c>
      <c r="D15" s="7" t="s">
        <v>341</v>
      </c>
      <c r="E15" s="8" t="s">
        <v>329</v>
      </c>
      <c r="F15" s="101" t="s">
        <v>111</v>
      </c>
      <c r="G15" s="101" t="s">
        <v>112</v>
      </c>
      <c r="H15" s="101" t="s">
        <v>111</v>
      </c>
      <c r="I15" s="101" t="s">
        <v>111</v>
      </c>
      <c r="J15" s="119"/>
      <c r="K15" s="101" t="s">
        <v>111</v>
      </c>
      <c r="L15" s="101" t="s">
        <v>112</v>
      </c>
      <c r="M15" s="101" t="s">
        <v>111</v>
      </c>
      <c r="N15" s="101" t="s">
        <v>111</v>
      </c>
      <c r="O15" s="101" t="s">
        <v>111</v>
      </c>
      <c r="P15" s="101" t="s">
        <v>111</v>
      </c>
      <c r="Q15" s="119"/>
      <c r="R15" s="101" t="s">
        <v>111</v>
      </c>
      <c r="S15" s="101" t="s">
        <v>111</v>
      </c>
      <c r="T15" s="101" t="s">
        <v>112</v>
      </c>
      <c r="U15" s="101" t="s">
        <v>112</v>
      </c>
      <c r="V15" s="101" t="s">
        <v>112</v>
      </c>
      <c r="W15" s="101" t="s">
        <v>112</v>
      </c>
      <c r="X15" s="119"/>
      <c r="Y15" s="101" t="s">
        <v>112</v>
      </c>
      <c r="Z15" s="101" t="s">
        <v>112</v>
      </c>
      <c r="AA15" s="101" t="s">
        <v>112</v>
      </c>
      <c r="AB15" s="101" t="s">
        <v>112</v>
      </c>
      <c r="AC15" s="101" t="s">
        <v>112</v>
      </c>
      <c r="AD15" s="101" t="s">
        <v>112</v>
      </c>
      <c r="AE15" s="119"/>
      <c r="AF15" s="101" t="s">
        <v>112</v>
      </c>
      <c r="AG15" s="142"/>
      <c r="AH15" s="101" t="s">
        <v>112</v>
      </c>
      <c r="AI15" s="101" t="s">
        <v>112</v>
      </c>
      <c r="AJ15" s="101" t="s">
        <v>112</v>
      </c>
      <c r="AK15" s="5">
        <f t="shared" si="1"/>
        <v>16</v>
      </c>
      <c r="AL15" s="5">
        <f t="shared" si="2"/>
        <v>10</v>
      </c>
      <c r="AM15" s="5" t="s">
        <v>16</v>
      </c>
      <c r="AN15" s="12">
        <f>AN14/AN13</f>
        <v>0.6849112426035503</v>
      </c>
      <c r="AO15" s="12">
        <f>AO14/AO13</f>
        <v>0.6775147928994083</v>
      </c>
      <c r="AP15" s="12">
        <f>AP14/AP13</f>
        <v>0.68121301775147924</v>
      </c>
    </row>
    <row r="16" spans="1:42" ht="16.5" x14ac:dyDescent="0.25">
      <c r="A16" s="9">
        <v>12</v>
      </c>
      <c r="B16" s="11"/>
      <c r="C16" s="7" t="s">
        <v>25</v>
      </c>
      <c r="D16" s="7" t="s">
        <v>297</v>
      </c>
      <c r="E16" s="8" t="s">
        <v>329</v>
      </c>
      <c r="F16" s="101" t="s">
        <v>111</v>
      </c>
      <c r="G16" s="101" t="s">
        <v>112</v>
      </c>
      <c r="H16" s="101" t="s">
        <v>112</v>
      </c>
      <c r="I16" s="101" t="s">
        <v>112</v>
      </c>
      <c r="J16" s="119"/>
      <c r="K16" s="101" t="s">
        <v>112</v>
      </c>
      <c r="L16" s="101" t="s">
        <v>112</v>
      </c>
      <c r="M16" s="101" t="s">
        <v>112</v>
      </c>
      <c r="N16" s="101" t="s">
        <v>112</v>
      </c>
      <c r="O16" s="101" t="s">
        <v>112</v>
      </c>
      <c r="P16" s="101" t="s">
        <v>112</v>
      </c>
      <c r="Q16" s="119"/>
      <c r="R16" s="101" t="s">
        <v>112</v>
      </c>
      <c r="S16" s="101" t="s">
        <v>112</v>
      </c>
      <c r="T16" s="101" t="s">
        <v>112</v>
      </c>
      <c r="U16" s="101" t="s">
        <v>112</v>
      </c>
      <c r="V16" s="101" t="s">
        <v>112</v>
      </c>
      <c r="W16" s="101" t="s">
        <v>112</v>
      </c>
      <c r="X16" s="119"/>
      <c r="Y16" s="101" t="s">
        <v>112</v>
      </c>
      <c r="Z16" s="101" t="s">
        <v>112</v>
      </c>
      <c r="AA16" s="101" t="s">
        <v>111</v>
      </c>
      <c r="AB16" s="101" t="s">
        <v>111</v>
      </c>
      <c r="AC16" s="101" t="s">
        <v>112</v>
      </c>
      <c r="AD16" s="101" t="s">
        <v>112</v>
      </c>
      <c r="AE16" s="119"/>
      <c r="AF16" s="101" t="s">
        <v>112</v>
      </c>
      <c r="AG16" s="142"/>
      <c r="AH16" s="101" t="s">
        <v>112</v>
      </c>
      <c r="AI16" s="101" t="s">
        <v>112</v>
      </c>
      <c r="AJ16" s="101" t="s">
        <v>112</v>
      </c>
      <c r="AK16" s="5">
        <f t="shared" si="1"/>
        <v>23</v>
      </c>
      <c r="AL16" s="5">
        <f t="shared" si="2"/>
        <v>3</v>
      </c>
      <c r="AM16"/>
      <c r="AN16"/>
      <c r="AO16"/>
      <c r="AP16"/>
    </row>
    <row r="17" spans="1:42" ht="16.5" x14ac:dyDescent="0.25">
      <c r="A17" s="9">
        <v>13</v>
      </c>
      <c r="B17" s="11"/>
      <c r="C17" s="7" t="s">
        <v>342</v>
      </c>
      <c r="D17" s="7" t="s">
        <v>343</v>
      </c>
      <c r="E17" s="8" t="s">
        <v>329</v>
      </c>
      <c r="F17" s="101" t="s">
        <v>112</v>
      </c>
      <c r="G17" s="101" t="s">
        <v>112</v>
      </c>
      <c r="H17" s="101" t="s">
        <v>112</v>
      </c>
      <c r="I17" s="101" t="s">
        <v>112</v>
      </c>
      <c r="J17" s="119"/>
      <c r="K17" s="101" t="s">
        <v>112</v>
      </c>
      <c r="L17" s="101" t="s">
        <v>112</v>
      </c>
      <c r="M17" s="101" t="s">
        <v>112</v>
      </c>
      <c r="N17" s="101" t="s">
        <v>112</v>
      </c>
      <c r="O17" s="101" t="s">
        <v>112</v>
      </c>
      <c r="P17" s="101" t="s">
        <v>112</v>
      </c>
      <c r="Q17" s="119"/>
      <c r="R17" s="101" t="s">
        <v>112</v>
      </c>
      <c r="S17" s="101" t="s">
        <v>112</v>
      </c>
      <c r="T17" s="101" t="s">
        <v>112</v>
      </c>
      <c r="U17" s="101" t="s">
        <v>112</v>
      </c>
      <c r="V17" s="101" t="s">
        <v>112</v>
      </c>
      <c r="W17" s="101" t="s">
        <v>112</v>
      </c>
      <c r="X17" s="119"/>
      <c r="Y17" s="101" t="s">
        <v>112</v>
      </c>
      <c r="Z17" s="101" t="s">
        <v>112</v>
      </c>
      <c r="AA17" s="101" t="s">
        <v>112</v>
      </c>
      <c r="AB17" s="101" t="s">
        <v>112</v>
      </c>
      <c r="AC17" s="101" t="s">
        <v>112</v>
      </c>
      <c r="AD17" s="101" t="s">
        <v>112</v>
      </c>
      <c r="AE17" s="119"/>
      <c r="AF17" s="101" t="s">
        <v>112</v>
      </c>
      <c r="AG17" s="142"/>
      <c r="AH17" s="101" t="s">
        <v>112</v>
      </c>
      <c r="AI17" s="101" t="s">
        <v>112</v>
      </c>
      <c r="AJ17" s="101" t="s">
        <v>112</v>
      </c>
      <c r="AK17" s="5">
        <f t="shared" si="1"/>
        <v>26</v>
      </c>
      <c r="AL17" s="5">
        <f t="shared" si="2"/>
        <v>0</v>
      </c>
      <c r="AM17"/>
      <c r="AN17"/>
      <c r="AO17"/>
      <c r="AP17"/>
    </row>
    <row r="18" spans="1:42" ht="16.5" x14ac:dyDescent="0.25">
      <c r="A18" s="9">
        <v>14</v>
      </c>
      <c r="B18" s="11"/>
      <c r="C18" s="7" t="s">
        <v>344</v>
      </c>
      <c r="D18" s="7" t="s">
        <v>140</v>
      </c>
      <c r="E18" s="8" t="s">
        <v>329</v>
      </c>
      <c r="F18" s="101" t="s">
        <v>111</v>
      </c>
      <c r="G18" s="101" t="s">
        <v>111</v>
      </c>
      <c r="H18" s="101" t="s">
        <v>111</v>
      </c>
      <c r="I18" s="101" t="s">
        <v>111</v>
      </c>
      <c r="J18" s="119"/>
      <c r="K18" s="101" t="s">
        <v>111</v>
      </c>
      <c r="L18" s="101" t="s">
        <v>111</v>
      </c>
      <c r="M18" s="101" t="s">
        <v>112</v>
      </c>
      <c r="N18" s="101" t="s">
        <v>112</v>
      </c>
      <c r="O18" s="101" t="s">
        <v>112</v>
      </c>
      <c r="P18" s="101" t="s">
        <v>111</v>
      </c>
      <c r="Q18" s="119"/>
      <c r="R18" s="101" t="s">
        <v>111</v>
      </c>
      <c r="S18" s="101" t="s">
        <v>112</v>
      </c>
      <c r="T18" s="101" t="s">
        <v>112</v>
      </c>
      <c r="U18" s="101" t="s">
        <v>112</v>
      </c>
      <c r="V18" s="101" t="s">
        <v>112</v>
      </c>
      <c r="W18" s="101" t="s">
        <v>111</v>
      </c>
      <c r="X18" s="119"/>
      <c r="Y18" s="101" t="s">
        <v>112</v>
      </c>
      <c r="Z18" s="101" t="s">
        <v>112</v>
      </c>
      <c r="AA18" s="101" t="s">
        <v>112</v>
      </c>
      <c r="AB18" s="101" t="s">
        <v>111</v>
      </c>
      <c r="AC18" s="101" t="s">
        <v>112</v>
      </c>
      <c r="AD18" s="101" t="s">
        <v>112</v>
      </c>
      <c r="AE18" s="119"/>
      <c r="AF18" s="101" t="s">
        <v>111</v>
      </c>
      <c r="AG18" s="142"/>
      <c r="AH18" s="101" t="s">
        <v>112</v>
      </c>
      <c r="AI18" s="101" t="s">
        <v>112</v>
      </c>
      <c r="AJ18" s="101" t="s">
        <v>112</v>
      </c>
      <c r="AK18" s="5">
        <f t="shared" si="1"/>
        <v>15</v>
      </c>
      <c r="AL18" s="5">
        <f t="shared" si="2"/>
        <v>11</v>
      </c>
      <c r="AM18"/>
      <c r="AN18"/>
      <c r="AO18"/>
      <c r="AP18"/>
    </row>
    <row r="19" spans="1:42" ht="16.5" x14ac:dyDescent="0.25">
      <c r="A19" s="9">
        <v>15</v>
      </c>
      <c r="B19" s="11"/>
      <c r="C19" s="7" t="s">
        <v>345</v>
      </c>
      <c r="D19" s="7" t="s">
        <v>346</v>
      </c>
      <c r="E19" s="8" t="s">
        <v>329</v>
      </c>
      <c r="F19" s="101" t="s">
        <v>111</v>
      </c>
      <c r="G19" s="101" t="s">
        <v>111</v>
      </c>
      <c r="H19" s="101" t="s">
        <v>111</v>
      </c>
      <c r="I19" s="101" t="s">
        <v>111</v>
      </c>
      <c r="J19" s="119"/>
      <c r="K19" s="101" t="s">
        <v>112</v>
      </c>
      <c r="L19" s="101" t="s">
        <v>111</v>
      </c>
      <c r="M19" s="101" t="s">
        <v>111</v>
      </c>
      <c r="N19" s="101" t="s">
        <v>112</v>
      </c>
      <c r="O19" s="101" t="s">
        <v>112</v>
      </c>
      <c r="P19" s="101" t="s">
        <v>112</v>
      </c>
      <c r="Q19" s="119"/>
      <c r="R19" s="101" t="s">
        <v>112</v>
      </c>
      <c r="S19" s="101" t="s">
        <v>112</v>
      </c>
      <c r="T19" s="101" t="s">
        <v>112</v>
      </c>
      <c r="U19" s="101" t="s">
        <v>112</v>
      </c>
      <c r="V19" s="101" t="s">
        <v>112</v>
      </c>
      <c r="W19" s="101" t="s">
        <v>112</v>
      </c>
      <c r="X19" s="119"/>
      <c r="Y19" s="101" t="s">
        <v>112</v>
      </c>
      <c r="Z19" s="101" t="s">
        <v>112</v>
      </c>
      <c r="AA19" s="101" t="s">
        <v>112</v>
      </c>
      <c r="AB19" s="101" t="s">
        <v>112</v>
      </c>
      <c r="AC19" s="101" t="s">
        <v>112</v>
      </c>
      <c r="AD19" s="101" t="s">
        <v>112</v>
      </c>
      <c r="AE19" s="119"/>
      <c r="AF19" s="101" t="s">
        <v>111</v>
      </c>
      <c r="AG19" s="142"/>
      <c r="AH19" s="101" t="s">
        <v>111</v>
      </c>
      <c r="AI19" s="101" t="s">
        <v>112</v>
      </c>
      <c r="AJ19" s="101" t="s">
        <v>112</v>
      </c>
      <c r="AK19" s="5">
        <f t="shared" si="1"/>
        <v>18</v>
      </c>
      <c r="AL19" s="5">
        <f t="shared" si="2"/>
        <v>8</v>
      </c>
      <c r="AM19" s="110" t="s">
        <v>128</v>
      </c>
      <c r="AN19" s="111"/>
      <c r="AO19" s="111"/>
      <c r="AP19" s="112"/>
    </row>
    <row r="20" spans="1:42" ht="16.5" x14ac:dyDescent="0.25">
      <c r="A20" s="9">
        <v>16</v>
      </c>
      <c r="B20" s="11"/>
      <c r="C20" s="7" t="s">
        <v>347</v>
      </c>
      <c r="D20" s="7" t="s">
        <v>348</v>
      </c>
      <c r="E20" s="8" t="s">
        <v>329</v>
      </c>
      <c r="F20" s="101" t="s">
        <v>111</v>
      </c>
      <c r="G20" s="101" t="s">
        <v>112</v>
      </c>
      <c r="H20" s="101" t="s">
        <v>112</v>
      </c>
      <c r="I20" s="101" t="s">
        <v>112</v>
      </c>
      <c r="J20" s="119"/>
      <c r="K20" s="101" t="s">
        <v>112</v>
      </c>
      <c r="L20" s="101" t="s">
        <v>112</v>
      </c>
      <c r="M20" s="101" t="s">
        <v>112</v>
      </c>
      <c r="N20" s="101" t="s">
        <v>112</v>
      </c>
      <c r="O20" s="101" t="s">
        <v>112</v>
      </c>
      <c r="P20" s="101" t="s">
        <v>112</v>
      </c>
      <c r="Q20" s="119"/>
      <c r="R20" s="101" t="s">
        <v>112</v>
      </c>
      <c r="S20" s="101" t="s">
        <v>112</v>
      </c>
      <c r="T20" s="101" t="s">
        <v>112</v>
      </c>
      <c r="U20" s="101" t="s">
        <v>112</v>
      </c>
      <c r="V20" s="101" t="s">
        <v>112</v>
      </c>
      <c r="W20" s="101" t="s">
        <v>112</v>
      </c>
      <c r="X20" s="119"/>
      <c r="Y20" s="101" t="s">
        <v>112</v>
      </c>
      <c r="Z20" s="101" t="s">
        <v>112</v>
      </c>
      <c r="AA20" s="101" t="s">
        <v>112</v>
      </c>
      <c r="AB20" s="101" t="s">
        <v>112</v>
      </c>
      <c r="AC20" s="101" t="s">
        <v>112</v>
      </c>
      <c r="AD20" s="101" t="s">
        <v>112</v>
      </c>
      <c r="AE20" s="119"/>
      <c r="AF20" s="101" t="s">
        <v>111</v>
      </c>
      <c r="AG20" s="142"/>
      <c r="AH20" s="101" t="s">
        <v>112</v>
      </c>
      <c r="AI20" s="101" t="s">
        <v>112</v>
      </c>
      <c r="AJ20" s="101" t="s">
        <v>112</v>
      </c>
      <c r="AK20" s="5">
        <f t="shared" si="1"/>
        <v>24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9">
        <v>17</v>
      </c>
      <c r="B21" s="11"/>
      <c r="C21" s="7" t="s">
        <v>349</v>
      </c>
      <c r="D21" s="7" t="s">
        <v>229</v>
      </c>
      <c r="E21" s="8" t="s">
        <v>329</v>
      </c>
      <c r="F21" s="101" t="s">
        <v>111</v>
      </c>
      <c r="G21" s="101" t="s">
        <v>111</v>
      </c>
      <c r="H21" s="101" t="s">
        <v>111</v>
      </c>
      <c r="I21" s="101" t="s">
        <v>111</v>
      </c>
      <c r="J21" s="119"/>
      <c r="K21" s="101" t="s">
        <v>111</v>
      </c>
      <c r="L21" s="101" t="s">
        <v>112</v>
      </c>
      <c r="M21" s="101" t="s">
        <v>112</v>
      </c>
      <c r="N21" s="101" t="s">
        <v>112</v>
      </c>
      <c r="O21" s="101" t="s">
        <v>112</v>
      </c>
      <c r="P21" s="101" t="s">
        <v>112</v>
      </c>
      <c r="Q21" s="119"/>
      <c r="R21" s="101" t="s">
        <v>112</v>
      </c>
      <c r="S21" s="101" t="s">
        <v>112</v>
      </c>
      <c r="T21" s="101" t="s">
        <v>112</v>
      </c>
      <c r="U21" s="101" t="s">
        <v>112</v>
      </c>
      <c r="V21" s="101" t="s">
        <v>112</v>
      </c>
      <c r="W21" s="101" t="s">
        <v>112</v>
      </c>
      <c r="X21" s="119"/>
      <c r="Y21" s="101" t="s">
        <v>112</v>
      </c>
      <c r="Z21" s="101" t="s">
        <v>112</v>
      </c>
      <c r="AA21" s="101" t="s">
        <v>112</v>
      </c>
      <c r="AB21" s="101" t="s">
        <v>112</v>
      </c>
      <c r="AC21" s="101" t="s">
        <v>111</v>
      </c>
      <c r="AD21" s="101" t="s">
        <v>111</v>
      </c>
      <c r="AE21" s="119"/>
      <c r="AF21" s="101" t="s">
        <v>112</v>
      </c>
      <c r="AG21" s="142"/>
      <c r="AH21" s="101" t="s">
        <v>112</v>
      </c>
      <c r="AI21" s="101" t="s">
        <v>111</v>
      </c>
      <c r="AJ21" s="101" t="s">
        <v>111</v>
      </c>
      <c r="AK21" s="5">
        <f t="shared" si="1"/>
        <v>17</v>
      </c>
      <c r="AL21" s="5">
        <f t="shared" si="2"/>
        <v>9</v>
      </c>
      <c r="AM21" s="5" t="s">
        <v>14</v>
      </c>
      <c r="AN21" s="9">
        <f>26*$AN$5</f>
        <v>676</v>
      </c>
      <c r="AO21" s="9">
        <f>26*$AN$5</f>
        <v>676</v>
      </c>
      <c r="AP21" s="9">
        <f>AN21+AO21</f>
        <v>1352</v>
      </c>
    </row>
    <row r="22" spans="1:42" ht="16.5" x14ac:dyDescent="0.25">
      <c r="A22" s="9">
        <v>18</v>
      </c>
      <c r="B22" s="11"/>
      <c r="C22" s="7" t="s">
        <v>350</v>
      </c>
      <c r="D22" s="7" t="s">
        <v>136</v>
      </c>
      <c r="E22" s="8" t="s">
        <v>329</v>
      </c>
      <c r="F22" s="101" t="s">
        <v>111</v>
      </c>
      <c r="G22" s="101" t="s">
        <v>111</v>
      </c>
      <c r="H22" s="101" t="s">
        <v>112</v>
      </c>
      <c r="I22" s="101" t="s">
        <v>112</v>
      </c>
      <c r="J22" s="119"/>
      <c r="K22" s="101" t="s">
        <v>112</v>
      </c>
      <c r="L22" s="101" t="s">
        <v>112</v>
      </c>
      <c r="M22" s="101" t="s">
        <v>112</v>
      </c>
      <c r="N22" s="101" t="s">
        <v>112</v>
      </c>
      <c r="O22" s="101" t="s">
        <v>112</v>
      </c>
      <c r="P22" s="101" t="s">
        <v>112</v>
      </c>
      <c r="Q22" s="119"/>
      <c r="R22" s="101" t="s">
        <v>111</v>
      </c>
      <c r="S22" s="101" t="s">
        <v>111</v>
      </c>
      <c r="T22" s="101" t="s">
        <v>111</v>
      </c>
      <c r="U22" s="101" t="s">
        <v>111</v>
      </c>
      <c r="V22" s="101" t="s">
        <v>111</v>
      </c>
      <c r="W22" s="101" t="s">
        <v>111</v>
      </c>
      <c r="X22" s="119"/>
      <c r="Y22" s="101" t="s">
        <v>111</v>
      </c>
      <c r="Z22" s="101" t="s">
        <v>111</v>
      </c>
      <c r="AA22" s="101" t="s">
        <v>111</v>
      </c>
      <c r="AB22" s="101" t="s">
        <v>111</v>
      </c>
      <c r="AC22" s="101" t="s">
        <v>111</v>
      </c>
      <c r="AD22" s="101" t="s">
        <v>112</v>
      </c>
      <c r="AE22" s="119"/>
      <c r="AF22" s="101" t="s">
        <v>112</v>
      </c>
      <c r="AG22" s="142"/>
      <c r="AH22" s="101" t="s">
        <v>112</v>
      </c>
      <c r="AI22" s="101" t="s">
        <v>112</v>
      </c>
      <c r="AJ22" s="101" t="s">
        <v>112</v>
      </c>
      <c r="AK22" s="5">
        <f t="shared" si="1"/>
        <v>13</v>
      </c>
      <c r="AL22" s="5">
        <f t="shared" si="2"/>
        <v>13</v>
      </c>
      <c r="AM22" s="5" t="s">
        <v>17</v>
      </c>
      <c r="AN22" s="9">
        <f>AN21-AN14</f>
        <v>213</v>
      </c>
      <c r="AO22" s="9">
        <f>AO21-AO14</f>
        <v>218</v>
      </c>
      <c r="AP22" s="9">
        <f>AN22+AO22</f>
        <v>431</v>
      </c>
    </row>
    <row r="23" spans="1:42" ht="16.5" x14ac:dyDescent="0.25">
      <c r="A23" s="9">
        <v>19</v>
      </c>
      <c r="B23" s="11"/>
      <c r="C23" s="7" t="s">
        <v>351</v>
      </c>
      <c r="D23" s="7" t="s">
        <v>352</v>
      </c>
      <c r="E23" s="8" t="s">
        <v>329</v>
      </c>
      <c r="F23" s="101" t="s">
        <v>111</v>
      </c>
      <c r="G23" s="101" t="s">
        <v>112</v>
      </c>
      <c r="H23" s="101" t="s">
        <v>112</v>
      </c>
      <c r="I23" s="101" t="s">
        <v>112</v>
      </c>
      <c r="J23" s="119"/>
      <c r="K23" s="101" t="s">
        <v>112</v>
      </c>
      <c r="L23" s="101" t="s">
        <v>112</v>
      </c>
      <c r="M23" s="101" t="s">
        <v>112</v>
      </c>
      <c r="N23" s="101" t="s">
        <v>112</v>
      </c>
      <c r="O23" s="101" t="s">
        <v>112</v>
      </c>
      <c r="P23" s="101" t="s">
        <v>112</v>
      </c>
      <c r="Q23" s="119"/>
      <c r="R23" s="101" t="s">
        <v>112</v>
      </c>
      <c r="S23" s="101" t="s">
        <v>112</v>
      </c>
      <c r="T23" s="101" t="s">
        <v>112</v>
      </c>
      <c r="U23" s="101" t="s">
        <v>112</v>
      </c>
      <c r="V23" s="101" t="s">
        <v>112</v>
      </c>
      <c r="W23" s="101" t="s">
        <v>112</v>
      </c>
      <c r="X23" s="119"/>
      <c r="Y23" s="101" t="s">
        <v>112</v>
      </c>
      <c r="Z23" s="101" t="s">
        <v>112</v>
      </c>
      <c r="AA23" s="101" t="s">
        <v>112</v>
      </c>
      <c r="AB23" s="101" t="s">
        <v>112</v>
      </c>
      <c r="AC23" s="101" t="s">
        <v>112</v>
      </c>
      <c r="AD23" s="101" t="s">
        <v>112</v>
      </c>
      <c r="AE23" s="119"/>
      <c r="AF23" s="101" t="s">
        <v>112</v>
      </c>
      <c r="AG23" s="142"/>
      <c r="AH23" s="101" t="s">
        <v>112</v>
      </c>
      <c r="AI23" s="101" t="s">
        <v>112</v>
      </c>
      <c r="AJ23" s="101" t="s">
        <v>112</v>
      </c>
      <c r="AK23" s="5">
        <f t="shared" si="1"/>
        <v>25</v>
      </c>
      <c r="AL23" s="5">
        <f t="shared" si="2"/>
        <v>1</v>
      </c>
      <c r="AM23" s="5" t="s">
        <v>16</v>
      </c>
      <c r="AN23" s="12">
        <f>AN22/AN21</f>
        <v>0.3150887573964497</v>
      </c>
      <c r="AO23" s="12">
        <f>AO22/AO21</f>
        <v>0.3224852071005917</v>
      </c>
      <c r="AP23" s="12">
        <f>AP22/AP21</f>
        <v>0.3187869822485207</v>
      </c>
    </row>
    <row r="24" spans="1:42" ht="16.5" x14ac:dyDescent="0.25">
      <c r="A24" s="9">
        <v>20</v>
      </c>
      <c r="B24" s="11"/>
      <c r="C24" s="7" t="s">
        <v>353</v>
      </c>
      <c r="D24" s="7" t="s">
        <v>354</v>
      </c>
      <c r="E24" s="8" t="s">
        <v>329</v>
      </c>
      <c r="F24" s="101" t="s">
        <v>111</v>
      </c>
      <c r="G24" s="101" t="s">
        <v>112</v>
      </c>
      <c r="H24" s="101" t="s">
        <v>112</v>
      </c>
      <c r="I24" s="101" t="s">
        <v>112</v>
      </c>
      <c r="J24" s="119"/>
      <c r="K24" s="101" t="s">
        <v>111</v>
      </c>
      <c r="L24" s="101" t="s">
        <v>112</v>
      </c>
      <c r="M24" s="101" t="s">
        <v>112</v>
      </c>
      <c r="N24" s="101" t="s">
        <v>112</v>
      </c>
      <c r="O24" s="101" t="s">
        <v>112</v>
      </c>
      <c r="P24" s="101" t="s">
        <v>112</v>
      </c>
      <c r="Q24" s="119"/>
      <c r="R24" s="101" t="s">
        <v>112</v>
      </c>
      <c r="S24" s="101" t="s">
        <v>111</v>
      </c>
      <c r="T24" s="101" t="s">
        <v>112</v>
      </c>
      <c r="U24" s="101" t="s">
        <v>112</v>
      </c>
      <c r="V24" s="101" t="s">
        <v>112</v>
      </c>
      <c r="W24" s="101" t="s">
        <v>112</v>
      </c>
      <c r="X24" s="119"/>
      <c r="Y24" s="101" t="s">
        <v>112</v>
      </c>
      <c r="Z24" s="101" t="s">
        <v>112</v>
      </c>
      <c r="AA24" s="101" t="s">
        <v>112</v>
      </c>
      <c r="AB24" s="101" t="s">
        <v>111</v>
      </c>
      <c r="AC24" s="101" t="s">
        <v>112</v>
      </c>
      <c r="AD24" s="101" t="s">
        <v>112</v>
      </c>
      <c r="AE24" s="119"/>
      <c r="AF24" s="101" t="s">
        <v>112</v>
      </c>
      <c r="AG24" s="142"/>
      <c r="AH24" s="101" t="s">
        <v>112</v>
      </c>
      <c r="AI24" s="101" t="s">
        <v>112</v>
      </c>
      <c r="AJ24" s="101" t="s">
        <v>112</v>
      </c>
      <c r="AK24" s="5">
        <f t="shared" si="1"/>
        <v>22</v>
      </c>
      <c r="AL24" s="5">
        <f t="shared" si="2"/>
        <v>4</v>
      </c>
    </row>
    <row r="25" spans="1:42" ht="16.5" x14ac:dyDescent="0.25">
      <c r="A25" s="9">
        <v>21</v>
      </c>
      <c r="B25" s="11"/>
      <c r="C25" s="7" t="s">
        <v>355</v>
      </c>
      <c r="D25" s="7" t="s">
        <v>140</v>
      </c>
      <c r="E25" s="8" t="s">
        <v>329</v>
      </c>
      <c r="F25" s="101" t="s">
        <v>111</v>
      </c>
      <c r="G25" s="101" t="s">
        <v>112</v>
      </c>
      <c r="H25" s="101" t="s">
        <v>111</v>
      </c>
      <c r="I25" s="101" t="s">
        <v>111</v>
      </c>
      <c r="J25" s="119"/>
      <c r="K25" s="101" t="s">
        <v>112</v>
      </c>
      <c r="L25" s="101" t="s">
        <v>112</v>
      </c>
      <c r="M25" s="101" t="s">
        <v>112</v>
      </c>
      <c r="N25" s="101" t="s">
        <v>112</v>
      </c>
      <c r="O25" s="101" t="s">
        <v>112</v>
      </c>
      <c r="P25" s="101" t="s">
        <v>830</v>
      </c>
      <c r="Q25" s="119"/>
      <c r="R25" s="101" t="s">
        <v>111</v>
      </c>
      <c r="S25" s="101" t="s">
        <v>111</v>
      </c>
      <c r="T25" s="101" t="s">
        <v>111</v>
      </c>
      <c r="U25" s="101" t="s">
        <v>111</v>
      </c>
      <c r="V25" s="101" t="s">
        <v>111</v>
      </c>
      <c r="W25" s="101" t="s">
        <v>111</v>
      </c>
      <c r="X25" s="119"/>
      <c r="Y25" s="101" t="s">
        <v>111</v>
      </c>
      <c r="Z25" s="101" t="s">
        <v>111</v>
      </c>
      <c r="AA25" s="101" t="s">
        <v>111</v>
      </c>
      <c r="AB25" s="101" t="s">
        <v>111</v>
      </c>
      <c r="AC25" s="101" t="s">
        <v>111</v>
      </c>
      <c r="AD25" s="101" t="s">
        <v>111</v>
      </c>
      <c r="AE25" s="119"/>
      <c r="AF25" s="101" t="s">
        <v>112</v>
      </c>
      <c r="AG25" s="142"/>
      <c r="AH25" s="101" t="s">
        <v>112</v>
      </c>
      <c r="AI25" s="101" t="s">
        <v>112</v>
      </c>
      <c r="AJ25" s="101" t="s">
        <v>112</v>
      </c>
      <c r="AK25" s="5">
        <f t="shared" si="1"/>
        <v>10</v>
      </c>
      <c r="AL25" s="5">
        <f t="shared" si="2"/>
        <v>15</v>
      </c>
    </row>
    <row r="26" spans="1:42" ht="16.5" x14ac:dyDescent="0.25">
      <c r="A26" s="9">
        <v>22</v>
      </c>
      <c r="B26" s="11"/>
      <c r="C26" s="7" t="s">
        <v>357</v>
      </c>
      <c r="D26" s="7" t="s">
        <v>138</v>
      </c>
      <c r="E26" s="8" t="s">
        <v>329</v>
      </c>
      <c r="F26" s="101" t="s">
        <v>111</v>
      </c>
      <c r="G26" s="101" t="s">
        <v>112</v>
      </c>
      <c r="H26" s="101" t="s">
        <v>112</v>
      </c>
      <c r="I26" s="101" t="s">
        <v>112</v>
      </c>
      <c r="J26" s="119"/>
      <c r="K26" s="101" t="s">
        <v>112</v>
      </c>
      <c r="L26" s="101" t="s">
        <v>112</v>
      </c>
      <c r="M26" s="101" t="s">
        <v>112</v>
      </c>
      <c r="N26" s="101" t="s">
        <v>112</v>
      </c>
      <c r="O26" s="101" t="s">
        <v>112</v>
      </c>
      <c r="P26" s="101" t="s">
        <v>112</v>
      </c>
      <c r="Q26" s="119"/>
      <c r="R26" s="101" t="s">
        <v>112</v>
      </c>
      <c r="S26" s="101" t="s">
        <v>112</v>
      </c>
      <c r="T26" s="101" t="s">
        <v>112</v>
      </c>
      <c r="U26" s="101" t="s">
        <v>112</v>
      </c>
      <c r="V26" s="101" t="s">
        <v>112</v>
      </c>
      <c r="W26" s="101" t="s">
        <v>112</v>
      </c>
      <c r="X26" s="119"/>
      <c r="Y26" s="101" t="s">
        <v>112</v>
      </c>
      <c r="Z26" s="101" t="s">
        <v>111</v>
      </c>
      <c r="AA26" s="101" t="s">
        <v>112</v>
      </c>
      <c r="AB26" s="101" t="s">
        <v>112</v>
      </c>
      <c r="AC26" s="101" t="s">
        <v>111</v>
      </c>
      <c r="AD26" s="101" t="s">
        <v>112</v>
      </c>
      <c r="AE26" s="119"/>
      <c r="AF26" s="101" t="s">
        <v>112</v>
      </c>
      <c r="AG26" s="142"/>
      <c r="AH26" s="101" t="s">
        <v>112</v>
      </c>
      <c r="AI26" s="101" t="s">
        <v>112</v>
      </c>
      <c r="AJ26" s="101" t="s">
        <v>112</v>
      </c>
      <c r="AK26" s="5">
        <f t="shared" si="1"/>
        <v>23</v>
      </c>
      <c r="AL26" s="5">
        <f t="shared" si="2"/>
        <v>3</v>
      </c>
    </row>
    <row r="27" spans="1:42" ht="16.5" x14ac:dyDescent="0.25">
      <c r="A27" s="9">
        <v>23</v>
      </c>
      <c r="B27" s="11"/>
      <c r="C27" s="7" t="s">
        <v>264</v>
      </c>
      <c r="D27" s="7" t="s">
        <v>184</v>
      </c>
      <c r="E27" s="8" t="s">
        <v>329</v>
      </c>
      <c r="F27" s="101" t="s">
        <v>111</v>
      </c>
      <c r="G27" s="101" t="s">
        <v>112</v>
      </c>
      <c r="H27" s="101" t="s">
        <v>112</v>
      </c>
      <c r="I27" s="101" t="s">
        <v>112</v>
      </c>
      <c r="J27" s="119"/>
      <c r="K27" s="101" t="s">
        <v>112</v>
      </c>
      <c r="L27" s="101" t="s">
        <v>112</v>
      </c>
      <c r="M27" s="101" t="s">
        <v>112</v>
      </c>
      <c r="N27" s="101" t="s">
        <v>112</v>
      </c>
      <c r="O27" s="101" t="s">
        <v>112</v>
      </c>
      <c r="P27" s="101" t="s">
        <v>112</v>
      </c>
      <c r="Q27" s="119"/>
      <c r="R27" s="101" t="s">
        <v>111</v>
      </c>
      <c r="S27" s="101" t="s">
        <v>112</v>
      </c>
      <c r="T27" s="101" t="s">
        <v>112</v>
      </c>
      <c r="U27" s="101" t="s">
        <v>112</v>
      </c>
      <c r="V27" s="101" t="s">
        <v>112</v>
      </c>
      <c r="W27" s="101" t="s">
        <v>112</v>
      </c>
      <c r="X27" s="119"/>
      <c r="Y27" s="101" t="s">
        <v>112</v>
      </c>
      <c r="Z27" s="101" t="s">
        <v>112</v>
      </c>
      <c r="AA27" s="101" t="s">
        <v>112</v>
      </c>
      <c r="AB27" s="101" t="s">
        <v>112</v>
      </c>
      <c r="AC27" s="101" t="s">
        <v>112</v>
      </c>
      <c r="AD27" s="101" t="s">
        <v>112</v>
      </c>
      <c r="AE27" s="119"/>
      <c r="AF27" s="101" t="s">
        <v>112</v>
      </c>
      <c r="AG27" s="142"/>
      <c r="AH27" s="101" t="s">
        <v>112</v>
      </c>
      <c r="AI27" s="101" t="s">
        <v>112</v>
      </c>
      <c r="AJ27" s="101" t="s">
        <v>112</v>
      </c>
      <c r="AK27" s="5">
        <f t="shared" si="1"/>
        <v>24</v>
      </c>
      <c r="AL27" s="5">
        <f t="shared" si="2"/>
        <v>2</v>
      </c>
    </row>
    <row r="28" spans="1:42" ht="16.5" x14ac:dyDescent="0.25">
      <c r="A28" s="9">
        <v>24</v>
      </c>
      <c r="B28" s="11"/>
      <c r="C28" s="7" t="s">
        <v>334</v>
      </c>
      <c r="D28" s="7" t="s">
        <v>335</v>
      </c>
      <c r="E28" s="8" t="s">
        <v>329</v>
      </c>
      <c r="F28" s="101" t="s">
        <v>111</v>
      </c>
      <c r="G28" s="101" t="s">
        <v>111</v>
      </c>
      <c r="H28" s="101" t="s">
        <v>111</v>
      </c>
      <c r="I28" s="101" t="s">
        <v>111</v>
      </c>
      <c r="J28" s="119"/>
      <c r="K28" s="101" t="s">
        <v>111</v>
      </c>
      <c r="L28" s="101" t="s">
        <v>111</v>
      </c>
      <c r="M28" s="101" t="s">
        <v>111</v>
      </c>
      <c r="N28" s="101" t="s">
        <v>111</v>
      </c>
      <c r="O28" s="101" t="s">
        <v>111</v>
      </c>
      <c r="P28" s="101" t="s">
        <v>111</v>
      </c>
      <c r="Q28" s="119"/>
      <c r="R28" s="101" t="s">
        <v>111</v>
      </c>
      <c r="S28" s="101" t="s">
        <v>111</v>
      </c>
      <c r="T28" s="101" t="s">
        <v>111</v>
      </c>
      <c r="U28" s="101" t="s">
        <v>111</v>
      </c>
      <c r="V28" s="101" t="s">
        <v>111</v>
      </c>
      <c r="W28" s="101" t="s">
        <v>111</v>
      </c>
      <c r="X28" s="119"/>
      <c r="Y28" s="101" t="s">
        <v>111</v>
      </c>
      <c r="Z28" s="101" t="s">
        <v>111</v>
      </c>
      <c r="AA28" s="101" t="s">
        <v>111</v>
      </c>
      <c r="AB28" s="101" t="s">
        <v>111</v>
      </c>
      <c r="AC28" s="101" t="s">
        <v>111</v>
      </c>
      <c r="AD28" s="101" t="s">
        <v>111</v>
      </c>
      <c r="AE28" s="119"/>
      <c r="AF28" s="101" t="s">
        <v>111</v>
      </c>
      <c r="AG28" s="142"/>
      <c r="AH28" s="101" t="s">
        <v>111</v>
      </c>
      <c r="AI28" s="101" t="s">
        <v>111</v>
      </c>
      <c r="AJ28" s="101" t="s">
        <v>111</v>
      </c>
      <c r="AK28" s="5">
        <f t="shared" si="1"/>
        <v>0</v>
      </c>
      <c r="AL28" s="5">
        <f t="shared" si="2"/>
        <v>26</v>
      </c>
    </row>
    <row r="29" spans="1:42" ht="16.5" x14ac:dyDescent="0.25">
      <c r="A29" s="9">
        <v>25</v>
      </c>
      <c r="B29" s="11"/>
      <c r="C29" s="7" t="s">
        <v>271</v>
      </c>
      <c r="D29" s="7" t="s">
        <v>337</v>
      </c>
      <c r="E29" s="8" t="s">
        <v>329</v>
      </c>
      <c r="F29" s="101" t="s">
        <v>111</v>
      </c>
      <c r="G29" s="101" t="s">
        <v>111</v>
      </c>
      <c r="H29" s="101" t="s">
        <v>111</v>
      </c>
      <c r="I29" s="101" t="s">
        <v>111</v>
      </c>
      <c r="J29" s="119"/>
      <c r="K29" s="101" t="s">
        <v>111</v>
      </c>
      <c r="L29" s="101" t="s">
        <v>111</v>
      </c>
      <c r="M29" s="101" t="s">
        <v>111</v>
      </c>
      <c r="N29" s="101" t="s">
        <v>111</v>
      </c>
      <c r="O29" s="101" t="s">
        <v>111</v>
      </c>
      <c r="P29" s="101" t="s">
        <v>111</v>
      </c>
      <c r="Q29" s="119"/>
      <c r="R29" s="101" t="s">
        <v>111</v>
      </c>
      <c r="S29" s="101" t="s">
        <v>111</v>
      </c>
      <c r="T29" s="101" t="s">
        <v>111</v>
      </c>
      <c r="U29" s="101" t="s">
        <v>111</v>
      </c>
      <c r="V29" s="101" t="s">
        <v>111</v>
      </c>
      <c r="W29" s="101" t="s">
        <v>111</v>
      </c>
      <c r="X29" s="119"/>
      <c r="Y29" s="101" t="s">
        <v>111</v>
      </c>
      <c r="Z29" s="101" t="s">
        <v>111</v>
      </c>
      <c r="AA29" s="101" t="s">
        <v>111</v>
      </c>
      <c r="AB29" s="101" t="s">
        <v>111</v>
      </c>
      <c r="AC29" s="101" t="s">
        <v>111</v>
      </c>
      <c r="AD29" s="101" t="s">
        <v>111</v>
      </c>
      <c r="AE29" s="119"/>
      <c r="AF29" s="101" t="s">
        <v>111</v>
      </c>
      <c r="AG29" s="142"/>
      <c r="AH29" s="101" t="s">
        <v>111</v>
      </c>
      <c r="AI29" s="101" t="s">
        <v>111</v>
      </c>
      <c r="AJ29" s="101" t="s">
        <v>111</v>
      </c>
      <c r="AK29" s="5">
        <f t="shared" si="1"/>
        <v>0</v>
      </c>
      <c r="AL29" s="5">
        <f t="shared" si="2"/>
        <v>26</v>
      </c>
    </row>
    <row r="30" spans="1:42" ht="16.5" x14ac:dyDescent="0.25">
      <c r="A30" s="9">
        <v>26</v>
      </c>
      <c r="B30" s="11"/>
      <c r="C30" s="7" t="s">
        <v>356</v>
      </c>
      <c r="D30" s="7" t="s">
        <v>203</v>
      </c>
      <c r="E30" s="8" t="s">
        <v>329</v>
      </c>
      <c r="F30" s="101" t="s">
        <v>111</v>
      </c>
      <c r="G30" s="101" t="s">
        <v>111</v>
      </c>
      <c r="H30" s="101" t="s">
        <v>111</v>
      </c>
      <c r="I30" s="101" t="s">
        <v>111</v>
      </c>
      <c r="J30" s="119"/>
      <c r="K30" s="101" t="s">
        <v>111</v>
      </c>
      <c r="L30" s="101" t="s">
        <v>111</v>
      </c>
      <c r="M30" s="101" t="s">
        <v>111</v>
      </c>
      <c r="N30" s="101" t="s">
        <v>111</v>
      </c>
      <c r="O30" s="101" t="s">
        <v>111</v>
      </c>
      <c r="P30" s="101" t="s">
        <v>111</v>
      </c>
      <c r="Q30" s="119"/>
      <c r="R30" s="101" t="s">
        <v>111</v>
      </c>
      <c r="S30" s="101" t="s">
        <v>111</v>
      </c>
      <c r="T30" s="101" t="s">
        <v>111</v>
      </c>
      <c r="U30" s="101" t="s">
        <v>111</v>
      </c>
      <c r="V30" s="101" t="s">
        <v>111</v>
      </c>
      <c r="W30" s="101" t="s">
        <v>111</v>
      </c>
      <c r="X30" s="119"/>
      <c r="Y30" s="101" t="s">
        <v>111</v>
      </c>
      <c r="Z30" s="101" t="s">
        <v>111</v>
      </c>
      <c r="AA30" s="101" t="s">
        <v>111</v>
      </c>
      <c r="AB30" s="101" t="s">
        <v>111</v>
      </c>
      <c r="AC30" s="101" t="s">
        <v>111</v>
      </c>
      <c r="AD30" s="101" t="s">
        <v>111</v>
      </c>
      <c r="AE30" s="119"/>
      <c r="AF30" s="101" t="s">
        <v>111</v>
      </c>
      <c r="AG30" s="142"/>
      <c r="AH30" s="101" t="s">
        <v>111</v>
      </c>
      <c r="AI30" s="101" t="s">
        <v>111</v>
      </c>
      <c r="AJ30" s="101" t="s">
        <v>111</v>
      </c>
      <c r="AK30" s="5">
        <f t="shared" si="1"/>
        <v>0</v>
      </c>
      <c r="AL30" s="5">
        <f t="shared" si="2"/>
        <v>26</v>
      </c>
    </row>
    <row r="31" spans="1:42" ht="16.5" customHeight="1" x14ac:dyDescent="0.25">
      <c r="A31" s="9">
        <v>1</v>
      </c>
      <c r="B31" s="11"/>
      <c r="C31" s="18" t="s">
        <v>358</v>
      </c>
      <c r="D31" s="19" t="s">
        <v>359</v>
      </c>
      <c r="E31" s="20" t="s">
        <v>329</v>
      </c>
      <c r="F31" s="101" t="s">
        <v>112</v>
      </c>
      <c r="G31" s="101" t="s">
        <v>112</v>
      </c>
      <c r="H31" s="101" t="s">
        <v>112</v>
      </c>
      <c r="I31" s="101" t="s">
        <v>112</v>
      </c>
      <c r="J31" s="119"/>
      <c r="K31" s="101" t="s">
        <v>112</v>
      </c>
      <c r="L31" s="101" t="s">
        <v>112</v>
      </c>
      <c r="M31" s="101" t="s">
        <v>112</v>
      </c>
      <c r="N31" s="101" t="s">
        <v>112</v>
      </c>
      <c r="O31" s="101" t="s">
        <v>112</v>
      </c>
      <c r="P31" s="101" t="s">
        <v>112</v>
      </c>
      <c r="Q31" s="119"/>
      <c r="R31" s="101" t="s">
        <v>112</v>
      </c>
      <c r="S31" s="101" t="s">
        <v>112</v>
      </c>
      <c r="T31" s="101" t="s">
        <v>112</v>
      </c>
      <c r="U31" s="101" t="s">
        <v>112</v>
      </c>
      <c r="V31" s="101" t="s">
        <v>112</v>
      </c>
      <c r="W31" s="101" t="s">
        <v>112</v>
      </c>
      <c r="X31" s="119"/>
      <c r="Y31" s="101" t="s">
        <v>112</v>
      </c>
      <c r="Z31" s="101" t="s">
        <v>112</v>
      </c>
      <c r="AA31" s="101" t="s">
        <v>112</v>
      </c>
      <c r="AB31" s="101" t="s">
        <v>112</v>
      </c>
      <c r="AC31" s="101" t="s">
        <v>112</v>
      </c>
      <c r="AD31" s="101" t="s">
        <v>112</v>
      </c>
      <c r="AE31" s="119"/>
      <c r="AF31" s="101" t="s">
        <v>112</v>
      </c>
      <c r="AG31" s="142"/>
      <c r="AH31" s="101" t="s">
        <v>112</v>
      </c>
      <c r="AI31" s="101" t="s">
        <v>112</v>
      </c>
      <c r="AJ31" s="101" t="s">
        <v>112</v>
      </c>
      <c r="AK31" s="5">
        <f t="shared" si="1"/>
        <v>26</v>
      </c>
      <c r="AL31" s="5">
        <f t="shared" si="2"/>
        <v>0</v>
      </c>
    </row>
    <row r="32" spans="1:42" ht="16.5" x14ac:dyDescent="0.25">
      <c r="A32" s="21">
        <v>2</v>
      </c>
      <c r="B32" s="11"/>
      <c r="C32" s="18" t="s">
        <v>22</v>
      </c>
      <c r="D32" s="19" t="s">
        <v>229</v>
      </c>
      <c r="E32" s="20" t="s">
        <v>329</v>
      </c>
      <c r="F32" s="101" t="s">
        <v>111</v>
      </c>
      <c r="G32" s="101" t="s">
        <v>111</v>
      </c>
      <c r="H32" s="101" t="s">
        <v>111</v>
      </c>
      <c r="I32" s="101" t="s">
        <v>111</v>
      </c>
      <c r="J32" s="119"/>
      <c r="K32" s="101" t="s">
        <v>112</v>
      </c>
      <c r="L32" s="101" t="s">
        <v>112</v>
      </c>
      <c r="M32" s="101" t="s">
        <v>111</v>
      </c>
      <c r="N32" s="101" t="s">
        <v>112</v>
      </c>
      <c r="O32" s="101" t="s">
        <v>112</v>
      </c>
      <c r="P32" s="101" t="s">
        <v>112</v>
      </c>
      <c r="Q32" s="119"/>
      <c r="R32" s="101" t="s">
        <v>112</v>
      </c>
      <c r="S32" s="101" t="s">
        <v>112</v>
      </c>
      <c r="T32" s="101" t="s">
        <v>112</v>
      </c>
      <c r="U32" s="101" t="s">
        <v>112</v>
      </c>
      <c r="V32" s="101" t="s">
        <v>112</v>
      </c>
      <c r="W32" s="101" t="s">
        <v>112</v>
      </c>
      <c r="X32" s="119"/>
      <c r="Y32" s="101" t="s">
        <v>111</v>
      </c>
      <c r="Z32" s="101" t="s">
        <v>112</v>
      </c>
      <c r="AA32" s="101" t="s">
        <v>111</v>
      </c>
      <c r="AB32" s="101" t="s">
        <v>112</v>
      </c>
      <c r="AC32" s="101" t="s">
        <v>112</v>
      </c>
      <c r="AD32" s="101" t="s">
        <v>112</v>
      </c>
      <c r="AE32" s="119"/>
      <c r="AF32" s="101" t="s">
        <v>112</v>
      </c>
      <c r="AG32" s="142"/>
      <c r="AH32" s="101" t="s">
        <v>112</v>
      </c>
      <c r="AI32" s="101" t="s">
        <v>112</v>
      </c>
      <c r="AJ32" s="101" t="s">
        <v>112</v>
      </c>
      <c r="AK32" s="5">
        <f t="shared" si="1"/>
        <v>19</v>
      </c>
      <c r="AL32" s="5">
        <f t="shared" si="2"/>
        <v>7</v>
      </c>
    </row>
    <row r="33" spans="1:38" ht="16.5" x14ac:dyDescent="0.25">
      <c r="A33" s="9">
        <v>3</v>
      </c>
      <c r="B33" s="11"/>
      <c r="C33" s="18" t="s">
        <v>360</v>
      </c>
      <c r="D33" s="19" t="s">
        <v>337</v>
      </c>
      <c r="E33" s="20" t="s">
        <v>329</v>
      </c>
      <c r="F33" s="101" t="s">
        <v>111</v>
      </c>
      <c r="G33" s="101" t="s">
        <v>112</v>
      </c>
      <c r="H33" s="101" t="s">
        <v>112</v>
      </c>
      <c r="I33" s="101" t="s">
        <v>112</v>
      </c>
      <c r="J33" s="119"/>
      <c r="K33" s="101" t="s">
        <v>112</v>
      </c>
      <c r="L33" s="101" t="s">
        <v>112</v>
      </c>
      <c r="M33" s="101" t="s">
        <v>112</v>
      </c>
      <c r="N33" s="101" t="s">
        <v>112</v>
      </c>
      <c r="O33" s="101" t="s">
        <v>112</v>
      </c>
      <c r="P33" s="101" t="s">
        <v>111</v>
      </c>
      <c r="Q33" s="119"/>
      <c r="R33" s="101" t="s">
        <v>111</v>
      </c>
      <c r="S33" s="101" t="s">
        <v>112</v>
      </c>
      <c r="T33" s="101" t="s">
        <v>112</v>
      </c>
      <c r="U33" s="101" t="s">
        <v>112</v>
      </c>
      <c r="V33" s="101" t="s">
        <v>112</v>
      </c>
      <c r="W33" s="101" t="s">
        <v>111</v>
      </c>
      <c r="X33" s="119"/>
      <c r="Y33" s="101" t="s">
        <v>112</v>
      </c>
      <c r="Z33" s="101" t="s">
        <v>112</v>
      </c>
      <c r="AA33" s="101" t="s">
        <v>112</v>
      </c>
      <c r="AB33" s="101" t="s">
        <v>112</v>
      </c>
      <c r="AC33" s="101" t="s">
        <v>112</v>
      </c>
      <c r="AD33" s="101" t="s">
        <v>111</v>
      </c>
      <c r="AE33" s="119"/>
      <c r="AF33" s="101" t="s">
        <v>112</v>
      </c>
      <c r="AG33" s="142"/>
      <c r="AH33" s="101" t="s">
        <v>112</v>
      </c>
      <c r="AI33" s="101" t="s">
        <v>112</v>
      </c>
      <c r="AJ33" s="101" t="s">
        <v>112</v>
      </c>
      <c r="AK33" s="5">
        <f t="shared" si="1"/>
        <v>21</v>
      </c>
      <c r="AL33" s="5">
        <f t="shared" si="2"/>
        <v>5</v>
      </c>
    </row>
    <row r="34" spans="1:38" ht="16.5" x14ac:dyDescent="0.25">
      <c r="A34" s="21">
        <v>4</v>
      </c>
      <c r="B34" s="11"/>
      <c r="C34" s="18" t="s">
        <v>115</v>
      </c>
      <c r="D34" s="19" t="s">
        <v>361</v>
      </c>
      <c r="E34" s="20" t="s">
        <v>329</v>
      </c>
      <c r="F34" s="101" t="s">
        <v>111</v>
      </c>
      <c r="G34" s="101" t="s">
        <v>112</v>
      </c>
      <c r="H34" s="101" t="s">
        <v>112</v>
      </c>
      <c r="I34" s="101" t="s">
        <v>112</v>
      </c>
      <c r="J34" s="119"/>
      <c r="K34" s="101" t="s">
        <v>112</v>
      </c>
      <c r="L34" s="101" t="s">
        <v>112</v>
      </c>
      <c r="M34" s="101" t="s">
        <v>112</v>
      </c>
      <c r="N34" s="101" t="s">
        <v>112</v>
      </c>
      <c r="O34" s="101" t="s">
        <v>112</v>
      </c>
      <c r="P34" s="101" t="s">
        <v>111</v>
      </c>
      <c r="Q34" s="119"/>
      <c r="R34" s="101" t="s">
        <v>112</v>
      </c>
      <c r="S34" s="101" t="s">
        <v>112</v>
      </c>
      <c r="T34" s="101" t="s">
        <v>112</v>
      </c>
      <c r="U34" s="101" t="s">
        <v>112</v>
      </c>
      <c r="V34" s="101" t="s">
        <v>112</v>
      </c>
      <c r="W34" s="101" t="s">
        <v>113</v>
      </c>
      <c r="X34" s="119"/>
      <c r="Y34" s="101" t="s">
        <v>112</v>
      </c>
      <c r="Z34" s="101" t="s">
        <v>112</v>
      </c>
      <c r="AA34" s="101" t="s">
        <v>112</v>
      </c>
      <c r="AB34" s="101" t="s">
        <v>112</v>
      </c>
      <c r="AC34" s="101" t="s">
        <v>112</v>
      </c>
      <c r="AD34" s="101" t="s">
        <v>112</v>
      </c>
      <c r="AE34" s="119"/>
      <c r="AF34" s="101" t="s">
        <v>112</v>
      </c>
      <c r="AG34" s="142"/>
      <c r="AH34" s="101" t="s">
        <v>112</v>
      </c>
      <c r="AI34" s="101" t="s">
        <v>112</v>
      </c>
      <c r="AJ34" s="101" t="s">
        <v>112</v>
      </c>
      <c r="AK34" s="5">
        <f t="shared" si="1"/>
        <v>23</v>
      </c>
      <c r="AL34" s="5">
        <f t="shared" si="2"/>
        <v>2</v>
      </c>
    </row>
    <row r="35" spans="1:38" ht="16.5" x14ac:dyDescent="0.25">
      <c r="A35" s="9">
        <v>5</v>
      </c>
      <c r="B35" s="11"/>
      <c r="C35" s="18" t="s">
        <v>362</v>
      </c>
      <c r="D35" s="19" t="s">
        <v>363</v>
      </c>
      <c r="E35" s="20" t="s">
        <v>329</v>
      </c>
      <c r="F35" s="101" t="s">
        <v>111</v>
      </c>
      <c r="G35" s="101" t="s">
        <v>111</v>
      </c>
      <c r="H35" s="101" t="s">
        <v>111</v>
      </c>
      <c r="I35" s="101" t="s">
        <v>111</v>
      </c>
      <c r="J35" s="119"/>
      <c r="K35" s="101" t="s">
        <v>111</v>
      </c>
      <c r="L35" s="101" t="s">
        <v>111</v>
      </c>
      <c r="M35" s="101" t="s">
        <v>111</v>
      </c>
      <c r="N35" s="101" t="s">
        <v>111</v>
      </c>
      <c r="O35" s="101" t="s">
        <v>111</v>
      </c>
      <c r="P35" s="101" t="s">
        <v>111</v>
      </c>
      <c r="Q35" s="119"/>
      <c r="R35" s="101" t="s">
        <v>111</v>
      </c>
      <c r="S35" s="101" t="s">
        <v>111</v>
      </c>
      <c r="T35" s="101" t="s">
        <v>111</v>
      </c>
      <c r="U35" s="101" t="s">
        <v>111</v>
      </c>
      <c r="V35" s="101" t="s">
        <v>111</v>
      </c>
      <c r="W35" s="101" t="s">
        <v>111</v>
      </c>
      <c r="X35" s="119"/>
      <c r="Y35" s="101" t="s">
        <v>111</v>
      </c>
      <c r="Z35" s="101" t="s">
        <v>111</v>
      </c>
      <c r="AA35" s="101" t="s">
        <v>111</v>
      </c>
      <c r="AB35" s="101" t="s">
        <v>111</v>
      </c>
      <c r="AC35" s="101" t="s">
        <v>111</v>
      </c>
      <c r="AD35" s="101" t="s">
        <v>111</v>
      </c>
      <c r="AE35" s="119"/>
      <c r="AF35" s="101" t="s">
        <v>112</v>
      </c>
      <c r="AG35" s="142"/>
      <c r="AH35" s="101" t="s">
        <v>111</v>
      </c>
      <c r="AI35" s="101" t="s">
        <v>111</v>
      </c>
      <c r="AJ35" s="101" t="s">
        <v>111</v>
      </c>
      <c r="AK35" s="5">
        <f t="shared" si="1"/>
        <v>1</v>
      </c>
      <c r="AL35" s="5">
        <f t="shared" si="2"/>
        <v>25</v>
      </c>
    </row>
    <row r="36" spans="1:38" ht="16.5" x14ac:dyDescent="0.25">
      <c r="A36" s="21">
        <v>6</v>
      </c>
      <c r="B36" s="11"/>
      <c r="C36" s="18" t="s">
        <v>364</v>
      </c>
      <c r="D36" s="19" t="s">
        <v>365</v>
      </c>
      <c r="E36" s="20" t="s">
        <v>329</v>
      </c>
      <c r="F36" s="101" t="s">
        <v>111</v>
      </c>
      <c r="G36" s="101" t="s">
        <v>111</v>
      </c>
      <c r="H36" s="101" t="s">
        <v>111</v>
      </c>
      <c r="I36" s="101" t="s">
        <v>111</v>
      </c>
      <c r="J36" s="119"/>
      <c r="K36" s="101" t="s">
        <v>112</v>
      </c>
      <c r="L36" s="101" t="s">
        <v>112</v>
      </c>
      <c r="M36" s="101" t="s">
        <v>112</v>
      </c>
      <c r="N36" s="101" t="s">
        <v>112</v>
      </c>
      <c r="O36" s="101" t="s">
        <v>111</v>
      </c>
      <c r="P36" s="101" t="s">
        <v>112</v>
      </c>
      <c r="Q36" s="119"/>
      <c r="R36" s="101" t="s">
        <v>112</v>
      </c>
      <c r="S36" s="101" t="s">
        <v>112</v>
      </c>
      <c r="T36" s="101" t="s">
        <v>112</v>
      </c>
      <c r="U36" s="101" t="s">
        <v>112</v>
      </c>
      <c r="V36" s="101" t="s">
        <v>112</v>
      </c>
      <c r="W36" s="101" t="s">
        <v>112</v>
      </c>
      <c r="X36" s="119"/>
      <c r="Y36" s="101" t="s">
        <v>111</v>
      </c>
      <c r="Z36" s="101" t="s">
        <v>112</v>
      </c>
      <c r="AA36" s="101" t="s">
        <v>112</v>
      </c>
      <c r="AB36" s="101" t="s">
        <v>112</v>
      </c>
      <c r="AC36" s="101" t="s">
        <v>111</v>
      </c>
      <c r="AD36" s="101" t="s">
        <v>112</v>
      </c>
      <c r="AE36" s="119"/>
      <c r="AF36" s="101" t="s">
        <v>112</v>
      </c>
      <c r="AG36" s="142"/>
      <c r="AH36" s="101" t="s">
        <v>111</v>
      </c>
      <c r="AI36" s="101" t="s">
        <v>112</v>
      </c>
      <c r="AJ36" s="101" t="s">
        <v>112</v>
      </c>
      <c r="AK36" s="5">
        <f t="shared" si="1"/>
        <v>18</v>
      </c>
      <c r="AL36" s="5">
        <f t="shared" si="2"/>
        <v>8</v>
      </c>
    </row>
    <row r="37" spans="1:38" ht="16.5" x14ac:dyDescent="0.25">
      <c r="A37" s="9">
        <v>7</v>
      </c>
      <c r="B37" s="11"/>
      <c r="C37" s="18" t="s">
        <v>366</v>
      </c>
      <c r="D37" s="19" t="s">
        <v>367</v>
      </c>
      <c r="E37" s="20" t="s">
        <v>329</v>
      </c>
      <c r="F37" s="101" t="s">
        <v>111</v>
      </c>
      <c r="G37" s="101" t="s">
        <v>111</v>
      </c>
      <c r="H37" s="101" t="s">
        <v>112</v>
      </c>
      <c r="I37" s="101" t="s">
        <v>112</v>
      </c>
      <c r="J37" s="119"/>
      <c r="K37" s="101" t="s">
        <v>112</v>
      </c>
      <c r="L37" s="101" t="s">
        <v>112</v>
      </c>
      <c r="M37" s="101" t="s">
        <v>112</v>
      </c>
      <c r="N37" s="101" t="s">
        <v>112</v>
      </c>
      <c r="O37" s="101" t="s">
        <v>112</v>
      </c>
      <c r="P37" s="101" t="s">
        <v>111</v>
      </c>
      <c r="Q37" s="119"/>
      <c r="R37" s="101" t="s">
        <v>112</v>
      </c>
      <c r="S37" s="101" t="s">
        <v>111</v>
      </c>
      <c r="T37" s="101" t="s">
        <v>112</v>
      </c>
      <c r="U37" s="101" t="s">
        <v>112</v>
      </c>
      <c r="V37" s="101" t="s">
        <v>112</v>
      </c>
      <c r="W37" s="101" t="s">
        <v>112</v>
      </c>
      <c r="X37" s="119"/>
      <c r="Y37" s="101" t="s">
        <v>112</v>
      </c>
      <c r="Z37" s="101" t="s">
        <v>112</v>
      </c>
      <c r="AA37" s="101" t="s">
        <v>112</v>
      </c>
      <c r="AB37" s="101" t="s">
        <v>112</v>
      </c>
      <c r="AC37" s="101" t="s">
        <v>112</v>
      </c>
      <c r="AD37" s="101" t="s">
        <v>111</v>
      </c>
      <c r="AE37" s="119"/>
      <c r="AF37" s="101" t="s">
        <v>112</v>
      </c>
      <c r="AG37" s="142"/>
      <c r="AH37" s="101" t="s">
        <v>112</v>
      </c>
      <c r="AI37" s="101" t="s">
        <v>112</v>
      </c>
      <c r="AJ37" s="101" t="s">
        <v>111</v>
      </c>
      <c r="AK37" s="5">
        <f t="shared" si="1"/>
        <v>20</v>
      </c>
      <c r="AL37" s="5">
        <f t="shared" si="2"/>
        <v>6</v>
      </c>
    </row>
    <row r="38" spans="1:38" ht="16.5" x14ac:dyDescent="0.25">
      <c r="A38" s="21">
        <v>8</v>
      </c>
      <c r="B38" s="11"/>
      <c r="C38" s="18" t="s">
        <v>368</v>
      </c>
      <c r="D38" s="19" t="s">
        <v>369</v>
      </c>
      <c r="E38" s="20" t="s">
        <v>329</v>
      </c>
      <c r="F38" s="101" t="s">
        <v>111</v>
      </c>
      <c r="G38" s="101" t="s">
        <v>111</v>
      </c>
      <c r="H38" s="101" t="s">
        <v>112</v>
      </c>
      <c r="I38" s="101" t="s">
        <v>112</v>
      </c>
      <c r="J38" s="119"/>
      <c r="K38" s="101" t="s">
        <v>111</v>
      </c>
      <c r="L38" s="101" t="s">
        <v>111</v>
      </c>
      <c r="M38" s="101" t="s">
        <v>112</v>
      </c>
      <c r="N38" s="101" t="s">
        <v>112</v>
      </c>
      <c r="O38" s="101" t="s">
        <v>112</v>
      </c>
      <c r="P38" s="101" t="s">
        <v>112</v>
      </c>
      <c r="Q38" s="119"/>
      <c r="R38" s="101" t="s">
        <v>112</v>
      </c>
      <c r="S38" s="101" t="s">
        <v>112</v>
      </c>
      <c r="T38" s="101" t="s">
        <v>112</v>
      </c>
      <c r="U38" s="101" t="s">
        <v>112</v>
      </c>
      <c r="V38" s="101" t="s">
        <v>112</v>
      </c>
      <c r="W38" s="101" t="s">
        <v>112</v>
      </c>
      <c r="X38" s="119"/>
      <c r="Y38" s="101" t="s">
        <v>111</v>
      </c>
      <c r="Z38" s="101" t="s">
        <v>112</v>
      </c>
      <c r="AA38" s="101" t="s">
        <v>112</v>
      </c>
      <c r="AB38" s="101" t="s">
        <v>112</v>
      </c>
      <c r="AC38" s="101" t="s">
        <v>112</v>
      </c>
      <c r="AD38" s="101" t="s">
        <v>112</v>
      </c>
      <c r="AE38" s="119"/>
      <c r="AF38" s="101" t="s">
        <v>112</v>
      </c>
      <c r="AG38" s="142"/>
      <c r="AH38" s="101" t="s">
        <v>112</v>
      </c>
      <c r="AI38" s="101" t="s">
        <v>112</v>
      </c>
      <c r="AJ38" s="101" t="s">
        <v>112</v>
      </c>
      <c r="AK38" s="5">
        <f t="shared" si="1"/>
        <v>21</v>
      </c>
      <c r="AL38" s="5">
        <f t="shared" si="2"/>
        <v>5</v>
      </c>
    </row>
    <row r="39" spans="1:38" ht="16.5" x14ac:dyDescent="0.25">
      <c r="A39" s="9">
        <v>9</v>
      </c>
      <c r="B39" s="11"/>
      <c r="C39" s="18" t="s">
        <v>370</v>
      </c>
      <c r="D39" s="19" t="s">
        <v>62</v>
      </c>
      <c r="E39" s="20" t="s">
        <v>329</v>
      </c>
      <c r="F39" s="101" t="s">
        <v>111</v>
      </c>
      <c r="G39" s="101" t="s">
        <v>111</v>
      </c>
      <c r="H39" s="101" t="s">
        <v>111</v>
      </c>
      <c r="I39" s="101" t="s">
        <v>111</v>
      </c>
      <c r="J39" s="119"/>
      <c r="K39" s="101" t="s">
        <v>111</v>
      </c>
      <c r="L39" s="101" t="s">
        <v>111</v>
      </c>
      <c r="M39" s="101" t="s">
        <v>112</v>
      </c>
      <c r="N39" s="101" t="s">
        <v>112</v>
      </c>
      <c r="O39" s="101" t="s">
        <v>112</v>
      </c>
      <c r="P39" s="101" t="s">
        <v>112</v>
      </c>
      <c r="Q39" s="119"/>
      <c r="R39" s="101" t="s">
        <v>111</v>
      </c>
      <c r="S39" s="101" t="s">
        <v>112</v>
      </c>
      <c r="T39" s="101" t="s">
        <v>112</v>
      </c>
      <c r="U39" s="101" t="s">
        <v>112</v>
      </c>
      <c r="V39" s="101" t="s">
        <v>111</v>
      </c>
      <c r="W39" s="101" t="s">
        <v>112</v>
      </c>
      <c r="X39" s="119"/>
      <c r="Y39" s="101" t="s">
        <v>112</v>
      </c>
      <c r="Z39" s="101" t="s">
        <v>112</v>
      </c>
      <c r="AA39" s="101" t="s">
        <v>112</v>
      </c>
      <c r="AB39" s="101" t="s">
        <v>112</v>
      </c>
      <c r="AC39" s="101" t="s">
        <v>112</v>
      </c>
      <c r="AD39" s="101" t="s">
        <v>111</v>
      </c>
      <c r="AE39" s="119"/>
      <c r="AF39" s="101" t="s">
        <v>112</v>
      </c>
      <c r="AG39" s="142"/>
      <c r="AH39" s="101" t="s">
        <v>112</v>
      </c>
      <c r="AI39" s="101" t="s">
        <v>111</v>
      </c>
      <c r="AJ39" s="101" t="s">
        <v>112</v>
      </c>
      <c r="AK39" s="5">
        <f t="shared" si="1"/>
        <v>16</v>
      </c>
      <c r="AL39" s="5">
        <f t="shared" si="2"/>
        <v>10</v>
      </c>
    </row>
    <row r="40" spans="1:38" ht="16.5" x14ac:dyDescent="0.25">
      <c r="A40" s="21">
        <v>10</v>
      </c>
      <c r="B40" s="11"/>
      <c r="C40" s="18" t="s">
        <v>106</v>
      </c>
      <c r="D40" s="19" t="s">
        <v>371</v>
      </c>
      <c r="E40" s="20" t="s">
        <v>329</v>
      </c>
      <c r="F40" s="101" t="s">
        <v>111</v>
      </c>
      <c r="G40" s="101" t="s">
        <v>111</v>
      </c>
      <c r="H40" s="101" t="s">
        <v>112</v>
      </c>
      <c r="I40" s="101" t="s">
        <v>112</v>
      </c>
      <c r="J40" s="119"/>
      <c r="K40" s="101" t="s">
        <v>112</v>
      </c>
      <c r="L40" s="101" t="s">
        <v>112</v>
      </c>
      <c r="M40" s="101" t="s">
        <v>112</v>
      </c>
      <c r="N40" s="101" t="s">
        <v>112</v>
      </c>
      <c r="O40" s="101" t="s">
        <v>112</v>
      </c>
      <c r="P40" s="101" t="s">
        <v>112</v>
      </c>
      <c r="Q40" s="119"/>
      <c r="R40" s="101" t="s">
        <v>112</v>
      </c>
      <c r="S40" s="101" t="s">
        <v>112</v>
      </c>
      <c r="T40" s="101" t="s">
        <v>113</v>
      </c>
      <c r="U40" s="101" t="s">
        <v>112</v>
      </c>
      <c r="V40" s="101" t="s">
        <v>112</v>
      </c>
      <c r="W40" s="101" t="s">
        <v>112</v>
      </c>
      <c r="X40" s="119"/>
      <c r="Y40" s="101" t="s">
        <v>112</v>
      </c>
      <c r="Z40" s="101" t="s">
        <v>112</v>
      </c>
      <c r="AA40" s="101" t="s">
        <v>112</v>
      </c>
      <c r="AB40" s="101" t="s">
        <v>112</v>
      </c>
      <c r="AC40" s="101" t="s">
        <v>112</v>
      </c>
      <c r="AD40" s="101" t="s">
        <v>112</v>
      </c>
      <c r="AE40" s="119"/>
      <c r="AF40" s="101" t="s">
        <v>112</v>
      </c>
      <c r="AG40" s="142"/>
      <c r="AH40" s="101" t="s">
        <v>112</v>
      </c>
      <c r="AI40" s="101" t="s">
        <v>112</v>
      </c>
      <c r="AJ40" s="101" t="s">
        <v>111</v>
      </c>
      <c r="AK40" s="5">
        <f t="shared" si="1"/>
        <v>22</v>
      </c>
      <c r="AL40" s="5">
        <f t="shared" si="2"/>
        <v>3</v>
      </c>
    </row>
    <row r="41" spans="1:38" ht="16.5" x14ac:dyDescent="0.25">
      <c r="A41" s="9">
        <v>11</v>
      </c>
      <c r="B41" s="11"/>
      <c r="C41" s="18" t="s">
        <v>372</v>
      </c>
      <c r="D41" s="19" t="s">
        <v>60</v>
      </c>
      <c r="E41" s="20" t="s">
        <v>329</v>
      </c>
      <c r="F41" s="101" t="s">
        <v>111</v>
      </c>
      <c r="G41" s="101" t="s">
        <v>112</v>
      </c>
      <c r="H41" s="101" t="s">
        <v>112</v>
      </c>
      <c r="I41" s="101" t="s">
        <v>112</v>
      </c>
      <c r="J41" s="119"/>
      <c r="K41" s="101" t="s">
        <v>112</v>
      </c>
      <c r="L41" s="101" t="s">
        <v>112</v>
      </c>
      <c r="M41" s="101" t="s">
        <v>112</v>
      </c>
      <c r="N41" s="101" t="s">
        <v>112</v>
      </c>
      <c r="O41" s="101" t="s">
        <v>112</v>
      </c>
      <c r="P41" s="101" t="s">
        <v>111</v>
      </c>
      <c r="Q41" s="119"/>
      <c r="R41" s="101" t="s">
        <v>112</v>
      </c>
      <c r="S41" s="101" t="s">
        <v>111</v>
      </c>
      <c r="T41" s="101" t="s">
        <v>111</v>
      </c>
      <c r="U41" s="101" t="s">
        <v>111</v>
      </c>
      <c r="V41" s="101" t="s">
        <v>111</v>
      </c>
      <c r="W41" s="101" t="s">
        <v>111</v>
      </c>
      <c r="X41" s="119"/>
      <c r="Y41" s="101" t="s">
        <v>112</v>
      </c>
      <c r="Z41" s="101" t="s">
        <v>112</v>
      </c>
      <c r="AA41" s="101" t="s">
        <v>112</v>
      </c>
      <c r="AB41" s="101" t="s">
        <v>111</v>
      </c>
      <c r="AC41" s="101" t="s">
        <v>112</v>
      </c>
      <c r="AD41" s="101" t="s">
        <v>112</v>
      </c>
      <c r="AE41" s="119"/>
      <c r="AF41" s="101" t="s">
        <v>112</v>
      </c>
      <c r="AG41" s="142"/>
      <c r="AH41" s="101" t="s">
        <v>112</v>
      </c>
      <c r="AI41" s="101" t="s">
        <v>112</v>
      </c>
      <c r="AJ41" s="101" t="s">
        <v>112</v>
      </c>
      <c r="AK41" s="5">
        <f t="shared" si="1"/>
        <v>18</v>
      </c>
      <c r="AL41" s="5">
        <f t="shared" si="2"/>
        <v>8</v>
      </c>
    </row>
    <row r="42" spans="1:38" ht="16.5" x14ac:dyDescent="0.25">
      <c r="A42" s="21">
        <v>12</v>
      </c>
      <c r="B42" s="11"/>
      <c r="C42" s="18" t="s">
        <v>373</v>
      </c>
      <c r="D42" s="19" t="s">
        <v>286</v>
      </c>
      <c r="E42" s="20" t="s">
        <v>329</v>
      </c>
      <c r="F42" s="101" t="s">
        <v>111</v>
      </c>
      <c r="G42" s="101" t="s">
        <v>112</v>
      </c>
      <c r="H42" s="101" t="s">
        <v>111</v>
      </c>
      <c r="I42" s="101" t="s">
        <v>111</v>
      </c>
      <c r="J42" s="119"/>
      <c r="K42" s="101" t="s">
        <v>112</v>
      </c>
      <c r="L42" s="101" t="s">
        <v>112</v>
      </c>
      <c r="M42" s="101" t="s">
        <v>112</v>
      </c>
      <c r="N42" s="101" t="s">
        <v>112</v>
      </c>
      <c r="O42" s="101" t="s">
        <v>112</v>
      </c>
      <c r="P42" s="101" t="s">
        <v>112</v>
      </c>
      <c r="Q42" s="119"/>
      <c r="R42" s="101" t="s">
        <v>112</v>
      </c>
      <c r="S42" s="101" t="s">
        <v>112</v>
      </c>
      <c r="T42" s="101" t="s">
        <v>112</v>
      </c>
      <c r="U42" s="101" t="s">
        <v>112</v>
      </c>
      <c r="V42" s="101" t="s">
        <v>112</v>
      </c>
      <c r="W42" s="101" t="s">
        <v>112</v>
      </c>
      <c r="X42" s="119"/>
      <c r="Y42" s="101" t="s">
        <v>112</v>
      </c>
      <c r="Z42" s="101" t="s">
        <v>112</v>
      </c>
      <c r="AA42" s="101" t="s">
        <v>112</v>
      </c>
      <c r="AB42" s="101" t="s">
        <v>112</v>
      </c>
      <c r="AC42" s="101" t="s">
        <v>112</v>
      </c>
      <c r="AD42" s="101" t="s">
        <v>112</v>
      </c>
      <c r="AE42" s="119"/>
      <c r="AF42" s="101" t="s">
        <v>112</v>
      </c>
      <c r="AG42" s="142"/>
      <c r="AH42" s="101" t="s">
        <v>112</v>
      </c>
      <c r="AI42" s="101" t="s">
        <v>112</v>
      </c>
      <c r="AJ42" s="101" t="s">
        <v>112</v>
      </c>
      <c r="AK42" s="5">
        <f t="shared" si="1"/>
        <v>23</v>
      </c>
      <c r="AL42" s="5">
        <f t="shared" si="2"/>
        <v>3</v>
      </c>
    </row>
    <row r="43" spans="1:38" ht="16.5" x14ac:dyDescent="0.25">
      <c r="A43" s="9">
        <v>13</v>
      </c>
      <c r="B43" s="11"/>
      <c r="C43" s="18" t="s">
        <v>195</v>
      </c>
      <c r="D43" s="19" t="s">
        <v>248</v>
      </c>
      <c r="E43" s="20" t="s">
        <v>329</v>
      </c>
      <c r="F43" s="101" t="s">
        <v>111</v>
      </c>
      <c r="G43" s="101" t="s">
        <v>112</v>
      </c>
      <c r="H43" s="101" t="s">
        <v>112</v>
      </c>
      <c r="I43" s="101" t="s">
        <v>112</v>
      </c>
      <c r="J43" s="119"/>
      <c r="K43" s="101" t="s">
        <v>112</v>
      </c>
      <c r="L43" s="101" t="s">
        <v>112</v>
      </c>
      <c r="M43" s="101" t="s">
        <v>112</v>
      </c>
      <c r="N43" s="101" t="s">
        <v>112</v>
      </c>
      <c r="O43" s="101" t="s">
        <v>112</v>
      </c>
      <c r="P43" s="101" t="s">
        <v>112</v>
      </c>
      <c r="Q43" s="119"/>
      <c r="R43" s="101" t="s">
        <v>112</v>
      </c>
      <c r="S43" s="101" t="s">
        <v>112</v>
      </c>
      <c r="T43" s="101" t="s">
        <v>112</v>
      </c>
      <c r="U43" s="101" t="s">
        <v>112</v>
      </c>
      <c r="V43" s="101" t="s">
        <v>112</v>
      </c>
      <c r="W43" s="101" t="s">
        <v>112</v>
      </c>
      <c r="X43" s="119"/>
      <c r="Y43" s="101" t="s">
        <v>112</v>
      </c>
      <c r="Z43" s="101" t="s">
        <v>112</v>
      </c>
      <c r="AA43" s="101" t="s">
        <v>112</v>
      </c>
      <c r="AB43" s="101" t="s">
        <v>112</v>
      </c>
      <c r="AC43" s="101" t="s">
        <v>112</v>
      </c>
      <c r="AD43" s="101" t="s">
        <v>112</v>
      </c>
      <c r="AE43" s="119"/>
      <c r="AF43" s="101" t="s">
        <v>112</v>
      </c>
      <c r="AG43" s="142"/>
      <c r="AH43" s="101" t="s">
        <v>112</v>
      </c>
      <c r="AI43" s="101" t="s">
        <v>112</v>
      </c>
      <c r="AJ43" s="101" t="s">
        <v>111</v>
      </c>
      <c r="AK43" s="5">
        <f t="shared" si="1"/>
        <v>24</v>
      </c>
      <c r="AL43" s="5">
        <f t="shared" si="2"/>
        <v>2</v>
      </c>
    </row>
    <row r="44" spans="1:38" ht="16.5" x14ac:dyDescent="0.25">
      <c r="A44" s="21">
        <v>14</v>
      </c>
      <c r="B44" s="11"/>
      <c r="C44" s="18" t="s">
        <v>374</v>
      </c>
      <c r="D44" s="19" t="s">
        <v>375</v>
      </c>
      <c r="E44" s="20" t="s">
        <v>329</v>
      </c>
      <c r="F44" s="101" t="s">
        <v>111</v>
      </c>
      <c r="G44" s="101" t="s">
        <v>111</v>
      </c>
      <c r="H44" s="101" t="s">
        <v>111</v>
      </c>
      <c r="I44" s="101" t="s">
        <v>111</v>
      </c>
      <c r="J44" s="119"/>
      <c r="K44" s="101" t="s">
        <v>111</v>
      </c>
      <c r="L44" s="101" t="s">
        <v>111</v>
      </c>
      <c r="M44" s="101" t="s">
        <v>111</v>
      </c>
      <c r="N44" s="101" t="s">
        <v>111</v>
      </c>
      <c r="O44" s="101" t="s">
        <v>111</v>
      </c>
      <c r="P44" s="101" t="s">
        <v>111</v>
      </c>
      <c r="Q44" s="119"/>
      <c r="R44" s="101" t="s">
        <v>111</v>
      </c>
      <c r="S44" s="101" t="s">
        <v>112</v>
      </c>
      <c r="T44" s="101" t="s">
        <v>112</v>
      </c>
      <c r="U44" s="101" t="s">
        <v>111</v>
      </c>
      <c r="V44" s="101" t="s">
        <v>111</v>
      </c>
      <c r="W44" s="101" t="s">
        <v>111</v>
      </c>
      <c r="X44" s="119"/>
      <c r="Y44" s="101" t="s">
        <v>111</v>
      </c>
      <c r="Z44" s="101" t="s">
        <v>111</v>
      </c>
      <c r="AA44" s="101" t="s">
        <v>111</v>
      </c>
      <c r="AB44" s="101" t="s">
        <v>111</v>
      </c>
      <c r="AC44" s="101" t="s">
        <v>111</v>
      </c>
      <c r="AD44" s="101" t="s">
        <v>112</v>
      </c>
      <c r="AE44" s="119"/>
      <c r="AF44" s="101" t="s">
        <v>112</v>
      </c>
      <c r="AG44" s="142"/>
      <c r="AH44" s="101" t="s">
        <v>111</v>
      </c>
      <c r="AI44" s="101" t="s">
        <v>112</v>
      </c>
      <c r="AJ44" s="101" t="s">
        <v>112</v>
      </c>
      <c r="AK44" s="5">
        <f t="shared" si="1"/>
        <v>6</v>
      </c>
      <c r="AL44" s="5">
        <f t="shared" si="2"/>
        <v>20</v>
      </c>
    </row>
    <row r="45" spans="1:38" ht="16.5" x14ac:dyDescent="0.25">
      <c r="A45" s="9">
        <v>15</v>
      </c>
      <c r="B45" s="11"/>
      <c r="C45" s="18" t="s">
        <v>376</v>
      </c>
      <c r="D45" s="19" t="s">
        <v>377</v>
      </c>
      <c r="E45" s="20" t="s">
        <v>329</v>
      </c>
      <c r="F45" s="101" t="s">
        <v>111</v>
      </c>
      <c r="G45" s="101" t="s">
        <v>112</v>
      </c>
      <c r="H45" s="101" t="s">
        <v>112</v>
      </c>
      <c r="I45" s="101" t="s">
        <v>112</v>
      </c>
      <c r="J45" s="119"/>
      <c r="K45" s="101" t="s">
        <v>112</v>
      </c>
      <c r="L45" s="101" t="s">
        <v>112</v>
      </c>
      <c r="M45" s="101" t="s">
        <v>112</v>
      </c>
      <c r="N45" s="101" t="s">
        <v>112</v>
      </c>
      <c r="O45" s="101" t="s">
        <v>112</v>
      </c>
      <c r="P45" s="101" t="s">
        <v>111</v>
      </c>
      <c r="Q45" s="119"/>
      <c r="R45" s="101" t="s">
        <v>112</v>
      </c>
      <c r="S45" s="101" t="s">
        <v>112</v>
      </c>
      <c r="T45" s="101" t="s">
        <v>112</v>
      </c>
      <c r="U45" s="101" t="s">
        <v>112</v>
      </c>
      <c r="V45" s="101" t="s">
        <v>112</v>
      </c>
      <c r="W45" s="101" t="s">
        <v>112</v>
      </c>
      <c r="X45" s="119"/>
      <c r="Y45" s="101" t="s">
        <v>112</v>
      </c>
      <c r="Z45" s="101" t="s">
        <v>112</v>
      </c>
      <c r="AA45" s="101" t="s">
        <v>112</v>
      </c>
      <c r="AB45" s="101" t="s">
        <v>112</v>
      </c>
      <c r="AC45" s="101" t="s">
        <v>111</v>
      </c>
      <c r="AD45" s="101" t="s">
        <v>111</v>
      </c>
      <c r="AE45" s="119"/>
      <c r="AF45" s="101" t="s">
        <v>112</v>
      </c>
      <c r="AG45" s="142"/>
      <c r="AH45" s="101" t="s">
        <v>112</v>
      </c>
      <c r="AI45" s="101" t="s">
        <v>112</v>
      </c>
      <c r="AJ45" s="101" t="s">
        <v>112</v>
      </c>
      <c r="AK45" s="5">
        <f t="shared" si="1"/>
        <v>22</v>
      </c>
      <c r="AL45" s="5">
        <f t="shared" si="2"/>
        <v>4</v>
      </c>
    </row>
    <row r="46" spans="1:38" ht="16.5" x14ac:dyDescent="0.25">
      <c r="A46" s="21">
        <v>16</v>
      </c>
      <c r="B46" s="11"/>
      <c r="C46" s="18" t="s">
        <v>378</v>
      </c>
      <c r="D46" s="19" t="s">
        <v>276</v>
      </c>
      <c r="E46" s="20" t="s">
        <v>329</v>
      </c>
      <c r="F46" s="101" t="s">
        <v>112</v>
      </c>
      <c r="G46" s="101" t="s">
        <v>112</v>
      </c>
      <c r="H46" s="101" t="s">
        <v>112</v>
      </c>
      <c r="I46" s="101" t="s">
        <v>112</v>
      </c>
      <c r="J46" s="119"/>
      <c r="K46" s="101" t="s">
        <v>112</v>
      </c>
      <c r="L46" s="101" t="s">
        <v>112</v>
      </c>
      <c r="M46" s="101" t="s">
        <v>112</v>
      </c>
      <c r="N46" s="101" t="s">
        <v>112</v>
      </c>
      <c r="O46" s="101" t="s">
        <v>112</v>
      </c>
      <c r="P46" s="101" t="s">
        <v>111</v>
      </c>
      <c r="Q46" s="119"/>
      <c r="R46" s="101" t="s">
        <v>112</v>
      </c>
      <c r="S46" s="101" t="s">
        <v>112</v>
      </c>
      <c r="T46" s="101" t="s">
        <v>112</v>
      </c>
      <c r="U46" s="101" t="s">
        <v>112</v>
      </c>
      <c r="V46" s="101" t="s">
        <v>112</v>
      </c>
      <c r="W46" s="101" t="s">
        <v>112</v>
      </c>
      <c r="X46" s="119"/>
      <c r="Y46" s="101" t="s">
        <v>112</v>
      </c>
      <c r="Z46" s="101" t="s">
        <v>112</v>
      </c>
      <c r="AA46" s="101" t="s">
        <v>112</v>
      </c>
      <c r="AB46" s="101" t="s">
        <v>112</v>
      </c>
      <c r="AC46" s="101" t="s">
        <v>112</v>
      </c>
      <c r="AD46" s="101" t="s">
        <v>112</v>
      </c>
      <c r="AE46" s="119"/>
      <c r="AF46" s="101" t="s">
        <v>112</v>
      </c>
      <c r="AG46" s="142"/>
      <c r="AH46" s="101" t="s">
        <v>112</v>
      </c>
      <c r="AI46" s="101" t="s">
        <v>112</v>
      </c>
      <c r="AJ46" s="101" t="s">
        <v>112</v>
      </c>
      <c r="AK46" s="5">
        <f t="shared" si="1"/>
        <v>25</v>
      </c>
      <c r="AL46" s="5">
        <f t="shared" si="2"/>
        <v>1</v>
      </c>
    </row>
    <row r="47" spans="1:38" ht="16.5" x14ac:dyDescent="0.25">
      <c r="A47" s="9">
        <v>17</v>
      </c>
      <c r="B47" s="11"/>
      <c r="C47" s="18" t="s">
        <v>379</v>
      </c>
      <c r="D47" s="19" t="s">
        <v>58</v>
      </c>
      <c r="E47" s="20" t="s">
        <v>329</v>
      </c>
      <c r="F47" s="101" t="s">
        <v>111</v>
      </c>
      <c r="G47" s="101" t="s">
        <v>111</v>
      </c>
      <c r="H47" s="101" t="s">
        <v>111</v>
      </c>
      <c r="I47" s="101" t="s">
        <v>111</v>
      </c>
      <c r="J47" s="119"/>
      <c r="K47" s="101" t="s">
        <v>111</v>
      </c>
      <c r="L47" s="101" t="s">
        <v>111</v>
      </c>
      <c r="M47" s="101" t="s">
        <v>111</v>
      </c>
      <c r="N47" s="101" t="s">
        <v>111</v>
      </c>
      <c r="O47" s="101" t="s">
        <v>111</v>
      </c>
      <c r="P47" s="101" t="s">
        <v>111</v>
      </c>
      <c r="Q47" s="119"/>
      <c r="R47" s="101" t="s">
        <v>111</v>
      </c>
      <c r="S47" s="101" t="s">
        <v>111</v>
      </c>
      <c r="T47" s="101" t="s">
        <v>111</v>
      </c>
      <c r="U47" s="101" t="s">
        <v>111</v>
      </c>
      <c r="V47" s="101" t="s">
        <v>112</v>
      </c>
      <c r="W47" s="101" t="s">
        <v>112</v>
      </c>
      <c r="X47" s="119"/>
      <c r="Y47" s="101" t="s">
        <v>112</v>
      </c>
      <c r="Z47" s="101" t="s">
        <v>112</v>
      </c>
      <c r="AA47" s="101" t="s">
        <v>112</v>
      </c>
      <c r="AB47" s="101" t="s">
        <v>112</v>
      </c>
      <c r="AC47" s="101" t="s">
        <v>112</v>
      </c>
      <c r="AD47" s="101" t="s">
        <v>111</v>
      </c>
      <c r="AE47" s="119"/>
      <c r="AF47" s="101" t="s">
        <v>112</v>
      </c>
      <c r="AG47" s="142"/>
      <c r="AH47" s="101" t="s">
        <v>112</v>
      </c>
      <c r="AI47" s="101" t="s">
        <v>112</v>
      </c>
      <c r="AJ47" s="101" t="s">
        <v>111</v>
      </c>
      <c r="AK47" s="5">
        <f t="shared" si="1"/>
        <v>10</v>
      </c>
      <c r="AL47" s="5">
        <f t="shared" si="2"/>
        <v>16</v>
      </c>
    </row>
    <row r="48" spans="1:38" ht="16.5" x14ac:dyDescent="0.25">
      <c r="A48" s="21">
        <v>18</v>
      </c>
      <c r="B48" s="11"/>
      <c r="C48" s="18" t="s">
        <v>380</v>
      </c>
      <c r="D48" s="19" t="s">
        <v>381</v>
      </c>
      <c r="E48" s="20" t="s">
        <v>329</v>
      </c>
      <c r="F48" s="101" t="s">
        <v>111</v>
      </c>
      <c r="G48" s="101" t="s">
        <v>112</v>
      </c>
      <c r="H48" s="101" t="s">
        <v>111</v>
      </c>
      <c r="I48" s="101" t="s">
        <v>112</v>
      </c>
      <c r="J48" s="119"/>
      <c r="K48" s="101" t="s">
        <v>112</v>
      </c>
      <c r="L48" s="101" t="s">
        <v>112</v>
      </c>
      <c r="M48" s="101" t="s">
        <v>112</v>
      </c>
      <c r="N48" s="101" t="s">
        <v>112</v>
      </c>
      <c r="O48" s="101" t="s">
        <v>112</v>
      </c>
      <c r="P48" s="101" t="s">
        <v>111</v>
      </c>
      <c r="Q48" s="119"/>
      <c r="R48" s="101" t="s">
        <v>112</v>
      </c>
      <c r="S48" s="101" t="s">
        <v>112</v>
      </c>
      <c r="T48" s="101" t="s">
        <v>112</v>
      </c>
      <c r="U48" s="101" t="s">
        <v>112</v>
      </c>
      <c r="V48" s="101" t="s">
        <v>112</v>
      </c>
      <c r="W48" s="101" t="s">
        <v>112</v>
      </c>
      <c r="X48" s="119"/>
      <c r="Y48" s="101" t="s">
        <v>112</v>
      </c>
      <c r="Z48" s="101" t="s">
        <v>112</v>
      </c>
      <c r="AA48" s="101" t="s">
        <v>111</v>
      </c>
      <c r="AB48" s="101" t="s">
        <v>111</v>
      </c>
      <c r="AC48" s="101" t="s">
        <v>111</v>
      </c>
      <c r="AD48" s="101" t="s">
        <v>111</v>
      </c>
      <c r="AE48" s="119"/>
      <c r="AF48" s="101" t="s">
        <v>112</v>
      </c>
      <c r="AG48" s="142"/>
      <c r="AH48" s="101" t="s">
        <v>111</v>
      </c>
      <c r="AI48" s="101" t="s">
        <v>111</v>
      </c>
      <c r="AJ48" s="101" t="s">
        <v>111</v>
      </c>
      <c r="AK48" s="5">
        <f t="shared" si="1"/>
        <v>16</v>
      </c>
      <c r="AL48" s="5">
        <f t="shared" si="2"/>
        <v>10</v>
      </c>
    </row>
    <row r="49" spans="1:38" ht="16.5" x14ac:dyDescent="0.25">
      <c r="A49" s="9">
        <v>19</v>
      </c>
      <c r="B49" s="11"/>
      <c r="C49" s="18" t="s">
        <v>382</v>
      </c>
      <c r="D49" s="19" t="s">
        <v>383</v>
      </c>
      <c r="E49" s="20" t="s">
        <v>329</v>
      </c>
      <c r="F49" s="101" t="s">
        <v>111</v>
      </c>
      <c r="G49" s="101" t="s">
        <v>111</v>
      </c>
      <c r="H49" s="101" t="s">
        <v>111</v>
      </c>
      <c r="I49" s="101" t="s">
        <v>111</v>
      </c>
      <c r="J49" s="119"/>
      <c r="K49" s="101" t="s">
        <v>111</v>
      </c>
      <c r="L49" s="101" t="s">
        <v>111</v>
      </c>
      <c r="M49" s="101" t="s">
        <v>111</v>
      </c>
      <c r="N49" s="101" t="s">
        <v>111</v>
      </c>
      <c r="O49" s="101" t="s">
        <v>111</v>
      </c>
      <c r="P49" s="101" t="s">
        <v>111</v>
      </c>
      <c r="Q49" s="119"/>
      <c r="R49" s="101" t="s">
        <v>111</v>
      </c>
      <c r="S49" s="101" t="s">
        <v>112</v>
      </c>
      <c r="T49" s="101" t="s">
        <v>112</v>
      </c>
      <c r="U49" s="101" t="s">
        <v>112</v>
      </c>
      <c r="V49" s="101" t="s">
        <v>112</v>
      </c>
      <c r="W49" s="101" t="s">
        <v>112</v>
      </c>
      <c r="X49" s="119"/>
      <c r="Y49" s="101" t="s">
        <v>112</v>
      </c>
      <c r="Z49" s="101" t="s">
        <v>112</v>
      </c>
      <c r="AA49" s="101" t="s">
        <v>112</v>
      </c>
      <c r="AB49" s="101" t="s">
        <v>112</v>
      </c>
      <c r="AC49" s="101" t="s">
        <v>112</v>
      </c>
      <c r="AD49" s="101" t="s">
        <v>112</v>
      </c>
      <c r="AE49" s="119"/>
      <c r="AF49" s="101" t="s">
        <v>112</v>
      </c>
      <c r="AG49" s="142"/>
      <c r="AH49" s="101" t="s">
        <v>112</v>
      </c>
      <c r="AI49" s="101" t="s">
        <v>112</v>
      </c>
      <c r="AJ49" s="101" t="s">
        <v>112</v>
      </c>
      <c r="AK49" s="5">
        <f t="shared" si="1"/>
        <v>15</v>
      </c>
      <c r="AL49" s="5">
        <f t="shared" si="2"/>
        <v>11</v>
      </c>
    </row>
    <row r="50" spans="1:38" ht="16.5" x14ac:dyDescent="0.25">
      <c r="A50" s="21">
        <v>20</v>
      </c>
      <c r="B50" s="11"/>
      <c r="C50" s="18" t="s">
        <v>384</v>
      </c>
      <c r="D50" s="19" t="s">
        <v>96</v>
      </c>
      <c r="E50" s="20" t="s">
        <v>329</v>
      </c>
      <c r="F50" s="101" t="s">
        <v>111</v>
      </c>
      <c r="G50" s="101" t="s">
        <v>112</v>
      </c>
      <c r="H50" s="101" t="s">
        <v>112</v>
      </c>
      <c r="I50" s="101" t="s">
        <v>112</v>
      </c>
      <c r="J50" s="119"/>
      <c r="K50" s="101" t="s">
        <v>112</v>
      </c>
      <c r="L50" s="101" t="s">
        <v>112</v>
      </c>
      <c r="M50" s="101" t="s">
        <v>112</v>
      </c>
      <c r="N50" s="101" t="s">
        <v>112</v>
      </c>
      <c r="O50" s="101" t="s">
        <v>112</v>
      </c>
      <c r="P50" s="101" t="s">
        <v>112</v>
      </c>
      <c r="Q50" s="119"/>
      <c r="R50" s="101" t="s">
        <v>112</v>
      </c>
      <c r="S50" s="101" t="s">
        <v>112</v>
      </c>
      <c r="T50" s="101" t="s">
        <v>112</v>
      </c>
      <c r="U50" s="101" t="s">
        <v>112</v>
      </c>
      <c r="V50" s="101" t="s">
        <v>112</v>
      </c>
      <c r="W50" s="101" t="s">
        <v>112</v>
      </c>
      <c r="X50" s="119"/>
      <c r="Y50" s="101" t="s">
        <v>112</v>
      </c>
      <c r="Z50" s="101" t="s">
        <v>112</v>
      </c>
      <c r="AA50" s="101" t="s">
        <v>112</v>
      </c>
      <c r="AB50" s="101" t="s">
        <v>112</v>
      </c>
      <c r="AC50" s="101" t="s">
        <v>112</v>
      </c>
      <c r="AD50" s="101" t="s">
        <v>112</v>
      </c>
      <c r="AE50" s="119"/>
      <c r="AF50" s="101" t="s">
        <v>112</v>
      </c>
      <c r="AG50" s="142"/>
      <c r="AH50" s="101" t="s">
        <v>112</v>
      </c>
      <c r="AI50" s="101" t="s">
        <v>112</v>
      </c>
      <c r="AJ50" s="101" t="s">
        <v>112</v>
      </c>
      <c r="AK50" s="5">
        <f t="shared" si="1"/>
        <v>25</v>
      </c>
      <c r="AL50" s="5">
        <f t="shared" si="2"/>
        <v>1</v>
      </c>
    </row>
    <row r="51" spans="1:38" ht="16.5" x14ac:dyDescent="0.25">
      <c r="A51" s="9">
        <v>21</v>
      </c>
      <c r="B51" s="11"/>
      <c r="C51" s="18" t="s">
        <v>55</v>
      </c>
      <c r="D51" s="19" t="s">
        <v>180</v>
      </c>
      <c r="E51" s="20" t="s">
        <v>329</v>
      </c>
      <c r="F51" s="101" t="s">
        <v>112</v>
      </c>
      <c r="G51" s="101" t="s">
        <v>112</v>
      </c>
      <c r="H51" s="101" t="s">
        <v>111</v>
      </c>
      <c r="I51" s="101" t="s">
        <v>111</v>
      </c>
      <c r="J51" s="119"/>
      <c r="K51" s="101" t="s">
        <v>112</v>
      </c>
      <c r="L51" s="101" t="s">
        <v>112</v>
      </c>
      <c r="M51" s="101" t="s">
        <v>112</v>
      </c>
      <c r="N51" s="101" t="s">
        <v>112</v>
      </c>
      <c r="O51" s="101" t="s">
        <v>112</v>
      </c>
      <c r="P51" s="101" t="s">
        <v>112</v>
      </c>
      <c r="Q51" s="119"/>
      <c r="R51" s="101" t="s">
        <v>112</v>
      </c>
      <c r="S51" s="101" t="s">
        <v>112</v>
      </c>
      <c r="T51" s="101" t="s">
        <v>112</v>
      </c>
      <c r="U51" s="101" t="s">
        <v>112</v>
      </c>
      <c r="V51" s="101" t="s">
        <v>112</v>
      </c>
      <c r="W51" s="101" t="s">
        <v>112</v>
      </c>
      <c r="X51" s="119"/>
      <c r="Y51" s="101" t="s">
        <v>112</v>
      </c>
      <c r="Z51" s="101" t="s">
        <v>112</v>
      </c>
      <c r="AA51" s="101" t="s">
        <v>112</v>
      </c>
      <c r="AB51" s="101" t="s">
        <v>112</v>
      </c>
      <c r="AC51" s="101" t="s">
        <v>112</v>
      </c>
      <c r="AD51" s="101" t="s">
        <v>112</v>
      </c>
      <c r="AE51" s="119"/>
      <c r="AF51" s="101" t="s">
        <v>112</v>
      </c>
      <c r="AG51" s="142"/>
      <c r="AH51" s="101" t="s">
        <v>112</v>
      </c>
      <c r="AI51" s="101" t="s">
        <v>112</v>
      </c>
      <c r="AJ51" s="101" t="s">
        <v>112</v>
      </c>
      <c r="AK51" s="5">
        <f t="shared" si="1"/>
        <v>24</v>
      </c>
      <c r="AL51" s="5">
        <f t="shared" si="2"/>
        <v>2</v>
      </c>
    </row>
    <row r="52" spans="1:38" ht="16.5" x14ac:dyDescent="0.25">
      <c r="A52" s="21">
        <v>22</v>
      </c>
      <c r="B52" s="11"/>
      <c r="C52" s="18" t="s">
        <v>314</v>
      </c>
      <c r="D52" s="19" t="s">
        <v>387</v>
      </c>
      <c r="E52" s="20" t="s">
        <v>329</v>
      </c>
      <c r="F52" s="101" t="s">
        <v>111</v>
      </c>
      <c r="G52" s="101" t="s">
        <v>111</v>
      </c>
      <c r="H52" s="101" t="s">
        <v>112</v>
      </c>
      <c r="I52" s="101" t="s">
        <v>112</v>
      </c>
      <c r="J52" s="119"/>
      <c r="K52" s="101" t="s">
        <v>111</v>
      </c>
      <c r="L52" s="101" t="s">
        <v>112</v>
      </c>
      <c r="M52" s="101" t="s">
        <v>112</v>
      </c>
      <c r="N52" s="101" t="s">
        <v>112</v>
      </c>
      <c r="O52" s="101" t="s">
        <v>112</v>
      </c>
      <c r="P52" s="101" t="s">
        <v>111</v>
      </c>
      <c r="Q52" s="119"/>
      <c r="R52" s="101" t="s">
        <v>111</v>
      </c>
      <c r="S52" s="101" t="s">
        <v>111</v>
      </c>
      <c r="T52" s="101" t="s">
        <v>112</v>
      </c>
      <c r="U52" s="101" t="s">
        <v>111</v>
      </c>
      <c r="V52" s="101" t="s">
        <v>112</v>
      </c>
      <c r="W52" s="101" t="s">
        <v>112</v>
      </c>
      <c r="X52" s="119"/>
      <c r="Y52" s="101" t="s">
        <v>112</v>
      </c>
      <c r="Z52" s="101" t="s">
        <v>112</v>
      </c>
      <c r="AA52" s="101" t="s">
        <v>112</v>
      </c>
      <c r="AB52" s="101" t="s">
        <v>112</v>
      </c>
      <c r="AC52" s="101" t="s">
        <v>112</v>
      </c>
      <c r="AD52" s="101" t="s">
        <v>111</v>
      </c>
      <c r="AE52" s="119"/>
      <c r="AF52" s="101" t="s">
        <v>112</v>
      </c>
      <c r="AG52" s="142"/>
      <c r="AH52" s="101" t="s">
        <v>112</v>
      </c>
      <c r="AI52" s="101" t="s">
        <v>112</v>
      </c>
      <c r="AJ52" s="101" t="s">
        <v>112</v>
      </c>
      <c r="AK52" s="5">
        <f t="shared" si="1"/>
        <v>18</v>
      </c>
      <c r="AL52" s="5">
        <f t="shared" si="2"/>
        <v>8</v>
      </c>
    </row>
    <row r="53" spans="1:38" ht="16.5" x14ac:dyDescent="0.25">
      <c r="A53" s="9">
        <v>23</v>
      </c>
      <c r="B53" s="11"/>
      <c r="C53" s="18" t="s">
        <v>388</v>
      </c>
      <c r="D53" s="19" t="s">
        <v>389</v>
      </c>
      <c r="E53" s="20" t="s">
        <v>329</v>
      </c>
      <c r="F53" s="101" t="s">
        <v>111</v>
      </c>
      <c r="G53" s="101" t="s">
        <v>111</v>
      </c>
      <c r="H53" s="101" t="s">
        <v>111</v>
      </c>
      <c r="I53" s="101" t="s">
        <v>111</v>
      </c>
      <c r="J53" s="119"/>
      <c r="K53" s="101" t="s">
        <v>112</v>
      </c>
      <c r="L53" s="101" t="s">
        <v>112</v>
      </c>
      <c r="M53" s="101" t="s">
        <v>112</v>
      </c>
      <c r="N53" s="101" t="s">
        <v>111</v>
      </c>
      <c r="O53" s="101" t="s">
        <v>112</v>
      </c>
      <c r="P53" s="101" t="s">
        <v>112</v>
      </c>
      <c r="Q53" s="119"/>
      <c r="R53" s="101" t="s">
        <v>112</v>
      </c>
      <c r="S53" s="101" t="s">
        <v>111</v>
      </c>
      <c r="T53" s="101" t="s">
        <v>112</v>
      </c>
      <c r="U53" s="101" t="s">
        <v>112</v>
      </c>
      <c r="V53" s="101" t="s">
        <v>112</v>
      </c>
      <c r="W53" s="101" t="s">
        <v>112</v>
      </c>
      <c r="X53" s="119"/>
      <c r="Y53" s="101" t="s">
        <v>111</v>
      </c>
      <c r="Z53" s="101" t="s">
        <v>112</v>
      </c>
      <c r="AA53" s="101" t="s">
        <v>111</v>
      </c>
      <c r="AB53" s="101" t="s">
        <v>112</v>
      </c>
      <c r="AC53" s="101" t="s">
        <v>112</v>
      </c>
      <c r="AD53" s="101" t="s">
        <v>112</v>
      </c>
      <c r="AE53" s="119"/>
      <c r="AF53" s="101" t="s">
        <v>112</v>
      </c>
      <c r="AG53" s="142"/>
      <c r="AH53" s="101" t="s">
        <v>112</v>
      </c>
      <c r="AI53" s="101" t="s">
        <v>112</v>
      </c>
      <c r="AJ53" s="101" t="s">
        <v>112</v>
      </c>
      <c r="AK53" s="5">
        <f t="shared" si="1"/>
        <v>18</v>
      </c>
      <c r="AL53" s="5">
        <f t="shared" si="2"/>
        <v>8</v>
      </c>
    </row>
    <row r="54" spans="1:38" ht="16.5" x14ac:dyDescent="0.25">
      <c r="A54" s="21">
        <v>24</v>
      </c>
      <c r="B54" s="11"/>
      <c r="C54" s="18" t="s">
        <v>390</v>
      </c>
      <c r="D54" s="19" t="s">
        <v>383</v>
      </c>
      <c r="E54" s="20" t="s">
        <v>329</v>
      </c>
      <c r="F54" s="101" t="s">
        <v>111</v>
      </c>
      <c r="G54" s="101" t="s">
        <v>111</v>
      </c>
      <c r="H54" s="101" t="s">
        <v>111</v>
      </c>
      <c r="I54" s="101" t="s">
        <v>111</v>
      </c>
      <c r="J54" s="119"/>
      <c r="K54" s="101" t="s">
        <v>111</v>
      </c>
      <c r="L54" s="101" t="s">
        <v>111</v>
      </c>
      <c r="M54" s="101" t="s">
        <v>111</v>
      </c>
      <c r="N54" s="101" t="s">
        <v>111</v>
      </c>
      <c r="O54" s="101" t="s">
        <v>111</v>
      </c>
      <c r="P54" s="101" t="s">
        <v>111</v>
      </c>
      <c r="Q54" s="119"/>
      <c r="R54" s="101" t="s">
        <v>111</v>
      </c>
      <c r="S54" s="101" t="s">
        <v>112</v>
      </c>
      <c r="T54" s="101" t="s">
        <v>112</v>
      </c>
      <c r="U54" s="101" t="s">
        <v>112</v>
      </c>
      <c r="V54" s="101" t="s">
        <v>112</v>
      </c>
      <c r="W54" s="101" t="s">
        <v>112</v>
      </c>
      <c r="X54" s="119"/>
      <c r="Y54" s="101" t="s">
        <v>112</v>
      </c>
      <c r="Z54" s="101" t="s">
        <v>112</v>
      </c>
      <c r="AA54" s="101" t="s">
        <v>112</v>
      </c>
      <c r="AB54" s="101" t="s">
        <v>112</v>
      </c>
      <c r="AC54" s="101" t="s">
        <v>112</v>
      </c>
      <c r="AD54" s="101" t="s">
        <v>112</v>
      </c>
      <c r="AE54" s="119"/>
      <c r="AF54" s="101" t="s">
        <v>112</v>
      </c>
      <c r="AG54" s="142"/>
      <c r="AH54" s="101" t="s">
        <v>112</v>
      </c>
      <c r="AI54" s="101" t="s">
        <v>112</v>
      </c>
      <c r="AJ54" s="101" t="s">
        <v>112</v>
      </c>
      <c r="AK54" s="5">
        <f t="shared" si="1"/>
        <v>15</v>
      </c>
      <c r="AL54" s="5">
        <f t="shared" si="2"/>
        <v>11</v>
      </c>
    </row>
    <row r="55" spans="1:38" ht="16.5" x14ac:dyDescent="0.25">
      <c r="A55" s="9">
        <v>25</v>
      </c>
      <c r="B55" s="11"/>
      <c r="C55" s="18" t="s">
        <v>391</v>
      </c>
      <c r="D55" s="19" t="s">
        <v>392</v>
      </c>
      <c r="E55" s="20" t="s">
        <v>329</v>
      </c>
      <c r="F55" s="101" t="s">
        <v>111</v>
      </c>
      <c r="G55" s="101" t="s">
        <v>111</v>
      </c>
      <c r="H55" s="101" t="s">
        <v>111</v>
      </c>
      <c r="I55" s="101" t="s">
        <v>111</v>
      </c>
      <c r="J55" s="119"/>
      <c r="K55" s="101" t="s">
        <v>112</v>
      </c>
      <c r="L55" s="101" t="s">
        <v>112</v>
      </c>
      <c r="M55" s="101" t="s">
        <v>112</v>
      </c>
      <c r="N55" s="101" t="s">
        <v>112</v>
      </c>
      <c r="O55" s="101" t="s">
        <v>112</v>
      </c>
      <c r="P55" s="101" t="s">
        <v>111</v>
      </c>
      <c r="Q55" s="119"/>
      <c r="R55" s="101" t="s">
        <v>112</v>
      </c>
      <c r="S55" s="101" t="s">
        <v>112</v>
      </c>
      <c r="T55" s="101" t="s">
        <v>112</v>
      </c>
      <c r="U55" s="101" t="s">
        <v>112</v>
      </c>
      <c r="V55" s="101" t="s">
        <v>111</v>
      </c>
      <c r="W55" s="101" t="s">
        <v>111</v>
      </c>
      <c r="X55" s="119"/>
      <c r="Y55" s="101" t="s">
        <v>111</v>
      </c>
      <c r="Z55" s="101" t="s">
        <v>112</v>
      </c>
      <c r="AA55" s="101" t="s">
        <v>112</v>
      </c>
      <c r="AB55" s="101" t="s">
        <v>111</v>
      </c>
      <c r="AC55" s="101" t="s">
        <v>112</v>
      </c>
      <c r="AD55" s="101" t="s">
        <v>112</v>
      </c>
      <c r="AE55" s="119"/>
      <c r="AF55" s="101" t="s">
        <v>112</v>
      </c>
      <c r="AG55" s="142"/>
      <c r="AH55" s="101" t="s">
        <v>112</v>
      </c>
      <c r="AI55" s="101" t="s">
        <v>112</v>
      </c>
      <c r="AJ55" s="101" t="s">
        <v>112</v>
      </c>
      <c r="AK55" s="5">
        <f t="shared" si="1"/>
        <v>17</v>
      </c>
      <c r="AL55" s="5">
        <f t="shared" si="2"/>
        <v>9</v>
      </c>
    </row>
    <row r="56" spans="1:38" ht="16.5" x14ac:dyDescent="0.25">
      <c r="A56" s="21">
        <v>26</v>
      </c>
      <c r="B56" s="11"/>
      <c r="C56" s="18" t="s">
        <v>385</v>
      </c>
      <c r="D56" s="19" t="s">
        <v>386</v>
      </c>
      <c r="E56" s="20" t="s">
        <v>329</v>
      </c>
      <c r="F56" s="101" t="s">
        <v>111</v>
      </c>
      <c r="G56" s="101" t="s">
        <v>111</v>
      </c>
      <c r="H56" s="101" t="s">
        <v>111</v>
      </c>
      <c r="I56" s="101" t="s">
        <v>111</v>
      </c>
      <c r="J56" s="120"/>
      <c r="K56" s="101" t="s">
        <v>111</v>
      </c>
      <c r="L56" s="101" t="s">
        <v>111</v>
      </c>
      <c r="M56" s="101" t="s">
        <v>111</v>
      </c>
      <c r="N56" s="101" t="s">
        <v>111</v>
      </c>
      <c r="O56" s="101" t="s">
        <v>111</v>
      </c>
      <c r="P56" s="101" t="s">
        <v>111</v>
      </c>
      <c r="Q56" s="120"/>
      <c r="R56" s="101" t="s">
        <v>111</v>
      </c>
      <c r="S56" s="101" t="s">
        <v>111</v>
      </c>
      <c r="T56" s="101" t="s">
        <v>111</v>
      </c>
      <c r="U56" s="101" t="s">
        <v>111</v>
      </c>
      <c r="V56" s="101" t="s">
        <v>111</v>
      </c>
      <c r="W56" s="101" t="s">
        <v>111</v>
      </c>
      <c r="X56" s="120"/>
      <c r="Y56" s="101" t="s">
        <v>111</v>
      </c>
      <c r="Z56" s="101" t="s">
        <v>111</v>
      </c>
      <c r="AA56" s="101" t="s">
        <v>111</v>
      </c>
      <c r="AB56" s="101" t="s">
        <v>111</v>
      </c>
      <c r="AC56" s="101" t="s">
        <v>111</v>
      </c>
      <c r="AD56" s="101" t="s">
        <v>111</v>
      </c>
      <c r="AE56" s="120"/>
      <c r="AF56" s="101" t="s">
        <v>111</v>
      </c>
      <c r="AG56" s="143"/>
      <c r="AH56" s="101" t="s">
        <v>111</v>
      </c>
      <c r="AI56" s="101" t="s">
        <v>111</v>
      </c>
      <c r="AJ56" s="101" t="s">
        <v>111</v>
      </c>
      <c r="AK56" s="5">
        <f t="shared" si="1"/>
        <v>0</v>
      </c>
      <c r="AL56" s="5">
        <f t="shared" si="2"/>
        <v>26</v>
      </c>
    </row>
  </sheetData>
  <mergeCells count="17">
    <mergeCell ref="A1:AL1"/>
    <mergeCell ref="A2:AL2"/>
    <mergeCell ref="AK3:AK4"/>
    <mergeCell ref="AL3:AL4"/>
    <mergeCell ref="J5:J56"/>
    <mergeCell ref="Q5:Q56"/>
    <mergeCell ref="X5:X56"/>
    <mergeCell ref="E3:E4"/>
    <mergeCell ref="A3:A4"/>
    <mergeCell ref="B3:B4"/>
    <mergeCell ref="C3:C4"/>
    <mergeCell ref="D3:D4"/>
    <mergeCell ref="AM11:AP11"/>
    <mergeCell ref="AM19:AP19"/>
    <mergeCell ref="AM3:AN3"/>
    <mergeCell ref="AE5:AE56"/>
    <mergeCell ref="AG5:AG56"/>
  </mergeCells>
  <conditionalFormatting sqref="F3:AJ4 J5 Q5 X5 AE5 AG5 F5:I56 K5:P56 R5:W56 Y5:AD56 AF5:AF56 AH5:AJ56">
    <cfRule type="expression" dxfId="39" priority="8">
      <formula>F$4=TODAY()</formula>
    </cfRule>
  </conditionalFormatting>
  <conditionalFormatting sqref="J5 Q5 X5 AE5 AG5 F5:I56 K5:P56 R5:W56 Y5:AD56 AF5:AF56 AH5:AJ56 F3:AJ4">
    <cfRule type="expression" dxfId="38" priority="12">
      <formula>F$3="Sun"</formula>
    </cfRule>
  </conditionalFormatting>
  <conditionalFormatting sqref="J5 Q5 X5 AE5 AG5 F5:I56 K5:P56 R5:W56 Y5:AD56 AF5:AF56 AH5:AJ56">
    <cfRule type="cellIs" dxfId="37" priority="9" operator="equal">
      <formula>"L"</formula>
    </cfRule>
    <cfRule type="cellIs" dxfId="36" priority="10" operator="equal">
      <formula>"A"</formula>
    </cfRule>
    <cfRule type="cellIs" dxfId="35" priority="11" operator="equal">
      <formula>"P"</formula>
    </cfRule>
  </conditionalFormatting>
  <conditionalFormatting sqref="AK3:AL3">
    <cfRule type="expression" dxfId="34" priority="13">
      <formula>#REF!="Sun"</formula>
    </cfRule>
  </conditionalFormatting>
  <conditionalFormatting sqref="AK5:AL56">
    <cfRule type="expression" dxfId="33" priority="7">
      <formula>#REF!="Sun"</formula>
    </cfRule>
  </conditionalFormatting>
  <conditionalFormatting sqref="AM5:AM9">
    <cfRule type="expression" dxfId="32" priority="4">
      <formula>AM$3="Sun"</formula>
    </cfRule>
  </conditionalFormatting>
  <conditionalFormatting sqref="AM12:AM15">
    <cfRule type="expression" dxfId="31" priority="2">
      <formula>AM$3="Sun"</formula>
    </cfRule>
  </conditionalFormatting>
  <conditionalFormatting sqref="AM20:AM23">
    <cfRule type="expression" dxfId="30" priority="1">
      <formula>AM$3="Sun"</formula>
    </cfRule>
  </conditionalFormatting>
  <conditionalFormatting sqref="AM4:AN4">
    <cfRule type="expression" dxfId="29" priority="5">
      <formula>AM$3="Sun"</formula>
    </cfRule>
  </conditionalFormatting>
  <conditionalFormatting sqref="AN12:AP12 AN20:AP20">
    <cfRule type="expression" dxfId="28" priority="6">
      <formula>AN$3="Sun"</formula>
    </cfRule>
  </conditionalFormatting>
  <conditionalFormatting sqref="AP21">
    <cfRule type="expression" dxfId="27" priority="3">
      <formula>AP$3="Sun"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7E2C-80AB-4828-B395-04463106CA71}">
  <dimension ref="A1:AP56"/>
  <sheetViews>
    <sheetView topLeftCell="F1" workbookViewId="0">
      <selection activeCell="F5" sqref="A1:XFD104857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6" width="3.85546875" style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2" ht="17.25" x14ac:dyDescent="0.3">
      <c r="A2" s="114" t="s">
        <v>121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2" ht="15.75" x14ac:dyDescent="0.25">
      <c r="A3" s="127" t="s">
        <v>0</v>
      </c>
      <c r="B3" s="127" t="s">
        <v>824</v>
      </c>
      <c r="C3" s="127" t="s">
        <v>1</v>
      </c>
      <c r="D3" s="127" t="s">
        <v>2</v>
      </c>
      <c r="E3" s="127" t="s">
        <v>3</v>
      </c>
      <c r="F3" s="2" t="str">
        <f t="shared" ref="F3:AJ3" si="0">TEXT(F4,"ddd")</f>
        <v>Wed</v>
      </c>
      <c r="G3" s="2" t="str">
        <f t="shared" si="0"/>
        <v>Thu</v>
      </c>
      <c r="H3" s="2" t="str">
        <f t="shared" si="0"/>
        <v>Fri</v>
      </c>
      <c r="I3" s="2" t="str">
        <f t="shared" si="0"/>
        <v>Sat</v>
      </c>
      <c r="J3" s="2" t="str">
        <f t="shared" si="0"/>
        <v>Sun</v>
      </c>
      <c r="K3" s="2" t="str">
        <f t="shared" si="0"/>
        <v>Mon</v>
      </c>
      <c r="L3" s="2" t="str">
        <f t="shared" si="0"/>
        <v>Tue</v>
      </c>
      <c r="M3" s="2" t="str">
        <f t="shared" si="0"/>
        <v>Wed</v>
      </c>
      <c r="N3" s="2" t="str">
        <f t="shared" si="0"/>
        <v>Thu</v>
      </c>
      <c r="O3" s="2" t="str">
        <f t="shared" si="0"/>
        <v>Fri</v>
      </c>
      <c r="P3" s="2" t="str">
        <f t="shared" si="0"/>
        <v>Sat</v>
      </c>
      <c r="Q3" s="2" t="str">
        <f t="shared" si="0"/>
        <v>Sun</v>
      </c>
      <c r="R3" s="2" t="str">
        <f t="shared" si="0"/>
        <v>Mon</v>
      </c>
      <c r="S3" s="2" t="str">
        <f t="shared" si="0"/>
        <v>Tue</v>
      </c>
      <c r="T3" s="2" t="str">
        <f t="shared" si="0"/>
        <v>Wed</v>
      </c>
      <c r="U3" s="2" t="str">
        <f t="shared" si="0"/>
        <v>Thu</v>
      </c>
      <c r="V3" s="2" t="str">
        <f t="shared" si="0"/>
        <v>Fri</v>
      </c>
      <c r="W3" s="2" t="str">
        <f t="shared" si="0"/>
        <v>Sat</v>
      </c>
      <c r="X3" s="2" t="str">
        <f t="shared" si="0"/>
        <v>Sun</v>
      </c>
      <c r="Y3" s="2" t="str">
        <f t="shared" si="0"/>
        <v>Mon</v>
      </c>
      <c r="Z3" s="2" t="str">
        <f t="shared" si="0"/>
        <v>Tue</v>
      </c>
      <c r="AA3" s="2" t="str">
        <f t="shared" si="0"/>
        <v>Wed</v>
      </c>
      <c r="AB3" s="2" t="str">
        <f t="shared" si="0"/>
        <v>Thu</v>
      </c>
      <c r="AC3" s="2" t="str">
        <f t="shared" si="0"/>
        <v>Fri</v>
      </c>
      <c r="AD3" s="2" t="str">
        <f t="shared" si="0"/>
        <v>Sat</v>
      </c>
      <c r="AE3" s="2" t="str">
        <f t="shared" si="0"/>
        <v>Sun</v>
      </c>
      <c r="AF3" s="2" t="str">
        <f t="shared" si="0"/>
        <v>Mon</v>
      </c>
      <c r="AG3" s="2" t="str">
        <f t="shared" si="0"/>
        <v>Tue</v>
      </c>
      <c r="AH3" s="2" t="str">
        <f t="shared" si="0"/>
        <v>Wed</v>
      </c>
      <c r="AI3" s="2" t="str">
        <f t="shared" si="0"/>
        <v>Thu</v>
      </c>
      <c r="AJ3" s="2" t="str">
        <f t="shared" si="0"/>
        <v>Fri</v>
      </c>
      <c r="AK3" s="115" t="s">
        <v>4</v>
      </c>
      <c r="AL3" s="115" t="s">
        <v>5</v>
      </c>
      <c r="AM3" s="110" t="s">
        <v>126</v>
      </c>
      <c r="AN3" s="111"/>
      <c r="AO3" s="3"/>
      <c r="AP3" s="3"/>
    </row>
    <row r="4" spans="1:42" ht="33.75" x14ac:dyDescent="0.25">
      <c r="A4" s="128"/>
      <c r="B4" s="128"/>
      <c r="C4" s="128"/>
      <c r="D4" s="128"/>
      <c r="E4" s="128"/>
      <c r="F4" s="13">
        <v>45658</v>
      </c>
      <c r="G4" s="13">
        <v>45659</v>
      </c>
      <c r="H4" s="13">
        <v>45660</v>
      </c>
      <c r="I4" s="13">
        <v>45661</v>
      </c>
      <c r="J4" s="13">
        <v>45662</v>
      </c>
      <c r="K4" s="13">
        <v>45663</v>
      </c>
      <c r="L4" s="13">
        <v>45664</v>
      </c>
      <c r="M4" s="13">
        <v>45665</v>
      </c>
      <c r="N4" s="13">
        <v>45666</v>
      </c>
      <c r="O4" s="13">
        <v>45667</v>
      </c>
      <c r="P4" s="13">
        <v>45668</v>
      </c>
      <c r="Q4" s="13">
        <v>45669</v>
      </c>
      <c r="R4" s="13">
        <v>45670</v>
      </c>
      <c r="S4" s="13">
        <v>45671</v>
      </c>
      <c r="T4" s="13">
        <v>45672</v>
      </c>
      <c r="U4" s="13">
        <v>45673</v>
      </c>
      <c r="V4" s="13">
        <v>45674</v>
      </c>
      <c r="W4" s="13">
        <v>45675</v>
      </c>
      <c r="X4" s="13">
        <v>45676</v>
      </c>
      <c r="Y4" s="13">
        <v>45677</v>
      </c>
      <c r="Z4" s="13">
        <v>45678</v>
      </c>
      <c r="AA4" s="13">
        <v>45679</v>
      </c>
      <c r="AB4" s="13">
        <v>45680</v>
      </c>
      <c r="AC4" s="13">
        <v>45681</v>
      </c>
      <c r="AD4" s="13">
        <v>45682</v>
      </c>
      <c r="AE4" s="13">
        <v>45683</v>
      </c>
      <c r="AF4" s="13">
        <v>45684</v>
      </c>
      <c r="AG4" s="13">
        <v>45685</v>
      </c>
      <c r="AH4" s="13">
        <v>45686</v>
      </c>
      <c r="AI4" s="13">
        <v>45687</v>
      </c>
      <c r="AJ4" s="13">
        <v>45688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9">
        <v>1</v>
      </c>
      <c r="B5" s="11">
        <v>646</v>
      </c>
      <c r="C5" s="18" t="s">
        <v>434</v>
      </c>
      <c r="D5" s="19" t="s">
        <v>246</v>
      </c>
      <c r="E5" s="20" t="s">
        <v>395</v>
      </c>
      <c r="F5" s="101" t="s">
        <v>111</v>
      </c>
      <c r="G5" s="101" t="s">
        <v>112</v>
      </c>
      <c r="H5" s="101" t="s">
        <v>111</v>
      </c>
      <c r="I5" s="101" t="s">
        <v>112</v>
      </c>
      <c r="J5" s="118" t="s">
        <v>396</v>
      </c>
      <c r="K5" s="101" t="s">
        <v>112</v>
      </c>
      <c r="L5" s="101" t="s">
        <v>112</v>
      </c>
      <c r="M5" s="101" t="s">
        <v>112</v>
      </c>
      <c r="N5" s="101" t="s">
        <v>112</v>
      </c>
      <c r="O5" s="101" t="s">
        <v>112</v>
      </c>
      <c r="P5" s="101" t="s">
        <v>112</v>
      </c>
      <c r="Q5" s="118" t="s">
        <v>396</v>
      </c>
      <c r="R5" s="101" t="s">
        <v>112</v>
      </c>
      <c r="S5" s="101" t="s">
        <v>112</v>
      </c>
      <c r="T5" s="101" t="s">
        <v>112</v>
      </c>
      <c r="U5" s="101" t="s">
        <v>112</v>
      </c>
      <c r="V5" s="101" t="s">
        <v>112</v>
      </c>
      <c r="W5" s="101" t="s">
        <v>112</v>
      </c>
      <c r="X5" s="118" t="s">
        <v>396</v>
      </c>
      <c r="Y5" s="101" t="s">
        <v>112</v>
      </c>
      <c r="Z5" s="101" t="s">
        <v>112</v>
      </c>
      <c r="AA5" s="101" t="s">
        <v>112</v>
      </c>
      <c r="AB5" s="101" t="s">
        <v>112</v>
      </c>
      <c r="AC5" s="101" t="s">
        <v>112</v>
      </c>
      <c r="AD5" s="101" t="s">
        <v>112</v>
      </c>
      <c r="AE5" s="118" t="s">
        <v>396</v>
      </c>
      <c r="AF5" s="101" t="s">
        <v>112</v>
      </c>
      <c r="AG5" s="121" t="s">
        <v>831</v>
      </c>
      <c r="AH5" s="101" t="s">
        <v>112</v>
      </c>
      <c r="AI5" s="101" t="s">
        <v>112</v>
      </c>
      <c r="AJ5" s="101" t="s">
        <v>112</v>
      </c>
      <c r="AK5" s="5">
        <f t="shared" ref="AK5:AK56" si="1">COUNTIF(F5:AJ5,"P")</f>
        <v>24</v>
      </c>
      <c r="AL5" s="5">
        <f t="shared" ref="AL5:AL56" si="2">COUNTIF(F5:AJ5,"A")</f>
        <v>2</v>
      </c>
      <c r="AM5" s="5" t="s">
        <v>7</v>
      </c>
      <c r="AN5" s="9">
        <v>26</v>
      </c>
      <c r="AO5" s="10"/>
      <c r="AP5" s="3"/>
    </row>
    <row r="6" spans="1:42" ht="16.5" x14ac:dyDescent="0.25">
      <c r="A6" s="21">
        <v>2</v>
      </c>
      <c r="B6" s="11">
        <v>690</v>
      </c>
      <c r="C6" s="18" t="s">
        <v>435</v>
      </c>
      <c r="D6" s="19" t="s">
        <v>436</v>
      </c>
      <c r="E6" s="20" t="s">
        <v>395</v>
      </c>
      <c r="F6" s="101" t="s">
        <v>111</v>
      </c>
      <c r="G6" s="101" t="s">
        <v>112</v>
      </c>
      <c r="H6" s="101" t="s">
        <v>112</v>
      </c>
      <c r="I6" s="101" t="s">
        <v>111</v>
      </c>
      <c r="J6" s="119"/>
      <c r="K6" s="101" t="s">
        <v>112</v>
      </c>
      <c r="L6" s="101" t="s">
        <v>112</v>
      </c>
      <c r="M6" s="101" t="s">
        <v>112</v>
      </c>
      <c r="N6" s="101" t="s">
        <v>112</v>
      </c>
      <c r="O6" s="101" t="s">
        <v>112</v>
      </c>
      <c r="P6" s="101" t="s">
        <v>111</v>
      </c>
      <c r="Q6" s="119"/>
      <c r="R6" s="101" t="s">
        <v>112</v>
      </c>
      <c r="S6" s="101" t="s">
        <v>112</v>
      </c>
      <c r="T6" s="101" t="s">
        <v>112</v>
      </c>
      <c r="U6" s="101" t="s">
        <v>112</v>
      </c>
      <c r="V6" s="101" t="s">
        <v>112</v>
      </c>
      <c r="W6" s="101" t="s">
        <v>112</v>
      </c>
      <c r="X6" s="119"/>
      <c r="Y6" s="101" t="s">
        <v>112</v>
      </c>
      <c r="Z6" s="101" t="s">
        <v>112</v>
      </c>
      <c r="AA6" s="101" t="s">
        <v>112</v>
      </c>
      <c r="AB6" s="101" t="s">
        <v>112</v>
      </c>
      <c r="AC6" s="101" t="s">
        <v>112</v>
      </c>
      <c r="AD6" s="101" t="s">
        <v>112</v>
      </c>
      <c r="AE6" s="119"/>
      <c r="AF6" s="101" t="s">
        <v>112</v>
      </c>
      <c r="AG6" s="122"/>
      <c r="AH6" s="101" t="s">
        <v>112</v>
      </c>
      <c r="AI6" s="101" t="s">
        <v>112</v>
      </c>
      <c r="AJ6" s="101" t="s">
        <v>112</v>
      </c>
      <c r="AK6" s="5">
        <f t="shared" si="1"/>
        <v>23</v>
      </c>
      <c r="AL6" s="5">
        <f t="shared" si="2"/>
        <v>3</v>
      </c>
      <c r="AM6" s="5" t="s">
        <v>8</v>
      </c>
      <c r="AN6" s="9">
        <v>4</v>
      </c>
      <c r="AO6" s="3"/>
      <c r="AP6" s="3"/>
    </row>
    <row r="7" spans="1:42" ht="16.5" x14ac:dyDescent="0.25">
      <c r="A7" s="9">
        <v>3</v>
      </c>
      <c r="B7" s="11">
        <v>684</v>
      </c>
      <c r="C7" s="18" t="s">
        <v>437</v>
      </c>
      <c r="D7" s="19" t="s">
        <v>337</v>
      </c>
      <c r="E7" s="20" t="s">
        <v>395</v>
      </c>
      <c r="F7" s="101" t="s">
        <v>111</v>
      </c>
      <c r="G7" s="101" t="s">
        <v>112</v>
      </c>
      <c r="H7" s="101" t="s">
        <v>111</v>
      </c>
      <c r="I7" s="101" t="s">
        <v>112</v>
      </c>
      <c r="J7" s="119"/>
      <c r="K7" s="101" t="s">
        <v>112</v>
      </c>
      <c r="L7" s="101" t="s">
        <v>112</v>
      </c>
      <c r="M7" s="101" t="s">
        <v>112</v>
      </c>
      <c r="N7" s="101" t="s">
        <v>112</v>
      </c>
      <c r="O7" s="101" t="s">
        <v>112</v>
      </c>
      <c r="P7" s="101" t="s">
        <v>111</v>
      </c>
      <c r="Q7" s="119"/>
      <c r="R7" s="101" t="s">
        <v>111</v>
      </c>
      <c r="S7" s="101" t="s">
        <v>112</v>
      </c>
      <c r="T7" s="101" t="s">
        <v>112</v>
      </c>
      <c r="U7" s="101" t="s">
        <v>112</v>
      </c>
      <c r="V7" s="101" t="s">
        <v>112</v>
      </c>
      <c r="W7" s="101" t="s">
        <v>111</v>
      </c>
      <c r="X7" s="119"/>
      <c r="Y7" s="101" t="s">
        <v>112</v>
      </c>
      <c r="Z7" s="101" t="s">
        <v>112</v>
      </c>
      <c r="AA7" s="101" t="s">
        <v>112</v>
      </c>
      <c r="AB7" s="101" t="s">
        <v>112</v>
      </c>
      <c r="AC7" s="101" t="s">
        <v>112</v>
      </c>
      <c r="AD7" s="101" t="s">
        <v>111</v>
      </c>
      <c r="AE7" s="119"/>
      <c r="AF7" s="101" t="s">
        <v>112</v>
      </c>
      <c r="AG7" s="122"/>
      <c r="AH7" s="101" t="s">
        <v>112</v>
      </c>
      <c r="AI7" s="101" t="s">
        <v>112</v>
      </c>
      <c r="AJ7" s="101" t="s">
        <v>112</v>
      </c>
      <c r="AK7" s="5">
        <f t="shared" si="1"/>
        <v>20</v>
      </c>
      <c r="AL7" s="5">
        <f t="shared" si="2"/>
        <v>6</v>
      </c>
      <c r="AM7" s="5" t="s">
        <v>828</v>
      </c>
      <c r="AN7" s="9">
        <v>1</v>
      </c>
      <c r="AO7" s="3"/>
      <c r="AP7" s="3"/>
    </row>
    <row r="8" spans="1:42" ht="16.5" x14ac:dyDescent="0.25">
      <c r="A8" s="21">
        <v>4</v>
      </c>
      <c r="B8" s="11">
        <v>551</v>
      </c>
      <c r="C8" s="18" t="s">
        <v>115</v>
      </c>
      <c r="D8" s="19" t="s">
        <v>438</v>
      </c>
      <c r="E8" s="20" t="s">
        <v>395</v>
      </c>
      <c r="F8" s="101" t="s">
        <v>112</v>
      </c>
      <c r="G8" s="101" t="s">
        <v>112</v>
      </c>
      <c r="H8" s="101" t="s">
        <v>112</v>
      </c>
      <c r="I8" s="101" t="s">
        <v>111</v>
      </c>
      <c r="J8" s="119"/>
      <c r="K8" s="101" t="s">
        <v>112</v>
      </c>
      <c r="L8" s="101" t="s">
        <v>112</v>
      </c>
      <c r="M8" s="101" t="s">
        <v>112</v>
      </c>
      <c r="N8" s="101" t="s">
        <v>112</v>
      </c>
      <c r="O8" s="101" t="s">
        <v>113</v>
      </c>
      <c r="P8" s="101" t="s">
        <v>113</v>
      </c>
      <c r="Q8" s="119"/>
      <c r="R8" s="101" t="s">
        <v>113</v>
      </c>
      <c r="S8" s="101" t="s">
        <v>113</v>
      </c>
      <c r="T8" s="101" t="s">
        <v>112</v>
      </c>
      <c r="U8" s="101" t="s">
        <v>112</v>
      </c>
      <c r="V8" s="101" t="s">
        <v>112</v>
      </c>
      <c r="W8" s="101" t="s">
        <v>111</v>
      </c>
      <c r="X8" s="119"/>
      <c r="Y8" s="101" t="s">
        <v>112</v>
      </c>
      <c r="Z8" s="101" t="s">
        <v>112</v>
      </c>
      <c r="AA8" s="101" t="s">
        <v>112</v>
      </c>
      <c r="AB8" s="101" t="s">
        <v>112</v>
      </c>
      <c r="AC8" s="101" t="s">
        <v>112</v>
      </c>
      <c r="AD8" s="101" t="s">
        <v>112</v>
      </c>
      <c r="AE8" s="119"/>
      <c r="AF8" s="101" t="s">
        <v>112</v>
      </c>
      <c r="AG8" s="122"/>
      <c r="AH8" s="101" t="s">
        <v>112</v>
      </c>
      <c r="AI8" s="101" t="s">
        <v>112</v>
      </c>
      <c r="AJ8" s="101" t="s">
        <v>112</v>
      </c>
      <c r="AK8" s="5">
        <f t="shared" si="1"/>
        <v>20</v>
      </c>
      <c r="AL8" s="5">
        <f t="shared" si="2"/>
        <v>2</v>
      </c>
      <c r="AM8" s="5"/>
      <c r="AN8" s="9"/>
      <c r="AO8"/>
      <c r="AP8"/>
    </row>
    <row r="9" spans="1:42" ht="16.5" x14ac:dyDescent="0.25">
      <c r="A9" s="21">
        <v>5</v>
      </c>
      <c r="B9" s="6">
        <v>490</v>
      </c>
      <c r="C9" s="7" t="s">
        <v>432</v>
      </c>
      <c r="D9" s="22" t="s">
        <v>433</v>
      </c>
      <c r="E9" s="20" t="s">
        <v>395</v>
      </c>
      <c r="F9" s="101" t="s">
        <v>111</v>
      </c>
      <c r="G9" s="101" t="s">
        <v>111</v>
      </c>
      <c r="H9" s="101" t="s">
        <v>111</v>
      </c>
      <c r="I9" s="101" t="s">
        <v>111</v>
      </c>
      <c r="J9" s="119"/>
      <c r="K9" s="101" t="s">
        <v>112</v>
      </c>
      <c r="L9" s="101" t="s">
        <v>112</v>
      </c>
      <c r="M9" s="101" t="s">
        <v>111</v>
      </c>
      <c r="N9" s="101" t="s">
        <v>112</v>
      </c>
      <c r="O9" s="101" t="s">
        <v>112</v>
      </c>
      <c r="P9" s="101" t="s">
        <v>112</v>
      </c>
      <c r="Q9" s="119"/>
      <c r="R9" s="101" t="s">
        <v>112</v>
      </c>
      <c r="S9" s="101" t="s">
        <v>112</v>
      </c>
      <c r="T9" s="101" t="s">
        <v>112</v>
      </c>
      <c r="U9" s="101" t="s">
        <v>112</v>
      </c>
      <c r="V9" s="101" t="s">
        <v>112</v>
      </c>
      <c r="W9" s="101" t="s">
        <v>112</v>
      </c>
      <c r="X9" s="119"/>
      <c r="Y9" s="101" t="s">
        <v>112</v>
      </c>
      <c r="Z9" s="101" t="s">
        <v>112</v>
      </c>
      <c r="AA9" s="101" t="s">
        <v>112</v>
      </c>
      <c r="AB9" s="101" t="s">
        <v>112</v>
      </c>
      <c r="AC9" s="101" t="s">
        <v>112</v>
      </c>
      <c r="AD9" s="101" t="s">
        <v>112</v>
      </c>
      <c r="AE9" s="119"/>
      <c r="AF9" s="101" t="s">
        <v>112</v>
      </c>
      <c r="AG9" s="122"/>
      <c r="AH9" s="101" t="s">
        <v>112</v>
      </c>
      <c r="AI9" s="101" t="s">
        <v>112</v>
      </c>
      <c r="AJ9" s="101" t="s">
        <v>112</v>
      </c>
      <c r="AK9" s="5">
        <f t="shared" si="1"/>
        <v>21</v>
      </c>
      <c r="AL9" s="5">
        <f t="shared" si="2"/>
        <v>5</v>
      </c>
      <c r="AM9" s="5"/>
      <c r="AN9" s="9"/>
    </row>
    <row r="10" spans="1:42" ht="16.5" x14ac:dyDescent="0.25">
      <c r="A10" s="9">
        <v>6</v>
      </c>
      <c r="B10" s="11">
        <v>647</v>
      </c>
      <c r="C10" s="18" t="s">
        <v>439</v>
      </c>
      <c r="D10" s="19" t="s">
        <v>440</v>
      </c>
      <c r="E10" s="20" t="s">
        <v>395</v>
      </c>
      <c r="F10" s="101" t="s">
        <v>111</v>
      </c>
      <c r="G10" s="101" t="s">
        <v>112</v>
      </c>
      <c r="H10" s="101" t="s">
        <v>111</v>
      </c>
      <c r="I10" s="101" t="s">
        <v>112</v>
      </c>
      <c r="J10" s="119"/>
      <c r="K10" s="101" t="s">
        <v>112</v>
      </c>
      <c r="L10" s="101" t="s">
        <v>112</v>
      </c>
      <c r="M10" s="101" t="s">
        <v>112</v>
      </c>
      <c r="N10" s="101" t="s">
        <v>112</v>
      </c>
      <c r="O10" s="101" t="s">
        <v>112</v>
      </c>
      <c r="P10" s="101" t="s">
        <v>112</v>
      </c>
      <c r="Q10" s="119"/>
      <c r="R10" s="101" t="s">
        <v>112</v>
      </c>
      <c r="S10" s="101" t="s">
        <v>112</v>
      </c>
      <c r="T10" s="101" t="s">
        <v>112</v>
      </c>
      <c r="U10" s="101" t="s">
        <v>112</v>
      </c>
      <c r="V10" s="101" t="s">
        <v>112</v>
      </c>
      <c r="W10" s="101" t="s">
        <v>112</v>
      </c>
      <c r="X10" s="119"/>
      <c r="Y10" s="101" t="s">
        <v>112</v>
      </c>
      <c r="Z10" s="101" t="s">
        <v>112</v>
      </c>
      <c r="AA10" s="101" t="s">
        <v>112</v>
      </c>
      <c r="AB10" s="101" t="s">
        <v>112</v>
      </c>
      <c r="AC10" s="101" t="s">
        <v>111</v>
      </c>
      <c r="AD10" s="101" t="s">
        <v>113</v>
      </c>
      <c r="AE10" s="119"/>
      <c r="AF10" s="101" t="s">
        <v>112</v>
      </c>
      <c r="AG10" s="122"/>
      <c r="AH10" s="101" t="s">
        <v>112</v>
      </c>
      <c r="AI10" s="101" t="s">
        <v>112</v>
      </c>
      <c r="AJ10" s="101" t="s">
        <v>112</v>
      </c>
      <c r="AK10" s="5">
        <f t="shared" si="1"/>
        <v>22</v>
      </c>
      <c r="AL10" s="5">
        <f t="shared" si="2"/>
        <v>3</v>
      </c>
    </row>
    <row r="11" spans="1:42" ht="16.5" x14ac:dyDescent="0.25">
      <c r="A11" s="21">
        <v>7</v>
      </c>
      <c r="B11" s="11"/>
      <c r="C11" s="18" t="s">
        <v>465</v>
      </c>
      <c r="D11" s="19" t="s">
        <v>466</v>
      </c>
      <c r="E11" s="20" t="s">
        <v>395</v>
      </c>
      <c r="F11" s="101" t="s">
        <v>111</v>
      </c>
      <c r="G11" s="101" t="s">
        <v>111</v>
      </c>
      <c r="H11" s="101" t="s">
        <v>111</v>
      </c>
      <c r="I11" s="101" t="s">
        <v>111</v>
      </c>
      <c r="J11" s="119"/>
      <c r="K11" s="101" t="s">
        <v>111</v>
      </c>
      <c r="L11" s="101" t="s">
        <v>112</v>
      </c>
      <c r="M11" s="101" t="s">
        <v>112</v>
      </c>
      <c r="N11" s="101" t="s">
        <v>112</v>
      </c>
      <c r="O11" s="101" t="s">
        <v>112</v>
      </c>
      <c r="P11" s="101" t="s">
        <v>112</v>
      </c>
      <c r="Q11" s="119"/>
      <c r="R11" s="101" t="s">
        <v>112</v>
      </c>
      <c r="S11" s="101" t="s">
        <v>112</v>
      </c>
      <c r="T11" s="101" t="s">
        <v>112</v>
      </c>
      <c r="U11" s="101" t="s">
        <v>112</v>
      </c>
      <c r="V11" s="101" t="s">
        <v>112</v>
      </c>
      <c r="W11" s="101" t="s">
        <v>112</v>
      </c>
      <c r="X11" s="119"/>
      <c r="Y11" s="101" t="s">
        <v>112</v>
      </c>
      <c r="Z11" s="101" t="s">
        <v>112</v>
      </c>
      <c r="AA11" s="101" t="s">
        <v>112</v>
      </c>
      <c r="AB11" s="101" t="s">
        <v>112</v>
      </c>
      <c r="AC11" s="101" t="s">
        <v>112</v>
      </c>
      <c r="AD11" s="101" t="s">
        <v>112</v>
      </c>
      <c r="AE11" s="119"/>
      <c r="AF11" s="101" t="s">
        <v>112</v>
      </c>
      <c r="AG11" s="122"/>
      <c r="AH11" s="101" t="s">
        <v>112</v>
      </c>
      <c r="AI11" s="101" t="s">
        <v>112</v>
      </c>
      <c r="AJ11" s="101" t="s">
        <v>112</v>
      </c>
      <c r="AK11" s="5">
        <f t="shared" si="1"/>
        <v>21</v>
      </c>
      <c r="AL11" s="5">
        <f t="shared" si="2"/>
        <v>5</v>
      </c>
      <c r="AM11" s="110" t="s">
        <v>9</v>
      </c>
      <c r="AN11" s="111"/>
      <c r="AO11" s="111"/>
      <c r="AP11" s="112"/>
    </row>
    <row r="12" spans="1:42" ht="16.5" x14ac:dyDescent="0.25">
      <c r="A12" s="9">
        <v>8</v>
      </c>
      <c r="B12" s="11">
        <v>585</v>
      </c>
      <c r="C12" s="18" t="s">
        <v>441</v>
      </c>
      <c r="D12" s="19" t="s">
        <v>56</v>
      </c>
      <c r="E12" s="20" t="s">
        <v>395</v>
      </c>
      <c r="F12" s="101" t="s">
        <v>111</v>
      </c>
      <c r="G12" s="101" t="s">
        <v>112</v>
      </c>
      <c r="H12" s="101" t="s">
        <v>112</v>
      </c>
      <c r="I12" s="101" t="s">
        <v>112</v>
      </c>
      <c r="J12" s="119"/>
      <c r="K12" s="101" t="s">
        <v>112</v>
      </c>
      <c r="L12" s="101" t="s">
        <v>111</v>
      </c>
      <c r="M12" s="101" t="s">
        <v>112</v>
      </c>
      <c r="N12" s="101" t="s">
        <v>112</v>
      </c>
      <c r="O12" s="101" t="s">
        <v>112</v>
      </c>
      <c r="P12" s="101" t="s">
        <v>112</v>
      </c>
      <c r="Q12" s="119"/>
      <c r="R12" s="101" t="s">
        <v>112</v>
      </c>
      <c r="S12" s="101" t="s">
        <v>112</v>
      </c>
      <c r="T12" s="101" t="s">
        <v>112</v>
      </c>
      <c r="U12" s="101" t="s">
        <v>111</v>
      </c>
      <c r="V12" s="101" t="s">
        <v>112</v>
      </c>
      <c r="W12" s="101" t="s">
        <v>111</v>
      </c>
      <c r="X12" s="119"/>
      <c r="Y12" s="101" t="s">
        <v>112</v>
      </c>
      <c r="Z12" s="101" t="s">
        <v>112</v>
      </c>
      <c r="AA12" s="101" t="s">
        <v>112</v>
      </c>
      <c r="AB12" s="101" t="s">
        <v>111</v>
      </c>
      <c r="AC12" s="101" t="s">
        <v>112</v>
      </c>
      <c r="AD12" s="101" t="s">
        <v>112</v>
      </c>
      <c r="AE12" s="119"/>
      <c r="AF12" s="101" t="s">
        <v>111</v>
      </c>
      <c r="AG12" s="122"/>
      <c r="AH12" s="101" t="s">
        <v>112</v>
      </c>
      <c r="AI12" s="101" t="s">
        <v>112</v>
      </c>
      <c r="AJ12" s="101" t="s">
        <v>112</v>
      </c>
      <c r="AK12" s="5">
        <f t="shared" si="1"/>
        <v>20</v>
      </c>
      <c r="AL12" s="5">
        <f t="shared" si="2"/>
        <v>6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21">
        <v>9</v>
      </c>
      <c r="B13" s="11">
        <v>555</v>
      </c>
      <c r="C13" s="18" t="s">
        <v>58</v>
      </c>
      <c r="D13" s="19" t="s">
        <v>252</v>
      </c>
      <c r="E13" s="20" t="s">
        <v>395</v>
      </c>
      <c r="F13" s="101" t="s">
        <v>111</v>
      </c>
      <c r="G13" s="101" t="s">
        <v>111</v>
      </c>
      <c r="H13" s="101" t="s">
        <v>111</v>
      </c>
      <c r="I13" s="101" t="s">
        <v>111</v>
      </c>
      <c r="J13" s="119"/>
      <c r="K13" s="101" t="s">
        <v>112</v>
      </c>
      <c r="L13" s="101" t="s">
        <v>112</v>
      </c>
      <c r="M13" s="101" t="s">
        <v>112</v>
      </c>
      <c r="N13" s="101" t="s">
        <v>112</v>
      </c>
      <c r="O13" s="101" t="s">
        <v>111</v>
      </c>
      <c r="P13" s="101" t="s">
        <v>111</v>
      </c>
      <c r="Q13" s="119"/>
      <c r="R13" s="101" t="s">
        <v>112</v>
      </c>
      <c r="S13" s="101" t="s">
        <v>111</v>
      </c>
      <c r="T13" s="101" t="s">
        <v>111</v>
      </c>
      <c r="U13" s="101" t="s">
        <v>112</v>
      </c>
      <c r="V13" s="101" t="s">
        <v>112</v>
      </c>
      <c r="W13" s="101" t="s">
        <v>112</v>
      </c>
      <c r="X13" s="119"/>
      <c r="Y13" s="101" t="s">
        <v>112</v>
      </c>
      <c r="Z13" s="101" t="s">
        <v>112</v>
      </c>
      <c r="AA13" s="101" t="s">
        <v>111</v>
      </c>
      <c r="AB13" s="101" t="s">
        <v>112</v>
      </c>
      <c r="AC13" s="101" t="s">
        <v>112</v>
      </c>
      <c r="AD13" s="101" t="s">
        <v>111</v>
      </c>
      <c r="AE13" s="119"/>
      <c r="AF13" s="101" t="s">
        <v>111</v>
      </c>
      <c r="AG13" s="122"/>
      <c r="AH13" s="101" t="s">
        <v>112</v>
      </c>
      <c r="AI13" s="101" t="s">
        <v>112</v>
      </c>
      <c r="AJ13" s="101" t="s">
        <v>111</v>
      </c>
      <c r="AK13" s="5">
        <f t="shared" si="1"/>
        <v>14</v>
      </c>
      <c r="AL13" s="5">
        <f t="shared" si="2"/>
        <v>12</v>
      </c>
      <c r="AM13" s="5" t="s">
        <v>14</v>
      </c>
      <c r="AN13" s="9">
        <f>28*$AN$5</f>
        <v>728</v>
      </c>
      <c r="AO13" s="9">
        <f>24*$AN$5</f>
        <v>624</v>
      </c>
      <c r="AP13" s="9">
        <f>SUM(AN13:AO13)</f>
        <v>1352</v>
      </c>
    </row>
    <row r="14" spans="1:42" ht="16.5" x14ac:dyDescent="0.25">
      <c r="A14" s="9">
        <v>10</v>
      </c>
      <c r="B14" s="102">
        <v>691</v>
      </c>
      <c r="C14" s="18" t="s">
        <v>442</v>
      </c>
      <c r="D14" s="19" t="s">
        <v>443</v>
      </c>
      <c r="E14" s="20" t="s">
        <v>395</v>
      </c>
      <c r="F14" s="101" t="s">
        <v>111</v>
      </c>
      <c r="G14" s="101" t="s">
        <v>112</v>
      </c>
      <c r="H14" s="101" t="s">
        <v>111</v>
      </c>
      <c r="I14" s="101" t="s">
        <v>112</v>
      </c>
      <c r="J14" s="119"/>
      <c r="K14" s="101" t="s">
        <v>111</v>
      </c>
      <c r="L14" s="101" t="s">
        <v>112</v>
      </c>
      <c r="M14" s="101" t="s">
        <v>112</v>
      </c>
      <c r="N14" s="101" t="s">
        <v>111</v>
      </c>
      <c r="O14" s="101" t="s">
        <v>112</v>
      </c>
      <c r="P14" s="101" t="s">
        <v>112</v>
      </c>
      <c r="Q14" s="119"/>
      <c r="R14" s="101" t="s">
        <v>111</v>
      </c>
      <c r="S14" s="101" t="s">
        <v>112</v>
      </c>
      <c r="T14" s="101" t="s">
        <v>112</v>
      </c>
      <c r="U14" s="101" t="s">
        <v>111</v>
      </c>
      <c r="V14" s="101" t="s">
        <v>112</v>
      </c>
      <c r="W14" s="101" t="s">
        <v>112</v>
      </c>
      <c r="X14" s="119"/>
      <c r="Y14" s="101" t="s">
        <v>111</v>
      </c>
      <c r="Z14" s="101" t="s">
        <v>112</v>
      </c>
      <c r="AA14" s="101" t="s">
        <v>112</v>
      </c>
      <c r="AB14" s="101" t="s">
        <v>111</v>
      </c>
      <c r="AC14" s="101" t="s">
        <v>112</v>
      </c>
      <c r="AD14" s="101" t="s">
        <v>111</v>
      </c>
      <c r="AE14" s="119"/>
      <c r="AF14" s="101" t="s">
        <v>111</v>
      </c>
      <c r="AG14" s="122"/>
      <c r="AH14" s="101" t="s">
        <v>112</v>
      </c>
      <c r="AI14" s="101" t="s">
        <v>111</v>
      </c>
      <c r="AJ14" s="101" t="s">
        <v>112</v>
      </c>
      <c r="AK14" s="5">
        <f t="shared" si="1"/>
        <v>15</v>
      </c>
      <c r="AL14" s="5">
        <f t="shared" si="2"/>
        <v>11</v>
      </c>
      <c r="AM14" s="5" t="s">
        <v>15</v>
      </c>
      <c r="AN14" s="9">
        <f>SUM(AK5:AK32)</f>
        <v>504</v>
      </c>
      <c r="AO14" s="9">
        <f>SUM(AK33:AK56)</f>
        <v>482</v>
      </c>
      <c r="AP14" s="9">
        <f>AN14+AO14</f>
        <v>986</v>
      </c>
    </row>
    <row r="15" spans="1:42" ht="16.5" x14ac:dyDescent="0.25">
      <c r="A15" s="21">
        <v>11</v>
      </c>
      <c r="B15" s="11"/>
      <c r="C15" s="18" t="s">
        <v>467</v>
      </c>
      <c r="D15" s="19"/>
      <c r="E15" s="20" t="s">
        <v>395</v>
      </c>
      <c r="F15" s="101" t="s">
        <v>111</v>
      </c>
      <c r="G15" s="101" t="s">
        <v>112</v>
      </c>
      <c r="H15" s="101" t="s">
        <v>112</v>
      </c>
      <c r="I15" s="101" t="s">
        <v>111</v>
      </c>
      <c r="J15" s="119"/>
      <c r="K15" s="101" t="s">
        <v>112</v>
      </c>
      <c r="L15" s="101" t="s">
        <v>112</v>
      </c>
      <c r="M15" s="101" t="s">
        <v>112</v>
      </c>
      <c r="N15" s="101" t="s">
        <v>112</v>
      </c>
      <c r="O15" s="101" t="s">
        <v>112</v>
      </c>
      <c r="P15" s="101" t="s">
        <v>112</v>
      </c>
      <c r="Q15" s="119"/>
      <c r="R15" s="101" t="s">
        <v>112</v>
      </c>
      <c r="S15" s="101" t="s">
        <v>112</v>
      </c>
      <c r="T15" s="101" t="s">
        <v>112</v>
      </c>
      <c r="U15" s="101" t="s">
        <v>111</v>
      </c>
      <c r="V15" s="101" t="s">
        <v>112</v>
      </c>
      <c r="W15" s="101" t="s">
        <v>112</v>
      </c>
      <c r="X15" s="119"/>
      <c r="Y15" s="101" t="s">
        <v>112</v>
      </c>
      <c r="Z15" s="101" t="s">
        <v>112</v>
      </c>
      <c r="AA15" s="101" t="s">
        <v>112</v>
      </c>
      <c r="AB15" s="101" t="s">
        <v>112</v>
      </c>
      <c r="AC15" s="101" t="s">
        <v>112</v>
      </c>
      <c r="AD15" s="101" t="s">
        <v>111</v>
      </c>
      <c r="AE15" s="119"/>
      <c r="AF15" s="101" t="s">
        <v>112</v>
      </c>
      <c r="AG15" s="122"/>
      <c r="AH15" s="101" t="s">
        <v>112</v>
      </c>
      <c r="AI15" s="101" t="s">
        <v>112</v>
      </c>
      <c r="AJ15" s="101" t="s">
        <v>112</v>
      </c>
      <c r="AK15" s="5">
        <f t="shared" si="1"/>
        <v>22</v>
      </c>
      <c r="AL15" s="5">
        <f t="shared" si="2"/>
        <v>4</v>
      </c>
      <c r="AM15" s="5" t="s">
        <v>16</v>
      </c>
      <c r="AN15" s="12">
        <f>AN14/AN13</f>
        <v>0.69230769230769229</v>
      </c>
      <c r="AO15" s="12">
        <f>AO14/AO13</f>
        <v>0.77243589743589747</v>
      </c>
      <c r="AP15" s="12">
        <f>AP14/AP13</f>
        <v>0.72928994082840237</v>
      </c>
    </row>
    <row r="16" spans="1:42" ht="16.5" x14ac:dyDescent="0.25">
      <c r="A16" s="9">
        <v>12</v>
      </c>
      <c r="B16" s="11">
        <v>528</v>
      </c>
      <c r="C16" s="18" t="s">
        <v>444</v>
      </c>
      <c r="D16" s="19" t="s">
        <v>445</v>
      </c>
      <c r="E16" s="20" t="s">
        <v>395</v>
      </c>
      <c r="F16" s="101" t="s">
        <v>111</v>
      </c>
      <c r="G16" s="101" t="s">
        <v>112</v>
      </c>
      <c r="H16" s="101" t="s">
        <v>111</v>
      </c>
      <c r="I16" s="101" t="s">
        <v>111</v>
      </c>
      <c r="J16" s="119"/>
      <c r="K16" s="101" t="s">
        <v>112</v>
      </c>
      <c r="L16" s="101" t="s">
        <v>112</v>
      </c>
      <c r="M16" s="101" t="s">
        <v>111</v>
      </c>
      <c r="N16" s="101" t="s">
        <v>112</v>
      </c>
      <c r="O16" s="101" t="s">
        <v>112</v>
      </c>
      <c r="P16" s="101" t="s">
        <v>111</v>
      </c>
      <c r="Q16" s="119"/>
      <c r="R16" s="101" t="s">
        <v>112</v>
      </c>
      <c r="S16" s="101" t="s">
        <v>111</v>
      </c>
      <c r="T16" s="101" t="s">
        <v>111</v>
      </c>
      <c r="U16" s="101" t="s">
        <v>112</v>
      </c>
      <c r="V16" s="101" t="s">
        <v>112</v>
      </c>
      <c r="W16" s="101" t="s">
        <v>112</v>
      </c>
      <c r="X16" s="119"/>
      <c r="Y16" s="101" t="s">
        <v>112</v>
      </c>
      <c r="Z16" s="101" t="s">
        <v>111</v>
      </c>
      <c r="AA16" s="101" t="s">
        <v>111</v>
      </c>
      <c r="AB16" s="101" t="s">
        <v>111</v>
      </c>
      <c r="AC16" s="101" t="s">
        <v>111</v>
      </c>
      <c r="AD16" s="101" t="s">
        <v>111</v>
      </c>
      <c r="AE16" s="119"/>
      <c r="AF16" s="101" t="s">
        <v>111</v>
      </c>
      <c r="AG16" s="122"/>
      <c r="AH16" s="101" t="s">
        <v>112</v>
      </c>
      <c r="AI16" s="101" t="s">
        <v>111</v>
      </c>
      <c r="AJ16" s="101" t="s">
        <v>111</v>
      </c>
      <c r="AK16" s="5">
        <f t="shared" si="1"/>
        <v>11</v>
      </c>
      <c r="AL16" s="5">
        <f t="shared" si="2"/>
        <v>15</v>
      </c>
      <c r="AM16"/>
      <c r="AN16"/>
      <c r="AO16"/>
      <c r="AP16"/>
    </row>
    <row r="17" spans="1:42" ht="16.5" x14ac:dyDescent="0.25">
      <c r="A17" s="21">
        <v>13</v>
      </c>
      <c r="B17" s="11">
        <v>689</v>
      </c>
      <c r="C17" s="18" t="s">
        <v>446</v>
      </c>
      <c r="D17" s="19" t="s">
        <v>174</v>
      </c>
      <c r="E17" s="20" t="s">
        <v>395</v>
      </c>
      <c r="F17" s="101" t="s">
        <v>111</v>
      </c>
      <c r="G17" s="101" t="s">
        <v>112</v>
      </c>
      <c r="H17" s="101" t="s">
        <v>112</v>
      </c>
      <c r="I17" s="101" t="s">
        <v>112</v>
      </c>
      <c r="J17" s="119"/>
      <c r="K17" s="101" t="s">
        <v>111</v>
      </c>
      <c r="L17" s="101" t="s">
        <v>112</v>
      </c>
      <c r="M17" s="101" t="s">
        <v>112</v>
      </c>
      <c r="N17" s="101" t="s">
        <v>112</v>
      </c>
      <c r="O17" s="101" t="s">
        <v>112</v>
      </c>
      <c r="P17" s="101" t="s">
        <v>112</v>
      </c>
      <c r="Q17" s="119"/>
      <c r="R17" s="101" t="s">
        <v>112</v>
      </c>
      <c r="S17" s="101" t="s">
        <v>112</v>
      </c>
      <c r="T17" s="101" t="s">
        <v>112</v>
      </c>
      <c r="U17" s="101" t="s">
        <v>112</v>
      </c>
      <c r="V17" s="101" t="s">
        <v>112</v>
      </c>
      <c r="W17" s="101" t="s">
        <v>112</v>
      </c>
      <c r="X17" s="119"/>
      <c r="Y17" s="101" t="s">
        <v>112</v>
      </c>
      <c r="Z17" s="101" t="s">
        <v>112</v>
      </c>
      <c r="AA17" s="101" t="s">
        <v>112</v>
      </c>
      <c r="AB17" s="101" t="s">
        <v>113</v>
      </c>
      <c r="AC17" s="101" t="s">
        <v>113</v>
      </c>
      <c r="AD17" s="101" t="s">
        <v>113</v>
      </c>
      <c r="AE17" s="119"/>
      <c r="AF17" s="101" t="s">
        <v>111</v>
      </c>
      <c r="AG17" s="122"/>
      <c r="AH17" s="101" t="s">
        <v>112</v>
      </c>
      <c r="AI17" s="101" t="s">
        <v>111</v>
      </c>
      <c r="AJ17" s="101" t="s">
        <v>112</v>
      </c>
      <c r="AK17" s="5">
        <f t="shared" si="1"/>
        <v>19</v>
      </c>
      <c r="AL17" s="5">
        <f t="shared" si="2"/>
        <v>4</v>
      </c>
      <c r="AM17"/>
      <c r="AN17"/>
      <c r="AO17"/>
      <c r="AP17"/>
    </row>
    <row r="18" spans="1:42" ht="16.5" x14ac:dyDescent="0.25">
      <c r="A18" s="9">
        <v>14</v>
      </c>
      <c r="B18" s="11">
        <v>648</v>
      </c>
      <c r="C18" s="18" t="s">
        <v>448</v>
      </c>
      <c r="D18" s="19" t="s">
        <v>66</v>
      </c>
      <c r="E18" s="20" t="s">
        <v>395</v>
      </c>
      <c r="F18" s="101" t="s">
        <v>111</v>
      </c>
      <c r="G18" s="101" t="s">
        <v>111</v>
      </c>
      <c r="H18" s="101" t="s">
        <v>111</v>
      </c>
      <c r="I18" s="101" t="s">
        <v>111</v>
      </c>
      <c r="J18" s="119"/>
      <c r="K18" s="101" t="s">
        <v>111</v>
      </c>
      <c r="L18" s="101" t="s">
        <v>112</v>
      </c>
      <c r="M18" s="101" t="s">
        <v>112</v>
      </c>
      <c r="N18" s="101" t="s">
        <v>112</v>
      </c>
      <c r="O18" s="101" t="s">
        <v>112</v>
      </c>
      <c r="P18" s="101" t="s">
        <v>112</v>
      </c>
      <c r="Q18" s="119"/>
      <c r="R18" s="101" t="s">
        <v>112</v>
      </c>
      <c r="S18" s="101" t="s">
        <v>112</v>
      </c>
      <c r="T18" s="101" t="s">
        <v>111</v>
      </c>
      <c r="U18" s="101" t="s">
        <v>112</v>
      </c>
      <c r="V18" s="101" t="s">
        <v>112</v>
      </c>
      <c r="W18" s="101" t="s">
        <v>112</v>
      </c>
      <c r="X18" s="119"/>
      <c r="Y18" s="101" t="s">
        <v>112</v>
      </c>
      <c r="Z18" s="101" t="s">
        <v>112</v>
      </c>
      <c r="AA18" s="101" t="s">
        <v>112</v>
      </c>
      <c r="AB18" s="101" t="s">
        <v>112</v>
      </c>
      <c r="AC18" s="101" t="s">
        <v>112</v>
      </c>
      <c r="AD18" s="101" t="s">
        <v>112</v>
      </c>
      <c r="AE18" s="119"/>
      <c r="AF18" s="101" t="s">
        <v>111</v>
      </c>
      <c r="AG18" s="122"/>
      <c r="AH18" s="101" t="s">
        <v>113</v>
      </c>
      <c r="AI18" s="101" t="s">
        <v>113</v>
      </c>
      <c r="AJ18" s="101" t="s">
        <v>113</v>
      </c>
      <c r="AK18" s="5">
        <f t="shared" si="1"/>
        <v>16</v>
      </c>
      <c r="AL18" s="5">
        <f t="shared" si="2"/>
        <v>7</v>
      </c>
      <c r="AM18"/>
      <c r="AN18"/>
      <c r="AO18"/>
      <c r="AP18"/>
    </row>
    <row r="19" spans="1:42" ht="16.5" x14ac:dyDescent="0.25">
      <c r="A19" s="21">
        <v>15</v>
      </c>
      <c r="B19" s="11">
        <v>578</v>
      </c>
      <c r="C19" s="18" t="s">
        <v>449</v>
      </c>
      <c r="D19" s="19" t="s">
        <v>231</v>
      </c>
      <c r="E19" s="20" t="s">
        <v>395</v>
      </c>
      <c r="F19" s="101" t="s">
        <v>111</v>
      </c>
      <c r="G19" s="101" t="s">
        <v>112</v>
      </c>
      <c r="H19" s="101" t="s">
        <v>112</v>
      </c>
      <c r="I19" s="101" t="s">
        <v>112</v>
      </c>
      <c r="J19" s="119"/>
      <c r="K19" s="101" t="s">
        <v>112</v>
      </c>
      <c r="L19" s="101" t="s">
        <v>112</v>
      </c>
      <c r="M19" s="101" t="s">
        <v>112</v>
      </c>
      <c r="N19" s="101" t="s">
        <v>112</v>
      </c>
      <c r="O19" s="101" t="s">
        <v>112</v>
      </c>
      <c r="P19" s="101" t="s">
        <v>112</v>
      </c>
      <c r="Q19" s="119"/>
      <c r="R19" s="101" t="s">
        <v>112</v>
      </c>
      <c r="S19" s="101" t="s">
        <v>112</v>
      </c>
      <c r="T19" s="101" t="s">
        <v>112</v>
      </c>
      <c r="U19" s="101" t="s">
        <v>112</v>
      </c>
      <c r="V19" s="101" t="s">
        <v>112</v>
      </c>
      <c r="W19" s="101" t="s">
        <v>112</v>
      </c>
      <c r="X19" s="119"/>
      <c r="Y19" s="101" t="s">
        <v>112</v>
      </c>
      <c r="Z19" s="101" t="s">
        <v>112</v>
      </c>
      <c r="AA19" s="101" t="s">
        <v>112</v>
      </c>
      <c r="AB19" s="101" t="s">
        <v>112</v>
      </c>
      <c r="AC19" s="101" t="s">
        <v>112</v>
      </c>
      <c r="AD19" s="101" t="s">
        <v>112</v>
      </c>
      <c r="AE19" s="119"/>
      <c r="AF19" s="101" t="s">
        <v>112</v>
      </c>
      <c r="AG19" s="122"/>
      <c r="AH19" s="101" t="s">
        <v>112</v>
      </c>
      <c r="AI19" s="101" t="s">
        <v>112</v>
      </c>
      <c r="AJ19" s="101" t="s">
        <v>112</v>
      </c>
      <c r="AK19" s="5">
        <f t="shared" si="1"/>
        <v>25</v>
      </c>
      <c r="AL19" s="5">
        <f t="shared" si="2"/>
        <v>1</v>
      </c>
      <c r="AM19" s="110" t="s">
        <v>128</v>
      </c>
      <c r="AN19" s="111"/>
      <c r="AO19" s="111"/>
      <c r="AP19" s="112"/>
    </row>
    <row r="20" spans="1:42" ht="16.5" x14ac:dyDescent="0.25">
      <c r="A20" s="9">
        <v>16</v>
      </c>
      <c r="B20" s="11">
        <v>573</v>
      </c>
      <c r="C20" s="18" t="s">
        <v>97</v>
      </c>
      <c r="D20" s="19" t="s">
        <v>84</v>
      </c>
      <c r="E20" s="20" t="s">
        <v>395</v>
      </c>
      <c r="F20" s="101" t="s">
        <v>111</v>
      </c>
      <c r="G20" s="101" t="s">
        <v>111</v>
      </c>
      <c r="H20" s="101" t="s">
        <v>111</v>
      </c>
      <c r="I20" s="101" t="s">
        <v>111</v>
      </c>
      <c r="J20" s="119"/>
      <c r="K20" s="101" t="s">
        <v>111</v>
      </c>
      <c r="L20" s="101" t="s">
        <v>111</v>
      </c>
      <c r="M20" s="101" t="s">
        <v>111</v>
      </c>
      <c r="N20" s="101" t="s">
        <v>111</v>
      </c>
      <c r="O20" s="101" t="s">
        <v>111</v>
      </c>
      <c r="P20" s="101" t="s">
        <v>111</v>
      </c>
      <c r="Q20" s="119"/>
      <c r="R20" s="101" t="s">
        <v>112</v>
      </c>
      <c r="S20" s="101" t="s">
        <v>112</v>
      </c>
      <c r="T20" s="101" t="s">
        <v>112</v>
      </c>
      <c r="U20" s="101" t="s">
        <v>112</v>
      </c>
      <c r="V20" s="101" t="s">
        <v>112</v>
      </c>
      <c r="W20" s="101" t="s">
        <v>112</v>
      </c>
      <c r="X20" s="119"/>
      <c r="Y20" s="101" t="s">
        <v>111</v>
      </c>
      <c r="Z20" s="101" t="s">
        <v>112</v>
      </c>
      <c r="AA20" s="101" t="s">
        <v>112</v>
      </c>
      <c r="AB20" s="101" t="s">
        <v>112</v>
      </c>
      <c r="AC20" s="101" t="s">
        <v>112</v>
      </c>
      <c r="AD20" s="101" t="s">
        <v>112</v>
      </c>
      <c r="AE20" s="119"/>
      <c r="AF20" s="101" t="s">
        <v>111</v>
      </c>
      <c r="AG20" s="122"/>
      <c r="AH20" s="101" t="s">
        <v>112</v>
      </c>
      <c r="AI20" s="101" t="s">
        <v>112</v>
      </c>
      <c r="AJ20" s="101" t="s">
        <v>112</v>
      </c>
      <c r="AK20" s="5">
        <f t="shared" si="1"/>
        <v>14</v>
      </c>
      <c r="AL20" s="5">
        <f t="shared" si="2"/>
        <v>12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21">
        <v>17</v>
      </c>
      <c r="B21" s="11">
        <v>479</v>
      </c>
      <c r="C21" s="18" t="s">
        <v>447</v>
      </c>
      <c r="D21" s="19" t="s">
        <v>118</v>
      </c>
      <c r="E21" s="20" t="s">
        <v>395</v>
      </c>
      <c r="F21" s="101" t="s">
        <v>111</v>
      </c>
      <c r="G21" s="101" t="s">
        <v>111</v>
      </c>
      <c r="H21" s="101" t="s">
        <v>111</v>
      </c>
      <c r="I21" s="101" t="s">
        <v>111</v>
      </c>
      <c r="J21" s="119"/>
      <c r="K21" s="101" t="s">
        <v>112</v>
      </c>
      <c r="L21" s="101" t="s">
        <v>112</v>
      </c>
      <c r="M21" s="101" t="s">
        <v>112</v>
      </c>
      <c r="N21" s="101" t="s">
        <v>111</v>
      </c>
      <c r="O21" s="101" t="s">
        <v>112</v>
      </c>
      <c r="P21" s="101" t="s">
        <v>112</v>
      </c>
      <c r="Q21" s="119"/>
      <c r="R21" s="101" t="s">
        <v>111</v>
      </c>
      <c r="S21" s="101" t="s">
        <v>111</v>
      </c>
      <c r="T21" s="101" t="s">
        <v>111</v>
      </c>
      <c r="U21" s="101" t="s">
        <v>112</v>
      </c>
      <c r="V21" s="101" t="s">
        <v>111</v>
      </c>
      <c r="W21" s="101" t="s">
        <v>112</v>
      </c>
      <c r="X21" s="119"/>
      <c r="Y21" s="101" t="s">
        <v>112</v>
      </c>
      <c r="Z21" s="101" t="s">
        <v>112</v>
      </c>
      <c r="AA21" s="101" t="s">
        <v>112</v>
      </c>
      <c r="AB21" s="101" t="s">
        <v>111</v>
      </c>
      <c r="AC21" s="101" t="s">
        <v>112</v>
      </c>
      <c r="AD21" s="101" t="s">
        <v>111</v>
      </c>
      <c r="AE21" s="119"/>
      <c r="AF21" s="101" t="s">
        <v>112</v>
      </c>
      <c r="AG21" s="122"/>
      <c r="AH21" s="101" t="s">
        <v>112</v>
      </c>
      <c r="AI21" s="101" t="s">
        <v>112</v>
      </c>
      <c r="AJ21" s="101" t="s">
        <v>112</v>
      </c>
      <c r="AK21" s="5">
        <f t="shared" si="1"/>
        <v>15</v>
      </c>
      <c r="AL21" s="5">
        <f t="shared" si="2"/>
        <v>11</v>
      </c>
      <c r="AM21" s="5" t="s">
        <v>14</v>
      </c>
      <c r="AN21" s="9">
        <f>28*$AN$5</f>
        <v>728</v>
      </c>
      <c r="AO21" s="9">
        <f>24*$AN$5</f>
        <v>624</v>
      </c>
      <c r="AP21" s="9">
        <f>AN21+AO21</f>
        <v>1352</v>
      </c>
    </row>
    <row r="22" spans="1:42" ht="16.5" x14ac:dyDescent="0.25">
      <c r="A22" s="9">
        <v>18</v>
      </c>
      <c r="B22" s="11">
        <v>575</v>
      </c>
      <c r="C22" s="18" t="s">
        <v>450</v>
      </c>
      <c r="D22" s="19" t="s">
        <v>451</v>
      </c>
      <c r="E22" s="20" t="s">
        <v>395</v>
      </c>
      <c r="F22" s="101" t="s">
        <v>111</v>
      </c>
      <c r="G22" s="101" t="s">
        <v>111</v>
      </c>
      <c r="H22" s="101" t="s">
        <v>112</v>
      </c>
      <c r="I22" s="101" t="s">
        <v>111</v>
      </c>
      <c r="J22" s="119"/>
      <c r="K22" s="101" t="s">
        <v>111</v>
      </c>
      <c r="L22" s="101" t="s">
        <v>112</v>
      </c>
      <c r="M22" s="101" t="s">
        <v>111</v>
      </c>
      <c r="N22" s="101" t="s">
        <v>112</v>
      </c>
      <c r="O22" s="101" t="s">
        <v>112</v>
      </c>
      <c r="P22" s="101" t="s">
        <v>112</v>
      </c>
      <c r="Q22" s="119"/>
      <c r="R22" s="101" t="s">
        <v>112</v>
      </c>
      <c r="S22" s="101" t="s">
        <v>112</v>
      </c>
      <c r="T22" s="101" t="s">
        <v>112</v>
      </c>
      <c r="U22" s="101" t="s">
        <v>112</v>
      </c>
      <c r="V22" s="101" t="s">
        <v>112</v>
      </c>
      <c r="W22" s="101" t="s">
        <v>111</v>
      </c>
      <c r="X22" s="119"/>
      <c r="Y22" s="101" t="s">
        <v>112</v>
      </c>
      <c r="Z22" s="101" t="s">
        <v>112</v>
      </c>
      <c r="AA22" s="101" t="s">
        <v>112</v>
      </c>
      <c r="AB22" s="101" t="s">
        <v>112</v>
      </c>
      <c r="AC22" s="101" t="s">
        <v>112</v>
      </c>
      <c r="AD22" s="101" t="s">
        <v>111</v>
      </c>
      <c r="AE22" s="119"/>
      <c r="AF22" s="101" t="s">
        <v>112</v>
      </c>
      <c r="AG22" s="122"/>
      <c r="AH22" s="101" t="s">
        <v>112</v>
      </c>
      <c r="AI22" s="101" t="s">
        <v>112</v>
      </c>
      <c r="AJ22" s="101" t="s">
        <v>111</v>
      </c>
      <c r="AK22" s="5">
        <f t="shared" si="1"/>
        <v>18</v>
      </c>
      <c r="AL22" s="5">
        <f t="shared" si="2"/>
        <v>8</v>
      </c>
      <c r="AM22" s="5" t="s">
        <v>17</v>
      </c>
      <c r="AN22" s="9">
        <f>AN21-AN14</f>
        <v>224</v>
      </c>
      <c r="AO22" s="9">
        <f>AO21-AO14</f>
        <v>142</v>
      </c>
      <c r="AP22" s="9">
        <f>AN22+AO22</f>
        <v>366</v>
      </c>
    </row>
    <row r="23" spans="1:42" ht="16.5" x14ac:dyDescent="0.25">
      <c r="A23" s="21">
        <v>19</v>
      </c>
      <c r="B23" s="11">
        <v>586</v>
      </c>
      <c r="C23" s="18" t="s">
        <v>452</v>
      </c>
      <c r="D23" s="19" t="s">
        <v>453</v>
      </c>
      <c r="E23" s="20" t="s">
        <v>395</v>
      </c>
      <c r="F23" s="101" t="s">
        <v>112</v>
      </c>
      <c r="G23" s="101" t="s">
        <v>112</v>
      </c>
      <c r="H23" s="101" t="s">
        <v>112</v>
      </c>
      <c r="I23" s="101" t="s">
        <v>112</v>
      </c>
      <c r="J23" s="119"/>
      <c r="K23" s="101" t="s">
        <v>112</v>
      </c>
      <c r="L23" s="101" t="s">
        <v>112</v>
      </c>
      <c r="M23" s="101" t="s">
        <v>112</v>
      </c>
      <c r="N23" s="101" t="s">
        <v>112</v>
      </c>
      <c r="O23" s="101" t="s">
        <v>112</v>
      </c>
      <c r="P23" s="101" t="s">
        <v>112</v>
      </c>
      <c r="Q23" s="119"/>
      <c r="R23" s="101" t="s">
        <v>112</v>
      </c>
      <c r="S23" s="101" t="s">
        <v>112</v>
      </c>
      <c r="T23" s="101" t="s">
        <v>112</v>
      </c>
      <c r="U23" s="101" t="s">
        <v>112</v>
      </c>
      <c r="V23" s="101" t="s">
        <v>112</v>
      </c>
      <c r="W23" s="101" t="s">
        <v>112</v>
      </c>
      <c r="X23" s="119"/>
      <c r="Y23" s="101" t="s">
        <v>112</v>
      </c>
      <c r="Z23" s="101" t="s">
        <v>112</v>
      </c>
      <c r="AA23" s="101" t="s">
        <v>112</v>
      </c>
      <c r="AB23" s="101" t="s">
        <v>112</v>
      </c>
      <c r="AC23" s="101" t="s">
        <v>112</v>
      </c>
      <c r="AD23" s="101" t="s">
        <v>112</v>
      </c>
      <c r="AE23" s="119"/>
      <c r="AF23" s="101" t="s">
        <v>112</v>
      </c>
      <c r="AG23" s="122"/>
      <c r="AH23" s="101" t="s">
        <v>112</v>
      </c>
      <c r="AI23" s="101" t="s">
        <v>112</v>
      </c>
      <c r="AJ23" s="101" t="s">
        <v>112</v>
      </c>
      <c r="AK23" s="5">
        <f t="shared" si="1"/>
        <v>26</v>
      </c>
      <c r="AL23" s="5">
        <f t="shared" si="2"/>
        <v>0</v>
      </c>
      <c r="AM23" s="5" t="s">
        <v>16</v>
      </c>
      <c r="AN23" s="12">
        <f>AN22/AN21</f>
        <v>0.30769230769230771</v>
      </c>
      <c r="AO23" s="12">
        <f>AO22/AO21</f>
        <v>0.22756410256410256</v>
      </c>
      <c r="AP23" s="12">
        <f>AP22/AP21</f>
        <v>0.27071005917159763</v>
      </c>
    </row>
    <row r="24" spans="1:42" ht="16.5" x14ac:dyDescent="0.25">
      <c r="A24" s="9">
        <v>20</v>
      </c>
      <c r="B24" s="11">
        <v>580</v>
      </c>
      <c r="C24" s="18" t="s">
        <v>455</v>
      </c>
      <c r="D24" s="19" t="s">
        <v>456</v>
      </c>
      <c r="E24" s="20" t="s">
        <v>395</v>
      </c>
      <c r="F24" s="101" t="s">
        <v>111</v>
      </c>
      <c r="G24" s="101" t="s">
        <v>112</v>
      </c>
      <c r="H24" s="101" t="s">
        <v>112</v>
      </c>
      <c r="I24" s="101" t="s">
        <v>112</v>
      </c>
      <c r="J24" s="119"/>
      <c r="K24" s="101" t="s">
        <v>112</v>
      </c>
      <c r="L24" s="101" t="s">
        <v>112</v>
      </c>
      <c r="M24" s="101" t="s">
        <v>112</v>
      </c>
      <c r="N24" s="101" t="s">
        <v>112</v>
      </c>
      <c r="O24" s="101" t="s">
        <v>112</v>
      </c>
      <c r="P24" s="101" t="s">
        <v>111</v>
      </c>
      <c r="Q24" s="119"/>
      <c r="R24" s="101" t="s">
        <v>112</v>
      </c>
      <c r="S24" s="101" t="s">
        <v>112</v>
      </c>
      <c r="T24" s="101" t="s">
        <v>112</v>
      </c>
      <c r="U24" s="101" t="s">
        <v>112</v>
      </c>
      <c r="V24" s="101" t="s">
        <v>112</v>
      </c>
      <c r="W24" s="101" t="s">
        <v>113</v>
      </c>
      <c r="X24" s="119"/>
      <c r="Y24" s="101" t="s">
        <v>112</v>
      </c>
      <c r="Z24" s="101" t="s">
        <v>112</v>
      </c>
      <c r="AA24" s="101" t="s">
        <v>112</v>
      </c>
      <c r="AB24" s="101" t="s">
        <v>112</v>
      </c>
      <c r="AC24" s="101" t="s">
        <v>112</v>
      </c>
      <c r="AD24" s="101" t="s">
        <v>112</v>
      </c>
      <c r="AE24" s="119"/>
      <c r="AF24" s="101" t="s">
        <v>112</v>
      </c>
      <c r="AG24" s="122"/>
      <c r="AH24" s="101" t="s">
        <v>112</v>
      </c>
      <c r="AI24" s="101" t="s">
        <v>112</v>
      </c>
      <c r="AJ24" s="101" t="s">
        <v>112</v>
      </c>
      <c r="AK24" s="5">
        <f t="shared" si="1"/>
        <v>23</v>
      </c>
      <c r="AL24" s="5">
        <f t="shared" si="2"/>
        <v>2</v>
      </c>
    </row>
    <row r="25" spans="1:42" ht="16.5" x14ac:dyDescent="0.25">
      <c r="A25" s="21">
        <v>21</v>
      </c>
      <c r="B25" s="11">
        <v>583</v>
      </c>
      <c r="C25" s="18" t="s">
        <v>454</v>
      </c>
      <c r="D25" s="19" t="s">
        <v>41</v>
      </c>
      <c r="E25" s="20" t="s">
        <v>395</v>
      </c>
      <c r="F25" s="101" t="s">
        <v>111</v>
      </c>
      <c r="G25" s="101" t="s">
        <v>111</v>
      </c>
      <c r="H25" s="101" t="s">
        <v>111</v>
      </c>
      <c r="I25" s="101" t="s">
        <v>111</v>
      </c>
      <c r="J25" s="119"/>
      <c r="K25" s="101" t="s">
        <v>112</v>
      </c>
      <c r="L25" s="101" t="s">
        <v>112</v>
      </c>
      <c r="M25" s="101" t="s">
        <v>112</v>
      </c>
      <c r="N25" s="101" t="s">
        <v>112</v>
      </c>
      <c r="O25" s="101" t="s">
        <v>112</v>
      </c>
      <c r="P25" s="101" t="s">
        <v>112</v>
      </c>
      <c r="Q25" s="119"/>
      <c r="R25" s="101" t="s">
        <v>112</v>
      </c>
      <c r="S25" s="101" t="s">
        <v>112</v>
      </c>
      <c r="T25" s="101" t="s">
        <v>112</v>
      </c>
      <c r="U25" s="101" t="s">
        <v>112</v>
      </c>
      <c r="V25" s="101" t="s">
        <v>112</v>
      </c>
      <c r="W25" s="101" t="s">
        <v>112</v>
      </c>
      <c r="X25" s="119"/>
      <c r="Y25" s="101" t="s">
        <v>112</v>
      </c>
      <c r="Z25" s="101" t="s">
        <v>111</v>
      </c>
      <c r="AA25" s="101" t="s">
        <v>111</v>
      </c>
      <c r="AB25" s="101" t="s">
        <v>111</v>
      </c>
      <c r="AC25" s="101" t="s">
        <v>111</v>
      </c>
      <c r="AD25" s="101" t="s">
        <v>111</v>
      </c>
      <c r="AE25" s="119"/>
      <c r="AF25" s="101" t="s">
        <v>111</v>
      </c>
      <c r="AG25" s="122"/>
      <c r="AH25" s="101" t="s">
        <v>111</v>
      </c>
      <c r="AI25" s="101" t="s">
        <v>112</v>
      </c>
      <c r="AJ25" s="101" t="s">
        <v>112</v>
      </c>
      <c r="AK25" s="5">
        <f t="shared" si="1"/>
        <v>15</v>
      </c>
      <c r="AL25" s="5">
        <f t="shared" si="2"/>
        <v>11</v>
      </c>
    </row>
    <row r="26" spans="1:42" ht="16.5" x14ac:dyDescent="0.25">
      <c r="A26" s="9">
        <v>22</v>
      </c>
      <c r="B26" s="11">
        <v>480</v>
      </c>
      <c r="C26" s="18" t="s">
        <v>457</v>
      </c>
      <c r="D26" s="19" t="s">
        <v>248</v>
      </c>
      <c r="E26" s="20" t="s">
        <v>395</v>
      </c>
      <c r="F26" s="101" t="s">
        <v>112</v>
      </c>
      <c r="G26" s="101" t="s">
        <v>112</v>
      </c>
      <c r="H26" s="101" t="s">
        <v>111</v>
      </c>
      <c r="I26" s="101" t="s">
        <v>111</v>
      </c>
      <c r="J26" s="119"/>
      <c r="K26" s="101" t="s">
        <v>112</v>
      </c>
      <c r="L26" s="101" t="s">
        <v>112</v>
      </c>
      <c r="M26" s="101" t="s">
        <v>112</v>
      </c>
      <c r="N26" s="101" t="s">
        <v>112</v>
      </c>
      <c r="O26" s="101" t="s">
        <v>112</v>
      </c>
      <c r="P26" s="101" t="s">
        <v>112</v>
      </c>
      <c r="Q26" s="119"/>
      <c r="R26" s="101" t="s">
        <v>112</v>
      </c>
      <c r="S26" s="101" t="s">
        <v>112</v>
      </c>
      <c r="T26" s="101" t="s">
        <v>112</v>
      </c>
      <c r="U26" s="101" t="s">
        <v>112</v>
      </c>
      <c r="V26" s="101" t="s">
        <v>111</v>
      </c>
      <c r="W26" s="101" t="s">
        <v>111</v>
      </c>
      <c r="X26" s="119"/>
      <c r="Y26" s="101" t="s">
        <v>112</v>
      </c>
      <c r="Z26" s="101" t="s">
        <v>112</v>
      </c>
      <c r="AA26" s="101" t="s">
        <v>112</v>
      </c>
      <c r="AB26" s="101" t="s">
        <v>112</v>
      </c>
      <c r="AC26" s="101" t="s">
        <v>112</v>
      </c>
      <c r="AD26" s="101" t="s">
        <v>112</v>
      </c>
      <c r="AE26" s="119"/>
      <c r="AF26" s="101" t="s">
        <v>112</v>
      </c>
      <c r="AG26" s="122"/>
      <c r="AH26" s="101" t="s">
        <v>111</v>
      </c>
      <c r="AI26" s="101" t="s">
        <v>112</v>
      </c>
      <c r="AJ26" s="101" t="s">
        <v>112</v>
      </c>
      <c r="AK26" s="5">
        <f t="shared" si="1"/>
        <v>21</v>
      </c>
      <c r="AL26" s="5">
        <f t="shared" si="2"/>
        <v>5</v>
      </c>
    </row>
    <row r="27" spans="1:42" ht="16.5" x14ac:dyDescent="0.25">
      <c r="A27" s="21">
        <v>23</v>
      </c>
      <c r="B27" s="11">
        <v>576</v>
      </c>
      <c r="C27" s="18" t="s">
        <v>324</v>
      </c>
      <c r="D27" s="19" t="s">
        <v>248</v>
      </c>
      <c r="E27" s="20" t="s">
        <v>395</v>
      </c>
      <c r="F27" s="101" t="s">
        <v>111</v>
      </c>
      <c r="G27" s="101" t="s">
        <v>112</v>
      </c>
      <c r="H27" s="101" t="s">
        <v>112</v>
      </c>
      <c r="I27" s="101" t="s">
        <v>112</v>
      </c>
      <c r="J27" s="119"/>
      <c r="K27" s="101" t="s">
        <v>112</v>
      </c>
      <c r="L27" s="101" t="s">
        <v>112</v>
      </c>
      <c r="M27" s="101" t="s">
        <v>112</v>
      </c>
      <c r="N27" s="101" t="s">
        <v>112</v>
      </c>
      <c r="O27" s="101" t="s">
        <v>112</v>
      </c>
      <c r="P27" s="101" t="s">
        <v>112</v>
      </c>
      <c r="Q27" s="119"/>
      <c r="R27" s="101" t="s">
        <v>112</v>
      </c>
      <c r="S27" s="101" t="s">
        <v>112</v>
      </c>
      <c r="T27" s="101" t="s">
        <v>112</v>
      </c>
      <c r="U27" s="101" t="s">
        <v>112</v>
      </c>
      <c r="V27" s="101" t="s">
        <v>112</v>
      </c>
      <c r="W27" s="101" t="s">
        <v>112</v>
      </c>
      <c r="X27" s="119"/>
      <c r="Y27" s="101" t="s">
        <v>112</v>
      </c>
      <c r="Z27" s="101" t="s">
        <v>112</v>
      </c>
      <c r="AA27" s="101" t="s">
        <v>112</v>
      </c>
      <c r="AB27" s="101" t="s">
        <v>112</v>
      </c>
      <c r="AC27" s="101" t="s">
        <v>112</v>
      </c>
      <c r="AD27" s="101" t="s">
        <v>112</v>
      </c>
      <c r="AE27" s="119"/>
      <c r="AF27" s="101" t="s">
        <v>112</v>
      </c>
      <c r="AG27" s="122"/>
      <c r="AH27" s="101" t="s">
        <v>112</v>
      </c>
      <c r="AI27" s="101" t="s">
        <v>112</v>
      </c>
      <c r="AJ27" s="101" t="s">
        <v>112</v>
      </c>
      <c r="AK27" s="5">
        <f t="shared" si="1"/>
        <v>25</v>
      </c>
      <c r="AL27" s="5">
        <f t="shared" si="2"/>
        <v>1</v>
      </c>
    </row>
    <row r="28" spans="1:42" ht="16.5" x14ac:dyDescent="0.25">
      <c r="A28" s="9">
        <v>24</v>
      </c>
      <c r="B28" s="11">
        <v>685</v>
      </c>
      <c r="C28" s="18" t="s">
        <v>458</v>
      </c>
      <c r="D28" s="19" t="s">
        <v>459</v>
      </c>
      <c r="E28" s="20" t="s">
        <v>395</v>
      </c>
      <c r="F28" s="101" t="s">
        <v>112</v>
      </c>
      <c r="G28" s="101" t="s">
        <v>112</v>
      </c>
      <c r="H28" s="101" t="s">
        <v>112</v>
      </c>
      <c r="I28" s="101" t="s">
        <v>112</v>
      </c>
      <c r="J28" s="119"/>
      <c r="K28" s="101" t="s">
        <v>112</v>
      </c>
      <c r="L28" s="101" t="s">
        <v>112</v>
      </c>
      <c r="M28" s="101" t="s">
        <v>112</v>
      </c>
      <c r="N28" s="101" t="s">
        <v>112</v>
      </c>
      <c r="O28" s="101" t="s">
        <v>112</v>
      </c>
      <c r="P28" s="101" t="s">
        <v>112</v>
      </c>
      <c r="Q28" s="119"/>
      <c r="R28" s="101" t="s">
        <v>112</v>
      </c>
      <c r="S28" s="101" t="s">
        <v>112</v>
      </c>
      <c r="T28" s="101" t="s">
        <v>112</v>
      </c>
      <c r="U28" s="101" t="s">
        <v>112</v>
      </c>
      <c r="V28" s="101" t="s">
        <v>112</v>
      </c>
      <c r="W28" s="101" t="s">
        <v>111</v>
      </c>
      <c r="X28" s="119"/>
      <c r="Y28" s="101" t="s">
        <v>112</v>
      </c>
      <c r="Z28" s="101" t="s">
        <v>112</v>
      </c>
      <c r="AA28" s="101" t="s">
        <v>112</v>
      </c>
      <c r="AB28" s="101" t="s">
        <v>112</v>
      </c>
      <c r="AC28" s="101" t="s">
        <v>112</v>
      </c>
      <c r="AD28" s="101" t="s">
        <v>112</v>
      </c>
      <c r="AE28" s="119"/>
      <c r="AF28" s="101" t="s">
        <v>112</v>
      </c>
      <c r="AG28" s="122"/>
      <c r="AH28" s="101" t="s">
        <v>112</v>
      </c>
      <c r="AI28" s="101" t="s">
        <v>112</v>
      </c>
      <c r="AJ28" s="101" t="s">
        <v>112</v>
      </c>
      <c r="AK28" s="5">
        <f t="shared" si="1"/>
        <v>25</v>
      </c>
      <c r="AL28" s="5">
        <f t="shared" si="2"/>
        <v>1</v>
      </c>
    </row>
    <row r="29" spans="1:42" ht="16.5" customHeight="1" x14ac:dyDescent="0.25">
      <c r="A29" s="21">
        <v>25</v>
      </c>
      <c r="B29" s="11">
        <v>688</v>
      </c>
      <c r="C29" s="18" t="s">
        <v>460</v>
      </c>
      <c r="D29" s="19" t="s">
        <v>452</v>
      </c>
      <c r="E29" s="20" t="s">
        <v>395</v>
      </c>
      <c r="F29" s="101" t="s">
        <v>111</v>
      </c>
      <c r="G29" s="101" t="s">
        <v>111</v>
      </c>
      <c r="H29" s="101" t="s">
        <v>112</v>
      </c>
      <c r="I29" s="101" t="s">
        <v>111</v>
      </c>
      <c r="J29" s="119"/>
      <c r="K29" s="101" t="s">
        <v>111</v>
      </c>
      <c r="L29" s="101" t="s">
        <v>112</v>
      </c>
      <c r="M29" s="101" t="s">
        <v>112</v>
      </c>
      <c r="N29" s="101" t="s">
        <v>112</v>
      </c>
      <c r="O29" s="101" t="s">
        <v>112</v>
      </c>
      <c r="P29" s="101" t="s">
        <v>111</v>
      </c>
      <c r="Q29" s="119"/>
      <c r="R29" s="101" t="s">
        <v>111</v>
      </c>
      <c r="S29" s="101" t="s">
        <v>112</v>
      </c>
      <c r="T29" s="101" t="s">
        <v>112</v>
      </c>
      <c r="U29" s="101" t="s">
        <v>111</v>
      </c>
      <c r="V29" s="101" t="s">
        <v>112</v>
      </c>
      <c r="W29" s="101" t="s">
        <v>111</v>
      </c>
      <c r="X29" s="119"/>
      <c r="Y29" s="101" t="s">
        <v>112</v>
      </c>
      <c r="Z29" s="101" t="s">
        <v>112</v>
      </c>
      <c r="AA29" s="101" t="s">
        <v>111</v>
      </c>
      <c r="AB29" s="101" t="s">
        <v>112</v>
      </c>
      <c r="AC29" s="101" t="s">
        <v>112</v>
      </c>
      <c r="AD29" s="101" t="s">
        <v>111</v>
      </c>
      <c r="AE29" s="119"/>
      <c r="AF29" s="101" t="s">
        <v>112</v>
      </c>
      <c r="AG29" s="122"/>
      <c r="AH29" s="101" t="s">
        <v>112</v>
      </c>
      <c r="AI29" s="101" t="s">
        <v>111</v>
      </c>
      <c r="AJ29" s="101" t="s">
        <v>112</v>
      </c>
      <c r="AK29" s="5">
        <f t="shared" si="1"/>
        <v>15</v>
      </c>
      <c r="AL29" s="5">
        <f t="shared" si="2"/>
        <v>11</v>
      </c>
    </row>
    <row r="30" spans="1:42" ht="16.5" x14ac:dyDescent="0.25">
      <c r="A30" s="9">
        <v>26</v>
      </c>
      <c r="B30" s="11">
        <v>546</v>
      </c>
      <c r="C30" s="18" t="s">
        <v>460</v>
      </c>
      <c r="D30" s="19" t="s">
        <v>461</v>
      </c>
      <c r="E30" s="20" t="s">
        <v>395</v>
      </c>
      <c r="F30" s="101" t="s">
        <v>111</v>
      </c>
      <c r="G30" s="101" t="s">
        <v>111</v>
      </c>
      <c r="H30" s="101" t="s">
        <v>111</v>
      </c>
      <c r="I30" s="101" t="s">
        <v>111</v>
      </c>
      <c r="J30" s="119"/>
      <c r="K30" s="101" t="s">
        <v>112</v>
      </c>
      <c r="L30" s="101" t="s">
        <v>111</v>
      </c>
      <c r="M30" s="101" t="s">
        <v>112</v>
      </c>
      <c r="N30" s="101" t="s">
        <v>111</v>
      </c>
      <c r="O30" s="101" t="s">
        <v>111</v>
      </c>
      <c r="P30" s="101" t="s">
        <v>111</v>
      </c>
      <c r="Q30" s="119"/>
      <c r="R30" s="101" t="s">
        <v>112</v>
      </c>
      <c r="S30" s="101" t="s">
        <v>112</v>
      </c>
      <c r="T30" s="101" t="s">
        <v>112</v>
      </c>
      <c r="U30" s="101" t="s">
        <v>112</v>
      </c>
      <c r="V30" s="101" t="s">
        <v>111</v>
      </c>
      <c r="W30" s="101" t="s">
        <v>112</v>
      </c>
      <c r="X30" s="119"/>
      <c r="Y30" s="101" t="s">
        <v>112</v>
      </c>
      <c r="Z30" s="101" t="s">
        <v>112</v>
      </c>
      <c r="AA30" s="101" t="s">
        <v>111</v>
      </c>
      <c r="AB30" s="101" t="s">
        <v>112</v>
      </c>
      <c r="AC30" s="101" t="s">
        <v>111</v>
      </c>
      <c r="AD30" s="101" t="s">
        <v>112</v>
      </c>
      <c r="AE30" s="119"/>
      <c r="AF30" s="101" t="s">
        <v>112</v>
      </c>
      <c r="AG30" s="122"/>
      <c r="AH30" s="101" t="s">
        <v>111</v>
      </c>
      <c r="AI30" s="101" t="s">
        <v>112</v>
      </c>
      <c r="AJ30" s="101" t="s">
        <v>112</v>
      </c>
      <c r="AK30" s="5">
        <f t="shared" si="1"/>
        <v>14</v>
      </c>
      <c r="AL30" s="5">
        <f t="shared" si="2"/>
        <v>12</v>
      </c>
    </row>
    <row r="31" spans="1:42" ht="16.5" x14ac:dyDescent="0.25">
      <c r="A31" s="21">
        <v>27</v>
      </c>
      <c r="B31" s="11"/>
      <c r="C31" s="18" t="s">
        <v>462</v>
      </c>
      <c r="D31" s="19" t="s">
        <v>463</v>
      </c>
      <c r="E31" s="20" t="s">
        <v>395</v>
      </c>
      <c r="F31" s="101" t="s">
        <v>111</v>
      </c>
      <c r="G31" s="101" t="s">
        <v>111</v>
      </c>
      <c r="H31" s="101" t="s">
        <v>111</v>
      </c>
      <c r="I31" s="101" t="s">
        <v>111</v>
      </c>
      <c r="J31" s="119"/>
      <c r="K31" s="101" t="s">
        <v>111</v>
      </c>
      <c r="L31" s="101" t="s">
        <v>111</v>
      </c>
      <c r="M31" s="101" t="s">
        <v>111</v>
      </c>
      <c r="N31" s="101" t="s">
        <v>111</v>
      </c>
      <c r="O31" s="101" t="s">
        <v>111</v>
      </c>
      <c r="P31" s="101" t="s">
        <v>111</v>
      </c>
      <c r="Q31" s="119"/>
      <c r="R31" s="101" t="s">
        <v>111</v>
      </c>
      <c r="S31" s="101" t="s">
        <v>111</v>
      </c>
      <c r="T31" s="101" t="s">
        <v>111</v>
      </c>
      <c r="U31" s="101" t="s">
        <v>111</v>
      </c>
      <c r="V31" s="101" t="s">
        <v>111</v>
      </c>
      <c r="W31" s="101" t="s">
        <v>111</v>
      </c>
      <c r="X31" s="119"/>
      <c r="Y31" s="101" t="s">
        <v>111</v>
      </c>
      <c r="Z31" s="101" t="s">
        <v>111</v>
      </c>
      <c r="AA31" s="101" t="s">
        <v>111</v>
      </c>
      <c r="AB31" s="101" t="s">
        <v>111</v>
      </c>
      <c r="AC31" s="101" t="s">
        <v>111</v>
      </c>
      <c r="AD31" s="101" t="s">
        <v>111</v>
      </c>
      <c r="AE31" s="119"/>
      <c r="AF31" s="101" t="s">
        <v>111</v>
      </c>
      <c r="AG31" s="122"/>
      <c r="AH31" s="101" t="s">
        <v>111</v>
      </c>
      <c r="AI31" s="101" t="s">
        <v>111</v>
      </c>
      <c r="AJ31" s="101" t="s">
        <v>111</v>
      </c>
      <c r="AK31" s="5">
        <f t="shared" si="1"/>
        <v>0</v>
      </c>
      <c r="AL31" s="5">
        <f t="shared" si="2"/>
        <v>26</v>
      </c>
    </row>
    <row r="32" spans="1:42" ht="16.5" x14ac:dyDescent="0.25">
      <c r="A32" s="9">
        <v>28</v>
      </c>
      <c r="B32" s="11"/>
      <c r="C32" s="18" t="s">
        <v>464</v>
      </c>
      <c r="D32" s="19" t="s">
        <v>463</v>
      </c>
      <c r="E32" s="20" t="s">
        <v>395</v>
      </c>
      <c r="F32" s="101" t="s">
        <v>111</v>
      </c>
      <c r="G32" s="101" t="s">
        <v>111</v>
      </c>
      <c r="H32" s="101" t="s">
        <v>111</v>
      </c>
      <c r="I32" s="101" t="s">
        <v>111</v>
      </c>
      <c r="J32" s="119"/>
      <c r="K32" s="101" t="s">
        <v>111</v>
      </c>
      <c r="L32" s="101" t="s">
        <v>111</v>
      </c>
      <c r="M32" s="101" t="s">
        <v>111</v>
      </c>
      <c r="N32" s="101" t="s">
        <v>111</v>
      </c>
      <c r="O32" s="101" t="s">
        <v>111</v>
      </c>
      <c r="P32" s="101" t="s">
        <v>111</v>
      </c>
      <c r="Q32" s="119"/>
      <c r="R32" s="101" t="s">
        <v>111</v>
      </c>
      <c r="S32" s="101" t="s">
        <v>111</v>
      </c>
      <c r="T32" s="101" t="s">
        <v>111</v>
      </c>
      <c r="U32" s="101" t="s">
        <v>111</v>
      </c>
      <c r="V32" s="101" t="s">
        <v>111</v>
      </c>
      <c r="W32" s="101" t="s">
        <v>111</v>
      </c>
      <c r="X32" s="119"/>
      <c r="Y32" s="101" t="s">
        <v>111</v>
      </c>
      <c r="Z32" s="101" t="s">
        <v>111</v>
      </c>
      <c r="AA32" s="101" t="s">
        <v>111</v>
      </c>
      <c r="AB32" s="101" t="s">
        <v>111</v>
      </c>
      <c r="AC32" s="101" t="s">
        <v>111</v>
      </c>
      <c r="AD32" s="101" t="s">
        <v>111</v>
      </c>
      <c r="AE32" s="119"/>
      <c r="AF32" s="101" t="s">
        <v>111</v>
      </c>
      <c r="AG32" s="122"/>
      <c r="AH32" s="101" t="s">
        <v>111</v>
      </c>
      <c r="AI32" s="101" t="s">
        <v>111</v>
      </c>
      <c r="AJ32" s="101" t="s">
        <v>111</v>
      </c>
      <c r="AK32" s="5">
        <f t="shared" si="1"/>
        <v>0</v>
      </c>
      <c r="AL32" s="5">
        <f t="shared" si="2"/>
        <v>26</v>
      </c>
    </row>
    <row r="33" spans="1:38" ht="16.5" x14ac:dyDescent="0.25">
      <c r="A33" s="21">
        <v>1</v>
      </c>
      <c r="B33" s="11">
        <v>544</v>
      </c>
      <c r="C33" s="18" t="s">
        <v>393</v>
      </c>
      <c r="D33" s="19" t="s">
        <v>394</v>
      </c>
      <c r="E33" s="20" t="s">
        <v>395</v>
      </c>
      <c r="F33" s="101" t="s">
        <v>112</v>
      </c>
      <c r="G33" s="101" t="s">
        <v>112</v>
      </c>
      <c r="H33" s="101" t="s">
        <v>112</v>
      </c>
      <c r="I33" s="101" t="s">
        <v>112</v>
      </c>
      <c r="J33" s="119"/>
      <c r="K33" s="101" t="s">
        <v>112</v>
      </c>
      <c r="L33" s="101" t="s">
        <v>111</v>
      </c>
      <c r="M33" s="101" t="s">
        <v>112</v>
      </c>
      <c r="N33" s="101" t="s">
        <v>112</v>
      </c>
      <c r="O33" s="101" t="s">
        <v>112</v>
      </c>
      <c r="P33" s="101" t="s">
        <v>112</v>
      </c>
      <c r="Q33" s="119"/>
      <c r="R33" s="101" t="s">
        <v>112</v>
      </c>
      <c r="S33" s="101" t="s">
        <v>111</v>
      </c>
      <c r="T33" s="101" t="s">
        <v>112</v>
      </c>
      <c r="U33" s="101" t="s">
        <v>112</v>
      </c>
      <c r="V33" s="101" t="s">
        <v>112</v>
      </c>
      <c r="W33" s="101" t="s">
        <v>112</v>
      </c>
      <c r="X33" s="119"/>
      <c r="Y33" s="101" t="s">
        <v>112</v>
      </c>
      <c r="Z33" s="101" t="s">
        <v>112</v>
      </c>
      <c r="AA33" s="101" t="s">
        <v>112</v>
      </c>
      <c r="AB33" s="101" t="s">
        <v>112</v>
      </c>
      <c r="AC33" s="101" t="s">
        <v>112</v>
      </c>
      <c r="AD33" s="101" t="s">
        <v>112</v>
      </c>
      <c r="AE33" s="119"/>
      <c r="AF33" s="101" t="s">
        <v>112</v>
      </c>
      <c r="AG33" s="122"/>
      <c r="AH33" s="101" t="s">
        <v>112</v>
      </c>
      <c r="AI33" s="101" t="s">
        <v>112</v>
      </c>
      <c r="AJ33" s="101" t="s">
        <v>112</v>
      </c>
      <c r="AK33" s="5">
        <f t="shared" si="1"/>
        <v>24</v>
      </c>
      <c r="AL33" s="5">
        <f t="shared" si="2"/>
        <v>2</v>
      </c>
    </row>
    <row r="34" spans="1:38" ht="16.5" x14ac:dyDescent="0.25">
      <c r="A34" s="9">
        <v>2</v>
      </c>
      <c r="B34" s="11">
        <v>780</v>
      </c>
      <c r="C34" s="18" t="s">
        <v>397</v>
      </c>
      <c r="D34" s="19" t="s">
        <v>398</v>
      </c>
      <c r="E34" s="20" t="s">
        <v>395</v>
      </c>
      <c r="F34" s="101" t="s">
        <v>112</v>
      </c>
      <c r="G34" s="101" t="s">
        <v>112</v>
      </c>
      <c r="H34" s="101" t="s">
        <v>112</v>
      </c>
      <c r="I34" s="101" t="s">
        <v>111</v>
      </c>
      <c r="J34" s="119"/>
      <c r="K34" s="101" t="s">
        <v>112</v>
      </c>
      <c r="L34" s="101" t="s">
        <v>112</v>
      </c>
      <c r="M34" s="101" t="s">
        <v>112</v>
      </c>
      <c r="N34" s="101" t="s">
        <v>112</v>
      </c>
      <c r="O34" s="101" t="s">
        <v>112</v>
      </c>
      <c r="P34" s="101" t="s">
        <v>112</v>
      </c>
      <c r="Q34" s="119"/>
      <c r="R34" s="101" t="s">
        <v>112</v>
      </c>
      <c r="S34" s="101" t="s">
        <v>112</v>
      </c>
      <c r="T34" s="101" t="s">
        <v>112</v>
      </c>
      <c r="U34" s="101" t="s">
        <v>112</v>
      </c>
      <c r="V34" s="101" t="s">
        <v>112</v>
      </c>
      <c r="W34" s="101" t="s">
        <v>112</v>
      </c>
      <c r="X34" s="119"/>
      <c r="Y34" s="101" t="s">
        <v>112</v>
      </c>
      <c r="Z34" s="101" t="s">
        <v>112</v>
      </c>
      <c r="AA34" s="101" t="s">
        <v>112</v>
      </c>
      <c r="AB34" s="101" t="s">
        <v>112</v>
      </c>
      <c r="AC34" s="101" t="s">
        <v>112</v>
      </c>
      <c r="AD34" s="101" t="s">
        <v>112</v>
      </c>
      <c r="AE34" s="119"/>
      <c r="AF34" s="101" t="s">
        <v>112</v>
      </c>
      <c r="AG34" s="122"/>
      <c r="AH34" s="101" t="s">
        <v>112</v>
      </c>
      <c r="AI34" s="101" t="s">
        <v>112</v>
      </c>
      <c r="AJ34" s="101" t="s">
        <v>112</v>
      </c>
      <c r="AK34" s="5">
        <f t="shared" si="1"/>
        <v>25</v>
      </c>
      <c r="AL34" s="5">
        <f t="shared" si="2"/>
        <v>1</v>
      </c>
    </row>
    <row r="35" spans="1:38" ht="16.5" x14ac:dyDescent="0.25">
      <c r="A35" s="21">
        <v>3</v>
      </c>
      <c r="B35" s="11"/>
      <c r="C35" s="18" t="s">
        <v>428</v>
      </c>
      <c r="D35" s="19" t="s">
        <v>429</v>
      </c>
      <c r="E35" s="20" t="s">
        <v>395</v>
      </c>
      <c r="F35" s="101" t="s">
        <v>111</v>
      </c>
      <c r="G35" s="101" t="s">
        <v>111</v>
      </c>
      <c r="H35" s="101" t="s">
        <v>111</v>
      </c>
      <c r="I35" s="101" t="s">
        <v>111</v>
      </c>
      <c r="J35" s="119"/>
      <c r="K35" s="101" t="s">
        <v>112</v>
      </c>
      <c r="L35" s="101" t="s">
        <v>112</v>
      </c>
      <c r="M35" s="101" t="s">
        <v>112</v>
      </c>
      <c r="N35" s="101" t="s">
        <v>111</v>
      </c>
      <c r="O35" s="101" t="s">
        <v>112</v>
      </c>
      <c r="P35" s="101" t="s">
        <v>112</v>
      </c>
      <c r="Q35" s="119"/>
      <c r="R35" s="101" t="s">
        <v>112</v>
      </c>
      <c r="S35" s="101" t="s">
        <v>112</v>
      </c>
      <c r="T35" s="101" t="s">
        <v>112</v>
      </c>
      <c r="U35" s="101" t="s">
        <v>112</v>
      </c>
      <c r="V35" s="101" t="s">
        <v>112</v>
      </c>
      <c r="W35" s="101" t="s">
        <v>111</v>
      </c>
      <c r="X35" s="119"/>
      <c r="Y35" s="101" t="s">
        <v>112</v>
      </c>
      <c r="Z35" s="101" t="s">
        <v>112</v>
      </c>
      <c r="AA35" s="101" t="s">
        <v>112</v>
      </c>
      <c r="AB35" s="101" t="s">
        <v>112</v>
      </c>
      <c r="AC35" s="101" t="s">
        <v>112</v>
      </c>
      <c r="AD35" s="101" t="s">
        <v>111</v>
      </c>
      <c r="AE35" s="119"/>
      <c r="AF35" s="101" t="s">
        <v>112</v>
      </c>
      <c r="AG35" s="122"/>
      <c r="AH35" s="101" t="s">
        <v>112</v>
      </c>
      <c r="AI35" s="101" t="s">
        <v>111</v>
      </c>
      <c r="AJ35" s="101" t="s">
        <v>111</v>
      </c>
      <c r="AK35" s="5">
        <f t="shared" si="1"/>
        <v>17</v>
      </c>
      <c r="AL35" s="5">
        <f t="shared" si="2"/>
        <v>9</v>
      </c>
    </row>
    <row r="36" spans="1:38" ht="16.5" x14ac:dyDescent="0.25">
      <c r="A36" s="9">
        <v>4</v>
      </c>
      <c r="B36" s="11">
        <v>569</v>
      </c>
      <c r="C36" s="18" t="s">
        <v>399</v>
      </c>
      <c r="D36" s="19" t="s">
        <v>400</v>
      </c>
      <c r="E36" s="20" t="s">
        <v>395</v>
      </c>
      <c r="F36" s="101" t="s">
        <v>111</v>
      </c>
      <c r="G36" s="101" t="s">
        <v>112</v>
      </c>
      <c r="H36" s="101" t="s">
        <v>112</v>
      </c>
      <c r="I36" s="101" t="s">
        <v>112</v>
      </c>
      <c r="J36" s="119"/>
      <c r="K36" s="101" t="s">
        <v>112</v>
      </c>
      <c r="L36" s="101" t="s">
        <v>112</v>
      </c>
      <c r="M36" s="101" t="s">
        <v>112</v>
      </c>
      <c r="N36" s="101" t="s">
        <v>112</v>
      </c>
      <c r="O36" s="101" t="s">
        <v>112</v>
      </c>
      <c r="P36" s="101" t="s">
        <v>112</v>
      </c>
      <c r="Q36" s="119"/>
      <c r="R36" s="101" t="s">
        <v>112</v>
      </c>
      <c r="S36" s="101" t="s">
        <v>112</v>
      </c>
      <c r="T36" s="101" t="s">
        <v>112</v>
      </c>
      <c r="U36" s="101" t="s">
        <v>112</v>
      </c>
      <c r="V36" s="101" t="s">
        <v>112</v>
      </c>
      <c r="W36" s="101" t="s">
        <v>111</v>
      </c>
      <c r="X36" s="119"/>
      <c r="Y36" s="101" t="s">
        <v>112</v>
      </c>
      <c r="Z36" s="101" t="s">
        <v>112</v>
      </c>
      <c r="AA36" s="101" t="s">
        <v>112</v>
      </c>
      <c r="AB36" s="101" t="s">
        <v>112</v>
      </c>
      <c r="AC36" s="101" t="s">
        <v>112</v>
      </c>
      <c r="AD36" s="101" t="s">
        <v>112</v>
      </c>
      <c r="AE36" s="119"/>
      <c r="AF36" s="101" t="s">
        <v>111</v>
      </c>
      <c r="AG36" s="122"/>
      <c r="AH36" s="101" t="s">
        <v>112</v>
      </c>
      <c r="AI36" s="101" t="s">
        <v>112</v>
      </c>
      <c r="AJ36" s="101" t="s">
        <v>112</v>
      </c>
      <c r="AK36" s="5">
        <f t="shared" si="1"/>
        <v>23</v>
      </c>
      <c r="AL36" s="5">
        <f t="shared" si="2"/>
        <v>3</v>
      </c>
    </row>
    <row r="37" spans="1:38" ht="16.5" x14ac:dyDescent="0.25">
      <c r="A37" s="21">
        <v>5</v>
      </c>
      <c r="B37" s="11">
        <v>582</v>
      </c>
      <c r="C37" s="18" t="s">
        <v>91</v>
      </c>
      <c r="D37" s="19" t="s">
        <v>401</v>
      </c>
      <c r="E37" s="20" t="s">
        <v>395</v>
      </c>
      <c r="F37" s="101" t="s">
        <v>111</v>
      </c>
      <c r="G37" s="101" t="s">
        <v>111</v>
      </c>
      <c r="H37" s="101" t="s">
        <v>112</v>
      </c>
      <c r="I37" s="101" t="s">
        <v>111</v>
      </c>
      <c r="J37" s="119"/>
      <c r="K37" s="101" t="s">
        <v>111</v>
      </c>
      <c r="L37" s="101" t="s">
        <v>112</v>
      </c>
      <c r="M37" s="101" t="s">
        <v>112</v>
      </c>
      <c r="N37" s="101" t="s">
        <v>112</v>
      </c>
      <c r="O37" s="101" t="s">
        <v>111</v>
      </c>
      <c r="P37" s="101" t="s">
        <v>112</v>
      </c>
      <c r="Q37" s="119"/>
      <c r="R37" s="101" t="s">
        <v>112</v>
      </c>
      <c r="S37" s="101" t="s">
        <v>111</v>
      </c>
      <c r="T37" s="101" t="s">
        <v>112</v>
      </c>
      <c r="U37" s="101" t="s">
        <v>112</v>
      </c>
      <c r="V37" s="101" t="s">
        <v>112</v>
      </c>
      <c r="W37" s="101" t="s">
        <v>112</v>
      </c>
      <c r="X37" s="119"/>
      <c r="Y37" s="101" t="s">
        <v>112</v>
      </c>
      <c r="Z37" s="101" t="s">
        <v>112</v>
      </c>
      <c r="AA37" s="101" t="s">
        <v>111</v>
      </c>
      <c r="AB37" s="101" t="s">
        <v>112</v>
      </c>
      <c r="AC37" s="101" t="s">
        <v>112</v>
      </c>
      <c r="AD37" s="101" t="s">
        <v>112</v>
      </c>
      <c r="AE37" s="119"/>
      <c r="AF37" s="101" t="s">
        <v>111</v>
      </c>
      <c r="AG37" s="122"/>
      <c r="AH37" s="101" t="s">
        <v>112</v>
      </c>
      <c r="AI37" s="101" t="s">
        <v>112</v>
      </c>
      <c r="AJ37" s="101" t="s">
        <v>112</v>
      </c>
      <c r="AK37" s="5">
        <f t="shared" si="1"/>
        <v>18</v>
      </c>
      <c r="AL37" s="5">
        <f t="shared" si="2"/>
        <v>8</v>
      </c>
    </row>
    <row r="38" spans="1:38" ht="16.5" x14ac:dyDescent="0.25">
      <c r="A38" s="9">
        <v>6</v>
      </c>
      <c r="B38" s="11">
        <v>574</v>
      </c>
      <c r="C38" s="18" t="s">
        <v>402</v>
      </c>
      <c r="D38" s="19" t="s">
        <v>403</v>
      </c>
      <c r="E38" s="20" t="s">
        <v>395</v>
      </c>
      <c r="F38" s="101" t="s">
        <v>111</v>
      </c>
      <c r="G38" s="101" t="s">
        <v>112</v>
      </c>
      <c r="H38" s="101" t="s">
        <v>112</v>
      </c>
      <c r="I38" s="101" t="s">
        <v>111</v>
      </c>
      <c r="J38" s="119"/>
      <c r="K38" s="101" t="s">
        <v>111</v>
      </c>
      <c r="L38" s="101" t="s">
        <v>112</v>
      </c>
      <c r="M38" s="101" t="s">
        <v>112</v>
      </c>
      <c r="N38" s="101" t="s">
        <v>112</v>
      </c>
      <c r="O38" s="101" t="s">
        <v>112</v>
      </c>
      <c r="P38" s="101" t="s">
        <v>112</v>
      </c>
      <c r="Q38" s="119"/>
      <c r="R38" s="101" t="s">
        <v>112</v>
      </c>
      <c r="S38" s="101" t="s">
        <v>111</v>
      </c>
      <c r="T38" s="101" t="s">
        <v>113</v>
      </c>
      <c r="U38" s="101" t="s">
        <v>112</v>
      </c>
      <c r="V38" s="101" t="s">
        <v>112</v>
      </c>
      <c r="W38" s="101" t="s">
        <v>112</v>
      </c>
      <c r="X38" s="119"/>
      <c r="Y38" s="101" t="s">
        <v>112</v>
      </c>
      <c r="Z38" s="101" t="s">
        <v>112</v>
      </c>
      <c r="AA38" s="101" t="s">
        <v>111</v>
      </c>
      <c r="AB38" s="101" t="s">
        <v>112</v>
      </c>
      <c r="AC38" s="101" t="s">
        <v>112</v>
      </c>
      <c r="AD38" s="101" t="s">
        <v>111</v>
      </c>
      <c r="AE38" s="119"/>
      <c r="AF38" s="101" t="s">
        <v>112</v>
      </c>
      <c r="AG38" s="122"/>
      <c r="AH38" s="101" t="s">
        <v>112</v>
      </c>
      <c r="AI38" s="101" t="s">
        <v>111</v>
      </c>
      <c r="AJ38" s="101" t="s">
        <v>112</v>
      </c>
      <c r="AK38" s="5">
        <f t="shared" si="1"/>
        <v>18</v>
      </c>
      <c r="AL38" s="5">
        <f t="shared" si="2"/>
        <v>7</v>
      </c>
    </row>
    <row r="39" spans="1:38" ht="16.5" x14ac:dyDescent="0.25">
      <c r="A39" s="21">
        <v>7</v>
      </c>
      <c r="B39" s="11">
        <v>526</v>
      </c>
      <c r="C39" s="18" t="s">
        <v>406</v>
      </c>
      <c r="D39" s="19" t="s">
        <v>292</v>
      </c>
      <c r="E39" s="20" t="s">
        <v>395</v>
      </c>
      <c r="F39" s="101" t="s">
        <v>112</v>
      </c>
      <c r="G39" s="101" t="s">
        <v>112</v>
      </c>
      <c r="H39" s="101" t="s">
        <v>112</v>
      </c>
      <c r="I39" s="101" t="s">
        <v>112</v>
      </c>
      <c r="J39" s="119"/>
      <c r="K39" s="101" t="s">
        <v>112</v>
      </c>
      <c r="L39" s="101" t="s">
        <v>112</v>
      </c>
      <c r="M39" s="101" t="s">
        <v>112</v>
      </c>
      <c r="N39" s="101" t="s">
        <v>112</v>
      </c>
      <c r="O39" s="101" t="s">
        <v>112</v>
      </c>
      <c r="P39" s="101" t="s">
        <v>112</v>
      </c>
      <c r="Q39" s="119"/>
      <c r="R39" s="101" t="s">
        <v>112</v>
      </c>
      <c r="S39" s="101" t="s">
        <v>112</v>
      </c>
      <c r="T39" s="101" t="s">
        <v>112</v>
      </c>
      <c r="U39" s="101" t="s">
        <v>112</v>
      </c>
      <c r="V39" s="101" t="s">
        <v>112</v>
      </c>
      <c r="W39" s="101" t="s">
        <v>112</v>
      </c>
      <c r="X39" s="119"/>
      <c r="Y39" s="101" t="s">
        <v>112</v>
      </c>
      <c r="Z39" s="101" t="s">
        <v>112</v>
      </c>
      <c r="AA39" s="101" t="s">
        <v>112</v>
      </c>
      <c r="AB39" s="101" t="s">
        <v>112</v>
      </c>
      <c r="AC39" s="101" t="s">
        <v>112</v>
      </c>
      <c r="AD39" s="101" t="s">
        <v>112</v>
      </c>
      <c r="AE39" s="119"/>
      <c r="AF39" s="101" t="s">
        <v>112</v>
      </c>
      <c r="AG39" s="122"/>
      <c r="AH39" s="101" t="s">
        <v>112</v>
      </c>
      <c r="AI39" s="101" t="s">
        <v>112</v>
      </c>
      <c r="AJ39" s="101" t="s">
        <v>112</v>
      </c>
      <c r="AK39" s="5">
        <f t="shared" si="1"/>
        <v>26</v>
      </c>
      <c r="AL39" s="5">
        <f t="shared" si="2"/>
        <v>0</v>
      </c>
    </row>
    <row r="40" spans="1:38" ht="16.5" x14ac:dyDescent="0.25">
      <c r="A40" s="9">
        <v>8</v>
      </c>
      <c r="B40" s="11"/>
      <c r="C40" s="18" t="s">
        <v>145</v>
      </c>
      <c r="D40" s="19" t="s">
        <v>193</v>
      </c>
      <c r="E40" s="20" t="s">
        <v>395</v>
      </c>
      <c r="F40" s="101" t="s">
        <v>111</v>
      </c>
      <c r="G40" s="101" t="s">
        <v>112</v>
      </c>
      <c r="H40" s="101" t="s">
        <v>112</v>
      </c>
      <c r="I40" s="101" t="s">
        <v>111</v>
      </c>
      <c r="J40" s="119"/>
      <c r="K40" s="101" t="s">
        <v>112</v>
      </c>
      <c r="L40" s="101" t="s">
        <v>112</v>
      </c>
      <c r="M40" s="101" t="s">
        <v>112</v>
      </c>
      <c r="N40" s="101" t="s">
        <v>112</v>
      </c>
      <c r="O40" s="101" t="s">
        <v>112</v>
      </c>
      <c r="P40" s="101" t="s">
        <v>112</v>
      </c>
      <c r="Q40" s="119"/>
      <c r="R40" s="101" t="s">
        <v>112</v>
      </c>
      <c r="S40" s="101" t="s">
        <v>111</v>
      </c>
      <c r="T40" s="101" t="s">
        <v>112</v>
      </c>
      <c r="U40" s="101" t="s">
        <v>112</v>
      </c>
      <c r="V40" s="101" t="s">
        <v>112</v>
      </c>
      <c r="W40" s="101" t="s">
        <v>112</v>
      </c>
      <c r="X40" s="119"/>
      <c r="Y40" s="101" t="s">
        <v>112</v>
      </c>
      <c r="Z40" s="101" t="s">
        <v>112</v>
      </c>
      <c r="AA40" s="101" t="s">
        <v>112</v>
      </c>
      <c r="AB40" s="101" t="s">
        <v>112</v>
      </c>
      <c r="AC40" s="101" t="s">
        <v>111</v>
      </c>
      <c r="AD40" s="101" t="s">
        <v>111</v>
      </c>
      <c r="AE40" s="119"/>
      <c r="AF40" s="101" t="s">
        <v>112</v>
      </c>
      <c r="AG40" s="122"/>
      <c r="AH40" s="101" t="s">
        <v>112</v>
      </c>
      <c r="AI40" s="101" t="s">
        <v>112</v>
      </c>
      <c r="AJ40" s="101" t="s">
        <v>112</v>
      </c>
      <c r="AK40" s="5">
        <f t="shared" si="1"/>
        <v>21</v>
      </c>
      <c r="AL40" s="5">
        <f t="shared" si="2"/>
        <v>5</v>
      </c>
    </row>
    <row r="41" spans="1:38" ht="16.5" x14ac:dyDescent="0.25">
      <c r="A41" s="21">
        <v>9</v>
      </c>
      <c r="B41" s="11">
        <v>537</v>
      </c>
      <c r="C41" s="18" t="s">
        <v>407</v>
      </c>
      <c r="D41" s="19" t="s">
        <v>408</v>
      </c>
      <c r="E41" s="20" t="s">
        <v>395</v>
      </c>
      <c r="F41" s="101" t="s">
        <v>111</v>
      </c>
      <c r="G41" s="101" t="s">
        <v>112</v>
      </c>
      <c r="H41" s="101" t="s">
        <v>111</v>
      </c>
      <c r="I41" s="101" t="s">
        <v>111</v>
      </c>
      <c r="J41" s="119"/>
      <c r="K41" s="101" t="s">
        <v>112</v>
      </c>
      <c r="L41" s="101" t="s">
        <v>112</v>
      </c>
      <c r="M41" s="101" t="s">
        <v>112</v>
      </c>
      <c r="N41" s="101" t="s">
        <v>112</v>
      </c>
      <c r="O41" s="101" t="s">
        <v>112</v>
      </c>
      <c r="P41" s="101" t="s">
        <v>112</v>
      </c>
      <c r="Q41" s="119"/>
      <c r="R41" s="101" t="s">
        <v>112</v>
      </c>
      <c r="S41" s="101" t="s">
        <v>112</v>
      </c>
      <c r="T41" s="101" t="s">
        <v>112</v>
      </c>
      <c r="U41" s="101" t="s">
        <v>112</v>
      </c>
      <c r="V41" s="101" t="s">
        <v>112</v>
      </c>
      <c r="W41" s="101" t="s">
        <v>112</v>
      </c>
      <c r="X41" s="119"/>
      <c r="Y41" s="101" t="s">
        <v>112</v>
      </c>
      <c r="Z41" s="101" t="s">
        <v>112</v>
      </c>
      <c r="AA41" s="101" t="s">
        <v>112</v>
      </c>
      <c r="AB41" s="101" t="s">
        <v>112</v>
      </c>
      <c r="AC41" s="101" t="s">
        <v>112</v>
      </c>
      <c r="AD41" s="101" t="s">
        <v>112</v>
      </c>
      <c r="AE41" s="119"/>
      <c r="AF41" s="101" t="s">
        <v>112</v>
      </c>
      <c r="AG41" s="122"/>
      <c r="AH41" s="101" t="s">
        <v>112</v>
      </c>
      <c r="AI41" s="101" t="s">
        <v>112</v>
      </c>
      <c r="AJ41" s="101" t="s">
        <v>112</v>
      </c>
      <c r="AK41" s="5">
        <f t="shared" si="1"/>
        <v>23</v>
      </c>
      <c r="AL41" s="5">
        <f t="shared" si="2"/>
        <v>3</v>
      </c>
    </row>
    <row r="42" spans="1:38" ht="16.5" x14ac:dyDescent="0.25">
      <c r="A42" s="9">
        <v>10</v>
      </c>
      <c r="B42" s="11">
        <v>584</v>
      </c>
      <c r="C42" s="18" t="s">
        <v>339</v>
      </c>
      <c r="D42" s="19" t="s">
        <v>341</v>
      </c>
      <c r="E42" s="20" t="s">
        <v>395</v>
      </c>
      <c r="F42" s="101" t="s">
        <v>111</v>
      </c>
      <c r="G42" s="101" t="s">
        <v>111</v>
      </c>
      <c r="H42" s="101" t="s">
        <v>111</v>
      </c>
      <c r="I42" s="101" t="s">
        <v>111</v>
      </c>
      <c r="J42" s="119"/>
      <c r="K42" s="101" t="s">
        <v>111</v>
      </c>
      <c r="L42" s="101" t="s">
        <v>112</v>
      </c>
      <c r="M42" s="101" t="s">
        <v>112</v>
      </c>
      <c r="N42" s="101" t="s">
        <v>112</v>
      </c>
      <c r="O42" s="101" t="s">
        <v>112</v>
      </c>
      <c r="P42" s="101" t="s">
        <v>112</v>
      </c>
      <c r="Q42" s="119"/>
      <c r="R42" s="101" t="s">
        <v>112</v>
      </c>
      <c r="S42" s="101" t="s">
        <v>112</v>
      </c>
      <c r="T42" s="101" t="s">
        <v>112</v>
      </c>
      <c r="U42" s="101" t="s">
        <v>112</v>
      </c>
      <c r="V42" s="101" t="s">
        <v>112</v>
      </c>
      <c r="W42" s="101" t="s">
        <v>112</v>
      </c>
      <c r="X42" s="119"/>
      <c r="Y42" s="101" t="s">
        <v>112</v>
      </c>
      <c r="Z42" s="101" t="s">
        <v>112</v>
      </c>
      <c r="AA42" s="101" t="s">
        <v>112</v>
      </c>
      <c r="AB42" s="101" t="s">
        <v>112</v>
      </c>
      <c r="AC42" s="101" t="s">
        <v>112</v>
      </c>
      <c r="AD42" s="101" t="s">
        <v>112</v>
      </c>
      <c r="AE42" s="119"/>
      <c r="AF42" s="101" t="s">
        <v>112</v>
      </c>
      <c r="AG42" s="122"/>
      <c r="AH42" s="101" t="s">
        <v>112</v>
      </c>
      <c r="AI42" s="101" t="s">
        <v>112</v>
      </c>
      <c r="AJ42" s="101" t="s">
        <v>112</v>
      </c>
      <c r="AK42" s="5">
        <f t="shared" si="1"/>
        <v>21</v>
      </c>
      <c r="AL42" s="5">
        <f t="shared" si="2"/>
        <v>5</v>
      </c>
    </row>
    <row r="43" spans="1:38" ht="16.5" x14ac:dyDescent="0.25">
      <c r="A43" s="21">
        <v>11</v>
      </c>
      <c r="B43" s="11">
        <v>520</v>
      </c>
      <c r="C43" s="18" t="s">
        <v>339</v>
      </c>
      <c r="D43" s="19" t="s">
        <v>409</v>
      </c>
      <c r="E43" s="20" t="s">
        <v>395</v>
      </c>
      <c r="F43" s="101" t="s">
        <v>111</v>
      </c>
      <c r="G43" s="101" t="s">
        <v>111</v>
      </c>
      <c r="H43" s="101" t="s">
        <v>111</v>
      </c>
      <c r="I43" s="101" t="s">
        <v>111</v>
      </c>
      <c r="J43" s="119"/>
      <c r="K43" s="101" t="s">
        <v>112</v>
      </c>
      <c r="L43" s="101" t="s">
        <v>112</v>
      </c>
      <c r="M43" s="101" t="s">
        <v>112</v>
      </c>
      <c r="N43" s="101" t="s">
        <v>112</v>
      </c>
      <c r="O43" s="101" t="s">
        <v>112</v>
      </c>
      <c r="P43" s="101" t="s">
        <v>112</v>
      </c>
      <c r="Q43" s="119"/>
      <c r="R43" s="101" t="s">
        <v>112</v>
      </c>
      <c r="S43" s="101" t="s">
        <v>112</v>
      </c>
      <c r="T43" s="101" t="s">
        <v>112</v>
      </c>
      <c r="U43" s="101" t="s">
        <v>112</v>
      </c>
      <c r="V43" s="101" t="s">
        <v>112</v>
      </c>
      <c r="W43" s="101" t="s">
        <v>112</v>
      </c>
      <c r="X43" s="119"/>
      <c r="Y43" s="101" t="s">
        <v>112</v>
      </c>
      <c r="Z43" s="101" t="s">
        <v>111</v>
      </c>
      <c r="AA43" s="101" t="s">
        <v>111</v>
      </c>
      <c r="AB43" s="101" t="s">
        <v>112</v>
      </c>
      <c r="AC43" s="101" t="s">
        <v>112</v>
      </c>
      <c r="AD43" s="101" t="s">
        <v>111</v>
      </c>
      <c r="AE43" s="119"/>
      <c r="AF43" s="101" t="s">
        <v>111</v>
      </c>
      <c r="AG43" s="122"/>
      <c r="AH43" s="101" t="s">
        <v>111</v>
      </c>
      <c r="AI43" s="101" t="s">
        <v>112</v>
      </c>
      <c r="AJ43" s="101" t="s">
        <v>112</v>
      </c>
      <c r="AK43" s="5">
        <f t="shared" si="1"/>
        <v>17</v>
      </c>
      <c r="AL43" s="5">
        <f t="shared" si="2"/>
        <v>9</v>
      </c>
    </row>
    <row r="44" spans="1:38" ht="16.5" x14ac:dyDescent="0.25">
      <c r="A44" s="9">
        <v>12</v>
      </c>
      <c r="B44" s="11"/>
      <c r="C44" s="18" t="s">
        <v>430</v>
      </c>
      <c r="D44" s="19" t="s">
        <v>431</v>
      </c>
      <c r="E44" s="20" t="s">
        <v>395</v>
      </c>
      <c r="F44" s="101" t="s">
        <v>112</v>
      </c>
      <c r="G44" s="101" t="s">
        <v>112</v>
      </c>
      <c r="H44" s="101" t="s">
        <v>112</v>
      </c>
      <c r="I44" s="101" t="s">
        <v>111</v>
      </c>
      <c r="J44" s="119"/>
      <c r="K44" s="101" t="s">
        <v>111</v>
      </c>
      <c r="L44" s="101" t="s">
        <v>112</v>
      </c>
      <c r="M44" s="101" t="s">
        <v>112</v>
      </c>
      <c r="N44" s="101" t="s">
        <v>112</v>
      </c>
      <c r="O44" s="101" t="s">
        <v>112</v>
      </c>
      <c r="P44" s="101" t="s">
        <v>112</v>
      </c>
      <c r="Q44" s="119"/>
      <c r="R44" s="101" t="s">
        <v>112</v>
      </c>
      <c r="S44" s="101" t="s">
        <v>112</v>
      </c>
      <c r="T44" s="101" t="s">
        <v>112</v>
      </c>
      <c r="U44" s="101" t="s">
        <v>112</v>
      </c>
      <c r="V44" s="101" t="s">
        <v>112</v>
      </c>
      <c r="W44" s="101" t="s">
        <v>112</v>
      </c>
      <c r="X44" s="119"/>
      <c r="Y44" s="101" t="s">
        <v>112</v>
      </c>
      <c r="Z44" s="101" t="s">
        <v>112</v>
      </c>
      <c r="AA44" s="101" t="s">
        <v>112</v>
      </c>
      <c r="AB44" s="101" t="s">
        <v>112</v>
      </c>
      <c r="AC44" s="101" t="s">
        <v>112</v>
      </c>
      <c r="AD44" s="101" t="s">
        <v>112</v>
      </c>
      <c r="AE44" s="119"/>
      <c r="AF44" s="101" t="s">
        <v>112</v>
      </c>
      <c r="AG44" s="122"/>
      <c r="AH44" s="101" t="s">
        <v>112</v>
      </c>
      <c r="AI44" s="101" t="s">
        <v>112</v>
      </c>
      <c r="AJ44" s="101" t="s">
        <v>112</v>
      </c>
      <c r="AK44" s="5">
        <f t="shared" si="1"/>
        <v>24</v>
      </c>
      <c r="AL44" s="5">
        <f t="shared" si="2"/>
        <v>2</v>
      </c>
    </row>
    <row r="45" spans="1:38" ht="16.5" x14ac:dyDescent="0.25">
      <c r="A45" s="21">
        <v>13</v>
      </c>
      <c r="B45" s="11">
        <v>687</v>
      </c>
      <c r="C45" s="18" t="s">
        <v>410</v>
      </c>
      <c r="D45" s="19" t="s">
        <v>411</v>
      </c>
      <c r="E45" s="20" t="s">
        <v>395</v>
      </c>
      <c r="F45" s="101" t="s">
        <v>112</v>
      </c>
      <c r="G45" s="101" t="s">
        <v>112</v>
      </c>
      <c r="H45" s="101" t="s">
        <v>112</v>
      </c>
      <c r="I45" s="101" t="s">
        <v>112</v>
      </c>
      <c r="J45" s="119"/>
      <c r="K45" s="101" t="s">
        <v>112</v>
      </c>
      <c r="L45" s="101" t="s">
        <v>112</v>
      </c>
      <c r="M45" s="101" t="s">
        <v>112</v>
      </c>
      <c r="N45" s="101" t="s">
        <v>112</v>
      </c>
      <c r="O45" s="101" t="s">
        <v>113</v>
      </c>
      <c r="P45" s="101" t="s">
        <v>113</v>
      </c>
      <c r="Q45" s="119"/>
      <c r="R45" s="101" t="s">
        <v>112</v>
      </c>
      <c r="S45" s="101" t="s">
        <v>112</v>
      </c>
      <c r="T45" s="101" t="s">
        <v>112</v>
      </c>
      <c r="U45" s="101" t="s">
        <v>112</v>
      </c>
      <c r="V45" s="101" t="s">
        <v>112</v>
      </c>
      <c r="W45" s="101" t="s">
        <v>112</v>
      </c>
      <c r="X45" s="119"/>
      <c r="Y45" s="101" t="s">
        <v>112</v>
      </c>
      <c r="Z45" s="101" t="s">
        <v>112</v>
      </c>
      <c r="AA45" s="101" t="s">
        <v>112</v>
      </c>
      <c r="AB45" s="101" t="s">
        <v>112</v>
      </c>
      <c r="AC45" s="101" t="s">
        <v>112</v>
      </c>
      <c r="AD45" s="101" t="s">
        <v>112</v>
      </c>
      <c r="AE45" s="119"/>
      <c r="AF45" s="101" t="s">
        <v>112</v>
      </c>
      <c r="AG45" s="122"/>
      <c r="AH45" s="101" t="s">
        <v>112</v>
      </c>
      <c r="AI45" s="101" t="s">
        <v>112</v>
      </c>
      <c r="AJ45" s="101" t="s">
        <v>112</v>
      </c>
      <c r="AK45" s="5">
        <f t="shared" si="1"/>
        <v>24</v>
      </c>
      <c r="AL45" s="5">
        <f t="shared" si="2"/>
        <v>0</v>
      </c>
    </row>
    <row r="46" spans="1:38" ht="16.5" x14ac:dyDescent="0.25">
      <c r="A46" s="9">
        <v>14</v>
      </c>
      <c r="B46" s="11">
        <v>649</v>
      </c>
      <c r="C46" s="18" t="s">
        <v>426</v>
      </c>
      <c r="D46" s="19" t="s">
        <v>427</v>
      </c>
      <c r="E46" s="20" t="s">
        <v>395</v>
      </c>
      <c r="F46" s="101" t="s">
        <v>111</v>
      </c>
      <c r="G46" s="101" t="s">
        <v>112</v>
      </c>
      <c r="H46" s="101" t="s">
        <v>112</v>
      </c>
      <c r="I46" s="101" t="s">
        <v>111</v>
      </c>
      <c r="J46" s="119"/>
      <c r="K46" s="101" t="s">
        <v>112</v>
      </c>
      <c r="L46" s="101" t="s">
        <v>112</v>
      </c>
      <c r="M46" s="101" t="s">
        <v>112</v>
      </c>
      <c r="N46" s="101" t="s">
        <v>112</v>
      </c>
      <c r="O46" s="101" t="s">
        <v>111</v>
      </c>
      <c r="P46" s="101" t="s">
        <v>112</v>
      </c>
      <c r="Q46" s="119"/>
      <c r="R46" s="101" t="s">
        <v>112</v>
      </c>
      <c r="S46" s="101" t="s">
        <v>112</v>
      </c>
      <c r="T46" s="101" t="s">
        <v>112</v>
      </c>
      <c r="U46" s="101" t="s">
        <v>112</v>
      </c>
      <c r="V46" s="101" t="s">
        <v>111</v>
      </c>
      <c r="W46" s="101" t="s">
        <v>112</v>
      </c>
      <c r="X46" s="119"/>
      <c r="Y46" s="101" t="s">
        <v>112</v>
      </c>
      <c r="Z46" s="101" t="s">
        <v>112</v>
      </c>
      <c r="AA46" s="101" t="s">
        <v>112</v>
      </c>
      <c r="AB46" s="101" t="s">
        <v>111</v>
      </c>
      <c r="AC46" s="101" t="s">
        <v>112</v>
      </c>
      <c r="AD46" s="101" t="s">
        <v>111</v>
      </c>
      <c r="AE46" s="119"/>
      <c r="AF46" s="101" t="s">
        <v>112</v>
      </c>
      <c r="AG46" s="122"/>
      <c r="AH46" s="101" t="s">
        <v>112</v>
      </c>
      <c r="AI46" s="101" t="s">
        <v>112</v>
      </c>
      <c r="AJ46" s="101" t="s">
        <v>112</v>
      </c>
      <c r="AK46" s="5">
        <f t="shared" si="1"/>
        <v>20</v>
      </c>
      <c r="AL46" s="5">
        <f t="shared" si="2"/>
        <v>6</v>
      </c>
    </row>
    <row r="47" spans="1:38" ht="16.5" x14ac:dyDescent="0.25">
      <c r="A47" s="21">
        <v>15</v>
      </c>
      <c r="B47" s="11">
        <v>686</v>
      </c>
      <c r="C47" s="18" t="s">
        <v>415</v>
      </c>
      <c r="D47" s="19" t="s">
        <v>146</v>
      </c>
      <c r="E47" s="20" t="s">
        <v>395</v>
      </c>
      <c r="F47" s="101" t="s">
        <v>111</v>
      </c>
      <c r="G47" s="101" t="s">
        <v>112</v>
      </c>
      <c r="H47" s="101" t="s">
        <v>111</v>
      </c>
      <c r="I47" s="101" t="s">
        <v>111</v>
      </c>
      <c r="J47" s="119"/>
      <c r="K47" s="101" t="s">
        <v>112</v>
      </c>
      <c r="L47" s="101" t="s">
        <v>112</v>
      </c>
      <c r="M47" s="101" t="s">
        <v>112</v>
      </c>
      <c r="N47" s="101" t="s">
        <v>112</v>
      </c>
      <c r="O47" s="101" t="s">
        <v>112</v>
      </c>
      <c r="P47" s="101" t="s">
        <v>112</v>
      </c>
      <c r="Q47" s="119"/>
      <c r="R47" s="101" t="s">
        <v>112</v>
      </c>
      <c r="S47" s="101" t="s">
        <v>112</v>
      </c>
      <c r="T47" s="101" t="s">
        <v>112</v>
      </c>
      <c r="U47" s="101" t="s">
        <v>112</v>
      </c>
      <c r="V47" s="101" t="s">
        <v>112</v>
      </c>
      <c r="W47" s="101" t="s">
        <v>112</v>
      </c>
      <c r="X47" s="119"/>
      <c r="Y47" s="101" t="s">
        <v>112</v>
      </c>
      <c r="Z47" s="101" t="s">
        <v>112</v>
      </c>
      <c r="AA47" s="101" t="s">
        <v>112</v>
      </c>
      <c r="AB47" s="101" t="s">
        <v>112</v>
      </c>
      <c r="AC47" s="101" t="s">
        <v>112</v>
      </c>
      <c r="AD47" s="101" t="s">
        <v>111</v>
      </c>
      <c r="AE47" s="119"/>
      <c r="AF47" s="101" t="s">
        <v>112</v>
      </c>
      <c r="AG47" s="122"/>
      <c r="AH47" s="101" t="s">
        <v>111</v>
      </c>
      <c r="AI47" s="101" t="s">
        <v>112</v>
      </c>
      <c r="AJ47" s="101" t="s">
        <v>112</v>
      </c>
      <c r="AK47" s="5">
        <f t="shared" si="1"/>
        <v>21</v>
      </c>
      <c r="AL47" s="5">
        <f t="shared" si="2"/>
        <v>5</v>
      </c>
    </row>
    <row r="48" spans="1:38" ht="16.5" x14ac:dyDescent="0.25">
      <c r="A48" s="9">
        <v>16</v>
      </c>
      <c r="B48" s="11">
        <v>581</v>
      </c>
      <c r="C48" s="18" t="s">
        <v>412</v>
      </c>
      <c r="D48" s="19" t="s">
        <v>169</v>
      </c>
      <c r="E48" s="20" t="s">
        <v>395</v>
      </c>
      <c r="F48" s="101" t="s">
        <v>111</v>
      </c>
      <c r="G48" s="101" t="s">
        <v>111</v>
      </c>
      <c r="H48" s="101" t="s">
        <v>111</v>
      </c>
      <c r="I48" s="101" t="s">
        <v>111</v>
      </c>
      <c r="J48" s="119"/>
      <c r="K48" s="101" t="s">
        <v>112</v>
      </c>
      <c r="L48" s="101" t="s">
        <v>112</v>
      </c>
      <c r="M48" s="101" t="s">
        <v>112</v>
      </c>
      <c r="N48" s="101" t="s">
        <v>112</v>
      </c>
      <c r="O48" s="101" t="s">
        <v>111</v>
      </c>
      <c r="P48" s="101" t="s">
        <v>112</v>
      </c>
      <c r="Q48" s="119"/>
      <c r="R48" s="101" t="s">
        <v>112</v>
      </c>
      <c r="S48" s="101" t="s">
        <v>112</v>
      </c>
      <c r="T48" s="101" t="s">
        <v>112</v>
      </c>
      <c r="U48" s="101" t="s">
        <v>112</v>
      </c>
      <c r="V48" s="101" t="s">
        <v>112</v>
      </c>
      <c r="W48" s="101" t="s">
        <v>111</v>
      </c>
      <c r="X48" s="119"/>
      <c r="Y48" s="101" t="s">
        <v>111</v>
      </c>
      <c r="Z48" s="101" t="s">
        <v>112</v>
      </c>
      <c r="AA48" s="101" t="s">
        <v>111</v>
      </c>
      <c r="AB48" s="101" t="s">
        <v>111</v>
      </c>
      <c r="AC48" s="101" t="s">
        <v>111</v>
      </c>
      <c r="AD48" s="101" t="s">
        <v>111</v>
      </c>
      <c r="AE48" s="119"/>
      <c r="AF48" s="101" t="s">
        <v>111</v>
      </c>
      <c r="AG48" s="122"/>
      <c r="AH48" s="101" t="s">
        <v>112</v>
      </c>
      <c r="AI48" s="101" t="s">
        <v>112</v>
      </c>
      <c r="AJ48" s="101" t="s">
        <v>112</v>
      </c>
      <c r="AK48" s="5">
        <f t="shared" si="1"/>
        <v>14</v>
      </c>
      <c r="AL48" s="5">
        <f t="shared" si="2"/>
        <v>12</v>
      </c>
    </row>
    <row r="49" spans="1:38" ht="16.5" x14ac:dyDescent="0.25">
      <c r="A49" s="21">
        <v>17</v>
      </c>
      <c r="B49" s="11">
        <v>588</v>
      </c>
      <c r="C49" s="18" t="s">
        <v>413</v>
      </c>
      <c r="D49" s="19" t="s">
        <v>414</v>
      </c>
      <c r="E49" s="20" t="s">
        <v>395</v>
      </c>
      <c r="F49" s="101" t="s">
        <v>111</v>
      </c>
      <c r="G49" s="101" t="s">
        <v>111</v>
      </c>
      <c r="H49" s="101" t="s">
        <v>111</v>
      </c>
      <c r="I49" s="101" t="s">
        <v>111</v>
      </c>
      <c r="J49" s="119"/>
      <c r="K49" s="101" t="s">
        <v>112</v>
      </c>
      <c r="L49" s="101" t="s">
        <v>112</v>
      </c>
      <c r="M49" s="101" t="s">
        <v>112</v>
      </c>
      <c r="N49" s="101" t="s">
        <v>112</v>
      </c>
      <c r="O49" s="101" t="s">
        <v>111</v>
      </c>
      <c r="P49" s="101" t="s">
        <v>112</v>
      </c>
      <c r="Q49" s="119"/>
      <c r="R49" s="101" t="s">
        <v>112</v>
      </c>
      <c r="S49" s="101" t="s">
        <v>112</v>
      </c>
      <c r="T49" s="101" t="s">
        <v>112</v>
      </c>
      <c r="U49" s="101" t="s">
        <v>112</v>
      </c>
      <c r="V49" s="101" t="s">
        <v>112</v>
      </c>
      <c r="W49" s="101" t="s">
        <v>111</v>
      </c>
      <c r="X49" s="119"/>
      <c r="Y49" s="101" t="s">
        <v>112</v>
      </c>
      <c r="Z49" s="101" t="s">
        <v>111</v>
      </c>
      <c r="AA49" s="101" t="s">
        <v>111</v>
      </c>
      <c r="AB49" s="101" t="s">
        <v>112</v>
      </c>
      <c r="AC49" s="101" t="s">
        <v>112</v>
      </c>
      <c r="AD49" s="101" t="s">
        <v>112</v>
      </c>
      <c r="AE49" s="119"/>
      <c r="AF49" s="101" t="s">
        <v>112</v>
      </c>
      <c r="AG49" s="122"/>
      <c r="AH49" s="101" t="s">
        <v>112</v>
      </c>
      <c r="AI49" s="101" t="s">
        <v>112</v>
      </c>
      <c r="AJ49" s="101" t="s">
        <v>112</v>
      </c>
      <c r="AK49" s="5">
        <f t="shared" si="1"/>
        <v>18</v>
      </c>
      <c r="AL49" s="5">
        <f t="shared" si="2"/>
        <v>8</v>
      </c>
    </row>
    <row r="50" spans="1:38" ht="16.5" x14ac:dyDescent="0.25">
      <c r="A50" s="9">
        <v>18</v>
      </c>
      <c r="B50" s="11">
        <v>525</v>
      </c>
      <c r="C50" s="18" t="s">
        <v>416</v>
      </c>
      <c r="D50" s="19" t="s">
        <v>417</v>
      </c>
      <c r="E50" s="20" t="s">
        <v>395</v>
      </c>
      <c r="F50" s="101" t="s">
        <v>111</v>
      </c>
      <c r="G50" s="101" t="s">
        <v>111</v>
      </c>
      <c r="H50" s="101" t="s">
        <v>112</v>
      </c>
      <c r="I50" s="101" t="s">
        <v>111</v>
      </c>
      <c r="J50" s="119"/>
      <c r="K50" s="101" t="s">
        <v>112</v>
      </c>
      <c r="L50" s="101" t="s">
        <v>112</v>
      </c>
      <c r="M50" s="101" t="s">
        <v>112</v>
      </c>
      <c r="N50" s="101" t="s">
        <v>112</v>
      </c>
      <c r="O50" s="101" t="s">
        <v>112</v>
      </c>
      <c r="P50" s="101" t="s">
        <v>112</v>
      </c>
      <c r="Q50" s="119"/>
      <c r="R50" s="101" t="s">
        <v>112</v>
      </c>
      <c r="S50" s="101" t="s">
        <v>112</v>
      </c>
      <c r="T50" s="101" t="s">
        <v>112</v>
      </c>
      <c r="U50" s="101" t="s">
        <v>112</v>
      </c>
      <c r="V50" s="101" t="s">
        <v>112</v>
      </c>
      <c r="W50" s="101" t="s">
        <v>112</v>
      </c>
      <c r="X50" s="119"/>
      <c r="Y50" s="101" t="s">
        <v>112</v>
      </c>
      <c r="Z50" s="101" t="s">
        <v>112</v>
      </c>
      <c r="AA50" s="101" t="s">
        <v>112</v>
      </c>
      <c r="AB50" s="101" t="s">
        <v>112</v>
      </c>
      <c r="AC50" s="101" t="s">
        <v>112</v>
      </c>
      <c r="AD50" s="101" t="s">
        <v>112</v>
      </c>
      <c r="AE50" s="119"/>
      <c r="AF50" s="101" t="s">
        <v>112</v>
      </c>
      <c r="AG50" s="122"/>
      <c r="AH50" s="101" t="s">
        <v>112</v>
      </c>
      <c r="AI50" s="101" t="s">
        <v>111</v>
      </c>
      <c r="AJ50" s="101" t="s">
        <v>112</v>
      </c>
      <c r="AK50" s="5">
        <f t="shared" si="1"/>
        <v>22</v>
      </c>
      <c r="AL50" s="5">
        <f t="shared" si="2"/>
        <v>4</v>
      </c>
    </row>
    <row r="51" spans="1:38" ht="16.5" x14ac:dyDescent="0.25">
      <c r="A51" s="21">
        <v>19</v>
      </c>
      <c r="B51" s="11">
        <v>577</v>
      </c>
      <c r="C51" s="18" t="s">
        <v>418</v>
      </c>
      <c r="D51" s="19" t="s">
        <v>419</v>
      </c>
      <c r="E51" s="20" t="s">
        <v>395</v>
      </c>
      <c r="F51" s="101" t="s">
        <v>112</v>
      </c>
      <c r="G51" s="101" t="s">
        <v>111</v>
      </c>
      <c r="H51" s="101" t="s">
        <v>111</v>
      </c>
      <c r="I51" s="101" t="s">
        <v>112</v>
      </c>
      <c r="J51" s="119"/>
      <c r="K51" s="101" t="s">
        <v>111</v>
      </c>
      <c r="L51" s="101" t="s">
        <v>112</v>
      </c>
      <c r="M51" s="101" t="s">
        <v>112</v>
      </c>
      <c r="N51" s="101" t="s">
        <v>112</v>
      </c>
      <c r="O51" s="101" t="s">
        <v>112</v>
      </c>
      <c r="P51" s="101" t="s">
        <v>112</v>
      </c>
      <c r="Q51" s="119"/>
      <c r="R51" s="101" t="s">
        <v>112</v>
      </c>
      <c r="S51" s="101" t="s">
        <v>112</v>
      </c>
      <c r="T51" s="101" t="s">
        <v>112</v>
      </c>
      <c r="U51" s="101" t="s">
        <v>112</v>
      </c>
      <c r="V51" s="101" t="s">
        <v>112</v>
      </c>
      <c r="W51" s="101" t="s">
        <v>111</v>
      </c>
      <c r="X51" s="119"/>
      <c r="Y51" s="101" t="s">
        <v>112</v>
      </c>
      <c r="Z51" s="101" t="s">
        <v>112</v>
      </c>
      <c r="AA51" s="101" t="s">
        <v>112</v>
      </c>
      <c r="AB51" s="101" t="s">
        <v>113</v>
      </c>
      <c r="AC51" s="101" t="s">
        <v>112</v>
      </c>
      <c r="AD51" s="101" t="s">
        <v>111</v>
      </c>
      <c r="AE51" s="119"/>
      <c r="AF51" s="101" t="s">
        <v>112</v>
      </c>
      <c r="AG51" s="122"/>
      <c r="AH51" s="101" t="s">
        <v>112</v>
      </c>
      <c r="AI51" s="101" t="s">
        <v>112</v>
      </c>
      <c r="AJ51" s="101" t="s">
        <v>111</v>
      </c>
      <c r="AK51" s="5">
        <f t="shared" si="1"/>
        <v>19</v>
      </c>
      <c r="AL51" s="5">
        <f t="shared" si="2"/>
        <v>6</v>
      </c>
    </row>
    <row r="52" spans="1:38" ht="16.5" x14ac:dyDescent="0.25">
      <c r="A52" s="9">
        <v>20</v>
      </c>
      <c r="B52" s="11">
        <v>589</v>
      </c>
      <c r="C52" s="18" t="s">
        <v>420</v>
      </c>
      <c r="D52" s="19" t="s">
        <v>421</v>
      </c>
      <c r="E52" s="20" t="s">
        <v>395</v>
      </c>
      <c r="F52" s="101" t="s">
        <v>111</v>
      </c>
      <c r="G52" s="101" t="s">
        <v>112</v>
      </c>
      <c r="H52" s="101" t="s">
        <v>112</v>
      </c>
      <c r="I52" s="101" t="s">
        <v>111</v>
      </c>
      <c r="J52" s="119"/>
      <c r="K52" s="101" t="s">
        <v>112</v>
      </c>
      <c r="L52" s="101" t="s">
        <v>112</v>
      </c>
      <c r="M52" s="101" t="s">
        <v>112</v>
      </c>
      <c r="N52" s="101" t="s">
        <v>112</v>
      </c>
      <c r="O52" s="101" t="s">
        <v>112</v>
      </c>
      <c r="P52" s="101" t="s">
        <v>111</v>
      </c>
      <c r="Q52" s="119"/>
      <c r="R52" s="101" t="s">
        <v>112</v>
      </c>
      <c r="S52" s="101" t="s">
        <v>112</v>
      </c>
      <c r="T52" s="101" t="s">
        <v>112</v>
      </c>
      <c r="U52" s="101" t="s">
        <v>113</v>
      </c>
      <c r="V52" s="101" t="s">
        <v>112</v>
      </c>
      <c r="W52" s="101" t="s">
        <v>112</v>
      </c>
      <c r="X52" s="119"/>
      <c r="Y52" s="101" t="s">
        <v>112</v>
      </c>
      <c r="Z52" s="101" t="s">
        <v>112</v>
      </c>
      <c r="AA52" s="101" t="s">
        <v>112</v>
      </c>
      <c r="AB52" s="101" t="s">
        <v>113</v>
      </c>
      <c r="AC52" s="101" t="s">
        <v>111</v>
      </c>
      <c r="AD52" s="101" t="s">
        <v>111</v>
      </c>
      <c r="AE52" s="119"/>
      <c r="AF52" s="101" t="s">
        <v>112</v>
      </c>
      <c r="AG52" s="122"/>
      <c r="AH52" s="101" t="s">
        <v>112</v>
      </c>
      <c r="AI52" s="101" t="s">
        <v>112</v>
      </c>
      <c r="AJ52" s="101" t="s">
        <v>112</v>
      </c>
      <c r="AK52" s="5">
        <f t="shared" si="1"/>
        <v>19</v>
      </c>
      <c r="AL52" s="5">
        <f t="shared" si="2"/>
        <v>5</v>
      </c>
    </row>
    <row r="53" spans="1:38" ht="16.5" x14ac:dyDescent="0.25">
      <c r="A53" s="21">
        <v>21</v>
      </c>
      <c r="B53" s="11"/>
      <c r="C53" s="18" t="s">
        <v>422</v>
      </c>
      <c r="D53" s="19" t="s">
        <v>423</v>
      </c>
      <c r="E53" s="20" t="s">
        <v>395</v>
      </c>
      <c r="F53" s="101" t="s">
        <v>111</v>
      </c>
      <c r="G53" s="101" t="s">
        <v>111</v>
      </c>
      <c r="H53" s="101" t="s">
        <v>111</v>
      </c>
      <c r="I53" s="101" t="s">
        <v>111</v>
      </c>
      <c r="J53" s="119"/>
      <c r="K53" s="101" t="s">
        <v>111</v>
      </c>
      <c r="L53" s="101" t="s">
        <v>111</v>
      </c>
      <c r="M53" s="101" t="s">
        <v>111</v>
      </c>
      <c r="N53" s="101" t="s">
        <v>112</v>
      </c>
      <c r="O53" s="101" t="s">
        <v>112</v>
      </c>
      <c r="P53" s="101" t="s">
        <v>112</v>
      </c>
      <c r="Q53" s="119"/>
      <c r="R53" s="101" t="s">
        <v>112</v>
      </c>
      <c r="S53" s="101" t="s">
        <v>112</v>
      </c>
      <c r="T53" s="101" t="s">
        <v>112</v>
      </c>
      <c r="U53" s="101" t="s">
        <v>112</v>
      </c>
      <c r="V53" s="101" t="s">
        <v>112</v>
      </c>
      <c r="W53" s="101" t="s">
        <v>112</v>
      </c>
      <c r="X53" s="119"/>
      <c r="Y53" s="101" t="s">
        <v>111</v>
      </c>
      <c r="Z53" s="101" t="s">
        <v>112</v>
      </c>
      <c r="AA53" s="101" t="s">
        <v>112</v>
      </c>
      <c r="AB53" s="101" t="s">
        <v>113</v>
      </c>
      <c r="AC53" s="101" t="s">
        <v>112</v>
      </c>
      <c r="AD53" s="101" t="s">
        <v>111</v>
      </c>
      <c r="AE53" s="119"/>
      <c r="AF53" s="101" t="s">
        <v>112</v>
      </c>
      <c r="AG53" s="122"/>
      <c r="AH53" s="101" t="s">
        <v>112</v>
      </c>
      <c r="AI53" s="101" t="s">
        <v>112</v>
      </c>
      <c r="AJ53" s="101" t="s">
        <v>112</v>
      </c>
      <c r="AK53" s="5">
        <f t="shared" si="1"/>
        <v>16</v>
      </c>
      <c r="AL53" s="5">
        <f t="shared" si="2"/>
        <v>9</v>
      </c>
    </row>
    <row r="54" spans="1:38" ht="16.5" x14ac:dyDescent="0.25">
      <c r="A54" s="9">
        <v>22</v>
      </c>
      <c r="B54" s="11">
        <v>571</v>
      </c>
      <c r="C54" s="18" t="s">
        <v>404</v>
      </c>
      <c r="D54" s="19" t="s">
        <v>405</v>
      </c>
      <c r="E54" s="20" t="s">
        <v>395</v>
      </c>
      <c r="F54" s="101" t="s">
        <v>111</v>
      </c>
      <c r="G54" s="101" t="s">
        <v>111</v>
      </c>
      <c r="H54" s="101" t="s">
        <v>111</v>
      </c>
      <c r="I54" s="101" t="s">
        <v>111</v>
      </c>
      <c r="J54" s="119"/>
      <c r="K54" s="101" t="s">
        <v>111</v>
      </c>
      <c r="L54" s="101" t="s">
        <v>111</v>
      </c>
      <c r="M54" s="101" t="s">
        <v>112</v>
      </c>
      <c r="N54" s="101" t="s">
        <v>112</v>
      </c>
      <c r="O54" s="101" t="s">
        <v>112</v>
      </c>
      <c r="P54" s="101" t="s">
        <v>112</v>
      </c>
      <c r="Q54" s="119"/>
      <c r="R54" s="101" t="s">
        <v>111</v>
      </c>
      <c r="S54" s="101" t="s">
        <v>112</v>
      </c>
      <c r="T54" s="101" t="s">
        <v>111</v>
      </c>
      <c r="U54" s="101" t="s">
        <v>111</v>
      </c>
      <c r="V54" s="101" t="s">
        <v>112</v>
      </c>
      <c r="W54" s="101" t="s">
        <v>112</v>
      </c>
      <c r="X54" s="119"/>
      <c r="Y54" s="101" t="s">
        <v>112</v>
      </c>
      <c r="Z54" s="101" t="s">
        <v>112</v>
      </c>
      <c r="AA54" s="101" t="s">
        <v>112</v>
      </c>
      <c r="AB54" s="101" t="s">
        <v>112</v>
      </c>
      <c r="AC54" s="101" t="s">
        <v>112</v>
      </c>
      <c r="AD54" s="101" t="s">
        <v>112</v>
      </c>
      <c r="AE54" s="119"/>
      <c r="AF54" s="101" t="s">
        <v>112</v>
      </c>
      <c r="AG54" s="122"/>
      <c r="AH54" s="101" t="s">
        <v>112</v>
      </c>
      <c r="AI54" s="101" t="s">
        <v>112</v>
      </c>
      <c r="AJ54" s="101" t="s">
        <v>111</v>
      </c>
      <c r="AK54" s="5">
        <f t="shared" si="1"/>
        <v>16</v>
      </c>
      <c r="AL54" s="5">
        <f t="shared" si="2"/>
        <v>10</v>
      </c>
    </row>
    <row r="55" spans="1:38" ht="16.5" x14ac:dyDescent="0.25">
      <c r="A55" s="21">
        <v>23</v>
      </c>
      <c r="B55" s="11"/>
      <c r="C55" s="18" t="s">
        <v>424</v>
      </c>
      <c r="D55" s="19" t="s">
        <v>193</v>
      </c>
      <c r="E55" s="20" t="s">
        <v>395</v>
      </c>
      <c r="F55" s="101" t="s">
        <v>111</v>
      </c>
      <c r="G55" s="101" t="s">
        <v>112</v>
      </c>
      <c r="H55" s="101" t="s">
        <v>112</v>
      </c>
      <c r="I55" s="101" t="s">
        <v>111</v>
      </c>
      <c r="J55" s="119"/>
      <c r="K55" s="101" t="s">
        <v>112</v>
      </c>
      <c r="L55" s="101" t="s">
        <v>112</v>
      </c>
      <c r="M55" s="101" t="s">
        <v>112</v>
      </c>
      <c r="N55" s="101" t="s">
        <v>112</v>
      </c>
      <c r="O55" s="101" t="s">
        <v>112</v>
      </c>
      <c r="P55" s="101" t="s">
        <v>112</v>
      </c>
      <c r="Q55" s="119"/>
      <c r="R55" s="101" t="s">
        <v>112</v>
      </c>
      <c r="S55" s="101" t="s">
        <v>111</v>
      </c>
      <c r="T55" s="101" t="s">
        <v>112</v>
      </c>
      <c r="U55" s="101" t="s">
        <v>112</v>
      </c>
      <c r="V55" s="101" t="s">
        <v>112</v>
      </c>
      <c r="W55" s="101" t="s">
        <v>112</v>
      </c>
      <c r="X55" s="119"/>
      <c r="Y55" s="101" t="s">
        <v>112</v>
      </c>
      <c r="Z55" s="101" t="s">
        <v>112</v>
      </c>
      <c r="AA55" s="101" t="s">
        <v>112</v>
      </c>
      <c r="AB55" s="101" t="s">
        <v>112</v>
      </c>
      <c r="AC55" s="101" t="s">
        <v>112</v>
      </c>
      <c r="AD55" s="101" t="s">
        <v>112</v>
      </c>
      <c r="AE55" s="119"/>
      <c r="AF55" s="101" t="s">
        <v>112</v>
      </c>
      <c r="AG55" s="122"/>
      <c r="AH55" s="101" t="s">
        <v>112</v>
      </c>
      <c r="AI55" s="101" t="s">
        <v>111</v>
      </c>
      <c r="AJ55" s="101" t="s">
        <v>112</v>
      </c>
      <c r="AK55" s="5">
        <f t="shared" si="1"/>
        <v>22</v>
      </c>
      <c r="AL55" s="5">
        <f t="shared" si="2"/>
        <v>4</v>
      </c>
    </row>
    <row r="56" spans="1:38" ht="16.5" x14ac:dyDescent="0.25">
      <c r="A56" s="9">
        <v>24</v>
      </c>
      <c r="B56" s="11">
        <v>572</v>
      </c>
      <c r="C56" s="18" t="s">
        <v>425</v>
      </c>
      <c r="D56" s="19" t="s">
        <v>84</v>
      </c>
      <c r="E56" s="20" t="s">
        <v>395</v>
      </c>
      <c r="F56" s="101" t="s">
        <v>111</v>
      </c>
      <c r="G56" s="101" t="s">
        <v>111</v>
      </c>
      <c r="H56" s="101" t="s">
        <v>111</v>
      </c>
      <c r="I56" s="101" t="s">
        <v>111</v>
      </c>
      <c r="J56" s="120"/>
      <c r="K56" s="101" t="s">
        <v>111</v>
      </c>
      <c r="L56" s="101" t="s">
        <v>111</v>
      </c>
      <c r="M56" s="101" t="s">
        <v>111</v>
      </c>
      <c r="N56" s="101" t="s">
        <v>111</v>
      </c>
      <c r="O56" s="101" t="s">
        <v>111</v>
      </c>
      <c r="P56" s="101" t="s">
        <v>111</v>
      </c>
      <c r="Q56" s="120"/>
      <c r="R56" s="101" t="s">
        <v>112</v>
      </c>
      <c r="S56" s="101" t="s">
        <v>112</v>
      </c>
      <c r="T56" s="101" t="s">
        <v>112</v>
      </c>
      <c r="U56" s="101" t="s">
        <v>112</v>
      </c>
      <c r="V56" s="101" t="s">
        <v>112</v>
      </c>
      <c r="W56" s="101" t="s">
        <v>112</v>
      </c>
      <c r="X56" s="120"/>
      <c r="Y56" s="101" t="s">
        <v>111</v>
      </c>
      <c r="Z56" s="101" t="s">
        <v>112</v>
      </c>
      <c r="AA56" s="101" t="s">
        <v>112</v>
      </c>
      <c r="AB56" s="101" t="s">
        <v>112</v>
      </c>
      <c r="AC56" s="101" t="s">
        <v>112</v>
      </c>
      <c r="AD56" s="101" t="s">
        <v>112</v>
      </c>
      <c r="AE56" s="120"/>
      <c r="AF56" s="101" t="s">
        <v>111</v>
      </c>
      <c r="AG56" s="123"/>
      <c r="AH56" s="101" t="s">
        <v>112</v>
      </c>
      <c r="AI56" s="101" t="s">
        <v>112</v>
      </c>
      <c r="AJ56" s="101" t="s">
        <v>112</v>
      </c>
      <c r="AK56" s="5">
        <f t="shared" si="1"/>
        <v>14</v>
      </c>
      <c r="AL56" s="5">
        <f t="shared" si="2"/>
        <v>12</v>
      </c>
    </row>
  </sheetData>
  <mergeCells count="17">
    <mergeCell ref="A1:AJ1"/>
    <mergeCell ref="A2:AJ2"/>
    <mergeCell ref="J5:J56"/>
    <mergeCell ref="Q5:Q56"/>
    <mergeCell ref="X5:X56"/>
    <mergeCell ref="AG5:AG56"/>
    <mergeCell ref="E3:E4"/>
    <mergeCell ref="A3:A4"/>
    <mergeCell ref="B3:B4"/>
    <mergeCell ref="C3:C4"/>
    <mergeCell ref="D3:D4"/>
    <mergeCell ref="AE5:AE56"/>
    <mergeCell ref="AM11:AP11"/>
    <mergeCell ref="AM19:AP19"/>
    <mergeCell ref="AK3:AK4"/>
    <mergeCell ref="AL3:AL4"/>
    <mergeCell ref="AM3:AN3"/>
  </mergeCells>
  <conditionalFormatting sqref="B5:B32">
    <cfRule type="duplicateValues" dxfId="26" priority="8"/>
  </conditionalFormatting>
  <conditionalFormatting sqref="B33:B56">
    <cfRule type="duplicateValues" dxfId="25" priority="7"/>
  </conditionalFormatting>
  <conditionalFormatting sqref="F3:AJ4 J5 Q5 X5 AE5 AG5 F5:I56 K5:P56 R5:W56 Y5:AD56 AF5:AF56 AH5:AJ56">
    <cfRule type="expression" dxfId="24" priority="14">
      <formula>F$3="Sun"</formula>
    </cfRule>
  </conditionalFormatting>
  <conditionalFormatting sqref="J5 Q5 X5 AE5 AG5 F5:I56 K5:P56 R5:W56 Y5:AD56 AF5:AF56 AH5:AJ56 F4:AJ4">
    <cfRule type="expression" dxfId="23" priority="13">
      <formula>IF(F$4=TODAY(),TRUE,FALSE)</formula>
    </cfRule>
  </conditionalFormatting>
  <conditionalFormatting sqref="J5 Q5 X5 AE5 AG5 F5:I56 K5:P56 R5:W56 Y5:AD56 AF5:AF56 AH5:AJ56">
    <cfRule type="cellIs" dxfId="22" priority="10" operator="equal">
      <formula>"L"</formula>
    </cfRule>
    <cfRule type="cellIs" dxfId="21" priority="11" operator="equal">
      <formula>"A"</formula>
    </cfRule>
    <cfRule type="cellIs" dxfId="20" priority="12" operator="equal">
      <formula>"P"</formula>
    </cfRule>
  </conditionalFormatting>
  <conditionalFormatting sqref="AK3:AL3">
    <cfRule type="expression" dxfId="19" priority="15">
      <formula>#REF!="Sun"</formula>
    </cfRule>
  </conditionalFormatting>
  <conditionalFormatting sqref="AK5:AL56">
    <cfRule type="expression" dxfId="18" priority="9">
      <formula>#REF!="Sun"</formula>
    </cfRule>
  </conditionalFormatting>
  <conditionalFormatting sqref="AM5:AM9">
    <cfRule type="expression" dxfId="17" priority="4">
      <formula>AM$3="Sun"</formula>
    </cfRule>
  </conditionalFormatting>
  <conditionalFormatting sqref="AM12:AM15">
    <cfRule type="expression" dxfId="16" priority="2">
      <formula>AM$3="Sun"</formula>
    </cfRule>
  </conditionalFormatting>
  <conditionalFormatting sqref="AM20:AM23">
    <cfRule type="expression" dxfId="15" priority="1">
      <formula>AM$3="Sun"</formula>
    </cfRule>
  </conditionalFormatting>
  <conditionalFormatting sqref="AM4:AN4">
    <cfRule type="expression" dxfId="14" priority="5">
      <formula>AM$3="Sun"</formula>
    </cfRule>
  </conditionalFormatting>
  <conditionalFormatting sqref="AN12:AP12 AN20:AP20">
    <cfRule type="expression" dxfId="13" priority="6">
      <formula>AN$3="Sun"</formula>
    </cfRule>
  </conditionalFormatting>
  <conditionalFormatting sqref="AP21">
    <cfRule type="expression" dxfId="12" priority="3">
      <formula>AP$3="Sun"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9EFC-F7A3-45EE-B493-05026BD74A2B}">
  <dimension ref="A1:AN57"/>
  <sheetViews>
    <sheetView topLeftCell="D1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3.7109375" style="1" bestFit="1" customWidth="1"/>
    <col min="7" max="7" width="3.7109375" style="1" customWidth="1"/>
    <col min="8" max="8" width="3.85546875" style="1"/>
    <col min="9" max="9" width="4.5703125" style="1" bestFit="1" customWidth="1"/>
    <col min="10" max="12" width="4.5703125" style="1" customWidth="1"/>
    <col min="13" max="13" width="3.42578125" style="1" bestFit="1" customWidth="1"/>
    <col min="14" max="14" width="3.5703125" style="1" bestFit="1" customWidth="1"/>
    <col min="15" max="20" width="4.5703125" style="1" customWidth="1"/>
    <col min="21" max="21" width="3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3.5703125" style="1" bestFit="1" customWidth="1"/>
    <col min="29" max="29" width="3.85546875" style="1"/>
    <col min="30" max="30" width="4.7109375" style="1" bestFit="1" customWidth="1"/>
    <col min="31" max="31" width="3.5703125" style="1" bestFit="1" customWidth="1"/>
    <col min="32" max="32" width="3.7109375" style="1" bestFit="1" customWidth="1"/>
    <col min="33" max="33" width="3.42578125" style="1" bestFit="1" customWidth="1"/>
    <col min="34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0" ht="17.25" x14ac:dyDescent="0.3">
      <c r="A2" s="114" t="s">
        <v>121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7" t="s">
        <v>0</v>
      </c>
      <c r="B3" s="127" t="s">
        <v>1</v>
      </c>
      <c r="C3" s="127" t="s">
        <v>2</v>
      </c>
      <c r="D3" s="12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3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0" t="s">
        <v>126</v>
      </c>
      <c r="AL3" s="111"/>
      <c r="AM3" s="3"/>
      <c r="AN3" s="3"/>
    </row>
    <row r="4" spans="1:40" ht="37.5" x14ac:dyDescent="0.25">
      <c r="A4" s="128"/>
      <c r="B4" s="128"/>
      <c r="C4" s="128"/>
      <c r="D4" s="128"/>
      <c r="E4" s="13">
        <v>45597</v>
      </c>
      <c r="F4" s="13">
        <v>45598</v>
      </c>
      <c r="G4" s="13">
        <v>45599</v>
      </c>
      <c r="H4" s="13">
        <v>45600</v>
      </c>
      <c r="I4" s="13">
        <v>45601</v>
      </c>
      <c r="J4" s="13">
        <v>45602</v>
      </c>
      <c r="K4" s="13">
        <v>45603</v>
      </c>
      <c r="L4" s="13">
        <v>45604</v>
      </c>
      <c r="M4" s="13">
        <v>45605</v>
      </c>
      <c r="N4" s="13">
        <v>45606</v>
      </c>
      <c r="O4" s="13">
        <v>45607</v>
      </c>
      <c r="P4" s="13">
        <v>45608</v>
      </c>
      <c r="Q4" s="13">
        <v>45609</v>
      </c>
      <c r="R4" s="13">
        <v>45610</v>
      </c>
      <c r="S4" s="13">
        <v>45611</v>
      </c>
      <c r="T4" s="13">
        <v>45612</v>
      </c>
      <c r="U4" s="13">
        <v>45613</v>
      </c>
      <c r="V4" s="13">
        <v>45614</v>
      </c>
      <c r="W4" s="13">
        <v>45615</v>
      </c>
      <c r="X4" s="13">
        <v>45616</v>
      </c>
      <c r="Y4" s="13">
        <v>45617</v>
      </c>
      <c r="Z4" s="13">
        <v>45618</v>
      </c>
      <c r="AA4" s="13">
        <v>45619</v>
      </c>
      <c r="AB4" s="13">
        <v>45620</v>
      </c>
      <c r="AC4" s="13">
        <v>45621</v>
      </c>
      <c r="AD4" s="13">
        <v>45622</v>
      </c>
      <c r="AE4" s="13">
        <v>45623</v>
      </c>
      <c r="AF4" s="13">
        <v>45624</v>
      </c>
      <c r="AG4" s="13">
        <v>45625</v>
      </c>
      <c r="AH4" s="13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468</v>
      </c>
      <c r="C5" s="25" t="s">
        <v>469</v>
      </c>
      <c r="D5" s="20" t="s">
        <v>470</v>
      </c>
      <c r="E5" s="8" t="s">
        <v>471</v>
      </c>
      <c r="F5" s="8" t="s">
        <v>111</v>
      </c>
      <c r="G5" s="118" t="s">
        <v>396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1" t="s">
        <v>122</v>
      </c>
      <c r="N5" s="118" t="s">
        <v>396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118" t="s">
        <v>396</v>
      </c>
      <c r="V5" s="8" t="s">
        <v>111</v>
      </c>
      <c r="W5" s="8" t="s">
        <v>111</v>
      </c>
      <c r="X5" s="8" t="s">
        <v>112</v>
      </c>
      <c r="Y5" s="8" t="s">
        <v>112</v>
      </c>
      <c r="Z5" s="8" t="s">
        <v>112</v>
      </c>
      <c r="AA5" s="8" t="s">
        <v>112</v>
      </c>
      <c r="AB5" s="118" t="s">
        <v>396</v>
      </c>
      <c r="AC5" s="8" t="s">
        <v>112</v>
      </c>
      <c r="AD5" s="8" t="s">
        <v>112</v>
      </c>
      <c r="AE5" s="26" t="s">
        <v>111</v>
      </c>
      <c r="AF5" s="8" t="s">
        <v>112</v>
      </c>
      <c r="AG5" s="26" t="s">
        <v>111</v>
      </c>
      <c r="AH5" s="8"/>
      <c r="AI5" s="5">
        <f t="shared" ref="AI5:AI57" si="1">COUNTIF(E5:AH5,"P")</f>
        <v>19</v>
      </c>
      <c r="AJ5" s="5">
        <f t="shared" ref="AJ5:AJ57" si="2">COUNTIF(E5:AH5,"A")</f>
        <v>5</v>
      </c>
      <c r="AK5" s="5" t="s">
        <v>7</v>
      </c>
      <c r="AL5" s="9">
        <v>25</v>
      </c>
      <c r="AM5" s="10"/>
      <c r="AN5" s="3"/>
    </row>
    <row r="6" spans="1:40" ht="16.5" x14ac:dyDescent="0.25">
      <c r="A6" s="9">
        <v>2</v>
      </c>
      <c r="B6" s="24" t="s">
        <v>472</v>
      </c>
      <c r="C6" s="25" t="s">
        <v>473</v>
      </c>
      <c r="D6" s="20" t="s">
        <v>470</v>
      </c>
      <c r="E6" s="8" t="s">
        <v>111</v>
      </c>
      <c r="F6" s="8" t="s">
        <v>471</v>
      </c>
      <c r="G6" s="119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122"/>
      <c r="N6" s="119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19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19"/>
      <c r="AC6" s="8" t="s">
        <v>112</v>
      </c>
      <c r="AD6" s="8" t="s">
        <v>112</v>
      </c>
      <c r="AE6" s="26" t="s">
        <v>112</v>
      </c>
      <c r="AF6" s="8" t="s">
        <v>112</v>
      </c>
      <c r="AG6" s="26" t="s">
        <v>112</v>
      </c>
      <c r="AH6" s="8"/>
      <c r="AI6" s="5">
        <f t="shared" si="1"/>
        <v>23</v>
      </c>
      <c r="AJ6" s="5">
        <f t="shared" si="2"/>
        <v>1</v>
      </c>
      <c r="AK6" s="5" t="s">
        <v>8</v>
      </c>
      <c r="AL6" s="9">
        <v>4</v>
      </c>
      <c r="AM6" s="3"/>
      <c r="AN6" s="3"/>
    </row>
    <row r="7" spans="1:40" ht="16.5" x14ac:dyDescent="0.25">
      <c r="A7" s="21">
        <v>3</v>
      </c>
      <c r="B7" s="24" t="s">
        <v>474</v>
      </c>
      <c r="C7" s="25" t="s">
        <v>475</v>
      </c>
      <c r="D7" s="20" t="s">
        <v>470</v>
      </c>
      <c r="E7" s="8" t="s">
        <v>471</v>
      </c>
      <c r="F7" s="8" t="s">
        <v>471</v>
      </c>
      <c r="G7" s="119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2"/>
      <c r="N7" s="119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113</v>
      </c>
      <c r="T7" s="8" t="s">
        <v>111</v>
      </c>
      <c r="U7" s="119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19"/>
      <c r="AC7" s="8" t="s">
        <v>112</v>
      </c>
      <c r="AD7" s="8" t="s">
        <v>111</v>
      </c>
      <c r="AE7" s="26" t="s">
        <v>112</v>
      </c>
      <c r="AF7" s="8" t="s">
        <v>112</v>
      </c>
      <c r="AG7" s="26" t="s">
        <v>112</v>
      </c>
      <c r="AH7" s="8"/>
      <c r="AI7" s="5">
        <f t="shared" si="1"/>
        <v>21</v>
      </c>
      <c r="AJ7" s="5">
        <f t="shared" si="2"/>
        <v>2</v>
      </c>
      <c r="AK7" s="5" t="s">
        <v>129</v>
      </c>
      <c r="AL7" s="9">
        <v>1</v>
      </c>
      <c r="AM7" s="3"/>
      <c r="AN7" s="3"/>
    </row>
    <row r="8" spans="1:40" ht="16.5" x14ac:dyDescent="0.25">
      <c r="A8" s="9">
        <v>4</v>
      </c>
      <c r="B8" s="24" t="s">
        <v>193</v>
      </c>
      <c r="C8" s="25" t="s">
        <v>476</v>
      </c>
      <c r="D8" s="20" t="s">
        <v>470</v>
      </c>
      <c r="E8" s="8" t="s">
        <v>111</v>
      </c>
      <c r="F8" s="8" t="s">
        <v>111</v>
      </c>
      <c r="G8" s="119"/>
      <c r="H8" s="8" t="s">
        <v>111</v>
      </c>
      <c r="I8" s="8" t="s">
        <v>111</v>
      </c>
      <c r="J8" s="8" t="s">
        <v>111</v>
      </c>
      <c r="K8" s="8" t="s">
        <v>111</v>
      </c>
      <c r="L8" s="8" t="s">
        <v>111</v>
      </c>
      <c r="M8" s="122"/>
      <c r="N8" s="119"/>
      <c r="O8" s="8" t="s">
        <v>111</v>
      </c>
      <c r="P8" s="8" t="s">
        <v>111</v>
      </c>
      <c r="Q8" s="8" t="s">
        <v>111</v>
      </c>
      <c r="R8" s="8" t="s">
        <v>111</v>
      </c>
      <c r="S8" s="8" t="s">
        <v>111</v>
      </c>
      <c r="T8" s="8" t="s">
        <v>113</v>
      </c>
      <c r="U8" s="119"/>
      <c r="V8" s="8" t="s">
        <v>111</v>
      </c>
      <c r="W8" s="8" t="s">
        <v>111</v>
      </c>
      <c r="X8" s="8" t="s">
        <v>111</v>
      </c>
      <c r="Y8" s="8" t="s">
        <v>111</v>
      </c>
      <c r="Z8" s="8" t="s">
        <v>111</v>
      </c>
      <c r="AA8" s="8" t="s">
        <v>111</v>
      </c>
      <c r="AB8" s="119"/>
      <c r="AC8" s="8" t="s">
        <v>111</v>
      </c>
      <c r="AD8" s="8" t="s">
        <v>111</v>
      </c>
      <c r="AE8" s="26" t="s">
        <v>111</v>
      </c>
      <c r="AF8" s="8" t="s">
        <v>111</v>
      </c>
      <c r="AG8" s="26" t="s">
        <v>111</v>
      </c>
      <c r="AH8" s="8"/>
      <c r="AI8" s="5">
        <f t="shared" si="1"/>
        <v>0</v>
      </c>
      <c r="AJ8" s="5">
        <f t="shared" si="2"/>
        <v>23</v>
      </c>
      <c r="AK8" s="5"/>
      <c r="AL8" s="9"/>
      <c r="AM8"/>
      <c r="AN8"/>
    </row>
    <row r="9" spans="1:40" ht="16.5" x14ac:dyDescent="0.25">
      <c r="A9" s="21">
        <v>5</v>
      </c>
      <c r="B9" s="24" t="s">
        <v>477</v>
      </c>
      <c r="C9" s="25" t="s">
        <v>478</v>
      </c>
      <c r="D9" s="20" t="s">
        <v>470</v>
      </c>
      <c r="E9" s="8" t="s">
        <v>111</v>
      </c>
      <c r="F9" s="8" t="s">
        <v>471</v>
      </c>
      <c r="G9" s="119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122"/>
      <c r="N9" s="119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119"/>
      <c r="V9" s="8" t="s">
        <v>111</v>
      </c>
      <c r="W9" s="8" t="s">
        <v>112</v>
      </c>
      <c r="X9" s="8" t="s">
        <v>112</v>
      </c>
      <c r="Y9" s="8" t="s">
        <v>111</v>
      </c>
      <c r="Z9" s="8" t="s">
        <v>112</v>
      </c>
      <c r="AA9" s="8" t="s">
        <v>112</v>
      </c>
      <c r="AB9" s="119"/>
      <c r="AC9" s="8" t="s">
        <v>112</v>
      </c>
      <c r="AD9" s="8" t="s">
        <v>112</v>
      </c>
      <c r="AE9" s="26" t="s">
        <v>112</v>
      </c>
      <c r="AF9" s="8" t="s">
        <v>112</v>
      </c>
      <c r="AG9" s="26" t="s">
        <v>112</v>
      </c>
      <c r="AH9" s="8"/>
      <c r="AI9" s="5">
        <f t="shared" si="1"/>
        <v>18</v>
      </c>
      <c r="AJ9" s="5">
        <f t="shared" si="2"/>
        <v>6</v>
      </c>
      <c r="AK9" s="5"/>
      <c r="AL9" s="9"/>
    </row>
    <row r="10" spans="1:40" ht="16.5" x14ac:dyDescent="0.25">
      <c r="A10" s="9">
        <v>6</v>
      </c>
      <c r="B10" s="24" t="s">
        <v>479</v>
      </c>
      <c r="C10" s="25" t="s">
        <v>480</v>
      </c>
      <c r="D10" s="20" t="s">
        <v>470</v>
      </c>
      <c r="E10" s="8" t="s">
        <v>471</v>
      </c>
      <c r="F10" s="8" t="s">
        <v>471</v>
      </c>
      <c r="G10" s="119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2"/>
      <c r="N10" s="119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113</v>
      </c>
      <c r="T10" s="8" t="s">
        <v>113</v>
      </c>
      <c r="U10" s="119"/>
      <c r="V10" s="8" t="s">
        <v>112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112</v>
      </c>
      <c r="AB10" s="119"/>
      <c r="AC10" s="8" t="s">
        <v>112</v>
      </c>
      <c r="AD10" s="8" t="s">
        <v>111</v>
      </c>
      <c r="AE10" s="26" t="s">
        <v>112</v>
      </c>
      <c r="AF10" s="8" t="s">
        <v>112</v>
      </c>
      <c r="AG10" s="26" t="s">
        <v>112</v>
      </c>
      <c r="AH10" s="8"/>
      <c r="AI10" s="5">
        <f t="shared" si="1"/>
        <v>20</v>
      </c>
      <c r="AJ10" s="5">
        <f t="shared" si="2"/>
        <v>2</v>
      </c>
    </row>
    <row r="11" spans="1:40" ht="16.5" x14ac:dyDescent="0.25">
      <c r="A11" s="21">
        <v>7</v>
      </c>
      <c r="B11" s="24" t="s">
        <v>481</v>
      </c>
      <c r="C11" s="25" t="s">
        <v>482</v>
      </c>
      <c r="D11" s="20" t="s">
        <v>470</v>
      </c>
      <c r="E11" s="8" t="s">
        <v>112</v>
      </c>
      <c r="F11" s="8" t="s">
        <v>471</v>
      </c>
      <c r="G11" s="119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2"/>
      <c r="N11" s="119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19"/>
      <c r="V11" s="8" t="s">
        <v>111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19"/>
      <c r="AC11" s="8" t="s">
        <v>112</v>
      </c>
      <c r="AD11" s="8" t="s">
        <v>112</v>
      </c>
      <c r="AE11" s="26" t="s">
        <v>112</v>
      </c>
      <c r="AF11" s="8" t="s">
        <v>112</v>
      </c>
      <c r="AG11" s="26" t="s">
        <v>112</v>
      </c>
      <c r="AH11" s="8"/>
      <c r="AI11" s="5">
        <f t="shared" si="1"/>
        <v>23</v>
      </c>
      <c r="AJ11" s="5">
        <f t="shared" si="2"/>
        <v>1</v>
      </c>
      <c r="AK11" s="110" t="s">
        <v>9</v>
      </c>
      <c r="AL11" s="111"/>
      <c r="AM11" s="111"/>
      <c r="AN11" s="112"/>
    </row>
    <row r="12" spans="1:40" ht="16.5" x14ac:dyDescent="0.25">
      <c r="A12" s="9">
        <v>8</v>
      </c>
      <c r="B12" s="24" t="s">
        <v>314</v>
      </c>
      <c r="C12" s="25" t="s">
        <v>246</v>
      </c>
      <c r="D12" s="20" t="s">
        <v>470</v>
      </c>
      <c r="E12" s="8" t="s">
        <v>471</v>
      </c>
      <c r="F12" s="8" t="s">
        <v>471</v>
      </c>
      <c r="G12" s="119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22"/>
      <c r="N12" s="119"/>
      <c r="O12" s="8" t="s">
        <v>111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112</v>
      </c>
      <c r="U12" s="119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19"/>
      <c r="AC12" s="8" t="s">
        <v>111</v>
      </c>
      <c r="AD12" s="8" t="s">
        <v>112</v>
      </c>
      <c r="AE12" s="26" t="s">
        <v>112</v>
      </c>
      <c r="AF12" s="8" t="s">
        <v>112</v>
      </c>
      <c r="AG12" s="26" t="s">
        <v>112</v>
      </c>
      <c r="AH12" s="8"/>
      <c r="AI12" s="5">
        <f t="shared" si="1"/>
        <v>21</v>
      </c>
      <c r="AJ12" s="5">
        <f t="shared" si="2"/>
        <v>3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21">
        <v>9</v>
      </c>
      <c r="B13" s="24" t="s">
        <v>483</v>
      </c>
      <c r="C13" s="25" t="s">
        <v>484</v>
      </c>
      <c r="D13" s="20" t="s">
        <v>470</v>
      </c>
      <c r="E13" s="8" t="s">
        <v>471</v>
      </c>
      <c r="F13" s="8" t="s">
        <v>471</v>
      </c>
      <c r="G13" s="119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2"/>
      <c r="N13" s="119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19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19"/>
      <c r="AC13" s="8" t="s">
        <v>111</v>
      </c>
      <c r="AD13" s="8" t="s">
        <v>112</v>
      </c>
      <c r="AE13" s="26" t="s">
        <v>112</v>
      </c>
      <c r="AF13" s="8" t="s">
        <v>112</v>
      </c>
      <c r="AG13" s="26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9">
        <f>21*$AL$5</f>
        <v>525</v>
      </c>
      <c r="AM13" s="9">
        <f>32*$AL$5</f>
        <v>800</v>
      </c>
      <c r="AN13" s="9">
        <f>SUM(AL13:AM13)</f>
        <v>1325</v>
      </c>
    </row>
    <row r="14" spans="1:40" ht="16.5" x14ac:dyDescent="0.25">
      <c r="A14" s="9">
        <v>10</v>
      </c>
      <c r="B14" s="24" t="s">
        <v>485</v>
      </c>
      <c r="C14" s="25" t="s">
        <v>486</v>
      </c>
      <c r="D14" s="20" t="s">
        <v>470</v>
      </c>
      <c r="E14" s="8" t="s">
        <v>471</v>
      </c>
      <c r="F14" s="8" t="s">
        <v>471</v>
      </c>
      <c r="G14" s="119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2"/>
      <c r="N14" s="119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119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19"/>
      <c r="AC14" s="8" t="s">
        <v>112</v>
      </c>
      <c r="AD14" s="8" t="s">
        <v>112</v>
      </c>
      <c r="AE14" s="26" t="s">
        <v>112</v>
      </c>
      <c r="AF14" s="8" t="s">
        <v>112</v>
      </c>
      <c r="AG14" s="26" t="s">
        <v>112</v>
      </c>
      <c r="AH14" s="8"/>
      <c r="AI14" s="5">
        <f t="shared" si="1"/>
        <v>24</v>
      </c>
      <c r="AJ14" s="5">
        <f t="shared" si="2"/>
        <v>0</v>
      </c>
      <c r="AK14" s="5" t="s">
        <v>15</v>
      </c>
      <c r="AL14" s="9">
        <f>SUM(AI5:AI25)</f>
        <v>383</v>
      </c>
      <c r="AM14" s="9">
        <f>SUM(AI27:AI57)</f>
        <v>655</v>
      </c>
      <c r="AN14" s="9">
        <f>AL14+AM14</f>
        <v>1038</v>
      </c>
    </row>
    <row r="15" spans="1:40" ht="16.5" x14ac:dyDescent="0.25">
      <c r="A15" s="21">
        <v>11</v>
      </c>
      <c r="B15" s="24" t="s">
        <v>266</v>
      </c>
      <c r="C15" s="25" t="s">
        <v>487</v>
      </c>
      <c r="D15" s="20" t="s">
        <v>470</v>
      </c>
      <c r="E15" s="8" t="s">
        <v>471</v>
      </c>
      <c r="F15" s="8" t="s">
        <v>111</v>
      </c>
      <c r="G15" s="119"/>
      <c r="H15" s="8" t="s">
        <v>112</v>
      </c>
      <c r="I15" s="8" t="s">
        <v>112</v>
      </c>
      <c r="J15" s="8" t="s">
        <v>111</v>
      </c>
      <c r="K15" s="8" t="s">
        <v>111</v>
      </c>
      <c r="L15" s="8" t="s">
        <v>112</v>
      </c>
      <c r="M15" s="122"/>
      <c r="N15" s="119"/>
      <c r="O15" s="8" t="s">
        <v>111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19"/>
      <c r="V15" s="8" t="s">
        <v>112</v>
      </c>
      <c r="W15" s="8" t="s">
        <v>112</v>
      </c>
      <c r="X15" s="8" t="s">
        <v>111</v>
      </c>
      <c r="Y15" s="8" t="s">
        <v>112</v>
      </c>
      <c r="Z15" s="8" t="s">
        <v>112</v>
      </c>
      <c r="AA15" s="8" t="s">
        <v>112</v>
      </c>
      <c r="AB15" s="119"/>
      <c r="AC15" s="8" t="s">
        <v>112</v>
      </c>
      <c r="AD15" s="8" t="s">
        <v>112</v>
      </c>
      <c r="AE15" s="26" t="s">
        <v>112</v>
      </c>
      <c r="AF15" s="8" t="s">
        <v>112</v>
      </c>
      <c r="AG15" s="26" t="s">
        <v>112</v>
      </c>
      <c r="AH15" s="8"/>
      <c r="AI15" s="5">
        <f t="shared" si="1"/>
        <v>19</v>
      </c>
      <c r="AJ15" s="5">
        <f t="shared" si="2"/>
        <v>5</v>
      </c>
      <c r="AK15" s="5" t="s">
        <v>16</v>
      </c>
      <c r="AL15" s="12">
        <f>AL14/AL13</f>
        <v>0.72952380952380957</v>
      </c>
      <c r="AM15" s="12">
        <f>AM14/AM13</f>
        <v>0.81874999999999998</v>
      </c>
      <c r="AN15" s="12">
        <f>AN14/AN13</f>
        <v>0.78339622641509432</v>
      </c>
    </row>
    <row r="16" spans="1:40" ht="16.5" x14ac:dyDescent="0.25">
      <c r="A16" s="9">
        <v>12</v>
      </c>
      <c r="B16" s="24" t="s">
        <v>488</v>
      </c>
      <c r="C16" s="25" t="s">
        <v>50</v>
      </c>
      <c r="D16" s="20" t="s">
        <v>470</v>
      </c>
      <c r="E16" s="8" t="s">
        <v>471</v>
      </c>
      <c r="F16" s="8" t="s">
        <v>111</v>
      </c>
      <c r="G16" s="119"/>
      <c r="H16" s="8" t="s">
        <v>112</v>
      </c>
      <c r="I16" s="8" t="s">
        <v>112</v>
      </c>
      <c r="J16" s="8" t="s">
        <v>112</v>
      </c>
      <c r="K16" s="8" t="s">
        <v>111</v>
      </c>
      <c r="L16" s="8" t="s">
        <v>112</v>
      </c>
      <c r="M16" s="122"/>
      <c r="N16" s="119"/>
      <c r="O16" s="8" t="s">
        <v>112</v>
      </c>
      <c r="P16" s="8" t="s">
        <v>111</v>
      </c>
      <c r="Q16" s="8" t="s">
        <v>112</v>
      </c>
      <c r="R16" s="8" t="s">
        <v>112</v>
      </c>
      <c r="S16" s="8" t="s">
        <v>112</v>
      </c>
      <c r="T16" s="8" t="s">
        <v>112</v>
      </c>
      <c r="U16" s="119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19"/>
      <c r="AC16" s="8" t="s">
        <v>112</v>
      </c>
      <c r="AD16" s="8" t="s">
        <v>112</v>
      </c>
      <c r="AE16" s="26" t="s">
        <v>112</v>
      </c>
      <c r="AF16" s="8" t="s">
        <v>112</v>
      </c>
      <c r="AG16" s="26" t="s">
        <v>112</v>
      </c>
      <c r="AH16" s="8"/>
      <c r="AI16" s="5">
        <f t="shared" si="1"/>
        <v>21</v>
      </c>
      <c r="AJ16" s="5">
        <f t="shared" si="2"/>
        <v>3</v>
      </c>
      <c r="AK16"/>
      <c r="AL16"/>
      <c r="AM16"/>
      <c r="AN16"/>
    </row>
    <row r="17" spans="1:40" ht="16.5" x14ac:dyDescent="0.25">
      <c r="A17" s="21">
        <v>13</v>
      </c>
      <c r="B17" s="24" t="s">
        <v>489</v>
      </c>
      <c r="C17" s="25" t="s">
        <v>490</v>
      </c>
      <c r="D17" s="20" t="s">
        <v>470</v>
      </c>
      <c r="E17" s="8" t="s">
        <v>111</v>
      </c>
      <c r="F17" s="8" t="s">
        <v>471</v>
      </c>
      <c r="G17" s="119"/>
      <c r="H17" s="8" t="s">
        <v>111</v>
      </c>
      <c r="I17" s="8" t="s">
        <v>112</v>
      </c>
      <c r="J17" s="8" t="s">
        <v>112</v>
      </c>
      <c r="K17" s="8" t="s">
        <v>111</v>
      </c>
      <c r="L17" s="8" t="s">
        <v>112</v>
      </c>
      <c r="M17" s="122"/>
      <c r="N17" s="119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19"/>
      <c r="V17" s="8" t="s">
        <v>111</v>
      </c>
      <c r="W17" s="8" t="s">
        <v>111</v>
      </c>
      <c r="X17" s="8" t="s">
        <v>111</v>
      </c>
      <c r="Y17" s="8" t="s">
        <v>111</v>
      </c>
      <c r="Z17" s="8" t="s">
        <v>111</v>
      </c>
      <c r="AA17" s="8" t="s">
        <v>111</v>
      </c>
      <c r="AB17" s="119"/>
      <c r="AC17" s="8" t="s">
        <v>112</v>
      </c>
      <c r="AD17" s="8" t="s">
        <v>112</v>
      </c>
      <c r="AE17" s="26" t="s">
        <v>112</v>
      </c>
      <c r="AF17" s="8" t="s">
        <v>112</v>
      </c>
      <c r="AG17" s="26" t="s">
        <v>112</v>
      </c>
      <c r="AH17" s="8"/>
      <c r="AI17" s="5">
        <f t="shared" si="1"/>
        <v>15</v>
      </c>
      <c r="AJ17" s="5">
        <f t="shared" si="2"/>
        <v>9</v>
      </c>
      <c r="AK17"/>
      <c r="AL17"/>
      <c r="AM17"/>
      <c r="AN17"/>
    </row>
    <row r="18" spans="1:40" ht="16.5" x14ac:dyDescent="0.25">
      <c r="A18" s="9">
        <v>14</v>
      </c>
      <c r="B18" s="24" t="s">
        <v>491</v>
      </c>
      <c r="C18" s="25" t="s">
        <v>492</v>
      </c>
      <c r="D18" s="20" t="s">
        <v>470</v>
      </c>
      <c r="E18" s="8" t="s">
        <v>112</v>
      </c>
      <c r="F18" s="8" t="s">
        <v>471</v>
      </c>
      <c r="G18" s="119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122"/>
      <c r="N18" s="119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19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19"/>
      <c r="AC18" s="8" t="s">
        <v>112</v>
      </c>
      <c r="AD18" s="8" t="s">
        <v>111</v>
      </c>
      <c r="AE18" s="26" t="s">
        <v>112</v>
      </c>
      <c r="AF18" s="8" t="s">
        <v>112</v>
      </c>
      <c r="AG18" s="26" t="s">
        <v>112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6.5" x14ac:dyDescent="0.25">
      <c r="A19" s="21">
        <v>15</v>
      </c>
      <c r="B19" s="24" t="s">
        <v>493</v>
      </c>
      <c r="C19" s="25" t="s">
        <v>494</v>
      </c>
      <c r="D19" s="20" t="s">
        <v>470</v>
      </c>
      <c r="E19" s="8" t="s">
        <v>471</v>
      </c>
      <c r="F19" s="8" t="s">
        <v>111</v>
      </c>
      <c r="G19" s="119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2"/>
      <c r="N19" s="119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19"/>
      <c r="V19" s="8" t="s">
        <v>111</v>
      </c>
      <c r="W19" s="8" t="s">
        <v>111</v>
      </c>
      <c r="X19" s="8" t="s">
        <v>112</v>
      </c>
      <c r="Y19" s="8" t="s">
        <v>112</v>
      </c>
      <c r="Z19" s="8" t="s">
        <v>112</v>
      </c>
      <c r="AA19" s="8" t="s">
        <v>112</v>
      </c>
      <c r="AB19" s="119"/>
      <c r="AC19" s="8" t="s">
        <v>112</v>
      </c>
      <c r="AD19" s="8" t="s">
        <v>112</v>
      </c>
      <c r="AE19" s="26" t="s">
        <v>112</v>
      </c>
      <c r="AF19" s="8" t="s">
        <v>112</v>
      </c>
      <c r="AG19" s="26" t="s">
        <v>112</v>
      </c>
      <c r="AH19" s="8"/>
      <c r="AI19" s="5">
        <f t="shared" si="1"/>
        <v>21</v>
      </c>
      <c r="AJ19" s="5">
        <f t="shared" si="2"/>
        <v>3</v>
      </c>
      <c r="AK19" s="110" t="s">
        <v>128</v>
      </c>
      <c r="AL19" s="111"/>
      <c r="AM19" s="111"/>
      <c r="AN19" s="112"/>
    </row>
    <row r="20" spans="1:40" ht="16.5" x14ac:dyDescent="0.25">
      <c r="A20" s="9">
        <v>16</v>
      </c>
      <c r="B20" s="24" t="s">
        <v>495</v>
      </c>
      <c r="C20" s="25" t="s">
        <v>496</v>
      </c>
      <c r="D20" s="20" t="s">
        <v>470</v>
      </c>
      <c r="E20" s="8" t="s">
        <v>471</v>
      </c>
      <c r="F20" s="8" t="s">
        <v>471</v>
      </c>
      <c r="G20" s="119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22"/>
      <c r="N20" s="119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19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19"/>
      <c r="AC20" s="8" t="s">
        <v>112</v>
      </c>
      <c r="AD20" s="8" t="s">
        <v>112</v>
      </c>
      <c r="AE20" s="26" t="s">
        <v>112</v>
      </c>
      <c r="AF20" s="8" t="s">
        <v>112</v>
      </c>
      <c r="AG20" s="26" t="s">
        <v>112</v>
      </c>
      <c r="AH20" s="8"/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21">
        <v>17</v>
      </c>
      <c r="B21" s="24" t="s">
        <v>461</v>
      </c>
      <c r="C21" s="25" t="s">
        <v>497</v>
      </c>
      <c r="D21" s="20" t="s">
        <v>470</v>
      </c>
      <c r="E21" s="8" t="s">
        <v>111</v>
      </c>
      <c r="F21" s="8" t="s">
        <v>471</v>
      </c>
      <c r="G21" s="119"/>
      <c r="H21" s="8" t="s">
        <v>112</v>
      </c>
      <c r="I21" s="8" t="s">
        <v>112</v>
      </c>
      <c r="J21" s="8" t="s">
        <v>112</v>
      </c>
      <c r="K21" s="8" t="s">
        <v>111</v>
      </c>
      <c r="L21" s="8" t="s">
        <v>112</v>
      </c>
      <c r="M21" s="122"/>
      <c r="N21" s="119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119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19"/>
      <c r="AC21" s="8" t="s">
        <v>111</v>
      </c>
      <c r="AD21" s="8" t="s">
        <v>112</v>
      </c>
      <c r="AE21" s="26" t="s">
        <v>112</v>
      </c>
      <c r="AF21" s="8" t="s">
        <v>112</v>
      </c>
      <c r="AG21" s="26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9">
        <f>21*$AL$5</f>
        <v>525</v>
      </c>
      <c r="AM21" s="9">
        <f>32*$AL$5</f>
        <v>800</v>
      </c>
      <c r="AN21" s="9">
        <f>AL21+AM21</f>
        <v>1325</v>
      </c>
    </row>
    <row r="22" spans="1:40" ht="16.5" x14ac:dyDescent="0.25">
      <c r="A22" s="9">
        <v>18</v>
      </c>
      <c r="B22" s="24" t="s">
        <v>498</v>
      </c>
      <c r="C22" s="25" t="s">
        <v>146</v>
      </c>
      <c r="D22" s="20" t="s">
        <v>470</v>
      </c>
      <c r="E22" s="8" t="s">
        <v>471</v>
      </c>
      <c r="F22" s="8" t="s">
        <v>471</v>
      </c>
      <c r="G22" s="119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2"/>
      <c r="N22" s="119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19"/>
      <c r="V22" s="8" t="s">
        <v>112</v>
      </c>
      <c r="W22" s="8" t="s">
        <v>112</v>
      </c>
      <c r="X22" s="8" t="s">
        <v>111</v>
      </c>
      <c r="Y22" s="8" t="s">
        <v>112</v>
      </c>
      <c r="Z22" s="8" t="s">
        <v>112</v>
      </c>
      <c r="AA22" s="8" t="s">
        <v>112</v>
      </c>
      <c r="AB22" s="119"/>
      <c r="AC22" s="8" t="s">
        <v>112</v>
      </c>
      <c r="AD22" s="8" t="s">
        <v>112</v>
      </c>
      <c r="AE22" s="26" t="s">
        <v>112</v>
      </c>
      <c r="AF22" s="8" t="s">
        <v>112</v>
      </c>
      <c r="AG22" s="26" t="s">
        <v>112</v>
      </c>
      <c r="AH22" s="8"/>
      <c r="AI22" s="5">
        <f t="shared" si="1"/>
        <v>23</v>
      </c>
      <c r="AJ22" s="5">
        <f t="shared" si="2"/>
        <v>1</v>
      </c>
      <c r="AK22" s="5" t="s">
        <v>17</v>
      </c>
      <c r="AL22" s="9">
        <f>AL21-AL14</f>
        <v>142</v>
      </c>
      <c r="AM22" s="9">
        <f>AM21-AM14</f>
        <v>145</v>
      </c>
      <c r="AN22" s="9">
        <f>AL22+AM22</f>
        <v>287</v>
      </c>
    </row>
    <row r="23" spans="1:40" ht="16.5" x14ac:dyDescent="0.25">
      <c r="A23" s="21">
        <v>19</v>
      </c>
      <c r="B23" s="24" t="s">
        <v>499</v>
      </c>
      <c r="C23" s="24" t="s">
        <v>323</v>
      </c>
      <c r="D23" s="20" t="s">
        <v>470</v>
      </c>
      <c r="E23" s="8" t="s">
        <v>111</v>
      </c>
      <c r="F23" s="8" t="s">
        <v>111</v>
      </c>
      <c r="G23" s="119"/>
      <c r="H23" s="8" t="s">
        <v>111</v>
      </c>
      <c r="I23" s="8" t="s">
        <v>111</v>
      </c>
      <c r="J23" s="8" t="s">
        <v>111</v>
      </c>
      <c r="K23" s="8" t="s">
        <v>111</v>
      </c>
      <c r="L23" s="8" t="s">
        <v>111</v>
      </c>
      <c r="M23" s="122"/>
      <c r="N23" s="119"/>
      <c r="O23" s="8" t="s">
        <v>111</v>
      </c>
      <c r="P23" s="8" t="s">
        <v>111</v>
      </c>
      <c r="Q23" s="8" t="s">
        <v>111</v>
      </c>
      <c r="R23" s="8" t="s">
        <v>111</v>
      </c>
      <c r="S23" s="8" t="s">
        <v>111</v>
      </c>
      <c r="T23" s="8" t="s">
        <v>111</v>
      </c>
      <c r="U23" s="119"/>
      <c r="V23" s="8" t="s">
        <v>111</v>
      </c>
      <c r="W23" s="8" t="s">
        <v>111</v>
      </c>
      <c r="X23" s="8" t="s">
        <v>111</v>
      </c>
      <c r="Y23" s="8" t="s">
        <v>111</v>
      </c>
      <c r="Z23" s="8" t="s">
        <v>111</v>
      </c>
      <c r="AA23" s="8" t="s">
        <v>111</v>
      </c>
      <c r="AB23" s="119"/>
      <c r="AC23" s="8" t="s">
        <v>111</v>
      </c>
      <c r="AD23" s="8" t="s">
        <v>111</v>
      </c>
      <c r="AE23" s="26" t="s">
        <v>111</v>
      </c>
      <c r="AF23" s="8" t="s">
        <v>111</v>
      </c>
      <c r="AG23" s="26" t="s">
        <v>111</v>
      </c>
      <c r="AH23" s="8"/>
      <c r="AI23" s="5">
        <f t="shared" si="1"/>
        <v>0</v>
      </c>
      <c r="AJ23" s="5">
        <f t="shared" si="2"/>
        <v>24</v>
      </c>
      <c r="AK23" s="5" t="s">
        <v>16</v>
      </c>
      <c r="AL23" s="12">
        <f>AL22/AL21</f>
        <v>0.27047619047619048</v>
      </c>
      <c r="AM23" s="12">
        <f>AM22/AM21</f>
        <v>0.18124999999999999</v>
      </c>
      <c r="AN23" s="12">
        <f>AN22/AN21</f>
        <v>0.21660377358490565</v>
      </c>
    </row>
    <row r="24" spans="1:40" ht="16.5" x14ac:dyDescent="0.25">
      <c r="A24" s="9">
        <v>20</v>
      </c>
      <c r="B24" s="24" t="s">
        <v>500</v>
      </c>
      <c r="C24" s="25" t="s">
        <v>501</v>
      </c>
      <c r="D24" s="20" t="s">
        <v>470</v>
      </c>
      <c r="E24" s="8" t="s">
        <v>471</v>
      </c>
      <c r="F24" s="8" t="s">
        <v>111</v>
      </c>
      <c r="G24" s="119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2"/>
      <c r="N24" s="119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111</v>
      </c>
      <c r="T24" s="8" t="s">
        <v>111</v>
      </c>
      <c r="U24" s="119"/>
      <c r="V24" s="8" t="s">
        <v>111</v>
      </c>
      <c r="W24" s="8" t="s">
        <v>111</v>
      </c>
      <c r="X24" s="8" t="s">
        <v>111</v>
      </c>
      <c r="Y24" s="8" t="s">
        <v>111</v>
      </c>
      <c r="Z24" s="8" t="s">
        <v>111</v>
      </c>
      <c r="AA24" s="8" t="s">
        <v>111</v>
      </c>
      <c r="AB24" s="119"/>
      <c r="AC24" s="8" t="s">
        <v>111</v>
      </c>
      <c r="AD24" s="8" t="s">
        <v>111</v>
      </c>
      <c r="AE24" s="26" t="s">
        <v>111</v>
      </c>
      <c r="AF24" s="8" t="s">
        <v>111</v>
      </c>
      <c r="AG24" s="26" t="s">
        <v>112</v>
      </c>
      <c r="AH24" s="8"/>
      <c r="AI24" s="5">
        <f t="shared" si="1"/>
        <v>11</v>
      </c>
      <c r="AJ24" s="5">
        <f t="shared" si="2"/>
        <v>13</v>
      </c>
    </row>
    <row r="25" spans="1:40" ht="16.5" x14ac:dyDescent="0.25">
      <c r="A25" s="21">
        <v>21</v>
      </c>
      <c r="B25" s="27" t="s">
        <v>502</v>
      </c>
      <c r="C25" s="27" t="s">
        <v>503</v>
      </c>
      <c r="D25" s="20" t="s">
        <v>470</v>
      </c>
      <c r="E25" s="8" t="s">
        <v>111</v>
      </c>
      <c r="F25" s="8" t="s">
        <v>471</v>
      </c>
      <c r="G25" s="119"/>
      <c r="H25" s="8" t="s">
        <v>111</v>
      </c>
      <c r="I25" s="8" t="s">
        <v>112</v>
      </c>
      <c r="J25" s="8" t="s">
        <v>111</v>
      </c>
      <c r="K25" s="8" t="s">
        <v>111</v>
      </c>
      <c r="L25" s="8" t="s">
        <v>112</v>
      </c>
      <c r="M25" s="122"/>
      <c r="N25" s="119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111</v>
      </c>
      <c r="T25" s="8" t="s">
        <v>112</v>
      </c>
      <c r="U25" s="119"/>
      <c r="V25" s="8" t="s">
        <v>111</v>
      </c>
      <c r="W25" s="8" t="s">
        <v>112</v>
      </c>
      <c r="X25" s="8" t="s">
        <v>111</v>
      </c>
      <c r="Y25" s="8" t="s">
        <v>111</v>
      </c>
      <c r="Z25" s="8" t="s">
        <v>112</v>
      </c>
      <c r="AA25" s="8" t="s">
        <v>112</v>
      </c>
      <c r="AB25" s="119"/>
      <c r="AC25" s="8" t="s">
        <v>112</v>
      </c>
      <c r="AD25" s="8" t="s">
        <v>112</v>
      </c>
      <c r="AE25" s="26" t="s">
        <v>112</v>
      </c>
      <c r="AF25" s="8" t="s">
        <v>112</v>
      </c>
      <c r="AG25" s="26" t="s">
        <v>112</v>
      </c>
      <c r="AH25" s="8"/>
      <c r="AI25" s="5">
        <f t="shared" si="1"/>
        <v>16</v>
      </c>
      <c r="AJ25" s="5">
        <f t="shared" si="2"/>
        <v>8</v>
      </c>
    </row>
    <row r="26" spans="1:40" ht="16.5" x14ac:dyDescent="0.25">
      <c r="A26" s="9">
        <v>1</v>
      </c>
      <c r="B26" s="27" t="s">
        <v>135</v>
      </c>
      <c r="C26" s="27" t="s">
        <v>231</v>
      </c>
      <c r="D26" s="20" t="s">
        <v>470</v>
      </c>
      <c r="E26" s="8" t="s">
        <v>471</v>
      </c>
      <c r="F26" s="8" t="s">
        <v>471</v>
      </c>
      <c r="G26" s="119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2"/>
      <c r="N26" s="119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19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19"/>
      <c r="AC26" s="8" t="s">
        <v>112</v>
      </c>
      <c r="AD26" s="8" t="s">
        <v>112</v>
      </c>
      <c r="AE26" s="26" t="s">
        <v>112</v>
      </c>
      <c r="AF26" s="8" t="s">
        <v>112</v>
      </c>
      <c r="AG26" s="26" t="s">
        <v>112</v>
      </c>
      <c r="AH26" s="8" t="s">
        <v>112</v>
      </c>
      <c r="AI26" s="5">
        <f t="shared" si="1"/>
        <v>25</v>
      </c>
      <c r="AJ26" s="5">
        <f t="shared" si="2"/>
        <v>0</v>
      </c>
    </row>
    <row r="27" spans="1:40" ht="16.5" x14ac:dyDescent="0.25">
      <c r="A27" s="21">
        <v>2</v>
      </c>
      <c r="B27" s="27" t="s">
        <v>504</v>
      </c>
      <c r="C27" s="27" t="s">
        <v>505</v>
      </c>
      <c r="D27" s="20" t="s">
        <v>470</v>
      </c>
      <c r="E27" s="8" t="s">
        <v>471</v>
      </c>
      <c r="F27" s="8" t="s">
        <v>471</v>
      </c>
      <c r="G27" s="119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2"/>
      <c r="N27" s="119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19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19"/>
      <c r="AC27" s="8" t="s">
        <v>112</v>
      </c>
      <c r="AD27" s="8" t="s">
        <v>112</v>
      </c>
      <c r="AE27" s="26" t="s">
        <v>112</v>
      </c>
      <c r="AF27" s="8" t="s">
        <v>112</v>
      </c>
      <c r="AG27" s="26" t="s">
        <v>112</v>
      </c>
      <c r="AH27" s="8" t="s">
        <v>112</v>
      </c>
      <c r="AI27" s="5">
        <f t="shared" si="1"/>
        <v>25</v>
      </c>
      <c r="AJ27" s="5">
        <f t="shared" si="2"/>
        <v>0</v>
      </c>
    </row>
    <row r="28" spans="1:40" ht="16.5" x14ac:dyDescent="0.25">
      <c r="A28" s="9">
        <v>3</v>
      </c>
      <c r="B28" s="27" t="s">
        <v>506</v>
      </c>
      <c r="C28" s="27" t="s">
        <v>507</v>
      </c>
      <c r="D28" s="20" t="s">
        <v>470</v>
      </c>
      <c r="E28" s="8" t="s">
        <v>471</v>
      </c>
      <c r="F28" s="8" t="s">
        <v>111</v>
      </c>
      <c r="G28" s="119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2"/>
      <c r="N28" s="119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19"/>
      <c r="V28" s="8" t="s">
        <v>112</v>
      </c>
      <c r="W28" s="8" t="s">
        <v>112</v>
      </c>
      <c r="X28" s="8" t="s">
        <v>111</v>
      </c>
      <c r="Y28" s="8" t="s">
        <v>111</v>
      </c>
      <c r="Z28" s="8" t="s">
        <v>111</v>
      </c>
      <c r="AA28" s="8" t="s">
        <v>112</v>
      </c>
      <c r="AB28" s="119"/>
      <c r="AC28" s="8" t="s">
        <v>112</v>
      </c>
      <c r="AD28" s="8" t="s">
        <v>112</v>
      </c>
      <c r="AE28" s="26" t="s">
        <v>112</v>
      </c>
      <c r="AF28" s="8" t="s">
        <v>112</v>
      </c>
      <c r="AG28" s="26" t="s">
        <v>112</v>
      </c>
      <c r="AH28" s="8" t="s">
        <v>112</v>
      </c>
      <c r="AI28" s="5">
        <f t="shared" si="1"/>
        <v>21</v>
      </c>
      <c r="AJ28" s="5">
        <f t="shared" si="2"/>
        <v>4</v>
      </c>
    </row>
    <row r="29" spans="1:40" ht="16.5" x14ac:dyDescent="0.25">
      <c r="A29" s="21">
        <v>4</v>
      </c>
      <c r="B29" s="27" t="s">
        <v>508</v>
      </c>
      <c r="C29" s="27" t="s">
        <v>509</v>
      </c>
      <c r="D29" s="20" t="s">
        <v>470</v>
      </c>
      <c r="E29" s="8" t="s">
        <v>471</v>
      </c>
      <c r="F29" s="8" t="s">
        <v>471</v>
      </c>
      <c r="G29" s="119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22"/>
      <c r="N29" s="119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19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19"/>
      <c r="AC29" s="8" t="s">
        <v>112</v>
      </c>
      <c r="AD29" s="8" t="s">
        <v>112</v>
      </c>
      <c r="AE29" s="26" t="s">
        <v>112</v>
      </c>
      <c r="AF29" s="8" t="s">
        <v>112</v>
      </c>
      <c r="AG29" s="26" t="s">
        <v>112</v>
      </c>
      <c r="AH29" s="8" t="s">
        <v>112</v>
      </c>
      <c r="AI29" s="5">
        <f t="shared" si="1"/>
        <v>25</v>
      </c>
      <c r="AJ29" s="5">
        <f t="shared" si="2"/>
        <v>0</v>
      </c>
    </row>
    <row r="30" spans="1:40" ht="16.5" x14ac:dyDescent="0.25">
      <c r="A30" s="9">
        <v>5</v>
      </c>
      <c r="B30" s="27" t="s">
        <v>428</v>
      </c>
      <c r="C30" s="27" t="s">
        <v>510</v>
      </c>
      <c r="D30" s="20" t="s">
        <v>470</v>
      </c>
      <c r="E30" s="8" t="s">
        <v>111</v>
      </c>
      <c r="F30" s="8" t="s">
        <v>112</v>
      </c>
      <c r="G30" s="119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2"/>
      <c r="N30" s="119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19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19"/>
      <c r="AC30" s="8" t="s">
        <v>112</v>
      </c>
      <c r="AD30" s="8" t="s">
        <v>112</v>
      </c>
      <c r="AE30" s="26" t="s">
        <v>112</v>
      </c>
      <c r="AF30" s="8" t="s">
        <v>112</v>
      </c>
      <c r="AG30" s="26" t="s">
        <v>112</v>
      </c>
      <c r="AH30" s="8" t="s">
        <v>112</v>
      </c>
      <c r="AI30" s="5">
        <f t="shared" si="1"/>
        <v>24</v>
      </c>
      <c r="AJ30" s="5">
        <f t="shared" si="2"/>
        <v>1</v>
      </c>
    </row>
    <row r="31" spans="1:40" ht="16.5" x14ac:dyDescent="0.25">
      <c r="A31" s="21">
        <v>6</v>
      </c>
      <c r="B31" s="27" t="s">
        <v>139</v>
      </c>
      <c r="C31" s="27" t="s">
        <v>473</v>
      </c>
      <c r="D31" s="20" t="s">
        <v>470</v>
      </c>
      <c r="E31" s="8" t="s">
        <v>111</v>
      </c>
      <c r="F31" s="8" t="s">
        <v>471</v>
      </c>
      <c r="G31" s="119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122"/>
      <c r="N31" s="119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19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19"/>
      <c r="AC31" s="8" t="s">
        <v>112</v>
      </c>
      <c r="AD31" s="8" t="s">
        <v>112</v>
      </c>
      <c r="AE31" s="26" t="s">
        <v>112</v>
      </c>
      <c r="AF31" s="8" t="s">
        <v>112</v>
      </c>
      <c r="AG31" s="26" t="s">
        <v>112</v>
      </c>
      <c r="AH31" s="8" t="s">
        <v>112</v>
      </c>
      <c r="AI31" s="5">
        <f t="shared" si="1"/>
        <v>24</v>
      </c>
      <c r="AJ31" s="5">
        <f t="shared" si="2"/>
        <v>1</v>
      </c>
    </row>
    <row r="32" spans="1:40" ht="16.5" x14ac:dyDescent="0.25">
      <c r="A32" s="9">
        <v>7</v>
      </c>
      <c r="B32" s="24" t="s">
        <v>511</v>
      </c>
      <c r="C32" s="25" t="s">
        <v>512</v>
      </c>
      <c r="D32" s="20" t="s">
        <v>470</v>
      </c>
      <c r="E32" s="8" t="s">
        <v>471</v>
      </c>
      <c r="F32" s="8" t="s">
        <v>111</v>
      </c>
      <c r="G32" s="119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122"/>
      <c r="N32" s="119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19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19"/>
      <c r="AC32" s="8" t="s">
        <v>112</v>
      </c>
      <c r="AD32" s="8" t="s">
        <v>112</v>
      </c>
      <c r="AE32" s="26" t="s">
        <v>112</v>
      </c>
      <c r="AF32" s="8" t="s">
        <v>112</v>
      </c>
      <c r="AG32" s="26" t="s">
        <v>112</v>
      </c>
      <c r="AH32" s="8" t="s">
        <v>112</v>
      </c>
      <c r="AI32" s="5">
        <f t="shared" si="1"/>
        <v>24</v>
      </c>
      <c r="AJ32" s="5">
        <f t="shared" si="2"/>
        <v>1</v>
      </c>
    </row>
    <row r="33" spans="1:36" ht="16.5" x14ac:dyDescent="0.25">
      <c r="A33" s="21">
        <v>8</v>
      </c>
      <c r="B33" s="24" t="s">
        <v>513</v>
      </c>
      <c r="C33" s="25" t="s">
        <v>514</v>
      </c>
      <c r="D33" s="20" t="s">
        <v>470</v>
      </c>
      <c r="E33" s="8" t="s">
        <v>111</v>
      </c>
      <c r="F33" s="8" t="s">
        <v>111</v>
      </c>
      <c r="G33" s="119"/>
      <c r="H33" s="8" t="s">
        <v>112</v>
      </c>
      <c r="I33" s="8" t="s">
        <v>112</v>
      </c>
      <c r="J33" s="8" t="s">
        <v>111</v>
      </c>
      <c r="K33" s="8" t="s">
        <v>111</v>
      </c>
      <c r="L33" s="8" t="s">
        <v>111</v>
      </c>
      <c r="M33" s="122"/>
      <c r="N33" s="119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119"/>
      <c r="V33" s="8" t="s">
        <v>111</v>
      </c>
      <c r="W33" s="8" t="s">
        <v>111</v>
      </c>
      <c r="X33" s="8" t="s">
        <v>112</v>
      </c>
      <c r="Y33" s="8" t="s">
        <v>111</v>
      </c>
      <c r="Z33" s="8" t="s">
        <v>112</v>
      </c>
      <c r="AA33" s="8" t="s">
        <v>111</v>
      </c>
      <c r="AB33" s="119"/>
      <c r="AC33" s="8" t="s">
        <v>112</v>
      </c>
      <c r="AD33" s="8" t="s">
        <v>112</v>
      </c>
      <c r="AE33" s="26" t="s">
        <v>112</v>
      </c>
      <c r="AF33" s="8" t="s">
        <v>112</v>
      </c>
      <c r="AG33" s="26" t="s">
        <v>112</v>
      </c>
      <c r="AH33" s="8" t="s">
        <v>112</v>
      </c>
      <c r="AI33" s="5">
        <f t="shared" si="1"/>
        <v>10</v>
      </c>
      <c r="AJ33" s="5">
        <f t="shared" si="2"/>
        <v>15</v>
      </c>
    </row>
    <row r="34" spans="1:36" ht="16.5" x14ac:dyDescent="0.25">
      <c r="A34" s="9">
        <v>9</v>
      </c>
      <c r="B34" s="24" t="s">
        <v>515</v>
      </c>
      <c r="C34" s="25" t="s">
        <v>516</v>
      </c>
      <c r="D34" s="20" t="s">
        <v>470</v>
      </c>
      <c r="E34" s="8" t="s">
        <v>111</v>
      </c>
      <c r="F34" s="8" t="s">
        <v>471</v>
      </c>
      <c r="G34" s="119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2"/>
      <c r="N34" s="119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19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19"/>
      <c r="AC34" s="8" t="s">
        <v>112</v>
      </c>
      <c r="AD34" s="8" t="s">
        <v>112</v>
      </c>
      <c r="AE34" s="26" t="s">
        <v>112</v>
      </c>
      <c r="AF34" s="8" t="s">
        <v>112</v>
      </c>
      <c r="AG34" s="26" t="s">
        <v>112</v>
      </c>
      <c r="AH34" s="8" t="s">
        <v>112</v>
      </c>
      <c r="AI34" s="5">
        <f t="shared" si="1"/>
        <v>24</v>
      </c>
      <c r="AJ34" s="5">
        <f t="shared" si="2"/>
        <v>1</v>
      </c>
    </row>
    <row r="35" spans="1:36" ht="16.5" x14ac:dyDescent="0.25">
      <c r="A35" s="21">
        <v>10</v>
      </c>
      <c r="B35" s="24" t="s">
        <v>517</v>
      </c>
      <c r="C35" s="25" t="s">
        <v>518</v>
      </c>
      <c r="D35" s="20" t="s">
        <v>470</v>
      </c>
      <c r="E35" s="8" t="s">
        <v>471</v>
      </c>
      <c r="F35" s="8" t="s">
        <v>111</v>
      </c>
      <c r="G35" s="119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111</v>
      </c>
      <c r="M35" s="122"/>
      <c r="N35" s="119"/>
      <c r="O35" s="8" t="s">
        <v>112</v>
      </c>
      <c r="P35" s="8" t="s">
        <v>112</v>
      </c>
      <c r="Q35" s="8" t="s">
        <v>111</v>
      </c>
      <c r="R35" s="8" t="s">
        <v>111</v>
      </c>
      <c r="S35" s="8" t="s">
        <v>111</v>
      </c>
      <c r="T35" s="8" t="s">
        <v>111</v>
      </c>
      <c r="U35" s="119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19"/>
      <c r="AC35" s="8" t="s">
        <v>112</v>
      </c>
      <c r="AD35" s="8" t="s">
        <v>112</v>
      </c>
      <c r="AE35" s="26" t="s">
        <v>112</v>
      </c>
      <c r="AF35" s="8" t="s">
        <v>112</v>
      </c>
      <c r="AG35" s="26" t="s">
        <v>112</v>
      </c>
      <c r="AH35" s="8" t="s">
        <v>112</v>
      </c>
      <c r="AI35" s="5">
        <f t="shared" si="1"/>
        <v>19</v>
      </c>
      <c r="AJ35" s="5">
        <f t="shared" si="2"/>
        <v>6</v>
      </c>
    </row>
    <row r="36" spans="1:36" ht="16.5" x14ac:dyDescent="0.25">
      <c r="A36" s="9">
        <v>11</v>
      </c>
      <c r="B36" s="24" t="s">
        <v>519</v>
      </c>
      <c r="C36" s="25" t="s">
        <v>520</v>
      </c>
      <c r="D36" s="20" t="s">
        <v>470</v>
      </c>
      <c r="E36" s="8" t="s">
        <v>471</v>
      </c>
      <c r="F36" s="8" t="s">
        <v>471</v>
      </c>
      <c r="G36" s="119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122"/>
      <c r="N36" s="119"/>
      <c r="O36" s="8" t="s">
        <v>112</v>
      </c>
      <c r="P36" s="8" t="s">
        <v>112</v>
      </c>
      <c r="Q36" s="8" t="s">
        <v>111</v>
      </c>
      <c r="R36" s="8" t="s">
        <v>111</v>
      </c>
      <c r="S36" s="8" t="s">
        <v>112</v>
      </c>
      <c r="T36" s="8" t="s">
        <v>111</v>
      </c>
      <c r="U36" s="119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19"/>
      <c r="AC36" s="8" t="s">
        <v>112</v>
      </c>
      <c r="AD36" s="8" t="s">
        <v>112</v>
      </c>
      <c r="AE36" s="26" t="s">
        <v>112</v>
      </c>
      <c r="AF36" s="8" t="s">
        <v>112</v>
      </c>
      <c r="AG36" s="26" t="s">
        <v>112</v>
      </c>
      <c r="AH36" s="8" t="s">
        <v>112</v>
      </c>
      <c r="AI36" s="5">
        <f t="shared" si="1"/>
        <v>21</v>
      </c>
      <c r="AJ36" s="5">
        <f t="shared" si="2"/>
        <v>4</v>
      </c>
    </row>
    <row r="37" spans="1:36" ht="16.5" x14ac:dyDescent="0.25">
      <c r="A37" s="21">
        <v>12</v>
      </c>
      <c r="B37" s="24" t="s">
        <v>521</v>
      </c>
      <c r="C37" s="25" t="s">
        <v>522</v>
      </c>
      <c r="D37" s="20" t="s">
        <v>470</v>
      </c>
      <c r="E37" s="8" t="s">
        <v>471</v>
      </c>
      <c r="F37" s="8" t="s">
        <v>471</v>
      </c>
      <c r="G37" s="119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2"/>
      <c r="N37" s="119"/>
      <c r="O37" s="8" t="s">
        <v>112</v>
      </c>
      <c r="P37" s="8" t="s">
        <v>112</v>
      </c>
      <c r="Q37" s="8" t="s">
        <v>111</v>
      </c>
      <c r="R37" s="8" t="s">
        <v>111</v>
      </c>
      <c r="S37" s="8" t="s">
        <v>112</v>
      </c>
      <c r="T37" s="8" t="s">
        <v>112</v>
      </c>
      <c r="U37" s="119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111</v>
      </c>
      <c r="AB37" s="119"/>
      <c r="AC37" s="8" t="s">
        <v>112</v>
      </c>
      <c r="AD37" s="8" t="s">
        <v>112</v>
      </c>
      <c r="AE37" s="26" t="s">
        <v>112</v>
      </c>
      <c r="AF37" s="8" t="s">
        <v>112</v>
      </c>
      <c r="AG37" s="26" t="s">
        <v>112</v>
      </c>
      <c r="AH37" s="8" t="s">
        <v>112</v>
      </c>
      <c r="AI37" s="5">
        <f t="shared" si="1"/>
        <v>22</v>
      </c>
      <c r="AJ37" s="5">
        <f t="shared" si="2"/>
        <v>3</v>
      </c>
    </row>
    <row r="38" spans="1:36" ht="16.5" x14ac:dyDescent="0.25">
      <c r="A38" s="9">
        <v>13</v>
      </c>
      <c r="B38" s="24" t="s">
        <v>523</v>
      </c>
      <c r="C38" s="25" t="s">
        <v>524</v>
      </c>
      <c r="D38" s="20" t="s">
        <v>470</v>
      </c>
      <c r="E38" s="8" t="s">
        <v>471</v>
      </c>
      <c r="F38" s="8" t="s">
        <v>471</v>
      </c>
      <c r="G38" s="119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2"/>
      <c r="N38" s="119"/>
      <c r="O38" s="8" t="s">
        <v>112</v>
      </c>
      <c r="P38" s="8" t="s">
        <v>112</v>
      </c>
      <c r="Q38" s="8" t="s">
        <v>111</v>
      </c>
      <c r="R38" s="8" t="s">
        <v>111</v>
      </c>
      <c r="S38" s="8" t="s">
        <v>112</v>
      </c>
      <c r="T38" s="8" t="s">
        <v>111</v>
      </c>
      <c r="U38" s="119"/>
      <c r="V38" s="8" t="s">
        <v>111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111</v>
      </c>
      <c r="AB38" s="119"/>
      <c r="AC38" s="8" t="s">
        <v>112</v>
      </c>
      <c r="AD38" s="8" t="s">
        <v>112</v>
      </c>
      <c r="AE38" s="26" t="s">
        <v>112</v>
      </c>
      <c r="AF38" s="8" t="s">
        <v>112</v>
      </c>
      <c r="AG38" s="26" t="s">
        <v>112</v>
      </c>
      <c r="AH38" s="8" t="s">
        <v>112</v>
      </c>
      <c r="AI38" s="5">
        <f t="shared" si="1"/>
        <v>20</v>
      </c>
      <c r="AJ38" s="5">
        <f t="shared" si="2"/>
        <v>5</v>
      </c>
    </row>
    <row r="39" spans="1:36" ht="16.5" x14ac:dyDescent="0.25">
      <c r="A39" s="21">
        <v>14</v>
      </c>
      <c r="B39" s="24" t="s">
        <v>525</v>
      </c>
      <c r="C39" s="25" t="s">
        <v>266</v>
      </c>
      <c r="D39" s="20" t="s">
        <v>470</v>
      </c>
      <c r="E39" s="8" t="s">
        <v>471</v>
      </c>
      <c r="F39" s="8" t="s">
        <v>471</v>
      </c>
      <c r="G39" s="119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111</v>
      </c>
      <c r="M39" s="122"/>
      <c r="N39" s="119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19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111</v>
      </c>
      <c r="AB39" s="119"/>
      <c r="AC39" s="8" t="s">
        <v>112</v>
      </c>
      <c r="AD39" s="8" t="s">
        <v>112</v>
      </c>
      <c r="AE39" s="26" t="s">
        <v>112</v>
      </c>
      <c r="AF39" s="8" t="s">
        <v>112</v>
      </c>
      <c r="AG39" s="26" t="s">
        <v>112</v>
      </c>
      <c r="AH39" s="8" t="s">
        <v>112</v>
      </c>
      <c r="AI39" s="5">
        <f t="shared" si="1"/>
        <v>23</v>
      </c>
      <c r="AJ39" s="5">
        <f t="shared" si="2"/>
        <v>2</v>
      </c>
    </row>
    <row r="40" spans="1:36" ht="16.5" x14ac:dyDescent="0.25">
      <c r="A40" s="9">
        <v>15</v>
      </c>
      <c r="B40" s="24" t="s">
        <v>526</v>
      </c>
      <c r="C40" s="25" t="s">
        <v>527</v>
      </c>
      <c r="D40" s="20" t="s">
        <v>470</v>
      </c>
      <c r="E40" s="8" t="s">
        <v>471</v>
      </c>
      <c r="F40" s="8" t="s">
        <v>471</v>
      </c>
      <c r="G40" s="119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2"/>
      <c r="N40" s="119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119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119"/>
      <c r="AC40" s="8" t="s">
        <v>112</v>
      </c>
      <c r="AD40" s="8" t="s">
        <v>112</v>
      </c>
      <c r="AE40" s="26" t="s">
        <v>112</v>
      </c>
      <c r="AF40" s="8" t="s">
        <v>112</v>
      </c>
      <c r="AG40" s="26" t="s">
        <v>112</v>
      </c>
      <c r="AH40" s="8" t="s">
        <v>112</v>
      </c>
      <c r="AI40" s="5">
        <f t="shared" si="1"/>
        <v>24</v>
      </c>
      <c r="AJ40" s="5">
        <f t="shared" si="2"/>
        <v>1</v>
      </c>
    </row>
    <row r="41" spans="1:36" ht="16.5" x14ac:dyDescent="0.25">
      <c r="A41" s="21">
        <v>16</v>
      </c>
      <c r="B41" s="24" t="s">
        <v>528</v>
      </c>
      <c r="C41" s="25" t="s">
        <v>89</v>
      </c>
      <c r="D41" s="20" t="s">
        <v>470</v>
      </c>
      <c r="E41" s="8" t="s">
        <v>471</v>
      </c>
      <c r="F41" s="8" t="s">
        <v>471</v>
      </c>
      <c r="G41" s="119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2"/>
      <c r="N41" s="119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119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19"/>
      <c r="AC41" s="8" t="s">
        <v>112</v>
      </c>
      <c r="AD41" s="8" t="s">
        <v>112</v>
      </c>
      <c r="AE41" s="26" t="s">
        <v>112</v>
      </c>
      <c r="AF41" s="8" t="s">
        <v>112</v>
      </c>
      <c r="AG41" s="26" t="s">
        <v>112</v>
      </c>
      <c r="AH41" s="8" t="s">
        <v>112</v>
      </c>
      <c r="AI41" s="5">
        <f t="shared" si="1"/>
        <v>25</v>
      </c>
      <c r="AJ41" s="5">
        <f t="shared" si="2"/>
        <v>0</v>
      </c>
    </row>
    <row r="42" spans="1:36" ht="16.5" x14ac:dyDescent="0.25">
      <c r="A42" s="9">
        <v>17</v>
      </c>
      <c r="B42" s="24" t="s">
        <v>529</v>
      </c>
      <c r="C42" s="25" t="s">
        <v>530</v>
      </c>
      <c r="D42" s="20" t="s">
        <v>470</v>
      </c>
      <c r="E42" s="8" t="s">
        <v>471</v>
      </c>
      <c r="F42" s="8" t="s">
        <v>471</v>
      </c>
      <c r="G42" s="119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2"/>
      <c r="N42" s="119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19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19"/>
      <c r="AC42" s="8" t="s">
        <v>112</v>
      </c>
      <c r="AD42" s="8" t="s">
        <v>112</v>
      </c>
      <c r="AE42" s="26" t="s">
        <v>112</v>
      </c>
      <c r="AF42" s="8" t="s">
        <v>112</v>
      </c>
      <c r="AG42" s="26" t="s">
        <v>112</v>
      </c>
      <c r="AH42" s="8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21">
        <v>18</v>
      </c>
      <c r="B43" s="24" t="s">
        <v>531</v>
      </c>
      <c r="C43" s="25" t="s">
        <v>532</v>
      </c>
      <c r="D43" s="20" t="s">
        <v>470</v>
      </c>
      <c r="E43" s="8" t="s">
        <v>471</v>
      </c>
      <c r="F43" s="8" t="s">
        <v>471</v>
      </c>
      <c r="G43" s="119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2"/>
      <c r="N43" s="119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119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111</v>
      </c>
      <c r="AA43" s="8" t="s">
        <v>111</v>
      </c>
      <c r="AB43" s="119"/>
      <c r="AC43" s="8" t="s">
        <v>111</v>
      </c>
      <c r="AD43" s="8" t="s">
        <v>112</v>
      </c>
      <c r="AE43" s="26" t="s">
        <v>112</v>
      </c>
      <c r="AF43" s="8" t="s">
        <v>112</v>
      </c>
      <c r="AG43" s="26" t="s">
        <v>112</v>
      </c>
      <c r="AH43" s="8" t="s">
        <v>112</v>
      </c>
      <c r="AI43" s="5">
        <f t="shared" si="1"/>
        <v>22</v>
      </c>
      <c r="AJ43" s="5">
        <f t="shared" si="2"/>
        <v>3</v>
      </c>
    </row>
    <row r="44" spans="1:36" ht="16.5" x14ac:dyDescent="0.25">
      <c r="A44" s="9">
        <v>19</v>
      </c>
      <c r="B44" s="24" t="s">
        <v>533</v>
      </c>
      <c r="C44" s="25" t="s">
        <v>64</v>
      </c>
      <c r="D44" s="20" t="s">
        <v>470</v>
      </c>
      <c r="E44" s="8" t="s">
        <v>471</v>
      </c>
      <c r="F44" s="8" t="s">
        <v>471</v>
      </c>
      <c r="G44" s="119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22"/>
      <c r="N44" s="119"/>
      <c r="O44" s="8" t="s">
        <v>112</v>
      </c>
      <c r="P44" s="8" t="s">
        <v>111</v>
      </c>
      <c r="Q44" s="8" t="s">
        <v>112</v>
      </c>
      <c r="R44" s="8" t="s">
        <v>112</v>
      </c>
      <c r="S44" s="8" t="s">
        <v>112</v>
      </c>
      <c r="T44" s="8" t="s">
        <v>112</v>
      </c>
      <c r="U44" s="119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8" t="s">
        <v>112</v>
      </c>
      <c r="AB44" s="119"/>
      <c r="AC44" s="8" t="s">
        <v>112</v>
      </c>
      <c r="AD44" s="8" t="s">
        <v>112</v>
      </c>
      <c r="AE44" s="26" t="s">
        <v>111</v>
      </c>
      <c r="AF44" s="8" t="s">
        <v>112</v>
      </c>
      <c r="AG44" s="26" t="s">
        <v>112</v>
      </c>
      <c r="AH44" s="8" t="s">
        <v>112</v>
      </c>
      <c r="AI44" s="5">
        <f t="shared" si="1"/>
        <v>22</v>
      </c>
      <c r="AJ44" s="5">
        <f t="shared" si="2"/>
        <v>3</v>
      </c>
    </row>
    <row r="45" spans="1:36" ht="16.5" x14ac:dyDescent="0.25">
      <c r="A45" s="21">
        <v>20</v>
      </c>
      <c r="B45" s="24" t="s">
        <v>534</v>
      </c>
      <c r="C45" s="25" t="s">
        <v>535</v>
      </c>
      <c r="D45" s="20" t="s">
        <v>470</v>
      </c>
      <c r="E45" s="8" t="s">
        <v>471</v>
      </c>
      <c r="F45" s="8" t="s">
        <v>471</v>
      </c>
      <c r="G45" s="119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122"/>
      <c r="N45" s="119"/>
      <c r="O45" s="8" t="s">
        <v>112</v>
      </c>
      <c r="P45" s="8" t="s">
        <v>112</v>
      </c>
      <c r="Q45" s="8" t="s">
        <v>111</v>
      </c>
      <c r="R45" s="8" t="s">
        <v>111</v>
      </c>
      <c r="S45" s="8" t="s">
        <v>112</v>
      </c>
      <c r="T45" s="8" t="s">
        <v>112</v>
      </c>
      <c r="U45" s="119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112</v>
      </c>
      <c r="AA45" s="8" t="s">
        <v>112</v>
      </c>
      <c r="AB45" s="119"/>
      <c r="AC45" s="8" t="s">
        <v>112</v>
      </c>
      <c r="AD45" s="8" t="s">
        <v>112</v>
      </c>
      <c r="AE45" s="26" t="s">
        <v>112</v>
      </c>
      <c r="AF45" s="8" t="s">
        <v>112</v>
      </c>
      <c r="AG45" s="26" t="s">
        <v>112</v>
      </c>
      <c r="AH45" s="8" t="s">
        <v>112</v>
      </c>
      <c r="AI45" s="5">
        <f t="shared" si="1"/>
        <v>22</v>
      </c>
      <c r="AJ45" s="5">
        <f t="shared" si="2"/>
        <v>3</v>
      </c>
    </row>
    <row r="46" spans="1:36" ht="16.5" x14ac:dyDescent="0.25">
      <c r="A46" s="9">
        <v>21</v>
      </c>
      <c r="B46" s="24" t="s">
        <v>536</v>
      </c>
      <c r="C46" s="25" t="s">
        <v>148</v>
      </c>
      <c r="D46" s="20" t="s">
        <v>470</v>
      </c>
      <c r="E46" s="8" t="s">
        <v>471</v>
      </c>
      <c r="F46" s="8" t="s">
        <v>471</v>
      </c>
      <c r="G46" s="119"/>
      <c r="H46" s="8" t="s">
        <v>112</v>
      </c>
      <c r="I46" s="8" t="s">
        <v>112</v>
      </c>
      <c r="J46" s="8" t="s">
        <v>111</v>
      </c>
      <c r="K46" s="8" t="s">
        <v>111</v>
      </c>
      <c r="L46" s="8" t="s">
        <v>111</v>
      </c>
      <c r="M46" s="122"/>
      <c r="N46" s="119"/>
      <c r="O46" s="8" t="s">
        <v>112</v>
      </c>
      <c r="P46" s="8" t="s">
        <v>111</v>
      </c>
      <c r="Q46" s="8" t="s">
        <v>112</v>
      </c>
      <c r="R46" s="8" t="s">
        <v>112</v>
      </c>
      <c r="S46" s="8" t="s">
        <v>111</v>
      </c>
      <c r="T46" s="8" t="s">
        <v>111</v>
      </c>
      <c r="U46" s="119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119"/>
      <c r="AC46" s="8" t="s">
        <v>112</v>
      </c>
      <c r="AD46" s="8" t="s">
        <v>112</v>
      </c>
      <c r="AE46" s="26" t="s">
        <v>112</v>
      </c>
      <c r="AF46" s="8" t="s">
        <v>112</v>
      </c>
      <c r="AG46" s="26" t="s">
        <v>112</v>
      </c>
      <c r="AH46" s="8" t="s">
        <v>112</v>
      </c>
      <c r="AI46" s="5">
        <f t="shared" si="1"/>
        <v>18</v>
      </c>
      <c r="AJ46" s="5">
        <f t="shared" si="2"/>
        <v>7</v>
      </c>
    </row>
    <row r="47" spans="1:36" x14ac:dyDescent="0.25">
      <c r="A47" s="21">
        <v>22</v>
      </c>
      <c r="B47" s="24" t="s">
        <v>537</v>
      </c>
      <c r="C47" s="25" t="s">
        <v>138</v>
      </c>
      <c r="D47" s="20" t="s">
        <v>470</v>
      </c>
      <c r="E47" s="8" t="s">
        <v>111</v>
      </c>
      <c r="F47" s="8" t="s">
        <v>111</v>
      </c>
      <c r="G47" s="119"/>
      <c r="H47" s="8" t="s">
        <v>111</v>
      </c>
      <c r="I47" s="8" t="s">
        <v>111</v>
      </c>
      <c r="J47" s="8" t="s">
        <v>111</v>
      </c>
      <c r="K47" s="8" t="s">
        <v>111</v>
      </c>
      <c r="L47" s="8" t="s">
        <v>111</v>
      </c>
      <c r="M47" s="122"/>
      <c r="N47" s="119"/>
      <c r="O47" s="8" t="s">
        <v>111</v>
      </c>
      <c r="P47" s="8" t="s">
        <v>111</v>
      </c>
      <c r="Q47" s="8" t="s">
        <v>111</v>
      </c>
      <c r="R47" s="8" t="s">
        <v>111</v>
      </c>
      <c r="S47" s="8" t="s">
        <v>111</v>
      </c>
      <c r="T47" s="8" t="s">
        <v>111</v>
      </c>
      <c r="U47" s="119"/>
      <c r="V47" s="8" t="s">
        <v>111</v>
      </c>
      <c r="W47" s="8" t="s">
        <v>111</v>
      </c>
      <c r="X47" s="8" t="s">
        <v>111</v>
      </c>
      <c r="Y47" s="8" t="s">
        <v>111</v>
      </c>
      <c r="Z47" s="8" t="s">
        <v>111</v>
      </c>
      <c r="AA47" s="8" t="s">
        <v>111</v>
      </c>
      <c r="AB47" s="119"/>
      <c r="AC47" s="8" t="s">
        <v>111</v>
      </c>
      <c r="AD47" s="8" t="s">
        <v>111</v>
      </c>
      <c r="AE47" s="8" t="s">
        <v>111</v>
      </c>
      <c r="AF47" s="8" t="s">
        <v>111</v>
      </c>
      <c r="AG47" s="8" t="s">
        <v>111</v>
      </c>
      <c r="AH47" s="8" t="s">
        <v>111</v>
      </c>
      <c r="AI47" s="5">
        <f t="shared" si="1"/>
        <v>0</v>
      </c>
      <c r="AJ47" s="5">
        <f t="shared" si="2"/>
        <v>25</v>
      </c>
    </row>
    <row r="48" spans="1:36" ht="16.5" x14ac:dyDescent="0.25">
      <c r="A48" s="9">
        <v>23</v>
      </c>
      <c r="B48" s="24" t="s">
        <v>538</v>
      </c>
      <c r="C48" s="25" t="s">
        <v>140</v>
      </c>
      <c r="D48" s="20" t="s">
        <v>470</v>
      </c>
      <c r="E48" s="8" t="s">
        <v>471</v>
      </c>
      <c r="F48" s="8" t="s">
        <v>111</v>
      </c>
      <c r="G48" s="119"/>
      <c r="H48" s="8" t="s">
        <v>111</v>
      </c>
      <c r="I48" s="8" t="s">
        <v>111</v>
      </c>
      <c r="J48" s="8" t="s">
        <v>111</v>
      </c>
      <c r="K48" s="8" t="s">
        <v>112</v>
      </c>
      <c r="L48" s="8" t="s">
        <v>112</v>
      </c>
      <c r="M48" s="122"/>
      <c r="N48" s="119"/>
      <c r="O48" s="8" t="s">
        <v>112</v>
      </c>
      <c r="P48" s="8" t="s">
        <v>111</v>
      </c>
      <c r="Q48" s="8" t="s">
        <v>111</v>
      </c>
      <c r="R48" s="8" t="s">
        <v>111</v>
      </c>
      <c r="S48" s="8" t="s">
        <v>111</v>
      </c>
      <c r="T48" s="8" t="s">
        <v>112</v>
      </c>
      <c r="U48" s="119"/>
      <c r="V48" s="8" t="s">
        <v>112</v>
      </c>
      <c r="W48" s="8" t="s">
        <v>111</v>
      </c>
      <c r="X48" s="8" t="s">
        <v>111</v>
      </c>
      <c r="Y48" s="8" t="s">
        <v>112</v>
      </c>
      <c r="Z48" s="8" t="s">
        <v>111</v>
      </c>
      <c r="AA48" s="8" t="s">
        <v>112</v>
      </c>
      <c r="AB48" s="119"/>
      <c r="AC48" s="8" t="s">
        <v>112</v>
      </c>
      <c r="AD48" s="8" t="s">
        <v>112</v>
      </c>
      <c r="AE48" s="26" t="s">
        <v>112</v>
      </c>
      <c r="AF48" s="8" t="s">
        <v>112</v>
      </c>
      <c r="AG48" s="26" t="s">
        <v>112</v>
      </c>
      <c r="AH48" s="8" t="s">
        <v>112</v>
      </c>
      <c r="AI48" s="5">
        <f t="shared" si="1"/>
        <v>14</v>
      </c>
      <c r="AJ48" s="5">
        <f t="shared" si="2"/>
        <v>11</v>
      </c>
    </row>
    <row r="49" spans="1:36" ht="16.5" x14ac:dyDescent="0.25">
      <c r="A49" s="21">
        <v>24</v>
      </c>
      <c r="B49" s="24" t="s">
        <v>539</v>
      </c>
      <c r="C49" s="24"/>
      <c r="D49" s="20" t="s">
        <v>470</v>
      </c>
      <c r="E49" s="8" t="s">
        <v>111</v>
      </c>
      <c r="F49" s="8" t="s">
        <v>471</v>
      </c>
      <c r="G49" s="119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122"/>
      <c r="N49" s="119"/>
      <c r="O49" s="8" t="s">
        <v>112</v>
      </c>
      <c r="P49" s="8" t="s">
        <v>111</v>
      </c>
      <c r="Q49" s="8" t="s">
        <v>111</v>
      </c>
      <c r="R49" s="8" t="s">
        <v>111</v>
      </c>
      <c r="S49" s="8" t="s">
        <v>111</v>
      </c>
      <c r="T49" s="8" t="s">
        <v>112</v>
      </c>
      <c r="U49" s="119"/>
      <c r="V49" s="8" t="s">
        <v>111</v>
      </c>
      <c r="W49" s="8" t="s">
        <v>111</v>
      </c>
      <c r="X49" s="8" t="s">
        <v>112</v>
      </c>
      <c r="Y49" s="8" t="s">
        <v>112</v>
      </c>
      <c r="Z49" s="8" t="s">
        <v>111</v>
      </c>
      <c r="AA49" s="8" t="s">
        <v>112</v>
      </c>
      <c r="AB49" s="119"/>
      <c r="AC49" s="8" t="s">
        <v>112</v>
      </c>
      <c r="AD49" s="8" t="s">
        <v>112</v>
      </c>
      <c r="AE49" s="26" t="s">
        <v>112</v>
      </c>
      <c r="AF49" s="8" t="s">
        <v>112</v>
      </c>
      <c r="AG49" s="26" t="s">
        <v>112</v>
      </c>
      <c r="AH49" s="8" t="s">
        <v>112</v>
      </c>
      <c r="AI49" s="5">
        <f t="shared" si="1"/>
        <v>14</v>
      </c>
      <c r="AJ49" s="5">
        <f t="shared" si="2"/>
        <v>11</v>
      </c>
    </row>
    <row r="50" spans="1:36" ht="16.5" x14ac:dyDescent="0.25">
      <c r="A50" s="9">
        <v>25</v>
      </c>
      <c r="B50" s="24" t="s">
        <v>540</v>
      </c>
      <c r="C50" s="25" t="s">
        <v>492</v>
      </c>
      <c r="D50" s="20" t="s">
        <v>470</v>
      </c>
      <c r="E50" s="8" t="s">
        <v>471</v>
      </c>
      <c r="F50" s="8" t="s">
        <v>111</v>
      </c>
      <c r="G50" s="119"/>
      <c r="H50" s="8" t="s">
        <v>112</v>
      </c>
      <c r="I50" s="8" t="s">
        <v>112</v>
      </c>
      <c r="J50" s="8" t="s">
        <v>112</v>
      </c>
      <c r="K50" s="8" t="s">
        <v>111</v>
      </c>
      <c r="L50" s="8" t="s">
        <v>112</v>
      </c>
      <c r="M50" s="122"/>
      <c r="N50" s="119"/>
      <c r="O50" s="8" t="s">
        <v>112</v>
      </c>
      <c r="P50" s="8" t="s">
        <v>112</v>
      </c>
      <c r="Q50" s="8" t="s">
        <v>112</v>
      </c>
      <c r="R50" s="8" t="s">
        <v>112</v>
      </c>
      <c r="S50" s="8" t="s">
        <v>112</v>
      </c>
      <c r="T50" s="8" t="s">
        <v>112</v>
      </c>
      <c r="U50" s="119"/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8" t="s">
        <v>112</v>
      </c>
      <c r="AB50" s="119"/>
      <c r="AC50" s="8" t="s">
        <v>112</v>
      </c>
      <c r="AD50" s="8" t="s">
        <v>112</v>
      </c>
      <c r="AE50" s="26" t="s">
        <v>112</v>
      </c>
      <c r="AF50" s="8" t="s">
        <v>112</v>
      </c>
      <c r="AG50" s="26" t="s">
        <v>112</v>
      </c>
      <c r="AH50" s="8" t="s">
        <v>112</v>
      </c>
      <c r="AI50" s="5">
        <f t="shared" si="1"/>
        <v>23</v>
      </c>
      <c r="AJ50" s="5">
        <f t="shared" si="2"/>
        <v>2</v>
      </c>
    </row>
    <row r="51" spans="1:36" ht="16.5" x14ac:dyDescent="0.25">
      <c r="A51" s="21">
        <v>26</v>
      </c>
      <c r="B51" s="27" t="s">
        <v>541</v>
      </c>
      <c r="C51" s="27" t="s">
        <v>392</v>
      </c>
      <c r="D51" s="8" t="s">
        <v>470</v>
      </c>
      <c r="E51" s="8" t="s">
        <v>471</v>
      </c>
      <c r="F51" s="8" t="s">
        <v>471</v>
      </c>
      <c r="G51" s="119"/>
      <c r="H51" s="8" t="s">
        <v>112</v>
      </c>
      <c r="I51" s="8" t="s">
        <v>112</v>
      </c>
      <c r="J51" s="8" t="s">
        <v>112</v>
      </c>
      <c r="K51" s="8" t="s">
        <v>112</v>
      </c>
      <c r="L51" s="8" t="s">
        <v>112</v>
      </c>
      <c r="M51" s="122"/>
      <c r="N51" s="119"/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8" t="s">
        <v>112</v>
      </c>
      <c r="U51" s="119"/>
      <c r="V51" s="8" t="s">
        <v>112</v>
      </c>
      <c r="W51" s="8" t="s">
        <v>112</v>
      </c>
      <c r="X51" s="8" t="s">
        <v>111</v>
      </c>
      <c r="Y51" s="8" t="s">
        <v>112</v>
      </c>
      <c r="Z51" s="8" t="s">
        <v>112</v>
      </c>
      <c r="AA51" s="8" t="s">
        <v>112</v>
      </c>
      <c r="AB51" s="119"/>
      <c r="AC51" s="8" t="s">
        <v>111</v>
      </c>
      <c r="AD51" s="8" t="s">
        <v>112</v>
      </c>
      <c r="AE51" s="26" t="s">
        <v>112</v>
      </c>
      <c r="AF51" s="8" t="s">
        <v>112</v>
      </c>
      <c r="AG51" s="26" t="s">
        <v>112</v>
      </c>
      <c r="AH51" s="8" t="s">
        <v>112</v>
      </c>
      <c r="AI51" s="5">
        <f t="shared" si="1"/>
        <v>23</v>
      </c>
      <c r="AJ51" s="5">
        <f t="shared" si="2"/>
        <v>2</v>
      </c>
    </row>
    <row r="52" spans="1:36" ht="16.5" x14ac:dyDescent="0.25">
      <c r="A52" s="9">
        <v>27</v>
      </c>
      <c r="B52" s="27" t="s">
        <v>542</v>
      </c>
      <c r="C52" s="27" t="s">
        <v>443</v>
      </c>
      <c r="D52" s="8" t="s">
        <v>470</v>
      </c>
      <c r="E52" s="8" t="s">
        <v>471</v>
      </c>
      <c r="F52" s="8" t="s">
        <v>471</v>
      </c>
      <c r="G52" s="119"/>
      <c r="H52" s="8" t="s">
        <v>111</v>
      </c>
      <c r="I52" s="8" t="s">
        <v>112</v>
      </c>
      <c r="J52" s="8" t="s">
        <v>112</v>
      </c>
      <c r="K52" s="8" t="s">
        <v>112</v>
      </c>
      <c r="L52" s="8" t="s">
        <v>112</v>
      </c>
      <c r="M52" s="122"/>
      <c r="N52" s="119"/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112</v>
      </c>
      <c r="T52" s="8" t="s">
        <v>112</v>
      </c>
      <c r="U52" s="119"/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111</v>
      </c>
      <c r="AA52" s="8" t="s">
        <v>112</v>
      </c>
      <c r="AB52" s="119"/>
      <c r="AC52" s="8" t="s">
        <v>112</v>
      </c>
      <c r="AD52" s="8" t="s">
        <v>112</v>
      </c>
      <c r="AE52" s="26" t="s">
        <v>112</v>
      </c>
      <c r="AF52" s="8" t="s">
        <v>112</v>
      </c>
      <c r="AG52" s="26" t="s">
        <v>112</v>
      </c>
      <c r="AH52" s="8" t="s">
        <v>112</v>
      </c>
      <c r="AI52" s="5">
        <f t="shared" si="1"/>
        <v>23</v>
      </c>
      <c r="AJ52" s="5">
        <f t="shared" si="2"/>
        <v>2</v>
      </c>
    </row>
    <row r="53" spans="1:36" ht="16.5" x14ac:dyDescent="0.25">
      <c r="A53" s="21">
        <v>28</v>
      </c>
      <c r="B53" s="27" t="s">
        <v>542</v>
      </c>
      <c r="C53" s="27" t="s">
        <v>50</v>
      </c>
      <c r="D53" s="8" t="s">
        <v>470</v>
      </c>
      <c r="E53" s="8" t="s">
        <v>471</v>
      </c>
      <c r="F53" s="8" t="s">
        <v>471</v>
      </c>
      <c r="G53" s="119"/>
      <c r="H53" s="8" t="s">
        <v>111</v>
      </c>
      <c r="I53" s="8" t="s">
        <v>112</v>
      </c>
      <c r="J53" s="8" t="s">
        <v>111</v>
      </c>
      <c r="K53" s="8" t="s">
        <v>111</v>
      </c>
      <c r="L53" s="8" t="s">
        <v>112</v>
      </c>
      <c r="M53" s="122"/>
      <c r="N53" s="119"/>
      <c r="O53" s="8" t="s">
        <v>112</v>
      </c>
      <c r="P53" s="8" t="s">
        <v>112</v>
      </c>
      <c r="Q53" s="8" t="s">
        <v>112</v>
      </c>
      <c r="R53" s="8" t="s">
        <v>112</v>
      </c>
      <c r="S53" s="8" t="s">
        <v>112</v>
      </c>
      <c r="T53" s="8" t="s">
        <v>112</v>
      </c>
      <c r="U53" s="119"/>
      <c r="V53" s="8" t="s">
        <v>112</v>
      </c>
      <c r="W53" s="8" t="s">
        <v>112</v>
      </c>
      <c r="X53" s="8" t="s">
        <v>112</v>
      </c>
      <c r="Y53" s="8" t="s">
        <v>112</v>
      </c>
      <c r="Z53" s="8" t="s">
        <v>112</v>
      </c>
      <c r="AA53" s="8" t="s">
        <v>112</v>
      </c>
      <c r="AB53" s="119"/>
      <c r="AC53" s="8" t="s">
        <v>112</v>
      </c>
      <c r="AD53" s="8" t="s">
        <v>112</v>
      </c>
      <c r="AE53" s="26" t="s">
        <v>112</v>
      </c>
      <c r="AF53" s="8" t="s">
        <v>112</v>
      </c>
      <c r="AG53" s="26" t="s">
        <v>112</v>
      </c>
      <c r="AH53" s="8" t="s">
        <v>112</v>
      </c>
      <c r="AI53" s="5">
        <f t="shared" si="1"/>
        <v>22</v>
      </c>
      <c r="AJ53" s="5">
        <f t="shared" si="2"/>
        <v>3</v>
      </c>
    </row>
    <row r="54" spans="1:36" ht="16.5" x14ac:dyDescent="0.25">
      <c r="A54" s="9">
        <v>29</v>
      </c>
      <c r="B54" s="27" t="s">
        <v>543</v>
      </c>
      <c r="C54" s="27" t="s">
        <v>544</v>
      </c>
      <c r="D54" s="8" t="s">
        <v>470</v>
      </c>
      <c r="E54" s="8" t="s">
        <v>471</v>
      </c>
      <c r="F54" s="8" t="s">
        <v>471</v>
      </c>
      <c r="G54" s="119"/>
      <c r="H54" s="8" t="s">
        <v>112</v>
      </c>
      <c r="I54" s="8" t="s">
        <v>112</v>
      </c>
      <c r="J54" s="8" t="s">
        <v>111</v>
      </c>
      <c r="K54" s="8" t="s">
        <v>112</v>
      </c>
      <c r="L54" s="8" t="s">
        <v>112</v>
      </c>
      <c r="M54" s="122"/>
      <c r="N54" s="119"/>
      <c r="O54" s="8" t="s">
        <v>112</v>
      </c>
      <c r="P54" s="8" t="s">
        <v>112</v>
      </c>
      <c r="Q54" s="8" t="s">
        <v>112</v>
      </c>
      <c r="R54" s="8" t="s">
        <v>112</v>
      </c>
      <c r="S54" s="8" t="s">
        <v>112</v>
      </c>
      <c r="T54" s="8" t="s">
        <v>112</v>
      </c>
      <c r="U54" s="119"/>
      <c r="V54" s="8" t="s">
        <v>112</v>
      </c>
      <c r="W54" s="8" t="s">
        <v>112</v>
      </c>
      <c r="X54" s="8" t="s">
        <v>112</v>
      </c>
      <c r="Y54" s="8" t="s">
        <v>112</v>
      </c>
      <c r="Z54" s="8" t="s">
        <v>112</v>
      </c>
      <c r="AA54" s="8" t="s">
        <v>111</v>
      </c>
      <c r="AB54" s="119"/>
      <c r="AC54" s="8" t="s">
        <v>112</v>
      </c>
      <c r="AD54" s="8" t="s">
        <v>112</v>
      </c>
      <c r="AE54" s="26" t="s">
        <v>112</v>
      </c>
      <c r="AF54" s="8" t="s">
        <v>112</v>
      </c>
      <c r="AG54" s="26" t="s">
        <v>112</v>
      </c>
      <c r="AH54" s="8" t="s">
        <v>112</v>
      </c>
      <c r="AI54" s="5">
        <f t="shared" si="1"/>
        <v>23</v>
      </c>
      <c r="AJ54" s="5">
        <f t="shared" si="2"/>
        <v>2</v>
      </c>
    </row>
    <row r="55" spans="1:36" ht="16.5" x14ac:dyDescent="0.25">
      <c r="A55" s="21">
        <v>30</v>
      </c>
      <c r="B55" s="27" t="s">
        <v>545</v>
      </c>
      <c r="C55" s="27" t="s">
        <v>207</v>
      </c>
      <c r="D55" s="8" t="s">
        <v>470</v>
      </c>
      <c r="E55" s="8" t="s">
        <v>471</v>
      </c>
      <c r="F55" s="8" t="s">
        <v>471</v>
      </c>
      <c r="G55" s="119"/>
      <c r="H55" s="8" t="s">
        <v>112</v>
      </c>
      <c r="I55" s="8" t="s">
        <v>112</v>
      </c>
      <c r="J55" s="8" t="s">
        <v>112</v>
      </c>
      <c r="K55" s="8" t="s">
        <v>112</v>
      </c>
      <c r="L55" s="8" t="s">
        <v>112</v>
      </c>
      <c r="M55" s="122"/>
      <c r="N55" s="119"/>
      <c r="O55" s="8" t="s">
        <v>112</v>
      </c>
      <c r="P55" s="8" t="s">
        <v>112</v>
      </c>
      <c r="Q55" s="8" t="s">
        <v>112</v>
      </c>
      <c r="R55" s="8" t="s">
        <v>112</v>
      </c>
      <c r="S55" s="8" t="s">
        <v>112</v>
      </c>
      <c r="T55" s="8" t="s">
        <v>112</v>
      </c>
      <c r="U55" s="119"/>
      <c r="V55" s="8" t="s">
        <v>112</v>
      </c>
      <c r="W55" s="8" t="s">
        <v>112</v>
      </c>
      <c r="X55" s="8" t="s">
        <v>112</v>
      </c>
      <c r="Y55" s="8" t="s">
        <v>112</v>
      </c>
      <c r="Z55" s="8" t="s">
        <v>111</v>
      </c>
      <c r="AA55" s="8" t="s">
        <v>112</v>
      </c>
      <c r="AB55" s="119"/>
      <c r="AC55" s="8" t="s">
        <v>112</v>
      </c>
      <c r="AD55" s="8" t="s">
        <v>112</v>
      </c>
      <c r="AE55" s="26" t="s">
        <v>112</v>
      </c>
      <c r="AF55" s="8" t="s">
        <v>112</v>
      </c>
      <c r="AG55" s="26" t="s">
        <v>112</v>
      </c>
      <c r="AH55" s="8" t="s">
        <v>112</v>
      </c>
      <c r="AI55" s="5">
        <f t="shared" si="1"/>
        <v>24</v>
      </c>
      <c r="AJ55" s="5">
        <f t="shared" si="2"/>
        <v>1</v>
      </c>
    </row>
    <row r="56" spans="1:36" ht="16.5" x14ac:dyDescent="0.25">
      <c r="A56" s="9">
        <v>31</v>
      </c>
      <c r="B56" s="27" t="s">
        <v>546</v>
      </c>
      <c r="C56" s="27" t="s">
        <v>116</v>
      </c>
      <c r="D56" s="8" t="s">
        <v>470</v>
      </c>
      <c r="E56" s="8" t="s">
        <v>471</v>
      </c>
      <c r="F56" s="8" t="s">
        <v>471</v>
      </c>
      <c r="G56" s="119"/>
      <c r="H56" s="8" t="s">
        <v>112</v>
      </c>
      <c r="I56" s="8" t="s">
        <v>112</v>
      </c>
      <c r="J56" s="8" t="s">
        <v>112</v>
      </c>
      <c r="K56" s="8" t="s">
        <v>112</v>
      </c>
      <c r="L56" s="8" t="s">
        <v>112</v>
      </c>
      <c r="M56" s="122"/>
      <c r="N56" s="119"/>
      <c r="O56" s="8" t="s">
        <v>112</v>
      </c>
      <c r="P56" s="8" t="s">
        <v>112</v>
      </c>
      <c r="Q56" s="8" t="s">
        <v>112</v>
      </c>
      <c r="R56" s="8" t="s">
        <v>112</v>
      </c>
      <c r="S56" s="8" t="s">
        <v>112</v>
      </c>
      <c r="T56" s="8" t="s">
        <v>112</v>
      </c>
      <c r="U56" s="119"/>
      <c r="V56" s="8" t="s">
        <v>112</v>
      </c>
      <c r="W56" s="8" t="s">
        <v>112</v>
      </c>
      <c r="X56" s="8" t="s">
        <v>112</v>
      </c>
      <c r="Y56" s="8" t="s">
        <v>112</v>
      </c>
      <c r="Z56" s="8" t="s">
        <v>112</v>
      </c>
      <c r="AA56" s="8" t="s">
        <v>112</v>
      </c>
      <c r="AB56" s="119"/>
      <c r="AC56" s="8" t="s">
        <v>112</v>
      </c>
      <c r="AD56" s="8" t="s">
        <v>112</v>
      </c>
      <c r="AE56" s="26" t="s">
        <v>112</v>
      </c>
      <c r="AF56" s="8" t="s">
        <v>112</v>
      </c>
      <c r="AG56" s="26" t="s">
        <v>112</v>
      </c>
      <c r="AH56" s="8" t="s">
        <v>112</v>
      </c>
      <c r="AI56" s="5">
        <f t="shared" si="1"/>
        <v>25</v>
      </c>
      <c r="AJ56" s="5">
        <f t="shared" si="2"/>
        <v>0</v>
      </c>
    </row>
    <row r="57" spans="1:36" ht="16.5" x14ac:dyDescent="0.25">
      <c r="A57" s="21">
        <v>32</v>
      </c>
      <c r="B57" s="27" t="s">
        <v>547</v>
      </c>
      <c r="C57" s="27" t="s">
        <v>548</v>
      </c>
      <c r="D57" s="8" t="s">
        <v>470</v>
      </c>
      <c r="E57" s="8" t="s">
        <v>471</v>
      </c>
      <c r="F57" s="8" t="s">
        <v>471</v>
      </c>
      <c r="G57" s="119"/>
      <c r="H57" s="8" t="s">
        <v>112</v>
      </c>
      <c r="I57" s="8" t="s">
        <v>112</v>
      </c>
      <c r="J57" s="8" t="s">
        <v>112</v>
      </c>
      <c r="K57" s="8" t="s">
        <v>112</v>
      </c>
      <c r="L57" s="8" t="s">
        <v>112</v>
      </c>
      <c r="M57" s="122"/>
      <c r="N57" s="119"/>
      <c r="O57" s="8" t="s">
        <v>112</v>
      </c>
      <c r="P57" s="8" t="s">
        <v>112</v>
      </c>
      <c r="Q57" s="8" t="s">
        <v>112</v>
      </c>
      <c r="R57" s="8" t="s">
        <v>112</v>
      </c>
      <c r="S57" s="8" t="s">
        <v>112</v>
      </c>
      <c r="T57" s="8" t="s">
        <v>111</v>
      </c>
      <c r="U57" s="119"/>
      <c r="V57" s="8" t="s">
        <v>112</v>
      </c>
      <c r="W57" s="8" t="s">
        <v>112</v>
      </c>
      <c r="X57" s="8" t="s">
        <v>112</v>
      </c>
      <c r="Y57" s="8" t="s">
        <v>112</v>
      </c>
      <c r="Z57" s="8" t="s">
        <v>112</v>
      </c>
      <c r="AA57" s="8" t="s">
        <v>112</v>
      </c>
      <c r="AB57" s="119"/>
      <c r="AC57" s="8" t="s">
        <v>112</v>
      </c>
      <c r="AD57" s="8" t="s">
        <v>112</v>
      </c>
      <c r="AE57" s="26" t="s">
        <v>112</v>
      </c>
      <c r="AF57" s="8" t="s">
        <v>112</v>
      </c>
      <c r="AG57" s="26" t="s">
        <v>112</v>
      </c>
      <c r="AH57" s="8" t="s">
        <v>112</v>
      </c>
      <c r="AI57" s="5">
        <f t="shared" si="1"/>
        <v>24</v>
      </c>
      <c r="AJ57" s="5">
        <f t="shared" si="2"/>
        <v>1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57"/>
    <mergeCell ref="M5:M57"/>
    <mergeCell ref="N5:N57"/>
    <mergeCell ref="U5:U57"/>
    <mergeCell ref="AB5:AB57"/>
    <mergeCell ref="AK11:AN11"/>
    <mergeCell ref="AK19:AN19"/>
  </mergeCells>
  <conditionalFormatting sqref="E5:N5 E6:F57 H6:L57 E4:AH4">
    <cfRule type="expression" dxfId="206" priority="31">
      <formula>IF(E$4=TODAY(),TRUE,FALSE)</formula>
    </cfRule>
  </conditionalFormatting>
  <conditionalFormatting sqref="E5:N5 E6:F57 H6:L57">
    <cfRule type="cellIs" dxfId="205" priority="28" operator="equal">
      <formula>"L"</formula>
    </cfRule>
    <cfRule type="cellIs" dxfId="204" priority="29" operator="equal">
      <formula>"A"</formula>
    </cfRule>
    <cfRule type="cellIs" dxfId="203" priority="30" operator="equal">
      <formula>"P"</formula>
    </cfRule>
  </conditionalFormatting>
  <conditionalFormatting sqref="E3:AH4 E5:N5 E6:F57 H6:L57">
    <cfRule type="expression" dxfId="202" priority="32">
      <formula>E$3="Sun"</formula>
    </cfRule>
  </conditionalFormatting>
  <conditionalFormatting sqref="O5:T57 V5:AA57 AC5:AH57">
    <cfRule type="cellIs" dxfId="201" priority="17" operator="equal">
      <formula>"L"</formula>
    </cfRule>
    <cfRule type="cellIs" dxfId="200" priority="18" operator="equal">
      <formula>"A"</formula>
    </cfRule>
    <cfRule type="cellIs" dxfId="199" priority="19" operator="equal">
      <formula>"P"</formula>
    </cfRule>
    <cfRule type="expression" dxfId="198" priority="20">
      <formula>IF(O$4=TODAY(),TRUE,FALSE)</formula>
    </cfRule>
    <cfRule type="expression" dxfId="197" priority="21">
      <formula>O$3="Sun"</formula>
    </cfRule>
  </conditionalFormatting>
  <conditionalFormatting sqref="U5">
    <cfRule type="cellIs" dxfId="196" priority="12" operator="equal">
      <formula>"L"</formula>
    </cfRule>
    <cfRule type="cellIs" dxfId="195" priority="13" operator="equal">
      <formula>"A"</formula>
    </cfRule>
    <cfRule type="cellIs" dxfId="194" priority="14" operator="equal">
      <formula>"P"</formula>
    </cfRule>
    <cfRule type="expression" dxfId="193" priority="15">
      <formula>IF(U$4=TODAY(),TRUE,FALSE)</formula>
    </cfRule>
    <cfRule type="expression" dxfId="192" priority="16">
      <formula>U$3="Sun"</formula>
    </cfRule>
  </conditionalFormatting>
  <conditionalFormatting sqref="AB5">
    <cfRule type="cellIs" dxfId="191" priority="7" operator="equal">
      <formula>"L"</formula>
    </cfRule>
    <cfRule type="cellIs" dxfId="190" priority="8" operator="equal">
      <formula>"A"</formula>
    </cfRule>
    <cfRule type="cellIs" dxfId="189" priority="9" operator="equal">
      <formula>"P"</formula>
    </cfRule>
    <cfRule type="expression" dxfId="188" priority="10">
      <formula>IF(AB$4=TODAY(),TRUE,FALSE)</formula>
    </cfRule>
    <cfRule type="expression" dxfId="187" priority="11">
      <formula>AB$3="Sun"</formula>
    </cfRule>
  </conditionalFormatting>
  <conditionalFormatting sqref="AI3:AJ3 AI5:AJ57">
    <cfRule type="expression" dxfId="186" priority="33">
      <formula>#REF!="Sun"</formula>
    </cfRule>
  </conditionalFormatting>
  <conditionalFormatting sqref="AK5:AK9">
    <cfRule type="expression" dxfId="185" priority="4">
      <formula>AK$3="Sun"</formula>
    </cfRule>
  </conditionalFormatting>
  <conditionalFormatting sqref="AK12:AK15">
    <cfRule type="expression" dxfId="184" priority="2">
      <formula>AK$3="Sun"</formula>
    </cfRule>
  </conditionalFormatting>
  <conditionalFormatting sqref="AK20:AK23">
    <cfRule type="expression" dxfId="183" priority="1">
      <formula>AK$3="Sun"</formula>
    </cfRule>
  </conditionalFormatting>
  <conditionalFormatting sqref="AK4:AL4">
    <cfRule type="expression" dxfId="182" priority="5">
      <formula>AK$3="Sun"</formula>
    </cfRule>
  </conditionalFormatting>
  <conditionalFormatting sqref="AL12:AN12 AL20:AN20">
    <cfRule type="expression" dxfId="181" priority="6">
      <formula>AL$3="Sun"</formula>
    </cfRule>
  </conditionalFormatting>
  <conditionalFormatting sqref="AN21">
    <cfRule type="expression" dxfId="180" priority="3">
      <formula>AN$3="Sun"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0514-E726-4382-9605-D5F9C899A673}">
  <dimension ref="A1:AN50"/>
  <sheetViews>
    <sheetView topLeftCell="E4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0" ht="17.25" x14ac:dyDescent="0.3">
      <c r="A2" s="114" t="s">
        <v>121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7" t="s">
        <v>0</v>
      </c>
      <c r="B3" s="127" t="s">
        <v>1</v>
      </c>
      <c r="C3" s="127" t="s">
        <v>2</v>
      </c>
      <c r="D3" s="12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0" t="s">
        <v>126</v>
      </c>
      <c r="AL3" s="111"/>
      <c r="AM3" s="3"/>
      <c r="AN3" s="3"/>
    </row>
    <row r="4" spans="1:40" ht="37.5" x14ac:dyDescent="0.25">
      <c r="A4" s="128"/>
      <c r="B4" s="128"/>
      <c r="C4" s="128"/>
      <c r="D4" s="128"/>
      <c r="E4" s="13">
        <v>45597</v>
      </c>
      <c r="F4" s="13">
        <v>45598</v>
      </c>
      <c r="G4" s="13">
        <v>45599</v>
      </c>
      <c r="H4" s="13">
        <v>45600</v>
      </c>
      <c r="I4" s="13">
        <v>45601</v>
      </c>
      <c r="J4" s="13">
        <v>45602</v>
      </c>
      <c r="K4" s="13">
        <v>45603</v>
      </c>
      <c r="L4" s="13">
        <v>45604</v>
      </c>
      <c r="M4" s="13">
        <v>45605</v>
      </c>
      <c r="N4" s="13">
        <v>45606</v>
      </c>
      <c r="O4" s="13">
        <v>45607</v>
      </c>
      <c r="P4" s="13">
        <v>45608</v>
      </c>
      <c r="Q4" s="13">
        <v>45609</v>
      </c>
      <c r="R4" s="13">
        <v>45610</v>
      </c>
      <c r="S4" s="13">
        <v>45611</v>
      </c>
      <c r="T4" s="13">
        <v>45612</v>
      </c>
      <c r="U4" s="13">
        <v>45613</v>
      </c>
      <c r="V4" s="13">
        <v>45614</v>
      </c>
      <c r="W4" s="13">
        <v>45615</v>
      </c>
      <c r="X4" s="13">
        <v>45616</v>
      </c>
      <c r="Y4" s="13">
        <v>45617</v>
      </c>
      <c r="Z4" s="13">
        <v>45618</v>
      </c>
      <c r="AA4" s="13">
        <v>45619</v>
      </c>
      <c r="AB4" s="13">
        <v>45620</v>
      </c>
      <c r="AC4" s="13">
        <v>45621</v>
      </c>
      <c r="AD4" s="13">
        <v>45622</v>
      </c>
      <c r="AE4" s="13">
        <v>45623</v>
      </c>
      <c r="AF4" s="13">
        <v>45624</v>
      </c>
      <c r="AG4" s="13">
        <v>45625</v>
      </c>
      <c r="AH4" s="13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549</v>
      </c>
      <c r="C5" s="25" t="s">
        <v>550</v>
      </c>
      <c r="D5" s="20" t="s">
        <v>551</v>
      </c>
      <c r="E5" s="8" t="s">
        <v>112</v>
      </c>
      <c r="F5" s="8" t="s">
        <v>111</v>
      </c>
      <c r="G5" s="118" t="s">
        <v>552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1" t="s">
        <v>553</v>
      </c>
      <c r="N5" s="118" t="s">
        <v>552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111</v>
      </c>
      <c r="U5" s="118" t="s">
        <v>552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112</v>
      </c>
      <c r="AB5" s="118" t="s">
        <v>552</v>
      </c>
      <c r="AC5" s="8" t="s">
        <v>112</v>
      </c>
      <c r="AD5" s="8" t="s">
        <v>112</v>
      </c>
      <c r="AE5" s="129"/>
      <c r="AF5" s="8" t="s">
        <v>112</v>
      </c>
      <c r="AG5" s="8" t="s">
        <v>112</v>
      </c>
      <c r="AH5" s="8" t="s">
        <v>112</v>
      </c>
      <c r="AI5" s="5">
        <f t="shared" ref="AI5:AI50" si="1">COUNTIF(E5:AH5,"P")</f>
        <v>22</v>
      </c>
      <c r="AJ5" s="5">
        <f t="shared" ref="AJ5:AJ50" si="2">COUNTIF(E5:AH5,"A")</f>
        <v>2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46</v>
      </c>
      <c r="C6" s="25" t="s">
        <v>433</v>
      </c>
      <c r="D6" s="20" t="s">
        <v>551</v>
      </c>
      <c r="E6" s="8" t="s">
        <v>112</v>
      </c>
      <c r="F6" s="8" t="s">
        <v>112</v>
      </c>
      <c r="G6" s="119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122"/>
      <c r="N6" s="119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19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19"/>
      <c r="AC6" s="8" t="s">
        <v>112</v>
      </c>
      <c r="AD6" s="8" t="s">
        <v>112</v>
      </c>
      <c r="AE6" s="130"/>
      <c r="AF6" s="8" t="s">
        <v>112</v>
      </c>
      <c r="AG6" s="8" t="s">
        <v>112</v>
      </c>
      <c r="AH6" s="8" t="s">
        <v>112</v>
      </c>
      <c r="AI6" s="5">
        <f t="shared" si="1"/>
        <v>24</v>
      </c>
      <c r="AJ6" s="5">
        <f t="shared" si="2"/>
        <v>0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554</v>
      </c>
      <c r="C7" s="25" t="s">
        <v>555</v>
      </c>
      <c r="D7" s="20" t="s">
        <v>551</v>
      </c>
      <c r="E7" s="8" t="s">
        <v>112</v>
      </c>
      <c r="F7" s="8" t="s">
        <v>111</v>
      </c>
      <c r="G7" s="119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2"/>
      <c r="N7" s="119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111</v>
      </c>
      <c r="U7" s="119"/>
      <c r="V7" s="8" t="s">
        <v>111</v>
      </c>
      <c r="W7" s="8" t="s">
        <v>111</v>
      </c>
      <c r="X7" s="8" t="s">
        <v>112</v>
      </c>
      <c r="Y7" s="8" t="s">
        <v>112</v>
      </c>
      <c r="Z7" s="8" t="s">
        <v>112</v>
      </c>
      <c r="AA7" s="8" t="s">
        <v>112</v>
      </c>
      <c r="AB7" s="119"/>
      <c r="AC7" s="8" t="s">
        <v>112</v>
      </c>
      <c r="AD7" s="8" t="s">
        <v>111</v>
      </c>
      <c r="AE7" s="130"/>
      <c r="AF7" s="8" t="s">
        <v>112</v>
      </c>
      <c r="AG7" s="8" t="s">
        <v>112</v>
      </c>
      <c r="AH7" s="8" t="s">
        <v>112</v>
      </c>
      <c r="AI7" s="5">
        <f t="shared" si="1"/>
        <v>19</v>
      </c>
      <c r="AJ7" s="5">
        <f t="shared" si="2"/>
        <v>5</v>
      </c>
      <c r="AK7" s="5" t="s">
        <v>129</v>
      </c>
      <c r="AL7" s="9">
        <v>1</v>
      </c>
      <c r="AM7" s="3"/>
      <c r="AN7" s="3"/>
    </row>
    <row r="8" spans="1:40" x14ac:dyDescent="0.25">
      <c r="A8" s="9">
        <v>4</v>
      </c>
      <c r="B8" s="24" t="s">
        <v>556</v>
      </c>
      <c r="C8" s="25" t="s">
        <v>148</v>
      </c>
      <c r="D8" s="20" t="s">
        <v>551</v>
      </c>
      <c r="E8" s="8" t="s">
        <v>112</v>
      </c>
      <c r="F8" s="8" t="s">
        <v>111</v>
      </c>
      <c r="G8" s="119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111</v>
      </c>
      <c r="M8" s="122"/>
      <c r="N8" s="119"/>
      <c r="O8" s="8" t="s">
        <v>112</v>
      </c>
      <c r="P8" s="8" t="s">
        <v>112</v>
      </c>
      <c r="Q8" s="8" t="s">
        <v>111</v>
      </c>
      <c r="R8" s="8" t="s">
        <v>111</v>
      </c>
      <c r="S8" s="8" t="s">
        <v>111</v>
      </c>
      <c r="T8" s="8" t="s">
        <v>111</v>
      </c>
      <c r="U8" s="119"/>
      <c r="V8" s="8" t="s">
        <v>111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19"/>
      <c r="AC8" s="8" t="s">
        <v>112</v>
      </c>
      <c r="AD8" s="8" t="s">
        <v>112</v>
      </c>
      <c r="AE8" s="130"/>
      <c r="AF8" s="8" t="s">
        <v>112</v>
      </c>
      <c r="AG8" s="8" t="s">
        <v>112</v>
      </c>
      <c r="AH8" s="8" t="s">
        <v>112</v>
      </c>
      <c r="AI8" s="5">
        <f t="shared" si="1"/>
        <v>17</v>
      </c>
      <c r="AJ8" s="5">
        <f t="shared" si="2"/>
        <v>7</v>
      </c>
      <c r="AK8" s="5"/>
      <c r="AL8" s="9"/>
      <c r="AM8"/>
      <c r="AN8"/>
    </row>
    <row r="9" spans="1:40" x14ac:dyDescent="0.25">
      <c r="A9" s="21">
        <v>5</v>
      </c>
      <c r="B9" s="24" t="s">
        <v>557</v>
      </c>
      <c r="C9" s="25" t="s">
        <v>89</v>
      </c>
      <c r="D9" s="20" t="s">
        <v>551</v>
      </c>
      <c r="E9" s="8" t="s">
        <v>112</v>
      </c>
      <c r="F9" s="8" t="s">
        <v>111</v>
      </c>
      <c r="G9" s="119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122"/>
      <c r="N9" s="119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119"/>
      <c r="V9" s="8" t="s">
        <v>112</v>
      </c>
      <c r="W9" s="8" t="s">
        <v>112</v>
      </c>
      <c r="X9" s="8" t="s">
        <v>111</v>
      </c>
      <c r="Y9" s="8" t="s">
        <v>112</v>
      </c>
      <c r="Z9" s="8" t="s">
        <v>111</v>
      </c>
      <c r="AA9" s="8" t="s">
        <v>111</v>
      </c>
      <c r="AB9" s="119"/>
      <c r="AC9" s="8" t="s">
        <v>112</v>
      </c>
      <c r="AD9" s="8" t="s">
        <v>112</v>
      </c>
      <c r="AE9" s="130"/>
      <c r="AF9" s="8" t="s">
        <v>112</v>
      </c>
      <c r="AG9" s="8" t="s">
        <v>111</v>
      </c>
      <c r="AH9" s="8" t="s">
        <v>112</v>
      </c>
      <c r="AI9" s="5">
        <f t="shared" si="1"/>
        <v>16</v>
      </c>
      <c r="AJ9" s="5">
        <f t="shared" si="2"/>
        <v>8</v>
      </c>
      <c r="AK9" s="5"/>
      <c r="AL9" s="9"/>
    </row>
    <row r="10" spans="1:40" x14ac:dyDescent="0.25">
      <c r="A10" s="9">
        <v>6</v>
      </c>
      <c r="B10" s="24" t="s">
        <v>558</v>
      </c>
      <c r="C10" s="25" t="s">
        <v>559</v>
      </c>
      <c r="D10" s="20" t="s">
        <v>551</v>
      </c>
      <c r="E10" s="8" t="s">
        <v>112</v>
      </c>
      <c r="F10" s="8" t="s">
        <v>112</v>
      </c>
      <c r="G10" s="119"/>
      <c r="H10" s="8" t="s">
        <v>112</v>
      </c>
      <c r="I10" s="8" t="s">
        <v>111</v>
      </c>
      <c r="J10" s="8" t="s">
        <v>112</v>
      </c>
      <c r="K10" s="8" t="s">
        <v>112</v>
      </c>
      <c r="L10" s="8" t="s">
        <v>112</v>
      </c>
      <c r="M10" s="122"/>
      <c r="N10" s="119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112</v>
      </c>
      <c r="T10" s="8" t="s">
        <v>112</v>
      </c>
      <c r="U10" s="119"/>
      <c r="V10" s="8" t="s">
        <v>112</v>
      </c>
      <c r="W10" s="8" t="s">
        <v>112</v>
      </c>
      <c r="X10" s="8" t="s">
        <v>111</v>
      </c>
      <c r="Y10" s="8" t="s">
        <v>112</v>
      </c>
      <c r="Z10" s="8" t="s">
        <v>112</v>
      </c>
      <c r="AA10" s="8" t="s">
        <v>112</v>
      </c>
      <c r="AB10" s="119"/>
      <c r="AC10" s="8" t="s">
        <v>112</v>
      </c>
      <c r="AD10" s="8" t="s">
        <v>112</v>
      </c>
      <c r="AE10" s="130"/>
      <c r="AF10" s="8" t="s">
        <v>112</v>
      </c>
      <c r="AG10" s="8" t="s">
        <v>111</v>
      </c>
      <c r="AH10" s="8" t="s">
        <v>112</v>
      </c>
      <c r="AI10" s="5">
        <f t="shared" si="1"/>
        <v>20</v>
      </c>
      <c r="AJ10" s="5">
        <f t="shared" si="2"/>
        <v>4</v>
      </c>
    </row>
    <row r="11" spans="1:40" ht="15.75" x14ac:dyDescent="0.25">
      <c r="A11" s="21">
        <v>7</v>
      </c>
      <c r="B11" s="24" t="s">
        <v>560</v>
      </c>
      <c r="C11" s="25" t="s">
        <v>50</v>
      </c>
      <c r="D11" s="20" t="s">
        <v>551</v>
      </c>
      <c r="E11" s="8" t="s">
        <v>111</v>
      </c>
      <c r="F11" s="8" t="s">
        <v>111</v>
      </c>
      <c r="G11" s="119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2"/>
      <c r="N11" s="119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111</v>
      </c>
      <c r="U11" s="119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19"/>
      <c r="AC11" s="8" t="s">
        <v>112</v>
      </c>
      <c r="AD11" s="8" t="s">
        <v>112</v>
      </c>
      <c r="AE11" s="130"/>
      <c r="AF11" s="8" t="s">
        <v>112</v>
      </c>
      <c r="AG11" s="8" t="s">
        <v>111</v>
      </c>
      <c r="AH11" s="8" t="s">
        <v>112</v>
      </c>
      <c r="AI11" s="5">
        <f t="shared" si="1"/>
        <v>20</v>
      </c>
      <c r="AJ11" s="5">
        <f t="shared" si="2"/>
        <v>4</v>
      </c>
      <c r="AK11" s="110" t="s">
        <v>9</v>
      </c>
      <c r="AL11" s="111"/>
      <c r="AM11" s="111"/>
      <c r="AN11" s="112"/>
    </row>
    <row r="12" spans="1:40" x14ac:dyDescent="0.25">
      <c r="A12" s="9">
        <v>8</v>
      </c>
      <c r="B12" s="24" t="s">
        <v>561</v>
      </c>
      <c r="C12" s="25" t="s">
        <v>516</v>
      </c>
      <c r="D12" s="20" t="s">
        <v>551</v>
      </c>
      <c r="E12" s="8" t="s">
        <v>112</v>
      </c>
      <c r="F12" s="8" t="s">
        <v>112</v>
      </c>
      <c r="G12" s="119"/>
      <c r="H12" s="8" t="s">
        <v>112</v>
      </c>
      <c r="I12" s="8" t="s">
        <v>112</v>
      </c>
      <c r="J12" s="8" t="s">
        <v>112</v>
      </c>
      <c r="K12" s="8" t="s">
        <v>111</v>
      </c>
      <c r="L12" s="8" t="s">
        <v>112</v>
      </c>
      <c r="M12" s="122"/>
      <c r="N12" s="119"/>
      <c r="O12" s="8" t="s">
        <v>112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111</v>
      </c>
      <c r="U12" s="119"/>
      <c r="V12" s="8" t="s">
        <v>112</v>
      </c>
      <c r="W12" s="8" t="s">
        <v>111</v>
      </c>
      <c r="X12" s="8" t="s">
        <v>112</v>
      </c>
      <c r="Y12" s="8" t="s">
        <v>112</v>
      </c>
      <c r="Z12" s="8" t="s">
        <v>112</v>
      </c>
      <c r="AA12" s="8" t="s">
        <v>112</v>
      </c>
      <c r="AB12" s="119"/>
      <c r="AC12" s="8" t="s">
        <v>112</v>
      </c>
      <c r="AD12" s="8" t="s">
        <v>112</v>
      </c>
      <c r="AE12" s="130"/>
      <c r="AF12" s="8" t="s">
        <v>112</v>
      </c>
      <c r="AG12" s="8" t="s">
        <v>111</v>
      </c>
      <c r="AH12" s="8" t="s">
        <v>112</v>
      </c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562</v>
      </c>
      <c r="C13" s="25" t="s">
        <v>563</v>
      </c>
      <c r="D13" s="20" t="s">
        <v>551</v>
      </c>
      <c r="E13" s="8" t="s">
        <v>112</v>
      </c>
      <c r="F13" s="8" t="s">
        <v>112</v>
      </c>
      <c r="G13" s="119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2"/>
      <c r="N13" s="119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19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19"/>
      <c r="AC13" s="8" t="s">
        <v>112</v>
      </c>
      <c r="AD13" s="8" t="s">
        <v>112</v>
      </c>
      <c r="AE13" s="130"/>
      <c r="AF13" s="8" t="s">
        <v>112</v>
      </c>
      <c r="AG13" s="8" t="s">
        <v>111</v>
      </c>
      <c r="AH13" s="8" t="s">
        <v>112</v>
      </c>
      <c r="AI13" s="5">
        <f t="shared" si="1"/>
        <v>23</v>
      </c>
      <c r="AJ13" s="5">
        <f t="shared" si="2"/>
        <v>1</v>
      </c>
      <c r="AK13" s="5" t="s">
        <v>14</v>
      </c>
      <c r="AL13" s="9">
        <f>23*$AL$5</f>
        <v>575</v>
      </c>
      <c r="AM13" s="9">
        <f>23*$AL$5</f>
        <v>575</v>
      </c>
      <c r="AN13" s="9">
        <f>SUM(AL13:AM13)</f>
        <v>1150</v>
      </c>
    </row>
    <row r="14" spans="1:40" x14ac:dyDescent="0.25">
      <c r="A14" s="9">
        <v>10</v>
      </c>
      <c r="B14" s="24" t="s">
        <v>564</v>
      </c>
      <c r="C14" s="25" t="s">
        <v>565</v>
      </c>
      <c r="D14" s="20" t="s">
        <v>551</v>
      </c>
      <c r="E14" s="8" t="s">
        <v>112</v>
      </c>
      <c r="F14" s="8" t="s">
        <v>112</v>
      </c>
      <c r="G14" s="119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2"/>
      <c r="N14" s="119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119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19"/>
      <c r="AC14" s="8" t="s">
        <v>112</v>
      </c>
      <c r="AD14" s="8" t="s">
        <v>112</v>
      </c>
      <c r="AE14" s="130"/>
      <c r="AF14" s="8" t="s">
        <v>112</v>
      </c>
      <c r="AG14" s="8" t="s">
        <v>111</v>
      </c>
      <c r="AH14" s="8" t="s">
        <v>112</v>
      </c>
      <c r="AI14" s="5">
        <f t="shared" si="1"/>
        <v>23</v>
      </c>
      <c r="AJ14" s="5">
        <f t="shared" si="2"/>
        <v>1</v>
      </c>
      <c r="AK14" s="5" t="s">
        <v>15</v>
      </c>
      <c r="AL14" s="9">
        <f>SUM(AI5:AI27)</f>
        <v>487</v>
      </c>
      <c r="AM14" s="9">
        <f>SUM(AI28:AI50)</f>
        <v>446</v>
      </c>
      <c r="AN14" s="9">
        <f>AL14+AM14</f>
        <v>933</v>
      </c>
    </row>
    <row r="15" spans="1:40" x14ac:dyDescent="0.25">
      <c r="A15" s="21">
        <v>11</v>
      </c>
      <c r="B15" s="24" t="s">
        <v>566</v>
      </c>
      <c r="C15" s="25" t="s">
        <v>142</v>
      </c>
      <c r="D15" s="20" t="s">
        <v>551</v>
      </c>
      <c r="E15" s="8" t="s">
        <v>112</v>
      </c>
      <c r="F15" s="8" t="s">
        <v>112</v>
      </c>
      <c r="G15" s="119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2"/>
      <c r="N15" s="119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19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19"/>
      <c r="AC15" s="8" t="s">
        <v>112</v>
      </c>
      <c r="AD15" s="8" t="s">
        <v>112</v>
      </c>
      <c r="AE15" s="130"/>
      <c r="AF15" s="8" t="s">
        <v>112</v>
      </c>
      <c r="AG15" s="8" t="s">
        <v>111</v>
      </c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2">
        <f>AL14/AL13</f>
        <v>0.84695652173913039</v>
      </c>
      <c r="AM15" s="12">
        <f>AM14/AM13</f>
        <v>0.77565217391304353</v>
      </c>
      <c r="AN15" s="12">
        <f>AN14/AN13</f>
        <v>0.81130434782608696</v>
      </c>
    </row>
    <row r="16" spans="1:40" x14ac:dyDescent="0.25">
      <c r="A16" s="9">
        <v>12</v>
      </c>
      <c r="B16" s="24" t="s">
        <v>384</v>
      </c>
      <c r="C16" s="25" t="s">
        <v>567</v>
      </c>
      <c r="D16" s="20" t="s">
        <v>551</v>
      </c>
      <c r="E16" s="8" t="s">
        <v>112</v>
      </c>
      <c r="F16" s="8" t="s">
        <v>111</v>
      </c>
      <c r="G16" s="119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22"/>
      <c r="N16" s="119"/>
      <c r="O16" s="8" t="s">
        <v>111</v>
      </c>
      <c r="P16" s="8" t="s">
        <v>112</v>
      </c>
      <c r="Q16" s="8" t="s">
        <v>111</v>
      </c>
      <c r="R16" s="8" t="s">
        <v>112</v>
      </c>
      <c r="S16" s="8" t="s">
        <v>112</v>
      </c>
      <c r="T16" s="8" t="s">
        <v>112</v>
      </c>
      <c r="U16" s="119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19"/>
      <c r="AC16" s="8" t="s">
        <v>112</v>
      </c>
      <c r="AD16" s="8" t="s">
        <v>112</v>
      </c>
      <c r="AE16" s="130"/>
      <c r="AF16" s="8" t="s">
        <v>112</v>
      </c>
      <c r="AG16" s="8" t="s">
        <v>111</v>
      </c>
      <c r="AH16" s="8" t="s">
        <v>112</v>
      </c>
      <c r="AI16" s="5">
        <f t="shared" si="1"/>
        <v>20</v>
      </c>
      <c r="AJ16" s="5">
        <f t="shared" si="2"/>
        <v>4</v>
      </c>
      <c r="AK16"/>
      <c r="AL16"/>
      <c r="AM16"/>
      <c r="AN16"/>
    </row>
    <row r="17" spans="1:40" x14ac:dyDescent="0.25">
      <c r="A17" s="21">
        <v>13</v>
      </c>
      <c r="B17" s="24" t="s">
        <v>568</v>
      </c>
      <c r="C17" s="25" t="s">
        <v>569</v>
      </c>
      <c r="D17" s="20" t="s">
        <v>551</v>
      </c>
      <c r="E17" s="8" t="s">
        <v>112</v>
      </c>
      <c r="F17" s="8" t="s">
        <v>112</v>
      </c>
      <c r="G17" s="119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2"/>
      <c r="N17" s="119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19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19"/>
      <c r="AC17" s="8" t="s">
        <v>112</v>
      </c>
      <c r="AD17" s="8" t="s">
        <v>112</v>
      </c>
      <c r="AE17" s="130"/>
      <c r="AF17" s="8" t="s">
        <v>112</v>
      </c>
      <c r="AG17" s="8" t="s">
        <v>111</v>
      </c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9">
        <v>14</v>
      </c>
      <c r="B18" s="24" t="s">
        <v>570</v>
      </c>
      <c r="C18" s="25" t="s">
        <v>571</v>
      </c>
      <c r="D18" s="20" t="s">
        <v>551</v>
      </c>
      <c r="E18" s="8" t="s">
        <v>112</v>
      </c>
      <c r="F18" s="8" t="s">
        <v>112</v>
      </c>
      <c r="G18" s="119"/>
      <c r="H18" s="8" t="s">
        <v>112</v>
      </c>
      <c r="I18" s="8" t="s">
        <v>112</v>
      </c>
      <c r="J18" s="8" t="s">
        <v>111</v>
      </c>
      <c r="K18" s="8" t="s">
        <v>112</v>
      </c>
      <c r="L18" s="8" t="s">
        <v>112</v>
      </c>
      <c r="M18" s="122"/>
      <c r="N18" s="119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111</v>
      </c>
      <c r="T18" s="8" t="s">
        <v>111</v>
      </c>
      <c r="U18" s="119"/>
      <c r="V18" s="8" t="s">
        <v>111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19"/>
      <c r="AC18" s="8" t="s">
        <v>112</v>
      </c>
      <c r="AD18" s="8" t="s">
        <v>112</v>
      </c>
      <c r="AE18" s="130"/>
      <c r="AF18" s="8" t="s">
        <v>112</v>
      </c>
      <c r="AG18" s="8" t="s">
        <v>111</v>
      </c>
      <c r="AH18" s="8" t="s">
        <v>112</v>
      </c>
      <c r="AI18" s="5">
        <f t="shared" si="1"/>
        <v>19</v>
      </c>
      <c r="AJ18" s="5">
        <f t="shared" si="2"/>
        <v>5</v>
      </c>
      <c r="AK18"/>
      <c r="AL18"/>
      <c r="AM18"/>
      <c r="AN18"/>
    </row>
    <row r="19" spans="1:40" ht="15.75" x14ac:dyDescent="0.25">
      <c r="A19" s="21">
        <v>15</v>
      </c>
      <c r="B19" s="24" t="s">
        <v>84</v>
      </c>
      <c r="C19" s="25" t="s">
        <v>572</v>
      </c>
      <c r="D19" s="20" t="s">
        <v>551</v>
      </c>
      <c r="E19" s="8" t="s">
        <v>112</v>
      </c>
      <c r="F19" s="8" t="s">
        <v>111</v>
      </c>
      <c r="G19" s="119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2"/>
      <c r="N19" s="119"/>
      <c r="O19" s="8" t="s">
        <v>112</v>
      </c>
      <c r="P19" s="8" t="s">
        <v>112</v>
      </c>
      <c r="Q19" s="8" t="s">
        <v>112</v>
      </c>
      <c r="R19" s="8" t="s">
        <v>111</v>
      </c>
      <c r="S19" s="8" t="s">
        <v>112</v>
      </c>
      <c r="T19" s="8" t="s">
        <v>112</v>
      </c>
      <c r="U19" s="119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119"/>
      <c r="AC19" s="8" t="s">
        <v>112</v>
      </c>
      <c r="AD19" s="8" t="s">
        <v>112</v>
      </c>
      <c r="AE19" s="130"/>
      <c r="AF19" s="8" t="s">
        <v>112</v>
      </c>
      <c r="AG19" s="8" t="s">
        <v>111</v>
      </c>
      <c r="AH19" s="8" t="s">
        <v>112</v>
      </c>
      <c r="AI19" s="5">
        <f t="shared" si="1"/>
        <v>21</v>
      </c>
      <c r="AJ19" s="5">
        <f t="shared" si="2"/>
        <v>3</v>
      </c>
      <c r="AK19" s="110" t="s">
        <v>128</v>
      </c>
      <c r="AL19" s="111"/>
      <c r="AM19" s="111"/>
      <c r="AN19" s="112"/>
    </row>
    <row r="20" spans="1:40" x14ac:dyDescent="0.25">
      <c r="A20" s="9">
        <v>16</v>
      </c>
      <c r="B20" s="24" t="s">
        <v>573</v>
      </c>
      <c r="C20" s="25" t="s">
        <v>574</v>
      </c>
      <c r="D20" s="20" t="s">
        <v>551</v>
      </c>
      <c r="E20" s="8" t="s">
        <v>112</v>
      </c>
      <c r="F20" s="8" t="s">
        <v>112</v>
      </c>
      <c r="G20" s="119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22"/>
      <c r="N20" s="119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19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19"/>
      <c r="AC20" s="8" t="s">
        <v>112</v>
      </c>
      <c r="AD20" s="8" t="s">
        <v>112</v>
      </c>
      <c r="AE20" s="130"/>
      <c r="AF20" s="8" t="s">
        <v>112</v>
      </c>
      <c r="AG20" s="8" t="s">
        <v>111</v>
      </c>
      <c r="AH20" s="8" t="s">
        <v>112</v>
      </c>
      <c r="AI20" s="5">
        <f t="shared" si="1"/>
        <v>23</v>
      </c>
      <c r="AJ20" s="5">
        <f t="shared" si="2"/>
        <v>1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575</v>
      </c>
      <c r="C21" s="25" t="s">
        <v>22</v>
      </c>
      <c r="D21" s="20" t="s">
        <v>551</v>
      </c>
      <c r="E21" s="8" t="s">
        <v>112</v>
      </c>
      <c r="F21" s="8" t="s">
        <v>112</v>
      </c>
      <c r="G21" s="119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22"/>
      <c r="N21" s="119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19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19"/>
      <c r="AC21" s="8" t="s">
        <v>112</v>
      </c>
      <c r="AD21" s="8" t="s">
        <v>112</v>
      </c>
      <c r="AE21" s="130"/>
      <c r="AF21" s="8" t="s">
        <v>112</v>
      </c>
      <c r="AG21" s="8" t="s">
        <v>111</v>
      </c>
      <c r="AH21" s="8" t="s">
        <v>112</v>
      </c>
      <c r="AI21" s="5">
        <f t="shared" si="1"/>
        <v>23</v>
      </c>
      <c r="AJ21" s="5">
        <f t="shared" si="2"/>
        <v>1</v>
      </c>
      <c r="AK21" s="5" t="s">
        <v>14</v>
      </c>
      <c r="AL21" s="9">
        <f>23*$AL$5</f>
        <v>575</v>
      </c>
      <c r="AM21" s="9">
        <f>23*$AL$5</f>
        <v>575</v>
      </c>
      <c r="AN21" s="9">
        <f>AL21+AM21</f>
        <v>1150</v>
      </c>
    </row>
    <row r="22" spans="1:40" x14ac:dyDescent="0.25">
      <c r="A22" s="9">
        <v>18</v>
      </c>
      <c r="B22" s="24" t="s">
        <v>576</v>
      </c>
      <c r="C22" s="25" t="s">
        <v>577</v>
      </c>
      <c r="D22" s="20" t="s">
        <v>551</v>
      </c>
      <c r="E22" s="8" t="s">
        <v>112</v>
      </c>
      <c r="F22" s="8" t="s">
        <v>112</v>
      </c>
      <c r="G22" s="119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2"/>
      <c r="N22" s="119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19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19"/>
      <c r="AC22" s="8" t="s">
        <v>112</v>
      </c>
      <c r="AD22" s="8" t="s">
        <v>112</v>
      </c>
      <c r="AE22" s="130"/>
      <c r="AF22" s="8" t="s">
        <v>112</v>
      </c>
      <c r="AG22" s="8" t="s">
        <v>111</v>
      </c>
      <c r="AH22" s="8" t="s">
        <v>112</v>
      </c>
      <c r="AI22" s="5">
        <f t="shared" si="1"/>
        <v>23</v>
      </c>
      <c r="AJ22" s="5">
        <f t="shared" si="2"/>
        <v>1</v>
      </c>
      <c r="AK22" s="5" t="s">
        <v>17</v>
      </c>
      <c r="AL22" s="9">
        <f>AL21-AL14</f>
        <v>88</v>
      </c>
      <c r="AM22" s="9">
        <f>AM21-AM14</f>
        <v>129</v>
      </c>
      <c r="AN22" s="9">
        <f>AL22+AM22</f>
        <v>217</v>
      </c>
    </row>
    <row r="23" spans="1:40" x14ac:dyDescent="0.25">
      <c r="A23" s="21">
        <v>19</v>
      </c>
      <c r="B23" s="27" t="s">
        <v>578</v>
      </c>
      <c r="C23" s="27" t="s">
        <v>96</v>
      </c>
      <c r="D23" s="20" t="s">
        <v>551</v>
      </c>
      <c r="E23" s="8" t="s">
        <v>112</v>
      </c>
      <c r="F23" s="8" t="s">
        <v>112</v>
      </c>
      <c r="G23" s="119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122"/>
      <c r="N23" s="119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19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19"/>
      <c r="AC23" s="8" t="s">
        <v>112</v>
      </c>
      <c r="AD23" s="8" t="s">
        <v>112</v>
      </c>
      <c r="AE23" s="130"/>
      <c r="AF23" s="8" t="s">
        <v>112</v>
      </c>
      <c r="AG23" s="8" t="s">
        <v>111</v>
      </c>
      <c r="AH23" s="8" t="s">
        <v>112</v>
      </c>
      <c r="AI23" s="5">
        <f t="shared" si="1"/>
        <v>23</v>
      </c>
      <c r="AJ23" s="5">
        <f t="shared" si="2"/>
        <v>1</v>
      </c>
      <c r="AK23" s="5" t="s">
        <v>16</v>
      </c>
      <c r="AL23" s="12">
        <f>AL22/AL21</f>
        <v>0.15304347826086956</v>
      </c>
      <c r="AM23" s="12">
        <f>AM22/AM21</f>
        <v>0.22434782608695653</v>
      </c>
      <c r="AN23" s="12">
        <f>AN22/AN21</f>
        <v>0.18869565217391304</v>
      </c>
    </row>
    <row r="24" spans="1:40" x14ac:dyDescent="0.25">
      <c r="A24" s="9">
        <v>20</v>
      </c>
      <c r="B24" s="27" t="s">
        <v>579</v>
      </c>
      <c r="C24" s="27" t="s">
        <v>580</v>
      </c>
      <c r="D24" s="20" t="s">
        <v>551</v>
      </c>
      <c r="E24" s="8" t="s">
        <v>112</v>
      </c>
      <c r="F24" s="8" t="s">
        <v>112</v>
      </c>
      <c r="G24" s="119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2"/>
      <c r="N24" s="119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19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19"/>
      <c r="AC24" s="8" t="s">
        <v>112</v>
      </c>
      <c r="AD24" s="8" t="s">
        <v>112</v>
      </c>
      <c r="AE24" s="130"/>
      <c r="AF24" s="8" t="s">
        <v>112</v>
      </c>
      <c r="AG24" s="8" t="s">
        <v>111</v>
      </c>
      <c r="AH24" s="8" t="s">
        <v>112</v>
      </c>
      <c r="AI24" s="5">
        <f t="shared" si="1"/>
        <v>23</v>
      </c>
      <c r="AJ24" s="5">
        <f t="shared" si="2"/>
        <v>1</v>
      </c>
    </row>
    <row r="25" spans="1:40" x14ac:dyDescent="0.25">
      <c r="A25" s="21">
        <v>21</v>
      </c>
      <c r="B25" s="27" t="s">
        <v>581</v>
      </c>
      <c r="C25" s="27" t="s">
        <v>118</v>
      </c>
      <c r="D25" s="20" t="s">
        <v>551</v>
      </c>
      <c r="E25" s="8" t="s">
        <v>112</v>
      </c>
      <c r="F25" s="8" t="s">
        <v>112</v>
      </c>
      <c r="G25" s="119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122"/>
      <c r="N25" s="119"/>
      <c r="O25" s="8" t="s">
        <v>112</v>
      </c>
      <c r="P25" s="8" t="s">
        <v>112</v>
      </c>
      <c r="Q25" s="8" t="s">
        <v>112</v>
      </c>
      <c r="R25" s="8" t="s">
        <v>111</v>
      </c>
      <c r="S25" s="8" t="s">
        <v>112</v>
      </c>
      <c r="T25" s="8" t="s">
        <v>111</v>
      </c>
      <c r="U25" s="119"/>
      <c r="V25" s="8" t="s">
        <v>111</v>
      </c>
      <c r="W25" s="8" t="s">
        <v>111</v>
      </c>
      <c r="X25" s="8" t="s">
        <v>112</v>
      </c>
      <c r="Y25" s="8" t="s">
        <v>112</v>
      </c>
      <c r="Z25" s="8" t="s">
        <v>112</v>
      </c>
      <c r="AA25" s="8" t="s">
        <v>112</v>
      </c>
      <c r="AB25" s="119"/>
      <c r="AC25" s="8" t="s">
        <v>112</v>
      </c>
      <c r="AD25" s="8" t="s">
        <v>112</v>
      </c>
      <c r="AE25" s="130"/>
      <c r="AF25" s="8" t="s">
        <v>112</v>
      </c>
      <c r="AG25" s="8" t="s">
        <v>111</v>
      </c>
      <c r="AH25" s="8" t="s">
        <v>112</v>
      </c>
      <c r="AI25" s="5">
        <f t="shared" si="1"/>
        <v>19</v>
      </c>
      <c r="AJ25" s="5">
        <f t="shared" si="2"/>
        <v>5</v>
      </c>
    </row>
    <row r="26" spans="1:40" x14ac:dyDescent="0.25">
      <c r="A26" s="9">
        <v>22</v>
      </c>
      <c r="B26" s="27" t="s">
        <v>582</v>
      </c>
      <c r="C26" s="27" t="s">
        <v>431</v>
      </c>
      <c r="D26" s="20" t="s">
        <v>551</v>
      </c>
      <c r="E26" s="8" t="s">
        <v>112</v>
      </c>
      <c r="F26" s="8" t="s">
        <v>112</v>
      </c>
      <c r="G26" s="119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2"/>
      <c r="N26" s="119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19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19"/>
      <c r="AC26" s="8" t="s">
        <v>111</v>
      </c>
      <c r="AD26" s="8" t="s">
        <v>111</v>
      </c>
      <c r="AE26" s="130"/>
      <c r="AF26" s="8" t="s">
        <v>112</v>
      </c>
      <c r="AG26" s="8" t="s">
        <v>111</v>
      </c>
      <c r="AH26" s="8" t="s">
        <v>112</v>
      </c>
      <c r="AI26" s="5">
        <f t="shared" si="1"/>
        <v>21</v>
      </c>
      <c r="AJ26" s="5">
        <f t="shared" si="2"/>
        <v>3</v>
      </c>
    </row>
    <row r="27" spans="1:40" x14ac:dyDescent="0.25">
      <c r="A27" s="21">
        <v>23</v>
      </c>
      <c r="B27" s="27" t="s">
        <v>583</v>
      </c>
      <c r="C27" s="27" t="s">
        <v>584</v>
      </c>
      <c r="D27" s="20" t="s">
        <v>551</v>
      </c>
      <c r="E27" s="8" t="s">
        <v>112</v>
      </c>
      <c r="F27" s="8" t="s">
        <v>112</v>
      </c>
      <c r="G27" s="119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2"/>
      <c r="N27" s="119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19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19"/>
      <c r="AC27" s="8" t="s">
        <v>112</v>
      </c>
      <c r="AD27" s="8" t="s">
        <v>112</v>
      </c>
      <c r="AE27" s="130"/>
      <c r="AF27" s="8" t="s">
        <v>112</v>
      </c>
      <c r="AG27" s="8" t="s">
        <v>111</v>
      </c>
      <c r="AH27" s="8" t="s">
        <v>112</v>
      </c>
      <c r="AI27" s="5">
        <f t="shared" si="1"/>
        <v>23</v>
      </c>
      <c r="AJ27" s="5">
        <f t="shared" si="2"/>
        <v>1</v>
      </c>
    </row>
    <row r="28" spans="1:40" x14ac:dyDescent="0.25">
      <c r="A28" s="9">
        <v>1</v>
      </c>
      <c r="B28" s="27" t="s">
        <v>585</v>
      </c>
      <c r="C28" s="27" t="s">
        <v>586</v>
      </c>
      <c r="D28" s="20" t="s">
        <v>551</v>
      </c>
      <c r="E28" s="8" t="s">
        <v>112</v>
      </c>
      <c r="F28" s="8" t="s">
        <v>112</v>
      </c>
      <c r="G28" s="119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2"/>
      <c r="N28" s="119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19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119"/>
      <c r="AC28" s="8" t="s">
        <v>112</v>
      </c>
      <c r="AD28" s="8" t="s">
        <v>112</v>
      </c>
      <c r="AE28" s="130"/>
      <c r="AF28" s="8" t="s">
        <v>112</v>
      </c>
      <c r="AG28" s="8" t="s">
        <v>111</v>
      </c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1">
        <v>2</v>
      </c>
      <c r="B29" s="24" t="s">
        <v>587</v>
      </c>
      <c r="C29" s="25" t="s">
        <v>516</v>
      </c>
      <c r="D29" s="20" t="s">
        <v>551</v>
      </c>
      <c r="E29" s="8" t="s">
        <v>112</v>
      </c>
      <c r="F29" s="8" t="s">
        <v>112</v>
      </c>
      <c r="G29" s="119"/>
      <c r="H29" s="8" t="s">
        <v>111</v>
      </c>
      <c r="I29" s="8" t="s">
        <v>112</v>
      </c>
      <c r="J29" s="8" t="s">
        <v>112</v>
      </c>
      <c r="K29" s="8" t="s">
        <v>112</v>
      </c>
      <c r="L29" s="8" t="s">
        <v>112</v>
      </c>
      <c r="M29" s="122"/>
      <c r="N29" s="119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19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19"/>
      <c r="AC29" s="8" t="s">
        <v>112</v>
      </c>
      <c r="AD29" s="8" t="s">
        <v>112</v>
      </c>
      <c r="AE29" s="130"/>
      <c r="AF29" s="8" t="s">
        <v>112</v>
      </c>
      <c r="AG29" s="8" t="s">
        <v>111</v>
      </c>
      <c r="AH29" s="8" t="s">
        <v>112</v>
      </c>
      <c r="AI29" s="5">
        <f t="shared" si="1"/>
        <v>22</v>
      </c>
      <c r="AJ29" s="5">
        <f t="shared" si="2"/>
        <v>2</v>
      </c>
    </row>
    <row r="30" spans="1:40" x14ac:dyDescent="0.25">
      <c r="A30" s="9">
        <v>3</v>
      </c>
      <c r="B30" s="24" t="s">
        <v>588</v>
      </c>
      <c r="C30" s="25" t="s">
        <v>317</v>
      </c>
      <c r="D30" s="20" t="s">
        <v>551</v>
      </c>
      <c r="E30" s="8" t="s">
        <v>112</v>
      </c>
      <c r="F30" s="8" t="s">
        <v>112</v>
      </c>
      <c r="G30" s="119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2"/>
      <c r="N30" s="119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19"/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8" t="s">
        <v>111</v>
      </c>
      <c r="AB30" s="119"/>
      <c r="AC30" s="8" t="s">
        <v>112</v>
      </c>
      <c r="AD30" s="8" t="s">
        <v>112</v>
      </c>
      <c r="AE30" s="130"/>
      <c r="AF30" s="8" t="s">
        <v>112</v>
      </c>
      <c r="AG30" s="8" t="s">
        <v>111</v>
      </c>
      <c r="AH30" s="8" t="s">
        <v>112</v>
      </c>
      <c r="AI30" s="5">
        <f t="shared" si="1"/>
        <v>17</v>
      </c>
      <c r="AJ30" s="5">
        <f t="shared" si="2"/>
        <v>7</v>
      </c>
    </row>
    <row r="31" spans="1:40" x14ac:dyDescent="0.25">
      <c r="A31" s="21">
        <v>4</v>
      </c>
      <c r="B31" s="24" t="s">
        <v>589</v>
      </c>
      <c r="C31" s="25" t="s">
        <v>136</v>
      </c>
      <c r="D31" s="20" t="s">
        <v>551</v>
      </c>
      <c r="E31" s="8" t="s">
        <v>111</v>
      </c>
      <c r="F31" s="8" t="s">
        <v>111</v>
      </c>
      <c r="G31" s="119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122"/>
      <c r="N31" s="119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119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111</v>
      </c>
      <c r="AB31" s="119"/>
      <c r="AC31" s="8" t="s">
        <v>112</v>
      </c>
      <c r="AD31" s="8" t="s">
        <v>112</v>
      </c>
      <c r="AE31" s="130"/>
      <c r="AF31" s="8" t="s">
        <v>112</v>
      </c>
      <c r="AG31" s="8" t="s">
        <v>111</v>
      </c>
      <c r="AH31" s="8" t="s">
        <v>112</v>
      </c>
      <c r="AI31" s="5">
        <f t="shared" si="1"/>
        <v>9</v>
      </c>
      <c r="AJ31" s="5">
        <f t="shared" si="2"/>
        <v>15</v>
      </c>
    </row>
    <row r="32" spans="1:40" x14ac:dyDescent="0.25">
      <c r="A32" s="9">
        <v>5</v>
      </c>
      <c r="B32" s="24" t="s">
        <v>399</v>
      </c>
      <c r="C32" s="25" t="s">
        <v>26</v>
      </c>
      <c r="D32" s="20" t="s">
        <v>551</v>
      </c>
      <c r="E32" s="8" t="s">
        <v>112</v>
      </c>
      <c r="F32" s="8" t="s">
        <v>111</v>
      </c>
      <c r="G32" s="119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111</v>
      </c>
      <c r="M32" s="122"/>
      <c r="N32" s="119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19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19"/>
      <c r="AC32" s="8" t="s">
        <v>112</v>
      </c>
      <c r="AD32" s="8" t="s">
        <v>112</v>
      </c>
      <c r="AE32" s="130"/>
      <c r="AF32" s="8" t="s">
        <v>112</v>
      </c>
      <c r="AG32" s="8" t="s">
        <v>111</v>
      </c>
      <c r="AH32" s="8" t="s">
        <v>112</v>
      </c>
      <c r="AI32" s="5">
        <f t="shared" si="1"/>
        <v>20</v>
      </c>
      <c r="AJ32" s="5">
        <f t="shared" si="2"/>
        <v>4</v>
      </c>
    </row>
    <row r="33" spans="1:36" x14ac:dyDescent="0.25">
      <c r="A33" s="21">
        <v>6</v>
      </c>
      <c r="B33" s="24" t="s">
        <v>590</v>
      </c>
      <c r="C33" s="25" t="s">
        <v>577</v>
      </c>
      <c r="D33" s="20" t="s">
        <v>551</v>
      </c>
      <c r="E33" s="8" t="s">
        <v>112</v>
      </c>
      <c r="F33" s="8" t="s">
        <v>112</v>
      </c>
      <c r="G33" s="119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122"/>
      <c r="N33" s="119"/>
      <c r="O33" s="8" t="s">
        <v>112</v>
      </c>
      <c r="P33" s="8" t="s">
        <v>112</v>
      </c>
      <c r="Q33" s="8" t="s">
        <v>112</v>
      </c>
      <c r="R33" s="8" t="s">
        <v>112</v>
      </c>
      <c r="S33" s="8" t="s">
        <v>112</v>
      </c>
      <c r="T33" s="8" t="s">
        <v>112</v>
      </c>
      <c r="U33" s="119"/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112</v>
      </c>
      <c r="AA33" s="8" t="s">
        <v>112</v>
      </c>
      <c r="AB33" s="119"/>
      <c r="AC33" s="8" t="s">
        <v>112</v>
      </c>
      <c r="AD33" s="8" t="s">
        <v>112</v>
      </c>
      <c r="AE33" s="130"/>
      <c r="AF33" s="8" t="s">
        <v>112</v>
      </c>
      <c r="AG33" s="8" t="s">
        <v>111</v>
      </c>
      <c r="AH33" s="8" t="s">
        <v>112</v>
      </c>
      <c r="AI33" s="5">
        <f t="shared" si="1"/>
        <v>23</v>
      </c>
      <c r="AJ33" s="5">
        <f t="shared" si="2"/>
        <v>1</v>
      </c>
    </row>
    <row r="34" spans="1:36" x14ac:dyDescent="0.25">
      <c r="A34" s="9">
        <v>7</v>
      </c>
      <c r="B34" s="24" t="s">
        <v>591</v>
      </c>
      <c r="C34" s="25" t="s">
        <v>592</v>
      </c>
      <c r="D34" s="20" t="s">
        <v>551</v>
      </c>
      <c r="E34" s="8" t="s">
        <v>112</v>
      </c>
      <c r="F34" s="8" t="s">
        <v>111</v>
      </c>
      <c r="G34" s="119"/>
      <c r="H34" s="8" t="s">
        <v>112</v>
      </c>
      <c r="I34" s="8" t="s">
        <v>112</v>
      </c>
      <c r="J34" s="8" t="s">
        <v>112</v>
      </c>
      <c r="K34" s="8" t="s">
        <v>111</v>
      </c>
      <c r="L34" s="8" t="s">
        <v>112</v>
      </c>
      <c r="M34" s="122"/>
      <c r="N34" s="119"/>
      <c r="O34" s="8" t="s">
        <v>111</v>
      </c>
      <c r="P34" s="8" t="s">
        <v>111</v>
      </c>
      <c r="Q34" s="8" t="s">
        <v>111</v>
      </c>
      <c r="R34" s="8" t="s">
        <v>112</v>
      </c>
      <c r="S34" s="8" t="s">
        <v>112</v>
      </c>
      <c r="T34" s="8" t="s">
        <v>111</v>
      </c>
      <c r="U34" s="119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19"/>
      <c r="AC34" s="8" t="s">
        <v>112</v>
      </c>
      <c r="AD34" s="8" t="s">
        <v>112</v>
      </c>
      <c r="AE34" s="130"/>
      <c r="AF34" s="8" t="s">
        <v>112</v>
      </c>
      <c r="AG34" s="8" t="s">
        <v>111</v>
      </c>
      <c r="AH34" s="8" t="s">
        <v>112</v>
      </c>
      <c r="AI34" s="5">
        <f t="shared" si="1"/>
        <v>17</v>
      </c>
      <c r="AJ34" s="5">
        <f t="shared" si="2"/>
        <v>7</v>
      </c>
    </row>
    <row r="35" spans="1:36" x14ac:dyDescent="0.25">
      <c r="A35" s="21">
        <v>8</v>
      </c>
      <c r="B35" s="24" t="s">
        <v>593</v>
      </c>
      <c r="C35" s="25" t="s">
        <v>438</v>
      </c>
      <c r="D35" s="20" t="s">
        <v>551</v>
      </c>
      <c r="E35" s="8" t="s">
        <v>112</v>
      </c>
      <c r="F35" s="8" t="s">
        <v>112</v>
      </c>
      <c r="G35" s="119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2"/>
      <c r="N35" s="119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19"/>
      <c r="V35" s="8" t="s">
        <v>112</v>
      </c>
      <c r="W35" s="8" t="s">
        <v>111</v>
      </c>
      <c r="X35" s="8" t="s">
        <v>112</v>
      </c>
      <c r="Y35" s="8" t="s">
        <v>112</v>
      </c>
      <c r="Z35" s="8" t="s">
        <v>112</v>
      </c>
      <c r="AA35" s="8" t="s">
        <v>111</v>
      </c>
      <c r="AB35" s="119"/>
      <c r="AC35" s="8" t="s">
        <v>112</v>
      </c>
      <c r="AD35" s="8" t="s">
        <v>112</v>
      </c>
      <c r="AE35" s="130"/>
      <c r="AF35" s="8" t="s">
        <v>112</v>
      </c>
      <c r="AG35" s="8" t="s">
        <v>111</v>
      </c>
      <c r="AH35" s="8" t="s">
        <v>112</v>
      </c>
      <c r="AI35" s="5">
        <f t="shared" si="1"/>
        <v>21</v>
      </c>
      <c r="AJ35" s="5">
        <f t="shared" si="2"/>
        <v>3</v>
      </c>
    </row>
    <row r="36" spans="1:36" x14ac:dyDescent="0.25">
      <c r="A36" s="9">
        <v>9</v>
      </c>
      <c r="B36" s="24" t="s">
        <v>594</v>
      </c>
      <c r="C36" s="25" t="s">
        <v>174</v>
      </c>
      <c r="D36" s="20" t="s">
        <v>551</v>
      </c>
      <c r="E36" s="8" t="s">
        <v>112</v>
      </c>
      <c r="F36" s="8" t="s">
        <v>112</v>
      </c>
      <c r="G36" s="119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122"/>
      <c r="N36" s="119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119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19"/>
      <c r="AC36" s="8" t="s">
        <v>112</v>
      </c>
      <c r="AD36" s="8" t="s">
        <v>112</v>
      </c>
      <c r="AE36" s="130"/>
      <c r="AF36" s="8" t="s">
        <v>112</v>
      </c>
      <c r="AG36" s="8" t="s">
        <v>111</v>
      </c>
      <c r="AH36" s="8" t="s">
        <v>112</v>
      </c>
      <c r="AI36" s="5">
        <f t="shared" si="1"/>
        <v>22</v>
      </c>
      <c r="AJ36" s="5">
        <f t="shared" si="2"/>
        <v>2</v>
      </c>
    </row>
    <row r="37" spans="1:36" x14ac:dyDescent="0.25">
      <c r="A37" s="21">
        <v>10</v>
      </c>
      <c r="B37" s="24" t="s">
        <v>595</v>
      </c>
      <c r="C37" s="25" t="s">
        <v>596</v>
      </c>
      <c r="D37" s="20" t="s">
        <v>551</v>
      </c>
      <c r="E37" s="8" t="s">
        <v>112</v>
      </c>
      <c r="F37" s="8" t="s">
        <v>111</v>
      </c>
      <c r="G37" s="119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2"/>
      <c r="N37" s="119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19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19"/>
      <c r="AC37" s="8" t="s">
        <v>112</v>
      </c>
      <c r="AD37" s="8" t="s">
        <v>112</v>
      </c>
      <c r="AE37" s="130"/>
      <c r="AF37" s="8" t="s">
        <v>112</v>
      </c>
      <c r="AG37" s="8" t="s">
        <v>111</v>
      </c>
      <c r="AH37" s="8" t="s">
        <v>112</v>
      </c>
      <c r="AI37" s="5">
        <f t="shared" si="1"/>
        <v>22</v>
      </c>
      <c r="AJ37" s="5">
        <f t="shared" si="2"/>
        <v>2</v>
      </c>
    </row>
    <row r="38" spans="1:36" x14ac:dyDescent="0.25">
      <c r="A38" s="9">
        <v>11</v>
      </c>
      <c r="B38" s="24" t="s">
        <v>597</v>
      </c>
      <c r="C38" s="25" t="s">
        <v>598</v>
      </c>
      <c r="D38" s="20" t="s">
        <v>551</v>
      </c>
      <c r="E38" s="8" t="s">
        <v>111</v>
      </c>
      <c r="F38" s="8" t="s">
        <v>111</v>
      </c>
      <c r="G38" s="119"/>
      <c r="H38" s="8" t="s">
        <v>112</v>
      </c>
      <c r="I38" s="8" t="s">
        <v>112</v>
      </c>
      <c r="J38" s="8" t="s">
        <v>112</v>
      </c>
      <c r="K38" s="8" t="s">
        <v>111</v>
      </c>
      <c r="L38" s="8" t="s">
        <v>111</v>
      </c>
      <c r="M38" s="122"/>
      <c r="N38" s="119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19"/>
      <c r="V38" s="8" t="s">
        <v>112</v>
      </c>
      <c r="W38" s="8" t="s">
        <v>111</v>
      </c>
      <c r="X38" s="8" t="s">
        <v>112</v>
      </c>
      <c r="Y38" s="8" t="s">
        <v>112</v>
      </c>
      <c r="Z38" s="8" t="s">
        <v>112</v>
      </c>
      <c r="AA38" s="8" t="s">
        <v>111</v>
      </c>
      <c r="AB38" s="119"/>
      <c r="AC38" s="8" t="s">
        <v>112</v>
      </c>
      <c r="AD38" s="8" t="s">
        <v>112</v>
      </c>
      <c r="AE38" s="130"/>
      <c r="AF38" s="8" t="s">
        <v>112</v>
      </c>
      <c r="AG38" s="8" t="s">
        <v>111</v>
      </c>
      <c r="AH38" s="8" t="s">
        <v>112</v>
      </c>
      <c r="AI38" s="5">
        <f t="shared" si="1"/>
        <v>17</v>
      </c>
      <c r="AJ38" s="5">
        <f t="shared" si="2"/>
        <v>7</v>
      </c>
    </row>
    <row r="39" spans="1:36" x14ac:dyDescent="0.25">
      <c r="A39" s="21">
        <v>12</v>
      </c>
      <c r="B39" s="24" t="s">
        <v>599</v>
      </c>
      <c r="C39" s="25" t="s">
        <v>194</v>
      </c>
      <c r="D39" s="20" t="s">
        <v>551</v>
      </c>
      <c r="E39" s="8" t="s">
        <v>112</v>
      </c>
      <c r="F39" s="8" t="s">
        <v>112</v>
      </c>
      <c r="G39" s="119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22"/>
      <c r="N39" s="119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19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19"/>
      <c r="AC39" s="8" t="s">
        <v>112</v>
      </c>
      <c r="AD39" s="8" t="s">
        <v>112</v>
      </c>
      <c r="AE39" s="130"/>
      <c r="AF39" s="8" t="s">
        <v>112</v>
      </c>
      <c r="AG39" s="8" t="s">
        <v>111</v>
      </c>
      <c r="AH39" s="8" t="s">
        <v>112</v>
      </c>
      <c r="AI39" s="5">
        <f t="shared" si="1"/>
        <v>23</v>
      </c>
      <c r="AJ39" s="5">
        <f t="shared" si="2"/>
        <v>1</v>
      </c>
    </row>
    <row r="40" spans="1:36" x14ac:dyDescent="0.25">
      <c r="A40" s="9">
        <v>13</v>
      </c>
      <c r="B40" s="24" t="s">
        <v>600</v>
      </c>
      <c r="C40" s="25" t="s">
        <v>136</v>
      </c>
      <c r="D40" s="20" t="s">
        <v>551</v>
      </c>
      <c r="E40" s="8" t="s">
        <v>112</v>
      </c>
      <c r="F40" s="8" t="s">
        <v>112</v>
      </c>
      <c r="G40" s="119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2"/>
      <c r="N40" s="119"/>
      <c r="O40" s="8" t="s">
        <v>111</v>
      </c>
      <c r="P40" s="8" t="s">
        <v>112</v>
      </c>
      <c r="Q40" s="8" t="s">
        <v>112</v>
      </c>
      <c r="R40" s="8" t="s">
        <v>111</v>
      </c>
      <c r="S40" s="8" t="s">
        <v>111</v>
      </c>
      <c r="T40" s="8" t="s">
        <v>112</v>
      </c>
      <c r="U40" s="119"/>
      <c r="V40" s="8" t="s">
        <v>112</v>
      </c>
      <c r="W40" s="8" t="s">
        <v>111</v>
      </c>
      <c r="X40" s="8" t="s">
        <v>111</v>
      </c>
      <c r="Y40" s="8" t="s">
        <v>112</v>
      </c>
      <c r="Z40" s="8" t="s">
        <v>112</v>
      </c>
      <c r="AA40" s="8" t="s">
        <v>112</v>
      </c>
      <c r="AB40" s="119"/>
      <c r="AC40" s="8" t="s">
        <v>112</v>
      </c>
      <c r="AD40" s="8" t="s">
        <v>112</v>
      </c>
      <c r="AE40" s="130"/>
      <c r="AF40" s="8" t="s">
        <v>112</v>
      </c>
      <c r="AG40" s="8" t="s">
        <v>111</v>
      </c>
      <c r="AH40" s="8" t="s">
        <v>112</v>
      </c>
      <c r="AI40" s="5">
        <f t="shared" si="1"/>
        <v>18</v>
      </c>
      <c r="AJ40" s="5">
        <f t="shared" si="2"/>
        <v>6</v>
      </c>
    </row>
    <row r="41" spans="1:36" x14ac:dyDescent="0.25">
      <c r="A41" s="21">
        <v>14</v>
      </c>
      <c r="B41" s="24" t="s">
        <v>601</v>
      </c>
      <c r="C41" s="25" t="s">
        <v>50</v>
      </c>
      <c r="D41" s="20" t="s">
        <v>551</v>
      </c>
      <c r="E41" s="8" t="s">
        <v>112</v>
      </c>
      <c r="F41" s="8" t="s">
        <v>112</v>
      </c>
      <c r="G41" s="119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2"/>
      <c r="N41" s="119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111</v>
      </c>
      <c r="U41" s="119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19"/>
      <c r="AC41" s="8" t="s">
        <v>112</v>
      </c>
      <c r="AD41" s="8" t="s">
        <v>112</v>
      </c>
      <c r="AE41" s="130"/>
      <c r="AF41" s="8" t="s">
        <v>112</v>
      </c>
      <c r="AG41" s="8" t="s">
        <v>111</v>
      </c>
      <c r="AH41" s="8" t="s">
        <v>112</v>
      </c>
      <c r="AI41" s="5">
        <f t="shared" si="1"/>
        <v>22</v>
      </c>
      <c r="AJ41" s="5">
        <f t="shared" si="2"/>
        <v>2</v>
      </c>
    </row>
    <row r="42" spans="1:36" x14ac:dyDescent="0.25">
      <c r="A42" s="9">
        <v>15</v>
      </c>
      <c r="B42" s="24" t="s">
        <v>602</v>
      </c>
      <c r="C42" s="25" t="s">
        <v>596</v>
      </c>
      <c r="D42" s="20" t="s">
        <v>551</v>
      </c>
      <c r="E42" s="8" t="s">
        <v>112</v>
      </c>
      <c r="F42" s="8" t="s">
        <v>112</v>
      </c>
      <c r="G42" s="119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2"/>
      <c r="N42" s="119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111</v>
      </c>
      <c r="U42" s="119"/>
      <c r="V42" s="8" t="s">
        <v>111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19"/>
      <c r="AC42" s="8" t="s">
        <v>112</v>
      </c>
      <c r="AD42" s="8" t="s">
        <v>112</v>
      </c>
      <c r="AE42" s="130"/>
      <c r="AF42" s="8" t="s">
        <v>112</v>
      </c>
      <c r="AG42" s="8" t="s">
        <v>111</v>
      </c>
      <c r="AH42" s="8" t="s">
        <v>112</v>
      </c>
      <c r="AI42" s="5">
        <f t="shared" si="1"/>
        <v>21</v>
      </c>
      <c r="AJ42" s="5">
        <f t="shared" si="2"/>
        <v>3</v>
      </c>
    </row>
    <row r="43" spans="1:36" x14ac:dyDescent="0.25">
      <c r="A43" s="21">
        <v>16</v>
      </c>
      <c r="B43" s="24" t="s">
        <v>603</v>
      </c>
      <c r="C43" s="25" t="s">
        <v>64</v>
      </c>
      <c r="D43" s="20" t="s">
        <v>551</v>
      </c>
      <c r="E43" s="8" t="s">
        <v>112</v>
      </c>
      <c r="F43" s="8" t="s">
        <v>111</v>
      </c>
      <c r="G43" s="119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2"/>
      <c r="N43" s="119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111</v>
      </c>
      <c r="U43" s="119"/>
      <c r="V43" s="8" t="s">
        <v>111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119"/>
      <c r="AC43" s="8" t="s">
        <v>112</v>
      </c>
      <c r="AD43" s="8" t="s">
        <v>112</v>
      </c>
      <c r="AE43" s="130"/>
      <c r="AF43" s="8" t="s">
        <v>112</v>
      </c>
      <c r="AG43" s="8" t="s">
        <v>111</v>
      </c>
      <c r="AH43" s="8" t="s">
        <v>112</v>
      </c>
      <c r="AI43" s="5">
        <f t="shared" si="1"/>
        <v>20</v>
      </c>
      <c r="AJ43" s="5">
        <f t="shared" si="2"/>
        <v>4</v>
      </c>
    </row>
    <row r="44" spans="1:36" x14ac:dyDescent="0.25">
      <c r="A44" s="9">
        <v>17</v>
      </c>
      <c r="B44" s="27" t="s">
        <v>604</v>
      </c>
      <c r="C44" s="27" t="s">
        <v>605</v>
      </c>
      <c r="D44" s="8" t="s">
        <v>551</v>
      </c>
      <c r="E44" s="8" t="s">
        <v>112</v>
      </c>
      <c r="F44" s="8" t="s">
        <v>112</v>
      </c>
      <c r="G44" s="119"/>
      <c r="H44" s="8" t="s">
        <v>112</v>
      </c>
      <c r="I44" s="8" t="s">
        <v>112</v>
      </c>
      <c r="J44" s="8" t="s">
        <v>111</v>
      </c>
      <c r="K44" s="8" t="s">
        <v>112</v>
      </c>
      <c r="L44" s="8" t="s">
        <v>112</v>
      </c>
      <c r="M44" s="122"/>
      <c r="N44" s="119"/>
      <c r="O44" s="8" t="s">
        <v>111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111</v>
      </c>
      <c r="U44" s="119"/>
      <c r="V44" s="8" t="s">
        <v>113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119"/>
      <c r="AC44" s="8" t="s">
        <v>111</v>
      </c>
      <c r="AD44" s="8" t="s">
        <v>112</v>
      </c>
      <c r="AE44" s="130"/>
      <c r="AF44" s="8" t="s">
        <v>112</v>
      </c>
      <c r="AG44" s="8" t="s">
        <v>111</v>
      </c>
      <c r="AH44" s="8" t="s">
        <v>112</v>
      </c>
      <c r="AI44" s="5">
        <f t="shared" si="1"/>
        <v>18</v>
      </c>
      <c r="AJ44" s="5">
        <f t="shared" si="2"/>
        <v>5</v>
      </c>
    </row>
    <row r="45" spans="1:36" x14ac:dyDescent="0.25">
      <c r="A45" s="21">
        <v>18</v>
      </c>
      <c r="B45" s="27" t="s">
        <v>606</v>
      </c>
      <c r="C45" s="27" t="s">
        <v>136</v>
      </c>
      <c r="D45" s="8" t="s">
        <v>551</v>
      </c>
      <c r="E45" s="8" t="s">
        <v>112</v>
      </c>
      <c r="F45" s="8" t="s">
        <v>112</v>
      </c>
      <c r="G45" s="119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122"/>
      <c r="N45" s="119"/>
      <c r="O45" s="8" t="s">
        <v>111</v>
      </c>
      <c r="P45" s="8" t="s">
        <v>112</v>
      </c>
      <c r="Q45" s="8" t="s">
        <v>112</v>
      </c>
      <c r="R45" s="8" t="s">
        <v>111</v>
      </c>
      <c r="S45" s="8" t="s">
        <v>111</v>
      </c>
      <c r="T45" s="8" t="s">
        <v>113</v>
      </c>
      <c r="U45" s="119"/>
      <c r="V45" s="8" t="s">
        <v>113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119"/>
      <c r="AC45" s="8" t="s">
        <v>112</v>
      </c>
      <c r="AD45" s="8" t="s">
        <v>112</v>
      </c>
      <c r="AE45" s="130"/>
      <c r="AF45" s="8" t="s">
        <v>112</v>
      </c>
      <c r="AG45" s="8" t="s">
        <v>111</v>
      </c>
      <c r="AH45" s="8" t="s">
        <v>112</v>
      </c>
      <c r="AI45" s="5">
        <f t="shared" si="1"/>
        <v>18</v>
      </c>
      <c r="AJ45" s="5">
        <f t="shared" si="2"/>
        <v>4</v>
      </c>
    </row>
    <row r="46" spans="1:36" x14ac:dyDescent="0.25">
      <c r="A46" s="9">
        <v>19</v>
      </c>
      <c r="B46" s="27" t="s">
        <v>607</v>
      </c>
      <c r="C46" s="27" t="s">
        <v>608</v>
      </c>
      <c r="D46" s="8" t="s">
        <v>551</v>
      </c>
      <c r="E46" s="8" t="s">
        <v>112</v>
      </c>
      <c r="F46" s="8" t="s">
        <v>112</v>
      </c>
      <c r="G46" s="119"/>
      <c r="H46" s="8" t="s">
        <v>111</v>
      </c>
      <c r="I46" s="8" t="s">
        <v>112</v>
      </c>
      <c r="J46" s="8" t="s">
        <v>112</v>
      </c>
      <c r="K46" s="8" t="s">
        <v>112</v>
      </c>
      <c r="L46" s="8" t="s">
        <v>112</v>
      </c>
      <c r="M46" s="122"/>
      <c r="N46" s="119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111</v>
      </c>
      <c r="T46" s="8" t="s">
        <v>111</v>
      </c>
      <c r="U46" s="119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111</v>
      </c>
      <c r="AB46" s="119"/>
      <c r="AC46" s="8" t="s">
        <v>112</v>
      </c>
      <c r="AD46" s="8" t="s">
        <v>112</v>
      </c>
      <c r="AE46" s="130"/>
      <c r="AF46" s="8" t="s">
        <v>112</v>
      </c>
      <c r="AG46" s="8" t="s">
        <v>111</v>
      </c>
      <c r="AH46" s="8" t="s">
        <v>112</v>
      </c>
      <c r="AI46" s="5">
        <f t="shared" si="1"/>
        <v>19</v>
      </c>
      <c r="AJ46" s="5">
        <f t="shared" si="2"/>
        <v>5</v>
      </c>
    </row>
    <row r="47" spans="1:36" x14ac:dyDescent="0.25">
      <c r="A47" s="21">
        <v>20</v>
      </c>
      <c r="B47" s="27" t="s">
        <v>609</v>
      </c>
      <c r="C47" s="27" t="s">
        <v>577</v>
      </c>
      <c r="D47" s="8" t="s">
        <v>551</v>
      </c>
      <c r="E47" s="8" t="s">
        <v>112</v>
      </c>
      <c r="F47" s="8" t="s">
        <v>112</v>
      </c>
      <c r="G47" s="119"/>
      <c r="H47" s="8" t="s">
        <v>112</v>
      </c>
      <c r="I47" s="8" t="s">
        <v>112</v>
      </c>
      <c r="J47" s="8" t="s">
        <v>112</v>
      </c>
      <c r="K47" s="8" t="s">
        <v>112</v>
      </c>
      <c r="L47" s="8" t="s">
        <v>111</v>
      </c>
      <c r="M47" s="122"/>
      <c r="N47" s="119"/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8" t="s">
        <v>111</v>
      </c>
      <c r="U47" s="119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119"/>
      <c r="AC47" s="8" t="s">
        <v>112</v>
      </c>
      <c r="AD47" s="8" t="s">
        <v>112</v>
      </c>
      <c r="AE47" s="130"/>
      <c r="AF47" s="8" t="s">
        <v>112</v>
      </c>
      <c r="AG47" s="8" t="s">
        <v>111</v>
      </c>
      <c r="AH47" s="8" t="s">
        <v>112</v>
      </c>
      <c r="AI47" s="5">
        <f t="shared" si="1"/>
        <v>21</v>
      </c>
      <c r="AJ47" s="5">
        <f t="shared" si="2"/>
        <v>3</v>
      </c>
    </row>
    <row r="48" spans="1:36" x14ac:dyDescent="0.25">
      <c r="A48" s="9">
        <v>21</v>
      </c>
      <c r="B48" s="27" t="s">
        <v>610</v>
      </c>
      <c r="C48" s="27" t="s">
        <v>611</v>
      </c>
      <c r="D48" s="8" t="s">
        <v>551</v>
      </c>
      <c r="E48" s="8" t="s">
        <v>112</v>
      </c>
      <c r="F48" s="8" t="s">
        <v>111</v>
      </c>
      <c r="G48" s="119"/>
      <c r="H48" s="8" t="s">
        <v>112</v>
      </c>
      <c r="I48" s="8" t="s">
        <v>112</v>
      </c>
      <c r="J48" s="8" t="s">
        <v>111</v>
      </c>
      <c r="K48" s="8" t="s">
        <v>112</v>
      </c>
      <c r="L48" s="8" t="s">
        <v>112</v>
      </c>
      <c r="M48" s="122"/>
      <c r="N48" s="119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111</v>
      </c>
      <c r="T48" s="8" t="s">
        <v>112</v>
      </c>
      <c r="U48" s="119"/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111</v>
      </c>
      <c r="AA48" s="8" t="s">
        <v>111</v>
      </c>
      <c r="AB48" s="119"/>
      <c r="AC48" s="8" t="s">
        <v>112</v>
      </c>
      <c r="AD48" s="8" t="s">
        <v>112</v>
      </c>
      <c r="AE48" s="130"/>
      <c r="AF48" s="8" t="s">
        <v>112</v>
      </c>
      <c r="AG48" s="8" t="s">
        <v>111</v>
      </c>
      <c r="AH48" s="8" t="s">
        <v>112</v>
      </c>
      <c r="AI48" s="5">
        <f t="shared" si="1"/>
        <v>17</v>
      </c>
      <c r="AJ48" s="5">
        <f t="shared" si="2"/>
        <v>7</v>
      </c>
    </row>
    <row r="49" spans="1:36" x14ac:dyDescent="0.25">
      <c r="A49" s="21">
        <v>22</v>
      </c>
      <c r="B49" s="27" t="s">
        <v>612</v>
      </c>
      <c r="C49" s="27" t="s">
        <v>613</v>
      </c>
      <c r="D49" s="8" t="s">
        <v>551</v>
      </c>
      <c r="E49" s="8" t="s">
        <v>112</v>
      </c>
      <c r="F49" s="8" t="s">
        <v>112</v>
      </c>
      <c r="G49" s="119"/>
      <c r="H49" s="8" t="s">
        <v>112</v>
      </c>
      <c r="I49" s="8" t="s">
        <v>111</v>
      </c>
      <c r="J49" s="8" t="s">
        <v>112</v>
      </c>
      <c r="K49" s="8" t="s">
        <v>111</v>
      </c>
      <c r="L49" s="8" t="s">
        <v>112</v>
      </c>
      <c r="M49" s="122"/>
      <c r="N49" s="119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112</v>
      </c>
      <c r="T49" s="8" t="s">
        <v>112</v>
      </c>
      <c r="U49" s="119"/>
      <c r="V49" s="8" t="s">
        <v>112</v>
      </c>
      <c r="W49" s="8" t="s">
        <v>111</v>
      </c>
      <c r="X49" s="8" t="s">
        <v>112</v>
      </c>
      <c r="Y49" s="8" t="s">
        <v>112</v>
      </c>
      <c r="Z49" s="8" t="s">
        <v>112</v>
      </c>
      <c r="AA49" s="8" t="s">
        <v>111</v>
      </c>
      <c r="AB49" s="119"/>
      <c r="AC49" s="8" t="s">
        <v>112</v>
      </c>
      <c r="AD49" s="8" t="s">
        <v>112</v>
      </c>
      <c r="AE49" s="130"/>
      <c r="AF49" s="8" t="s">
        <v>112</v>
      </c>
      <c r="AG49" s="8" t="s">
        <v>111</v>
      </c>
      <c r="AH49" s="8" t="s">
        <v>112</v>
      </c>
      <c r="AI49" s="5">
        <f t="shared" si="1"/>
        <v>19</v>
      </c>
      <c r="AJ49" s="5">
        <f t="shared" si="2"/>
        <v>5</v>
      </c>
    </row>
    <row r="50" spans="1:36" x14ac:dyDescent="0.25">
      <c r="A50" s="9">
        <v>23</v>
      </c>
      <c r="B50" s="27" t="s">
        <v>614</v>
      </c>
      <c r="C50" s="27" t="s">
        <v>615</v>
      </c>
      <c r="D50" s="8" t="s">
        <v>551</v>
      </c>
      <c r="E50" s="8" t="s">
        <v>112</v>
      </c>
      <c r="F50" s="8" t="s">
        <v>112</v>
      </c>
      <c r="G50" s="120"/>
      <c r="H50" s="8" t="s">
        <v>111</v>
      </c>
      <c r="I50" s="8" t="s">
        <v>112</v>
      </c>
      <c r="J50" s="8" t="s">
        <v>112</v>
      </c>
      <c r="K50" s="8" t="s">
        <v>112</v>
      </c>
      <c r="L50" s="8" t="s">
        <v>112</v>
      </c>
      <c r="M50" s="123"/>
      <c r="N50" s="120"/>
      <c r="O50" s="8" t="s">
        <v>112</v>
      </c>
      <c r="P50" s="8" t="s">
        <v>111</v>
      </c>
      <c r="Q50" s="8" t="s">
        <v>111</v>
      </c>
      <c r="R50" s="8" t="s">
        <v>112</v>
      </c>
      <c r="S50" s="8" t="s">
        <v>112</v>
      </c>
      <c r="T50" s="8" t="s">
        <v>112</v>
      </c>
      <c r="U50" s="120"/>
      <c r="V50" s="8" t="s">
        <v>112</v>
      </c>
      <c r="W50" s="8" t="s">
        <v>111</v>
      </c>
      <c r="X50" s="8" t="s">
        <v>112</v>
      </c>
      <c r="Y50" s="8" t="s">
        <v>112</v>
      </c>
      <c r="Z50" s="8" t="s">
        <v>111</v>
      </c>
      <c r="AA50" s="8" t="s">
        <v>112</v>
      </c>
      <c r="AB50" s="120"/>
      <c r="AC50" s="8" t="s">
        <v>112</v>
      </c>
      <c r="AD50" s="8" t="s">
        <v>112</v>
      </c>
      <c r="AE50" s="131"/>
      <c r="AF50" s="8" t="s">
        <v>112</v>
      </c>
      <c r="AG50" s="8" t="s">
        <v>111</v>
      </c>
      <c r="AH50" s="8" t="s">
        <v>112</v>
      </c>
      <c r="AI50" s="5">
        <f t="shared" si="1"/>
        <v>18</v>
      </c>
      <c r="AJ50" s="5">
        <f t="shared" si="2"/>
        <v>6</v>
      </c>
    </row>
  </sheetData>
  <mergeCells count="17">
    <mergeCell ref="A1:AJ1"/>
    <mergeCell ref="A2:AJ2"/>
    <mergeCell ref="A3:A4"/>
    <mergeCell ref="B3:B4"/>
    <mergeCell ref="C3:C4"/>
    <mergeCell ref="D3:D4"/>
    <mergeCell ref="AI3:AI4"/>
    <mergeCell ref="AJ3:AJ4"/>
    <mergeCell ref="AK19:AN19"/>
    <mergeCell ref="AK3:AL3"/>
    <mergeCell ref="G5:G50"/>
    <mergeCell ref="M5:M50"/>
    <mergeCell ref="N5:N50"/>
    <mergeCell ref="U5:U50"/>
    <mergeCell ref="AB5:AB50"/>
    <mergeCell ref="AE5:AE50"/>
    <mergeCell ref="AK11:AN11"/>
  </mergeCells>
  <conditionalFormatting sqref="E5:N5 U5 AB5:AH5 O5:T50 V5:AA50 E6:F50 H6:L50 AC6:AD50 AF6:AH50 E4:AH4">
    <cfRule type="expression" dxfId="179" priority="16">
      <formula>IF(E$4=TODAY(),TRUE,FALSE)</formula>
    </cfRule>
  </conditionalFormatting>
  <conditionalFormatting sqref="E5:N5 U5 AB5:AH5 O5:T50 V5:AA50 E6:F50 H6:L50 AC6:AD50 AF6:AH50">
    <cfRule type="cellIs" dxfId="178" priority="13" operator="equal">
      <formula>"L"</formula>
    </cfRule>
    <cfRule type="cellIs" dxfId="177" priority="14" operator="equal">
      <formula>"A"</formula>
    </cfRule>
    <cfRule type="cellIs" dxfId="176" priority="15" operator="equal">
      <formula>"P"</formula>
    </cfRule>
  </conditionalFormatting>
  <conditionalFormatting sqref="E3:AH4 E5:N5 U5 AB5:AH5 O5:T50 V5:AA50 E6:F50 H6:L50 AC6:AD50 AF6:AH50">
    <cfRule type="expression" dxfId="175" priority="17">
      <formula>E$3="Sun"</formula>
    </cfRule>
  </conditionalFormatting>
  <conditionalFormatting sqref="AI3:AJ3 AI5:AJ50">
    <cfRule type="expression" dxfId="174" priority="18">
      <formula>#REF!="Sun"</formula>
    </cfRule>
  </conditionalFormatting>
  <conditionalFormatting sqref="AK5:AK9">
    <cfRule type="expression" dxfId="173" priority="4">
      <formula>AK$3="Sun"</formula>
    </cfRule>
  </conditionalFormatting>
  <conditionalFormatting sqref="AK12:AK15">
    <cfRule type="expression" dxfId="172" priority="2">
      <formula>AK$3="Sun"</formula>
    </cfRule>
  </conditionalFormatting>
  <conditionalFormatting sqref="AK20:AK23">
    <cfRule type="expression" dxfId="171" priority="1">
      <formula>AK$3="Sun"</formula>
    </cfRule>
  </conditionalFormatting>
  <conditionalFormatting sqref="AK4:AL4">
    <cfRule type="expression" dxfId="170" priority="5">
      <formula>AK$3="Sun"</formula>
    </cfRule>
  </conditionalFormatting>
  <conditionalFormatting sqref="AL12:AN12 AL20:AN20">
    <cfRule type="expression" dxfId="169" priority="6">
      <formula>AL$3="Sun"</formula>
    </cfRule>
  </conditionalFormatting>
  <conditionalFormatting sqref="AN21">
    <cfRule type="expression" dxfId="168" priority="3">
      <formula>AN$3="Sun"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A4B5-A926-4000-8295-A24E6E3108B5}">
  <dimension ref="A1:AN49"/>
  <sheetViews>
    <sheetView topLeftCell="E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0" ht="17.25" x14ac:dyDescent="0.3">
      <c r="A2" s="114" t="s">
        <v>616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7" t="s">
        <v>0</v>
      </c>
      <c r="B3" s="127" t="s">
        <v>1</v>
      </c>
      <c r="C3" s="127" t="s">
        <v>2</v>
      </c>
      <c r="D3" s="12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0" t="s">
        <v>126</v>
      </c>
      <c r="AL3" s="111"/>
      <c r="AM3" s="3"/>
      <c r="AN3" s="3"/>
    </row>
    <row r="4" spans="1:40" ht="37.5" x14ac:dyDescent="0.25">
      <c r="A4" s="128"/>
      <c r="B4" s="128"/>
      <c r="C4" s="128"/>
      <c r="D4" s="128"/>
      <c r="E4" s="13">
        <v>45597</v>
      </c>
      <c r="F4" s="13">
        <v>45598</v>
      </c>
      <c r="G4" s="13">
        <v>45599</v>
      </c>
      <c r="H4" s="13">
        <v>45600</v>
      </c>
      <c r="I4" s="13">
        <v>45601</v>
      </c>
      <c r="J4" s="13">
        <v>45602</v>
      </c>
      <c r="K4" s="13">
        <v>45603</v>
      </c>
      <c r="L4" s="13">
        <v>45604</v>
      </c>
      <c r="M4" s="13">
        <v>45605</v>
      </c>
      <c r="N4" s="13">
        <v>45606</v>
      </c>
      <c r="O4" s="13">
        <v>45607</v>
      </c>
      <c r="P4" s="13">
        <v>45608</v>
      </c>
      <c r="Q4" s="13">
        <v>45609</v>
      </c>
      <c r="R4" s="13">
        <v>45610</v>
      </c>
      <c r="S4" s="13">
        <v>45611</v>
      </c>
      <c r="T4" s="13">
        <v>45612</v>
      </c>
      <c r="U4" s="13">
        <v>45613</v>
      </c>
      <c r="V4" s="13">
        <v>45614</v>
      </c>
      <c r="W4" s="13">
        <v>45615</v>
      </c>
      <c r="X4" s="13">
        <v>45616</v>
      </c>
      <c r="Y4" s="13">
        <v>45617</v>
      </c>
      <c r="Z4" s="13">
        <v>45618</v>
      </c>
      <c r="AA4" s="13">
        <v>45619</v>
      </c>
      <c r="AB4" s="13">
        <v>45620</v>
      </c>
      <c r="AC4" s="13">
        <v>45621</v>
      </c>
      <c r="AD4" s="13">
        <v>45622</v>
      </c>
      <c r="AE4" s="13">
        <v>45623</v>
      </c>
      <c r="AF4" s="13">
        <v>45624</v>
      </c>
      <c r="AG4" s="13">
        <v>45625</v>
      </c>
      <c r="AH4" s="13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22</v>
      </c>
      <c r="C5" s="25" t="s">
        <v>95</v>
      </c>
      <c r="D5" s="20" t="s">
        <v>617</v>
      </c>
      <c r="E5" s="8" t="s">
        <v>112</v>
      </c>
      <c r="F5" s="8" t="s">
        <v>112</v>
      </c>
      <c r="G5" s="118" t="s">
        <v>618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1" t="s">
        <v>619</v>
      </c>
      <c r="N5" s="118" t="s">
        <v>618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118" t="s">
        <v>618</v>
      </c>
      <c r="V5" s="8" t="s">
        <v>112</v>
      </c>
      <c r="W5" s="8" t="s">
        <v>112</v>
      </c>
      <c r="X5" s="8" t="s">
        <v>112</v>
      </c>
      <c r="Y5" s="8" t="s">
        <v>111</v>
      </c>
      <c r="Z5" s="8" t="s">
        <v>112</v>
      </c>
      <c r="AA5" s="8" t="s">
        <v>112</v>
      </c>
      <c r="AB5" s="118" t="s">
        <v>618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49" si="1">COUNTIF(E5:AH5,"P")</f>
        <v>22</v>
      </c>
      <c r="AJ5" s="5">
        <f t="shared" ref="AJ5:AJ49" si="2">COUNTIF(E5:AH5,"A")</f>
        <v>2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620</v>
      </c>
      <c r="C6" s="25" t="s">
        <v>292</v>
      </c>
      <c r="D6" s="20" t="s">
        <v>617</v>
      </c>
      <c r="E6" s="8" t="s">
        <v>112</v>
      </c>
      <c r="F6" s="8" t="s">
        <v>112</v>
      </c>
      <c r="G6" s="119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111</v>
      </c>
      <c r="M6" s="122"/>
      <c r="N6" s="119"/>
      <c r="O6" s="8" t="s">
        <v>111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19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19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112</v>
      </c>
      <c r="AH6" s="8"/>
      <c r="AI6" s="5">
        <f t="shared" si="1"/>
        <v>22</v>
      </c>
      <c r="AJ6" s="5">
        <f t="shared" si="2"/>
        <v>2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621</v>
      </c>
      <c r="C7" s="25" t="s">
        <v>622</v>
      </c>
      <c r="D7" s="20" t="s">
        <v>617</v>
      </c>
      <c r="E7" s="8" t="s">
        <v>112</v>
      </c>
      <c r="F7" s="8" t="s">
        <v>112</v>
      </c>
      <c r="G7" s="119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2"/>
      <c r="N7" s="119"/>
      <c r="O7" s="8" t="s">
        <v>112</v>
      </c>
      <c r="P7" s="8" t="s">
        <v>112</v>
      </c>
      <c r="Q7" s="8" t="s">
        <v>111</v>
      </c>
      <c r="R7" s="8" t="s">
        <v>112</v>
      </c>
      <c r="S7" s="8" t="s">
        <v>112</v>
      </c>
      <c r="T7" s="8" t="s">
        <v>112</v>
      </c>
      <c r="U7" s="119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111</v>
      </c>
      <c r="AB7" s="119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22</v>
      </c>
      <c r="AJ7" s="5">
        <f t="shared" si="2"/>
        <v>2</v>
      </c>
      <c r="AK7" s="5" t="s">
        <v>129</v>
      </c>
      <c r="AL7" s="9">
        <v>1</v>
      </c>
      <c r="AM7" s="3"/>
      <c r="AN7" s="3"/>
    </row>
    <row r="8" spans="1:40" x14ac:dyDescent="0.25">
      <c r="A8" s="9">
        <v>4</v>
      </c>
      <c r="B8" s="24" t="s">
        <v>623</v>
      </c>
      <c r="C8" s="25" t="s">
        <v>95</v>
      </c>
      <c r="D8" s="20" t="s">
        <v>617</v>
      </c>
      <c r="E8" s="8" t="s">
        <v>112</v>
      </c>
      <c r="F8" s="8" t="s">
        <v>112</v>
      </c>
      <c r="G8" s="119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22"/>
      <c r="N8" s="119"/>
      <c r="O8" s="8" t="s">
        <v>111</v>
      </c>
      <c r="P8" s="8" t="s">
        <v>112</v>
      </c>
      <c r="Q8" s="8" t="s">
        <v>112</v>
      </c>
      <c r="R8" s="8" t="s">
        <v>111</v>
      </c>
      <c r="S8" s="8" t="s">
        <v>112</v>
      </c>
      <c r="T8" s="8" t="s">
        <v>112</v>
      </c>
      <c r="U8" s="119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19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22</v>
      </c>
      <c r="AJ8" s="5">
        <f t="shared" si="2"/>
        <v>2</v>
      </c>
      <c r="AK8" s="5"/>
      <c r="AL8" s="9"/>
      <c r="AM8"/>
      <c r="AN8"/>
    </row>
    <row r="9" spans="1:40" x14ac:dyDescent="0.25">
      <c r="A9" s="21">
        <v>5</v>
      </c>
      <c r="B9" s="24" t="s">
        <v>57</v>
      </c>
      <c r="C9" s="25" t="s">
        <v>477</v>
      </c>
      <c r="D9" s="20" t="s">
        <v>617</v>
      </c>
      <c r="E9" s="8" t="s">
        <v>111</v>
      </c>
      <c r="F9" s="8" t="s">
        <v>111</v>
      </c>
      <c r="G9" s="119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111</v>
      </c>
      <c r="M9" s="122"/>
      <c r="N9" s="119"/>
      <c r="O9" s="8" t="s">
        <v>111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112</v>
      </c>
      <c r="U9" s="119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112</v>
      </c>
      <c r="AA9" s="8" t="s">
        <v>112</v>
      </c>
      <c r="AB9" s="119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112</v>
      </c>
      <c r="AH9" s="8"/>
      <c r="AI9" s="5">
        <f t="shared" si="1"/>
        <v>19</v>
      </c>
      <c r="AJ9" s="5">
        <f t="shared" si="2"/>
        <v>5</v>
      </c>
      <c r="AK9" s="5"/>
      <c r="AL9" s="9"/>
    </row>
    <row r="10" spans="1:40" x14ac:dyDescent="0.25">
      <c r="A10" s="9">
        <v>6</v>
      </c>
      <c r="B10" s="24" t="s">
        <v>624</v>
      </c>
      <c r="C10" s="25" t="s">
        <v>403</v>
      </c>
      <c r="D10" s="20" t="s">
        <v>617</v>
      </c>
      <c r="E10" s="8" t="s">
        <v>112</v>
      </c>
      <c r="F10" s="8" t="s">
        <v>112</v>
      </c>
      <c r="G10" s="119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2"/>
      <c r="N10" s="119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119"/>
      <c r="V10" s="8" t="s">
        <v>112</v>
      </c>
      <c r="W10" s="8" t="s">
        <v>111</v>
      </c>
      <c r="X10" s="8" t="s">
        <v>111</v>
      </c>
      <c r="Y10" s="8" t="s">
        <v>112</v>
      </c>
      <c r="Z10" s="8" t="s">
        <v>112</v>
      </c>
      <c r="AA10" s="8" t="s">
        <v>112</v>
      </c>
      <c r="AB10" s="119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22</v>
      </c>
      <c r="AJ10" s="5">
        <f t="shared" si="2"/>
        <v>2</v>
      </c>
    </row>
    <row r="11" spans="1:40" ht="15.75" x14ac:dyDescent="0.25">
      <c r="A11" s="21">
        <v>7</v>
      </c>
      <c r="B11" s="24" t="s">
        <v>625</v>
      </c>
      <c r="C11" s="25" t="s">
        <v>174</v>
      </c>
      <c r="D11" s="20" t="s">
        <v>617</v>
      </c>
      <c r="E11" s="8" t="s">
        <v>112</v>
      </c>
      <c r="F11" s="8" t="s">
        <v>112</v>
      </c>
      <c r="G11" s="119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111</v>
      </c>
      <c r="M11" s="122"/>
      <c r="N11" s="119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19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111</v>
      </c>
      <c r="AB11" s="119"/>
      <c r="AC11" s="8" t="s">
        <v>112</v>
      </c>
      <c r="AD11" s="8" t="s">
        <v>112</v>
      </c>
      <c r="AE11" s="8" t="s">
        <v>112</v>
      </c>
      <c r="AF11" s="8" t="s">
        <v>112</v>
      </c>
      <c r="AG11" s="8" t="s">
        <v>112</v>
      </c>
      <c r="AH11" s="8"/>
      <c r="AI11" s="5">
        <f t="shared" si="1"/>
        <v>22</v>
      </c>
      <c r="AJ11" s="5">
        <f t="shared" si="2"/>
        <v>2</v>
      </c>
      <c r="AK11" s="110" t="s">
        <v>9</v>
      </c>
      <c r="AL11" s="111"/>
      <c r="AM11" s="111"/>
      <c r="AN11" s="112"/>
    </row>
    <row r="12" spans="1:40" x14ac:dyDescent="0.25">
      <c r="A12" s="9">
        <v>8</v>
      </c>
      <c r="B12" s="24" t="s">
        <v>626</v>
      </c>
      <c r="C12" s="25" t="s">
        <v>95</v>
      </c>
      <c r="D12" s="20" t="s">
        <v>617</v>
      </c>
      <c r="E12" s="8" t="s">
        <v>112</v>
      </c>
      <c r="F12" s="8" t="s">
        <v>112</v>
      </c>
      <c r="G12" s="119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22"/>
      <c r="N12" s="119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119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19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24</v>
      </c>
      <c r="AJ12" s="5">
        <f t="shared" si="2"/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627</v>
      </c>
      <c r="C13" s="25" t="s">
        <v>520</v>
      </c>
      <c r="D13" s="20" t="s">
        <v>617</v>
      </c>
      <c r="E13" s="8" t="s">
        <v>112</v>
      </c>
      <c r="F13" s="8" t="s">
        <v>111</v>
      </c>
      <c r="G13" s="119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2"/>
      <c r="N13" s="119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19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19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9">
        <f>17*$AL$5</f>
        <v>425</v>
      </c>
      <c r="AM13" s="9">
        <f>28*$AL$5</f>
        <v>700</v>
      </c>
      <c r="AN13" s="9">
        <f>SUM(AL13:AM13)</f>
        <v>1125</v>
      </c>
    </row>
    <row r="14" spans="1:40" x14ac:dyDescent="0.25">
      <c r="A14" s="9">
        <v>10</v>
      </c>
      <c r="B14" s="24" t="s">
        <v>628</v>
      </c>
      <c r="C14" s="25" t="s">
        <v>629</v>
      </c>
      <c r="D14" s="20" t="s">
        <v>617</v>
      </c>
      <c r="E14" s="8" t="s">
        <v>112</v>
      </c>
      <c r="F14" s="8" t="s">
        <v>112</v>
      </c>
      <c r="G14" s="119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2"/>
      <c r="N14" s="119"/>
      <c r="O14" s="8" t="s">
        <v>112</v>
      </c>
      <c r="P14" s="8" t="s">
        <v>112</v>
      </c>
      <c r="Q14" s="8" t="s">
        <v>111</v>
      </c>
      <c r="R14" s="8" t="s">
        <v>112</v>
      </c>
      <c r="S14" s="8" t="s">
        <v>111</v>
      </c>
      <c r="T14" s="8" t="s">
        <v>111</v>
      </c>
      <c r="U14" s="119"/>
      <c r="V14" s="8" t="s">
        <v>112</v>
      </c>
      <c r="W14" s="8" t="s">
        <v>111</v>
      </c>
      <c r="X14" s="8" t="s">
        <v>112</v>
      </c>
      <c r="Y14" s="8" t="s">
        <v>112</v>
      </c>
      <c r="Z14" s="8" t="s">
        <v>112</v>
      </c>
      <c r="AA14" s="8" t="s">
        <v>112</v>
      </c>
      <c r="AB14" s="119"/>
      <c r="AC14" s="8" t="s">
        <v>112</v>
      </c>
      <c r="AD14" s="8" t="s">
        <v>112</v>
      </c>
      <c r="AE14" s="8" t="s">
        <v>112</v>
      </c>
      <c r="AF14" s="8" t="s">
        <v>112</v>
      </c>
      <c r="AG14" s="8" t="s">
        <v>111</v>
      </c>
      <c r="AH14" s="8"/>
      <c r="AI14" s="5">
        <f t="shared" si="1"/>
        <v>19</v>
      </c>
      <c r="AJ14" s="5">
        <f t="shared" si="2"/>
        <v>5</v>
      </c>
      <c r="AK14" s="5" t="s">
        <v>15</v>
      </c>
      <c r="AL14" s="9">
        <f>SUM(AI5:AI21)</f>
        <v>362</v>
      </c>
      <c r="AM14" s="9">
        <f>SUM(AI22:AI49)</f>
        <v>627</v>
      </c>
      <c r="AN14" s="9">
        <f>AL14+AM14</f>
        <v>989</v>
      </c>
    </row>
    <row r="15" spans="1:40" x14ac:dyDescent="0.25">
      <c r="A15" s="21">
        <v>11</v>
      </c>
      <c r="B15" s="24" t="s">
        <v>630</v>
      </c>
      <c r="C15" s="25" t="s">
        <v>563</v>
      </c>
      <c r="D15" s="20" t="s">
        <v>617</v>
      </c>
      <c r="E15" s="8" t="s">
        <v>112</v>
      </c>
      <c r="F15" s="8" t="s">
        <v>112</v>
      </c>
      <c r="G15" s="119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2"/>
      <c r="N15" s="119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19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19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111</v>
      </c>
      <c r="AH15" s="8"/>
      <c r="AI15" s="5">
        <f t="shared" si="1"/>
        <v>23</v>
      </c>
      <c r="AJ15" s="5">
        <f t="shared" si="2"/>
        <v>1</v>
      </c>
      <c r="AK15" s="5" t="s">
        <v>16</v>
      </c>
      <c r="AL15" s="12">
        <f>AL14/AL13</f>
        <v>0.85176470588235298</v>
      </c>
      <c r="AM15" s="12">
        <f>AM14/AM13</f>
        <v>0.89571428571428569</v>
      </c>
      <c r="AN15" s="12">
        <f>AN14/AN13</f>
        <v>0.87911111111111107</v>
      </c>
    </row>
    <row r="16" spans="1:40" x14ac:dyDescent="0.25">
      <c r="A16" s="9">
        <v>12</v>
      </c>
      <c r="B16" s="24" t="s">
        <v>631</v>
      </c>
      <c r="C16" s="25" t="s">
        <v>335</v>
      </c>
      <c r="D16" s="20" t="s">
        <v>617</v>
      </c>
      <c r="E16" s="8" t="s">
        <v>112</v>
      </c>
      <c r="F16" s="8" t="s">
        <v>112</v>
      </c>
      <c r="G16" s="119"/>
      <c r="H16" s="8" t="s">
        <v>111</v>
      </c>
      <c r="I16" s="8" t="s">
        <v>112</v>
      </c>
      <c r="J16" s="8" t="s">
        <v>111</v>
      </c>
      <c r="K16" s="8" t="s">
        <v>111</v>
      </c>
      <c r="L16" s="8" t="s">
        <v>111</v>
      </c>
      <c r="M16" s="122"/>
      <c r="N16" s="119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111</v>
      </c>
      <c r="U16" s="119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111</v>
      </c>
      <c r="AB16" s="119"/>
      <c r="AC16" s="8" t="s">
        <v>111</v>
      </c>
      <c r="AD16" s="8" t="s">
        <v>112</v>
      </c>
      <c r="AE16" s="8" t="s">
        <v>112</v>
      </c>
      <c r="AF16" s="8" t="s">
        <v>112</v>
      </c>
      <c r="AG16" s="8" t="s">
        <v>111</v>
      </c>
      <c r="AH16" s="8"/>
      <c r="AI16" s="5">
        <f t="shared" si="1"/>
        <v>16</v>
      </c>
      <c r="AJ16" s="5">
        <f t="shared" si="2"/>
        <v>8</v>
      </c>
      <c r="AK16"/>
      <c r="AL16"/>
      <c r="AM16"/>
      <c r="AN16"/>
    </row>
    <row r="17" spans="1:40" x14ac:dyDescent="0.25">
      <c r="A17" s="21">
        <v>13</v>
      </c>
      <c r="B17" s="24" t="s">
        <v>632</v>
      </c>
      <c r="C17" s="25" t="s">
        <v>633</v>
      </c>
      <c r="D17" s="20" t="s">
        <v>617</v>
      </c>
      <c r="E17" s="8" t="s">
        <v>112</v>
      </c>
      <c r="F17" s="8" t="s">
        <v>112</v>
      </c>
      <c r="G17" s="119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2"/>
      <c r="N17" s="119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19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19"/>
      <c r="AC17" s="8" t="s">
        <v>112</v>
      </c>
      <c r="AD17" s="8" t="s">
        <v>112</v>
      </c>
      <c r="AE17" s="8" t="s">
        <v>112</v>
      </c>
      <c r="AF17" s="8" t="s">
        <v>112</v>
      </c>
      <c r="AG17" s="8" t="s">
        <v>111</v>
      </c>
      <c r="AH17" s="8"/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9">
        <v>14</v>
      </c>
      <c r="B18" s="24" t="s">
        <v>634</v>
      </c>
      <c r="C18" s="25" t="s">
        <v>635</v>
      </c>
      <c r="D18" s="20" t="s">
        <v>617</v>
      </c>
      <c r="E18" s="8" t="s">
        <v>112</v>
      </c>
      <c r="F18" s="8" t="s">
        <v>112</v>
      </c>
      <c r="G18" s="119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122"/>
      <c r="N18" s="119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19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111</v>
      </c>
      <c r="AB18" s="119"/>
      <c r="AC18" s="8" t="s">
        <v>112</v>
      </c>
      <c r="AD18" s="8" t="s">
        <v>112</v>
      </c>
      <c r="AE18" s="8" t="s">
        <v>112</v>
      </c>
      <c r="AF18" s="8" t="s">
        <v>112</v>
      </c>
      <c r="AG18" s="8" t="s">
        <v>111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5.75" x14ac:dyDescent="0.25">
      <c r="A19" s="21">
        <v>15</v>
      </c>
      <c r="B19" s="24" t="s">
        <v>636</v>
      </c>
      <c r="C19" s="25" t="s">
        <v>182</v>
      </c>
      <c r="D19" s="20" t="s">
        <v>617</v>
      </c>
      <c r="E19" s="8" t="s">
        <v>112</v>
      </c>
      <c r="F19" s="8" t="s">
        <v>112</v>
      </c>
      <c r="G19" s="119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2"/>
      <c r="N19" s="119"/>
      <c r="O19" s="8" t="s">
        <v>111</v>
      </c>
      <c r="P19" s="8" t="s">
        <v>111</v>
      </c>
      <c r="Q19" s="8" t="s">
        <v>112</v>
      </c>
      <c r="R19" s="8" t="s">
        <v>112</v>
      </c>
      <c r="S19" s="8" t="s">
        <v>112</v>
      </c>
      <c r="T19" s="8" t="s">
        <v>111</v>
      </c>
      <c r="U19" s="119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111</v>
      </c>
      <c r="AB19" s="119"/>
      <c r="AC19" s="8" t="s">
        <v>111</v>
      </c>
      <c r="AD19" s="8" t="s">
        <v>112</v>
      </c>
      <c r="AE19" s="8" t="s">
        <v>112</v>
      </c>
      <c r="AF19" s="8" t="s">
        <v>112</v>
      </c>
      <c r="AG19" s="8" t="s">
        <v>111</v>
      </c>
      <c r="AH19" s="8"/>
      <c r="AI19" s="5">
        <f t="shared" si="1"/>
        <v>18</v>
      </c>
      <c r="AJ19" s="5">
        <f t="shared" si="2"/>
        <v>6</v>
      </c>
      <c r="AK19" s="110" t="s">
        <v>128</v>
      </c>
      <c r="AL19" s="111"/>
      <c r="AM19" s="111"/>
      <c r="AN19" s="112"/>
    </row>
    <row r="20" spans="1:40" x14ac:dyDescent="0.25">
      <c r="A20" s="9">
        <v>16</v>
      </c>
      <c r="B20" s="24" t="s">
        <v>637</v>
      </c>
      <c r="C20" s="25" t="s">
        <v>638</v>
      </c>
      <c r="D20" s="20" t="s">
        <v>617</v>
      </c>
      <c r="E20" s="8" t="s">
        <v>112</v>
      </c>
      <c r="F20" s="8" t="s">
        <v>112</v>
      </c>
      <c r="G20" s="119"/>
      <c r="H20" s="8" t="s">
        <v>112</v>
      </c>
      <c r="I20" s="8" t="s">
        <v>111</v>
      </c>
      <c r="J20" s="8" t="s">
        <v>112</v>
      </c>
      <c r="K20" s="8" t="s">
        <v>111</v>
      </c>
      <c r="L20" s="8" t="s">
        <v>112</v>
      </c>
      <c r="M20" s="122"/>
      <c r="N20" s="119"/>
      <c r="O20" s="8" t="s">
        <v>112</v>
      </c>
      <c r="P20" s="8" t="s">
        <v>112</v>
      </c>
      <c r="Q20" s="8" t="s">
        <v>111</v>
      </c>
      <c r="R20" s="8" t="s">
        <v>112</v>
      </c>
      <c r="S20" s="8" t="s">
        <v>112</v>
      </c>
      <c r="T20" s="8" t="s">
        <v>112</v>
      </c>
      <c r="U20" s="119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19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111</v>
      </c>
      <c r="AH20" s="8"/>
      <c r="AI20" s="5">
        <f t="shared" si="1"/>
        <v>20</v>
      </c>
      <c r="AJ20" s="5">
        <f t="shared" si="2"/>
        <v>4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639</v>
      </c>
      <c r="C21" s="25" t="s">
        <v>640</v>
      </c>
      <c r="D21" s="20" t="s">
        <v>617</v>
      </c>
      <c r="E21" s="8" t="s">
        <v>112</v>
      </c>
      <c r="F21" s="8" t="s">
        <v>112</v>
      </c>
      <c r="G21" s="119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22"/>
      <c r="N21" s="119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19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19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111</v>
      </c>
      <c r="AH21" s="8"/>
      <c r="AI21" s="5">
        <f t="shared" si="1"/>
        <v>23</v>
      </c>
      <c r="AJ21" s="5">
        <f t="shared" si="2"/>
        <v>1</v>
      </c>
      <c r="AK21" s="5" t="s">
        <v>14</v>
      </c>
      <c r="AL21" s="9">
        <f>17*$AL$5</f>
        <v>425</v>
      </c>
      <c r="AM21" s="9">
        <f>28*$AL$5</f>
        <v>700</v>
      </c>
      <c r="AN21" s="9">
        <f>AL21+AM21</f>
        <v>1125</v>
      </c>
    </row>
    <row r="22" spans="1:40" x14ac:dyDescent="0.25">
      <c r="A22" s="9">
        <v>1</v>
      </c>
      <c r="B22" s="24" t="s">
        <v>132</v>
      </c>
      <c r="C22" s="25" t="s">
        <v>96</v>
      </c>
      <c r="D22" s="20" t="s">
        <v>617</v>
      </c>
      <c r="E22" s="8" t="s">
        <v>112</v>
      </c>
      <c r="F22" s="8" t="s">
        <v>112</v>
      </c>
      <c r="G22" s="119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2"/>
      <c r="N22" s="119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19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19"/>
      <c r="AC22" s="8" t="s">
        <v>112</v>
      </c>
      <c r="AD22" s="8" t="s">
        <v>112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24</v>
      </c>
      <c r="AJ22" s="5">
        <f t="shared" si="2"/>
        <v>0</v>
      </c>
      <c r="AK22" s="5" t="s">
        <v>17</v>
      </c>
      <c r="AL22" s="9">
        <f>AL21-AL14</f>
        <v>63</v>
      </c>
      <c r="AM22" s="9">
        <f>AM21-AM14</f>
        <v>73</v>
      </c>
      <c r="AN22" s="9">
        <f>AL22+AM22</f>
        <v>136</v>
      </c>
    </row>
    <row r="23" spans="1:40" x14ac:dyDescent="0.25">
      <c r="A23" s="21">
        <v>2</v>
      </c>
      <c r="B23" s="24" t="s">
        <v>137</v>
      </c>
      <c r="C23" s="25" t="s">
        <v>229</v>
      </c>
      <c r="D23" s="20" t="s">
        <v>617</v>
      </c>
      <c r="E23" s="8" t="s">
        <v>112</v>
      </c>
      <c r="F23" s="8" t="s">
        <v>112</v>
      </c>
      <c r="G23" s="119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122"/>
      <c r="N23" s="119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19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19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112</v>
      </c>
      <c r="AH23" s="8"/>
      <c r="AI23" s="5">
        <f t="shared" si="1"/>
        <v>24</v>
      </c>
      <c r="AJ23" s="5">
        <f t="shared" si="2"/>
        <v>0</v>
      </c>
      <c r="AK23" s="5" t="s">
        <v>16</v>
      </c>
      <c r="AL23" s="12">
        <f>AL22/AL21</f>
        <v>0.14823529411764705</v>
      </c>
      <c r="AM23" s="12">
        <f>AM22/AM21</f>
        <v>0.10428571428571429</v>
      </c>
      <c r="AN23" s="12">
        <f>AN22/AN21</f>
        <v>0.12088888888888889</v>
      </c>
    </row>
    <row r="24" spans="1:40" x14ac:dyDescent="0.25">
      <c r="A24" s="9">
        <v>3</v>
      </c>
      <c r="B24" s="24" t="s">
        <v>641</v>
      </c>
      <c r="C24" s="25" t="s">
        <v>403</v>
      </c>
      <c r="D24" s="20" t="s">
        <v>617</v>
      </c>
      <c r="E24" s="8" t="s">
        <v>112</v>
      </c>
      <c r="F24" s="8" t="s">
        <v>112</v>
      </c>
      <c r="G24" s="119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2"/>
      <c r="N24" s="119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19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19"/>
      <c r="AC24" s="8" t="s">
        <v>112</v>
      </c>
      <c r="AD24" s="8" t="s">
        <v>112</v>
      </c>
      <c r="AE24" s="8" t="s">
        <v>112</v>
      </c>
      <c r="AF24" s="8" t="s">
        <v>112</v>
      </c>
      <c r="AG24" s="8" t="s">
        <v>112</v>
      </c>
      <c r="AH24" s="8"/>
      <c r="AI24" s="5">
        <f t="shared" si="1"/>
        <v>24</v>
      </c>
      <c r="AJ24" s="5">
        <f t="shared" si="2"/>
        <v>0</v>
      </c>
    </row>
    <row r="25" spans="1:40" x14ac:dyDescent="0.25">
      <c r="A25" s="21">
        <v>4</v>
      </c>
      <c r="B25" s="24" t="s">
        <v>141</v>
      </c>
      <c r="C25" s="25" t="s">
        <v>483</v>
      </c>
      <c r="D25" s="20" t="s">
        <v>617</v>
      </c>
      <c r="E25" s="8" t="s">
        <v>112</v>
      </c>
      <c r="F25" s="8" t="s">
        <v>112</v>
      </c>
      <c r="G25" s="119"/>
      <c r="H25" s="8" t="s">
        <v>111</v>
      </c>
      <c r="I25" s="8" t="s">
        <v>112</v>
      </c>
      <c r="J25" s="8" t="s">
        <v>112</v>
      </c>
      <c r="K25" s="8" t="s">
        <v>112</v>
      </c>
      <c r="L25" s="8" t="s">
        <v>112</v>
      </c>
      <c r="M25" s="122"/>
      <c r="N25" s="119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119"/>
      <c r="V25" s="8" t="s">
        <v>112</v>
      </c>
      <c r="W25" s="8" t="s">
        <v>112</v>
      </c>
      <c r="X25" s="8" t="s">
        <v>111</v>
      </c>
      <c r="Y25" s="8" t="s">
        <v>112</v>
      </c>
      <c r="Z25" s="8" t="s">
        <v>112</v>
      </c>
      <c r="AA25" s="8" t="s">
        <v>111</v>
      </c>
      <c r="AB25" s="119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9">
        <v>5</v>
      </c>
      <c r="B26" s="24" t="s">
        <v>143</v>
      </c>
      <c r="C26" s="24" t="s">
        <v>577</v>
      </c>
      <c r="D26" s="20" t="s">
        <v>617</v>
      </c>
      <c r="E26" s="8" t="s">
        <v>112</v>
      </c>
      <c r="F26" s="8" t="s">
        <v>112</v>
      </c>
      <c r="G26" s="119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2"/>
      <c r="N26" s="119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19"/>
      <c r="V26" s="8" t="s">
        <v>112</v>
      </c>
      <c r="W26" s="8" t="s">
        <v>111</v>
      </c>
      <c r="X26" s="8" t="s">
        <v>112</v>
      </c>
      <c r="Y26" s="8" t="s">
        <v>112</v>
      </c>
      <c r="Z26" s="8" t="s">
        <v>112</v>
      </c>
      <c r="AA26" s="8" t="s">
        <v>112</v>
      </c>
      <c r="AB26" s="119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23</v>
      </c>
      <c r="AJ26" s="5">
        <f t="shared" si="2"/>
        <v>1</v>
      </c>
    </row>
    <row r="27" spans="1:40" x14ac:dyDescent="0.25">
      <c r="A27" s="21">
        <v>6</v>
      </c>
      <c r="B27" s="24" t="s">
        <v>593</v>
      </c>
      <c r="C27" s="25" t="s">
        <v>642</v>
      </c>
      <c r="D27" s="20" t="s">
        <v>617</v>
      </c>
      <c r="E27" s="8" t="s">
        <v>112</v>
      </c>
      <c r="F27" s="8" t="s">
        <v>112</v>
      </c>
      <c r="G27" s="119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2"/>
      <c r="N27" s="119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19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19"/>
      <c r="AC27" s="8" t="s">
        <v>112</v>
      </c>
      <c r="AD27" s="8" t="s">
        <v>112</v>
      </c>
      <c r="AE27" s="8" t="s">
        <v>112</v>
      </c>
      <c r="AF27" s="8" t="s">
        <v>112</v>
      </c>
      <c r="AG27" s="8" t="s">
        <v>112</v>
      </c>
      <c r="AH27" s="8"/>
      <c r="AI27" s="5">
        <f t="shared" si="1"/>
        <v>24</v>
      </c>
      <c r="AJ27" s="5">
        <f t="shared" si="2"/>
        <v>0</v>
      </c>
    </row>
    <row r="28" spans="1:40" x14ac:dyDescent="0.25">
      <c r="A28" s="9">
        <v>7</v>
      </c>
      <c r="B28" s="28" t="s">
        <v>643</v>
      </c>
      <c r="C28" s="29" t="s">
        <v>644</v>
      </c>
      <c r="D28" s="20" t="s">
        <v>617</v>
      </c>
      <c r="E28" s="8" t="s">
        <v>112</v>
      </c>
      <c r="F28" s="8" t="s">
        <v>112</v>
      </c>
      <c r="G28" s="119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113</v>
      </c>
      <c r="M28" s="122"/>
      <c r="N28" s="119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19"/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8" t="s">
        <v>112</v>
      </c>
      <c r="AB28" s="119"/>
      <c r="AC28" s="8" t="s">
        <v>112</v>
      </c>
      <c r="AD28" s="8" t="s">
        <v>112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23</v>
      </c>
      <c r="AJ28" s="5">
        <f t="shared" si="2"/>
        <v>0</v>
      </c>
    </row>
    <row r="29" spans="1:40" x14ac:dyDescent="0.25">
      <c r="A29" s="21">
        <v>8</v>
      </c>
      <c r="B29" s="30" t="s">
        <v>645</v>
      </c>
      <c r="C29" s="30" t="s">
        <v>646</v>
      </c>
      <c r="D29" s="20" t="s">
        <v>617</v>
      </c>
      <c r="E29" s="8" t="s">
        <v>112</v>
      </c>
      <c r="F29" s="8" t="s">
        <v>112</v>
      </c>
      <c r="G29" s="119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22"/>
      <c r="N29" s="119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113</v>
      </c>
      <c r="T29" s="8" t="s">
        <v>112</v>
      </c>
      <c r="U29" s="119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19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23</v>
      </c>
      <c r="AJ29" s="5">
        <f t="shared" si="2"/>
        <v>0</v>
      </c>
    </row>
    <row r="30" spans="1:40" x14ac:dyDescent="0.25">
      <c r="A30" s="9">
        <v>9</v>
      </c>
      <c r="B30" s="30" t="s">
        <v>528</v>
      </c>
      <c r="C30" s="30" t="s">
        <v>292</v>
      </c>
      <c r="D30" s="20" t="s">
        <v>617</v>
      </c>
      <c r="E30" s="8" t="s">
        <v>112</v>
      </c>
      <c r="F30" s="8" t="s">
        <v>112</v>
      </c>
      <c r="G30" s="119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2"/>
      <c r="N30" s="119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19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19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1">
        <v>10</v>
      </c>
      <c r="B31" s="30" t="s">
        <v>528</v>
      </c>
      <c r="C31" s="30" t="s">
        <v>647</v>
      </c>
      <c r="D31" s="20" t="s">
        <v>617</v>
      </c>
      <c r="E31" s="8" t="s">
        <v>112</v>
      </c>
      <c r="F31" s="8" t="s">
        <v>112</v>
      </c>
      <c r="G31" s="119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122"/>
      <c r="N31" s="119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19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19"/>
      <c r="AC31" s="8" t="s">
        <v>112</v>
      </c>
      <c r="AD31" s="8" t="s">
        <v>112</v>
      </c>
      <c r="AE31" s="8" t="s">
        <v>112</v>
      </c>
      <c r="AF31" s="8" t="s">
        <v>112</v>
      </c>
      <c r="AG31" s="8" t="s">
        <v>112</v>
      </c>
      <c r="AH31" s="8"/>
      <c r="AI31" s="5">
        <f t="shared" si="1"/>
        <v>24</v>
      </c>
      <c r="AJ31" s="5">
        <f t="shared" si="2"/>
        <v>0</v>
      </c>
    </row>
    <row r="32" spans="1:40" x14ac:dyDescent="0.25">
      <c r="A32" s="9">
        <v>11</v>
      </c>
      <c r="B32" s="30" t="s">
        <v>648</v>
      </c>
      <c r="C32" s="31" t="s">
        <v>649</v>
      </c>
      <c r="D32" s="20" t="s">
        <v>617</v>
      </c>
      <c r="E32" s="8" t="s">
        <v>112</v>
      </c>
      <c r="F32" s="8" t="s">
        <v>112</v>
      </c>
      <c r="G32" s="119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122"/>
      <c r="N32" s="119"/>
      <c r="O32" s="8" t="s">
        <v>112</v>
      </c>
      <c r="P32" s="8" t="s">
        <v>113</v>
      </c>
      <c r="Q32" s="8" t="s">
        <v>112</v>
      </c>
      <c r="R32" s="8" t="s">
        <v>112</v>
      </c>
      <c r="S32" s="8" t="s">
        <v>112</v>
      </c>
      <c r="T32" s="8" t="s">
        <v>112</v>
      </c>
      <c r="U32" s="119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19"/>
      <c r="AC32" s="8" t="s">
        <v>112</v>
      </c>
      <c r="AD32" s="8" t="s">
        <v>112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23</v>
      </c>
      <c r="AJ32" s="5">
        <f t="shared" si="2"/>
        <v>0</v>
      </c>
    </row>
    <row r="33" spans="1:36" x14ac:dyDescent="0.25">
      <c r="A33" s="21">
        <v>12</v>
      </c>
      <c r="B33" s="27" t="s">
        <v>650</v>
      </c>
      <c r="C33" s="32" t="s">
        <v>89</v>
      </c>
      <c r="D33" s="20" t="s">
        <v>617</v>
      </c>
      <c r="E33" s="8" t="s">
        <v>111</v>
      </c>
      <c r="F33" s="8" t="s">
        <v>111</v>
      </c>
      <c r="G33" s="119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122"/>
      <c r="N33" s="119"/>
      <c r="O33" s="8" t="s">
        <v>111</v>
      </c>
      <c r="P33" s="8" t="s">
        <v>111</v>
      </c>
      <c r="Q33" s="8" t="s">
        <v>111</v>
      </c>
      <c r="R33" s="8" t="s">
        <v>112</v>
      </c>
      <c r="S33" s="8" t="s">
        <v>111</v>
      </c>
      <c r="T33" s="8" t="s">
        <v>111</v>
      </c>
      <c r="U33" s="119"/>
      <c r="V33" s="8" t="s">
        <v>112</v>
      </c>
      <c r="W33" s="8" t="s">
        <v>112</v>
      </c>
      <c r="X33" s="8" t="s">
        <v>112</v>
      </c>
      <c r="Y33" s="8" t="s">
        <v>111</v>
      </c>
      <c r="Z33" s="8" t="s">
        <v>112</v>
      </c>
      <c r="AA33" s="8" t="s">
        <v>111</v>
      </c>
      <c r="AB33" s="119"/>
      <c r="AC33" s="8" t="s">
        <v>112</v>
      </c>
      <c r="AD33" s="8" t="s">
        <v>112</v>
      </c>
      <c r="AE33" s="8" t="s">
        <v>112</v>
      </c>
      <c r="AF33" s="8" t="s">
        <v>112</v>
      </c>
      <c r="AG33" s="8" t="s">
        <v>112</v>
      </c>
      <c r="AH33" s="8"/>
      <c r="AI33" s="5">
        <f t="shared" si="1"/>
        <v>15</v>
      </c>
      <c r="AJ33" s="5">
        <f t="shared" si="2"/>
        <v>9</v>
      </c>
    </row>
    <row r="34" spans="1:36" x14ac:dyDescent="0.25">
      <c r="A34" s="9">
        <v>13</v>
      </c>
      <c r="B34" s="24" t="s">
        <v>651</v>
      </c>
      <c r="C34" s="25" t="s">
        <v>652</v>
      </c>
      <c r="D34" s="20" t="s">
        <v>617</v>
      </c>
      <c r="E34" s="8" t="s">
        <v>112</v>
      </c>
      <c r="F34" s="8" t="s">
        <v>112</v>
      </c>
      <c r="G34" s="119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2"/>
      <c r="N34" s="119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19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19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1">
        <v>14</v>
      </c>
      <c r="B35" s="24" t="s">
        <v>653</v>
      </c>
      <c r="C35" s="25" t="s">
        <v>647</v>
      </c>
      <c r="D35" s="20" t="s">
        <v>617</v>
      </c>
      <c r="E35" s="8" t="s">
        <v>112</v>
      </c>
      <c r="F35" s="8" t="s">
        <v>112</v>
      </c>
      <c r="G35" s="119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2"/>
      <c r="N35" s="119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19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19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9">
        <v>15</v>
      </c>
      <c r="B36" s="14" t="s">
        <v>614</v>
      </c>
      <c r="C36" s="14" t="s">
        <v>654</v>
      </c>
      <c r="D36" s="20" t="s">
        <v>617</v>
      </c>
      <c r="E36" s="8" t="s">
        <v>112</v>
      </c>
      <c r="F36" s="8" t="s">
        <v>112</v>
      </c>
      <c r="G36" s="119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122"/>
      <c r="N36" s="119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119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111</v>
      </c>
      <c r="AB36" s="119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23</v>
      </c>
      <c r="AJ36" s="5">
        <f t="shared" si="2"/>
        <v>1</v>
      </c>
    </row>
    <row r="37" spans="1:36" x14ac:dyDescent="0.25">
      <c r="A37" s="21">
        <v>16</v>
      </c>
      <c r="B37" s="14" t="s">
        <v>655</v>
      </c>
      <c r="C37" s="14" t="s">
        <v>527</v>
      </c>
      <c r="D37" s="20" t="s">
        <v>617</v>
      </c>
      <c r="E37" s="8" t="s">
        <v>112</v>
      </c>
      <c r="F37" s="8" t="s">
        <v>112</v>
      </c>
      <c r="G37" s="119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2"/>
      <c r="N37" s="119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19"/>
      <c r="V37" s="8" t="s">
        <v>111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19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23</v>
      </c>
      <c r="AJ37" s="5">
        <f t="shared" si="2"/>
        <v>1</v>
      </c>
    </row>
    <row r="38" spans="1:36" x14ac:dyDescent="0.25">
      <c r="A38" s="9">
        <v>17</v>
      </c>
      <c r="B38" s="14" t="s">
        <v>656</v>
      </c>
      <c r="C38" s="14" t="s">
        <v>292</v>
      </c>
      <c r="D38" s="20" t="s">
        <v>617</v>
      </c>
      <c r="E38" s="8" t="s">
        <v>112</v>
      </c>
      <c r="F38" s="8" t="s">
        <v>112</v>
      </c>
      <c r="G38" s="119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2"/>
      <c r="N38" s="119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19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19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24</v>
      </c>
      <c r="AJ38" s="5">
        <f t="shared" si="2"/>
        <v>0</v>
      </c>
    </row>
    <row r="39" spans="1:36" x14ac:dyDescent="0.25">
      <c r="A39" s="21">
        <v>18</v>
      </c>
      <c r="B39" s="14" t="s">
        <v>657</v>
      </c>
      <c r="C39" s="14" t="s">
        <v>658</v>
      </c>
      <c r="D39" s="20" t="s">
        <v>617</v>
      </c>
      <c r="E39" s="8" t="s">
        <v>112</v>
      </c>
      <c r="F39" s="8" t="s">
        <v>112</v>
      </c>
      <c r="G39" s="119"/>
      <c r="H39" s="8" t="s">
        <v>111</v>
      </c>
      <c r="I39" s="8" t="s">
        <v>112</v>
      </c>
      <c r="J39" s="8" t="s">
        <v>112</v>
      </c>
      <c r="K39" s="8" t="s">
        <v>112</v>
      </c>
      <c r="L39" s="8" t="s">
        <v>112</v>
      </c>
      <c r="M39" s="122"/>
      <c r="N39" s="119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19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19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23</v>
      </c>
      <c r="AJ39" s="5">
        <f t="shared" si="2"/>
        <v>1</v>
      </c>
    </row>
    <row r="40" spans="1:36" x14ac:dyDescent="0.25">
      <c r="A40" s="9">
        <v>19</v>
      </c>
      <c r="B40" s="14" t="s">
        <v>659</v>
      </c>
      <c r="C40" s="14" t="s">
        <v>98</v>
      </c>
      <c r="D40" s="20" t="s">
        <v>617</v>
      </c>
      <c r="E40" s="8" t="s">
        <v>112</v>
      </c>
      <c r="F40" s="8" t="s">
        <v>112</v>
      </c>
      <c r="G40" s="119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2"/>
      <c r="N40" s="119"/>
      <c r="O40" s="8" t="s">
        <v>112</v>
      </c>
      <c r="P40" s="8" t="s">
        <v>111</v>
      </c>
      <c r="Q40" s="8" t="s">
        <v>112</v>
      </c>
      <c r="R40" s="8" t="s">
        <v>112</v>
      </c>
      <c r="S40" s="8" t="s">
        <v>112</v>
      </c>
      <c r="T40" s="8" t="s">
        <v>112</v>
      </c>
      <c r="U40" s="119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119"/>
      <c r="AC40" s="8" t="s">
        <v>112</v>
      </c>
      <c r="AD40" s="8" t="s">
        <v>112</v>
      </c>
      <c r="AE40" s="8" t="s">
        <v>112</v>
      </c>
      <c r="AF40" s="8" t="s">
        <v>112</v>
      </c>
      <c r="AG40" s="8" t="s">
        <v>112</v>
      </c>
      <c r="AH40" s="8"/>
      <c r="AI40" s="5">
        <f t="shared" si="1"/>
        <v>22</v>
      </c>
      <c r="AJ40" s="5">
        <f t="shared" si="2"/>
        <v>2</v>
      </c>
    </row>
    <row r="41" spans="1:36" x14ac:dyDescent="0.25">
      <c r="A41" s="21">
        <v>20</v>
      </c>
      <c r="B41" s="14" t="s">
        <v>660</v>
      </c>
      <c r="C41" s="14" t="s">
        <v>661</v>
      </c>
      <c r="D41" s="20" t="s">
        <v>617</v>
      </c>
      <c r="E41" s="8" t="s">
        <v>112</v>
      </c>
      <c r="F41" s="8" t="s">
        <v>112</v>
      </c>
      <c r="G41" s="119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2"/>
      <c r="N41" s="119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119"/>
      <c r="V41" s="8" t="s">
        <v>111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19"/>
      <c r="AC41" s="8" t="s">
        <v>112</v>
      </c>
      <c r="AD41" s="8" t="s">
        <v>112</v>
      </c>
      <c r="AE41" s="8" t="s">
        <v>112</v>
      </c>
      <c r="AF41" s="8" t="s">
        <v>112</v>
      </c>
      <c r="AG41" s="8" t="s">
        <v>112</v>
      </c>
      <c r="AH41" s="8"/>
      <c r="AI41" s="5">
        <f t="shared" si="1"/>
        <v>23</v>
      </c>
      <c r="AJ41" s="5">
        <f t="shared" si="2"/>
        <v>1</v>
      </c>
    </row>
    <row r="42" spans="1:36" x14ac:dyDescent="0.25">
      <c r="A42" s="9">
        <v>21</v>
      </c>
      <c r="B42" s="14" t="s">
        <v>662</v>
      </c>
      <c r="C42" s="14" t="s">
        <v>486</v>
      </c>
      <c r="D42" s="20" t="s">
        <v>617</v>
      </c>
      <c r="E42" s="8" t="s">
        <v>112</v>
      </c>
      <c r="F42" s="8" t="s">
        <v>112</v>
      </c>
      <c r="G42" s="119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2"/>
      <c r="N42" s="119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19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19"/>
      <c r="AC42" s="8" t="s">
        <v>112</v>
      </c>
      <c r="AD42" s="8" t="s">
        <v>112</v>
      </c>
      <c r="AE42" s="8" t="s">
        <v>112</v>
      </c>
      <c r="AF42" s="8" t="s">
        <v>112</v>
      </c>
      <c r="AG42" s="8" t="s">
        <v>112</v>
      </c>
      <c r="AH42" s="8"/>
      <c r="AI42" s="5">
        <f t="shared" si="1"/>
        <v>24</v>
      </c>
      <c r="AJ42" s="5">
        <f t="shared" si="2"/>
        <v>0</v>
      </c>
    </row>
    <row r="43" spans="1:36" x14ac:dyDescent="0.25">
      <c r="A43" s="21">
        <v>22</v>
      </c>
      <c r="B43" s="14" t="s">
        <v>663</v>
      </c>
      <c r="C43" s="14" t="s">
        <v>664</v>
      </c>
      <c r="D43" s="20" t="s">
        <v>617</v>
      </c>
      <c r="E43" s="8" t="s">
        <v>112</v>
      </c>
      <c r="F43" s="8" t="s">
        <v>112</v>
      </c>
      <c r="G43" s="119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2"/>
      <c r="N43" s="119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119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119"/>
      <c r="AC43" s="8" t="s">
        <v>112</v>
      </c>
      <c r="AD43" s="8" t="s">
        <v>112</v>
      </c>
      <c r="AE43" s="8" t="s">
        <v>112</v>
      </c>
      <c r="AF43" s="8" t="s">
        <v>112</v>
      </c>
      <c r="AG43" s="8" t="s">
        <v>112</v>
      </c>
      <c r="AH43" s="8"/>
      <c r="AI43" s="5">
        <f t="shared" si="1"/>
        <v>24</v>
      </c>
      <c r="AJ43" s="5">
        <f t="shared" si="2"/>
        <v>0</v>
      </c>
    </row>
    <row r="44" spans="1:36" x14ac:dyDescent="0.25">
      <c r="A44" s="9">
        <v>23</v>
      </c>
      <c r="B44" s="14" t="s">
        <v>665</v>
      </c>
      <c r="C44" s="14" t="s">
        <v>666</v>
      </c>
      <c r="D44" s="20" t="s">
        <v>617</v>
      </c>
      <c r="E44" s="8" t="s">
        <v>112</v>
      </c>
      <c r="F44" s="8" t="s">
        <v>112</v>
      </c>
      <c r="G44" s="119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22"/>
      <c r="N44" s="119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119"/>
      <c r="V44" s="8" t="s">
        <v>111</v>
      </c>
      <c r="W44" s="8" t="s">
        <v>112</v>
      </c>
      <c r="X44" s="8" t="s">
        <v>111</v>
      </c>
      <c r="Y44" s="8" t="s">
        <v>111</v>
      </c>
      <c r="Z44" s="8" t="s">
        <v>112</v>
      </c>
      <c r="AA44" s="8" t="s">
        <v>111</v>
      </c>
      <c r="AB44" s="119"/>
      <c r="AC44" s="8" t="s">
        <v>112</v>
      </c>
      <c r="AD44" s="8" t="s">
        <v>112</v>
      </c>
      <c r="AE44" s="8" t="s">
        <v>112</v>
      </c>
      <c r="AF44" s="8" t="s">
        <v>112</v>
      </c>
      <c r="AG44" s="8" t="s">
        <v>112</v>
      </c>
      <c r="AH44" s="8"/>
      <c r="AI44" s="5">
        <f t="shared" si="1"/>
        <v>20</v>
      </c>
      <c r="AJ44" s="5">
        <f t="shared" si="2"/>
        <v>4</v>
      </c>
    </row>
    <row r="45" spans="1:36" x14ac:dyDescent="0.25">
      <c r="A45" s="21">
        <v>24</v>
      </c>
      <c r="B45" s="14" t="s">
        <v>667</v>
      </c>
      <c r="C45" s="14" t="s">
        <v>384</v>
      </c>
      <c r="D45" s="20" t="s">
        <v>617</v>
      </c>
      <c r="E45" s="8" t="s">
        <v>112</v>
      </c>
      <c r="F45" s="8" t="s">
        <v>112</v>
      </c>
      <c r="G45" s="119"/>
      <c r="H45" s="8" t="s">
        <v>112</v>
      </c>
      <c r="I45" s="8" t="s">
        <v>111</v>
      </c>
      <c r="J45" s="8" t="s">
        <v>112</v>
      </c>
      <c r="K45" s="8" t="s">
        <v>111</v>
      </c>
      <c r="L45" s="8" t="s">
        <v>111</v>
      </c>
      <c r="M45" s="122"/>
      <c r="N45" s="119"/>
      <c r="O45" s="8" t="s">
        <v>112</v>
      </c>
      <c r="P45" s="8" t="s">
        <v>112</v>
      </c>
      <c r="Q45" s="8" t="s">
        <v>111</v>
      </c>
      <c r="R45" s="8" t="s">
        <v>112</v>
      </c>
      <c r="S45" s="8" t="s">
        <v>112</v>
      </c>
      <c r="T45" s="8" t="s">
        <v>112</v>
      </c>
      <c r="U45" s="119"/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119"/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8"/>
      <c r="AI45" s="5">
        <f t="shared" si="1"/>
        <v>20</v>
      </c>
      <c r="AJ45" s="5">
        <f t="shared" si="2"/>
        <v>4</v>
      </c>
    </row>
    <row r="46" spans="1:36" x14ac:dyDescent="0.25">
      <c r="A46" s="9">
        <v>25</v>
      </c>
      <c r="B46" s="14" t="s">
        <v>668</v>
      </c>
      <c r="C46" s="14" t="s">
        <v>669</v>
      </c>
      <c r="D46" s="20" t="s">
        <v>617</v>
      </c>
      <c r="E46" s="8" t="s">
        <v>111</v>
      </c>
      <c r="F46" s="8" t="s">
        <v>112</v>
      </c>
      <c r="G46" s="119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122"/>
      <c r="N46" s="119"/>
      <c r="O46" s="8" t="s">
        <v>112</v>
      </c>
      <c r="P46" s="8" t="s">
        <v>112</v>
      </c>
      <c r="Q46" s="8" t="s">
        <v>111</v>
      </c>
      <c r="R46" s="8" t="s">
        <v>112</v>
      </c>
      <c r="S46" s="8" t="s">
        <v>112</v>
      </c>
      <c r="T46" s="8" t="s">
        <v>112</v>
      </c>
      <c r="U46" s="119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119"/>
      <c r="AC46" s="8" t="s">
        <v>111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8"/>
      <c r="AI46" s="5">
        <f t="shared" si="1"/>
        <v>20</v>
      </c>
      <c r="AJ46" s="5">
        <f t="shared" si="2"/>
        <v>4</v>
      </c>
    </row>
    <row r="47" spans="1:36" x14ac:dyDescent="0.25">
      <c r="A47" s="21">
        <v>26</v>
      </c>
      <c r="B47" s="14" t="s">
        <v>670</v>
      </c>
      <c r="C47" s="14" t="s">
        <v>671</v>
      </c>
      <c r="D47" s="20" t="s">
        <v>617</v>
      </c>
      <c r="E47" s="8" t="s">
        <v>112</v>
      </c>
      <c r="F47" s="8" t="s">
        <v>112</v>
      </c>
      <c r="G47" s="119"/>
      <c r="H47" s="8" t="s">
        <v>111</v>
      </c>
      <c r="I47" s="8" t="s">
        <v>112</v>
      </c>
      <c r="J47" s="8" t="s">
        <v>111</v>
      </c>
      <c r="K47" s="8" t="s">
        <v>112</v>
      </c>
      <c r="L47" s="8" t="s">
        <v>112</v>
      </c>
      <c r="M47" s="122"/>
      <c r="N47" s="119"/>
      <c r="O47" s="8" t="s">
        <v>112</v>
      </c>
      <c r="P47" s="8" t="s">
        <v>112</v>
      </c>
      <c r="Q47" s="8" t="s">
        <v>111</v>
      </c>
      <c r="R47" s="8" t="s">
        <v>112</v>
      </c>
      <c r="S47" s="8" t="s">
        <v>111</v>
      </c>
      <c r="T47" s="8" t="s">
        <v>112</v>
      </c>
      <c r="U47" s="119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119"/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8"/>
      <c r="AI47" s="5">
        <f t="shared" si="1"/>
        <v>20</v>
      </c>
      <c r="AJ47" s="5">
        <f t="shared" si="2"/>
        <v>4</v>
      </c>
    </row>
    <row r="48" spans="1:36" x14ac:dyDescent="0.25">
      <c r="A48" s="9">
        <v>27</v>
      </c>
      <c r="B48" s="14" t="s">
        <v>672</v>
      </c>
      <c r="C48" s="14" t="s">
        <v>673</v>
      </c>
      <c r="D48" s="20" t="s">
        <v>617</v>
      </c>
      <c r="E48" s="8" t="s">
        <v>111</v>
      </c>
      <c r="F48" s="8" t="s">
        <v>111</v>
      </c>
      <c r="G48" s="119"/>
      <c r="H48" s="8" t="s">
        <v>112</v>
      </c>
      <c r="I48" s="8" t="s">
        <v>112</v>
      </c>
      <c r="J48" s="8" t="s">
        <v>112</v>
      </c>
      <c r="K48" s="8" t="s">
        <v>112</v>
      </c>
      <c r="L48" s="8" t="s">
        <v>111</v>
      </c>
      <c r="M48" s="122"/>
      <c r="N48" s="119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8" t="s">
        <v>112</v>
      </c>
      <c r="U48" s="119"/>
      <c r="V48" s="8" t="s">
        <v>112</v>
      </c>
      <c r="W48" s="8" t="s">
        <v>112</v>
      </c>
      <c r="X48" s="8" t="s">
        <v>112</v>
      </c>
      <c r="Y48" s="8" t="s">
        <v>112</v>
      </c>
      <c r="Z48" s="8" t="s">
        <v>112</v>
      </c>
      <c r="AA48" s="8" t="s">
        <v>112</v>
      </c>
      <c r="AB48" s="119"/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8"/>
      <c r="AI48" s="5">
        <f t="shared" si="1"/>
        <v>21</v>
      </c>
      <c r="AJ48" s="5">
        <f t="shared" si="2"/>
        <v>3</v>
      </c>
    </row>
    <row r="49" spans="1:36" x14ac:dyDescent="0.25">
      <c r="A49" s="21">
        <v>28</v>
      </c>
      <c r="B49" s="14" t="s">
        <v>531</v>
      </c>
      <c r="C49" s="14" t="s">
        <v>503</v>
      </c>
      <c r="D49" s="20" t="s">
        <v>617</v>
      </c>
      <c r="E49" s="8" t="s">
        <v>112</v>
      </c>
      <c r="F49" s="8" t="s">
        <v>112</v>
      </c>
      <c r="G49" s="120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123"/>
      <c r="N49" s="120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8" t="s">
        <v>112</v>
      </c>
      <c r="U49" s="120"/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8" t="s">
        <v>112</v>
      </c>
      <c r="AB49" s="120"/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8"/>
      <c r="AI49" s="5">
        <f t="shared" si="1"/>
        <v>20</v>
      </c>
      <c r="AJ49" s="5">
        <f t="shared" si="2"/>
        <v>4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49"/>
    <mergeCell ref="M5:M49"/>
    <mergeCell ref="N5:N49"/>
    <mergeCell ref="U5:U49"/>
    <mergeCell ref="AB5:AB49"/>
    <mergeCell ref="AK11:AN11"/>
    <mergeCell ref="AK19:AN19"/>
  </mergeCells>
  <conditionalFormatting sqref="E5:N5 U5 AB5 O5:T49 V5:AA49 AC5:AH49 E6:F49 H6:L49 E4:AH4">
    <cfRule type="expression" dxfId="167" priority="17">
      <formula>IF(E$4=TODAY(),TRUE,FALSE)</formula>
    </cfRule>
  </conditionalFormatting>
  <conditionalFormatting sqref="E5:N5 U5 AB5 O5:T49 V5:AA49 AC5:AH49 E6:F49 H6:L49">
    <cfRule type="cellIs" dxfId="166" priority="14" operator="equal">
      <formula>"L"</formula>
    </cfRule>
    <cfRule type="cellIs" dxfId="165" priority="15" operator="equal">
      <formula>"A"</formula>
    </cfRule>
    <cfRule type="cellIs" dxfId="164" priority="16" operator="equal">
      <formula>"P"</formula>
    </cfRule>
  </conditionalFormatting>
  <conditionalFormatting sqref="E3:AH4 E5:N5 U5 AB5 O5:T49 V5:AA49 AC5:AH49 E6:F49 H6:L49">
    <cfRule type="expression" dxfId="163" priority="18">
      <formula>E$3="Sun"</formula>
    </cfRule>
  </conditionalFormatting>
  <conditionalFormatting sqref="AI3:AJ3 AI5:AJ49">
    <cfRule type="expression" dxfId="162" priority="19">
      <formula>#REF!="Sun"</formula>
    </cfRule>
  </conditionalFormatting>
  <conditionalFormatting sqref="AK5:AK9">
    <cfRule type="expression" dxfId="161" priority="4">
      <formula>AK$3="Sun"</formula>
    </cfRule>
  </conditionalFormatting>
  <conditionalFormatting sqref="AK12:AK15">
    <cfRule type="expression" dxfId="160" priority="2">
      <formula>AK$3="Sun"</formula>
    </cfRule>
  </conditionalFormatting>
  <conditionalFormatting sqref="AK20:AK23">
    <cfRule type="expression" dxfId="159" priority="1">
      <formula>AK$3="Sun"</formula>
    </cfRule>
  </conditionalFormatting>
  <conditionalFormatting sqref="AK4:AL4">
    <cfRule type="expression" dxfId="158" priority="5">
      <formula>AK$3="Sun"</formula>
    </cfRule>
  </conditionalFormatting>
  <conditionalFormatting sqref="AL12:AN12 AL20:AN20">
    <cfRule type="expression" dxfId="157" priority="6">
      <formula>AL$3="Sun"</formula>
    </cfRule>
  </conditionalFormatting>
  <conditionalFormatting sqref="AN21">
    <cfRule type="expression" dxfId="156" priority="3">
      <formula>AN$3="Sun"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E5B6-A4C1-4751-A9B1-654D72FC805E}">
  <dimension ref="A1:AM52"/>
  <sheetViews>
    <sheetView topLeftCell="D8" workbookViewId="0">
      <selection activeCell="AL13" sqref="AL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6" width="3.7109375" style="1" bestFit="1" customWidth="1"/>
    <col min="7" max="7" width="3.85546875" style="1" bestFit="1"/>
    <col min="8" max="8" width="4.5703125" style="1" bestFit="1" customWidth="1"/>
    <col min="9" max="20" width="4.5703125" style="1" customWidth="1"/>
    <col min="21" max="21" width="3.85546875" style="1" bestFit="1"/>
    <col min="22" max="22" width="4.7109375" style="1" bestFit="1" customWidth="1"/>
    <col min="23" max="23" width="3.85546875" style="1" bestFit="1"/>
    <col min="24" max="25" width="3.7109375" style="1" bestFit="1" customWidth="1"/>
    <col min="26" max="26" width="3.85546875" style="1" bestFit="1"/>
    <col min="27" max="27" width="4.5703125" style="1" bestFit="1" customWidth="1"/>
    <col min="28" max="28" width="3.85546875" style="1" bestFit="1"/>
    <col min="29" max="29" width="4.7109375" style="1" bestFit="1" customWidth="1"/>
    <col min="30" max="30" width="3.85546875" style="1" bestFit="1"/>
    <col min="31" max="31" width="3.7109375" style="1" bestFit="1" customWidth="1"/>
    <col min="32" max="33" width="3.7109375" style="1" customWidth="1"/>
    <col min="34" max="34" width="6.5703125" style="1" bestFit="1" customWidth="1"/>
    <col min="35" max="35" width="6.140625" style="1" bestFit="1" customWidth="1"/>
    <col min="36" max="36" width="18.5703125" style="1" bestFit="1" customWidth="1"/>
    <col min="37" max="37" width="5.85546875" style="1" bestFit="1" customWidth="1"/>
    <col min="38" max="38" width="14.28515625" style="1" bestFit="1" customWidth="1"/>
    <col min="39" max="39" width="6.7109375" style="1" bestFit="1" customWidth="1"/>
    <col min="40" max="16384" width="3.85546875" style="1"/>
  </cols>
  <sheetData>
    <row r="1" spans="1:39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</row>
    <row r="2" spans="1:39" ht="17.25" x14ac:dyDescent="0.3">
      <c r="A2" s="114" t="s">
        <v>121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</row>
    <row r="3" spans="1:39" ht="15.75" x14ac:dyDescent="0.25">
      <c r="A3" s="127" t="s">
        <v>0</v>
      </c>
      <c r="B3" s="127" t="s">
        <v>1</v>
      </c>
      <c r="C3" s="127" t="s">
        <v>3</v>
      </c>
      <c r="D3" s="2" t="str">
        <f t="shared" ref="D3:AG3" si="0">TEXT(D4,"ddd")</f>
        <v>Fri</v>
      </c>
      <c r="E3" s="2" t="str">
        <f t="shared" si="0"/>
        <v>Sat</v>
      </c>
      <c r="F3" s="2" t="str">
        <f t="shared" si="0"/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115" t="s">
        <v>4</v>
      </c>
      <c r="AI3" s="115" t="s">
        <v>5</v>
      </c>
      <c r="AJ3" s="110" t="s">
        <v>126</v>
      </c>
      <c r="AK3" s="111"/>
      <c r="AL3" s="3"/>
      <c r="AM3" s="3"/>
    </row>
    <row r="4" spans="1:39" ht="37.5" x14ac:dyDescent="0.25">
      <c r="A4" s="128"/>
      <c r="B4" s="128"/>
      <c r="C4" s="128"/>
      <c r="D4" s="13">
        <v>45597</v>
      </c>
      <c r="E4" s="13">
        <v>45598</v>
      </c>
      <c r="F4" s="13">
        <v>45599</v>
      </c>
      <c r="G4" s="13">
        <v>45600</v>
      </c>
      <c r="H4" s="13">
        <v>45601</v>
      </c>
      <c r="I4" s="13">
        <v>45602</v>
      </c>
      <c r="J4" s="13">
        <v>45603</v>
      </c>
      <c r="K4" s="13">
        <v>45604</v>
      </c>
      <c r="L4" s="13">
        <v>45605</v>
      </c>
      <c r="M4" s="13">
        <v>45606</v>
      </c>
      <c r="N4" s="13">
        <v>45607</v>
      </c>
      <c r="O4" s="13">
        <v>45608</v>
      </c>
      <c r="P4" s="13">
        <v>45609</v>
      </c>
      <c r="Q4" s="13">
        <v>45610</v>
      </c>
      <c r="R4" s="13">
        <v>45611</v>
      </c>
      <c r="S4" s="13">
        <v>45612</v>
      </c>
      <c r="T4" s="13">
        <v>45613</v>
      </c>
      <c r="U4" s="13">
        <v>45614</v>
      </c>
      <c r="V4" s="13">
        <v>45615</v>
      </c>
      <c r="W4" s="13">
        <v>45616</v>
      </c>
      <c r="X4" s="13">
        <v>45617</v>
      </c>
      <c r="Y4" s="13">
        <v>45618</v>
      </c>
      <c r="Z4" s="13">
        <v>45619</v>
      </c>
      <c r="AA4" s="13">
        <v>45620</v>
      </c>
      <c r="AB4" s="13">
        <v>45621</v>
      </c>
      <c r="AC4" s="13">
        <v>45622</v>
      </c>
      <c r="AD4" s="13">
        <v>45623</v>
      </c>
      <c r="AE4" s="13">
        <v>45624</v>
      </c>
      <c r="AF4" s="13">
        <v>45625</v>
      </c>
      <c r="AG4" s="13">
        <v>45626</v>
      </c>
      <c r="AH4" s="115"/>
      <c r="AI4" s="115"/>
      <c r="AJ4" s="5" t="s">
        <v>127</v>
      </c>
      <c r="AK4" s="5">
        <f>SUM(AK5:AK8)</f>
        <v>30</v>
      </c>
      <c r="AL4" s="3"/>
      <c r="AM4" s="3"/>
    </row>
    <row r="5" spans="1:39" ht="15" customHeight="1" x14ac:dyDescent="0.25">
      <c r="A5" s="21">
        <v>1</v>
      </c>
      <c r="B5" s="24" t="s">
        <v>115</v>
      </c>
      <c r="C5" s="20" t="s">
        <v>674</v>
      </c>
      <c r="D5" s="8" t="s">
        <v>112</v>
      </c>
      <c r="E5" s="8" t="s">
        <v>112</v>
      </c>
      <c r="F5" s="118" t="s">
        <v>552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1" t="s">
        <v>553</v>
      </c>
      <c r="M5" s="118" t="s">
        <v>552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118" t="s">
        <v>552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111</v>
      </c>
      <c r="AA5" s="118" t="s">
        <v>552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111</v>
      </c>
      <c r="AG5" s="8" t="s">
        <v>112</v>
      </c>
      <c r="AH5" s="5">
        <f t="shared" ref="AH5:AH52" si="1">COUNTIF(D5:AG5,"P")</f>
        <v>23</v>
      </c>
      <c r="AI5" s="5">
        <f t="shared" ref="AI5:AI52" si="2">COUNTIF(D5:AG5,"A")</f>
        <v>2</v>
      </c>
      <c r="AJ5" s="5" t="s">
        <v>7</v>
      </c>
      <c r="AK5" s="9">
        <v>25</v>
      </c>
      <c r="AL5" s="10"/>
      <c r="AM5" s="3"/>
    </row>
    <row r="6" spans="1:39" x14ac:dyDescent="0.25">
      <c r="A6" s="9">
        <v>2</v>
      </c>
      <c r="B6" s="24" t="s">
        <v>675</v>
      </c>
      <c r="C6" s="20" t="s">
        <v>674</v>
      </c>
      <c r="D6" s="8" t="s">
        <v>112</v>
      </c>
      <c r="E6" s="8" t="s">
        <v>111</v>
      </c>
      <c r="F6" s="119"/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2"/>
      <c r="M6" s="119"/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119"/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111</v>
      </c>
      <c r="AA6" s="119"/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111</v>
      </c>
      <c r="AG6" s="8" t="s">
        <v>112</v>
      </c>
      <c r="AH6" s="5">
        <f t="shared" si="1"/>
        <v>22</v>
      </c>
      <c r="AI6" s="5">
        <f t="shared" si="2"/>
        <v>3</v>
      </c>
      <c r="AJ6" s="5" t="s">
        <v>8</v>
      </c>
      <c r="AK6" s="9">
        <v>4</v>
      </c>
      <c r="AL6" s="3"/>
      <c r="AM6" s="3"/>
    </row>
    <row r="7" spans="1:39" x14ac:dyDescent="0.25">
      <c r="A7" s="21">
        <v>3</v>
      </c>
      <c r="B7" s="24" t="s">
        <v>676</v>
      </c>
      <c r="C7" s="20" t="s">
        <v>674</v>
      </c>
      <c r="D7" s="8" t="s">
        <v>112</v>
      </c>
      <c r="E7" s="8" t="s">
        <v>112</v>
      </c>
      <c r="F7" s="119"/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2"/>
      <c r="M7" s="119"/>
      <c r="N7" s="8" t="s">
        <v>112</v>
      </c>
      <c r="O7" s="8" t="s">
        <v>112</v>
      </c>
      <c r="P7" s="8" t="s">
        <v>111</v>
      </c>
      <c r="Q7" s="8" t="s">
        <v>112</v>
      </c>
      <c r="R7" s="8" t="s">
        <v>112</v>
      </c>
      <c r="S7" s="8" t="s">
        <v>112</v>
      </c>
      <c r="T7" s="119"/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119"/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111</v>
      </c>
      <c r="AG7" s="8" t="s">
        <v>112</v>
      </c>
      <c r="AH7" s="5">
        <f t="shared" si="1"/>
        <v>23</v>
      </c>
      <c r="AI7" s="5">
        <f t="shared" si="2"/>
        <v>2</v>
      </c>
      <c r="AJ7" s="5" t="s">
        <v>129</v>
      </c>
      <c r="AK7" s="9">
        <v>1</v>
      </c>
      <c r="AL7" s="3"/>
      <c r="AM7" s="3"/>
    </row>
    <row r="8" spans="1:39" x14ac:dyDescent="0.25">
      <c r="A8" s="9">
        <v>4</v>
      </c>
      <c r="B8" s="24" t="s">
        <v>677</v>
      </c>
      <c r="C8" s="20" t="s">
        <v>674</v>
      </c>
      <c r="D8" s="8" t="s">
        <v>111</v>
      </c>
      <c r="E8" s="8" t="s">
        <v>112</v>
      </c>
      <c r="F8" s="119"/>
      <c r="G8" s="8" t="s">
        <v>112</v>
      </c>
      <c r="H8" s="8" t="s">
        <v>112</v>
      </c>
      <c r="I8" s="8" t="s">
        <v>111</v>
      </c>
      <c r="J8" s="8" t="s">
        <v>112</v>
      </c>
      <c r="K8" s="8" t="s">
        <v>112</v>
      </c>
      <c r="L8" s="122"/>
      <c r="M8" s="119"/>
      <c r="N8" s="8" t="s">
        <v>112</v>
      </c>
      <c r="O8" s="8" t="s">
        <v>111</v>
      </c>
      <c r="P8" s="8" t="s">
        <v>111</v>
      </c>
      <c r="Q8" s="8" t="s">
        <v>112</v>
      </c>
      <c r="R8" s="8" t="s">
        <v>112</v>
      </c>
      <c r="S8" s="8" t="s">
        <v>112</v>
      </c>
      <c r="T8" s="119"/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113</v>
      </c>
      <c r="Z8" s="8" t="s">
        <v>113</v>
      </c>
      <c r="AA8" s="119"/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111</v>
      </c>
      <c r="AG8" s="8" t="s">
        <v>112</v>
      </c>
      <c r="AH8" s="5">
        <f t="shared" si="1"/>
        <v>18</v>
      </c>
      <c r="AI8" s="5">
        <f t="shared" si="2"/>
        <v>5</v>
      </c>
      <c r="AJ8" s="5"/>
      <c r="AK8" s="9"/>
      <c r="AL8"/>
      <c r="AM8"/>
    </row>
    <row r="9" spans="1:39" x14ac:dyDescent="0.25">
      <c r="A9" s="21">
        <v>5</v>
      </c>
      <c r="B9" s="24" t="s">
        <v>678</v>
      </c>
      <c r="C9" s="20" t="s">
        <v>674</v>
      </c>
      <c r="D9" s="8" t="s">
        <v>112</v>
      </c>
      <c r="E9" s="8" t="s">
        <v>112</v>
      </c>
      <c r="F9" s="119"/>
      <c r="G9" s="8" t="s">
        <v>111</v>
      </c>
      <c r="H9" s="8" t="s">
        <v>112</v>
      </c>
      <c r="I9" s="8" t="s">
        <v>112</v>
      </c>
      <c r="J9" s="8" t="s">
        <v>112</v>
      </c>
      <c r="K9" s="8" t="s">
        <v>112</v>
      </c>
      <c r="L9" s="122"/>
      <c r="M9" s="119"/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111</v>
      </c>
      <c r="T9" s="119"/>
      <c r="U9" s="8" t="s">
        <v>112</v>
      </c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119"/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111</v>
      </c>
      <c r="AG9" s="8" t="s">
        <v>112</v>
      </c>
      <c r="AH9" s="5">
        <f t="shared" si="1"/>
        <v>19</v>
      </c>
      <c r="AI9" s="5">
        <f t="shared" si="2"/>
        <v>6</v>
      </c>
      <c r="AJ9" s="5"/>
      <c r="AK9" s="9"/>
    </row>
    <row r="10" spans="1:39" x14ac:dyDescent="0.25">
      <c r="A10" s="9">
        <v>6</v>
      </c>
      <c r="B10" s="24" t="s">
        <v>57</v>
      </c>
      <c r="C10" s="20" t="s">
        <v>674</v>
      </c>
      <c r="D10" s="8" t="s">
        <v>112</v>
      </c>
      <c r="E10" s="8" t="s">
        <v>112</v>
      </c>
      <c r="F10" s="119"/>
      <c r="G10" s="8" t="s">
        <v>112</v>
      </c>
      <c r="H10" s="8" t="s">
        <v>111</v>
      </c>
      <c r="I10" s="8" t="s">
        <v>112</v>
      </c>
      <c r="J10" s="8" t="s">
        <v>112</v>
      </c>
      <c r="K10" s="8" t="s">
        <v>112</v>
      </c>
      <c r="L10" s="122"/>
      <c r="M10" s="119"/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119"/>
      <c r="U10" s="8" t="s">
        <v>112</v>
      </c>
      <c r="V10" s="8" t="s">
        <v>111</v>
      </c>
      <c r="W10" s="8" t="s">
        <v>112</v>
      </c>
      <c r="X10" s="8" t="s">
        <v>112</v>
      </c>
      <c r="Y10" s="8" t="s">
        <v>112</v>
      </c>
      <c r="Z10" s="8" t="s">
        <v>112</v>
      </c>
      <c r="AA10" s="119"/>
      <c r="AB10" s="8" t="s">
        <v>112</v>
      </c>
      <c r="AC10" s="8" t="s">
        <v>112</v>
      </c>
      <c r="AD10" s="8" t="s">
        <v>112</v>
      </c>
      <c r="AE10" s="8" t="s">
        <v>111</v>
      </c>
      <c r="AF10" s="8" t="s">
        <v>111</v>
      </c>
      <c r="AG10" s="8" t="s">
        <v>112</v>
      </c>
      <c r="AH10" s="5">
        <f t="shared" si="1"/>
        <v>21</v>
      </c>
      <c r="AI10" s="5">
        <f t="shared" si="2"/>
        <v>4</v>
      </c>
    </row>
    <row r="11" spans="1:39" ht="15.75" x14ac:dyDescent="0.25">
      <c r="A11" s="21">
        <v>7</v>
      </c>
      <c r="B11" s="24" t="s">
        <v>680</v>
      </c>
      <c r="C11" s="20" t="s">
        <v>674</v>
      </c>
      <c r="D11" s="8" t="s">
        <v>111</v>
      </c>
      <c r="E11" s="8" t="s">
        <v>111</v>
      </c>
      <c r="F11" s="119"/>
      <c r="G11" s="8" t="s">
        <v>112</v>
      </c>
      <c r="H11" s="8" t="s">
        <v>112</v>
      </c>
      <c r="I11" s="8" t="s">
        <v>112</v>
      </c>
      <c r="J11" s="8" t="s">
        <v>111</v>
      </c>
      <c r="K11" s="8" t="s">
        <v>111</v>
      </c>
      <c r="L11" s="122"/>
      <c r="M11" s="119"/>
      <c r="N11" s="8" t="s">
        <v>111</v>
      </c>
      <c r="O11" s="8" t="s">
        <v>111</v>
      </c>
      <c r="P11" s="8" t="s">
        <v>112</v>
      </c>
      <c r="Q11" s="8" t="s">
        <v>112</v>
      </c>
      <c r="R11" s="8" t="s">
        <v>112</v>
      </c>
      <c r="S11" s="8" t="s">
        <v>111</v>
      </c>
      <c r="T11" s="119"/>
      <c r="U11" s="8" t="s">
        <v>111</v>
      </c>
      <c r="V11" s="8" t="s">
        <v>111</v>
      </c>
      <c r="W11" s="8" t="s">
        <v>111</v>
      </c>
      <c r="X11" s="8" t="s">
        <v>112</v>
      </c>
      <c r="Y11" s="8" t="s">
        <v>111</v>
      </c>
      <c r="Z11" s="8" t="s">
        <v>112</v>
      </c>
      <c r="AA11" s="119"/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111</v>
      </c>
      <c r="AG11" s="8" t="s">
        <v>112</v>
      </c>
      <c r="AH11" s="5">
        <f t="shared" si="1"/>
        <v>13</v>
      </c>
      <c r="AI11" s="5">
        <f t="shared" si="2"/>
        <v>12</v>
      </c>
      <c r="AJ11" s="110" t="s">
        <v>9</v>
      </c>
      <c r="AK11" s="111"/>
      <c r="AL11" s="111"/>
      <c r="AM11" s="112"/>
    </row>
    <row r="12" spans="1:39" x14ac:dyDescent="0.25">
      <c r="A12" s="9">
        <v>8</v>
      </c>
      <c r="B12" s="24" t="s">
        <v>681</v>
      </c>
      <c r="C12" s="20" t="s">
        <v>674</v>
      </c>
      <c r="D12" s="8" t="s">
        <v>112</v>
      </c>
      <c r="E12" s="8" t="s">
        <v>111</v>
      </c>
      <c r="F12" s="119"/>
      <c r="G12" s="8" t="s">
        <v>112</v>
      </c>
      <c r="H12" s="8" t="s">
        <v>113</v>
      </c>
      <c r="I12" s="8" t="s">
        <v>112</v>
      </c>
      <c r="J12" s="8" t="s">
        <v>112</v>
      </c>
      <c r="K12" s="8" t="s">
        <v>112</v>
      </c>
      <c r="L12" s="122"/>
      <c r="M12" s="119"/>
      <c r="N12" s="8" t="s">
        <v>112</v>
      </c>
      <c r="O12" s="8" t="s">
        <v>112</v>
      </c>
      <c r="P12" s="8" t="s">
        <v>111</v>
      </c>
      <c r="Q12" s="8" t="s">
        <v>111</v>
      </c>
      <c r="R12" s="8" t="s">
        <v>112</v>
      </c>
      <c r="S12" s="8" t="s">
        <v>112</v>
      </c>
      <c r="T12" s="119"/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119"/>
      <c r="AB12" s="8" t="s">
        <v>112</v>
      </c>
      <c r="AC12" s="8" t="s">
        <v>111</v>
      </c>
      <c r="AD12" s="8" t="s">
        <v>112</v>
      </c>
      <c r="AE12" s="8" t="s">
        <v>112</v>
      </c>
      <c r="AF12" s="8" t="s">
        <v>111</v>
      </c>
      <c r="AG12" s="8" t="s">
        <v>112</v>
      </c>
      <c r="AH12" s="5">
        <f t="shared" si="1"/>
        <v>19</v>
      </c>
      <c r="AI12" s="5">
        <f t="shared" si="2"/>
        <v>5</v>
      </c>
      <c r="AJ12" s="5" t="s">
        <v>10</v>
      </c>
      <c r="AK12" s="5" t="s">
        <v>11</v>
      </c>
      <c r="AL12" s="5" t="s">
        <v>12</v>
      </c>
      <c r="AM12" s="5" t="s">
        <v>13</v>
      </c>
    </row>
    <row r="13" spans="1:39" x14ac:dyDescent="0.25">
      <c r="A13" s="21">
        <v>9</v>
      </c>
      <c r="B13" s="24" t="s">
        <v>682</v>
      </c>
      <c r="C13" s="20" t="s">
        <v>674</v>
      </c>
      <c r="D13" s="8" t="s">
        <v>112</v>
      </c>
      <c r="E13" s="8" t="s">
        <v>112</v>
      </c>
      <c r="F13" s="119"/>
      <c r="G13" s="8" t="s">
        <v>112</v>
      </c>
      <c r="H13" s="8" t="s">
        <v>113</v>
      </c>
      <c r="I13" s="8" t="s">
        <v>111</v>
      </c>
      <c r="J13" s="8" t="s">
        <v>112</v>
      </c>
      <c r="K13" s="8" t="s">
        <v>112</v>
      </c>
      <c r="L13" s="122"/>
      <c r="M13" s="119"/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119"/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119"/>
      <c r="AB13" s="8" t="s">
        <v>112</v>
      </c>
      <c r="AC13" s="8" t="s">
        <v>111</v>
      </c>
      <c r="AD13" s="8" t="s">
        <v>112</v>
      </c>
      <c r="AE13" s="8" t="s">
        <v>112</v>
      </c>
      <c r="AF13" s="8" t="s">
        <v>111</v>
      </c>
      <c r="AG13" s="8" t="s">
        <v>112</v>
      </c>
      <c r="AH13" s="5">
        <f t="shared" si="1"/>
        <v>21</v>
      </c>
      <c r="AI13" s="5">
        <f t="shared" si="2"/>
        <v>3</v>
      </c>
      <c r="AJ13" s="5" t="s">
        <v>14</v>
      </c>
      <c r="AK13" s="9">
        <f>29*$AK$5</f>
        <v>725</v>
      </c>
      <c r="AL13" s="9">
        <f>19*$AK$5</f>
        <v>475</v>
      </c>
      <c r="AM13" s="9">
        <f>SUM(AK13:AL13)</f>
        <v>1200</v>
      </c>
    </row>
    <row r="14" spans="1:39" x14ac:dyDescent="0.25">
      <c r="A14" s="9">
        <v>10</v>
      </c>
      <c r="B14" s="24" t="s">
        <v>683</v>
      </c>
      <c r="C14" s="20" t="s">
        <v>674</v>
      </c>
      <c r="D14" s="8" t="s">
        <v>112</v>
      </c>
      <c r="E14" s="8" t="s">
        <v>112</v>
      </c>
      <c r="F14" s="119"/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2"/>
      <c r="M14" s="119"/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119"/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119"/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111</v>
      </c>
      <c r="AG14" s="8" t="s">
        <v>112</v>
      </c>
      <c r="AH14" s="5">
        <f t="shared" si="1"/>
        <v>24</v>
      </c>
      <c r="AI14" s="5">
        <f t="shared" si="2"/>
        <v>1</v>
      </c>
      <c r="AJ14" s="5" t="s">
        <v>15</v>
      </c>
      <c r="AK14" s="9">
        <f>SUM(AH5:AH33)</f>
        <v>557</v>
      </c>
      <c r="AL14" s="9">
        <f>SUM(AH34:AH52)</f>
        <v>397</v>
      </c>
      <c r="AM14" s="9">
        <f>AK14+AL14</f>
        <v>954</v>
      </c>
    </row>
    <row r="15" spans="1:39" x14ac:dyDescent="0.25">
      <c r="A15" s="21">
        <v>11</v>
      </c>
      <c r="B15" s="24" t="s">
        <v>684</v>
      </c>
      <c r="C15" s="20" t="s">
        <v>674</v>
      </c>
      <c r="D15" s="8" t="s">
        <v>112</v>
      </c>
      <c r="E15" s="8" t="s">
        <v>111</v>
      </c>
      <c r="F15" s="119"/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2"/>
      <c r="M15" s="119"/>
      <c r="N15" s="8" t="s">
        <v>111</v>
      </c>
      <c r="O15" s="8" t="s">
        <v>112</v>
      </c>
      <c r="P15" s="8" t="s">
        <v>112</v>
      </c>
      <c r="Q15" s="8" t="s">
        <v>111</v>
      </c>
      <c r="R15" s="8" t="s">
        <v>112</v>
      </c>
      <c r="S15" s="8" t="s">
        <v>111</v>
      </c>
      <c r="T15" s="119"/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111</v>
      </c>
      <c r="AA15" s="119"/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111</v>
      </c>
      <c r="AG15" s="8" t="s">
        <v>112</v>
      </c>
      <c r="AH15" s="5">
        <f t="shared" si="1"/>
        <v>19</v>
      </c>
      <c r="AI15" s="5">
        <f t="shared" si="2"/>
        <v>6</v>
      </c>
      <c r="AJ15" s="5" t="s">
        <v>16</v>
      </c>
      <c r="AK15" s="12">
        <f>AK14/AK13</f>
        <v>0.76827586206896548</v>
      </c>
      <c r="AL15" s="12">
        <f>AL14/AL13</f>
        <v>0.83578947368421053</v>
      </c>
      <c r="AM15" s="12">
        <f>AM14/AM13</f>
        <v>0.79500000000000004</v>
      </c>
    </row>
    <row r="16" spans="1:39" x14ac:dyDescent="0.25">
      <c r="A16" s="9">
        <v>12</v>
      </c>
      <c r="B16" s="24" t="s">
        <v>685</v>
      </c>
      <c r="C16" s="20" t="s">
        <v>674</v>
      </c>
      <c r="D16" s="8" t="s">
        <v>112</v>
      </c>
      <c r="E16" s="8" t="s">
        <v>112</v>
      </c>
      <c r="F16" s="119"/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2"/>
      <c r="M16" s="119"/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119"/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119"/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111</v>
      </c>
      <c r="AG16" s="8" t="s">
        <v>112</v>
      </c>
      <c r="AH16" s="5">
        <f t="shared" si="1"/>
        <v>24</v>
      </c>
      <c r="AI16" s="5">
        <f t="shared" si="2"/>
        <v>1</v>
      </c>
      <c r="AJ16"/>
      <c r="AK16"/>
      <c r="AL16"/>
      <c r="AM16"/>
    </row>
    <row r="17" spans="1:39" x14ac:dyDescent="0.25">
      <c r="A17" s="21">
        <v>13</v>
      </c>
      <c r="B17" s="24" t="s">
        <v>686</v>
      </c>
      <c r="C17" s="20" t="s">
        <v>674</v>
      </c>
      <c r="D17" s="8" t="s">
        <v>112</v>
      </c>
      <c r="E17" s="8" t="s">
        <v>112</v>
      </c>
      <c r="F17" s="119"/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2"/>
      <c r="M17" s="119"/>
      <c r="N17" s="8" t="s">
        <v>112</v>
      </c>
      <c r="O17" s="8" t="s">
        <v>111</v>
      </c>
      <c r="P17" s="8" t="s">
        <v>111</v>
      </c>
      <c r="Q17" s="8" t="s">
        <v>111</v>
      </c>
      <c r="R17" s="8" t="s">
        <v>113</v>
      </c>
      <c r="S17" s="8" t="s">
        <v>113</v>
      </c>
      <c r="T17" s="119"/>
      <c r="U17" s="8" t="s">
        <v>113</v>
      </c>
      <c r="V17" s="8" t="s">
        <v>113</v>
      </c>
      <c r="W17" s="8" t="s">
        <v>113</v>
      </c>
      <c r="X17" s="8" t="s">
        <v>113</v>
      </c>
      <c r="Y17" s="8" t="s">
        <v>113</v>
      </c>
      <c r="Z17" s="8" t="s">
        <v>113</v>
      </c>
      <c r="AA17" s="119"/>
      <c r="AB17" s="8" t="s">
        <v>113</v>
      </c>
      <c r="AC17" s="8" t="s">
        <v>113</v>
      </c>
      <c r="AD17" s="8" t="s">
        <v>111</v>
      </c>
      <c r="AE17" s="8" t="s">
        <v>111</v>
      </c>
      <c r="AF17" s="8" t="s">
        <v>111</v>
      </c>
      <c r="AG17" s="8" t="s">
        <v>111</v>
      </c>
      <c r="AH17" s="5">
        <f t="shared" si="1"/>
        <v>8</v>
      </c>
      <c r="AI17" s="5">
        <f t="shared" si="2"/>
        <v>7</v>
      </c>
      <c r="AJ17"/>
      <c r="AK17"/>
      <c r="AL17"/>
      <c r="AM17"/>
    </row>
    <row r="18" spans="1:39" x14ac:dyDescent="0.25">
      <c r="A18" s="9">
        <v>14</v>
      </c>
      <c r="B18" s="24" t="s">
        <v>687</v>
      </c>
      <c r="C18" s="20" t="s">
        <v>674</v>
      </c>
      <c r="D18" s="8" t="s">
        <v>112</v>
      </c>
      <c r="E18" s="8" t="s">
        <v>112</v>
      </c>
      <c r="F18" s="119"/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2"/>
      <c r="M18" s="119"/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111</v>
      </c>
      <c r="S18" s="8" t="s">
        <v>111</v>
      </c>
      <c r="T18" s="119"/>
      <c r="U18" s="8" t="s">
        <v>111</v>
      </c>
      <c r="V18" s="8" t="s">
        <v>111</v>
      </c>
      <c r="W18" s="8" t="s">
        <v>111</v>
      </c>
      <c r="X18" s="8" t="s">
        <v>111</v>
      </c>
      <c r="Y18" s="8" t="s">
        <v>111</v>
      </c>
      <c r="Z18" s="8" t="s">
        <v>111</v>
      </c>
      <c r="AA18" s="119"/>
      <c r="AB18" s="8" t="s">
        <v>111</v>
      </c>
      <c r="AC18" s="8" t="s">
        <v>111</v>
      </c>
      <c r="AD18" s="8" t="s">
        <v>111</v>
      </c>
      <c r="AE18" s="8" t="s">
        <v>111</v>
      </c>
      <c r="AF18" s="8" t="s">
        <v>111</v>
      </c>
      <c r="AG18" s="8" t="s">
        <v>111</v>
      </c>
      <c r="AH18" s="5">
        <f t="shared" si="1"/>
        <v>11</v>
      </c>
      <c r="AI18" s="5">
        <f t="shared" si="2"/>
        <v>14</v>
      </c>
      <c r="AJ18"/>
      <c r="AK18"/>
      <c r="AL18"/>
      <c r="AM18"/>
    </row>
    <row r="19" spans="1:39" ht="15.75" x14ac:dyDescent="0.25">
      <c r="A19" s="21">
        <v>15</v>
      </c>
      <c r="B19" s="24" t="s">
        <v>131</v>
      </c>
      <c r="C19" s="20" t="s">
        <v>674</v>
      </c>
      <c r="D19" s="8" t="s">
        <v>112</v>
      </c>
      <c r="E19" s="8" t="s">
        <v>112</v>
      </c>
      <c r="F19" s="119"/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2"/>
      <c r="M19" s="119"/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111</v>
      </c>
      <c r="T19" s="119"/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119"/>
      <c r="AB19" s="8" t="s">
        <v>112</v>
      </c>
      <c r="AC19" s="8" t="s">
        <v>111</v>
      </c>
      <c r="AD19" s="8" t="s">
        <v>112</v>
      </c>
      <c r="AE19" s="8" t="s">
        <v>112</v>
      </c>
      <c r="AF19" s="8" t="s">
        <v>111</v>
      </c>
      <c r="AG19" s="8" t="s">
        <v>112</v>
      </c>
      <c r="AH19" s="5">
        <f t="shared" si="1"/>
        <v>22</v>
      </c>
      <c r="AI19" s="5">
        <f t="shared" si="2"/>
        <v>3</v>
      </c>
      <c r="AJ19" s="110" t="s">
        <v>128</v>
      </c>
      <c r="AK19" s="111"/>
      <c r="AL19" s="111"/>
      <c r="AM19" s="112"/>
    </row>
    <row r="20" spans="1:39" x14ac:dyDescent="0.25">
      <c r="A20" s="9">
        <v>16</v>
      </c>
      <c r="B20" s="24" t="s">
        <v>688</v>
      </c>
      <c r="C20" s="20" t="s">
        <v>674</v>
      </c>
      <c r="D20" s="8" t="s">
        <v>112</v>
      </c>
      <c r="E20" s="8" t="s">
        <v>112</v>
      </c>
      <c r="F20" s="119"/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2"/>
      <c r="M20" s="119"/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119"/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119"/>
      <c r="AB20" s="8" t="s">
        <v>111</v>
      </c>
      <c r="AC20" s="8" t="s">
        <v>112</v>
      </c>
      <c r="AD20" s="8" t="s">
        <v>111</v>
      </c>
      <c r="AE20" s="8" t="s">
        <v>112</v>
      </c>
      <c r="AF20" s="8" t="s">
        <v>111</v>
      </c>
      <c r="AG20" s="8" t="s">
        <v>112</v>
      </c>
      <c r="AH20" s="5">
        <f t="shared" si="1"/>
        <v>22</v>
      </c>
      <c r="AI20" s="5">
        <f t="shared" si="2"/>
        <v>3</v>
      </c>
      <c r="AJ20" s="5" t="s">
        <v>10</v>
      </c>
      <c r="AK20" s="5" t="s">
        <v>11</v>
      </c>
      <c r="AL20" s="5" t="s">
        <v>12</v>
      </c>
      <c r="AM20" s="5" t="s">
        <v>13</v>
      </c>
    </row>
    <row r="21" spans="1:39" x14ac:dyDescent="0.25">
      <c r="A21" s="21">
        <v>17</v>
      </c>
      <c r="B21" s="24" t="s">
        <v>314</v>
      </c>
      <c r="C21" s="20" t="s">
        <v>674</v>
      </c>
      <c r="D21" s="8" t="s">
        <v>111</v>
      </c>
      <c r="E21" s="8" t="s">
        <v>111</v>
      </c>
      <c r="F21" s="119"/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111</v>
      </c>
      <c r="L21" s="122"/>
      <c r="M21" s="119"/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111</v>
      </c>
      <c r="T21" s="119"/>
      <c r="U21" s="8" t="s">
        <v>111</v>
      </c>
      <c r="V21" s="8" t="s">
        <v>112</v>
      </c>
      <c r="W21" s="8" t="s">
        <v>112</v>
      </c>
      <c r="X21" s="8" t="s">
        <v>112</v>
      </c>
      <c r="Y21" s="8" t="s">
        <v>111</v>
      </c>
      <c r="Z21" s="8" t="s">
        <v>112</v>
      </c>
      <c r="AA21" s="119"/>
      <c r="AB21" s="8" t="s">
        <v>111</v>
      </c>
      <c r="AC21" s="8" t="s">
        <v>112</v>
      </c>
      <c r="AD21" s="8" t="s">
        <v>112</v>
      </c>
      <c r="AE21" s="8" t="s">
        <v>112</v>
      </c>
      <c r="AF21" s="8" t="s">
        <v>111</v>
      </c>
      <c r="AG21" s="8" t="s">
        <v>112</v>
      </c>
      <c r="AH21" s="5">
        <f t="shared" si="1"/>
        <v>17</v>
      </c>
      <c r="AI21" s="5">
        <f t="shared" si="2"/>
        <v>8</v>
      </c>
      <c r="AJ21" s="5" t="s">
        <v>14</v>
      </c>
      <c r="AK21" s="9">
        <f>29*$AK$5</f>
        <v>725</v>
      </c>
      <c r="AL21" s="9">
        <f>19*$AK$5</f>
        <v>475</v>
      </c>
      <c r="AM21" s="9">
        <f>AK21+AL21</f>
        <v>1200</v>
      </c>
    </row>
    <row r="22" spans="1:39" x14ac:dyDescent="0.25">
      <c r="A22" s="9">
        <v>18</v>
      </c>
      <c r="B22" s="24" t="s">
        <v>689</v>
      </c>
      <c r="C22" s="20" t="s">
        <v>674</v>
      </c>
      <c r="D22" s="8" t="s">
        <v>112</v>
      </c>
      <c r="E22" s="8" t="s">
        <v>112</v>
      </c>
      <c r="F22" s="119"/>
      <c r="G22" s="8" t="s">
        <v>112</v>
      </c>
      <c r="H22" s="8" t="s">
        <v>112</v>
      </c>
      <c r="I22" s="8" t="s">
        <v>111</v>
      </c>
      <c r="J22" s="8" t="s">
        <v>112</v>
      </c>
      <c r="K22" s="8" t="s">
        <v>112</v>
      </c>
      <c r="L22" s="122"/>
      <c r="M22" s="119"/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111</v>
      </c>
      <c r="T22" s="119"/>
      <c r="U22" s="8" t="s">
        <v>111</v>
      </c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119"/>
      <c r="AB22" s="8" t="s">
        <v>111</v>
      </c>
      <c r="AC22" s="8" t="s">
        <v>111</v>
      </c>
      <c r="AD22" s="8" t="s">
        <v>112</v>
      </c>
      <c r="AE22" s="8" t="s">
        <v>112</v>
      </c>
      <c r="AF22" s="8" t="s">
        <v>111</v>
      </c>
      <c r="AG22" s="8" t="s">
        <v>112</v>
      </c>
      <c r="AH22" s="5">
        <f t="shared" si="1"/>
        <v>19</v>
      </c>
      <c r="AI22" s="5">
        <f t="shared" si="2"/>
        <v>6</v>
      </c>
      <c r="AJ22" s="5" t="s">
        <v>17</v>
      </c>
      <c r="AK22" s="9">
        <f>AK21-AK14</f>
        <v>168</v>
      </c>
      <c r="AL22" s="9">
        <f>AL21-AL14</f>
        <v>78</v>
      </c>
      <c r="AM22" s="9">
        <f>AK22+AL22</f>
        <v>246</v>
      </c>
    </row>
    <row r="23" spans="1:39" x14ac:dyDescent="0.25">
      <c r="A23" s="21">
        <v>19</v>
      </c>
      <c r="B23" s="24" t="s">
        <v>690</v>
      </c>
      <c r="C23" s="20" t="s">
        <v>674</v>
      </c>
      <c r="D23" s="8" t="s">
        <v>112</v>
      </c>
      <c r="E23" s="8" t="s">
        <v>112</v>
      </c>
      <c r="F23" s="119"/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2"/>
      <c r="M23" s="119"/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119"/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119"/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111</v>
      </c>
      <c r="AG23" s="8" t="s">
        <v>112</v>
      </c>
      <c r="AH23" s="5">
        <f t="shared" si="1"/>
        <v>24</v>
      </c>
      <c r="AI23" s="5">
        <f t="shared" si="2"/>
        <v>1</v>
      </c>
      <c r="AJ23" s="5" t="s">
        <v>16</v>
      </c>
      <c r="AK23" s="12">
        <f>AK22/AK21</f>
        <v>0.2317241379310345</v>
      </c>
      <c r="AL23" s="12">
        <f>AL22/AL21</f>
        <v>0.16421052631578947</v>
      </c>
      <c r="AM23" s="12">
        <f>AM22/AM21</f>
        <v>0.20499999999999999</v>
      </c>
    </row>
    <row r="24" spans="1:39" x14ac:dyDescent="0.25">
      <c r="A24" s="9">
        <v>20</v>
      </c>
      <c r="B24" s="24" t="s">
        <v>304</v>
      </c>
      <c r="C24" s="20" t="s">
        <v>674</v>
      </c>
      <c r="D24" s="8" t="s">
        <v>112</v>
      </c>
      <c r="E24" s="8" t="s">
        <v>112</v>
      </c>
      <c r="F24" s="119"/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2"/>
      <c r="M24" s="119"/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119"/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119"/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111</v>
      </c>
      <c r="AG24" s="8" t="s">
        <v>112</v>
      </c>
      <c r="AH24" s="5">
        <f t="shared" si="1"/>
        <v>24</v>
      </c>
      <c r="AI24" s="5">
        <f t="shared" si="2"/>
        <v>1</v>
      </c>
    </row>
    <row r="25" spans="1:39" x14ac:dyDescent="0.25">
      <c r="A25" s="21">
        <v>21</v>
      </c>
      <c r="B25" s="24" t="s">
        <v>308</v>
      </c>
      <c r="C25" s="20" t="s">
        <v>674</v>
      </c>
      <c r="D25" s="8" t="s">
        <v>112</v>
      </c>
      <c r="E25" s="8" t="s">
        <v>111</v>
      </c>
      <c r="F25" s="119"/>
      <c r="G25" s="8" t="s">
        <v>112</v>
      </c>
      <c r="H25" s="8" t="s">
        <v>111</v>
      </c>
      <c r="I25" s="8" t="s">
        <v>112</v>
      </c>
      <c r="J25" s="8" t="s">
        <v>112</v>
      </c>
      <c r="K25" s="8" t="s">
        <v>111</v>
      </c>
      <c r="L25" s="122"/>
      <c r="M25" s="119"/>
      <c r="N25" s="8" t="s">
        <v>112</v>
      </c>
      <c r="O25" s="8" t="s">
        <v>112</v>
      </c>
      <c r="P25" s="8" t="s">
        <v>111</v>
      </c>
      <c r="Q25" s="8" t="s">
        <v>112</v>
      </c>
      <c r="R25" s="8" t="s">
        <v>112</v>
      </c>
      <c r="S25" s="8" t="s">
        <v>111</v>
      </c>
      <c r="T25" s="119"/>
      <c r="U25" s="8" t="s">
        <v>112</v>
      </c>
      <c r="V25" s="8" t="s">
        <v>112</v>
      </c>
      <c r="W25" s="8" t="s">
        <v>111</v>
      </c>
      <c r="X25" s="8" t="s">
        <v>111</v>
      </c>
      <c r="Y25" s="8" t="s">
        <v>112</v>
      </c>
      <c r="Z25" s="8" t="s">
        <v>112</v>
      </c>
      <c r="AA25" s="119"/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111</v>
      </c>
      <c r="AG25" s="8" t="s">
        <v>112</v>
      </c>
      <c r="AH25" s="5">
        <f t="shared" si="1"/>
        <v>17</v>
      </c>
      <c r="AI25" s="5">
        <f t="shared" si="2"/>
        <v>8</v>
      </c>
    </row>
    <row r="26" spans="1:39" x14ac:dyDescent="0.25">
      <c r="A26" s="9">
        <v>22</v>
      </c>
      <c r="B26" s="24" t="s">
        <v>691</v>
      </c>
      <c r="C26" s="20" t="s">
        <v>674</v>
      </c>
      <c r="D26" s="8" t="s">
        <v>112</v>
      </c>
      <c r="E26" s="8" t="s">
        <v>113</v>
      </c>
      <c r="F26" s="119"/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2"/>
      <c r="M26" s="119"/>
      <c r="N26" s="8" t="s">
        <v>112</v>
      </c>
      <c r="O26" s="8" t="s">
        <v>112</v>
      </c>
      <c r="P26" s="8" t="s">
        <v>111</v>
      </c>
      <c r="Q26" s="8" t="s">
        <v>112</v>
      </c>
      <c r="R26" s="8" t="s">
        <v>112</v>
      </c>
      <c r="S26" s="8" t="s">
        <v>112</v>
      </c>
      <c r="T26" s="119"/>
      <c r="U26" s="8" t="s">
        <v>112</v>
      </c>
      <c r="V26" s="8" t="s">
        <v>112</v>
      </c>
      <c r="W26" s="8" t="s">
        <v>113</v>
      </c>
      <c r="X26" s="8" t="s">
        <v>112</v>
      </c>
      <c r="Y26" s="8" t="s">
        <v>112</v>
      </c>
      <c r="Z26" s="8" t="s">
        <v>112</v>
      </c>
      <c r="AA26" s="119"/>
      <c r="AB26" s="8" t="s">
        <v>111</v>
      </c>
      <c r="AC26" s="8" t="s">
        <v>112</v>
      </c>
      <c r="AD26" s="8" t="s">
        <v>112</v>
      </c>
      <c r="AE26" s="8" t="s">
        <v>112</v>
      </c>
      <c r="AF26" s="8" t="s">
        <v>111</v>
      </c>
      <c r="AG26" s="8" t="s">
        <v>112</v>
      </c>
      <c r="AH26" s="5">
        <f t="shared" si="1"/>
        <v>20</v>
      </c>
      <c r="AI26" s="5">
        <f t="shared" si="2"/>
        <v>3</v>
      </c>
    </row>
    <row r="27" spans="1:39" x14ac:dyDescent="0.25">
      <c r="A27" s="21">
        <v>23</v>
      </c>
      <c r="B27" s="24" t="s">
        <v>475</v>
      </c>
      <c r="C27" s="20" t="s">
        <v>674</v>
      </c>
      <c r="D27" s="8" t="s">
        <v>112</v>
      </c>
      <c r="E27" s="8" t="s">
        <v>112</v>
      </c>
      <c r="F27" s="119"/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2"/>
      <c r="M27" s="119"/>
      <c r="N27" s="8" t="s">
        <v>112</v>
      </c>
      <c r="O27" s="8" t="s">
        <v>112</v>
      </c>
      <c r="P27" s="8" t="s">
        <v>111</v>
      </c>
      <c r="Q27" s="8" t="s">
        <v>112</v>
      </c>
      <c r="R27" s="8" t="s">
        <v>112</v>
      </c>
      <c r="S27" s="8" t="s">
        <v>112</v>
      </c>
      <c r="T27" s="119"/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119"/>
      <c r="AB27" s="8" t="s">
        <v>111</v>
      </c>
      <c r="AC27" s="8" t="s">
        <v>112</v>
      </c>
      <c r="AD27" s="8" t="s">
        <v>112</v>
      </c>
      <c r="AE27" s="8" t="s">
        <v>112</v>
      </c>
      <c r="AF27" s="8" t="s">
        <v>111</v>
      </c>
      <c r="AG27" s="8" t="s">
        <v>112</v>
      </c>
      <c r="AH27" s="5">
        <f t="shared" si="1"/>
        <v>22</v>
      </c>
      <c r="AI27" s="5">
        <f t="shared" si="2"/>
        <v>3</v>
      </c>
    </row>
    <row r="28" spans="1:39" x14ac:dyDescent="0.25">
      <c r="A28" s="9">
        <v>24</v>
      </c>
      <c r="B28" s="28" t="s">
        <v>692</v>
      </c>
      <c r="C28" s="20" t="s">
        <v>674</v>
      </c>
      <c r="D28" s="8" t="s">
        <v>112</v>
      </c>
      <c r="E28" s="8" t="s">
        <v>112</v>
      </c>
      <c r="F28" s="119"/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2"/>
      <c r="M28" s="119"/>
      <c r="N28" s="8" t="s">
        <v>111</v>
      </c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119"/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119"/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111</v>
      </c>
      <c r="AG28" s="8" t="s">
        <v>112</v>
      </c>
      <c r="AH28" s="5">
        <f t="shared" si="1"/>
        <v>23</v>
      </c>
      <c r="AI28" s="5">
        <f t="shared" si="2"/>
        <v>2</v>
      </c>
    </row>
    <row r="29" spans="1:39" x14ac:dyDescent="0.25">
      <c r="A29" s="21">
        <v>25</v>
      </c>
      <c r="B29" s="30" t="s">
        <v>693</v>
      </c>
      <c r="C29" s="20" t="s">
        <v>674</v>
      </c>
      <c r="D29" s="8" t="s">
        <v>112</v>
      </c>
      <c r="E29" s="8" t="s">
        <v>111</v>
      </c>
      <c r="F29" s="119"/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111</v>
      </c>
      <c r="L29" s="122"/>
      <c r="M29" s="119"/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119"/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119"/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111</v>
      </c>
      <c r="AG29" s="8" t="s">
        <v>112</v>
      </c>
      <c r="AH29" s="5">
        <f t="shared" si="1"/>
        <v>22</v>
      </c>
      <c r="AI29" s="5">
        <f t="shared" si="2"/>
        <v>3</v>
      </c>
    </row>
    <row r="30" spans="1:39" x14ac:dyDescent="0.25">
      <c r="A30" s="9">
        <v>26</v>
      </c>
      <c r="B30" s="30" t="s">
        <v>694</v>
      </c>
      <c r="C30" s="20" t="s">
        <v>674</v>
      </c>
      <c r="D30" s="8" t="s">
        <v>111</v>
      </c>
      <c r="E30" s="8" t="s">
        <v>111</v>
      </c>
      <c r="F30" s="119"/>
      <c r="G30" s="8" t="s">
        <v>111</v>
      </c>
      <c r="H30" s="8" t="s">
        <v>111</v>
      </c>
      <c r="I30" s="8" t="s">
        <v>111</v>
      </c>
      <c r="J30" s="8" t="s">
        <v>111</v>
      </c>
      <c r="K30" s="8" t="s">
        <v>111</v>
      </c>
      <c r="L30" s="122"/>
      <c r="M30" s="119"/>
      <c r="N30" s="8" t="s">
        <v>111</v>
      </c>
      <c r="O30" s="8" t="s">
        <v>111</v>
      </c>
      <c r="P30" s="8" t="s">
        <v>111</v>
      </c>
      <c r="Q30" s="8" t="s">
        <v>111</v>
      </c>
      <c r="R30" s="8" t="s">
        <v>111</v>
      </c>
      <c r="S30" s="8" t="s">
        <v>111</v>
      </c>
      <c r="T30" s="119"/>
      <c r="U30" s="8" t="s">
        <v>111</v>
      </c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119"/>
      <c r="AB30" s="8" t="s">
        <v>111</v>
      </c>
      <c r="AC30" s="8" t="s">
        <v>111</v>
      </c>
      <c r="AD30" s="8" t="s">
        <v>111</v>
      </c>
      <c r="AE30" s="8" t="s">
        <v>111</v>
      </c>
      <c r="AF30" s="8" t="s">
        <v>111</v>
      </c>
      <c r="AG30" s="8" t="s">
        <v>111</v>
      </c>
      <c r="AH30" s="5">
        <f t="shared" si="1"/>
        <v>0</v>
      </c>
      <c r="AI30" s="5">
        <f t="shared" si="2"/>
        <v>25</v>
      </c>
    </row>
    <row r="31" spans="1:39" x14ac:dyDescent="0.25">
      <c r="A31" s="21">
        <v>27</v>
      </c>
      <c r="B31" s="30" t="s">
        <v>695</v>
      </c>
      <c r="C31" s="20" t="s">
        <v>674</v>
      </c>
      <c r="D31" s="8" t="s">
        <v>112</v>
      </c>
      <c r="E31" s="8" t="s">
        <v>112</v>
      </c>
      <c r="F31" s="119"/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2"/>
      <c r="M31" s="119"/>
      <c r="N31" s="8" t="s">
        <v>112</v>
      </c>
      <c r="O31" s="8" t="s">
        <v>111</v>
      </c>
      <c r="P31" s="8" t="s">
        <v>112</v>
      </c>
      <c r="Q31" s="8" t="s">
        <v>112</v>
      </c>
      <c r="R31" s="8" t="s">
        <v>112</v>
      </c>
      <c r="S31" s="8" t="s">
        <v>112</v>
      </c>
      <c r="T31" s="119"/>
      <c r="U31" s="8" t="s">
        <v>112</v>
      </c>
      <c r="V31" s="8" t="s">
        <v>112</v>
      </c>
      <c r="W31" s="8" t="s">
        <v>111</v>
      </c>
      <c r="X31" s="8" t="s">
        <v>112</v>
      </c>
      <c r="Y31" s="8" t="s">
        <v>112</v>
      </c>
      <c r="Z31" s="8" t="s">
        <v>112</v>
      </c>
      <c r="AA31" s="119"/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111</v>
      </c>
      <c r="AG31" s="8" t="s">
        <v>112</v>
      </c>
      <c r="AH31" s="5">
        <f t="shared" si="1"/>
        <v>22</v>
      </c>
      <c r="AI31" s="5">
        <f t="shared" si="2"/>
        <v>3</v>
      </c>
    </row>
    <row r="32" spans="1:39" x14ac:dyDescent="0.25">
      <c r="A32" s="9">
        <v>28</v>
      </c>
      <c r="B32" s="30" t="s">
        <v>527</v>
      </c>
      <c r="C32" s="20" t="s">
        <v>674</v>
      </c>
      <c r="D32" s="8" t="s">
        <v>112</v>
      </c>
      <c r="E32" s="8" t="s">
        <v>111</v>
      </c>
      <c r="F32" s="119"/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111</v>
      </c>
      <c r="L32" s="122"/>
      <c r="M32" s="119"/>
      <c r="N32" s="8" t="s">
        <v>112</v>
      </c>
      <c r="O32" s="8" t="s">
        <v>112</v>
      </c>
      <c r="P32" s="8" t="s">
        <v>112</v>
      </c>
      <c r="Q32" s="8" t="s">
        <v>111</v>
      </c>
      <c r="R32" s="8" t="s">
        <v>112</v>
      </c>
      <c r="S32" s="8" t="s">
        <v>112</v>
      </c>
      <c r="T32" s="119"/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119"/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111</v>
      </c>
      <c r="AG32" s="8" t="s">
        <v>112</v>
      </c>
      <c r="AH32" s="5">
        <f t="shared" si="1"/>
        <v>21</v>
      </c>
      <c r="AI32" s="5">
        <f t="shared" si="2"/>
        <v>4</v>
      </c>
    </row>
    <row r="33" spans="1:35" x14ac:dyDescent="0.25">
      <c r="A33" s="21">
        <v>29</v>
      </c>
      <c r="B33" s="27" t="s">
        <v>577</v>
      </c>
      <c r="C33" s="20" t="s">
        <v>674</v>
      </c>
      <c r="D33" s="8" t="s">
        <v>112</v>
      </c>
      <c r="E33" s="8" t="s">
        <v>111</v>
      </c>
      <c r="F33" s="119"/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2"/>
      <c r="M33" s="119"/>
      <c r="N33" s="8" t="s">
        <v>111</v>
      </c>
      <c r="O33" s="8" t="s">
        <v>111</v>
      </c>
      <c r="P33" s="8" t="s">
        <v>113</v>
      </c>
      <c r="Q33" s="8" t="s">
        <v>113</v>
      </c>
      <c r="R33" s="8" t="s">
        <v>112</v>
      </c>
      <c r="S33" s="8" t="s">
        <v>111</v>
      </c>
      <c r="T33" s="119"/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111</v>
      </c>
      <c r="AA33" s="119"/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112</v>
      </c>
      <c r="AH33" s="5">
        <f t="shared" si="1"/>
        <v>17</v>
      </c>
      <c r="AI33" s="5">
        <f t="shared" si="2"/>
        <v>6</v>
      </c>
    </row>
    <row r="34" spans="1:35" x14ac:dyDescent="0.25">
      <c r="A34" s="9">
        <v>1</v>
      </c>
      <c r="B34" s="24" t="s">
        <v>696</v>
      </c>
      <c r="C34" s="20" t="s">
        <v>674</v>
      </c>
      <c r="D34" s="8" t="s">
        <v>112</v>
      </c>
      <c r="E34" s="8" t="s">
        <v>112</v>
      </c>
      <c r="F34" s="119"/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2"/>
      <c r="M34" s="119"/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119"/>
      <c r="U34" s="8" t="s">
        <v>111</v>
      </c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119"/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111</v>
      </c>
      <c r="AG34" s="8" t="s">
        <v>112</v>
      </c>
      <c r="AH34" s="5">
        <f t="shared" si="1"/>
        <v>23</v>
      </c>
      <c r="AI34" s="5">
        <f t="shared" si="2"/>
        <v>2</v>
      </c>
    </row>
    <row r="35" spans="1:35" x14ac:dyDescent="0.25">
      <c r="A35" s="21">
        <v>2</v>
      </c>
      <c r="B35" s="24" t="s">
        <v>697</v>
      </c>
      <c r="C35" s="20" t="s">
        <v>674</v>
      </c>
      <c r="D35" s="8" t="s">
        <v>112</v>
      </c>
      <c r="E35" s="8" t="s">
        <v>112</v>
      </c>
      <c r="F35" s="119"/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2"/>
      <c r="M35" s="119"/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113</v>
      </c>
      <c r="S35" s="8" t="s">
        <v>112</v>
      </c>
      <c r="T35" s="119"/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119"/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111</v>
      </c>
      <c r="AG35" s="8" t="s">
        <v>112</v>
      </c>
      <c r="AH35" s="5">
        <f t="shared" si="1"/>
        <v>23</v>
      </c>
      <c r="AI35" s="5">
        <f t="shared" si="2"/>
        <v>1</v>
      </c>
    </row>
    <row r="36" spans="1:35" x14ac:dyDescent="0.25">
      <c r="A36" s="9">
        <v>3</v>
      </c>
      <c r="B36" s="14" t="s">
        <v>698</v>
      </c>
      <c r="C36" s="20" t="s">
        <v>674</v>
      </c>
      <c r="D36" s="8" t="s">
        <v>112</v>
      </c>
      <c r="E36" s="8" t="s">
        <v>112</v>
      </c>
      <c r="F36" s="119"/>
      <c r="G36" s="8" t="s">
        <v>112</v>
      </c>
      <c r="H36" s="8" t="s">
        <v>111</v>
      </c>
      <c r="I36" s="8" t="s">
        <v>112</v>
      </c>
      <c r="J36" s="8" t="s">
        <v>112</v>
      </c>
      <c r="K36" s="8" t="s">
        <v>112</v>
      </c>
      <c r="L36" s="122"/>
      <c r="M36" s="119"/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119"/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119"/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111</v>
      </c>
      <c r="AG36" s="8" t="s">
        <v>112</v>
      </c>
      <c r="AH36" s="5">
        <f t="shared" si="1"/>
        <v>23</v>
      </c>
      <c r="AI36" s="5">
        <f t="shared" si="2"/>
        <v>2</v>
      </c>
    </row>
    <row r="37" spans="1:35" x14ac:dyDescent="0.25">
      <c r="A37" s="21">
        <v>4</v>
      </c>
      <c r="B37" s="14" t="s">
        <v>49</v>
      </c>
      <c r="C37" s="20" t="s">
        <v>674</v>
      </c>
      <c r="D37" s="8" t="s">
        <v>112</v>
      </c>
      <c r="E37" s="8" t="s">
        <v>112</v>
      </c>
      <c r="F37" s="119"/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111</v>
      </c>
      <c r="L37" s="122"/>
      <c r="M37" s="119"/>
      <c r="N37" s="8" t="s">
        <v>112</v>
      </c>
      <c r="O37" s="8" t="s">
        <v>112</v>
      </c>
      <c r="P37" s="8" t="s">
        <v>111</v>
      </c>
      <c r="Q37" s="8" t="s">
        <v>111</v>
      </c>
      <c r="R37" s="8" t="s">
        <v>111</v>
      </c>
      <c r="S37" s="8" t="s">
        <v>111</v>
      </c>
      <c r="T37" s="119"/>
      <c r="U37" s="8" t="s">
        <v>111</v>
      </c>
      <c r="V37" s="8" t="s">
        <v>112</v>
      </c>
      <c r="W37" s="8" t="s">
        <v>112</v>
      </c>
      <c r="X37" s="8" t="s">
        <v>111</v>
      </c>
      <c r="Y37" s="8" t="s">
        <v>112</v>
      </c>
      <c r="Z37" s="8" t="s">
        <v>112</v>
      </c>
      <c r="AA37" s="119"/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111</v>
      </c>
      <c r="AG37" s="8" t="s">
        <v>112</v>
      </c>
      <c r="AH37" s="5">
        <f t="shared" si="1"/>
        <v>17</v>
      </c>
      <c r="AI37" s="5">
        <f t="shared" si="2"/>
        <v>8</v>
      </c>
    </row>
    <row r="38" spans="1:35" x14ac:dyDescent="0.25">
      <c r="A38" s="9">
        <v>5</v>
      </c>
      <c r="B38" s="14" t="s">
        <v>699</v>
      </c>
      <c r="C38" s="20" t="s">
        <v>674</v>
      </c>
      <c r="D38" s="8" t="s">
        <v>111</v>
      </c>
      <c r="E38" s="8" t="s">
        <v>111</v>
      </c>
      <c r="F38" s="119"/>
      <c r="G38" s="8" t="s">
        <v>111</v>
      </c>
      <c r="H38" s="8" t="s">
        <v>111</v>
      </c>
      <c r="I38" s="8" t="s">
        <v>111</v>
      </c>
      <c r="J38" s="8" t="s">
        <v>111</v>
      </c>
      <c r="K38" s="8" t="s">
        <v>111</v>
      </c>
      <c r="L38" s="122"/>
      <c r="M38" s="119"/>
      <c r="N38" s="8" t="s">
        <v>111</v>
      </c>
      <c r="O38" s="8" t="s">
        <v>111</v>
      </c>
      <c r="P38" s="8" t="s">
        <v>111</v>
      </c>
      <c r="Q38" s="8" t="s">
        <v>111</v>
      </c>
      <c r="R38" s="8" t="s">
        <v>111</v>
      </c>
      <c r="S38" s="8" t="s">
        <v>111</v>
      </c>
      <c r="T38" s="119"/>
      <c r="U38" s="8" t="s">
        <v>111</v>
      </c>
      <c r="V38" s="8" t="s">
        <v>111</v>
      </c>
      <c r="W38" s="8" t="s">
        <v>111</v>
      </c>
      <c r="X38" s="8" t="s">
        <v>111</v>
      </c>
      <c r="Y38" s="8" t="s">
        <v>111</v>
      </c>
      <c r="Z38" s="8" t="s">
        <v>111</v>
      </c>
      <c r="AA38" s="119"/>
      <c r="AB38" s="8" t="s">
        <v>111</v>
      </c>
      <c r="AC38" s="8" t="s">
        <v>111</v>
      </c>
      <c r="AD38" s="8" t="s">
        <v>111</v>
      </c>
      <c r="AE38" s="8" t="s">
        <v>111</v>
      </c>
      <c r="AF38" s="8" t="s">
        <v>111</v>
      </c>
      <c r="AG38" s="8" t="s">
        <v>111</v>
      </c>
      <c r="AH38" s="5">
        <f t="shared" si="1"/>
        <v>0</v>
      </c>
      <c r="AI38" s="5">
        <f t="shared" si="2"/>
        <v>25</v>
      </c>
    </row>
    <row r="39" spans="1:35" x14ac:dyDescent="0.25">
      <c r="A39" s="21">
        <v>6</v>
      </c>
      <c r="B39" s="14" t="s">
        <v>700</v>
      </c>
      <c r="C39" s="20" t="s">
        <v>674</v>
      </c>
      <c r="D39" s="8" t="s">
        <v>112</v>
      </c>
      <c r="E39" s="8" t="s">
        <v>112</v>
      </c>
      <c r="F39" s="119"/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2"/>
      <c r="M39" s="119"/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119"/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119"/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111</v>
      </c>
      <c r="AG39" s="8" t="s">
        <v>112</v>
      </c>
      <c r="AH39" s="5">
        <f t="shared" si="1"/>
        <v>24</v>
      </c>
      <c r="AI39" s="5">
        <f t="shared" si="2"/>
        <v>1</v>
      </c>
    </row>
    <row r="40" spans="1:35" x14ac:dyDescent="0.25">
      <c r="A40" s="9">
        <v>7</v>
      </c>
      <c r="B40" s="14" t="s">
        <v>701</v>
      </c>
      <c r="C40" s="20" t="s">
        <v>674</v>
      </c>
      <c r="D40" s="8" t="s">
        <v>112</v>
      </c>
      <c r="E40" s="8" t="s">
        <v>112</v>
      </c>
      <c r="F40" s="119"/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22"/>
      <c r="M40" s="119"/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119"/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119"/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111</v>
      </c>
      <c r="AG40" s="8" t="s">
        <v>112</v>
      </c>
      <c r="AH40" s="5">
        <f t="shared" si="1"/>
        <v>24</v>
      </c>
      <c r="AI40" s="5">
        <f t="shared" si="2"/>
        <v>1</v>
      </c>
    </row>
    <row r="41" spans="1:35" x14ac:dyDescent="0.25">
      <c r="A41" s="21">
        <v>8</v>
      </c>
      <c r="B41" s="14" t="s">
        <v>702</v>
      </c>
      <c r="C41" s="20" t="s">
        <v>674</v>
      </c>
      <c r="D41" s="8" t="s">
        <v>112</v>
      </c>
      <c r="E41" s="8" t="s">
        <v>112</v>
      </c>
      <c r="F41" s="119"/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2"/>
      <c r="M41" s="119"/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119"/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119"/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111</v>
      </c>
      <c r="AG41" s="8" t="s">
        <v>112</v>
      </c>
      <c r="AH41" s="5">
        <f t="shared" si="1"/>
        <v>24</v>
      </c>
      <c r="AI41" s="5">
        <f t="shared" si="2"/>
        <v>1</v>
      </c>
    </row>
    <row r="42" spans="1:35" x14ac:dyDescent="0.25">
      <c r="A42" s="9">
        <v>9</v>
      </c>
      <c r="B42" s="14" t="s">
        <v>91</v>
      </c>
      <c r="C42" s="20" t="s">
        <v>674</v>
      </c>
      <c r="D42" s="8" t="s">
        <v>112</v>
      </c>
      <c r="E42" s="8" t="s">
        <v>112</v>
      </c>
      <c r="F42" s="119"/>
      <c r="G42" s="8" t="s">
        <v>111</v>
      </c>
      <c r="H42" s="8" t="s">
        <v>111</v>
      </c>
      <c r="I42" s="8" t="s">
        <v>111</v>
      </c>
      <c r="J42" s="8" t="s">
        <v>111</v>
      </c>
      <c r="K42" s="8" t="s">
        <v>112</v>
      </c>
      <c r="L42" s="122"/>
      <c r="M42" s="119"/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119"/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119"/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111</v>
      </c>
      <c r="AG42" s="8" t="s">
        <v>112</v>
      </c>
      <c r="AH42" s="5">
        <f t="shared" si="1"/>
        <v>20</v>
      </c>
      <c r="AI42" s="5">
        <f t="shared" si="2"/>
        <v>5</v>
      </c>
    </row>
    <row r="43" spans="1:35" x14ac:dyDescent="0.25">
      <c r="A43" s="21">
        <v>10</v>
      </c>
      <c r="B43" s="14" t="s">
        <v>703</v>
      </c>
      <c r="C43" s="20" t="s">
        <v>674</v>
      </c>
      <c r="D43" s="8" t="s">
        <v>112</v>
      </c>
      <c r="E43" s="8" t="s">
        <v>112</v>
      </c>
      <c r="F43" s="119"/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2"/>
      <c r="M43" s="119"/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119"/>
      <c r="U43" s="8" t="s">
        <v>112</v>
      </c>
      <c r="V43" s="8" t="s">
        <v>112</v>
      </c>
      <c r="W43" s="8" t="s">
        <v>112</v>
      </c>
      <c r="X43" s="8" t="s">
        <v>111</v>
      </c>
      <c r="Y43" s="8" t="s">
        <v>112</v>
      </c>
      <c r="Z43" s="8" t="s">
        <v>112</v>
      </c>
      <c r="AA43" s="119"/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111</v>
      </c>
      <c r="AG43" s="8" t="s">
        <v>111</v>
      </c>
      <c r="AH43" s="5">
        <f t="shared" si="1"/>
        <v>22</v>
      </c>
      <c r="AI43" s="5">
        <f t="shared" si="2"/>
        <v>3</v>
      </c>
    </row>
    <row r="44" spans="1:35" x14ac:dyDescent="0.25">
      <c r="A44" s="9">
        <v>11</v>
      </c>
      <c r="B44" s="14" t="s">
        <v>525</v>
      </c>
      <c r="C44" s="20" t="s">
        <v>674</v>
      </c>
      <c r="D44" s="8" t="s">
        <v>112</v>
      </c>
      <c r="E44" s="8" t="s">
        <v>112</v>
      </c>
      <c r="F44" s="119"/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2"/>
      <c r="M44" s="119"/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119"/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119"/>
      <c r="AB44" s="8" t="s">
        <v>112</v>
      </c>
      <c r="AC44" s="8" t="s">
        <v>112</v>
      </c>
      <c r="AD44" s="8" t="s">
        <v>111</v>
      </c>
      <c r="AE44" s="8" t="s">
        <v>111</v>
      </c>
      <c r="AF44" s="8" t="s">
        <v>111</v>
      </c>
      <c r="AG44" s="8" t="s">
        <v>111</v>
      </c>
      <c r="AH44" s="5">
        <f t="shared" si="1"/>
        <v>20</v>
      </c>
      <c r="AI44" s="5">
        <f t="shared" si="2"/>
        <v>5</v>
      </c>
    </row>
    <row r="45" spans="1:35" x14ac:dyDescent="0.25">
      <c r="A45" s="21">
        <v>12</v>
      </c>
      <c r="B45" s="14" t="s">
        <v>526</v>
      </c>
      <c r="C45" s="20" t="s">
        <v>674</v>
      </c>
      <c r="D45" s="8" t="s">
        <v>112</v>
      </c>
      <c r="E45" s="8" t="s">
        <v>112</v>
      </c>
      <c r="F45" s="119"/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2"/>
      <c r="M45" s="119"/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119"/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119"/>
      <c r="AB45" s="8" t="s">
        <v>111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5">
        <f t="shared" si="1"/>
        <v>24</v>
      </c>
      <c r="AI45" s="5">
        <f t="shared" si="2"/>
        <v>1</v>
      </c>
    </row>
    <row r="46" spans="1:35" x14ac:dyDescent="0.25">
      <c r="A46" s="9">
        <v>13</v>
      </c>
      <c r="B46" s="14" t="s">
        <v>667</v>
      </c>
      <c r="C46" s="8" t="s">
        <v>674</v>
      </c>
      <c r="D46" s="8" t="s">
        <v>112</v>
      </c>
      <c r="E46" s="8" t="s">
        <v>112</v>
      </c>
      <c r="F46" s="119"/>
      <c r="G46" s="8" t="s">
        <v>112</v>
      </c>
      <c r="H46" s="8" t="s">
        <v>111</v>
      </c>
      <c r="I46" s="8" t="s">
        <v>112</v>
      </c>
      <c r="J46" s="8" t="s">
        <v>112</v>
      </c>
      <c r="K46" s="8" t="s">
        <v>112</v>
      </c>
      <c r="L46" s="122"/>
      <c r="M46" s="119"/>
      <c r="N46" s="8" t="s">
        <v>112</v>
      </c>
      <c r="O46" s="8" t="s">
        <v>111</v>
      </c>
      <c r="P46" s="8" t="s">
        <v>112</v>
      </c>
      <c r="Q46" s="8" t="s">
        <v>112</v>
      </c>
      <c r="R46" s="8" t="s">
        <v>112</v>
      </c>
      <c r="S46" s="8" t="s">
        <v>111</v>
      </c>
      <c r="T46" s="119"/>
      <c r="U46" s="8" t="s">
        <v>111</v>
      </c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119"/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5">
        <f t="shared" si="1"/>
        <v>21</v>
      </c>
      <c r="AI46" s="5">
        <f t="shared" si="2"/>
        <v>4</v>
      </c>
    </row>
    <row r="47" spans="1:35" x14ac:dyDescent="0.25">
      <c r="A47" s="21">
        <v>14</v>
      </c>
      <c r="B47" s="14" t="s">
        <v>704</v>
      </c>
      <c r="C47" s="8" t="s">
        <v>674</v>
      </c>
      <c r="D47" s="8" t="s">
        <v>112</v>
      </c>
      <c r="E47" s="8" t="s">
        <v>112</v>
      </c>
      <c r="F47" s="119"/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2"/>
      <c r="M47" s="119"/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119"/>
      <c r="U47" s="8" t="s">
        <v>111</v>
      </c>
      <c r="V47" s="8" t="s">
        <v>112</v>
      </c>
      <c r="W47" s="8" t="s">
        <v>112</v>
      </c>
      <c r="X47" s="8" t="s">
        <v>112</v>
      </c>
      <c r="Y47" s="8" t="s">
        <v>111</v>
      </c>
      <c r="Z47" s="8" t="s">
        <v>113</v>
      </c>
      <c r="AA47" s="119"/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5">
        <f t="shared" si="1"/>
        <v>22</v>
      </c>
      <c r="AI47" s="5">
        <f t="shared" si="2"/>
        <v>2</v>
      </c>
    </row>
    <row r="48" spans="1:35" x14ac:dyDescent="0.25">
      <c r="A48" s="9">
        <v>15</v>
      </c>
      <c r="B48" s="14" t="s">
        <v>705</v>
      </c>
      <c r="C48" s="8" t="s">
        <v>674</v>
      </c>
      <c r="D48" s="8" t="s">
        <v>112</v>
      </c>
      <c r="E48" s="8" t="s">
        <v>112</v>
      </c>
      <c r="F48" s="119"/>
      <c r="G48" s="8" t="s">
        <v>112</v>
      </c>
      <c r="H48" s="8" t="s">
        <v>112</v>
      </c>
      <c r="I48" s="8" t="s">
        <v>111</v>
      </c>
      <c r="J48" s="8" t="s">
        <v>112</v>
      </c>
      <c r="K48" s="8" t="s">
        <v>112</v>
      </c>
      <c r="L48" s="122"/>
      <c r="M48" s="119"/>
      <c r="N48" s="8" t="s">
        <v>111</v>
      </c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119"/>
      <c r="U48" s="8" t="s">
        <v>112</v>
      </c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112</v>
      </c>
      <c r="AA48" s="119"/>
      <c r="AB48" s="8" t="s">
        <v>111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5">
        <f t="shared" si="1"/>
        <v>21</v>
      </c>
      <c r="AI48" s="5">
        <f t="shared" si="2"/>
        <v>4</v>
      </c>
    </row>
    <row r="49" spans="1:35" x14ac:dyDescent="0.25">
      <c r="A49" s="21">
        <v>16</v>
      </c>
      <c r="B49" s="14" t="s">
        <v>706</v>
      </c>
      <c r="C49" s="8" t="s">
        <v>674</v>
      </c>
      <c r="D49" s="8" t="s">
        <v>112</v>
      </c>
      <c r="E49" s="8" t="s">
        <v>112</v>
      </c>
      <c r="F49" s="119"/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2"/>
      <c r="M49" s="119"/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119"/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119"/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5">
        <f t="shared" si="1"/>
        <v>24</v>
      </c>
      <c r="AI49" s="5">
        <f t="shared" si="2"/>
        <v>1</v>
      </c>
    </row>
    <row r="50" spans="1:35" x14ac:dyDescent="0.25">
      <c r="A50" s="9">
        <v>17</v>
      </c>
      <c r="B50" s="14" t="s">
        <v>707</v>
      </c>
      <c r="C50" s="8" t="s">
        <v>674</v>
      </c>
      <c r="D50" s="8" t="s">
        <v>112</v>
      </c>
      <c r="E50" s="8" t="s">
        <v>111</v>
      </c>
      <c r="F50" s="119"/>
      <c r="G50" s="8" t="s">
        <v>111</v>
      </c>
      <c r="H50" s="8" t="s">
        <v>112</v>
      </c>
      <c r="I50" s="8" t="s">
        <v>111</v>
      </c>
      <c r="J50" s="8" t="s">
        <v>112</v>
      </c>
      <c r="K50" s="8" t="s">
        <v>112</v>
      </c>
      <c r="L50" s="122"/>
      <c r="M50" s="119"/>
      <c r="N50" s="8" t="s">
        <v>112</v>
      </c>
      <c r="O50" s="8" t="s">
        <v>112</v>
      </c>
      <c r="P50" s="8" t="s">
        <v>112</v>
      </c>
      <c r="Q50" s="8" t="s">
        <v>112</v>
      </c>
      <c r="R50" s="8" t="s">
        <v>111</v>
      </c>
      <c r="S50" s="8" t="s">
        <v>111</v>
      </c>
      <c r="T50" s="119"/>
      <c r="U50" s="8" t="s">
        <v>111</v>
      </c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119"/>
      <c r="AB50" s="8" t="s">
        <v>112</v>
      </c>
      <c r="AC50" s="8" t="s">
        <v>111</v>
      </c>
      <c r="AD50" s="8" t="s">
        <v>112</v>
      </c>
      <c r="AE50" s="8" t="s">
        <v>112</v>
      </c>
      <c r="AF50" s="8" t="s">
        <v>112</v>
      </c>
      <c r="AG50" s="8" t="s">
        <v>112</v>
      </c>
      <c r="AH50" s="5">
        <f t="shared" si="1"/>
        <v>18</v>
      </c>
      <c r="AI50" s="5">
        <f t="shared" si="2"/>
        <v>7</v>
      </c>
    </row>
    <row r="51" spans="1:35" x14ac:dyDescent="0.25">
      <c r="A51" s="21">
        <v>18</v>
      </c>
      <c r="B51" s="14" t="s">
        <v>708</v>
      </c>
      <c r="C51" s="8" t="s">
        <v>674</v>
      </c>
      <c r="D51" s="8" t="s">
        <v>112</v>
      </c>
      <c r="E51" s="8" t="s">
        <v>112</v>
      </c>
      <c r="F51" s="119"/>
      <c r="G51" s="8" t="s">
        <v>112</v>
      </c>
      <c r="H51" s="8" t="s">
        <v>112</v>
      </c>
      <c r="I51" s="8" t="s">
        <v>112</v>
      </c>
      <c r="J51" s="8" t="s">
        <v>112</v>
      </c>
      <c r="K51" s="8" t="s">
        <v>112</v>
      </c>
      <c r="L51" s="122"/>
      <c r="M51" s="119"/>
      <c r="N51" s="8" t="s">
        <v>112</v>
      </c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119"/>
      <c r="U51" s="8" t="s">
        <v>112</v>
      </c>
      <c r="V51" s="8" t="s">
        <v>111</v>
      </c>
      <c r="W51" s="8" t="s">
        <v>112</v>
      </c>
      <c r="X51" s="8" t="s">
        <v>112</v>
      </c>
      <c r="Y51" s="8" t="s">
        <v>112</v>
      </c>
      <c r="Z51" s="8" t="s">
        <v>112</v>
      </c>
      <c r="AA51" s="119"/>
      <c r="AB51" s="8" t="s">
        <v>112</v>
      </c>
      <c r="AC51" s="8" t="s">
        <v>112</v>
      </c>
      <c r="AD51" s="8" t="s">
        <v>112</v>
      </c>
      <c r="AE51" s="8" t="s">
        <v>112</v>
      </c>
      <c r="AF51" s="8" t="s">
        <v>112</v>
      </c>
      <c r="AG51" s="8" t="s">
        <v>112</v>
      </c>
      <c r="AH51" s="5">
        <f t="shared" si="1"/>
        <v>24</v>
      </c>
      <c r="AI51" s="5">
        <f t="shared" si="2"/>
        <v>1</v>
      </c>
    </row>
    <row r="52" spans="1:35" x14ac:dyDescent="0.25">
      <c r="A52" s="9">
        <v>19</v>
      </c>
      <c r="B52" s="14" t="s">
        <v>709</v>
      </c>
      <c r="C52" s="8" t="s">
        <v>674</v>
      </c>
      <c r="D52" s="8" t="s">
        <v>112</v>
      </c>
      <c r="E52" s="8" t="s">
        <v>111</v>
      </c>
      <c r="F52" s="120"/>
      <c r="G52" s="8" t="s">
        <v>112</v>
      </c>
      <c r="H52" s="8" t="s">
        <v>112</v>
      </c>
      <c r="I52" s="8" t="s">
        <v>112</v>
      </c>
      <c r="J52" s="8" t="s">
        <v>112</v>
      </c>
      <c r="K52" s="8" t="s">
        <v>112</v>
      </c>
      <c r="L52" s="123"/>
      <c r="M52" s="120"/>
      <c r="N52" s="8" t="s">
        <v>112</v>
      </c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111</v>
      </c>
      <c r="T52" s="120"/>
      <c r="U52" s="8" t="s">
        <v>112</v>
      </c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112</v>
      </c>
      <c r="AA52" s="120"/>
      <c r="AB52" s="8" t="s">
        <v>112</v>
      </c>
      <c r="AC52" s="8" t="s">
        <v>112</v>
      </c>
      <c r="AD52" s="8" t="s">
        <v>112</v>
      </c>
      <c r="AE52" s="8" t="s">
        <v>112</v>
      </c>
      <c r="AF52" s="8" t="s">
        <v>112</v>
      </c>
      <c r="AG52" s="8" t="s">
        <v>112</v>
      </c>
      <c r="AH52" s="5">
        <f t="shared" si="1"/>
        <v>23</v>
      </c>
      <c r="AI52" s="5">
        <f t="shared" si="2"/>
        <v>2</v>
      </c>
    </row>
  </sheetData>
  <mergeCells count="15">
    <mergeCell ref="A1:AI1"/>
    <mergeCell ref="A2:AI2"/>
    <mergeCell ref="A3:A4"/>
    <mergeCell ref="B3:B4"/>
    <mergeCell ref="C3:C4"/>
    <mergeCell ref="AH3:AH4"/>
    <mergeCell ref="AI3:AI4"/>
    <mergeCell ref="AJ3:AK3"/>
    <mergeCell ref="F5:F52"/>
    <mergeCell ref="L5:L52"/>
    <mergeCell ref="M5:M52"/>
    <mergeCell ref="T5:T52"/>
    <mergeCell ref="AA5:AA52"/>
    <mergeCell ref="AJ11:AM11"/>
    <mergeCell ref="AJ19:AM19"/>
  </mergeCells>
  <conditionalFormatting sqref="B5:B33">
    <cfRule type="duplicateValues" dxfId="155" priority="27"/>
  </conditionalFormatting>
  <conditionalFormatting sqref="D5:E52 G5:K52 N5:S52 U5:Z52 AB5:AG52 D4:AG4">
    <cfRule type="expression" dxfId="154" priority="39">
      <formula>IF(D$4=TODAY(),TRUE,FALSE)</formula>
    </cfRule>
  </conditionalFormatting>
  <conditionalFormatting sqref="D5:E52 G5:K52 N5:S52 U5:Z52 AB5:AG52">
    <cfRule type="cellIs" dxfId="153" priority="36" operator="equal">
      <formula>"L"</formula>
    </cfRule>
    <cfRule type="cellIs" dxfId="152" priority="37" operator="equal">
      <formula>"A"</formula>
    </cfRule>
    <cfRule type="cellIs" dxfId="151" priority="38" operator="equal">
      <formula>"P"</formula>
    </cfRule>
  </conditionalFormatting>
  <conditionalFormatting sqref="D3:AG4 D5:E52 G5:K52 N5:S52 U5:Z52 AB5:AG52">
    <cfRule type="expression" dxfId="150" priority="40">
      <formula>D$3="Sun"</formula>
    </cfRule>
  </conditionalFormatting>
  <conditionalFormatting sqref="F5">
    <cfRule type="cellIs" dxfId="149" priority="22" operator="equal">
      <formula>"L"</formula>
    </cfRule>
    <cfRule type="cellIs" dxfId="148" priority="23" operator="equal">
      <formula>"A"</formula>
    </cfRule>
    <cfRule type="cellIs" dxfId="147" priority="24" operator="equal">
      <formula>"P"</formula>
    </cfRule>
    <cfRule type="expression" dxfId="146" priority="25">
      <formula>IF(F$4=TODAY(),TRUE,FALSE)</formula>
    </cfRule>
    <cfRule type="expression" dxfId="145" priority="26">
      <formula>F$3="Sun"</formula>
    </cfRule>
  </conditionalFormatting>
  <conditionalFormatting sqref="L5:M5">
    <cfRule type="cellIs" dxfId="144" priority="17" operator="equal">
      <formula>"L"</formula>
    </cfRule>
    <cfRule type="cellIs" dxfId="143" priority="18" operator="equal">
      <formula>"A"</formula>
    </cfRule>
    <cfRule type="cellIs" dxfId="142" priority="19" operator="equal">
      <formula>"P"</formula>
    </cfRule>
    <cfRule type="expression" dxfId="141" priority="20">
      <formula>IF(L$4=TODAY(),TRUE,FALSE)</formula>
    </cfRule>
    <cfRule type="expression" dxfId="140" priority="21">
      <formula>L$3="Sun"</formula>
    </cfRule>
  </conditionalFormatting>
  <conditionalFormatting sqref="T5">
    <cfRule type="cellIs" dxfId="139" priority="12" operator="equal">
      <formula>"L"</formula>
    </cfRule>
    <cfRule type="cellIs" dxfId="138" priority="13" operator="equal">
      <formula>"A"</formula>
    </cfRule>
    <cfRule type="cellIs" dxfId="137" priority="14" operator="equal">
      <formula>"P"</formula>
    </cfRule>
    <cfRule type="expression" dxfId="136" priority="15">
      <formula>IF(T$4=TODAY(),TRUE,FALSE)</formula>
    </cfRule>
    <cfRule type="expression" dxfId="135" priority="16">
      <formula>T$3="Sun"</formula>
    </cfRule>
  </conditionalFormatting>
  <conditionalFormatting sqref="AA5">
    <cfRule type="cellIs" dxfId="134" priority="7" operator="equal">
      <formula>"L"</formula>
    </cfRule>
    <cfRule type="cellIs" dxfId="133" priority="8" operator="equal">
      <formula>"A"</formula>
    </cfRule>
    <cfRule type="cellIs" dxfId="132" priority="9" operator="equal">
      <formula>"P"</formula>
    </cfRule>
    <cfRule type="expression" dxfId="131" priority="10">
      <formula>IF(AA$4=TODAY(),TRUE,FALSE)</formula>
    </cfRule>
    <cfRule type="expression" dxfId="130" priority="11">
      <formula>AA$3="Sun"</formula>
    </cfRule>
  </conditionalFormatting>
  <conditionalFormatting sqref="AH3:AI3 AH5:AI52">
    <cfRule type="expression" dxfId="129" priority="41">
      <formula>#REF!="Sun"</formula>
    </cfRule>
  </conditionalFormatting>
  <conditionalFormatting sqref="AJ5:AJ9">
    <cfRule type="expression" dxfId="128" priority="4">
      <formula>AJ$3="Sun"</formula>
    </cfRule>
  </conditionalFormatting>
  <conditionalFormatting sqref="AJ12:AJ15">
    <cfRule type="expression" dxfId="127" priority="2">
      <formula>AJ$3="Sun"</formula>
    </cfRule>
  </conditionalFormatting>
  <conditionalFormatting sqref="AJ20:AJ23">
    <cfRule type="expression" dxfId="126" priority="1">
      <formula>AJ$3="Sun"</formula>
    </cfRule>
  </conditionalFormatting>
  <conditionalFormatting sqref="AJ4:AK4">
    <cfRule type="expression" dxfId="125" priority="5">
      <formula>AJ$3="Sun"</formula>
    </cfRule>
  </conditionalFormatting>
  <conditionalFormatting sqref="AK12:AM12 AK20:AM20">
    <cfRule type="expression" dxfId="124" priority="6">
      <formula>AK$3="Sun"</formula>
    </cfRule>
  </conditionalFormatting>
  <conditionalFormatting sqref="AM21">
    <cfRule type="expression" dxfId="123" priority="3">
      <formula>AM$3="Sun"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8CF0-6DA7-4B3F-A800-34A6CBB3A1D0}">
  <dimension ref="A1:AN46"/>
  <sheetViews>
    <sheetView topLeftCell="F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0" ht="17.25" x14ac:dyDescent="0.3">
      <c r="A2" s="114" t="s">
        <v>616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7" t="s">
        <v>0</v>
      </c>
      <c r="B3" s="127" t="s">
        <v>1</v>
      </c>
      <c r="C3" s="127" t="s">
        <v>2</v>
      </c>
      <c r="D3" s="12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0" t="s">
        <v>126</v>
      </c>
      <c r="AL3" s="111"/>
      <c r="AM3" s="3"/>
      <c r="AN3" s="3"/>
    </row>
    <row r="4" spans="1:40" ht="37.5" x14ac:dyDescent="0.25">
      <c r="A4" s="128"/>
      <c r="B4" s="128"/>
      <c r="C4" s="128"/>
      <c r="D4" s="128"/>
      <c r="E4" s="13">
        <v>45597</v>
      </c>
      <c r="F4" s="13">
        <v>45598</v>
      </c>
      <c r="G4" s="13">
        <v>45599</v>
      </c>
      <c r="H4" s="13">
        <v>45600</v>
      </c>
      <c r="I4" s="13">
        <v>45601</v>
      </c>
      <c r="J4" s="13">
        <v>45602</v>
      </c>
      <c r="K4" s="13">
        <v>45603</v>
      </c>
      <c r="L4" s="13">
        <v>45604</v>
      </c>
      <c r="M4" s="13">
        <v>45605</v>
      </c>
      <c r="N4" s="13">
        <v>45606</v>
      </c>
      <c r="O4" s="13">
        <v>45607</v>
      </c>
      <c r="P4" s="13">
        <v>45608</v>
      </c>
      <c r="Q4" s="13">
        <v>45609</v>
      </c>
      <c r="R4" s="13">
        <v>45610</v>
      </c>
      <c r="S4" s="13">
        <v>45611</v>
      </c>
      <c r="T4" s="13">
        <v>45612</v>
      </c>
      <c r="U4" s="13">
        <v>45613</v>
      </c>
      <c r="V4" s="13">
        <v>45614</v>
      </c>
      <c r="W4" s="13">
        <v>45615</v>
      </c>
      <c r="X4" s="13">
        <v>45616</v>
      </c>
      <c r="Y4" s="13">
        <v>45617</v>
      </c>
      <c r="Z4" s="13">
        <v>45618</v>
      </c>
      <c r="AA4" s="13">
        <v>45619</v>
      </c>
      <c r="AB4" s="13">
        <v>45620</v>
      </c>
      <c r="AC4" s="13">
        <v>45621</v>
      </c>
      <c r="AD4" s="13">
        <v>45622</v>
      </c>
      <c r="AE4" s="13">
        <v>45623</v>
      </c>
      <c r="AF4" s="13">
        <v>45624</v>
      </c>
      <c r="AG4" s="13">
        <v>45625</v>
      </c>
      <c r="AH4" s="13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710</v>
      </c>
      <c r="C5" s="25" t="s">
        <v>711</v>
      </c>
      <c r="D5" s="20" t="s">
        <v>712</v>
      </c>
      <c r="E5" s="8" t="s">
        <v>112</v>
      </c>
      <c r="F5" s="8" t="s">
        <v>112</v>
      </c>
      <c r="G5" s="125" t="s">
        <v>552</v>
      </c>
      <c r="H5" s="8" t="s">
        <v>112</v>
      </c>
      <c r="I5" s="8" t="s">
        <v>112</v>
      </c>
      <c r="J5" s="8" t="s">
        <v>112</v>
      </c>
      <c r="K5" s="8" t="s">
        <v>111</v>
      </c>
      <c r="L5" s="8" t="s">
        <v>112</v>
      </c>
      <c r="M5" s="126" t="s">
        <v>619</v>
      </c>
      <c r="N5" s="125" t="s">
        <v>552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125" t="s">
        <v>552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111</v>
      </c>
      <c r="AB5" s="125" t="s">
        <v>552</v>
      </c>
      <c r="AC5" s="8" t="s">
        <v>111</v>
      </c>
      <c r="AD5" s="8" t="s">
        <v>111</v>
      </c>
      <c r="AE5" s="8" t="s">
        <v>112</v>
      </c>
      <c r="AF5" s="8" t="s">
        <v>112</v>
      </c>
      <c r="AG5" s="8"/>
      <c r="AH5" s="8" t="s">
        <v>112</v>
      </c>
      <c r="AI5" s="5">
        <f t="shared" ref="AI5:AI46" si="1">COUNTIF(E5:AH5,"P")</f>
        <v>19</v>
      </c>
      <c r="AJ5" s="5">
        <f t="shared" ref="AJ5:AJ46" si="2">COUNTIF(E5:AH5,"A")</f>
        <v>5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543</v>
      </c>
      <c r="C6" s="25" t="s">
        <v>443</v>
      </c>
      <c r="D6" s="20" t="s">
        <v>712</v>
      </c>
      <c r="E6" s="8" t="s">
        <v>112</v>
      </c>
      <c r="F6" s="8" t="s">
        <v>112</v>
      </c>
      <c r="G6" s="125"/>
      <c r="H6" s="8" t="s">
        <v>112</v>
      </c>
      <c r="I6" s="8" t="s">
        <v>113</v>
      </c>
      <c r="J6" s="8" t="s">
        <v>112</v>
      </c>
      <c r="K6" s="8" t="s">
        <v>112</v>
      </c>
      <c r="L6" s="8" t="s">
        <v>111</v>
      </c>
      <c r="M6" s="126"/>
      <c r="N6" s="125"/>
      <c r="O6" s="8" t="s">
        <v>113</v>
      </c>
      <c r="P6" s="8" t="s">
        <v>113</v>
      </c>
      <c r="Q6" s="8" t="s">
        <v>113</v>
      </c>
      <c r="R6" s="8" t="s">
        <v>113</v>
      </c>
      <c r="S6" s="8" t="s">
        <v>113</v>
      </c>
      <c r="T6" s="8" t="s">
        <v>113</v>
      </c>
      <c r="U6" s="125"/>
      <c r="V6" s="8" t="s">
        <v>111</v>
      </c>
      <c r="W6" s="8" t="s">
        <v>111</v>
      </c>
      <c r="X6" s="8" t="s">
        <v>111</v>
      </c>
      <c r="Y6" s="8" t="s">
        <v>111</v>
      </c>
      <c r="Z6" s="8" t="s">
        <v>111</v>
      </c>
      <c r="AA6" s="8" t="s">
        <v>111</v>
      </c>
      <c r="AB6" s="125"/>
      <c r="AC6" s="8" t="s">
        <v>112</v>
      </c>
      <c r="AD6" s="8" t="s">
        <v>112</v>
      </c>
      <c r="AE6" s="8" t="s">
        <v>111</v>
      </c>
      <c r="AF6" s="8" t="s">
        <v>112</v>
      </c>
      <c r="AG6" s="8"/>
      <c r="AH6" s="8" t="s">
        <v>112</v>
      </c>
      <c r="AI6" s="5">
        <f t="shared" si="1"/>
        <v>9</v>
      </c>
      <c r="AJ6" s="5">
        <f t="shared" si="2"/>
        <v>8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132</v>
      </c>
      <c r="C7" s="25" t="s">
        <v>174</v>
      </c>
      <c r="D7" s="20" t="s">
        <v>712</v>
      </c>
      <c r="E7" s="8" t="s">
        <v>112</v>
      </c>
      <c r="F7" s="8" t="s">
        <v>112</v>
      </c>
      <c r="G7" s="125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6"/>
      <c r="N7" s="125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125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25"/>
      <c r="AC7" s="8" t="s">
        <v>112</v>
      </c>
      <c r="AD7" s="8" t="s">
        <v>112</v>
      </c>
      <c r="AE7" s="8" t="s">
        <v>112</v>
      </c>
      <c r="AF7" s="8" t="s">
        <v>112</v>
      </c>
      <c r="AG7" s="8"/>
      <c r="AH7" s="8" t="s">
        <v>112</v>
      </c>
      <c r="AI7" s="5">
        <f t="shared" si="1"/>
        <v>24</v>
      </c>
      <c r="AJ7" s="5">
        <f t="shared" si="2"/>
        <v>0</v>
      </c>
      <c r="AK7" s="5" t="s">
        <v>129</v>
      </c>
      <c r="AL7" s="9">
        <v>1</v>
      </c>
      <c r="AM7" s="3"/>
      <c r="AN7" s="3"/>
    </row>
    <row r="8" spans="1:40" x14ac:dyDescent="0.25">
      <c r="A8" s="9">
        <v>4</v>
      </c>
      <c r="B8" s="24" t="s">
        <v>713</v>
      </c>
      <c r="C8" s="25" t="s">
        <v>101</v>
      </c>
      <c r="D8" s="20" t="s">
        <v>712</v>
      </c>
      <c r="E8" s="8" t="s">
        <v>112</v>
      </c>
      <c r="F8" s="8" t="s">
        <v>112</v>
      </c>
      <c r="G8" s="125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26"/>
      <c r="N8" s="125"/>
      <c r="O8" s="8" t="s">
        <v>112</v>
      </c>
      <c r="P8" s="8" t="s">
        <v>111</v>
      </c>
      <c r="Q8" s="8" t="s">
        <v>112</v>
      </c>
      <c r="R8" s="8" t="s">
        <v>112</v>
      </c>
      <c r="S8" s="8" t="s">
        <v>112</v>
      </c>
      <c r="T8" s="8" t="s">
        <v>112</v>
      </c>
      <c r="U8" s="125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25"/>
      <c r="AC8" s="8" t="s">
        <v>112</v>
      </c>
      <c r="AD8" s="8" t="s">
        <v>112</v>
      </c>
      <c r="AE8" s="8" t="s">
        <v>112</v>
      </c>
      <c r="AF8" s="8" t="s">
        <v>112</v>
      </c>
      <c r="AG8" s="8"/>
      <c r="AH8" s="8" t="s">
        <v>112</v>
      </c>
      <c r="AI8" s="5">
        <f t="shared" si="1"/>
        <v>23</v>
      </c>
      <c r="AJ8" s="5">
        <f t="shared" si="2"/>
        <v>1</v>
      </c>
      <c r="AK8" s="5"/>
      <c r="AL8" s="9"/>
      <c r="AM8"/>
      <c r="AN8"/>
    </row>
    <row r="9" spans="1:40" x14ac:dyDescent="0.25">
      <c r="A9" s="21">
        <v>5</v>
      </c>
      <c r="B9" s="24" t="s">
        <v>593</v>
      </c>
      <c r="C9" s="25" t="s">
        <v>182</v>
      </c>
      <c r="D9" s="20" t="s">
        <v>712</v>
      </c>
      <c r="E9" s="8" t="s">
        <v>112</v>
      </c>
      <c r="F9" s="8" t="s">
        <v>112</v>
      </c>
      <c r="G9" s="125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126"/>
      <c r="N9" s="125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125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111</v>
      </c>
      <c r="AA9" s="8" t="s">
        <v>111</v>
      </c>
      <c r="AB9" s="125"/>
      <c r="AC9" s="8" t="s">
        <v>111</v>
      </c>
      <c r="AD9" s="8" t="s">
        <v>112</v>
      </c>
      <c r="AE9" s="8" t="s">
        <v>112</v>
      </c>
      <c r="AF9" s="8" t="s">
        <v>112</v>
      </c>
      <c r="AG9" s="8"/>
      <c r="AH9" s="8" t="s">
        <v>112</v>
      </c>
      <c r="AI9" s="5">
        <f t="shared" si="1"/>
        <v>21</v>
      </c>
      <c r="AJ9" s="5">
        <f t="shared" si="2"/>
        <v>3</v>
      </c>
      <c r="AK9" s="5"/>
      <c r="AL9" s="9"/>
    </row>
    <row r="10" spans="1:40" x14ac:dyDescent="0.25">
      <c r="A10" s="9">
        <v>6</v>
      </c>
      <c r="B10" s="24" t="s">
        <v>714</v>
      </c>
      <c r="C10" s="25" t="s">
        <v>711</v>
      </c>
      <c r="D10" s="20" t="s">
        <v>712</v>
      </c>
      <c r="E10" s="8" t="s">
        <v>112</v>
      </c>
      <c r="F10" s="8" t="s">
        <v>112</v>
      </c>
      <c r="G10" s="125"/>
      <c r="H10" s="8" t="s">
        <v>112</v>
      </c>
      <c r="I10" s="8" t="s">
        <v>112</v>
      </c>
      <c r="J10" s="8" t="s">
        <v>112</v>
      </c>
      <c r="K10" s="8" t="s">
        <v>111</v>
      </c>
      <c r="L10" s="8" t="s">
        <v>112</v>
      </c>
      <c r="M10" s="126"/>
      <c r="N10" s="125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111</v>
      </c>
      <c r="T10" s="8" t="s">
        <v>112</v>
      </c>
      <c r="U10" s="125"/>
      <c r="V10" s="8" t="s">
        <v>111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111</v>
      </c>
      <c r="AB10" s="125"/>
      <c r="AC10" s="8" t="s">
        <v>112</v>
      </c>
      <c r="AD10" s="8" t="s">
        <v>112</v>
      </c>
      <c r="AE10" s="8" t="s">
        <v>112</v>
      </c>
      <c r="AF10" s="8" t="s">
        <v>112</v>
      </c>
      <c r="AG10" s="8"/>
      <c r="AH10" s="8" t="s">
        <v>111</v>
      </c>
      <c r="AI10" s="5">
        <f t="shared" si="1"/>
        <v>17</v>
      </c>
      <c r="AJ10" s="5">
        <f t="shared" si="2"/>
        <v>7</v>
      </c>
    </row>
    <row r="11" spans="1:40" ht="15.75" x14ac:dyDescent="0.25">
      <c r="A11" s="21">
        <v>7</v>
      </c>
      <c r="B11" s="24" t="s">
        <v>715</v>
      </c>
      <c r="C11" s="25" t="s">
        <v>577</v>
      </c>
      <c r="D11" s="20" t="s">
        <v>712</v>
      </c>
      <c r="E11" s="8" t="s">
        <v>112</v>
      </c>
      <c r="F11" s="8" t="s">
        <v>112</v>
      </c>
      <c r="G11" s="125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6"/>
      <c r="N11" s="125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25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25"/>
      <c r="AC11" s="8" t="s">
        <v>112</v>
      </c>
      <c r="AD11" s="8" t="s">
        <v>112</v>
      </c>
      <c r="AE11" s="8" t="s">
        <v>111</v>
      </c>
      <c r="AF11" s="8" t="s">
        <v>112</v>
      </c>
      <c r="AG11" s="8"/>
      <c r="AH11" s="8" t="s">
        <v>112</v>
      </c>
      <c r="AI11" s="5">
        <f t="shared" si="1"/>
        <v>23</v>
      </c>
      <c r="AJ11" s="5">
        <f t="shared" si="2"/>
        <v>1</v>
      </c>
      <c r="AK11" s="110" t="s">
        <v>9</v>
      </c>
      <c r="AL11" s="111"/>
      <c r="AM11" s="111"/>
      <c r="AN11" s="112"/>
    </row>
    <row r="12" spans="1:40" x14ac:dyDescent="0.25">
      <c r="A12" s="9">
        <v>8</v>
      </c>
      <c r="B12" s="24" t="s">
        <v>249</v>
      </c>
      <c r="C12" s="25" t="s">
        <v>716</v>
      </c>
      <c r="D12" s="20" t="s">
        <v>712</v>
      </c>
      <c r="E12" s="8" t="s">
        <v>112</v>
      </c>
      <c r="F12" s="8" t="s">
        <v>112</v>
      </c>
      <c r="G12" s="125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26"/>
      <c r="N12" s="125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125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25"/>
      <c r="AC12" s="8" t="s">
        <v>112</v>
      </c>
      <c r="AD12" s="8" t="s">
        <v>112</v>
      </c>
      <c r="AE12" s="8" t="s">
        <v>111</v>
      </c>
      <c r="AF12" s="8" t="s">
        <v>112</v>
      </c>
      <c r="AG12" s="8"/>
      <c r="AH12" s="8" t="s">
        <v>112</v>
      </c>
      <c r="AI12" s="5">
        <f t="shared" si="1"/>
        <v>23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24" t="s">
        <v>717</v>
      </c>
      <c r="C13" s="25" t="s">
        <v>315</v>
      </c>
      <c r="D13" s="20" t="s">
        <v>712</v>
      </c>
      <c r="E13" s="8" t="s">
        <v>112</v>
      </c>
      <c r="F13" s="8" t="s">
        <v>112</v>
      </c>
      <c r="G13" s="125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6"/>
      <c r="N13" s="125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25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25"/>
      <c r="AC13" s="8" t="s">
        <v>112</v>
      </c>
      <c r="AD13" s="8" t="s">
        <v>112</v>
      </c>
      <c r="AE13" s="8" t="s">
        <v>112</v>
      </c>
      <c r="AF13" s="8" t="s">
        <v>112</v>
      </c>
      <c r="AG13" s="8"/>
      <c r="AH13" s="8" t="s">
        <v>112</v>
      </c>
      <c r="AI13" s="5">
        <f t="shared" si="1"/>
        <v>24</v>
      </c>
      <c r="AJ13" s="5">
        <f t="shared" si="2"/>
        <v>0</v>
      </c>
      <c r="AK13" s="5" t="s">
        <v>14</v>
      </c>
      <c r="AL13" s="9">
        <f>19*$AL$5</f>
        <v>475</v>
      </c>
      <c r="AM13" s="9">
        <f>23*$AL$5</f>
        <v>575</v>
      </c>
      <c r="AN13" s="9">
        <f>SUM(AL13:AM13)</f>
        <v>1050</v>
      </c>
    </row>
    <row r="14" spans="1:40" x14ac:dyDescent="0.25">
      <c r="A14" s="9">
        <v>10</v>
      </c>
      <c r="B14" s="24" t="s">
        <v>718</v>
      </c>
      <c r="C14" s="25" t="s">
        <v>97</v>
      </c>
      <c r="D14" s="20" t="s">
        <v>712</v>
      </c>
      <c r="E14" s="8" t="s">
        <v>112</v>
      </c>
      <c r="F14" s="8" t="s">
        <v>112</v>
      </c>
      <c r="G14" s="125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126"/>
      <c r="N14" s="125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111</v>
      </c>
      <c r="U14" s="125"/>
      <c r="V14" s="8" t="s">
        <v>111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25"/>
      <c r="AC14" s="8" t="s">
        <v>111</v>
      </c>
      <c r="AD14" s="8" t="s">
        <v>111</v>
      </c>
      <c r="AE14" s="8" t="s">
        <v>112</v>
      </c>
      <c r="AF14" s="8" t="s">
        <v>112</v>
      </c>
      <c r="AG14" s="8"/>
      <c r="AH14" s="8" t="s">
        <v>111</v>
      </c>
      <c r="AI14" s="5">
        <f t="shared" si="1"/>
        <v>18</v>
      </c>
      <c r="AJ14" s="5">
        <f t="shared" si="2"/>
        <v>6</v>
      </c>
      <c r="AK14" s="5" t="s">
        <v>15</v>
      </c>
      <c r="AL14" s="9">
        <f>SUM(AI28:AI46)</f>
        <v>341</v>
      </c>
      <c r="AM14" s="9">
        <f>SUM(AI5:AI27)</f>
        <v>493</v>
      </c>
      <c r="AN14" s="9">
        <f>AL14+AM14</f>
        <v>834</v>
      </c>
    </row>
    <row r="15" spans="1:40" x14ac:dyDescent="0.25">
      <c r="A15" s="21">
        <v>11</v>
      </c>
      <c r="B15" s="24" t="s">
        <v>719</v>
      </c>
      <c r="C15" s="25" t="s">
        <v>348</v>
      </c>
      <c r="D15" s="20" t="s">
        <v>712</v>
      </c>
      <c r="E15" s="8" t="s">
        <v>112</v>
      </c>
      <c r="F15" s="8" t="s">
        <v>112</v>
      </c>
      <c r="G15" s="125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6"/>
      <c r="N15" s="125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111</v>
      </c>
      <c r="U15" s="125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25"/>
      <c r="AC15" s="8" t="s">
        <v>112</v>
      </c>
      <c r="AD15" s="8" t="s">
        <v>112</v>
      </c>
      <c r="AE15" s="8" t="s">
        <v>112</v>
      </c>
      <c r="AF15" s="8" t="s">
        <v>112</v>
      </c>
      <c r="AG15" s="8"/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2">
        <f>AL14/AL13</f>
        <v>0.71789473684210525</v>
      </c>
      <c r="AM15" s="12">
        <f>AM14/AM13</f>
        <v>0.85739130434782607</v>
      </c>
      <c r="AN15" s="12">
        <f>AN14/AN13</f>
        <v>0.79428571428571426</v>
      </c>
    </row>
    <row r="16" spans="1:40" x14ac:dyDescent="0.25">
      <c r="A16" s="9">
        <v>12</v>
      </c>
      <c r="B16" s="24" t="s">
        <v>660</v>
      </c>
      <c r="C16" s="25" t="s">
        <v>720</v>
      </c>
      <c r="D16" s="20" t="s">
        <v>712</v>
      </c>
      <c r="E16" s="8" t="s">
        <v>112</v>
      </c>
      <c r="F16" s="8" t="s">
        <v>112</v>
      </c>
      <c r="G16" s="125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26"/>
      <c r="N16" s="125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111</v>
      </c>
      <c r="T16" s="8" t="s">
        <v>112</v>
      </c>
      <c r="U16" s="125"/>
      <c r="V16" s="8" t="s">
        <v>111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25"/>
      <c r="AC16" s="8" t="s">
        <v>112</v>
      </c>
      <c r="AD16" s="8" t="s">
        <v>112</v>
      </c>
      <c r="AE16" s="8" t="s">
        <v>112</v>
      </c>
      <c r="AF16" s="8" t="s">
        <v>112</v>
      </c>
      <c r="AG16" s="8"/>
      <c r="AH16" s="8" t="s">
        <v>112</v>
      </c>
      <c r="AI16" s="5">
        <f t="shared" si="1"/>
        <v>22</v>
      </c>
      <c r="AJ16" s="5">
        <f t="shared" si="2"/>
        <v>2</v>
      </c>
      <c r="AK16"/>
      <c r="AL16"/>
      <c r="AM16"/>
      <c r="AN16"/>
    </row>
    <row r="17" spans="1:40" x14ac:dyDescent="0.25">
      <c r="A17" s="21">
        <v>13</v>
      </c>
      <c r="B17" s="24" t="s">
        <v>721</v>
      </c>
      <c r="C17" s="25" t="s">
        <v>722</v>
      </c>
      <c r="D17" s="20" t="s">
        <v>712</v>
      </c>
      <c r="E17" s="8" t="s">
        <v>112</v>
      </c>
      <c r="F17" s="8" t="s">
        <v>112</v>
      </c>
      <c r="G17" s="125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111</v>
      </c>
      <c r="M17" s="126"/>
      <c r="N17" s="125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25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25"/>
      <c r="AC17" s="8" t="s">
        <v>112</v>
      </c>
      <c r="AD17" s="8" t="s">
        <v>112</v>
      </c>
      <c r="AE17" s="8" t="s">
        <v>112</v>
      </c>
      <c r="AF17" s="8" t="s">
        <v>112</v>
      </c>
      <c r="AG17" s="8"/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9">
        <v>14</v>
      </c>
      <c r="B18" s="24" t="s">
        <v>723</v>
      </c>
      <c r="C18" s="25" t="s">
        <v>722</v>
      </c>
      <c r="D18" s="20" t="s">
        <v>712</v>
      </c>
      <c r="E18" s="8" t="s">
        <v>112</v>
      </c>
      <c r="F18" s="8" t="s">
        <v>112</v>
      </c>
      <c r="G18" s="125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126"/>
      <c r="N18" s="125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25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25"/>
      <c r="AC18" s="8" t="s">
        <v>112</v>
      </c>
      <c r="AD18" s="8" t="s">
        <v>112</v>
      </c>
      <c r="AE18" s="8" t="s">
        <v>112</v>
      </c>
      <c r="AF18" s="8" t="s">
        <v>112</v>
      </c>
      <c r="AG18" s="8"/>
      <c r="AH18" s="8" t="s">
        <v>112</v>
      </c>
      <c r="AI18" s="5">
        <f t="shared" si="1"/>
        <v>23</v>
      </c>
      <c r="AJ18" s="5">
        <f t="shared" si="2"/>
        <v>1</v>
      </c>
      <c r="AK18"/>
      <c r="AL18"/>
      <c r="AM18"/>
      <c r="AN18"/>
    </row>
    <row r="19" spans="1:40" ht="15.75" x14ac:dyDescent="0.25">
      <c r="A19" s="21">
        <v>15</v>
      </c>
      <c r="B19" s="24" t="s">
        <v>724</v>
      </c>
      <c r="C19" s="25" t="s">
        <v>725</v>
      </c>
      <c r="D19" s="20" t="s">
        <v>712</v>
      </c>
      <c r="E19" s="8" t="s">
        <v>112</v>
      </c>
      <c r="F19" s="8" t="s">
        <v>112</v>
      </c>
      <c r="G19" s="125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6"/>
      <c r="N19" s="125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25"/>
      <c r="V19" s="8" t="s">
        <v>112</v>
      </c>
      <c r="W19" s="8" t="s">
        <v>112</v>
      </c>
      <c r="X19" s="8" t="s">
        <v>111</v>
      </c>
      <c r="Y19" s="8" t="s">
        <v>112</v>
      </c>
      <c r="Z19" s="8" t="s">
        <v>112</v>
      </c>
      <c r="AA19" s="8" t="s">
        <v>112</v>
      </c>
      <c r="AB19" s="125"/>
      <c r="AC19" s="8" t="s">
        <v>112</v>
      </c>
      <c r="AD19" s="8" t="s">
        <v>112</v>
      </c>
      <c r="AE19" s="8" t="s">
        <v>112</v>
      </c>
      <c r="AF19" s="8" t="s">
        <v>112</v>
      </c>
      <c r="AG19" s="8"/>
      <c r="AH19" s="8" t="s">
        <v>112</v>
      </c>
      <c r="AI19" s="5">
        <f t="shared" si="1"/>
        <v>23</v>
      </c>
      <c r="AJ19" s="5">
        <f t="shared" si="2"/>
        <v>1</v>
      </c>
      <c r="AK19" s="110" t="s">
        <v>128</v>
      </c>
      <c r="AL19" s="111"/>
      <c r="AM19" s="111"/>
      <c r="AN19" s="112"/>
    </row>
    <row r="20" spans="1:40" x14ac:dyDescent="0.25">
      <c r="A20" s="9">
        <v>16</v>
      </c>
      <c r="B20" s="24" t="s">
        <v>593</v>
      </c>
      <c r="C20" s="25" t="s">
        <v>726</v>
      </c>
      <c r="D20" s="20" t="s">
        <v>712</v>
      </c>
      <c r="E20" s="8" t="s">
        <v>112</v>
      </c>
      <c r="F20" s="8" t="s">
        <v>112</v>
      </c>
      <c r="G20" s="125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26"/>
      <c r="N20" s="125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25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25"/>
      <c r="AC20" s="8" t="s">
        <v>112</v>
      </c>
      <c r="AD20" s="8" t="s">
        <v>112</v>
      </c>
      <c r="AE20" s="8" t="s">
        <v>112</v>
      </c>
      <c r="AF20" s="8" t="s">
        <v>112</v>
      </c>
      <c r="AG20" s="8"/>
      <c r="AH20" s="8" t="s">
        <v>112</v>
      </c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17</v>
      </c>
      <c r="B21" s="24" t="s">
        <v>727</v>
      </c>
      <c r="C21" s="25" t="s">
        <v>577</v>
      </c>
      <c r="D21" s="20" t="s">
        <v>712</v>
      </c>
      <c r="E21" s="8" t="s">
        <v>112</v>
      </c>
      <c r="F21" s="8" t="s">
        <v>112</v>
      </c>
      <c r="G21" s="125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26"/>
      <c r="N21" s="125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25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25"/>
      <c r="AC21" s="8" t="s">
        <v>112</v>
      </c>
      <c r="AD21" s="8" t="s">
        <v>112</v>
      </c>
      <c r="AE21" s="8" t="s">
        <v>112</v>
      </c>
      <c r="AF21" s="8" t="s">
        <v>112</v>
      </c>
      <c r="AG21" s="8"/>
      <c r="AH21" s="8" t="s">
        <v>112</v>
      </c>
      <c r="AI21" s="5">
        <f t="shared" si="1"/>
        <v>24</v>
      </c>
      <c r="AJ21" s="5">
        <f t="shared" si="2"/>
        <v>0</v>
      </c>
      <c r="AK21" s="5" t="s">
        <v>14</v>
      </c>
      <c r="AL21" s="9">
        <f>19*$AL$5</f>
        <v>475</v>
      </c>
      <c r="AM21" s="9">
        <f>23*$AL$5</f>
        <v>575</v>
      </c>
      <c r="AN21" s="9">
        <f>AL21+AM21</f>
        <v>1050</v>
      </c>
    </row>
    <row r="22" spans="1:40" x14ac:dyDescent="0.25">
      <c r="A22" s="9">
        <v>18</v>
      </c>
      <c r="B22" s="24" t="s">
        <v>728</v>
      </c>
      <c r="C22" s="25" t="s">
        <v>729</v>
      </c>
      <c r="D22" s="20" t="s">
        <v>712</v>
      </c>
      <c r="E22" s="8" t="s">
        <v>112</v>
      </c>
      <c r="F22" s="8" t="s">
        <v>112</v>
      </c>
      <c r="G22" s="125"/>
      <c r="H22" s="8" t="s">
        <v>111</v>
      </c>
      <c r="I22" s="8" t="s">
        <v>112</v>
      </c>
      <c r="J22" s="8" t="s">
        <v>111</v>
      </c>
      <c r="K22" s="8" t="s">
        <v>112</v>
      </c>
      <c r="L22" s="8" t="s">
        <v>112</v>
      </c>
      <c r="M22" s="126"/>
      <c r="N22" s="125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113</v>
      </c>
      <c r="T22" s="8" t="s">
        <v>112</v>
      </c>
      <c r="U22" s="125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25"/>
      <c r="AC22" s="8" t="s">
        <v>112</v>
      </c>
      <c r="AD22" s="8" t="s">
        <v>112</v>
      </c>
      <c r="AE22" s="8" t="s">
        <v>112</v>
      </c>
      <c r="AF22" s="8" t="s">
        <v>112</v>
      </c>
      <c r="AG22" s="8"/>
      <c r="AH22" s="8" t="s">
        <v>112</v>
      </c>
      <c r="AI22" s="5">
        <f t="shared" si="1"/>
        <v>21</v>
      </c>
      <c r="AJ22" s="5">
        <f t="shared" si="2"/>
        <v>2</v>
      </c>
      <c r="AK22" s="5" t="s">
        <v>17</v>
      </c>
      <c r="AL22" s="9">
        <f>AL21-AL14</f>
        <v>134</v>
      </c>
      <c r="AM22" s="9">
        <f>AM21-AM14</f>
        <v>82</v>
      </c>
      <c r="AN22" s="9">
        <f>AL22+AM22</f>
        <v>216</v>
      </c>
    </row>
    <row r="23" spans="1:40" x14ac:dyDescent="0.25">
      <c r="A23" s="21">
        <v>19</v>
      </c>
      <c r="B23" s="24" t="s">
        <v>730</v>
      </c>
      <c r="C23" s="25" t="s">
        <v>731</v>
      </c>
      <c r="D23" s="20" t="s">
        <v>712</v>
      </c>
      <c r="E23" s="8" t="s">
        <v>112</v>
      </c>
      <c r="F23" s="8" t="s">
        <v>112</v>
      </c>
      <c r="G23" s="125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111</v>
      </c>
      <c r="M23" s="126"/>
      <c r="N23" s="125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25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25"/>
      <c r="AC23" s="8" t="s">
        <v>112</v>
      </c>
      <c r="AD23" s="8" t="s">
        <v>111</v>
      </c>
      <c r="AE23" s="8" t="s">
        <v>112</v>
      </c>
      <c r="AF23" s="8" t="s">
        <v>112</v>
      </c>
      <c r="AG23" s="8"/>
      <c r="AH23" s="8" t="s">
        <v>112</v>
      </c>
      <c r="AI23" s="5">
        <f t="shared" si="1"/>
        <v>22</v>
      </c>
      <c r="AJ23" s="5">
        <f t="shared" si="2"/>
        <v>2</v>
      </c>
      <c r="AK23" s="5" t="s">
        <v>16</v>
      </c>
      <c r="AL23" s="12">
        <f>AL22/AL21</f>
        <v>0.28210526315789475</v>
      </c>
      <c r="AM23" s="12">
        <f>AM22/AM21</f>
        <v>0.14260869565217391</v>
      </c>
      <c r="AN23" s="12">
        <f>AN22/AN21</f>
        <v>0.20571428571428571</v>
      </c>
    </row>
    <row r="24" spans="1:40" x14ac:dyDescent="0.25">
      <c r="A24" s="9">
        <v>20</v>
      </c>
      <c r="B24" s="24" t="s">
        <v>732</v>
      </c>
      <c r="C24" s="25" t="s">
        <v>733</v>
      </c>
      <c r="D24" s="20" t="s">
        <v>712</v>
      </c>
      <c r="E24" s="8" t="s">
        <v>112</v>
      </c>
      <c r="F24" s="8" t="s">
        <v>112</v>
      </c>
      <c r="G24" s="125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6"/>
      <c r="N24" s="125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25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25"/>
      <c r="AC24" s="8" t="s">
        <v>111</v>
      </c>
      <c r="AD24" s="8" t="s">
        <v>112</v>
      </c>
      <c r="AE24" s="8" t="s">
        <v>112</v>
      </c>
      <c r="AF24" s="8" t="s">
        <v>112</v>
      </c>
      <c r="AG24" s="8"/>
      <c r="AH24" s="8" t="s">
        <v>111</v>
      </c>
      <c r="AI24" s="5">
        <f t="shared" si="1"/>
        <v>22</v>
      </c>
      <c r="AJ24" s="5">
        <f t="shared" si="2"/>
        <v>2</v>
      </c>
    </row>
    <row r="25" spans="1:40" x14ac:dyDescent="0.25">
      <c r="A25" s="21">
        <v>21</v>
      </c>
      <c r="B25" s="24" t="s">
        <v>734</v>
      </c>
      <c r="C25" s="25" t="s">
        <v>735</v>
      </c>
      <c r="D25" s="20" t="s">
        <v>712</v>
      </c>
      <c r="E25" s="8" t="s">
        <v>112</v>
      </c>
      <c r="F25" s="8" t="s">
        <v>112</v>
      </c>
      <c r="G25" s="125"/>
      <c r="H25" s="8" t="s">
        <v>112</v>
      </c>
      <c r="I25" s="8" t="s">
        <v>112</v>
      </c>
      <c r="J25" s="8" t="s">
        <v>111</v>
      </c>
      <c r="K25" s="8" t="s">
        <v>112</v>
      </c>
      <c r="L25" s="8" t="s">
        <v>112</v>
      </c>
      <c r="M25" s="126"/>
      <c r="N25" s="125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125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111</v>
      </c>
      <c r="AA25" s="8" t="s">
        <v>112</v>
      </c>
      <c r="AB25" s="125"/>
      <c r="AC25" s="8" t="s">
        <v>112</v>
      </c>
      <c r="AD25" s="8" t="s">
        <v>112</v>
      </c>
      <c r="AE25" s="8" t="s">
        <v>112</v>
      </c>
      <c r="AF25" s="8" t="s">
        <v>112</v>
      </c>
      <c r="AG25" s="8"/>
      <c r="AH25" s="8" t="s">
        <v>112</v>
      </c>
      <c r="AI25" s="5">
        <f t="shared" si="1"/>
        <v>22</v>
      </c>
      <c r="AJ25" s="5">
        <f t="shared" si="2"/>
        <v>2</v>
      </c>
    </row>
    <row r="26" spans="1:40" x14ac:dyDescent="0.25">
      <c r="A26" s="9">
        <v>22</v>
      </c>
      <c r="B26" s="24" t="s">
        <v>732</v>
      </c>
      <c r="C26" s="24" t="s">
        <v>323</v>
      </c>
      <c r="D26" s="20" t="s">
        <v>712</v>
      </c>
      <c r="E26" s="8" t="s">
        <v>112</v>
      </c>
      <c r="F26" s="8" t="s">
        <v>112</v>
      </c>
      <c r="G26" s="125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6"/>
      <c r="N26" s="125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25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25"/>
      <c r="AC26" s="8" t="s">
        <v>112</v>
      </c>
      <c r="AD26" s="8" t="s">
        <v>111</v>
      </c>
      <c r="AE26" s="8" t="s">
        <v>112</v>
      </c>
      <c r="AF26" s="8" t="s">
        <v>112</v>
      </c>
      <c r="AG26" s="8"/>
      <c r="AH26" s="8" t="s">
        <v>112</v>
      </c>
      <c r="AI26" s="5">
        <f t="shared" si="1"/>
        <v>23</v>
      </c>
      <c r="AJ26" s="5">
        <f t="shared" si="2"/>
        <v>1</v>
      </c>
    </row>
    <row r="27" spans="1:40" x14ac:dyDescent="0.25">
      <c r="A27" s="21">
        <v>23</v>
      </c>
      <c r="B27" s="30" t="s">
        <v>593</v>
      </c>
      <c r="C27" s="30" t="s">
        <v>736</v>
      </c>
      <c r="D27" s="20" t="s">
        <v>712</v>
      </c>
      <c r="E27" s="8" t="s">
        <v>112</v>
      </c>
      <c r="F27" s="8" t="s">
        <v>112</v>
      </c>
      <c r="G27" s="125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6"/>
      <c r="N27" s="125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25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111</v>
      </c>
      <c r="AA27" s="8" t="s">
        <v>111</v>
      </c>
      <c r="AB27" s="125"/>
      <c r="AC27" s="8" t="s">
        <v>112</v>
      </c>
      <c r="AD27" s="8" t="s">
        <v>112</v>
      </c>
      <c r="AE27" s="8" t="s">
        <v>112</v>
      </c>
      <c r="AF27" s="8" t="s">
        <v>111</v>
      </c>
      <c r="AG27" s="8"/>
      <c r="AH27" s="8" t="s">
        <v>111</v>
      </c>
      <c r="AI27" s="5">
        <f t="shared" si="1"/>
        <v>20</v>
      </c>
      <c r="AJ27" s="5">
        <f t="shared" si="2"/>
        <v>4</v>
      </c>
    </row>
    <row r="28" spans="1:40" x14ac:dyDescent="0.25">
      <c r="A28" s="9">
        <v>1</v>
      </c>
      <c r="B28" s="24" t="s">
        <v>737</v>
      </c>
      <c r="C28" s="25" t="s">
        <v>22</v>
      </c>
      <c r="D28" s="20" t="s">
        <v>712</v>
      </c>
      <c r="E28" s="8" t="s">
        <v>112</v>
      </c>
      <c r="F28" s="8" t="s">
        <v>112</v>
      </c>
      <c r="G28" s="125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6"/>
      <c r="N28" s="125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25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125"/>
      <c r="AC28" s="8" t="s">
        <v>112</v>
      </c>
      <c r="AD28" s="8" t="s">
        <v>112</v>
      </c>
      <c r="AE28" s="8" t="s">
        <v>112</v>
      </c>
      <c r="AF28" s="8" t="s">
        <v>111</v>
      </c>
      <c r="AG28" s="8"/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1">
        <v>2</v>
      </c>
      <c r="B29" s="24" t="s">
        <v>738</v>
      </c>
      <c r="C29" s="25" t="s">
        <v>492</v>
      </c>
      <c r="D29" s="20" t="s">
        <v>712</v>
      </c>
      <c r="E29" s="8" t="s">
        <v>112</v>
      </c>
      <c r="F29" s="8" t="s">
        <v>112</v>
      </c>
      <c r="G29" s="125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26"/>
      <c r="N29" s="125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25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25"/>
      <c r="AC29" s="8" t="s">
        <v>112</v>
      </c>
      <c r="AD29" s="8" t="s">
        <v>112</v>
      </c>
      <c r="AE29" s="8" t="s">
        <v>112</v>
      </c>
      <c r="AF29" s="8" t="s">
        <v>111</v>
      </c>
      <c r="AG29" s="8"/>
      <c r="AH29" s="8" t="s">
        <v>112</v>
      </c>
      <c r="AI29" s="5">
        <f t="shared" si="1"/>
        <v>23</v>
      </c>
      <c r="AJ29" s="5">
        <f t="shared" si="2"/>
        <v>1</v>
      </c>
    </row>
    <row r="30" spans="1:40" x14ac:dyDescent="0.25">
      <c r="A30" s="9">
        <v>3</v>
      </c>
      <c r="B30" s="24" t="s">
        <v>739</v>
      </c>
      <c r="C30" s="25" t="s">
        <v>527</v>
      </c>
      <c r="D30" s="20" t="s">
        <v>712</v>
      </c>
      <c r="E30" s="8" t="s">
        <v>112</v>
      </c>
      <c r="F30" s="8" t="s">
        <v>112</v>
      </c>
      <c r="G30" s="125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6"/>
      <c r="N30" s="125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25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25"/>
      <c r="AC30" s="8" t="s">
        <v>112</v>
      </c>
      <c r="AD30" s="8" t="s">
        <v>112</v>
      </c>
      <c r="AE30" s="8" t="s">
        <v>112</v>
      </c>
      <c r="AF30" s="8" t="s">
        <v>111</v>
      </c>
      <c r="AG30" s="8"/>
      <c r="AH30" s="8" t="s">
        <v>112</v>
      </c>
      <c r="AI30" s="5">
        <f t="shared" si="1"/>
        <v>23</v>
      </c>
      <c r="AJ30" s="5">
        <f t="shared" si="2"/>
        <v>1</v>
      </c>
    </row>
    <row r="31" spans="1:40" x14ac:dyDescent="0.25">
      <c r="A31" s="21">
        <v>4</v>
      </c>
      <c r="B31" s="24" t="s">
        <v>740</v>
      </c>
      <c r="C31" s="24" t="s">
        <v>633</v>
      </c>
      <c r="D31" s="20" t="s">
        <v>712</v>
      </c>
      <c r="E31" s="8" t="s">
        <v>112</v>
      </c>
      <c r="F31" s="8" t="s">
        <v>112</v>
      </c>
      <c r="G31" s="125"/>
      <c r="H31" s="8" t="s">
        <v>111</v>
      </c>
      <c r="I31" s="8" t="s">
        <v>111</v>
      </c>
      <c r="J31" s="8" t="s">
        <v>112</v>
      </c>
      <c r="K31" s="8" t="s">
        <v>112</v>
      </c>
      <c r="L31" s="8" t="s">
        <v>112</v>
      </c>
      <c r="M31" s="126"/>
      <c r="N31" s="125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25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25"/>
      <c r="AC31" s="8" t="s">
        <v>112</v>
      </c>
      <c r="AD31" s="8" t="s">
        <v>112</v>
      </c>
      <c r="AE31" s="8" t="s">
        <v>112</v>
      </c>
      <c r="AF31" s="8" t="s">
        <v>111</v>
      </c>
      <c r="AG31" s="8"/>
      <c r="AH31" s="8" t="s">
        <v>112</v>
      </c>
      <c r="AI31" s="5">
        <f t="shared" si="1"/>
        <v>21</v>
      </c>
      <c r="AJ31" s="5">
        <f t="shared" si="2"/>
        <v>3</v>
      </c>
    </row>
    <row r="32" spans="1:40" x14ac:dyDescent="0.25">
      <c r="A32" s="9">
        <v>5</v>
      </c>
      <c r="B32" s="24" t="s">
        <v>741</v>
      </c>
      <c r="C32" s="25" t="s">
        <v>592</v>
      </c>
      <c r="D32" s="20" t="s">
        <v>712</v>
      </c>
      <c r="E32" s="8" t="s">
        <v>112</v>
      </c>
      <c r="F32" s="8" t="s">
        <v>112</v>
      </c>
      <c r="G32" s="125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112</v>
      </c>
      <c r="M32" s="126"/>
      <c r="N32" s="125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25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25"/>
      <c r="AC32" s="8" t="s">
        <v>112</v>
      </c>
      <c r="AD32" s="8" t="s">
        <v>112</v>
      </c>
      <c r="AE32" s="8" t="s">
        <v>112</v>
      </c>
      <c r="AF32" s="8" t="s">
        <v>111</v>
      </c>
      <c r="AG32" s="8"/>
      <c r="AH32" s="8" t="s">
        <v>112</v>
      </c>
      <c r="AI32" s="5">
        <f t="shared" si="1"/>
        <v>22</v>
      </c>
      <c r="AJ32" s="5">
        <f t="shared" si="2"/>
        <v>2</v>
      </c>
    </row>
    <row r="33" spans="1:36" x14ac:dyDescent="0.25">
      <c r="A33" s="21">
        <v>6</v>
      </c>
      <c r="B33" s="28" t="s">
        <v>742</v>
      </c>
      <c r="C33" s="29" t="s">
        <v>743</v>
      </c>
      <c r="D33" s="20" t="s">
        <v>712</v>
      </c>
      <c r="E33" s="8" t="s">
        <v>111</v>
      </c>
      <c r="F33" s="8" t="s">
        <v>111</v>
      </c>
      <c r="G33" s="125"/>
      <c r="H33" s="8" t="s">
        <v>111</v>
      </c>
      <c r="I33" s="8" t="s">
        <v>111</v>
      </c>
      <c r="J33" s="8" t="s">
        <v>111</v>
      </c>
      <c r="K33" s="8" t="s">
        <v>111</v>
      </c>
      <c r="L33" s="8" t="s">
        <v>111</v>
      </c>
      <c r="M33" s="126"/>
      <c r="N33" s="125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125"/>
      <c r="V33" s="8" t="s">
        <v>111</v>
      </c>
      <c r="W33" s="8" t="s">
        <v>111</v>
      </c>
      <c r="X33" s="8" t="s">
        <v>111</v>
      </c>
      <c r="Y33" s="8" t="s">
        <v>111</v>
      </c>
      <c r="Z33" s="8" t="s">
        <v>111</v>
      </c>
      <c r="AA33" s="8" t="s">
        <v>111</v>
      </c>
      <c r="AB33" s="125"/>
      <c r="AC33" s="8" t="s">
        <v>111</v>
      </c>
      <c r="AD33" s="8" t="s">
        <v>111</v>
      </c>
      <c r="AE33" s="8" t="s">
        <v>111</v>
      </c>
      <c r="AF33" s="8" t="s">
        <v>111</v>
      </c>
      <c r="AG33" s="8"/>
      <c r="AH33" s="8" t="s">
        <v>679</v>
      </c>
      <c r="AI33" s="5">
        <f t="shared" si="1"/>
        <v>0</v>
      </c>
      <c r="AJ33" s="5">
        <f t="shared" si="2"/>
        <v>23</v>
      </c>
    </row>
    <row r="34" spans="1:36" x14ac:dyDescent="0.25">
      <c r="A34" s="9">
        <v>7</v>
      </c>
      <c r="B34" s="30" t="s">
        <v>744</v>
      </c>
      <c r="C34" s="30" t="s">
        <v>140</v>
      </c>
      <c r="D34" s="20" t="s">
        <v>712</v>
      </c>
      <c r="E34" s="8" t="s">
        <v>112</v>
      </c>
      <c r="F34" s="8" t="s">
        <v>112</v>
      </c>
      <c r="G34" s="125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6"/>
      <c r="N34" s="125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25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25"/>
      <c r="AC34" s="8" t="s">
        <v>112</v>
      </c>
      <c r="AD34" s="8" t="s">
        <v>112</v>
      </c>
      <c r="AE34" s="8" t="s">
        <v>112</v>
      </c>
      <c r="AF34" s="8" t="s">
        <v>111</v>
      </c>
      <c r="AG34" s="8"/>
      <c r="AH34" s="8" t="s">
        <v>112</v>
      </c>
      <c r="AI34" s="5">
        <f t="shared" si="1"/>
        <v>23</v>
      </c>
      <c r="AJ34" s="5">
        <f t="shared" si="2"/>
        <v>1</v>
      </c>
    </row>
    <row r="35" spans="1:36" x14ac:dyDescent="0.25">
      <c r="A35" s="21">
        <v>8</v>
      </c>
      <c r="B35" s="24" t="s">
        <v>745</v>
      </c>
      <c r="C35" s="24" t="s">
        <v>746</v>
      </c>
      <c r="D35" s="20" t="s">
        <v>712</v>
      </c>
      <c r="E35" s="8" t="s">
        <v>112</v>
      </c>
      <c r="F35" s="8" t="s">
        <v>112</v>
      </c>
      <c r="G35" s="125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6"/>
      <c r="N35" s="125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25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25"/>
      <c r="AC35" s="8" t="s">
        <v>112</v>
      </c>
      <c r="AD35" s="8" t="s">
        <v>112</v>
      </c>
      <c r="AE35" s="8" t="s">
        <v>112</v>
      </c>
      <c r="AF35" s="8" t="s">
        <v>111</v>
      </c>
      <c r="AG35" s="8"/>
      <c r="AH35" s="8" t="s">
        <v>112</v>
      </c>
      <c r="AI35" s="5">
        <f t="shared" si="1"/>
        <v>23</v>
      </c>
      <c r="AJ35" s="5">
        <f t="shared" si="2"/>
        <v>1</v>
      </c>
    </row>
    <row r="36" spans="1:36" x14ac:dyDescent="0.25">
      <c r="A36" s="9">
        <v>9</v>
      </c>
      <c r="B36" s="14" t="s">
        <v>84</v>
      </c>
      <c r="C36" s="14" t="s">
        <v>36</v>
      </c>
      <c r="D36" s="20" t="s">
        <v>712</v>
      </c>
      <c r="E36" s="8" t="s">
        <v>112</v>
      </c>
      <c r="F36" s="8" t="s">
        <v>112</v>
      </c>
      <c r="G36" s="125"/>
      <c r="H36" s="8" t="s">
        <v>111</v>
      </c>
      <c r="I36" s="8" t="s">
        <v>111</v>
      </c>
      <c r="J36" s="8" t="s">
        <v>111</v>
      </c>
      <c r="K36" s="8" t="s">
        <v>111</v>
      </c>
      <c r="L36" s="8" t="s">
        <v>111</v>
      </c>
      <c r="M36" s="126"/>
      <c r="N36" s="125"/>
      <c r="O36" s="8" t="s">
        <v>111</v>
      </c>
      <c r="P36" s="8" t="s">
        <v>111</v>
      </c>
      <c r="Q36" s="8" t="s">
        <v>111</v>
      </c>
      <c r="R36" s="8" t="s">
        <v>111</v>
      </c>
      <c r="S36" s="8" t="s">
        <v>111</v>
      </c>
      <c r="T36" s="8" t="s">
        <v>111</v>
      </c>
      <c r="U36" s="125"/>
      <c r="V36" s="8" t="s">
        <v>111</v>
      </c>
      <c r="W36" s="8" t="s">
        <v>111</v>
      </c>
      <c r="X36" s="8" t="s">
        <v>111</v>
      </c>
      <c r="Y36" s="8" t="s">
        <v>111</v>
      </c>
      <c r="Z36" s="8" t="s">
        <v>111</v>
      </c>
      <c r="AA36" s="8" t="s">
        <v>111</v>
      </c>
      <c r="AB36" s="125"/>
      <c r="AC36" s="8" t="s">
        <v>111</v>
      </c>
      <c r="AD36" s="8" t="s">
        <v>111</v>
      </c>
      <c r="AE36" s="8" t="s">
        <v>111</v>
      </c>
      <c r="AF36" s="8" t="s">
        <v>111</v>
      </c>
      <c r="AG36" s="8"/>
      <c r="AH36" s="8" t="s">
        <v>679</v>
      </c>
      <c r="AI36" s="5">
        <f t="shared" si="1"/>
        <v>2</v>
      </c>
      <c r="AJ36" s="5">
        <f t="shared" si="2"/>
        <v>21</v>
      </c>
    </row>
    <row r="37" spans="1:36" x14ac:dyDescent="0.25">
      <c r="A37" s="21">
        <v>10</v>
      </c>
      <c r="B37" s="14" t="s">
        <v>747</v>
      </c>
      <c r="C37" s="14" t="s">
        <v>748</v>
      </c>
      <c r="D37" s="20" t="s">
        <v>712</v>
      </c>
      <c r="E37" s="8" t="s">
        <v>112</v>
      </c>
      <c r="F37" s="8" t="s">
        <v>112</v>
      </c>
      <c r="G37" s="125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6"/>
      <c r="N37" s="125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25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25"/>
      <c r="AC37" s="8" t="s">
        <v>112</v>
      </c>
      <c r="AD37" s="8" t="s">
        <v>112</v>
      </c>
      <c r="AE37" s="8" t="s">
        <v>112</v>
      </c>
      <c r="AF37" s="8" t="s">
        <v>111</v>
      </c>
      <c r="AG37" s="8"/>
      <c r="AH37" s="8" t="s">
        <v>112</v>
      </c>
      <c r="AI37" s="5">
        <f t="shared" si="1"/>
        <v>23</v>
      </c>
      <c r="AJ37" s="5">
        <f t="shared" si="2"/>
        <v>1</v>
      </c>
    </row>
    <row r="38" spans="1:36" x14ac:dyDescent="0.25">
      <c r="A38" s="9">
        <v>11</v>
      </c>
      <c r="B38" s="14" t="s">
        <v>749</v>
      </c>
      <c r="C38" s="14" t="s">
        <v>750</v>
      </c>
      <c r="D38" s="20" t="s">
        <v>712</v>
      </c>
      <c r="E38" s="8" t="s">
        <v>112</v>
      </c>
      <c r="F38" s="8" t="s">
        <v>112</v>
      </c>
      <c r="G38" s="125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6"/>
      <c r="N38" s="125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25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25"/>
      <c r="AC38" s="8" t="s">
        <v>112</v>
      </c>
      <c r="AD38" s="8" t="s">
        <v>112</v>
      </c>
      <c r="AE38" s="8" t="s">
        <v>112</v>
      </c>
      <c r="AF38" s="8" t="s">
        <v>111</v>
      </c>
      <c r="AG38" s="8"/>
      <c r="AH38" s="8" t="s">
        <v>112</v>
      </c>
      <c r="AI38" s="5">
        <f t="shared" si="1"/>
        <v>23</v>
      </c>
      <c r="AJ38" s="5">
        <f t="shared" si="2"/>
        <v>1</v>
      </c>
    </row>
    <row r="39" spans="1:36" x14ac:dyDescent="0.25">
      <c r="A39" s="21">
        <v>12</v>
      </c>
      <c r="B39" s="14" t="s">
        <v>751</v>
      </c>
      <c r="C39" s="14" t="s">
        <v>752</v>
      </c>
      <c r="D39" s="20" t="s">
        <v>712</v>
      </c>
      <c r="E39" s="8" t="s">
        <v>112</v>
      </c>
      <c r="F39" s="8" t="s">
        <v>112</v>
      </c>
      <c r="G39" s="125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26"/>
      <c r="N39" s="125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111</v>
      </c>
      <c r="U39" s="125"/>
      <c r="V39" s="8" t="s">
        <v>111</v>
      </c>
      <c r="W39" s="8" t="s">
        <v>111</v>
      </c>
      <c r="X39" s="8" t="s">
        <v>111</v>
      </c>
      <c r="Y39" s="8" t="s">
        <v>111</v>
      </c>
      <c r="Z39" s="8" t="s">
        <v>111</v>
      </c>
      <c r="AA39" s="8" t="s">
        <v>111</v>
      </c>
      <c r="AB39" s="125"/>
      <c r="AC39" s="8" t="s">
        <v>112</v>
      </c>
      <c r="AD39" s="8" t="s">
        <v>112</v>
      </c>
      <c r="AE39" s="8" t="s">
        <v>112</v>
      </c>
      <c r="AF39" s="8" t="s">
        <v>111</v>
      </c>
      <c r="AG39" s="8"/>
      <c r="AH39" s="8" t="s">
        <v>112</v>
      </c>
      <c r="AI39" s="5">
        <f t="shared" si="1"/>
        <v>16</v>
      </c>
      <c r="AJ39" s="5">
        <f t="shared" si="2"/>
        <v>8</v>
      </c>
    </row>
    <row r="40" spans="1:36" x14ac:dyDescent="0.25">
      <c r="A40" s="9">
        <v>13</v>
      </c>
      <c r="B40" s="14" t="s">
        <v>753</v>
      </c>
      <c r="C40" s="14" t="s">
        <v>754</v>
      </c>
      <c r="D40" s="20" t="s">
        <v>712</v>
      </c>
      <c r="E40" s="8" t="s">
        <v>112</v>
      </c>
      <c r="F40" s="8" t="s">
        <v>112</v>
      </c>
      <c r="G40" s="125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6"/>
      <c r="N40" s="125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125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112</v>
      </c>
      <c r="AB40" s="125"/>
      <c r="AC40" s="8" t="s">
        <v>112</v>
      </c>
      <c r="AD40" s="8" t="s">
        <v>112</v>
      </c>
      <c r="AE40" s="8" t="s">
        <v>112</v>
      </c>
      <c r="AF40" s="8" t="s">
        <v>111</v>
      </c>
      <c r="AG40" s="8"/>
      <c r="AH40" s="8" t="s">
        <v>112</v>
      </c>
      <c r="AI40" s="5">
        <f t="shared" si="1"/>
        <v>23</v>
      </c>
      <c r="AJ40" s="5">
        <f t="shared" si="2"/>
        <v>1</v>
      </c>
    </row>
    <row r="41" spans="1:36" x14ac:dyDescent="0.25">
      <c r="A41" s="21">
        <v>14</v>
      </c>
      <c r="B41" s="14" t="s">
        <v>755</v>
      </c>
      <c r="C41" s="14" t="s">
        <v>34</v>
      </c>
      <c r="D41" s="20" t="s">
        <v>712</v>
      </c>
      <c r="E41" s="8" t="s">
        <v>112</v>
      </c>
      <c r="F41" s="8" t="s">
        <v>112</v>
      </c>
      <c r="G41" s="125"/>
      <c r="H41" s="8" t="s">
        <v>112</v>
      </c>
      <c r="I41" s="8" t="s">
        <v>112</v>
      </c>
      <c r="J41" s="8" t="s">
        <v>112</v>
      </c>
      <c r="K41" s="8" t="s">
        <v>111</v>
      </c>
      <c r="L41" s="8" t="s">
        <v>111</v>
      </c>
      <c r="M41" s="126"/>
      <c r="N41" s="125"/>
      <c r="O41" s="8" t="s">
        <v>111</v>
      </c>
      <c r="P41" s="8" t="s">
        <v>111</v>
      </c>
      <c r="Q41" s="8" t="s">
        <v>111</v>
      </c>
      <c r="R41" s="8" t="s">
        <v>111</v>
      </c>
      <c r="S41" s="8" t="s">
        <v>111</v>
      </c>
      <c r="T41" s="8" t="s">
        <v>111</v>
      </c>
      <c r="U41" s="125"/>
      <c r="V41" s="8" t="s">
        <v>111</v>
      </c>
      <c r="W41" s="8" t="s">
        <v>111</v>
      </c>
      <c r="X41" s="8" t="s">
        <v>111</v>
      </c>
      <c r="Y41" s="8" t="s">
        <v>111</v>
      </c>
      <c r="Z41" s="8" t="s">
        <v>111</v>
      </c>
      <c r="AA41" s="8" t="s">
        <v>111</v>
      </c>
      <c r="AB41" s="125"/>
      <c r="AC41" s="8" t="s">
        <v>112</v>
      </c>
      <c r="AD41" s="8" t="s">
        <v>112</v>
      </c>
      <c r="AE41" s="8" t="s">
        <v>112</v>
      </c>
      <c r="AF41" s="8" t="s">
        <v>111</v>
      </c>
      <c r="AG41" s="8"/>
      <c r="AH41" s="8" t="s">
        <v>112</v>
      </c>
      <c r="AI41" s="5">
        <f t="shared" si="1"/>
        <v>9</v>
      </c>
      <c r="AJ41" s="5">
        <f t="shared" si="2"/>
        <v>15</v>
      </c>
    </row>
    <row r="42" spans="1:36" x14ac:dyDescent="0.25">
      <c r="A42" s="9">
        <v>15</v>
      </c>
      <c r="B42" s="14" t="s">
        <v>756</v>
      </c>
      <c r="C42" s="14" t="s">
        <v>757</v>
      </c>
      <c r="D42" s="20" t="s">
        <v>712</v>
      </c>
      <c r="E42" s="8" t="s">
        <v>112</v>
      </c>
      <c r="F42" s="8" t="s">
        <v>112</v>
      </c>
      <c r="G42" s="125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6"/>
      <c r="N42" s="125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25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25"/>
      <c r="AC42" s="8" t="s">
        <v>112</v>
      </c>
      <c r="AD42" s="8" t="s">
        <v>112</v>
      </c>
      <c r="AE42" s="8" t="s">
        <v>112</v>
      </c>
      <c r="AF42" s="8" t="s">
        <v>111</v>
      </c>
      <c r="AG42" s="8"/>
      <c r="AH42" s="8" t="s">
        <v>112</v>
      </c>
      <c r="AI42" s="5">
        <f t="shared" si="1"/>
        <v>23</v>
      </c>
      <c r="AJ42" s="5">
        <f t="shared" si="2"/>
        <v>1</v>
      </c>
    </row>
    <row r="43" spans="1:36" x14ac:dyDescent="0.25">
      <c r="A43" s="21">
        <v>16</v>
      </c>
      <c r="B43" s="14" t="s">
        <v>758</v>
      </c>
      <c r="C43" s="14" t="s">
        <v>759</v>
      </c>
      <c r="D43" s="20" t="s">
        <v>712</v>
      </c>
      <c r="E43" s="8" t="s">
        <v>111</v>
      </c>
      <c r="F43" s="8" t="s">
        <v>111</v>
      </c>
      <c r="G43" s="125"/>
      <c r="H43" s="8" t="s">
        <v>111</v>
      </c>
      <c r="I43" s="8" t="s">
        <v>111</v>
      </c>
      <c r="J43" s="8" t="s">
        <v>111</v>
      </c>
      <c r="K43" s="8" t="s">
        <v>111</v>
      </c>
      <c r="L43" s="8" t="s">
        <v>111</v>
      </c>
      <c r="M43" s="126"/>
      <c r="N43" s="125"/>
      <c r="O43" s="8" t="s">
        <v>111</v>
      </c>
      <c r="P43" s="8" t="s">
        <v>111</v>
      </c>
      <c r="Q43" s="8" t="s">
        <v>111</v>
      </c>
      <c r="R43" s="8" t="s">
        <v>111</v>
      </c>
      <c r="S43" s="8" t="s">
        <v>111</v>
      </c>
      <c r="T43" s="8" t="s">
        <v>111</v>
      </c>
      <c r="U43" s="125"/>
      <c r="V43" s="8" t="s">
        <v>111</v>
      </c>
      <c r="W43" s="8" t="s">
        <v>111</v>
      </c>
      <c r="X43" s="8" t="s">
        <v>111</v>
      </c>
      <c r="Y43" s="8" t="s">
        <v>111</v>
      </c>
      <c r="Z43" s="8" t="s">
        <v>111</v>
      </c>
      <c r="AA43" s="8" t="s">
        <v>111</v>
      </c>
      <c r="AB43" s="125"/>
      <c r="AC43" s="8" t="s">
        <v>111</v>
      </c>
      <c r="AD43" s="8" t="s">
        <v>111</v>
      </c>
      <c r="AE43" s="8" t="s">
        <v>111</v>
      </c>
      <c r="AF43" s="8" t="s">
        <v>111</v>
      </c>
      <c r="AG43" s="8"/>
      <c r="AH43" s="8" t="s">
        <v>679</v>
      </c>
      <c r="AI43" s="5">
        <f t="shared" si="1"/>
        <v>0</v>
      </c>
      <c r="AJ43" s="5">
        <f t="shared" si="2"/>
        <v>23</v>
      </c>
    </row>
    <row r="44" spans="1:36" x14ac:dyDescent="0.25">
      <c r="A44" s="9">
        <v>17</v>
      </c>
      <c r="B44" s="14" t="s">
        <v>760</v>
      </c>
      <c r="C44" s="14" t="s">
        <v>95</v>
      </c>
      <c r="D44" s="20" t="s">
        <v>712</v>
      </c>
      <c r="E44" s="8" t="s">
        <v>112</v>
      </c>
      <c r="F44" s="8" t="s">
        <v>112</v>
      </c>
      <c r="G44" s="125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26"/>
      <c r="N44" s="125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125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125"/>
      <c r="AC44" s="8" t="s">
        <v>112</v>
      </c>
      <c r="AD44" s="8" t="s">
        <v>112</v>
      </c>
      <c r="AE44" s="8" t="s">
        <v>112</v>
      </c>
      <c r="AF44" s="8" t="s">
        <v>111</v>
      </c>
      <c r="AG44" s="8"/>
      <c r="AH44" s="8" t="s">
        <v>112</v>
      </c>
      <c r="AI44" s="5">
        <f t="shared" si="1"/>
        <v>23</v>
      </c>
      <c r="AJ44" s="5">
        <f t="shared" si="2"/>
        <v>1</v>
      </c>
    </row>
    <row r="45" spans="1:36" x14ac:dyDescent="0.25">
      <c r="A45" s="21">
        <v>18</v>
      </c>
      <c r="B45" s="33" t="s">
        <v>390</v>
      </c>
      <c r="C45" s="33" t="s">
        <v>761</v>
      </c>
      <c r="D45" s="20" t="s">
        <v>712</v>
      </c>
      <c r="E45" s="8" t="s">
        <v>112</v>
      </c>
      <c r="F45" s="8" t="s">
        <v>111</v>
      </c>
      <c r="G45" s="125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111</v>
      </c>
      <c r="M45" s="126"/>
      <c r="N45" s="125"/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8" t="s">
        <v>112</v>
      </c>
      <c r="U45" s="125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111</v>
      </c>
      <c r="AA45" s="8" t="s">
        <v>112</v>
      </c>
      <c r="AB45" s="125"/>
      <c r="AC45" s="8" t="s">
        <v>112</v>
      </c>
      <c r="AD45" s="8" t="s">
        <v>112</v>
      </c>
      <c r="AE45" s="8" t="s">
        <v>112</v>
      </c>
      <c r="AF45" s="8" t="s">
        <v>111</v>
      </c>
      <c r="AG45" s="8"/>
      <c r="AH45" s="8" t="s">
        <v>112</v>
      </c>
      <c r="AI45" s="5">
        <f t="shared" si="1"/>
        <v>19</v>
      </c>
      <c r="AJ45" s="5">
        <f t="shared" si="2"/>
        <v>5</v>
      </c>
    </row>
    <row r="46" spans="1:36" x14ac:dyDescent="0.25">
      <c r="A46" s="9">
        <v>19</v>
      </c>
      <c r="B46" s="14" t="s">
        <v>762</v>
      </c>
      <c r="C46" s="14" t="s">
        <v>763</v>
      </c>
      <c r="D46" s="20" t="s">
        <v>712</v>
      </c>
      <c r="E46" s="8" t="s">
        <v>112</v>
      </c>
      <c r="F46" s="8" t="s">
        <v>112</v>
      </c>
      <c r="G46" s="125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126"/>
      <c r="N46" s="125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112</v>
      </c>
      <c r="T46" s="8" t="s">
        <v>112</v>
      </c>
      <c r="U46" s="125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112</v>
      </c>
      <c r="AB46" s="125"/>
      <c r="AC46" s="8" t="s">
        <v>112</v>
      </c>
      <c r="AD46" s="8" t="s">
        <v>112</v>
      </c>
      <c r="AE46" s="8" t="s">
        <v>112</v>
      </c>
      <c r="AF46" s="8" t="s">
        <v>111</v>
      </c>
      <c r="AG46" s="8"/>
      <c r="AH46" s="8" t="s">
        <v>112</v>
      </c>
      <c r="AI46" s="5">
        <f t="shared" si="1"/>
        <v>23</v>
      </c>
      <c r="AJ46" s="5">
        <f t="shared" si="2"/>
        <v>1</v>
      </c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46"/>
    <mergeCell ref="M5:M46"/>
    <mergeCell ref="N5:N46"/>
    <mergeCell ref="U5:U46"/>
    <mergeCell ref="AB5:AB46"/>
    <mergeCell ref="AK11:AN11"/>
    <mergeCell ref="AK19:AN19"/>
  </mergeCells>
  <conditionalFormatting sqref="E5:F46 H5:L46 O5:T46 V5:AA46 AC5:AH46 E4:AH4">
    <cfRule type="expression" dxfId="122" priority="45">
      <formula>IF(E$4=TODAY(),TRUE,FALSE)</formula>
    </cfRule>
  </conditionalFormatting>
  <conditionalFormatting sqref="E5:F46 H5:L46 O5:T46 V5:AA46 AC5:AH46">
    <cfRule type="cellIs" dxfId="121" priority="42" operator="equal">
      <formula>"L"</formula>
    </cfRule>
    <cfRule type="cellIs" dxfId="120" priority="43" operator="equal">
      <formula>"A"</formula>
    </cfRule>
    <cfRule type="cellIs" dxfId="119" priority="44" operator="equal">
      <formula>"P"</formula>
    </cfRule>
  </conditionalFormatting>
  <conditionalFormatting sqref="E3:AH4 E5:F46 H5:L46 O5:T46 V5:AA46 AC5:AH46">
    <cfRule type="expression" dxfId="118" priority="46">
      <formula>E$3="Sun"</formula>
    </cfRule>
  </conditionalFormatting>
  <conditionalFormatting sqref="G5">
    <cfRule type="cellIs" dxfId="117" priority="22" operator="equal">
      <formula>"L"</formula>
    </cfRule>
    <cfRule type="cellIs" dxfId="116" priority="23" operator="equal">
      <formula>"A"</formula>
    </cfRule>
    <cfRule type="cellIs" dxfId="115" priority="24" operator="equal">
      <formula>"P"</formula>
    </cfRule>
    <cfRule type="expression" dxfId="114" priority="25">
      <formula>IF(G$4=TODAY(),TRUE,FALSE)</formula>
    </cfRule>
    <cfRule type="expression" dxfId="113" priority="26">
      <formula>G$3="Sun"</formula>
    </cfRule>
  </conditionalFormatting>
  <conditionalFormatting sqref="M5:N5">
    <cfRule type="cellIs" dxfId="112" priority="17" operator="equal">
      <formula>"L"</formula>
    </cfRule>
    <cfRule type="cellIs" dxfId="111" priority="18" operator="equal">
      <formula>"A"</formula>
    </cfRule>
    <cfRule type="cellIs" dxfId="110" priority="19" operator="equal">
      <formula>"P"</formula>
    </cfRule>
    <cfRule type="expression" dxfId="109" priority="20">
      <formula>IF(M$4=TODAY(),TRUE,FALSE)</formula>
    </cfRule>
    <cfRule type="expression" dxfId="108" priority="21">
      <formula>M$3="Sun"</formula>
    </cfRule>
  </conditionalFormatting>
  <conditionalFormatting sqref="U5">
    <cfRule type="cellIs" dxfId="107" priority="12" operator="equal">
      <formula>"L"</formula>
    </cfRule>
    <cfRule type="cellIs" dxfId="106" priority="13" operator="equal">
      <formula>"A"</formula>
    </cfRule>
    <cfRule type="cellIs" dxfId="105" priority="14" operator="equal">
      <formula>"P"</formula>
    </cfRule>
    <cfRule type="expression" dxfId="104" priority="15">
      <formula>IF(U$4=TODAY(),TRUE,FALSE)</formula>
    </cfRule>
    <cfRule type="expression" dxfId="103" priority="16">
      <formula>U$3="Sun"</formula>
    </cfRule>
  </conditionalFormatting>
  <conditionalFormatting sqref="AB5">
    <cfRule type="cellIs" dxfId="102" priority="7" operator="equal">
      <formula>"L"</formula>
    </cfRule>
    <cfRule type="cellIs" dxfId="101" priority="8" operator="equal">
      <formula>"A"</formula>
    </cfRule>
    <cfRule type="cellIs" dxfId="100" priority="9" operator="equal">
      <formula>"P"</formula>
    </cfRule>
    <cfRule type="expression" dxfId="99" priority="10">
      <formula>IF(AB$4=TODAY(),TRUE,FALSE)</formula>
    </cfRule>
    <cfRule type="expression" dxfId="98" priority="11">
      <formula>AB$3="Sun"</formula>
    </cfRule>
  </conditionalFormatting>
  <conditionalFormatting sqref="AI3:AJ3 AI5:AJ46">
    <cfRule type="expression" dxfId="97" priority="47">
      <formula>#REF!="Sun"</formula>
    </cfRule>
  </conditionalFormatting>
  <conditionalFormatting sqref="AK5:AK9">
    <cfRule type="expression" dxfId="96" priority="4">
      <formula>AK$3="Sun"</formula>
    </cfRule>
  </conditionalFormatting>
  <conditionalFormatting sqref="AK12:AK15">
    <cfRule type="expression" dxfId="95" priority="2">
      <formula>AK$3="Sun"</formula>
    </cfRule>
  </conditionalFormatting>
  <conditionalFormatting sqref="AK20:AK23">
    <cfRule type="expression" dxfId="94" priority="1">
      <formula>AK$3="Sun"</formula>
    </cfRule>
  </conditionalFormatting>
  <conditionalFormatting sqref="AK4:AL4">
    <cfRule type="expression" dxfId="93" priority="5">
      <formula>AK$3="Sun"</formula>
    </cfRule>
  </conditionalFormatting>
  <conditionalFormatting sqref="AL12:AN12 AL20:AN20">
    <cfRule type="expression" dxfId="92" priority="6">
      <formula>AL$3="Sun"</formula>
    </cfRule>
  </conditionalFormatting>
  <conditionalFormatting sqref="AN21">
    <cfRule type="expression" dxfId="91" priority="3">
      <formula>AN$3="Sun"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B2BF-D464-4361-B3DE-C48B8438BF0F}">
  <dimension ref="A1:AN44"/>
  <sheetViews>
    <sheetView topLeftCell="F7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3" t="s">
        <v>18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3"/>
      <c r="AE1" s="113"/>
      <c r="AF1" s="113"/>
      <c r="AG1" s="113"/>
      <c r="AH1" s="113"/>
      <c r="AI1" s="113"/>
      <c r="AJ1" s="113"/>
    </row>
    <row r="2" spans="1:40" ht="17.25" x14ac:dyDescent="0.3">
      <c r="A2" s="114" t="s">
        <v>616</v>
      </c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</row>
    <row r="3" spans="1:40" ht="15.75" x14ac:dyDescent="0.25">
      <c r="A3" s="127" t="s">
        <v>0</v>
      </c>
      <c r="B3" s="127" t="s">
        <v>1</v>
      </c>
      <c r="C3" s="127" t="s">
        <v>2</v>
      </c>
      <c r="D3" s="127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0" t="s">
        <v>126</v>
      </c>
      <c r="AL3" s="111"/>
      <c r="AM3" s="3"/>
      <c r="AN3" s="3"/>
    </row>
    <row r="4" spans="1:40" ht="37.5" x14ac:dyDescent="0.25">
      <c r="A4" s="128"/>
      <c r="B4" s="128"/>
      <c r="C4" s="128"/>
      <c r="D4" s="128"/>
      <c r="E4" s="13">
        <v>45597</v>
      </c>
      <c r="F4" s="13">
        <v>45598</v>
      </c>
      <c r="G4" s="13">
        <v>45599</v>
      </c>
      <c r="H4" s="13">
        <v>45600</v>
      </c>
      <c r="I4" s="13">
        <v>45601</v>
      </c>
      <c r="J4" s="13">
        <v>45602</v>
      </c>
      <c r="K4" s="13">
        <v>45603</v>
      </c>
      <c r="L4" s="13">
        <v>45604</v>
      </c>
      <c r="M4" s="13">
        <v>45605</v>
      </c>
      <c r="N4" s="13">
        <v>45606</v>
      </c>
      <c r="O4" s="13">
        <v>45607</v>
      </c>
      <c r="P4" s="13">
        <v>45608</v>
      </c>
      <c r="Q4" s="13">
        <v>45609</v>
      </c>
      <c r="R4" s="13">
        <v>45610</v>
      </c>
      <c r="S4" s="13">
        <v>45611</v>
      </c>
      <c r="T4" s="13">
        <v>45612</v>
      </c>
      <c r="U4" s="13">
        <v>45613</v>
      </c>
      <c r="V4" s="13">
        <v>45614</v>
      </c>
      <c r="W4" s="13">
        <v>45615</v>
      </c>
      <c r="X4" s="13">
        <v>45616</v>
      </c>
      <c r="Y4" s="13">
        <v>45617</v>
      </c>
      <c r="Z4" s="13">
        <v>45618</v>
      </c>
      <c r="AA4" s="13">
        <v>45619</v>
      </c>
      <c r="AB4" s="13">
        <v>45620</v>
      </c>
      <c r="AC4" s="13">
        <v>45621</v>
      </c>
      <c r="AD4" s="13">
        <v>45622</v>
      </c>
      <c r="AE4" s="13">
        <v>45623</v>
      </c>
      <c r="AF4" s="13">
        <v>45624</v>
      </c>
      <c r="AG4" s="13">
        <v>45625</v>
      </c>
      <c r="AH4" s="13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1">
        <v>1</v>
      </c>
      <c r="B5" s="24" t="s">
        <v>764</v>
      </c>
      <c r="C5" s="25" t="s">
        <v>765</v>
      </c>
      <c r="D5" s="20" t="s">
        <v>806</v>
      </c>
      <c r="E5" s="8" t="s">
        <v>112</v>
      </c>
      <c r="F5" s="8" t="s">
        <v>112</v>
      </c>
      <c r="G5" s="118" t="s">
        <v>618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1" t="s">
        <v>619</v>
      </c>
      <c r="N5" s="118" t="s">
        <v>618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118" t="s">
        <v>618</v>
      </c>
      <c r="V5" s="8" t="s">
        <v>112</v>
      </c>
      <c r="W5" s="8" t="s">
        <v>112</v>
      </c>
      <c r="X5" s="8" t="s">
        <v>111</v>
      </c>
      <c r="Y5" s="8" t="s">
        <v>112</v>
      </c>
      <c r="Z5" s="8" t="s">
        <v>112</v>
      </c>
      <c r="AA5" s="8" t="s">
        <v>112</v>
      </c>
      <c r="AB5" s="118" t="s">
        <v>618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39" si="1">COUNTIF(E5:AH5,"P")</f>
        <v>23</v>
      </c>
      <c r="AJ5" s="5">
        <f t="shared" ref="AJ5:AJ39" si="2">COUNTIF(E5:AH5,"A")</f>
        <v>1</v>
      </c>
      <c r="AK5" s="5" t="s">
        <v>7</v>
      </c>
      <c r="AL5" s="9">
        <v>25</v>
      </c>
      <c r="AM5" s="10"/>
      <c r="AN5" s="3"/>
    </row>
    <row r="6" spans="1:40" x14ac:dyDescent="0.25">
      <c r="A6" s="9">
        <v>2</v>
      </c>
      <c r="B6" s="24" t="s">
        <v>766</v>
      </c>
      <c r="C6" s="25" t="s">
        <v>767</v>
      </c>
      <c r="D6" s="20" t="s">
        <v>806</v>
      </c>
      <c r="E6" s="8" t="s">
        <v>111</v>
      </c>
      <c r="F6" s="8" t="s">
        <v>112</v>
      </c>
      <c r="G6" s="119"/>
      <c r="H6" s="8" t="s">
        <v>111</v>
      </c>
      <c r="I6" s="8" t="s">
        <v>112</v>
      </c>
      <c r="J6" s="8" t="s">
        <v>112</v>
      </c>
      <c r="K6" s="8" t="s">
        <v>112</v>
      </c>
      <c r="L6" s="8" t="s">
        <v>111</v>
      </c>
      <c r="M6" s="122"/>
      <c r="N6" s="119"/>
      <c r="O6" s="8" t="s">
        <v>112</v>
      </c>
      <c r="P6" s="8" t="s">
        <v>112</v>
      </c>
      <c r="Q6" s="8" t="s">
        <v>111</v>
      </c>
      <c r="R6" s="8" t="s">
        <v>112</v>
      </c>
      <c r="S6" s="8" t="s">
        <v>111</v>
      </c>
      <c r="T6" s="8" t="s">
        <v>112</v>
      </c>
      <c r="U6" s="119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19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111</v>
      </c>
      <c r="AH6" s="8"/>
      <c r="AI6" s="5">
        <f t="shared" si="1"/>
        <v>18</v>
      </c>
      <c r="AJ6" s="5">
        <f t="shared" si="2"/>
        <v>6</v>
      </c>
      <c r="AK6" s="5" t="s">
        <v>8</v>
      </c>
      <c r="AL6" s="9">
        <v>4</v>
      </c>
      <c r="AM6" s="3"/>
      <c r="AN6" s="3"/>
    </row>
    <row r="7" spans="1:40" x14ac:dyDescent="0.25">
      <c r="A7" s="21">
        <v>3</v>
      </c>
      <c r="B7" s="24" t="s">
        <v>768</v>
      </c>
      <c r="C7" s="25" t="s">
        <v>769</v>
      </c>
      <c r="D7" s="20" t="s">
        <v>806</v>
      </c>
      <c r="E7" s="8" t="s">
        <v>112</v>
      </c>
      <c r="F7" s="8" t="s">
        <v>111</v>
      </c>
      <c r="G7" s="119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2"/>
      <c r="N7" s="119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119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19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23</v>
      </c>
      <c r="AJ7" s="5">
        <f t="shared" si="2"/>
        <v>1</v>
      </c>
      <c r="AK7" s="5" t="s">
        <v>129</v>
      </c>
      <c r="AL7" s="9">
        <v>1</v>
      </c>
      <c r="AM7" s="3"/>
      <c r="AN7" s="3"/>
    </row>
    <row r="8" spans="1:40" x14ac:dyDescent="0.25">
      <c r="A8" s="9">
        <v>4</v>
      </c>
      <c r="B8" s="24" t="s">
        <v>770</v>
      </c>
      <c r="C8" s="25" t="s">
        <v>750</v>
      </c>
      <c r="D8" s="20" t="s">
        <v>806</v>
      </c>
      <c r="E8" s="8" t="s">
        <v>112</v>
      </c>
      <c r="F8" s="8" t="s">
        <v>112</v>
      </c>
      <c r="G8" s="119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22"/>
      <c r="N8" s="119"/>
      <c r="O8" s="8" t="s">
        <v>112</v>
      </c>
      <c r="P8" s="8" t="s">
        <v>112</v>
      </c>
      <c r="Q8" s="8" t="s">
        <v>112</v>
      </c>
      <c r="R8" s="8" t="s">
        <v>112</v>
      </c>
      <c r="S8" s="8" t="s">
        <v>112</v>
      </c>
      <c r="T8" s="8" t="s">
        <v>112</v>
      </c>
      <c r="U8" s="119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19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24</v>
      </c>
      <c r="AJ8" s="5">
        <f t="shared" si="2"/>
        <v>0</v>
      </c>
      <c r="AK8" s="5"/>
      <c r="AL8" s="9"/>
      <c r="AM8"/>
      <c r="AN8"/>
    </row>
    <row r="9" spans="1:40" x14ac:dyDescent="0.25">
      <c r="A9" s="21">
        <v>5</v>
      </c>
      <c r="B9" s="24" t="s">
        <v>214</v>
      </c>
      <c r="C9" s="25" t="s">
        <v>443</v>
      </c>
      <c r="D9" s="20" t="s">
        <v>806</v>
      </c>
      <c r="E9" s="8" t="s">
        <v>112</v>
      </c>
      <c r="F9" s="8" t="s">
        <v>112</v>
      </c>
      <c r="G9" s="119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122"/>
      <c r="N9" s="119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119"/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8" t="s">
        <v>112</v>
      </c>
      <c r="AB9" s="119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111</v>
      </c>
      <c r="AH9" s="8"/>
      <c r="AI9" s="5">
        <f t="shared" si="1"/>
        <v>20</v>
      </c>
      <c r="AJ9" s="5">
        <f t="shared" si="2"/>
        <v>4</v>
      </c>
      <c r="AK9" s="5"/>
      <c r="AL9" s="9"/>
    </row>
    <row r="10" spans="1:40" x14ac:dyDescent="0.25">
      <c r="A10" s="9">
        <v>6</v>
      </c>
      <c r="B10" s="24" t="s">
        <v>771</v>
      </c>
      <c r="C10" s="25" t="s">
        <v>772</v>
      </c>
      <c r="D10" s="20" t="s">
        <v>806</v>
      </c>
      <c r="E10" s="8" t="s">
        <v>112</v>
      </c>
      <c r="F10" s="8" t="s">
        <v>112</v>
      </c>
      <c r="G10" s="119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2"/>
      <c r="N10" s="119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119"/>
      <c r="V10" s="8" t="s">
        <v>112</v>
      </c>
      <c r="W10" s="8" t="s">
        <v>112</v>
      </c>
      <c r="X10" s="8" t="s">
        <v>112</v>
      </c>
      <c r="Y10" s="8" t="s">
        <v>112</v>
      </c>
      <c r="Z10" s="8" t="s">
        <v>112</v>
      </c>
      <c r="AA10" s="8" t="s">
        <v>111</v>
      </c>
      <c r="AB10" s="119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23</v>
      </c>
      <c r="AJ10" s="5">
        <f t="shared" si="2"/>
        <v>1</v>
      </c>
    </row>
    <row r="11" spans="1:40" ht="15.75" x14ac:dyDescent="0.25">
      <c r="A11" s="21">
        <v>7</v>
      </c>
      <c r="B11" s="24" t="s">
        <v>773</v>
      </c>
      <c r="C11" s="25" t="s">
        <v>774</v>
      </c>
      <c r="D11" s="20" t="s">
        <v>806</v>
      </c>
      <c r="E11" s="8" t="s">
        <v>111</v>
      </c>
      <c r="F11" s="8" t="s">
        <v>112</v>
      </c>
      <c r="G11" s="119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2"/>
      <c r="N11" s="119"/>
      <c r="O11" s="8" t="s">
        <v>112</v>
      </c>
      <c r="P11" s="8" t="s">
        <v>112</v>
      </c>
      <c r="Q11" s="8" t="s">
        <v>112</v>
      </c>
      <c r="R11" s="8" t="s">
        <v>111</v>
      </c>
      <c r="S11" s="8" t="s">
        <v>112</v>
      </c>
      <c r="T11" s="8" t="s">
        <v>112</v>
      </c>
      <c r="U11" s="119"/>
      <c r="V11" s="8" t="s">
        <v>112</v>
      </c>
      <c r="W11" s="8" t="s">
        <v>112</v>
      </c>
      <c r="X11" s="8" t="s">
        <v>112</v>
      </c>
      <c r="Y11" s="8" t="s">
        <v>111</v>
      </c>
      <c r="Z11" s="8" t="s">
        <v>111</v>
      </c>
      <c r="AA11" s="8" t="s">
        <v>112</v>
      </c>
      <c r="AB11" s="119"/>
      <c r="AC11" s="8" t="s">
        <v>112</v>
      </c>
      <c r="AD11" s="8" t="s">
        <v>112</v>
      </c>
      <c r="AE11" s="8" t="s">
        <v>111</v>
      </c>
      <c r="AF11" s="8" t="s">
        <v>111</v>
      </c>
      <c r="AG11" s="8" t="s">
        <v>111</v>
      </c>
      <c r="AH11" s="8"/>
      <c r="AI11" s="5">
        <f t="shared" si="1"/>
        <v>17</v>
      </c>
      <c r="AJ11" s="5">
        <f t="shared" si="2"/>
        <v>7</v>
      </c>
      <c r="AK11" s="110" t="s">
        <v>9</v>
      </c>
      <c r="AL11" s="111"/>
      <c r="AM11" s="111"/>
      <c r="AN11" s="112"/>
    </row>
    <row r="12" spans="1:40" x14ac:dyDescent="0.25">
      <c r="A12" s="9">
        <v>8</v>
      </c>
      <c r="B12" s="24" t="s">
        <v>775</v>
      </c>
      <c r="C12" s="25" t="s">
        <v>64</v>
      </c>
      <c r="D12" s="20" t="s">
        <v>806</v>
      </c>
      <c r="E12" s="8" t="s">
        <v>112</v>
      </c>
      <c r="F12" s="8" t="s">
        <v>112</v>
      </c>
      <c r="G12" s="119"/>
      <c r="H12" s="8" t="s">
        <v>112</v>
      </c>
      <c r="I12" s="8" t="s">
        <v>111</v>
      </c>
      <c r="J12" s="8" t="s">
        <v>112</v>
      </c>
      <c r="K12" s="8" t="s">
        <v>111</v>
      </c>
      <c r="L12" s="8" t="s">
        <v>111</v>
      </c>
      <c r="M12" s="122"/>
      <c r="N12" s="119"/>
      <c r="O12" s="8" t="s">
        <v>111</v>
      </c>
      <c r="P12" s="8" t="s">
        <v>112</v>
      </c>
      <c r="Q12" s="8" t="s">
        <v>112</v>
      </c>
      <c r="R12" s="8" t="s">
        <v>111</v>
      </c>
      <c r="S12" s="8" t="s">
        <v>112</v>
      </c>
      <c r="T12" s="8" t="s">
        <v>112</v>
      </c>
      <c r="U12" s="119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19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1">
        <v>9</v>
      </c>
      <c r="B13" s="30" t="s">
        <v>776</v>
      </c>
      <c r="C13" s="31" t="s">
        <v>746</v>
      </c>
      <c r="D13" s="20" t="s">
        <v>806</v>
      </c>
      <c r="E13" s="8" t="s">
        <v>112</v>
      </c>
      <c r="F13" s="8" t="s">
        <v>112</v>
      </c>
      <c r="G13" s="119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2"/>
      <c r="N13" s="119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19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19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24</v>
      </c>
      <c r="AJ13" s="5">
        <f t="shared" si="2"/>
        <v>0</v>
      </c>
      <c r="AK13" s="5" t="s">
        <v>14</v>
      </c>
      <c r="AL13" s="9">
        <f>16*$AL$5</f>
        <v>400</v>
      </c>
      <c r="AM13" s="9">
        <f>19*$AL$5</f>
        <v>475</v>
      </c>
      <c r="AN13" s="9">
        <f>SUM(AL13:AM13)</f>
        <v>875</v>
      </c>
    </row>
    <row r="14" spans="1:40" x14ac:dyDescent="0.25">
      <c r="A14" s="9">
        <v>10</v>
      </c>
      <c r="B14" s="27" t="s">
        <v>777</v>
      </c>
      <c r="C14" s="32" t="s">
        <v>778</v>
      </c>
      <c r="D14" s="20" t="s">
        <v>806</v>
      </c>
      <c r="E14" s="8" t="s">
        <v>112</v>
      </c>
      <c r="F14" s="8" t="s">
        <v>112</v>
      </c>
      <c r="G14" s="119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122"/>
      <c r="N14" s="119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111</v>
      </c>
      <c r="T14" s="8" t="s">
        <v>111</v>
      </c>
      <c r="U14" s="119"/>
      <c r="V14" s="8" t="s">
        <v>111</v>
      </c>
      <c r="W14" s="8" t="s">
        <v>111</v>
      </c>
      <c r="X14" s="8" t="s">
        <v>111</v>
      </c>
      <c r="Y14" s="8" t="s">
        <v>111</v>
      </c>
      <c r="Z14" s="8" t="s">
        <v>111</v>
      </c>
      <c r="AA14" s="8" t="s">
        <v>111</v>
      </c>
      <c r="AB14" s="119"/>
      <c r="AC14" s="8" t="s">
        <v>111</v>
      </c>
      <c r="AD14" s="8" t="s">
        <v>111</v>
      </c>
      <c r="AE14" s="8" t="s">
        <v>111</v>
      </c>
      <c r="AF14" s="8" t="s">
        <v>111</v>
      </c>
      <c r="AG14" s="8" t="s">
        <v>112</v>
      </c>
      <c r="AH14" s="8"/>
      <c r="AI14" s="5">
        <f t="shared" si="1"/>
        <v>11</v>
      </c>
      <c r="AJ14" s="5">
        <f t="shared" si="2"/>
        <v>13</v>
      </c>
      <c r="AK14" s="5" t="s">
        <v>15</v>
      </c>
      <c r="AL14" s="9">
        <f>SUM(AI5:AI20)</f>
        <v>325</v>
      </c>
      <c r="AM14" s="9">
        <f>SUM(AI21:AI39)</f>
        <v>363</v>
      </c>
      <c r="AN14" s="9">
        <f>AL14+AM14</f>
        <v>688</v>
      </c>
    </row>
    <row r="15" spans="1:40" x14ac:dyDescent="0.25">
      <c r="A15" s="21">
        <v>11</v>
      </c>
      <c r="B15" s="24" t="s">
        <v>779</v>
      </c>
      <c r="C15" s="25" t="s">
        <v>780</v>
      </c>
      <c r="D15" s="20" t="s">
        <v>806</v>
      </c>
      <c r="E15" s="8" t="s">
        <v>112</v>
      </c>
      <c r="F15" s="8" t="s">
        <v>112</v>
      </c>
      <c r="G15" s="119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2"/>
      <c r="N15" s="119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19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19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112</v>
      </c>
      <c r="AH15" s="8"/>
      <c r="AI15" s="5">
        <f t="shared" si="1"/>
        <v>24</v>
      </c>
      <c r="AJ15" s="5">
        <f t="shared" si="2"/>
        <v>0</v>
      </c>
      <c r="AK15" s="5" t="s">
        <v>16</v>
      </c>
      <c r="AL15" s="12">
        <f>AL14/AL13</f>
        <v>0.8125</v>
      </c>
      <c r="AM15" s="12">
        <f>AM14/AM13</f>
        <v>0.76421052631578945</v>
      </c>
      <c r="AN15" s="12">
        <f>AN14/AN13</f>
        <v>0.78628571428571425</v>
      </c>
    </row>
    <row r="16" spans="1:40" x14ac:dyDescent="0.25">
      <c r="A16" s="9">
        <v>12</v>
      </c>
      <c r="B16" s="24" t="s">
        <v>781</v>
      </c>
      <c r="C16" s="25" t="s">
        <v>782</v>
      </c>
      <c r="D16" s="20" t="s">
        <v>806</v>
      </c>
      <c r="E16" s="8" t="s">
        <v>112</v>
      </c>
      <c r="F16" s="8" t="s">
        <v>112</v>
      </c>
      <c r="G16" s="119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22"/>
      <c r="N16" s="119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112</v>
      </c>
      <c r="U16" s="119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19"/>
      <c r="AC16" s="8" t="s">
        <v>112</v>
      </c>
      <c r="AD16" s="8" t="s">
        <v>112</v>
      </c>
      <c r="AE16" s="8" t="s">
        <v>112</v>
      </c>
      <c r="AF16" s="8" t="s">
        <v>112</v>
      </c>
      <c r="AG16" s="8" t="s">
        <v>112</v>
      </c>
      <c r="AH16" s="8"/>
      <c r="AI16" s="5">
        <f t="shared" si="1"/>
        <v>24</v>
      </c>
      <c r="AJ16" s="5">
        <f t="shared" si="2"/>
        <v>0</v>
      </c>
      <c r="AK16"/>
      <c r="AL16"/>
      <c r="AM16"/>
      <c r="AN16"/>
    </row>
    <row r="17" spans="1:40" x14ac:dyDescent="0.25">
      <c r="A17" s="21">
        <v>13</v>
      </c>
      <c r="B17" s="24" t="s">
        <v>783</v>
      </c>
      <c r="C17" s="25" t="s">
        <v>784</v>
      </c>
      <c r="D17" s="20" t="s">
        <v>806</v>
      </c>
      <c r="E17" s="8" t="s">
        <v>112</v>
      </c>
      <c r="F17" s="8" t="s">
        <v>112</v>
      </c>
      <c r="G17" s="119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2"/>
      <c r="N17" s="119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19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19"/>
      <c r="AC17" s="8" t="s">
        <v>112</v>
      </c>
      <c r="AD17" s="8" t="s">
        <v>111</v>
      </c>
      <c r="AE17" s="8" t="s">
        <v>111</v>
      </c>
      <c r="AF17" s="8" t="s">
        <v>112</v>
      </c>
      <c r="AG17" s="8" t="s">
        <v>112</v>
      </c>
      <c r="AH17" s="8"/>
      <c r="AI17" s="5">
        <f t="shared" si="1"/>
        <v>22</v>
      </c>
      <c r="AJ17" s="5">
        <f t="shared" si="2"/>
        <v>2</v>
      </c>
      <c r="AK17"/>
      <c r="AL17"/>
      <c r="AM17"/>
      <c r="AN17"/>
    </row>
    <row r="18" spans="1:40" x14ac:dyDescent="0.25">
      <c r="A18" s="9">
        <v>14</v>
      </c>
      <c r="B18" s="24" t="s">
        <v>785</v>
      </c>
      <c r="C18" s="25" t="s">
        <v>323</v>
      </c>
      <c r="D18" s="20" t="s">
        <v>806</v>
      </c>
      <c r="E18" s="8" t="s">
        <v>112</v>
      </c>
      <c r="F18" s="8" t="s">
        <v>112</v>
      </c>
      <c r="G18" s="119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122"/>
      <c r="N18" s="119"/>
      <c r="O18" s="8" t="s">
        <v>112</v>
      </c>
      <c r="P18" s="8" t="s">
        <v>112</v>
      </c>
      <c r="Q18" s="8" t="s">
        <v>111</v>
      </c>
      <c r="R18" s="8" t="s">
        <v>111</v>
      </c>
      <c r="S18" s="8" t="s">
        <v>111</v>
      </c>
      <c r="T18" s="8" t="s">
        <v>111</v>
      </c>
      <c r="U18" s="119"/>
      <c r="V18" s="8" t="s">
        <v>111</v>
      </c>
      <c r="W18" s="8" t="s">
        <v>111</v>
      </c>
      <c r="X18" s="8" t="s">
        <v>112</v>
      </c>
      <c r="Y18" s="8" t="s">
        <v>112</v>
      </c>
      <c r="Z18" s="8" t="s">
        <v>112</v>
      </c>
      <c r="AA18" s="8" t="s">
        <v>112</v>
      </c>
      <c r="AB18" s="119"/>
      <c r="AC18" s="8" t="s">
        <v>112</v>
      </c>
      <c r="AD18" s="8" t="s">
        <v>111</v>
      </c>
      <c r="AE18" s="8" t="s">
        <v>112</v>
      </c>
      <c r="AF18" s="8" t="s">
        <v>112</v>
      </c>
      <c r="AG18" s="8" t="s">
        <v>112</v>
      </c>
      <c r="AH18" s="8"/>
      <c r="AI18" s="5">
        <f t="shared" si="1"/>
        <v>17</v>
      </c>
      <c r="AJ18" s="5">
        <f t="shared" si="2"/>
        <v>7</v>
      </c>
      <c r="AK18"/>
      <c r="AL18"/>
      <c r="AM18"/>
      <c r="AN18"/>
    </row>
    <row r="19" spans="1:40" ht="15.75" x14ac:dyDescent="0.25">
      <c r="A19" s="21">
        <v>15</v>
      </c>
      <c r="B19" s="24" t="s">
        <v>447</v>
      </c>
      <c r="C19" s="25" t="s">
        <v>757</v>
      </c>
      <c r="D19" s="20" t="s">
        <v>806</v>
      </c>
      <c r="E19" s="8" t="s">
        <v>112</v>
      </c>
      <c r="F19" s="8" t="s">
        <v>112</v>
      </c>
      <c r="G19" s="119"/>
      <c r="H19" s="8" t="s">
        <v>112</v>
      </c>
      <c r="I19" s="8" t="s">
        <v>111</v>
      </c>
      <c r="J19" s="8" t="s">
        <v>111</v>
      </c>
      <c r="K19" s="8" t="s">
        <v>112</v>
      </c>
      <c r="L19" s="8" t="s">
        <v>111</v>
      </c>
      <c r="M19" s="122"/>
      <c r="N19" s="119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19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119"/>
      <c r="AC19" s="8" t="s">
        <v>112</v>
      </c>
      <c r="AD19" s="8" t="s">
        <v>111</v>
      </c>
      <c r="AE19" s="8" t="s">
        <v>111</v>
      </c>
      <c r="AF19" s="8" t="s">
        <v>112</v>
      </c>
      <c r="AG19" s="8" t="s">
        <v>112</v>
      </c>
      <c r="AH19" s="8"/>
      <c r="AI19" s="5">
        <f t="shared" si="1"/>
        <v>19</v>
      </c>
      <c r="AJ19" s="5">
        <f t="shared" si="2"/>
        <v>5</v>
      </c>
      <c r="AK19" s="110" t="s">
        <v>128</v>
      </c>
      <c r="AL19" s="111"/>
      <c r="AM19" s="111"/>
      <c r="AN19" s="112"/>
    </row>
    <row r="20" spans="1:40" x14ac:dyDescent="0.25">
      <c r="A20" s="9">
        <v>16</v>
      </c>
      <c r="B20" s="24" t="s">
        <v>50</v>
      </c>
      <c r="C20" s="25"/>
      <c r="D20" s="20" t="s">
        <v>806</v>
      </c>
      <c r="E20" s="8" t="s">
        <v>112</v>
      </c>
      <c r="F20" s="8" t="s">
        <v>111</v>
      </c>
      <c r="G20" s="119"/>
      <c r="H20" s="8" t="s">
        <v>112</v>
      </c>
      <c r="I20" s="8" t="s">
        <v>112</v>
      </c>
      <c r="J20" s="8" t="s">
        <v>112</v>
      </c>
      <c r="K20" s="8" t="s">
        <v>111</v>
      </c>
      <c r="L20" s="8" t="s">
        <v>112</v>
      </c>
      <c r="M20" s="122"/>
      <c r="N20" s="119"/>
      <c r="O20" s="8" t="s">
        <v>112</v>
      </c>
      <c r="P20" s="8" t="s">
        <v>111</v>
      </c>
      <c r="Q20" s="8" t="s">
        <v>111</v>
      </c>
      <c r="R20" s="8" t="s">
        <v>111</v>
      </c>
      <c r="S20" s="8" t="s">
        <v>111</v>
      </c>
      <c r="T20" s="8" t="s">
        <v>111</v>
      </c>
      <c r="U20" s="119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19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112</v>
      </c>
      <c r="AH20" s="8"/>
      <c r="AI20" s="5">
        <f t="shared" si="1"/>
        <v>17</v>
      </c>
      <c r="AJ20" s="5">
        <f t="shared" si="2"/>
        <v>7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1">
        <v>1</v>
      </c>
      <c r="B21" s="24" t="s">
        <v>786</v>
      </c>
      <c r="C21" s="25" t="s">
        <v>787</v>
      </c>
      <c r="D21" s="20" t="s">
        <v>806</v>
      </c>
      <c r="E21" s="8" t="s">
        <v>112</v>
      </c>
      <c r="F21" s="8" t="s">
        <v>112</v>
      </c>
      <c r="G21" s="119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111</v>
      </c>
      <c r="M21" s="122"/>
      <c r="N21" s="119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119"/>
      <c r="V21" s="8" t="s">
        <v>112</v>
      </c>
      <c r="W21" s="8" t="s">
        <v>111</v>
      </c>
      <c r="X21" s="8" t="s">
        <v>112</v>
      </c>
      <c r="Y21" s="8" t="s">
        <v>112</v>
      </c>
      <c r="Z21" s="8" t="s">
        <v>111</v>
      </c>
      <c r="AA21" s="8" t="s">
        <v>112</v>
      </c>
      <c r="AB21" s="119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9">
        <f>16*$AL$5</f>
        <v>400</v>
      </c>
      <c r="AM21" s="9">
        <f>19*$AL$5</f>
        <v>475</v>
      </c>
      <c r="AN21" s="9">
        <f>AL21+AM21</f>
        <v>875</v>
      </c>
    </row>
    <row r="22" spans="1:40" x14ac:dyDescent="0.25">
      <c r="A22" s="9">
        <v>2</v>
      </c>
      <c r="B22" s="24" t="s">
        <v>788</v>
      </c>
      <c r="C22" s="25" t="s">
        <v>118</v>
      </c>
      <c r="D22" s="20" t="s">
        <v>806</v>
      </c>
      <c r="E22" s="8" t="s">
        <v>112</v>
      </c>
      <c r="F22" s="8" t="s">
        <v>112</v>
      </c>
      <c r="G22" s="119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111</v>
      </c>
      <c r="M22" s="122"/>
      <c r="N22" s="119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111</v>
      </c>
      <c r="U22" s="119"/>
      <c r="V22" s="8" t="s">
        <v>112</v>
      </c>
      <c r="W22" s="8" t="s">
        <v>111</v>
      </c>
      <c r="X22" s="8" t="s">
        <v>111</v>
      </c>
      <c r="Y22" s="8" t="s">
        <v>111</v>
      </c>
      <c r="Z22" s="8" t="s">
        <v>111</v>
      </c>
      <c r="AA22" s="8" t="s">
        <v>111</v>
      </c>
      <c r="AB22" s="119"/>
      <c r="AC22" s="8" t="s">
        <v>112</v>
      </c>
      <c r="AD22" s="8" t="s">
        <v>111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16</v>
      </c>
      <c r="AJ22" s="5">
        <f t="shared" si="2"/>
        <v>8</v>
      </c>
      <c r="AK22" s="5" t="s">
        <v>17</v>
      </c>
      <c r="AL22" s="9">
        <f>AL21-AL14</f>
        <v>75</v>
      </c>
      <c r="AM22" s="9">
        <f>AM21-AM14</f>
        <v>112</v>
      </c>
      <c r="AN22" s="9">
        <f>AL22+AM22</f>
        <v>187</v>
      </c>
    </row>
    <row r="23" spans="1:40" x14ac:dyDescent="0.25">
      <c r="A23" s="21">
        <v>3</v>
      </c>
      <c r="B23" s="24" t="s">
        <v>789</v>
      </c>
      <c r="C23" s="25" t="s">
        <v>790</v>
      </c>
      <c r="D23" s="20" t="s">
        <v>806</v>
      </c>
      <c r="E23" s="8" t="s">
        <v>111</v>
      </c>
      <c r="F23" s="8" t="s">
        <v>111</v>
      </c>
      <c r="G23" s="119"/>
      <c r="H23" s="8" t="s">
        <v>111</v>
      </c>
      <c r="I23" s="8" t="s">
        <v>112</v>
      </c>
      <c r="J23" s="8" t="s">
        <v>111</v>
      </c>
      <c r="K23" s="8" t="s">
        <v>112</v>
      </c>
      <c r="L23" s="8" t="s">
        <v>112</v>
      </c>
      <c r="M23" s="122"/>
      <c r="N23" s="119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19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111</v>
      </c>
      <c r="AA23" s="8" t="s">
        <v>112</v>
      </c>
      <c r="AB23" s="119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111</v>
      </c>
      <c r="AH23" s="8"/>
      <c r="AI23" s="5">
        <f t="shared" si="1"/>
        <v>18</v>
      </c>
      <c r="AJ23" s="5">
        <f t="shared" si="2"/>
        <v>6</v>
      </c>
      <c r="AK23" s="5" t="s">
        <v>16</v>
      </c>
      <c r="AL23" s="12">
        <f>AL22/AL21</f>
        <v>0.1875</v>
      </c>
      <c r="AM23" s="12">
        <f>AM22/AM21</f>
        <v>0.23578947368421052</v>
      </c>
      <c r="AN23" s="12">
        <f>AN22/AN21</f>
        <v>0.21371428571428572</v>
      </c>
    </row>
    <row r="24" spans="1:40" x14ac:dyDescent="0.25">
      <c r="A24" s="9">
        <v>4</v>
      </c>
      <c r="B24" s="24" t="s">
        <v>791</v>
      </c>
      <c r="C24" s="25" t="s">
        <v>405</v>
      </c>
      <c r="D24" s="20" t="s">
        <v>806</v>
      </c>
      <c r="E24" s="8" t="s">
        <v>112</v>
      </c>
      <c r="F24" s="8" t="s">
        <v>112</v>
      </c>
      <c r="G24" s="119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2"/>
      <c r="N24" s="119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111</v>
      </c>
      <c r="U24" s="119"/>
      <c r="V24" s="8" t="s">
        <v>111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19"/>
      <c r="AC24" s="8" t="s">
        <v>111</v>
      </c>
      <c r="AD24" s="8" t="s">
        <v>112</v>
      </c>
      <c r="AE24" s="8" t="s">
        <v>112</v>
      </c>
      <c r="AF24" s="8" t="s">
        <v>111</v>
      </c>
      <c r="AG24" s="8" t="s">
        <v>111</v>
      </c>
      <c r="AH24" s="8"/>
      <c r="AI24" s="5">
        <f t="shared" si="1"/>
        <v>19</v>
      </c>
      <c r="AJ24" s="5">
        <f t="shared" si="2"/>
        <v>5</v>
      </c>
    </row>
    <row r="25" spans="1:40" x14ac:dyDescent="0.25">
      <c r="A25" s="21">
        <v>5</v>
      </c>
      <c r="B25" s="24" t="s">
        <v>264</v>
      </c>
      <c r="C25" s="25" t="s">
        <v>792</v>
      </c>
      <c r="D25" s="20" t="s">
        <v>806</v>
      </c>
      <c r="E25" s="8" t="s">
        <v>112</v>
      </c>
      <c r="F25" s="8" t="s">
        <v>111</v>
      </c>
      <c r="G25" s="119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122"/>
      <c r="N25" s="119"/>
      <c r="O25" s="8" t="s">
        <v>112</v>
      </c>
      <c r="P25" s="8" t="s">
        <v>111</v>
      </c>
      <c r="Q25" s="8" t="s">
        <v>111</v>
      </c>
      <c r="R25" s="8" t="s">
        <v>112</v>
      </c>
      <c r="S25" s="8" t="s">
        <v>112</v>
      </c>
      <c r="T25" s="8" t="s">
        <v>112</v>
      </c>
      <c r="U25" s="119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112</v>
      </c>
      <c r="AA25" s="8" t="s">
        <v>112</v>
      </c>
      <c r="AB25" s="119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9">
        <v>6</v>
      </c>
      <c r="B26" s="24" t="s">
        <v>793</v>
      </c>
      <c r="C26" s="25" t="s">
        <v>772</v>
      </c>
      <c r="D26" s="20" t="s">
        <v>806</v>
      </c>
      <c r="E26" s="8" t="s">
        <v>112</v>
      </c>
      <c r="F26" s="8" t="s">
        <v>112</v>
      </c>
      <c r="G26" s="119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2"/>
      <c r="N26" s="119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19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19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24</v>
      </c>
      <c r="AJ26" s="5">
        <f t="shared" si="2"/>
        <v>0</v>
      </c>
    </row>
    <row r="27" spans="1:40" x14ac:dyDescent="0.25">
      <c r="A27" s="21">
        <v>7</v>
      </c>
      <c r="B27" s="24" t="s">
        <v>794</v>
      </c>
      <c r="C27" s="25" t="s">
        <v>254</v>
      </c>
      <c r="D27" s="20" t="s">
        <v>806</v>
      </c>
      <c r="E27" s="8" t="s">
        <v>112</v>
      </c>
      <c r="F27" s="8" t="s">
        <v>112</v>
      </c>
      <c r="G27" s="119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2"/>
      <c r="N27" s="119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111</v>
      </c>
      <c r="U27" s="119"/>
      <c r="V27" s="8" t="s">
        <v>111</v>
      </c>
      <c r="W27" s="8" t="s">
        <v>111</v>
      </c>
      <c r="X27" s="8" t="s">
        <v>111</v>
      </c>
      <c r="Y27" s="8" t="s">
        <v>111</v>
      </c>
      <c r="Z27" s="8" t="s">
        <v>111</v>
      </c>
      <c r="AA27" s="8" t="s">
        <v>111</v>
      </c>
      <c r="AB27" s="119"/>
      <c r="AC27" s="8" t="s">
        <v>111</v>
      </c>
      <c r="AD27" s="8" t="s">
        <v>111</v>
      </c>
      <c r="AE27" s="8" t="s">
        <v>111</v>
      </c>
      <c r="AF27" s="8" t="s">
        <v>111</v>
      </c>
      <c r="AG27" s="8" t="s">
        <v>111</v>
      </c>
      <c r="AH27" s="8"/>
      <c r="AI27" s="5">
        <f t="shared" si="1"/>
        <v>12</v>
      </c>
      <c r="AJ27" s="5">
        <f t="shared" si="2"/>
        <v>12</v>
      </c>
    </row>
    <row r="28" spans="1:40" x14ac:dyDescent="0.25">
      <c r="A28" s="9">
        <v>8</v>
      </c>
      <c r="B28" s="24" t="s">
        <v>795</v>
      </c>
      <c r="C28" s="25" t="s">
        <v>431</v>
      </c>
      <c r="D28" s="20" t="s">
        <v>806</v>
      </c>
      <c r="E28" s="8" t="s">
        <v>112</v>
      </c>
      <c r="F28" s="8" t="s">
        <v>112</v>
      </c>
      <c r="G28" s="119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2"/>
      <c r="N28" s="119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19"/>
      <c r="V28" s="8" t="s">
        <v>112</v>
      </c>
      <c r="W28" s="8" t="s">
        <v>111</v>
      </c>
      <c r="X28" s="8" t="s">
        <v>111</v>
      </c>
      <c r="Y28" s="8" t="s">
        <v>111</v>
      </c>
      <c r="Z28" s="8" t="s">
        <v>111</v>
      </c>
      <c r="AA28" s="8" t="s">
        <v>111</v>
      </c>
      <c r="AB28" s="119"/>
      <c r="AC28" s="8" t="s">
        <v>111</v>
      </c>
      <c r="AD28" s="8" t="s">
        <v>111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17</v>
      </c>
      <c r="AJ28" s="5">
        <f t="shared" si="2"/>
        <v>7</v>
      </c>
    </row>
    <row r="29" spans="1:40" x14ac:dyDescent="0.25">
      <c r="A29" s="21">
        <v>9</v>
      </c>
      <c r="B29" s="24" t="s">
        <v>796</v>
      </c>
      <c r="C29" s="25" t="s">
        <v>431</v>
      </c>
      <c r="D29" s="20" t="s">
        <v>806</v>
      </c>
      <c r="E29" s="8" t="s">
        <v>112</v>
      </c>
      <c r="F29" s="8" t="s">
        <v>112</v>
      </c>
      <c r="G29" s="119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111</v>
      </c>
      <c r="M29" s="122"/>
      <c r="N29" s="119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111</v>
      </c>
      <c r="T29" s="8" t="s">
        <v>111</v>
      </c>
      <c r="U29" s="119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19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21</v>
      </c>
      <c r="AJ29" s="5">
        <f t="shared" si="2"/>
        <v>3</v>
      </c>
    </row>
    <row r="30" spans="1:40" x14ac:dyDescent="0.25">
      <c r="A30" s="9">
        <v>10</v>
      </c>
      <c r="B30" s="24" t="s">
        <v>797</v>
      </c>
      <c r="C30" s="25" t="s">
        <v>798</v>
      </c>
      <c r="D30" s="20" t="s">
        <v>806</v>
      </c>
      <c r="E30" s="8" t="s">
        <v>112</v>
      </c>
      <c r="F30" s="8" t="s">
        <v>112</v>
      </c>
      <c r="G30" s="119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2"/>
      <c r="N30" s="119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19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19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1">
        <v>11</v>
      </c>
      <c r="B31" s="28" t="s">
        <v>528</v>
      </c>
      <c r="C31" s="29" t="s">
        <v>363</v>
      </c>
      <c r="D31" s="20" t="s">
        <v>806</v>
      </c>
      <c r="E31" s="8" t="s">
        <v>111</v>
      </c>
      <c r="F31" s="8" t="s">
        <v>111</v>
      </c>
      <c r="G31" s="119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122"/>
      <c r="N31" s="119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119"/>
      <c r="V31" s="8" t="s">
        <v>111</v>
      </c>
      <c r="W31" s="8" t="s">
        <v>111</v>
      </c>
      <c r="X31" s="8" t="s">
        <v>111</v>
      </c>
      <c r="Y31" s="8" t="s">
        <v>111</v>
      </c>
      <c r="Z31" s="8" t="s">
        <v>111</v>
      </c>
      <c r="AA31" s="8" t="s">
        <v>111</v>
      </c>
      <c r="AB31" s="119"/>
      <c r="AC31" s="8" t="s">
        <v>111</v>
      </c>
      <c r="AD31" s="8" t="s">
        <v>111</v>
      </c>
      <c r="AE31" s="8" t="s">
        <v>111</v>
      </c>
      <c r="AF31" s="8" t="s">
        <v>111</v>
      </c>
      <c r="AG31" s="8" t="s">
        <v>111</v>
      </c>
      <c r="AH31" s="8"/>
      <c r="AI31" s="5">
        <f t="shared" si="1"/>
        <v>0</v>
      </c>
      <c r="AJ31" s="5">
        <f t="shared" si="2"/>
        <v>24</v>
      </c>
    </row>
    <row r="32" spans="1:40" x14ac:dyDescent="0.25">
      <c r="A32" s="9">
        <v>12</v>
      </c>
      <c r="B32" s="30" t="s">
        <v>799</v>
      </c>
      <c r="C32" s="30" t="s">
        <v>778</v>
      </c>
      <c r="D32" s="20" t="s">
        <v>806</v>
      </c>
      <c r="E32" s="8" t="s">
        <v>112</v>
      </c>
      <c r="F32" s="8" t="s">
        <v>112</v>
      </c>
      <c r="G32" s="119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111</v>
      </c>
      <c r="M32" s="122"/>
      <c r="N32" s="119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111</v>
      </c>
      <c r="T32" s="8" t="s">
        <v>111</v>
      </c>
      <c r="U32" s="119"/>
      <c r="V32" s="8" t="s">
        <v>111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19"/>
      <c r="AC32" s="8" t="s">
        <v>111</v>
      </c>
      <c r="AD32" s="8" t="s">
        <v>111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18</v>
      </c>
      <c r="AJ32" s="5">
        <f t="shared" si="2"/>
        <v>6</v>
      </c>
    </row>
    <row r="33" spans="1:36" x14ac:dyDescent="0.25">
      <c r="A33" s="21">
        <v>13</v>
      </c>
      <c r="B33" s="30" t="s">
        <v>800</v>
      </c>
      <c r="C33" s="30" t="s">
        <v>801</v>
      </c>
      <c r="D33" s="20" t="s">
        <v>806</v>
      </c>
      <c r="E33" s="8" t="s">
        <v>112</v>
      </c>
      <c r="F33" s="8" t="s">
        <v>112</v>
      </c>
      <c r="G33" s="119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111</v>
      </c>
      <c r="M33" s="122"/>
      <c r="N33" s="119"/>
      <c r="O33" s="8" t="s">
        <v>112</v>
      </c>
      <c r="P33" s="8" t="s">
        <v>112</v>
      </c>
      <c r="Q33" s="8" t="s">
        <v>111</v>
      </c>
      <c r="R33" s="8" t="s">
        <v>111</v>
      </c>
      <c r="S33" s="8" t="s">
        <v>112</v>
      </c>
      <c r="T33" s="8" t="s">
        <v>112</v>
      </c>
      <c r="U33" s="119"/>
      <c r="V33" s="8" t="s">
        <v>111</v>
      </c>
      <c r="W33" s="8" t="s">
        <v>112</v>
      </c>
      <c r="X33" s="8" t="s">
        <v>112</v>
      </c>
      <c r="Y33" s="8" t="s">
        <v>111</v>
      </c>
      <c r="Z33" s="8" t="s">
        <v>111</v>
      </c>
      <c r="AA33" s="8" t="s">
        <v>112</v>
      </c>
      <c r="AB33" s="119"/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111</v>
      </c>
      <c r="AH33" s="8"/>
      <c r="AI33" s="5">
        <f t="shared" si="1"/>
        <v>16</v>
      </c>
      <c r="AJ33" s="5">
        <f t="shared" si="2"/>
        <v>8</v>
      </c>
    </row>
    <row r="34" spans="1:36" x14ac:dyDescent="0.25">
      <c r="A34" s="9">
        <v>14</v>
      </c>
      <c r="B34" s="30" t="s">
        <v>802</v>
      </c>
      <c r="C34" s="30" t="s">
        <v>803</v>
      </c>
      <c r="D34" s="20" t="s">
        <v>806</v>
      </c>
      <c r="E34" s="8" t="s">
        <v>112</v>
      </c>
      <c r="F34" s="8" t="s">
        <v>112</v>
      </c>
      <c r="G34" s="119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2"/>
      <c r="N34" s="119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19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19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1">
        <v>15</v>
      </c>
      <c r="B35" s="14" t="s">
        <v>422</v>
      </c>
      <c r="C35" s="14" t="s">
        <v>146</v>
      </c>
      <c r="D35" s="20" t="s">
        <v>806</v>
      </c>
      <c r="E35" s="8" t="s">
        <v>112</v>
      </c>
      <c r="F35" s="8" t="s">
        <v>112</v>
      </c>
      <c r="G35" s="119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2"/>
      <c r="N35" s="119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19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19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9">
        <v>16</v>
      </c>
      <c r="B36" s="14" t="s">
        <v>271</v>
      </c>
      <c r="C36" s="14"/>
      <c r="D36" s="20" t="s">
        <v>806</v>
      </c>
      <c r="E36" s="8" t="s">
        <v>112</v>
      </c>
      <c r="F36" s="8" t="s">
        <v>112</v>
      </c>
      <c r="G36" s="119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122"/>
      <c r="N36" s="119"/>
      <c r="O36" s="8" t="s">
        <v>112</v>
      </c>
      <c r="P36" s="8" t="s">
        <v>111</v>
      </c>
      <c r="Q36" s="8" t="s">
        <v>112</v>
      </c>
      <c r="R36" s="8" t="s">
        <v>112</v>
      </c>
      <c r="S36" s="8" t="s">
        <v>112</v>
      </c>
      <c r="T36" s="8" t="s">
        <v>112</v>
      </c>
      <c r="U36" s="119"/>
      <c r="V36" s="8" t="s">
        <v>111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19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22</v>
      </c>
      <c r="AJ36" s="5">
        <f t="shared" si="2"/>
        <v>2</v>
      </c>
    </row>
    <row r="37" spans="1:36" x14ac:dyDescent="0.25">
      <c r="A37" s="21">
        <v>17</v>
      </c>
      <c r="B37" s="14" t="s">
        <v>804</v>
      </c>
      <c r="C37" s="14"/>
      <c r="D37" s="20" t="s">
        <v>806</v>
      </c>
      <c r="E37" s="8" t="s">
        <v>112</v>
      </c>
      <c r="F37" s="8" t="s">
        <v>112</v>
      </c>
      <c r="G37" s="119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2"/>
      <c r="N37" s="119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19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19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24</v>
      </c>
      <c r="AJ37" s="5">
        <f t="shared" si="2"/>
        <v>0</v>
      </c>
    </row>
    <row r="38" spans="1:36" x14ac:dyDescent="0.25">
      <c r="A38" s="9">
        <v>18</v>
      </c>
      <c r="B38" s="14" t="s">
        <v>159</v>
      </c>
      <c r="C38" s="14" t="s">
        <v>354</v>
      </c>
      <c r="D38" s="20" t="s">
        <v>806</v>
      </c>
      <c r="E38" s="8" t="s">
        <v>112</v>
      </c>
      <c r="F38" s="8" t="s">
        <v>111</v>
      </c>
      <c r="G38" s="119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2"/>
      <c r="N38" s="119"/>
      <c r="O38" s="8" t="s">
        <v>111</v>
      </c>
      <c r="P38" s="8" t="s">
        <v>111</v>
      </c>
      <c r="Q38" s="8" t="s">
        <v>112</v>
      </c>
      <c r="R38" s="8" t="s">
        <v>112</v>
      </c>
      <c r="S38" s="8" t="s">
        <v>111</v>
      </c>
      <c r="T38" s="8" t="s">
        <v>112</v>
      </c>
      <c r="U38" s="119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19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20</v>
      </c>
      <c r="AJ38" s="5">
        <f t="shared" si="2"/>
        <v>4</v>
      </c>
    </row>
    <row r="39" spans="1:36" x14ac:dyDescent="0.25">
      <c r="A39" s="21">
        <v>19</v>
      </c>
      <c r="B39" s="14" t="s">
        <v>805</v>
      </c>
      <c r="C39" s="14" t="s">
        <v>479</v>
      </c>
      <c r="D39" s="20" t="s">
        <v>806</v>
      </c>
      <c r="E39" s="8" t="s">
        <v>112</v>
      </c>
      <c r="F39" s="8" t="s">
        <v>112</v>
      </c>
      <c r="G39" s="120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23"/>
      <c r="N39" s="120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20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20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24</v>
      </c>
      <c r="AJ39" s="5">
        <f t="shared" si="2"/>
        <v>0</v>
      </c>
    </row>
    <row r="40" spans="1:36" x14ac:dyDescent="0.25">
      <c r="A40" s="34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6"/>
      <c r="AJ40" s="36"/>
    </row>
    <row r="41" spans="1:36" x14ac:dyDescent="0.25">
      <c r="A41" s="34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6"/>
      <c r="AJ41" s="36"/>
    </row>
    <row r="42" spans="1:36" x14ac:dyDescent="0.25">
      <c r="A42" s="34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6"/>
      <c r="AJ42" s="36"/>
    </row>
    <row r="43" spans="1:36" x14ac:dyDescent="0.25">
      <c r="D43" s="35"/>
      <c r="E43" s="35"/>
      <c r="F43" s="35"/>
      <c r="G43" s="35"/>
      <c r="H43" s="35"/>
      <c r="I43" s="35"/>
      <c r="J43" s="35"/>
      <c r="K43" s="35"/>
      <c r="L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6"/>
      <c r="AJ43" s="36"/>
    </row>
    <row r="44" spans="1:36" x14ac:dyDescent="0.25">
      <c r="D44" s="35"/>
      <c r="E44" s="35"/>
      <c r="F44" s="35"/>
      <c r="G44" s="35"/>
      <c r="H44" s="35"/>
      <c r="I44" s="35"/>
      <c r="J44" s="35"/>
      <c r="K44" s="35"/>
      <c r="L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6"/>
      <c r="AJ44" s="36"/>
    </row>
  </sheetData>
  <mergeCells count="16">
    <mergeCell ref="A1:AJ1"/>
    <mergeCell ref="A2:AJ2"/>
    <mergeCell ref="A3:A4"/>
    <mergeCell ref="B3:B4"/>
    <mergeCell ref="C3:C4"/>
    <mergeCell ref="D3:D4"/>
    <mergeCell ref="AI3:AI4"/>
    <mergeCell ref="AJ3:AJ4"/>
    <mergeCell ref="AK3:AL3"/>
    <mergeCell ref="G5:G39"/>
    <mergeCell ref="M5:M39"/>
    <mergeCell ref="N5:N39"/>
    <mergeCell ref="U5:U39"/>
    <mergeCell ref="AB5:AB39"/>
    <mergeCell ref="AK11:AN11"/>
    <mergeCell ref="AK19:AN19"/>
  </mergeCells>
  <phoneticPr fontId="12" type="noConversion"/>
  <conditionalFormatting sqref="E5:F39 H5:L39 O5:T39 V5:AA39 AC5:AH39 E4:AH4">
    <cfRule type="expression" dxfId="90" priority="45">
      <formula>IF(E$4=TODAY(),TRUE,FALSE)</formula>
    </cfRule>
  </conditionalFormatting>
  <conditionalFormatting sqref="E5:F39 H5:L39 O5:T39 V5:AA39 AC5:AH39">
    <cfRule type="cellIs" dxfId="89" priority="42" operator="equal">
      <formula>"L"</formula>
    </cfRule>
    <cfRule type="cellIs" dxfId="88" priority="43" operator="equal">
      <formula>"A"</formula>
    </cfRule>
    <cfRule type="cellIs" dxfId="87" priority="44" operator="equal">
      <formula>"P"</formula>
    </cfRule>
  </conditionalFormatting>
  <conditionalFormatting sqref="E3:AH4 E5:F39 H5:L39 O5:T39 V5:AA39 AC5:AH39">
    <cfRule type="expression" dxfId="86" priority="46">
      <formula>E$3="Sun"</formula>
    </cfRule>
  </conditionalFormatting>
  <conditionalFormatting sqref="G5">
    <cfRule type="cellIs" dxfId="85" priority="22" operator="equal">
      <formula>"L"</formula>
    </cfRule>
    <cfRule type="cellIs" dxfId="84" priority="23" operator="equal">
      <formula>"A"</formula>
    </cfRule>
    <cfRule type="cellIs" dxfId="83" priority="24" operator="equal">
      <formula>"P"</formula>
    </cfRule>
    <cfRule type="expression" dxfId="82" priority="25">
      <formula>IF(G$4=TODAY(),TRUE,FALSE)</formula>
    </cfRule>
    <cfRule type="expression" dxfId="81" priority="26">
      <formula>G$3="Sun"</formula>
    </cfRule>
  </conditionalFormatting>
  <conditionalFormatting sqref="M5:N5">
    <cfRule type="cellIs" dxfId="80" priority="17" operator="equal">
      <formula>"L"</formula>
    </cfRule>
    <cfRule type="cellIs" dxfId="79" priority="18" operator="equal">
      <formula>"A"</formula>
    </cfRule>
    <cfRule type="cellIs" dxfId="78" priority="19" operator="equal">
      <formula>"P"</formula>
    </cfRule>
    <cfRule type="expression" dxfId="77" priority="20">
      <formula>IF(M$4=TODAY(),TRUE,FALSE)</formula>
    </cfRule>
    <cfRule type="expression" dxfId="76" priority="21">
      <formula>M$3="Sun"</formula>
    </cfRule>
  </conditionalFormatting>
  <conditionalFormatting sqref="U5">
    <cfRule type="cellIs" dxfId="75" priority="12" operator="equal">
      <formula>"L"</formula>
    </cfRule>
    <cfRule type="cellIs" dxfId="74" priority="13" operator="equal">
      <formula>"A"</formula>
    </cfRule>
    <cfRule type="cellIs" dxfId="73" priority="14" operator="equal">
      <formula>"P"</formula>
    </cfRule>
    <cfRule type="expression" dxfId="72" priority="15">
      <formula>IF(U$4=TODAY(),TRUE,FALSE)</formula>
    </cfRule>
    <cfRule type="expression" dxfId="71" priority="16">
      <formula>U$3="Sun"</formula>
    </cfRule>
  </conditionalFormatting>
  <conditionalFormatting sqref="AB5">
    <cfRule type="cellIs" dxfId="70" priority="7" operator="equal">
      <formula>"L"</formula>
    </cfRule>
    <cfRule type="cellIs" dxfId="69" priority="8" operator="equal">
      <formula>"A"</formula>
    </cfRule>
    <cfRule type="cellIs" dxfId="68" priority="9" operator="equal">
      <formula>"P"</formula>
    </cfRule>
    <cfRule type="expression" dxfId="67" priority="10">
      <formula>IF(AB$4=TODAY(),TRUE,FALSE)</formula>
    </cfRule>
    <cfRule type="expression" dxfId="66" priority="11">
      <formula>AB$3="Sun"</formula>
    </cfRule>
  </conditionalFormatting>
  <conditionalFormatting sqref="AI3:AJ3 AI5:AJ39">
    <cfRule type="expression" dxfId="65" priority="47">
      <formula>#REF!="Sun"</formula>
    </cfRule>
  </conditionalFormatting>
  <conditionalFormatting sqref="AK5:AK9">
    <cfRule type="expression" dxfId="64" priority="4">
      <formula>AK$3="Sun"</formula>
    </cfRule>
  </conditionalFormatting>
  <conditionalFormatting sqref="AK12:AK15">
    <cfRule type="expression" dxfId="63" priority="2">
      <formula>AK$3="Sun"</formula>
    </cfRule>
  </conditionalFormatting>
  <conditionalFormatting sqref="AK20:AK23">
    <cfRule type="expression" dxfId="62" priority="1">
      <formula>AK$3="Sun"</formula>
    </cfRule>
  </conditionalFormatting>
  <conditionalFormatting sqref="AK4:AL4">
    <cfRule type="expression" dxfId="61" priority="5">
      <formula>AK$3="Sun"</formula>
    </cfRule>
  </conditionalFormatting>
  <conditionalFormatting sqref="AL12:AN12 AL20:AN20">
    <cfRule type="expression" dxfId="60" priority="6">
      <formula>AL$3="Sun"</formula>
    </cfRule>
  </conditionalFormatting>
  <conditionalFormatting sqref="AN21">
    <cfRule type="expression" dxfId="59" priority="3">
      <formula>AN$3="Sun"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2025-02-08T05:00:30Z</dcterms:modified>
</cp:coreProperties>
</file>