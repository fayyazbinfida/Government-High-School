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E:\Government-High-School\Sindhi Muslim\Student Attendance\Audit Attendance\"/>
    </mc:Choice>
  </mc:AlternateContent>
  <xr:revisionPtr revIDLastSave="0" documentId="13_ncr:1_{309DFC28-1649-40F1-AA8E-2441891850AD}" xr6:coauthVersionLast="47" xr6:coauthVersionMax="47" xr10:uidLastSave="{00000000-0000-0000-0000-000000000000}"/>
  <bookViews>
    <workbookView xWindow="-120" yWindow="-120" windowWidth="20730" windowHeight="11160" tabRatio="626" xr2:uid="{00000000-000D-0000-FFFF-FFFF00000000}"/>
  </bookViews>
  <sheets>
    <sheet name="Compile Sheet-September-2024" sheetId="39" r:id="rId1"/>
    <sheet name="ECE (ROSE)" sheetId="29" r:id="rId2"/>
    <sheet name="ECE (Daffodils)" sheetId="31" r:id="rId3"/>
    <sheet name="Class-I" sheetId="32" r:id="rId4"/>
    <sheet name="Class-II" sheetId="33" r:id="rId5"/>
    <sheet name="Class-III" sheetId="34" r:id="rId6"/>
    <sheet name="Class-IV" sheetId="35" r:id="rId7"/>
    <sheet name="Class-V" sheetId="36" r:id="rId8"/>
    <sheet name="Class-VI" sheetId="37" r:id="rId9"/>
    <sheet name="Class-VII" sheetId="38" r:id="rId10"/>
    <sheet name="Class-VIII" sheetId="28" r:id="rId11"/>
    <sheet name="Class-IX" sheetId="24" r:id="rId12"/>
  </sheets>
  <externalReferences>
    <externalReference r:id="rId1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6" i="39" l="1"/>
  <c r="L16" i="39" s="1"/>
  <c r="I16" i="39"/>
  <c r="J15" i="39"/>
  <c r="I15" i="39"/>
  <c r="J14" i="39"/>
  <c r="K14" i="39" s="1"/>
  <c r="I14" i="39"/>
  <c r="J13" i="39"/>
  <c r="K13" i="39" s="1"/>
  <c r="I13" i="39"/>
  <c r="AM20" i="36"/>
  <c r="AL20" i="36"/>
  <c r="AM12" i="36"/>
  <c r="AL12" i="36"/>
  <c r="J12" i="39"/>
  <c r="I12" i="39"/>
  <c r="J11" i="39"/>
  <c r="L11" i="39" s="1"/>
  <c r="I11" i="39"/>
  <c r="J10" i="39"/>
  <c r="L10" i="39" s="1"/>
  <c r="I10" i="39"/>
  <c r="J9" i="39"/>
  <c r="I9" i="39"/>
  <c r="J8" i="39"/>
  <c r="L8" i="39" s="1"/>
  <c r="I8" i="39"/>
  <c r="J7" i="39"/>
  <c r="I7" i="39"/>
  <c r="J6" i="39"/>
  <c r="I6" i="39"/>
  <c r="E17" i="39"/>
  <c r="C17" i="39"/>
  <c r="B17" i="39"/>
  <c r="K16" i="39"/>
  <c r="G16" i="39"/>
  <c r="F16" i="39"/>
  <c r="H16" i="39" s="1"/>
  <c r="N16" i="39" s="1"/>
  <c r="D16" i="39"/>
  <c r="K15" i="39"/>
  <c r="G15" i="39"/>
  <c r="F15" i="39"/>
  <c r="H15" i="39" s="1"/>
  <c r="D15" i="39"/>
  <c r="G14" i="39"/>
  <c r="L14" i="39" s="1"/>
  <c r="F14" i="39"/>
  <c r="H14" i="39" s="1"/>
  <c r="D14" i="39"/>
  <c r="M13" i="39"/>
  <c r="G13" i="39"/>
  <c r="H13" i="39" s="1"/>
  <c r="F13" i="39"/>
  <c r="D13" i="39"/>
  <c r="G12" i="39"/>
  <c r="F12" i="39"/>
  <c r="D12" i="39"/>
  <c r="M11" i="39"/>
  <c r="G11" i="39"/>
  <c r="F11" i="39"/>
  <c r="H11" i="39" s="1"/>
  <c r="D11" i="39"/>
  <c r="H10" i="39"/>
  <c r="G10" i="39"/>
  <c r="F10" i="39"/>
  <c r="D10" i="39"/>
  <c r="K9" i="39"/>
  <c r="G9" i="39"/>
  <c r="F9" i="39"/>
  <c r="D9" i="39"/>
  <c r="M8" i="39"/>
  <c r="G8" i="39"/>
  <c r="F8" i="39"/>
  <c r="H8" i="39" s="1"/>
  <c r="D8" i="39"/>
  <c r="M7" i="39"/>
  <c r="G7" i="39"/>
  <c r="F7" i="39"/>
  <c r="H7" i="39" s="1"/>
  <c r="D7" i="39"/>
  <c r="H6" i="39"/>
  <c r="G6" i="39"/>
  <c r="F6" i="39"/>
  <c r="D6" i="39"/>
  <c r="AM19" i="24"/>
  <c r="AL19" i="24"/>
  <c r="AM11" i="24"/>
  <c r="AL11" i="24"/>
  <c r="AM19" i="28"/>
  <c r="AL19" i="28"/>
  <c r="AM11" i="28"/>
  <c r="AL11" i="28"/>
  <c r="AL13" i="38"/>
  <c r="AL21" i="38" s="1"/>
  <c r="AL22" i="38" s="1"/>
  <c r="AK13" i="38"/>
  <c r="AK21" i="38" s="1"/>
  <c r="AL20" i="38"/>
  <c r="AK20" i="38"/>
  <c r="AL12" i="38"/>
  <c r="AK12" i="38"/>
  <c r="AM12" i="38"/>
  <c r="AK4" i="38"/>
  <c r="AI9" i="38"/>
  <c r="AI13" i="38"/>
  <c r="AI17" i="38"/>
  <c r="AI21" i="38"/>
  <c r="AI25" i="38"/>
  <c r="AI29" i="38"/>
  <c r="AI33" i="38"/>
  <c r="AI37" i="38"/>
  <c r="AI41" i="38"/>
  <c r="AI45" i="38"/>
  <c r="AI49" i="38"/>
  <c r="AH6" i="38"/>
  <c r="AI6" i="38" s="1"/>
  <c r="AH7" i="38"/>
  <c r="AI7" i="38" s="1"/>
  <c r="AH8" i="38"/>
  <c r="AI8" i="38" s="1"/>
  <c r="AH9" i="38"/>
  <c r="AH10" i="38"/>
  <c r="AI10" i="38" s="1"/>
  <c r="AH11" i="38"/>
  <c r="AI11" i="38" s="1"/>
  <c r="AH12" i="38"/>
  <c r="AI12" i="38" s="1"/>
  <c r="AH13" i="38"/>
  <c r="AH14" i="38"/>
  <c r="AI14" i="38" s="1"/>
  <c r="AH15" i="38"/>
  <c r="AI15" i="38" s="1"/>
  <c r="AH16" i="38"/>
  <c r="AI16" i="38" s="1"/>
  <c r="AH17" i="38"/>
  <c r="AH18" i="38"/>
  <c r="AI18" i="38" s="1"/>
  <c r="AH19" i="38"/>
  <c r="AI19" i="38" s="1"/>
  <c r="AH20" i="38"/>
  <c r="AI20" i="38" s="1"/>
  <c r="AH21" i="38"/>
  <c r="AH22" i="38"/>
  <c r="AI22" i="38" s="1"/>
  <c r="AH23" i="38"/>
  <c r="AI23" i="38" s="1"/>
  <c r="AH24" i="38"/>
  <c r="AI24" i="38" s="1"/>
  <c r="AH25" i="38"/>
  <c r="AH26" i="38"/>
  <c r="AI26" i="38" s="1"/>
  <c r="AH27" i="38"/>
  <c r="AI27" i="38" s="1"/>
  <c r="AH28" i="38"/>
  <c r="AI28" i="38" s="1"/>
  <c r="AH29" i="38"/>
  <c r="AH30" i="38"/>
  <c r="AI30" i="38" s="1"/>
  <c r="AH31" i="38"/>
  <c r="AI31" i="38" s="1"/>
  <c r="AH32" i="38"/>
  <c r="AI32" i="38" s="1"/>
  <c r="AH33" i="38"/>
  <c r="AH34" i="38"/>
  <c r="AI34" i="38" s="1"/>
  <c r="AH35" i="38"/>
  <c r="AI35" i="38" s="1"/>
  <c r="AH36" i="38"/>
  <c r="AI36" i="38" s="1"/>
  <c r="AH37" i="38"/>
  <c r="AH38" i="38"/>
  <c r="AI38" i="38" s="1"/>
  <c r="AH39" i="38"/>
  <c r="AI39" i="38" s="1"/>
  <c r="AH40" i="38"/>
  <c r="AI40" i="38" s="1"/>
  <c r="AH41" i="38"/>
  <c r="AH42" i="38"/>
  <c r="AI42" i="38" s="1"/>
  <c r="AH43" i="38"/>
  <c r="AI43" i="38" s="1"/>
  <c r="AH44" i="38"/>
  <c r="AI44" i="38" s="1"/>
  <c r="AH45" i="38"/>
  <c r="AH46" i="38"/>
  <c r="AI46" i="38" s="1"/>
  <c r="AH47" i="38"/>
  <c r="AI47" i="38" s="1"/>
  <c r="AH48" i="38"/>
  <c r="AI48" i="38" s="1"/>
  <c r="AH49" i="38"/>
  <c r="AH50" i="38"/>
  <c r="AI50" i="38" s="1"/>
  <c r="AH51" i="38"/>
  <c r="AI51" i="38" s="1"/>
  <c r="AH5" i="38"/>
  <c r="AI5" i="38" s="1"/>
  <c r="AG3" i="38"/>
  <c r="AF3" i="38"/>
  <c r="AE3" i="38"/>
  <c r="AD3" i="38"/>
  <c r="AC3" i="38"/>
  <c r="AB3" i="38"/>
  <c r="AA3" i="38"/>
  <c r="Z3" i="38"/>
  <c r="Y3" i="38"/>
  <c r="X3" i="38"/>
  <c r="W3" i="38"/>
  <c r="V3" i="38"/>
  <c r="U3" i="38"/>
  <c r="T3" i="38"/>
  <c r="S3" i="38"/>
  <c r="R3" i="38"/>
  <c r="Q3" i="38"/>
  <c r="P3" i="38"/>
  <c r="O3" i="38"/>
  <c r="N3" i="38"/>
  <c r="M3" i="38"/>
  <c r="L3" i="38"/>
  <c r="K3" i="38"/>
  <c r="J3" i="38"/>
  <c r="I3" i="38"/>
  <c r="H3" i="38"/>
  <c r="G3" i="38"/>
  <c r="F3" i="38"/>
  <c r="E3" i="38"/>
  <c r="D3" i="38"/>
  <c r="M16" i="39" l="1"/>
  <c r="O16" i="39"/>
  <c r="L15" i="39"/>
  <c r="N15" i="39"/>
  <c r="N14" i="39"/>
  <c r="L12" i="39"/>
  <c r="H12" i="39"/>
  <c r="G17" i="39"/>
  <c r="M12" i="39"/>
  <c r="O12" i="39" s="1"/>
  <c r="O11" i="39"/>
  <c r="K10" i="39"/>
  <c r="N10" i="39" s="1"/>
  <c r="L9" i="39"/>
  <c r="F17" i="39"/>
  <c r="D17" i="39"/>
  <c r="M9" i="39"/>
  <c r="L7" i="39"/>
  <c r="J17" i="39"/>
  <c r="O7" i="39"/>
  <c r="K6" i="39"/>
  <c r="L6" i="39"/>
  <c r="N6" i="39"/>
  <c r="N13" i="39"/>
  <c r="O8" i="39"/>
  <c r="O6" i="39"/>
  <c r="M15" i="39"/>
  <c r="O15" i="39" s="1"/>
  <c r="K8" i="39"/>
  <c r="N8" i="39" s="1"/>
  <c r="H9" i="39"/>
  <c r="H17" i="39" s="1"/>
  <c r="M10" i="39"/>
  <c r="O10" i="39" s="1"/>
  <c r="K12" i="39"/>
  <c r="L13" i="39"/>
  <c r="O13" i="39" s="1"/>
  <c r="I17" i="39"/>
  <c r="K7" i="39"/>
  <c r="N7" i="39" s="1"/>
  <c r="K11" i="39"/>
  <c r="N11" i="39" s="1"/>
  <c r="M6" i="39"/>
  <c r="M14" i="39"/>
  <c r="O14" i="39" s="1"/>
  <c r="AK14" i="38"/>
  <c r="AM13" i="38"/>
  <c r="AM14" i="38" s="1"/>
  <c r="AK22" i="38"/>
  <c r="AM21" i="38"/>
  <c r="AL14" i="38"/>
  <c r="AM20" i="38"/>
  <c r="J18" i="39" l="1"/>
  <c r="N12" i="39"/>
  <c r="L17" i="39"/>
  <c r="O9" i="39"/>
  <c r="N9" i="39"/>
  <c r="N17" i="39" s="1"/>
  <c r="O17" i="39"/>
  <c r="K17" i="39"/>
  <c r="K18" i="39" s="1"/>
  <c r="M17" i="39"/>
  <c r="I18" i="39"/>
  <c r="AM22" i="38"/>
  <c r="O18" i="39" l="1"/>
  <c r="AM20" i="37"/>
  <c r="AL20" i="37"/>
  <c r="AM12" i="37"/>
  <c r="AM14" i="37" s="1"/>
  <c r="AM13" i="37"/>
  <c r="AM21" i="37" s="1"/>
  <c r="AM22" i="37" s="1"/>
  <c r="AL13" i="37"/>
  <c r="AL21" i="37" s="1"/>
  <c r="AL12" i="37"/>
  <c r="AN13" i="37"/>
  <c r="AN12" i="37"/>
  <c r="AL4" i="37"/>
  <c r="AN12" i="36"/>
  <c r="AL4" i="36"/>
  <c r="AM20" i="35"/>
  <c r="AL20" i="35"/>
  <c r="AM12" i="35"/>
  <c r="AL12" i="35"/>
  <c r="AM19" i="33"/>
  <c r="AL19" i="33"/>
  <c r="AM11" i="33"/>
  <c r="AL11" i="33"/>
  <c r="AM19" i="32"/>
  <c r="AL19" i="32"/>
  <c r="AM11" i="32"/>
  <c r="AL11" i="32"/>
  <c r="AM19" i="31"/>
  <c r="AL19" i="31"/>
  <c r="AM11" i="31"/>
  <c r="AL11" i="31"/>
  <c r="AM19" i="29"/>
  <c r="AL19" i="29"/>
  <c r="AM11" i="29"/>
  <c r="AL11" i="29"/>
  <c r="AM19" i="34"/>
  <c r="AL19" i="34"/>
  <c r="AM11" i="34"/>
  <c r="AL11" i="34"/>
  <c r="AL4" i="35"/>
  <c r="AJ49" i="37"/>
  <c r="AI49" i="37"/>
  <c r="AJ48" i="37"/>
  <c r="AI48" i="37"/>
  <c r="AJ47" i="37"/>
  <c r="AI47" i="37"/>
  <c r="AJ46" i="37"/>
  <c r="AI46" i="37"/>
  <c r="AJ45" i="37"/>
  <c r="AI45" i="37"/>
  <c r="AJ44" i="37"/>
  <c r="AI44" i="37"/>
  <c r="AJ43" i="37"/>
  <c r="AI43" i="37"/>
  <c r="AJ42" i="37"/>
  <c r="AI42" i="37"/>
  <c r="AJ41" i="37"/>
  <c r="AI41" i="37"/>
  <c r="AJ40" i="37"/>
  <c r="AI40" i="37"/>
  <c r="AJ39" i="37"/>
  <c r="AI39" i="37"/>
  <c r="AJ38" i="37"/>
  <c r="AI38" i="37"/>
  <c r="AJ37" i="37"/>
  <c r="AI37" i="37"/>
  <c r="AJ36" i="37"/>
  <c r="AI36" i="37"/>
  <c r="AJ35" i="37"/>
  <c r="AI35" i="37"/>
  <c r="AJ34" i="37"/>
  <c r="AI34" i="37"/>
  <c r="AJ33" i="37"/>
  <c r="AI33" i="37"/>
  <c r="AJ32" i="37"/>
  <c r="AI32" i="37"/>
  <c r="AJ31" i="37"/>
  <c r="AI31" i="37"/>
  <c r="AJ30" i="37"/>
  <c r="AI30" i="37"/>
  <c r="AJ29" i="37"/>
  <c r="AI29" i="37"/>
  <c r="AJ28" i="37"/>
  <c r="AI28" i="37"/>
  <c r="AJ27" i="37"/>
  <c r="AI27" i="37"/>
  <c r="AJ26" i="37"/>
  <c r="AI26" i="37"/>
  <c r="AJ25" i="37"/>
  <c r="AI25" i="37"/>
  <c r="AJ24" i="37"/>
  <c r="AI24" i="37"/>
  <c r="AJ23" i="37"/>
  <c r="AI23" i="37"/>
  <c r="AJ22" i="37"/>
  <c r="AI22" i="37"/>
  <c r="AJ21" i="37"/>
  <c r="AI21" i="37"/>
  <c r="AJ20" i="37"/>
  <c r="AI20" i="37"/>
  <c r="AJ19" i="37"/>
  <c r="AI19" i="37"/>
  <c r="AJ18" i="37"/>
  <c r="AI18" i="37"/>
  <c r="AJ17" i="37"/>
  <c r="AI17" i="37"/>
  <c r="AJ16" i="37"/>
  <c r="AI16" i="37"/>
  <c r="AJ15" i="37"/>
  <c r="AI15" i="37"/>
  <c r="AJ14" i="37"/>
  <c r="AI14" i="37"/>
  <c r="AJ13" i="37"/>
  <c r="AI13" i="37"/>
  <c r="AJ12" i="37"/>
  <c r="AI12" i="37"/>
  <c r="AJ11" i="37"/>
  <c r="AI11" i="37"/>
  <c r="AJ10" i="37"/>
  <c r="AI10" i="37"/>
  <c r="AJ9" i="37"/>
  <c r="AI9" i="37"/>
  <c r="AJ8" i="37"/>
  <c r="AI8" i="37"/>
  <c r="AJ7" i="37"/>
  <c r="AI7" i="37"/>
  <c r="AJ6" i="37"/>
  <c r="AI6" i="37"/>
  <c r="AJ5" i="37"/>
  <c r="AI5" i="37"/>
  <c r="AH3" i="37"/>
  <c r="AG3" i="37"/>
  <c r="AF3" i="37"/>
  <c r="AE3" i="37"/>
  <c r="AD3" i="37"/>
  <c r="AC3" i="37"/>
  <c r="AB3" i="37"/>
  <c r="AA3" i="37"/>
  <c r="Z3" i="37"/>
  <c r="Y3" i="37"/>
  <c r="X3" i="37"/>
  <c r="W3" i="37"/>
  <c r="V3" i="37"/>
  <c r="U3" i="37"/>
  <c r="T3" i="37"/>
  <c r="S3" i="37"/>
  <c r="R3" i="37"/>
  <c r="Q3" i="37"/>
  <c r="P3" i="37"/>
  <c r="O3" i="37"/>
  <c r="N3" i="37"/>
  <c r="M3" i="37"/>
  <c r="L3" i="37"/>
  <c r="K3" i="37"/>
  <c r="J3" i="37"/>
  <c r="I3" i="37"/>
  <c r="H3" i="37"/>
  <c r="G3" i="37"/>
  <c r="F3" i="37"/>
  <c r="E3" i="37"/>
  <c r="AL14" i="37" l="1"/>
  <c r="AN14" i="37"/>
  <c r="AL22" i="37"/>
  <c r="AN21" i="37"/>
  <c r="AN20" i="37"/>
  <c r="AN20" i="36"/>
  <c r="AN22" i="37" l="1"/>
  <c r="AJ50" i="36" l="1"/>
  <c r="AI50" i="36"/>
  <c r="AJ49" i="36"/>
  <c r="AI49" i="36"/>
  <c r="AJ48" i="36"/>
  <c r="AI48" i="36"/>
  <c r="AJ47" i="36"/>
  <c r="AI47" i="36"/>
  <c r="AJ46" i="36"/>
  <c r="AI46" i="36"/>
  <c r="AJ45" i="36"/>
  <c r="AI45" i="36"/>
  <c r="AJ44" i="36"/>
  <c r="AI44" i="36"/>
  <c r="AJ43" i="36"/>
  <c r="AI43" i="36"/>
  <c r="AJ42" i="36"/>
  <c r="AI42" i="36"/>
  <c r="AJ41" i="36"/>
  <c r="AI41" i="36"/>
  <c r="AJ40" i="36"/>
  <c r="AI40" i="36"/>
  <c r="AJ39" i="36"/>
  <c r="AI39" i="36"/>
  <c r="AJ38" i="36"/>
  <c r="AI38" i="36"/>
  <c r="AJ37" i="36"/>
  <c r="AI37" i="36"/>
  <c r="AJ36" i="36"/>
  <c r="AI36" i="36"/>
  <c r="AJ35" i="36"/>
  <c r="AI35" i="36"/>
  <c r="AJ34" i="36"/>
  <c r="AI34" i="36"/>
  <c r="AJ33" i="36"/>
  <c r="AI33" i="36"/>
  <c r="AJ32" i="36"/>
  <c r="AI32" i="36"/>
  <c r="AJ31" i="36"/>
  <c r="AI31" i="36"/>
  <c r="AJ30" i="36"/>
  <c r="AI30" i="36"/>
  <c r="AJ29" i="36"/>
  <c r="AI29" i="36"/>
  <c r="AJ28" i="36"/>
  <c r="AI28" i="36"/>
  <c r="AJ27" i="36"/>
  <c r="AI27" i="36"/>
  <c r="AJ26" i="36"/>
  <c r="AI26" i="36"/>
  <c r="AJ25" i="36"/>
  <c r="AI25" i="36"/>
  <c r="AJ24" i="36"/>
  <c r="AI24" i="36"/>
  <c r="AJ23" i="36"/>
  <c r="AI23" i="36"/>
  <c r="AJ22" i="36"/>
  <c r="AI22" i="36"/>
  <c r="AJ21" i="36"/>
  <c r="AI21" i="36"/>
  <c r="AJ20" i="36"/>
  <c r="AI20" i="36"/>
  <c r="AJ19" i="36"/>
  <c r="AI19" i="36"/>
  <c r="AJ18" i="36"/>
  <c r="AI18" i="36"/>
  <c r="AJ17" i="36"/>
  <c r="AI17" i="36"/>
  <c r="AJ16" i="36"/>
  <c r="AI16" i="36"/>
  <c r="AJ15" i="36"/>
  <c r="AI15" i="36"/>
  <c r="AJ14" i="36"/>
  <c r="AI14" i="36"/>
  <c r="AJ13" i="36"/>
  <c r="AI13" i="36"/>
  <c r="AJ12" i="36"/>
  <c r="AI12" i="36"/>
  <c r="AJ11" i="36"/>
  <c r="AI11" i="36"/>
  <c r="AJ10" i="36"/>
  <c r="AI10" i="36"/>
  <c r="AJ9" i="36"/>
  <c r="AI9" i="36"/>
  <c r="AJ8" i="36"/>
  <c r="AI8" i="36"/>
  <c r="AJ7" i="36"/>
  <c r="AI7" i="36"/>
  <c r="AJ6" i="36"/>
  <c r="AI6" i="36"/>
  <c r="AJ5" i="36"/>
  <c r="AI5" i="36"/>
  <c r="AH3" i="36"/>
  <c r="AG3" i="36"/>
  <c r="AF3" i="36"/>
  <c r="AE3" i="36"/>
  <c r="AD3" i="36"/>
  <c r="AC3" i="36"/>
  <c r="AB3" i="36"/>
  <c r="AA3" i="36"/>
  <c r="Z3" i="36"/>
  <c r="Y3" i="36"/>
  <c r="X3" i="36"/>
  <c r="W3" i="36"/>
  <c r="V3" i="36"/>
  <c r="U3" i="36"/>
  <c r="T3" i="36"/>
  <c r="S3" i="36"/>
  <c r="R3" i="36"/>
  <c r="Q3" i="36"/>
  <c r="P3" i="36"/>
  <c r="O3" i="36"/>
  <c r="N3" i="36"/>
  <c r="M3" i="36"/>
  <c r="L3" i="36"/>
  <c r="K3" i="36"/>
  <c r="J3" i="36"/>
  <c r="I3" i="36"/>
  <c r="H3" i="36"/>
  <c r="G3" i="36"/>
  <c r="F3" i="36"/>
  <c r="E3" i="36"/>
  <c r="AM13" i="36" l="1"/>
  <c r="AM14" i="36" s="1"/>
  <c r="AL13" i="36"/>
  <c r="AL21" i="36"/>
  <c r="AM13" i="35"/>
  <c r="AL13" i="35"/>
  <c r="AM14" i="35"/>
  <c r="AJ57" i="35"/>
  <c r="AI57" i="35"/>
  <c r="AJ56" i="35"/>
  <c r="AI56" i="35"/>
  <c r="AJ55" i="35"/>
  <c r="AI55" i="35"/>
  <c r="AJ54" i="35"/>
  <c r="AI54" i="35"/>
  <c r="AJ53" i="35"/>
  <c r="AI53" i="35"/>
  <c r="AJ52" i="35"/>
  <c r="AI52" i="35"/>
  <c r="AJ51" i="35"/>
  <c r="AI51" i="35"/>
  <c r="AJ50" i="35"/>
  <c r="AI50" i="35"/>
  <c r="AJ49" i="35"/>
  <c r="AI49" i="35"/>
  <c r="AJ48" i="35"/>
  <c r="AI48" i="35"/>
  <c r="AJ47" i="35"/>
  <c r="AI47" i="35"/>
  <c r="AJ46" i="35"/>
  <c r="AI46" i="35"/>
  <c r="AJ45" i="35"/>
  <c r="AI45" i="35"/>
  <c r="AJ44" i="35"/>
  <c r="AI44" i="35"/>
  <c r="AJ43" i="35"/>
  <c r="AI43" i="35"/>
  <c r="AJ42" i="35"/>
  <c r="AI42" i="35"/>
  <c r="AJ41" i="35"/>
  <c r="AI41" i="35"/>
  <c r="AJ40" i="35"/>
  <c r="AI40" i="35"/>
  <c r="AJ39" i="35"/>
  <c r="AI39" i="35"/>
  <c r="AJ38" i="35"/>
  <c r="AI38" i="35"/>
  <c r="AJ37" i="35"/>
  <c r="AI37" i="35"/>
  <c r="AJ36" i="35"/>
  <c r="AI36" i="35"/>
  <c r="AJ35" i="35"/>
  <c r="AI35" i="35"/>
  <c r="AJ34" i="35"/>
  <c r="AI34" i="35"/>
  <c r="AJ33" i="35"/>
  <c r="AI33" i="35"/>
  <c r="AJ32" i="35"/>
  <c r="AI32" i="35"/>
  <c r="AJ31" i="35"/>
  <c r="AI31" i="35"/>
  <c r="AJ30" i="35"/>
  <c r="AI30" i="35"/>
  <c r="AJ29" i="35"/>
  <c r="AI29" i="35"/>
  <c r="AJ28" i="35"/>
  <c r="AI28" i="35"/>
  <c r="AJ27" i="35"/>
  <c r="AI27" i="35"/>
  <c r="AJ26" i="35"/>
  <c r="AI26" i="35"/>
  <c r="AJ25" i="35"/>
  <c r="AI25" i="35"/>
  <c r="AJ24" i="35"/>
  <c r="AI24" i="35"/>
  <c r="AJ23" i="35"/>
  <c r="AI23" i="35"/>
  <c r="AJ22" i="35"/>
  <c r="AI22" i="35"/>
  <c r="AJ21" i="35"/>
  <c r="AI21" i="35"/>
  <c r="AJ20" i="35"/>
  <c r="AI20" i="35"/>
  <c r="AJ19" i="35"/>
  <c r="AI19" i="35"/>
  <c r="AJ18" i="35"/>
  <c r="AI18" i="35"/>
  <c r="AJ17" i="35"/>
  <c r="AI17" i="35"/>
  <c r="AJ16" i="35"/>
  <c r="AI16" i="35"/>
  <c r="AJ15" i="35"/>
  <c r="AI15" i="35"/>
  <c r="AJ14" i="35"/>
  <c r="AI14" i="35"/>
  <c r="AJ13" i="35"/>
  <c r="AI13" i="35"/>
  <c r="AJ12" i="35"/>
  <c r="AI12" i="35"/>
  <c r="AJ11" i="35"/>
  <c r="AI11" i="35"/>
  <c r="AJ10" i="35"/>
  <c r="AI10" i="35"/>
  <c r="AJ9" i="35"/>
  <c r="AI9" i="35"/>
  <c r="AJ8" i="35"/>
  <c r="AI8" i="35"/>
  <c r="AJ7" i="35"/>
  <c r="AI7" i="35"/>
  <c r="AJ6" i="35"/>
  <c r="AI6" i="35"/>
  <c r="AJ5" i="35"/>
  <c r="AI5" i="35"/>
  <c r="AH3" i="35"/>
  <c r="AG3" i="35"/>
  <c r="AF3" i="35"/>
  <c r="AE3" i="35"/>
  <c r="AD3" i="35"/>
  <c r="AC3" i="35"/>
  <c r="AB3" i="35"/>
  <c r="AA3" i="35"/>
  <c r="Z3" i="35"/>
  <c r="Y3" i="35"/>
  <c r="X3" i="35"/>
  <c r="W3" i="35"/>
  <c r="V3" i="35"/>
  <c r="U3" i="35"/>
  <c r="T3" i="35"/>
  <c r="S3" i="35"/>
  <c r="R3" i="35"/>
  <c r="Q3" i="35"/>
  <c r="P3" i="35"/>
  <c r="O3" i="35"/>
  <c r="N3" i="35"/>
  <c r="M3" i="35"/>
  <c r="L3" i="35"/>
  <c r="K3" i="35"/>
  <c r="J3" i="35"/>
  <c r="I3" i="35"/>
  <c r="H3" i="35"/>
  <c r="G3" i="35"/>
  <c r="F3" i="35"/>
  <c r="E3" i="35"/>
  <c r="AN13" i="36" l="1"/>
  <c r="AN14" i="36" s="1"/>
  <c r="AM21" i="36"/>
  <c r="AM22" i="36" s="1"/>
  <c r="AL14" i="36"/>
  <c r="AL22" i="36"/>
  <c r="AN12" i="35"/>
  <c r="AN13" i="35"/>
  <c r="AL14" i="35"/>
  <c r="AL21" i="35"/>
  <c r="AN21" i="35" s="1"/>
  <c r="AM21" i="35"/>
  <c r="AM22" i="35" s="1"/>
  <c r="AN20" i="35"/>
  <c r="AN21" i="36" l="1"/>
  <c r="AN22" i="36" s="1"/>
  <c r="AN14" i="35"/>
  <c r="AL22" i="35"/>
  <c r="AN22" i="35"/>
  <c r="AL20" i="34" l="1"/>
  <c r="AM12" i="34"/>
  <c r="AM13" i="34" s="1"/>
  <c r="AL12" i="34"/>
  <c r="AN11" i="34"/>
  <c r="AM20" i="34"/>
  <c r="AM21" i="34" s="1"/>
  <c r="AL13" i="34"/>
  <c r="AL4" i="34"/>
  <c r="AJ59" i="34"/>
  <c r="AI59" i="34"/>
  <c r="AJ58" i="34"/>
  <c r="AI58" i="34"/>
  <c r="AJ57" i="34"/>
  <c r="AI57" i="34"/>
  <c r="AJ56" i="34"/>
  <c r="AI56" i="34"/>
  <c r="AJ55" i="34"/>
  <c r="AI55" i="34"/>
  <c r="AJ54" i="34"/>
  <c r="AI54" i="34"/>
  <c r="AJ53" i="34"/>
  <c r="AI53" i="34"/>
  <c r="AJ52" i="34"/>
  <c r="AI52" i="34"/>
  <c r="AJ51" i="34"/>
  <c r="AI51" i="34"/>
  <c r="AJ50" i="34"/>
  <c r="AI50" i="34"/>
  <c r="AJ49" i="34"/>
  <c r="AI49" i="34"/>
  <c r="AJ48" i="34"/>
  <c r="AI48" i="34"/>
  <c r="AJ47" i="34"/>
  <c r="AI47" i="34"/>
  <c r="AJ46" i="34"/>
  <c r="AI46" i="34"/>
  <c r="AJ45" i="34"/>
  <c r="AI45" i="34"/>
  <c r="AJ44" i="34"/>
  <c r="AI44" i="34"/>
  <c r="AJ43" i="34"/>
  <c r="AI43" i="34"/>
  <c r="AJ42" i="34"/>
  <c r="AI42" i="34"/>
  <c r="AJ41" i="34"/>
  <c r="AI41" i="34"/>
  <c r="AJ40" i="34"/>
  <c r="AI40" i="34"/>
  <c r="AJ39" i="34"/>
  <c r="AI39" i="34"/>
  <c r="AJ38" i="34"/>
  <c r="AI38" i="34"/>
  <c r="AJ37" i="34"/>
  <c r="AI37" i="34"/>
  <c r="AJ36" i="34"/>
  <c r="AI36" i="34"/>
  <c r="AJ35" i="34"/>
  <c r="AI35" i="34"/>
  <c r="AJ34" i="34"/>
  <c r="AI34" i="34"/>
  <c r="AJ33" i="34"/>
  <c r="AI33" i="34"/>
  <c r="AJ32" i="34"/>
  <c r="AI32" i="34"/>
  <c r="AJ31" i="34"/>
  <c r="AI31" i="34"/>
  <c r="AJ30" i="34"/>
  <c r="AI30" i="34"/>
  <c r="AJ29" i="34"/>
  <c r="AI29" i="34"/>
  <c r="AJ28" i="34"/>
  <c r="AI28" i="34"/>
  <c r="AJ27" i="34"/>
  <c r="AI27" i="34"/>
  <c r="AJ26" i="34"/>
  <c r="AI26" i="34"/>
  <c r="AJ25" i="34"/>
  <c r="AI25" i="34"/>
  <c r="AJ24" i="34"/>
  <c r="AI24" i="34"/>
  <c r="AJ23" i="34"/>
  <c r="AI23" i="34"/>
  <c r="AJ22" i="34"/>
  <c r="AI22" i="34"/>
  <c r="AJ21" i="34"/>
  <c r="AI21" i="34"/>
  <c r="AJ20" i="34"/>
  <c r="AI20" i="34"/>
  <c r="AJ19" i="34"/>
  <c r="AI19" i="34"/>
  <c r="AJ18" i="34"/>
  <c r="AI18" i="34"/>
  <c r="AJ17" i="34"/>
  <c r="AI17" i="34"/>
  <c r="AJ16" i="34"/>
  <c r="AI16" i="34"/>
  <c r="AJ15" i="34"/>
  <c r="AI15" i="34"/>
  <c r="AJ14" i="34"/>
  <c r="AI14" i="34"/>
  <c r="AJ13" i="34"/>
  <c r="AI13" i="34"/>
  <c r="AJ12" i="34"/>
  <c r="AI12" i="34"/>
  <c r="AJ11" i="34"/>
  <c r="AI11" i="34"/>
  <c r="AJ10" i="34"/>
  <c r="AI10" i="34"/>
  <c r="AJ9" i="34"/>
  <c r="AI9" i="34"/>
  <c r="AJ8" i="34"/>
  <c r="AI8" i="34"/>
  <c r="AJ7" i="34"/>
  <c r="AI7" i="34"/>
  <c r="AJ6" i="34"/>
  <c r="AI6" i="34"/>
  <c r="AJ5" i="34"/>
  <c r="AI5" i="34"/>
  <c r="AH3" i="34"/>
  <c r="AG3" i="34"/>
  <c r="AF3" i="34"/>
  <c r="AE3" i="34"/>
  <c r="AD3" i="34"/>
  <c r="AC3" i="34"/>
  <c r="AB3" i="34"/>
  <c r="AA3" i="34"/>
  <c r="Z3" i="34"/>
  <c r="Y3" i="34"/>
  <c r="X3" i="34"/>
  <c r="W3" i="34"/>
  <c r="V3" i="34"/>
  <c r="U3" i="34"/>
  <c r="T3" i="34"/>
  <c r="S3" i="34"/>
  <c r="R3" i="34"/>
  <c r="Q3" i="34"/>
  <c r="P3" i="34"/>
  <c r="O3" i="34"/>
  <c r="N3" i="34"/>
  <c r="M3" i="34"/>
  <c r="L3" i="34"/>
  <c r="K3" i="34"/>
  <c r="J3" i="34"/>
  <c r="I3" i="34"/>
  <c r="H3" i="34"/>
  <c r="G3" i="34"/>
  <c r="F3" i="34"/>
  <c r="E3" i="34"/>
  <c r="AN12" i="34" l="1"/>
  <c r="AN13" i="34"/>
  <c r="AL21" i="34"/>
  <c r="AN20" i="34"/>
  <c r="AN19" i="34"/>
  <c r="AN21" i="34" l="1"/>
  <c r="AM12" i="33" l="1"/>
  <c r="AM13" i="33" s="1"/>
  <c r="AN11" i="33"/>
  <c r="AL4" i="33"/>
  <c r="AJ55" i="33"/>
  <c r="AI55" i="33"/>
  <c r="AJ54" i="33"/>
  <c r="AI54" i="33"/>
  <c r="AJ53" i="33"/>
  <c r="AI53" i="33"/>
  <c r="AJ52" i="33"/>
  <c r="AI52" i="33"/>
  <c r="AJ51" i="33"/>
  <c r="AI51" i="33"/>
  <c r="AL12" i="33" s="1"/>
  <c r="AJ50" i="33"/>
  <c r="AI50" i="33"/>
  <c r="AJ49" i="33"/>
  <c r="AI49" i="33"/>
  <c r="AJ48" i="33"/>
  <c r="AI48" i="33"/>
  <c r="AJ47" i="33"/>
  <c r="AI47" i="33"/>
  <c r="AJ46" i="33"/>
  <c r="AI46" i="33"/>
  <c r="AJ45" i="33"/>
  <c r="AI45" i="33"/>
  <c r="AJ44" i="33"/>
  <c r="AI44" i="33"/>
  <c r="AJ43" i="33"/>
  <c r="AI43" i="33"/>
  <c r="AJ42" i="33"/>
  <c r="AI42" i="33"/>
  <c r="AJ41" i="33"/>
  <c r="AI41" i="33"/>
  <c r="AJ40" i="33"/>
  <c r="AI40" i="33"/>
  <c r="AJ39" i="33"/>
  <c r="AI39" i="33"/>
  <c r="AJ38" i="33"/>
  <c r="AI38" i="33"/>
  <c r="AJ37" i="33"/>
  <c r="AI37" i="33"/>
  <c r="AJ36" i="33"/>
  <c r="AI36" i="33"/>
  <c r="AJ35" i="33"/>
  <c r="AI35" i="33"/>
  <c r="AJ34" i="33"/>
  <c r="AI34" i="33"/>
  <c r="AJ33" i="33"/>
  <c r="AI33" i="33"/>
  <c r="AJ32" i="33"/>
  <c r="AI32" i="33"/>
  <c r="AJ31" i="33"/>
  <c r="AI31" i="33"/>
  <c r="AJ30" i="33"/>
  <c r="AI30" i="33"/>
  <c r="AJ29" i="33"/>
  <c r="AI29" i="33"/>
  <c r="AJ28" i="33"/>
  <c r="AI28" i="33"/>
  <c r="AJ27" i="33"/>
  <c r="AI27" i="33"/>
  <c r="AJ26" i="33"/>
  <c r="AI26" i="33"/>
  <c r="AJ25" i="33"/>
  <c r="AI25" i="33"/>
  <c r="AJ24" i="33"/>
  <c r="AI24" i="33"/>
  <c r="AJ23" i="33"/>
  <c r="AI23" i="33"/>
  <c r="AJ22" i="33"/>
  <c r="AI22" i="33"/>
  <c r="AJ21" i="33"/>
  <c r="AI21" i="33"/>
  <c r="AJ20" i="33"/>
  <c r="AI20" i="33"/>
  <c r="AJ19" i="33"/>
  <c r="AI19" i="33"/>
  <c r="AJ18" i="33"/>
  <c r="AI18" i="33"/>
  <c r="AJ17" i="33"/>
  <c r="AI17" i="33"/>
  <c r="AJ16" i="33"/>
  <c r="AI16" i="33"/>
  <c r="AJ15" i="33"/>
  <c r="AI15" i="33"/>
  <c r="AJ14" i="33"/>
  <c r="AI14" i="33"/>
  <c r="AJ13" i="33"/>
  <c r="AI13" i="33"/>
  <c r="AJ12" i="33"/>
  <c r="AI12" i="33"/>
  <c r="AJ11" i="33"/>
  <c r="AI11" i="33"/>
  <c r="AJ10" i="33"/>
  <c r="AI10" i="33"/>
  <c r="AJ9" i="33"/>
  <c r="AI9" i="33"/>
  <c r="AJ8" i="33"/>
  <c r="AI8" i="33"/>
  <c r="AJ7" i="33"/>
  <c r="AI7" i="33"/>
  <c r="AJ6" i="33"/>
  <c r="AI6" i="33"/>
  <c r="AJ5" i="33"/>
  <c r="AI5" i="33"/>
  <c r="AH3" i="33"/>
  <c r="AG3" i="33"/>
  <c r="AF3" i="33"/>
  <c r="AE3" i="33"/>
  <c r="AD3" i="33"/>
  <c r="AC3" i="33"/>
  <c r="AB3" i="33"/>
  <c r="AA3" i="33"/>
  <c r="Z3" i="33"/>
  <c r="Y3" i="33"/>
  <c r="X3" i="33"/>
  <c r="W3" i="33"/>
  <c r="V3" i="33"/>
  <c r="U3" i="33"/>
  <c r="T3" i="33"/>
  <c r="S3" i="33"/>
  <c r="R3" i="33"/>
  <c r="Q3" i="33"/>
  <c r="P3" i="33"/>
  <c r="O3" i="33"/>
  <c r="N3" i="33"/>
  <c r="M3" i="33"/>
  <c r="L3" i="33"/>
  <c r="K3" i="33"/>
  <c r="J3" i="33"/>
  <c r="I3" i="33"/>
  <c r="H3" i="33"/>
  <c r="G3" i="33"/>
  <c r="F3" i="33"/>
  <c r="E3" i="33"/>
  <c r="AN12" i="33" l="1"/>
  <c r="AN13" i="33" s="1"/>
  <c r="AL13" i="33"/>
  <c r="AL20" i="33"/>
  <c r="AL21" i="33" s="1"/>
  <c r="AM20" i="33"/>
  <c r="AM21" i="33" s="1"/>
  <c r="AN19" i="33"/>
  <c r="AN20" i="33" l="1"/>
  <c r="AN21" i="33"/>
  <c r="AM12" i="32" l="1"/>
  <c r="AL12" i="32"/>
  <c r="AN11" i="32"/>
  <c r="AL4" i="32"/>
  <c r="AJ60" i="32"/>
  <c r="AI60" i="32"/>
  <c r="AJ59" i="32"/>
  <c r="AI59" i="32"/>
  <c r="AJ58" i="32"/>
  <c r="AI58" i="32"/>
  <c r="AJ57" i="32"/>
  <c r="AI57" i="32"/>
  <c r="AJ56" i="32"/>
  <c r="AI56" i="32"/>
  <c r="AJ55" i="32"/>
  <c r="AI55" i="32"/>
  <c r="AJ54" i="32"/>
  <c r="AI54" i="32"/>
  <c r="AJ53" i="32"/>
  <c r="AI53" i="32"/>
  <c r="AJ52" i="32"/>
  <c r="AI52" i="32"/>
  <c r="AJ51" i="32"/>
  <c r="AI51" i="32"/>
  <c r="AJ50" i="32"/>
  <c r="AI50" i="32"/>
  <c r="AJ49" i="32"/>
  <c r="AI49" i="32"/>
  <c r="AJ48" i="32"/>
  <c r="AI48" i="32"/>
  <c r="AJ47" i="32"/>
  <c r="AI47" i="32"/>
  <c r="AJ46" i="32"/>
  <c r="AI46" i="32"/>
  <c r="AJ45" i="32"/>
  <c r="AI45" i="32"/>
  <c r="AJ44" i="32"/>
  <c r="AI44" i="32"/>
  <c r="AJ43" i="32"/>
  <c r="AI43" i="32"/>
  <c r="AJ42" i="32"/>
  <c r="AI42" i="32"/>
  <c r="AJ41" i="32"/>
  <c r="AI41" i="32"/>
  <c r="AJ40" i="32"/>
  <c r="AI40" i="32"/>
  <c r="AJ39" i="32"/>
  <c r="AI39" i="32"/>
  <c r="AJ38" i="32"/>
  <c r="AI38" i="32"/>
  <c r="AJ37" i="32"/>
  <c r="AI37" i="32"/>
  <c r="AJ36" i="32"/>
  <c r="AI36" i="32"/>
  <c r="AJ35" i="32"/>
  <c r="AI35" i="32"/>
  <c r="AJ34" i="32"/>
  <c r="AI34" i="32"/>
  <c r="AJ33" i="32"/>
  <c r="AI33" i="32"/>
  <c r="AJ32" i="32"/>
  <c r="AI32" i="32"/>
  <c r="AJ31" i="32"/>
  <c r="AI31" i="32"/>
  <c r="AJ30" i="32"/>
  <c r="AI30" i="32"/>
  <c r="AJ29" i="32"/>
  <c r="AI29" i="32"/>
  <c r="AJ28" i="32"/>
  <c r="AI28" i="32"/>
  <c r="AJ27" i="32"/>
  <c r="AI27" i="32"/>
  <c r="AJ26" i="32"/>
  <c r="AI26" i="32"/>
  <c r="AJ25" i="32"/>
  <c r="AI25" i="32"/>
  <c r="AJ24" i="32"/>
  <c r="AI24" i="32"/>
  <c r="AJ23" i="32"/>
  <c r="AI23" i="32"/>
  <c r="AJ22" i="32"/>
  <c r="AI22" i="32"/>
  <c r="AJ21" i="32"/>
  <c r="AI21" i="32"/>
  <c r="AJ20" i="32"/>
  <c r="AI20" i="32"/>
  <c r="AJ19" i="32"/>
  <c r="AI19" i="32"/>
  <c r="AJ18" i="32"/>
  <c r="AI18" i="32"/>
  <c r="AJ17" i="32"/>
  <c r="AI17" i="32"/>
  <c r="AJ16" i="32"/>
  <c r="AI16" i="32"/>
  <c r="AJ15" i="32"/>
  <c r="AI15" i="32"/>
  <c r="AJ14" i="32"/>
  <c r="AI14" i="32"/>
  <c r="AJ13" i="32"/>
  <c r="AI13" i="32"/>
  <c r="AJ12" i="32"/>
  <c r="AI12" i="32"/>
  <c r="AJ11" i="32"/>
  <c r="AI11" i="32"/>
  <c r="AJ10" i="32"/>
  <c r="AI10" i="32"/>
  <c r="AJ9" i="32"/>
  <c r="AI9" i="32"/>
  <c r="AJ8" i="32"/>
  <c r="AI8" i="32"/>
  <c r="AJ7" i="32"/>
  <c r="AI7" i="32"/>
  <c r="AJ6" i="32"/>
  <c r="AI6" i="32"/>
  <c r="AJ5" i="32"/>
  <c r="AI5" i="32"/>
  <c r="AH3" i="32"/>
  <c r="AG3" i="32"/>
  <c r="AF3" i="32"/>
  <c r="AE3" i="32"/>
  <c r="AD3" i="32"/>
  <c r="AC3" i="32"/>
  <c r="AB3" i="32"/>
  <c r="AA3" i="32"/>
  <c r="Z3" i="32"/>
  <c r="Y3" i="32"/>
  <c r="X3" i="32"/>
  <c r="W3" i="32"/>
  <c r="V3" i="32"/>
  <c r="U3" i="32"/>
  <c r="T3" i="32"/>
  <c r="S3" i="32"/>
  <c r="R3" i="32"/>
  <c r="Q3" i="32"/>
  <c r="P3" i="32"/>
  <c r="O3" i="32"/>
  <c r="N3" i="32"/>
  <c r="M3" i="32"/>
  <c r="L3" i="32"/>
  <c r="K3" i="32"/>
  <c r="J3" i="32"/>
  <c r="I3" i="32"/>
  <c r="H3" i="32"/>
  <c r="G3" i="32"/>
  <c r="F3" i="32"/>
  <c r="E3" i="32"/>
  <c r="AL13" i="32" l="1"/>
  <c r="AM13" i="32"/>
  <c r="AN19" i="32"/>
  <c r="AL20" i="32" l="1"/>
  <c r="AL21" i="32" s="1"/>
  <c r="AM20" i="32"/>
  <c r="AM21" i="32" s="1"/>
  <c r="AN12" i="32"/>
  <c r="AN13" i="32" s="1"/>
  <c r="AN20" i="32" l="1"/>
  <c r="AN21" i="32" s="1"/>
  <c r="AL20" i="31" l="1"/>
  <c r="AL13" i="31"/>
  <c r="AL12" i="31"/>
  <c r="AN11" i="31"/>
  <c r="AL4" i="31"/>
  <c r="AJ60" i="31"/>
  <c r="AI60" i="31"/>
  <c r="AJ59" i="31"/>
  <c r="AI59" i="31"/>
  <c r="AJ58" i="31"/>
  <c r="AI58" i="31"/>
  <c r="AJ57" i="31"/>
  <c r="AI57" i="31"/>
  <c r="AJ56" i="31"/>
  <c r="AI56" i="31"/>
  <c r="AJ55" i="31"/>
  <c r="AI55" i="31"/>
  <c r="AJ54" i="31"/>
  <c r="AI54" i="31"/>
  <c r="AJ53" i="31"/>
  <c r="AI53" i="31"/>
  <c r="AJ52" i="31"/>
  <c r="AI52" i="31"/>
  <c r="AJ51" i="31"/>
  <c r="AI51" i="31"/>
  <c r="AJ50" i="31"/>
  <c r="AI50" i="31"/>
  <c r="AJ49" i="31"/>
  <c r="AI49" i="31"/>
  <c r="AJ48" i="31"/>
  <c r="AI48" i="31"/>
  <c r="AJ47" i="31"/>
  <c r="AI47" i="31"/>
  <c r="AJ46" i="31"/>
  <c r="AI46" i="31"/>
  <c r="AJ45" i="31"/>
  <c r="AI45" i="31"/>
  <c r="AJ44" i="31"/>
  <c r="AI44" i="31"/>
  <c r="AJ43" i="31"/>
  <c r="AI43" i="31"/>
  <c r="AJ42" i="31"/>
  <c r="AI42" i="31"/>
  <c r="AJ41" i="31"/>
  <c r="AI41" i="31"/>
  <c r="AJ40" i="31"/>
  <c r="AI40" i="31"/>
  <c r="AJ39" i="31"/>
  <c r="AI39" i="31"/>
  <c r="AJ38" i="31"/>
  <c r="AI38" i="31"/>
  <c r="AJ37" i="31"/>
  <c r="AI37" i="31"/>
  <c r="AJ36" i="31"/>
  <c r="AI36" i="31"/>
  <c r="AJ35" i="31"/>
  <c r="AI35" i="31"/>
  <c r="AJ34" i="31"/>
  <c r="AI34" i="31"/>
  <c r="AJ33" i="31"/>
  <c r="AI33" i="31"/>
  <c r="AJ32" i="31"/>
  <c r="AI32" i="31"/>
  <c r="AJ31" i="31"/>
  <c r="AI31" i="31"/>
  <c r="AJ30" i="31"/>
  <c r="AI30" i="31"/>
  <c r="AJ29" i="31"/>
  <c r="AI29" i="31"/>
  <c r="AJ28" i="31"/>
  <c r="AI28" i="31"/>
  <c r="AM12" i="31" s="1"/>
  <c r="AM13" i="31" s="1"/>
  <c r="AJ27" i="31"/>
  <c r="AI27" i="31"/>
  <c r="AJ26" i="31"/>
  <c r="AI26" i="31"/>
  <c r="AJ25" i="31"/>
  <c r="AI25" i="31"/>
  <c r="AJ24" i="31"/>
  <c r="AI24" i="31"/>
  <c r="AJ23" i="31"/>
  <c r="AI23" i="31"/>
  <c r="AJ22" i="31"/>
  <c r="AI22" i="31"/>
  <c r="AJ21" i="31"/>
  <c r="AI21" i="31"/>
  <c r="AJ20" i="31"/>
  <c r="AI20" i="31"/>
  <c r="AJ19" i="31"/>
  <c r="AI19" i="31"/>
  <c r="AJ18" i="31"/>
  <c r="AI18" i="31"/>
  <c r="AJ17" i="31"/>
  <c r="AI17" i="31"/>
  <c r="AJ16" i="31"/>
  <c r="AI16" i="31"/>
  <c r="AJ15" i="31"/>
  <c r="AI15" i="31"/>
  <c r="AJ14" i="31"/>
  <c r="AI14" i="31"/>
  <c r="AJ13" i="31"/>
  <c r="AI13" i="31"/>
  <c r="AJ12" i="31"/>
  <c r="AI12" i="31"/>
  <c r="AJ11" i="31"/>
  <c r="AI11" i="31"/>
  <c r="AJ10" i="31"/>
  <c r="AI10" i="31"/>
  <c r="AJ9" i="31"/>
  <c r="AI9" i="31"/>
  <c r="AJ8" i="31"/>
  <c r="AI8" i="31"/>
  <c r="AJ7" i="31"/>
  <c r="AI7" i="31"/>
  <c r="AJ6" i="31"/>
  <c r="AI6" i="31"/>
  <c r="AJ5" i="31"/>
  <c r="AI5" i="31"/>
  <c r="AH3" i="31"/>
  <c r="AG3" i="31"/>
  <c r="AF3" i="31"/>
  <c r="AE3" i="31"/>
  <c r="AD3" i="31"/>
  <c r="AC3" i="31"/>
  <c r="AB3" i="31"/>
  <c r="AA3" i="31"/>
  <c r="Z3" i="31"/>
  <c r="Y3" i="31"/>
  <c r="X3" i="31"/>
  <c r="W3" i="31"/>
  <c r="V3" i="31"/>
  <c r="U3" i="31"/>
  <c r="T3" i="31"/>
  <c r="S3" i="31"/>
  <c r="R3" i="31"/>
  <c r="Q3" i="31"/>
  <c r="P3" i="31"/>
  <c r="O3" i="31"/>
  <c r="N3" i="31"/>
  <c r="M3" i="31"/>
  <c r="L3" i="31"/>
  <c r="K3" i="31"/>
  <c r="J3" i="31"/>
  <c r="I3" i="31"/>
  <c r="H3" i="31"/>
  <c r="G3" i="31"/>
  <c r="F3" i="31"/>
  <c r="E3" i="31"/>
  <c r="AN12" i="31" l="1"/>
  <c r="AN13" i="31" s="1"/>
  <c r="AL21" i="31"/>
  <c r="AM20" i="31"/>
  <c r="AM21" i="31" s="1"/>
  <c r="AN19" i="31"/>
  <c r="AN20" i="31" l="1"/>
  <c r="AN21" i="31" s="1"/>
  <c r="AM12" i="29" l="1"/>
  <c r="AL12" i="29"/>
  <c r="AL13" i="29" s="1"/>
  <c r="AN19" i="29"/>
  <c r="AL4" i="29"/>
  <c r="AJ53" i="29"/>
  <c r="AI53" i="29"/>
  <c r="AJ52" i="29"/>
  <c r="AI52" i="29"/>
  <c r="AJ51" i="29"/>
  <c r="AI51" i="29"/>
  <c r="AJ50" i="29"/>
  <c r="AI50" i="29"/>
  <c r="AJ49" i="29"/>
  <c r="AI49" i="29"/>
  <c r="AJ48" i="29"/>
  <c r="AI48" i="29"/>
  <c r="AJ47" i="29"/>
  <c r="AI47" i="29"/>
  <c r="AJ46" i="29"/>
  <c r="AI46" i="29"/>
  <c r="AJ45" i="29"/>
  <c r="AI45" i="29"/>
  <c r="AJ44" i="29"/>
  <c r="AI44" i="29"/>
  <c r="AJ43" i="29"/>
  <c r="AI43" i="29"/>
  <c r="AJ42" i="29"/>
  <c r="AI42" i="29"/>
  <c r="AJ41" i="29"/>
  <c r="AI41" i="29"/>
  <c r="AJ40" i="29"/>
  <c r="AI40" i="29"/>
  <c r="AJ39" i="29"/>
  <c r="AI39" i="29"/>
  <c r="AJ38" i="29"/>
  <c r="AI38" i="29"/>
  <c r="AJ37" i="29"/>
  <c r="AI37" i="29"/>
  <c r="AJ36" i="29"/>
  <c r="AI36" i="29"/>
  <c r="AJ35" i="29"/>
  <c r="AI35" i="29"/>
  <c r="AJ34" i="29"/>
  <c r="AI34" i="29"/>
  <c r="AJ33" i="29"/>
  <c r="AI33" i="29"/>
  <c r="AJ32" i="29"/>
  <c r="AI32" i="29"/>
  <c r="AJ31" i="29"/>
  <c r="AI31" i="29"/>
  <c r="AJ30" i="29"/>
  <c r="AI30" i="29"/>
  <c r="AJ29" i="29"/>
  <c r="AI29" i="29"/>
  <c r="AJ28" i="29"/>
  <c r="AI28" i="29"/>
  <c r="AJ27" i="29"/>
  <c r="AI27" i="29"/>
  <c r="AJ26" i="29"/>
  <c r="AI26" i="29"/>
  <c r="AJ25" i="29"/>
  <c r="AI25" i="29"/>
  <c r="AJ24" i="29"/>
  <c r="AI24" i="29"/>
  <c r="AJ23" i="29"/>
  <c r="AI23" i="29"/>
  <c r="AJ22" i="29"/>
  <c r="AI22" i="29"/>
  <c r="AJ21" i="29"/>
  <c r="AI21" i="29"/>
  <c r="AJ20" i="29"/>
  <c r="AI20" i="29"/>
  <c r="AJ19" i="29"/>
  <c r="AI19" i="29"/>
  <c r="AJ18" i="29"/>
  <c r="AI18" i="29"/>
  <c r="AJ17" i="29"/>
  <c r="AI17" i="29"/>
  <c r="AJ16" i="29"/>
  <c r="AI16" i="29"/>
  <c r="AJ15" i="29"/>
  <c r="AI15" i="29"/>
  <c r="AJ14" i="29"/>
  <c r="AI14" i="29"/>
  <c r="AJ13" i="29"/>
  <c r="AI13" i="29"/>
  <c r="AJ12" i="29"/>
  <c r="AI12" i="29"/>
  <c r="AJ11" i="29"/>
  <c r="AI11" i="29"/>
  <c r="AJ10" i="29"/>
  <c r="AI10" i="29"/>
  <c r="AJ9" i="29"/>
  <c r="AI9" i="29"/>
  <c r="AJ8" i="29"/>
  <c r="AI8" i="29"/>
  <c r="AJ7" i="29"/>
  <c r="AI7" i="29"/>
  <c r="AJ6" i="29"/>
  <c r="AI6" i="29"/>
  <c r="AJ5" i="29"/>
  <c r="AI5" i="29"/>
  <c r="AH3" i="29"/>
  <c r="AG3" i="29"/>
  <c r="AF3" i="29"/>
  <c r="AE3" i="29"/>
  <c r="AD3" i="29"/>
  <c r="AC3" i="29"/>
  <c r="AB3" i="29"/>
  <c r="AA3" i="29"/>
  <c r="Z3" i="29"/>
  <c r="Y3" i="29"/>
  <c r="X3" i="29"/>
  <c r="W3" i="29"/>
  <c r="V3" i="29"/>
  <c r="U3" i="29"/>
  <c r="T3" i="29"/>
  <c r="S3" i="29"/>
  <c r="R3" i="29"/>
  <c r="Q3" i="29"/>
  <c r="P3" i="29"/>
  <c r="O3" i="29"/>
  <c r="N3" i="29"/>
  <c r="M3" i="29"/>
  <c r="L3" i="29"/>
  <c r="K3" i="29"/>
  <c r="J3" i="29"/>
  <c r="I3" i="29"/>
  <c r="H3" i="29"/>
  <c r="G3" i="29"/>
  <c r="F3" i="29"/>
  <c r="E3" i="29"/>
  <c r="AL20" i="29" l="1"/>
  <c r="AL21" i="29" s="1"/>
  <c r="AM13" i="29"/>
  <c r="AN12" i="29"/>
  <c r="AM20" i="29"/>
  <c r="AM21" i="29" s="1"/>
  <c r="AN11" i="29"/>
  <c r="AN20" i="29" l="1"/>
  <c r="AN21" i="29" s="1"/>
  <c r="AN13" i="29"/>
  <c r="AM12" i="28" l="1"/>
  <c r="AM20" i="28" s="1"/>
  <c r="AM21" i="28" s="1"/>
  <c r="AL12" i="28"/>
  <c r="AN11" i="28"/>
  <c r="AL13" i="28"/>
  <c r="AM13" i="28"/>
  <c r="AL4" i="28"/>
  <c r="AJ48" i="28"/>
  <c r="AI48" i="28"/>
  <c r="AJ47" i="28"/>
  <c r="AI47" i="28"/>
  <c r="AJ46" i="28"/>
  <c r="AI46" i="28"/>
  <c r="AJ45" i="28"/>
  <c r="AI45" i="28"/>
  <c r="AJ44" i="28"/>
  <c r="AI44" i="28"/>
  <c r="AJ43" i="28"/>
  <c r="AI43" i="28"/>
  <c r="AJ42" i="28"/>
  <c r="AI42" i="28"/>
  <c r="AJ41" i="28"/>
  <c r="AI41" i="28"/>
  <c r="AJ40" i="28"/>
  <c r="AI40" i="28"/>
  <c r="AJ39" i="28"/>
  <c r="AI39" i="28"/>
  <c r="AJ38" i="28"/>
  <c r="AI38" i="28"/>
  <c r="AJ37" i="28"/>
  <c r="AI37" i="28"/>
  <c r="AJ36" i="28"/>
  <c r="AI36" i="28"/>
  <c r="AJ35" i="28"/>
  <c r="AI35" i="28"/>
  <c r="AJ34" i="28"/>
  <c r="AI34" i="28"/>
  <c r="AJ33" i="28"/>
  <c r="AI33" i="28"/>
  <c r="AJ32" i="28"/>
  <c r="AI32" i="28"/>
  <c r="AJ31" i="28"/>
  <c r="AI31" i="28"/>
  <c r="AJ30" i="28"/>
  <c r="AI30" i="28"/>
  <c r="AJ29" i="28"/>
  <c r="AI29" i="28"/>
  <c r="AJ28" i="28"/>
  <c r="AI28" i="28"/>
  <c r="AJ27" i="28"/>
  <c r="AI27" i="28"/>
  <c r="AJ26" i="28"/>
  <c r="AI26" i="28"/>
  <c r="AJ25" i="28"/>
  <c r="AI25" i="28"/>
  <c r="AJ24" i="28"/>
  <c r="AI24" i="28"/>
  <c r="AJ23" i="28"/>
  <c r="AI23" i="28"/>
  <c r="AJ22" i="28"/>
  <c r="AI22" i="28"/>
  <c r="AJ21" i="28"/>
  <c r="AI21" i="28"/>
  <c r="AJ20" i="28"/>
  <c r="AI20" i="28"/>
  <c r="AJ19" i="28"/>
  <c r="AI19" i="28"/>
  <c r="AJ18" i="28"/>
  <c r="AI18" i="28"/>
  <c r="AJ17" i="28"/>
  <c r="AI17" i="28"/>
  <c r="AJ16" i="28"/>
  <c r="AI16" i="28"/>
  <c r="AJ15" i="28"/>
  <c r="AI15" i="28"/>
  <c r="AJ14" i="28"/>
  <c r="AI14" i="28"/>
  <c r="AJ13" i="28"/>
  <c r="AI13" i="28"/>
  <c r="AJ12" i="28"/>
  <c r="AI12" i="28"/>
  <c r="AJ11" i="28"/>
  <c r="AI11" i="28"/>
  <c r="AJ10" i="28"/>
  <c r="AI10" i="28"/>
  <c r="AJ9" i="28"/>
  <c r="AI9" i="28"/>
  <c r="AJ8" i="28"/>
  <c r="AI8" i="28"/>
  <c r="AJ7" i="28"/>
  <c r="AI7" i="28"/>
  <c r="AJ6" i="28"/>
  <c r="AI6" i="28"/>
  <c r="AJ5" i="28"/>
  <c r="AI5" i="28"/>
  <c r="AH3" i="28"/>
  <c r="AG3" i="28"/>
  <c r="AF3" i="28"/>
  <c r="AE3" i="28"/>
  <c r="AD3" i="28"/>
  <c r="AC3" i="28"/>
  <c r="AB3" i="28"/>
  <c r="AA3" i="28"/>
  <c r="Z3" i="28"/>
  <c r="Y3" i="28"/>
  <c r="X3" i="28"/>
  <c r="W3" i="28"/>
  <c r="V3" i="28"/>
  <c r="U3" i="28"/>
  <c r="T3" i="28"/>
  <c r="S3" i="28"/>
  <c r="R3" i="28"/>
  <c r="Q3" i="28"/>
  <c r="P3" i="28"/>
  <c r="O3" i="28"/>
  <c r="N3" i="28"/>
  <c r="M3" i="28"/>
  <c r="L3" i="28"/>
  <c r="K3" i="28"/>
  <c r="J3" i="28"/>
  <c r="I3" i="28"/>
  <c r="H3" i="28"/>
  <c r="G3" i="28"/>
  <c r="F3" i="28"/>
  <c r="E3" i="28"/>
  <c r="AM12" i="24"/>
  <c r="AL12" i="24"/>
  <c r="AN11" i="24"/>
  <c r="AL4" i="24"/>
  <c r="AN12" i="28" l="1"/>
  <c r="AL20" i="28"/>
  <c r="AN20" i="28" s="1"/>
  <c r="AN13" i="28"/>
  <c r="AL21" i="28"/>
  <c r="AN19" i="28"/>
  <c r="AN19" i="24"/>
  <c r="AJ22" i="24"/>
  <c r="AJ23" i="24"/>
  <c r="AI22" i="24"/>
  <c r="AI23" i="24"/>
  <c r="AJ38" i="24"/>
  <c r="AJ39" i="24"/>
  <c r="AJ40" i="24"/>
  <c r="AJ41" i="24"/>
  <c r="AJ42" i="24"/>
  <c r="AJ43" i="24"/>
  <c r="AI38" i="24"/>
  <c r="AI39" i="24"/>
  <c r="AI40" i="24"/>
  <c r="AI41" i="24"/>
  <c r="AI42" i="24"/>
  <c r="AI43" i="24"/>
  <c r="AJ37" i="24"/>
  <c r="AI37" i="24"/>
  <c r="AJ36" i="24"/>
  <c r="AI36" i="24"/>
  <c r="AJ35" i="24"/>
  <c r="AI35" i="24"/>
  <c r="AJ34" i="24"/>
  <c r="AI34" i="24"/>
  <c r="AJ33" i="24"/>
  <c r="AI33" i="24"/>
  <c r="AJ32" i="24"/>
  <c r="AI32" i="24"/>
  <c r="AJ31" i="24"/>
  <c r="AI31" i="24"/>
  <c r="AJ30" i="24"/>
  <c r="AI30" i="24"/>
  <c r="AJ29" i="24"/>
  <c r="AI29" i="24"/>
  <c r="AJ28" i="24"/>
  <c r="AI28" i="24"/>
  <c r="AJ27" i="24"/>
  <c r="AI27" i="24"/>
  <c r="AJ26" i="24"/>
  <c r="AI26" i="24"/>
  <c r="AJ25" i="24"/>
  <c r="AI25" i="24"/>
  <c r="AJ24" i="24"/>
  <c r="AI24" i="24"/>
  <c r="AJ21" i="24"/>
  <c r="AI21" i="24"/>
  <c r="AJ20" i="24"/>
  <c r="AI20" i="24"/>
  <c r="AJ19" i="24"/>
  <c r="AI19" i="24"/>
  <c r="AJ18" i="24"/>
  <c r="AI18" i="24"/>
  <c r="AJ17" i="24"/>
  <c r="AI17" i="24"/>
  <c r="AJ16" i="24"/>
  <c r="AI16" i="24"/>
  <c r="AJ15" i="24"/>
  <c r="AI15" i="24"/>
  <c r="AM13" i="24" s="1"/>
  <c r="AJ14" i="24"/>
  <c r="AI14" i="24"/>
  <c r="AJ13" i="24"/>
  <c r="AI13" i="24"/>
  <c r="AJ12" i="24"/>
  <c r="AI12" i="24"/>
  <c r="AJ11" i="24"/>
  <c r="AI11" i="24"/>
  <c r="AJ10" i="24"/>
  <c r="AI10" i="24"/>
  <c r="AJ9" i="24"/>
  <c r="AI9" i="24"/>
  <c r="AJ8" i="24"/>
  <c r="AI8" i="24"/>
  <c r="AJ7" i="24"/>
  <c r="AI7" i="24"/>
  <c r="AJ6" i="24"/>
  <c r="AI6" i="24"/>
  <c r="AJ5" i="24"/>
  <c r="AI5" i="24"/>
  <c r="AH3" i="24"/>
  <c r="AG3" i="24"/>
  <c r="AF3" i="24"/>
  <c r="AE3" i="24"/>
  <c r="AD3" i="24"/>
  <c r="AC3" i="24"/>
  <c r="AB3" i="24"/>
  <c r="AA3" i="24"/>
  <c r="Z3" i="24"/>
  <c r="Y3" i="24"/>
  <c r="X3" i="24"/>
  <c r="W3" i="24"/>
  <c r="V3" i="24"/>
  <c r="U3" i="24"/>
  <c r="T3" i="24"/>
  <c r="S3" i="24"/>
  <c r="R3" i="24"/>
  <c r="Q3" i="24"/>
  <c r="P3" i="24"/>
  <c r="O3" i="24"/>
  <c r="N3" i="24"/>
  <c r="M3" i="24"/>
  <c r="L3" i="24"/>
  <c r="K3" i="24"/>
  <c r="J3" i="24"/>
  <c r="I3" i="24"/>
  <c r="H3" i="24"/>
  <c r="G3" i="24"/>
  <c r="F3" i="24"/>
  <c r="E3" i="24"/>
  <c r="AN21" i="28" l="1"/>
  <c r="AM20" i="24"/>
  <c r="AM21" i="24" s="1"/>
  <c r="AN12" i="24"/>
  <c r="AN13" i="24" s="1"/>
  <c r="AL13" i="24"/>
  <c r="AL20" i="24"/>
  <c r="AL21" i="24" l="1"/>
  <c r="AN20" i="24"/>
  <c r="AN21" i="24" s="1"/>
</calcChain>
</file>

<file path=xl/sharedStrings.xml><?xml version="1.0" encoding="utf-8"?>
<sst xmlns="http://schemas.openxmlformats.org/spreadsheetml/2006/main" count="14825" uniqueCount="839">
  <si>
    <t>S.No</t>
  </si>
  <si>
    <t>Student Name</t>
  </si>
  <si>
    <t>Father Name</t>
  </si>
  <si>
    <t>Class</t>
  </si>
  <si>
    <t>Present</t>
  </si>
  <si>
    <t>Absent</t>
  </si>
  <si>
    <t>Working days</t>
  </si>
  <si>
    <t xml:space="preserve">Sunday </t>
  </si>
  <si>
    <t>Present Days Detail</t>
  </si>
  <si>
    <t>Detail</t>
  </si>
  <si>
    <t>Boys</t>
  </si>
  <si>
    <t>Girls</t>
  </si>
  <si>
    <t>Total</t>
  </si>
  <si>
    <t xml:space="preserve"> Due Present days </t>
  </si>
  <si>
    <t>Actual present days</t>
  </si>
  <si>
    <t>%</t>
  </si>
  <si>
    <t>Absent  days</t>
  </si>
  <si>
    <t>Year 2024</t>
  </si>
  <si>
    <t>Monthly Attendence Month of August-2024</t>
  </si>
  <si>
    <t>Goverment high school (SJCHS)</t>
  </si>
  <si>
    <t>P</t>
  </si>
  <si>
    <t>A</t>
  </si>
  <si>
    <t>L</t>
  </si>
  <si>
    <t>Nine</t>
  </si>
  <si>
    <t>Asim</t>
  </si>
  <si>
    <t>M. Haneef</t>
  </si>
  <si>
    <t>Haseeb ullah</t>
  </si>
  <si>
    <t>Hafeezullah Abro</t>
  </si>
  <si>
    <t>Moez</t>
  </si>
  <si>
    <t>Munawar Ali  Bhatti</t>
  </si>
  <si>
    <t>Mudassir</t>
  </si>
  <si>
    <t>Gulzar Ahmed</t>
  </si>
  <si>
    <t>Sarfaraz</t>
  </si>
  <si>
    <t>Ghulam Sarwar Kaladi</t>
  </si>
  <si>
    <t>Taha</t>
  </si>
  <si>
    <t>Nisar Ahmed</t>
  </si>
  <si>
    <t>Zaheer Ali</t>
  </si>
  <si>
    <t>Shah Muhammad</t>
  </si>
  <si>
    <t>Nawab Khan</t>
  </si>
  <si>
    <t>M. Khan</t>
  </si>
  <si>
    <t>Meesum Abbas</t>
  </si>
  <si>
    <t>Waheed ali</t>
  </si>
  <si>
    <t>Manzar Hussain</t>
  </si>
  <si>
    <t>Ghulam Murtaza</t>
  </si>
  <si>
    <t>Haleema</t>
  </si>
  <si>
    <t>Qalandar Bakhsh</t>
  </si>
  <si>
    <t>Kinza Tariq</t>
  </si>
  <si>
    <t>M. Tariq Zafar</t>
  </si>
  <si>
    <t>Maheen Zulfiqar</t>
  </si>
  <si>
    <t>Zulfiqar Ali</t>
  </si>
  <si>
    <t xml:space="preserve">Maria </t>
  </si>
  <si>
    <t>Sohail Sarwar Jataoi</t>
  </si>
  <si>
    <t>Qandeel Zehra</t>
  </si>
  <si>
    <t>Waheed Ali</t>
  </si>
  <si>
    <t>Sanam</t>
  </si>
  <si>
    <t>Manzoor Ahmed Memon</t>
  </si>
  <si>
    <t>Zainab</t>
  </si>
  <si>
    <t>Sultan Ahmed</t>
  </si>
  <si>
    <t>Asia</t>
  </si>
  <si>
    <t>Tooba</t>
  </si>
  <si>
    <t>Yasir Ahmed</t>
  </si>
  <si>
    <t>Afsheen</t>
  </si>
  <si>
    <t>Ubaidullah</t>
  </si>
  <si>
    <t>Nosheen</t>
  </si>
  <si>
    <t>Dua</t>
  </si>
  <si>
    <t>Ramzan Jamali</t>
  </si>
  <si>
    <t>Khair Un Nisa</t>
  </si>
  <si>
    <t>Syed Qutab Ali Shah</t>
  </si>
  <si>
    <t>Maryam</t>
  </si>
  <si>
    <t>Mukhtiyar</t>
  </si>
  <si>
    <t>Salwa</t>
  </si>
  <si>
    <t>Imran Ahmed</t>
  </si>
  <si>
    <t>Yasir Arfat</t>
  </si>
  <si>
    <t>Madina</t>
  </si>
  <si>
    <t>Farasha</t>
  </si>
  <si>
    <t>Javed Ali</t>
  </si>
  <si>
    <t>Noorullah</t>
  </si>
  <si>
    <t>Abdul Jabbar</t>
  </si>
  <si>
    <t>Saif ur Rehman</t>
  </si>
  <si>
    <t>Shafique</t>
  </si>
  <si>
    <t>Rafique Ahmed</t>
  </si>
  <si>
    <t>M.Murtaqeem</t>
  </si>
  <si>
    <t>Shams</t>
  </si>
  <si>
    <t>Shaban</t>
  </si>
  <si>
    <t>Allah Dino</t>
  </si>
  <si>
    <t>M. Sufian</t>
  </si>
  <si>
    <t>Imran</t>
  </si>
  <si>
    <t>M. Shayan</t>
  </si>
  <si>
    <t>Jawad Ahmed</t>
  </si>
  <si>
    <t>Tayyaba</t>
  </si>
  <si>
    <t>Hafeezullah</t>
  </si>
  <si>
    <t>Alishah</t>
  </si>
  <si>
    <t>Mehboob abro</t>
  </si>
  <si>
    <t>Kashaf Kanwal</t>
  </si>
  <si>
    <t>Sidra</t>
  </si>
  <si>
    <t>Fida Hussain</t>
  </si>
  <si>
    <t>Saima</t>
  </si>
  <si>
    <t>M. Suleman</t>
  </si>
  <si>
    <t>Ahsan Ali</t>
  </si>
  <si>
    <t>Ayesha</t>
  </si>
  <si>
    <t>SUNDAY - SUNDAY - SUNDAY - SUNDAY</t>
  </si>
  <si>
    <t>12 RABI UL AWWAL - EID MILAD UN NABI</t>
  </si>
  <si>
    <t>-</t>
  </si>
  <si>
    <t>Total days</t>
  </si>
  <si>
    <t>Absent Days Details</t>
  </si>
  <si>
    <t>12 Rabi Ul Awwal</t>
  </si>
  <si>
    <t>Azra</t>
  </si>
  <si>
    <t>Muhammad Usman</t>
  </si>
  <si>
    <t>8th</t>
  </si>
  <si>
    <t>SUNDAY - SUNDAY - SUNDAY - SUNDAY - SUNDAY</t>
  </si>
  <si>
    <t>Bisma</t>
  </si>
  <si>
    <t>Amna</t>
  </si>
  <si>
    <t>Imran Ali</t>
  </si>
  <si>
    <t xml:space="preserve">Hina </t>
  </si>
  <si>
    <t>Muhammad Ibrahim</t>
  </si>
  <si>
    <t>Iqra</t>
  </si>
  <si>
    <t>Faiz Muhammad</t>
  </si>
  <si>
    <t xml:space="preserve">Iqra </t>
  </si>
  <si>
    <t>Kanwal Naz</t>
  </si>
  <si>
    <t>Zahid Hussain</t>
  </si>
  <si>
    <t>Maria</t>
  </si>
  <si>
    <t>M. Rehman Abbasi</t>
  </si>
  <si>
    <t>Murk</t>
  </si>
  <si>
    <t>Rana Bhutto</t>
  </si>
  <si>
    <t>Noshina</t>
  </si>
  <si>
    <t>M. Qasim</t>
  </si>
  <si>
    <t>Shadab Aziz</t>
  </si>
  <si>
    <t>Abdul Aziz</t>
  </si>
  <si>
    <t>Shaista</t>
  </si>
  <si>
    <t>Abdul Wahid</t>
  </si>
  <si>
    <t>Shaista Rani</t>
  </si>
  <si>
    <t>M. Moosa</t>
  </si>
  <si>
    <t>Tasleem Rani</t>
  </si>
  <si>
    <t xml:space="preserve">Zarmina </t>
  </si>
  <si>
    <t>Gulbahar</t>
  </si>
  <si>
    <t>Dua Aliya</t>
  </si>
  <si>
    <t>Awais</t>
  </si>
  <si>
    <t>Naghma Naz</t>
  </si>
  <si>
    <t>Aliya</t>
  </si>
  <si>
    <t xml:space="preserve">Dua </t>
  </si>
  <si>
    <t>Bahar Ali</t>
  </si>
  <si>
    <t>Sara Fatima</t>
  </si>
  <si>
    <t>M. Ashfaq</t>
  </si>
  <si>
    <t xml:space="preserve">Muskan </t>
  </si>
  <si>
    <t>Dildar Hussain</t>
  </si>
  <si>
    <t>Saira</t>
  </si>
  <si>
    <t>M. Salah</t>
  </si>
  <si>
    <t>Abdul Salam</t>
  </si>
  <si>
    <t>Abdul Rehman</t>
  </si>
  <si>
    <t>Ameer Ali</t>
  </si>
  <si>
    <t>Gulbahar Ali</t>
  </si>
  <si>
    <t>Faizan Ali</t>
  </si>
  <si>
    <t>Sohail Ahmed</t>
  </si>
  <si>
    <t>Ghaibi Khan</t>
  </si>
  <si>
    <t>Abdul Sattar</t>
  </si>
  <si>
    <t>Hasnain</t>
  </si>
  <si>
    <t>Lutufullah</t>
  </si>
  <si>
    <t>Kabeer Ahmed</t>
  </si>
  <si>
    <t>Shah M.</t>
  </si>
  <si>
    <t>M. Ahmed Khalid</t>
  </si>
  <si>
    <t>Khalid Hussain</t>
  </si>
  <si>
    <t>Meer Gohnam</t>
  </si>
  <si>
    <t>Nuzrat Ali</t>
  </si>
  <si>
    <t>Mohsin Ali</t>
  </si>
  <si>
    <t>Irshad Ali</t>
  </si>
  <si>
    <t>Mudasir</t>
  </si>
  <si>
    <t>Meer Muhammad</t>
  </si>
  <si>
    <t>Muzakir</t>
  </si>
  <si>
    <t>Shuvan Ali</t>
  </si>
  <si>
    <t xml:space="preserve">Gulam Sarwar </t>
  </si>
  <si>
    <t>Syed Rashid Ali</t>
  </si>
  <si>
    <t>Mehboob Ali Shah</t>
  </si>
  <si>
    <t>Shayan Ali</t>
  </si>
  <si>
    <t>Shahid Ali</t>
  </si>
  <si>
    <t>Aliyan</t>
  </si>
  <si>
    <t>M. Rafi</t>
  </si>
  <si>
    <t>M. Saim</t>
  </si>
  <si>
    <t>Layaqat Ali</t>
  </si>
  <si>
    <t>Shahzad Ali</t>
  </si>
  <si>
    <t>Abdul Qadir</t>
  </si>
  <si>
    <t>Ali Raza</t>
  </si>
  <si>
    <t>Raiz Gul</t>
  </si>
  <si>
    <t>Nazir Ahmed</t>
  </si>
  <si>
    <t>Monthly Attendence Month of September-2024</t>
  </si>
  <si>
    <t>Eman</t>
  </si>
  <si>
    <t>Shahnawaz Khan</t>
  </si>
  <si>
    <t>ECE</t>
  </si>
  <si>
    <t>Rehan Ali</t>
  </si>
  <si>
    <t>Dilkash</t>
  </si>
  <si>
    <t>Faraz Hussain</t>
  </si>
  <si>
    <t>Masooma</t>
  </si>
  <si>
    <t>Faiq Ali</t>
  </si>
  <si>
    <t>Ali</t>
  </si>
  <si>
    <t>Saddam Hussain</t>
  </si>
  <si>
    <t>Hafsa Batool</t>
  </si>
  <si>
    <t>Gul Mohammad Chandio</t>
  </si>
  <si>
    <t>Mohammad Aliyan</t>
  </si>
  <si>
    <t>Shabir Ahmed Bhutto</t>
  </si>
  <si>
    <t>Hoor Fatima</t>
  </si>
  <si>
    <t>Muhammad Sahil</t>
  </si>
  <si>
    <t>Kinza</t>
  </si>
  <si>
    <t>Aijaz Ali</t>
  </si>
  <si>
    <t>Zaryab Sultan</t>
  </si>
  <si>
    <t>Muhammad Zaman</t>
  </si>
  <si>
    <t>M. Ibrahim</t>
  </si>
  <si>
    <t>Fayaz Ali Ansari</t>
  </si>
  <si>
    <t>Fatima Ansari</t>
  </si>
  <si>
    <t>Ayaz Ali Ansari</t>
  </si>
  <si>
    <t>Zil-e-Huma</t>
  </si>
  <si>
    <t>Abdul Qayoom</t>
  </si>
  <si>
    <t>Ayat Fatima</t>
  </si>
  <si>
    <t>Imran Hussain</t>
  </si>
  <si>
    <t>Aqsa</t>
  </si>
  <si>
    <t>Muhammad Fawad</t>
  </si>
  <si>
    <t>Waseem Ahmed Channa</t>
  </si>
  <si>
    <t>Muhammad Haris</t>
  </si>
  <si>
    <t>M. Shareef Niyazi</t>
  </si>
  <si>
    <t>Muhammad Ayan</t>
  </si>
  <si>
    <t>Abdul Ghaffar</t>
  </si>
  <si>
    <t>Danish</t>
  </si>
  <si>
    <t>Ayaz Ali</t>
  </si>
  <si>
    <t>Mujahid Ali</t>
  </si>
  <si>
    <t>Sajjad Ali</t>
  </si>
  <si>
    <t>Zawar Ali</t>
  </si>
  <si>
    <t>Kamran Ali</t>
  </si>
  <si>
    <t>Muhammad Rayyan</t>
  </si>
  <si>
    <t>Safa</t>
  </si>
  <si>
    <t>Dil Murad</t>
  </si>
  <si>
    <t>Hifza</t>
  </si>
  <si>
    <t>Zakir Ali</t>
  </si>
  <si>
    <t>Zameeran</t>
  </si>
  <si>
    <t>Babar Ali</t>
  </si>
  <si>
    <t>Parwisha</t>
  </si>
  <si>
    <t>Sarfaraz Ahmed</t>
  </si>
  <si>
    <t>Muhammad Ahad</t>
  </si>
  <si>
    <t>Khalid Hussain Abbasi</t>
  </si>
  <si>
    <t>Aiza</t>
  </si>
  <si>
    <t>Irshad-Ul-Haq</t>
  </si>
  <si>
    <t>Muhammad Hamza</t>
  </si>
  <si>
    <t>Shazia</t>
  </si>
  <si>
    <t>Rashid Ali</t>
  </si>
  <si>
    <t>M. Ayan</t>
  </si>
  <si>
    <t>Sanaullah Qureshi</t>
  </si>
  <si>
    <t>Ume Farwa</t>
  </si>
  <si>
    <t>Meer Ameer-u-Din</t>
  </si>
  <si>
    <t>Ume Rubab</t>
  </si>
  <si>
    <t>Khatija</t>
  </si>
  <si>
    <t>M. Afzal</t>
  </si>
  <si>
    <t>M. Awais</t>
  </si>
  <si>
    <t>Mehboob Ali</t>
  </si>
  <si>
    <t>M. Raheel</t>
  </si>
  <si>
    <t>Fiza</t>
  </si>
  <si>
    <t>Ahmed</t>
  </si>
  <si>
    <t>Amanullah</t>
  </si>
  <si>
    <t>Sajid Ahmed</t>
  </si>
  <si>
    <t>Ahmed Ali</t>
  </si>
  <si>
    <t>Asghar Ali</t>
  </si>
  <si>
    <t>Abdul Hameed</t>
  </si>
  <si>
    <t>Shahbaz Ali</t>
  </si>
  <si>
    <t>Eshaal</t>
  </si>
  <si>
    <t>M. Fahad</t>
  </si>
  <si>
    <t>Rija Batool</t>
  </si>
  <si>
    <t>Ghulam Mehdi</t>
  </si>
  <si>
    <t>Musfiral</t>
  </si>
  <si>
    <t>Faisal</t>
  </si>
  <si>
    <t>Saifullah</t>
  </si>
  <si>
    <t>Farooq Ali</t>
  </si>
  <si>
    <t>Ali Usman</t>
  </si>
  <si>
    <t>Ali Sher</t>
  </si>
  <si>
    <t>Rajab Ali</t>
  </si>
  <si>
    <t>Abdullah</t>
  </si>
  <si>
    <t>Jameel Hussain</t>
  </si>
  <si>
    <t>12 RABI UL AWWAL - 12 RABI UL AWWAL</t>
  </si>
  <si>
    <t>Alishba Batool</t>
  </si>
  <si>
    <t>Irfan Ali</t>
  </si>
  <si>
    <t>SUNDAY - SUNDAY - SUNDAY - SUNDAY - SUNDAY - SUNDAY</t>
  </si>
  <si>
    <t>12 RABI UL AWWAL - 12 RABI UL AWWAL - 12 RABI UL AWWAL</t>
  </si>
  <si>
    <t>Imtiaz Hussain</t>
  </si>
  <si>
    <t>Aniza Memon</t>
  </si>
  <si>
    <t>Areeba</t>
  </si>
  <si>
    <t>Altaf Hussain</t>
  </si>
  <si>
    <t>Batool</t>
  </si>
  <si>
    <t>Amjad Ali</t>
  </si>
  <si>
    <t>Faiza</t>
  </si>
  <si>
    <t>Liaqat Ali</t>
  </si>
  <si>
    <t>Fatima</t>
  </si>
  <si>
    <t>Aziz-ur-Rehman</t>
  </si>
  <si>
    <t>Hafsa</t>
  </si>
  <si>
    <t>Insha Arzoo</t>
  </si>
  <si>
    <t>Meeral</t>
  </si>
  <si>
    <t>Kauser Fatima</t>
  </si>
  <si>
    <t>Amir Jamil</t>
  </si>
  <si>
    <t>Mehrunisa</t>
  </si>
  <si>
    <t>Mirha</t>
  </si>
  <si>
    <t>M. Luqman</t>
  </si>
  <si>
    <t>Misbah Bhutto</t>
  </si>
  <si>
    <t>M. Azeem</t>
  </si>
  <si>
    <t>Rimsha</t>
  </si>
  <si>
    <t>Meer Ameer-ud-Din</t>
  </si>
  <si>
    <t>Sidra Batool</t>
  </si>
  <si>
    <t>Taniya Bibi</t>
  </si>
  <si>
    <t>Wazir Ali</t>
  </si>
  <si>
    <t>Tanzeela</t>
  </si>
  <si>
    <t>Hizbullah</t>
  </si>
  <si>
    <t>Tayaba Fatima</t>
  </si>
  <si>
    <t>Waseem Ahmed</t>
  </si>
  <si>
    <t>Tooba Noor</t>
  </si>
  <si>
    <t>M. Shareef</t>
  </si>
  <si>
    <t>Umm-e-Kulsoom</t>
  </si>
  <si>
    <t>Shah Ali</t>
  </si>
  <si>
    <t>Zunaira</t>
  </si>
  <si>
    <t>Sahib Khatoon</t>
  </si>
  <si>
    <t>A. Qayoom</t>
  </si>
  <si>
    <t>Abrar</t>
  </si>
  <si>
    <t>Jan Muhammad</t>
  </si>
  <si>
    <t>Azan Shafeeque</t>
  </si>
  <si>
    <t>M. Shafeeque</t>
  </si>
  <si>
    <t>Azan Fayaz</t>
  </si>
  <si>
    <t>Fayaz Hussain</t>
  </si>
  <si>
    <t>Adil Ahmed</t>
  </si>
  <si>
    <t>Ab. Qudoos</t>
  </si>
  <si>
    <t>Sikandar</t>
  </si>
  <si>
    <t>Ab. Rehman</t>
  </si>
  <si>
    <t>M. Aslam</t>
  </si>
  <si>
    <t>Ahmed Zia</t>
  </si>
  <si>
    <t>Zia Buksh</t>
  </si>
  <si>
    <t>Arham</t>
  </si>
  <si>
    <t>Qasim Memon</t>
  </si>
  <si>
    <t>Amar Farooque</t>
  </si>
  <si>
    <t>M. Farooque</t>
  </si>
  <si>
    <t>Ashfaque</t>
  </si>
  <si>
    <t>M. Zubair</t>
  </si>
  <si>
    <t>Fahad</t>
  </si>
  <si>
    <t>M. Maroof</t>
  </si>
  <si>
    <t>Hussain</t>
  </si>
  <si>
    <t>Hassan Naveed</t>
  </si>
  <si>
    <t>Naveed Siddique</t>
  </si>
  <si>
    <t>Hassnain Naeem</t>
  </si>
  <si>
    <t>Naeem Ali</t>
  </si>
  <si>
    <t>Hassnain Sadam</t>
  </si>
  <si>
    <t>Sadam Hussain</t>
  </si>
  <si>
    <t>Muhammad</t>
  </si>
  <si>
    <t>Sher Dil</t>
  </si>
  <si>
    <t>M. Ameen</t>
  </si>
  <si>
    <t>Ab. Hafeez</t>
  </si>
  <si>
    <t>M. Ahas</t>
  </si>
  <si>
    <t>Aman Badshah</t>
  </si>
  <si>
    <t>M. Bilal</t>
  </si>
  <si>
    <t>Sadaquat</t>
  </si>
  <si>
    <t>Hussain Zahid</t>
  </si>
  <si>
    <t>Shahid</t>
  </si>
  <si>
    <t>Shaheer Ahmed</t>
  </si>
  <si>
    <t>Ahmed Rizwan</t>
  </si>
  <si>
    <t>Shahzain</t>
  </si>
  <si>
    <t>Saqlain Haider</t>
  </si>
  <si>
    <t>Dilber</t>
  </si>
  <si>
    <t>Shahzaman</t>
  </si>
  <si>
    <t>Shabir Ahmed</t>
  </si>
  <si>
    <t>Ammadullah</t>
  </si>
  <si>
    <t>M Fahad</t>
  </si>
  <si>
    <t>Ab. Hadi</t>
  </si>
  <si>
    <t>Bilal</t>
  </si>
  <si>
    <t>Parsa Batool</t>
  </si>
  <si>
    <t>Ab. Bari</t>
  </si>
  <si>
    <t>Anum</t>
  </si>
  <si>
    <t>M. Arif</t>
  </si>
  <si>
    <t>One</t>
  </si>
  <si>
    <t>Ayat</t>
  </si>
  <si>
    <t>Meer Mohammad</t>
  </si>
  <si>
    <t>Saeed Ahmed</t>
  </si>
  <si>
    <t>Adeeba</t>
  </si>
  <si>
    <t>Qurban Ali</t>
  </si>
  <si>
    <t>Emaan Noor</t>
  </si>
  <si>
    <t>Noor Mohammad</t>
  </si>
  <si>
    <t>Horain</t>
  </si>
  <si>
    <t>Hannah</t>
  </si>
  <si>
    <t>Luqman Ali</t>
  </si>
  <si>
    <t>Horiya</t>
  </si>
  <si>
    <t>Siddique</t>
  </si>
  <si>
    <t>Hareem Fatima</t>
  </si>
  <si>
    <t>Deedar Ali</t>
  </si>
  <si>
    <t>Maham Noor</t>
  </si>
  <si>
    <t>Zaheer Abbas</t>
  </si>
  <si>
    <t>Mehreen</t>
  </si>
  <si>
    <t>Mahira</t>
  </si>
  <si>
    <t>Arbab Ali</t>
  </si>
  <si>
    <t>Meerab</t>
  </si>
  <si>
    <t>Qudsia Zehra</t>
  </si>
  <si>
    <t>Awaheed Ali</t>
  </si>
  <si>
    <t>Paras</t>
  </si>
  <si>
    <t>Sadam</t>
  </si>
  <si>
    <t>Thamna Batool</t>
  </si>
  <si>
    <t>Shehzad</t>
  </si>
  <si>
    <t>Tamana Fatima</t>
  </si>
  <si>
    <t>Zaiba Bakhtawar</t>
  </si>
  <si>
    <t>Hameed</t>
  </si>
  <si>
    <t>A. Aziz</t>
  </si>
  <si>
    <t>Zulfiqar</t>
  </si>
  <si>
    <t>Waniya</t>
  </si>
  <si>
    <t>Asad Ali</t>
  </si>
  <si>
    <t>Haram</t>
  </si>
  <si>
    <t>Moien Khan</t>
  </si>
  <si>
    <t>A. Latif</t>
  </si>
  <si>
    <t>Arsalan</t>
  </si>
  <si>
    <t>Faheem</t>
  </si>
  <si>
    <t>A. Nawaz</t>
  </si>
  <si>
    <t>M. Nawaz</t>
  </si>
  <si>
    <t>A. Malik</t>
  </si>
  <si>
    <t>Sohail</t>
  </si>
  <si>
    <t>Imtiaz</t>
  </si>
  <si>
    <t>Aqeel</t>
  </si>
  <si>
    <t>A. Ghaffar</t>
  </si>
  <si>
    <t>A. Wasay</t>
  </si>
  <si>
    <t>Aslam</t>
  </si>
  <si>
    <t>A. Qadir</t>
  </si>
  <si>
    <t>A. Hammad</t>
  </si>
  <si>
    <t>Akbar Ali</t>
  </si>
  <si>
    <t>A. Nafay</t>
  </si>
  <si>
    <t>Irshad ul Haq</t>
  </si>
  <si>
    <t>Hasaan</t>
  </si>
  <si>
    <t>Manzoor</t>
  </si>
  <si>
    <t>Hammad</t>
  </si>
  <si>
    <t>Rehmatullah</t>
  </si>
  <si>
    <t>A. Bakar</t>
  </si>
  <si>
    <t>Haseeb</t>
  </si>
  <si>
    <t>Saeed</t>
  </si>
  <si>
    <t>Ismail</t>
  </si>
  <si>
    <t>M. Raheem</t>
  </si>
  <si>
    <t>M. Salar</t>
  </si>
  <si>
    <t>M. Umer</t>
  </si>
  <si>
    <t>M. Mashab</t>
  </si>
  <si>
    <t>Hafizullah</t>
  </si>
  <si>
    <t>M. Salman</t>
  </si>
  <si>
    <t>Waheed</t>
  </si>
  <si>
    <t>M. Mairaj</t>
  </si>
  <si>
    <t>Sajad</t>
  </si>
  <si>
    <t>M. Talha</t>
  </si>
  <si>
    <t>Umair</t>
  </si>
  <si>
    <t>M. Mudasir</t>
  </si>
  <si>
    <t>Hisbullah</t>
  </si>
  <si>
    <t>M. Mubashir</t>
  </si>
  <si>
    <t>Meer Ameer</t>
  </si>
  <si>
    <t>Muzzamil</t>
  </si>
  <si>
    <t>Mehboob</t>
  </si>
  <si>
    <t>Muzammil</t>
  </si>
  <si>
    <t>M. Taha</t>
  </si>
  <si>
    <t>Maqsood Ahmed</t>
  </si>
  <si>
    <t>M. Azaan</t>
  </si>
  <si>
    <t>Akhtiar</t>
  </si>
  <si>
    <t>Tanzaib Ali</t>
  </si>
  <si>
    <t>Umer</t>
  </si>
  <si>
    <t>Amaan</t>
  </si>
  <si>
    <t>Zain Ali</t>
  </si>
  <si>
    <t>Altaf</t>
  </si>
  <si>
    <t>Goverment High School (SJCHS)</t>
  </si>
  <si>
    <t>Abiha Zehra</t>
  </si>
  <si>
    <t>Ab. Mateen</t>
  </si>
  <si>
    <t>Two</t>
  </si>
  <si>
    <t>Aleena Zia</t>
  </si>
  <si>
    <t>Khuda Baksh</t>
  </si>
  <si>
    <t>Anumta Jamali</t>
  </si>
  <si>
    <t>Anusha</t>
  </si>
  <si>
    <t>Mukhtiyar Ali</t>
  </si>
  <si>
    <t>Ali Muhammad</t>
  </si>
  <si>
    <t>Jannat Fatima</t>
  </si>
  <si>
    <t>Kashaf</t>
  </si>
  <si>
    <t>Muneeza</t>
  </si>
  <si>
    <t>Mir Amirudin</t>
  </si>
  <si>
    <t>Nayyara</t>
  </si>
  <si>
    <t>Rashida</t>
  </si>
  <si>
    <t>Sajjad Ahmed</t>
  </si>
  <si>
    <t>Rubab Zahra</t>
  </si>
  <si>
    <t>Saba Jamali</t>
  </si>
  <si>
    <t>Sajid Ali</t>
  </si>
  <si>
    <t>Tahreem Fatima</t>
  </si>
  <si>
    <t>Sehar Fatima</t>
  </si>
  <si>
    <t>Taskeen</t>
  </si>
  <si>
    <t>Kashish</t>
  </si>
  <si>
    <t>M. Noman</t>
  </si>
  <si>
    <t>Saba</t>
  </si>
  <si>
    <t>Asif</t>
  </si>
  <si>
    <t>Afsana</t>
  </si>
  <si>
    <t>Sehrish</t>
  </si>
  <si>
    <t>Abdul Musawir</t>
  </si>
  <si>
    <t>M. Ismail</t>
  </si>
  <si>
    <t>Abdul Wahab</t>
  </si>
  <si>
    <t>Abdul Hafeez</t>
  </si>
  <si>
    <t>Riazuddin</t>
  </si>
  <si>
    <t>Ali Shanawar</t>
  </si>
  <si>
    <t>Faizan</t>
  </si>
  <si>
    <t>Lutfullah</t>
  </si>
  <si>
    <t>Fayaz</t>
  </si>
  <si>
    <t>Samano Khan</t>
  </si>
  <si>
    <t>Ghulam Abbas</t>
  </si>
  <si>
    <t>Rizwan</t>
  </si>
  <si>
    <t>Hammad Ali</t>
  </si>
  <si>
    <t>Haris</t>
  </si>
  <si>
    <t>M. Arsalan</t>
  </si>
  <si>
    <t>Shahbaz Ahmed</t>
  </si>
  <si>
    <t>Mohammad Ali</t>
  </si>
  <si>
    <t>Mehar Ali</t>
  </si>
  <si>
    <t>Faiz Mohammad</t>
  </si>
  <si>
    <t>Mohammad Ayan</t>
  </si>
  <si>
    <t>Mohammad Nawaz</t>
  </si>
  <si>
    <t>Ali Nawaz</t>
  </si>
  <si>
    <t>Mohammad Rafay</t>
  </si>
  <si>
    <t>Mohammad Waseem</t>
  </si>
  <si>
    <t>Mohammad Azeem</t>
  </si>
  <si>
    <t>Mohammad Shayan</t>
  </si>
  <si>
    <t>Mohammad Shareef</t>
  </si>
  <si>
    <t>Mukkaram Ali</t>
  </si>
  <si>
    <t>Masood Ali</t>
  </si>
  <si>
    <t>Munir Ahmed</t>
  </si>
  <si>
    <t>Riaz Hussain</t>
  </si>
  <si>
    <t>Irfan Hussain</t>
  </si>
  <si>
    <t>Samiullah</t>
  </si>
  <si>
    <t>Zain</t>
  </si>
  <si>
    <t>Zahid Ali</t>
  </si>
  <si>
    <t>Burair Abbas</t>
  </si>
  <si>
    <t>Azhar Abbas</t>
  </si>
  <si>
    <t>Anjuman</t>
  </si>
  <si>
    <t>Ab. Ghaffar</t>
  </si>
  <si>
    <t>Three</t>
  </si>
  <si>
    <t>Ayeza</t>
  </si>
  <si>
    <t>M. Ameen Solangi</t>
  </si>
  <si>
    <t>Dua Batool</t>
  </si>
  <si>
    <t>Muneer Ahmed Tahiri</t>
  </si>
  <si>
    <t>Hamid Ali Siyal</t>
  </si>
  <si>
    <t>Hadeeqa</t>
  </si>
  <si>
    <t>Haji Malah</t>
  </si>
  <si>
    <t>Hajul</t>
  </si>
  <si>
    <t>Hafsa Jamali</t>
  </si>
  <si>
    <t>Insha</t>
  </si>
  <si>
    <t>Fazal Mohammad</t>
  </si>
  <si>
    <t>Shahid Hussain</t>
  </si>
  <si>
    <t>Noor-E-Sahar</t>
  </si>
  <si>
    <t>Mir Ameerudin</t>
  </si>
  <si>
    <t>Sehrish Ali</t>
  </si>
  <si>
    <t>Shafia</t>
  </si>
  <si>
    <t>Sawebia</t>
  </si>
  <si>
    <t>Sughra</t>
  </si>
  <si>
    <t>Suhrab Ali</t>
  </si>
  <si>
    <t>Tashfeen</t>
  </si>
  <si>
    <t>M. Idrees</t>
  </si>
  <si>
    <t>Tasmiya</t>
  </si>
  <si>
    <t>Shehbaz Ahmed</t>
  </si>
  <si>
    <t>M. Farooque Sarki</t>
  </si>
  <si>
    <t>Hooriya</t>
  </si>
  <si>
    <t>Zainab Batool</t>
  </si>
  <si>
    <t>Rida-E-Zainab</t>
  </si>
  <si>
    <t>Faraz Hyder</t>
  </si>
  <si>
    <t>Bushra</t>
  </si>
  <si>
    <t>Farhan</t>
  </si>
  <si>
    <t>Alisha</t>
  </si>
  <si>
    <t>Ghulam Asghar</t>
  </si>
  <si>
    <t>Mubashira</t>
  </si>
  <si>
    <t>Abdul Qudoos</t>
  </si>
  <si>
    <t>Waheed Ahmed</t>
  </si>
  <si>
    <t>Abbas Ali</t>
  </si>
  <si>
    <t>Abdul Rafay</t>
  </si>
  <si>
    <t>Noor Ul Haq</t>
  </si>
  <si>
    <t>Abdul Rahim</t>
  </si>
  <si>
    <t>Munawar Ali</t>
  </si>
  <si>
    <t>Ali Haider</t>
  </si>
  <si>
    <t>Akber Ali</t>
  </si>
  <si>
    <t>Aqib Ali</t>
  </si>
  <si>
    <t>Ali Ejaz</t>
  </si>
  <si>
    <t>Azan</t>
  </si>
  <si>
    <t>Faizan Ahmed</t>
  </si>
  <si>
    <t>Riaz Ahmed</t>
  </si>
  <si>
    <t>Haider Ali</t>
  </si>
  <si>
    <t>Meer Alam</t>
  </si>
  <si>
    <t>M. Ahsan</t>
  </si>
  <si>
    <t>M. Yasin</t>
  </si>
  <si>
    <t>Shah Nawaz Khan</t>
  </si>
  <si>
    <t>M. Zawiyar</t>
  </si>
  <si>
    <t>Zulfiqar Ali Mangi</t>
  </si>
  <si>
    <t>Muneer Ahmed</t>
  </si>
  <si>
    <t>Ghous Bux</t>
  </si>
  <si>
    <t>Shah Fahad</t>
  </si>
  <si>
    <t>Saif Ali</t>
  </si>
  <si>
    <t>Riaz uddin Qureshi</t>
  </si>
  <si>
    <t>Shehbaz Ali</t>
  </si>
  <si>
    <t>Zain Zulfiqar</t>
  </si>
  <si>
    <t>Zulfiqar Qureshi</t>
  </si>
  <si>
    <t>Zeeshan</t>
  </si>
  <si>
    <t>M. Hussain</t>
  </si>
  <si>
    <t>Roohan</t>
  </si>
  <si>
    <t>Ishfaque</t>
  </si>
  <si>
    <t>Subhan</t>
  </si>
  <si>
    <t>Atteeque ur Rehman</t>
  </si>
  <si>
    <t>Raffique Ahmed</t>
  </si>
  <si>
    <t>Six</t>
  </si>
  <si>
    <t>Abdul Samad</t>
  </si>
  <si>
    <t>Abdul Wassay</t>
  </si>
  <si>
    <t>Sohail Sarwar</t>
  </si>
  <si>
    <t>Abid Ali</t>
  </si>
  <si>
    <t>Imdad Ali</t>
  </si>
  <si>
    <t>Irshaad Ali</t>
  </si>
  <si>
    <t>Joun Ali</t>
  </si>
  <si>
    <t>M. Muzzamil</t>
  </si>
  <si>
    <t>M. Sameer</t>
  </si>
  <si>
    <t>Fazal Muhammad</t>
  </si>
  <si>
    <t>Meer Majid</t>
  </si>
  <si>
    <t>Haji Iqbal</t>
  </si>
  <si>
    <t>M. Tayyab</t>
  </si>
  <si>
    <t>Javaid Ali</t>
  </si>
  <si>
    <t>Mudasir Hussain</t>
  </si>
  <si>
    <t>Uzair Ahmed</t>
  </si>
  <si>
    <t>M. Yaseen</t>
  </si>
  <si>
    <t>Muhammad Younus</t>
  </si>
  <si>
    <t>Faisal Ahmed</t>
  </si>
  <si>
    <t>Wajid Ali</t>
  </si>
  <si>
    <t>M. Ali Ahmed</t>
  </si>
  <si>
    <t>Ayan</t>
  </si>
  <si>
    <t>Rafeeque Ahmed</t>
  </si>
  <si>
    <t xml:space="preserve">Nida </t>
  </si>
  <si>
    <t>A. Ghafoor</t>
  </si>
  <si>
    <t>Maham</t>
  </si>
  <si>
    <t>M. Irfan</t>
  </si>
  <si>
    <t>Fahmida</t>
  </si>
  <si>
    <t>Tanveer Ahmed</t>
  </si>
  <si>
    <t>M. Ghafoor Jukhio</t>
  </si>
  <si>
    <t>Kaneez Fatima</t>
  </si>
  <si>
    <t>Rizwan Ali</t>
  </si>
  <si>
    <t>Mahnoor Fatima</t>
  </si>
  <si>
    <t>Ghulam Yaseen</t>
  </si>
  <si>
    <t>Zulfiqaar Ali</t>
  </si>
  <si>
    <t>Naina Naz</t>
  </si>
  <si>
    <t>Khawar Ali</t>
  </si>
  <si>
    <t>Noor Muqadis</t>
  </si>
  <si>
    <t>Muhammad Idrees</t>
  </si>
  <si>
    <t xml:space="preserve">Rubina </t>
  </si>
  <si>
    <t>Rukhsana</t>
  </si>
  <si>
    <t>Sahar</t>
  </si>
  <si>
    <t>Sana Jamali</t>
  </si>
  <si>
    <t>Sawera</t>
  </si>
  <si>
    <t>Abdul Raheem</t>
  </si>
  <si>
    <t>Shabnam</t>
  </si>
  <si>
    <t>Naseer Ahmed</t>
  </si>
  <si>
    <t>Zohrra</t>
  </si>
  <si>
    <t>Zaheer Ahmed</t>
  </si>
  <si>
    <t>Zainab Khatoon</t>
  </si>
  <si>
    <t>Sohrab</t>
  </si>
  <si>
    <t xml:space="preserve">Zainab </t>
  </si>
  <si>
    <t>Murtaza Ali</t>
  </si>
  <si>
    <t>Muskan</t>
  </si>
  <si>
    <t>Muhammad Ali</t>
  </si>
  <si>
    <t>Zara Bano</t>
  </si>
  <si>
    <t>Nabi Bux</t>
  </si>
  <si>
    <t xml:space="preserve">Razia </t>
  </si>
  <si>
    <t>Aman</t>
  </si>
  <si>
    <t>Aqeel Ahmed</t>
  </si>
  <si>
    <t>Najeebullah</t>
  </si>
  <si>
    <t>Four</t>
  </si>
  <si>
    <t>DEFENCE DAY - DEFENCE DAY - DEFENCE DAY - DEFENCE DAY</t>
  </si>
  <si>
    <t>12 RABI UL AWWAL - JASHN-E-EID MILAD UN NABI</t>
  </si>
  <si>
    <t>Alijan</t>
  </si>
  <si>
    <t>M. Shafique</t>
  </si>
  <si>
    <t>p</t>
  </si>
  <si>
    <t>Dost M.</t>
  </si>
  <si>
    <t>M. Usman</t>
  </si>
  <si>
    <t>Riaz</t>
  </si>
  <si>
    <t>Hamid Ali</t>
  </si>
  <si>
    <t>Usman</t>
  </si>
  <si>
    <t>M. Faisal</t>
  </si>
  <si>
    <t>Abdull Sattar</t>
  </si>
  <si>
    <t>Wazeer Ahmed</t>
  </si>
  <si>
    <t xml:space="preserve">Zain </t>
  </si>
  <si>
    <t>Nazeer Ali</t>
  </si>
  <si>
    <t>Tasawar Ali</t>
  </si>
  <si>
    <t>Zain-ul-Abdin</t>
  </si>
  <si>
    <t>Sameer Ali</t>
  </si>
  <si>
    <t>M. Anees</t>
  </si>
  <si>
    <t>M. Ramzan</t>
  </si>
  <si>
    <t>Hamadullah</t>
  </si>
  <si>
    <t>Abrar Hussain</t>
  </si>
  <si>
    <t>Khawar</t>
  </si>
  <si>
    <t>Saadullah</t>
  </si>
  <si>
    <t>Saqlain</t>
  </si>
  <si>
    <t>Qasim</t>
  </si>
  <si>
    <t>Imran H.</t>
  </si>
  <si>
    <t>Ambreen</t>
  </si>
  <si>
    <t>Abdul Ghafoor</t>
  </si>
  <si>
    <t>Bakhtawar</t>
  </si>
  <si>
    <t>Taj Muhammad</t>
  </si>
  <si>
    <t>Bibi Zehra</t>
  </si>
  <si>
    <t xml:space="preserve">Liaquat </t>
  </si>
  <si>
    <t>Rana</t>
  </si>
  <si>
    <t>Fatima Gul</t>
  </si>
  <si>
    <t>Shah Nazwaz</t>
  </si>
  <si>
    <t>Sakina</t>
  </si>
  <si>
    <t>Rafique</t>
  </si>
  <si>
    <t>Sanober</t>
  </si>
  <si>
    <t>Sabir Hussain</t>
  </si>
  <si>
    <t>Hiba</t>
  </si>
  <si>
    <t>Mazeem</t>
  </si>
  <si>
    <t>Isha</t>
  </si>
  <si>
    <t>Khadija -tul- Kubra</t>
  </si>
  <si>
    <t>Adnan</t>
  </si>
  <si>
    <t>Khushboo</t>
  </si>
  <si>
    <t>Abdull Rehman</t>
  </si>
  <si>
    <t>Laraib</t>
  </si>
  <si>
    <t>Maheen</t>
  </si>
  <si>
    <t>Minal</t>
  </si>
  <si>
    <t>Faraz Hydar</t>
  </si>
  <si>
    <t>Misbah</t>
  </si>
  <si>
    <t>Faiz Ali</t>
  </si>
  <si>
    <t>Muntasha</t>
  </si>
  <si>
    <t>Nimra</t>
  </si>
  <si>
    <t>M. Ghaffar</t>
  </si>
  <si>
    <t>Nisha</t>
  </si>
  <si>
    <t>Noor Nisa</t>
  </si>
  <si>
    <t>Nuzhat</t>
  </si>
  <si>
    <t>Rooba</t>
  </si>
  <si>
    <t>Tahmeena</t>
  </si>
  <si>
    <t>Zara</t>
  </si>
  <si>
    <t>Zoya</t>
  </si>
  <si>
    <t>Basheer Ahmed</t>
  </si>
  <si>
    <t>Sabeen</t>
  </si>
  <si>
    <t>Javeria</t>
  </si>
  <si>
    <t>Nisa Fatima</t>
  </si>
  <si>
    <t>Liaquat Ali</t>
  </si>
  <si>
    <t>Abdul Fatah</t>
  </si>
  <si>
    <t>Manzoor Ahmed</t>
  </si>
  <si>
    <t>Five</t>
  </si>
  <si>
    <t xml:space="preserve">Ahmed Ali </t>
  </si>
  <si>
    <t>Nasrullah</t>
  </si>
  <si>
    <t>Ahsan Raza</t>
  </si>
  <si>
    <t>Ayan Ali</t>
  </si>
  <si>
    <t>Ghulam Muhammad</t>
  </si>
  <si>
    <t>Parvaiz Ahmed</t>
  </si>
  <si>
    <t>Masab Ali</t>
  </si>
  <si>
    <t>Meesam Abbas</t>
  </si>
  <si>
    <t>Muhammad Hassan</t>
  </si>
  <si>
    <t xml:space="preserve">Muhammad Zaid </t>
  </si>
  <si>
    <t>Khalid Abbasi</t>
  </si>
  <si>
    <t>Usman Jamali</t>
  </si>
  <si>
    <t>Maula Abdullah Bux</t>
  </si>
  <si>
    <t>Muhammad Israr</t>
  </si>
  <si>
    <t>Abdullah Bhand</t>
  </si>
  <si>
    <t>Muhammad Rahim</t>
  </si>
  <si>
    <t>Muhammad Azeem</t>
  </si>
  <si>
    <t>Sajid Ali Junejo</t>
  </si>
  <si>
    <t>M. Ammad-ud-din</t>
  </si>
  <si>
    <t>Riyaz-ud-din</t>
  </si>
  <si>
    <t>Noman</t>
  </si>
  <si>
    <t>Rahib Hussain</t>
  </si>
  <si>
    <t>Shamsuddin</t>
  </si>
  <si>
    <t>Massab Ali</t>
  </si>
  <si>
    <t>Safdar Ali</t>
  </si>
  <si>
    <t>Zohaib Ali</t>
  </si>
  <si>
    <t>M. Husnain</t>
  </si>
  <si>
    <t>Aitina Sohail</t>
  </si>
  <si>
    <t>Sohail Sarwar Jatoi</t>
  </si>
  <si>
    <t>Ajwa Gul</t>
  </si>
  <si>
    <t xml:space="preserve">Alishba </t>
  </si>
  <si>
    <t>Anosha</t>
  </si>
  <si>
    <t>Gul Naz</t>
  </si>
  <si>
    <t>Hina</t>
  </si>
  <si>
    <t>Javeria Batool</t>
  </si>
  <si>
    <t>Khadija Bibi</t>
  </si>
  <si>
    <t>Zulfiqar Quraishi</t>
  </si>
  <si>
    <t>Laiba</t>
  </si>
  <si>
    <t>Amjad Hussain</t>
  </si>
  <si>
    <t>Maheen Nisa</t>
  </si>
  <si>
    <t>Murk Fatima</t>
  </si>
  <si>
    <t xml:space="preserve">Nayab </t>
  </si>
  <si>
    <t>Sidra Bibi</t>
  </si>
  <si>
    <t>Sidratul Muntaha</t>
  </si>
  <si>
    <t>Sundas Qamar</t>
  </si>
  <si>
    <t>Imran Qamar</t>
  </si>
  <si>
    <t>Tayyaba Fatima</t>
  </si>
  <si>
    <t>Urooj</t>
  </si>
  <si>
    <t>Mehmood Khan</t>
  </si>
  <si>
    <t>Zahra Batool</t>
  </si>
  <si>
    <t>Zainab Bibi</t>
  </si>
  <si>
    <t>Bakhshal Ali</t>
  </si>
  <si>
    <t>Inshra</t>
  </si>
  <si>
    <t>Abdul Alber</t>
  </si>
  <si>
    <t>M. Sultan</t>
  </si>
  <si>
    <t>SUNDAU - SUNDAY - SUNDAY - SUNDAY - SUNDAY</t>
  </si>
  <si>
    <t>DEFENCE DAY - DEFENCE DAY - DEFENCE DAY</t>
  </si>
  <si>
    <t>Sultan</t>
  </si>
  <si>
    <t>Defense Day</t>
  </si>
  <si>
    <t>Monthly Attendence Month of september-2024</t>
  </si>
  <si>
    <t>Adil Khan</t>
  </si>
  <si>
    <t>7th</t>
  </si>
  <si>
    <t>Ali Khan</t>
  </si>
  <si>
    <t>Ameer Hamza</t>
  </si>
  <si>
    <t xml:space="preserve">Aqsa </t>
  </si>
  <si>
    <t xml:space="preserve">Asma </t>
  </si>
  <si>
    <t>Bismillah Khan</t>
  </si>
  <si>
    <t>Daniyal</t>
  </si>
  <si>
    <t>Fatima Zahra</t>
  </si>
  <si>
    <t>Hamza Nisar</t>
  </si>
  <si>
    <t>Haseeb Hyder</t>
  </si>
  <si>
    <t>Hasnain G. Nabi</t>
  </si>
  <si>
    <t>Hasnain yasir</t>
  </si>
  <si>
    <t>Hasnain Ali Soomro</t>
  </si>
  <si>
    <t xml:space="preserve">Hasnain Raza </t>
  </si>
  <si>
    <t>Hira Abroo</t>
  </si>
  <si>
    <t>ErumI</t>
  </si>
  <si>
    <t>M. Raza</t>
  </si>
  <si>
    <t>M. Hassan</t>
  </si>
  <si>
    <t>Mubashir</t>
  </si>
  <si>
    <t>M. Anwaar</t>
  </si>
  <si>
    <t>Nisar Ali</t>
  </si>
  <si>
    <t>Rimsha Khatoon</t>
  </si>
  <si>
    <t>Rizwan Razique</t>
  </si>
  <si>
    <t>Rizwan Arbab</t>
  </si>
  <si>
    <t>Sadaf Aziz</t>
  </si>
  <si>
    <t>Sania</t>
  </si>
  <si>
    <t>Seema</t>
  </si>
  <si>
    <t>Shahzeb</t>
  </si>
  <si>
    <t>Ayesha Agha</t>
  </si>
  <si>
    <t>Muneeza Ali Sher</t>
  </si>
  <si>
    <t>Bushra Ubaid</t>
  </si>
  <si>
    <t xml:space="preserve">Aiman </t>
  </si>
  <si>
    <t xml:space="preserve">Hassan </t>
  </si>
  <si>
    <t xml:space="preserve">Tamana </t>
  </si>
  <si>
    <t>Safiullah Hafeez</t>
  </si>
  <si>
    <t>total working Days</t>
  </si>
  <si>
    <t>Total working days-Boys</t>
  </si>
  <si>
    <t>Total working days-Girls</t>
  </si>
  <si>
    <t>Total working days-All</t>
  </si>
  <si>
    <t>P-Days Boys</t>
  </si>
  <si>
    <t>P-Days Girls</t>
  </si>
  <si>
    <t>P-Days All</t>
  </si>
  <si>
    <t>Percentage-Girls</t>
  </si>
  <si>
    <t>Percentage-Boys</t>
  </si>
  <si>
    <t>Total average</t>
  </si>
  <si>
    <t>ECE (ROSE)</t>
  </si>
  <si>
    <t>ECE (Daffodils)</t>
  </si>
  <si>
    <t xml:space="preserve">One </t>
  </si>
  <si>
    <t>Seven</t>
  </si>
  <si>
    <t>Eight</t>
  </si>
  <si>
    <t>Ninth</t>
  </si>
  <si>
    <t>Total Enrolment &amp; Attendance Septemebr-24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</si>
</sst>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,mmm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Times New Roman"/>
      <family val="1"/>
    </font>
    <font>
      <sz val="12"/>
      <color theme="1"/>
      <name val="Times New Roman"/>
      <family val="1"/>
    </font>
    <font>
      <sz val="8"/>
      <color theme="1"/>
      <name val="Times New Roman"/>
      <family val="1"/>
    </font>
    <font>
      <b/>
      <sz val="12"/>
      <color theme="1"/>
      <name val="Times New Roman"/>
      <family val="1"/>
    </font>
    <font>
      <sz val="14"/>
      <color theme="1"/>
      <name val="Times New Roman"/>
      <family val="1"/>
    </font>
    <font>
      <b/>
      <sz val="9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5" tint="-0.249977111117893"/>
      <name val="Times New Roman"/>
      <family val="1"/>
    </font>
    <font>
      <b/>
      <sz val="8"/>
      <color theme="5" tint="-0.249977111117893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8">
    <xf numFmtId="0" fontId="0" fillId="0" borderId="0" xfId="0"/>
    <xf numFmtId="0" fontId="3" fillId="0" borderId="0" xfId="0" applyFont="1"/>
    <xf numFmtId="0" fontId="4" fillId="0" borderId="2" xfId="0" applyFont="1" applyBorder="1" applyAlignment="1">
      <alignment horizontal="center"/>
    </xf>
    <xf numFmtId="0" fontId="5" fillId="0" borderId="0" xfId="0" applyFont="1"/>
    <xf numFmtId="0" fontId="2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9" fontId="3" fillId="0" borderId="2" xfId="1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 textRotation="90" wrapText="1"/>
    </xf>
    <xf numFmtId="0" fontId="9" fillId="0" borderId="2" xfId="0" applyFont="1" applyBorder="1"/>
    <xf numFmtId="0" fontId="9" fillId="0" borderId="6" xfId="0" applyFont="1" applyBorder="1"/>
    <xf numFmtId="0" fontId="9" fillId="0" borderId="5" xfId="0" applyFont="1" applyBorder="1"/>
    <xf numFmtId="0" fontId="9" fillId="0" borderId="8" xfId="0" applyFont="1" applyBorder="1"/>
    <xf numFmtId="0" fontId="9" fillId="0" borderId="10" xfId="0" applyFont="1" applyBorder="1"/>
    <xf numFmtId="0" fontId="1" fillId="0" borderId="2" xfId="0" applyFont="1" applyBorder="1"/>
    <xf numFmtId="0" fontId="1" fillId="0" borderId="4" xfId="0" applyFont="1" applyBorder="1"/>
    <xf numFmtId="0" fontId="9" fillId="0" borderId="4" xfId="0" applyFont="1" applyBorder="1"/>
    <xf numFmtId="0" fontId="0" fillId="0" borderId="2" xfId="0" applyBorder="1" applyAlignment="1">
      <alignment horizontal="center" vertical="center"/>
    </xf>
    <xf numFmtId="0" fontId="3" fillId="0" borderId="2" xfId="0" applyFont="1" applyBorder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17" fontId="8" fillId="2" borderId="3" xfId="0" applyNumberFormat="1" applyFont="1" applyFill="1" applyBorder="1" applyAlignment="1">
      <alignment horizontal="center" vertical="center"/>
    </xf>
    <xf numFmtId="17" fontId="8" fillId="2" borderId="7" xfId="0" applyNumberFormat="1" applyFont="1" applyFill="1" applyBorder="1" applyAlignment="1">
      <alignment horizontal="center" vertical="center"/>
    </xf>
    <xf numFmtId="17" fontId="8" fillId="2" borderId="4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9" xfId="0" applyFont="1" applyBorder="1"/>
    <xf numFmtId="0" fontId="10" fillId="0" borderId="2" xfId="0" applyFont="1" applyBorder="1"/>
    <xf numFmtId="0" fontId="10" fillId="0" borderId="4" xfId="0" applyFont="1" applyBorder="1"/>
    <xf numFmtId="0" fontId="0" fillId="0" borderId="2" xfId="0" applyBorder="1"/>
    <xf numFmtId="0" fontId="10" fillId="0" borderId="5" xfId="0" applyFont="1" applyBorder="1"/>
    <xf numFmtId="0" fontId="10" fillId="0" borderId="6" xfId="0" applyFont="1" applyBorder="1"/>
    <xf numFmtId="0" fontId="10" fillId="0" borderId="8" xfId="0" applyFont="1" applyBorder="1"/>
    <xf numFmtId="0" fontId="10" fillId="0" borderId="10" xfId="0" applyFont="1" applyBorder="1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9" fillId="0" borderId="1" xfId="0" applyFont="1" applyBorder="1"/>
    <xf numFmtId="0" fontId="11" fillId="0" borderId="0" xfId="0" applyFont="1"/>
    <xf numFmtId="0" fontId="2" fillId="3" borderId="2" xfId="0" applyFont="1" applyFill="1" applyBorder="1" applyAlignment="1">
      <alignment horizontal="center" vertical="center" textRotation="255"/>
    </xf>
    <xf numFmtId="17" fontId="8" fillId="2" borderId="3" xfId="0" applyNumberFormat="1" applyFont="1" applyFill="1" applyBorder="1" applyAlignment="1">
      <alignment horizontal="center" vertical="center"/>
    </xf>
    <xf numFmtId="17" fontId="8" fillId="2" borderId="7" xfId="0" applyNumberFormat="1" applyFont="1" applyFill="1" applyBorder="1" applyAlignment="1">
      <alignment horizontal="center" vertical="center"/>
    </xf>
    <xf numFmtId="17" fontId="8" fillId="2" borderId="4" xfId="0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textRotation="255"/>
    </xf>
    <xf numFmtId="0" fontId="7" fillId="0" borderId="0" xfId="0" applyFont="1" applyAlignment="1">
      <alignment horizontal="center" vertical="center"/>
    </xf>
    <xf numFmtId="0" fontId="7" fillId="0" borderId="9" xfId="0" applyFont="1" applyBorder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textRotation="255"/>
    </xf>
    <xf numFmtId="0" fontId="2" fillId="0" borderId="8" xfId="0" applyFont="1" applyBorder="1" applyAlignment="1">
      <alignment horizontal="center" vertical="center" textRotation="255"/>
    </xf>
    <xf numFmtId="0" fontId="2" fillId="0" borderId="5" xfId="0" applyFont="1" applyBorder="1" applyAlignment="1">
      <alignment horizontal="center" vertical="center" textRotation="255"/>
    </xf>
    <xf numFmtId="0" fontId="2" fillId="3" borderId="1" xfId="0" applyFont="1" applyFill="1" applyBorder="1" applyAlignment="1">
      <alignment horizontal="center" vertical="center" textRotation="255"/>
    </xf>
    <xf numFmtId="0" fontId="2" fillId="3" borderId="8" xfId="0" applyFont="1" applyFill="1" applyBorder="1" applyAlignment="1">
      <alignment horizontal="center" vertical="center" textRotation="255"/>
    </xf>
    <xf numFmtId="0" fontId="2" fillId="3" borderId="5" xfId="0" applyFont="1" applyFill="1" applyBorder="1" applyAlignment="1">
      <alignment horizontal="center" vertical="center" textRotation="255"/>
    </xf>
    <xf numFmtId="0" fontId="12" fillId="0" borderId="11" xfId="0" applyFont="1" applyBorder="1" applyAlignment="1">
      <alignment horizontal="center" vertical="center"/>
    </xf>
    <xf numFmtId="17" fontId="13" fillId="0" borderId="12" xfId="0" applyNumberFormat="1" applyFont="1" applyBorder="1" applyAlignment="1">
      <alignment horizontal="center"/>
    </xf>
    <xf numFmtId="17" fontId="13" fillId="0" borderId="13" xfId="0" applyNumberFormat="1" applyFont="1" applyBorder="1" applyAlignment="1">
      <alignment horizontal="center"/>
    </xf>
    <xf numFmtId="17" fontId="13" fillId="0" borderId="14" xfId="0" applyNumberFormat="1" applyFont="1" applyBorder="1" applyAlignment="1">
      <alignment horizontal="center"/>
    </xf>
    <xf numFmtId="17" fontId="13" fillId="0" borderId="15" xfId="0" applyNumberFormat="1" applyFont="1" applyBorder="1" applyAlignment="1">
      <alignment horizontal="center"/>
    </xf>
    <xf numFmtId="17" fontId="13" fillId="0" borderId="16" xfId="0" applyNumberFormat="1" applyFont="1" applyBorder="1" applyAlignment="1">
      <alignment horizontal="center"/>
    </xf>
    <xf numFmtId="0" fontId="12" fillId="0" borderId="17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 wrapText="1"/>
    </xf>
    <xf numFmtId="0" fontId="12" fillId="0" borderId="19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center" vertical="center" wrapText="1"/>
    </xf>
    <xf numFmtId="0" fontId="12" fillId="4" borderId="21" xfId="0" applyFont="1" applyFill="1" applyBorder="1" applyAlignment="1">
      <alignment horizontal="center" vertical="center" wrapText="1"/>
    </xf>
    <xf numFmtId="0" fontId="12" fillId="4" borderId="22" xfId="0" applyFont="1" applyFill="1" applyBorder="1" applyAlignment="1">
      <alignment horizontal="center" vertical="center" wrapText="1"/>
    </xf>
    <xf numFmtId="0" fontId="12" fillId="4" borderId="23" xfId="0" applyFont="1" applyFill="1" applyBorder="1" applyAlignment="1">
      <alignment horizontal="center" vertical="center" wrapText="1"/>
    </xf>
    <xf numFmtId="0" fontId="12" fillId="4" borderId="19" xfId="0" applyFont="1" applyFill="1" applyBorder="1" applyAlignment="1">
      <alignment horizontal="center" vertical="center" wrapText="1"/>
    </xf>
    <xf numFmtId="0" fontId="12" fillId="4" borderId="18" xfId="0" applyFont="1" applyFill="1" applyBorder="1" applyAlignment="1">
      <alignment horizontal="center" vertical="center" wrapText="1"/>
    </xf>
    <xf numFmtId="0" fontId="12" fillId="4" borderId="24" xfId="0" applyFont="1" applyFill="1" applyBorder="1" applyAlignment="1">
      <alignment horizontal="center" vertical="center" wrapText="1"/>
    </xf>
    <xf numFmtId="0" fontId="3" fillId="0" borderId="25" xfId="0" applyFont="1" applyBorder="1"/>
    <xf numFmtId="0" fontId="14" fillId="0" borderId="5" xfId="0" applyFont="1" applyBorder="1"/>
    <xf numFmtId="0" fontId="15" fillId="0" borderId="6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3" fillId="4" borderId="26" xfId="0" applyFont="1" applyFill="1" applyBorder="1"/>
    <xf numFmtId="0" fontId="3" fillId="4" borderId="5" xfId="0" applyFont="1" applyFill="1" applyBorder="1"/>
    <xf numFmtId="0" fontId="3" fillId="4" borderId="27" xfId="0" applyFont="1" applyFill="1" applyBorder="1"/>
    <xf numFmtId="9" fontId="15" fillId="0" borderId="6" xfId="1" applyFont="1" applyFill="1" applyBorder="1" applyAlignment="1">
      <alignment horizontal="center" vertical="center"/>
    </xf>
    <xf numFmtId="9" fontId="15" fillId="0" borderId="5" xfId="1" applyFont="1" applyFill="1" applyBorder="1" applyAlignment="1">
      <alignment horizontal="center" vertical="center"/>
    </xf>
    <xf numFmtId="9" fontId="15" fillId="0" borderId="28" xfId="1" applyFont="1" applyFill="1" applyBorder="1" applyAlignment="1">
      <alignment horizontal="center" vertical="center"/>
    </xf>
    <xf numFmtId="9" fontId="15" fillId="5" borderId="27" xfId="1" applyFont="1" applyFill="1" applyBorder="1"/>
    <xf numFmtId="0" fontId="14" fillId="0" borderId="2" xfId="0" applyFont="1" applyBorder="1"/>
    <xf numFmtId="0" fontId="15" fillId="0" borderId="4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3" fillId="4" borderId="29" xfId="0" applyFont="1" applyFill="1" applyBorder="1"/>
    <xf numFmtId="0" fontId="3" fillId="4" borderId="2" xfId="0" applyFont="1" applyFill="1" applyBorder="1"/>
    <xf numFmtId="0" fontId="3" fillId="4" borderId="30" xfId="0" applyFont="1" applyFill="1" applyBorder="1"/>
    <xf numFmtId="9" fontId="15" fillId="0" borderId="4" xfId="1" applyFont="1" applyFill="1" applyBorder="1" applyAlignment="1">
      <alignment horizontal="center" vertical="center"/>
    </xf>
    <xf numFmtId="9" fontId="15" fillId="0" borderId="2" xfId="1" applyFont="1" applyFill="1" applyBorder="1" applyAlignment="1">
      <alignment horizontal="center" vertical="center"/>
    </xf>
    <xf numFmtId="9" fontId="15" fillId="0" borderId="3" xfId="1" applyFont="1" applyFill="1" applyBorder="1" applyAlignment="1">
      <alignment horizontal="center" vertical="center"/>
    </xf>
    <xf numFmtId="9" fontId="15" fillId="5" borderId="30" xfId="1" applyFont="1" applyFill="1" applyBorder="1"/>
    <xf numFmtId="0" fontId="3" fillId="5" borderId="31" xfId="0" applyFont="1" applyFill="1" applyBorder="1"/>
    <xf numFmtId="0" fontId="3" fillId="0" borderId="31" xfId="0" applyFont="1" applyBorder="1"/>
    <xf numFmtId="0" fontId="3" fillId="0" borderId="32" xfId="0" applyFont="1" applyBorder="1"/>
    <xf numFmtId="0" fontId="14" fillId="0" borderId="1" xfId="0" applyFont="1" applyBorder="1"/>
    <xf numFmtId="0" fontId="15" fillId="0" borderId="1" xfId="0" applyFont="1" applyBorder="1" applyAlignment="1">
      <alignment horizontal="center" vertical="center"/>
    </xf>
    <xf numFmtId="0" fontId="15" fillId="0" borderId="33" xfId="0" applyFont="1" applyBorder="1" applyAlignment="1">
      <alignment horizontal="center" vertical="center"/>
    </xf>
    <xf numFmtId="0" fontId="3" fillId="4" borderId="17" xfId="0" applyFont="1" applyFill="1" applyBorder="1"/>
    <xf numFmtId="0" fontId="3" fillId="4" borderId="18" xfId="0" applyFont="1" applyFill="1" applyBorder="1"/>
    <xf numFmtId="0" fontId="3" fillId="4" borderId="24" xfId="0" applyFont="1" applyFill="1" applyBorder="1"/>
    <xf numFmtId="9" fontId="15" fillId="0" borderId="34" xfId="1" applyFont="1" applyFill="1" applyBorder="1" applyAlignment="1">
      <alignment horizontal="center" vertical="center"/>
    </xf>
    <xf numFmtId="9" fontId="15" fillId="0" borderId="1" xfId="1" applyFont="1" applyFill="1" applyBorder="1" applyAlignment="1">
      <alignment horizontal="center" vertical="center"/>
    </xf>
    <xf numFmtId="9" fontId="15" fillId="0" borderId="35" xfId="1" applyFont="1" applyFill="1" applyBorder="1" applyAlignment="1">
      <alignment horizontal="center" vertical="center"/>
    </xf>
    <xf numFmtId="9" fontId="15" fillId="5" borderId="36" xfId="1" applyFont="1" applyFill="1" applyBorder="1"/>
    <xf numFmtId="0" fontId="16" fillId="0" borderId="11" xfId="0" applyFont="1" applyBorder="1" applyAlignment="1">
      <alignment horizontal="center"/>
    </xf>
    <xf numFmtId="0" fontId="14" fillId="0" borderId="14" xfId="0" applyFont="1" applyBorder="1"/>
    <xf numFmtId="0" fontId="16" fillId="0" borderId="14" xfId="0" applyFont="1" applyBorder="1" applyAlignment="1">
      <alignment horizontal="center"/>
    </xf>
    <xf numFmtId="0" fontId="16" fillId="0" borderId="15" xfId="0" applyFont="1" applyBorder="1" applyAlignment="1">
      <alignment horizontal="center"/>
    </xf>
    <xf numFmtId="0" fontId="16" fillId="4" borderId="26" xfId="0" applyFont="1" applyFill="1" applyBorder="1" applyAlignment="1">
      <alignment horizontal="center"/>
    </xf>
    <xf numFmtId="0" fontId="16" fillId="4" borderId="5" xfId="0" applyFont="1" applyFill="1" applyBorder="1" applyAlignment="1">
      <alignment horizontal="center"/>
    </xf>
    <xf numFmtId="0" fontId="16" fillId="4" borderId="27" xfId="0" applyFont="1" applyFill="1" applyBorder="1" applyAlignment="1">
      <alignment horizontal="center"/>
    </xf>
    <xf numFmtId="9" fontId="15" fillId="0" borderId="37" xfId="1" applyFont="1" applyFill="1" applyBorder="1" applyAlignment="1">
      <alignment horizontal="center" vertical="center"/>
    </xf>
    <xf numFmtId="9" fontId="15" fillId="0" borderId="14" xfId="1" applyFont="1" applyFill="1" applyBorder="1" applyAlignment="1">
      <alignment horizontal="center" vertical="center"/>
    </xf>
    <xf numFmtId="9" fontId="15" fillId="5" borderId="16" xfId="1" applyFont="1" applyFill="1" applyBorder="1"/>
    <xf numFmtId="0" fontId="17" fillId="0" borderId="17" xfId="0" applyFont="1" applyBorder="1" applyAlignment="1">
      <alignment horizontal="center"/>
    </xf>
    <xf numFmtId="9" fontId="17" fillId="0" borderId="18" xfId="1" applyFont="1" applyFill="1" applyBorder="1" applyAlignment="1">
      <alignment horizontal="center"/>
    </xf>
    <xf numFmtId="9" fontId="18" fillId="0" borderId="18" xfId="1" applyFont="1" applyFill="1" applyBorder="1" applyAlignment="1">
      <alignment horizontal="center" vertical="center" wrapText="1"/>
    </xf>
    <xf numFmtId="9" fontId="18" fillId="0" borderId="20" xfId="1" applyFont="1" applyFill="1" applyBorder="1" applyAlignment="1">
      <alignment horizontal="center" vertical="center" wrapText="1"/>
    </xf>
    <xf numFmtId="9" fontId="18" fillId="0" borderId="17" xfId="1" applyFont="1" applyFill="1" applyBorder="1" applyAlignment="1">
      <alignment horizontal="center" vertical="center" wrapText="1"/>
    </xf>
    <xf numFmtId="9" fontId="18" fillId="0" borderId="24" xfId="1" applyFont="1" applyFill="1" applyBorder="1" applyAlignment="1">
      <alignment horizontal="center" vertical="center" wrapText="1"/>
    </xf>
    <xf numFmtId="9" fontId="3" fillId="0" borderId="19" xfId="1" applyFont="1" applyFill="1" applyBorder="1" applyAlignment="1">
      <alignment horizontal="center" vertical="center"/>
    </xf>
    <xf numFmtId="9" fontId="15" fillId="0" borderId="18" xfId="1" applyFont="1" applyFill="1" applyBorder="1" applyAlignment="1">
      <alignment horizontal="center" vertical="center"/>
    </xf>
    <xf numFmtId="9" fontId="15" fillId="5" borderId="24" xfId="1" applyFont="1" applyFill="1" applyBorder="1"/>
  </cellXfs>
  <cellStyles count="2">
    <cellStyle name="Normal" xfId="0" builtinId="0"/>
    <cellStyle name="Percent" xfId="1" builtinId="5"/>
  </cellStyles>
  <dxfs count="247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Government-High-School\Sindhi%20Muslim\Student%20Attendance\Audit%20Attendance\October-2024.xlsx" TargetMode="External"/><Relationship Id="rId1" Type="http://schemas.openxmlformats.org/officeDocument/2006/relationships/externalLinkPath" Target="October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mpile Sheet-October-2024"/>
      <sheetName val="ECE (ROSE)"/>
      <sheetName val="ECE (Daffodils)"/>
      <sheetName val="Class-I"/>
      <sheetName val="Class-II"/>
      <sheetName val="Class-III"/>
      <sheetName val="Class-IV"/>
      <sheetName val="Class-V"/>
      <sheetName val="Class-VI"/>
      <sheetName val="Class-VII"/>
      <sheetName val="Class-VIII"/>
      <sheetName val="Class-I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2">
          <cell r="AO12">
            <v>778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54AFB-796B-4C8C-BFC1-E3CD19DE4257}">
  <dimension ref="A3:O18"/>
  <sheetViews>
    <sheetView tabSelected="1" workbookViewId="0">
      <selection activeCell="A4" sqref="A4:O5"/>
    </sheetView>
  </sheetViews>
  <sheetFormatPr defaultRowHeight="15" x14ac:dyDescent="0.25"/>
  <cols>
    <col min="1" max="1" width="14.85546875" bestFit="1" customWidth="1"/>
  </cols>
  <sheetData>
    <row r="3" spans="1:15" ht="15.75" thickBot="1" x14ac:dyDescent="0.3"/>
    <row r="4" spans="1:15" ht="16.5" thickBot="1" x14ac:dyDescent="0.3">
      <c r="A4" s="57" t="s">
        <v>3</v>
      </c>
      <c r="B4" s="58" t="s">
        <v>838</v>
      </c>
      <c r="C4" s="59"/>
      <c r="D4" s="59"/>
      <c r="E4" s="60"/>
      <c r="F4" s="60"/>
      <c r="G4" s="60"/>
      <c r="H4" s="60"/>
      <c r="I4" s="59"/>
      <c r="J4" s="59"/>
      <c r="K4" s="59"/>
      <c r="L4" s="60"/>
      <c r="M4" s="60"/>
      <c r="N4" s="61"/>
      <c r="O4" s="62"/>
    </row>
    <row r="5" spans="1:15" ht="34.5" thickBot="1" x14ac:dyDescent="0.3">
      <c r="A5" s="63"/>
      <c r="B5" s="64" t="s">
        <v>10</v>
      </c>
      <c r="C5" s="64" t="s">
        <v>11</v>
      </c>
      <c r="D5" s="64" t="s">
        <v>12</v>
      </c>
      <c r="E5" s="65" t="s">
        <v>822</v>
      </c>
      <c r="F5" s="64" t="s">
        <v>823</v>
      </c>
      <c r="G5" s="64" t="s">
        <v>824</v>
      </c>
      <c r="H5" s="66" t="s">
        <v>825</v>
      </c>
      <c r="I5" s="67" t="s">
        <v>826</v>
      </c>
      <c r="J5" s="68" t="s">
        <v>827</v>
      </c>
      <c r="K5" s="69" t="s">
        <v>828</v>
      </c>
      <c r="L5" s="70" t="s">
        <v>829</v>
      </c>
      <c r="M5" s="71" t="s">
        <v>830</v>
      </c>
      <c r="N5" s="71" t="s">
        <v>830</v>
      </c>
      <c r="O5" s="72" t="s">
        <v>831</v>
      </c>
    </row>
    <row r="6" spans="1:15" ht="18.75" x14ac:dyDescent="0.3">
      <c r="A6" s="73" t="s">
        <v>832</v>
      </c>
      <c r="B6" s="74">
        <v>26</v>
      </c>
      <c r="C6" s="74">
        <v>23</v>
      </c>
      <c r="D6" s="74">
        <f>SUM(B6:C6)</f>
        <v>49</v>
      </c>
      <c r="E6" s="75">
        <v>24</v>
      </c>
      <c r="F6" s="76">
        <f>B6*E6</f>
        <v>624</v>
      </c>
      <c r="G6" s="76">
        <f t="shared" ref="G6:G16" si="0">C6*E6</f>
        <v>552</v>
      </c>
      <c r="H6" s="77">
        <f>SUM(F6:G6)</f>
        <v>1176</v>
      </c>
      <c r="I6" s="78">
        <f>'ECE (ROSE)'!AL12</f>
        <v>444</v>
      </c>
      <c r="J6" s="79">
        <f>'ECE (ROSE)'!AM12</f>
        <v>447</v>
      </c>
      <c r="K6" s="80">
        <f>SUM(I6:J6)</f>
        <v>891</v>
      </c>
      <c r="L6" s="81">
        <f>J6/G6</f>
        <v>0.80978260869565222</v>
      </c>
      <c r="M6" s="82">
        <f>I6/F6</f>
        <v>0.71153846153846156</v>
      </c>
      <c r="N6" s="83">
        <f>K6/H6</f>
        <v>0.75765306122448983</v>
      </c>
      <c r="O6" s="84">
        <f>AVERAGE(L6:M6)</f>
        <v>0.76066053511705689</v>
      </c>
    </row>
    <row r="7" spans="1:15" ht="18.75" x14ac:dyDescent="0.3">
      <c r="A7" s="73" t="s">
        <v>833</v>
      </c>
      <c r="B7" s="85">
        <v>32</v>
      </c>
      <c r="C7" s="85">
        <v>24</v>
      </c>
      <c r="D7" s="85">
        <f>SUM(B7:C7)</f>
        <v>56</v>
      </c>
      <c r="E7" s="86">
        <v>24</v>
      </c>
      <c r="F7" s="87">
        <f>B7*E7</f>
        <v>768</v>
      </c>
      <c r="G7" s="87">
        <f t="shared" si="0"/>
        <v>576</v>
      </c>
      <c r="H7" s="88">
        <f>SUM(F7:G7)</f>
        <v>1344</v>
      </c>
      <c r="I7" s="89">
        <f>'ECE (Daffodils)'!AL12</f>
        <v>678</v>
      </c>
      <c r="J7" s="90">
        <f>'ECE (Daffodils)'!AM12</f>
        <v>518</v>
      </c>
      <c r="K7" s="91">
        <f>SUM(I7:J7)</f>
        <v>1196</v>
      </c>
      <c r="L7" s="92">
        <f>J7/G7</f>
        <v>0.89930555555555558</v>
      </c>
      <c r="M7" s="93">
        <f>I7/F7</f>
        <v>0.8828125</v>
      </c>
      <c r="N7" s="94">
        <f>K7/H7</f>
        <v>0.88988095238095233</v>
      </c>
      <c r="O7" s="95">
        <f>AVERAGE(L7:M7)</f>
        <v>0.89105902777777779</v>
      </c>
    </row>
    <row r="8" spans="1:15" ht="18.75" x14ac:dyDescent="0.3">
      <c r="A8" s="96" t="s">
        <v>834</v>
      </c>
      <c r="B8" s="85">
        <v>32</v>
      </c>
      <c r="C8" s="85">
        <v>24</v>
      </c>
      <c r="D8" s="85">
        <f t="shared" ref="D8:D16" si="1">SUM(B8:C8)</f>
        <v>56</v>
      </c>
      <c r="E8" s="86">
        <v>24</v>
      </c>
      <c r="F8" s="87">
        <f t="shared" ref="F8:F16" si="2">B8*E8</f>
        <v>768</v>
      </c>
      <c r="G8" s="87">
        <f t="shared" si="0"/>
        <v>576</v>
      </c>
      <c r="H8" s="88">
        <f t="shared" ref="H8:H16" si="3">SUM(F8:G8)</f>
        <v>1344</v>
      </c>
      <c r="I8" s="89">
        <f>'Class-I'!AL12</f>
        <v>683</v>
      </c>
      <c r="J8" s="90">
        <f>'Class-I'!AM12</f>
        <v>476</v>
      </c>
      <c r="K8" s="91">
        <f t="shared" ref="K8:K16" si="4">SUM(I8:J8)</f>
        <v>1159</v>
      </c>
      <c r="L8" s="92">
        <f t="shared" ref="L8:L16" si="5">J8/G8</f>
        <v>0.82638888888888884</v>
      </c>
      <c r="M8" s="93">
        <f t="shared" ref="M8:M16" si="6">I8/F8</f>
        <v>0.88932291666666663</v>
      </c>
      <c r="N8" s="94">
        <f t="shared" ref="N8:N16" si="7">K8/H8</f>
        <v>0.86235119047619047</v>
      </c>
      <c r="O8" s="95">
        <f t="shared" ref="O8:O16" si="8">AVERAGE(L8:M8)</f>
        <v>0.85785590277777768</v>
      </c>
    </row>
    <row r="9" spans="1:15" ht="18.75" x14ac:dyDescent="0.3">
      <c r="A9" s="97" t="s">
        <v>457</v>
      </c>
      <c r="B9" s="85">
        <v>25</v>
      </c>
      <c r="C9" s="85">
        <v>26</v>
      </c>
      <c r="D9" s="85">
        <f t="shared" si="1"/>
        <v>51</v>
      </c>
      <c r="E9" s="86">
        <v>24</v>
      </c>
      <c r="F9" s="87">
        <f t="shared" si="2"/>
        <v>600</v>
      </c>
      <c r="G9" s="87">
        <f t="shared" si="0"/>
        <v>624</v>
      </c>
      <c r="H9" s="88">
        <f t="shared" si="3"/>
        <v>1224</v>
      </c>
      <c r="I9" s="89">
        <f>'Class-II'!AL12</f>
        <v>515</v>
      </c>
      <c r="J9" s="90">
        <f>'Class-II'!AM12</f>
        <v>508</v>
      </c>
      <c r="K9" s="91">
        <f t="shared" si="4"/>
        <v>1023</v>
      </c>
      <c r="L9" s="92">
        <f t="shared" si="5"/>
        <v>0.8141025641025641</v>
      </c>
      <c r="M9" s="93">
        <f t="shared" si="6"/>
        <v>0.85833333333333328</v>
      </c>
      <c r="N9" s="94">
        <f t="shared" si="7"/>
        <v>0.83578431372549022</v>
      </c>
      <c r="O9" s="95">
        <f t="shared" si="8"/>
        <v>0.83621794871794863</v>
      </c>
    </row>
    <row r="10" spans="1:15" ht="18.75" x14ac:dyDescent="0.3">
      <c r="A10" s="96" t="s">
        <v>522</v>
      </c>
      <c r="B10" s="85">
        <v>29</v>
      </c>
      <c r="C10" s="85">
        <v>26</v>
      </c>
      <c r="D10" s="85">
        <f t="shared" si="1"/>
        <v>55</v>
      </c>
      <c r="E10" s="87">
        <v>24</v>
      </c>
      <c r="F10" s="87">
        <f t="shared" si="2"/>
        <v>696</v>
      </c>
      <c r="G10" s="87">
        <f t="shared" si="0"/>
        <v>624</v>
      </c>
      <c r="H10" s="88">
        <f t="shared" si="3"/>
        <v>1320</v>
      </c>
      <c r="I10" s="89">
        <f>'Class-III'!AL12</f>
        <v>541</v>
      </c>
      <c r="J10" s="90">
        <f>'Class-III'!AM12</f>
        <v>476</v>
      </c>
      <c r="K10" s="91">
        <f>SUM(I10:J10)</f>
        <v>1017</v>
      </c>
      <c r="L10" s="92">
        <f t="shared" si="5"/>
        <v>0.76282051282051277</v>
      </c>
      <c r="M10" s="93">
        <f t="shared" si="6"/>
        <v>0.7772988505747126</v>
      </c>
      <c r="N10" s="94">
        <f>K10/H10</f>
        <v>0.7704545454545455</v>
      </c>
      <c r="O10" s="95">
        <f t="shared" si="8"/>
        <v>0.77005968169761263</v>
      </c>
    </row>
    <row r="11" spans="1:15" ht="18.75" x14ac:dyDescent="0.3">
      <c r="A11" s="96" t="s">
        <v>654</v>
      </c>
      <c r="B11" s="85">
        <v>21</v>
      </c>
      <c r="C11" s="85">
        <v>32</v>
      </c>
      <c r="D11" s="85">
        <f t="shared" si="1"/>
        <v>53</v>
      </c>
      <c r="E11" s="87">
        <v>24</v>
      </c>
      <c r="F11" s="87">
        <f t="shared" si="2"/>
        <v>504</v>
      </c>
      <c r="G11" s="87">
        <f t="shared" si="0"/>
        <v>768</v>
      </c>
      <c r="H11" s="88">
        <f t="shared" si="3"/>
        <v>1272</v>
      </c>
      <c r="I11" s="89">
        <f>'Class-IV'!AL13</f>
        <v>362</v>
      </c>
      <c r="J11" s="90">
        <f>'Class-IV'!AM13</f>
        <v>579</v>
      </c>
      <c r="K11" s="91">
        <f t="shared" si="4"/>
        <v>941</v>
      </c>
      <c r="L11" s="92">
        <f t="shared" si="5"/>
        <v>0.75390625</v>
      </c>
      <c r="M11" s="93">
        <f t="shared" si="6"/>
        <v>0.71825396825396826</v>
      </c>
      <c r="N11" s="94">
        <f t="shared" si="7"/>
        <v>0.73977987421383651</v>
      </c>
      <c r="O11" s="95">
        <f t="shared" si="8"/>
        <v>0.73608010912698418</v>
      </c>
    </row>
    <row r="12" spans="1:15" ht="18.75" x14ac:dyDescent="0.3">
      <c r="A12" s="96" t="s">
        <v>725</v>
      </c>
      <c r="B12" s="85">
        <v>23</v>
      </c>
      <c r="C12" s="85">
        <v>23</v>
      </c>
      <c r="D12" s="85">
        <f t="shared" si="1"/>
        <v>46</v>
      </c>
      <c r="E12" s="87">
        <v>24</v>
      </c>
      <c r="F12" s="87">
        <f t="shared" si="2"/>
        <v>552</v>
      </c>
      <c r="G12" s="87">
        <f t="shared" si="0"/>
        <v>552</v>
      </c>
      <c r="H12" s="88">
        <f t="shared" si="3"/>
        <v>1104</v>
      </c>
      <c r="I12" s="89">
        <f>'Class-V'!AL13</f>
        <v>429</v>
      </c>
      <c r="J12" s="90">
        <f>'Class-V'!AM13</f>
        <v>465</v>
      </c>
      <c r="K12" s="91">
        <f t="shared" si="4"/>
        <v>894</v>
      </c>
      <c r="L12" s="92">
        <f t="shared" si="5"/>
        <v>0.84239130434782605</v>
      </c>
      <c r="M12" s="93">
        <f t="shared" si="6"/>
        <v>0.77717391304347827</v>
      </c>
      <c r="N12" s="94">
        <f t="shared" si="7"/>
        <v>0.80978260869565222</v>
      </c>
      <c r="O12" s="95">
        <f t="shared" si="8"/>
        <v>0.80978260869565211</v>
      </c>
    </row>
    <row r="13" spans="1:15" ht="18.75" x14ac:dyDescent="0.3">
      <c r="A13" s="97" t="s">
        <v>592</v>
      </c>
      <c r="B13" s="85">
        <v>17</v>
      </c>
      <c r="C13" s="85">
        <v>28</v>
      </c>
      <c r="D13" s="85">
        <f t="shared" si="1"/>
        <v>45</v>
      </c>
      <c r="E13" s="87">
        <v>24</v>
      </c>
      <c r="F13" s="87">
        <f t="shared" si="2"/>
        <v>408</v>
      </c>
      <c r="G13" s="87">
        <f t="shared" si="0"/>
        <v>672</v>
      </c>
      <c r="H13" s="88">
        <f t="shared" si="3"/>
        <v>1080</v>
      </c>
      <c r="I13" s="89">
        <f>'Class-VI'!AL13</f>
        <v>336</v>
      </c>
      <c r="J13" s="90">
        <f>'Class-VI'!AM13</f>
        <v>539</v>
      </c>
      <c r="K13" s="91">
        <f t="shared" si="4"/>
        <v>875</v>
      </c>
      <c r="L13" s="92">
        <f t="shared" si="5"/>
        <v>0.80208333333333337</v>
      </c>
      <c r="M13" s="93">
        <f t="shared" si="6"/>
        <v>0.82352941176470584</v>
      </c>
      <c r="N13" s="94">
        <f t="shared" si="7"/>
        <v>0.81018518518518523</v>
      </c>
      <c r="O13" s="95">
        <f t="shared" si="8"/>
        <v>0.81280637254901955</v>
      </c>
    </row>
    <row r="14" spans="1:15" ht="18.75" x14ac:dyDescent="0.3">
      <c r="A14" s="97" t="s">
        <v>835</v>
      </c>
      <c r="B14" s="85">
        <v>30</v>
      </c>
      <c r="C14" s="85">
        <v>17</v>
      </c>
      <c r="D14" s="85">
        <f t="shared" si="1"/>
        <v>47</v>
      </c>
      <c r="E14" s="87">
        <v>24</v>
      </c>
      <c r="F14" s="87">
        <f t="shared" si="2"/>
        <v>720</v>
      </c>
      <c r="G14" s="87">
        <f t="shared" si="0"/>
        <v>408</v>
      </c>
      <c r="H14" s="88">
        <f t="shared" si="3"/>
        <v>1128</v>
      </c>
      <c r="I14" s="89">
        <f>'Class-VII'!AK13</f>
        <v>541</v>
      </c>
      <c r="J14" s="90">
        <f>'Class-VII'!AL13</f>
        <v>327</v>
      </c>
      <c r="K14" s="91">
        <f t="shared" si="4"/>
        <v>868</v>
      </c>
      <c r="L14" s="92">
        <f t="shared" si="5"/>
        <v>0.80147058823529416</v>
      </c>
      <c r="M14" s="93">
        <f t="shared" si="6"/>
        <v>0.75138888888888888</v>
      </c>
      <c r="N14" s="94">
        <f t="shared" si="7"/>
        <v>0.76950354609929073</v>
      </c>
      <c r="O14" s="95">
        <f t="shared" si="8"/>
        <v>0.77642973856209152</v>
      </c>
    </row>
    <row r="15" spans="1:15" ht="18.75" x14ac:dyDescent="0.3">
      <c r="A15" s="97" t="s">
        <v>836</v>
      </c>
      <c r="B15" s="85">
        <v>20</v>
      </c>
      <c r="C15" s="85">
        <v>24</v>
      </c>
      <c r="D15" s="85">
        <f t="shared" si="1"/>
        <v>44</v>
      </c>
      <c r="E15" s="87">
        <v>24</v>
      </c>
      <c r="F15" s="87">
        <f t="shared" si="2"/>
        <v>480</v>
      </c>
      <c r="G15" s="87">
        <f t="shared" si="0"/>
        <v>576</v>
      </c>
      <c r="H15" s="88">
        <f t="shared" si="3"/>
        <v>1056</v>
      </c>
      <c r="I15" s="89">
        <f>'Class-VIII'!AL12</f>
        <v>353</v>
      </c>
      <c r="J15" s="90">
        <f>'Class-VIII'!AM12</f>
        <v>520</v>
      </c>
      <c r="K15" s="91">
        <f t="shared" si="4"/>
        <v>873</v>
      </c>
      <c r="L15" s="92">
        <f t="shared" si="5"/>
        <v>0.90277777777777779</v>
      </c>
      <c r="M15" s="93">
        <f t="shared" si="6"/>
        <v>0.73541666666666672</v>
      </c>
      <c r="N15" s="94">
        <f t="shared" si="7"/>
        <v>0.82670454545454541</v>
      </c>
      <c r="O15" s="95">
        <f t="shared" si="8"/>
        <v>0.81909722222222225</v>
      </c>
    </row>
    <row r="16" spans="1:15" ht="19.5" thickBot="1" x14ac:dyDescent="0.35">
      <c r="A16" s="98" t="s">
        <v>837</v>
      </c>
      <c r="B16" s="99">
        <v>17</v>
      </c>
      <c r="C16" s="99">
        <v>22</v>
      </c>
      <c r="D16" s="99">
        <f t="shared" si="1"/>
        <v>39</v>
      </c>
      <c r="E16" s="100">
        <v>24</v>
      </c>
      <c r="F16" s="100">
        <f t="shared" si="2"/>
        <v>408</v>
      </c>
      <c r="G16" s="100">
        <f t="shared" si="0"/>
        <v>528</v>
      </c>
      <c r="H16" s="101">
        <f t="shared" si="3"/>
        <v>936</v>
      </c>
      <c r="I16" s="102">
        <f>'Class-IX'!AL12</f>
        <v>322</v>
      </c>
      <c r="J16" s="103">
        <f>'Class-IX'!AM12</f>
        <v>351</v>
      </c>
      <c r="K16" s="104">
        <f>'[1]Class-IX'!AO12</f>
        <v>778</v>
      </c>
      <c r="L16" s="105">
        <f t="shared" si="5"/>
        <v>0.66477272727272729</v>
      </c>
      <c r="M16" s="106">
        <f t="shared" si="6"/>
        <v>0.78921568627450978</v>
      </c>
      <c r="N16" s="107">
        <f t="shared" si="7"/>
        <v>0.83119658119658124</v>
      </c>
      <c r="O16" s="108">
        <f t="shared" si="8"/>
        <v>0.72699420677361859</v>
      </c>
    </row>
    <row r="17" spans="1:15" ht="18.75" x14ac:dyDescent="0.3">
      <c r="A17" s="109" t="s">
        <v>12</v>
      </c>
      <c r="B17" s="110">
        <f t="shared" ref="B17:K17" si="9">SUM(B6:B16)</f>
        <v>272</v>
      </c>
      <c r="C17" s="110">
        <f t="shared" si="9"/>
        <v>269</v>
      </c>
      <c r="D17" s="110">
        <f t="shared" si="9"/>
        <v>541</v>
      </c>
      <c r="E17" s="111">
        <f t="shared" si="9"/>
        <v>264</v>
      </c>
      <c r="F17" s="111">
        <f t="shared" si="9"/>
        <v>6528</v>
      </c>
      <c r="G17" s="111">
        <f t="shared" si="9"/>
        <v>6456</v>
      </c>
      <c r="H17" s="112">
        <f t="shared" si="9"/>
        <v>12984</v>
      </c>
      <c r="I17" s="113">
        <f t="shared" si="9"/>
        <v>5204</v>
      </c>
      <c r="J17" s="114">
        <f t="shared" si="9"/>
        <v>5206</v>
      </c>
      <c r="K17" s="115">
        <f t="shared" si="9"/>
        <v>10515</v>
      </c>
      <c r="L17" s="116">
        <f>J17/G17</f>
        <v>0.80638166047087978</v>
      </c>
      <c r="M17" s="117">
        <f>I17/F17</f>
        <v>0.79718137254901966</v>
      </c>
      <c r="N17" s="117">
        <f>AVERAGE(N6:N16)</f>
        <v>0.8093887640097055</v>
      </c>
      <c r="O17" s="118">
        <f>AVERAGE(O6:O16)</f>
        <v>0.79973121400161462</v>
      </c>
    </row>
    <row r="18" spans="1:15" ht="15.75" thickBot="1" x14ac:dyDescent="0.3">
      <c r="A18" s="119" t="s">
        <v>15</v>
      </c>
      <c r="B18" s="120">
        <v>1</v>
      </c>
      <c r="C18" s="120">
        <v>1</v>
      </c>
      <c r="D18" s="121">
        <v>1</v>
      </c>
      <c r="E18" s="120">
        <v>1</v>
      </c>
      <c r="F18" s="120">
        <v>1</v>
      </c>
      <c r="G18" s="121">
        <v>1</v>
      </c>
      <c r="H18" s="122">
        <v>1</v>
      </c>
      <c r="I18" s="123">
        <f>I17/F17</f>
        <v>0.79718137254901966</v>
      </c>
      <c r="J18" s="121">
        <f>J17/G17</f>
        <v>0.80638166047087978</v>
      </c>
      <c r="K18" s="124">
        <f>K17/H17</f>
        <v>0.80984288354898337</v>
      </c>
      <c r="L18" s="125">
        <v>0.54</v>
      </c>
      <c r="M18" s="126">
        <v>0.56000000000000005</v>
      </c>
      <c r="N18" s="126">
        <v>0.55000000000000004</v>
      </c>
      <c r="O18" s="127">
        <f>AVERAGE(L17:M17)</f>
        <v>0.80178151650994978</v>
      </c>
    </row>
  </sheetData>
  <mergeCells count="2">
    <mergeCell ref="A4:A5"/>
    <mergeCell ref="B4:O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BD684-A680-4F10-87A9-D45312B873AD}">
  <dimension ref="A1:AN53"/>
  <sheetViews>
    <sheetView topLeftCell="D2" workbookViewId="0">
      <selection activeCell="AM11" sqref="AM11"/>
    </sheetView>
  </sheetViews>
  <sheetFormatPr defaultColWidth="3.85546875" defaultRowHeight="15" x14ac:dyDescent="0.2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3.85546875" style="1"/>
    <col min="6" max="6" width="4.5703125" style="1" bestFit="1" customWidth="1"/>
    <col min="7" max="7" width="3.85546875" style="1"/>
    <col min="8" max="8" width="4.7109375" style="1" bestFit="1" customWidth="1"/>
    <col min="9" max="9" width="3.85546875" style="1"/>
    <col min="10" max="11" width="3.7109375" style="1" bestFit="1" customWidth="1"/>
    <col min="12" max="12" width="3.85546875" style="1"/>
    <col min="13" max="13" width="4.5703125" style="1" bestFit="1" customWidth="1"/>
    <col min="14" max="14" width="3.85546875" style="1"/>
    <col min="15" max="15" width="4.7109375" style="1" bestFit="1" customWidth="1"/>
    <col min="16" max="16" width="3.85546875" style="1"/>
    <col min="17" max="18" width="3.7109375" style="1" bestFit="1" customWidth="1"/>
    <col min="19" max="19" width="3.85546875" style="1"/>
    <col min="20" max="20" width="4.5703125" style="1" bestFit="1" customWidth="1"/>
    <col min="21" max="21" width="3.85546875" style="1"/>
    <col min="22" max="22" width="4.7109375" style="1" bestFit="1" customWidth="1"/>
    <col min="23" max="23" width="3.85546875" style="1"/>
    <col min="24" max="25" width="3.7109375" style="1" bestFit="1" customWidth="1"/>
    <col min="26" max="26" width="3.85546875" style="1"/>
    <col min="27" max="27" width="4.5703125" style="1" bestFit="1" customWidth="1"/>
    <col min="28" max="28" width="3.85546875" style="1"/>
    <col min="29" max="29" width="4.7109375" style="1" bestFit="1" customWidth="1"/>
    <col min="30" max="30" width="3.85546875" style="1"/>
    <col min="31" max="32" width="3.7109375" style="1" bestFit="1" customWidth="1"/>
    <col min="33" max="33" width="3.85546875" style="1"/>
    <col min="34" max="34" width="4.5703125" style="1" bestFit="1" customWidth="1"/>
    <col min="35" max="36" width="6.7109375" style="1" bestFit="1" customWidth="1"/>
    <col min="37" max="37" width="18.5703125" style="1" bestFit="1" customWidth="1"/>
    <col min="38" max="38" width="5.85546875" style="1" bestFit="1" customWidth="1"/>
    <col min="39" max="39" width="14.28515625" style="1" bestFit="1" customWidth="1"/>
    <col min="40" max="40" width="6.7109375" style="1" bestFit="1" customWidth="1"/>
    <col min="41" max="16384" width="3.85546875" style="1"/>
  </cols>
  <sheetData>
    <row r="1" spans="1:40" ht="17.25" x14ac:dyDescent="0.25">
      <c r="A1" s="47" t="s">
        <v>19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27"/>
      <c r="AJ1" s="27"/>
    </row>
    <row r="2" spans="1:40" ht="17.25" x14ac:dyDescent="0.3">
      <c r="A2" s="48" t="s">
        <v>183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28"/>
      <c r="AJ2" s="28"/>
      <c r="AK2" s="28"/>
    </row>
    <row r="3" spans="1:40" ht="15.75" x14ac:dyDescent="0.25">
      <c r="A3" s="49" t="s">
        <v>0</v>
      </c>
      <c r="B3" s="49" t="s">
        <v>1</v>
      </c>
      <c r="C3" s="49" t="s">
        <v>2</v>
      </c>
      <c r="D3" s="49" t="s">
        <v>3</v>
      </c>
      <c r="E3" s="2" t="str">
        <f t="shared" ref="E3:AH3" si="0">TEXT(E4,"ddd")</f>
        <v>Sun</v>
      </c>
      <c r="F3" s="2" t="str">
        <f t="shared" si="0"/>
        <v>Mon</v>
      </c>
      <c r="G3" s="2" t="str">
        <f t="shared" si="0"/>
        <v>Tue</v>
      </c>
      <c r="H3" s="2" t="str">
        <f t="shared" si="0"/>
        <v>Wed</v>
      </c>
      <c r="I3" s="2" t="str">
        <f t="shared" si="0"/>
        <v>Thu</v>
      </c>
      <c r="J3" s="2" t="str">
        <f t="shared" si="0"/>
        <v>Fri</v>
      </c>
      <c r="K3" s="2" t="str">
        <f t="shared" si="0"/>
        <v>Sat</v>
      </c>
      <c r="L3" s="2" t="str">
        <f t="shared" si="0"/>
        <v>Sun</v>
      </c>
      <c r="M3" s="2" t="str">
        <f t="shared" si="0"/>
        <v>Mon</v>
      </c>
      <c r="N3" s="2" t="str">
        <f t="shared" si="0"/>
        <v>Tue</v>
      </c>
      <c r="O3" s="2" t="str">
        <f t="shared" si="0"/>
        <v>Wed</v>
      </c>
      <c r="P3" s="2" t="str">
        <f t="shared" si="0"/>
        <v>Thu</v>
      </c>
      <c r="Q3" s="2" t="str">
        <f t="shared" si="0"/>
        <v>Fri</v>
      </c>
      <c r="R3" s="2" t="str">
        <f t="shared" si="0"/>
        <v>Sat</v>
      </c>
      <c r="S3" s="2" t="str">
        <f t="shared" si="0"/>
        <v>Sun</v>
      </c>
      <c r="T3" s="2" t="str">
        <f t="shared" si="0"/>
        <v>Mon</v>
      </c>
      <c r="U3" s="2" t="str">
        <f t="shared" si="0"/>
        <v>Tue</v>
      </c>
      <c r="V3" s="2" t="str">
        <f t="shared" si="0"/>
        <v>Wed</v>
      </c>
      <c r="W3" s="2" t="str">
        <f t="shared" si="0"/>
        <v>Thu</v>
      </c>
      <c r="X3" s="2" t="str">
        <f t="shared" si="0"/>
        <v>Fri</v>
      </c>
      <c r="Y3" s="2" t="str">
        <f t="shared" si="0"/>
        <v>Sat</v>
      </c>
      <c r="Z3" s="2" t="str">
        <f t="shared" si="0"/>
        <v>Sun</v>
      </c>
      <c r="AA3" s="2" t="str">
        <f t="shared" si="0"/>
        <v>Mon</v>
      </c>
      <c r="AB3" s="2" t="str">
        <f t="shared" si="0"/>
        <v>Tue</v>
      </c>
      <c r="AC3" s="2" t="str">
        <f t="shared" si="0"/>
        <v>Wed</v>
      </c>
      <c r="AD3" s="2" t="str">
        <f t="shared" si="0"/>
        <v>Thu</v>
      </c>
      <c r="AE3" s="2" t="str">
        <f t="shared" si="0"/>
        <v>Fri</v>
      </c>
      <c r="AF3" s="2" t="str">
        <f t="shared" si="0"/>
        <v>Sat</v>
      </c>
      <c r="AG3" s="2" t="str">
        <f t="shared" si="0"/>
        <v>Sun</v>
      </c>
      <c r="AH3" s="2" t="str">
        <f t="shared" si="0"/>
        <v>Mon</v>
      </c>
      <c r="AI3" s="45" t="s">
        <v>4</v>
      </c>
      <c r="AJ3" s="45" t="s">
        <v>5</v>
      </c>
      <c r="AK3" s="42" t="s">
        <v>17</v>
      </c>
      <c r="AL3" s="43"/>
      <c r="AM3" s="3"/>
      <c r="AN3" s="3"/>
    </row>
    <row r="4" spans="1:40" ht="36" x14ac:dyDescent="0.25">
      <c r="A4" s="50"/>
      <c r="B4" s="50"/>
      <c r="C4" s="50"/>
      <c r="D4" s="50"/>
      <c r="E4" s="10">
        <v>45536</v>
      </c>
      <c r="F4" s="10">
        <v>45537</v>
      </c>
      <c r="G4" s="10">
        <v>45538</v>
      </c>
      <c r="H4" s="10">
        <v>45539</v>
      </c>
      <c r="I4" s="10">
        <v>45540</v>
      </c>
      <c r="J4" s="10">
        <v>45541</v>
      </c>
      <c r="K4" s="10">
        <v>45542</v>
      </c>
      <c r="L4" s="10">
        <v>45543</v>
      </c>
      <c r="M4" s="10">
        <v>45544</v>
      </c>
      <c r="N4" s="10">
        <v>45545</v>
      </c>
      <c r="O4" s="10">
        <v>45546</v>
      </c>
      <c r="P4" s="10">
        <v>45547</v>
      </c>
      <c r="Q4" s="10">
        <v>45548</v>
      </c>
      <c r="R4" s="10">
        <v>45549</v>
      </c>
      <c r="S4" s="10">
        <v>45550</v>
      </c>
      <c r="T4" s="10">
        <v>45551</v>
      </c>
      <c r="U4" s="10">
        <v>45552</v>
      </c>
      <c r="V4" s="10">
        <v>45553</v>
      </c>
      <c r="W4" s="10">
        <v>45554</v>
      </c>
      <c r="X4" s="10">
        <v>45555</v>
      </c>
      <c r="Y4" s="10">
        <v>45556</v>
      </c>
      <c r="Z4" s="10">
        <v>45557</v>
      </c>
      <c r="AA4" s="10">
        <v>45558</v>
      </c>
      <c r="AB4" s="10">
        <v>45559</v>
      </c>
      <c r="AC4" s="10">
        <v>45560</v>
      </c>
      <c r="AD4" s="10">
        <v>45561</v>
      </c>
      <c r="AE4" s="10">
        <v>45562</v>
      </c>
      <c r="AF4" s="10">
        <v>45563</v>
      </c>
      <c r="AG4" s="10">
        <v>45564</v>
      </c>
      <c r="AH4" s="10">
        <v>45565</v>
      </c>
      <c r="AI4" s="45"/>
      <c r="AJ4" s="45"/>
      <c r="AK4" s="4" t="s">
        <v>103</v>
      </c>
      <c r="AL4" s="4">
        <f>SUM(AL5:AL7)</f>
        <v>30</v>
      </c>
      <c r="AM4" s="3"/>
      <c r="AN4" s="3"/>
    </row>
    <row r="5" spans="1:40" ht="15" customHeight="1" x14ac:dyDescent="0.25">
      <c r="A5" s="5">
        <v>1</v>
      </c>
      <c r="B5" s="29" t="s">
        <v>184</v>
      </c>
      <c r="C5" s="30" t="s">
        <v>185</v>
      </c>
      <c r="D5" s="6" t="s">
        <v>186</v>
      </c>
      <c r="E5" s="46" t="s">
        <v>109</v>
      </c>
      <c r="F5" s="31" t="s">
        <v>21</v>
      </c>
      <c r="G5" s="31" t="s">
        <v>21</v>
      </c>
      <c r="H5" s="31" t="s">
        <v>20</v>
      </c>
      <c r="I5" s="31" t="s">
        <v>20</v>
      </c>
      <c r="J5" s="31" t="s">
        <v>20</v>
      </c>
      <c r="K5" s="31" t="s">
        <v>20</v>
      </c>
      <c r="L5" s="46" t="s">
        <v>109</v>
      </c>
      <c r="M5" s="31" t="s">
        <v>20</v>
      </c>
      <c r="N5" s="31" t="s">
        <v>20</v>
      </c>
      <c r="O5" s="31" t="s">
        <v>20</v>
      </c>
      <c r="P5" s="31" t="s">
        <v>20</v>
      </c>
      <c r="Q5" s="31" t="s">
        <v>21</v>
      </c>
      <c r="R5" s="31" t="s">
        <v>21</v>
      </c>
      <c r="S5" s="46" t="s">
        <v>109</v>
      </c>
      <c r="T5" s="31" t="s">
        <v>21</v>
      </c>
      <c r="U5" s="41" t="s">
        <v>272</v>
      </c>
      <c r="V5" s="31" t="s">
        <v>20</v>
      </c>
      <c r="W5" s="31" t="s">
        <v>20</v>
      </c>
      <c r="X5" s="31" t="s">
        <v>20</v>
      </c>
      <c r="Y5" s="31" t="s">
        <v>21</v>
      </c>
      <c r="Z5" s="46" t="s">
        <v>109</v>
      </c>
      <c r="AA5" s="31" t="s">
        <v>20</v>
      </c>
      <c r="AB5" s="31" t="s">
        <v>20</v>
      </c>
      <c r="AC5" s="31" t="s">
        <v>20</v>
      </c>
      <c r="AD5" s="31" t="s">
        <v>20</v>
      </c>
      <c r="AE5" s="31" t="s">
        <v>20</v>
      </c>
      <c r="AF5" s="31" t="s">
        <v>20</v>
      </c>
      <c r="AG5" s="46" t="s">
        <v>109</v>
      </c>
      <c r="AH5" s="31" t="s">
        <v>20</v>
      </c>
      <c r="AI5" s="4">
        <f t="shared" ref="AI5:AI53" si="1">COUNTIF(E5:AH5,"P")</f>
        <v>18</v>
      </c>
      <c r="AJ5" s="4">
        <f t="shared" ref="AJ5:AJ53" si="2">COUNTIF(E5:AH5,"A")</f>
        <v>6</v>
      </c>
      <c r="AK5" s="4" t="s">
        <v>6</v>
      </c>
      <c r="AL5" s="7">
        <v>24</v>
      </c>
      <c r="AM5" s="8"/>
      <c r="AN5" s="3"/>
    </row>
    <row r="6" spans="1:40" x14ac:dyDescent="0.25">
      <c r="A6" s="7">
        <v>2</v>
      </c>
      <c r="B6" s="32" t="s">
        <v>187</v>
      </c>
      <c r="C6" s="33" t="s">
        <v>148</v>
      </c>
      <c r="D6" s="19" t="s">
        <v>186</v>
      </c>
      <c r="E6" s="46"/>
      <c r="F6" s="31" t="s">
        <v>20</v>
      </c>
      <c r="G6" s="31" t="s">
        <v>20</v>
      </c>
      <c r="H6" s="31" t="s">
        <v>20</v>
      </c>
      <c r="I6" s="31" t="s">
        <v>20</v>
      </c>
      <c r="J6" s="31" t="s">
        <v>20</v>
      </c>
      <c r="K6" s="31" t="s">
        <v>20</v>
      </c>
      <c r="L6" s="46"/>
      <c r="M6" s="31" t="s">
        <v>20</v>
      </c>
      <c r="N6" s="31" t="s">
        <v>20</v>
      </c>
      <c r="O6" s="31" t="s">
        <v>20</v>
      </c>
      <c r="P6" s="31" t="s">
        <v>20</v>
      </c>
      <c r="Q6" s="31" t="s">
        <v>20</v>
      </c>
      <c r="R6" s="31" t="s">
        <v>20</v>
      </c>
      <c r="S6" s="46"/>
      <c r="T6" s="31" t="s">
        <v>21</v>
      </c>
      <c r="U6" s="41"/>
      <c r="V6" s="31" t="s">
        <v>20</v>
      </c>
      <c r="W6" s="31" t="s">
        <v>20</v>
      </c>
      <c r="X6" s="31" t="s">
        <v>20</v>
      </c>
      <c r="Y6" s="31" t="s">
        <v>20</v>
      </c>
      <c r="Z6" s="46"/>
      <c r="AA6" s="31" t="s">
        <v>20</v>
      </c>
      <c r="AB6" s="31" t="s">
        <v>20</v>
      </c>
      <c r="AC6" s="31" t="s">
        <v>20</v>
      </c>
      <c r="AD6" s="31" t="s">
        <v>20</v>
      </c>
      <c r="AE6" s="31" t="s">
        <v>21</v>
      </c>
      <c r="AF6" s="31" t="s">
        <v>20</v>
      </c>
      <c r="AG6" s="46"/>
      <c r="AH6" s="31" t="s">
        <v>20</v>
      </c>
      <c r="AI6" s="4">
        <f t="shared" si="1"/>
        <v>22</v>
      </c>
      <c r="AJ6" s="4">
        <f t="shared" si="2"/>
        <v>2</v>
      </c>
      <c r="AK6" s="4" t="s">
        <v>7</v>
      </c>
      <c r="AL6" s="7">
        <v>5</v>
      </c>
      <c r="AM6" s="3"/>
      <c r="AN6" s="3"/>
    </row>
    <row r="7" spans="1:40" x14ac:dyDescent="0.25">
      <c r="A7" s="5">
        <v>3</v>
      </c>
      <c r="B7" s="32" t="s">
        <v>188</v>
      </c>
      <c r="C7" s="33" t="s">
        <v>189</v>
      </c>
      <c r="D7" s="19" t="s">
        <v>186</v>
      </c>
      <c r="E7" s="46"/>
      <c r="F7" s="31" t="s">
        <v>20</v>
      </c>
      <c r="G7" s="31" t="s">
        <v>20</v>
      </c>
      <c r="H7" s="31" t="s">
        <v>20</v>
      </c>
      <c r="I7" s="31" t="s">
        <v>20</v>
      </c>
      <c r="J7" s="31" t="s">
        <v>21</v>
      </c>
      <c r="K7" s="31" t="s">
        <v>21</v>
      </c>
      <c r="L7" s="46"/>
      <c r="M7" s="31" t="s">
        <v>20</v>
      </c>
      <c r="N7" s="31" t="s">
        <v>20</v>
      </c>
      <c r="O7" s="31" t="s">
        <v>21</v>
      </c>
      <c r="P7" s="31" t="s">
        <v>20</v>
      </c>
      <c r="Q7" s="31" t="s">
        <v>21</v>
      </c>
      <c r="R7" s="31" t="s">
        <v>21</v>
      </c>
      <c r="S7" s="46"/>
      <c r="T7" s="31" t="s">
        <v>20</v>
      </c>
      <c r="U7" s="41"/>
      <c r="V7" s="31" t="s">
        <v>20</v>
      </c>
      <c r="W7" s="31" t="s">
        <v>20</v>
      </c>
      <c r="X7" s="31" t="s">
        <v>20</v>
      </c>
      <c r="Y7" s="31" t="s">
        <v>21</v>
      </c>
      <c r="Z7" s="46"/>
      <c r="AA7" s="31" t="s">
        <v>20</v>
      </c>
      <c r="AB7" s="31" t="s">
        <v>20</v>
      </c>
      <c r="AC7" s="31" t="s">
        <v>20</v>
      </c>
      <c r="AD7" s="31" t="s">
        <v>20</v>
      </c>
      <c r="AE7" s="31" t="s">
        <v>20</v>
      </c>
      <c r="AF7" s="31" t="s">
        <v>20</v>
      </c>
      <c r="AG7" s="46"/>
      <c r="AH7" s="31" t="s">
        <v>20</v>
      </c>
      <c r="AI7" s="4">
        <f t="shared" si="1"/>
        <v>18</v>
      </c>
      <c r="AJ7" s="4">
        <f t="shared" si="2"/>
        <v>6</v>
      </c>
      <c r="AK7" s="4" t="s">
        <v>105</v>
      </c>
      <c r="AL7" s="7">
        <v>1</v>
      </c>
      <c r="AM7" s="3"/>
      <c r="AN7" s="3"/>
    </row>
    <row r="8" spans="1:40" x14ac:dyDescent="0.25">
      <c r="A8" s="5">
        <v>4</v>
      </c>
      <c r="B8" s="32" t="s">
        <v>190</v>
      </c>
      <c r="C8" s="33" t="s">
        <v>191</v>
      </c>
      <c r="D8" s="19" t="s">
        <v>186</v>
      </c>
      <c r="E8" s="46"/>
      <c r="F8" s="31" t="s">
        <v>20</v>
      </c>
      <c r="G8" s="31" t="s">
        <v>20</v>
      </c>
      <c r="H8" s="31" t="s">
        <v>20</v>
      </c>
      <c r="I8" s="31" t="s">
        <v>20</v>
      </c>
      <c r="J8" s="31" t="s">
        <v>21</v>
      </c>
      <c r="K8" s="31" t="s">
        <v>20</v>
      </c>
      <c r="L8" s="46"/>
      <c r="M8" s="31" t="s">
        <v>20</v>
      </c>
      <c r="N8" s="31" t="s">
        <v>21</v>
      </c>
      <c r="O8" s="31" t="s">
        <v>20</v>
      </c>
      <c r="P8" s="31" t="s">
        <v>21</v>
      </c>
      <c r="Q8" s="31" t="s">
        <v>20</v>
      </c>
      <c r="R8" s="31" t="s">
        <v>20</v>
      </c>
      <c r="S8" s="46"/>
      <c r="T8" s="31" t="s">
        <v>20</v>
      </c>
      <c r="U8" s="41"/>
      <c r="V8" s="31" t="s">
        <v>20</v>
      </c>
      <c r="W8" s="31" t="s">
        <v>20</v>
      </c>
      <c r="X8" s="31" t="s">
        <v>20</v>
      </c>
      <c r="Y8" s="31" t="s">
        <v>20</v>
      </c>
      <c r="Z8" s="46"/>
      <c r="AA8" s="31" t="s">
        <v>20</v>
      </c>
      <c r="AB8" s="31" t="s">
        <v>20</v>
      </c>
      <c r="AC8" s="31" t="s">
        <v>21</v>
      </c>
      <c r="AD8" s="31" t="s">
        <v>20</v>
      </c>
      <c r="AE8" s="31" t="s">
        <v>20</v>
      </c>
      <c r="AF8" s="31" t="s">
        <v>21</v>
      </c>
      <c r="AG8" s="46"/>
      <c r="AH8" s="31" t="s">
        <v>20</v>
      </c>
      <c r="AI8" s="4">
        <f t="shared" si="1"/>
        <v>19</v>
      </c>
      <c r="AJ8" s="4">
        <f t="shared" si="2"/>
        <v>5</v>
      </c>
      <c r="AK8"/>
      <c r="AL8"/>
      <c r="AM8"/>
      <c r="AN8"/>
    </row>
    <row r="9" spans="1:40" ht="15.75" x14ac:dyDescent="0.25">
      <c r="A9" s="7">
        <v>5</v>
      </c>
      <c r="B9" s="32" t="s">
        <v>192</v>
      </c>
      <c r="C9" s="33" t="s">
        <v>193</v>
      </c>
      <c r="D9" s="19" t="s">
        <v>186</v>
      </c>
      <c r="E9" s="46"/>
      <c r="F9" s="31" t="s">
        <v>20</v>
      </c>
      <c r="G9" s="31" t="s">
        <v>21</v>
      </c>
      <c r="H9" s="31" t="s">
        <v>20</v>
      </c>
      <c r="I9" s="31" t="s">
        <v>20</v>
      </c>
      <c r="J9" s="31" t="s">
        <v>21</v>
      </c>
      <c r="K9" s="31" t="s">
        <v>21</v>
      </c>
      <c r="L9" s="46"/>
      <c r="M9" s="31" t="s">
        <v>20</v>
      </c>
      <c r="N9" s="31" t="s">
        <v>20</v>
      </c>
      <c r="O9" s="31" t="s">
        <v>20</v>
      </c>
      <c r="P9" s="31" t="s">
        <v>20</v>
      </c>
      <c r="Q9" s="31" t="s">
        <v>20</v>
      </c>
      <c r="R9" s="31" t="s">
        <v>20</v>
      </c>
      <c r="S9" s="46"/>
      <c r="T9" s="31" t="s">
        <v>20</v>
      </c>
      <c r="U9" s="41"/>
      <c r="V9" s="31" t="s">
        <v>20</v>
      </c>
      <c r="W9" s="31" t="s">
        <v>20</v>
      </c>
      <c r="X9" s="31" t="s">
        <v>20</v>
      </c>
      <c r="Y9" s="31" t="s">
        <v>21</v>
      </c>
      <c r="Z9" s="46"/>
      <c r="AA9" s="31" t="s">
        <v>20</v>
      </c>
      <c r="AB9" s="31" t="s">
        <v>20</v>
      </c>
      <c r="AC9" s="31" t="s">
        <v>21</v>
      </c>
      <c r="AD9" s="31" t="s">
        <v>20</v>
      </c>
      <c r="AE9" s="31" t="s">
        <v>20</v>
      </c>
      <c r="AF9" s="31" t="s">
        <v>21</v>
      </c>
      <c r="AG9" s="46"/>
      <c r="AH9" s="31" t="s">
        <v>21</v>
      </c>
      <c r="AI9" s="4">
        <f t="shared" si="1"/>
        <v>17</v>
      </c>
      <c r="AJ9" s="4">
        <f t="shared" si="2"/>
        <v>7</v>
      </c>
      <c r="AK9" s="42" t="s">
        <v>8</v>
      </c>
      <c r="AL9" s="43"/>
      <c r="AM9" s="43"/>
      <c r="AN9" s="44"/>
    </row>
    <row r="10" spans="1:40" x14ac:dyDescent="0.25">
      <c r="A10" s="5">
        <v>6</v>
      </c>
      <c r="B10" s="32" t="s">
        <v>194</v>
      </c>
      <c r="C10" s="33" t="s">
        <v>195</v>
      </c>
      <c r="D10" s="19" t="s">
        <v>186</v>
      </c>
      <c r="E10" s="46"/>
      <c r="F10" s="31" t="s">
        <v>21</v>
      </c>
      <c r="G10" s="31" t="s">
        <v>20</v>
      </c>
      <c r="H10" s="31" t="s">
        <v>20</v>
      </c>
      <c r="I10" s="31" t="s">
        <v>20</v>
      </c>
      <c r="J10" s="31" t="s">
        <v>20</v>
      </c>
      <c r="K10" s="31" t="s">
        <v>20</v>
      </c>
      <c r="L10" s="46"/>
      <c r="M10" s="31" t="s">
        <v>20</v>
      </c>
      <c r="N10" s="31" t="s">
        <v>21</v>
      </c>
      <c r="O10" s="31" t="s">
        <v>20</v>
      </c>
      <c r="P10" s="31" t="s">
        <v>20</v>
      </c>
      <c r="Q10" s="31" t="s">
        <v>20</v>
      </c>
      <c r="R10" s="31" t="s">
        <v>20</v>
      </c>
      <c r="S10" s="46"/>
      <c r="T10" s="31" t="s">
        <v>21</v>
      </c>
      <c r="U10" s="41"/>
      <c r="V10" s="31" t="s">
        <v>21</v>
      </c>
      <c r="W10" s="31" t="s">
        <v>21</v>
      </c>
      <c r="X10" s="31" t="s">
        <v>21</v>
      </c>
      <c r="Y10" s="31" t="s">
        <v>21</v>
      </c>
      <c r="Z10" s="46"/>
      <c r="AA10" s="31" t="s">
        <v>20</v>
      </c>
      <c r="AB10" s="31" t="s">
        <v>21</v>
      </c>
      <c r="AC10" s="31" t="s">
        <v>21</v>
      </c>
      <c r="AD10" s="31" t="s">
        <v>20</v>
      </c>
      <c r="AE10" s="31" t="s">
        <v>20</v>
      </c>
      <c r="AF10" s="31" t="s">
        <v>21</v>
      </c>
      <c r="AG10" s="46"/>
      <c r="AH10" s="31" t="s">
        <v>20</v>
      </c>
      <c r="AI10" s="4">
        <f t="shared" si="1"/>
        <v>14</v>
      </c>
      <c r="AJ10" s="4">
        <f t="shared" si="2"/>
        <v>10</v>
      </c>
      <c r="AK10" s="4" t="s">
        <v>9</v>
      </c>
      <c r="AL10" s="4" t="s">
        <v>10</v>
      </c>
      <c r="AM10" s="4" t="s">
        <v>11</v>
      </c>
      <c r="AN10" s="4" t="s">
        <v>12</v>
      </c>
    </row>
    <row r="11" spans="1:40" x14ac:dyDescent="0.25">
      <c r="A11" s="5">
        <v>7</v>
      </c>
      <c r="B11" s="32" t="s">
        <v>196</v>
      </c>
      <c r="C11" s="33" t="s">
        <v>197</v>
      </c>
      <c r="D11" s="19" t="s">
        <v>186</v>
      </c>
      <c r="E11" s="46"/>
      <c r="F11" s="31" t="s">
        <v>20</v>
      </c>
      <c r="G11" s="31" t="s">
        <v>20</v>
      </c>
      <c r="H11" s="31" t="s">
        <v>21</v>
      </c>
      <c r="I11" s="31" t="s">
        <v>20</v>
      </c>
      <c r="J11" s="31" t="s">
        <v>20</v>
      </c>
      <c r="K11" s="31" t="s">
        <v>21</v>
      </c>
      <c r="L11" s="46"/>
      <c r="M11" s="31" t="s">
        <v>20</v>
      </c>
      <c r="N11" s="31" t="s">
        <v>20</v>
      </c>
      <c r="O11" s="31" t="s">
        <v>20</v>
      </c>
      <c r="P11" s="31" t="s">
        <v>20</v>
      </c>
      <c r="Q11" s="31" t="s">
        <v>21</v>
      </c>
      <c r="R11" s="31" t="s">
        <v>21</v>
      </c>
      <c r="S11" s="46"/>
      <c r="T11" s="31" t="s">
        <v>21</v>
      </c>
      <c r="U11" s="41"/>
      <c r="V11" s="31" t="s">
        <v>20</v>
      </c>
      <c r="W11" s="31" t="s">
        <v>20</v>
      </c>
      <c r="X11" s="31" t="s">
        <v>20</v>
      </c>
      <c r="Y11" s="31" t="s">
        <v>21</v>
      </c>
      <c r="Z11" s="46"/>
      <c r="AA11" s="31" t="s">
        <v>20</v>
      </c>
      <c r="AB11" s="31" t="s">
        <v>20</v>
      </c>
      <c r="AC11" s="31" t="s">
        <v>20</v>
      </c>
      <c r="AD11" s="31" t="s">
        <v>20</v>
      </c>
      <c r="AE11" s="31" t="s">
        <v>20</v>
      </c>
      <c r="AF11" s="31" t="s">
        <v>21</v>
      </c>
      <c r="AG11" s="46"/>
      <c r="AH11" s="31" t="s">
        <v>20</v>
      </c>
      <c r="AI11" s="4">
        <f t="shared" si="1"/>
        <v>17</v>
      </c>
      <c r="AJ11" s="4">
        <f t="shared" si="2"/>
        <v>7</v>
      </c>
      <c r="AK11" s="4" t="s">
        <v>13</v>
      </c>
      <c r="AL11" s="7">
        <f>26*AL5</f>
        <v>624</v>
      </c>
      <c r="AM11" s="7">
        <f>23*AL5</f>
        <v>552</v>
      </c>
      <c r="AN11" s="7">
        <f>SUM(AL11:AM11)</f>
        <v>1176</v>
      </c>
    </row>
    <row r="12" spans="1:40" x14ac:dyDescent="0.25">
      <c r="A12" s="7">
        <v>8</v>
      </c>
      <c r="B12" s="32" t="s">
        <v>198</v>
      </c>
      <c r="C12" s="33" t="s">
        <v>173</v>
      </c>
      <c r="D12" s="19" t="s">
        <v>186</v>
      </c>
      <c r="E12" s="46"/>
      <c r="F12" s="31" t="s">
        <v>20</v>
      </c>
      <c r="G12" s="31" t="s">
        <v>20</v>
      </c>
      <c r="H12" s="31" t="s">
        <v>20</v>
      </c>
      <c r="I12" s="31" t="s">
        <v>20</v>
      </c>
      <c r="J12" s="31" t="s">
        <v>20</v>
      </c>
      <c r="K12" s="31" t="s">
        <v>20</v>
      </c>
      <c r="L12" s="46"/>
      <c r="M12" s="31" t="s">
        <v>20</v>
      </c>
      <c r="N12" s="31" t="s">
        <v>20</v>
      </c>
      <c r="O12" s="31" t="s">
        <v>20</v>
      </c>
      <c r="P12" s="31" t="s">
        <v>20</v>
      </c>
      <c r="Q12" s="31" t="s">
        <v>20</v>
      </c>
      <c r="R12" s="31" t="s">
        <v>20</v>
      </c>
      <c r="S12" s="46"/>
      <c r="T12" s="31" t="s">
        <v>20</v>
      </c>
      <c r="U12" s="41"/>
      <c r="V12" s="31" t="s">
        <v>20</v>
      </c>
      <c r="W12" s="31" t="s">
        <v>20</v>
      </c>
      <c r="X12" s="31" t="s">
        <v>20</v>
      </c>
      <c r="Y12" s="31" t="s">
        <v>21</v>
      </c>
      <c r="Z12" s="46"/>
      <c r="AA12" s="31" t="s">
        <v>20</v>
      </c>
      <c r="AB12" s="31" t="s">
        <v>20</v>
      </c>
      <c r="AC12" s="31" t="s">
        <v>21</v>
      </c>
      <c r="AD12" s="31" t="s">
        <v>20</v>
      </c>
      <c r="AE12" s="31" t="s">
        <v>20</v>
      </c>
      <c r="AF12" s="31" t="s">
        <v>20</v>
      </c>
      <c r="AG12" s="46"/>
      <c r="AH12" s="31" t="s">
        <v>20</v>
      </c>
      <c r="AI12" s="4">
        <f t="shared" si="1"/>
        <v>22</v>
      </c>
      <c r="AJ12" s="4">
        <f t="shared" si="2"/>
        <v>2</v>
      </c>
      <c r="AK12" s="4" t="s">
        <v>14</v>
      </c>
      <c r="AL12" s="7">
        <f>SUM(AI6,AI9,AI11,AI13,AI15,AI16,AI21,AI22,AI23,AI24,AI25,AI26,AI27,AI32,AI34,AI36,AI40,AI41,AI43,AI44,AI45,AI50,AI51,AI52,AI53)</f>
        <v>444</v>
      </c>
      <c r="AM12" s="7">
        <f>SUM(AI5,AI8,AI10,AI12,AI14,AI15,AI17,AI18,AI19,AI20,AI28,AI29,AI30,AI31,AI33,AI35,AI37,AI38,AI39,AI42,AI47,AI48,AI49)</f>
        <v>447</v>
      </c>
      <c r="AN12" s="7">
        <f>AL12+AM12</f>
        <v>891</v>
      </c>
    </row>
    <row r="13" spans="1:40" x14ac:dyDescent="0.25">
      <c r="A13" s="5">
        <v>9</v>
      </c>
      <c r="B13" s="32" t="s">
        <v>199</v>
      </c>
      <c r="C13" s="33" t="s">
        <v>164</v>
      </c>
      <c r="D13" s="19" t="s">
        <v>186</v>
      </c>
      <c r="E13" s="46"/>
      <c r="F13" s="31" t="s">
        <v>20</v>
      </c>
      <c r="G13" s="31" t="s">
        <v>20</v>
      </c>
      <c r="H13" s="31" t="s">
        <v>20</v>
      </c>
      <c r="I13" s="31" t="s">
        <v>20</v>
      </c>
      <c r="J13" s="31" t="s">
        <v>20</v>
      </c>
      <c r="K13" s="31" t="s">
        <v>20</v>
      </c>
      <c r="L13" s="46"/>
      <c r="M13" s="31" t="s">
        <v>20</v>
      </c>
      <c r="N13" s="31" t="s">
        <v>20</v>
      </c>
      <c r="O13" s="31" t="s">
        <v>20</v>
      </c>
      <c r="P13" s="31" t="s">
        <v>20</v>
      </c>
      <c r="Q13" s="31" t="s">
        <v>20</v>
      </c>
      <c r="R13" s="31" t="s">
        <v>20</v>
      </c>
      <c r="S13" s="46"/>
      <c r="T13" s="31" t="s">
        <v>20</v>
      </c>
      <c r="U13" s="41"/>
      <c r="V13" s="31" t="s">
        <v>20</v>
      </c>
      <c r="W13" s="31" t="s">
        <v>20</v>
      </c>
      <c r="X13" s="31" t="s">
        <v>20</v>
      </c>
      <c r="Y13" s="31" t="s">
        <v>20</v>
      </c>
      <c r="Z13" s="46"/>
      <c r="AA13" s="31" t="s">
        <v>20</v>
      </c>
      <c r="AB13" s="31" t="s">
        <v>20</v>
      </c>
      <c r="AC13" s="31" t="s">
        <v>20</v>
      </c>
      <c r="AD13" s="31" t="s">
        <v>20</v>
      </c>
      <c r="AE13" s="31" t="s">
        <v>20</v>
      </c>
      <c r="AF13" s="31" t="s">
        <v>20</v>
      </c>
      <c r="AG13" s="46"/>
      <c r="AH13" s="31" t="s">
        <v>20</v>
      </c>
      <c r="AI13" s="4">
        <f t="shared" si="1"/>
        <v>24</v>
      </c>
      <c r="AJ13" s="4">
        <f t="shared" si="2"/>
        <v>0</v>
      </c>
      <c r="AK13" s="4" t="s">
        <v>15</v>
      </c>
      <c r="AL13" s="9">
        <f>AL12/AL11</f>
        <v>0.71153846153846156</v>
      </c>
      <c r="AM13" s="9">
        <f>AM12/AM11</f>
        <v>0.80978260869565222</v>
      </c>
      <c r="AN13" s="9">
        <f>AN12/AN11</f>
        <v>0.75765306122448983</v>
      </c>
    </row>
    <row r="14" spans="1:40" x14ac:dyDescent="0.25">
      <c r="A14" s="5">
        <v>10</v>
      </c>
      <c r="B14" s="32" t="s">
        <v>200</v>
      </c>
      <c r="C14" s="33" t="s">
        <v>201</v>
      </c>
      <c r="D14" s="19" t="s">
        <v>186</v>
      </c>
      <c r="E14" s="46"/>
      <c r="F14" s="31" t="s">
        <v>20</v>
      </c>
      <c r="G14" s="31" t="s">
        <v>20</v>
      </c>
      <c r="H14" s="31" t="s">
        <v>20</v>
      </c>
      <c r="I14" s="31" t="s">
        <v>20</v>
      </c>
      <c r="J14" s="31" t="s">
        <v>20</v>
      </c>
      <c r="K14" s="31" t="s">
        <v>20</v>
      </c>
      <c r="L14" s="46"/>
      <c r="M14" s="31" t="s">
        <v>20</v>
      </c>
      <c r="N14" s="31" t="s">
        <v>20</v>
      </c>
      <c r="O14" s="31" t="s">
        <v>20</v>
      </c>
      <c r="P14" s="31" t="s">
        <v>20</v>
      </c>
      <c r="Q14" s="31" t="s">
        <v>20</v>
      </c>
      <c r="R14" s="31" t="s">
        <v>20</v>
      </c>
      <c r="S14" s="46"/>
      <c r="T14" s="31" t="s">
        <v>20</v>
      </c>
      <c r="U14" s="41"/>
      <c r="V14" s="31" t="s">
        <v>20</v>
      </c>
      <c r="W14" s="31" t="s">
        <v>20</v>
      </c>
      <c r="X14" s="31" t="s">
        <v>20</v>
      </c>
      <c r="Y14" s="31" t="s">
        <v>20</v>
      </c>
      <c r="Z14" s="46"/>
      <c r="AA14" s="31" t="s">
        <v>20</v>
      </c>
      <c r="AB14" s="31" t="s">
        <v>20</v>
      </c>
      <c r="AC14" s="31" t="s">
        <v>20</v>
      </c>
      <c r="AD14" s="31" t="s">
        <v>20</v>
      </c>
      <c r="AE14" s="31" t="s">
        <v>20</v>
      </c>
      <c r="AF14" s="31" t="s">
        <v>20</v>
      </c>
      <c r="AG14" s="46"/>
      <c r="AH14" s="31" t="s">
        <v>20</v>
      </c>
      <c r="AI14" s="4">
        <f t="shared" si="1"/>
        <v>24</v>
      </c>
      <c r="AJ14" s="4">
        <f t="shared" si="2"/>
        <v>0</v>
      </c>
      <c r="AK14"/>
      <c r="AL14"/>
      <c r="AM14"/>
      <c r="AN14"/>
    </row>
    <row r="15" spans="1:40" x14ac:dyDescent="0.25">
      <c r="A15" s="7">
        <v>11</v>
      </c>
      <c r="B15" s="32" t="s">
        <v>202</v>
      </c>
      <c r="C15" s="33" t="s">
        <v>203</v>
      </c>
      <c r="D15" s="19" t="s">
        <v>186</v>
      </c>
      <c r="E15" s="46"/>
      <c r="F15" s="31" t="s">
        <v>20</v>
      </c>
      <c r="G15" s="31" t="s">
        <v>20</v>
      </c>
      <c r="H15" s="31" t="s">
        <v>20</v>
      </c>
      <c r="I15" s="31" t="s">
        <v>20</v>
      </c>
      <c r="J15" s="31" t="s">
        <v>20</v>
      </c>
      <c r="K15" s="31" t="s">
        <v>21</v>
      </c>
      <c r="L15" s="46"/>
      <c r="M15" s="31" t="s">
        <v>21</v>
      </c>
      <c r="N15" s="31" t="s">
        <v>21</v>
      </c>
      <c r="O15" s="31" t="s">
        <v>21</v>
      </c>
      <c r="P15" s="31" t="s">
        <v>21</v>
      </c>
      <c r="Q15" s="31" t="s">
        <v>21</v>
      </c>
      <c r="R15" s="31" t="s">
        <v>21</v>
      </c>
      <c r="S15" s="46"/>
      <c r="T15" s="31" t="s">
        <v>20</v>
      </c>
      <c r="U15" s="41"/>
      <c r="V15" s="31" t="s">
        <v>21</v>
      </c>
      <c r="W15" s="31" t="s">
        <v>21</v>
      </c>
      <c r="X15" s="31" t="s">
        <v>20</v>
      </c>
      <c r="Y15" s="31" t="s">
        <v>20</v>
      </c>
      <c r="Z15" s="46"/>
      <c r="AA15" s="31" t="s">
        <v>20</v>
      </c>
      <c r="AB15" s="31" t="s">
        <v>20</v>
      </c>
      <c r="AC15" s="31" t="s">
        <v>20</v>
      </c>
      <c r="AD15" s="31" t="s">
        <v>20</v>
      </c>
      <c r="AE15" s="31" t="s">
        <v>20</v>
      </c>
      <c r="AF15" s="31" t="s">
        <v>20</v>
      </c>
      <c r="AG15" s="46"/>
      <c r="AH15" s="31" t="s">
        <v>20</v>
      </c>
      <c r="AI15" s="4">
        <f t="shared" si="1"/>
        <v>15</v>
      </c>
      <c r="AJ15" s="4">
        <f t="shared" si="2"/>
        <v>9</v>
      </c>
      <c r="AK15"/>
      <c r="AL15"/>
      <c r="AM15"/>
      <c r="AN15"/>
    </row>
    <row r="16" spans="1:40" x14ac:dyDescent="0.25">
      <c r="A16" s="5">
        <v>12</v>
      </c>
      <c r="B16" s="32" t="s">
        <v>204</v>
      </c>
      <c r="C16" s="33" t="s">
        <v>205</v>
      </c>
      <c r="D16" s="19" t="s">
        <v>186</v>
      </c>
      <c r="E16" s="46"/>
      <c r="F16" s="31" t="s">
        <v>20</v>
      </c>
      <c r="G16" s="31" t="s">
        <v>20</v>
      </c>
      <c r="H16" s="31" t="s">
        <v>21</v>
      </c>
      <c r="I16" s="31" t="s">
        <v>20</v>
      </c>
      <c r="J16" s="31" t="s">
        <v>20</v>
      </c>
      <c r="K16" s="31" t="s">
        <v>20</v>
      </c>
      <c r="L16" s="46"/>
      <c r="M16" s="31" t="s">
        <v>20</v>
      </c>
      <c r="N16" s="31" t="s">
        <v>20</v>
      </c>
      <c r="O16" s="31" t="s">
        <v>20</v>
      </c>
      <c r="P16" s="31" t="s">
        <v>20</v>
      </c>
      <c r="Q16" s="31" t="s">
        <v>21</v>
      </c>
      <c r="R16" s="31" t="s">
        <v>20</v>
      </c>
      <c r="S16" s="46"/>
      <c r="T16" s="31" t="s">
        <v>20</v>
      </c>
      <c r="U16" s="41"/>
      <c r="V16" s="31" t="s">
        <v>20</v>
      </c>
      <c r="W16" s="31" t="s">
        <v>20</v>
      </c>
      <c r="X16" s="31" t="s">
        <v>20</v>
      </c>
      <c r="Y16" s="31" t="s">
        <v>20</v>
      </c>
      <c r="Z16" s="46"/>
      <c r="AA16" s="31" t="s">
        <v>20</v>
      </c>
      <c r="AB16" s="31" t="s">
        <v>20</v>
      </c>
      <c r="AC16" s="31" t="s">
        <v>20</v>
      </c>
      <c r="AD16" s="31" t="s">
        <v>20</v>
      </c>
      <c r="AE16" s="31" t="s">
        <v>20</v>
      </c>
      <c r="AF16" s="31" t="s">
        <v>20</v>
      </c>
      <c r="AG16" s="46"/>
      <c r="AH16" s="31" t="s">
        <v>20</v>
      </c>
      <c r="AI16" s="4">
        <f t="shared" si="1"/>
        <v>22</v>
      </c>
      <c r="AJ16" s="4">
        <f t="shared" si="2"/>
        <v>2</v>
      </c>
      <c r="AK16"/>
      <c r="AL16"/>
      <c r="AM16"/>
      <c r="AN16"/>
    </row>
    <row r="17" spans="1:40" ht="15.75" x14ac:dyDescent="0.25">
      <c r="A17" s="5">
        <v>13</v>
      </c>
      <c r="B17" s="32" t="s">
        <v>206</v>
      </c>
      <c r="C17" s="33" t="s">
        <v>207</v>
      </c>
      <c r="D17" s="19" t="s">
        <v>186</v>
      </c>
      <c r="E17" s="46"/>
      <c r="F17" s="31" t="s">
        <v>20</v>
      </c>
      <c r="G17" s="31" t="s">
        <v>20</v>
      </c>
      <c r="H17" s="31" t="s">
        <v>20</v>
      </c>
      <c r="I17" s="31" t="s">
        <v>20</v>
      </c>
      <c r="J17" s="31" t="s">
        <v>21</v>
      </c>
      <c r="K17" s="31" t="s">
        <v>20</v>
      </c>
      <c r="L17" s="46"/>
      <c r="M17" s="31" t="s">
        <v>20</v>
      </c>
      <c r="N17" s="31" t="s">
        <v>20</v>
      </c>
      <c r="O17" s="31" t="s">
        <v>20</v>
      </c>
      <c r="P17" s="31" t="s">
        <v>20</v>
      </c>
      <c r="Q17" s="31" t="s">
        <v>21</v>
      </c>
      <c r="R17" s="31" t="s">
        <v>20</v>
      </c>
      <c r="S17" s="46"/>
      <c r="T17" s="31" t="s">
        <v>20</v>
      </c>
      <c r="U17" s="41"/>
      <c r="V17" s="31" t="s">
        <v>20</v>
      </c>
      <c r="W17" s="31" t="s">
        <v>20</v>
      </c>
      <c r="X17" s="31" t="s">
        <v>20</v>
      </c>
      <c r="Y17" s="31" t="s">
        <v>21</v>
      </c>
      <c r="Z17" s="46"/>
      <c r="AA17" s="31" t="s">
        <v>20</v>
      </c>
      <c r="AB17" s="31" t="s">
        <v>20</v>
      </c>
      <c r="AC17" s="31" t="s">
        <v>20</v>
      </c>
      <c r="AD17" s="31" t="s">
        <v>20</v>
      </c>
      <c r="AE17" s="31" t="s">
        <v>20</v>
      </c>
      <c r="AF17" s="31" t="s">
        <v>20</v>
      </c>
      <c r="AG17" s="46"/>
      <c r="AH17" s="31" t="s">
        <v>20</v>
      </c>
      <c r="AI17" s="4">
        <f t="shared" si="1"/>
        <v>21</v>
      </c>
      <c r="AJ17" s="4">
        <f t="shared" si="2"/>
        <v>3</v>
      </c>
      <c r="AK17" s="42" t="s">
        <v>104</v>
      </c>
      <c r="AL17" s="43"/>
      <c r="AM17" s="43"/>
      <c r="AN17" s="44"/>
    </row>
    <row r="18" spans="1:40" x14ac:dyDescent="0.25">
      <c r="A18" s="7">
        <v>14</v>
      </c>
      <c r="B18" s="32" t="s">
        <v>208</v>
      </c>
      <c r="C18" s="33" t="s">
        <v>209</v>
      </c>
      <c r="D18" s="19" t="s">
        <v>186</v>
      </c>
      <c r="E18" s="46"/>
      <c r="F18" s="31" t="s">
        <v>20</v>
      </c>
      <c r="G18" s="31" t="s">
        <v>20</v>
      </c>
      <c r="H18" s="31" t="s">
        <v>20</v>
      </c>
      <c r="I18" s="31" t="s">
        <v>20</v>
      </c>
      <c r="J18" s="31" t="s">
        <v>20</v>
      </c>
      <c r="K18" s="31" t="s">
        <v>21</v>
      </c>
      <c r="L18" s="46"/>
      <c r="M18" s="31" t="s">
        <v>20</v>
      </c>
      <c r="N18" s="31" t="s">
        <v>20</v>
      </c>
      <c r="O18" s="31" t="s">
        <v>20</v>
      </c>
      <c r="P18" s="31" t="s">
        <v>20</v>
      </c>
      <c r="Q18" s="31" t="s">
        <v>20</v>
      </c>
      <c r="R18" s="31" t="s">
        <v>20</v>
      </c>
      <c r="S18" s="46"/>
      <c r="T18" s="31" t="s">
        <v>21</v>
      </c>
      <c r="U18" s="41"/>
      <c r="V18" s="31" t="s">
        <v>21</v>
      </c>
      <c r="W18" s="31" t="s">
        <v>20</v>
      </c>
      <c r="X18" s="31" t="s">
        <v>21</v>
      </c>
      <c r="Y18" s="31" t="s">
        <v>20</v>
      </c>
      <c r="Z18" s="46"/>
      <c r="AA18" s="31" t="s">
        <v>20</v>
      </c>
      <c r="AB18" s="31" t="s">
        <v>20</v>
      </c>
      <c r="AC18" s="31" t="s">
        <v>20</v>
      </c>
      <c r="AD18" s="31" t="s">
        <v>20</v>
      </c>
      <c r="AE18" s="31" t="s">
        <v>20</v>
      </c>
      <c r="AF18" s="31" t="s">
        <v>20</v>
      </c>
      <c r="AG18" s="46"/>
      <c r="AH18" s="31" t="s">
        <v>21</v>
      </c>
      <c r="AI18" s="4">
        <f t="shared" si="1"/>
        <v>19</v>
      </c>
      <c r="AJ18" s="4">
        <f t="shared" si="2"/>
        <v>5</v>
      </c>
      <c r="AK18" s="4" t="s">
        <v>9</v>
      </c>
      <c r="AL18" s="4" t="s">
        <v>10</v>
      </c>
      <c r="AM18" s="4" t="s">
        <v>11</v>
      </c>
      <c r="AN18" s="4" t="s">
        <v>12</v>
      </c>
    </row>
    <row r="19" spans="1:40" x14ac:dyDescent="0.25">
      <c r="A19" s="5">
        <v>15</v>
      </c>
      <c r="B19" s="32" t="s">
        <v>210</v>
      </c>
      <c r="C19" s="33" t="s">
        <v>211</v>
      </c>
      <c r="D19" s="19" t="s">
        <v>186</v>
      </c>
      <c r="E19" s="46"/>
      <c r="F19" s="31" t="s">
        <v>20</v>
      </c>
      <c r="G19" s="31" t="s">
        <v>20</v>
      </c>
      <c r="H19" s="31" t="s">
        <v>20</v>
      </c>
      <c r="I19" s="31" t="s">
        <v>20</v>
      </c>
      <c r="J19" s="31" t="s">
        <v>21</v>
      </c>
      <c r="K19" s="31" t="s">
        <v>21</v>
      </c>
      <c r="L19" s="46"/>
      <c r="M19" s="31" t="s">
        <v>22</v>
      </c>
      <c r="N19" s="31" t="s">
        <v>22</v>
      </c>
      <c r="O19" s="31" t="s">
        <v>21</v>
      </c>
      <c r="P19" s="31" t="s">
        <v>21</v>
      </c>
      <c r="Q19" s="31" t="s">
        <v>21</v>
      </c>
      <c r="R19" s="31" t="s">
        <v>20</v>
      </c>
      <c r="S19" s="46"/>
      <c r="T19" s="31" t="s">
        <v>20</v>
      </c>
      <c r="U19" s="41"/>
      <c r="V19" s="31" t="s">
        <v>20</v>
      </c>
      <c r="W19" s="31" t="s">
        <v>20</v>
      </c>
      <c r="X19" s="31" t="s">
        <v>20</v>
      </c>
      <c r="Y19" s="31" t="s">
        <v>20</v>
      </c>
      <c r="Z19" s="46"/>
      <c r="AA19" s="31" t="s">
        <v>20</v>
      </c>
      <c r="AB19" s="31" t="s">
        <v>20</v>
      </c>
      <c r="AC19" s="31" t="s">
        <v>20</v>
      </c>
      <c r="AD19" s="31" t="s">
        <v>20</v>
      </c>
      <c r="AE19" s="31" t="s">
        <v>20</v>
      </c>
      <c r="AF19" s="31" t="s">
        <v>20</v>
      </c>
      <c r="AG19" s="46"/>
      <c r="AH19" s="31" t="s">
        <v>20</v>
      </c>
      <c r="AI19" s="4">
        <f t="shared" si="1"/>
        <v>17</v>
      </c>
      <c r="AJ19" s="4">
        <f t="shared" si="2"/>
        <v>5</v>
      </c>
      <c r="AK19" s="4" t="s">
        <v>13</v>
      </c>
      <c r="AL19" s="7">
        <f>26*AL5</f>
        <v>624</v>
      </c>
      <c r="AM19" s="7">
        <f>23*AL5</f>
        <v>552</v>
      </c>
      <c r="AN19" s="7">
        <f>AL19+AM19</f>
        <v>1176</v>
      </c>
    </row>
    <row r="20" spans="1:40" x14ac:dyDescent="0.25">
      <c r="A20" s="5">
        <v>16</v>
      </c>
      <c r="B20" s="32" t="s">
        <v>212</v>
      </c>
      <c r="C20" s="33" t="s">
        <v>98</v>
      </c>
      <c r="D20" s="19" t="s">
        <v>186</v>
      </c>
      <c r="E20" s="46"/>
      <c r="F20" s="31" t="s">
        <v>20</v>
      </c>
      <c r="G20" s="31" t="s">
        <v>20</v>
      </c>
      <c r="H20" s="31" t="s">
        <v>20</v>
      </c>
      <c r="I20" s="31" t="s">
        <v>21</v>
      </c>
      <c r="J20" s="31" t="s">
        <v>21</v>
      </c>
      <c r="K20" s="31" t="s">
        <v>20</v>
      </c>
      <c r="L20" s="46"/>
      <c r="M20" s="31" t="s">
        <v>20</v>
      </c>
      <c r="N20" s="31" t="s">
        <v>20</v>
      </c>
      <c r="O20" s="31" t="s">
        <v>20</v>
      </c>
      <c r="P20" s="31" t="s">
        <v>20</v>
      </c>
      <c r="Q20" s="31" t="s">
        <v>20</v>
      </c>
      <c r="R20" s="31" t="s">
        <v>20</v>
      </c>
      <c r="S20" s="46"/>
      <c r="T20" s="31" t="s">
        <v>20</v>
      </c>
      <c r="U20" s="41"/>
      <c r="V20" s="31" t="s">
        <v>20</v>
      </c>
      <c r="W20" s="31" t="s">
        <v>20</v>
      </c>
      <c r="X20" s="31" t="s">
        <v>20</v>
      </c>
      <c r="Y20" s="31" t="s">
        <v>20</v>
      </c>
      <c r="Z20" s="46"/>
      <c r="AA20" s="31" t="s">
        <v>21</v>
      </c>
      <c r="AB20" s="31" t="s">
        <v>20</v>
      </c>
      <c r="AC20" s="31" t="s">
        <v>20</v>
      </c>
      <c r="AD20" s="31" t="s">
        <v>20</v>
      </c>
      <c r="AE20" s="31" t="s">
        <v>20</v>
      </c>
      <c r="AF20" s="31" t="s">
        <v>20</v>
      </c>
      <c r="AG20" s="46"/>
      <c r="AH20" s="31" t="s">
        <v>20</v>
      </c>
      <c r="AI20" s="4">
        <f t="shared" si="1"/>
        <v>21</v>
      </c>
      <c r="AJ20" s="4">
        <f t="shared" si="2"/>
        <v>3</v>
      </c>
      <c r="AK20" s="4" t="s">
        <v>16</v>
      </c>
      <c r="AL20" s="7">
        <f>AL19-AL12</f>
        <v>180</v>
      </c>
      <c r="AM20" s="7">
        <f>AM19-AM12</f>
        <v>105</v>
      </c>
      <c r="AN20" s="7">
        <f>AL20+AM20</f>
        <v>285</v>
      </c>
    </row>
    <row r="21" spans="1:40" x14ac:dyDescent="0.25">
      <c r="A21" s="7">
        <v>17</v>
      </c>
      <c r="B21" s="32" t="s">
        <v>213</v>
      </c>
      <c r="C21" s="33" t="s">
        <v>214</v>
      </c>
      <c r="D21" s="19" t="s">
        <v>186</v>
      </c>
      <c r="E21" s="46"/>
      <c r="F21" s="31" t="s">
        <v>20</v>
      </c>
      <c r="G21" s="31" t="s">
        <v>20</v>
      </c>
      <c r="H21" s="31" t="s">
        <v>20</v>
      </c>
      <c r="I21" s="31" t="s">
        <v>20</v>
      </c>
      <c r="J21" s="31" t="s">
        <v>20</v>
      </c>
      <c r="K21" s="31" t="s">
        <v>21</v>
      </c>
      <c r="L21" s="46"/>
      <c r="M21" s="31" t="s">
        <v>20</v>
      </c>
      <c r="N21" s="31" t="s">
        <v>20</v>
      </c>
      <c r="O21" s="31" t="s">
        <v>20</v>
      </c>
      <c r="P21" s="31" t="s">
        <v>20</v>
      </c>
      <c r="Q21" s="31" t="s">
        <v>20</v>
      </c>
      <c r="R21" s="31" t="s">
        <v>20</v>
      </c>
      <c r="S21" s="46"/>
      <c r="T21" s="31" t="s">
        <v>20</v>
      </c>
      <c r="U21" s="41"/>
      <c r="V21" s="31" t="s">
        <v>20</v>
      </c>
      <c r="W21" s="31" t="s">
        <v>20</v>
      </c>
      <c r="X21" s="31" t="s">
        <v>20</v>
      </c>
      <c r="Y21" s="31" t="s">
        <v>20</v>
      </c>
      <c r="Z21" s="46"/>
      <c r="AA21" s="31" t="s">
        <v>20</v>
      </c>
      <c r="AB21" s="31" t="s">
        <v>20</v>
      </c>
      <c r="AC21" s="31" t="s">
        <v>20</v>
      </c>
      <c r="AD21" s="31" t="s">
        <v>20</v>
      </c>
      <c r="AE21" s="31" t="s">
        <v>20</v>
      </c>
      <c r="AF21" s="31" t="s">
        <v>20</v>
      </c>
      <c r="AG21" s="46"/>
      <c r="AH21" s="31" t="s">
        <v>20</v>
      </c>
      <c r="AI21" s="4">
        <f t="shared" si="1"/>
        <v>23</v>
      </c>
      <c r="AJ21" s="4">
        <f t="shared" si="2"/>
        <v>1</v>
      </c>
      <c r="AK21" s="4" t="s">
        <v>15</v>
      </c>
      <c r="AL21" s="9">
        <f>AL20/AL19</f>
        <v>0.28846153846153844</v>
      </c>
      <c r="AM21" s="9">
        <f>AM20/AM19</f>
        <v>0.19021739130434784</v>
      </c>
      <c r="AN21" s="9">
        <f>AN20/AN19</f>
        <v>0.2423469387755102</v>
      </c>
    </row>
    <row r="22" spans="1:40" x14ac:dyDescent="0.25">
      <c r="A22" s="5">
        <v>18</v>
      </c>
      <c r="B22" s="32" t="s">
        <v>215</v>
      </c>
      <c r="C22" s="33" t="s">
        <v>216</v>
      </c>
      <c r="D22" s="19" t="s">
        <v>186</v>
      </c>
      <c r="E22" s="46"/>
      <c r="F22" s="31" t="s">
        <v>20</v>
      </c>
      <c r="G22" s="31" t="s">
        <v>20</v>
      </c>
      <c r="H22" s="31" t="s">
        <v>20</v>
      </c>
      <c r="I22" s="31" t="s">
        <v>20</v>
      </c>
      <c r="J22" s="31" t="s">
        <v>20</v>
      </c>
      <c r="K22" s="31" t="s">
        <v>20</v>
      </c>
      <c r="L22" s="46"/>
      <c r="M22" s="31" t="s">
        <v>20</v>
      </c>
      <c r="N22" s="31" t="s">
        <v>20</v>
      </c>
      <c r="O22" s="31" t="s">
        <v>20</v>
      </c>
      <c r="P22" s="31" t="s">
        <v>20</v>
      </c>
      <c r="Q22" s="31" t="s">
        <v>20</v>
      </c>
      <c r="R22" s="31" t="s">
        <v>20</v>
      </c>
      <c r="S22" s="46"/>
      <c r="T22" s="31" t="s">
        <v>20</v>
      </c>
      <c r="U22" s="41"/>
      <c r="V22" s="31" t="s">
        <v>21</v>
      </c>
      <c r="W22" s="31" t="s">
        <v>21</v>
      </c>
      <c r="X22" s="31" t="s">
        <v>21</v>
      </c>
      <c r="Y22" s="31" t="s">
        <v>21</v>
      </c>
      <c r="Z22" s="46"/>
      <c r="AA22" s="31" t="s">
        <v>20</v>
      </c>
      <c r="AB22" s="31" t="s">
        <v>20</v>
      </c>
      <c r="AC22" s="31" t="s">
        <v>20</v>
      </c>
      <c r="AD22" s="31" t="s">
        <v>20</v>
      </c>
      <c r="AE22" s="31" t="s">
        <v>20</v>
      </c>
      <c r="AF22" s="31" t="s">
        <v>20</v>
      </c>
      <c r="AG22" s="46"/>
      <c r="AH22" s="31" t="s">
        <v>20</v>
      </c>
      <c r="AI22" s="4">
        <f t="shared" si="1"/>
        <v>20</v>
      </c>
      <c r="AJ22" s="4">
        <f t="shared" si="2"/>
        <v>4</v>
      </c>
    </row>
    <row r="23" spans="1:40" x14ac:dyDescent="0.25">
      <c r="A23" s="5">
        <v>19</v>
      </c>
      <c r="B23" s="32" t="s">
        <v>217</v>
      </c>
      <c r="C23" s="33" t="s">
        <v>218</v>
      </c>
      <c r="D23" s="19" t="s">
        <v>186</v>
      </c>
      <c r="E23" s="46"/>
      <c r="F23" s="31" t="s">
        <v>20</v>
      </c>
      <c r="G23" s="31" t="s">
        <v>20</v>
      </c>
      <c r="H23" s="31" t="s">
        <v>21</v>
      </c>
      <c r="I23" s="31" t="s">
        <v>20</v>
      </c>
      <c r="J23" s="31" t="s">
        <v>21</v>
      </c>
      <c r="K23" s="31" t="s">
        <v>21</v>
      </c>
      <c r="L23" s="46"/>
      <c r="M23" s="31" t="s">
        <v>20</v>
      </c>
      <c r="N23" s="31" t="s">
        <v>20</v>
      </c>
      <c r="O23" s="31" t="s">
        <v>20</v>
      </c>
      <c r="P23" s="31" t="s">
        <v>20</v>
      </c>
      <c r="Q23" s="31" t="s">
        <v>20</v>
      </c>
      <c r="R23" s="31" t="s">
        <v>20</v>
      </c>
      <c r="S23" s="46"/>
      <c r="T23" s="31" t="s">
        <v>20</v>
      </c>
      <c r="U23" s="41"/>
      <c r="V23" s="31" t="s">
        <v>20</v>
      </c>
      <c r="W23" s="31" t="s">
        <v>20</v>
      </c>
      <c r="X23" s="31" t="s">
        <v>20</v>
      </c>
      <c r="Y23" s="31" t="s">
        <v>20</v>
      </c>
      <c r="Z23" s="46"/>
      <c r="AA23" s="31" t="s">
        <v>20</v>
      </c>
      <c r="AB23" s="31" t="s">
        <v>20</v>
      </c>
      <c r="AC23" s="31" t="s">
        <v>20</v>
      </c>
      <c r="AD23" s="31" t="s">
        <v>20</v>
      </c>
      <c r="AE23" s="31" t="s">
        <v>20</v>
      </c>
      <c r="AF23" s="31" t="s">
        <v>20</v>
      </c>
      <c r="AG23" s="46"/>
      <c r="AH23" s="31" t="s">
        <v>20</v>
      </c>
      <c r="AI23" s="4">
        <f t="shared" si="1"/>
        <v>21</v>
      </c>
      <c r="AJ23" s="4">
        <f t="shared" si="2"/>
        <v>3</v>
      </c>
    </row>
    <row r="24" spans="1:40" x14ac:dyDescent="0.25">
      <c r="A24" s="7">
        <v>20</v>
      </c>
      <c r="B24" s="32" t="s">
        <v>219</v>
      </c>
      <c r="C24" s="33" t="s">
        <v>220</v>
      </c>
      <c r="D24" s="19" t="s">
        <v>186</v>
      </c>
      <c r="E24" s="46"/>
      <c r="F24" s="31" t="s">
        <v>20</v>
      </c>
      <c r="G24" s="31" t="s">
        <v>20</v>
      </c>
      <c r="H24" s="31" t="s">
        <v>20</v>
      </c>
      <c r="I24" s="31" t="s">
        <v>20</v>
      </c>
      <c r="J24" s="31" t="s">
        <v>20</v>
      </c>
      <c r="K24" s="31" t="s">
        <v>20</v>
      </c>
      <c r="L24" s="46"/>
      <c r="M24" s="31" t="s">
        <v>20</v>
      </c>
      <c r="N24" s="31" t="s">
        <v>20</v>
      </c>
      <c r="O24" s="31" t="s">
        <v>20</v>
      </c>
      <c r="P24" s="31" t="s">
        <v>20</v>
      </c>
      <c r="Q24" s="31" t="s">
        <v>20</v>
      </c>
      <c r="R24" s="31" t="s">
        <v>20</v>
      </c>
      <c r="S24" s="46"/>
      <c r="T24" s="31" t="s">
        <v>20</v>
      </c>
      <c r="U24" s="41"/>
      <c r="V24" s="31" t="s">
        <v>20</v>
      </c>
      <c r="W24" s="31" t="s">
        <v>20</v>
      </c>
      <c r="X24" s="31" t="s">
        <v>20</v>
      </c>
      <c r="Y24" s="31" t="s">
        <v>20</v>
      </c>
      <c r="Z24" s="46"/>
      <c r="AA24" s="31" t="s">
        <v>20</v>
      </c>
      <c r="AB24" s="31" t="s">
        <v>20</v>
      </c>
      <c r="AC24" s="31" t="s">
        <v>20</v>
      </c>
      <c r="AD24" s="31" t="s">
        <v>20</v>
      </c>
      <c r="AE24" s="31" t="s">
        <v>20</v>
      </c>
      <c r="AF24" s="31" t="s">
        <v>20</v>
      </c>
      <c r="AG24" s="46"/>
      <c r="AH24" s="31" t="s">
        <v>20</v>
      </c>
      <c r="AI24" s="4">
        <f t="shared" si="1"/>
        <v>24</v>
      </c>
      <c r="AJ24" s="4">
        <f t="shared" si="2"/>
        <v>0</v>
      </c>
    </row>
    <row r="25" spans="1:40" x14ac:dyDescent="0.25">
      <c r="A25" s="5">
        <v>21</v>
      </c>
      <c r="B25" s="32" t="s">
        <v>221</v>
      </c>
      <c r="C25" s="33" t="s">
        <v>222</v>
      </c>
      <c r="D25" s="19" t="s">
        <v>186</v>
      </c>
      <c r="E25" s="46"/>
      <c r="F25" s="31" t="s">
        <v>20</v>
      </c>
      <c r="G25" s="31" t="s">
        <v>20</v>
      </c>
      <c r="H25" s="31" t="s">
        <v>20</v>
      </c>
      <c r="I25" s="31" t="s">
        <v>21</v>
      </c>
      <c r="J25" s="31" t="s">
        <v>21</v>
      </c>
      <c r="K25" s="31" t="s">
        <v>20</v>
      </c>
      <c r="L25" s="46"/>
      <c r="M25" s="31" t="s">
        <v>20</v>
      </c>
      <c r="N25" s="31" t="s">
        <v>20</v>
      </c>
      <c r="O25" s="31" t="s">
        <v>20</v>
      </c>
      <c r="P25" s="31" t="s">
        <v>20</v>
      </c>
      <c r="Q25" s="31" t="s">
        <v>20</v>
      </c>
      <c r="R25" s="31" t="s">
        <v>20</v>
      </c>
      <c r="S25" s="46"/>
      <c r="T25" s="31" t="s">
        <v>20</v>
      </c>
      <c r="U25" s="41"/>
      <c r="V25" s="31" t="s">
        <v>20</v>
      </c>
      <c r="W25" s="31" t="s">
        <v>20</v>
      </c>
      <c r="X25" s="31" t="s">
        <v>20</v>
      </c>
      <c r="Y25" s="31" t="s">
        <v>20</v>
      </c>
      <c r="Z25" s="46"/>
      <c r="AA25" s="31" t="s">
        <v>20</v>
      </c>
      <c r="AB25" s="31" t="s">
        <v>20</v>
      </c>
      <c r="AC25" s="31" t="s">
        <v>20</v>
      </c>
      <c r="AD25" s="31" t="s">
        <v>20</v>
      </c>
      <c r="AE25" s="31" t="s">
        <v>20</v>
      </c>
      <c r="AF25" s="31" t="s">
        <v>20</v>
      </c>
      <c r="AG25" s="46"/>
      <c r="AH25" s="31" t="s">
        <v>20</v>
      </c>
      <c r="AI25" s="4">
        <f t="shared" si="1"/>
        <v>22</v>
      </c>
      <c r="AJ25" s="4">
        <f t="shared" si="2"/>
        <v>2</v>
      </c>
    </row>
    <row r="26" spans="1:40" x14ac:dyDescent="0.25">
      <c r="A26" s="5">
        <v>22</v>
      </c>
      <c r="B26" s="32" t="s">
        <v>223</v>
      </c>
      <c r="C26" s="33" t="s">
        <v>224</v>
      </c>
      <c r="D26" s="19" t="s">
        <v>186</v>
      </c>
      <c r="E26" s="46"/>
      <c r="F26" s="31" t="s">
        <v>20</v>
      </c>
      <c r="G26" s="31" t="s">
        <v>21</v>
      </c>
      <c r="H26" s="31" t="s">
        <v>20</v>
      </c>
      <c r="I26" s="31" t="s">
        <v>20</v>
      </c>
      <c r="J26" s="31" t="s">
        <v>21</v>
      </c>
      <c r="K26" s="31" t="s">
        <v>20</v>
      </c>
      <c r="L26" s="46"/>
      <c r="M26" s="31" t="s">
        <v>20</v>
      </c>
      <c r="N26" s="31" t="s">
        <v>20</v>
      </c>
      <c r="O26" s="31" t="s">
        <v>20</v>
      </c>
      <c r="P26" s="31" t="s">
        <v>20</v>
      </c>
      <c r="Q26" s="31" t="s">
        <v>20</v>
      </c>
      <c r="R26" s="31" t="s">
        <v>20</v>
      </c>
      <c r="S26" s="46"/>
      <c r="T26" s="31" t="s">
        <v>21</v>
      </c>
      <c r="U26" s="41"/>
      <c r="V26" s="31" t="s">
        <v>20</v>
      </c>
      <c r="W26" s="31" t="s">
        <v>20</v>
      </c>
      <c r="X26" s="31" t="s">
        <v>20</v>
      </c>
      <c r="Y26" s="31" t="s">
        <v>20</v>
      </c>
      <c r="Z26" s="46"/>
      <c r="AA26" s="31" t="s">
        <v>20</v>
      </c>
      <c r="AB26" s="31" t="s">
        <v>20</v>
      </c>
      <c r="AC26" s="31" t="s">
        <v>20</v>
      </c>
      <c r="AD26" s="31" t="s">
        <v>20</v>
      </c>
      <c r="AE26" s="31" t="s">
        <v>20</v>
      </c>
      <c r="AF26" s="31" t="s">
        <v>20</v>
      </c>
      <c r="AG26" s="46"/>
      <c r="AH26" s="31" t="s">
        <v>20</v>
      </c>
      <c r="AI26" s="4">
        <f t="shared" si="1"/>
        <v>21</v>
      </c>
      <c r="AJ26" s="4">
        <f t="shared" si="2"/>
        <v>3</v>
      </c>
    </row>
    <row r="27" spans="1:40" x14ac:dyDescent="0.25">
      <c r="A27" s="7">
        <v>23</v>
      </c>
      <c r="B27" s="32" t="s">
        <v>225</v>
      </c>
      <c r="C27" s="33" t="s">
        <v>43</v>
      </c>
      <c r="D27" s="19" t="s">
        <v>186</v>
      </c>
      <c r="E27" s="46"/>
      <c r="F27" s="31" t="s">
        <v>21</v>
      </c>
      <c r="G27" s="31" t="s">
        <v>21</v>
      </c>
      <c r="H27" s="31" t="s">
        <v>21</v>
      </c>
      <c r="I27" s="31" t="s">
        <v>21</v>
      </c>
      <c r="J27" s="31" t="s">
        <v>21</v>
      </c>
      <c r="K27" s="31" t="s">
        <v>21</v>
      </c>
      <c r="L27" s="46"/>
      <c r="M27" s="31" t="s">
        <v>21</v>
      </c>
      <c r="N27" s="31" t="s">
        <v>21</v>
      </c>
      <c r="O27" s="31" t="s">
        <v>21</v>
      </c>
      <c r="P27" s="31" t="s">
        <v>21</v>
      </c>
      <c r="Q27" s="31" t="s">
        <v>21</v>
      </c>
      <c r="R27" s="31" t="s">
        <v>21</v>
      </c>
      <c r="S27" s="46"/>
      <c r="T27" s="31" t="s">
        <v>21</v>
      </c>
      <c r="U27" s="41"/>
      <c r="V27" s="31" t="s">
        <v>21</v>
      </c>
      <c r="W27" s="31" t="s">
        <v>21</v>
      </c>
      <c r="X27" s="31" t="s">
        <v>21</v>
      </c>
      <c r="Y27" s="31" t="s">
        <v>21</v>
      </c>
      <c r="Z27" s="46"/>
      <c r="AA27" s="31" t="s">
        <v>21</v>
      </c>
      <c r="AB27" s="31" t="s">
        <v>20</v>
      </c>
      <c r="AC27" s="31" t="s">
        <v>21</v>
      </c>
      <c r="AD27" s="31" t="s">
        <v>20</v>
      </c>
      <c r="AE27" s="31" t="s">
        <v>20</v>
      </c>
      <c r="AF27" s="31" t="s">
        <v>20</v>
      </c>
      <c r="AG27" s="46"/>
      <c r="AH27" s="31" t="s">
        <v>20</v>
      </c>
      <c r="AI27" s="4">
        <f t="shared" si="1"/>
        <v>5</v>
      </c>
      <c r="AJ27" s="4">
        <f t="shared" si="2"/>
        <v>19</v>
      </c>
    </row>
    <row r="28" spans="1:40" x14ac:dyDescent="0.25">
      <c r="A28" s="5">
        <v>24</v>
      </c>
      <c r="B28" s="32" t="s">
        <v>226</v>
      </c>
      <c r="C28" s="33" t="s">
        <v>227</v>
      </c>
      <c r="D28" s="19" t="s">
        <v>186</v>
      </c>
      <c r="E28" s="46"/>
      <c r="F28" s="31" t="s">
        <v>20</v>
      </c>
      <c r="G28" s="31" t="s">
        <v>20</v>
      </c>
      <c r="H28" s="31" t="s">
        <v>20</v>
      </c>
      <c r="I28" s="31" t="s">
        <v>20</v>
      </c>
      <c r="J28" s="31" t="s">
        <v>20</v>
      </c>
      <c r="K28" s="31" t="s">
        <v>21</v>
      </c>
      <c r="L28" s="46"/>
      <c r="M28" s="31" t="s">
        <v>20</v>
      </c>
      <c r="N28" s="31" t="s">
        <v>20</v>
      </c>
      <c r="O28" s="31" t="s">
        <v>20</v>
      </c>
      <c r="P28" s="31" t="s">
        <v>20</v>
      </c>
      <c r="Q28" s="31" t="s">
        <v>20</v>
      </c>
      <c r="R28" s="31" t="s">
        <v>20</v>
      </c>
      <c r="S28" s="46"/>
      <c r="T28" s="31" t="s">
        <v>20</v>
      </c>
      <c r="U28" s="41"/>
      <c r="V28" s="31" t="s">
        <v>20</v>
      </c>
      <c r="W28" s="31" t="s">
        <v>20</v>
      </c>
      <c r="X28" s="31" t="s">
        <v>20</v>
      </c>
      <c r="Y28" s="31" t="s">
        <v>20</v>
      </c>
      <c r="Z28" s="46"/>
      <c r="AA28" s="31" t="s">
        <v>20</v>
      </c>
      <c r="AB28" s="31" t="s">
        <v>20</v>
      </c>
      <c r="AC28" s="31" t="s">
        <v>20</v>
      </c>
      <c r="AD28" s="31" t="s">
        <v>20</v>
      </c>
      <c r="AE28" s="31" t="s">
        <v>20</v>
      </c>
      <c r="AF28" s="31" t="s">
        <v>20</v>
      </c>
      <c r="AG28" s="46"/>
      <c r="AH28" s="31" t="s">
        <v>20</v>
      </c>
      <c r="AI28" s="4">
        <f t="shared" si="1"/>
        <v>23</v>
      </c>
      <c r="AJ28" s="4">
        <f t="shared" si="2"/>
        <v>1</v>
      </c>
    </row>
    <row r="29" spans="1:40" x14ac:dyDescent="0.25">
      <c r="A29" s="5">
        <v>25</v>
      </c>
      <c r="B29" s="32" t="s">
        <v>228</v>
      </c>
      <c r="C29" s="33" t="s">
        <v>229</v>
      </c>
      <c r="D29" s="19" t="s">
        <v>186</v>
      </c>
      <c r="E29" s="46"/>
      <c r="F29" s="31" t="s">
        <v>20</v>
      </c>
      <c r="G29" s="31" t="s">
        <v>21</v>
      </c>
      <c r="H29" s="31" t="s">
        <v>21</v>
      </c>
      <c r="I29" s="31" t="s">
        <v>20</v>
      </c>
      <c r="J29" s="31" t="s">
        <v>21</v>
      </c>
      <c r="K29" s="31" t="s">
        <v>20</v>
      </c>
      <c r="L29" s="46"/>
      <c r="M29" s="31" t="s">
        <v>20</v>
      </c>
      <c r="N29" s="31" t="s">
        <v>20</v>
      </c>
      <c r="O29" s="31" t="s">
        <v>20</v>
      </c>
      <c r="P29" s="31" t="s">
        <v>20</v>
      </c>
      <c r="Q29" s="31" t="s">
        <v>20</v>
      </c>
      <c r="R29" s="31" t="s">
        <v>20</v>
      </c>
      <c r="S29" s="46"/>
      <c r="T29" s="31" t="s">
        <v>20</v>
      </c>
      <c r="U29" s="41"/>
      <c r="V29" s="31" t="s">
        <v>20</v>
      </c>
      <c r="W29" s="31" t="s">
        <v>20</v>
      </c>
      <c r="X29" s="31" t="s">
        <v>21</v>
      </c>
      <c r="Y29" s="31" t="s">
        <v>20</v>
      </c>
      <c r="Z29" s="46"/>
      <c r="AA29" s="31" t="s">
        <v>20</v>
      </c>
      <c r="AB29" s="31" t="s">
        <v>20</v>
      </c>
      <c r="AC29" s="31" t="s">
        <v>20</v>
      </c>
      <c r="AD29" s="31" t="s">
        <v>20</v>
      </c>
      <c r="AE29" s="31" t="s">
        <v>20</v>
      </c>
      <c r="AF29" s="31" t="s">
        <v>20</v>
      </c>
      <c r="AG29" s="46"/>
      <c r="AH29" s="31" t="s">
        <v>20</v>
      </c>
      <c r="AI29" s="4">
        <f t="shared" si="1"/>
        <v>20</v>
      </c>
      <c r="AJ29" s="4">
        <f t="shared" si="2"/>
        <v>4</v>
      </c>
    </row>
    <row r="30" spans="1:40" x14ac:dyDescent="0.25">
      <c r="A30" s="7">
        <v>26</v>
      </c>
      <c r="B30" s="32" t="s">
        <v>230</v>
      </c>
      <c r="C30" s="33" t="s">
        <v>231</v>
      </c>
      <c r="D30" s="19" t="s">
        <v>186</v>
      </c>
      <c r="E30" s="46"/>
      <c r="F30" s="31" t="s">
        <v>20</v>
      </c>
      <c r="G30" s="31" t="s">
        <v>20</v>
      </c>
      <c r="H30" s="31" t="s">
        <v>20</v>
      </c>
      <c r="I30" s="31" t="s">
        <v>20</v>
      </c>
      <c r="J30" s="31" t="s">
        <v>20</v>
      </c>
      <c r="K30" s="31" t="s">
        <v>20</v>
      </c>
      <c r="L30" s="46"/>
      <c r="M30" s="31" t="s">
        <v>20</v>
      </c>
      <c r="N30" s="31" t="s">
        <v>20</v>
      </c>
      <c r="O30" s="31" t="s">
        <v>20</v>
      </c>
      <c r="P30" s="31" t="s">
        <v>20</v>
      </c>
      <c r="Q30" s="31" t="s">
        <v>20</v>
      </c>
      <c r="R30" s="31" t="s">
        <v>20</v>
      </c>
      <c r="S30" s="46"/>
      <c r="T30" s="31" t="s">
        <v>20</v>
      </c>
      <c r="U30" s="41"/>
      <c r="V30" s="31" t="s">
        <v>20</v>
      </c>
      <c r="W30" s="31" t="s">
        <v>20</v>
      </c>
      <c r="X30" s="31" t="s">
        <v>20</v>
      </c>
      <c r="Y30" s="31" t="s">
        <v>21</v>
      </c>
      <c r="Z30" s="46"/>
      <c r="AA30" s="31" t="s">
        <v>21</v>
      </c>
      <c r="AB30" s="31" t="s">
        <v>21</v>
      </c>
      <c r="AC30" s="31" t="s">
        <v>20</v>
      </c>
      <c r="AD30" s="31" t="s">
        <v>20</v>
      </c>
      <c r="AE30" s="31" t="s">
        <v>20</v>
      </c>
      <c r="AF30" s="31" t="s">
        <v>20</v>
      </c>
      <c r="AG30" s="46"/>
      <c r="AH30" s="31" t="s">
        <v>20</v>
      </c>
      <c r="AI30" s="4">
        <f t="shared" si="1"/>
        <v>21</v>
      </c>
      <c r="AJ30" s="4">
        <f t="shared" si="2"/>
        <v>3</v>
      </c>
    </row>
    <row r="31" spans="1:40" x14ac:dyDescent="0.25">
      <c r="A31" s="5">
        <v>27</v>
      </c>
      <c r="B31" s="32" t="s">
        <v>232</v>
      </c>
      <c r="C31" s="33" t="s">
        <v>233</v>
      </c>
      <c r="D31" s="19" t="s">
        <v>186</v>
      </c>
      <c r="E31" s="46"/>
      <c r="F31" s="31" t="s">
        <v>20</v>
      </c>
      <c r="G31" s="31" t="s">
        <v>20</v>
      </c>
      <c r="H31" s="31" t="s">
        <v>20</v>
      </c>
      <c r="I31" s="31" t="s">
        <v>20</v>
      </c>
      <c r="J31" s="31" t="s">
        <v>20</v>
      </c>
      <c r="K31" s="31" t="s">
        <v>20</v>
      </c>
      <c r="L31" s="46"/>
      <c r="M31" s="31" t="s">
        <v>20</v>
      </c>
      <c r="N31" s="31" t="s">
        <v>20</v>
      </c>
      <c r="O31" s="31" t="s">
        <v>20</v>
      </c>
      <c r="P31" s="31" t="s">
        <v>20</v>
      </c>
      <c r="Q31" s="31" t="s">
        <v>20</v>
      </c>
      <c r="R31" s="31" t="s">
        <v>20</v>
      </c>
      <c r="S31" s="46"/>
      <c r="T31" s="31" t="s">
        <v>20</v>
      </c>
      <c r="U31" s="41"/>
      <c r="V31" s="31" t="s">
        <v>20</v>
      </c>
      <c r="W31" s="31" t="s">
        <v>20</v>
      </c>
      <c r="X31" s="31" t="s">
        <v>20</v>
      </c>
      <c r="Y31" s="31" t="s">
        <v>20</v>
      </c>
      <c r="Z31" s="46"/>
      <c r="AA31" s="31" t="s">
        <v>21</v>
      </c>
      <c r="AB31" s="31" t="s">
        <v>20</v>
      </c>
      <c r="AC31" s="31" t="s">
        <v>20</v>
      </c>
      <c r="AD31" s="31" t="s">
        <v>20</v>
      </c>
      <c r="AE31" s="31" t="s">
        <v>20</v>
      </c>
      <c r="AF31" s="31" t="s">
        <v>21</v>
      </c>
      <c r="AG31" s="46"/>
      <c r="AH31" s="31" t="s">
        <v>21</v>
      </c>
      <c r="AI31" s="4">
        <f t="shared" si="1"/>
        <v>21</v>
      </c>
      <c r="AJ31" s="4">
        <f t="shared" si="2"/>
        <v>3</v>
      </c>
    </row>
    <row r="32" spans="1:40" x14ac:dyDescent="0.25">
      <c r="A32" s="5">
        <v>28</v>
      </c>
      <c r="B32" s="32" t="s">
        <v>234</v>
      </c>
      <c r="C32" s="33" t="s">
        <v>235</v>
      </c>
      <c r="D32" s="19" t="s">
        <v>186</v>
      </c>
      <c r="E32" s="46"/>
      <c r="F32" s="31" t="s">
        <v>20</v>
      </c>
      <c r="G32" s="31" t="s">
        <v>20</v>
      </c>
      <c r="H32" s="31" t="s">
        <v>20</v>
      </c>
      <c r="I32" s="31" t="s">
        <v>20</v>
      </c>
      <c r="J32" s="31" t="s">
        <v>21</v>
      </c>
      <c r="K32" s="31" t="s">
        <v>20</v>
      </c>
      <c r="L32" s="46"/>
      <c r="M32" s="31" t="s">
        <v>20</v>
      </c>
      <c r="N32" s="31" t="s">
        <v>20</v>
      </c>
      <c r="O32" s="31" t="s">
        <v>20</v>
      </c>
      <c r="P32" s="31" t="s">
        <v>20</v>
      </c>
      <c r="Q32" s="31" t="s">
        <v>20</v>
      </c>
      <c r="R32" s="31" t="s">
        <v>20</v>
      </c>
      <c r="S32" s="46"/>
      <c r="T32" s="31" t="s">
        <v>20</v>
      </c>
      <c r="U32" s="41"/>
      <c r="V32" s="31" t="s">
        <v>20</v>
      </c>
      <c r="W32" s="31" t="s">
        <v>20</v>
      </c>
      <c r="X32" s="31" t="s">
        <v>21</v>
      </c>
      <c r="Y32" s="31" t="s">
        <v>20</v>
      </c>
      <c r="Z32" s="46"/>
      <c r="AA32" s="31" t="s">
        <v>20</v>
      </c>
      <c r="AB32" s="31" t="s">
        <v>20</v>
      </c>
      <c r="AC32" s="31" t="s">
        <v>20</v>
      </c>
      <c r="AD32" s="31" t="s">
        <v>21</v>
      </c>
      <c r="AE32" s="31" t="s">
        <v>20</v>
      </c>
      <c r="AF32" s="31" t="s">
        <v>20</v>
      </c>
      <c r="AG32" s="46"/>
      <c r="AH32" s="31" t="s">
        <v>20</v>
      </c>
      <c r="AI32" s="4">
        <f t="shared" si="1"/>
        <v>21</v>
      </c>
      <c r="AJ32" s="4">
        <f t="shared" si="2"/>
        <v>3</v>
      </c>
    </row>
    <row r="33" spans="1:36" x14ac:dyDescent="0.25">
      <c r="A33" s="7">
        <v>29</v>
      </c>
      <c r="B33" s="32" t="s">
        <v>236</v>
      </c>
      <c r="C33" s="33" t="s">
        <v>237</v>
      </c>
      <c r="D33" s="19" t="s">
        <v>186</v>
      </c>
      <c r="E33" s="46"/>
      <c r="F33" s="31" t="s">
        <v>20</v>
      </c>
      <c r="G33" s="31" t="s">
        <v>20</v>
      </c>
      <c r="H33" s="31" t="s">
        <v>20</v>
      </c>
      <c r="I33" s="31" t="s">
        <v>20</v>
      </c>
      <c r="J33" s="31" t="s">
        <v>20</v>
      </c>
      <c r="K33" s="31" t="s">
        <v>20</v>
      </c>
      <c r="L33" s="46"/>
      <c r="M33" s="31" t="s">
        <v>20</v>
      </c>
      <c r="N33" s="31" t="s">
        <v>20</v>
      </c>
      <c r="O33" s="31" t="s">
        <v>20</v>
      </c>
      <c r="P33" s="31" t="s">
        <v>20</v>
      </c>
      <c r="Q33" s="31" t="s">
        <v>20</v>
      </c>
      <c r="R33" s="31" t="s">
        <v>20</v>
      </c>
      <c r="S33" s="46"/>
      <c r="T33" s="31" t="s">
        <v>20</v>
      </c>
      <c r="U33" s="41"/>
      <c r="V33" s="31" t="s">
        <v>20</v>
      </c>
      <c r="W33" s="31" t="s">
        <v>20</v>
      </c>
      <c r="X33" s="31" t="s">
        <v>22</v>
      </c>
      <c r="Y33" s="31" t="s">
        <v>22</v>
      </c>
      <c r="Z33" s="46"/>
      <c r="AA33" s="31" t="s">
        <v>21</v>
      </c>
      <c r="AB33" s="31" t="s">
        <v>20</v>
      </c>
      <c r="AC33" s="31" t="s">
        <v>20</v>
      </c>
      <c r="AD33" s="31" t="s">
        <v>20</v>
      </c>
      <c r="AE33" s="31" t="s">
        <v>20</v>
      </c>
      <c r="AF33" s="31" t="s">
        <v>20</v>
      </c>
      <c r="AG33" s="46"/>
      <c r="AH33" s="31" t="s">
        <v>20</v>
      </c>
      <c r="AI33" s="4">
        <f t="shared" si="1"/>
        <v>21</v>
      </c>
      <c r="AJ33" s="4">
        <f t="shared" si="2"/>
        <v>1</v>
      </c>
    </row>
    <row r="34" spans="1:36" x14ac:dyDescent="0.25">
      <c r="A34" s="5">
        <v>30</v>
      </c>
      <c r="B34" s="32" t="s">
        <v>238</v>
      </c>
      <c r="C34" s="33" t="s">
        <v>237</v>
      </c>
      <c r="D34" s="19" t="s">
        <v>186</v>
      </c>
      <c r="E34" s="46"/>
      <c r="F34" s="31" t="s">
        <v>20</v>
      </c>
      <c r="G34" s="31" t="s">
        <v>20</v>
      </c>
      <c r="H34" s="31" t="s">
        <v>20</v>
      </c>
      <c r="I34" s="31" t="s">
        <v>20</v>
      </c>
      <c r="J34" s="31" t="s">
        <v>20</v>
      </c>
      <c r="K34" s="31" t="s">
        <v>20</v>
      </c>
      <c r="L34" s="46"/>
      <c r="M34" s="31" t="s">
        <v>20</v>
      </c>
      <c r="N34" s="31" t="s">
        <v>20</v>
      </c>
      <c r="O34" s="31" t="s">
        <v>20</v>
      </c>
      <c r="P34" s="31" t="s">
        <v>20</v>
      </c>
      <c r="Q34" s="31" t="s">
        <v>20</v>
      </c>
      <c r="R34" s="31" t="s">
        <v>20</v>
      </c>
      <c r="S34" s="46"/>
      <c r="T34" s="31" t="s">
        <v>20</v>
      </c>
      <c r="U34" s="41"/>
      <c r="V34" s="31" t="s">
        <v>20</v>
      </c>
      <c r="W34" s="31" t="s">
        <v>20</v>
      </c>
      <c r="X34" s="31" t="s">
        <v>22</v>
      </c>
      <c r="Y34" s="31" t="s">
        <v>22</v>
      </c>
      <c r="Z34" s="46"/>
      <c r="AA34" s="31" t="s">
        <v>21</v>
      </c>
      <c r="AB34" s="31" t="s">
        <v>20</v>
      </c>
      <c r="AC34" s="31" t="s">
        <v>20</v>
      </c>
      <c r="AD34" s="31" t="s">
        <v>20</v>
      </c>
      <c r="AE34" s="31" t="s">
        <v>20</v>
      </c>
      <c r="AF34" s="31" t="s">
        <v>20</v>
      </c>
      <c r="AG34" s="46"/>
      <c r="AH34" s="31" t="s">
        <v>20</v>
      </c>
      <c r="AI34" s="4">
        <f t="shared" si="1"/>
        <v>21</v>
      </c>
      <c r="AJ34" s="4">
        <f t="shared" si="2"/>
        <v>1</v>
      </c>
    </row>
    <row r="35" spans="1:36" x14ac:dyDescent="0.25">
      <c r="A35" s="5">
        <v>31</v>
      </c>
      <c r="B35" s="32" t="s">
        <v>239</v>
      </c>
      <c r="C35" s="33" t="s">
        <v>240</v>
      </c>
      <c r="D35" s="19" t="s">
        <v>186</v>
      </c>
      <c r="E35" s="46"/>
      <c r="F35" s="31" t="s">
        <v>21</v>
      </c>
      <c r="G35" s="31" t="s">
        <v>20</v>
      </c>
      <c r="H35" s="31" t="s">
        <v>20</v>
      </c>
      <c r="I35" s="31" t="s">
        <v>20</v>
      </c>
      <c r="J35" s="31" t="s">
        <v>20</v>
      </c>
      <c r="K35" s="31" t="s">
        <v>20</v>
      </c>
      <c r="L35" s="46"/>
      <c r="M35" s="31" t="s">
        <v>20</v>
      </c>
      <c r="N35" s="31" t="s">
        <v>20</v>
      </c>
      <c r="O35" s="31" t="s">
        <v>20</v>
      </c>
      <c r="P35" s="31" t="s">
        <v>20</v>
      </c>
      <c r="Q35" s="31" t="s">
        <v>20</v>
      </c>
      <c r="R35" s="31" t="s">
        <v>20</v>
      </c>
      <c r="S35" s="46"/>
      <c r="T35" s="31" t="s">
        <v>20</v>
      </c>
      <c r="U35" s="41"/>
      <c r="V35" s="31" t="s">
        <v>20</v>
      </c>
      <c r="W35" s="31" t="s">
        <v>20</v>
      </c>
      <c r="X35" s="31" t="s">
        <v>20</v>
      </c>
      <c r="Y35" s="31" t="s">
        <v>20</v>
      </c>
      <c r="Z35" s="46"/>
      <c r="AA35" s="31" t="s">
        <v>21</v>
      </c>
      <c r="AB35" s="31" t="s">
        <v>20</v>
      </c>
      <c r="AC35" s="31" t="s">
        <v>20</v>
      </c>
      <c r="AD35" s="31" t="s">
        <v>20</v>
      </c>
      <c r="AE35" s="31" t="s">
        <v>20</v>
      </c>
      <c r="AF35" s="31" t="s">
        <v>20</v>
      </c>
      <c r="AG35" s="46"/>
      <c r="AH35" s="31" t="s">
        <v>20</v>
      </c>
      <c r="AI35" s="4">
        <f t="shared" si="1"/>
        <v>22</v>
      </c>
      <c r="AJ35" s="4">
        <f t="shared" si="2"/>
        <v>2</v>
      </c>
    </row>
    <row r="36" spans="1:36" x14ac:dyDescent="0.25">
      <c r="A36" s="7">
        <v>32</v>
      </c>
      <c r="B36" s="32" t="s">
        <v>241</v>
      </c>
      <c r="C36" s="33" t="s">
        <v>242</v>
      </c>
      <c r="D36" s="19" t="s">
        <v>186</v>
      </c>
      <c r="E36" s="46"/>
      <c r="F36" s="31" t="s">
        <v>20</v>
      </c>
      <c r="G36" s="31" t="s">
        <v>20</v>
      </c>
      <c r="H36" s="31" t="s">
        <v>20</v>
      </c>
      <c r="I36" s="31" t="s">
        <v>20</v>
      </c>
      <c r="J36" s="31" t="s">
        <v>21</v>
      </c>
      <c r="K36" s="31" t="s">
        <v>20</v>
      </c>
      <c r="L36" s="46"/>
      <c r="M36" s="31" t="s">
        <v>20</v>
      </c>
      <c r="N36" s="31" t="s">
        <v>21</v>
      </c>
      <c r="O36" s="31" t="s">
        <v>20</v>
      </c>
      <c r="P36" s="31" t="s">
        <v>20</v>
      </c>
      <c r="Q36" s="31" t="s">
        <v>20</v>
      </c>
      <c r="R36" s="31" t="s">
        <v>20</v>
      </c>
      <c r="S36" s="46"/>
      <c r="T36" s="31" t="s">
        <v>20</v>
      </c>
      <c r="U36" s="41"/>
      <c r="V36" s="31" t="s">
        <v>20</v>
      </c>
      <c r="W36" s="31" t="s">
        <v>20</v>
      </c>
      <c r="X36" s="31" t="s">
        <v>20</v>
      </c>
      <c r="Y36" s="31" t="s">
        <v>20</v>
      </c>
      <c r="Z36" s="46"/>
      <c r="AA36" s="31" t="s">
        <v>20</v>
      </c>
      <c r="AB36" s="31" t="s">
        <v>20</v>
      </c>
      <c r="AC36" s="31" t="s">
        <v>20</v>
      </c>
      <c r="AD36" s="31" t="s">
        <v>20</v>
      </c>
      <c r="AE36" s="31" t="s">
        <v>20</v>
      </c>
      <c r="AF36" s="31" t="s">
        <v>20</v>
      </c>
      <c r="AG36" s="46"/>
      <c r="AH36" s="31" t="s">
        <v>20</v>
      </c>
      <c r="AI36" s="4">
        <f t="shared" si="1"/>
        <v>22</v>
      </c>
      <c r="AJ36" s="4">
        <f t="shared" si="2"/>
        <v>2</v>
      </c>
    </row>
    <row r="37" spans="1:36" x14ac:dyDescent="0.25">
      <c r="A37" s="5">
        <v>33</v>
      </c>
      <c r="B37" s="32" t="s">
        <v>243</v>
      </c>
      <c r="C37" s="33" t="s">
        <v>244</v>
      </c>
      <c r="D37" s="19" t="s">
        <v>186</v>
      </c>
      <c r="E37" s="46"/>
      <c r="F37" s="31" t="s">
        <v>20</v>
      </c>
      <c r="G37" s="31" t="s">
        <v>20</v>
      </c>
      <c r="H37" s="31" t="s">
        <v>20</v>
      </c>
      <c r="I37" s="31" t="s">
        <v>20</v>
      </c>
      <c r="J37" s="31" t="s">
        <v>20</v>
      </c>
      <c r="K37" s="31" t="s">
        <v>20</v>
      </c>
      <c r="L37" s="46"/>
      <c r="M37" s="31" t="s">
        <v>20</v>
      </c>
      <c r="N37" s="31" t="s">
        <v>20</v>
      </c>
      <c r="O37" s="31" t="s">
        <v>20</v>
      </c>
      <c r="P37" s="31" t="s">
        <v>20</v>
      </c>
      <c r="Q37" s="31" t="s">
        <v>20</v>
      </c>
      <c r="R37" s="31" t="s">
        <v>20</v>
      </c>
      <c r="S37" s="46"/>
      <c r="T37" s="31" t="s">
        <v>20</v>
      </c>
      <c r="U37" s="41"/>
      <c r="V37" s="31" t="s">
        <v>21</v>
      </c>
      <c r="W37" s="31" t="s">
        <v>20</v>
      </c>
      <c r="X37" s="31" t="s">
        <v>20</v>
      </c>
      <c r="Y37" s="31" t="s">
        <v>20</v>
      </c>
      <c r="Z37" s="46"/>
      <c r="AA37" s="31" t="s">
        <v>20</v>
      </c>
      <c r="AB37" s="31" t="s">
        <v>20</v>
      </c>
      <c r="AC37" s="31" t="s">
        <v>20</v>
      </c>
      <c r="AD37" s="31" t="s">
        <v>20</v>
      </c>
      <c r="AE37" s="31" t="s">
        <v>20</v>
      </c>
      <c r="AF37" s="31" t="s">
        <v>20</v>
      </c>
      <c r="AG37" s="46"/>
      <c r="AH37" s="31" t="s">
        <v>21</v>
      </c>
      <c r="AI37" s="4">
        <f t="shared" si="1"/>
        <v>22</v>
      </c>
      <c r="AJ37" s="4">
        <f t="shared" si="2"/>
        <v>2</v>
      </c>
    </row>
    <row r="38" spans="1:36" x14ac:dyDescent="0.25">
      <c r="A38" s="5">
        <v>34</v>
      </c>
      <c r="B38" s="32" t="s">
        <v>245</v>
      </c>
      <c r="C38" s="33" t="s">
        <v>163</v>
      </c>
      <c r="D38" s="19" t="s">
        <v>186</v>
      </c>
      <c r="E38" s="46"/>
      <c r="F38" s="31" t="s">
        <v>21</v>
      </c>
      <c r="G38" s="31" t="s">
        <v>21</v>
      </c>
      <c r="H38" s="31" t="s">
        <v>20</v>
      </c>
      <c r="I38" s="31" t="s">
        <v>20</v>
      </c>
      <c r="J38" s="31" t="s">
        <v>21</v>
      </c>
      <c r="K38" s="31" t="s">
        <v>21</v>
      </c>
      <c r="L38" s="46"/>
      <c r="M38" s="31" t="s">
        <v>21</v>
      </c>
      <c r="N38" s="31" t="s">
        <v>20</v>
      </c>
      <c r="O38" s="31" t="s">
        <v>20</v>
      </c>
      <c r="P38" s="31" t="s">
        <v>20</v>
      </c>
      <c r="Q38" s="31" t="s">
        <v>20</v>
      </c>
      <c r="R38" s="31" t="s">
        <v>20</v>
      </c>
      <c r="S38" s="46"/>
      <c r="T38" s="31" t="s">
        <v>21</v>
      </c>
      <c r="U38" s="41"/>
      <c r="V38" s="31" t="s">
        <v>20</v>
      </c>
      <c r="W38" s="31" t="s">
        <v>20</v>
      </c>
      <c r="X38" s="31" t="s">
        <v>21</v>
      </c>
      <c r="Y38" s="31" t="s">
        <v>21</v>
      </c>
      <c r="Z38" s="46"/>
      <c r="AA38" s="31" t="s">
        <v>21</v>
      </c>
      <c r="AB38" s="31" t="s">
        <v>21</v>
      </c>
      <c r="AC38" s="31" t="s">
        <v>21</v>
      </c>
      <c r="AD38" s="31" t="s">
        <v>21</v>
      </c>
      <c r="AE38" s="31" t="s">
        <v>21</v>
      </c>
      <c r="AF38" s="31" t="s">
        <v>21</v>
      </c>
      <c r="AG38" s="46"/>
      <c r="AH38" s="31" t="s">
        <v>21</v>
      </c>
      <c r="AI38" s="4">
        <f t="shared" si="1"/>
        <v>9</v>
      </c>
      <c r="AJ38" s="4">
        <f t="shared" si="2"/>
        <v>15</v>
      </c>
    </row>
    <row r="39" spans="1:36" x14ac:dyDescent="0.25">
      <c r="A39" s="7">
        <v>35</v>
      </c>
      <c r="B39" s="32" t="s">
        <v>246</v>
      </c>
      <c r="C39" s="33" t="s">
        <v>247</v>
      </c>
      <c r="D39" s="19" t="s">
        <v>186</v>
      </c>
      <c r="E39" s="46"/>
      <c r="F39" s="31" t="s">
        <v>20</v>
      </c>
      <c r="G39" s="31" t="s">
        <v>20</v>
      </c>
      <c r="H39" s="31" t="s">
        <v>20</v>
      </c>
      <c r="I39" s="31" t="s">
        <v>20</v>
      </c>
      <c r="J39" s="31" t="s">
        <v>20</v>
      </c>
      <c r="K39" s="31" t="s">
        <v>20</v>
      </c>
      <c r="L39" s="46"/>
      <c r="M39" s="31" t="s">
        <v>20</v>
      </c>
      <c r="N39" s="31" t="s">
        <v>20</v>
      </c>
      <c r="O39" s="31" t="s">
        <v>20</v>
      </c>
      <c r="P39" s="31" t="s">
        <v>20</v>
      </c>
      <c r="Q39" s="31" t="s">
        <v>20</v>
      </c>
      <c r="R39" s="31" t="s">
        <v>20</v>
      </c>
      <c r="S39" s="46"/>
      <c r="T39" s="31" t="s">
        <v>20</v>
      </c>
      <c r="U39" s="41"/>
      <c r="V39" s="31" t="s">
        <v>21</v>
      </c>
      <c r="W39" s="31" t="s">
        <v>20</v>
      </c>
      <c r="X39" s="31" t="s">
        <v>20</v>
      </c>
      <c r="Y39" s="31" t="s">
        <v>20</v>
      </c>
      <c r="Z39" s="46"/>
      <c r="AA39" s="31" t="s">
        <v>20</v>
      </c>
      <c r="AB39" s="31" t="s">
        <v>20</v>
      </c>
      <c r="AC39" s="31" t="s">
        <v>20</v>
      </c>
      <c r="AD39" s="31" t="s">
        <v>20</v>
      </c>
      <c r="AE39" s="31" t="s">
        <v>20</v>
      </c>
      <c r="AF39" s="31" t="s">
        <v>21</v>
      </c>
      <c r="AG39" s="46"/>
      <c r="AH39" s="31" t="s">
        <v>21</v>
      </c>
      <c r="AI39" s="4">
        <f t="shared" si="1"/>
        <v>21</v>
      </c>
      <c r="AJ39" s="4">
        <f t="shared" si="2"/>
        <v>3</v>
      </c>
    </row>
    <row r="40" spans="1:36" x14ac:dyDescent="0.25">
      <c r="A40" s="5">
        <v>36</v>
      </c>
      <c r="B40" s="32" t="s">
        <v>248</v>
      </c>
      <c r="C40" s="33" t="s">
        <v>249</v>
      </c>
      <c r="D40" s="19" t="s">
        <v>186</v>
      </c>
      <c r="E40" s="46"/>
      <c r="F40" s="31" t="s">
        <v>20</v>
      </c>
      <c r="G40" s="31" t="s">
        <v>20</v>
      </c>
      <c r="H40" s="31" t="s">
        <v>21</v>
      </c>
      <c r="I40" s="31" t="s">
        <v>20</v>
      </c>
      <c r="J40" s="31" t="s">
        <v>21</v>
      </c>
      <c r="K40" s="31" t="s">
        <v>20</v>
      </c>
      <c r="L40" s="46"/>
      <c r="M40" s="31" t="s">
        <v>20</v>
      </c>
      <c r="N40" s="31" t="s">
        <v>20</v>
      </c>
      <c r="O40" s="31" t="s">
        <v>20</v>
      </c>
      <c r="P40" s="31" t="s">
        <v>20</v>
      </c>
      <c r="Q40" s="31" t="s">
        <v>20</v>
      </c>
      <c r="R40" s="31" t="s">
        <v>20</v>
      </c>
      <c r="S40" s="46"/>
      <c r="T40" s="31" t="s">
        <v>20</v>
      </c>
      <c r="U40" s="41"/>
      <c r="V40" s="31" t="s">
        <v>20</v>
      </c>
      <c r="W40" s="31" t="s">
        <v>20</v>
      </c>
      <c r="X40" s="31" t="s">
        <v>20</v>
      </c>
      <c r="Y40" s="31" t="s">
        <v>20</v>
      </c>
      <c r="Z40" s="46"/>
      <c r="AA40" s="31" t="s">
        <v>21</v>
      </c>
      <c r="AB40" s="31" t="s">
        <v>21</v>
      </c>
      <c r="AC40" s="31" t="s">
        <v>21</v>
      </c>
      <c r="AD40" s="31" t="s">
        <v>20</v>
      </c>
      <c r="AE40" s="31" t="s">
        <v>20</v>
      </c>
      <c r="AF40" s="31" t="s">
        <v>20</v>
      </c>
      <c r="AG40" s="46"/>
      <c r="AH40" s="31" t="s">
        <v>20</v>
      </c>
      <c r="AI40" s="4">
        <f t="shared" si="1"/>
        <v>19</v>
      </c>
      <c r="AJ40" s="4">
        <f t="shared" si="2"/>
        <v>5</v>
      </c>
    </row>
    <row r="41" spans="1:36" x14ac:dyDescent="0.25">
      <c r="A41" s="5">
        <v>37</v>
      </c>
      <c r="B41" s="32" t="s">
        <v>250</v>
      </c>
      <c r="C41" s="33"/>
      <c r="D41" s="19" t="s">
        <v>186</v>
      </c>
      <c r="E41" s="46"/>
      <c r="F41" s="31" t="s">
        <v>20</v>
      </c>
      <c r="G41" s="31" t="s">
        <v>20</v>
      </c>
      <c r="H41" s="31" t="s">
        <v>20</v>
      </c>
      <c r="I41" s="31" t="s">
        <v>20</v>
      </c>
      <c r="J41" s="31" t="s">
        <v>21</v>
      </c>
      <c r="K41" s="31" t="s">
        <v>20</v>
      </c>
      <c r="L41" s="46"/>
      <c r="M41" s="31" t="s">
        <v>20</v>
      </c>
      <c r="N41" s="31" t="s">
        <v>20</v>
      </c>
      <c r="O41" s="31" t="s">
        <v>20</v>
      </c>
      <c r="P41" s="31" t="s">
        <v>20</v>
      </c>
      <c r="Q41" s="31" t="s">
        <v>20</v>
      </c>
      <c r="R41" s="31" t="s">
        <v>20</v>
      </c>
      <c r="S41" s="46"/>
      <c r="T41" s="31" t="s">
        <v>20</v>
      </c>
      <c r="U41" s="41"/>
      <c r="V41" s="31" t="s">
        <v>20</v>
      </c>
      <c r="W41" s="31" t="s">
        <v>20</v>
      </c>
      <c r="X41" s="31" t="s">
        <v>20</v>
      </c>
      <c r="Y41" s="31" t="s">
        <v>20</v>
      </c>
      <c r="Z41" s="46"/>
      <c r="AA41" s="31" t="s">
        <v>21</v>
      </c>
      <c r="AB41" s="31" t="s">
        <v>20</v>
      </c>
      <c r="AC41" s="31" t="s">
        <v>20</v>
      </c>
      <c r="AD41" s="31" t="s">
        <v>20</v>
      </c>
      <c r="AE41" s="31" t="s">
        <v>20</v>
      </c>
      <c r="AF41" s="31" t="s">
        <v>20</v>
      </c>
      <c r="AG41" s="46"/>
      <c r="AH41" s="31" t="s">
        <v>20</v>
      </c>
      <c r="AI41" s="4">
        <f t="shared" si="1"/>
        <v>22</v>
      </c>
      <c r="AJ41" s="4">
        <f t="shared" si="2"/>
        <v>2</v>
      </c>
    </row>
    <row r="42" spans="1:36" x14ac:dyDescent="0.25">
      <c r="A42" s="7">
        <v>38</v>
      </c>
      <c r="B42" s="32" t="s">
        <v>251</v>
      </c>
      <c r="C42" s="33" t="s">
        <v>252</v>
      </c>
      <c r="D42" s="19" t="s">
        <v>186</v>
      </c>
      <c r="E42" s="46"/>
      <c r="F42" s="31" t="s">
        <v>20</v>
      </c>
      <c r="G42" s="31" t="s">
        <v>20</v>
      </c>
      <c r="H42" s="31" t="s">
        <v>20</v>
      </c>
      <c r="I42" s="31" t="s">
        <v>20</v>
      </c>
      <c r="J42" s="31" t="s">
        <v>21</v>
      </c>
      <c r="K42" s="31" t="s">
        <v>20</v>
      </c>
      <c r="L42" s="46"/>
      <c r="M42" s="31" t="s">
        <v>20</v>
      </c>
      <c r="N42" s="31" t="s">
        <v>20</v>
      </c>
      <c r="O42" s="31" t="s">
        <v>20</v>
      </c>
      <c r="P42" s="31" t="s">
        <v>20</v>
      </c>
      <c r="Q42" s="31" t="s">
        <v>20</v>
      </c>
      <c r="R42" s="31" t="s">
        <v>20</v>
      </c>
      <c r="S42" s="46"/>
      <c r="T42" s="31" t="s">
        <v>20</v>
      </c>
      <c r="U42" s="41"/>
      <c r="V42" s="31" t="s">
        <v>20</v>
      </c>
      <c r="W42" s="31" t="s">
        <v>20</v>
      </c>
      <c r="X42" s="31" t="s">
        <v>20</v>
      </c>
      <c r="Y42" s="31" t="s">
        <v>20</v>
      </c>
      <c r="Z42" s="46"/>
      <c r="AA42" s="31" t="s">
        <v>20</v>
      </c>
      <c r="AB42" s="31" t="s">
        <v>20</v>
      </c>
      <c r="AC42" s="31" t="s">
        <v>20</v>
      </c>
      <c r="AD42" s="31" t="s">
        <v>20</v>
      </c>
      <c r="AE42" s="31" t="s">
        <v>20</v>
      </c>
      <c r="AF42" s="31" t="s">
        <v>20</v>
      </c>
      <c r="AG42" s="46"/>
      <c r="AH42" s="31" t="s">
        <v>20</v>
      </c>
      <c r="AI42" s="4">
        <f t="shared" si="1"/>
        <v>23</v>
      </c>
      <c r="AJ42" s="4">
        <f t="shared" si="2"/>
        <v>1</v>
      </c>
    </row>
    <row r="43" spans="1:36" x14ac:dyDescent="0.25">
      <c r="A43" s="5">
        <v>39</v>
      </c>
      <c r="B43" s="32" t="s">
        <v>253</v>
      </c>
      <c r="C43" s="33" t="s">
        <v>254</v>
      </c>
      <c r="D43" s="19" t="s">
        <v>186</v>
      </c>
      <c r="E43" s="46"/>
      <c r="F43" s="31" t="s">
        <v>20</v>
      </c>
      <c r="G43" s="31" t="s">
        <v>20</v>
      </c>
      <c r="H43" s="31" t="s">
        <v>20</v>
      </c>
      <c r="I43" s="31" t="s">
        <v>20</v>
      </c>
      <c r="J43" s="31" t="s">
        <v>21</v>
      </c>
      <c r="K43" s="31" t="s">
        <v>20</v>
      </c>
      <c r="L43" s="46"/>
      <c r="M43" s="31" t="s">
        <v>20</v>
      </c>
      <c r="N43" s="31" t="s">
        <v>20</v>
      </c>
      <c r="O43" s="31" t="s">
        <v>20</v>
      </c>
      <c r="P43" s="31" t="s">
        <v>20</v>
      </c>
      <c r="Q43" s="31" t="s">
        <v>20</v>
      </c>
      <c r="R43" s="31" t="s">
        <v>20</v>
      </c>
      <c r="S43" s="46"/>
      <c r="T43" s="31" t="s">
        <v>20</v>
      </c>
      <c r="U43" s="41"/>
      <c r="V43" s="31" t="s">
        <v>20</v>
      </c>
      <c r="W43" s="31" t="s">
        <v>20</v>
      </c>
      <c r="X43" s="31" t="s">
        <v>20</v>
      </c>
      <c r="Y43" s="31" t="s">
        <v>20</v>
      </c>
      <c r="Z43" s="46"/>
      <c r="AA43" s="31" t="s">
        <v>20</v>
      </c>
      <c r="AB43" s="31" t="s">
        <v>20</v>
      </c>
      <c r="AC43" s="31" t="s">
        <v>20</v>
      </c>
      <c r="AD43" s="31" t="s">
        <v>21</v>
      </c>
      <c r="AE43" s="31" t="s">
        <v>20</v>
      </c>
      <c r="AF43" s="31" t="s">
        <v>20</v>
      </c>
      <c r="AG43" s="46"/>
      <c r="AH43" s="31" t="s">
        <v>20</v>
      </c>
      <c r="AI43" s="4">
        <f t="shared" si="1"/>
        <v>22</v>
      </c>
      <c r="AJ43" s="4">
        <f t="shared" si="2"/>
        <v>2</v>
      </c>
    </row>
    <row r="44" spans="1:36" x14ac:dyDescent="0.25">
      <c r="A44" s="5">
        <v>40</v>
      </c>
      <c r="B44" s="32" t="s">
        <v>255</v>
      </c>
      <c r="C44" s="33" t="s">
        <v>256</v>
      </c>
      <c r="D44" s="19" t="s">
        <v>186</v>
      </c>
      <c r="E44" s="46"/>
      <c r="F44" s="31" t="s">
        <v>20</v>
      </c>
      <c r="G44" s="31" t="s">
        <v>20</v>
      </c>
      <c r="H44" s="31" t="s">
        <v>20</v>
      </c>
      <c r="I44" s="31" t="s">
        <v>20</v>
      </c>
      <c r="J44" s="31" t="s">
        <v>21</v>
      </c>
      <c r="K44" s="31" t="s">
        <v>20</v>
      </c>
      <c r="L44" s="46"/>
      <c r="M44" s="31" t="s">
        <v>20</v>
      </c>
      <c r="N44" s="31" t="s">
        <v>20</v>
      </c>
      <c r="O44" s="31" t="s">
        <v>20</v>
      </c>
      <c r="P44" s="31" t="s">
        <v>20</v>
      </c>
      <c r="Q44" s="31" t="s">
        <v>21</v>
      </c>
      <c r="R44" s="31" t="s">
        <v>20</v>
      </c>
      <c r="S44" s="46"/>
      <c r="T44" s="31" t="s">
        <v>20</v>
      </c>
      <c r="U44" s="41"/>
      <c r="V44" s="31" t="s">
        <v>20</v>
      </c>
      <c r="W44" s="31" t="s">
        <v>20</v>
      </c>
      <c r="X44" s="31" t="s">
        <v>20</v>
      </c>
      <c r="Y44" s="31" t="s">
        <v>20</v>
      </c>
      <c r="Z44" s="46"/>
      <c r="AA44" s="31" t="s">
        <v>20</v>
      </c>
      <c r="AB44" s="31" t="s">
        <v>20</v>
      </c>
      <c r="AC44" s="31" t="s">
        <v>20</v>
      </c>
      <c r="AD44" s="31" t="s">
        <v>20</v>
      </c>
      <c r="AE44" s="31" t="s">
        <v>20</v>
      </c>
      <c r="AF44" s="31" t="s">
        <v>20</v>
      </c>
      <c r="AG44" s="46"/>
      <c r="AH44" s="31" t="s">
        <v>20</v>
      </c>
      <c r="AI44" s="4">
        <f t="shared" si="1"/>
        <v>22</v>
      </c>
      <c r="AJ44" s="4">
        <f t="shared" si="2"/>
        <v>2</v>
      </c>
    </row>
    <row r="45" spans="1:36" x14ac:dyDescent="0.25">
      <c r="A45" s="7">
        <v>41</v>
      </c>
      <c r="B45" s="32" t="s">
        <v>125</v>
      </c>
      <c r="C45" s="33" t="s">
        <v>257</v>
      </c>
      <c r="D45" s="19" t="s">
        <v>186</v>
      </c>
      <c r="E45" s="46"/>
      <c r="F45" s="31" t="s">
        <v>20</v>
      </c>
      <c r="G45" s="31" t="s">
        <v>21</v>
      </c>
      <c r="H45" s="31" t="s">
        <v>20</v>
      </c>
      <c r="I45" s="31" t="s">
        <v>20</v>
      </c>
      <c r="J45" s="31" t="s">
        <v>20</v>
      </c>
      <c r="K45" s="31" t="s">
        <v>20</v>
      </c>
      <c r="L45" s="46"/>
      <c r="M45" s="31" t="s">
        <v>20</v>
      </c>
      <c r="N45" s="31" t="s">
        <v>20</v>
      </c>
      <c r="O45" s="31" t="s">
        <v>20</v>
      </c>
      <c r="P45" s="31" t="s">
        <v>20</v>
      </c>
      <c r="Q45" s="31" t="s">
        <v>20</v>
      </c>
      <c r="R45" s="31" t="s">
        <v>21</v>
      </c>
      <c r="S45" s="46"/>
      <c r="T45" s="31" t="s">
        <v>20</v>
      </c>
      <c r="U45" s="41"/>
      <c r="V45" s="31" t="s">
        <v>20</v>
      </c>
      <c r="W45" s="31" t="s">
        <v>20</v>
      </c>
      <c r="X45" s="31" t="s">
        <v>20</v>
      </c>
      <c r="Y45" s="31" t="s">
        <v>20</v>
      </c>
      <c r="Z45" s="46"/>
      <c r="AA45" s="31" t="s">
        <v>20</v>
      </c>
      <c r="AB45" s="31" t="s">
        <v>20</v>
      </c>
      <c r="AC45" s="31" t="s">
        <v>20</v>
      </c>
      <c r="AD45" s="31" t="s">
        <v>20</v>
      </c>
      <c r="AE45" s="31" t="s">
        <v>20</v>
      </c>
      <c r="AF45" s="31" t="s">
        <v>20</v>
      </c>
      <c r="AG45" s="46"/>
      <c r="AH45" s="31" t="s">
        <v>20</v>
      </c>
      <c r="AI45" s="4">
        <f t="shared" si="1"/>
        <v>22</v>
      </c>
      <c r="AJ45" s="4">
        <f t="shared" si="2"/>
        <v>2</v>
      </c>
    </row>
    <row r="46" spans="1:36" x14ac:dyDescent="0.25">
      <c r="A46" s="5">
        <v>42</v>
      </c>
      <c r="B46" s="32" t="s">
        <v>258</v>
      </c>
      <c r="C46" s="33" t="s">
        <v>114</v>
      </c>
      <c r="D46" s="19" t="s">
        <v>186</v>
      </c>
      <c r="E46" s="46"/>
      <c r="F46" s="31" t="s">
        <v>20</v>
      </c>
      <c r="G46" s="31" t="s">
        <v>20</v>
      </c>
      <c r="H46" s="31" t="s">
        <v>20</v>
      </c>
      <c r="I46" s="31" t="s">
        <v>20</v>
      </c>
      <c r="J46" s="31" t="s">
        <v>21</v>
      </c>
      <c r="K46" s="31" t="s">
        <v>20</v>
      </c>
      <c r="L46" s="46"/>
      <c r="M46" s="31" t="s">
        <v>20</v>
      </c>
      <c r="N46" s="31" t="s">
        <v>20</v>
      </c>
      <c r="O46" s="31" t="s">
        <v>20</v>
      </c>
      <c r="P46" s="31" t="s">
        <v>20</v>
      </c>
      <c r="Q46" s="31" t="s">
        <v>20</v>
      </c>
      <c r="R46" s="31" t="s">
        <v>20</v>
      </c>
      <c r="S46" s="46"/>
      <c r="T46" s="31" t="s">
        <v>20</v>
      </c>
      <c r="U46" s="41"/>
      <c r="V46" s="31" t="s">
        <v>20</v>
      </c>
      <c r="W46" s="31" t="s">
        <v>20</v>
      </c>
      <c r="X46" s="31" t="s">
        <v>20</v>
      </c>
      <c r="Y46" s="31" t="s">
        <v>20</v>
      </c>
      <c r="Z46" s="46"/>
      <c r="AA46" s="31" t="s">
        <v>20</v>
      </c>
      <c r="AB46" s="31" t="s">
        <v>20</v>
      </c>
      <c r="AC46" s="31" t="s">
        <v>20</v>
      </c>
      <c r="AD46" s="31" t="s">
        <v>20</v>
      </c>
      <c r="AE46" s="31" t="s">
        <v>20</v>
      </c>
      <c r="AF46" s="31" t="s">
        <v>20</v>
      </c>
      <c r="AG46" s="46"/>
      <c r="AH46" s="31" t="s">
        <v>20</v>
      </c>
      <c r="AI46" s="4">
        <f t="shared" si="1"/>
        <v>23</v>
      </c>
      <c r="AJ46" s="4">
        <f t="shared" si="2"/>
        <v>1</v>
      </c>
    </row>
    <row r="47" spans="1:36" x14ac:dyDescent="0.25">
      <c r="A47" s="5">
        <v>43</v>
      </c>
      <c r="B47" s="32" t="s">
        <v>259</v>
      </c>
      <c r="C47" s="33" t="s">
        <v>260</v>
      </c>
      <c r="D47" s="19" t="s">
        <v>186</v>
      </c>
      <c r="E47" s="46"/>
      <c r="F47" s="31" t="s">
        <v>20</v>
      </c>
      <c r="G47" s="31" t="s">
        <v>20</v>
      </c>
      <c r="H47" s="31" t="s">
        <v>20</v>
      </c>
      <c r="I47" s="31" t="s">
        <v>20</v>
      </c>
      <c r="J47" s="31" t="s">
        <v>21</v>
      </c>
      <c r="K47" s="31" t="s">
        <v>20</v>
      </c>
      <c r="L47" s="46"/>
      <c r="M47" s="31" t="s">
        <v>20</v>
      </c>
      <c r="N47" s="31" t="s">
        <v>20</v>
      </c>
      <c r="O47" s="31" t="s">
        <v>20</v>
      </c>
      <c r="P47" s="31" t="s">
        <v>20</v>
      </c>
      <c r="Q47" s="31" t="s">
        <v>20</v>
      </c>
      <c r="R47" s="31" t="s">
        <v>20</v>
      </c>
      <c r="S47" s="46"/>
      <c r="T47" s="31" t="s">
        <v>21</v>
      </c>
      <c r="U47" s="41"/>
      <c r="V47" s="31" t="s">
        <v>20</v>
      </c>
      <c r="W47" s="31" t="s">
        <v>20</v>
      </c>
      <c r="X47" s="31" t="s">
        <v>20</v>
      </c>
      <c r="Y47" s="31" t="s">
        <v>20</v>
      </c>
      <c r="Z47" s="46"/>
      <c r="AA47" s="31" t="s">
        <v>20</v>
      </c>
      <c r="AB47" s="31" t="s">
        <v>20</v>
      </c>
      <c r="AC47" s="31" t="s">
        <v>20</v>
      </c>
      <c r="AD47" s="31" t="s">
        <v>20</v>
      </c>
      <c r="AE47" s="31" t="s">
        <v>21</v>
      </c>
      <c r="AF47" s="31" t="s">
        <v>21</v>
      </c>
      <c r="AG47" s="46"/>
      <c r="AH47" s="31" t="s">
        <v>21</v>
      </c>
      <c r="AI47" s="4">
        <f t="shared" si="1"/>
        <v>19</v>
      </c>
      <c r="AJ47" s="4">
        <f t="shared" si="2"/>
        <v>5</v>
      </c>
    </row>
    <row r="48" spans="1:36" x14ac:dyDescent="0.25">
      <c r="A48" s="7">
        <v>44</v>
      </c>
      <c r="B48" s="32" t="s">
        <v>261</v>
      </c>
      <c r="C48" s="32" t="s">
        <v>262</v>
      </c>
      <c r="D48" s="19" t="s">
        <v>186</v>
      </c>
      <c r="E48" s="46"/>
      <c r="F48" s="31" t="s">
        <v>20</v>
      </c>
      <c r="G48" s="31" t="s">
        <v>20</v>
      </c>
      <c r="H48" s="31" t="s">
        <v>20</v>
      </c>
      <c r="I48" s="31" t="s">
        <v>20</v>
      </c>
      <c r="J48" s="31" t="s">
        <v>21</v>
      </c>
      <c r="K48" s="31" t="s">
        <v>20</v>
      </c>
      <c r="L48" s="46"/>
      <c r="M48" s="31" t="s">
        <v>20</v>
      </c>
      <c r="N48" s="31" t="s">
        <v>20</v>
      </c>
      <c r="O48" s="31" t="s">
        <v>20</v>
      </c>
      <c r="P48" s="31" t="s">
        <v>20</v>
      </c>
      <c r="Q48" s="31" t="s">
        <v>20</v>
      </c>
      <c r="R48" s="31" t="s">
        <v>20</v>
      </c>
      <c r="S48" s="46"/>
      <c r="T48" s="31" t="s">
        <v>20</v>
      </c>
      <c r="U48" s="41"/>
      <c r="V48" s="31" t="s">
        <v>20</v>
      </c>
      <c r="W48" s="31" t="s">
        <v>20</v>
      </c>
      <c r="X48" s="31" t="s">
        <v>20</v>
      </c>
      <c r="Y48" s="31" t="s">
        <v>20</v>
      </c>
      <c r="Z48" s="46"/>
      <c r="AA48" s="31" t="s">
        <v>20</v>
      </c>
      <c r="AB48" s="31" t="s">
        <v>20</v>
      </c>
      <c r="AC48" s="31" t="s">
        <v>20</v>
      </c>
      <c r="AD48" s="31" t="s">
        <v>20</v>
      </c>
      <c r="AE48" s="31" t="s">
        <v>20</v>
      </c>
      <c r="AF48" s="31" t="s">
        <v>20</v>
      </c>
      <c r="AG48" s="46"/>
      <c r="AH48" s="31" t="s">
        <v>20</v>
      </c>
      <c r="AI48" s="4">
        <f t="shared" si="1"/>
        <v>23</v>
      </c>
      <c r="AJ48" s="4">
        <f t="shared" si="2"/>
        <v>1</v>
      </c>
    </row>
    <row r="49" spans="1:36" x14ac:dyDescent="0.25">
      <c r="A49" s="5">
        <v>45</v>
      </c>
      <c r="B49" s="32" t="s">
        <v>263</v>
      </c>
      <c r="C49" s="33" t="s">
        <v>264</v>
      </c>
      <c r="D49" s="19" t="s">
        <v>186</v>
      </c>
      <c r="E49" s="46"/>
      <c r="F49" s="31" t="s">
        <v>102</v>
      </c>
      <c r="G49" s="31" t="s">
        <v>102</v>
      </c>
      <c r="H49" s="31" t="s">
        <v>102</v>
      </c>
      <c r="I49" s="31" t="s">
        <v>102</v>
      </c>
      <c r="J49" s="31" t="s">
        <v>102</v>
      </c>
      <c r="K49" s="31" t="s">
        <v>102</v>
      </c>
      <c r="L49" s="46"/>
      <c r="M49" s="31" t="s">
        <v>102</v>
      </c>
      <c r="N49" s="31" t="s">
        <v>102</v>
      </c>
      <c r="O49" s="31" t="s">
        <v>102</v>
      </c>
      <c r="P49" s="31" t="s">
        <v>102</v>
      </c>
      <c r="Q49" s="31" t="s">
        <v>102</v>
      </c>
      <c r="R49" s="31" t="s">
        <v>102</v>
      </c>
      <c r="S49" s="46"/>
      <c r="T49" s="31" t="s">
        <v>20</v>
      </c>
      <c r="U49" s="41"/>
      <c r="V49" s="31" t="s">
        <v>20</v>
      </c>
      <c r="W49" s="31" t="s">
        <v>20</v>
      </c>
      <c r="X49" s="31" t="s">
        <v>20</v>
      </c>
      <c r="Y49" s="31" t="s">
        <v>20</v>
      </c>
      <c r="Z49" s="46"/>
      <c r="AA49" s="31" t="s">
        <v>20</v>
      </c>
      <c r="AB49" s="31" t="s">
        <v>20</v>
      </c>
      <c r="AC49" s="31" t="s">
        <v>20</v>
      </c>
      <c r="AD49" s="31" t="s">
        <v>20</v>
      </c>
      <c r="AE49" s="31" t="s">
        <v>20</v>
      </c>
      <c r="AF49" s="31" t="s">
        <v>20</v>
      </c>
      <c r="AG49" s="46"/>
      <c r="AH49" s="31" t="s">
        <v>20</v>
      </c>
      <c r="AI49" s="4">
        <f t="shared" si="1"/>
        <v>12</v>
      </c>
      <c r="AJ49" s="4">
        <f t="shared" si="2"/>
        <v>0</v>
      </c>
    </row>
    <row r="50" spans="1:36" x14ac:dyDescent="0.25">
      <c r="A50" s="5">
        <v>46</v>
      </c>
      <c r="B50" s="34" t="s">
        <v>265</v>
      </c>
      <c r="C50" s="35" t="s">
        <v>266</v>
      </c>
      <c r="D50" s="36" t="s">
        <v>186</v>
      </c>
      <c r="E50" s="46"/>
      <c r="F50" s="31" t="s">
        <v>102</v>
      </c>
      <c r="G50" s="31" t="s">
        <v>102</v>
      </c>
      <c r="H50" s="31" t="s">
        <v>102</v>
      </c>
      <c r="I50" s="31" t="s">
        <v>102</v>
      </c>
      <c r="J50" s="31" t="s">
        <v>102</v>
      </c>
      <c r="K50" s="31" t="s">
        <v>102</v>
      </c>
      <c r="L50" s="46"/>
      <c r="M50" s="31" t="s">
        <v>102</v>
      </c>
      <c r="N50" s="31" t="s">
        <v>102</v>
      </c>
      <c r="O50" s="31" t="s">
        <v>102</v>
      </c>
      <c r="P50" s="31" t="s">
        <v>102</v>
      </c>
      <c r="Q50" s="31" t="s">
        <v>102</v>
      </c>
      <c r="R50" s="31" t="s">
        <v>102</v>
      </c>
      <c r="S50" s="46"/>
      <c r="T50" s="37" t="s">
        <v>20</v>
      </c>
      <c r="U50" s="41"/>
      <c r="V50" s="37" t="s">
        <v>20</v>
      </c>
      <c r="W50" s="37" t="s">
        <v>21</v>
      </c>
      <c r="X50" s="37" t="s">
        <v>20</v>
      </c>
      <c r="Y50" s="37" t="s">
        <v>21</v>
      </c>
      <c r="Z50" s="46"/>
      <c r="AA50" s="31" t="s">
        <v>20</v>
      </c>
      <c r="AB50" s="37" t="s">
        <v>21</v>
      </c>
      <c r="AC50" s="37" t="s">
        <v>20</v>
      </c>
      <c r="AD50" s="37" t="s">
        <v>20</v>
      </c>
      <c r="AE50" s="31" t="s">
        <v>20</v>
      </c>
      <c r="AF50" s="31" t="s">
        <v>20</v>
      </c>
      <c r="AG50" s="46"/>
      <c r="AH50" s="31" t="s">
        <v>20</v>
      </c>
      <c r="AI50" s="38">
        <f t="shared" si="1"/>
        <v>9</v>
      </c>
      <c r="AJ50" s="38">
        <f t="shared" si="2"/>
        <v>3</v>
      </c>
    </row>
    <row r="51" spans="1:36" x14ac:dyDescent="0.25">
      <c r="A51" s="7">
        <v>47</v>
      </c>
      <c r="B51" s="20" t="s">
        <v>267</v>
      </c>
      <c r="C51" s="20" t="s">
        <v>192</v>
      </c>
      <c r="D51" s="36" t="s">
        <v>186</v>
      </c>
      <c r="E51" s="46"/>
      <c r="F51" s="31" t="s">
        <v>102</v>
      </c>
      <c r="G51" s="31" t="s">
        <v>102</v>
      </c>
      <c r="H51" s="31" t="s">
        <v>102</v>
      </c>
      <c r="I51" s="31" t="s">
        <v>102</v>
      </c>
      <c r="J51" s="31" t="s">
        <v>102</v>
      </c>
      <c r="K51" s="31" t="s">
        <v>102</v>
      </c>
      <c r="L51" s="46"/>
      <c r="M51" s="31" t="s">
        <v>102</v>
      </c>
      <c r="N51" s="31" t="s">
        <v>102</v>
      </c>
      <c r="O51" s="31" t="s">
        <v>102</v>
      </c>
      <c r="P51" s="31" t="s">
        <v>102</v>
      </c>
      <c r="Q51" s="31" t="s">
        <v>102</v>
      </c>
      <c r="R51" s="31" t="s">
        <v>102</v>
      </c>
      <c r="S51" s="46"/>
      <c r="T51" s="20" t="s">
        <v>102</v>
      </c>
      <c r="U51" s="41"/>
      <c r="V51" s="20" t="s">
        <v>102</v>
      </c>
      <c r="W51" s="20" t="s">
        <v>102</v>
      </c>
      <c r="X51" s="20" t="s">
        <v>102</v>
      </c>
      <c r="Y51" s="20" t="s">
        <v>102</v>
      </c>
      <c r="Z51" s="46"/>
      <c r="AA51" s="31" t="s">
        <v>102</v>
      </c>
      <c r="AB51" s="37" t="s">
        <v>20</v>
      </c>
      <c r="AC51" s="37" t="s">
        <v>20</v>
      </c>
      <c r="AD51" s="37" t="s">
        <v>20</v>
      </c>
      <c r="AE51" s="31" t="s">
        <v>20</v>
      </c>
      <c r="AF51" s="31" t="s">
        <v>20</v>
      </c>
      <c r="AG51" s="46"/>
      <c r="AH51" s="31" t="s">
        <v>20</v>
      </c>
      <c r="AI51" s="38">
        <f t="shared" si="1"/>
        <v>6</v>
      </c>
      <c r="AJ51" s="38">
        <f t="shared" si="2"/>
        <v>0</v>
      </c>
    </row>
    <row r="52" spans="1:36" x14ac:dyDescent="0.25">
      <c r="A52" s="5">
        <v>48</v>
      </c>
      <c r="B52" s="20" t="s">
        <v>268</v>
      </c>
      <c r="C52" s="20" t="s">
        <v>269</v>
      </c>
      <c r="D52" s="36" t="s">
        <v>186</v>
      </c>
      <c r="E52" s="46"/>
      <c r="F52" s="31" t="s">
        <v>102</v>
      </c>
      <c r="G52" s="31" t="s">
        <v>102</v>
      </c>
      <c r="H52" s="31" t="s">
        <v>102</v>
      </c>
      <c r="I52" s="31" t="s">
        <v>102</v>
      </c>
      <c r="J52" s="31" t="s">
        <v>102</v>
      </c>
      <c r="K52" s="31" t="s">
        <v>102</v>
      </c>
      <c r="L52" s="46"/>
      <c r="M52" s="31" t="s">
        <v>102</v>
      </c>
      <c r="N52" s="31" t="s">
        <v>102</v>
      </c>
      <c r="O52" s="31" t="s">
        <v>102</v>
      </c>
      <c r="P52" s="31" t="s">
        <v>102</v>
      </c>
      <c r="Q52" s="31" t="s">
        <v>102</v>
      </c>
      <c r="R52" s="31" t="s">
        <v>102</v>
      </c>
      <c r="S52" s="46"/>
      <c r="T52" s="20" t="s">
        <v>102</v>
      </c>
      <c r="U52" s="41"/>
      <c r="V52" s="20" t="s">
        <v>102</v>
      </c>
      <c r="W52" s="20" t="s">
        <v>102</v>
      </c>
      <c r="X52" s="20" t="s">
        <v>102</v>
      </c>
      <c r="Y52" s="20" t="s">
        <v>102</v>
      </c>
      <c r="Z52" s="46"/>
      <c r="AA52" s="20" t="s">
        <v>102</v>
      </c>
      <c r="AB52" s="20" t="s">
        <v>102</v>
      </c>
      <c r="AC52" s="20" t="s">
        <v>102</v>
      </c>
      <c r="AD52" s="31" t="s">
        <v>20</v>
      </c>
      <c r="AE52" s="31" t="s">
        <v>20</v>
      </c>
      <c r="AF52" s="31" t="s">
        <v>20</v>
      </c>
      <c r="AG52" s="46"/>
      <c r="AH52" s="31" t="s">
        <v>20</v>
      </c>
      <c r="AI52" s="4">
        <f t="shared" si="1"/>
        <v>4</v>
      </c>
      <c r="AJ52" s="4">
        <f t="shared" si="2"/>
        <v>0</v>
      </c>
    </row>
    <row r="53" spans="1:36" x14ac:dyDescent="0.25">
      <c r="A53" s="5">
        <v>49</v>
      </c>
      <c r="B53" s="20" t="s">
        <v>270</v>
      </c>
      <c r="C53" s="20" t="s">
        <v>271</v>
      </c>
      <c r="D53" s="19" t="s">
        <v>186</v>
      </c>
      <c r="E53" s="46"/>
      <c r="F53" s="31" t="s">
        <v>102</v>
      </c>
      <c r="G53" s="31" t="s">
        <v>102</v>
      </c>
      <c r="H53" s="31" t="s">
        <v>102</v>
      </c>
      <c r="I53" s="31" t="s">
        <v>102</v>
      </c>
      <c r="J53" s="31" t="s">
        <v>102</v>
      </c>
      <c r="K53" s="31" t="s">
        <v>102</v>
      </c>
      <c r="L53" s="46"/>
      <c r="M53" s="31" t="s">
        <v>102</v>
      </c>
      <c r="N53" s="31" t="s">
        <v>102</v>
      </c>
      <c r="O53" s="31" t="s">
        <v>102</v>
      </c>
      <c r="P53" s="31" t="s">
        <v>102</v>
      </c>
      <c r="Q53" s="31" t="s">
        <v>102</v>
      </c>
      <c r="R53" s="31" t="s">
        <v>102</v>
      </c>
      <c r="S53" s="46"/>
      <c r="T53" s="20" t="s">
        <v>102</v>
      </c>
      <c r="U53" s="41"/>
      <c r="V53" s="20" t="s">
        <v>102</v>
      </c>
      <c r="W53" s="20" t="s">
        <v>102</v>
      </c>
      <c r="X53" s="20" t="s">
        <v>102</v>
      </c>
      <c r="Y53" s="20" t="s">
        <v>102</v>
      </c>
      <c r="Z53" s="46"/>
      <c r="AA53" s="20" t="s">
        <v>102</v>
      </c>
      <c r="AB53" s="31" t="s">
        <v>102</v>
      </c>
      <c r="AC53" s="31" t="s">
        <v>102</v>
      </c>
      <c r="AD53" s="31" t="s">
        <v>102</v>
      </c>
      <c r="AE53" s="31" t="s">
        <v>20</v>
      </c>
      <c r="AF53" s="31" t="s">
        <v>21</v>
      </c>
      <c r="AG53" s="46"/>
      <c r="AH53" s="31" t="s">
        <v>21</v>
      </c>
      <c r="AI53" s="4">
        <f t="shared" si="1"/>
        <v>1</v>
      </c>
      <c r="AJ53" s="4">
        <f t="shared" si="2"/>
        <v>2</v>
      </c>
    </row>
  </sheetData>
  <mergeCells count="17">
    <mergeCell ref="A1:AH1"/>
    <mergeCell ref="A2:AH2"/>
    <mergeCell ref="A3:A4"/>
    <mergeCell ref="B3:B4"/>
    <mergeCell ref="C3:C4"/>
    <mergeCell ref="D3:D4"/>
    <mergeCell ref="E5:E53"/>
    <mergeCell ref="L5:L53"/>
    <mergeCell ref="S5:S53"/>
    <mergeCell ref="Z5:Z53"/>
    <mergeCell ref="AG5:AG53"/>
    <mergeCell ref="U5:U53"/>
    <mergeCell ref="AK9:AN9"/>
    <mergeCell ref="AK17:AN17"/>
    <mergeCell ref="AI3:AI4"/>
    <mergeCell ref="AJ3:AJ4"/>
    <mergeCell ref="AK3:AL3"/>
  </mergeCells>
  <conditionalFormatting sqref="E5 L5 S5 U5 Z5:AG5 T5:T50 V5:Y50 F5:K53 M5:R53 AH5:AH53 AA6:AF50 AA51:AD51 AE51:AF52 AB52:AD52 AB53:AF53 E4:AH4">
    <cfRule type="expression" dxfId="246" priority="15">
      <formula>IF(E$4=TODAY(),TRUE,FALSE)</formula>
    </cfRule>
  </conditionalFormatting>
  <conditionalFormatting sqref="E5 L5 S5 U5 Z5:AG5 T5:T50 V5:Y50 F5:K53 M5:R53 AH5:AH53 AA6:AF50 AA51:AD51 AE51:AF52 AB52:AD52 AB53:AF53">
    <cfRule type="cellIs" dxfId="245" priority="9" operator="equal">
      <formula>"P"</formula>
    </cfRule>
  </conditionalFormatting>
  <conditionalFormatting sqref="E5:AG5 AH5:AH53 F6:K53 M6:R53 T6:T53 V6:Y53 AA6:AF53">
    <cfRule type="cellIs" dxfId="244" priority="8" operator="equal">
      <formula>"A"</formula>
    </cfRule>
  </conditionalFormatting>
  <conditionalFormatting sqref="E3:AH4 E5 L5 S5 U5 Z5:AG5 T5:T50 V5:Y50 F5:K53 M5:R53 AH5:AH53 AA6:AF50 AA51:AD51 AE51:AF52 AB52:AD52 AB53:AF53">
    <cfRule type="expression" dxfId="243" priority="16">
      <formula>E$3="Sun"</formula>
    </cfRule>
  </conditionalFormatting>
  <conditionalFormatting sqref="AI3:AJ3 AI5:AJ53">
    <cfRule type="expression" dxfId="242" priority="17">
      <formula>#REF!="Sun"</formula>
    </cfRule>
  </conditionalFormatting>
  <conditionalFormatting sqref="AK5:AK7">
    <cfRule type="expression" dxfId="241" priority="5">
      <formula>AK$3="Sun"</formula>
    </cfRule>
  </conditionalFormatting>
  <conditionalFormatting sqref="AK10:AK13">
    <cfRule type="expression" dxfId="240" priority="2">
      <formula>AK$3="Sun"</formula>
    </cfRule>
  </conditionalFormatting>
  <conditionalFormatting sqref="AK18:AK21">
    <cfRule type="expression" dxfId="239" priority="1">
      <formula>AK$3="Sun"</formula>
    </cfRule>
  </conditionalFormatting>
  <conditionalFormatting sqref="AK4:AL4">
    <cfRule type="expression" dxfId="238" priority="6">
      <formula>AK$3="Sun"</formula>
    </cfRule>
  </conditionalFormatting>
  <conditionalFormatting sqref="AL10:AN10 AL18:AN18">
    <cfRule type="expression" dxfId="237" priority="7">
      <formula>AL$3="Sun"</formula>
    </cfRule>
  </conditionalFormatting>
  <conditionalFormatting sqref="AN19">
    <cfRule type="expression" dxfId="236" priority="4">
      <formula>AN$3="Sun"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300CB-8F9A-4EDD-8423-A062C7586940}">
  <dimension ref="A1:AN60"/>
  <sheetViews>
    <sheetView topLeftCell="A40" workbookViewId="0">
      <selection activeCell="AM11" sqref="AM11"/>
    </sheetView>
  </sheetViews>
  <sheetFormatPr defaultColWidth="3.85546875" defaultRowHeight="15" x14ac:dyDescent="0.2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3.85546875" style="1"/>
    <col min="6" max="6" width="4.5703125" style="1" bestFit="1" customWidth="1"/>
    <col min="7" max="7" width="3.85546875" style="1"/>
    <col min="8" max="8" width="4.7109375" style="1" bestFit="1" customWidth="1"/>
    <col min="9" max="9" width="3.85546875" style="1"/>
    <col min="10" max="11" width="3.7109375" style="1" bestFit="1" customWidth="1"/>
    <col min="12" max="12" width="3.85546875" style="1"/>
    <col min="13" max="13" width="4.5703125" style="1" bestFit="1" customWidth="1"/>
    <col min="14" max="14" width="3.85546875" style="1"/>
    <col min="15" max="15" width="4.7109375" style="1" bestFit="1" customWidth="1"/>
    <col min="16" max="16" width="3.85546875" style="1"/>
    <col min="17" max="18" width="3.7109375" style="1" bestFit="1" customWidth="1"/>
    <col min="19" max="19" width="3.85546875" style="1"/>
    <col min="20" max="20" width="4.5703125" style="1" bestFit="1" customWidth="1"/>
    <col min="21" max="21" width="3.85546875" style="1"/>
    <col min="22" max="22" width="4.7109375" style="1" bestFit="1" customWidth="1"/>
    <col min="23" max="23" width="3.85546875" style="1"/>
    <col min="24" max="25" width="3.7109375" style="1" bestFit="1" customWidth="1"/>
    <col min="26" max="26" width="3.85546875" style="1"/>
    <col min="27" max="27" width="4.5703125" style="1" bestFit="1" customWidth="1"/>
    <col min="28" max="28" width="3.85546875" style="1"/>
    <col min="29" max="29" width="4.7109375" style="1" bestFit="1" customWidth="1"/>
    <col min="30" max="30" width="3.85546875" style="1"/>
    <col min="31" max="32" width="3.7109375" style="1" bestFit="1" customWidth="1"/>
    <col min="33" max="33" width="3.85546875" style="1"/>
    <col min="34" max="34" width="4.5703125" style="1" bestFit="1" customWidth="1"/>
    <col min="35" max="36" width="6.7109375" style="1" bestFit="1" customWidth="1"/>
    <col min="37" max="37" width="18.5703125" style="1" bestFit="1" customWidth="1"/>
    <col min="38" max="38" width="5.85546875" style="1" bestFit="1" customWidth="1"/>
    <col min="39" max="39" width="14.28515625" style="1" bestFit="1" customWidth="1"/>
    <col min="40" max="40" width="6.7109375" style="1" bestFit="1" customWidth="1"/>
    <col min="41" max="16384" width="3.85546875" style="1"/>
  </cols>
  <sheetData>
    <row r="1" spans="1:40" ht="17.25" x14ac:dyDescent="0.25">
      <c r="A1" s="47" t="s">
        <v>19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</row>
    <row r="2" spans="1:40" ht="17.25" x14ac:dyDescent="0.3">
      <c r="A2" s="48" t="s">
        <v>183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</row>
    <row r="3" spans="1:40" ht="15.75" x14ac:dyDescent="0.25">
      <c r="A3" s="49" t="s">
        <v>0</v>
      </c>
      <c r="B3" s="49" t="s">
        <v>1</v>
      </c>
      <c r="C3" s="49" t="s">
        <v>2</v>
      </c>
      <c r="D3" s="49" t="s">
        <v>3</v>
      </c>
      <c r="E3" s="2" t="str">
        <f t="shared" ref="E3:AH3" si="0">TEXT(E4,"ddd")</f>
        <v>Sun</v>
      </c>
      <c r="F3" s="2" t="str">
        <f t="shared" si="0"/>
        <v>Mon</v>
      </c>
      <c r="G3" s="2" t="str">
        <f t="shared" si="0"/>
        <v>Tue</v>
      </c>
      <c r="H3" s="2" t="str">
        <f t="shared" si="0"/>
        <v>Wed</v>
      </c>
      <c r="I3" s="2" t="str">
        <f t="shared" si="0"/>
        <v>Thu</v>
      </c>
      <c r="J3" s="2" t="str">
        <f t="shared" si="0"/>
        <v>Fri</v>
      </c>
      <c r="K3" s="2" t="str">
        <f t="shared" si="0"/>
        <v>Sat</v>
      </c>
      <c r="L3" s="2" t="str">
        <f t="shared" si="0"/>
        <v>Sun</v>
      </c>
      <c r="M3" s="2" t="str">
        <f t="shared" si="0"/>
        <v>Mon</v>
      </c>
      <c r="N3" s="2" t="str">
        <f t="shared" si="0"/>
        <v>Tue</v>
      </c>
      <c r="O3" s="2" t="str">
        <f t="shared" si="0"/>
        <v>Wed</v>
      </c>
      <c r="P3" s="2" t="str">
        <f t="shared" si="0"/>
        <v>Thu</v>
      </c>
      <c r="Q3" s="2" t="str">
        <f t="shared" si="0"/>
        <v>Fri</v>
      </c>
      <c r="R3" s="2" t="str">
        <f t="shared" si="0"/>
        <v>Sat</v>
      </c>
      <c r="S3" s="2" t="str">
        <f t="shared" si="0"/>
        <v>Sun</v>
      </c>
      <c r="T3" s="2" t="str">
        <f t="shared" si="0"/>
        <v>Mon</v>
      </c>
      <c r="U3" s="2" t="str">
        <f t="shared" si="0"/>
        <v>Tue</v>
      </c>
      <c r="V3" s="2" t="str">
        <f t="shared" si="0"/>
        <v>Wed</v>
      </c>
      <c r="W3" s="2" t="str">
        <f t="shared" si="0"/>
        <v>Thu</v>
      </c>
      <c r="X3" s="2" t="str">
        <f t="shared" si="0"/>
        <v>Fri</v>
      </c>
      <c r="Y3" s="2" t="str">
        <f t="shared" si="0"/>
        <v>Sat</v>
      </c>
      <c r="Z3" s="2" t="str">
        <f t="shared" si="0"/>
        <v>Sun</v>
      </c>
      <c r="AA3" s="2" t="str">
        <f t="shared" si="0"/>
        <v>Mon</v>
      </c>
      <c r="AB3" s="2" t="str">
        <f t="shared" si="0"/>
        <v>Tue</v>
      </c>
      <c r="AC3" s="2" t="str">
        <f t="shared" si="0"/>
        <v>Wed</v>
      </c>
      <c r="AD3" s="2" t="str">
        <f t="shared" si="0"/>
        <v>Thu</v>
      </c>
      <c r="AE3" s="2" t="str">
        <f t="shared" si="0"/>
        <v>Fri</v>
      </c>
      <c r="AF3" s="2" t="str">
        <f t="shared" si="0"/>
        <v>Sat</v>
      </c>
      <c r="AG3" s="2" t="str">
        <f t="shared" si="0"/>
        <v>Sun</v>
      </c>
      <c r="AH3" s="2" t="str">
        <f t="shared" si="0"/>
        <v>Mon</v>
      </c>
      <c r="AI3" s="45" t="s">
        <v>4</v>
      </c>
      <c r="AJ3" s="45" t="s">
        <v>5</v>
      </c>
      <c r="AK3" s="42" t="s">
        <v>17</v>
      </c>
      <c r="AL3" s="43"/>
      <c r="AM3" s="3"/>
      <c r="AN3" s="3"/>
    </row>
    <row r="4" spans="1:40" ht="36" x14ac:dyDescent="0.25">
      <c r="A4" s="50"/>
      <c r="B4" s="50"/>
      <c r="C4" s="50"/>
      <c r="D4" s="50"/>
      <c r="E4" s="10">
        <v>45536</v>
      </c>
      <c r="F4" s="10">
        <v>45537</v>
      </c>
      <c r="G4" s="10">
        <v>45538</v>
      </c>
      <c r="H4" s="10">
        <v>45539</v>
      </c>
      <c r="I4" s="10">
        <v>45540</v>
      </c>
      <c r="J4" s="10">
        <v>45541</v>
      </c>
      <c r="K4" s="10">
        <v>45542</v>
      </c>
      <c r="L4" s="10">
        <v>45543</v>
      </c>
      <c r="M4" s="10">
        <v>45544</v>
      </c>
      <c r="N4" s="10">
        <v>45545</v>
      </c>
      <c r="O4" s="10">
        <v>45546</v>
      </c>
      <c r="P4" s="10">
        <v>45547</v>
      </c>
      <c r="Q4" s="10">
        <v>45548</v>
      </c>
      <c r="R4" s="10">
        <v>45549</v>
      </c>
      <c r="S4" s="10">
        <v>45550</v>
      </c>
      <c r="T4" s="10">
        <v>45551</v>
      </c>
      <c r="U4" s="10">
        <v>45552</v>
      </c>
      <c r="V4" s="10">
        <v>45553</v>
      </c>
      <c r="W4" s="10">
        <v>45554</v>
      </c>
      <c r="X4" s="10">
        <v>45555</v>
      </c>
      <c r="Y4" s="10">
        <v>45556</v>
      </c>
      <c r="Z4" s="10">
        <v>45557</v>
      </c>
      <c r="AA4" s="10">
        <v>45558</v>
      </c>
      <c r="AB4" s="10">
        <v>45559</v>
      </c>
      <c r="AC4" s="10">
        <v>45560</v>
      </c>
      <c r="AD4" s="10">
        <v>45561</v>
      </c>
      <c r="AE4" s="10">
        <v>45562</v>
      </c>
      <c r="AF4" s="10">
        <v>45563</v>
      </c>
      <c r="AG4" s="10">
        <v>45564</v>
      </c>
      <c r="AH4" s="10">
        <v>45565</v>
      </c>
      <c r="AI4" s="45"/>
      <c r="AJ4" s="45"/>
      <c r="AK4" s="4" t="s">
        <v>103</v>
      </c>
      <c r="AL4" s="4">
        <f>SUM(AL5:AL7)</f>
        <v>30</v>
      </c>
      <c r="AM4" s="3"/>
      <c r="AN4" s="3"/>
    </row>
    <row r="5" spans="1:40" ht="15" customHeight="1" x14ac:dyDescent="0.25">
      <c r="A5" s="5">
        <v>1</v>
      </c>
      <c r="B5" s="29" t="s">
        <v>273</v>
      </c>
      <c r="C5" s="30" t="s">
        <v>274</v>
      </c>
      <c r="D5" s="19" t="s">
        <v>186</v>
      </c>
      <c r="E5" s="46" t="s">
        <v>275</v>
      </c>
      <c r="F5" s="31" t="s">
        <v>20</v>
      </c>
      <c r="G5" s="31" t="s">
        <v>20</v>
      </c>
      <c r="H5" s="31" t="s">
        <v>20</v>
      </c>
      <c r="I5" s="31" t="s">
        <v>20</v>
      </c>
      <c r="J5" s="31" t="s">
        <v>20</v>
      </c>
      <c r="K5" s="31" t="s">
        <v>20</v>
      </c>
      <c r="L5" s="46" t="s">
        <v>275</v>
      </c>
      <c r="M5" s="31" t="s">
        <v>20</v>
      </c>
      <c r="N5" s="31" t="s">
        <v>20</v>
      </c>
      <c r="O5" s="31" t="s">
        <v>20</v>
      </c>
      <c r="P5" s="31" t="s">
        <v>20</v>
      </c>
      <c r="Q5" s="31" t="s">
        <v>20</v>
      </c>
      <c r="R5" s="31" t="s">
        <v>20</v>
      </c>
      <c r="S5" s="46" t="s">
        <v>275</v>
      </c>
      <c r="T5" s="31" t="s">
        <v>21</v>
      </c>
      <c r="U5" s="41" t="s">
        <v>276</v>
      </c>
      <c r="V5" s="31" t="s">
        <v>20</v>
      </c>
      <c r="W5" s="31" t="s">
        <v>20</v>
      </c>
      <c r="X5" s="31" t="s">
        <v>20</v>
      </c>
      <c r="Y5" s="31" t="s">
        <v>20</v>
      </c>
      <c r="Z5" s="46" t="s">
        <v>275</v>
      </c>
      <c r="AA5" s="31" t="s">
        <v>20</v>
      </c>
      <c r="AB5" s="31" t="s">
        <v>20</v>
      </c>
      <c r="AC5" s="31" t="s">
        <v>20</v>
      </c>
      <c r="AD5" s="31" t="s">
        <v>20</v>
      </c>
      <c r="AE5" s="31" t="s">
        <v>20</v>
      </c>
      <c r="AF5" s="31" t="s">
        <v>20</v>
      </c>
      <c r="AG5" s="46" t="s">
        <v>275</v>
      </c>
      <c r="AH5" s="31" t="s">
        <v>20</v>
      </c>
      <c r="AI5" s="4">
        <f t="shared" ref="AI5:AI60" si="1">COUNTIF(E5:AH5,"P")</f>
        <v>23</v>
      </c>
      <c r="AJ5" s="4">
        <f t="shared" ref="AJ5:AJ60" si="2">COUNTIF(E5:AH5,"A")</f>
        <v>1</v>
      </c>
      <c r="AK5" s="4" t="s">
        <v>6</v>
      </c>
      <c r="AL5" s="7">
        <v>24</v>
      </c>
      <c r="AM5" s="8"/>
      <c r="AN5" s="3"/>
    </row>
    <row r="6" spans="1:40" x14ac:dyDescent="0.25">
      <c r="A6" s="7">
        <v>2</v>
      </c>
      <c r="B6" s="32" t="s">
        <v>111</v>
      </c>
      <c r="C6" s="33" t="s">
        <v>277</v>
      </c>
      <c r="D6" s="19" t="s">
        <v>186</v>
      </c>
      <c r="E6" s="46"/>
      <c r="F6" s="31" t="s">
        <v>20</v>
      </c>
      <c r="G6" s="31" t="s">
        <v>20</v>
      </c>
      <c r="H6" s="31" t="s">
        <v>20</v>
      </c>
      <c r="I6" s="31" t="s">
        <v>20</v>
      </c>
      <c r="J6" s="31" t="s">
        <v>20</v>
      </c>
      <c r="K6" s="31" t="s">
        <v>20</v>
      </c>
      <c r="L6" s="46"/>
      <c r="M6" s="31" t="s">
        <v>20</v>
      </c>
      <c r="N6" s="31" t="s">
        <v>20</v>
      </c>
      <c r="O6" s="31" t="s">
        <v>20</v>
      </c>
      <c r="P6" s="31" t="s">
        <v>20</v>
      </c>
      <c r="Q6" s="31" t="s">
        <v>20</v>
      </c>
      <c r="R6" s="31" t="s">
        <v>20</v>
      </c>
      <c r="S6" s="46"/>
      <c r="T6" s="31" t="s">
        <v>21</v>
      </c>
      <c r="U6" s="41"/>
      <c r="V6" s="31" t="s">
        <v>21</v>
      </c>
      <c r="W6" s="31" t="s">
        <v>20</v>
      </c>
      <c r="X6" s="31" t="s">
        <v>20</v>
      </c>
      <c r="Y6" s="31" t="s">
        <v>20</v>
      </c>
      <c r="Z6" s="46"/>
      <c r="AA6" s="31" t="s">
        <v>20</v>
      </c>
      <c r="AB6" s="31" t="s">
        <v>20</v>
      </c>
      <c r="AC6" s="31" t="s">
        <v>20</v>
      </c>
      <c r="AD6" s="31" t="s">
        <v>20</v>
      </c>
      <c r="AE6" s="31" t="s">
        <v>20</v>
      </c>
      <c r="AF6" s="31" t="s">
        <v>20</v>
      </c>
      <c r="AG6" s="46"/>
      <c r="AH6" s="31" t="s">
        <v>20</v>
      </c>
      <c r="AI6" s="4">
        <f t="shared" si="1"/>
        <v>22</v>
      </c>
      <c r="AJ6" s="4">
        <f t="shared" si="2"/>
        <v>2</v>
      </c>
      <c r="AK6" s="4" t="s">
        <v>7</v>
      </c>
      <c r="AL6" s="7">
        <v>5</v>
      </c>
      <c r="AM6" s="3"/>
      <c r="AN6" s="3"/>
    </row>
    <row r="7" spans="1:40" x14ac:dyDescent="0.25">
      <c r="A7" s="5">
        <v>3</v>
      </c>
      <c r="B7" s="32" t="s">
        <v>278</v>
      </c>
      <c r="C7" s="33" t="s">
        <v>125</v>
      </c>
      <c r="D7" s="19" t="s">
        <v>186</v>
      </c>
      <c r="E7" s="46"/>
      <c r="F7" s="31" t="s">
        <v>20</v>
      </c>
      <c r="G7" s="31" t="s">
        <v>20</v>
      </c>
      <c r="H7" s="31" t="s">
        <v>20</v>
      </c>
      <c r="I7" s="31" t="s">
        <v>20</v>
      </c>
      <c r="J7" s="31" t="s">
        <v>20</v>
      </c>
      <c r="K7" s="31" t="s">
        <v>20</v>
      </c>
      <c r="L7" s="46"/>
      <c r="M7" s="31" t="s">
        <v>20</v>
      </c>
      <c r="N7" s="31" t="s">
        <v>20</v>
      </c>
      <c r="O7" s="31" t="s">
        <v>20</v>
      </c>
      <c r="P7" s="31" t="s">
        <v>20</v>
      </c>
      <c r="Q7" s="31" t="s">
        <v>20</v>
      </c>
      <c r="R7" s="31" t="s">
        <v>20</v>
      </c>
      <c r="S7" s="46"/>
      <c r="T7" s="31" t="s">
        <v>21</v>
      </c>
      <c r="U7" s="41"/>
      <c r="V7" s="31" t="s">
        <v>20</v>
      </c>
      <c r="W7" s="31" t="s">
        <v>20</v>
      </c>
      <c r="X7" s="31" t="s">
        <v>21</v>
      </c>
      <c r="Y7" s="31" t="s">
        <v>20</v>
      </c>
      <c r="Z7" s="46"/>
      <c r="AA7" s="31" t="s">
        <v>20</v>
      </c>
      <c r="AB7" s="31" t="s">
        <v>20</v>
      </c>
      <c r="AC7" s="31" t="s">
        <v>20</v>
      </c>
      <c r="AD7" s="31" t="s">
        <v>20</v>
      </c>
      <c r="AE7" s="31" t="s">
        <v>20</v>
      </c>
      <c r="AF7" s="31" t="s">
        <v>20</v>
      </c>
      <c r="AG7" s="46"/>
      <c r="AH7" s="31" t="s">
        <v>20</v>
      </c>
      <c r="AI7" s="4">
        <f t="shared" si="1"/>
        <v>22</v>
      </c>
      <c r="AJ7" s="4">
        <f t="shared" si="2"/>
        <v>2</v>
      </c>
      <c r="AK7" s="4" t="s">
        <v>105</v>
      </c>
      <c r="AL7" s="7">
        <v>1</v>
      </c>
      <c r="AM7" s="3"/>
      <c r="AN7" s="3"/>
    </row>
    <row r="8" spans="1:40" x14ac:dyDescent="0.25">
      <c r="A8" s="5">
        <v>4</v>
      </c>
      <c r="B8" s="32" t="s">
        <v>279</v>
      </c>
      <c r="C8" s="33" t="s">
        <v>280</v>
      </c>
      <c r="D8" s="19" t="s">
        <v>186</v>
      </c>
      <c r="E8" s="46"/>
      <c r="F8" s="31" t="s">
        <v>20</v>
      </c>
      <c r="G8" s="31" t="s">
        <v>20</v>
      </c>
      <c r="H8" s="31" t="s">
        <v>20</v>
      </c>
      <c r="I8" s="31" t="s">
        <v>20</v>
      </c>
      <c r="J8" s="31" t="s">
        <v>20</v>
      </c>
      <c r="K8" s="31" t="s">
        <v>21</v>
      </c>
      <c r="L8" s="46"/>
      <c r="M8" s="31" t="s">
        <v>20</v>
      </c>
      <c r="N8" s="31" t="s">
        <v>20</v>
      </c>
      <c r="O8" s="31" t="s">
        <v>20</v>
      </c>
      <c r="P8" s="31" t="s">
        <v>20</v>
      </c>
      <c r="Q8" s="31" t="s">
        <v>20</v>
      </c>
      <c r="R8" s="31" t="s">
        <v>20</v>
      </c>
      <c r="S8" s="46"/>
      <c r="T8" s="31" t="s">
        <v>20</v>
      </c>
      <c r="U8" s="41"/>
      <c r="V8" s="31" t="s">
        <v>20</v>
      </c>
      <c r="W8" s="31" t="s">
        <v>21</v>
      </c>
      <c r="X8" s="31" t="s">
        <v>20</v>
      </c>
      <c r="Y8" s="31" t="s">
        <v>20</v>
      </c>
      <c r="Z8" s="46"/>
      <c r="AA8" s="31" t="s">
        <v>20</v>
      </c>
      <c r="AB8" s="31" t="s">
        <v>20</v>
      </c>
      <c r="AC8" s="31" t="s">
        <v>20</v>
      </c>
      <c r="AD8" s="31" t="s">
        <v>20</v>
      </c>
      <c r="AE8" s="31" t="s">
        <v>20</v>
      </c>
      <c r="AF8" s="31" t="s">
        <v>20</v>
      </c>
      <c r="AG8" s="46"/>
      <c r="AH8" s="31" t="s">
        <v>20</v>
      </c>
      <c r="AI8" s="4">
        <f t="shared" si="1"/>
        <v>22</v>
      </c>
      <c r="AJ8" s="4">
        <f t="shared" si="2"/>
        <v>2</v>
      </c>
      <c r="AK8"/>
      <c r="AL8"/>
      <c r="AM8"/>
      <c r="AN8"/>
    </row>
    <row r="9" spans="1:40" ht="15.75" x14ac:dyDescent="0.25">
      <c r="A9" s="7">
        <v>5</v>
      </c>
      <c r="B9" s="32" t="s">
        <v>281</v>
      </c>
      <c r="C9" s="33" t="s">
        <v>282</v>
      </c>
      <c r="D9" s="19" t="s">
        <v>186</v>
      </c>
      <c r="E9" s="46"/>
      <c r="F9" s="31" t="s">
        <v>20</v>
      </c>
      <c r="G9" s="31" t="s">
        <v>20</v>
      </c>
      <c r="H9" s="31" t="s">
        <v>20</v>
      </c>
      <c r="I9" s="31" t="s">
        <v>20</v>
      </c>
      <c r="J9" s="31" t="s">
        <v>21</v>
      </c>
      <c r="K9" s="31" t="s">
        <v>20</v>
      </c>
      <c r="L9" s="46"/>
      <c r="M9" s="31" t="s">
        <v>20</v>
      </c>
      <c r="N9" s="31" t="s">
        <v>20</v>
      </c>
      <c r="O9" s="31" t="s">
        <v>20</v>
      </c>
      <c r="P9" s="31" t="s">
        <v>20</v>
      </c>
      <c r="Q9" s="31" t="s">
        <v>20</v>
      </c>
      <c r="R9" s="31" t="s">
        <v>20</v>
      </c>
      <c r="S9" s="46"/>
      <c r="T9" s="31" t="s">
        <v>20</v>
      </c>
      <c r="U9" s="41"/>
      <c r="V9" s="31" t="s">
        <v>20</v>
      </c>
      <c r="W9" s="31" t="s">
        <v>20</v>
      </c>
      <c r="X9" s="31" t="s">
        <v>20</v>
      </c>
      <c r="Y9" s="31" t="s">
        <v>20</v>
      </c>
      <c r="Z9" s="46"/>
      <c r="AA9" s="31" t="s">
        <v>20</v>
      </c>
      <c r="AB9" s="31" t="s">
        <v>20</v>
      </c>
      <c r="AC9" s="31" t="s">
        <v>21</v>
      </c>
      <c r="AD9" s="31" t="s">
        <v>20</v>
      </c>
      <c r="AE9" s="31" t="s">
        <v>20</v>
      </c>
      <c r="AF9" s="31" t="s">
        <v>20</v>
      </c>
      <c r="AG9" s="46"/>
      <c r="AH9" s="31" t="s">
        <v>20</v>
      </c>
      <c r="AI9" s="4">
        <f t="shared" si="1"/>
        <v>22</v>
      </c>
      <c r="AJ9" s="4">
        <f t="shared" si="2"/>
        <v>2</v>
      </c>
      <c r="AK9" s="42" t="s">
        <v>8</v>
      </c>
      <c r="AL9" s="43"/>
      <c r="AM9" s="43"/>
      <c r="AN9" s="44"/>
    </row>
    <row r="10" spans="1:40" x14ac:dyDescent="0.25">
      <c r="A10" s="5">
        <v>6</v>
      </c>
      <c r="B10" s="32" t="s">
        <v>64</v>
      </c>
      <c r="C10" s="33" t="s">
        <v>160</v>
      </c>
      <c r="D10" s="19" t="s">
        <v>186</v>
      </c>
      <c r="E10" s="46"/>
      <c r="F10" s="31" t="s">
        <v>20</v>
      </c>
      <c r="G10" s="31" t="s">
        <v>20</v>
      </c>
      <c r="H10" s="31" t="s">
        <v>20</v>
      </c>
      <c r="I10" s="31" t="s">
        <v>20</v>
      </c>
      <c r="J10" s="31" t="s">
        <v>20</v>
      </c>
      <c r="K10" s="31" t="s">
        <v>20</v>
      </c>
      <c r="L10" s="46"/>
      <c r="M10" s="31" t="s">
        <v>20</v>
      </c>
      <c r="N10" s="31" t="s">
        <v>20</v>
      </c>
      <c r="O10" s="31" t="s">
        <v>20</v>
      </c>
      <c r="P10" s="31" t="s">
        <v>20</v>
      </c>
      <c r="Q10" s="31" t="s">
        <v>20</v>
      </c>
      <c r="R10" s="31" t="s">
        <v>20</v>
      </c>
      <c r="S10" s="46"/>
      <c r="T10" s="31" t="s">
        <v>20</v>
      </c>
      <c r="U10" s="41"/>
      <c r="V10" s="31" t="s">
        <v>20</v>
      </c>
      <c r="W10" s="31" t="s">
        <v>20</v>
      </c>
      <c r="X10" s="31" t="s">
        <v>20</v>
      </c>
      <c r="Y10" s="31" t="s">
        <v>20</v>
      </c>
      <c r="Z10" s="46"/>
      <c r="AA10" s="31" t="s">
        <v>20</v>
      </c>
      <c r="AB10" s="31" t="s">
        <v>20</v>
      </c>
      <c r="AC10" s="31" t="s">
        <v>20</v>
      </c>
      <c r="AD10" s="31" t="s">
        <v>20</v>
      </c>
      <c r="AE10" s="31" t="s">
        <v>20</v>
      </c>
      <c r="AF10" s="31" t="s">
        <v>20</v>
      </c>
      <c r="AG10" s="46"/>
      <c r="AH10" s="31" t="s">
        <v>20</v>
      </c>
      <c r="AI10" s="4">
        <f t="shared" si="1"/>
        <v>24</v>
      </c>
      <c r="AJ10" s="4">
        <f t="shared" si="2"/>
        <v>0</v>
      </c>
      <c r="AK10" s="4" t="s">
        <v>9</v>
      </c>
      <c r="AL10" s="4" t="s">
        <v>10</v>
      </c>
      <c r="AM10" s="4" t="s">
        <v>11</v>
      </c>
      <c r="AN10" s="4" t="s">
        <v>12</v>
      </c>
    </row>
    <row r="11" spans="1:40" x14ac:dyDescent="0.25">
      <c r="A11" s="5">
        <v>7</v>
      </c>
      <c r="B11" s="32" t="s">
        <v>283</v>
      </c>
      <c r="C11" s="33" t="s">
        <v>284</v>
      </c>
      <c r="D11" s="19" t="s">
        <v>186</v>
      </c>
      <c r="E11" s="46"/>
      <c r="F11" s="31" t="s">
        <v>20</v>
      </c>
      <c r="G11" s="31" t="s">
        <v>20</v>
      </c>
      <c r="H11" s="31" t="s">
        <v>20</v>
      </c>
      <c r="I11" s="31" t="s">
        <v>20</v>
      </c>
      <c r="J11" s="31" t="s">
        <v>20</v>
      </c>
      <c r="K11" s="31" t="s">
        <v>20</v>
      </c>
      <c r="L11" s="46"/>
      <c r="M11" s="31" t="s">
        <v>20</v>
      </c>
      <c r="N11" s="31" t="s">
        <v>20</v>
      </c>
      <c r="O11" s="31" t="s">
        <v>20</v>
      </c>
      <c r="P11" s="31" t="s">
        <v>20</v>
      </c>
      <c r="Q11" s="31" t="s">
        <v>20</v>
      </c>
      <c r="R11" s="31" t="s">
        <v>20</v>
      </c>
      <c r="S11" s="46"/>
      <c r="T11" s="31" t="s">
        <v>21</v>
      </c>
      <c r="U11" s="41"/>
      <c r="V11" s="31" t="s">
        <v>20</v>
      </c>
      <c r="W11" s="31" t="s">
        <v>20</v>
      </c>
      <c r="X11" s="31" t="s">
        <v>20</v>
      </c>
      <c r="Y11" s="31" t="s">
        <v>20</v>
      </c>
      <c r="Z11" s="46"/>
      <c r="AA11" s="31" t="s">
        <v>20</v>
      </c>
      <c r="AB11" s="31" t="s">
        <v>20</v>
      </c>
      <c r="AC11" s="31" t="s">
        <v>20</v>
      </c>
      <c r="AD11" s="31" t="s">
        <v>21</v>
      </c>
      <c r="AE11" s="31" t="s">
        <v>20</v>
      </c>
      <c r="AF11" s="31" t="s">
        <v>21</v>
      </c>
      <c r="AG11" s="46"/>
      <c r="AH11" s="31" t="s">
        <v>20</v>
      </c>
      <c r="AI11" s="4">
        <f t="shared" si="1"/>
        <v>21</v>
      </c>
      <c r="AJ11" s="4">
        <f t="shared" si="2"/>
        <v>3</v>
      </c>
      <c r="AK11" s="4" t="s">
        <v>13</v>
      </c>
      <c r="AL11" s="7">
        <f>32*AL5</f>
        <v>768</v>
      </c>
      <c r="AM11" s="7">
        <f>24*AL5</f>
        <v>576</v>
      </c>
      <c r="AN11" s="7">
        <f>SUM(AL11:AM11)</f>
        <v>1344</v>
      </c>
    </row>
    <row r="12" spans="1:40" x14ac:dyDescent="0.25">
      <c r="A12" s="7">
        <v>8</v>
      </c>
      <c r="B12" s="32" t="s">
        <v>285</v>
      </c>
      <c r="C12" s="33" t="s">
        <v>286</v>
      </c>
      <c r="D12" s="19" t="s">
        <v>186</v>
      </c>
      <c r="E12" s="46"/>
      <c r="F12" s="31" t="s">
        <v>20</v>
      </c>
      <c r="G12" s="31" t="s">
        <v>20</v>
      </c>
      <c r="H12" s="31" t="s">
        <v>20</v>
      </c>
      <c r="I12" s="31" t="s">
        <v>20</v>
      </c>
      <c r="J12" s="31" t="s">
        <v>20</v>
      </c>
      <c r="K12" s="31" t="s">
        <v>20</v>
      </c>
      <c r="L12" s="46"/>
      <c r="M12" s="31" t="s">
        <v>20</v>
      </c>
      <c r="N12" s="31" t="s">
        <v>20</v>
      </c>
      <c r="O12" s="31" t="s">
        <v>20</v>
      </c>
      <c r="P12" s="31" t="s">
        <v>20</v>
      </c>
      <c r="Q12" s="31" t="s">
        <v>20</v>
      </c>
      <c r="R12" s="31" t="s">
        <v>20</v>
      </c>
      <c r="S12" s="46"/>
      <c r="T12" s="31" t="s">
        <v>20</v>
      </c>
      <c r="U12" s="41"/>
      <c r="V12" s="31" t="s">
        <v>20</v>
      </c>
      <c r="W12" s="31" t="s">
        <v>20</v>
      </c>
      <c r="X12" s="31" t="s">
        <v>21</v>
      </c>
      <c r="Y12" s="31" t="s">
        <v>21</v>
      </c>
      <c r="Z12" s="46"/>
      <c r="AA12" s="31" t="s">
        <v>20</v>
      </c>
      <c r="AB12" s="31" t="s">
        <v>20</v>
      </c>
      <c r="AC12" s="31" t="s">
        <v>20</v>
      </c>
      <c r="AD12" s="31" t="s">
        <v>20</v>
      </c>
      <c r="AE12" s="31" t="s">
        <v>20</v>
      </c>
      <c r="AF12" s="31" t="s">
        <v>20</v>
      </c>
      <c r="AG12" s="46"/>
      <c r="AH12" s="31" t="s">
        <v>20</v>
      </c>
      <c r="AI12" s="4">
        <f t="shared" si="1"/>
        <v>22</v>
      </c>
      <c r="AJ12" s="4">
        <f t="shared" si="2"/>
        <v>2</v>
      </c>
      <c r="AK12" s="4" t="s">
        <v>14</v>
      </c>
      <c r="AL12" s="7">
        <f>SUM(AI29:AI60)</f>
        <v>678</v>
      </c>
      <c r="AM12" s="7">
        <f>SUM(AI5:AI28)</f>
        <v>518</v>
      </c>
      <c r="AN12" s="7">
        <f>AL12+AM12</f>
        <v>1196</v>
      </c>
    </row>
    <row r="13" spans="1:40" x14ac:dyDescent="0.25">
      <c r="A13" s="5">
        <v>9</v>
      </c>
      <c r="B13" s="32" t="s">
        <v>287</v>
      </c>
      <c r="C13" s="33" t="s">
        <v>90</v>
      </c>
      <c r="D13" s="19" t="s">
        <v>186</v>
      </c>
      <c r="E13" s="46"/>
      <c r="F13" s="31" t="s">
        <v>20</v>
      </c>
      <c r="G13" s="31" t="s">
        <v>20</v>
      </c>
      <c r="H13" s="31" t="s">
        <v>20</v>
      </c>
      <c r="I13" s="31" t="s">
        <v>20</v>
      </c>
      <c r="J13" s="31" t="s">
        <v>20</v>
      </c>
      <c r="K13" s="31" t="s">
        <v>20</v>
      </c>
      <c r="L13" s="46"/>
      <c r="M13" s="31" t="s">
        <v>20</v>
      </c>
      <c r="N13" s="31" t="s">
        <v>20</v>
      </c>
      <c r="O13" s="31" t="s">
        <v>20</v>
      </c>
      <c r="P13" s="31" t="s">
        <v>20</v>
      </c>
      <c r="Q13" s="31" t="s">
        <v>20</v>
      </c>
      <c r="R13" s="31"/>
      <c r="S13" s="46"/>
      <c r="T13" s="31" t="s">
        <v>21</v>
      </c>
      <c r="U13" s="41"/>
      <c r="V13" s="31" t="s">
        <v>20</v>
      </c>
      <c r="W13" s="31" t="s">
        <v>21</v>
      </c>
      <c r="X13" s="31" t="s">
        <v>21</v>
      </c>
      <c r="Y13" s="31" t="s">
        <v>21</v>
      </c>
      <c r="Z13" s="46"/>
      <c r="AA13" s="31" t="s">
        <v>20</v>
      </c>
      <c r="AB13" s="31" t="s">
        <v>20</v>
      </c>
      <c r="AC13" s="31" t="s">
        <v>20</v>
      </c>
      <c r="AD13" s="31" t="s">
        <v>20</v>
      </c>
      <c r="AE13" s="31" t="s">
        <v>21</v>
      </c>
      <c r="AF13" s="31" t="s">
        <v>21</v>
      </c>
      <c r="AG13" s="46"/>
      <c r="AH13" s="31" t="s">
        <v>21</v>
      </c>
      <c r="AI13" s="4">
        <f t="shared" si="1"/>
        <v>16</v>
      </c>
      <c r="AJ13" s="4">
        <f t="shared" si="2"/>
        <v>7</v>
      </c>
      <c r="AK13" s="4" t="s">
        <v>15</v>
      </c>
      <c r="AL13" s="9">
        <f>AL12/AL11</f>
        <v>0.8828125</v>
      </c>
      <c r="AM13" s="9">
        <f>AM12/AM11</f>
        <v>0.89930555555555558</v>
      </c>
      <c r="AN13" s="9">
        <f>AN12/AN11</f>
        <v>0.88988095238095233</v>
      </c>
    </row>
    <row r="14" spans="1:40" x14ac:dyDescent="0.25">
      <c r="A14" s="5">
        <v>10</v>
      </c>
      <c r="B14" s="32" t="s">
        <v>288</v>
      </c>
      <c r="C14" s="33" t="s">
        <v>289</v>
      </c>
      <c r="D14" s="19" t="s">
        <v>186</v>
      </c>
      <c r="E14" s="46"/>
      <c r="F14" s="31" t="s">
        <v>20</v>
      </c>
      <c r="G14" s="31" t="s">
        <v>20</v>
      </c>
      <c r="H14" s="31" t="s">
        <v>20</v>
      </c>
      <c r="I14" s="31" t="s">
        <v>20</v>
      </c>
      <c r="J14" s="31" t="s">
        <v>20</v>
      </c>
      <c r="K14" s="31" t="s">
        <v>20</v>
      </c>
      <c r="L14" s="46"/>
      <c r="M14" s="31" t="s">
        <v>20</v>
      </c>
      <c r="N14" s="31" t="s">
        <v>20</v>
      </c>
      <c r="O14" s="31" t="s">
        <v>20</v>
      </c>
      <c r="P14" s="31" t="s">
        <v>20</v>
      </c>
      <c r="Q14" s="31" t="s">
        <v>20</v>
      </c>
      <c r="R14" s="31" t="s">
        <v>20</v>
      </c>
      <c r="S14" s="46"/>
      <c r="T14" s="31" t="s">
        <v>21</v>
      </c>
      <c r="U14" s="41"/>
      <c r="V14" s="31" t="s">
        <v>20</v>
      </c>
      <c r="W14" s="31" t="s">
        <v>20</v>
      </c>
      <c r="X14" s="31" t="s">
        <v>20</v>
      </c>
      <c r="Y14" s="31" t="s">
        <v>20</v>
      </c>
      <c r="Z14" s="46"/>
      <c r="AA14" s="31" t="s">
        <v>20</v>
      </c>
      <c r="AB14" s="31" t="s">
        <v>20</v>
      </c>
      <c r="AC14" s="31" t="s">
        <v>20</v>
      </c>
      <c r="AD14" s="31" t="s">
        <v>20</v>
      </c>
      <c r="AE14" s="31" t="s">
        <v>21</v>
      </c>
      <c r="AF14" s="31" t="s">
        <v>21</v>
      </c>
      <c r="AG14" s="46"/>
      <c r="AH14" s="31" t="s">
        <v>21</v>
      </c>
      <c r="AI14" s="4">
        <f t="shared" si="1"/>
        <v>20</v>
      </c>
      <c r="AJ14" s="4">
        <f t="shared" si="2"/>
        <v>4</v>
      </c>
      <c r="AK14"/>
      <c r="AL14"/>
      <c r="AM14"/>
      <c r="AN14"/>
    </row>
    <row r="15" spans="1:40" x14ac:dyDescent="0.25">
      <c r="A15" s="7">
        <v>11</v>
      </c>
      <c r="B15" s="32" t="s">
        <v>290</v>
      </c>
      <c r="C15" s="33" t="s">
        <v>291</v>
      </c>
      <c r="D15" s="19" t="s">
        <v>186</v>
      </c>
      <c r="E15" s="46"/>
      <c r="F15" s="31" t="s">
        <v>20</v>
      </c>
      <c r="G15" s="31" t="s">
        <v>20</v>
      </c>
      <c r="H15" s="31" t="s">
        <v>20</v>
      </c>
      <c r="I15" s="31" t="s">
        <v>20</v>
      </c>
      <c r="J15" s="31" t="s">
        <v>20</v>
      </c>
      <c r="K15" s="31" t="s">
        <v>20</v>
      </c>
      <c r="L15" s="46"/>
      <c r="M15" s="31" t="s">
        <v>20</v>
      </c>
      <c r="N15" s="31" t="s">
        <v>20</v>
      </c>
      <c r="O15" s="31" t="s">
        <v>20</v>
      </c>
      <c r="P15" s="31" t="s">
        <v>20</v>
      </c>
      <c r="Q15" s="31" t="s">
        <v>20</v>
      </c>
      <c r="R15" s="31" t="s">
        <v>22</v>
      </c>
      <c r="S15" s="46"/>
      <c r="T15" s="31" t="s">
        <v>22</v>
      </c>
      <c r="U15" s="41"/>
      <c r="V15" s="31" t="s">
        <v>20</v>
      </c>
      <c r="W15" s="31" t="s">
        <v>22</v>
      </c>
      <c r="X15" s="31" t="s">
        <v>22</v>
      </c>
      <c r="Y15" s="31" t="s">
        <v>22</v>
      </c>
      <c r="Z15" s="46"/>
      <c r="AA15" s="31" t="s">
        <v>22</v>
      </c>
      <c r="AB15" s="31" t="s">
        <v>20</v>
      </c>
      <c r="AC15" s="31" t="s">
        <v>20</v>
      </c>
      <c r="AD15" s="31" t="s">
        <v>20</v>
      </c>
      <c r="AE15" s="31" t="s">
        <v>20</v>
      </c>
      <c r="AF15" s="31" t="s">
        <v>20</v>
      </c>
      <c r="AG15" s="46"/>
      <c r="AH15" s="31" t="s">
        <v>20</v>
      </c>
      <c r="AI15" s="4">
        <f t="shared" si="1"/>
        <v>18</v>
      </c>
      <c r="AJ15" s="4">
        <f t="shared" si="2"/>
        <v>0</v>
      </c>
      <c r="AK15"/>
      <c r="AL15"/>
      <c r="AM15"/>
      <c r="AN15"/>
    </row>
    <row r="16" spans="1:40" x14ac:dyDescent="0.25">
      <c r="A16" s="5">
        <v>12</v>
      </c>
      <c r="B16" s="32" t="s">
        <v>292</v>
      </c>
      <c r="C16" s="33" t="s">
        <v>201</v>
      </c>
      <c r="D16" s="19" t="s">
        <v>186</v>
      </c>
      <c r="E16" s="46"/>
      <c r="F16" s="31" t="s">
        <v>20</v>
      </c>
      <c r="G16" s="31" t="s">
        <v>20</v>
      </c>
      <c r="H16" s="31" t="s">
        <v>20</v>
      </c>
      <c r="I16" s="31" t="s">
        <v>21</v>
      </c>
      <c r="J16" s="31" t="s">
        <v>21</v>
      </c>
      <c r="K16" s="31" t="s">
        <v>21</v>
      </c>
      <c r="L16" s="46"/>
      <c r="M16" s="31" t="s">
        <v>20</v>
      </c>
      <c r="N16" s="31" t="s">
        <v>20</v>
      </c>
      <c r="O16" s="31" t="s">
        <v>20</v>
      </c>
      <c r="P16" s="31" t="s">
        <v>20</v>
      </c>
      <c r="Q16" s="31" t="s">
        <v>20</v>
      </c>
      <c r="R16" s="31" t="s">
        <v>20</v>
      </c>
      <c r="S16" s="46"/>
      <c r="T16" s="31" t="s">
        <v>21</v>
      </c>
      <c r="U16" s="41"/>
      <c r="V16" s="31" t="s">
        <v>20</v>
      </c>
      <c r="W16" s="31" t="s">
        <v>20</v>
      </c>
      <c r="X16" s="31" t="s">
        <v>20</v>
      </c>
      <c r="Y16" s="31" t="s">
        <v>20</v>
      </c>
      <c r="Z16" s="46"/>
      <c r="AA16" s="31" t="s">
        <v>20</v>
      </c>
      <c r="AB16" s="31" t="s">
        <v>20</v>
      </c>
      <c r="AC16" s="31" t="s">
        <v>20</v>
      </c>
      <c r="AD16" s="31" t="s">
        <v>20</v>
      </c>
      <c r="AE16" s="31" t="s">
        <v>20</v>
      </c>
      <c r="AF16" s="31" t="s">
        <v>20</v>
      </c>
      <c r="AG16" s="46"/>
      <c r="AH16" s="31" t="s">
        <v>20</v>
      </c>
      <c r="AI16" s="4">
        <f t="shared" si="1"/>
        <v>20</v>
      </c>
      <c r="AJ16" s="4">
        <f t="shared" si="2"/>
        <v>4</v>
      </c>
      <c r="AK16"/>
      <c r="AL16"/>
      <c r="AM16"/>
      <c r="AN16"/>
    </row>
    <row r="17" spans="1:40" ht="15.75" x14ac:dyDescent="0.25">
      <c r="A17" s="5">
        <v>13</v>
      </c>
      <c r="B17" s="32" t="s">
        <v>293</v>
      </c>
      <c r="C17" s="33" t="s">
        <v>294</v>
      </c>
      <c r="D17" s="19" t="s">
        <v>186</v>
      </c>
      <c r="E17" s="46"/>
      <c r="F17" s="31" t="s">
        <v>20</v>
      </c>
      <c r="G17" s="31" t="s">
        <v>20</v>
      </c>
      <c r="H17" s="31" t="s">
        <v>20</v>
      </c>
      <c r="I17" s="31" t="s">
        <v>20</v>
      </c>
      <c r="J17" s="31" t="s">
        <v>20</v>
      </c>
      <c r="K17" s="31" t="s">
        <v>20</v>
      </c>
      <c r="L17" s="46"/>
      <c r="M17" s="31" t="s">
        <v>20</v>
      </c>
      <c r="N17" s="31" t="s">
        <v>20</v>
      </c>
      <c r="O17" s="31" t="s">
        <v>20</v>
      </c>
      <c r="P17" s="31" t="s">
        <v>20</v>
      </c>
      <c r="Q17" s="31" t="s">
        <v>20</v>
      </c>
      <c r="R17" s="31" t="s">
        <v>20</v>
      </c>
      <c r="S17" s="46"/>
      <c r="T17" s="31" t="s">
        <v>21</v>
      </c>
      <c r="U17" s="41"/>
      <c r="V17" s="31" t="s">
        <v>21</v>
      </c>
      <c r="W17" s="31" t="s">
        <v>20</v>
      </c>
      <c r="X17" s="31" t="s">
        <v>20</v>
      </c>
      <c r="Y17" s="31" t="s">
        <v>20</v>
      </c>
      <c r="Z17" s="46"/>
      <c r="AA17" s="31" t="s">
        <v>20</v>
      </c>
      <c r="AB17" s="31" t="s">
        <v>20</v>
      </c>
      <c r="AC17" s="31" t="s">
        <v>20</v>
      </c>
      <c r="AD17" s="31" t="s">
        <v>20</v>
      </c>
      <c r="AE17" s="31" t="s">
        <v>20</v>
      </c>
      <c r="AF17" s="31" t="s">
        <v>20</v>
      </c>
      <c r="AG17" s="46"/>
      <c r="AH17" s="31" t="s">
        <v>20</v>
      </c>
      <c r="AI17" s="4">
        <f t="shared" si="1"/>
        <v>22</v>
      </c>
      <c r="AJ17" s="4">
        <f t="shared" si="2"/>
        <v>2</v>
      </c>
      <c r="AK17" s="42" t="s">
        <v>104</v>
      </c>
      <c r="AL17" s="43"/>
      <c r="AM17" s="43"/>
      <c r="AN17" s="44"/>
    </row>
    <row r="18" spans="1:40" x14ac:dyDescent="0.25">
      <c r="A18" s="7">
        <v>14</v>
      </c>
      <c r="B18" s="32" t="s">
        <v>295</v>
      </c>
      <c r="C18" s="33" t="s">
        <v>296</v>
      </c>
      <c r="D18" s="19" t="s">
        <v>186</v>
      </c>
      <c r="E18" s="46"/>
      <c r="F18" s="31" t="s">
        <v>20</v>
      </c>
      <c r="G18" s="31" t="s">
        <v>20</v>
      </c>
      <c r="H18" s="31" t="s">
        <v>20</v>
      </c>
      <c r="I18" s="31" t="s">
        <v>20</v>
      </c>
      <c r="J18" s="31" t="s">
        <v>20</v>
      </c>
      <c r="K18" s="31" t="s">
        <v>20</v>
      </c>
      <c r="L18" s="46"/>
      <c r="M18" s="31" t="s">
        <v>20</v>
      </c>
      <c r="N18" s="31" t="s">
        <v>20</v>
      </c>
      <c r="O18" s="31" t="s">
        <v>20</v>
      </c>
      <c r="P18" s="31" t="s">
        <v>20</v>
      </c>
      <c r="Q18" s="31" t="s">
        <v>21</v>
      </c>
      <c r="R18" s="31" t="s">
        <v>20</v>
      </c>
      <c r="S18" s="46"/>
      <c r="T18" s="31" t="s">
        <v>20</v>
      </c>
      <c r="U18" s="41"/>
      <c r="V18" s="31" t="s">
        <v>20</v>
      </c>
      <c r="W18" s="31" t="s">
        <v>21</v>
      </c>
      <c r="X18" s="31" t="s">
        <v>20</v>
      </c>
      <c r="Y18" s="31" t="s">
        <v>20</v>
      </c>
      <c r="Z18" s="46"/>
      <c r="AA18" s="31" t="s">
        <v>20</v>
      </c>
      <c r="AB18" s="31" t="s">
        <v>20</v>
      </c>
      <c r="AC18" s="31" t="s">
        <v>20</v>
      </c>
      <c r="AD18" s="31" t="s">
        <v>20</v>
      </c>
      <c r="AE18" s="31" t="s">
        <v>20</v>
      </c>
      <c r="AF18" s="31" t="s">
        <v>20</v>
      </c>
      <c r="AG18" s="46"/>
      <c r="AH18" s="31" t="s">
        <v>21</v>
      </c>
      <c r="AI18" s="4">
        <f t="shared" si="1"/>
        <v>21</v>
      </c>
      <c r="AJ18" s="4">
        <f t="shared" si="2"/>
        <v>3</v>
      </c>
      <c r="AK18" s="4" t="s">
        <v>9</v>
      </c>
      <c r="AL18" s="4" t="s">
        <v>10</v>
      </c>
      <c r="AM18" s="4" t="s">
        <v>11</v>
      </c>
      <c r="AN18" s="4" t="s">
        <v>12</v>
      </c>
    </row>
    <row r="19" spans="1:40" x14ac:dyDescent="0.25">
      <c r="A19" s="5">
        <v>15</v>
      </c>
      <c r="B19" s="32" t="s">
        <v>297</v>
      </c>
      <c r="C19" s="33" t="s">
        <v>298</v>
      </c>
      <c r="D19" s="19" t="s">
        <v>186</v>
      </c>
      <c r="E19" s="46"/>
      <c r="F19" s="31" t="s">
        <v>20</v>
      </c>
      <c r="G19" s="31" t="s">
        <v>20</v>
      </c>
      <c r="H19" s="31" t="s">
        <v>20</v>
      </c>
      <c r="I19" s="31" t="s">
        <v>20</v>
      </c>
      <c r="J19" s="31" t="s">
        <v>20</v>
      </c>
      <c r="K19" s="31" t="s">
        <v>20</v>
      </c>
      <c r="L19" s="46"/>
      <c r="M19" s="31" t="s">
        <v>20</v>
      </c>
      <c r="N19" s="31" t="s">
        <v>20</v>
      </c>
      <c r="O19" s="31" t="s">
        <v>20</v>
      </c>
      <c r="P19" s="31" t="s">
        <v>20</v>
      </c>
      <c r="Q19" s="31" t="s">
        <v>20</v>
      </c>
      <c r="R19" s="31" t="s">
        <v>20</v>
      </c>
      <c r="S19" s="46"/>
      <c r="T19" s="31" t="s">
        <v>20</v>
      </c>
      <c r="U19" s="41"/>
      <c r="V19" s="31" t="s">
        <v>20</v>
      </c>
      <c r="W19" s="31" t="s">
        <v>20</v>
      </c>
      <c r="X19" s="31" t="s">
        <v>20</v>
      </c>
      <c r="Y19" s="31" t="s">
        <v>20</v>
      </c>
      <c r="Z19" s="46"/>
      <c r="AA19" s="31" t="s">
        <v>20</v>
      </c>
      <c r="AB19" s="31" t="s">
        <v>20</v>
      </c>
      <c r="AC19" s="31" t="s">
        <v>20</v>
      </c>
      <c r="AD19" s="31" t="s">
        <v>20</v>
      </c>
      <c r="AE19" s="31" t="s">
        <v>20</v>
      </c>
      <c r="AF19" s="31" t="s">
        <v>21</v>
      </c>
      <c r="AG19" s="46"/>
      <c r="AH19" s="31" t="s">
        <v>21</v>
      </c>
      <c r="AI19" s="4">
        <f t="shared" si="1"/>
        <v>22</v>
      </c>
      <c r="AJ19" s="4">
        <f t="shared" si="2"/>
        <v>2</v>
      </c>
      <c r="AK19" s="4" t="s">
        <v>13</v>
      </c>
      <c r="AL19" s="7">
        <f>32*AL5</f>
        <v>768</v>
      </c>
      <c r="AM19" s="7">
        <f>24*AL5</f>
        <v>576</v>
      </c>
      <c r="AN19" s="7">
        <f>AL19+AM19</f>
        <v>1344</v>
      </c>
    </row>
    <row r="20" spans="1:40" x14ac:dyDescent="0.25">
      <c r="A20" s="5">
        <v>16</v>
      </c>
      <c r="B20" s="32" t="s">
        <v>94</v>
      </c>
      <c r="C20" s="33" t="s">
        <v>160</v>
      </c>
      <c r="D20" s="19" t="s">
        <v>186</v>
      </c>
      <c r="E20" s="46"/>
      <c r="F20" s="31" t="s">
        <v>20</v>
      </c>
      <c r="G20" s="31" t="s">
        <v>20</v>
      </c>
      <c r="H20" s="31" t="s">
        <v>20</v>
      </c>
      <c r="I20" s="31" t="s">
        <v>20</v>
      </c>
      <c r="J20" s="31" t="s">
        <v>20</v>
      </c>
      <c r="K20" s="31" t="s">
        <v>20</v>
      </c>
      <c r="L20" s="46"/>
      <c r="M20" s="31" t="s">
        <v>20</v>
      </c>
      <c r="N20" s="31" t="s">
        <v>20</v>
      </c>
      <c r="O20" s="31" t="s">
        <v>20</v>
      </c>
      <c r="P20" s="31" t="s">
        <v>20</v>
      </c>
      <c r="Q20" s="31" t="s">
        <v>20</v>
      </c>
      <c r="R20" s="31" t="s">
        <v>20</v>
      </c>
      <c r="S20" s="46"/>
      <c r="T20" s="31" t="s">
        <v>21</v>
      </c>
      <c r="U20" s="41"/>
      <c r="V20" s="31" t="s">
        <v>20</v>
      </c>
      <c r="W20" s="31" t="s">
        <v>20</v>
      </c>
      <c r="X20" s="31" t="s">
        <v>20</v>
      </c>
      <c r="Y20" s="31" t="s">
        <v>20</v>
      </c>
      <c r="Z20" s="46"/>
      <c r="AA20" s="31" t="s">
        <v>20</v>
      </c>
      <c r="AB20" s="31" t="s">
        <v>20</v>
      </c>
      <c r="AC20" s="31" t="s">
        <v>20</v>
      </c>
      <c r="AD20" s="31" t="s">
        <v>20</v>
      </c>
      <c r="AE20" s="31" t="s">
        <v>20</v>
      </c>
      <c r="AF20" s="31" t="s">
        <v>20</v>
      </c>
      <c r="AG20" s="46"/>
      <c r="AH20" s="31" t="s">
        <v>20</v>
      </c>
      <c r="AI20" s="4">
        <f t="shared" si="1"/>
        <v>23</v>
      </c>
      <c r="AJ20" s="4">
        <f t="shared" si="2"/>
        <v>1</v>
      </c>
      <c r="AK20" s="4" t="s">
        <v>16</v>
      </c>
      <c r="AL20" s="7">
        <f>AL19-AL12</f>
        <v>90</v>
      </c>
      <c r="AM20" s="7">
        <f>AM19-AM12</f>
        <v>58</v>
      </c>
      <c r="AN20" s="7">
        <f>AL20+AM20</f>
        <v>148</v>
      </c>
    </row>
    <row r="21" spans="1:40" x14ac:dyDescent="0.25">
      <c r="A21" s="7">
        <v>17</v>
      </c>
      <c r="B21" s="32" t="s">
        <v>299</v>
      </c>
      <c r="C21" s="33" t="s">
        <v>39</v>
      </c>
      <c r="D21" s="19" t="s">
        <v>186</v>
      </c>
      <c r="E21" s="46"/>
      <c r="F21" s="31" t="s">
        <v>20</v>
      </c>
      <c r="G21" s="31" t="s">
        <v>20</v>
      </c>
      <c r="H21" s="31" t="s">
        <v>20</v>
      </c>
      <c r="I21" s="31" t="s">
        <v>20</v>
      </c>
      <c r="J21" s="31" t="s">
        <v>20</v>
      </c>
      <c r="K21" s="31" t="s">
        <v>20</v>
      </c>
      <c r="L21" s="46"/>
      <c r="M21" s="31" t="s">
        <v>20</v>
      </c>
      <c r="N21" s="31" t="s">
        <v>20</v>
      </c>
      <c r="O21" s="31" t="s">
        <v>20</v>
      </c>
      <c r="P21" s="31" t="s">
        <v>20</v>
      </c>
      <c r="Q21" s="31" t="s">
        <v>20</v>
      </c>
      <c r="R21" s="31" t="s">
        <v>20</v>
      </c>
      <c r="S21" s="46"/>
      <c r="T21" s="31" t="s">
        <v>20</v>
      </c>
      <c r="U21" s="41"/>
      <c r="V21" s="31" t="s">
        <v>20</v>
      </c>
      <c r="W21" s="31" t="s">
        <v>20</v>
      </c>
      <c r="X21" s="31" t="s">
        <v>20</v>
      </c>
      <c r="Y21" s="31" t="s">
        <v>20</v>
      </c>
      <c r="Z21" s="46"/>
      <c r="AA21" s="31" t="s">
        <v>20</v>
      </c>
      <c r="AB21" s="31" t="s">
        <v>20</v>
      </c>
      <c r="AC21" s="31" t="s">
        <v>20</v>
      </c>
      <c r="AD21" s="31" t="s">
        <v>20</v>
      </c>
      <c r="AE21" s="31" t="s">
        <v>20</v>
      </c>
      <c r="AF21" s="31" t="s">
        <v>20</v>
      </c>
      <c r="AG21" s="46"/>
      <c r="AH21" s="31" t="s">
        <v>20</v>
      </c>
      <c r="AI21" s="4">
        <f t="shared" si="1"/>
        <v>24</v>
      </c>
      <c r="AJ21" s="4">
        <f t="shared" si="2"/>
        <v>0</v>
      </c>
      <c r="AK21" s="4" t="s">
        <v>15</v>
      </c>
      <c r="AL21" s="9">
        <f>AL20/AL19</f>
        <v>0.1171875</v>
      </c>
      <c r="AM21" s="9">
        <f>AM20/AM19</f>
        <v>0.10069444444444445</v>
      </c>
      <c r="AN21" s="9">
        <f>AN20/AN19</f>
        <v>0.11011904761904762</v>
      </c>
    </row>
    <row r="22" spans="1:40" x14ac:dyDescent="0.25">
      <c r="A22" s="5">
        <v>18</v>
      </c>
      <c r="B22" s="32" t="s">
        <v>300</v>
      </c>
      <c r="C22" s="33" t="s">
        <v>301</v>
      </c>
      <c r="D22" s="19" t="s">
        <v>186</v>
      </c>
      <c r="E22" s="46"/>
      <c r="F22" s="31" t="s">
        <v>20</v>
      </c>
      <c r="G22" s="31" t="s">
        <v>21</v>
      </c>
      <c r="H22" s="31" t="s">
        <v>20</v>
      </c>
      <c r="I22" s="31" t="s">
        <v>20</v>
      </c>
      <c r="J22" s="31" t="s">
        <v>20</v>
      </c>
      <c r="K22" s="31" t="s">
        <v>20</v>
      </c>
      <c r="L22" s="46"/>
      <c r="M22" s="31" t="s">
        <v>20</v>
      </c>
      <c r="N22" s="31" t="s">
        <v>20</v>
      </c>
      <c r="O22" s="31" t="s">
        <v>20</v>
      </c>
      <c r="P22" s="31" t="s">
        <v>20</v>
      </c>
      <c r="Q22" s="31" t="s">
        <v>20</v>
      </c>
      <c r="R22" s="31" t="s">
        <v>21</v>
      </c>
      <c r="S22" s="46"/>
      <c r="T22" s="31" t="s">
        <v>20</v>
      </c>
      <c r="U22" s="41"/>
      <c r="V22" s="31" t="s">
        <v>20</v>
      </c>
      <c r="W22" s="31" t="s">
        <v>20</v>
      </c>
      <c r="X22" s="31" t="s">
        <v>20</v>
      </c>
      <c r="Y22" s="31" t="s">
        <v>20</v>
      </c>
      <c r="Z22" s="46"/>
      <c r="AA22" s="31" t="s">
        <v>20</v>
      </c>
      <c r="AB22" s="31" t="s">
        <v>20</v>
      </c>
      <c r="AC22" s="31" t="s">
        <v>20</v>
      </c>
      <c r="AD22" s="31" t="s">
        <v>20</v>
      </c>
      <c r="AE22" s="31" t="s">
        <v>21</v>
      </c>
      <c r="AF22" s="31" t="s">
        <v>20</v>
      </c>
      <c r="AG22" s="46"/>
      <c r="AH22" s="31" t="s">
        <v>20</v>
      </c>
      <c r="AI22" s="4">
        <f t="shared" si="1"/>
        <v>21</v>
      </c>
      <c r="AJ22" s="4">
        <f t="shared" si="2"/>
        <v>3</v>
      </c>
    </row>
    <row r="23" spans="1:40" x14ac:dyDescent="0.25">
      <c r="A23" s="5">
        <v>19</v>
      </c>
      <c r="B23" s="32" t="s">
        <v>302</v>
      </c>
      <c r="C23" s="33" t="s">
        <v>303</v>
      </c>
      <c r="D23" s="19" t="s">
        <v>186</v>
      </c>
      <c r="E23" s="46"/>
      <c r="F23" s="31" t="s">
        <v>20</v>
      </c>
      <c r="G23" s="31" t="s">
        <v>20</v>
      </c>
      <c r="H23" s="31" t="s">
        <v>20</v>
      </c>
      <c r="I23" s="31" t="s">
        <v>20</v>
      </c>
      <c r="J23" s="31" t="s">
        <v>20</v>
      </c>
      <c r="K23" s="31" t="s">
        <v>20</v>
      </c>
      <c r="L23" s="46"/>
      <c r="M23" s="31" t="s">
        <v>20</v>
      </c>
      <c r="N23" s="31" t="s">
        <v>20</v>
      </c>
      <c r="O23" s="31" t="s">
        <v>20</v>
      </c>
      <c r="P23" s="31" t="s">
        <v>20</v>
      </c>
      <c r="Q23" s="31" t="s">
        <v>20</v>
      </c>
      <c r="R23" s="31" t="s">
        <v>20</v>
      </c>
      <c r="S23" s="46"/>
      <c r="T23" s="31" t="s">
        <v>20</v>
      </c>
      <c r="U23" s="41"/>
      <c r="V23" s="31" t="s">
        <v>20</v>
      </c>
      <c r="W23" s="31" t="s">
        <v>20</v>
      </c>
      <c r="X23" s="31" t="s">
        <v>20</v>
      </c>
      <c r="Y23" s="31" t="s">
        <v>20</v>
      </c>
      <c r="Z23" s="46"/>
      <c r="AA23" s="31" t="s">
        <v>20</v>
      </c>
      <c r="AB23" s="31" t="s">
        <v>20</v>
      </c>
      <c r="AC23" s="31" t="s">
        <v>20</v>
      </c>
      <c r="AD23" s="31" t="s">
        <v>20</v>
      </c>
      <c r="AE23" s="31" t="s">
        <v>20</v>
      </c>
      <c r="AF23" s="31" t="s">
        <v>20</v>
      </c>
      <c r="AG23" s="46"/>
      <c r="AH23" s="31" t="s">
        <v>20</v>
      </c>
      <c r="AI23" s="4">
        <f t="shared" si="1"/>
        <v>24</v>
      </c>
      <c r="AJ23" s="4">
        <f t="shared" si="2"/>
        <v>0</v>
      </c>
    </row>
    <row r="24" spans="1:40" x14ac:dyDescent="0.25">
      <c r="A24" s="7">
        <v>20</v>
      </c>
      <c r="B24" s="32" t="s">
        <v>304</v>
      </c>
      <c r="C24" s="33" t="s">
        <v>305</v>
      </c>
      <c r="D24" s="19" t="s">
        <v>186</v>
      </c>
      <c r="E24" s="46"/>
      <c r="F24" s="31" t="s">
        <v>20</v>
      </c>
      <c r="G24" s="31" t="s">
        <v>20</v>
      </c>
      <c r="H24" s="31" t="s">
        <v>20</v>
      </c>
      <c r="I24" s="31" t="s">
        <v>20</v>
      </c>
      <c r="J24" s="31" t="s">
        <v>20</v>
      </c>
      <c r="K24" s="31" t="s">
        <v>20</v>
      </c>
      <c r="L24" s="46"/>
      <c r="M24" s="31" t="s">
        <v>20</v>
      </c>
      <c r="N24" s="31" t="s">
        <v>20</v>
      </c>
      <c r="O24" s="31" t="s">
        <v>20</v>
      </c>
      <c r="P24" s="31" t="s">
        <v>20</v>
      </c>
      <c r="Q24" s="31" t="s">
        <v>20</v>
      </c>
      <c r="R24" s="31" t="s">
        <v>20</v>
      </c>
      <c r="S24" s="46"/>
      <c r="T24" s="31" t="s">
        <v>20</v>
      </c>
      <c r="U24" s="41"/>
      <c r="V24" s="31" t="s">
        <v>20</v>
      </c>
      <c r="W24" s="31" t="s">
        <v>20</v>
      </c>
      <c r="X24" s="31" t="s">
        <v>20</v>
      </c>
      <c r="Y24" s="31" t="s">
        <v>20</v>
      </c>
      <c r="Z24" s="46"/>
      <c r="AA24" s="31" t="s">
        <v>20</v>
      </c>
      <c r="AB24" s="31" t="s">
        <v>20</v>
      </c>
      <c r="AC24" s="31" t="s">
        <v>20</v>
      </c>
      <c r="AD24" s="31" t="s">
        <v>20</v>
      </c>
      <c r="AE24" s="31" t="s">
        <v>20</v>
      </c>
      <c r="AF24" s="31" t="s">
        <v>20</v>
      </c>
      <c r="AG24" s="46"/>
      <c r="AH24" s="31" t="s">
        <v>20</v>
      </c>
      <c r="AI24" s="4">
        <f t="shared" si="1"/>
        <v>24</v>
      </c>
      <c r="AJ24" s="4">
        <f t="shared" si="2"/>
        <v>0</v>
      </c>
    </row>
    <row r="25" spans="1:40" x14ac:dyDescent="0.25">
      <c r="A25" s="5">
        <v>21</v>
      </c>
      <c r="B25" s="32" t="s">
        <v>306</v>
      </c>
      <c r="C25" s="33" t="s">
        <v>307</v>
      </c>
      <c r="D25" s="19" t="s">
        <v>186</v>
      </c>
      <c r="E25" s="46"/>
      <c r="F25" s="31" t="s">
        <v>20</v>
      </c>
      <c r="G25" s="31" t="s">
        <v>20</v>
      </c>
      <c r="H25" s="31" t="s">
        <v>20</v>
      </c>
      <c r="I25" s="31" t="s">
        <v>20</v>
      </c>
      <c r="J25" s="31" t="s">
        <v>20</v>
      </c>
      <c r="K25" s="31" t="s">
        <v>20</v>
      </c>
      <c r="L25" s="46"/>
      <c r="M25" s="31" t="s">
        <v>20</v>
      </c>
      <c r="N25" s="31" t="s">
        <v>20</v>
      </c>
      <c r="O25" s="31" t="s">
        <v>20</v>
      </c>
      <c r="P25" s="31" t="s">
        <v>20</v>
      </c>
      <c r="Q25" s="31" t="s">
        <v>20</v>
      </c>
      <c r="R25" s="31" t="s">
        <v>20</v>
      </c>
      <c r="S25" s="46"/>
      <c r="T25" s="31" t="s">
        <v>20</v>
      </c>
      <c r="U25" s="41"/>
      <c r="V25" s="31" t="s">
        <v>20</v>
      </c>
      <c r="W25" s="31" t="s">
        <v>20</v>
      </c>
      <c r="X25" s="31" t="s">
        <v>20</v>
      </c>
      <c r="Y25" s="31" t="s">
        <v>20</v>
      </c>
      <c r="Z25" s="46"/>
      <c r="AA25" s="31" t="s">
        <v>20</v>
      </c>
      <c r="AB25" s="31" t="s">
        <v>20</v>
      </c>
      <c r="AC25" s="31" t="s">
        <v>20</v>
      </c>
      <c r="AD25" s="31" t="s">
        <v>20</v>
      </c>
      <c r="AE25" s="31" t="s">
        <v>20</v>
      </c>
      <c r="AF25" s="31" t="s">
        <v>20</v>
      </c>
      <c r="AG25" s="46"/>
      <c r="AH25" s="31" t="s">
        <v>20</v>
      </c>
      <c r="AI25" s="4">
        <f t="shared" si="1"/>
        <v>24</v>
      </c>
      <c r="AJ25" s="4">
        <f t="shared" si="2"/>
        <v>0</v>
      </c>
    </row>
    <row r="26" spans="1:40" x14ac:dyDescent="0.25">
      <c r="A26" s="5">
        <v>22</v>
      </c>
      <c r="B26" s="32" t="s">
        <v>308</v>
      </c>
      <c r="C26" s="33" t="s">
        <v>309</v>
      </c>
      <c r="D26" s="19" t="s">
        <v>186</v>
      </c>
      <c r="E26" s="46"/>
      <c r="F26" s="31" t="s">
        <v>20</v>
      </c>
      <c r="G26" s="31" t="s">
        <v>20</v>
      </c>
      <c r="H26" s="31" t="s">
        <v>20</v>
      </c>
      <c r="I26" s="31" t="s">
        <v>20</v>
      </c>
      <c r="J26" s="31" t="s">
        <v>20</v>
      </c>
      <c r="K26" s="31" t="s">
        <v>20</v>
      </c>
      <c r="L26" s="46"/>
      <c r="M26" s="31" t="s">
        <v>20</v>
      </c>
      <c r="N26" s="31" t="s">
        <v>20</v>
      </c>
      <c r="O26" s="31" t="s">
        <v>20</v>
      </c>
      <c r="P26" s="31" t="s">
        <v>20</v>
      </c>
      <c r="Q26" s="31" t="s">
        <v>20</v>
      </c>
      <c r="R26" s="31" t="s">
        <v>20</v>
      </c>
      <c r="S26" s="46"/>
      <c r="T26" s="31" t="s">
        <v>21</v>
      </c>
      <c r="U26" s="41"/>
      <c r="V26" s="31" t="s">
        <v>20</v>
      </c>
      <c r="W26" s="31" t="s">
        <v>20</v>
      </c>
      <c r="X26" s="31" t="s">
        <v>20</v>
      </c>
      <c r="Y26" s="31" t="s">
        <v>20</v>
      </c>
      <c r="Z26" s="46"/>
      <c r="AA26" s="31" t="s">
        <v>20</v>
      </c>
      <c r="AB26" s="31" t="s">
        <v>20</v>
      </c>
      <c r="AC26" s="31" t="s">
        <v>20</v>
      </c>
      <c r="AD26" s="31" t="s">
        <v>20</v>
      </c>
      <c r="AE26" s="31" t="s">
        <v>20</v>
      </c>
      <c r="AF26" s="31" t="s">
        <v>20</v>
      </c>
      <c r="AG26" s="46"/>
      <c r="AH26" s="31" t="s">
        <v>20</v>
      </c>
      <c r="AI26" s="4">
        <f t="shared" si="1"/>
        <v>23</v>
      </c>
      <c r="AJ26" s="4">
        <f t="shared" si="2"/>
        <v>1</v>
      </c>
    </row>
    <row r="27" spans="1:40" x14ac:dyDescent="0.25">
      <c r="A27" s="7">
        <v>23</v>
      </c>
      <c r="B27" s="32" t="s">
        <v>310</v>
      </c>
      <c r="C27" s="33" t="s">
        <v>282</v>
      </c>
      <c r="D27" s="19" t="s">
        <v>186</v>
      </c>
      <c r="E27" s="46"/>
      <c r="F27" s="31" t="s">
        <v>20</v>
      </c>
      <c r="G27" s="31" t="s">
        <v>20</v>
      </c>
      <c r="H27" s="31" t="s">
        <v>20</v>
      </c>
      <c r="I27" s="31" t="s">
        <v>20</v>
      </c>
      <c r="J27" s="31" t="s">
        <v>21</v>
      </c>
      <c r="K27" s="31" t="s">
        <v>20</v>
      </c>
      <c r="L27" s="46"/>
      <c r="M27" s="31" t="s">
        <v>20</v>
      </c>
      <c r="N27" s="31" t="s">
        <v>20</v>
      </c>
      <c r="O27" s="31" t="s">
        <v>20</v>
      </c>
      <c r="P27" s="31" t="s">
        <v>20</v>
      </c>
      <c r="Q27" s="31" t="s">
        <v>20</v>
      </c>
      <c r="R27" s="31" t="s">
        <v>20</v>
      </c>
      <c r="S27" s="46"/>
      <c r="T27" s="31" t="s">
        <v>20</v>
      </c>
      <c r="U27" s="41"/>
      <c r="V27" s="31" t="s">
        <v>20</v>
      </c>
      <c r="W27" s="31" t="s">
        <v>20</v>
      </c>
      <c r="X27" s="31" t="s">
        <v>20</v>
      </c>
      <c r="Y27" s="31" t="s">
        <v>20</v>
      </c>
      <c r="Z27" s="46"/>
      <c r="AA27" s="31" t="s">
        <v>20</v>
      </c>
      <c r="AB27" s="31" t="s">
        <v>20</v>
      </c>
      <c r="AC27" s="31" t="s">
        <v>21</v>
      </c>
      <c r="AD27" s="31" t="s">
        <v>20</v>
      </c>
      <c r="AE27" s="31" t="s">
        <v>20</v>
      </c>
      <c r="AF27" s="31" t="s">
        <v>20</v>
      </c>
      <c r="AG27" s="46"/>
      <c r="AH27" s="31" t="s">
        <v>20</v>
      </c>
      <c r="AI27" s="4">
        <f t="shared" si="1"/>
        <v>22</v>
      </c>
      <c r="AJ27" s="4">
        <f t="shared" si="2"/>
        <v>2</v>
      </c>
    </row>
    <row r="28" spans="1:40" x14ac:dyDescent="0.25">
      <c r="A28" s="5">
        <v>24</v>
      </c>
      <c r="B28" s="32" t="s">
        <v>311</v>
      </c>
      <c r="C28" s="33" t="s">
        <v>312</v>
      </c>
      <c r="D28" s="19" t="s">
        <v>186</v>
      </c>
      <c r="E28" s="46"/>
      <c r="F28" s="31" t="s">
        <v>20</v>
      </c>
      <c r="G28" s="31" t="s">
        <v>20</v>
      </c>
      <c r="H28" s="31" t="s">
        <v>20</v>
      </c>
      <c r="I28" s="31" t="s">
        <v>20</v>
      </c>
      <c r="J28" s="31" t="s">
        <v>20</v>
      </c>
      <c r="K28" s="31" t="s">
        <v>21</v>
      </c>
      <c r="L28" s="46"/>
      <c r="M28" s="31" t="s">
        <v>20</v>
      </c>
      <c r="N28" s="31" t="s">
        <v>20</v>
      </c>
      <c r="O28" s="31" t="s">
        <v>20</v>
      </c>
      <c r="P28" s="31" t="s">
        <v>20</v>
      </c>
      <c r="Q28" s="31" t="s">
        <v>20</v>
      </c>
      <c r="R28" s="31" t="s">
        <v>21</v>
      </c>
      <c r="S28" s="46"/>
      <c r="T28" s="31" t="s">
        <v>21</v>
      </c>
      <c r="U28" s="41"/>
      <c r="V28" s="31" t="s">
        <v>21</v>
      </c>
      <c r="W28" s="31" t="s">
        <v>20</v>
      </c>
      <c r="X28" s="31" t="s">
        <v>21</v>
      </c>
      <c r="Y28" s="31" t="s">
        <v>20</v>
      </c>
      <c r="Z28" s="46"/>
      <c r="AA28" s="31" t="s">
        <v>20</v>
      </c>
      <c r="AB28" s="31" t="s">
        <v>20</v>
      </c>
      <c r="AC28" s="31" t="s">
        <v>20</v>
      </c>
      <c r="AD28" s="31" t="s">
        <v>21</v>
      </c>
      <c r="AE28" s="31" t="s">
        <v>21</v>
      </c>
      <c r="AF28" s="31" t="s">
        <v>20</v>
      </c>
      <c r="AG28" s="46"/>
      <c r="AH28" s="31" t="s">
        <v>21</v>
      </c>
      <c r="AI28" s="4">
        <f t="shared" si="1"/>
        <v>16</v>
      </c>
      <c r="AJ28" s="4">
        <f t="shared" si="2"/>
        <v>8</v>
      </c>
    </row>
    <row r="29" spans="1:40" ht="15" customHeight="1" x14ac:dyDescent="0.25">
      <c r="A29" s="5">
        <v>1</v>
      </c>
      <c r="B29" s="29" t="s">
        <v>313</v>
      </c>
      <c r="C29" s="30" t="s">
        <v>314</v>
      </c>
      <c r="D29" s="19" t="s">
        <v>186</v>
      </c>
      <c r="E29" s="46"/>
      <c r="F29" s="31" t="s">
        <v>20</v>
      </c>
      <c r="G29" s="31" t="s">
        <v>20</v>
      </c>
      <c r="H29" s="31" t="s">
        <v>20</v>
      </c>
      <c r="I29" s="31" t="s">
        <v>20</v>
      </c>
      <c r="J29" s="31" t="s">
        <v>20</v>
      </c>
      <c r="K29" s="31" t="s">
        <v>20</v>
      </c>
      <c r="L29" s="46"/>
      <c r="M29" s="31" t="s">
        <v>20</v>
      </c>
      <c r="N29" s="31" t="s">
        <v>20</v>
      </c>
      <c r="O29" s="31" t="s">
        <v>20</v>
      </c>
      <c r="P29" s="31" t="s">
        <v>20</v>
      </c>
      <c r="Q29" s="31" t="s">
        <v>20</v>
      </c>
      <c r="R29" s="31" t="s">
        <v>20</v>
      </c>
      <c r="S29" s="46"/>
      <c r="T29" s="31" t="s">
        <v>21</v>
      </c>
      <c r="U29" s="41"/>
      <c r="V29" s="31" t="s">
        <v>20</v>
      </c>
      <c r="W29" s="31" t="s">
        <v>20</v>
      </c>
      <c r="X29" s="31" t="s">
        <v>20</v>
      </c>
      <c r="Y29" s="31" t="s">
        <v>20</v>
      </c>
      <c r="Z29" s="46"/>
      <c r="AA29" s="31" t="s">
        <v>20</v>
      </c>
      <c r="AB29" s="31" t="s">
        <v>20</v>
      </c>
      <c r="AC29" s="31" t="s">
        <v>20</v>
      </c>
      <c r="AD29" s="31" t="s">
        <v>20</v>
      </c>
      <c r="AE29" s="31" t="s">
        <v>20</v>
      </c>
      <c r="AF29" s="31" t="s">
        <v>20</v>
      </c>
      <c r="AG29" s="46"/>
      <c r="AH29" s="31" t="s">
        <v>20</v>
      </c>
      <c r="AI29" s="4">
        <f t="shared" si="1"/>
        <v>23</v>
      </c>
      <c r="AJ29" s="4">
        <f t="shared" si="2"/>
        <v>1</v>
      </c>
    </row>
    <row r="30" spans="1:40" x14ac:dyDescent="0.25">
      <c r="A30" s="7">
        <v>2</v>
      </c>
      <c r="B30" s="32" t="s">
        <v>315</v>
      </c>
      <c r="C30" s="33" t="s">
        <v>316</v>
      </c>
      <c r="D30" s="19" t="s">
        <v>186</v>
      </c>
      <c r="E30" s="46"/>
      <c r="F30" s="31" t="s">
        <v>20</v>
      </c>
      <c r="G30" s="31" t="s">
        <v>20</v>
      </c>
      <c r="H30" s="31" t="s">
        <v>20</v>
      </c>
      <c r="I30" s="31" t="s">
        <v>20</v>
      </c>
      <c r="J30" s="31" t="s">
        <v>20</v>
      </c>
      <c r="K30" s="31" t="s">
        <v>20</v>
      </c>
      <c r="L30" s="46"/>
      <c r="M30" s="31" t="s">
        <v>20</v>
      </c>
      <c r="N30" s="31" t="s">
        <v>20</v>
      </c>
      <c r="O30" s="31" t="s">
        <v>20</v>
      </c>
      <c r="P30" s="31" t="s">
        <v>20</v>
      </c>
      <c r="Q30" s="31" t="s">
        <v>20</v>
      </c>
      <c r="R30" s="31" t="s">
        <v>20</v>
      </c>
      <c r="S30" s="46"/>
      <c r="T30" s="31" t="s">
        <v>21</v>
      </c>
      <c r="U30" s="41"/>
      <c r="V30" s="31" t="s">
        <v>20</v>
      </c>
      <c r="W30" s="31" t="s">
        <v>20</v>
      </c>
      <c r="X30" s="31" t="s">
        <v>20</v>
      </c>
      <c r="Y30" s="31" t="s">
        <v>20</v>
      </c>
      <c r="Z30" s="46"/>
      <c r="AA30" s="31" t="s">
        <v>20</v>
      </c>
      <c r="AB30" s="31" t="s">
        <v>20</v>
      </c>
      <c r="AC30" s="31" t="s">
        <v>20</v>
      </c>
      <c r="AD30" s="31" t="s">
        <v>20</v>
      </c>
      <c r="AE30" s="31" t="s">
        <v>20</v>
      </c>
      <c r="AF30" s="31" t="s">
        <v>20</v>
      </c>
      <c r="AG30" s="46"/>
      <c r="AH30" s="31" t="s">
        <v>20</v>
      </c>
      <c r="AI30" s="4">
        <f t="shared" si="1"/>
        <v>23</v>
      </c>
      <c r="AJ30" s="4">
        <f t="shared" si="2"/>
        <v>1</v>
      </c>
    </row>
    <row r="31" spans="1:40" x14ac:dyDescent="0.25">
      <c r="A31" s="5">
        <v>3</v>
      </c>
      <c r="B31" s="32" t="s">
        <v>317</v>
      </c>
      <c r="C31" s="33" t="s">
        <v>318</v>
      </c>
      <c r="D31" s="19" t="s">
        <v>186</v>
      </c>
      <c r="E31" s="46"/>
      <c r="F31" s="31" t="s">
        <v>20</v>
      </c>
      <c r="G31" s="31" t="s">
        <v>20</v>
      </c>
      <c r="H31" s="31" t="s">
        <v>20</v>
      </c>
      <c r="I31" s="31" t="s">
        <v>20</v>
      </c>
      <c r="J31" s="31" t="s">
        <v>20</v>
      </c>
      <c r="K31" s="31" t="s">
        <v>20</v>
      </c>
      <c r="L31" s="46"/>
      <c r="M31" s="31" t="s">
        <v>20</v>
      </c>
      <c r="N31" s="31" t="s">
        <v>20</v>
      </c>
      <c r="O31" s="31" t="s">
        <v>20</v>
      </c>
      <c r="P31" s="31" t="s">
        <v>20</v>
      </c>
      <c r="Q31" s="31" t="s">
        <v>21</v>
      </c>
      <c r="R31" s="31" t="s">
        <v>20</v>
      </c>
      <c r="S31" s="46"/>
      <c r="T31" s="31" t="s">
        <v>20</v>
      </c>
      <c r="U31" s="41"/>
      <c r="V31" s="31" t="s">
        <v>20</v>
      </c>
      <c r="W31" s="31" t="s">
        <v>20</v>
      </c>
      <c r="X31" s="31" t="s">
        <v>20</v>
      </c>
      <c r="Y31" s="31" t="s">
        <v>20</v>
      </c>
      <c r="Z31" s="46"/>
      <c r="AA31" s="31" t="s">
        <v>20</v>
      </c>
      <c r="AB31" s="31" t="s">
        <v>20</v>
      </c>
      <c r="AC31" s="31" t="s">
        <v>20</v>
      </c>
      <c r="AD31" s="31" t="s">
        <v>20</v>
      </c>
      <c r="AE31" s="31" t="s">
        <v>20</v>
      </c>
      <c r="AF31" s="31" t="s">
        <v>20</v>
      </c>
      <c r="AG31" s="46"/>
      <c r="AH31" s="31" t="s">
        <v>20</v>
      </c>
      <c r="AI31" s="4">
        <f t="shared" si="1"/>
        <v>23</v>
      </c>
      <c r="AJ31" s="4">
        <f t="shared" si="2"/>
        <v>1</v>
      </c>
    </row>
    <row r="32" spans="1:40" x14ac:dyDescent="0.25">
      <c r="A32" s="7">
        <v>4</v>
      </c>
      <c r="B32" s="32" t="s">
        <v>319</v>
      </c>
      <c r="C32" s="33" t="s">
        <v>116</v>
      </c>
      <c r="D32" s="19" t="s">
        <v>186</v>
      </c>
      <c r="E32" s="46"/>
      <c r="F32" s="31" t="s">
        <v>20</v>
      </c>
      <c r="G32" s="31" t="s">
        <v>20</v>
      </c>
      <c r="H32" s="31" t="s">
        <v>20</v>
      </c>
      <c r="I32" s="31" t="s">
        <v>20</v>
      </c>
      <c r="J32" s="31" t="s">
        <v>20</v>
      </c>
      <c r="K32" s="31" t="s">
        <v>21</v>
      </c>
      <c r="L32" s="46"/>
      <c r="M32" s="31" t="s">
        <v>20</v>
      </c>
      <c r="N32" s="31" t="s">
        <v>20</v>
      </c>
      <c r="O32" s="31" t="s">
        <v>20</v>
      </c>
      <c r="P32" s="31" t="s">
        <v>20</v>
      </c>
      <c r="Q32" s="31" t="s">
        <v>21</v>
      </c>
      <c r="R32" s="31" t="s">
        <v>20</v>
      </c>
      <c r="S32" s="46"/>
      <c r="T32" s="31" t="s">
        <v>21</v>
      </c>
      <c r="U32" s="41"/>
      <c r="V32" s="31" t="s">
        <v>20</v>
      </c>
      <c r="W32" s="31" t="s">
        <v>21</v>
      </c>
      <c r="X32" s="31" t="s">
        <v>20</v>
      </c>
      <c r="Y32" s="31" t="s">
        <v>20</v>
      </c>
      <c r="Z32" s="46"/>
      <c r="AA32" s="31" t="s">
        <v>20</v>
      </c>
      <c r="AB32" s="31" t="s">
        <v>20</v>
      </c>
      <c r="AC32" s="31" t="s">
        <v>20</v>
      </c>
      <c r="AD32" s="31" t="s">
        <v>20</v>
      </c>
      <c r="AE32" s="31" t="s">
        <v>21</v>
      </c>
      <c r="AF32" s="31" t="s">
        <v>20</v>
      </c>
      <c r="AG32" s="46"/>
      <c r="AH32" s="31" t="s">
        <v>20</v>
      </c>
      <c r="AI32" s="4">
        <f t="shared" si="1"/>
        <v>19</v>
      </c>
      <c r="AJ32" s="4">
        <f t="shared" si="2"/>
        <v>5</v>
      </c>
    </row>
    <row r="33" spans="1:36" x14ac:dyDescent="0.25">
      <c r="A33" s="5">
        <v>5</v>
      </c>
      <c r="B33" s="32" t="s">
        <v>320</v>
      </c>
      <c r="C33" s="33" t="s">
        <v>321</v>
      </c>
      <c r="D33" s="19" t="s">
        <v>186</v>
      </c>
      <c r="E33" s="46"/>
      <c r="F33" s="31" t="s">
        <v>20</v>
      </c>
      <c r="G33" s="31" t="s">
        <v>20</v>
      </c>
      <c r="H33" s="31" t="s">
        <v>20</v>
      </c>
      <c r="I33" s="31" t="s">
        <v>20</v>
      </c>
      <c r="J33" s="31" t="s">
        <v>21</v>
      </c>
      <c r="K33" s="31" t="s">
        <v>20</v>
      </c>
      <c r="L33" s="46"/>
      <c r="M33" s="31" t="s">
        <v>20</v>
      </c>
      <c r="N33" s="31" t="s">
        <v>20</v>
      </c>
      <c r="O33" s="31" t="s">
        <v>20</v>
      </c>
      <c r="P33" s="31" t="s">
        <v>20</v>
      </c>
      <c r="Q33" s="31" t="s">
        <v>20</v>
      </c>
      <c r="R33" s="31" t="s">
        <v>20</v>
      </c>
      <c r="S33" s="46"/>
      <c r="T33" s="31" t="s">
        <v>20</v>
      </c>
      <c r="U33" s="41"/>
      <c r="V33" s="31" t="s">
        <v>20</v>
      </c>
      <c r="W33" s="31" t="s">
        <v>20</v>
      </c>
      <c r="X33" s="31" t="s">
        <v>20</v>
      </c>
      <c r="Y33" s="31" t="s">
        <v>20</v>
      </c>
      <c r="Z33" s="46"/>
      <c r="AA33" s="31" t="s">
        <v>20</v>
      </c>
      <c r="AB33" s="31" t="s">
        <v>20</v>
      </c>
      <c r="AC33" s="31" t="s">
        <v>20</v>
      </c>
      <c r="AD33" s="31" t="s">
        <v>20</v>
      </c>
      <c r="AE33" s="31" t="s">
        <v>20</v>
      </c>
      <c r="AF33" s="31" t="s">
        <v>20</v>
      </c>
      <c r="AG33" s="46"/>
      <c r="AH33" s="31" t="s">
        <v>20</v>
      </c>
      <c r="AI33" s="4">
        <f t="shared" si="1"/>
        <v>23</v>
      </c>
      <c r="AJ33" s="4">
        <f t="shared" si="2"/>
        <v>1</v>
      </c>
    </row>
    <row r="34" spans="1:36" x14ac:dyDescent="0.25">
      <c r="A34" s="7">
        <v>6</v>
      </c>
      <c r="B34" s="32" t="s">
        <v>322</v>
      </c>
      <c r="C34" s="33" t="s">
        <v>323</v>
      </c>
      <c r="D34" s="19" t="s">
        <v>186</v>
      </c>
      <c r="E34" s="46"/>
      <c r="F34" s="31" t="s">
        <v>20</v>
      </c>
      <c r="G34" s="31" t="s">
        <v>20</v>
      </c>
      <c r="H34" s="31" t="s">
        <v>20</v>
      </c>
      <c r="I34" s="31" t="s">
        <v>20</v>
      </c>
      <c r="J34" s="31" t="s">
        <v>20</v>
      </c>
      <c r="K34" s="31" t="s">
        <v>20</v>
      </c>
      <c r="L34" s="46"/>
      <c r="M34" s="31" t="s">
        <v>20</v>
      </c>
      <c r="N34" s="31" t="s">
        <v>20</v>
      </c>
      <c r="O34" s="31" t="s">
        <v>20</v>
      </c>
      <c r="P34" s="31" t="s">
        <v>20</v>
      </c>
      <c r="Q34" s="31" t="s">
        <v>20</v>
      </c>
      <c r="R34" s="31" t="s">
        <v>20</v>
      </c>
      <c r="S34" s="46"/>
      <c r="T34" s="31" t="s">
        <v>20</v>
      </c>
      <c r="U34" s="41"/>
      <c r="V34" s="31" t="s">
        <v>20</v>
      </c>
      <c r="W34" s="31" t="s">
        <v>20</v>
      </c>
      <c r="X34" s="31" t="s">
        <v>20</v>
      </c>
      <c r="Y34" s="31" t="s">
        <v>20</v>
      </c>
      <c r="Z34" s="46"/>
      <c r="AA34" s="31" t="s">
        <v>20</v>
      </c>
      <c r="AB34" s="31" t="s">
        <v>20</v>
      </c>
      <c r="AC34" s="31" t="s">
        <v>20</v>
      </c>
      <c r="AD34" s="31" t="s">
        <v>20</v>
      </c>
      <c r="AE34" s="31" t="s">
        <v>20</v>
      </c>
      <c r="AF34" s="31" t="s">
        <v>20</v>
      </c>
      <c r="AG34" s="46"/>
      <c r="AH34" s="31" t="s">
        <v>20</v>
      </c>
      <c r="AI34" s="4">
        <f t="shared" si="1"/>
        <v>24</v>
      </c>
      <c r="AJ34" s="4">
        <f t="shared" si="2"/>
        <v>0</v>
      </c>
    </row>
    <row r="35" spans="1:36" x14ac:dyDescent="0.25">
      <c r="A35" s="5">
        <v>7</v>
      </c>
      <c r="B35" s="32" t="s">
        <v>324</v>
      </c>
      <c r="C35" s="33" t="s">
        <v>325</v>
      </c>
      <c r="D35" s="19" t="s">
        <v>186</v>
      </c>
      <c r="E35" s="46"/>
      <c r="F35" s="31" t="s">
        <v>20</v>
      </c>
      <c r="G35" s="31" t="s">
        <v>20</v>
      </c>
      <c r="H35" s="31" t="s">
        <v>20</v>
      </c>
      <c r="I35" s="31" t="s">
        <v>20</v>
      </c>
      <c r="J35" s="31" t="s">
        <v>20</v>
      </c>
      <c r="K35" s="31" t="s">
        <v>20</v>
      </c>
      <c r="L35" s="46"/>
      <c r="M35" s="31" t="s">
        <v>20</v>
      </c>
      <c r="N35" s="31" t="s">
        <v>20</v>
      </c>
      <c r="O35" s="31" t="s">
        <v>20</v>
      </c>
      <c r="P35" s="31" t="s">
        <v>20</v>
      </c>
      <c r="Q35" s="31" t="s">
        <v>20</v>
      </c>
      <c r="R35" s="31" t="s">
        <v>20</v>
      </c>
      <c r="S35" s="46"/>
      <c r="T35" s="31" t="s">
        <v>20</v>
      </c>
      <c r="U35" s="41"/>
      <c r="V35" s="31" t="s">
        <v>21</v>
      </c>
      <c r="W35" s="31" t="s">
        <v>20</v>
      </c>
      <c r="X35" s="31" t="s">
        <v>20</v>
      </c>
      <c r="Y35" s="31" t="s">
        <v>21</v>
      </c>
      <c r="Z35" s="46"/>
      <c r="AA35" s="31" t="s">
        <v>20</v>
      </c>
      <c r="AB35" s="31" t="s">
        <v>20</v>
      </c>
      <c r="AC35" s="31" t="s">
        <v>20</v>
      </c>
      <c r="AD35" s="31" t="s">
        <v>20</v>
      </c>
      <c r="AE35" s="31" t="s">
        <v>21</v>
      </c>
      <c r="AF35" s="31" t="s">
        <v>20</v>
      </c>
      <c r="AG35" s="46"/>
      <c r="AH35" s="31" t="s">
        <v>20</v>
      </c>
      <c r="AI35" s="4">
        <f t="shared" si="1"/>
        <v>21</v>
      </c>
      <c r="AJ35" s="4">
        <f t="shared" si="2"/>
        <v>3</v>
      </c>
    </row>
    <row r="36" spans="1:36" x14ac:dyDescent="0.25">
      <c r="A36" s="7">
        <v>8</v>
      </c>
      <c r="B36" s="32" t="s">
        <v>326</v>
      </c>
      <c r="C36" s="33" t="s">
        <v>327</v>
      </c>
      <c r="D36" s="19" t="s">
        <v>186</v>
      </c>
      <c r="E36" s="46"/>
      <c r="F36" s="31" t="s">
        <v>20</v>
      </c>
      <c r="G36" s="31" t="s">
        <v>20</v>
      </c>
      <c r="H36" s="31" t="s">
        <v>20</v>
      </c>
      <c r="I36" s="31" t="s">
        <v>20</v>
      </c>
      <c r="J36" s="31" t="s">
        <v>20</v>
      </c>
      <c r="K36" s="31" t="s">
        <v>20</v>
      </c>
      <c r="L36" s="46"/>
      <c r="M36" s="31" t="s">
        <v>20</v>
      </c>
      <c r="N36" s="31" t="s">
        <v>20</v>
      </c>
      <c r="O36" s="31" t="s">
        <v>20</v>
      </c>
      <c r="P36" s="31" t="s">
        <v>20</v>
      </c>
      <c r="Q36" s="31" t="s">
        <v>20</v>
      </c>
      <c r="R36" s="31" t="s">
        <v>20</v>
      </c>
      <c r="S36" s="46"/>
      <c r="T36" s="31" t="s">
        <v>21</v>
      </c>
      <c r="U36" s="41"/>
      <c r="V36" s="31" t="s">
        <v>20</v>
      </c>
      <c r="W36" s="31" t="s">
        <v>20</v>
      </c>
      <c r="X36" s="31" t="s">
        <v>20</v>
      </c>
      <c r="Y36" s="31" t="s">
        <v>21</v>
      </c>
      <c r="Z36" s="46"/>
      <c r="AA36" s="31" t="s">
        <v>20</v>
      </c>
      <c r="AB36" s="31" t="s">
        <v>20</v>
      </c>
      <c r="AC36" s="31" t="s">
        <v>20</v>
      </c>
      <c r="AD36" s="31" t="s">
        <v>20</v>
      </c>
      <c r="AE36" s="31" t="s">
        <v>20</v>
      </c>
      <c r="AF36" s="31" t="s">
        <v>20</v>
      </c>
      <c r="AG36" s="46"/>
      <c r="AH36" s="31" t="s">
        <v>20</v>
      </c>
      <c r="AI36" s="4">
        <f t="shared" si="1"/>
        <v>22</v>
      </c>
      <c r="AJ36" s="4">
        <f t="shared" si="2"/>
        <v>2</v>
      </c>
    </row>
    <row r="37" spans="1:36" x14ac:dyDescent="0.25">
      <c r="A37" s="5">
        <v>9</v>
      </c>
      <c r="B37" s="32" t="s">
        <v>328</v>
      </c>
      <c r="C37" s="33" t="s">
        <v>329</v>
      </c>
      <c r="D37" s="19" t="s">
        <v>186</v>
      </c>
      <c r="E37" s="46"/>
      <c r="F37" s="31" t="s">
        <v>20</v>
      </c>
      <c r="G37" s="31" t="s">
        <v>20</v>
      </c>
      <c r="H37" s="31" t="s">
        <v>20</v>
      </c>
      <c r="I37" s="31" t="s">
        <v>20</v>
      </c>
      <c r="J37" s="31" t="s">
        <v>20</v>
      </c>
      <c r="K37" s="31" t="s">
        <v>20</v>
      </c>
      <c r="L37" s="46"/>
      <c r="M37" s="31" t="s">
        <v>20</v>
      </c>
      <c r="N37" s="31" t="s">
        <v>20</v>
      </c>
      <c r="O37" s="31" t="s">
        <v>20</v>
      </c>
      <c r="P37" s="31" t="s">
        <v>20</v>
      </c>
      <c r="Q37" s="31" t="s">
        <v>20</v>
      </c>
      <c r="R37" s="31" t="s">
        <v>20</v>
      </c>
      <c r="S37" s="46"/>
      <c r="T37" s="31" t="s">
        <v>21</v>
      </c>
      <c r="U37" s="41"/>
      <c r="V37" s="31" t="s">
        <v>20</v>
      </c>
      <c r="W37" s="31" t="s">
        <v>20</v>
      </c>
      <c r="X37" s="31" t="s">
        <v>20</v>
      </c>
      <c r="Y37" s="31" t="s">
        <v>21</v>
      </c>
      <c r="Z37" s="46"/>
      <c r="AA37" s="31" t="s">
        <v>20</v>
      </c>
      <c r="AB37" s="31" t="s">
        <v>20</v>
      </c>
      <c r="AC37" s="31" t="s">
        <v>20</v>
      </c>
      <c r="AD37" s="31" t="s">
        <v>20</v>
      </c>
      <c r="AE37" s="31" t="s">
        <v>20</v>
      </c>
      <c r="AF37" s="31" t="s">
        <v>20</v>
      </c>
      <c r="AG37" s="46"/>
      <c r="AH37" s="31" t="s">
        <v>20</v>
      </c>
      <c r="AI37" s="4">
        <f t="shared" si="1"/>
        <v>22</v>
      </c>
      <c r="AJ37" s="4">
        <f t="shared" si="2"/>
        <v>2</v>
      </c>
    </row>
    <row r="38" spans="1:36" x14ac:dyDescent="0.25">
      <c r="A38" s="7">
        <v>10</v>
      </c>
      <c r="B38" s="32" t="s">
        <v>330</v>
      </c>
      <c r="C38" s="33" t="s">
        <v>331</v>
      </c>
      <c r="D38" s="19" t="s">
        <v>186</v>
      </c>
      <c r="E38" s="46"/>
      <c r="F38" s="31" t="s">
        <v>20</v>
      </c>
      <c r="G38" s="31" t="s">
        <v>20</v>
      </c>
      <c r="H38" s="31" t="s">
        <v>20</v>
      </c>
      <c r="I38" s="31" t="s">
        <v>20</v>
      </c>
      <c r="J38" s="31" t="s">
        <v>20</v>
      </c>
      <c r="K38" s="31" t="s">
        <v>20</v>
      </c>
      <c r="L38" s="46"/>
      <c r="M38" s="31" t="s">
        <v>20</v>
      </c>
      <c r="N38" s="31" t="s">
        <v>20</v>
      </c>
      <c r="O38" s="31" t="s">
        <v>20</v>
      </c>
      <c r="P38" s="31" t="s">
        <v>20</v>
      </c>
      <c r="Q38" s="31" t="s">
        <v>20</v>
      </c>
      <c r="R38" s="31" t="s">
        <v>20</v>
      </c>
      <c r="S38" s="46"/>
      <c r="T38" s="31" t="s">
        <v>20</v>
      </c>
      <c r="U38" s="41"/>
      <c r="V38" s="31" t="s">
        <v>20</v>
      </c>
      <c r="W38" s="31" t="s">
        <v>20</v>
      </c>
      <c r="X38" s="31" t="s">
        <v>20</v>
      </c>
      <c r="Y38" s="31" t="s">
        <v>20</v>
      </c>
      <c r="Z38" s="46"/>
      <c r="AA38" s="31" t="s">
        <v>20</v>
      </c>
      <c r="AB38" s="31" t="s">
        <v>20</v>
      </c>
      <c r="AC38" s="31" t="s">
        <v>20</v>
      </c>
      <c r="AD38" s="31" t="s">
        <v>20</v>
      </c>
      <c r="AE38" s="31" t="s">
        <v>20</v>
      </c>
      <c r="AF38" s="31" t="s">
        <v>20</v>
      </c>
      <c r="AG38" s="46"/>
      <c r="AH38" s="31" t="s">
        <v>20</v>
      </c>
      <c r="AI38" s="4">
        <f t="shared" si="1"/>
        <v>24</v>
      </c>
      <c r="AJ38" s="4">
        <f t="shared" si="2"/>
        <v>0</v>
      </c>
    </row>
    <row r="39" spans="1:36" x14ac:dyDescent="0.25">
      <c r="A39" s="5">
        <v>11</v>
      </c>
      <c r="B39" s="32" t="s">
        <v>332</v>
      </c>
      <c r="C39" s="33" t="s">
        <v>333</v>
      </c>
      <c r="D39" s="19" t="s">
        <v>186</v>
      </c>
      <c r="E39" s="46"/>
      <c r="F39" s="31" t="s">
        <v>20</v>
      </c>
      <c r="G39" s="31" t="s">
        <v>20</v>
      </c>
      <c r="H39" s="31" t="s">
        <v>21</v>
      </c>
      <c r="I39" s="31" t="s">
        <v>20</v>
      </c>
      <c r="J39" s="31" t="s">
        <v>20</v>
      </c>
      <c r="K39" s="31" t="s">
        <v>20</v>
      </c>
      <c r="L39" s="46"/>
      <c r="M39" s="31" t="s">
        <v>20</v>
      </c>
      <c r="N39" s="31" t="s">
        <v>20</v>
      </c>
      <c r="O39" s="31" t="s">
        <v>20</v>
      </c>
      <c r="P39" s="31" t="s">
        <v>20</v>
      </c>
      <c r="Q39" s="31" t="s">
        <v>21</v>
      </c>
      <c r="R39" s="31" t="s">
        <v>20</v>
      </c>
      <c r="S39" s="46"/>
      <c r="T39" s="31" t="s">
        <v>20</v>
      </c>
      <c r="U39" s="41"/>
      <c r="V39" s="31" t="s">
        <v>20</v>
      </c>
      <c r="W39" s="31" t="s">
        <v>20</v>
      </c>
      <c r="X39" s="31" t="s">
        <v>20</v>
      </c>
      <c r="Y39" s="31" t="s">
        <v>20</v>
      </c>
      <c r="Z39" s="46"/>
      <c r="AA39" s="31" t="s">
        <v>20</v>
      </c>
      <c r="AB39" s="31" t="s">
        <v>20</v>
      </c>
      <c r="AC39" s="31" t="s">
        <v>21</v>
      </c>
      <c r="AD39" s="31" t="s">
        <v>20</v>
      </c>
      <c r="AE39" s="31" t="s">
        <v>21</v>
      </c>
      <c r="AF39" s="31" t="s">
        <v>21</v>
      </c>
      <c r="AG39" s="46"/>
      <c r="AH39" s="31" t="s">
        <v>20</v>
      </c>
      <c r="AI39" s="4">
        <f t="shared" si="1"/>
        <v>19</v>
      </c>
      <c r="AJ39" s="4">
        <f t="shared" si="2"/>
        <v>5</v>
      </c>
    </row>
    <row r="40" spans="1:36" x14ac:dyDescent="0.25">
      <c r="A40" s="7">
        <v>12</v>
      </c>
      <c r="B40" s="32" t="s">
        <v>334</v>
      </c>
      <c r="C40" s="33" t="s">
        <v>90</v>
      </c>
      <c r="D40" s="19" t="s">
        <v>186</v>
      </c>
      <c r="E40" s="46"/>
      <c r="F40" s="31" t="s">
        <v>20</v>
      </c>
      <c r="G40" s="31" t="s">
        <v>20</v>
      </c>
      <c r="H40" s="31" t="s">
        <v>20</v>
      </c>
      <c r="I40" s="31" t="s">
        <v>20</v>
      </c>
      <c r="J40" s="31" t="s">
        <v>20</v>
      </c>
      <c r="K40" s="31" t="s">
        <v>20</v>
      </c>
      <c r="L40" s="46"/>
      <c r="M40" s="31" t="s">
        <v>20</v>
      </c>
      <c r="N40" s="31" t="s">
        <v>20</v>
      </c>
      <c r="O40" s="31" t="s">
        <v>20</v>
      </c>
      <c r="P40" s="31" t="s">
        <v>20</v>
      </c>
      <c r="Q40" s="31" t="s">
        <v>20</v>
      </c>
      <c r="R40" s="31" t="s">
        <v>20</v>
      </c>
      <c r="S40" s="46"/>
      <c r="T40" s="31" t="s">
        <v>20</v>
      </c>
      <c r="U40" s="41"/>
      <c r="V40" s="31" t="s">
        <v>20</v>
      </c>
      <c r="W40" s="31" t="s">
        <v>20</v>
      </c>
      <c r="X40" s="31" t="s">
        <v>20</v>
      </c>
      <c r="Y40" s="31" t="s">
        <v>20</v>
      </c>
      <c r="Z40" s="46"/>
      <c r="AA40" s="31" t="s">
        <v>20</v>
      </c>
      <c r="AB40" s="31" t="s">
        <v>20</v>
      </c>
      <c r="AC40" s="31" t="s">
        <v>20</v>
      </c>
      <c r="AD40" s="31" t="s">
        <v>20</v>
      </c>
      <c r="AE40" s="31" t="s">
        <v>20</v>
      </c>
      <c r="AF40" s="31" t="s">
        <v>20</v>
      </c>
      <c r="AG40" s="46"/>
      <c r="AH40" s="31" t="s">
        <v>20</v>
      </c>
      <c r="AI40" s="4">
        <f t="shared" si="1"/>
        <v>24</v>
      </c>
      <c r="AJ40" s="4">
        <f t="shared" si="2"/>
        <v>0</v>
      </c>
    </row>
    <row r="41" spans="1:36" x14ac:dyDescent="0.25">
      <c r="A41" s="5">
        <v>13</v>
      </c>
      <c r="B41" s="32" t="s">
        <v>335</v>
      </c>
      <c r="C41" s="33" t="s">
        <v>336</v>
      </c>
      <c r="D41" s="19" t="s">
        <v>186</v>
      </c>
      <c r="E41" s="46"/>
      <c r="F41" s="31" t="s">
        <v>20</v>
      </c>
      <c r="G41" s="31" t="s">
        <v>20</v>
      </c>
      <c r="H41" s="31" t="s">
        <v>20</v>
      </c>
      <c r="I41" s="31" t="s">
        <v>20</v>
      </c>
      <c r="J41" s="31" t="s">
        <v>20</v>
      </c>
      <c r="K41" s="31" t="s">
        <v>20</v>
      </c>
      <c r="L41" s="46"/>
      <c r="M41" s="31" t="s">
        <v>20</v>
      </c>
      <c r="N41" s="31" t="s">
        <v>20</v>
      </c>
      <c r="O41" s="31" t="s">
        <v>20</v>
      </c>
      <c r="P41" s="31" t="s">
        <v>20</v>
      </c>
      <c r="Q41" s="31" t="s">
        <v>20</v>
      </c>
      <c r="R41" s="31" t="s">
        <v>20</v>
      </c>
      <c r="S41" s="46"/>
      <c r="T41" s="31" t="s">
        <v>20</v>
      </c>
      <c r="U41" s="41"/>
      <c r="V41" s="31" t="s">
        <v>20</v>
      </c>
      <c r="W41" s="31" t="s">
        <v>20</v>
      </c>
      <c r="X41" s="31" t="s">
        <v>20</v>
      </c>
      <c r="Y41" s="31" t="s">
        <v>20</v>
      </c>
      <c r="Z41" s="46"/>
      <c r="AA41" s="31" t="s">
        <v>20</v>
      </c>
      <c r="AB41" s="31" t="s">
        <v>20</v>
      </c>
      <c r="AC41" s="31" t="s">
        <v>20</v>
      </c>
      <c r="AD41" s="31" t="s">
        <v>20</v>
      </c>
      <c r="AE41" s="31" t="s">
        <v>20</v>
      </c>
      <c r="AF41" s="31" t="s">
        <v>21</v>
      </c>
      <c r="AG41" s="46"/>
      <c r="AH41" s="31" t="s">
        <v>20</v>
      </c>
      <c r="AI41" s="4">
        <f t="shared" si="1"/>
        <v>23</v>
      </c>
      <c r="AJ41" s="4">
        <f t="shared" si="2"/>
        <v>1</v>
      </c>
    </row>
    <row r="42" spans="1:36" x14ac:dyDescent="0.25">
      <c r="A42" s="7">
        <v>14</v>
      </c>
      <c r="B42" s="32" t="s">
        <v>337</v>
      </c>
      <c r="C42" s="33" t="s">
        <v>338</v>
      </c>
      <c r="D42" s="19" t="s">
        <v>186</v>
      </c>
      <c r="E42" s="46"/>
      <c r="F42" s="31" t="s">
        <v>20</v>
      </c>
      <c r="G42" s="31" t="s">
        <v>20</v>
      </c>
      <c r="H42" s="31" t="s">
        <v>20</v>
      </c>
      <c r="I42" s="31" t="s">
        <v>20</v>
      </c>
      <c r="J42" s="31" t="s">
        <v>20</v>
      </c>
      <c r="K42" s="31" t="s">
        <v>20</v>
      </c>
      <c r="L42" s="46"/>
      <c r="M42" s="31" t="s">
        <v>20</v>
      </c>
      <c r="N42" s="31" t="s">
        <v>20</v>
      </c>
      <c r="O42" s="31" t="s">
        <v>20</v>
      </c>
      <c r="P42" s="31" t="s">
        <v>20</v>
      </c>
      <c r="Q42" s="31" t="s">
        <v>20</v>
      </c>
      <c r="R42" s="31" t="s">
        <v>20</v>
      </c>
      <c r="S42" s="46"/>
      <c r="T42" s="31" t="s">
        <v>21</v>
      </c>
      <c r="U42" s="41"/>
      <c r="V42" s="31" t="s">
        <v>20</v>
      </c>
      <c r="W42" s="31" t="s">
        <v>20</v>
      </c>
      <c r="X42" s="31" t="s">
        <v>20</v>
      </c>
      <c r="Y42" s="31" t="s">
        <v>20</v>
      </c>
      <c r="Z42" s="46"/>
      <c r="AA42" s="31" t="s">
        <v>20</v>
      </c>
      <c r="AB42" s="31" t="s">
        <v>20</v>
      </c>
      <c r="AC42" s="31" t="s">
        <v>20</v>
      </c>
      <c r="AD42" s="31" t="s">
        <v>20</v>
      </c>
      <c r="AE42" s="31" t="s">
        <v>20</v>
      </c>
      <c r="AF42" s="31" t="s">
        <v>20</v>
      </c>
      <c r="AG42" s="46"/>
      <c r="AH42" s="31" t="s">
        <v>21</v>
      </c>
      <c r="AI42" s="4">
        <f t="shared" si="1"/>
        <v>22</v>
      </c>
      <c r="AJ42" s="4">
        <f t="shared" si="2"/>
        <v>2</v>
      </c>
    </row>
    <row r="43" spans="1:36" x14ac:dyDescent="0.25">
      <c r="A43" s="5">
        <v>15</v>
      </c>
      <c r="B43" s="32" t="s">
        <v>339</v>
      </c>
      <c r="C43" s="33" t="s">
        <v>340</v>
      </c>
      <c r="D43" s="19" t="s">
        <v>186</v>
      </c>
      <c r="E43" s="46"/>
      <c r="F43" s="31" t="s">
        <v>20</v>
      </c>
      <c r="G43" s="31" t="s">
        <v>21</v>
      </c>
      <c r="H43" s="31" t="s">
        <v>20</v>
      </c>
      <c r="I43" s="31" t="s">
        <v>20</v>
      </c>
      <c r="J43" s="31" t="s">
        <v>20</v>
      </c>
      <c r="K43" s="31" t="s">
        <v>21</v>
      </c>
      <c r="L43" s="46"/>
      <c r="M43" s="31" t="s">
        <v>20</v>
      </c>
      <c r="N43" s="31" t="s">
        <v>20</v>
      </c>
      <c r="O43" s="31" t="s">
        <v>20</v>
      </c>
      <c r="P43" s="31" t="s">
        <v>20</v>
      </c>
      <c r="Q43" s="31" t="s">
        <v>20</v>
      </c>
      <c r="R43" s="31" t="s">
        <v>20</v>
      </c>
      <c r="S43" s="46"/>
      <c r="T43" s="31" t="s">
        <v>20</v>
      </c>
      <c r="U43" s="41"/>
      <c r="V43" s="31" t="s">
        <v>20</v>
      </c>
      <c r="W43" s="31" t="s">
        <v>20</v>
      </c>
      <c r="X43" s="31" t="s">
        <v>20</v>
      </c>
      <c r="Y43" s="31" t="s">
        <v>21</v>
      </c>
      <c r="Z43" s="46"/>
      <c r="AA43" s="31" t="s">
        <v>20</v>
      </c>
      <c r="AB43" s="31" t="s">
        <v>20</v>
      </c>
      <c r="AC43" s="31" t="s">
        <v>20</v>
      </c>
      <c r="AD43" s="31" t="s">
        <v>20</v>
      </c>
      <c r="AE43" s="31" t="s">
        <v>20</v>
      </c>
      <c r="AF43" s="31" t="s">
        <v>21</v>
      </c>
      <c r="AG43" s="46"/>
      <c r="AH43" s="31" t="s">
        <v>20</v>
      </c>
      <c r="AI43" s="4">
        <f t="shared" si="1"/>
        <v>20</v>
      </c>
      <c r="AJ43" s="4">
        <f t="shared" si="2"/>
        <v>4</v>
      </c>
    </row>
    <row r="44" spans="1:36" x14ac:dyDescent="0.25">
      <c r="A44" s="7">
        <v>16</v>
      </c>
      <c r="B44" s="32" t="s">
        <v>341</v>
      </c>
      <c r="C44" s="33" t="s">
        <v>342</v>
      </c>
      <c r="D44" s="19" t="s">
        <v>186</v>
      </c>
      <c r="E44" s="46"/>
      <c r="F44" s="31" t="s">
        <v>21</v>
      </c>
      <c r="G44" s="31" t="s">
        <v>21</v>
      </c>
      <c r="H44" s="31" t="s">
        <v>21</v>
      </c>
      <c r="I44" s="31" t="s">
        <v>21</v>
      </c>
      <c r="J44" s="31" t="s">
        <v>21</v>
      </c>
      <c r="K44" s="31" t="s">
        <v>21</v>
      </c>
      <c r="L44" s="46"/>
      <c r="M44" s="31" t="s">
        <v>20</v>
      </c>
      <c r="N44" s="31" t="s">
        <v>20</v>
      </c>
      <c r="O44" s="31" t="s">
        <v>20</v>
      </c>
      <c r="P44" s="31" t="s">
        <v>20</v>
      </c>
      <c r="Q44" s="31" t="s">
        <v>20</v>
      </c>
      <c r="R44" s="31" t="s">
        <v>20</v>
      </c>
      <c r="S44" s="46"/>
      <c r="T44" s="31" t="s">
        <v>20</v>
      </c>
      <c r="U44" s="41"/>
      <c r="V44" s="31" t="s">
        <v>20</v>
      </c>
      <c r="W44" s="31" t="s">
        <v>21</v>
      </c>
      <c r="X44" s="31" t="s">
        <v>22</v>
      </c>
      <c r="Y44" s="31" t="s">
        <v>22</v>
      </c>
      <c r="Z44" s="46"/>
      <c r="AA44" s="31" t="s">
        <v>22</v>
      </c>
      <c r="AB44" s="31" t="s">
        <v>20</v>
      </c>
      <c r="AC44" s="31" t="s">
        <v>20</v>
      </c>
      <c r="AD44" s="31" t="s">
        <v>20</v>
      </c>
      <c r="AE44" s="31" t="s">
        <v>20</v>
      </c>
      <c r="AF44" s="31" t="s">
        <v>20</v>
      </c>
      <c r="AG44" s="46"/>
      <c r="AH44" s="31" t="s">
        <v>21</v>
      </c>
      <c r="AI44" s="4">
        <f t="shared" si="1"/>
        <v>13</v>
      </c>
      <c r="AJ44" s="4">
        <f t="shared" si="2"/>
        <v>8</v>
      </c>
    </row>
    <row r="45" spans="1:36" x14ac:dyDescent="0.25">
      <c r="A45" s="5">
        <v>17</v>
      </c>
      <c r="B45" s="32" t="s">
        <v>343</v>
      </c>
      <c r="C45" s="33" t="s">
        <v>344</v>
      </c>
      <c r="D45" s="19" t="s">
        <v>186</v>
      </c>
      <c r="E45" s="46"/>
      <c r="F45" s="31" t="s">
        <v>20</v>
      </c>
      <c r="G45" s="31" t="s">
        <v>20</v>
      </c>
      <c r="H45" s="31" t="s">
        <v>20</v>
      </c>
      <c r="I45" s="31" t="s">
        <v>20</v>
      </c>
      <c r="J45" s="31" t="s">
        <v>20</v>
      </c>
      <c r="K45" s="31" t="s">
        <v>21</v>
      </c>
      <c r="L45" s="46"/>
      <c r="M45" s="31" t="s">
        <v>21</v>
      </c>
      <c r="N45" s="31" t="s">
        <v>21</v>
      </c>
      <c r="O45" s="31" t="s">
        <v>20</v>
      </c>
      <c r="P45" s="31" t="s">
        <v>20</v>
      </c>
      <c r="Q45" s="31" t="s">
        <v>20</v>
      </c>
      <c r="R45" s="31" t="s">
        <v>20</v>
      </c>
      <c r="S45" s="46"/>
      <c r="T45" s="31" t="s">
        <v>21</v>
      </c>
      <c r="U45" s="41"/>
      <c r="V45" s="31" t="s">
        <v>20</v>
      </c>
      <c r="W45" s="31" t="s">
        <v>20</v>
      </c>
      <c r="X45" s="31" t="s">
        <v>20</v>
      </c>
      <c r="Y45" s="31" t="s">
        <v>21</v>
      </c>
      <c r="Z45" s="46"/>
      <c r="AA45" s="31" t="s">
        <v>20</v>
      </c>
      <c r="AB45" s="31" t="s">
        <v>20</v>
      </c>
      <c r="AC45" s="31" t="s">
        <v>20</v>
      </c>
      <c r="AD45" s="31" t="s">
        <v>20</v>
      </c>
      <c r="AE45" s="31" t="s">
        <v>20</v>
      </c>
      <c r="AF45" s="31" t="s">
        <v>20</v>
      </c>
      <c r="AG45" s="46"/>
      <c r="AH45" s="31" t="s">
        <v>20</v>
      </c>
      <c r="AI45" s="4">
        <f t="shared" si="1"/>
        <v>19</v>
      </c>
      <c r="AJ45" s="4">
        <f t="shared" si="2"/>
        <v>5</v>
      </c>
    </row>
    <row r="46" spans="1:36" x14ac:dyDescent="0.25">
      <c r="A46" s="7">
        <v>18</v>
      </c>
      <c r="B46" s="32" t="s">
        <v>345</v>
      </c>
      <c r="C46" s="33" t="s">
        <v>346</v>
      </c>
      <c r="D46" s="19" t="s">
        <v>186</v>
      </c>
      <c r="E46" s="46"/>
      <c r="F46" s="31" t="s">
        <v>20</v>
      </c>
      <c r="G46" s="31" t="s">
        <v>20</v>
      </c>
      <c r="H46" s="31" t="s">
        <v>20</v>
      </c>
      <c r="I46" s="31" t="s">
        <v>20</v>
      </c>
      <c r="J46" s="31" t="s">
        <v>20</v>
      </c>
      <c r="K46" s="31" t="s">
        <v>20</v>
      </c>
      <c r="L46" s="46"/>
      <c r="M46" s="31" t="s">
        <v>20</v>
      </c>
      <c r="N46" s="31" t="s">
        <v>20</v>
      </c>
      <c r="O46" s="31" t="s">
        <v>20</v>
      </c>
      <c r="P46" s="31" t="s">
        <v>20</v>
      </c>
      <c r="Q46" s="31" t="s">
        <v>20</v>
      </c>
      <c r="R46" s="31" t="s">
        <v>20</v>
      </c>
      <c r="S46" s="46"/>
      <c r="T46" s="31" t="s">
        <v>20</v>
      </c>
      <c r="U46" s="41"/>
      <c r="V46" s="31" t="s">
        <v>20</v>
      </c>
      <c r="W46" s="31" t="s">
        <v>20</v>
      </c>
      <c r="X46" s="31" t="s">
        <v>20</v>
      </c>
      <c r="Y46" s="31" t="s">
        <v>21</v>
      </c>
      <c r="Z46" s="46"/>
      <c r="AA46" s="31" t="s">
        <v>20</v>
      </c>
      <c r="AB46" s="31" t="s">
        <v>20</v>
      </c>
      <c r="AC46" s="31" t="s">
        <v>20</v>
      </c>
      <c r="AD46" s="31" t="s">
        <v>20</v>
      </c>
      <c r="AE46" s="31" t="s">
        <v>20</v>
      </c>
      <c r="AF46" s="31" t="s">
        <v>20</v>
      </c>
      <c r="AG46" s="46"/>
      <c r="AH46" s="31" t="s">
        <v>20</v>
      </c>
      <c r="AI46" s="4">
        <f t="shared" si="1"/>
        <v>23</v>
      </c>
      <c r="AJ46" s="4">
        <f t="shared" si="2"/>
        <v>1</v>
      </c>
    </row>
    <row r="47" spans="1:36" x14ac:dyDescent="0.25">
      <c r="A47" s="5">
        <v>19</v>
      </c>
      <c r="B47" s="32" t="s">
        <v>347</v>
      </c>
      <c r="C47" s="33" t="s">
        <v>220</v>
      </c>
      <c r="D47" s="19" t="s">
        <v>186</v>
      </c>
      <c r="E47" s="46"/>
      <c r="F47" s="31" t="s">
        <v>20</v>
      </c>
      <c r="G47" s="31" t="s">
        <v>20</v>
      </c>
      <c r="H47" s="31" t="s">
        <v>20</v>
      </c>
      <c r="I47" s="31" t="s">
        <v>20</v>
      </c>
      <c r="J47" s="31" t="s">
        <v>20</v>
      </c>
      <c r="K47" s="31" t="s">
        <v>20</v>
      </c>
      <c r="L47" s="46"/>
      <c r="M47" s="31" t="s">
        <v>20</v>
      </c>
      <c r="N47" s="31" t="s">
        <v>20</v>
      </c>
      <c r="O47" s="31" t="s">
        <v>20</v>
      </c>
      <c r="P47" s="31" t="s">
        <v>20</v>
      </c>
      <c r="Q47" s="31" t="s">
        <v>20</v>
      </c>
      <c r="R47" s="31" t="s">
        <v>20</v>
      </c>
      <c r="S47" s="46"/>
      <c r="T47" s="31" t="s">
        <v>20</v>
      </c>
      <c r="U47" s="41"/>
      <c r="V47" s="31" t="s">
        <v>20</v>
      </c>
      <c r="W47" s="31" t="s">
        <v>20</v>
      </c>
      <c r="X47" s="31" t="s">
        <v>20</v>
      </c>
      <c r="Y47" s="31" t="s">
        <v>20</v>
      </c>
      <c r="Z47" s="46"/>
      <c r="AA47" s="31" t="s">
        <v>20</v>
      </c>
      <c r="AB47" s="31" t="s">
        <v>20</v>
      </c>
      <c r="AC47" s="31" t="s">
        <v>20</v>
      </c>
      <c r="AD47" s="31" t="s">
        <v>20</v>
      </c>
      <c r="AE47" s="31" t="s">
        <v>20</v>
      </c>
      <c r="AF47" s="31" t="s">
        <v>20</v>
      </c>
      <c r="AG47" s="46"/>
      <c r="AH47" s="31" t="s">
        <v>20</v>
      </c>
      <c r="AI47" s="4">
        <f t="shared" si="1"/>
        <v>24</v>
      </c>
      <c r="AJ47" s="4">
        <f t="shared" si="2"/>
        <v>0</v>
      </c>
    </row>
    <row r="48" spans="1:36" x14ac:dyDescent="0.25">
      <c r="A48" s="7">
        <v>20</v>
      </c>
      <c r="B48" s="32" t="s">
        <v>348</v>
      </c>
      <c r="C48" s="33" t="s">
        <v>349</v>
      </c>
      <c r="D48" s="19" t="s">
        <v>186</v>
      </c>
      <c r="E48" s="46"/>
      <c r="F48" s="31" t="s">
        <v>20</v>
      </c>
      <c r="G48" s="31" t="s">
        <v>20</v>
      </c>
      <c r="H48" s="31" t="s">
        <v>20</v>
      </c>
      <c r="I48" s="31" t="s">
        <v>20</v>
      </c>
      <c r="J48" s="31" t="s">
        <v>20</v>
      </c>
      <c r="K48" s="31" t="s">
        <v>20</v>
      </c>
      <c r="L48" s="46"/>
      <c r="M48" s="31" t="s">
        <v>20</v>
      </c>
      <c r="N48" s="31" t="s">
        <v>20</v>
      </c>
      <c r="O48" s="31" t="s">
        <v>20</v>
      </c>
      <c r="P48" s="31" t="s">
        <v>20</v>
      </c>
      <c r="Q48" s="31" t="s">
        <v>20</v>
      </c>
      <c r="R48" s="31" t="s">
        <v>20</v>
      </c>
      <c r="S48" s="46"/>
      <c r="T48" s="31" t="s">
        <v>20</v>
      </c>
      <c r="U48" s="41"/>
      <c r="V48" s="31" t="s">
        <v>20</v>
      </c>
      <c r="W48" s="31" t="s">
        <v>20</v>
      </c>
      <c r="X48" s="31" t="s">
        <v>21</v>
      </c>
      <c r="Y48" s="31" t="s">
        <v>20</v>
      </c>
      <c r="Z48" s="46"/>
      <c r="AA48" s="31" t="s">
        <v>20</v>
      </c>
      <c r="AB48" s="31" t="s">
        <v>20</v>
      </c>
      <c r="AC48" s="31" t="s">
        <v>20</v>
      </c>
      <c r="AD48" s="31" t="s">
        <v>20</v>
      </c>
      <c r="AE48" s="31" t="s">
        <v>20</v>
      </c>
      <c r="AF48" s="31" t="s">
        <v>20</v>
      </c>
      <c r="AG48" s="46"/>
      <c r="AH48" s="31" t="s">
        <v>20</v>
      </c>
      <c r="AI48" s="4">
        <f t="shared" si="1"/>
        <v>23</v>
      </c>
      <c r="AJ48" s="4">
        <f t="shared" si="2"/>
        <v>1</v>
      </c>
    </row>
    <row r="49" spans="1:36" x14ac:dyDescent="0.25">
      <c r="A49" s="5">
        <v>21</v>
      </c>
      <c r="B49" s="32" t="s">
        <v>350</v>
      </c>
      <c r="C49" s="33" t="s">
        <v>349</v>
      </c>
      <c r="D49" s="19" t="s">
        <v>186</v>
      </c>
      <c r="E49" s="46"/>
      <c r="F49" s="31" t="s">
        <v>20</v>
      </c>
      <c r="G49" s="31" t="s">
        <v>20</v>
      </c>
      <c r="H49" s="31" t="s">
        <v>20</v>
      </c>
      <c r="I49" s="31" t="s">
        <v>20</v>
      </c>
      <c r="J49" s="31" t="s">
        <v>20</v>
      </c>
      <c r="K49" s="31" t="s">
        <v>20</v>
      </c>
      <c r="L49" s="46"/>
      <c r="M49" s="31" t="s">
        <v>20</v>
      </c>
      <c r="N49" s="31" t="s">
        <v>20</v>
      </c>
      <c r="O49" s="31" t="s">
        <v>20</v>
      </c>
      <c r="P49" s="31" t="s">
        <v>20</v>
      </c>
      <c r="Q49" s="31" t="s">
        <v>20</v>
      </c>
      <c r="R49" s="31" t="s">
        <v>20</v>
      </c>
      <c r="S49" s="46"/>
      <c r="T49" s="31" t="s">
        <v>20</v>
      </c>
      <c r="U49" s="41"/>
      <c r="V49" s="31" t="s">
        <v>20</v>
      </c>
      <c r="W49" s="31" t="s">
        <v>20</v>
      </c>
      <c r="X49" s="31" t="s">
        <v>20</v>
      </c>
      <c r="Y49" s="31" t="s">
        <v>20</v>
      </c>
      <c r="Z49" s="46"/>
      <c r="AA49" s="31" t="s">
        <v>20</v>
      </c>
      <c r="AB49" s="31" t="s">
        <v>20</v>
      </c>
      <c r="AC49" s="31" t="s">
        <v>20</v>
      </c>
      <c r="AD49" s="31" t="s">
        <v>20</v>
      </c>
      <c r="AE49" s="31" t="s">
        <v>20</v>
      </c>
      <c r="AF49" s="31" t="s">
        <v>20</v>
      </c>
      <c r="AG49" s="46"/>
      <c r="AH49" s="31" t="s">
        <v>20</v>
      </c>
      <c r="AI49" s="4">
        <f t="shared" si="1"/>
        <v>24</v>
      </c>
      <c r="AJ49" s="4">
        <f t="shared" si="2"/>
        <v>0</v>
      </c>
    </row>
    <row r="50" spans="1:36" x14ac:dyDescent="0.25">
      <c r="A50" s="7">
        <v>22</v>
      </c>
      <c r="B50" s="32" t="s">
        <v>351</v>
      </c>
      <c r="C50" s="33" t="s">
        <v>352</v>
      </c>
      <c r="D50" s="19" t="s">
        <v>186</v>
      </c>
      <c r="E50" s="46"/>
      <c r="F50" s="31" t="s">
        <v>20</v>
      </c>
      <c r="G50" s="31" t="s">
        <v>20</v>
      </c>
      <c r="H50" s="31" t="s">
        <v>20</v>
      </c>
      <c r="I50" s="31" t="s">
        <v>20</v>
      </c>
      <c r="J50" s="31" t="s">
        <v>20</v>
      </c>
      <c r="K50" s="31" t="s">
        <v>20</v>
      </c>
      <c r="L50" s="46"/>
      <c r="M50" s="31" t="s">
        <v>20</v>
      </c>
      <c r="N50" s="31" t="s">
        <v>20</v>
      </c>
      <c r="O50" s="31" t="s">
        <v>20</v>
      </c>
      <c r="P50" s="31" t="s">
        <v>20</v>
      </c>
      <c r="Q50" s="31" t="s">
        <v>20</v>
      </c>
      <c r="R50" s="31" t="s">
        <v>20</v>
      </c>
      <c r="S50" s="46"/>
      <c r="T50" s="31" t="s">
        <v>20</v>
      </c>
      <c r="U50" s="41"/>
      <c r="V50" s="31" t="s">
        <v>20</v>
      </c>
      <c r="W50" s="31" t="s">
        <v>20</v>
      </c>
      <c r="X50" s="31" t="s">
        <v>21</v>
      </c>
      <c r="Y50" s="31" t="s">
        <v>20</v>
      </c>
      <c r="Z50" s="46"/>
      <c r="AA50" s="31" t="s">
        <v>20</v>
      </c>
      <c r="AB50" s="31" t="s">
        <v>20</v>
      </c>
      <c r="AC50" s="31" t="s">
        <v>20</v>
      </c>
      <c r="AD50" s="31" t="s">
        <v>20</v>
      </c>
      <c r="AE50" s="31" t="s">
        <v>20</v>
      </c>
      <c r="AF50" s="31" t="s">
        <v>20</v>
      </c>
      <c r="AG50" s="46"/>
      <c r="AH50" s="31" t="s">
        <v>20</v>
      </c>
      <c r="AI50" s="4">
        <f t="shared" si="1"/>
        <v>23</v>
      </c>
      <c r="AJ50" s="4">
        <f t="shared" si="2"/>
        <v>1</v>
      </c>
    </row>
    <row r="51" spans="1:36" x14ac:dyDescent="0.25">
      <c r="A51" s="5">
        <v>23</v>
      </c>
      <c r="B51" s="32" t="s">
        <v>353</v>
      </c>
      <c r="C51" s="33" t="s">
        <v>240</v>
      </c>
      <c r="D51" s="19" t="s">
        <v>186</v>
      </c>
      <c r="E51" s="46"/>
      <c r="F51" s="31" t="s">
        <v>20</v>
      </c>
      <c r="G51" s="31" t="s">
        <v>20</v>
      </c>
      <c r="H51" s="31" t="s">
        <v>20</v>
      </c>
      <c r="I51" s="31" t="s">
        <v>20</v>
      </c>
      <c r="J51" s="31" t="s">
        <v>20</v>
      </c>
      <c r="K51" s="31" t="s">
        <v>20</v>
      </c>
      <c r="L51" s="46"/>
      <c r="M51" s="31" t="s">
        <v>20</v>
      </c>
      <c r="N51" s="31" t="s">
        <v>20</v>
      </c>
      <c r="O51" s="31" t="s">
        <v>20</v>
      </c>
      <c r="P51" s="31" t="s">
        <v>20</v>
      </c>
      <c r="Q51" s="31" t="s">
        <v>20</v>
      </c>
      <c r="R51" s="31" t="s">
        <v>20</v>
      </c>
      <c r="S51" s="46"/>
      <c r="T51" s="31" t="s">
        <v>20</v>
      </c>
      <c r="U51" s="41"/>
      <c r="V51" s="31" t="s">
        <v>20</v>
      </c>
      <c r="W51" s="31" t="s">
        <v>20</v>
      </c>
      <c r="X51" s="31" t="s">
        <v>20</v>
      </c>
      <c r="Y51" s="31" t="s">
        <v>20</v>
      </c>
      <c r="Z51" s="46"/>
      <c r="AA51" s="31" t="s">
        <v>20</v>
      </c>
      <c r="AB51" s="31" t="s">
        <v>20</v>
      </c>
      <c r="AC51" s="31" t="s">
        <v>20</v>
      </c>
      <c r="AD51" s="31" t="s">
        <v>20</v>
      </c>
      <c r="AE51" s="31" t="s">
        <v>20</v>
      </c>
      <c r="AF51" s="31" t="s">
        <v>20</v>
      </c>
      <c r="AG51" s="46"/>
      <c r="AH51" s="31" t="s">
        <v>20</v>
      </c>
      <c r="AI51" s="4">
        <f t="shared" si="1"/>
        <v>24</v>
      </c>
      <c r="AJ51" s="4">
        <f t="shared" si="2"/>
        <v>0</v>
      </c>
    </row>
    <row r="52" spans="1:36" x14ac:dyDescent="0.25">
      <c r="A52" s="7">
        <v>24</v>
      </c>
      <c r="B52" s="32" t="s">
        <v>354</v>
      </c>
      <c r="C52" s="33" t="s">
        <v>355</v>
      </c>
      <c r="D52" s="19" t="s">
        <v>186</v>
      </c>
      <c r="E52" s="46"/>
      <c r="F52" s="31" t="s">
        <v>20</v>
      </c>
      <c r="G52" s="31" t="s">
        <v>20</v>
      </c>
      <c r="H52" s="31" t="s">
        <v>20</v>
      </c>
      <c r="I52" s="31" t="s">
        <v>20</v>
      </c>
      <c r="J52" s="31" t="s">
        <v>20</v>
      </c>
      <c r="K52" s="31" t="s">
        <v>20</v>
      </c>
      <c r="L52" s="46"/>
      <c r="M52" s="31" t="s">
        <v>20</v>
      </c>
      <c r="N52" s="31" t="s">
        <v>20</v>
      </c>
      <c r="O52" s="31" t="s">
        <v>20</v>
      </c>
      <c r="P52" s="31" t="s">
        <v>20</v>
      </c>
      <c r="Q52" s="31" t="s">
        <v>20</v>
      </c>
      <c r="R52" s="31" t="s">
        <v>20</v>
      </c>
      <c r="S52" s="46"/>
      <c r="T52" s="31" t="s">
        <v>20</v>
      </c>
      <c r="U52" s="41"/>
      <c r="V52" s="31" t="s">
        <v>20</v>
      </c>
      <c r="W52" s="31" t="s">
        <v>20</v>
      </c>
      <c r="X52" s="31" t="s">
        <v>20</v>
      </c>
      <c r="Y52" s="31" t="s">
        <v>20</v>
      </c>
      <c r="Z52" s="46"/>
      <c r="AA52" s="31" t="s">
        <v>20</v>
      </c>
      <c r="AB52" s="31" t="s">
        <v>20</v>
      </c>
      <c r="AC52" s="31" t="s">
        <v>20</v>
      </c>
      <c r="AD52" s="31" t="s">
        <v>20</v>
      </c>
      <c r="AE52" s="31" t="s">
        <v>20</v>
      </c>
      <c r="AF52" s="31" t="s">
        <v>21</v>
      </c>
      <c r="AG52" s="46"/>
      <c r="AH52" s="31" t="s">
        <v>20</v>
      </c>
      <c r="AI52" s="4">
        <f t="shared" si="1"/>
        <v>23</v>
      </c>
      <c r="AJ52" s="4">
        <f t="shared" si="2"/>
        <v>1</v>
      </c>
    </row>
    <row r="53" spans="1:36" x14ac:dyDescent="0.25">
      <c r="A53" s="5">
        <v>25</v>
      </c>
      <c r="B53" s="32" t="s">
        <v>356</v>
      </c>
      <c r="C53" s="33" t="s">
        <v>355</v>
      </c>
      <c r="D53" s="19" t="s">
        <v>186</v>
      </c>
      <c r="E53" s="46"/>
      <c r="F53" s="31" t="s">
        <v>20</v>
      </c>
      <c r="G53" s="31" t="s">
        <v>20</v>
      </c>
      <c r="H53" s="31" t="s">
        <v>20</v>
      </c>
      <c r="I53" s="31" t="s">
        <v>20</v>
      </c>
      <c r="J53" s="31" t="s">
        <v>20</v>
      </c>
      <c r="K53" s="31" t="s">
        <v>20</v>
      </c>
      <c r="L53" s="46"/>
      <c r="M53" s="31" t="s">
        <v>20</v>
      </c>
      <c r="N53" s="31" t="s">
        <v>20</v>
      </c>
      <c r="O53" s="31" t="s">
        <v>20</v>
      </c>
      <c r="P53" s="31" t="s">
        <v>20</v>
      </c>
      <c r="Q53" s="31" t="s">
        <v>20</v>
      </c>
      <c r="R53" s="31" t="s">
        <v>20</v>
      </c>
      <c r="S53" s="46"/>
      <c r="T53" s="31" t="s">
        <v>20</v>
      </c>
      <c r="U53" s="41"/>
      <c r="V53" s="31" t="s">
        <v>20</v>
      </c>
      <c r="W53" s="31" t="s">
        <v>20</v>
      </c>
      <c r="X53" s="31" t="s">
        <v>20</v>
      </c>
      <c r="Y53" s="31" t="s">
        <v>20</v>
      </c>
      <c r="Z53" s="46"/>
      <c r="AA53" s="31" t="s">
        <v>20</v>
      </c>
      <c r="AB53" s="31" t="s">
        <v>20</v>
      </c>
      <c r="AC53" s="31" t="s">
        <v>20</v>
      </c>
      <c r="AD53" s="31" t="s">
        <v>20</v>
      </c>
      <c r="AE53" s="31" t="s">
        <v>20</v>
      </c>
      <c r="AF53" s="31" t="s">
        <v>21</v>
      </c>
      <c r="AG53" s="46"/>
      <c r="AH53" s="31" t="s">
        <v>20</v>
      </c>
      <c r="AI53" s="4">
        <f t="shared" si="1"/>
        <v>23</v>
      </c>
      <c r="AJ53" s="4">
        <f t="shared" si="2"/>
        <v>1</v>
      </c>
    </row>
    <row r="54" spans="1:36" x14ac:dyDescent="0.25">
      <c r="A54" s="7">
        <v>26</v>
      </c>
      <c r="B54" s="32" t="s">
        <v>34</v>
      </c>
      <c r="C54" s="33" t="s">
        <v>357</v>
      </c>
      <c r="D54" s="19" t="s">
        <v>186</v>
      </c>
      <c r="E54" s="46"/>
      <c r="F54" s="31" t="s">
        <v>21</v>
      </c>
      <c r="G54" s="31" t="s">
        <v>20</v>
      </c>
      <c r="H54" s="31" t="s">
        <v>21</v>
      </c>
      <c r="I54" s="31" t="s">
        <v>20</v>
      </c>
      <c r="J54" s="31" t="s">
        <v>20</v>
      </c>
      <c r="K54" s="31" t="s">
        <v>20</v>
      </c>
      <c r="L54" s="46"/>
      <c r="M54" s="31" t="s">
        <v>20</v>
      </c>
      <c r="N54" s="31" t="s">
        <v>20</v>
      </c>
      <c r="O54" s="31" t="s">
        <v>20</v>
      </c>
      <c r="P54" s="31" t="s">
        <v>20</v>
      </c>
      <c r="Q54" s="31" t="s">
        <v>21</v>
      </c>
      <c r="R54" s="31" t="s">
        <v>21</v>
      </c>
      <c r="S54" s="46"/>
      <c r="T54" s="31" t="s">
        <v>20</v>
      </c>
      <c r="U54" s="41"/>
      <c r="V54" s="31" t="s">
        <v>20</v>
      </c>
      <c r="W54" s="31" t="s">
        <v>20</v>
      </c>
      <c r="X54" s="31" t="s">
        <v>20</v>
      </c>
      <c r="Y54" s="31" t="s">
        <v>20</v>
      </c>
      <c r="Z54" s="46"/>
      <c r="AA54" s="31" t="s">
        <v>20</v>
      </c>
      <c r="AB54" s="31" t="s">
        <v>20</v>
      </c>
      <c r="AC54" s="31" t="s">
        <v>20</v>
      </c>
      <c r="AD54" s="31" t="s">
        <v>20</v>
      </c>
      <c r="AE54" s="31" t="s">
        <v>20</v>
      </c>
      <c r="AF54" s="31" t="s">
        <v>21</v>
      </c>
      <c r="AG54" s="46"/>
      <c r="AH54" s="31" t="s">
        <v>20</v>
      </c>
      <c r="AI54" s="4">
        <f t="shared" si="1"/>
        <v>19</v>
      </c>
      <c r="AJ54" s="4">
        <f t="shared" si="2"/>
        <v>5</v>
      </c>
    </row>
    <row r="55" spans="1:36" x14ac:dyDescent="0.25">
      <c r="A55" s="5">
        <v>27</v>
      </c>
      <c r="B55" s="32" t="s">
        <v>358</v>
      </c>
      <c r="C55" s="33" t="s">
        <v>357</v>
      </c>
      <c r="D55" s="19" t="s">
        <v>186</v>
      </c>
      <c r="E55" s="46"/>
      <c r="F55" s="31" t="s">
        <v>20</v>
      </c>
      <c r="G55" s="31" t="s">
        <v>20</v>
      </c>
      <c r="H55" s="31" t="s">
        <v>21</v>
      </c>
      <c r="I55" s="31" t="s">
        <v>20</v>
      </c>
      <c r="J55" s="31" t="s">
        <v>20</v>
      </c>
      <c r="K55" s="31" t="s">
        <v>20</v>
      </c>
      <c r="L55" s="46"/>
      <c r="M55" s="31" t="s">
        <v>20</v>
      </c>
      <c r="N55" s="31" t="s">
        <v>20</v>
      </c>
      <c r="O55" s="31" t="s">
        <v>20</v>
      </c>
      <c r="P55" s="31" t="s">
        <v>20</v>
      </c>
      <c r="Q55" s="31" t="s">
        <v>21</v>
      </c>
      <c r="R55" s="31" t="s">
        <v>21</v>
      </c>
      <c r="S55" s="46"/>
      <c r="T55" s="31" t="s">
        <v>20</v>
      </c>
      <c r="U55" s="41"/>
      <c r="V55" s="31" t="s">
        <v>20</v>
      </c>
      <c r="W55" s="31" t="s">
        <v>20</v>
      </c>
      <c r="X55" s="31" t="s">
        <v>20</v>
      </c>
      <c r="Y55" s="31" t="s">
        <v>21</v>
      </c>
      <c r="Z55" s="46"/>
      <c r="AA55" s="31" t="s">
        <v>20</v>
      </c>
      <c r="AB55" s="31" t="s">
        <v>20</v>
      </c>
      <c r="AC55" s="31" t="s">
        <v>20</v>
      </c>
      <c r="AD55" s="31" t="s">
        <v>20</v>
      </c>
      <c r="AE55" s="31" t="s">
        <v>20</v>
      </c>
      <c r="AF55" s="31" t="s">
        <v>21</v>
      </c>
      <c r="AG55" s="46"/>
      <c r="AH55" s="31" t="s">
        <v>20</v>
      </c>
      <c r="AI55" s="4">
        <f t="shared" si="1"/>
        <v>19</v>
      </c>
      <c r="AJ55" s="4">
        <f t="shared" si="2"/>
        <v>5</v>
      </c>
    </row>
    <row r="56" spans="1:36" x14ac:dyDescent="0.25">
      <c r="A56" s="7">
        <v>28</v>
      </c>
      <c r="B56" s="32" t="s">
        <v>359</v>
      </c>
      <c r="C56" s="33"/>
      <c r="D56" s="19" t="s">
        <v>186</v>
      </c>
      <c r="E56" s="46"/>
      <c r="F56" s="31" t="s">
        <v>20</v>
      </c>
      <c r="G56" s="31" t="s">
        <v>20</v>
      </c>
      <c r="H56" s="31" t="s">
        <v>20</v>
      </c>
      <c r="I56" s="31" t="s">
        <v>20</v>
      </c>
      <c r="J56" s="31" t="s">
        <v>20</v>
      </c>
      <c r="K56" s="31" t="s">
        <v>20</v>
      </c>
      <c r="L56" s="46"/>
      <c r="M56" s="31" t="s">
        <v>20</v>
      </c>
      <c r="N56" s="31" t="s">
        <v>20</v>
      </c>
      <c r="O56" s="31" t="s">
        <v>20</v>
      </c>
      <c r="P56" s="31" t="s">
        <v>20</v>
      </c>
      <c r="Q56" s="31" t="s">
        <v>20</v>
      </c>
      <c r="R56" s="31" t="s">
        <v>20</v>
      </c>
      <c r="S56" s="46"/>
      <c r="T56" s="31" t="s">
        <v>20</v>
      </c>
      <c r="U56" s="41"/>
      <c r="V56" s="31" t="s">
        <v>20</v>
      </c>
      <c r="W56" s="31" t="s">
        <v>20</v>
      </c>
      <c r="X56" s="31" t="s">
        <v>20</v>
      </c>
      <c r="Y56" s="31" t="s">
        <v>21</v>
      </c>
      <c r="Z56" s="46"/>
      <c r="AA56" s="31" t="s">
        <v>20</v>
      </c>
      <c r="AB56" s="31" t="s">
        <v>20</v>
      </c>
      <c r="AC56" s="31" t="s">
        <v>20</v>
      </c>
      <c r="AD56" s="31" t="s">
        <v>21</v>
      </c>
      <c r="AE56" s="31" t="s">
        <v>20</v>
      </c>
      <c r="AF56" s="31" t="s">
        <v>20</v>
      </c>
      <c r="AG56" s="46"/>
      <c r="AH56" s="31" t="s">
        <v>20</v>
      </c>
      <c r="AI56" s="4">
        <f t="shared" si="1"/>
        <v>22</v>
      </c>
      <c r="AJ56" s="4">
        <f t="shared" si="2"/>
        <v>2</v>
      </c>
    </row>
    <row r="57" spans="1:36" x14ac:dyDescent="0.25">
      <c r="A57" s="5">
        <v>29</v>
      </c>
      <c r="B57" s="32" t="s">
        <v>360</v>
      </c>
      <c r="C57" s="33"/>
      <c r="D57" s="19" t="s">
        <v>186</v>
      </c>
      <c r="E57" s="46"/>
      <c r="F57" s="31" t="s">
        <v>20</v>
      </c>
      <c r="G57" s="31" t="s">
        <v>20</v>
      </c>
      <c r="H57" s="31" t="s">
        <v>20</v>
      </c>
      <c r="I57" s="31" t="s">
        <v>21</v>
      </c>
      <c r="J57" s="31" t="s">
        <v>20</v>
      </c>
      <c r="K57" s="31" t="s">
        <v>20</v>
      </c>
      <c r="L57" s="46"/>
      <c r="M57" s="31" t="s">
        <v>20</v>
      </c>
      <c r="N57" s="31" t="s">
        <v>21</v>
      </c>
      <c r="O57" s="31" t="s">
        <v>21</v>
      </c>
      <c r="P57" s="31" t="s">
        <v>20</v>
      </c>
      <c r="Q57" s="31" t="s">
        <v>20</v>
      </c>
      <c r="R57" s="31" t="s">
        <v>20</v>
      </c>
      <c r="S57" s="46"/>
      <c r="T57" s="31" t="s">
        <v>20</v>
      </c>
      <c r="U57" s="41"/>
      <c r="V57" s="31" t="s">
        <v>20</v>
      </c>
      <c r="W57" s="31" t="s">
        <v>20</v>
      </c>
      <c r="X57" s="31" t="s">
        <v>20</v>
      </c>
      <c r="Y57" s="31" t="s">
        <v>20</v>
      </c>
      <c r="Z57" s="46"/>
      <c r="AA57" s="31" t="s">
        <v>20</v>
      </c>
      <c r="AB57" s="31" t="s">
        <v>20</v>
      </c>
      <c r="AC57" s="31" t="s">
        <v>20</v>
      </c>
      <c r="AD57" s="31" t="s">
        <v>20</v>
      </c>
      <c r="AE57" s="31" t="s">
        <v>20</v>
      </c>
      <c r="AF57" s="31" t="s">
        <v>20</v>
      </c>
      <c r="AG57" s="46"/>
      <c r="AH57" s="31" t="s">
        <v>20</v>
      </c>
      <c r="AI57" s="4">
        <f t="shared" si="1"/>
        <v>21</v>
      </c>
      <c r="AJ57" s="4">
        <f t="shared" si="2"/>
        <v>3</v>
      </c>
    </row>
    <row r="58" spans="1:36" x14ac:dyDescent="0.25">
      <c r="A58" s="7">
        <v>30</v>
      </c>
      <c r="B58" s="32" t="s">
        <v>361</v>
      </c>
      <c r="C58" s="33" t="s">
        <v>260</v>
      </c>
      <c r="D58" s="19" t="s">
        <v>186</v>
      </c>
      <c r="E58" s="46"/>
      <c r="F58" s="31" t="s">
        <v>102</v>
      </c>
      <c r="G58" s="31" t="s">
        <v>102</v>
      </c>
      <c r="H58" s="31" t="s">
        <v>102</v>
      </c>
      <c r="I58" s="31" t="s">
        <v>102</v>
      </c>
      <c r="J58" s="31" t="s">
        <v>102</v>
      </c>
      <c r="K58" s="31" t="s">
        <v>102</v>
      </c>
      <c r="L58" s="46"/>
      <c r="M58" s="31" t="s">
        <v>102</v>
      </c>
      <c r="N58" s="31" t="s">
        <v>102</v>
      </c>
      <c r="O58" s="31" t="s">
        <v>102</v>
      </c>
      <c r="P58" s="31" t="s">
        <v>102</v>
      </c>
      <c r="Q58" s="31" t="s">
        <v>20</v>
      </c>
      <c r="R58" s="31" t="s">
        <v>20</v>
      </c>
      <c r="S58" s="46"/>
      <c r="T58" s="31" t="s">
        <v>21</v>
      </c>
      <c r="U58" s="41"/>
      <c r="V58" s="31" t="s">
        <v>20</v>
      </c>
      <c r="W58" s="31" t="s">
        <v>20</v>
      </c>
      <c r="X58" s="31" t="s">
        <v>20</v>
      </c>
      <c r="Y58" s="31" t="s">
        <v>20</v>
      </c>
      <c r="Z58" s="46"/>
      <c r="AA58" s="31" t="s">
        <v>20</v>
      </c>
      <c r="AB58" s="31" t="s">
        <v>20</v>
      </c>
      <c r="AC58" s="31" t="s">
        <v>20</v>
      </c>
      <c r="AD58" s="31" t="s">
        <v>20</v>
      </c>
      <c r="AE58" s="31" t="s">
        <v>20</v>
      </c>
      <c r="AF58" s="31" t="s">
        <v>20</v>
      </c>
      <c r="AG58" s="46"/>
      <c r="AH58" s="31" t="s">
        <v>20</v>
      </c>
      <c r="AI58" s="4">
        <f t="shared" si="1"/>
        <v>13</v>
      </c>
      <c r="AJ58" s="4">
        <f t="shared" si="2"/>
        <v>1</v>
      </c>
    </row>
    <row r="59" spans="1:36" x14ac:dyDescent="0.25">
      <c r="A59" s="5">
        <v>31</v>
      </c>
      <c r="B59" s="32" t="s">
        <v>362</v>
      </c>
      <c r="C59" s="33"/>
      <c r="D59" s="19" t="s">
        <v>186</v>
      </c>
      <c r="E59" s="46"/>
      <c r="F59" s="31" t="s">
        <v>20</v>
      </c>
      <c r="G59" s="31" t="s">
        <v>20</v>
      </c>
      <c r="H59" s="31" t="s">
        <v>20</v>
      </c>
      <c r="I59" s="31" t="s">
        <v>20</v>
      </c>
      <c r="J59" s="31" t="s">
        <v>20</v>
      </c>
      <c r="K59" s="31" t="s">
        <v>20</v>
      </c>
      <c r="L59" s="46"/>
      <c r="M59" s="31" t="s">
        <v>20</v>
      </c>
      <c r="N59" s="31" t="s">
        <v>20</v>
      </c>
      <c r="O59" s="31" t="s">
        <v>20</v>
      </c>
      <c r="P59" s="31" t="s">
        <v>20</v>
      </c>
      <c r="Q59" s="31" t="s">
        <v>20</v>
      </c>
      <c r="R59" s="31" t="s">
        <v>20</v>
      </c>
      <c r="S59" s="46"/>
      <c r="T59" s="31" t="s">
        <v>20</v>
      </c>
      <c r="U59" s="41"/>
      <c r="V59" s="31" t="s">
        <v>20</v>
      </c>
      <c r="W59" s="31" t="s">
        <v>20</v>
      </c>
      <c r="X59" s="31" t="s">
        <v>20</v>
      </c>
      <c r="Y59" s="31" t="s">
        <v>21</v>
      </c>
      <c r="Z59" s="46"/>
      <c r="AA59" s="31" t="s">
        <v>20</v>
      </c>
      <c r="AB59" s="31" t="s">
        <v>20</v>
      </c>
      <c r="AC59" s="31" t="s">
        <v>20</v>
      </c>
      <c r="AD59" s="31" t="s">
        <v>20</v>
      </c>
      <c r="AE59" s="31" t="s">
        <v>20</v>
      </c>
      <c r="AF59" s="31" t="s">
        <v>21</v>
      </c>
      <c r="AG59" s="46"/>
      <c r="AH59" s="31" t="s">
        <v>20</v>
      </c>
      <c r="AI59" s="4">
        <f t="shared" si="1"/>
        <v>22</v>
      </c>
      <c r="AJ59" s="4">
        <f t="shared" si="2"/>
        <v>2</v>
      </c>
    </row>
    <row r="60" spans="1:36" x14ac:dyDescent="0.25">
      <c r="A60" s="7">
        <v>32</v>
      </c>
      <c r="B60" s="32" t="s">
        <v>363</v>
      </c>
      <c r="C60" s="33"/>
      <c r="D60" s="19" t="s">
        <v>186</v>
      </c>
      <c r="E60" s="46"/>
      <c r="F60" s="31" t="s">
        <v>102</v>
      </c>
      <c r="G60" s="31" t="s">
        <v>102</v>
      </c>
      <c r="H60" s="31" t="s">
        <v>102</v>
      </c>
      <c r="I60" s="31" t="s">
        <v>102</v>
      </c>
      <c r="J60" s="31" t="s">
        <v>102</v>
      </c>
      <c r="K60" s="31" t="s">
        <v>102</v>
      </c>
      <c r="L60" s="46"/>
      <c r="M60" s="31" t="s">
        <v>102</v>
      </c>
      <c r="N60" s="31" t="s">
        <v>102</v>
      </c>
      <c r="O60" s="31" t="s">
        <v>102</v>
      </c>
      <c r="P60" s="31" t="s">
        <v>102</v>
      </c>
      <c r="Q60" s="31" t="s">
        <v>102</v>
      </c>
      <c r="R60" s="31" t="s">
        <v>102</v>
      </c>
      <c r="S60" s="46"/>
      <c r="T60" s="31" t="s">
        <v>102</v>
      </c>
      <c r="U60" s="41"/>
      <c r="V60" s="31" t="s">
        <v>20</v>
      </c>
      <c r="W60" s="31" t="s">
        <v>20</v>
      </c>
      <c r="X60" s="31" t="s">
        <v>20</v>
      </c>
      <c r="Y60" s="31" t="s">
        <v>20</v>
      </c>
      <c r="Z60" s="46"/>
      <c r="AA60" s="31" t="s">
        <v>20</v>
      </c>
      <c r="AB60" s="31" t="s">
        <v>20</v>
      </c>
      <c r="AC60" s="31" t="s">
        <v>20</v>
      </c>
      <c r="AD60" s="31" t="s">
        <v>20</v>
      </c>
      <c r="AE60" s="31" t="s">
        <v>20</v>
      </c>
      <c r="AF60" s="31" t="s">
        <v>20</v>
      </c>
      <c r="AG60" s="46"/>
      <c r="AH60" s="31" t="s">
        <v>20</v>
      </c>
      <c r="AI60" s="4">
        <f t="shared" si="1"/>
        <v>11</v>
      </c>
      <c r="AJ60" s="4">
        <f t="shared" si="2"/>
        <v>0</v>
      </c>
    </row>
  </sheetData>
  <mergeCells count="17">
    <mergeCell ref="AG5:AG60"/>
    <mergeCell ref="A1:AH1"/>
    <mergeCell ref="A2:AH2"/>
    <mergeCell ref="A3:A4"/>
    <mergeCell ref="B3:B4"/>
    <mergeCell ref="C3:C4"/>
    <mergeCell ref="D3:D4"/>
    <mergeCell ref="E5:E60"/>
    <mergeCell ref="L5:L60"/>
    <mergeCell ref="S5:S60"/>
    <mergeCell ref="U5:U60"/>
    <mergeCell ref="Z5:Z60"/>
    <mergeCell ref="AK9:AN9"/>
    <mergeCell ref="AK17:AN17"/>
    <mergeCell ref="AI3:AI4"/>
    <mergeCell ref="AJ3:AJ4"/>
    <mergeCell ref="AK3:AL3"/>
  </mergeCells>
  <conditionalFormatting sqref="E5 L5 S5 U5 Z5 AG5 E4:AH4">
    <cfRule type="expression" dxfId="235" priority="21">
      <formula>IF(E$4=TODAY(),TRUE,FALSE)</formula>
    </cfRule>
  </conditionalFormatting>
  <conditionalFormatting sqref="E5 L5 S5 U5 Z5 AG5">
    <cfRule type="cellIs" dxfId="234" priority="14" operator="equal">
      <formula>"A"</formula>
    </cfRule>
    <cfRule type="cellIs" dxfId="233" priority="15" operator="equal">
      <formula>"P"</formula>
    </cfRule>
  </conditionalFormatting>
  <conditionalFormatting sqref="E3:AH4 E5 L5 S5 U5 Z5 AG5">
    <cfRule type="expression" dxfId="232" priority="22">
      <formula>E$3="Sun"</formula>
    </cfRule>
  </conditionalFormatting>
  <conditionalFormatting sqref="F5:K60 M5:R60 T5:T60 V5:Y60 AA5:AF60 AH5:AH60">
    <cfRule type="cellIs" dxfId="231" priority="8" operator="equal">
      <formula>"A"</formula>
    </cfRule>
    <cfRule type="cellIs" dxfId="230" priority="9" operator="equal">
      <formula>"P"</formula>
    </cfRule>
    <cfRule type="expression" dxfId="229" priority="10">
      <formula>IF(F$4=TODAY(),TRUE,FALSE)</formula>
    </cfRule>
    <cfRule type="expression" dxfId="228" priority="11">
      <formula>F$3="Sun"</formula>
    </cfRule>
  </conditionalFormatting>
  <conditionalFormatting sqref="AI3:AJ3">
    <cfRule type="expression" dxfId="227" priority="23">
      <formula>#REF!="Sun"</formula>
    </cfRule>
  </conditionalFormatting>
  <conditionalFormatting sqref="AI5:AJ60">
    <cfRule type="expression" dxfId="226" priority="12">
      <formula>#REF!="Sun"</formula>
    </cfRule>
  </conditionalFormatting>
  <conditionalFormatting sqref="AK5:AK7">
    <cfRule type="expression" dxfId="225" priority="5">
      <formula>AK$3="Sun"</formula>
    </cfRule>
  </conditionalFormatting>
  <conditionalFormatting sqref="AK10:AK13">
    <cfRule type="expression" dxfId="224" priority="2">
      <formula>AK$3="Sun"</formula>
    </cfRule>
  </conditionalFormatting>
  <conditionalFormatting sqref="AK18:AK21">
    <cfRule type="expression" dxfId="223" priority="1">
      <formula>AK$3="Sun"</formula>
    </cfRule>
  </conditionalFormatting>
  <conditionalFormatting sqref="AK4:AL4">
    <cfRule type="expression" dxfId="222" priority="6">
      <formula>AK$3="Sun"</formula>
    </cfRule>
  </conditionalFormatting>
  <conditionalFormatting sqref="AL10:AN10 AL18:AN18">
    <cfRule type="expression" dxfId="221" priority="7">
      <formula>AL$3="Sun"</formula>
    </cfRule>
  </conditionalFormatting>
  <conditionalFormatting sqref="AN19">
    <cfRule type="expression" dxfId="220" priority="4">
      <formula>AN$3="Sun"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203E9-BEE8-402E-B1F8-F47BEE214803}">
  <dimension ref="A1:AN60"/>
  <sheetViews>
    <sheetView topLeftCell="D2" workbookViewId="0">
      <selection activeCell="AM11" sqref="AM11"/>
    </sheetView>
  </sheetViews>
  <sheetFormatPr defaultColWidth="5.28515625" defaultRowHeight="15" x14ac:dyDescent="0.25"/>
  <cols>
    <col min="1" max="1" width="5.28515625" style="1"/>
    <col min="2" max="2" width="15.7109375" style="1" bestFit="1" customWidth="1"/>
    <col min="3" max="3" width="16.28515625" style="1" bestFit="1" customWidth="1"/>
    <col min="4" max="4" width="5.28515625" style="1"/>
    <col min="5" max="5" width="3.85546875" style="1" bestFit="1" customWidth="1"/>
    <col min="6" max="6" width="4.5703125" style="1" bestFit="1" customWidth="1"/>
    <col min="7" max="7" width="3.85546875" style="1" bestFit="1" customWidth="1"/>
    <col min="8" max="8" width="4.7109375" style="1" bestFit="1" customWidth="1"/>
    <col min="9" max="9" width="3.85546875" style="1" bestFit="1" customWidth="1"/>
    <col min="10" max="11" width="3.7109375" style="1" bestFit="1" customWidth="1"/>
    <col min="12" max="12" width="3.85546875" style="1" bestFit="1" customWidth="1"/>
    <col min="13" max="13" width="4.5703125" style="1" bestFit="1" customWidth="1"/>
    <col min="14" max="14" width="3.85546875" style="1" bestFit="1" customWidth="1"/>
    <col min="15" max="15" width="4.7109375" style="1" bestFit="1" customWidth="1"/>
    <col min="16" max="16" width="3.85546875" style="1" bestFit="1" customWidth="1"/>
    <col min="17" max="18" width="3.7109375" style="1" bestFit="1" customWidth="1"/>
    <col min="19" max="19" width="3.85546875" style="1" bestFit="1" customWidth="1"/>
    <col min="20" max="20" width="4.5703125" style="1" bestFit="1" customWidth="1"/>
    <col min="21" max="21" width="3.85546875" style="1" bestFit="1" customWidth="1"/>
    <col min="22" max="22" width="4.7109375" style="1" bestFit="1" customWidth="1"/>
    <col min="23" max="23" width="3.85546875" style="1" bestFit="1" customWidth="1"/>
    <col min="24" max="25" width="3.7109375" style="1" bestFit="1" customWidth="1"/>
    <col min="26" max="26" width="3.85546875" style="1" bestFit="1" customWidth="1"/>
    <col min="27" max="27" width="4.5703125" style="1" bestFit="1" customWidth="1"/>
    <col min="28" max="28" width="3.85546875" style="1" bestFit="1" customWidth="1"/>
    <col min="29" max="29" width="4.7109375" style="1" bestFit="1" customWidth="1"/>
    <col min="30" max="30" width="3.85546875" style="1" bestFit="1" customWidth="1"/>
    <col min="31" max="32" width="3.7109375" style="1" bestFit="1" customWidth="1"/>
    <col min="33" max="33" width="3.85546875" style="1" bestFit="1" customWidth="1"/>
    <col min="34" max="34" width="4.5703125" style="1" bestFit="1" customWidth="1"/>
    <col min="35" max="35" width="7.140625" style="1" bestFit="1" customWidth="1"/>
    <col min="36" max="36" width="6.5703125" style="1" bestFit="1" customWidth="1"/>
    <col min="37" max="37" width="18.5703125" style="1" bestFit="1" customWidth="1"/>
    <col min="38" max="39" width="5.140625" style="1" bestFit="1" customWidth="1"/>
    <col min="40" max="40" width="5.42578125" style="1" bestFit="1" customWidth="1"/>
    <col min="41" max="16384" width="5.28515625" style="1"/>
  </cols>
  <sheetData>
    <row r="1" spans="1:40" ht="17.25" x14ac:dyDescent="0.25">
      <c r="A1" s="47" t="s">
        <v>19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</row>
    <row r="2" spans="1:40" ht="17.25" x14ac:dyDescent="0.3">
      <c r="A2" s="48" t="s">
        <v>183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</row>
    <row r="3" spans="1:40" ht="15.75" x14ac:dyDescent="0.25">
      <c r="A3" s="49" t="s">
        <v>0</v>
      </c>
      <c r="B3" s="49" t="s">
        <v>1</v>
      </c>
      <c r="C3" s="49" t="s">
        <v>2</v>
      </c>
      <c r="D3" s="49" t="s">
        <v>3</v>
      </c>
      <c r="E3" s="2" t="str">
        <f t="shared" ref="E3:AH3" si="0">TEXT(E4,"ddd")</f>
        <v>Sun</v>
      </c>
      <c r="F3" s="2" t="str">
        <f t="shared" si="0"/>
        <v>Mon</v>
      </c>
      <c r="G3" s="2" t="str">
        <f t="shared" si="0"/>
        <v>Tue</v>
      </c>
      <c r="H3" s="2" t="str">
        <f t="shared" si="0"/>
        <v>Wed</v>
      </c>
      <c r="I3" s="2" t="str">
        <f t="shared" si="0"/>
        <v>Thu</v>
      </c>
      <c r="J3" s="2" t="str">
        <f t="shared" si="0"/>
        <v>Fri</v>
      </c>
      <c r="K3" s="2" t="str">
        <f t="shared" si="0"/>
        <v>Sat</v>
      </c>
      <c r="L3" s="2" t="str">
        <f t="shared" si="0"/>
        <v>Sun</v>
      </c>
      <c r="M3" s="2" t="str">
        <f t="shared" si="0"/>
        <v>Mon</v>
      </c>
      <c r="N3" s="2" t="str">
        <f t="shared" si="0"/>
        <v>Tue</v>
      </c>
      <c r="O3" s="2" t="str">
        <f t="shared" si="0"/>
        <v>Wed</v>
      </c>
      <c r="P3" s="2" t="str">
        <f t="shared" si="0"/>
        <v>Thu</v>
      </c>
      <c r="Q3" s="2" t="str">
        <f t="shared" si="0"/>
        <v>Fri</v>
      </c>
      <c r="R3" s="2" t="str">
        <f t="shared" si="0"/>
        <v>Sat</v>
      </c>
      <c r="S3" s="2" t="str">
        <f t="shared" si="0"/>
        <v>Sun</v>
      </c>
      <c r="T3" s="2" t="str">
        <f t="shared" si="0"/>
        <v>Mon</v>
      </c>
      <c r="U3" s="2" t="str">
        <f t="shared" si="0"/>
        <v>Tue</v>
      </c>
      <c r="V3" s="2" t="str">
        <f t="shared" si="0"/>
        <v>Wed</v>
      </c>
      <c r="W3" s="2" t="str">
        <f t="shared" si="0"/>
        <v>Thu</v>
      </c>
      <c r="X3" s="2" t="str">
        <f t="shared" si="0"/>
        <v>Fri</v>
      </c>
      <c r="Y3" s="2" t="str">
        <f t="shared" si="0"/>
        <v>Sat</v>
      </c>
      <c r="Z3" s="2" t="str">
        <f t="shared" si="0"/>
        <v>Sun</v>
      </c>
      <c r="AA3" s="2" t="str">
        <f t="shared" si="0"/>
        <v>Mon</v>
      </c>
      <c r="AB3" s="2" t="str">
        <f t="shared" si="0"/>
        <v>Tue</v>
      </c>
      <c r="AC3" s="2" t="str">
        <f t="shared" si="0"/>
        <v>Wed</v>
      </c>
      <c r="AD3" s="2" t="str">
        <f t="shared" si="0"/>
        <v>Thu</v>
      </c>
      <c r="AE3" s="2" t="str">
        <f t="shared" si="0"/>
        <v>Fri</v>
      </c>
      <c r="AF3" s="2" t="str">
        <f t="shared" si="0"/>
        <v>Sat</v>
      </c>
      <c r="AG3" s="2" t="str">
        <f t="shared" si="0"/>
        <v>Sun</v>
      </c>
      <c r="AH3" s="2" t="str">
        <f t="shared" si="0"/>
        <v>Mon</v>
      </c>
      <c r="AI3" s="45" t="s">
        <v>4</v>
      </c>
      <c r="AJ3" s="45" t="s">
        <v>5</v>
      </c>
      <c r="AK3" s="42" t="s">
        <v>17</v>
      </c>
      <c r="AL3" s="43"/>
      <c r="AM3" s="3"/>
      <c r="AN3" s="3"/>
    </row>
    <row r="4" spans="1:40" ht="36" x14ac:dyDescent="0.25">
      <c r="A4" s="50"/>
      <c r="B4" s="50"/>
      <c r="C4" s="50"/>
      <c r="D4" s="50"/>
      <c r="E4" s="10">
        <v>45536</v>
      </c>
      <c r="F4" s="10">
        <v>45537</v>
      </c>
      <c r="G4" s="10">
        <v>45538</v>
      </c>
      <c r="H4" s="10">
        <v>45539</v>
      </c>
      <c r="I4" s="10">
        <v>45540</v>
      </c>
      <c r="J4" s="10">
        <v>45541</v>
      </c>
      <c r="K4" s="10">
        <v>45542</v>
      </c>
      <c r="L4" s="10">
        <v>45543</v>
      </c>
      <c r="M4" s="10">
        <v>45544</v>
      </c>
      <c r="N4" s="10">
        <v>45545</v>
      </c>
      <c r="O4" s="10">
        <v>45546</v>
      </c>
      <c r="P4" s="10">
        <v>45547</v>
      </c>
      <c r="Q4" s="10">
        <v>45548</v>
      </c>
      <c r="R4" s="10">
        <v>45549</v>
      </c>
      <c r="S4" s="10">
        <v>45550</v>
      </c>
      <c r="T4" s="10">
        <v>45551</v>
      </c>
      <c r="U4" s="10">
        <v>45552</v>
      </c>
      <c r="V4" s="10">
        <v>45553</v>
      </c>
      <c r="W4" s="10">
        <v>45554</v>
      </c>
      <c r="X4" s="10">
        <v>45555</v>
      </c>
      <c r="Y4" s="10">
        <v>45556</v>
      </c>
      <c r="Z4" s="10">
        <v>45557</v>
      </c>
      <c r="AA4" s="10">
        <v>45558</v>
      </c>
      <c r="AB4" s="10">
        <v>45559</v>
      </c>
      <c r="AC4" s="10">
        <v>45560</v>
      </c>
      <c r="AD4" s="10">
        <v>45561</v>
      </c>
      <c r="AE4" s="10">
        <v>45562</v>
      </c>
      <c r="AF4" s="10">
        <v>45563</v>
      </c>
      <c r="AG4" s="10">
        <v>45564</v>
      </c>
      <c r="AH4" s="10">
        <v>45565</v>
      </c>
      <c r="AI4" s="45"/>
      <c r="AJ4" s="45"/>
      <c r="AK4" s="4" t="s">
        <v>103</v>
      </c>
      <c r="AL4" s="4">
        <f>SUM(AL5:AL7)</f>
        <v>30</v>
      </c>
      <c r="AM4" s="3"/>
      <c r="AN4" s="3"/>
    </row>
    <row r="5" spans="1:40" ht="15" customHeight="1" x14ac:dyDescent="0.25">
      <c r="A5" s="5">
        <v>1</v>
      </c>
      <c r="B5" s="29" t="s">
        <v>364</v>
      </c>
      <c r="C5" s="30" t="s">
        <v>365</v>
      </c>
      <c r="D5" s="6" t="s">
        <v>366</v>
      </c>
      <c r="E5" s="51" t="s">
        <v>275</v>
      </c>
      <c r="F5" s="31" t="s">
        <v>20</v>
      </c>
      <c r="G5" s="31" t="s">
        <v>20</v>
      </c>
      <c r="H5" s="31" t="s">
        <v>20</v>
      </c>
      <c r="I5" s="31" t="s">
        <v>20</v>
      </c>
      <c r="J5" s="31" t="s">
        <v>20</v>
      </c>
      <c r="K5" s="31" t="s">
        <v>20</v>
      </c>
      <c r="L5" s="51" t="s">
        <v>275</v>
      </c>
      <c r="M5" s="31" t="s">
        <v>20</v>
      </c>
      <c r="N5" s="31" t="s">
        <v>20</v>
      </c>
      <c r="O5" s="31" t="s">
        <v>20</v>
      </c>
      <c r="P5" s="31" t="s">
        <v>20</v>
      </c>
      <c r="Q5" s="31" t="s">
        <v>20</v>
      </c>
      <c r="R5" s="31" t="s">
        <v>20</v>
      </c>
      <c r="S5" s="51" t="s">
        <v>275</v>
      </c>
      <c r="T5" s="31" t="s">
        <v>20</v>
      </c>
      <c r="U5" s="54" t="s">
        <v>276</v>
      </c>
      <c r="V5" s="31" t="s">
        <v>20</v>
      </c>
      <c r="W5" s="31" t="s">
        <v>20</v>
      </c>
      <c r="X5" s="31" t="s">
        <v>20</v>
      </c>
      <c r="Y5" s="31" t="s">
        <v>20</v>
      </c>
      <c r="Z5" s="51" t="s">
        <v>275</v>
      </c>
      <c r="AA5" s="31" t="s">
        <v>20</v>
      </c>
      <c r="AB5" s="31" t="s">
        <v>20</v>
      </c>
      <c r="AC5" s="31" t="s">
        <v>20</v>
      </c>
      <c r="AD5" s="31" t="s">
        <v>20</v>
      </c>
      <c r="AE5" s="31" t="s">
        <v>20</v>
      </c>
      <c r="AF5" s="31" t="s">
        <v>20</v>
      </c>
      <c r="AG5" s="51" t="s">
        <v>275</v>
      </c>
      <c r="AH5" s="31" t="s">
        <v>20</v>
      </c>
      <c r="AI5" s="4">
        <f t="shared" ref="AI5:AI60" si="1">COUNTIF(E5:AH5,"P")</f>
        <v>24</v>
      </c>
      <c r="AJ5" s="4">
        <f t="shared" ref="AJ5:AJ60" si="2">COUNTIF(E5:AH5,"A")</f>
        <v>0</v>
      </c>
      <c r="AK5" s="4" t="s">
        <v>6</v>
      </c>
      <c r="AL5" s="7">
        <v>24</v>
      </c>
      <c r="AM5" s="8"/>
      <c r="AN5" s="3"/>
    </row>
    <row r="6" spans="1:40" x14ac:dyDescent="0.25">
      <c r="A6" s="7">
        <v>2</v>
      </c>
      <c r="B6" s="32" t="s">
        <v>367</v>
      </c>
      <c r="C6" s="33" t="s">
        <v>368</v>
      </c>
      <c r="D6" s="6" t="s">
        <v>366</v>
      </c>
      <c r="E6" s="52"/>
      <c r="F6" s="31" t="s">
        <v>20</v>
      </c>
      <c r="G6" s="31" t="s">
        <v>21</v>
      </c>
      <c r="H6" s="31" t="s">
        <v>20</v>
      </c>
      <c r="I6" s="31" t="s">
        <v>21</v>
      </c>
      <c r="J6" s="31" t="s">
        <v>21</v>
      </c>
      <c r="K6" s="31" t="s">
        <v>21</v>
      </c>
      <c r="L6" s="52"/>
      <c r="M6" s="31" t="s">
        <v>20</v>
      </c>
      <c r="N6" s="31" t="s">
        <v>21</v>
      </c>
      <c r="O6" s="31" t="s">
        <v>20</v>
      </c>
      <c r="P6" s="31" t="s">
        <v>21</v>
      </c>
      <c r="Q6" s="31" t="s">
        <v>20</v>
      </c>
      <c r="R6" s="31" t="s">
        <v>21</v>
      </c>
      <c r="S6" s="52"/>
      <c r="T6" s="31" t="s">
        <v>20</v>
      </c>
      <c r="U6" s="55"/>
      <c r="V6" s="31" t="s">
        <v>20</v>
      </c>
      <c r="W6" s="31" t="s">
        <v>20</v>
      </c>
      <c r="X6" s="31" t="s">
        <v>20</v>
      </c>
      <c r="Y6" s="31" t="s">
        <v>20</v>
      </c>
      <c r="Z6" s="52"/>
      <c r="AA6" s="31" t="s">
        <v>20</v>
      </c>
      <c r="AB6" s="31" t="s">
        <v>20</v>
      </c>
      <c r="AC6" s="31" t="s">
        <v>20</v>
      </c>
      <c r="AD6" s="31" t="s">
        <v>21</v>
      </c>
      <c r="AE6" s="31" t="s">
        <v>20</v>
      </c>
      <c r="AF6" s="31" t="s">
        <v>20</v>
      </c>
      <c r="AG6" s="52"/>
      <c r="AH6" s="31" t="s">
        <v>20</v>
      </c>
      <c r="AI6" s="4">
        <f t="shared" si="1"/>
        <v>16</v>
      </c>
      <c r="AJ6" s="4">
        <f t="shared" si="2"/>
        <v>8</v>
      </c>
      <c r="AK6" s="4" t="s">
        <v>7</v>
      </c>
      <c r="AL6" s="7">
        <v>5</v>
      </c>
      <c r="AM6" s="3"/>
      <c r="AN6" s="3"/>
    </row>
    <row r="7" spans="1:40" x14ac:dyDescent="0.25">
      <c r="A7" s="5">
        <v>3</v>
      </c>
      <c r="B7" s="32" t="s">
        <v>111</v>
      </c>
      <c r="C7" s="33" t="s">
        <v>369</v>
      </c>
      <c r="D7" s="6" t="s">
        <v>366</v>
      </c>
      <c r="E7" s="52"/>
      <c r="F7" s="31" t="s">
        <v>20</v>
      </c>
      <c r="G7" s="31" t="s">
        <v>20</v>
      </c>
      <c r="H7" s="31" t="s">
        <v>20</v>
      </c>
      <c r="I7" s="31" t="s">
        <v>20</v>
      </c>
      <c r="J7" s="31" t="s">
        <v>20</v>
      </c>
      <c r="K7" s="31" t="s">
        <v>20</v>
      </c>
      <c r="L7" s="52"/>
      <c r="M7" s="31" t="s">
        <v>20</v>
      </c>
      <c r="N7" s="31" t="s">
        <v>20</v>
      </c>
      <c r="O7" s="31" t="s">
        <v>20</v>
      </c>
      <c r="P7" s="31" t="s">
        <v>20</v>
      </c>
      <c r="Q7" s="31" t="s">
        <v>20</v>
      </c>
      <c r="R7" s="31" t="s">
        <v>20</v>
      </c>
      <c r="S7" s="52"/>
      <c r="T7" s="31" t="s">
        <v>20</v>
      </c>
      <c r="U7" s="55"/>
      <c r="V7" s="31" t="s">
        <v>20</v>
      </c>
      <c r="W7" s="31" t="s">
        <v>20</v>
      </c>
      <c r="X7" s="31" t="s">
        <v>20</v>
      </c>
      <c r="Y7" s="31" t="s">
        <v>20</v>
      </c>
      <c r="Z7" s="52"/>
      <c r="AA7" s="31" t="s">
        <v>20</v>
      </c>
      <c r="AB7" s="31" t="s">
        <v>20</v>
      </c>
      <c r="AC7" s="31" t="s">
        <v>20</v>
      </c>
      <c r="AD7" s="31" t="s">
        <v>21</v>
      </c>
      <c r="AE7" s="31" t="s">
        <v>20</v>
      </c>
      <c r="AF7" s="31" t="s">
        <v>20</v>
      </c>
      <c r="AG7" s="52"/>
      <c r="AH7" s="31" t="s">
        <v>20</v>
      </c>
      <c r="AI7" s="4">
        <f t="shared" si="1"/>
        <v>23</v>
      </c>
      <c r="AJ7" s="4">
        <f t="shared" si="2"/>
        <v>1</v>
      </c>
      <c r="AK7" s="4" t="s">
        <v>105</v>
      </c>
      <c r="AL7" s="7">
        <v>1</v>
      </c>
      <c r="AM7" s="3"/>
      <c r="AN7" s="3"/>
    </row>
    <row r="8" spans="1:40" x14ac:dyDescent="0.25">
      <c r="A8" s="7">
        <v>4</v>
      </c>
      <c r="B8" s="32" t="s">
        <v>370</v>
      </c>
      <c r="C8" s="33" t="s">
        <v>371</v>
      </c>
      <c r="D8" s="6" t="s">
        <v>366</v>
      </c>
      <c r="E8" s="52"/>
      <c r="F8" s="31" t="s">
        <v>20</v>
      </c>
      <c r="G8" s="31" t="s">
        <v>20</v>
      </c>
      <c r="H8" s="31" t="s">
        <v>20</v>
      </c>
      <c r="I8" s="31" t="s">
        <v>20</v>
      </c>
      <c r="J8" s="31" t="s">
        <v>20</v>
      </c>
      <c r="K8" s="31" t="s">
        <v>20</v>
      </c>
      <c r="L8" s="52"/>
      <c r="M8" s="31" t="s">
        <v>20</v>
      </c>
      <c r="N8" s="31" t="s">
        <v>20</v>
      </c>
      <c r="O8" s="31" t="s">
        <v>20</v>
      </c>
      <c r="P8" s="31" t="s">
        <v>20</v>
      </c>
      <c r="Q8" s="31" t="s">
        <v>20</v>
      </c>
      <c r="R8" s="31" t="s">
        <v>20</v>
      </c>
      <c r="S8" s="52"/>
      <c r="T8" s="31" t="s">
        <v>20</v>
      </c>
      <c r="U8" s="55"/>
      <c r="V8" s="31" t="s">
        <v>21</v>
      </c>
      <c r="W8" s="31" t="s">
        <v>20</v>
      </c>
      <c r="X8" s="31" t="s">
        <v>20</v>
      </c>
      <c r="Y8" s="31" t="s">
        <v>20</v>
      </c>
      <c r="Z8" s="52"/>
      <c r="AA8" s="31" t="s">
        <v>20</v>
      </c>
      <c r="AB8" s="31" t="s">
        <v>20</v>
      </c>
      <c r="AC8" s="31" t="s">
        <v>20</v>
      </c>
      <c r="AD8" s="31" t="s">
        <v>20</v>
      </c>
      <c r="AE8" s="31" t="s">
        <v>20</v>
      </c>
      <c r="AF8" s="31" t="s">
        <v>20</v>
      </c>
      <c r="AG8" s="52"/>
      <c r="AH8" s="31" t="s">
        <v>20</v>
      </c>
      <c r="AI8" s="4">
        <f t="shared" si="1"/>
        <v>23</v>
      </c>
      <c r="AJ8" s="4">
        <f t="shared" si="2"/>
        <v>1</v>
      </c>
      <c r="AK8"/>
      <c r="AL8"/>
      <c r="AM8"/>
      <c r="AN8"/>
    </row>
    <row r="9" spans="1:40" ht="15.75" x14ac:dyDescent="0.25">
      <c r="A9" s="5">
        <v>5</v>
      </c>
      <c r="B9" s="32" t="s">
        <v>372</v>
      </c>
      <c r="C9" s="33" t="s">
        <v>373</v>
      </c>
      <c r="D9" s="6" t="s">
        <v>366</v>
      </c>
      <c r="E9" s="52"/>
      <c r="F9" s="31" t="s">
        <v>20</v>
      </c>
      <c r="G9" s="31" t="s">
        <v>20</v>
      </c>
      <c r="H9" s="31" t="s">
        <v>20</v>
      </c>
      <c r="I9" s="31" t="s">
        <v>20</v>
      </c>
      <c r="J9" s="31" t="s">
        <v>20</v>
      </c>
      <c r="K9" s="31" t="s">
        <v>20</v>
      </c>
      <c r="L9" s="52"/>
      <c r="M9" s="31" t="s">
        <v>20</v>
      </c>
      <c r="N9" s="31" t="s">
        <v>20</v>
      </c>
      <c r="O9" s="31" t="s">
        <v>20</v>
      </c>
      <c r="P9" s="31" t="s">
        <v>20</v>
      </c>
      <c r="Q9" s="31" t="s">
        <v>20</v>
      </c>
      <c r="R9" s="31" t="s">
        <v>20</v>
      </c>
      <c r="S9" s="52"/>
      <c r="T9" s="31" t="s">
        <v>21</v>
      </c>
      <c r="U9" s="55"/>
      <c r="V9" s="31" t="s">
        <v>20</v>
      </c>
      <c r="W9" s="31" t="s">
        <v>20</v>
      </c>
      <c r="X9" s="31" t="s">
        <v>20</v>
      </c>
      <c r="Y9" s="31" t="s">
        <v>20</v>
      </c>
      <c r="Z9" s="52"/>
      <c r="AA9" s="31" t="s">
        <v>20</v>
      </c>
      <c r="AB9" s="31" t="s">
        <v>20</v>
      </c>
      <c r="AC9" s="31" t="s">
        <v>20</v>
      </c>
      <c r="AD9" s="31" t="s">
        <v>20</v>
      </c>
      <c r="AE9" s="31" t="s">
        <v>20</v>
      </c>
      <c r="AF9" s="31" t="s">
        <v>20</v>
      </c>
      <c r="AG9" s="52"/>
      <c r="AH9" s="31" t="s">
        <v>20</v>
      </c>
      <c r="AI9" s="4">
        <f t="shared" si="1"/>
        <v>23</v>
      </c>
      <c r="AJ9" s="4">
        <f t="shared" si="2"/>
        <v>1</v>
      </c>
      <c r="AK9" s="42" t="s">
        <v>8</v>
      </c>
      <c r="AL9" s="43"/>
      <c r="AM9" s="43"/>
      <c r="AN9" s="44"/>
    </row>
    <row r="10" spans="1:40" x14ac:dyDescent="0.25">
      <c r="A10" s="7">
        <v>6</v>
      </c>
      <c r="B10" s="32" t="s">
        <v>374</v>
      </c>
      <c r="C10" s="33" t="s">
        <v>369</v>
      </c>
      <c r="D10" s="6" t="s">
        <v>366</v>
      </c>
      <c r="E10" s="52"/>
      <c r="F10" s="31" t="s">
        <v>20</v>
      </c>
      <c r="G10" s="31" t="s">
        <v>20</v>
      </c>
      <c r="H10" s="31" t="s">
        <v>20</v>
      </c>
      <c r="I10" s="31" t="s">
        <v>20</v>
      </c>
      <c r="J10" s="31" t="s">
        <v>21</v>
      </c>
      <c r="K10" s="31" t="s">
        <v>21</v>
      </c>
      <c r="L10" s="52"/>
      <c r="M10" s="31" t="s">
        <v>20</v>
      </c>
      <c r="N10" s="31" t="s">
        <v>20</v>
      </c>
      <c r="O10" s="31" t="s">
        <v>20</v>
      </c>
      <c r="P10" s="31" t="s">
        <v>20</v>
      </c>
      <c r="Q10" s="31" t="s">
        <v>20</v>
      </c>
      <c r="R10" s="31" t="s">
        <v>20</v>
      </c>
      <c r="S10" s="52"/>
      <c r="T10" s="31" t="s">
        <v>20</v>
      </c>
      <c r="U10" s="55"/>
      <c r="V10" s="31" t="s">
        <v>20</v>
      </c>
      <c r="W10" s="31" t="s">
        <v>21</v>
      </c>
      <c r="X10" s="31" t="s">
        <v>20</v>
      </c>
      <c r="Y10" s="31" t="s">
        <v>20</v>
      </c>
      <c r="Z10" s="52"/>
      <c r="AA10" s="31" t="s">
        <v>20</v>
      </c>
      <c r="AB10" s="31" t="s">
        <v>20</v>
      </c>
      <c r="AC10" s="31" t="s">
        <v>20</v>
      </c>
      <c r="AD10" s="31" t="s">
        <v>20</v>
      </c>
      <c r="AE10" s="31" t="s">
        <v>20</v>
      </c>
      <c r="AF10" s="31" t="s">
        <v>21</v>
      </c>
      <c r="AG10" s="52"/>
      <c r="AH10" s="31" t="s">
        <v>21</v>
      </c>
      <c r="AI10" s="4">
        <f t="shared" si="1"/>
        <v>19</v>
      </c>
      <c r="AJ10" s="4">
        <f t="shared" si="2"/>
        <v>5</v>
      </c>
      <c r="AK10" s="4" t="s">
        <v>9</v>
      </c>
      <c r="AL10" s="4" t="s">
        <v>10</v>
      </c>
      <c r="AM10" s="4" t="s">
        <v>11</v>
      </c>
      <c r="AN10" s="4" t="s">
        <v>12</v>
      </c>
    </row>
    <row r="11" spans="1:40" x14ac:dyDescent="0.25">
      <c r="A11" s="5">
        <v>7</v>
      </c>
      <c r="B11" s="32" t="s">
        <v>375</v>
      </c>
      <c r="C11" s="33" t="s">
        <v>376</v>
      </c>
      <c r="D11" s="6" t="s">
        <v>366</v>
      </c>
      <c r="E11" s="52"/>
      <c r="F11" s="31" t="s">
        <v>20</v>
      </c>
      <c r="G11" s="31" t="s">
        <v>20</v>
      </c>
      <c r="H11" s="31" t="s">
        <v>20</v>
      </c>
      <c r="I11" s="31" t="s">
        <v>20</v>
      </c>
      <c r="J11" s="31" t="s">
        <v>20</v>
      </c>
      <c r="K11" s="31" t="s">
        <v>20</v>
      </c>
      <c r="L11" s="52"/>
      <c r="M11" s="31" t="s">
        <v>20</v>
      </c>
      <c r="N11" s="31" t="s">
        <v>20</v>
      </c>
      <c r="O11" s="31" t="s">
        <v>20</v>
      </c>
      <c r="P11" s="31" t="s">
        <v>20</v>
      </c>
      <c r="Q11" s="31" t="s">
        <v>20</v>
      </c>
      <c r="R11" s="31" t="s">
        <v>20</v>
      </c>
      <c r="S11" s="52"/>
      <c r="T11" s="31" t="s">
        <v>21</v>
      </c>
      <c r="U11" s="55"/>
      <c r="V11" s="31" t="s">
        <v>21</v>
      </c>
      <c r="W11" s="31" t="s">
        <v>20</v>
      </c>
      <c r="X11" s="31" t="s">
        <v>20</v>
      </c>
      <c r="Y11" s="31" t="s">
        <v>20</v>
      </c>
      <c r="Z11" s="52"/>
      <c r="AA11" s="31" t="s">
        <v>20</v>
      </c>
      <c r="AB11" s="31" t="s">
        <v>20</v>
      </c>
      <c r="AC11" s="31" t="s">
        <v>20</v>
      </c>
      <c r="AD11" s="31" t="s">
        <v>20</v>
      </c>
      <c r="AE11" s="31" t="s">
        <v>20</v>
      </c>
      <c r="AF11" s="31" t="s">
        <v>20</v>
      </c>
      <c r="AG11" s="52"/>
      <c r="AH11" s="31" t="s">
        <v>20</v>
      </c>
      <c r="AI11" s="4">
        <f t="shared" si="1"/>
        <v>22</v>
      </c>
      <c r="AJ11" s="4">
        <f t="shared" si="2"/>
        <v>2</v>
      </c>
      <c r="AK11" s="4" t="s">
        <v>13</v>
      </c>
      <c r="AL11" s="7">
        <f>32*AL5</f>
        <v>768</v>
      </c>
      <c r="AM11" s="7">
        <f>24*AL5</f>
        <v>576</v>
      </c>
      <c r="AN11" s="7">
        <f>SUM(AL11:AM11)</f>
        <v>1344</v>
      </c>
    </row>
    <row r="12" spans="1:40" x14ac:dyDescent="0.25">
      <c r="A12" s="7">
        <v>8</v>
      </c>
      <c r="B12" s="32" t="s">
        <v>377</v>
      </c>
      <c r="C12" s="33" t="s">
        <v>378</v>
      </c>
      <c r="D12" s="6" t="s">
        <v>366</v>
      </c>
      <c r="E12" s="52"/>
      <c r="F12" s="31" t="s">
        <v>20</v>
      </c>
      <c r="G12" s="31" t="s">
        <v>20</v>
      </c>
      <c r="H12" s="31" t="s">
        <v>20</v>
      </c>
      <c r="I12" s="31" t="s">
        <v>20</v>
      </c>
      <c r="J12" s="31" t="s">
        <v>20</v>
      </c>
      <c r="K12" s="31" t="s">
        <v>20</v>
      </c>
      <c r="L12" s="52"/>
      <c r="M12" s="31" t="s">
        <v>20</v>
      </c>
      <c r="N12" s="31" t="s">
        <v>20</v>
      </c>
      <c r="O12" s="31" t="s">
        <v>20</v>
      </c>
      <c r="P12" s="31" t="s">
        <v>20</v>
      </c>
      <c r="Q12" s="31" t="s">
        <v>20</v>
      </c>
      <c r="R12" s="31" t="s">
        <v>20</v>
      </c>
      <c r="S12" s="52"/>
      <c r="T12" s="31" t="s">
        <v>21</v>
      </c>
      <c r="U12" s="55"/>
      <c r="V12" s="31" t="s">
        <v>21</v>
      </c>
      <c r="W12" s="31" t="s">
        <v>20</v>
      </c>
      <c r="X12" s="31" t="s">
        <v>20</v>
      </c>
      <c r="Y12" s="31" t="s">
        <v>20</v>
      </c>
      <c r="Z12" s="52"/>
      <c r="AA12" s="31" t="s">
        <v>20</v>
      </c>
      <c r="AB12" s="31" t="s">
        <v>20</v>
      </c>
      <c r="AC12" s="31" t="s">
        <v>20</v>
      </c>
      <c r="AD12" s="31" t="s">
        <v>20</v>
      </c>
      <c r="AE12" s="31" t="s">
        <v>21</v>
      </c>
      <c r="AF12" s="31" t="s">
        <v>20</v>
      </c>
      <c r="AG12" s="52"/>
      <c r="AH12" s="31" t="s">
        <v>20</v>
      </c>
      <c r="AI12" s="4">
        <f t="shared" si="1"/>
        <v>21</v>
      </c>
      <c r="AJ12" s="4">
        <f t="shared" si="2"/>
        <v>3</v>
      </c>
      <c r="AK12" s="4" t="s">
        <v>14</v>
      </c>
      <c r="AL12" s="7">
        <f>SUM(AI29:AI60)</f>
        <v>683</v>
      </c>
      <c r="AM12" s="7">
        <f>SUM(AI5:AI28)</f>
        <v>476</v>
      </c>
      <c r="AN12" s="7">
        <f>AL12+AM12</f>
        <v>1159</v>
      </c>
    </row>
    <row r="13" spans="1:40" x14ac:dyDescent="0.25">
      <c r="A13" s="5">
        <v>9</v>
      </c>
      <c r="B13" s="32" t="s">
        <v>379</v>
      </c>
      <c r="C13" s="33" t="s">
        <v>380</v>
      </c>
      <c r="D13" s="6" t="s">
        <v>366</v>
      </c>
      <c r="E13" s="52"/>
      <c r="F13" s="31" t="s">
        <v>20</v>
      </c>
      <c r="G13" s="31" t="s">
        <v>20</v>
      </c>
      <c r="H13" s="31" t="s">
        <v>20</v>
      </c>
      <c r="I13" s="31" t="s">
        <v>20</v>
      </c>
      <c r="J13" s="31" t="s">
        <v>20</v>
      </c>
      <c r="K13" s="31" t="s">
        <v>20</v>
      </c>
      <c r="L13" s="52"/>
      <c r="M13" s="31" t="s">
        <v>20</v>
      </c>
      <c r="N13" s="31" t="s">
        <v>20</v>
      </c>
      <c r="O13" s="31" t="s">
        <v>20</v>
      </c>
      <c r="P13" s="31" t="s">
        <v>20</v>
      </c>
      <c r="Q13" s="31" t="s">
        <v>20</v>
      </c>
      <c r="R13" s="31" t="s">
        <v>20</v>
      </c>
      <c r="S13" s="52"/>
      <c r="T13" s="31" t="s">
        <v>20</v>
      </c>
      <c r="U13" s="55"/>
      <c r="V13" s="31" t="s">
        <v>20</v>
      </c>
      <c r="W13" s="31" t="s">
        <v>20</v>
      </c>
      <c r="X13" s="31" t="s">
        <v>20</v>
      </c>
      <c r="Y13" s="31" t="s">
        <v>21</v>
      </c>
      <c r="Z13" s="52"/>
      <c r="AA13" s="31" t="s">
        <v>20</v>
      </c>
      <c r="AB13" s="31" t="s">
        <v>20</v>
      </c>
      <c r="AC13" s="31" t="s">
        <v>20</v>
      </c>
      <c r="AD13" s="31" t="s">
        <v>20</v>
      </c>
      <c r="AE13" s="31" t="s">
        <v>20</v>
      </c>
      <c r="AF13" s="31" t="s">
        <v>20</v>
      </c>
      <c r="AG13" s="52"/>
      <c r="AH13" s="31" t="s">
        <v>20</v>
      </c>
      <c r="AI13" s="4">
        <f t="shared" si="1"/>
        <v>23</v>
      </c>
      <c r="AJ13" s="4">
        <f t="shared" si="2"/>
        <v>1</v>
      </c>
      <c r="AK13" s="4" t="s">
        <v>15</v>
      </c>
      <c r="AL13" s="9">
        <f>AL12/AL11</f>
        <v>0.88932291666666663</v>
      </c>
      <c r="AM13" s="9">
        <f>AM12/AM11</f>
        <v>0.82638888888888884</v>
      </c>
      <c r="AN13" s="9">
        <f>AN12/AN11</f>
        <v>0.86235119047619047</v>
      </c>
    </row>
    <row r="14" spans="1:40" x14ac:dyDescent="0.25">
      <c r="A14" s="7">
        <v>10</v>
      </c>
      <c r="B14" s="32" t="s">
        <v>381</v>
      </c>
      <c r="C14" s="33" t="s">
        <v>382</v>
      </c>
      <c r="D14" s="6" t="s">
        <v>366</v>
      </c>
      <c r="E14" s="52"/>
      <c r="F14" s="31" t="s">
        <v>20</v>
      </c>
      <c r="G14" s="31" t="s">
        <v>20</v>
      </c>
      <c r="H14" s="31" t="s">
        <v>20</v>
      </c>
      <c r="I14" s="31" t="s">
        <v>20</v>
      </c>
      <c r="J14" s="31" t="s">
        <v>22</v>
      </c>
      <c r="K14" s="31" t="s">
        <v>22</v>
      </c>
      <c r="L14" s="52"/>
      <c r="M14" s="31" t="s">
        <v>21</v>
      </c>
      <c r="N14" s="31" t="s">
        <v>21</v>
      </c>
      <c r="O14" s="31" t="s">
        <v>21</v>
      </c>
      <c r="P14" s="31" t="s">
        <v>20</v>
      </c>
      <c r="Q14" s="31" t="s">
        <v>20</v>
      </c>
      <c r="R14" s="31" t="s">
        <v>20</v>
      </c>
      <c r="S14" s="52"/>
      <c r="T14" s="31" t="s">
        <v>20</v>
      </c>
      <c r="U14" s="55"/>
      <c r="V14" s="31" t="s">
        <v>20</v>
      </c>
      <c r="W14" s="31" t="s">
        <v>20</v>
      </c>
      <c r="X14" s="31" t="s">
        <v>20</v>
      </c>
      <c r="Y14" s="31" t="s">
        <v>20</v>
      </c>
      <c r="Z14" s="52"/>
      <c r="AA14" s="31" t="s">
        <v>20</v>
      </c>
      <c r="AB14" s="31" t="s">
        <v>20</v>
      </c>
      <c r="AC14" s="31" t="s">
        <v>20</v>
      </c>
      <c r="AD14" s="31" t="s">
        <v>20</v>
      </c>
      <c r="AE14" s="31" t="s">
        <v>20</v>
      </c>
      <c r="AF14" s="31" t="s">
        <v>20</v>
      </c>
      <c r="AG14" s="52"/>
      <c r="AH14" s="31" t="s">
        <v>20</v>
      </c>
      <c r="AI14" s="4">
        <f t="shared" si="1"/>
        <v>19</v>
      </c>
      <c r="AJ14" s="4">
        <f t="shared" si="2"/>
        <v>3</v>
      </c>
      <c r="AK14"/>
      <c r="AL14"/>
      <c r="AM14"/>
      <c r="AN14"/>
    </row>
    <row r="15" spans="1:40" x14ac:dyDescent="0.25">
      <c r="A15" s="5">
        <v>11</v>
      </c>
      <c r="B15" s="32" t="s">
        <v>120</v>
      </c>
      <c r="C15" s="33" t="s">
        <v>249</v>
      </c>
      <c r="D15" s="6" t="s">
        <v>366</v>
      </c>
      <c r="E15" s="52"/>
      <c r="F15" s="31" t="s">
        <v>20</v>
      </c>
      <c r="G15" s="31" t="s">
        <v>20</v>
      </c>
      <c r="H15" s="31" t="s">
        <v>20</v>
      </c>
      <c r="I15" s="31" t="s">
        <v>20</v>
      </c>
      <c r="J15" s="31" t="s">
        <v>20</v>
      </c>
      <c r="K15" s="31" t="s">
        <v>20</v>
      </c>
      <c r="L15" s="52"/>
      <c r="M15" s="31" t="s">
        <v>20</v>
      </c>
      <c r="N15" s="31" t="s">
        <v>20</v>
      </c>
      <c r="O15" s="31" t="s">
        <v>20</v>
      </c>
      <c r="P15" s="31" t="s">
        <v>20</v>
      </c>
      <c r="Q15" s="31" t="s">
        <v>20</v>
      </c>
      <c r="R15" s="31" t="s">
        <v>20</v>
      </c>
      <c r="S15" s="52"/>
      <c r="T15" s="31" t="s">
        <v>20</v>
      </c>
      <c r="U15" s="55"/>
      <c r="V15" s="31" t="s">
        <v>20</v>
      </c>
      <c r="W15" s="31" t="s">
        <v>20</v>
      </c>
      <c r="X15" s="31" t="s">
        <v>21</v>
      </c>
      <c r="Y15" s="31" t="s">
        <v>20</v>
      </c>
      <c r="Z15" s="52"/>
      <c r="AA15" s="31" t="s">
        <v>21</v>
      </c>
      <c r="AB15" s="31" t="s">
        <v>20</v>
      </c>
      <c r="AC15" s="31" t="s">
        <v>20</v>
      </c>
      <c r="AD15" s="31" t="s">
        <v>20</v>
      </c>
      <c r="AE15" s="31" t="s">
        <v>20</v>
      </c>
      <c r="AF15" s="31" t="s">
        <v>20</v>
      </c>
      <c r="AG15" s="52"/>
      <c r="AH15" s="31" t="s">
        <v>20</v>
      </c>
      <c r="AI15" s="4">
        <f t="shared" si="1"/>
        <v>22</v>
      </c>
      <c r="AJ15" s="4">
        <f t="shared" si="2"/>
        <v>2</v>
      </c>
      <c r="AK15"/>
      <c r="AL15"/>
      <c r="AM15"/>
      <c r="AN15"/>
    </row>
    <row r="16" spans="1:40" x14ac:dyDescent="0.25">
      <c r="A16" s="7">
        <v>12</v>
      </c>
      <c r="B16" s="32" t="s">
        <v>383</v>
      </c>
      <c r="C16" s="33" t="s">
        <v>333</v>
      </c>
      <c r="D16" s="6" t="s">
        <v>366</v>
      </c>
      <c r="E16" s="52"/>
      <c r="F16" s="31" t="s">
        <v>20</v>
      </c>
      <c r="G16" s="31" t="s">
        <v>20</v>
      </c>
      <c r="H16" s="31" t="s">
        <v>20</v>
      </c>
      <c r="I16" s="31" t="s">
        <v>20</v>
      </c>
      <c r="J16" s="31" t="s">
        <v>20</v>
      </c>
      <c r="K16" s="31" t="s">
        <v>20</v>
      </c>
      <c r="L16" s="52"/>
      <c r="M16" s="31" t="s">
        <v>20</v>
      </c>
      <c r="N16" s="31" t="s">
        <v>20</v>
      </c>
      <c r="O16" s="31" t="s">
        <v>20</v>
      </c>
      <c r="P16" s="31" t="s">
        <v>20</v>
      </c>
      <c r="Q16" s="31" t="s">
        <v>20</v>
      </c>
      <c r="R16" s="31" t="s">
        <v>20</v>
      </c>
      <c r="S16" s="52"/>
      <c r="T16" s="31" t="s">
        <v>20</v>
      </c>
      <c r="U16" s="55"/>
      <c r="V16" s="31" t="s">
        <v>20</v>
      </c>
      <c r="W16" s="31" t="s">
        <v>20</v>
      </c>
      <c r="X16" s="31" t="s">
        <v>20</v>
      </c>
      <c r="Y16" s="31" t="s">
        <v>20</v>
      </c>
      <c r="Z16" s="52"/>
      <c r="AA16" s="31" t="s">
        <v>20</v>
      </c>
      <c r="AB16" s="31" t="s">
        <v>20</v>
      </c>
      <c r="AC16" s="31" t="s">
        <v>21</v>
      </c>
      <c r="AD16" s="31" t="s">
        <v>20</v>
      </c>
      <c r="AE16" s="31" t="s">
        <v>21</v>
      </c>
      <c r="AF16" s="31" t="s">
        <v>21</v>
      </c>
      <c r="AG16" s="52"/>
      <c r="AH16" s="31" t="s">
        <v>20</v>
      </c>
      <c r="AI16" s="4">
        <f t="shared" si="1"/>
        <v>21</v>
      </c>
      <c r="AJ16" s="4">
        <f t="shared" si="2"/>
        <v>3</v>
      </c>
      <c r="AK16"/>
      <c r="AL16"/>
      <c r="AM16"/>
      <c r="AN16"/>
    </row>
    <row r="17" spans="1:40" ht="15.75" x14ac:dyDescent="0.25">
      <c r="A17" s="5">
        <v>13</v>
      </c>
      <c r="B17" s="32" t="s">
        <v>384</v>
      </c>
      <c r="C17" s="33" t="s">
        <v>385</v>
      </c>
      <c r="D17" s="6" t="s">
        <v>366</v>
      </c>
      <c r="E17" s="52"/>
      <c r="F17" s="31" t="s">
        <v>20</v>
      </c>
      <c r="G17" s="31" t="s">
        <v>20</v>
      </c>
      <c r="H17" s="31" t="s">
        <v>21</v>
      </c>
      <c r="I17" s="31" t="s">
        <v>21</v>
      </c>
      <c r="J17" s="31" t="s">
        <v>21</v>
      </c>
      <c r="K17" s="31" t="s">
        <v>21</v>
      </c>
      <c r="L17" s="52"/>
      <c r="M17" s="31" t="s">
        <v>20</v>
      </c>
      <c r="N17" s="31" t="s">
        <v>20</v>
      </c>
      <c r="O17" s="31" t="s">
        <v>20</v>
      </c>
      <c r="P17" s="31" t="s">
        <v>20</v>
      </c>
      <c r="Q17" s="31" t="s">
        <v>20</v>
      </c>
      <c r="R17" s="31" t="s">
        <v>20</v>
      </c>
      <c r="S17" s="52"/>
      <c r="T17" s="31" t="s">
        <v>20</v>
      </c>
      <c r="U17" s="55"/>
      <c r="V17" s="31" t="s">
        <v>20</v>
      </c>
      <c r="W17" s="31" t="s">
        <v>21</v>
      </c>
      <c r="X17" s="31" t="s">
        <v>21</v>
      </c>
      <c r="Y17" s="31" t="s">
        <v>21</v>
      </c>
      <c r="Z17" s="52"/>
      <c r="AA17" s="31" t="s">
        <v>20</v>
      </c>
      <c r="AB17" s="31" t="s">
        <v>20</v>
      </c>
      <c r="AC17" s="31" t="s">
        <v>21</v>
      </c>
      <c r="AD17" s="31" t="s">
        <v>20</v>
      </c>
      <c r="AE17" s="31" t="s">
        <v>20</v>
      </c>
      <c r="AF17" s="31" t="s">
        <v>21</v>
      </c>
      <c r="AG17" s="52"/>
      <c r="AH17" s="31" t="s">
        <v>20</v>
      </c>
      <c r="AI17" s="4">
        <f t="shared" si="1"/>
        <v>15</v>
      </c>
      <c r="AJ17" s="4">
        <f t="shared" si="2"/>
        <v>9</v>
      </c>
      <c r="AK17" s="42" t="s">
        <v>104</v>
      </c>
      <c r="AL17" s="43"/>
      <c r="AM17" s="43"/>
      <c r="AN17" s="44"/>
    </row>
    <row r="18" spans="1:40" x14ac:dyDescent="0.25">
      <c r="A18" s="7">
        <v>14</v>
      </c>
      <c r="B18" s="32" t="s">
        <v>386</v>
      </c>
      <c r="C18" s="33" t="s">
        <v>60</v>
      </c>
      <c r="D18" s="6" t="s">
        <v>366</v>
      </c>
      <c r="E18" s="52"/>
      <c r="F18" s="31" t="s">
        <v>20</v>
      </c>
      <c r="G18" s="31" t="s">
        <v>20</v>
      </c>
      <c r="H18" s="31" t="s">
        <v>20</v>
      </c>
      <c r="I18" s="31" t="s">
        <v>20</v>
      </c>
      <c r="J18" s="31" t="s">
        <v>21</v>
      </c>
      <c r="K18" s="31" t="s">
        <v>20</v>
      </c>
      <c r="L18" s="52"/>
      <c r="M18" s="31" t="s">
        <v>20</v>
      </c>
      <c r="N18" s="31" t="s">
        <v>20</v>
      </c>
      <c r="O18" s="31" t="s">
        <v>21</v>
      </c>
      <c r="P18" s="31" t="s">
        <v>21</v>
      </c>
      <c r="Q18" s="31" t="s">
        <v>20</v>
      </c>
      <c r="R18" s="31" t="s">
        <v>20</v>
      </c>
      <c r="S18" s="52"/>
      <c r="T18" s="31" t="s">
        <v>20</v>
      </c>
      <c r="U18" s="55"/>
      <c r="V18" s="31" t="s">
        <v>20</v>
      </c>
      <c r="W18" s="31" t="s">
        <v>20</v>
      </c>
      <c r="X18" s="31" t="s">
        <v>20</v>
      </c>
      <c r="Y18" s="31" t="s">
        <v>20</v>
      </c>
      <c r="Z18" s="52"/>
      <c r="AA18" s="31" t="s">
        <v>20</v>
      </c>
      <c r="AB18" s="31" t="s">
        <v>20</v>
      </c>
      <c r="AC18" s="31" t="s">
        <v>20</v>
      </c>
      <c r="AD18" s="31" t="s">
        <v>20</v>
      </c>
      <c r="AE18" s="31" t="s">
        <v>20</v>
      </c>
      <c r="AF18" s="31" t="s">
        <v>21</v>
      </c>
      <c r="AG18" s="52"/>
      <c r="AH18" s="31" t="s">
        <v>21</v>
      </c>
      <c r="AI18" s="4">
        <f t="shared" si="1"/>
        <v>19</v>
      </c>
      <c r="AJ18" s="4">
        <f t="shared" si="2"/>
        <v>5</v>
      </c>
      <c r="AK18" s="4" t="s">
        <v>9</v>
      </c>
      <c r="AL18" s="4" t="s">
        <v>10</v>
      </c>
      <c r="AM18" s="4" t="s">
        <v>11</v>
      </c>
      <c r="AN18" s="4" t="s">
        <v>12</v>
      </c>
    </row>
    <row r="19" spans="1:40" x14ac:dyDescent="0.25">
      <c r="A19" s="5">
        <v>15</v>
      </c>
      <c r="B19" s="32" t="s">
        <v>387</v>
      </c>
      <c r="C19" s="33" t="s">
        <v>388</v>
      </c>
      <c r="D19" s="6" t="s">
        <v>366</v>
      </c>
      <c r="E19" s="52"/>
      <c r="F19" s="31" t="s">
        <v>20</v>
      </c>
      <c r="G19" s="31" t="s">
        <v>20</v>
      </c>
      <c r="H19" s="31" t="s">
        <v>20</v>
      </c>
      <c r="I19" s="31" t="s">
        <v>20</v>
      </c>
      <c r="J19" s="31" t="s">
        <v>21</v>
      </c>
      <c r="K19" s="31" t="s">
        <v>20</v>
      </c>
      <c r="L19" s="52"/>
      <c r="M19" s="31" t="s">
        <v>20</v>
      </c>
      <c r="N19" s="31" t="s">
        <v>20</v>
      </c>
      <c r="O19" s="31" t="s">
        <v>20</v>
      </c>
      <c r="P19" s="31" t="s">
        <v>20</v>
      </c>
      <c r="Q19" s="31" t="s">
        <v>20</v>
      </c>
      <c r="R19" s="31" t="s">
        <v>21</v>
      </c>
      <c r="S19" s="52"/>
      <c r="T19" s="31" t="s">
        <v>20</v>
      </c>
      <c r="U19" s="55"/>
      <c r="V19" s="31" t="s">
        <v>21</v>
      </c>
      <c r="W19" s="31" t="s">
        <v>20</v>
      </c>
      <c r="X19" s="31" t="s">
        <v>20</v>
      </c>
      <c r="Y19" s="31" t="s">
        <v>20</v>
      </c>
      <c r="Z19" s="52"/>
      <c r="AA19" s="31" t="s">
        <v>20</v>
      </c>
      <c r="AB19" s="31" t="s">
        <v>20</v>
      </c>
      <c r="AC19" s="31" t="s">
        <v>20</v>
      </c>
      <c r="AD19" s="31" t="s">
        <v>20</v>
      </c>
      <c r="AE19" s="31" t="s">
        <v>20</v>
      </c>
      <c r="AF19" s="31" t="s">
        <v>20</v>
      </c>
      <c r="AG19" s="52"/>
      <c r="AH19" s="31" t="s">
        <v>20</v>
      </c>
      <c r="AI19" s="4">
        <f t="shared" si="1"/>
        <v>21</v>
      </c>
      <c r="AJ19" s="4">
        <f t="shared" si="2"/>
        <v>3</v>
      </c>
      <c r="AK19" s="4" t="s">
        <v>13</v>
      </c>
      <c r="AL19" s="7">
        <f>32*AL5</f>
        <v>768</v>
      </c>
      <c r="AM19" s="7">
        <f>24*AL5</f>
        <v>576</v>
      </c>
      <c r="AN19" s="7">
        <f>AL19+AM19</f>
        <v>1344</v>
      </c>
    </row>
    <row r="20" spans="1:40" x14ac:dyDescent="0.25">
      <c r="A20" s="7">
        <v>16</v>
      </c>
      <c r="B20" s="32" t="s">
        <v>389</v>
      </c>
      <c r="C20" s="33" t="s">
        <v>390</v>
      </c>
      <c r="D20" s="6" t="s">
        <v>366</v>
      </c>
      <c r="E20" s="52"/>
      <c r="F20" s="31" t="s">
        <v>20</v>
      </c>
      <c r="G20" s="31" t="s">
        <v>20</v>
      </c>
      <c r="H20" s="31" t="s">
        <v>20</v>
      </c>
      <c r="I20" s="31" t="s">
        <v>20</v>
      </c>
      <c r="J20" s="31" t="s">
        <v>20</v>
      </c>
      <c r="K20" s="31" t="s">
        <v>21</v>
      </c>
      <c r="L20" s="52"/>
      <c r="M20" s="31" t="s">
        <v>20</v>
      </c>
      <c r="N20" s="31" t="s">
        <v>20</v>
      </c>
      <c r="O20" s="31" t="s">
        <v>21</v>
      </c>
      <c r="P20" s="31" t="s">
        <v>20</v>
      </c>
      <c r="Q20" s="31" t="s">
        <v>20</v>
      </c>
      <c r="R20" s="31" t="s">
        <v>21</v>
      </c>
      <c r="S20" s="52"/>
      <c r="T20" s="31" t="s">
        <v>21</v>
      </c>
      <c r="U20" s="55"/>
      <c r="V20" s="31" t="s">
        <v>21</v>
      </c>
      <c r="W20" s="31" t="s">
        <v>21</v>
      </c>
      <c r="X20" s="31" t="s">
        <v>20</v>
      </c>
      <c r="Y20" s="31" t="s">
        <v>20</v>
      </c>
      <c r="Z20" s="52"/>
      <c r="AA20" s="31" t="s">
        <v>20</v>
      </c>
      <c r="AB20" s="31" t="s">
        <v>20</v>
      </c>
      <c r="AC20" s="31" t="s">
        <v>20</v>
      </c>
      <c r="AD20" s="31" t="s">
        <v>20</v>
      </c>
      <c r="AE20" s="31" t="s">
        <v>20</v>
      </c>
      <c r="AF20" s="31" t="s">
        <v>21</v>
      </c>
      <c r="AG20" s="52"/>
      <c r="AH20" s="31" t="s">
        <v>20</v>
      </c>
      <c r="AI20" s="4">
        <f t="shared" si="1"/>
        <v>17</v>
      </c>
      <c r="AJ20" s="4">
        <f t="shared" si="2"/>
        <v>7</v>
      </c>
      <c r="AK20" s="4" t="s">
        <v>16</v>
      </c>
      <c r="AL20" s="7">
        <f>AL19-AL12</f>
        <v>85</v>
      </c>
      <c r="AM20" s="7">
        <f>AM19-AM12</f>
        <v>100</v>
      </c>
      <c r="AN20" s="7">
        <f>AL20+AM20</f>
        <v>185</v>
      </c>
    </row>
    <row r="21" spans="1:40" x14ac:dyDescent="0.25">
      <c r="A21" s="5">
        <v>17</v>
      </c>
      <c r="B21" s="32" t="s">
        <v>391</v>
      </c>
      <c r="C21" s="33" t="s">
        <v>392</v>
      </c>
      <c r="D21" s="6" t="s">
        <v>366</v>
      </c>
      <c r="E21" s="52"/>
      <c r="F21" s="31" t="s">
        <v>20</v>
      </c>
      <c r="G21" s="31" t="s">
        <v>20</v>
      </c>
      <c r="H21" s="31" t="s">
        <v>20</v>
      </c>
      <c r="I21" s="31" t="s">
        <v>21</v>
      </c>
      <c r="J21" s="31" t="s">
        <v>21</v>
      </c>
      <c r="K21" s="31" t="s">
        <v>20</v>
      </c>
      <c r="L21" s="52"/>
      <c r="M21" s="31" t="s">
        <v>21</v>
      </c>
      <c r="N21" s="31" t="s">
        <v>21</v>
      </c>
      <c r="O21" s="31" t="s">
        <v>21</v>
      </c>
      <c r="P21" s="31" t="s">
        <v>21</v>
      </c>
      <c r="Q21" s="31" t="s">
        <v>21</v>
      </c>
      <c r="R21" s="31" t="s">
        <v>21</v>
      </c>
      <c r="S21" s="52"/>
      <c r="T21" s="31" t="s">
        <v>21</v>
      </c>
      <c r="U21" s="55"/>
      <c r="V21" s="31" t="s">
        <v>20</v>
      </c>
      <c r="W21" s="31" t="s">
        <v>20</v>
      </c>
      <c r="X21" s="31" t="s">
        <v>20</v>
      </c>
      <c r="Y21" s="31" t="s">
        <v>20</v>
      </c>
      <c r="Z21" s="52"/>
      <c r="AA21" s="31" t="s">
        <v>20</v>
      </c>
      <c r="AB21" s="31" t="s">
        <v>20</v>
      </c>
      <c r="AC21" s="31" t="s">
        <v>20</v>
      </c>
      <c r="AD21" s="31" t="s">
        <v>20</v>
      </c>
      <c r="AE21" s="31" t="s">
        <v>20</v>
      </c>
      <c r="AF21" s="31" t="s">
        <v>20</v>
      </c>
      <c r="AG21" s="52"/>
      <c r="AH21" s="31" t="s">
        <v>20</v>
      </c>
      <c r="AI21" s="4">
        <f t="shared" si="1"/>
        <v>15</v>
      </c>
      <c r="AJ21" s="4">
        <f t="shared" si="2"/>
        <v>9</v>
      </c>
      <c r="AK21" s="4" t="s">
        <v>15</v>
      </c>
      <c r="AL21" s="9">
        <f>AL20/AL19</f>
        <v>0.11067708333333333</v>
      </c>
      <c r="AM21" s="9">
        <f>AM20/AM19</f>
        <v>0.1736111111111111</v>
      </c>
      <c r="AN21" s="9">
        <f>AN20/AN19</f>
        <v>0.13764880952380953</v>
      </c>
    </row>
    <row r="22" spans="1:40" x14ac:dyDescent="0.25">
      <c r="A22" s="7">
        <v>18</v>
      </c>
      <c r="B22" s="32" t="s">
        <v>393</v>
      </c>
      <c r="C22" s="33" t="s">
        <v>392</v>
      </c>
      <c r="D22" s="6" t="s">
        <v>366</v>
      </c>
      <c r="E22" s="52"/>
      <c r="F22" s="31" t="s">
        <v>20</v>
      </c>
      <c r="G22" s="31" t="s">
        <v>20</v>
      </c>
      <c r="H22" s="31" t="s">
        <v>20</v>
      </c>
      <c r="I22" s="31" t="s">
        <v>21</v>
      </c>
      <c r="J22" s="31" t="s">
        <v>21</v>
      </c>
      <c r="K22" s="31" t="s">
        <v>20</v>
      </c>
      <c r="L22" s="52"/>
      <c r="M22" s="31" t="s">
        <v>21</v>
      </c>
      <c r="N22" s="31" t="s">
        <v>21</v>
      </c>
      <c r="O22" s="31" t="s">
        <v>21</v>
      </c>
      <c r="P22" s="31" t="s">
        <v>21</v>
      </c>
      <c r="Q22" s="31" t="s">
        <v>21</v>
      </c>
      <c r="R22" s="31" t="s">
        <v>21</v>
      </c>
      <c r="S22" s="52"/>
      <c r="T22" s="31" t="s">
        <v>21</v>
      </c>
      <c r="U22" s="55"/>
      <c r="V22" s="31" t="s">
        <v>20</v>
      </c>
      <c r="W22" s="31" t="s">
        <v>20</v>
      </c>
      <c r="X22" s="31" t="s">
        <v>20</v>
      </c>
      <c r="Y22" s="31" t="s">
        <v>20</v>
      </c>
      <c r="Z22" s="52"/>
      <c r="AA22" s="31" t="s">
        <v>20</v>
      </c>
      <c r="AB22" s="31" t="s">
        <v>20</v>
      </c>
      <c r="AC22" s="31" t="s">
        <v>20</v>
      </c>
      <c r="AD22" s="31" t="s">
        <v>20</v>
      </c>
      <c r="AE22" s="31" t="s">
        <v>20</v>
      </c>
      <c r="AF22" s="31" t="s">
        <v>20</v>
      </c>
      <c r="AG22" s="52"/>
      <c r="AH22" s="31" t="s">
        <v>20</v>
      </c>
      <c r="AI22" s="4">
        <f t="shared" si="1"/>
        <v>15</v>
      </c>
      <c r="AJ22" s="4">
        <f t="shared" si="2"/>
        <v>9</v>
      </c>
    </row>
    <row r="23" spans="1:40" x14ac:dyDescent="0.25">
      <c r="A23" s="5">
        <v>19</v>
      </c>
      <c r="B23" s="32" t="s">
        <v>394</v>
      </c>
      <c r="C23" s="33" t="s">
        <v>395</v>
      </c>
      <c r="D23" s="6" t="s">
        <v>366</v>
      </c>
      <c r="E23" s="52"/>
      <c r="F23" s="31" t="s">
        <v>20</v>
      </c>
      <c r="G23" s="31" t="s">
        <v>21</v>
      </c>
      <c r="H23" s="31" t="s">
        <v>20</v>
      </c>
      <c r="I23" s="31" t="s">
        <v>20</v>
      </c>
      <c r="J23" s="31" t="s">
        <v>20</v>
      </c>
      <c r="K23" s="31" t="s">
        <v>20</v>
      </c>
      <c r="L23" s="52"/>
      <c r="M23" s="31" t="s">
        <v>20</v>
      </c>
      <c r="N23" s="31" t="s">
        <v>20</v>
      </c>
      <c r="O23" s="31" t="s">
        <v>20</v>
      </c>
      <c r="P23" s="31" t="s">
        <v>20</v>
      </c>
      <c r="Q23" s="31" t="s">
        <v>20</v>
      </c>
      <c r="R23" s="31" t="s">
        <v>20</v>
      </c>
      <c r="S23" s="52"/>
      <c r="T23" s="31" t="s">
        <v>21</v>
      </c>
      <c r="U23" s="55"/>
      <c r="V23" s="31" t="s">
        <v>20</v>
      </c>
      <c r="W23" s="31" t="s">
        <v>20</v>
      </c>
      <c r="X23" s="31" t="s">
        <v>20</v>
      </c>
      <c r="Y23" s="31" t="s">
        <v>20</v>
      </c>
      <c r="Z23" s="52"/>
      <c r="AA23" s="31" t="s">
        <v>20</v>
      </c>
      <c r="AB23" s="31" t="s">
        <v>20</v>
      </c>
      <c r="AC23" s="31" t="s">
        <v>20</v>
      </c>
      <c r="AD23" s="31" t="s">
        <v>20</v>
      </c>
      <c r="AE23" s="31" t="s">
        <v>20</v>
      </c>
      <c r="AF23" s="31" t="s">
        <v>20</v>
      </c>
      <c r="AG23" s="52"/>
      <c r="AH23" s="31" t="s">
        <v>20</v>
      </c>
      <c r="AI23" s="4">
        <f t="shared" si="1"/>
        <v>22</v>
      </c>
      <c r="AJ23" s="4">
        <f t="shared" si="2"/>
        <v>2</v>
      </c>
    </row>
    <row r="24" spans="1:40" x14ac:dyDescent="0.25">
      <c r="A24" s="7">
        <v>20</v>
      </c>
      <c r="B24" s="32" t="s">
        <v>56</v>
      </c>
      <c r="C24" s="33" t="s">
        <v>396</v>
      </c>
      <c r="D24" s="6" t="s">
        <v>366</v>
      </c>
      <c r="E24" s="52"/>
      <c r="F24" s="31" t="s">
        <v>20</v>
      </c>
      <c r="G24" s="31" t="s">
        <v>20</v>
      </c>
      <c r="H24" s="31" t="s">
        <v>20</v>
      </c>
      <c r="I24" s="31" t="s">
        <v>20</v>
      </c>
      <c r="J24" s="31" t="s">
        <v>20</v>
      </c>
      <c r="K24" s="31" t="s">
        <v>20</v>
      </c>
      <c r="L24" s="52"/>
      <c r="M24" s="31" t="s">
        <v>20</v>
      </c>
      <c r="N24" s="31" t="s">
        <v>20</v>
      </c>
      <c r="O24" s="31" t="s">
        <v>20</v>
      </c>
      <c r="P24" s="31" t="s">
        <v>20</v>
      </c>
      <c r="Q24" s="31" t="s">
        <v>20</v>
      </c>
      <c r="R24" s="31" t="s">
        <v>20</v>
      </c>
      <c r="S24" s="52"/>
      <c r="T24" s="31" t="s">
        <v>20</v>
      </c>
      <c r="U24" s="55"/>
      <c r="V24" s="31" t="s">
        <v>20</v>
      </c>
      <c r="W24" s="31" t="s">
        <v>20</v>
      </c>
      <c r="X24" s="31" t="s">
        <v>20</v>
      </c>
      <c r="Y24" s="31" t="s">
        <v>20</v>
      </c>
      <c r="Z24" s="52"/>
      <c r="AA24" s="31" t="s">
        <v>20</v>
      </c>
      <c r="AB24" s="31" t="s">
        <v>20</v>
      </c>
      <c r="AC24" s="31" t="s">
        <v>21</v>
      </c>
      <c r="AD24" s="31" t="s">
        <v>20</v>
      </c>
      <c r="AE24" s="31" t="s">
        <v>20</v>
      </c>
      <c r="AF24" s="31" t="s">
        <v>20</v>
      </c>
      <c r="AG24" s="52"/>
      <c r="AH24" s="31" t="s">
        <v>20</v>
      </c>
      <c r="AI24" s="4">
        <f t="shared" si="1"/>
        <v>23</v>
      </c>
      <c r="AJ24" s="4">
        <f t="shared" si="2"/>
        <v>1</v>
      </c>
    </row>
    <row r="25" spans="1:40" x14ac:dyDescent="0.25">
      <c r="A25" s="5">
        <v>21</v>
      </c>
      <c r="B25" s="32" t="s">
        <v>56</v>
      </c>
      <c r="C25" s="33" t="s">
        <v>397</v>
      </c>
      <c r="D25" s="6" t="s">
        <v>366</v>
      </c>
      <c r="E25" s="52"/>
      <c r="F25" s="31" t="s">
        <v>20</v>
      </c>
      <c r="G25" s="31" t="s">
        <v>20</v>
      </c>
      <c r="H25" s="31" t="s">
        <v>20</v>
      </c>
      <c r="I25" s="31" t="s">
        <v>21</v>
      </c>
      <c r="J25" s="31" t="s">
        <v>21</v>
      </c>
      <c r="K25" s="31" t="s">
        <v>20</v>
      </c>
      <c r="L25" s="52"/>
      <c r="M25" s="31" t="s">
        <v>20</v>
      </c>
      <c r="N25" s="31" t="s">
        <v>20</v>
      </c>
      <c r="O25" s="31" t="s">
        <v>20</v>
      </c>
      <c r="P25" s="31" t="s">
        <v>20</v>
      </c>
      <c r="Q25" s="31" t="s">
        <v>20</v>
      </c>
      <c r="R25" s="31" t="s">
        <v>20</v>
      </c>
      <c r="S25" s="52"/>
      <c r="T25" s="31" t="s">
        <v>20</v>
      </c>
      <c r="U25" s="55"/>
      <c r="V25" s="31" t="s">
        <v>20</v>
      </c>
      <c r="W25" s="31" t="s">
        <v>20</v>
      </c>
      <c r="X25" s="31" t="s">
        <v>20</v>
      </c>
      <c r="Y25" s="31" t="s">
        <v>20</v>
      </c>
      <c r="Z25" s="52"/>
      <c r="AA25" s="31" t="s">
        <v>20</v>
      </c>
      <c r="AB25" s="31" t="s">
        <v>20</v>
      </c>
      <c r="AC25" s="31" t="s">
        <v>20</v>
      </c>
      <c r="AD25" s="31" t="s">
        <v>21</v>
      </c>
      <c r="AE25" s="31" t="s">
        <v>20</v>
      </c>
      <c r="AF25" s="31" t="s">
        <v>20</v>
      </c>
      <c r="AG25" s="52"/>
      <c r="AH25" s="31" t="s">
        <v>20</v>
      </c>
      <c r="AI25" s="4">
        <f t="shared" si="1"/>
        <v>21</v>
      </c>
      <c r="AJ25" s="4">
        <f t="shared" si="2"/>
        <v>3</v>
      </c>
    </row>
    <row r="26" spans="1:40" x14ac:dyDescent="0.25">
      <c r="A26" s="7">
        <v>22</v>
      </c>
      <c r="B26" s="32" t="s">
        <v>398</v>
      </c>
      <c r="C26" s="33" t="s">
        <v>399</v>
      </c>
      <c r="D26" s="6" t="s">
        <v>366</v>
      </c>
      <c r="E26" s="52"/>
      <c r="F26" s="31" t="s">
        <v>21</v>
      </c>
      <c r="G26" s="31" t="s">
        <v>20</v>
      </c>
      <c r="H26" s="31" t="s">
        <v>20</v>
      </c>
      <c r="I26" s="31" t="s">
        <v>21</v>
      </c>
      <c r="J26" s="31" t="s">
        <v>21</v>
      </c>
      <c r="K26" s="31" t="s">
        <v>21</v>
      </c>
      <c r="L26" s="52"/>
      <c r="M26" s="31" t="s">
        <v>20</v>
      </c>
      <c r="N26" s="31" t="s">
        <v>20</v>
      </c>
      <c r="O26" s="31" t="s">
        <v>20</v>
      </c>
      <c r="P26" s="31" t="s">
        <v>20</v>
      </c>
      <c r="Q26" s="31" t="s">
        <v>20</v>
      </c>
      <c r="R26" s="31" t="s">
        <v>20</v>
      </c>
      <c r="S26" s="52"/>
      <c r="T26" s="31" t="s">
        <v>20</v>
      </c>
      <c r="U26" s="55"/>
      <c r="V26" s="31" t="s">
        <v>21</v>
      </c>
      <c r="W26" s="31" t="s">
        <v>20</v>
      </c>
      <c r="X26" s="31" t="s">
        <v>21</v>
      </c>
      <c r="Y26" s="31" t="s">
        <v>20</v>
      </c>
      <c r="Z26" s="52"/>
      <c r="AA26" s="31" t="s">
        <v>21</v>
      </c>
      <c r="AB26" s="31" t="s">
        <v>20</v>
      </c>
      <c r="AC26" s="31" t="s">
        <v>20</v>
      </c>
      <c r="AD26" s="31" t="s">
        <v>20</v>
      </c>
      <c r="AE26" s="31" t="s">
        <v>21</v>
      </c>
      <c r="AF26" s="31" t="s">
        <v>21</v>
      </c>
      <c r="AG26" s="52"/>
      <c r="AH26" s="31" t="s">
        <v>21</v>
      </c>
      <c r="AI26" s="4">
        <f t="shared" si="1"/>
        <v>14</v>
      </c>
      <c r="AJ26" s="4">
        <f t="shared" si="2"/>
        <v>10</v>
      </c>
    </row>
    <row r="27" spans="1:40" x14ac:dyDescent="0.25">
      <c r="A27" s="5">
        <v>23</v>
      </c>
      <c r="B27" s="32" t="s">
        <v>400</v>
      </c>
      <c r="C27" s="33" t="s">
        <v>401</v>
      </c>
      <c r="D27" s="6" t="s">
        <v>366</v>
      </c>
      <c r="E27" s="52"/>
      <c r="F27" s="31" t="s">
        <v>20</v>
      </c>
      <c r="G27" s="31" t="s">
        <v>20</v>
      </c>
      <c r="H27" s="31" t="s">
        <v>20</v>
      </c>
      <c r="I27" s="31" t="s">
        <v>20</v>
      </c>
      <c r="J27" s="31" t="s">
        <v>20</v>
      </c>
      <c r="K27" s="31" t="s">
        <v>21</v>
      </c>
      <c r="L27" s="52"/>
      <c r="M27" s="31" t="s">
        <v>21</v>
      </c>
      <c r="N27" s="31" t="s">
        <v>20</v>
      </c>
      <c r="O27" s="31" t="s">
        <v>20</v>
      </c>
      <c r="P27" s="31" t="s">
        <v>21</v>
      </c>
      <c r="Q27" s="31" t="s">
        <v>20</v>
      </c>
      <c r="R27" s="31" t="s">
        <v>20</v>
      </c>
      <c r="S27" s="52"/>
      <c r="T27" s="31" t="s">
        <v>20</v>
      </c>
      <c r="U27" s="55"/>
      <c r="V27" s="31" t="s">
        <v>20</v>
      </c>
      <c r="W27" s="31" t="s">
        <v>20</v>
      </c>
      <c r="X27" s="31" t="s">
        <v>20</v>
      </c>
      <c r="Y27" s="31" t="s">
        <v>20</v>
      </c>
      <c r="Z27" s="52"/>
      <c r="AA27" s="31" t="s">
        <v>20</v>
      </c>
      <c r="AB27" s="31" t="s">
        <v>20</v>
      </c>
      <c r="AC27" s="31" t="s">
        <v>20</v>
      </c>
      <c r="AD27" s="31" t="s">
        <v>20</v>
      </c>
      <c r="AE27" s="31" t="s">
        <v>20</v>
      </c>
      <c r="AF27" s="31" t="s">
        <v>20</v>
      </c>
      <c r="AG27" s="52"/>
      <c r="AH27" s="31" t="s">
        <v>21</v>
      </c>
      <c r="AI27" s="4">
        <f t="shared" si="1"/>
        <v>20</v>
      </c>
      <c r="AJ27" s="4">
        <f t="shared" si="2"/>
        <v>4</v>
      </c>
    </row>
    <row r="28" spans="1:40" x14ac:dyDescent="0.25">
      <c r="A28" s="7">
        <v>24</v>
      </c>
      <c r="B28" s="32" t="s">
        <v>99</v>
      </c>
      <c r="C28" s="33" t="s">
        <v>402</v>
      </c>
      <c r="D28" s="6" t="s">
        <v>366</v>
      </c>
      <c r="E28" s="52"/>
      <c r="F28" s="31" t="s">
        <v>102</v>
      </c>
      <c r="G28" s="31" t="s">
        <v>102</v>
      </c>
      <c r="H28" s="31" t="s">
        <v>102</v>
      </c>
      <c r="I28" s="31" t="s">
        <v>102</v>
      </c>
      <c r="J28" s="31" t="s">
        <v>102</v>
      </c>
      <c r="K28" s="31" t="s">
        <v>102</v>
      </c>
      <c r="L28" s="52"/>
      <c r="M28" s="31" t="s">
        <v>20</v>
      </c>
      <c r="N28" s="31" t="s">
        <v>20</v>
      </c>
      <c r="O28" s="31" t="s">
        <v>20</v>
      </c>
      <c r="P28" s="31" t="s">
        <v>20</v>
      </c>
      <c r="Q28" s="31" t="s">
        <v>20</v>
      </c>
      <c r="R28" s="31" t="s">
        <v>20</v>
      </c>
      <c r="S28" s="52"/>
      <c r="T28" s="31" t="s">
        <v>20</v>
      </c>
      <c r="U28" s="55"/>
      <c r="V28" s="31" t="s">
        <v>20</v>
      </c>
      <c r="W28" s="31" t="s">
        <v>20</v>
      </c>
      <c r="X28" s="31" t="s">
        <v>20</v>
      </c>
      <c r="Y28" s="31" t="s">
        <v>20</v>
      </c>
      <c r="Z28" s="52"/>
      <c r="AA28" s="31" t="s">
        <v>20</v>
      </c>
      <c r="AB28" s="31" t="s">
        <v>20</v>
      </c>
      <c r="AC28" s="31" t="s">
        <v>20</v>
      </c>
      <c r="AD28" s="31" t="s">
        <v>20</v>
      </c>
      <c r="AE28" s="31" t="s">
        <v>20</v>
      </c>
      <c r="AF28" s="31" t="s">
        <v>20</v>
      </c>
      <c r="AG28" s="52"/>
      <c r="AH28" s="31" t="s">
        <v>20</v>
      </c>
      <c r="AI28" s="4">
        <f t="shared" si="1"/>
        <v>18</v>
      </c>
      <c r="AJ28" s="4">
        <f t="shared" si="2"/>
        <v>0</v>
      </c>
    </row>
    <row r="29" spans="1:40" ht="15" customHeight="1" x14ac:dyDescent="0.25">
      <c r="A29" s="5">
        <v>1</v>
      </c>
      <c r="B29" s="32" t="s">
        <v>403</v>
      </c>
      <c r="C29" s="33" t="s">
        <v>397</v>
      </c>
      <c r="D29" s="6" t="s">
        <v>366</v>
      </c>
      <c r="E29" s="52"/>
      <c r="F29" s="31" t="s">
        <v>20</v>
      </c>
      <c r="G29" s="31" t="s">
        <v>20</v>
      </c>
      <c r="H29" s="31" t="s">
        <v>20</v>
      </c>
      <c r="I29" s="31" t="s">
        <v>20</v>
      </c>
      <c r="J29" s="31" t="s">
        <v>21</v>
      </c>
      <c r="K29" s="31" t="s">
        <v>21</v>
      </c>
      <c r="L29" s="52"/>
      <c r="M29" s="31" t="s">
        <v>21</v>
      </c>
      <c r="N29" s="31" t="s">
        <v>21</v>
      </c>
      <c r="O29" s="31" t="s">
        <v>21</v>
      </c>
      <c r="P29" s="31" t="s">
        <v>21</v>
      </c>
      <c r="Q29" s="31" t="s">
        <v>21</v>
      </c>
      <c r="R29" s="31" t="s">
        <v>21</v>
      </c>
      <c r="S29" s="52"/>
      <c r="T29" s="31" t="s">
        <v>21</v>
      </c>
      <c r="U29" s="55"/>
      <c r="V29" s="31" t="s">
        <v>21</v>
      </c>
      <c r="W29" s="31" t="s">
        <v>21</v>
      </c>
      <c r="X29" s="31" t="s">
        <v>21</v>
      </c>
      <c r="Y29" s="31" t="s">
        <v>21</v>
      </c>
      <c r="Z29" s="52"/>
      <c r="AA29" s="31" t="s">
        <v>20</v>
      </c>
      <c r="AB29" s="31" t="s">
        <v>20</v>
      </c>
      <c r="AC29" s="31" t="s">
        <v>20</v>
      </c>
      <c r="AD29" s="31" t="s">
        <v>20</v>
      </c>
      <c r="AE29" s="31" t="s">
        <v>21</v>
      </c>
      <c r="AF29" s="31" t="s">
        <v>21</v>
      </c>
      <c r="AG29" s="52"/>
      <c r="AH29" s="31" t="s">
        <v>20</v>
      </c>
      <c r="AI29" s="4">
        <f t="shared" si="1"/>
        <v>9</v>
      </c>
      <c r="AJ29" s="4">
        <f t="shared" si="2"/>
        <v>15</v>
      </c>
    </row>
    <row r="30" spans="1:40" x14ac:dyDescent="0.25">
      <c r="A30" s="7">
        <v>2</v>
      </c>
      <c r="B30" s="32" t="s">
        <v>403</v>
      </c>
      <c r="C30" s="33" t="s">
        <v>404</v>
      </c>
      <c r="D30" s="6" t="s">
        <v>366</v>
      </c>
      <c r="E30" s="52"/>
      <c r="F30" s="31" t="s">
        <v>20</v>
      </c>
      <c r="G30" s="31" t="s">
        <v>20</v>
      </c>
      <c r="H30" s="31" t="s">
        <v>20</v>
      </c>
      <c r="I30" s="31" t="s">
        <v>20</v>
      </c>
      <c r="J30" s="31" t="s">
        <v>21</v>
      </c>
      <c r="K30" s="31" t="s">
        <v>21</v>
      </c>
      <c r="L30" s="52"/>
      <c r="M30" s="31" t="s">
        <v>20</v>
      </c>
      <c r="N30" s="31" t="s">
        <v>20</v>
      </c>
      <c r="O30" s="31" t="s">
        <v>20</v>
      </c>
      <c r="P30" s="31" t="s">
        <v>21</v>
      </c>
      <c r="Q30" s="31" t="s">
        <v>20</v>
      </c>
      <c r="R30" s="31" t="s">
        <v>21</v>
      </c>
      <c r="S30" s="52"/>
      <c r="T30" s="31" t="s">
        <v>20</v>
      </c>
      <c r="U30" s="55"/>
      <c r="V30" s="31" t="s">
        <v>20</v>
      </c>
      <c r="W30" s="31" t="s">
        <v>20</v>
      </c>
      <c r="X30" s="31" t="s">
        <v>20</v>
      </c>
      <c r="Y30" s="31" t="s">
        <v>21</v>
      </c>
      <c r="Z30" s="52"/>
      <c r="AA30" s="31" t="s">
        <v>20</v>
      </c>
      <c r="AB30" s="31" t="s">
        <v>20</v>
      </c>
      <c r="AC30" s="31" t="s">
        <v>21</v>
      </c>
      <c r="AD30" s="31" t="s">
        <v>21</v>
      </c>
      <c r="AE30" s="31" t="s">
        <v>20</v>
      </c>
      <c r="AF30" s="31" t="s">
        <v>21</v>
      </c>
      <c r="AG30" s="52"/>
      <c r="AH30" s="31" t="s">
        <v>20</v>
      </c>
      <c r="AI30" s="4">
        <f t="shared" si="1"/>
        <v>16</v>
      </c>
      <c r="AJ30" s="4">
        <f t="shared" si="2"/>
        <v>8</v>
      </c>
    </row>
    <row r="31" spans="1:40" x14ac:dyDescent="0.25">
      <c r="A31" s="5">
        <v>3</v>
      </c>
      <c r="B31" s="32" t="s">
        <v>405</v>
      </c>
      <c r="C31" s="33" t="s">
        <v>406</v>
      </c>
      <c r="D31" s="6" t="s">
        <v>366</v>
      </c>
      <c r="E31" s="52"/>
      <c r="F31" s="31" t="s">
        <v>20</v>
      </c>
      <c r="G31" s="31" t="s">
        <v>20</v>
      </c>
      <c r="H31" s="31" t="s">
        <v>20</v>
      </c>
      <c r="I31" s="31" t="s">
        <v>20</v>
      </c>
      <c r="J31" s="31" t="s">
        <v>20</v>
      </c>
      <c r="K31" s="31" t="s">
        <v>20</v>
      </c>
      <c r="L31" s="52"/>
      <c r="M31" s="31" t="s">
        <v>20</v>
      </c>
      <c r="N31" s="31" t="s">
        <v>20</v>
      </c>
      <c r="O31" s="31" t="s">
        <v>20</v>
      </c>
      <c r="P31" s="31" t="s">
        <v>20</v>
      </c>
      <c r="Q31" s="31" t="s">
        <v>20</v>
      </c>
      <c r="R31" s="31" t="s">
        <v>20</v>
      </c>
      <c r="S31" s="52"/>
      <c r="T31" s="31" t="s">
        <v>21</v>
      </c>
      <c r="U31" s="55"/>
      <c r="V31" s="31" t="s">
        <v>20</v>
      </c>
      <c r="W31" s="31" t="s">
        <v>20</v>
      </c>
      <c r="X31" s="31" t="s">
        <v>20</v>
      </c>
      <c r="Y31" s="31" t="s">
        <v>20</v>
      </c>
      <c r="Z31" s="52"/>
      <c r="AA31" s="31" t="s">
        <v>20</v>
      </c>
      <c r="AB31" s="31" t="s">
        <v>20</v>
      </c>
      <c r="AC31" s="31" t="s">
        <v>20</v>
      </c>
      <c r="AD31" s="31" t="s">
        <v>20</v>
      </c>
      <c r="AE31" s="31" t="s">
        <v>20</v>
      </c>
      <c r="AF31" s="31" t="s">
        <v>20</v>
      </c>
      <c r="AG31" s="52"/>
      <c r="AH31" s="31" t="s">
        <v>20</v>
      </c>
      <c r="AI31" s="4">
        <f t="shared" si="1"/>
        <v>23</v>
      </c>
      <c r="AJ31" s="4">
        <f t="shared" si="2"/>
        <v>1</v>
      </c>
    </row>
    <row r="32" spans="1:40" x14ac:dyDescent="0.25">
      <c r="A32" s="7">
        <v>4</v>
      </c>
      <c r="B32" s="32" t="s">
        <v>407</v>
      </c>
      <c r="C32" s="33" t="s">
        <v>408</v>
      </c>
      <c r="D32" s="6" t="s">
        <v>366</v>
      </c>
      <c r="E32" s="52"/>
      <c r="F32" s="31" t="s">
        <v>21</v>
      </c>
      <c r="G32" s="31" t="s">
        <v>20</v>
      </c>
      <c r="H32" s="31" t="s">
        <v>20</v>
      </c>
      <c r="I32" s="31" t="s">
        <v>20</v>
      </c>
      <c r="J32" s="31" t="s">
        <v>21</v>
      </c>
      <c r="K32" s="31" t="s">
        <v>21</v>
      </c>
      <c r="L32" s="52"/>
      <c r="M32" s="31" t="s">
        <v>20</v>
      </c>
      <c r="N32" s="31" t="s">
        <v>20</v>
      </c>
      <c r="O32" s="31" t="s">
        <v>20</v>
      </c>
      <c r="P32" s="31" t="s">
        <v>20</v>
      </c>
      <c r="Q32" s="31" t="s">
        <v>21</v>
      </c>
      <c r="R32" s="31" t="s">
        <v>20</v>
      </c>
      <c r="S32" s="52"/>
      <c r="T32" s="31" t="s">
        <v>21</v>
      </c>
      <c r="U32" s="55"/>
      <c r="V32" s="31" t="s">
        <v>20</v>
      </c>
      <c r="W32" s="31" t="s">
        <v>20</v>
      </c>
      <c r="X32" s="31" t="s">
        <v>20</v>
      </c>
      <c r="Y32" s="31" t="s">
        <v>21</v>
      </c>
      <c r="Z32" s="52"/>
      <c r="AA32" s="31" t="s">
        <v>20</v>
      </c>
      <c r="AB32" s="31" t="s">
        <v>20</v>
      </c>
      <c r="AC32" s="31" t="s">
        <v>20</v>
      </c>
      <c r="AD32" s="31" t="s">
        <v>20</v>
      </c>
      <c r="AE32" s="31" t="s">
        <v>20</v>
      </c>
      <c r="AF32" s="31" t="s">
        <v>21</v>
      </c>
      <c r="AG32" s="52"/>
      <c r="AH32" s="31" t="s">
        <v>20</v>
      </c>
      <c r="AI32" s="4">
        <f t="shared" si="1"/>
        <v>17</v>
      </c>
      <c r="AJ32" s="4">
        <f t="shared" si="2"/>
        <v>7</v>
      </c>
    </row>
    <row r="33" spans="1:36" x14ac:dyDescent="0.25">
      <c r="A33" s="5">
        <v>5</v>
      </c>
      <c r="B33" s="32" t="s">
        <v>270</v>
      </c>
      <c r="C33" s="33" t="s">
        <v>409</v>
      </c>
      <c r="D33" s="6" t="s">
        <v>366</v>
      </c>
      <c r="E33" s="52"/>
      <c r="F33" s="31" t="s">
        <v>20</v>
      </c>
      <c r="G33" s="31" t="s">
        <v>20</v>
      </c>
      <c r="H33" s="31" t="s">
        <v>20</v>
      </c>
      <c r="I33" s="31" t="s">
        <v>20</v>
      </c>
      <c r="J33" s="31" t="s">
        <v>20</v>
      </c>
      <c r="K33" s="31" t="s">
        <v>20</v>
      </c>
      <c r="L33" s="52"/>
      <c r="M33" s="31" t="s">
        <v>20</v>
      </c>
      <c r="N33" s="31" t="s">
        <v>20</v>
      </c>
      <c r="O33" s="31" t="s">
        <v>20</v>
      </c>
      <c r="P33" s="31" t="s">
        <v>20</v>
      </c>
      <c r="Q33" s="31" t="s">
        <v>20</v>
      </c>
      <c r="R33" s="31" t="s">
        <v>20</v>
      </c>
      <c r="S33" s="52"/>
      <c r="T33" s="31" t="s">
        <v>21</v>
      </c>
      <c r="U33" s="55"/>
      <c r="V33" s="31" t="s">
        <v>20</v>
      </c>
      <c r="W33" s="31" t="s">
        <v>20</v>
      </c>
      <c r="X33" s="31" t="s">
        <v>20</v>
      </c>
      <c r="Y33" s="31" t="s">
        <v>20</v>
      </c>
      <c r="Z33" s="52"/>
      <c r="AA33" s="31" t="s">
        <v>20</v>
      </c>
      <c r="AB33" s="31" t="s">
        <v>20</v>
      </c>
      <c r="AC33" s="31" t="s">
        <v>20</v>
      </c>
      <c r="AD33" s="31" t="s">
        <v>20</v>
      </c>
      <c r="AE33" s="31" t="s">
        <v>20</v>
      </c>
      <c r="AF33" s="31" t="s">
        <v>20</v>
      </c>
      <c r="AG33" s="52"/>
      <c r="AH33" s="31" t="s">
        <v>20</v>
      </c>
      <c r="AI33" s="4">
        <f t="shared" si="1"/>
        <v>23</v>
      </c>
      <c r="AJ33" s="4">
        <f t="shared" si="2"/>
        <v>1</v>
      </c>
    </row>
    <row r="34" spans="1:36" x14ac:dyDescent="0.25">
      <c r="A34" s="7">
        <v>6</v>
      </c>
      <c r="B34" s="32" t="s">
        <v>410</v>
      </c>
      <c r="C34" s="33" t="s">
        <v>411</v>
      </c>
      <c r="D34" s="6" t="s">
        <v>366</v>
      </c>
      <c r="E34" s="52"/>
      <c r="F34" s="31" t="s">
        <v>20</v>
      </c>
      <c r="G34" s="31" t="s">
        <v>20</v>
      </c>
      <c r="H34" s="31" t="s">
        <v>21</v>
      </c>
      <c r="I34" s="31" t="s">
        <v>20</v>
      </c>
      <c r="J34" s="31" t="s">
        <v>21</v>
      </c>
      <c r="K34" s="31" t="s">
        <v>20</v>
      </c>
      <c r="L34" s="52"/>
      <c r="M34" s="31" t="s">
        <v>20</v>
      </c>
      <c r="N34" s="31" t="s">
        <v>20</v>
      </c>
      <c r="O34" s="31" t="s">
        <v>20</v>
      </c>
      <c r="P34" s="31" t="s">
        <v>20</v>
      </c>
      <c r="Q34" s="31" t="s">
        <v>20</v>
      </c>
      <c r="R34" s="31" t="s">
        <v>20</v>
      </c>
      <c r="S34" s="52"/>
      <c r="T34" s="31" t="s">
        <v>20</v>
      </c>
      <c r="U34" s="55"/>
      <c r="V34" s="31" t="s">
        <v>20</v>
      </c>
      <c r="W34" s="31" t="s">
        <v>20</v>
      </c>
      <c r="X34" s="31" t="s">
        <v>20</v>
      </c>
      <c r="Y34" s="31" t="s">
        <v>20</v>
      </c>
      <c r="Z34" s="52"/>
      <c r="AA34" s="31" t="s">
        <v>20</v>
      </c>
      <c r="AB34" s="31" t="s">
        <v>20</v>
      </c>
      <c r="AC34" s="31" t="s">
        <v>20</v>
      </c>
      <c r="AD34" s="31" t="s">
        <v>20</v>
      </c>
      <c r="AE34" s="31" t="s">
        <v>20</v>
      </c>
      <c r="AF34" s="31" t="s">
        <v>20</v>
      </c>
      <c r="AG34" s="52"/>
      <c r="AH34" s="31" t="s">
        <v>20</v>
      </c>
      <c r="AI34" s="4">
        <f t="shared" si="1"/>
        <v>22</v>
      </c>
      <c r="AJ34" s="4">
        <f t="shared" si="2"/>
        <v>2</v>
      </c>
    </row>
    <row r="35" spans="1:36" x14ac:dyDescent="0.25">
      <c r="A35" s="5">
        <v>7</v>
      </c>
      <c r="B35" s="32" t="s">
        <v>412</v>
      </c>
      <c r="C35" s="33" t="s">
        <v>413</v>
      </c>
      <c r="D35" s="6" t="s">
        <v>366</v>
      </c>
      <c r="E35" s="52"/>
      <c r="F35" s="31" t="s">
        <v>20</v>
      </c>
      <c r="G35" s="31" t="s">
        <v>20</v>
      </c>
      <c r="H35" s="31" t="s">
        <v>20</v>
      </c>
      <c r="I35" s="31" t="s">
        <v>20</v>
      </c>
      <c r="J35" s="31" t="s">
        <v>20</v>
      </c>
      <c r="K35" s="31" t="s">
        <v>20</v>
      </c>
      <c r="L35" s="52"/>
      <c r="M35" s="31" t="s">
        <v>20</v>
      </c>
      <c r="N35" s="31" t="s">
        <v>20</v>
      </c>
      <c r="O35" s="31" t="s">
        <v>20</v>
      </c>
      <c r="P35" s="31" t="s">
        <v>20</v>
      </c>
      <c r="Q35" s="31" t="s">
        <v>20</v>
      </c>
      <c r="R35" s="31" t="s">
        <v>20</v>
      </c>
      <c r="S35" s="52"/>
      <c r="T35" s="31" t="s">
        <v>20</v>
      </c>
      <c r="U35" s="55"/>
      <c r="V35" s="31" t="s">
        <v>20</v>
      </c>
      <c r="W35" s="31" t="s">
        <v>20</v>
      </c>
      <c r="X35" s="31" t="s">
        <v>20</v>
      </c>
      <c r="Y35" s="31" t="s">
        <v>20</v>
      </c>
      <c r="Z35" s="52"/>
      <c r="AA35" s="31" t="s">
        <v>20</v>
      </c>
      <c r="AB35" s="31" t="s">
        <v>20</v>
      </c>
      <c r="AC35" s="31" t="s">
        <v>20</v>
      </c>
      <c r="AD35" s="31" t="s">
        <v>20</v>
      </c>
      <c r="AE35" s="31" t="s">
        <v>20</v>
      </c>
      <c r="AF35" s="31" t="s">
        <v>20</v>
      </c>
      <c r="AG35" s="52"/>
      <c r="AH35" s="31" t="s">
        <v>20</v>
      </c>
      <c r="AI35" s="4">
        <f t="shared" si="1"/>
        <v>24</v>
      </c>
      <c r="AJ35" s="4">
        <f t="shared" si="2"/>
        <v>0</v>
      </c>
    </row>
    <row r="36" spans="1:36" x14ac:dyDescent="0.25">
      <c r="A36" s="7">
        <v>8</v>
      </c>
      <c r="B36" s="32" t="s">
        <v>414</v>
      </c>
      <c r="C36" s="33" t="s">
        <v>415</v>
      </c>
      <c r="D36" s="6" t="s">
        <v>366</v>
      </c>
      <c r="E36" s="52"/>
      <c r="F36" s="31" t="s">
        <v>20</v>
      </c>
      <c r="G36" s="31" t="s">
        <v>20</v>
      </c>
      <c r="H36" s="31" t="s">
        <v>20</v>
      </c>
      <c r="I36" s="31" t="s">
        <v>20</v>
      </c>
      <c r="J36" s="31" t="s">
        <v>20</v>
      </c>
      <c r="K36" s="31" t="s">
        <v>20</v>
      </c>
      <c r="L36" s="52"/>
      <c r="M36" s="31" t="s">
        <v>20</v>
      </c>
      <c r="N36" s="31" t="s">
        <v>20</v>
      </c>
      <c r="O36" s="31" t="s">
        <v>20</v>
      </c>
      <c r="P36" s="31" t="s">
        <v>20</v>
      </c>
      <c r="Q36" s="31" t="s">
        <v>20</v>
      </c>
      <c r="R36" s="31" t="s">
        <v>20</v>
      </c>
      <c r="S36" s="52"/>
      <c r="T36" s="31" t="s">
        <v>20</v>
      </c>
      <c r="U36" s="55"/>
      <c r="V36" s="31" t="s">
        <v>21</v>
      </c>
      <c r="W36" s="31" t="s">
        <v>21</v>
      </c>
      <c r="X36" s="31" t="s">
        <v>21</v>
      </c>
      <c r="Y36" s="31" t="s">
        <v>21</v>
      </c>
      <c r="Z36" s="52"/>
      <c r="AA36" s="31" t="s">
        <v>20</v>
      </c>
      <c r="AB36" s="31" t="s">
        <v>20</v>
      </c>
      <c r="AC36" s="31" t="s">
        <v>20</v>
      </c>
      <c r="AD36" s="31" t="s">
        <v>20</v>
      </c>
      <c r="AE36" s="31" t="s">
        <v>20</v>
      </c>
      <c r="AF36" s="31" t="s">
        <v>20</v>
      </c>
      <c r="AG36" s="52"/>
      <c r="AH36" s="31" t="s">
        <v>20</v>
      </c>
      <c r="AI36" s="4">
        <f t="shared" si="1"/>
        <v>20</v>
      </c>
      <c r="AJ36" s="4">
        <f t="shared" si="2"/>
        <v>4</v>
      </c>
    </row>
    <row r="37" spans="1:36" x14ac:dyDescent="0.25">
      <c r="A37" s="5">
        <v>9</v>
      </c>
      <c r="B37" s="32" t="s">
        <v>256</v>
      </c>
      <c r="C37" s="33" t="s">
        <v>416</v>
      </c>
      <c r="D37" s="6" t="s">
        <v>366</v>
      </c>
      <c r="E37" s="52"/>
      <c r="F37" s="31" t="s">
        <v>20</v>
      </c>
      <c r="G37" s="31" t="s">
        <v>20</v>
      </c>
      <c r="H37" s="31" t="s">
        <v>20</v>
      </c>
      <c r="I37" s="31" t="s">
        <v>20</v>
      </c>
      <c r="J37" s="31" t="s">
        <v>20</v>
      </c>
      <c r="K37" s="31" t="s">
        <v>20</v>
      </c>
      <c r="L37" s="52"/>
      <c r="M37" s="31" t="s">
        <v>20</v>
      </c>
      <c r="N37" s="31" t="s">
        <v>20</v>
      </c>
      <c r="O37" s="31" t="s">
        <v>20</v>
      </c>
      <c r="P37" s="31" t="s">
        <v>20</v>
      </c>
      <c r="Q37" s="31" t="s">
        <v>20</v>
      </c>
      <c r="R37" s="31" t="s">
        <v>20</v>
      </c>
      <c r="S37" s="52"/>
      <c r="T37" s="31" t="s">
        <v>20</v>
      </c>
      <c r="U37" s="55"/>
      <c r="V37" s="31" t="s">
        <v>20</v>
      </c>
      <c r="W37" s="31" t="s">
        <v>20</v>
      </c>
      <c r="X37" s="31" t="s">
        <v>20</v>
      </c>
      <c r="Y37" s="31" t="s">
        <v>20</v>
      </c>
      <c r="Z37" s="52"/>
      <c r="AA37" s="31" t="s">
        <v>20</v>
      </c>
      <c r="AB37" s="31" t="s">
        <v>20</v>
      </c>
      <c r="AC37" s="31" t="s">
        <v>20</v>
      </c>
      <c r="AD37" s="31" t="s">
        <v>20</v>
      </c>
      <c r="AE37" s="31" t="s">
        <v>20</v>
      </c>
      <c r="AF37" s="31" t="s">
        <v>20</v>
      </c>
      <c r="AG37" s="52"/>
      <c r="AH37" s="31" t="s">
        <v>20</v>
      </c>
      <c r="AI37" s="4">
        <f t="shared" si="1"/>
        <v>24</v>
      </c>
      <c r="AJ37" s="4">
        <f t="shared" si="2"/>
        <v>0</v>
      </c>
    </row>
    <row r="38" spans="1:36" x14ac:dyDescent="0.25">
      <c r="A38" s="7">
        <v>10</v>
      </c>
      <c r="B38" s="32" t="s">
        <v>417</v>
      </c>
      <c r="C38" s="33" t="s">
        <v>418</v>
      </c>
      <c r="D38" s="6" t="s">
        <v>366</v>
      </c>
      <c r="E38" s="52"/>
      <c r="F38" s="31" t="s">
        <v>20</v>
      </c>
      <c r="G38" s="31" t="s">
        <v>20</v>
      </c>
      <c r="H38" s="31" t="s">
        <v>20</v>
      </c>
      <c r="I38" s="31" t="s">
        <v>20</v>
      </c>
      <c r="J38" s="31" t="s">
        <v>20</v>
      </c>
      <c r="K38" s="31" t="s">
        <v>20</v>
      </c>
      <c r="L38" s="52"/>
      <c r="M38" s="31" t="s">
        <v>20</v>
      </c>
      <c r="N38" s="31" t="s">
        <v>20</v>
      </c>
      <c r="O38" s="31" t="s">
        <v>20</v>
      </c>
      <c r="P38" s="31" t="s">
        <v>20</v>
      </c>
      <c r="Q38" s="31" t="s">
        <v>20</v>
      </c>
      <c r="R38" s="31" t="s">
        <v>20</v>
      </c>
      <c r="S38" s="52"/>
      <c r="T38" s="31" t="s">
        <v>20</v>
      </c>
      <c r="U38" s="55"/>
      <c r="V38" s="31" t="s">
        <v>20</v>
      </c>
      <c r="W38" s="31" t="s">
        <v>20</v>
      </c>
      <c r="X38" s="31" t="s">
        <v>20</v>
      </c>
      <c r="Y38" s="31" t="s">
        <v>20</v>
      </c>
      <c r="Z38" s="52"/>
      <c r="AA38" s="31" t="s">
        <v>20</v>
      </c>
      <c r="AB38" s="31" t="s">
        <v>20</v>
      </c>
      <c r="AC38" s="31" t="s">
        <v>20</v>
      </c>
      <c r="AD38" s="31" t="s">
        <v>20</v>
      </c>
      <c r="AE38" s="31" t="s">
        <v>20</v>
      </c>
      <c r="AF38" s="31" t="s">
        <v>20</v>
      </c>
      <c r="AG38" s="52"/>
      <c r="AH38" s="31" t="s">
        <v>20</v>
      </c>
      <c r="AI38" s="4">
        <f t="shared" si="1"/>
        <v>24</v>
      </c>
      <c r="AJ38" s="4">
        <f t="shared" si="2"/>
        <v>0</v>
      </c>
    </row>
    <row r="39" spans="1:36" x14ac:dyDescent="0.25">
      <c r="A39" s="5">
        <v>11</v>
      </c>
      <c r="B39" s="32" t="s">
        <v>419</v>
      </c>
      <c r="C39" s="33" t="s">
        <v>420</v>
      </c>
      <c r="D39" s="6" t="s">
        <v>366</v>
      </c>
      <c r="E39" s="52"/>
      <c r="F39" s="31" t="s">
        <v>20</v>
      </c>
      <c r="G39" s="31" t="s">
        <v>20</v>
      </c>
      <c r="H39" s="31" t="s">
        <v>21</v>
      </c>
      <c r="I39" s="31" t="s">
        <v>20</v>
      </c>
      <c r="J39" s="31" t="s">
        <v>20</v>
      </c>
      <c r="K39" s="31" t="s">
        <v>20</v>
      </c>
      <c r="L39" s="52"/>
      <c r="M39" s="31" t="s">
        <v>21</v>
      </c>
      <c r="N39" s="31" t="s">
        <v>20</v>
      </c>
      <c r="O39" s="31" t="s">
        <v>20</v>
      </c>
      <c r="P39" s="31" t="s">
        <v>20</v>
      </c>
      <c r="Q39" s="31" t="s">
        <v>20</v>
      </c>
      <c r="R39" s="31" t="s">
        <v>20</v>
      </c>
      <c r="S39" s="52"/>
      <c r="T39" s="31" t="s">
        <v>20</v>
      </c>
      <c r="U39" s="55"/>
      <c r="V39" s="31" t="s">
        <v>20</v>
      </c>
      <c r="W39" s="31" t="s">
        <v>20</v>
      </c>
      <c r="X39" s="31" t="s">
        <v>20</v>
      </c>
      <c r="Y39" s="31" t="s">
        <v>20</v>
      </c>
      <c r="Z39" s="52"/>
      <c r="AA39" s="31" t="s">
        <v>20</v>
      </c>
      <c r="AB39" s="31" t="s">
        <v>20</v>
      </c>
      <c r="AC39" s="31" t="s">
        <v>20</v>
      </c>
      <c r="AD39" s="31" t="s">
        <v>20</v>
      </c>
      <c r="AE39" s="31" t="s">
        <v>20</v>
      </c>
      <c r="AF39" s="31" t="s">
        <v>21</v>
      </c>
      <c r="AG39" s="52"/>
      <c r="AH39" s="31" t="s">
        <v>20</v>
      </c>
      <c r="AI39" s="4">
        <f t="shared" si="1"/>
        <v>21</v>
      </c>
      <c r="AJ39" s="4">
        <f t="shared" si="2"/>
        <v>3</v>
      </c>
    </row>
    <row r="40" spans="1:36" x14ac:dyDescent="0.25">
      <c r="A40" s="7">
        <v>12</v>
      </c>
      <c r="B40" s="32" t="s">
        <v>421</v>
      </c>
      <c r="C40" s="33" t="s">
        <v>422</v>
      </c>
      <c r="D40" s="6" t="s">
        <v>366</v>
      </c>
      <c r="E40" s="52"/>
      <c r="F40" s="31" t="s">
        <v>20</v>
      </c>
      <c r="G40" s="31" t="s">
        <v>20</v>
      </c>
      <c r="H40" s="31" t="s">
        <v>21</v>
      </c>
      <c r="I40" s="31" t="s">
        <v>20</v>
      </c>
      <c r="J40" s="31" t="s">
        <v>20</v>
      </c>
      <c r="K40" s="31" t="s">
        <v>20</v>
      </c>
      <c r="L40" s="52"/>
      <c r="M40" s="31" t="s">
        <v>20</v>
      </c>
      <c r="N40" s="31" t="s">
        <v>20</v>
      </c>
      <c r="O40" s="31" t="s">
        <v>20</v>
      </c>
      <c r="P40" s="31" t="s">
        <v>20</v>
      </c>
      <c r="Q40" s="31" t="s">
        <v>20</v>
      </c>
      <c r="R40" s="31" t="s">
        <v>20</v>
      </c>
      <c r="S40" s="52"/>
      <c r="T40" s="31" t="s">
        <v>20</v>
      </c>
      <c r="U40" s="55"/>
      <c r="V40" s="31" t="s">
        <v>20</v>
      </c>
      <c r="W40" s="31" t="s">
        <v>20</v>
      </c>
      <c r="X40" s="31" t="s">
        <v>20</v>
      </c>
      <c r="Y40" s="31" t="s">
        <v>20</v>
      </c>
      <c r="Z40" s="52"/>
      <c r="AA40" s="31" t="s">
        <v>20</v>
      </c>
      <c r="AB40" s="31" t="s">
        <v>20</v>
      </c>
      <c r="AC40" s="31" t="s">
        <v>20</v>
      </c>
      <c r="AD40" s="31" t="s">
        <v>20</v>
      </c>
      <c r="AE40" s="31" t="s">
        <v>20</v>
      </c>
      <c r="AF40" s="31" t="s">
        <v>20</v>
      </c>
      <c r="AG40" s="52"/>
      <c r="AH40" s="31" t="s">
        <v>20</v>
      </c>
      <c r="AI40" s="4">
        <f t="shared" si="1"/>
        <v>23</v>
      </c>
      <c r="AJ40" s="4">
        <f t="shared" si="2"/>
        <v>1</v>
      </c>
    </row>
    <row r="41" spans="1:36" x14ac:dyDescent="0.25">
      <c r="A41" s="5">
        <v>13</v>
      </c>
      <c r="B41" s="32" t="s">
        <v>421</v>
      </c>
      <c r="C41" s="33" t="s">
        <v>350</v>
      </c>
      <c r="D41" s="6" t="s">
        <v>366</v>
      </c>
      <c r="E41" s="52"/>
      <c r="F41" s="31" t="s">
        <v>20</v>
      </c>
      <c r="G41" s="31" t="s">
        <v>20</v>
      </c>
      <c r="H41" s="31" t="s">
        <v>20</v>
      </c>
      <c r="I41" s="31" t="s">
        <v>20</v>
      </c>
      <c r="J41" s="31" t="s">
        <v>20</v>
      </c>
      <c r="K41" s="31" t="s">
        <v>20</v>
      </c>
      <c r="L41" s="52"/>
      <c r="M41" s="31" t="s">
        <v>20</v>
      </c>
      <c r="N41" s="31" t="s">
        <v>20</v>
      </c>
      <c r="O41" s="31" t="s">
        <v>20</v>
      </c>
      <c r="P41" s="31" t="s">
        <v>20</v>
      </c>
      <c r="Q41" s="31" t="s">
        <v>20</v>
      </c>
      <c r="R41" s="31" t="s">
        <v>20</v>
      </c>
      <c r="S41" s="52"/>
      <c r="T41" s="31" t="s">
        <v>20</v>
      </c>
      <c r="U41" s="55"/>
      <c r="V41" s="31" t="s">
        <v>20</v>
      </c>
      <c r="W41" s="31" t="s">
        <v>20</v>
      </c>
      <c r="X41" s="31" t="s">
        <v>20</v>
      </c>
      <c r="Y41" s="31" t="s">
        <v>20</v>
      </c>
      <c r="Z41" s="52"/>
      <c r="AA41" s="31" t="s">
        <v>20</v>
      </c>
      <c r="AB41" s="31" t="s">
        <v>20</v>
      </c>
      <c r="AC41" s="31" t="s">
        <v>21</v>
      </c>
      <c r="AD41" s="31" t="s">
        <v>20</v>
      </c>
      <c r="AE41" s="31" t="s">
        <v>20</v>
      </c>
      <c r="AF41" s="31" t="s">
        <v>20</v>
      </c>
      <c r="AG41" s="52"/>
      <c r="AH41" s="31" t="s">
        <v>20</v>
      </c>
      <c r="AI41" s="4">
        <f t="shared" si="1"/>
        <v>23</v>
      </c>
      <c r="AJ41" s="4">
        <f t="shared" si="2"/>
        <v>1</v>
      </c>
    </row>
    <row r="42" spans="1:36" x14ac:dyDescent="0.25">
      <c r="A42" s="7">
        <v>14</v>
      </c>
      <c r="B42" s="32" t="s">
        <v>334</v>
      </c>
      <c r="C42" s="33" t="s">
        <v>423</v>
      </c>
      <c r="D42" s="6" t="s">
        <v>366</v>
      </c>
      <c r="E42" s="52"/>
      <c r="F42" s="31" t="s">
        <v>20</v>
      </c>
      <c r="G42" s="31" t="s">
        <v>20</v>
      </c>
      <c r="H42" s="31" t="s">
        <v>20</v>
      </c>
      <c r="I42" s="31" t="s">
        <v>20</v>
      </c>
      <c r="J42" s="31" t="s">
        <v>20</v>
      </c>
      <c r="K42" s="31" t="s">
        <v>20</v>
      </c>
      <c r="L42" s="52"/>
      <c r="M42" s="31" t="s">
        <v>20</v>
      </c>
      <c r="N42" s="31" t="s">
        <v>20</v>
      </c>
      <c r="O42" s="31" t="s">
        <v>21</v>
      </c>
      <c r="P42" s="31" t="s">
        <v>20</v>
      </c>
      <c r="Q42" s="31" t="s">
        <v>20</v>
      </c>
      <c r="R42" s="31" t="s">
        <v>20</v>
      </c>
      <c r="S42" s="52"/>
      <c r="T42" s="31" t="s">
        <v>20</v>
      </c>
      <c r="U42" s="55"/>
      <c r="V42" s="31" t="s">
        <v>20</v>
      </c>
      <c r="W42" s="31" t="s">
        <v>20</v>
      </c>
      <c r="X42" s="31" t="s">
        <v>20</v>
      </c>
      <c r="Y42" s="31" t="s">
        <v>20</v>
      </c>
      <c r="Z42" s="52"/>
      <c r="AA42" s="31" t="s">
        <v>20</v>
      </c>
      <c r="AB42" s="31" t="s">
        <v>20</v>
      </c>
      <c r="AC42" s="31" t="s">
        <v>20</v>
      </c>
      <c r="AD42" s="31" t="s">
        <v>21</v>
      </c>
      <c r="AE42" s="31" t="s">
        <v>20</v>
      </c>
      <c r="AF42" s="31" t="s">
        <v>20</v>
      </c>
      <c r="AG42" s="52"/>
      <c r="AH42" s="31" t="s">
        <v>20</v>
      </c>
      <c r="AI42" s="4">
        <f t="shared" si="1"/>
        <v>22</v>
      </c>
      <c r="AJ42" s="4">
        <f t="shared" si="2"/>
        <v>2</v>
      </c>
    </row>
    <row r="43" spans="1:36" x14ac:dyDescent="0.25">
      <c r="A43" s="5">
        <v>15</v>
      </c>
      <c r="B43" s="32" t="s">
        <v>424</v>
      </c>
      <c r="C43" s="33" t="s">
        <v>425</v>
      </c>
      <c r="D43" s="6" t="s">
        <v>366</v>
      </c>
      <c r="E43" s="52"/>
      <c r="F43" s="31" t="s">
        <v>20</v>
      </c>
      <c r="G43" s="31" t="s">
        <v>20</v>
      </c>
      <c r="H43" s="31" t="s">
        <v>20</v>
      </c>
      <c r="I43" s="31" t="s">
        <v>20</v>
      </c>
      <c r="J43" s="31" t="s">
        <v>20</v>
      </c>
      <c r="K43" s="31" t="s">
        <v>20</v>
      </c>
      <c r="L43" s="52"/>
      <c r="M43" s="31" t="s">
        <v>20</v>
      </c>
      <c r="N43" s="31" t="s">
        <v>20</v>
      </c>
      <c r="O43" s="31" t="s">
        <v>20</v>
      </c>
      <c r="P43" s="31" t="s">
        <v>20</v>
      </c>
      <c r="Q43" s="31" t="s">
        <v>20</v>
      </c>
      <c r="R43" s="31" t="s">
        <v>20</v>
      </c>
      <c r="S43" s="52"/>
      <c r="T43" s="31" t="s">
        <v>20</v>
      </c>
      <c r="U43" s="55"/>
      <c r="V43" s="31" t="s">
        <v>20</v>
      </c>
      <c r="W43" s="31" t="s">
        <v>20</v>
      </c>
      <c r="X43" s="31" t="s">
        <v>20</v>
      </c>
      <c r="Y43" s="31" t="s">
        <v>20</v>
      </c>
      <c r="Z43" s="52"/>
      <c r="AA43" s="31" t="s">
        <v>20</v>
      </c>
      <c r="AB43" s="31" t="s">
        <v>20</v>
      </c>
      <c r="AC43" s="31" t="s">
        <v>20</v>
      </c>
      <c r="AD43" s="31" t="s">
        <v>21</v>
      </c>
      <c r="AE43" s="31" t="s">
        <v>20</v>
      </c>
      <c r="AF43" s="31" t="s">
        <v>20</v>
      </c>
      <c r="AG43" s="52"/>
      <c r="AH43" s="31" t="s">
        <v>20</v>
      </c>
      <c r="AI43" s="4">
        <f t="shared" si="1"/>
        <v>23</v>
      </c>
      <c r="AJ43" s="4">
        <f t="shared" si="2"/>
        <v>1</v>
      </c>
    </row>
    <row r="44" spans="1:36" x14ac:dyDescent="0.25">
      <c r="A44" s="7">
        <v>16</v>
      </c>
      <c r="B44" s="32" t="s">
        <v>426</v>
      </c>
      <c r="C44" s="33" t="s">
        <v>427</v>
      </c>
      <c r="D44" s="6" t="s">
        <v>366</v>
      </c>
      <c r="E44" s="52"/>
      <c r="F44" s="31" t="s">
        <v>21</v>
      </c>
      <c r="G44" s="31" t="s">
        <v>20</v>
      </c>
      <c r="H44" s="31" t="s">
        <v>20</v>
      </c>
      <c r="I44" s="31" t="s">
        <v>20</v>
      </c>
      <c r="J44" s="31" t="s">
        <v>20</v>
      </c>
      <c r="K44" s="31" t="s">
        <v>20</v>
      </c>
      <c r="L44" s="52"/>
      <c r="M44" s="31" t="s">
        <v>20</v>
      </c>
      <c r="N44" s="31" t="s">
        <v>20</v>
      </c>
      <c r="O44" s="31" t="s">
        <v>20</v>
      </c>
      <c r="P44" s="31" t="s">
        <v>20</v>
      </c>
      <c r="Q44" s="31" t="s">
        <v>20</v>
      </c>
      <c r="R44" s="31" t="s">
        <v>20</v>
      </c>
      <c r="S44" s="52"/>
      <c r="T44" s="31" t="s">
        <v>20</v>
      </c>
      <c r="U44" s="55"/>
      <c r="V44" s="31" t="s">
        <v>20</v>
      </c>
      <c r="W44" s="31" t="s">
        <v>20</v>
      </c>
      <c r="X44" s="31" t="s">
        <v>20</v>
      </c>
      <c r="Y44" s="31" t="s">
        <v>20</v>
      </c>
      <c r="Z44" s="52"/>
      <c r="AA44" s="31" t="s">
        <v>20</v>
      </c>
      <c r="AB44" s="31" t="s">
        <v>20</v>
      </c>
      <c r="AC44" s="31" t="s">
        <v>20</v>
      </c>
      <c r="AD44" s="31" t="s">
        <v>20</v>
      </c>
      <c r="AE44" s="31" t="s">
        <v>21</v>
      </c>
      <c r="AF44" s="31" t="s">
        <v>20</v>
      </c>
      <c r="AG44" s="52"/>
      <c r="AH44" s="31" t="s">
        <v>20</v>
      </c>
      <c r="AI44" s="4">
        <f t="shared" si="1"/>
        <v>22</v>
      </c>
      <c r="AJ44" s="4">
        <f t="shared" si="2"/>
        <v>2</v>
      </c>
    </row>
    <row r="45" spans="1:36" x14ac:dyDescent="0.25">
      <c r="A45" s="5">
        <v>17</v>
      </c>
      <c r="B45" s="32" t="s">
        <v>428</v>
      </c>
      <c r="C45" s="33" t="s">
        <v>369</v>
      </c>
      <c r="D45" s="6" t="s">
        <v>366</v>
      </c>
      <c r="E45" s="52"/>
      <c r="F45" s="31" t="s">
        <v>20</v>
      </c>
      <c r="G45" s="31" t="s">
        <v>20</v>
      </c>
      <c r="H45" s="31" t="s">
        <v>20</v>
      </c>
      <c r="I45" s="31" t="s">
        <v>20</v>
      </c>
      <c r="J45" s="31" t="s">
        <v>21</v>
      </c>
      <c r="K45" s="31" t="s">
        <v>21</v>
      </c>
      <c r="L45" s="52"/>
      <c r="M45" s="31" t="s">
        <v>20</v>
      </c>
      <c r="N45" s="31" t="s">
        <v>20</v>
      </c>
      <c r="O45" s="31" t="s">
        <v>20</v>
      </c>
      <c r="P45" s="31" t="s">
        <v>21</v>
      </c>
      <c r="Q45" s="31" t="s">
        <v>20</v>
      </c>
      <c r="R45" s="31" t="s">
        <v>20</v>
      </c>
      <c r="S45" s="52"/>
      <c r="T45" s="31" t="s">
        <v>20</v>
      </c>
      <c r="U45" s="55"/>
      <c r="V45" s="31" t="s">
        <v>20</v>
      </c>
      <c r="W45" s="31" t="s">
        <v>20</v>
      </c>
      <c r="X45" s="31" t="s">
        <v>20</v>
      </c>
      <c r="Y45" s="31" t="s">
        <v>20</v>
      </c>
      <c r="Z45" s="52"/>
      <c r="AA45" s="31" t="s">
        <v>20</v>
      </c>
      <c r="AB45" s="31" t="s">
        <v>20</v>
      </c>
      <c r="AC45" s="31" t="s">
        <v>20</v>
      </c>
      <c r="AD45" s="31" t="s">
        <v>20</v>
      </c>
      <c r="AE45" s="31" t="s">
        <v>20</v>
      </c>
      <c r="AF45" s="31" t="s">
        <v>21</v>
      </c>
      <c r="AG45" s="52"/>
      <c r="AH45" s="31" t="s">
        <v>20</v>
      </c>
      <c r="AI45" s="4">
        <f t="shared" si="1"/>
        <v>20</v>
      </c>
      <c r="AJ45" s="4">
        <f t="shared" si="2"/>
        <v>4</v>
      </c>
    </row>
    <row r="46" spans="1:36" x14ac:dyDescent="0.25">
      <c r="A46" s="7">
        <v>18</v>
      </c>
      <c r="B46" s="32" t="s">
        <v>429</v>
      </c>
      <c r="C46" s="33" t="s">
        <v>423</v>
      </c>
      <c r="D46" s="6" t="s">
        <v>366</v>
      </c>
      <c r="E46" s="52"/>
      <c r="F46" s="31" t="s">
        <v>20</v>
      </c>
      <c r="G46" s="31" t="s">
        <v>20</v>
      </c>
      <c r="H46" s="31" t="s">
        <v>20</v>
      </c>
      <c r="I46" s="31" t="s">
        <v>20</v>
      </c>
      <c r="J46" s="31" t="s">
        <v>20</v>
      </c>
      <c r="K46" s="31" t="s">
        <v>20</v>
      </c>
      <c r="L46" s="52"/>
      <c r="M46" s="31" t="s">
        <v>20</v>
      </c>
      <c r="N46" s="31" t="s">
        <v>20</v>
      </c>
      <c r="O46" s="31" t="s">
        <v>21</v>
      </c>
      <c r="P46" s="31" t="s">
        <v>20</v>
      </c>
      <c r="Q46" s="31" t="s">
        <v>20</v>
      </c>
      <c r="R46" s="31" t="s">
        <v>20</v>
      </c>
      <c r="S46" s="52"/>
      <c r="T46" s="31" t="s">
        <v>20</v>
      </c>
      <c r="U46" s="55"/>
      <c r="V46" s="31" t="s">
        <v>20</v>
      </c>
      <c r="W46" s="31" t="s">
        <v>20</v>
      </c>
      <c r="X46" s="31" t="s">
        <v>20</v>
      </c>
      <c r="Y46" s="31" t="s">
        <v>20</v>
      </c>
      <c r="Z46" s="52"/>
      <c r="AA46" s="31" t="s">
        <v>20</v>
      </c>
      <c r="AB46" s="31" t="s">
        <v>20</v>
      </c>
      <c r="AC46" s="31" t="s">
        <v>20</v>
      </c>
      <c r="AD46" s="31" t="s">
        <v>20</v>
      </c>
      <c r="AE46" s="31" t="s">
        <v>20</v>
      </c>
      <c r="AF46" s="31" t="s">
        <v>20</v>
      </c>
      <c r="AG46" s="52"/>
      <c r="AH46" s="31" t="s">
        <v>20</v>
      </c>
      <c r="AI46" s="4">
        <f t="shared" si="1"/>
        <v>23</v>
      </c>
      <c r="AJ46" s="4">
        <f t="shared" si="2"/>
        <v>1</v>
      </c>
    </row>
    <row r="47" spans="1:36" x14ac:dyDescent="0.25">
      <c r="A47" s="5">
        <v>19</v>
      </c>
      <c r="B47" s="32" t="s">
        <v>430</v>
      </c>
      <c r="C47" s="33" t="s">
        <v>431</v>
      </c>
      <c r="D47" s="6" t="s">
        <v>366</v>
      </c>
      <c r="E47" s="52"/>
      <c r="F47" s="31" t="s">
        <v>20</v>
      </c>
      <c r="G47" s="31" t="s">
        <v>20</v>
      </c>
      <c r="H47" s="31" t="s">
        <v>20</v>
      </c>
      <c r="I47" s="31" t="s">
        <v>20</v>
      </c>
      <c r="J47" s="31" t="s">
        <v>20</v>
      </c>
      <c r="K47" s="31" t="s">
        <v>20</v>
      </c>
      <c r="L47" s="52"/>
      <c r="M47" s="31" t="s">
        <v>20</v>
      </c>
      <c r="N47" s="31" t="s">
        <v>20</v>
      </c>
      <c r="O47" s="31" t="s">
        <v>20</v>
      </c>
      <c r="P47" s="31" t="s">
        <v>20</v>
      </c>
      <c r="Q47" s="31" t="s">
        <v>20</v>
      </c>
      <c r="R47" s="31" t="s">
        <v>20</v>
      </c>
      <c r="S47" s="52"/>
      <c r="T47" s="31" t="s">
        <v>20</v>
      </c>
      <c r="U47" s="55"/>
      <c r="V47" s="31" t="s">
        <v>20</v>
      </c>
      <c r="W47" s="31" t="s">
        <v>20</v>
      </c>
      <c r="X47" s="31" t="s">
        <v>20</v>
      </c>
      <c r="Y47" s="31" t="s">
        <v>20</v>
      </c>
      <c r="Z47" s="52"/>
      <c r="AA47" s="31" t="s">
        <v>20</v>
      </c>
      <c r="AB47" s="31" t="s">
        <v>20</v>
      </c>
      <c r="AC47" s="31" t="s">
        <v>20</v>
      </c>
      <c r="AD47" s="31" t="s">
        <v>20</v>
      </c>
      <c r="AE47" s="31" t="s">
        <v>20</v>
      </c>
      <c r="AF47" s="31" t="s">
        <v>20</v>
      </c>
      <c r="AG47" s="52"/>
      <c r="AH47" s="31" t="s">
        <v>20</v>
      </c>
      <c r="AI47" s="4">
        <f t="shared" si="1"/>
        <v>24</v>
      </c>
      <c r="AJ47" s="4">
        <f t="shared" si="2"/>
        <v>0</v>
      </c>
    </row>
    <row r="48" spans="1:36" x14ac:dyDescent="0.25">
      <c r="A48" s="7">
        <v>20</v>
      </c>
      <c r="B48" s="32" t="s">
        <v>432</v>
      </c>
      <c r="C48" s="33" t="s">
        <v>433</v>
      </c>
      <c r="D48" s="6" t="s">
        <v>366</v>
      </c>
      <c r="E48" s="52"/>
      <c r="F48" s="31" t="s">
        <v>20</v>
      </c>
      <c r="G48" s="31" t="s">
        <v>20</v>
      </c>
      <c r="H48" s="31" t="s">
        <v>20</v>
      </c>
      <c r="I48" s="31" t="s">
        <v>20</v>
      </c>
      <c r="J48" s="31" t="s">
        <v>20</v>
      </c>
      <c r="K48" s="31" t="s">
        <v>20</v>
      </c>
      <c r="L48" s="52"/>
      <c r="M48" s="31" t="s">
        <v>20</v>
      </c>
      <c r="N48" s="31" t="s">
        <v>20</v>
      </c>
      <c r="O48" s="31" t="s">
        <v>20</v>
      </c>
      <c r="P48" s="31" t="s">
        <v>20</v>
      </c>
      <c r="Q48" s="31" t="s">
        <v>20</v>
      </c>
      <c r="R48" s="31" t="s">
        <v>20</v>
      </c>
      <c r="S48" s="52"/>
      <c r="T48" s="31" t="s">
        <v>20</v>
      </c>
      <c r="U48" s="55"/>
      <c r="V48" s="31" t="s">
        <v>20</v>
      </c>
      <c r="W48" s="31" t="s">
        <v>20</v>
      </c>
      <c r="X48" s="31" t="s">
        <v>20</v>
      </c>
      <c r="Y48" s="31" t="s">
        <v>20</v>
      </c>
      <c r="Z48" s="52"/>
      <c r="AA48" s="31" t="s">
        <v>20</v>
      </c>
      <c r="AB48" s="31" t="s">
        <v>20</v>
      </c>
      <c r="AC48" s="31" t="s">
        <v>20</v>
      </c>
      <c r="AD48" s="31" t="s">
        <v>20</v>
      </c>
      <c r="AE48" s="31" t="s">
        <v>20</v>
      </c>
      <c r="AF48" s="31" t="s">
        <v>20</v>
      </c>
      <c r="AG48" s="52"/>
      <c r="AH48" s="31" t="s">
        <v>20</v>
      </c>
      <c r="AI48" s="4">
        <f t="shared" si="1"/>
        <v>24</v>
      </c>
      <c r="AJ48" s="4">
        <f t="shared" si="2"/>
        <v>0</v>
      </c>
    </row>
    <row r="49" spans="1:36" x14ac:dyDescent="0.25">
      <c r="A49" s="5">
        <v>21</v>
      </c>
      <c r="B49" s="32" t="s">
        <v>434</v>
      </c>
      <c r="C49" s="33" t="s">
        <v>435</v>
      </c>
      <c r="D49" s="6" t="s">
        <v>366</v>
      </c>
      <c r="E49" s="52"/>
      <c r="F49" s="31" t="s">
        <v>20</v>
      </c>
      <c r="G49" s="31" t="s">
        <v>20</v>
      </c>
      <c r="H49" s="31" t="s">
        <v>20</v>
      </c>
      <c r="I49" s="31" t="s">
        <v>20</v>
      </c>
      <c r="J49" s="31" t="s">
        <v>20</v>
      </c>
      <c r="K49" s="31" t="s">
        <v>20</v>
      </c>
      <c r="L49" s="52"/>
      <c r="M49" s="31" t="s">
        <v>20</v>
      </c>
      <c r="N49" s="31" t="s">
        <v>20</v>
      </c>
      <c r="O49" s="31" t="s">
        <v>20</v>
      </c>
      <c r="P49" s="31" t="s">
        <v>20</v>
      </c>
      <c r="Q49" s="31" t="s">
        <v>20</v>
      </c>
      <c r="R49" s="31" t="s">
        <v>20</v>
      </c>
      <c r="S49" s="52"/>
      <c r="T49" s="31" t="s">
        <v>20</v>
      </c>
      <c r="U49" s="55"/>
      <c r="V49" s="31" t="s">
        <v>20</v>
      </c>
      <c r="W49" s="31" t="s">
        <v>20</v>
      </c>
      <c r="X49" s="31" t="s">
        <v>20</v>
      </c>
      <c r="Y49" s="31" t="s">
        <v>20</v>
      </c>
      <c r="Z49" s="52"/>
      <c r="AA49" s="31" t="s">
        <v>20</v>
      </c>
      <c r="AB49" s="31" t="s">
        <v>20</v>
      </c>
      <c r="AC49" s="31" t="s">
        <v>20</v>
      </c>
      <c r="AD49" s="31" t="s">
        <v>20</v>
      </c>
      <c r="AE49" s="31" t="s">
        <v>20</v>
      </c>
      <c r="AF49" s="31" t="s">
        <v>20</v>
      </c>
      <c r="AG49" s="52"/>
      <c r="AH49" s="31" t="s">
        <v>20</v>
      </c>
      <c r="AI49" s="4">
        <f t="shared" si="1"/>
        <v>24</v>
      </c>
      <c r="AJ49" s="4">
        <f t="shared" si="2"/>
        <v>0</v>
      </c>
    </row>
    <row r="50" spans="1:36" x14ac:dyDescent="0.25">
      <c r="A50" s="7">
        <v>22</v>
      </c>
      <c r="B50" s="32" t="s">
        <v>436</v>
      </c>
      <c r="C50" s="33" t="s">
        <v>437</v>
      </c>
      <c r="D50" s="6" t="s">
        <v>366</v>
      </c>
      <c r="E50" s="52"/>
      <c r="F50" s="31" t="s">
        <v>20</v>
      </c>
      <c r="G50" s="31" t="s">
        <v>20</v>
      </c>
      <c r="H50" s="31" t="s">
        <v>20</v>
      </c>
      <c r="I50" s="31" t="s">
        <v>20</v>
      </c>
      <c r="J50" s="31" t="s">
        <v>20</v>
      </c>
      <c r="K50" s="31" t="s">
        <v>20</v>
      </c>
      <c r="L50" s="52"/>
      <c r="M50" s="31" t="s">
        <v>20</v>
      </c>
      <c r="N50" s="31" t="s">
        <v>20</v>
      </c>
      <c r="O50" s="31" t="s">
        <v>20</v>
      </c>
      <c r="P50" s="31" t="s">
        <v>20</v>
      </c>
      <c r="Q50" s="31" t="s">
        <v>20</v>
      </c>
      <c r="R50" s="31" t="s">
        <v>20</v>
      </c>
      <c r="S50" s="52"/>
      <c r="T50" s="31" t="s">
        <v>20</v>
      </c>
      <c r="U50" s="55"/>
      <c r="V50" s="31" t="s">
        <v>20</v>
      </c>
      <c r="W50" s="31" t="s">
        <v>20</v>
      </c>
      <c r="X50" s="31" t="s">
        <v>20</v>
      </c>
      <c r="Y50" s="31" t="s">
        <v>20</v>
      </c>
      <c r="Z50" s="52"/>
      <c r="AA50" s="31" t="s">
        <v>20</v>
      </c>
      <c r="AB50" s="31" t="s">
        <v>20</v>
      </c>
      <c r="AC50" s="31" t="s">
        <v>20</v>
      </c>
      <c r="AD50" s="31" t="s">
        <v>20</v>
      </c>
      <c r="AE50" s="31" t="s">
        <v>20</v>
      </c>
      <c r="AF50" s="31" t="s">
        <v>20</v>
      </c>
      <c r="AG50" s="52"/>
      <c r="AH50" s="31" t="s">
        <v>20</v>
      </c>
      <c r="AI50" s="4">
        <f t="shared" si="1"/>
        <v>24</v>
      </c>
      <c r="AJ50" s="4">
        <f t="shared" si="2"/>
        <v>0</v>
      </c>
    </row>
    <row r="51" spans="1:36" x14ac:dyDescent="0.25">
      <c r="A51" s="5">
        <v>23</v>
      </c>
      <c r="B51" s="32" t="s">
        <v>438</v>
      </c>
      <c r="C51" s="33" t="s">
        <v>439</v>
      </c>
      <c r="D51" s="6" t="s">
        <v>366</v>
      </c>
      <c r="E51" s="52"/>
      <c r="F51" s="31" t="s">
        <v>20</v>
      </c>
      <c r="G51" s="31" t="s">
        <v>20</v>
      </c>
      <c r="H51" s="31" t="s">
        <v>20</v>
      </c>
      <c r="I51" s="31" t="s">
        <v>20</v>
      </c>
      <c r="J51" s="31" t="s">
        <v>21</v>
      </c>
      <c r="K51" s="31" t="s">
        <v>20</v>
      </c>
      <c r="L51" s="52"/>
      <c r="M51" s="31" t="s">
        <v>20</v>
      </c>
      <c r="N51" s="31" t="s">
        <v>20</v>
      </c>
      <c r="O51" s="31" t="s">
        <v>20</v>
      </c>
      <c r="P51" s="31" t="s">
        <v>20</v>
      </c>
      <c r="Q51" s="31" t="s">
        <v>20</v>
      </c>
      <c r="R51" s="31" t="s">
        <v>20</v>
      </c>
      <c r="S51" s="52"/>
      <c r="T51" s="31" t="s">
        <v>20</v>
      </c>
      <c r="U51" s="55"/>
      <c r="V51" s="31" t="s">
        <v>20</v>
      </c>
      <c r="W51" s="31" t="s">
        <v>20</v>
      </c>
      <c r="X51" s="31" t="s">
        <v>20</v>
      </c>
      <c r="Y51" s="31" t="s">
        <v>20</v>
      </c>
      <c r="Z51" s="52"/>
      <c r="AA51" s="31" t="s">
        <v>20</v>
      </c>
      <c r="AB51" s="31" t="s">
        <v>20</v>
      </c>
      <c r="AC51" s="31" t="s">
        <v>20</v>
      </c>
      <c r="AD51" s="31" t="s">
        <v>20</v>
      </c>
      <c r="AE51" s="31" t="s">
        <v>20</v>
      </c>
      <c r="AF51" s="31" t="s">
        <v>20</v>
      </c>
      <c r="AG51" s="52"/>
      <c r="AH51" s="31" t="s">
        <v>20</v>
      </c>
      <c r="AI51" s="4">
        <f t="shared" si="1"/>
        <v>23</v>
      </c>
      <c r="AJ51" s="4">
        <f t="shared" si="2"/>
        <v>1</v>
      </c>
    </row>
    <row r="52" spans="1:36" x14ac:dyDescent="0.25">
      <c r="A52" s="7">
        <v>24</v>
      </c>
      <c r="B52" s="32" t="s">
        <v>440</v>
      </c>
      <c r="C52" s="33" t="s">
        <v>441</v>
      </c>
      <c r="D52" s="6" t="s">
        <v>366</v>
      </c>
      <c r="E52" s="52"/>
      <c r="F52" s="31" t="s">
        <v>20</v>
      </c>
      <c r="G52" s="31" t="s">
        <v>20</v>
      </c>
      <c r="H52" s="31" t="s">
        <v>20</v>
      </c>
      <c r="I52" s="31" t="s">
        <v>20</v>
      </c>
      <c r="J52" s="31" t="s">
        <v>20</v>
      </c>
      <c r="K52" s="31" t="s">
        <v>20</v>
      </c>
      <c r="L52" s="52"/>
      <c r="M52" s="31" t="s">
        <v>20</v>
      </c>
      <c r="N52" s="31" t="s">
        <v>20</v>
      </c>
      <c r="O52" s="31" t="s">
        <v>20</v>
      </c>
      <c r="P52" s="31" t="s">
        <v>20</v>
      </c>
      <c r="Q52" s="31" t="s">
        <v>20</v>
      </c>
      <c r="R52" s="31" t="s">
        <v>20</v>
      </c>
      <c r="S52" s="52"/>
      <c r="T52" s="31" t="s">
        <v>20</v>
      </c>
      <c r="U52" s="55"/>
      <c r="V52" s="31" t="s">
        <v>20</v>
      </c>
      <c r="W52" s="31" t="s">
        <v>20</v>
      </c>
      <c r="X52" s="31" t="s">
        <v>20</v>
      </c>
      <c r="Y52" s="31" t="s">
        <v>20</v>
      </c>
      <c r="Z52" s="52"/>
      <c r="AA52" s="31" t="s">
        <v>20</v>
      </c>
      <c r="AB52" s="31" t="s">
        <v>20</v>
      </c>
      <c r="AC52" s="31" t="s">
        <v>21</v>
      </c>
      <c r="AD52" s="31" t="s">
        <v>20</v>
      </c>
      <c r="AE52" s="31" t="s">
        <v>20</v>
      </c>
      <c r="AF52" s="31" t="s">
        <v>21</v>
      </c>
      <c r="AG52" s="52"/>
      <c r="AH52" s="31" t="s">
        <v>21</v>
      </c>
      <c r="AI52" s="4">
        <f t="shared" si="1"/>
        <v>21</v>
      </c>
      <c r="AJ52" s="4">
        <f t="shared" si="2"/>
        <v>3</v>
      </c>
    </row>
    <row r="53" spans="1:36" x14ac:dyDescent="0.25">
      <c r="A53" s="5">
        <v>25</v>
      </c>
      <c r="B53" s="32" t="s">
        <v>442</v>
      </c>
      <c r="C53" s="33" t="s">
        <v>443</v>
      </c>
      <c r="D53" s="6" t="s">
        <v>366</v>
      </c>
      <c r="E53" s="52"/>
      <c r="F53" s="31" t="s">
        <v>20</v>
      </c>
      <c r="G53" s="31" t="s">
        <v>20</v>
      </c>
      <c r="H53" s="31" t="s">
        <v>20</v>
      </c>
      <c r="I53" s="31" t="s">
        <v>20</v>
      </c>
      <c r="J53" s="31" t="s">
        <v>20</v>
      </c>
      <c r="K53" s="31" t="s">
        <v>20</v>
      </c>
      <c r="L53" s="52"/>
      <c r="M53" s="31" t="s">
        <v>20</v>
      </c>
      <c r="N53" s="31" t="s">
        <v>20</v>
      </c>
      <c r="O53" s="31" t="s">
        <v>20</v>
      </c>
      <c r="P53" s="31" t="s">
        <v>20</v>
      </c>
      <c r="Q53" s="31" t="s">
        <v>20</v>
      </c>
      <c r="R53" s="31" t="s">
        <v>20</v>
      </c>
      <c r="S53" s="52"/>
      <c r="T53" s="31" t="s">
        <v>20</v>
      </c>
      <c r="U53" s="55"/>
      <c r="V53" s="31" t="s">
        <v>20</v>
      </c>
      <c r="W53" s="31" t="s">
        <v>20</v>
      </c>
      <c r="X53" s="31" t="s">
        <v>21</v>
      </c>
      <c r="Y53" s="31" t="s">
        <v>20</v>
      </c>
      <c r="Z53" s="52"/>
      <c r="AA53" s="31" t="s">
        <v>20</v>
      </c>
      <c r="AB53" s="31" t="s">
        <v>20</v>
      </c>
      <c r="AC53" s="31" t="s">
        <v>20</v>
      </c>
      <c r="AD53" s="31" t="s">
        <v>20</v>
      </c>
      <c r="AE53" s="31" t="s">
        <v>21</v>
      </c>
      <c r="AF53" s="31" t="s">
        <v>20</v>
      </c>
      <c r="AG53" s="52"/>
      <c r="AH53" s="31" t="s">
        <v>20</v>
      </c>
      <c r="AI53" s="4">
        <f t="shared" si="1"/>
        <v>22</v>
      </c>
      <c r="AJ53" s="4">
        <f t="shared" si="2"/>
        <v>2</v>
      </c>
    </row>
    <row r="54" spans="1:36" x14ac:dyDescent="0.25">
      <c r="A54" s="7">
        <v>26</v>
      </c>
      <c r="B54" s="32" t="s">
        <v>444</v>
      </c>
      <c r="C54" s="33" t="s">
        <v>123</v>
      </c>
      <c r="D54" s="6" t="s">
        <v>366</v>
      </c>
      <c r="E54" s="52"/>
      <c r="F54" s="31" t="s">
        <v>21</v>
      </c>
      <c r="G54" s="31" t="s">
        <v>21</v>
      </c>
      <c r="H54" s="31" t="s">
        <v>21</v>
      </c>
      <c r="I54" s="31" t="s">
        <v>20</v>
      </c>
      <c r="J54" s="31" t="s">
        <v>20</v>
      </c>
      <c r="K54" s="31" t="s">
        <v>20</v>
      </c>
      <c r="L54" s="52"/>
      <c r="M54" s="31" t="s">
        <v>20</v>
      </c>
      <c r="N54" s="31" t="s">
        <v>20</v>
      </c>
      <c r="O54" s="31" t="s">
        <v>20</v>
      </c>
      <c r="P54" s="31" t="s">
        <v>21</v>
      </c>
      <c r="Q54" s="31" t="s">
        <v>20</v>
      </c>
      <c r="R54" s="31" t="s">
        <v>20</v>
      </c>
      <c r="S54" s="52"/>
      <c r="T54" s="31" t="s">
        <v>20</v>
      </c>
      <c r="U54" s="55"/>
      <c r="V54" s="31" t="s">
        <v>20</v>
      </c>
      <c r="W54" s="31" t="s">
        <v>20</v>
      </c>
      <c r="X54" s="31" t="s">
        <v>20</v>
      </c>
      <c r="Y54" s="31" t="s">
        <v>21</v>
      </c>
      <c r="Z54" s="52"/>
      <c r="AA54" s="31" t="s">
        <v>20</v>
      </c>
      <c r="AB54" s="31" t="s">
        <v>21</v>
      </c>
      <c r="AC54" s="31" t="s">
        <v>20</v>
      </c>
      <c r="AD54" s="31" t="s">
        <v>20</v>
      </c>
      <c r="AE54" s="31" t="s">
        <v>20</v>
      </c>
      <c r="AF54" s="31" t="s">
        <v>21</v>
      </c>
      <c r="AG54" s="52"/>
      <c r="AH54" s="31" t="s">
        <v>20</v>
      </c>
      <c r="AI54" s="4">
        <f t="shared" si="1"/>
        <v>17</v>
      </c>
      <c r="AJ54" s="4">
        <f t="shared" si="2"/>
        <v>7</v>
      </c>
    </row>
    <row r="55" spans="1:36" x14ac:dyDescent="0.25">
      <c r="A55" s="5">
        <v>27</v>
      </c>
      <c r="B55" s="32" t="s">
        <v>445</v>
      </c>
      <c r="C55" s="33" t="s">
        <v>446</v>
      </c>
      <c r="D55" s="6" t="s">
        <v>366</v>
      </c>
      <c r="E55" s="52"/>
      <c r="F55" s="31" t="s">
        <v>21</v>
      </c>
      <c r="G55" s="31" t="s">
        <v>22</v>
      </c>
      <c r="H55" s="31" t="s">
        <v>20</v>
      </c>
      <c r="I55" s="31" t="s">
        <v>20</v>
      </c>
      <c r="J55" s="31" t="s">
        <v>21</v>
      </c>
      <c r="K55" s="31" t="s">
        <v>21</v>
      </c>
      <c r="L55" s="52"/>
      <c r="M55" s="31" t="s">
        <v>20</v>
      </c>
      <c r="N55" s="31" t="s">
        <v>21</v>
      </c>
      <c r="O55" s="31" t="s">
        <v>21</v>
      </c>
      <c r="P55" s="31" t="s">
        <v>21</v>
      </c>
      <c r="Q55" s="31" t="s">
        <v>21</v>
      </c>
      <c r="R55" s="31" t="s">
        <v>21</v>
      </c>
      <c r="S55" s="52"/>
      <c r="T55" s="31" t="s">
        <v>21</v>
      </c>
      <c r="U55" s="55"/>
      <c r="V55" s="31" t="s">
        <v>20</v>
      </c>
      <c r="W55" s="31" t="s">
        <v>20</v>
      </c>
      <c r="X55" s="31" t="s">
        <v>20</v>
      </c>
      <c r="Y55" s="31" t="s">
        <v>20</v>
      </c>
      <c r="Z55" s="52"/>
      <c r="AA55" s="31" t="s">
        <v>20</v>
      </c>
      <c r="AB55" s="31" t="s">
        <v>20</v>
      </c>
      <c r="AC55" s="31" t="s">
        <v>20</v>
      </c>
      <c r="AD55" s="31" t="s">
        <v>20</v>
      </c>
      <c r="AE55" s="31" t="s">
        <v>20</v>
      </c>
      <c r="AF55" s="31" t="s">
        <v>20</v>
      </c>
      <c r="AG55" s="52"/>
      <c r="AH55" s="31" t="s">
        <v>20</v>
      </c>
      <c r="AI55" s="4">
        <f t="shared" si="1"/>
        <v>14</v>
      </c>
      <c r="AJ55" s="4">
        <f t="shared" si="2"/>
        <v>9</v>
      </c>
    </row>
    <row r="56" spans="1:36" x14ac:dyDescent="0.25">
      <c r="A56" s="7">
        <v>28</v>
      </c>
      <c r="B56" s="32" t="s">
        <v>447</v>
      </c>
      <c r="C56" s="33" t="s">
        <v>448</v>
      </c>
      <c r="D56" s="6" t="s">
        <v>366</v>
      </c>
      <c r="E56" s="52"/>
      <c r="F56" s="31" t="s">
        <v>20</v>
      </c>
      <c r="G56" s="31" t="s">
        <v>20</v>
      </c>
      <c r="H56" s="31" t="s">
        <v>20</v>
      </c>
      <c r="I56" s="31" t="s">
        <v>20</v>
      </c>
      <c r="J56" s="31" t="s">
        <v>21</v>
      </c>
      <c r="K56" s="31" t="s">
        <v>21</v>
      </c>
      <c r="L56" s="52"/>
      <c r="M56" s="31" t="s">
        <v>20</v>
      </c>
      <c r="N56" s="31" t="s">
        <v>20</v>
      </c>
      <c r="O56" s="31" t="s">
        <v>20</v>
      </c>
      <c r="P56" s="31" t="s">
        <v>20</v>
      </c>
      <c r="Q56" s="31" t="s">
        <v>20</v>
      </c>
      <c r="R56" s="31" t="s">
        <v>20</v>
      </c>
      <c r="S56" s="52"/>
      <c r="T56" s="31" t="s">
        <v>20</v>
      </c>
      <c r="U56" s="55"/>
      <c r="V56" s="31" t="s">
        <v>21</v>
      </c>
      <c r="W56" s="31" t="s">
        <v>20</v>
      </c>
      <c r="X56" s="31" t="s">
        <v>20</v>
      </c>
      <c r="Y56" s="31" t="s">
        <v>21</v>
      </c>
      <c r="Z56" s="52"/>
      <c r="AA56" s="31" t="s">
        <v>20</v>
      </c>
      <c r="AB56" s="31" t="s">
        <v>20</v>
      </c>
      <c r="AC56" s="31" t="s">
        <v>20</v>
      </c>
      <c r="AD56" s="31" t="s">
        <v>20</v>
      </c>
      <c r="AE56" s="31" t="s">
        <v>20</v>
      </c>
      <c r="AF56" s="31" t="s">
        <v>20</v>
      </c>
      <c r="AG56" s="52"/>
      <c r="AH56" s="31" t="s">
        <v>20</v>
      </c>
      <c r="AI56" s="4">
        <f t="shared" si="1"/>
        <v>20</v>
      </c>
      <c r="AJ56" s="4">
        <f t="shared" si="2"/>
        <v>4</v>
      </c>
    </row>
    <row r="57" spans="1:36" x14ac:dyDescent="0.25">
      <c r="A57" s="5">
        <v>29</v>
      </c>
      <c r="B57" s="32" t="s">
        <v>449</v>
      </c>
      <c r="C57" s="33" t="s">
        <v>173</v>
      </c>
      <c r="D57" s="6" t="s">
        <v>366</v>
      </c>
      <c r="E57" s="52"/>
      <c r="F57" s="31" t="s">
        <v>20</v>
      </c>
      <c r="G57" s="31" t="s">
        <v>20</v>
      </c>
      <c r="H57" s="31" t="s">
        <v>20</v>
      </c>
      <c r="I57" s="31" t="s">
        <v>20</v>
      </c>
      <c r="J57" s="31" t="s">
        <v>20</v>
      </c>
      <c r="K57" s="31" t="s">
        <v>20</v>
      </c>
      <c r="L57" s="52"/>
      <c r="M57" s="31" t="s">
        <v>20</v>
      </c>
      <c r="N57" s="31" t="s">
        <v>20</v>
      </c>
      <c r="O57" s="31" t="s">
        <v>20</v>
      </c>
      <c r="P57" s="31" t="s">
        <v>20</v>
      </c>
      <c r="Q57" s="31" t="s">
        <v>20</v>
      </c>
      <c r="R57" s="31" t="s">
        <v>20</v>
      </c>
      <c r="S57" s="52"/>
      <c r="T57" s="31" t="s">
        <v>20</v>
      </c>
      <c r="U57" s="55"/>
      <c r="V57" s="31" t="s">
        <v>20</v>
      </c>
      <c r="W57" s="31" t="s">
        <v>20</v>
      </c>
      <c r="X57" s="31" t="s">
        <v>20</v>
      </c>
      <c r="Y57" s="31" t="s">
        <v>20</v>
      </c>
      <c r="Z57" s="52"/>
      <c r="AA57" s="31" t="s">
        <v>20</v>
      </c>
      <c r="AB57" s="31" t="s">
        <v>20</v>
      </c>
      <c r="AC57" s="31" t="s">
        <v>20</v>
      </c>
      <c r="AD57" s="31" t="s">
        <v>21</v>
      </c>
      <c r="AE57" s="31" t="s">
        <v>20</v>
      </c>
      <c r="AF57" s="31" t="s">
        <v>20</v>
      </c>
      <c r="AG57" s="52"/>
      <c r="AH57" s="31" t="s">
        <v>20</v>
      </c>
      <c r="AI57" s="4">
        <f t="shared" si="1"/>
        <v>23</v>
      </c>
      <c r="AJ57" s="4">
        <f t="shared" si="2"/>
        <v>1</v>
      </c>
    </row>
    <row r="58" spans="1:36" x14ac:dyDescent="0.25">
      <c r="A58" s="7">
        <v>30</v>
      </c>
      <c r="B58" s="32" t="s">
        <v>450</v>
      </c>
      <c r="C58" s="33" t="s">
        <v>451</v>
      </c>
      <c r="D58" s="6" t="s">
        <v>366</v>
      </c>
      <c r="E58" s="52"/>
      <c r="F58" s="31" t="s">
        <v>20</v>
      </c>
      <c r="G58" s="31" t="s">
        <v>20</v>
      </c>
      <c r="H58" s="31" t="s">
        <v>20</v>
      </c>
      <c r="I58" s="31" t="s">
        <v>20</v>
      </c>
      <c r="J58" s="31" t="s">
        <v>20</v>
      </c>
      <c r="K58" s="31" t="s">
        <v>20</v>
      </c>
      <c r="L58" s="52"/>
      <c r="M58" s="31" t="s">
        <v>20</v>
      </c>
      <c r="N58" s="31" t="s">
        <v>20</v>
      </c>
      <c r="O58" s="31" t="s">
        <v>20</v>
      </c>
      <c r="P58" s="31" t="s">
        <v>20</v>
      </c>
      <c r="Q58" s="31" t="s">
        <v>20</v>
      </c>
      <c r="R58" s="31" t="s">
        <v>20</v>
      </c>
      <c r="S58" s="52"/>
      <c r="T58" s="31" t="s">
        <v>20</v>
      </c>
      <c r="U58" s="55"/>
      <c r="V58" s="31" t="s">
        <v>20</v>
      </c>
      <c r="W58" s="31" t="s">
        <v>20</v>
      </c>
      <c r="X58" s="31" t="s">
        <v>20</v>
      </c>
      <c r="Y58" s="31" t="s">
        <v>20</v>
      </c>
      <c r="Z58" s="52"/>
      <c r="AA58" s="31" t="s">
        <v>20</v>
      </c>
      <c r="AB58" s="31" t="s">
        <v>20</v>
      </c>
      <c r="AC58" s="31" t="s">
        <v>20</v>
      </c>
      <c r="AD58" s="31" t="s">
        <v>20</v>
      </c>
      <c r="AE58" s="31" t="s">
        <v>20</v>
      </c>
      <c r="AF58" s="31" t="s">
        <v>20</v>
      </c>
      <c r="AG58" s="52"/>
      <c r="AH58" s="31" t="s">
        <v>20</v>
      </c>
      <c r="AI58" s="4">
        <f t="shared" si="1"/>
        <v>24</v>
      </c>
      <c r="AJ58" s="4">
        <f t="shared" si="2"/>
        <v>0</v>
      </c>
    </row>
    <row r="59" spans="1:36" x14ac:dyDescent="0.25">
      <c r="A59" s="5">
        <v>31</v>
      </c>
      <c r="B59" s="32" t="s">
        <v>450</v>
      </c>
      <c r="C59" s="33" t="s">
        <v>86</v>
      </c>
      <c r="D59" s="6" t="s">
        <v>366</v>
      </c>
      <c r="E59" s="52"/>
      <c r="F59" s="31" t="s">
        <v>20</v>
      </c>
      <c r="G59" s="31" t="s">
        <v>20</v>
      </c>
      <c r="H59" s="31" t="s">
        <v>20</v>
      </c>
      <c r="I59" s="31" t="s">
        <v>20</v>
      </c>
      <c r="J59" s="31" t="s">
        <v>21</v>
      </c>
      <c r="K59" s="31" t="s">
        <v>20</v>
      </c>
      <c r="L59" s="52"/>
      <c r="M59" s="31" t="s">
        <v>20</v>
      </c>
      <c r="N59" s="31" t="s">
        <v>20</v>
      </c>
      <c r="O59" s="31" t="s">
        <v>20</v>
      </c>
      <c r="P59" s="31" t="s">
        <v>20</v>
      </c>
      <c r="Q59" s="31" t="s">
        <v>20</v>
      </c>
      <c r="R59" s="31" t="s">
        <v>20</v>
      </c>
      <c r="S59" s="52"/>
      <c r="T59" s="31" t="s">
        <v>20</v>
      </c>
      <c r="U59" s="55"/>
      <c r="V59" s="31" t="s">
        <v>20</v>
      </c>
      <c r="W59" s="31" t="s">
        <v>20</v>
      </c>
      <c r="X59" s="31" t="s">
        <v>20</v>
      </c>
      <c r="Y59" s="31" t="s">
        <v>20</v>
      </c>
      <c r="Z59" s="52"/>
      <c r="AA59" s="31" t="s">
        <v>20</v>
      </c>
      <c r="AB59" s="31" t="s">
        <v>20</v>
      </c>
      <c r="AC59" s="31" t="s">
        <v>20</v>
      </c>
      <c r="AD59" s="31" t="s">
        <v>20</v>
      </c>
      <c r="AE59" s="31" t="s">
        <v>20</v>
      </c>
      <c r="AF59" s="31" t="s">
        <v>20</v>
      </c>
      <c r="AG59" s="52"/>
      <c r="AH59" s="31" t="s">
        <v>20</v>
      </c>
      <c r="AI59" s="4">
        <f t="shared" si="1"/>
        <v>23</v>
      </c>
      <c r="AJ59" s="4">
        <f t="shared" si="2"/>
        <v>1</v>
      </c>
    </row>
    <row r="60" spans="1:36" x14ac:dyDescent="0.25">
      <c r="A60" s="7">
        <v>32</v>
      </c>
      <c r="B60" s="32" t="s">
        <v>452</v>
      </c>
      <c r="C60" s="33" t="s">
        <v>453</v>
      </c>
      <c r="D60" s="6" t="s">
        <v>366</v>
      </c>
      <c r="E60" s="53"/>
      <c r="F60" s="31" t="s">
        <v>20</v>
      </c>
      <c r="G60" s="31" t="s">
        <v>20</v>
      </c>
      <c r="H60" s="31" t="s">
        <v>20</v>
      </c>
      <c r="I60" s="31" t="s">
        <v>20</v>
      </c>
      <c r="J60" s="31" t="s">
        <v>21</v>
      </c>
      <c r="K60" s="31" t="s">
        <v>20</v>
      </c>
      <c r="L60" s="53"/>
      <c r="M60" s="31" t="s">
        <v>20</v>
      </c>
      <c r="N60" s="31" t="s">
        <v>20</v>
      </c>
      <c r="O60" s="31" t="s">
        <v>20</v>
      </c>
      <c r="P60" s="31" t="s">
        <v>20</v>
      </c>
      <c r="Q60" s="31" t="s">
        <v>20</v>
      </c>
      <c r="R60" s="31" t="s">
        <v>21</v>
      </c>
      <c r="S60" s="53"/>
      <c r="T60" s="31" t="s">
        <v>20</v>
      </c>
      <c r="U60" s="56"/>
      <c r="V60" s="31" t="s">
        <v>20</v>
      </c>
      <c r="W60" s="31" t="s">
        <v>21</v>
      </c>
      <c r="X60" s="31" t="s">
        <v>20</v>
      </c>
      <c r="Y60" s="31" t="s">
        <v>20</v>
      </c>
      <c r="Z60" s="53"/>
      <c r="AA60" s="31" t="s">
        <v>20</v>
      </c>
      <c r="AB60" s="31" t="s">
        <v>20</v>
      </c>
      <c r="AC60" s="31" t="s">
        <v>20</v>
      </c>
      <c r="AD60" s="31" t="s">
        <v>20</v>
      </c>
      <c r="AE60" s="31" t="s">
        <v>20</v>
      </c>
      <c r="AF60" s="31" t="s">
        <v>20</v>
      </c>
      <c r="AG60" s="53"/>
      <c r="AH60" s="31" t="s">
        <v>20</v>
      </c>
      <c r="AI60" s="4">
        <f t="shared" si="1"/>
        <v>21</v>
      </c>
      <c r="AJ60" s="4">
        <f t="shared" si="2"/>
        <v>3</v>
      </c>
    </row>
  </sheetData>
  <mergeCells count="17">
    <mergeCell ref="AG5:AG60"/>
    <mergeCell ref="A1:AH1"/>
    <mergeCell ref="A2:AH2"/>
    <mergeCell ref="A3:A4"/>
    <mergeCell ref="B3:B4"/>
    <mergeCell ref="C3:C4"/>
    <mergeCell ref="D3:D4"/>
    <mergeCell ref="E5:E60"/>
    <mergeCell ref="L5:L60"/>
    <mergeCell ref="S5:S60"/>
    <mergeCell ref="U5:U60"/>
    <mergeCell ref="Z5:Z60"/>
    <mergeCell ref="AK9:AN9"/>
    <mergeCell ref="AK17:AN17"/>
    <mergeCell ref="AI3:AI4"/>
    <mergeCell ref="AJ3:AJ4"/>
    <mergeCell ref="AK3:AL3"/>
  </mergeCells>
  <conditionalFormatting sqref="E5 L5 S5 U5 Z5 AG5 E4:AH4">
    <cfRule type="expression" dxfId="219" priority="22">
      <formula>IF(E$4=TODAY(),TRUE,FALSE)</formula>
    </cfRule>
  </conditionalFormatting>
  <conditionalFormatting sqref="E5 L5 S5 U5 Z5 AG5">
    <cfRule type="cellIs" dxfId="218" priority="14" operator="equal">
      <formula>"L"</formula>
    </cfRule>
    <cfRule type="cellIs" dxfId="217" priority="15" operator="equal">
      <formula>"A"</formula>
    </cfRule>
    <cfRule type="cellIs" dxfId="216" priority="16" operator="equal">
      <formula>"P"</formula>
    </cfRule>
  </conditionalFormatting>
  <conditionalFormatting sqref="E3:AH4 E5 L5 S5 U5 Z5 AG5">
    <cfRule type="expression" dxfId="215" priority="23">
      <formula>E$3="Sun"</formula>
    </cfRule>
  </conditionalFormatting>
  <conditionalFormatting sqref="F5:K60 M5:R60 T5:T60 V5:Y60 AA5:AF60 AH5:AH60">
    <cfRule type="cellIs" dxfId="214" priority="8" operator="equal">
      <formula>"L"</formula>
    </cfRule>
    <cfRule type="cellIs" dxfId="213" priority="9" operator="equal">
      <formula>"A"</formula>
    </cfRule>
    <cfRule type="cellIs" dxfId="212" priority="10" operator="equal">
      <formula>"P"</formula>
    </cfRule>
    <cfRule type="expression" dxfId="211" priority="11">
      <formula>IF(F$4=TODAY(),TRUE,FALSE)</formula>
    </cfRule>
    <cfRule type="expression" dxfId="210" priority="12">
      <formula>F$3="Sun"</formula>
    </cfRule>
  </conditionalFormatting>
  <conditionalFormatting sqref="AI3:AJ3">
    <cfRule type="expression" dxfId="209" priority="24">
      <formula>#REF!="Sun"</formula>
    </cfRule>
  </conditionalFormatting>
  <conditionalFormatting sqref="AI5:AJ60">
    <cfRule type="expression" dxfId="208" priority="13">
      <formula>#REF!="Sun"</formula>
    </cfRule>
  </conditionalFormatting>
  <conditionalFormatting sqref="AK5:AK7">
    <cfRule type="expression" dxfId="207" priority="5">
      <formula>AK$3="Sun"</formula>
    </cfRule>
  </conditionalFormatting>
  <conditionalFormatting sqref="AK10:AK13">
    <cfRule type="expression" dxfId="206" priority="2">
      <formula>AK$3="Sun"</formula>
    </cfRule>
  </conditionalFormatting>
  <conditionalFormatting sqref="AK18:AK21">
    <cfRule type="expression" dxfId="205" priority="1">
      <formula>AK$3="Sun"</formula>
    </cfRule>
  </conditionalFormatting>
  <conditionalFormatting sqref="AK4:AL4">
    <cfRule type="expression" dxfId="204" priority="6">
      <formula>AK$3="Sun"</formula>
    </cfRule>
  </conditionalFormatting>
  <conditionalFormatting sqref="AL10:AN10 AL18:AN18">
    <cfRule type="expression" dxfId="203" priority="7">
      <formula>AL$3="Sun"</formula>
    </cfRule>
  </conditionalFormatting>
  <conditionalFormatting sqref="AN19">
    <cfRule type="expression" dxfId="202" priority="4">
      <formula>AN$3="Sun"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C6760-69D2-48E8-BF72-DA5841FFB04E}">
  <dimension ref="A1:AN55"/>
  <sheetViews>
    <sheetView topLeftCell="D8" workbookViewId="0">
      <selection activeCell="AM11" sqref="AM11"/>
    </sheetView>
  </sheetViews>
  <sheetFormatPr defaultColWidth="3.85546875" defaultRowHeight="15" x14ac:dyDescent="0.2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3.85546875" style="1"/>
    <col min="6" max="6" width="4.5703125" style="1" bestFit="1" customWidth="1"/>
    <col min="7" max="7" width="3.85546875" style="1"/>
    <col min="8" max="8" width="4.7109375" style="1" bestFit="1" customWidth="1"/>
    <col min="9" max="9" width="3.85546875" style="1"/>
    <col min="10" max="11" width="3.7109375" style="1" bestFit="1" customWidth="1"/>
    <col min="12" max="12" width="3.85546875" style="1"/>
    <col min="13" max="13" width="4.5703125" style="1" bestFit="1" customWidth="1"/>
    <col min="14" max="14" width="3.85546875" style="1"/>
    <col min="15" max="15" width="4.7109375" style="1" bestFit="1" customWidth="1"/>
    <col min="16" max="16" width="3.85546875" style="1"/>
    <col min="17" max="18" width="3.7109375" style="1" bestFit="1" customWidth="1"/>
    <col min="19" max="19" width="3.85546875" style="1"/>
    <col min="20" max="20" width="4.5703125" style="1" bestFit="1" customWidth="1"/>
    <col min="21" max="21" width="3.85546875" style="1"/>
    <col min="22" max="22" width="4.7109375" style="1" bestFit="1" customWidth="1"/>
    <col min="23" max="23" width="3.85546875" style="1"/>
    <col min="24" max="25" width="3.7109375" style="1" bestFit="1" customWidth="1"/>
    <col min="26" max="26" width="3.85546875" style="1"/>
    <col min="27" max="27" width="4.5703125" style="1" bestFit="1" customWidth="1"/>
    <col min="28" max="28" width="3.85546875" style="1"/>
    <col min="29" max="29" width="4.7109375" style="1" bestFit="1" customWidth="1"/>
    <col min="30" max="30" width="3.85546875" style="1"/>
    <col min="31" max="32" width="3.7109375" style="1" bestFit="1" customWidth="1"/>
    <col min="33" max="33" width="3.85546875" style="1"/>
    <col min="34" max="34" width="4.5703125" style="1" bestFit="1" customWidth="1"/>
    <col min="35" max="36" width="6.7109375" style="1" bestFit="1" customWidth="1"/>
    <col min="37" max="37" width="18.5703125" style="1" bestFit="1" customWidth="1"/>
    <col min="38" max="38" width="5.85546875" style="1" bestFit="1" customWidth="1"/>
    <col min="39" max="39" width="14.28515625" style="1" bestFit="1" customWidth="1"/>
    <col min="40" max="40" width="6.7109375" style="1" bestFit="1" customWidth="1"/>
    <col min="41" max="16384" width="3.85546875" style="1"/>
  </cols>
  <sheetData>
    <row r="1" spans="1:40" ht="17.25" x14ac:dyDescent="0.25">
      <c r="A1" s="47" t="s">
        <v>454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</row>
    <row r="2" spans="1:40" ht="17.25" x14ac:dyDescent="0.3">
      <c r="A2" s="48" t="s">
        <v>183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</row>
    <row r="3" spans="1:40" ht="15.75" x14ac:dyDescent="0.25">
      <c r="A3" s="49" t="s">
        <v>0</v>
      </c>
      <c r="B3" s="49" t="s">
        <v>1</v>
      </c>
      <c r="C3" s="49" t="s">
        <v>2</v>
      </c>
      <c r="D3" s="49" t="s">
        <v>3</v>
      </c>
      <c r="E3" s="2" t="str">
        <f t="shared" ref="E3:AH3" si="0">TEXT(E4,"ddd")</f>
        <v>Sun</v>
      </c>
      <c r="F3" s="2" t="str">
        <f t="shared" si="0"/>
        <v>Mon</v>
      </c>
      <c r="G3" s="2" t="str">
        <f t="shared" si="0"/>
        <v>Tue</v>
      </c>
      <c r="H3" s="2" t="str">
        <f t="shared" si="0"/>
        <v>Wed</v>
      </c>
      <c r="I3" s="2" t="str">
        <f t="shared" si="0"/>
        <v>Thu</v>
      </c>
      <c r="J3" s="2" t="str">
        <f t="shared" si="0"/>
        <v>Fri</v>
      </c>
      <c r="K3" s="2" t="str">
        <f t="shared" si="0"/>
        <v>Sat</v>
      </c>
      <c r="L3" s="2" t="str">
        <f t="shared" si="0"/>
        <v>Sun</v>
      </c>
      <c r="M3" s="2" t="str">
        <f t="shared" si="0"/>
        <v>Mon</v>
      </c>
      <c r="N3" s="2" t="str">
        <f t="shared" si="0"/>
        <v>Tue</v>
      </c>
      <c r="O3" s="2" t="str">
        <f t="shared" si="0"/>
        <v>Wed</v>
      </c>
      <c r="P3" s="2" t="str">
        <f t="shared" si="0"/>
        <v>Thu</v>
      </c>
      <c r="Q3" s="2" t="str">
        <f t="shared" si="0"/>
        <v>Fri</v>
      </c>
      <c r="R3" s="2" t="str">
        <f t="shared" si="0"/>
        <v>Sat</v>
      </c>
      <c r="S3" s="2" t="str">
        <f t="shared" si="0"/>
        <v>Sun</v>
      </c>
      <c r="T3" s="2" t="str">
        <f t="shared" si="0"/>
        <v>Mon</v>
      </c>
      <c r="U3" s="2" t="str">
        <f t="shared" si="0"/>
        <v>Tue</v>
      </c>
      <c r="V3" s="2" t="str">
        <f t="shared" si="0"/>
        <v>Wed</v>
      </c>
      <c r="W3" s="2" t="str">
        <f t="shared" si="0"/>
        <v>Thu</v>
      </c>
      <c r="X3" s="2" t="str">
        <f t="shared" si="0"/>
        <v>Fri</v>
      </c>
      <c r="Y3" s="2" t="str">
        <f t="shared" si="0"/>
        <v>Sat</v>
      </c>
      <c r="Z3" s="2" t="str">
        <f t="shared" si="0"/>
        <v>Sun</v>
      </c>
      <c r="AA3" s="2" t="str">
        <f t="shared" si="0"/>
        <v>Mon</v>
      </c>
      <c r="AB3" s="2" t="str">
        <f t="shared" si="0"/>
        <v>Tue</v>
      </c>
      <c r="AC3" s="2" t="str">
        <f t="shared" si="0"/>
        <v>Wed</v>
      </c>
      <c r="AD3" s="2" t="str">
        <f t="shared" si="0"/>
        <v>Thu</v>
      </c>
      <c r="AE3" s="2" t="str">
        <f t="shared" si="0"/>
        <v>Fri</v>
      </c>
      <c r="AF3" s="2" t="str">
        <f t="shared" si="0"/>
        <v>Sat</v>
      </c>
      <c r="AG3" s="2" t="str">
        <f t="shared" si="0"/>
        <v>Sun</v>
      </c>
      <c r="AH3" s="2" t="str">
        <f t="shared" si="0"/>
        <v>Mon</v>
      </c>
      <c r="AI3" s="45" t="s">
        <v>4</v>
      </c>
      <c r="AJ3" s="45" t="s">
        <v>5</v>
      </c>
      <c r="AK3" s="42" t="s">
        <v>17</v>
      </c>
      <c r="AL3" s="43"/>
      <c r="AM3" s="3"/>
      <c r="AN3" s="3"/>
    </row>
    <row r="4" spans="1:40" ht="36" x14ac:dyDescent="0.25">
      <c r="A4" s="50"/>
      <c r="B4" s="50"/>
      <c r="C4" s="50"/>
      <c r="D4" s="50"/>
      <c r="E4" s="10">
        <v>45536</v>
      </c>
      <c r="F4" s="10">
        <v>45537</v>
      </c>
      <c r="G4" s="10">
        <v>45538</v>
      </c>
      <c r="H4" s="10">
        <v>45539</v>
      </c>
      <c r="I4" s="10">
        <v>45540</v>
      </c>
      <c r="J4" s="10">
        <v>45541</v>
      </c>
      <c r="K4" s="10">
        <v>45542</v>
      </c>
      <c r="L4" s="10">
        <v>45543</v>
      </c>
      <c r="M4" s="10">
        <v>45544</v>
      </c>
      <c r="N4" s="10">
        <v>45545</v>
      </c>
      <c r="O4" s="10">
        <v>45546</v>
      </c>
      <c r="P4" s="10">
        <v>45547</v>
      </c>
      <c r="Q4" s="10">
        <v>45548</v>
      </c>
      <c r="R4" s="10">
        <v>45549</v>
      </c>
      <c r="S4" s="10">
        <v>45550</v>
      </c>
      <c r="T4" s="10">
        <v>45551</v>
      </c>
      <c r="U4" s="10">
        <v>45552</v>
      </c>
      <c r="V4" s="10">
        <v>45553</v>
      </c>
      <c r="W4" s="10">
        <v>45554</v>
      </c>
      <c r="X4" s="10">
        <v>45555</v>
      </c>
      <c r="Y4" s="10">
        <v>45556</v>
      </c>
      <c r="Z4" s="10">
        <v>45557</v>
      </c>
      <c r="AA4" s="10">
        <v>45558</v>
      </c>
      <c r="AB4" s="10">
        <v>45559</v>
      </c>
      <c r="AC4" s="10">
        <v>45560</v>
      </c>
      <c r="AD4" s="10">
        <v>45561</v>
      </c>
      <c r="AE4" s="10">
        <v>45562</v>
      </c>
      <c r="AF4" s="10">
        <v>45563</v>
      </c>
      <c r="AG4" s="10">
        <v>45564</v>
      </c>
      <c r="AH4" s="10">
        <v>45565</v>
      </c>
      <c r="AI4" s="45"/>
      <c r="AJ4" s="45"/>
      <c r="AK4" s="4" t="s">
        <v>103</v>
      </c>
      <c r="AL4" s="4">
        <f>SUM(AL5:AL7)</f>
        <v>30</v>
      </c>
      <c r="AM4" s="3"/>
      <c r="AN4" s="3"/>
    </row>
    <row r="5" spans="1:40" ht="15" customHeight="1" x14ac:dyDescent="0.25">
      <c r="A5" s="5">
        <v>1</v>
      </c>
      <c r="B5" s="29" t="s">
        <v>455</v>
      </c>
      <c r="C5" s="30" t="s">
        <v>456</v>
      </c>
      <c r="D5" s="6" t="s">
        <v>457</v>
      </c>
      <c r="E5" s="51" t="s">
        <v>275</v>
      </c>
      <c r="F5" s="31" t="s">
        <v>20</v>
      </c>
      <c r="G5" s="31" t="s">
        <v>20</v>
      </c>
      <c r="H5" s="31" t="s">
        <v>20</v>
      </c>
      <c r="I5" s="31" t="s">
        <v>20</v>
      </c>
      <c r="J5" s="31" t="s">
        <v>21</v>
      </c>
      <c r="K5" s="31" t="s">
        <v>20</v>
      </c>
      <c r="L5" s="51" t="s">
        <v>275</v>
      </c>
      <c r="M5" s="31" t="s">
        <v>20</v>
      </c>
      <c r="N5" s="31" t="s">
        <v>20</v>
      </c>
      <c r="O5" s="31" t="s">
        <v>20</v>
      </c>
      <c r="P5" s="31" t="s">
        <v>20</v>
      </c>
      <c r="Q5" s="31" t="s">
        <v>20</v>
      </c>
      <c r="R5" s="31" t="s">
        <v>20</v>
      </c>
      <c r="S5" s="51" t="s">
        <v>275</v>
      </c>
      <c r="T5" s="31" t="s">
        <v>21</v>
      </c>
      <c r="U5" s="54" t="s">
        <v>272</v>
      </c>
      <c r="V5" s="31" t="s">
        <v>20</v>
      </c>
      <c r="W5" s="31" t="s">
        <v>20</v>
      </c>
      <c r="X5" s="31" t="s">
        <v>21</v>
      </c>
      <c r="Y5" s="31" t="s">
        <v>21</v>
      </c>
      <c r="Z5" s="51" t="s">
        <v>275</v>
      </c>
      <c r="AA5" s="31" t="s">
        <v>20</v>
      </c>
      <c r="AB5" s="31" t="s">
        <v>20</v>
      </c>
      <c r="AC5" s="31" t="s">
        <v>21</v>
      </c>
      <c r="AD5" s="31" t="s">
        <v>20</v>
      </c>
      <c r="AE5" s="31" t="s">
        <v>20</v>
      </c>
      <c r="AF5" s="31" t="s">
        <v>21</v>
      </c>
      <c r="AG5" s="51" t="s">
        <v>275</v>
      </c>
      <c r="AH5" s="31" t="s">
        <v>20</v>
      </c>
      <c r="AI5" s="4">
        <f t="shared" ref="AI5:AI55" si="1">COUNTIF(E5:AH5,"P")</f>
        <v>18</v>
      </c>
      <c r="AJ5" s="4">
        <f t="shared" ref="AJ5:AJ55" si="2">COUNTIF(E5:AH5,"A")</f>
        <v>6</v>
      </c>
      <c r="AK5" s="4" t="s">
        <v>6</v>
      </c>
      <c r="AL5" s="7">
        <v>24</v>
      </c>
      <c r="AM5" s="8"/>
      <c r="AN5" s="3"/>
    </row>
    <row r="6" spans="1:40" ht="20.25" customHeight="1" x14ac:dyDescent="0.25">
      <c r="A6" s="7">
        <v>2</v>
      </c>
      <c r="B6" s="32" t="s">
        <v>458</v>
      </c>
      <c r="C6" s="33" t="s">
        <v>459</v>
      </c>
      <c r="D6" s="6" t="s">
        <v>457</v>
      </c>
      <c r="E6" s="52"/>
      <c r="F6" s="31" t="s">
        <v>20</v>
      </c>
      <c r="G6" s="31" t="s">
        <v>20</v>
      </c>
      <c r="H6" s="31" t="s">
        <v>20</v>
      </c>
      <c r="I6" s="31" t="s">
        <v>20</v>
      </c>
      <c r="J6" s="31" t="s">
        <v>21</v>
      </c>
      <c r="K6" s="31" t="s">
        <v>20</v>
      </c>
      <c r="L6" s="52"/>
      <c r="M6" s="31" t="s">
        <v>20</v>
      </c>
      <c r="N6" s="31" t="s">
        <v>21</v>
      </c>
      <c r="O6" s="31" t="s">
        <v>20</v>
      </c>
      <c r="P6" s="31" t="s">
        <v>20</v>
      </c>
      <c r="Q6" s="31" t="s">
        <v>20</v>
      </c>
      <c r="R6" s="31" t="s">
        <v>20</v>
      </c>
      <c r="S6" s="52"/>
      <c r="T6" s="31" t="s">
        <v>20</v>
      </c>
      <c r="U6" s="55"/>
      <c r="V6" s="31" t="s">
        <v>20</v>
      </c>
      <c r="W6" s="31" t="s">
        <v>20</v>
      </c>
      <c r="X6" s="31" t="s">
        <v>20</v>
      </c>
      <c r="Y6" s="31" t="s">
        <v>20</v>
      </c>
      <c r="Z6" s="52"/>
      <c r="AA6" s="31" t="s">
        <v>20</v>
      </c>
      <c r="AB6" s="31" t="s">
        <v>20</v>
      </c>
      <c r="AC6" s="31" t="s">
        <v>20</v>
      </c>
      <c r="AD6" s="31" t="s">
        <v>20</v>
      </c>
      <c r="AE6" s="31" t="s">
        <v>21</v>
      </c>
      <c r="AF6" s="31" t="s">
        <v>20</v>
      </c>
      <c r="AG6" s="52"/>
      <c r="AH6" s="31" t="s">
        <v>22</v>
      </c>
      <c r="AI6" s="4">
        <f t="shared" si="1"/>
        <v>20</v>
      </c>
      <c r="AJ6" s="4">
        <f t="shared" si="2"/>
        <v>3</v>
      </c>
      <c r="AK6" s="4" t="s">
        <v>7</v>
      </c>
      <c r="AL6" s="7">
        <v>5</v>
      </c>
      <c r="AM6" s="3"/>
      <c r="AN6" s="3"/>
    </row>
    <row r="7" spans="1:40" x14ac:dyDescent="0.25">
      <c r="A7" s="5">
        <v>3</v>
      </c>
      <c r="B7" s="32" t="s">
        <v>460</v>
      </c>
      <c r="C7" s="33" t="s">
        <v>382</v>
      </c>
      <c r="D7" s="6" t="s">
        <v>457</v>
      </c>
      <c r="E7" s="52"/>
      <c r="F7" s="31" t="s">
        <v>20</v>
      </c>
      <c r="G7" s="31" t="s">
        <v>20</v>
      </c>
      <c r="H7" s="31" t="s">
        <v>20</v>
      </c>
      <c r="I7" s="31" t="s">
        <v>20</v>
      </c>
      <c r="J7" s="31" t="s">
        <v>21</v>
      </c>
      <c r="K7" s="31" t="s">
        <v>20</v>
      </c>
      <c r="L7" s="52"/>
      <c r="M7" s="31" t="s">
        <v>20</v>
      </c>
      <c r="N7" s="31" t="s">
        <v>20</v>
      </c>
      <c r="O7" s="31" t="s">
        <v>20</v>
      </c>
      <c r="P7" s="31" t="s">
        <v>20</v>
      </c>
      <c r="Q7" s="31" t="s">
        <v>20</v>
      </c>
      <c r="R7" s="31" t="s">
        <v>20</v>
      </c>
      <c r="S7" s="52"/>
      <c r="T7" s="31" t="s">
        <v>21</v>
      </c>
      <c r="U7" s="55"/>
      <c r="V7" s="31" t="s">
        <v>20</v>
      </c>
      <c r="W7" s="31" t="s">
        <v>20</v>
      </c>
      <c r="X7" s="31" t="s">
        <v>20</v>
      </c>
      <c r="Y7" s="31" t="s">
        <v>20</v>
      </c>
      <c r="Z7" s="52"/>
      <c r="AA7" s="31" t="s">
        <v>20</v>
      </c>
      <c r="AB7" s="31" t="s">
        <v>20</v>
      </c>
      <c r="AC7" s="31" t="s">
        <v>20</v>
      </c>
      <c r="AD7" s="31" t="s">
        <v>20</v>
      </c>
      <c r="AE7" s="31" t="s">
        <v>20</v>
      </c>
      <c r="AF7" s="31" t="s">
        <v>20</v>
      </c>
      <c r="AG7" s="52"/>
      <c r="AH7" s="31" t="s">
        <v>20</v>
      </c>
      <c r="AI7" s="4">
        <f t="shared" si="1"/>
        <v>22</v>
      </c>
      <c r="AJ7" s="4">
        <f t="shared" si="2"/>
        <v>2</v>
      </c>
      <c r="AK7" s="4" t="s">
        <v>105</v>
      </c>
      <c r="AL7" s="7">
        <v>1</v>
      </c>
      <c r="AM7" s="3"/>
      <c r="AN7" s="3"/>
    </row>
    <row r="8" spans="1:40" x14ac:dyDescent="0.25">
      <c r="A8" s="7">
        <v>4</v>
      </c>
      <c r="B8" s="32" t="s">
        <v>461</v>
      </c>
      <c r="C8" s="33" t="s">
        <v>462</v>
      </c>
      <c r="D8" s="6" t="s">
        <v>457</v>
      </c>
      <c r="E8" s="52"/>
      <c r="F8" s="31" t="s">
        <v>21</v>
      </c>
      <c r="G8" s="31" t="s">
        <v>20</v>
      </c>
      <c r="H8" s="31" t="s">
        <v>20</v>
      </c>
      <c r="I8" s="31" t="s">
        <v>20</v>
      </c>
      <c r="J8" s="31" t="s">
        <v>21</v>
      </c>
      <c r="K8" s="31" t="s">
        <v>20</v>
      </c>
      <c r="L8" s="52"/>
      <c r="M8" s="31" t="s">
        <v>21</v>
      </c>
      <c r="N8" s="31" t="s">
        <v>20</v>
      </c>
      <c r="O8" s="31" t="s">
        <v>20</v>
      </c>
      <c r="P8" s="31" t="s">
        <v>20</v>
      </c>
      <c r="Q8" s="31" t="s">
        <v>20</v>
      </c>
      <c r="R8" s="31" t="s">
        <v>20</v>
      </c>
      <c r="S8" s="52"/>
      <c r="T8" s="31" t="s">
        <v>21</v>
      </c>
      <c r="U8" s="55"/>
      <c r="V8" s="31" t="s">
        <v>20</v>
      </c>
      <c r="W8" s="31" t="s">
        <v>20</v>
      </c>
      <c r="X8" s="31" t="s">
        <v>20</v>
      </c>
      <c r="Y8" s="31" t="s">
        <v>20</v>
      </c>
      <c r="Z8" s="52"/>
      <c r="AA8" s="31" t="s">
        <v>20</v>
      </c>
      <c r="AB8" s="31" t="s">
        <v>20</v>
      </c>
      <c r="AC8" s="31" t="s">
        <v>20</v>
      </c>
      <c r="AD8" s="31" t="s">
        <v>20</v>
      </c>
      <c r="AE8" s="31" t="s">
        <v>20</v>
      </c>
      <c r="AF8" s="31" t="s">
        <v>20</v>
      </c>
      <c r="AG8" s="52"/>
      <c r="AH8" s="31" t="s">
        <v>20</v>
      </c>
      <c r="AI8" s="4">
        <f t="shared" si="1"/>
        <v>20</v>
      </c>
      <c r="AJ8" s="4">
        <f t="shared" si="2"/>
        <v>4</v>
      </c>
      <c r="AK8"/>
      <c r="AL8"/>
      <c r="AM8"/>
      <c r="AN8"/>
    </row>
    <row r="9" spans="1:40" ht="15.75" x14ac:dyDescent="0.25">
      <c r="A9" s="5">
        <v>5</v>
      </c>
      <c r="B9" s="32" t="s">
        <v>367</v>
      </c>
      <c r="C9" s="33" t="s">
        <v>191</v>
      </c>
      <c r="D9" s="6" t="s">
        <v>457</v>
      </c>
      <c r="E9" s="52"/>
      <c r="F9" s="31" t="s">
        <v>20</v>
      </c>
      <c r="G9" s="31" t="s">
        <v>20</v>
      </c>
      <c r="H9" s="31" t="s">
        <v>20</v>
      </c>
      <c r="I9" s="31" t="s">
        <v>20</v>
      </c>
      <c r="J9" s="31" t="s">
        <v>21</v>
      </c>
      <c r="K9" s="31" t="s">
        <v>20</v>
      </c>
      <c r="L9" s="52"/>
      <c r="M9" s="31" t="s">
        <v>20</v>
      </c>
      <c r="N9" s="31" t="s">
        <v>21</v>
      </c>
      <c r="O9" s="31" t="s">
        <v>20</v>
      </c>
      <c r="P9" s="31" t="s">
        <v>21</v>
      </c>
      <c r="Q9" s="31" t="s">
        <v>20</v>
      </c>
      <c r="R9" s="31" t="s">
        <v>20</v>
      </c>
      <c r="S9" s="52"/>
      <c r="T9" s="31" t="s">
        <v>20</v>
      </c>
      <c r="U9" s="55"/>
      <c r="V9" s="31" t="s">
        <v>20</v>
      </c>
      <c r="W9" s="31" t="s">
        <v>20</v>
      </c>
      <c r="X9" s="31" t="s">
        <v>20</v>
      </c>
      <c r="Y9" s="31" t="s">
        <v>21</v>
      </c>
      <c r="Z9" s="52"/>
      <c r="AA9" s="31" t="s">
        <v>20</v>
      </c>
      <c r="AB9" s="31" t="s">
        <v>20</v>
      </c>
      <c r="AC9" s="31" t="s">
        <v>20</v>
      </c>
      <c r="AD9" s="31" t="s">
        <v>20</v>
      </c>
      <c r="AE9" s="31" t="s">
        <v>20</v>
      </c>
      <c r="AF9" s="31" t="s">
        <v>21</v>
      </c>
      <c r="AG9" s="52"/>
      <c r="AH9" s="31" t="s">
        <v>20</v>
      </c>
      <c r="AI9" s="4">
        <f t="shared" si="1"/>
        <v>19</v>
      </c>
      <c r="AJ9" s="4">
        <f t="shared" si="2"/>
        <v>5</v>
      </c>
      <c r="AK9" s="42" t="s">
        <v>8</v>
      </c>
      <c r="AL9" s="43"/>
      <c r="AM9" s="43"/>
      <c r="AN9" s="44"/>
    </row>
    <row r="10" spans="1:40" x14ac:dyDescent="0.25">
      <c r="A10" s="7">
        <v>6</v>
      </c>
      <c r="B10" s="32" t="s">
        <v>99</v>
      </c>
      <c r="C10" s="33" t="s">
        <v>463</v>
      </c>
      <c r="D10" s="6" t="s">
        <v>457</v>
      </c>
      <c r="E10" s="52"/>
      <c r="F10" s="31" t="s">
        <v>20</v>
      </c>
      <c r="G10" s="31" t="s">
        <v>20</v>
      </c>
      <c r="H10" s="31" t="s">
        <v>20</v>
      </c>
      <c r="I10" s="31" t="s">
        <v>20</v>
      </c>
      <c r="J10" s="31" t="s">
        <v>20</v>
      </c>
      <c r="K10" s="31" t="s">
        <v>20</v>
      </c>
      <c r="L10" s="52"/>
      <c r="M10" s="31" t="s">
        <v>20</v>
      </c>
      <c r="N10" s="31" t="s">
        <v>20</v>
      </c>
      <c r="O10" s="31" t="s">
        <v>20</v>
      </c>
      <c r="P10" s="31" t="s">
        <v>20</v>
      </c>
      <c r="Q10" s="31" t="s">
        <v>20</v>
      </c>
      <c r="R10" s="31" t="s">
        <v>20</v>
      </c>
      <c r="S10" s="52"/>
      <c r="T10" s="31" t="s">
        <v>20</v>
      </c>
      <c r="U10" s="55"/>
      <c r="V10" s="31" t="s">
        <v>20</v>
      </c>
      <c r="W10" s="31" t="s">
        <v>20</v>
      </c>
      <c r="X10" s="31" t="s">
        <v>20</v>
      </c>
      <c r="Y10" s="31" t="s">
        <v>20</v>
      </c>
      <c r="Z10" s="52"/>
      <c r="AA10" s="31" t="s">
        <v>21</v>
      </c>
      <c r="AB10" s="31" t="s">
        <v>20</v>
      </c>
      <c r="AC10" s="31" t="s">
        <v>21</v>
      </c>
      <c r="AD10" s="31" t="s">
        <v>20</v>
      </c>
      <c r="AE10" s="31" t="s">
        <v>20</v>
      </c>
      <c r="AF10" s="31" t="s">
        <v>20</v>
      </c>
      <c r="AG10" s="52"/>
      <c r="AH10" s="31" t="s">
        <v>20</v>
      </c>
      <c r="AI10" s="4">
        <f t="shared" si="1"/>
        <v>22</v>
      </c>
      <c r="AJ10" s="4">
        <f t="shared" si="2"/>
        <v>2</v>
      </c>
      <c r="AK10" s="4" t="s">
        <v>9</v>
      </c>
      <c r="AL10" s="4" t="s">
        <v>10</v>
      </c>
      <c r="AM10" s="4" t="s">
        <v>11</v>
      </c>
      <c r="AN10" s="4" t="s">
        <v>12</v>
      </c>
    </row>
    <row r="11" spans="1:40" x14ac:dyDescent="0.25">
      <c r="A11" s="5">
        <v>7</v>
      </c>
      <c r="B11" s="32" t="s">
        <v>64</v>
      </c>
      <c r="C11" s="33" t="s">
        <v>416</v>
      </c>
      <c r="D11" s="6" t="s">
        <v>457</v>
      </c>
      <c r="E11" s="52"/>
      <c r="F11" s="31" t="s">
        <v>20</v>
      </c>
      <c r="G11" s="31" t="s">
        <v>20</v>
      </c>
      <c r="H11" s="31" t="s">
        <v>20</v>
      </c>
      <c r="I11" s="31" t="s">
        <v>20</v>
      </c>
      <c r="J11" s="31" t="s">
        <v>20</v>
      </c>
      <c r="K11" s="31" t="s">
        <v>20</v>
      </c>
      <c r="L11" s="52"/>
      <c r="M11" s="31" t="s">
        <v>20</v>
      </c>
      <c r="N11" s="31" t="s">
        <v>20</v>
      </c>
      <c r="O11" s="31" t="s">
        <v>20</v>
      </c>
      <c r="P11" s="31" t="s">
        <v>20</v>
      </c>
      <c r="Q11" s="31" t="s">
        <v>20</v>
      </c>
      <c r="R11" s="31" t="s">
        <v>21</v>
      </c>
      <c r="S11" s="52"/>
      <c r="T11" s="31" t="s">
        <v>20</v>
      </c>
      <c r="U11" s="55"/>
      <c r="V11" s="31" t="s">
        <v>20</v>
      </c>
      <c r="W11" s="31" t="s">
        <v>20</v>
      </c>
      <c r="X11" s="31" t="s">
        <v>20</v>
      </c>
      <c r="Y11" s="31" t="s">
        <v>20</v>
      </c>
      <c r="Z11" s="52"/>
      <c r="AA11" s="31" t="s">
        <v>20</v>
      </c>
      <c r="AB11" s="31" t="s">
        <v>20</v>
      </c>
      <c r="AC11" s="31" t="s">
        <v>20</v>
      </c>
      <c r="AD11" s="31" t="s">
        <v>20</v>
      </c>
      <c r="AE11" s="31" t="s">
        <v>20</v>
      </c>
      <c r="AF11" s="31" t="s">
        <v>20</v>
      </c>
      <c r="AG11" s="52"/>
      <c r="AH11" s="31" t="s">
        <v>20</v>
      </c>
      <c r="AI11" s="4">
        <f t="shared" si="1"/>
        <v>23</v>
      </c>
      <c r="AJ11" s="4">
        <f t="shared" si="2"/>
        <v>1</v>
      </c>
      <c r="AK11" s="4" t="s">
        <v>13</v>
      </c>
      <c r="AL11" s="7">
        <f>25*AL5</f>
        <v>600</v>
      </c>
      <c r="AM11" s="7">
        <f>26*AL5</f>
        <v>624</v>
      </c>
      <c r="AN11" s="7">
        <f>SUM(AL11:AM11)</f>
        <v>1224</v>
      </c>
    </row>
    <row r="12" spans="1:40" x14ac:dyDescent="0.25">
      <c r="A12" s="7">
        <v>8</v>
      </c>
      <c r="B12" s="32" t="s">
        <v>251</v>
      </c>
      <c r="C12" s="33" t="s">
        <v>416</v>
      </c>
      <c r="D12" s="6" t="s">
        <v>457</v>
      </c>
      <c r="E12" s="52"/>
      <c r="F12" s="31" t="s">
        <v>20</v>
      </c>
      <c r="G12" s="31" t="s">
        <v>20</v>
      </c>
      <c r="H12" s="31" t="s">
        <v>20</v>
      </c>
      <c r="I12" s="31" t="s">
        <v>20</v>
      </c>
      <c r="J12" s="31" t="s">
        <v>20</v>
      </c>
      <c r="K12" s="31" t="s">
        <v>20</v>
      </c>
      <c r="L12" s="52"/>
      <c r="M12" s="31" t="s">
        <v>20</v>
      </c>
      <c r="N12" s="31" t="s">
        <v>20</v>
      </c>
      <c r="O12" s="31" t="s">
        <v>20</v>
      </c>
      <c r="P12" s="31" t="s">
        <v>20</v>
      </c>
      <c r="Q12" s="31" t="s">
        <v>21</v>
      </c>
      <c r="R12" s="31" t="s">
        <v>20</v>
      </c>
      <c r="S12" s="52"/>
      <c r="T12" s="31" t="s">
        <v>20</v>
      </c>
      <c r="U12" s="55"/>
      <c r="V12" s="31" t="s">
        <v>20</v>
      </c>
      <c r="W12" s="31" t="s">
        <v>20</v>
      </c>
      <c r="X12" s="31" t="s">
        <v>20</v>
      </c>
      <c r="Y12" s="31" t="s">
        <v>20</v>
      </c>
      <c r="Z12" s="52"/>
      <c r="AA12" s="31" t="s">
        <v>20</v>
      </c>
      <c r="AB12" s="31" t="s">
        <v>20</v>
      </c>
      <c r="AC12" s="31" t="s">
        <v>20</v>
      </c>
      <c r="AD12" s="31" t="s">
        <v>20</v>
      </c>
      <c r="AE12" s="31" t="s">
        <v>20</v>
      </c>
      <c r="AF12" s="31" t="s">
        <v>20</v>
      </c>
      <c r="AG12" s="52"/>
      <c r="AH12" s="31" t="s">
        <v>20</v>
      </c>
      <c r="AI12" s="4">
        <f t="shared" si="1"/>
        <v>23</v>
      </c>
      <c r="AJ12" s="4">
        <f t="shared" si="2"/>
        <v>1</v>
      </c>
      <c r="AK12" s="4" t="s">
        <v>14</v>
      </c>
      <c r="AL12" s="7">
        <f>SUM(AI30:AI55)</f>
        <v>515</v>
      </c>
      <c r="AM12" s="7">
        <f>SUM(AI5:AI29)</f>
        <v>508</v>
      </c>
      <c r="AN12" s="7">
        <f>AL12+AM12</f>
        <v>1023</v>
      </c>
    </row>
    <row r="13" spans="1:40" x14ac:dyDescent="0.25">
      <c r="A13" s="5">
        <v>9</v>
      </c>
      <c r="B13" s="32" t="s">
        <v>464</v>
      </c>
      <c r="C13" s="33" t="s">
        <v>397</v>
      </c>
      <c r="D13" s="6" t="s">
        <v>457</v>
      </c>
      <c r="E13" s="52"/>
      <c r="F13" s="31" t="s">
        <v>20</v>
      </c>
      <c r="G13" s="31" t="s">
        <v>20</v>
      </c>
      <c r="H13" s="31" t="s">
        <v>20</v>
      </c>
      <c r="I13" s="31" t="s">
        <v>20</v>
      </c>
      <c r="J13" s="31" t="s">
        <v>20</v>
      </c>
      <c r="K13" s="31" t="s">
        <v>20</v>
      </c>
      <c r="L13" s="52"/>
      <c r="M13" s="31" t="s">
        <v>20</v>
      </c>
      <c r="N13" s="31" t="s">
        <v>21</v>
      </c>
      <c r="O13" s="31" t="s">
        <v>21</v>
      </c>
      <c r="P13" s="31" t="s">
        <v>20</v>
      </c>
      <c r="Q13" s="31" t="s">
        <v>21</v>
      </c>
      <c r="R13" s="31" t="s">
        <v>21</v>
      </c>
      <c r="S13" s="52"/>
      <c r="T13" s="31" t="s">
        <v>20</v>
      </c>
      <c r="U13" s="55"/>
      <c r="V13" s="31" t="s">
        <v>20</v>
      </c>
      <c r="W13" s="31" t="s">
        <v>20</v>
      </c>
      <c r="X13" s="31" t="s">
        <v>20</v>
      </c>
      <c r="Y13" s="31" t="s">
        <v>20</v>
      </c>
      <c r="Z13" s="52"/>
      <c r="AA13" s="31" t="s">
        <v>20</v>
      </c>
      <c r="AB13" s="31" t="s">
        <v>20</v>
      </c>
      <c r="AC13" s="31" t="s">
        <v>20</v>
      </c>
      <c r="AD13" s="31" t="s">
        <v>21</v>
      </c>
      <c r="AE13" s="31" t="s">
        <v>20</v>
      </c>
      <c r="AF13" s="31" t="s">
        <v>20</v>
      </c>
      <c r="AG13" s="52"/>
      <c r="AH13" s="31" t="s">
        <v>20</v>
      </c>
      <c r="AI13" s="4">
        <f t="shared" si="1"/>
        <v>19</v>
      </c>
      <c r="AJ13" s="4">
        <f t="shared" si="2"/>
        <v>5</v>
      </c>
      <c r="AK13" s="4" t="s">
        <v>15</v>
      </c>
      <c r="AL13" s="9">
        <f>AL12/AL11</f>
        <v>0.85833333333333328</v>
      </c>
      <c r="AM13" s="9">
        <f>AM12/AM11</f>
        <v>0.8141025641025641</v>
      </c>
      <c r="AN13" s="9">
        <f>AN12/AN11</f>
        <v>0.83578431372549022</v>
      </c>
    </row>
    <row r="14" spans="1:40" x14ac:dyDescent="0.25">
      <c r="A14" s="7">
        <v>10</v>
      </c>
      <c r="B14" s="32" t="s">
        <v>465</v>
      </c>
      <c r="C14" s="33" t="s">
        <v>148</v>
      </c>
      <c r="D14" s="6" t="s">
        <v>457</v>
      </c>
      <c r="E14" s="52"/>
      <c r="F14" s="31" t="s">
        <v>20</v>
      </c>
      <c r="G14" s="31" t="s">
        <v>20</v>
      </c>
      <c r="H14" s="31" t="s">
        <v>20</v>
      </c>
      <c r="I14" s="31" t="s">
        <v>20</v>
      </c>
      <c r="J14" s="31" t="s">
        <v>21</v>
      </c>
      <c r="K14" s="31" t="s">
        <v>20</v>
      </c>
      <c r="L14" s="52"/>
      <c r="M14" s="31" t="s">
        <v>20</v>
      </c>
      <c r="N14" s="31" t="s">
        <v>20</v>
      </c>
      <c r="O14" s="31" t="s">
        <v>20</v>
      </c>
      <c r="P14" s="31" t="s">
        <v>20</v>
      </c>
      <c r="Q14" s="31" t="s">
        <v>20</v>
      </c>
      <c r="R14" s="31" t="s">
        <v>20</v>
      </c>
      <c r="S14" s="52"/>
      <c r="T14" s="31" t="s">
        <v>21</v>
      </c>
      <c r="U14" s="55"/>
      <c r="V14" s="31" t="s">
        <v>20</v>
      </c>
      <c r="W14" s="31" t="s">
        <v>20</v>
      </c>
      <c r="X14" s="31" t="s">
        <v>20</v>
      </c>
      <c r="Y14" s="31" t="s">
        <v>20</v>
      </c>
      <c r="Z14" s="52"/>
      <c r="AA14" s="31" t="s">
        <v>20</v>
      </c>
      <c r="AB14" s="31" t="s">
        <v>20</v>
      </c>
      <c r="AC14" s="31" t="s">
        <v>20</v>
      </c>
      <c r="AD14" s="31" t="s">
        <v>20</v>
      </c>
      <c r="AE14" s="31" t="s">
        <v>21</v>
      </c>
      <c r="AF14" s="31" t="s">
        <v>20</v>
      </c>
      <c r="AG14" s="52"/>
      <c r="AH14" s="31" t="s">
        <v>20</v>
      </c>
      <c r="AI14" s="4">
        <f t="shared" si="1"/>
        <v>21</v>
      </c>
      <c r="AJ14" s="4">
        <f t="shared" si="2"/>
        <v>3</v>
      </c>
      <c r="AK14"/>
      <c r="AL14"/>
      <c r="AM14"/>
      <c r="AN14"/>
    </row>
    <row r="15" spans="1:40" x14ac:dyDescent="0.25">
      <c r="A15" s="5">
        <v>11</v>
      </c>
      <c r="B15" s="32" t="s">
        <v>190</v>
      </c>
      <c r="C15" s="33" t="s">
        <v>427</v>
      </c>
      <c r="D15" s="6" t="s">
        <v>457</v>
      </c>
      <c r="E15" s="52"/>
      <c r="F15" s="31" t="s">
        <v>21</v>
      </c>
      <c r="G15" s="31" t="s">
        <v>20</v>
      </c>
      <c r="H15" s="31" t="s">
        <v>20</v>
      </c>
      <c r="I15" s="31" t="s">
        <v>21</v>
      </c>
      <c r="J15" s="31" t="s">
        <v>20</v>
      </c>
      <c r="K15" s="31" t="s">
        <v>20</v>
      </c>
      <c r="L15" s="52"/>
      <c r="M15" s="31" t="s">
        <v>20</v>
      </c>
      <c r="N15" s="31" t="s">
        <v>20</v>
      </c>
      <c r="O15" s="31" t="s">
        <v>20</v>
      </c>
      <c r="P15" s="31" t="s">
        <v>20</v>
      </c>
      <c r="Q15" s="31" t="s">
        <v>20</v>
      </c>
      <c r="R15" s="31" t="s">
        <v>20</v>
      </c>
      <c r="S15" s="52"/>
      <c r="T15" s="31" t="s">
        <v>20</v>
      </c>
      <c r="U15" s="55"/>
      <c r="V15" s="31" t="s">
        <v>20</v>
      </c>
      <c r="W15" s="31" t="s">
        <v>20</v>
      </c>
      <c r="X15" s="31" t="s">
        <v>20</v>
      </c>
      <c r="Y15" s="31" t="s">
        <v>20</v>
      </c>
      <c r="Z15" s="52"/>
      <c r="AA15" s="31" t="s">
        <v>20</v>
      </c>
      <c r="AB15" s="31" t="s">
        <v>20</v>
      </c>
      <c r="AC15" s="31" t="s">
        <v>20</v>
      </c>
      <c r="AD15" s="31" t="s">
        <v>20</v>
      </c>
      <c r="AE15" s="31" t="s">
        <v>21</v>
      </c>
      <c r="AF15" s="31" t="s">
        <v>20</v>
      </c>
      <c r="AG15" s="52"/>
      <c r="AH15" s="31" t="s">
        <v>20</v>
      </c>
      <c r="AI15" s="4">
        <f t="shared" si="1"/>
        <v>21</v>
      </c>
      <c r="AJ15" s="4">
        <f t="shared" si="2"/>
        <v>3</v>
      </c>
      <c r="AK15"/>
      <c r="AL15"/>
      <c r="AM15"/>
      <c r="AN15"/>
    </row>
    <row r="16" spans="1:40" x14ac:dyDescent="0.25">
      <c r="A16" s="7">
        <v>12</v>
      </c>
      <c r="B16" s="32" t="s">
        <v>466</v>
      </c>
      <c r="C16" s="33" t="s">
        <v>467</v>
      </c>
      <c r="D16" s="6" t="s">
        <v>457</v>
      </c>
      <c r="E16" s="52"/>
      <c r="F16" s="31" t="s">
        <v>20</v>
      </c>
      <c r="G16" s="31" t="s">
        <v>20</v>
      </c>
      <c r="H16" s="31" t="s">
        <v>20</v>
      </c>
      <c r="I16" s="31" t="s">
        <v>20</v>
      </c>
      <c r="J16" s="31" t="s">
        <v>20</v>
      </c>
      <c r="K16" s="31" t="s">
        <v>20</v>
      </c>
      <c r="L16" s="52"/>
      <c r="M16" s="31" t="s">
        <v>20</v>
      </c>
      <c r="N16" s="31" t="s">
        <v>20</v>
      </c>
      <c r="O16" s="31" t="s">
        <v>20</v>
      </c>
      <c r="P16" s="31" t="s">
        <v>20</v>
      </c>
      <c r="Q16" s="31" t="s">
        <v>20</v>
      </c>
      <c r="R16" s="31" t="s">
        <v>20</v>
      </c>
      <c r="S16" s="52"/>
      <c r="T16" s="31" t="s">
        <v>20</v>
      </c>
      <c r="U16" s="55"/>
      <c r="V16" s="31" t="s">
        <v>20</v>
      </c>
      <c r="W16" s="31" t="s">
        <v>20</v>
      </c>
      <c r="X16" s="31" t="s">
        <v>20</v>
      </c>
      <c r="Y16" s="31" t="s">
        <v>20</v>
      </c>
      <c r="Z16" s="52"/>
      <c r="AA16" s="31" t="s">
        <v>20</v>
      </c>
      <c r="AB16" s="31" t="s">
        <v>20</v>
      </c>
      <c r="AC16" s="31" t="s">
        <v>20</v>
      </c>
      <c r="AD16" s="31" t="s">
        <v>20</v>
      </c>
      <c r="AE16" s="31" t="s">
        <v>20</v>
      </c>
      <c r="AF16" s="31" t="s">
        <v>21</v>
      </c>
      <c r="AG16" s="52"/>
      <c r="AH16" s="31" t="s">
        <v>22</v>
      </c>
      <c r="AI16" s="4">
        <f t="shared" si="1"/>
        <v>22</v>
      </c>
      <c r="AJ16" s="4">
        <f t="shared" si="2"/>
        <v>1</v>
      </c>
      <c r="AK16"/>
      <c r="AL16"/>
      <c r="AM16"/>
      <c r="AN16"/>
    </row>
    <row r="17" spans="1:40" ht="15.75" x14ac:dyDescent="0.25">
      <c r="A17" s="5">
        <v>13</v>
      </c>
      <c r="B17" s="32" t="s">
        <v>468</v>
      </c>
      <c r="C17" s="33" t="s">
        <v>160</v>
      </c>
      <c r="D17" s="6" t="s">
        <v>457</v>
      </c>
      <c r="E17" s="52"/>
      <c r="F17" s="31" t="s">
        <v>20</v>
      </c>
      <c r="G17" s="31" t="s">
        <v>20</v>
      </c>
      <c r="H17" s="31" t="s">
        <v>20</v>
      </c>
      <c r="I17" s="31" t="s">
        <v>20</v>
      </c>
      <c r="J17" s="31" t="s">
        <v>21</v>
      </c>
      <c r="K17" s="31" t="s">
        <v>20</v>
      </c>
      <c r="L17" s="52"/>
      <c r="M17" s="31" t="s">
        <v>21</v>
      </c>
      <c r="N17" s="31" t="s">
        <v>20</v>
      </c>
      <c r="O17" s="31" t="s">
        <v>20</v>
      </c>
      <c r="P17" s="31" t="s">
        <v>20</v>
      </c>
      <c r="Q17" s="31" t="s">
        <v>20</v>
      </c>
      <c r="R17" s="31" t="s">
        <v>20</v>
      </c>
      <c r="S17" s="52"/>
      <c r="T17" s="31" t="s">
        <v>20</v>
      </c>
      <c r="U17" s="55"/>
      <c r="V17" s="31" t="s">
        <v>20</v>
      </c>
      <c r="W17" s="31" t="s">
        <v>20</v>
      </c>
      <c r="X17" s="31" t="s">
        <v>20</v>
      </c>
      <c r="Y17" s="31" t="s">
        <v>20</v>
      </c>
      <c r="Z17" s="52"/>
      <c r="AA17" s="31" t="s">
        <v>20</v>
      </c>
      <c r="AB17" s="31" t="s">
        <v>20</v>
      </c>
      <c r="AC17" s="31" t="s">
        <v>20</v>
      </c>
      <c r="AD17" s="31" t="s">
        <v>21</v>
      </c>
      <c r="AE17" s="31" t="s">
        <v>20</v>
      </c>
      <c r="AF17" s="31" t="s">
        <v>20</v>
      </c>
      <c r="AG17" s="52"/>
      <c r="AH17" s="31" t="s">
        <v>20</v>
      </c>
      <c r="AI17" s="4">
        <f t="shared" si="1"/>
        <v>21</v>
      </c>
      <c r="AJ17" s="4">
        <f t="shared" si="2"/>
        <v>3</v>
      </c>
      <c r="AK17" s="42" t="s">
        <v>104</v>
      </c>
      <c r="AL17" s="43"/>
      <c r="AM17" s="43"/>
      <c r="AN17" s="44"/>
    </row>
    <row r="18" spans="1:40" x14ac:dyDescent="0.25">
      <c r="A18" s="7">
        <v>14</v>
      </c>
      <c r="B18" s="32" t="s">
        <v>469</v>
      </c>
      <c r="C18" s="33" t="s">
        <v>470</v>
      </c>
      <c r="D18" s="6" t="s">
        <v>457</v>
      </c>
      <c r="E18" s="52"/>
      <c r="F18" s="31" t="s">
        <v>20</v>
      </c>
      <c r="G18" s="31" t="s">
        <v>20</v>
      </c>
      <c r="H18" s="31" t="s">
        <v>20</v>
      </c>
      <c r="I18" s="31" t="s">
        <v>20</v>
      </c>
      <c r="J18" s="31" t="s">
        <v>20</v>
      </c>
      <c r="K18" s="31" t="s">
        <v>20</v>
      </c>
      <c r="L18" s="52"/>
      <c r="M18" s="31" t="s">
        <v>20</v>
      </c>
      <c r="N18" s="31" t="s">
        <v>20</v>
      </c>
      <c r="O18" s="31" t="s">
        <v>20</v>
      </c>
      <c r="P18" s="31" t="s">
        <v>20</v>
      </c>
      <c r="Q18" s="31" t="s">
        <v>20</v>
      </c>
      <c r="R18" s="31" t="s">
        <v>20</v>
      </c>
      <c r="S18" s="52"/>
      <c r="T18" s="31" t="s">
        <v>20</v>
      </c>
      <c r="U18" s="55"/>
      <c r="V18" s="31" t="s">
        <v>20</v>
      </c>
      <c r="W18" s="31" t="s">
        <v>20</v>
      </c>
      <c r="X18" s="31" t="s">
        <v>20</v>
      </c>
      <c r="Y18" s="31" t="s">
        <v>20</v>
      </c>
      <c r="Z18" s="52"/>
      <c r="AA18" s="31" t="s">
        <v>20</v>
      </c>
      <c r="AB18" s="31" t="s">
        <v>20</v>
      </c>
      <c r="AC18" s="31" t="s">
        <v>20</v>
      </c>
      <c r="AD18" s="31" t="s">
        <v>20</v>
      </c>
      <c r="AE18" s="31" t="s">
        <v>20</v>
      </c>
      <c r="AF18" s="31" t="s">
        <v>20</v>
      </c>
      <c r="AG18" s="52"/>
      <c r="AH18" s="31" t="s">
        <v>20</v>
      </c>
      <c r="AI18" s="4">
        <f t="shared" si="1"/>
        <v>24</v>
      </c>
      <c r="AJ18" s="4">
        <f t="shared" si="2"/>
        <v>0</v>
      </c>
      <c r="AK18" s="4" t="s">
        <v>9</v>
      </c>
      <c r="AL18" s="4" t="s">
        <v>10</v>
      </c>
      <c r="AM18" s="4" t="s">
        <v>11</v>
      </c>
      <c r="AN18" s="4" t="s">
        <v>12</v>
      </c>
    </row>
    <row r="19" spans="1:40" x14ac:dyDescent="0.25">
      <c r="A19" s="5">
        <v>15</v>
      </c>
      <c r="B19" s="32" t="s">
        <v>471</v>
      </c>
      <c r="C19" s="33" t="s">
        <v>127</v>
      </c>
      <c r="D19" s="6" t="s">
        <v>457</v>
      </c>
      <c r="E19" s="52"/>
      <c r="F19" s="31" t="s">
        <v>20</v>
      </c>
      <c r="G19" s="31" t="s">
        <v>20</v>
      </c>
      <c r="H19" s="31" t="s">
        <v>20</v>
      </c>
      <c r="I19" s="31" t="s">
        <v>20</v>
      </c>
      <c r="J19" s="31" t="s">
        <v>20</v>
      </c>
      <c r="K19" s="31" t="s">
        <v>20</v>
      </c>
      <c r="L19" s="52"/>
      <c r="M19" s="31" t="s">
        <v>20</v>
      </c>
      <c r="N19" s="31" t="s">
        <v>20</v>
      </c>
      <c r="O19" s="31" t="s">
        <v>20</v>
      </c>
      <c r="P19" s="31" t="s">
        <v>20</v>
      </c>
      <c r="Q19" s="31" t="s">
        <v>20</v>
      </c>
      <c r="R19" s="31" t="s">
        <v>20</v>
      </c>
      <c r="S19" s="52"/>
      <c r="T19" s="31" t="s">
        <v>21</v>
      </c>
      <c r="U19" s="55"/>
      <c r="V19" s="31" t="s">
        <v>20</v>
      </c>
      <c r="W19" s="31" t="s">
        <v>20</v>
      </c>
      <c r="X19" s="31" t="s">
        <v>20</v>
      </c>
      <c r="Y19" s="31" t="s">
        <v>20</v>
      </c>
      <c r="Z19" s="52"/>
      <c r="AA19" s="31" t="s">
        <v>20</v>
      </c>
      <c r="AB19" s="31" t="s">
        <v>20</v>
      </c>
      <c r="AC19" s="31" t="s">
        <v>20</v>
      </c>
      <c r="AD19" s="31" t="s">
        <v>20</v>
      </c>
      <c r="AE19" s="31" t="s">
        <v>20</v>
      </c>
      <c r="AF19" s="31" t="s">
        <v>20</v>
      </c>
      <c r="AG19" s="52"/>
      <c r="AH19" s="31" t="s">
        <v>20</v>
      </c>
      <c r="AI19" s="4">
        <f t="shared" si="1"/>
        <v>23</v>
      </c>
      <c r="AJ19" s="4">
        <f t="shared" si="2"/>
        <v>1</v>
      </c>
      <c r="AK19" s="4" t="s">
        <v>13</v>
      </c>
      <c r="AL19" s="7">
        <f>25*AL5</f>
        <v>600</v>
      </c>
      <c r="AM19" s="7">
        <f>26*AL5</f>
        <v>624</v>
      </c>
      <c r="AN19" s="7">
        <f>AL19+AM19</f>
        <v>1224</v>
      </c>
    </row>
    <row r="20" spans="1:40" x14ac:dyDescent="0.25">
      <c r="A20" s="7">
        <v>16</v>
      </c>
      <c r="B20" s="32" t="s">
        <v>472</v>
      </c>
      <c r="C20" s="33" t="s">
        <v>473</v>
      </c>
      <c r="D20" s="6" t="s">
        <v>457</v>
      </c>
      <c r="E20" s="52"/>
      <c r="F20" s="31" t="s">
        <v>20</v>
      </c>
      <c r="G20" s="31" t="s">
        <v>20</v>
      </c>
      <c r="H20" s="31" t="s">
        <v>20</v>
      </c>
      <c r="I20" s="31" t="s">
        <v>20</v>
      </c>
      <c r="J20" s="31" t="s">
        <v>20</v>
      </c>
      <c r="K20" s="31" t="s">
        <v>20</v>
      </c>
      <c r="L20" s="52"/>
      <c r="M20" s="31" t="s">
        <v>20</v>
      </c>
      <c r="N20" s="31" t="s">
        <v>20</v>
      </c>
      <c r="O20" s="31" t="s">
        <v>20</v>
      </c>
      <c r="P20" s="31" t="s">
        <v>20</v>
      </c>
      <c r="Q20" s="31" t="s">
        <v>20</v>
      </c>
      <c r="R20" s="31" t="s">
        <v>20</v>
      </c>
      <c r="S20" s="52"/>
      <c r="T20" s="31" t="s">
        <v>20</v>
      </c>
      <c r="U20" s="55"/>
      <c r="V20" s="31" t="s">
        <v>20</v>
      </c>
      <c r="W20" s="31" t="s">
        <v>20</v>
      </c>
      <c r="X20" s="31" t="s">
        <v>20</v>
      </c>
      <c r="Y20" s="31" t="s">
        <v>20</v>
      </c>
      <c r="Z20" s="52"/>
      <c r="AA20" s="31" t="s">
        <v>20</v>
      </c>
      <c r="AB20" s="31" t="s">
        <v>20</v>
      </c>
      <c r="AC20" s="31" t="s">
        <v>20</v>
      </c>
      <c r="AD20" s="31" t="s">
        <v>20</v>
      </c>
      <c r="AE20" s="31" t="s">
        <v>20</v>
      </c>
      <c r="AF20" s="31" t="s">
        <v>20</v>
      </c>
      <c r="AG20" s="52"/>
      <c r="AH20" s="31" t="s">
        <v>20</v>
      </c>
      <c r="AI20" s="4">
        <f t="shared" si="1"/>
        <v>24</v>
      </c>
      <c r="AJ20" s="4">
        <f t="shared" si="2"/>
        <v>0</v>
      </c>
      <c r="AK20" s="4" t="s">
        <v>16</v>
      </c>
      <c r="AL20" s="7">
        <f>AL19-AL12</f>
        <v>85</v>
      </c>
      <c r="AM20" s="7">
        <f>AM19-AM12</f>
        <v>116</v>
      </c>
      <c r="AN20" s="7">
        <f>AL20+AM20</f>
        <v>201</v>
      </c>
    </row>
    <row r="21" spans="1:40" x14ac:dyDescent="0.25">
      <c r="A21" s="5">
        <v>17</v>
      </c>
      <c r="B21" s="32" t="s">
        <v>474</v>
      </c>
      <c r="C21" s="33" t="s">
        <v>160</v>
      </c>
      <c r="D21" s="6" t="s">
        <v>457</v>
      </c>
      <c r="E21" s="52"/>
      <c r="F21" s="31" t="s">
        <v>20</v>
      </c>
      <c r="G21" s="31" t="s">
        <v>20</v>
      </c>
      <c r="H21" s="31" t="s">
        <v>20</v>
      </c>
      <c r="I21" s="31" t="s">
        <v>20</v>
      </c>
      <c r="J21" s="31" t="s">
        <v>20</v>
      </c>
      <c r="K21" s="31" t="s">
        <v>20</v>
      </c>
      <c r="L21" s="52"/>
      <c r="M21" s="31" t="s">
        <v>20</v>
      </c>
      <c r="N21" s="31" t="s">
        <v>20</v>
      </c>
      <c r="O21" s="31" t="s">
        <v>20</v>
      </c>
      <c r="P21" s="31" t="s">
        <v>20</v>
      </c>
      <c r="Q21" s="31" t="s">
        <v>20</v>
      </c>
      <c r="R21" s="31" t="s">
        <v>20</v>
      </c>
      <c r="S21" s="52"/>
      <c r="T21" s="31" t="s">
        <v>20</v>
      </c>
      <c r="U21" s="55"/>
      <c r="V21" s="31" t="s">
        <v>20</v>
      </c>
      <c r="W21" s="31" t="s">
        <v>20</v>
      </c>
      <c r="X21" s="31" t="s">
        <v>20</v>
      </c>
      <c r="Y21" s="31" t="s">
        <v>20</v>
      </c>
      <c r="Z21" s="52"/>
      <c r="AA21" s="31" t="s">
        <v>20</v>
      </c>
      <c r="AB21" s="31" t="s">
        <v>20</v>
      </c>
      <c r="AC21" s="31" t="s">
        <v>20</v>
      </c>
      <c r="AD21" s="31" t="s">
        <v>20</v>
      </c>
      <c r="AE21" s="31" t="s">
        <v>20</v>
      </c>
      <c r="AF21" s="31" t="s">
        <v>20</v>
      </c>
      <c r="AG21" s="52"/>
      <c r="AH21" s="31" t="s">
        <v>20</v>
      </c>
      <c r="AI21" s="4">
        <f t="shared" si="1"/>
        <v>24</v>
      </c>
      <c r="AJ21" s="4">
        <f t="shared" si="2"/>
        <v>0</v>
      </c>
      <c r="AK21" s="4" t="s">
        <v>15</v>
      </c>
      <c r="AL21" s="9">
        <f>AL20/AL19</f>
        <v>0.14166666666666666</v>
      </c>
      <c r="AM21" s="9">
        <f>AM20/AM19</f>
        <v>0.1858974358974359</v>
      </c>
      <c r="AN21" s="9">
        <f>AN20/AN19</f>
        <v>0.1642156862745098</v>
      </c>
    </row>
    <row r="22" spans="1:40" x14ac:dyDescent="0.25">
      <c r="A22" s="7">
        <v>18</v>
      </c>
      <c r="B22" s="32" t="s">
        <v>475</v>
      </c>
      <c r="C22" s="33" t="s">
        <v>280</v>
      </c>
      <c r="D22" s="6" t="s">
        <v>457</v>
      </c>
      <c r="E22" s="52"/>
      <c r="F22" s="31" t="s">
        <v>20</v>
      </c>
      <c r="G22" s="31" t="s">
        <v>20</v>
      </c>
      <c r="H22" s="31" t="s">
        <v>20</v>
      </c>
      <c r="I22" s="31" t="s">
        <v>20</v>
      </c>
      <c r="J22" s="31" t="s">
        <v>20</v>
      </c>
      <c r="K22" s="31" t="s">
        <v>20</v>
      </c>
      <c r="L22" s="52"/>
      <c r="M22" s="31" t="s">
        <v>20</v>
      </c>
      <c r="N22" s="31" t="s">
        <v>20</v>
      </c>
      <c r="O22" s="31" t="s">
        <v>20</v>
      </c>
      <c r="P22" s="31" t="s">
        <v>20</v>
      </c>
      <c r="Q22" s="31" t="s">
        <v>20</v>
      </c>
      <c r="R22" s="31" t="s">
        <v>20</v>
      </c>
      <c r="S22" s="52"/>
      <c r="T22" s="31" t="s">
        <v>20</v>
      </c>
      <c r="U22" s="55"/>
      <c r="V22" s="31" t="s">
        <v>20</v>
      </c>
      <c r="W22" s="31" t="s">
        <v>20</v>
      </c>
      <c r="X22" s="31" t="s">
        <v>20</v>
      </c>
      <c r="Y22" s="31" t="s">
        <v>20</v>
      </c>
      <c r="Z22" s="52"/>
      <c r="AA22" s="31" t="s">
        <v>20</v>
      </c>
      <c r="AB22" s="31" t="s">
        <v>20</v>
      </c>
      <c r="AC22" s="31" t="s">
        <v>20</v>
      </c>
      <c r="AD22" s="31" t="s">
        <v>20</v>
      </c>
      <c r="AE22" s="31" t="s">
        <v>20</v>
      </c>
      <c r="AF22" s="31" t="s">
        <v>20</v>
      </c>
      <c r="AG22" s="52"/>
      <c r="AH22" s="31" t="s">
        <v>20</v>
      </c>
      <c r="AI22" s="4">
        <f t="shared" si="1"/>
        <v>24</v>
      </c>
      <c r="AJ22" s="4">
        <f t="shared" si="2"/>
        <v>0</v>
      </c>
    </row>
    <row r="23" spans="1:40" x14ac:dyDescent="0.25">
      <c r="A23" s="5">
        <v>19</v>
      </c>
      <c r="B23" s="32" t="s">
        <v>476</v>
      </c>
      <c r="C23" s="33" t="s">
        <v>282</v>
      </c>
      <c r="D23" s="6" t="s">
        <v>457</v>
      </c>
      <c r="E23" s="52"/>
      <c r="F23" s="31" t="s">
        <v>20</v>
      </c>
      <c r="G23" s="31" t="s">
        <v>20</v>
      </c>
      <c r="H23" s="31" t="s">
        <v>20</v>
      </c>
      <c r="I23" s="31" t="s">
        <v>20</v>
      </c>
      <c r="J23" s="31" t="s">
        <v>21</v>
      </c>
      <c r="K23" s="31" t="s">
        <v>20</v>
      </c>
      <c r="L23" s="52"/>
      <c r="M23" s="31" t="s">
        <v>20</v>
      </c>
      <c r="N23" s="31" t="s">
        <v>20</v>
      </c>
      <c r="O23" s="31" t="s">
        <v>20</v>
      </c>
      <c r="P23" s="31" t="s">
        <v>20</v>
      </c>
      <c r="Q23" s="31" t="s">
        <v>20</v>
      </c>
      <c r="R23" s="31" t="s">
        <v>20</v>
      </c>
      <c r="S23" s="52"/>
      <c r="T23" s="31" t="s">
        <v>20</v>
      </c>
      <c r="U23" s="55"/>
      <c r="V23" s="31" t="s">
        <v>20</v>
      </c>
      <c r="W23" s="31" t="s">
        <v>20</v>
      </c>
      <c r="X23" s="31" t="s">
        <v>20</v>
      </c>
      <c r="Y23" s="31" t="s">
        <v>21</v>
      </c>
      <c r="Z23" s="52"/>
      <c r="AA23" s="31" t="s">
        <v>20</v>
      </c>
      <c r="AB23" s="31" t="s">
        <v>21</v>
      </c>
      <c r="AC23" s="31" t="s">
        <v>21</v>
      </c>
      <c r="AD23" s="31" t="s">
        <v>20</v>
      </c>
      <c r="AE23" s="31" t="s">
        <v>20</v>
      </c>
      <c r="AF23" s="31" t="s">
        <v>20</v>
      </c>
      <c r="AG23" s="52"/>
      <c r="AH23" s="31" t="s">
        <v>20</v>
      </c>
      <c r="AI23" s="4">
        <f t="shared" si="1"/>
        <v>20</v>
      </c>
      <c r="AJ23" s="4">
        <f t="shared" si="2"/>
        <v>4</v>
      </c>
    </row>
    <row r="24" spans="1:40" x14ac:dyDescent="0.25">
      <c r="A24" s="7">
        <v>20</v>
      </c>
      <c r="B24" s="32" t="s">
        <v>56</v>
      </c>
      <c r="C24" s="33" t="s">
        <v>321</v>
      </c>
      <c r="D24" s="6" t="s">
        <v>457</v>
      </c>
      <c r="E24" s="52"/>
      <c r="F24" s="31" t="s">
        <v>20</v>
      </c>
      <c r="G24" s="31" t="s">
        <v>20</v>
      </c>
      <c r="H24" s="31" t="s">
        <v>20</v>
      </c>
      <c r="I24" s="31" t="s">
        <v>20</v>
      </c>
      <c r="J24" s="31" t="s">
        <v>21</v>
      </c>
      <c r="K24" s="31" t="s">
        <v>20</v>
      </c>
      <c r="L24" s="52"/>
      <c r="M24" s="31" t="s">
        <v>20</v>
      </c>
      <c r="N24" s="31" t="s">
        <v>20</v>
      </c>
      <c r="O24" s="31" t="s">
        <v>20</v>
      </c>
      <c r="P24" s="31" t="s">
        <v>20</v>
      </c>
      <c r="Q24" s="31" t="s">
        <v>20</v>
      </c>
      <c r="R24" s="31" t="s">
        <v>20</v>
      </c>
      <c r="S24" s="52"/>
      <c r="T24" s="31" t="s">
        <v>20</v>
      </c>
      <c r="U24" s="55"/>
      <c r="V24" s="31" t="s">
        <v>20</v>
      </c>
      <c r="W24" s="31" t="s">
        <v>20</v>
      </c>
      <c r="X24" s="31" t="s">
        <v>20</v>
      </c>
      <c r="Y24" s="31" t="s">
        <v>20</v>
      </c>
      <c r="Z24" s="52"/>
      <c r="AA24" s="31" t="s">
        <v>20</v>
      </c>
      <c r="AB24" s="31" t="s">
        <v>20</v>
      </c>
      <c r="AC24" s="31" t="s">
        <v>20</v>
      </c>
      <c r="AD24" s="31" t="s">
        <v>20</v>
      </c>
      <c r="AE24" s="31" t="s">
        <v>20</v>
      </c>
      <c r="AF24" s="31" t="s">
        <v>20</v>
      </c>
      <c r="AG24" s="52"/>
      <c r="AH24" s="31" t="s">
        <v>20</v>
      </c>
      <c r="AI24" s="4">
        <f t="shared" si="1"/>
        <v>23</v>
      </c>
      <c r="AJ24" s="4">
        <f t="shared" si="2"/>
        <v>1</v>
      </c>
    </row>
    <row r="25" spans="1:40" x14ac:dyDescent="0.25">
      <c r="A25" s="5">
        <v>21</v>
      </c>
      <c r="B25" s="32" t="s">
        <v>477</v>
      </c>
      <c r="C25" s="33" t="s">
        <v>478</v>
      </c>
      <c r="D25" s="6" t="s">
        <v>457</v>
      </c>
      <c r="E25" s="52"/>
      <c r="F25" s="31" t="s">
        <v>20</v>
      </c>
      <c r="G25" s="31" t="s">
        <v>20</v>
      </c>
      <c r="H25" s="31" t="s">
        <v>20</v>
      </c>
      <c r="I25" s="31" t="s">
        <v>20</v>
      </c>
      <c r="J25" s="31" t="s">
        <v>20</v>
      </c>
      <c r="K25" s="31" t="s">
        <v>20</v>
      </c>
      <c r="L25" s="52"/>
      <c r="M25" s="31" t="s">
        <v>20</v>
      </c>
      <c r="N25" s="31" t="s">
        <v>20</v>
      </c>
      <c r="O25" s="31" t="s">
        <v>20</v>
      </c>
      <c r="P25" s="31" t="s">
        <v>20</v>
      </c>
      <c r="Q25" s="31" t="s">
        <v>20</v>
      </c>
      <c r="R25" s="31" t="s">
        <v>20</v>
      </c>
      <c r="S25" s="52"/>
      <c r="T25" s="31" t="s">
        <v>20</v>
      </c>
      <c r="U25" s="55"/>
      <c r="V25" s="31" t="s">
        <v>20</v>
      </c>
      <c r="W25" s="31" t="s">
        <v>20</v>
      </c>
      <c r="X25" s="31" t="s">
        <v>20</v>
      </c>
      <c r="Y25" s="31" t="s">
        <v>21</v>
      </c>
      <c r="Z25" s="52"/>
      <c r="AA25" s="31" t="s">
        <v>20</v>
      </c>
      <c r="AB25" s="31" t="s">
        <v>20</v>
      </c>
      <c r="AC25" s="31" t="s">
        <v>20</v>
      </c>
      <c r="AD25" s="31" t="s">
        <v>20</v>
      </c>
      <c r="AE25" s="31" t="s">
        <v>20</v>
      </c>
      <c r="AF25" s="31" t="s">
        <v>20</v>
      </c>
      <c r="AG25" s="52"/>
      <c r="AH25" s="31" t="s">
        <v>20</v>
      </c>
      <c r="AI25" s="4">
        <f t="shared" si="1"/>
        <v>23</v>
      </c>
      <c r="AJ25" s="4">
        <f t="shared" si="2"/>
        <v>1</v>
      </c>
    </row>
    <row r="26" spans="1:40" x14ac:dyDescent="0.25">
      <c r="A26" s="7">
        <v>22</v>
      </c>
      <c r="B26" s="32" t="s">
        <v>479</v>
      </c>
      <c r="C26" s="33" t="s">
        <v>480</v>
      </c>
      <c r="D26" s="6" t="s">
        <v>457</v>
      </c>
      <c r="E26" s="52"/>
      <c r="F26" s="31" t="s">
        <v>20</v>
      </c>
      <c r="G26" s="31" t="s">
        <v>20</v>
      </c>
      <c r="H26" s="31" t="s">
        <v>21</v>
      </c>
      <c r="I26" s="31" t="s">
        <v>20</v>
      </c>
      <c r="J26" s="31" t="s">
        <v>20</v>
      </c>
      <c r="K26" s="31" t="s">
        <v>21</v>
      </c>
      <c r="L26" s="52"/>
      <c r="M26" s="31" t="s">
        <v>20</v>
      </c>
      <c r="N26" s="31" t="s">
        <v>20</v>
      </c>
      <c r="O26" s="31" t="s">
        <v>20</v>
      </c>
      <c r="P26" s="31" t="s">
        <v>20</v>
      </c>
      <c r="Q26" s="31" t="s">
        <v>20</v>
      </c>
      <c r="R26" s="31" t="s">
        <v>20</v>
      </c>
      <c r="S26" s="52"/>
      <c r="T26" s="31" t="s">
        <v>20</v>
      </c>
      <c r="U26" s="55"/>
      <c r="V26" s="31" t="s">
        <v>20</v>
      </c>
      <c r="W26" s="31" t="s">
        <v>20</v>
      </c>
      <c r="X26" s="31" t="s">
        <v>20</v>
      </c>
      <c r="Y26" s="31" t="s">
        <v>20</v>
      </c>
      <c r="Z26" s="52"/>
      <c r="AA26" s="31" t="s">
        <v>20</v>
      </c>
      <c r="AB26" s="31" t="s">
        <v>20</v>
      </c>
      <c r="AC26" s="31" t="s">
        <v>20</v>
      </c>
      <c r="AD26" s="31" t="s">
        <v>20</v>
      </c>
      <c r="AE26" s="31" t="s">
        <v>20</v>
      </c>
      <c r="AF26" s="31" t="s">
        <v>20</v>
      </c>
      <c r="AG26" s="52"/>
      <c r="AH26" s="31" t="s">
        <v>20</v>
      </c>
      <c r="AI26" s="4">
        <f t="shared" si="1"/>
        <v>22</v>
      </c>
      <c r="AJ26" s="4">
        <f t="shared" si="2"/>
        <v>2</v>
      </c>
    </row>
    <row r="27" spans="1:40" x14ac:dyDescent="0.25">
      <c r="A27" s="5">
        <v>23</v>
      </c>
      <c r="B27" s="32" t="s">
        <v>481</v>
      </c>
      <c r="C27" s="33" t="s">
        <v>344</v>
      </c>
      <c r="D27" s="6" t="s">
        <v>457</v>
      </c>
      <c r="E27" s="52"/>
      <c r="F27" s="31" t="s">
        <v>102</v>
      </c>
      <c r="G27" s="31" t="s">
        <v>102</v>
      </c>
      <c r="H27" s="31" t="s">
        <v>102</v>
      </c>
      <c r="I27" s="31" t="s">
        <v>102</v>
      </c>
      <c r="J27" s="31" t="s">
        <v>102</v>
      </c>
      <c r="K27" s="31" t="s">
        <v>102</v>
      </c>
      <c r="L27" s="52"/>
      <c r="M27" s="31" t="s">
        <v>102</v>
      </c>
      <c r="N27" s="31" t="s">
        <v>102</v>
      </c>
      <c r="O27" s="31" t="s">
        <v>102</v>
      </c>
      <c r="P27" s="31" t="s">
        <v>102</v>
      </c>
      <c r="Q27" s="31" t="s">
        <v>102</v>
      </c>
      <c r="R27" s="31" t="s">
        <v>20</v>
      </c>
      <c r="S27" s="52"/>
      <c r="T27" s="31" t="s">
        <v>20</v>
      </c>
      <c r="U27" s="55"/>
      <c r="V27" s="31" t="s">
        <v>20</v>
      </c>
      <c r="W27" s="31" t="s">
        <v>21</v>
      </c>
      <c r="X27" s="31" t="s">
        <v>21</v>
      </c>
      <c r="Y27" s="31" t="s">
        <v>20</v>
      </c>
      <c r="Z27" s="52"/>
      <c r="AA27" s="31" t="s">
        <v>20</v>
      </c>
      <c r="AB27" s="31" t="s">
        <v>20</v>
      </c>
      <c r="AC27" s="31" t="s">
        <v>20</v>
      </c>
      <c r="AD27" s="31" t="s">
        <v>20</v>
      </c>
      <c r="AE27" s="31" t="s">
        <v>20</v>
      </c>
      <c r="AF27" s="31" t="s">
        <v>20</v>
      </c>
      <c r="AG27" s="52"/>
      <c r="AH27" s="31" t="s">
        <v>20</v>
      </c>
      <c r="AI27" s="4">
        <f t="shared" si="1"/>
        <v>11</v>
      </c>
      <c r="AJ27" s="4">
        <f t="shared" si="2"/>
        <v>2</v>
      </c>
    </row>
    <row r="28" spans="1:40" x14ac:dyDescent="0.25">
      <c r="A28" s="7">
        <v>24</v>
      </c>
      <c r="B28" s="32" t="s">
        <v>99</v>
      </c>
      <c r="C28" s="33" t="s">
        <v>344</v>
      </c>
      <c r="D28" s="6" t="s">
        <v>457</v>
      </c>
      <c r="E28" s="52"/>
      <c r="F28" s="31" t="s">
        <v>102</v>
      </c>
      <c r="G28" s="31" t="s">
        <v>102</v>
      </c>
      <c r="H28" s="31" t="s">
        <v>102</v>
      </c>
      <c r="I28" s="31" t="s">
        <v>102</v>
      </c>
      <c r="J28" s="31" t="s">
        <v>102</v>
      </c>
      <c r="K28" s="31" t="s">
        <v>102</v>
      </c>
      <c r="L28" s="52"/>
      <c r="M28" s="31" t="s">
        <v>102</v>
      </c>
      <c r="N28" s="31" t="s">
        <v>102</v>
      </c>
      <c r="O28" s="31" t="s">
        <v>102</v>
      </c>
      <c r="P28" s="31" t="s">
        <v>102</v>
      </c>
      <c r="Q28" s="31" t="s">
        <v>102</v>
      </c>
      <c r="R28" s="31" t="s">
        <v>20</v>
      </c>
      <c r="S28" s="52"/>
      <c r="T28" s="31" t="s">
        <v>20</v>
      </c>
      <c r="U28" s="55"/>
      <c r="V28" s="31" t="s">
        <v>20</v>
      </c>
      <c r="W28" s="31" t="s">
        <v>21</v>
      </c>
      <c r="X28" s="31" t="s">
        <v>21</v>
      </c>
      <c r="Y28" s="31" t="s">
        <v>20</v>
      </c>
      <c r="Z28" s="52"/>
      <c r="AA28" s="31" t="s">
        <v>20</v>
      </c>
      <c r="AB28" s="31" t="s">
        <v>20</v>
      </c>
      <c r="AC28" s="31" t="s">
        <v>20</v>
      </c>
      <c r="AD28" s="31" t="s">
        <v>20</v>
      </c>
      <c r="AE28" s="31" t="s">
        <v>20</v>
      </c>
      <c r="AF28" s="31" t="s">
        <v>20</v>
      </c>
      <c r="AG28" s="52"/>
      <c r="AH28" s="31" t="s">
        <v>20</v>
      </c>
      <c r="AI28" s="4">
        <f t="shared" si="1"/>
        <v>11</v>
      </c>
      <c r="AJ28" s="4">
        <f t="shared" si="2"/>
        <v>2</v>
      </c>
    </row>
    <row r="29" spans="1:40" x14ac:dyDescent="0.25">
      <c r="A29" s="5">
        <v>25</v>
      </c>
      <c r="B29" s="32" t="s">
        <v>482</v>
      </c>
      <c r="C29" s="33"/>
      <c r="D29" s="6" t="s">
        <v>457</v>
      </c>
      <c r="E29" s="52"/>
      <c r="F29" s="31" t="s">
        <v>102</v>
      </c>
      <c r="G29" s="31" t="s">
        <v>102</v>
      </c>
      <c r="H29" s="31" t="s">
        <v>102</v>
      </c>
      <c r="I29" s="31" t="s">
        <v>102</v>
      </c>
      <c r="J29" s="31" t="s">
        <v>102</v>
      </c>
      <c r="K29" s="31" t="s">
        <v>102</v>
      </c>
      <c r="L29" s="52"/>
      <c r="M29" s="31" t="s">
        <v>102</v>
      </c>
      <c r="N29" s="31" t="s">
        <v>102</v>
      </c>
      <c r="O29" s="31" t="s">
        <v>102</v>
      </c>
      <c r="P29" s="31" t="s">
        <v>102</v>
      </c>
      <c r="Q29" s="31" t="s">
        <v>102</v>
      </c>
      <c r="R29" s="31" t="s">
        <v>102</v>
      </c>
      <c r="S29" s="52"/>
      <c r="T29" s="31" t="s">
        <v>102</v>
      </c>
      <c r="U29" s="55"/>
      <c r="V29" s="31" t="s">
        <v>102</v>
      </c>
      <c r="W29" s="31" t="s">
        <v>102</v>
      </c>
      <c r="X29" s="31" t="s">
        <v>102</v>
      </c>
      <c r="Y29" s="31" t="s">
        <v>20</v>
      </c>
      <c r="Z29" s="52"/>
      <c r="AA29" s="31" t="s">
        <v>20</v>
      </c>
      <c r="AB29" s="31" t="s">
        <v>20</v>
      </c>
      <c r="AC29" s="31" t="s">
        <v>20</v>
      </c>
      <c r="AD29" s="31" t="s">
        <v>20</v>
      </c>
      <c r="AE29" s="31" t="s">
        <v>20</v>
      </c>
      <c r="AF29" s="31" t="s">
        <v>20</v>
      </c>
      <c r="AG29" s="52"/>
      <c r="AH29" s="31" t="s">
        <v>20</v>
      </c>
      <c r="AI29" s="4">
        <f t="shared" si="1"/>
        <v>8</v>
      </c>
      <c r="AJ29" s="4">
        <f t="shared" si="2"/>
        <v>0</v>
      </c>
    </row>
    <row r="30" spans="1:40" ht="15" customHeight="1" x14ac:dyDescent="0.25">
      <c r="A30" s="7">
        <v>1</v>
      </c>
      <c r="B30" s="32" t="s">
        <v>483</v>
      </c>
      <c r="C30" s="33" t="s">
        <v>484</v>
      </c>
      <c r="D30" s="6" t="s">
        <v>457</v>
      </c>
      <c r="E30" s="52"/>
      <c r="F30" s="31" t="s">
        <v>20</v>
      </c>
      <c r="G30" s="31" t="s">
        <v>20</v>
      </c>
      <c r="H30" s="31" t="s">
        <v>20</v>
      </c>
      <c r="I30" s="31" t="s">
        <v>20</v>
      </c>
      <c r="J30" s="31" t="s">
        <v>20</v>
      </c>
      <c r="K30" s="31" t="s">
        <v>20</v>
      </c>
      <c r="L30" s="52"/>
      <c r="M30" s="31" t="s">
        <v>20</v>
      </c>
      <c r="N30" s="31" t="s">
        <v>20</v>
      </c>
      <c r="O30" s="31" t="s">
        <v>20</v>
      </c>
      <c r="P30" s="31" t="s">
        <v>20</v>
      </c>
      <c r="Q30" s="31" t="s">
        <v>20</v>
      </c>
      <c r="R30" s="31" t="s">
        <v>20</v>
      </c>
      <c r="S30" s="52"/>
      <c r="T30" s="31" t="s">
        <v>20</v>
      </c>
      <c r="U30" s="55"/>
      <c r="V30" s="31" t="s">
        <v>20</v>
      </c>
      <c r="W30" s="31" t="s">
        <v>20</v>
      </c>
      <c r="X30" s="31" t="s">
        <v>20</v>
      </c>
      <c r="Y30" s="31" t="s">
        <v>20</v>
      </c>
      <c r="Z30" s="52"/>
      <c r="AA30" s="31" t="s">
        <v>20</v>
      </c>
      <c r="AB30" s="31" t="s">
        <v>20</v>
      </c>
      <c r="AC30" s="31" t="s">
        <v>20</v>
      </c>
      <c r="AD30" s="31" t="s">
        <v>20</v>
      </c>
      <c r="AE30" s="31" t="s">
        <v>20</v>
      </c>
      <c r="AF30" s="31" t="s">
        <v>20</v>
      </c>
      <c r="AG30" s="52"/>
      <c r="AH30" s="31" t="s">
        <v>21</v>
      </c>
      <c r="AI30" s="4">
        <f t="shared" si="1"/>
        <v>23</v>
      </c>
      <c r="AJ30" s="4">
        <f t="shared" si="2"/>
        <v>1</v>
      </c>
    </row>
    <row r="31" spans="1:40" x14ac:dyDescent="0.25">
      <c r="A31" s="5">
        <v>2</v>
      </c>
      <c r="B31" s="32" t="s">
        <v>148</v>
      </c>
      <c r="C31" s="33" t="s">
        <v>473</v>
      </c>
      <c r="D31" s="6" t="s">
        <v>457</v>
      </c>
      <c r="E31" s="52"/>
      <c r="F31" s="31" t="s">
        <v>20</v>
      </c>
      <c r="G31" s="31" t="s">
        <v>20</v>
      </c>
      <c r="H31" s="31" t="s">
        <v>20</v>
      </c>
      <c r="I31" s="31" t="s">
        <v>20</v>
      </c>
      <c r="J31" s="31" t="s">
        <v>21</v>
      </c>
      <c r="K31" s="31" t="s">
        <v>20</v>
      </c>
      <c r="L31" s="52"/>
      <c r="M31" s="31" t="s">
        <v>20</v>
      </c>
      <c r="N31" s="31" t="s">
        <v>20</v>
      </c>
      <c r="O31" s="31" t="s">
        <v>20</v>
      </c>
      <c r="P31" s="31" t="s">
        <v>20</v>
      </c>
      <c r="Q31" s="31" t="s">
        <v>20</v>
      </c>
      <c r="R31" s="31" t="s">
        <v>20</v>
      </c>
      <c r="S31" s="52"/>
      <c r="T31" s="31" t="s">
        <v>20</v>
      </c>
      <c r="U31" s="55"/>
      <c r="V31" s="31" t="s">
        <v>20</v>
      </c>
      <c r="W31" s="31" t="s">
        <v>20</v>
      </c>
      <c r="X31" s="31" t="s">
        <v>20</v>
      </c>
      <c r="Y31" s="31" t="s">
        <v>20</v>
      </c>
      <c r="Z31" s="52"/>
      <c r="AA31" s="31" t="s">
        <v>20</v>
      </c>
      <c r="AB31" s="31" t="s">
        <v>20</v>
      </c>
      <c r="AC31" s="31" t="s">
        <v>20</v>
      </c>
      <c r="AD31" s="31" t="s">
        <v>20</v>
      </c>
      <c r="AE31" s="31" t="s">
        <v>20</v>
      </c>
      <c r="AF31" s="31" t="s">
        <v>20</v>
      </c>
      <c r="AG31" s="52"/>
      <c r="AH31" s="31" t="s">
        <v>20</v>
      </c>
      <c r="AI31" s="4">
        <f t="shared" si="1"/>
        <v>23</v>
      </c>
      <c r="AJ31" s="4">
        <f t="shared" si="2"/>
        <v>1</v>
      </c>
    </row>
    <row r="32" spans="1:40" x14ac:dyDescent="0.25">
      <c r="A32" s="7">
        <v>3</v>
      </c>
      <c r="B32" s="32" t="s">
        <v>485</v>
      </c>
      <c r="C32" s="33" t="s">
        <v>486</v>
      </c>
      <c r="D32" s="6" t="s">
        <v>457</v>
      </c>
      <c r="E32" s="52"/>
      <c r="F32" s="31" t="s">
        <v>20</v>
      </c>
      <c r="G32" s="31" t="s">
        <v>20</v>
      </c>
      <c r="H32" s="31" t="s">
        <v>20</v>
      </c>
      <c r="I32" s="31" t="s">
        <v>20</v>
      </c>
      <c r="J32" s="31" t="s">
        <v>21</v>
      </c>
      <c r="K32" s="31" t="s">
        <v>21</v>
      </c>
      <c r="L32" s="52"/>
      <c r="M32" s="31" t="s">
        <v>21</v>
      </c>
      <c r="N32" s="31" t="s">
        <v>20</v>
      </c>
      <c r="O32" s="31" t="s">
        <v>20</v>
      </c>
      <c r="P32" s="31" t="s">
        <v>20</v>
      </c>
      <c r="Q32" s="31" t="s">
        <v>20</v>
      </c>
      <c r="R32" s="31" t="s">
        <v>21</v>
      </c>
      <c r="S32" s="52"/>
      <c r="T32" s="31" t="s">
        <v>21</v>
      </c>
      <c r="U32" s="55"/>
      <c r="V32" s="31" t="s">
        <v>20</v>
      </c>
      <c r="W32" s="31" t="s">
        <v>20</v>
      </c>
      <c r="X32" s="31" t="s">
        <v>20</v>
      </c>
      <c r="Y32" s="31" t="s">
        <v>21</v>
      </c>
      <c r="Z32" s="52"/>
      <c r="AA32" s="31" t="s">
        <v>20</v>
      </c>
      <c r="AB32" s="31" t="s">
        <v>20</v>
      </c>
      <c r="AC32" s="31" t="s">
        <v>21</v>
      </c>
      <c r="AD32" s="31" t="s">
        <v>20</v>
      </c>
      <c r="AE32" s="31" t="s">
        <v>20</v>
      </c>
      <c r="AF32" s="31" t="s">
        <v>20</v>
      </c>
      <c r="AG32" s="52"/>
      <c r="AH32" s="31" t="s">
        <v>20</v>
      </c>
      <c r="AI32" s="4">
        <f t="shared" si="1"/>
        <v>17</v>
      </c>
      <c r="AJ32" s="4">
        <f t="shared" si="2"/>
        <v>7</v>
      </c>
    </row>
    <row r="33" spans="1:36" x14ac:dyDescent="0.25">
      <c r="A33" s="5">
        <v>4</v>
      </c>
      <c r="B33" s="32" t="s">
        <v>270</v>
      </c>
      <c r="C33" s="33" t="s">
        <v>487</v>
      </c>
      <c r="D33" s="6" t="s">
        <v>457</v>
      </c>
      <c r="E33" s="52"/>
      <c r="F33" s="31" t="s">
        <v>20</v>
      </c>
      <c r="G33" s="31" t="s">
        <v>20</v>
      </c>
      <c r="H33" s="31" t="s">
        <v>20</v>
      </c>
      <c r="I33" s="31" t="s">
        <v>20</v>
      </c>
      <c r="J33" s="31" t="s">
        <v>20</v>
      </c>
      <c r="K33" s="31" t="s">
        <v>20</v>
      </c>
      <c r="L33" s="52"/>
      <c r="M33" s="31" t="s">
        <v>20</v>
      </c>
      <c r="N33" s="31" t="s">
        <v>20</v>
      </c>
      <c r="O33" s="31" t="s">
        <v>20</v>
      </c>
      <c r="P33" s="31" t="s">
        <v>20</v>
      </c>
      <c r="Q33" s="31" t="s">
        <v>20</v>
      </c>
      <c r="R33" s="31" t="s">
        <v>20</v>
      </c>
      <c r="S33" s="52"/>
      <c r="T33" s="31" t="s">
        <v>20</v>
      </c>
      <c r="U33" s="55"/>
      <c r="V33" s="31" t="s">
        <v>20</v>
      </c>
      <c r="W33" s="31" t="s">
        <v>20</v>
      </c>
      <c r="X33" s="31" t="s">
        <v>20</v>
      </c>
      <c r="Y33" s="31" t="s">
        <v>20</v>
      </c>
      <c r="Z33" s="52"/>
      <c r="AA33" s="31" t="s">
        <v>20</v>
      </c>
      <c r="AB33" s="31" t="s">
        <v>20</v>
      </c>
      <c r="AC33" s="31" t="s">
        <v>22</v>
      </c>
      <c r="AD33" s="31" t="s">
        <v>22</v>
      </c>
      <c r="AE33" s="31" t="s">
        <v>22</v>
      </c>
      <c r="AF33" s="31" t="s">
        <v>22</v>
      </c>
      <c r="AG33" s="52"/>
      <c r="AH33" s="31" t="s">
        <v>20</v>
      </c>
      <c r="AI33" s="4">
        <f t="shared" si="1"/>
        <v>20</v>
      </c>
      <c r="AJ33" s="4">
        <f t="shared" si="2"/>
        <v>0</v>
      </c>
    </row>
    <row r="34" spans="1:36" x14ac:dyDescent="0.25">
      <c r="A34" s="7">
        <v>5</v>
      </c>
      <c r="B34" s="32" t="s">
        <v>488</v>
      </c>
      <c r="C34" s="33" t="s">
        <v>69</v>
      </c>
      <c r="D34" s="6" t="s">
        <v>457</v>
      </c>
      <c r="E34" s="52"/>
      <c r="F34" s="31" t="s">
        <v>21</v>
      </c>
      <c r="G34" s="31" t="s">
        <v>20</v>
      </c>
      <c r="H34" s="31" t="s">
        <v>20</v>
      </c>
      <c r="I34" s="31" t="s">
        <v>20</v>
      </c>
      <c r="J34" s="31" t="s">
        <v>21</v>
      </c>
      <c r="K34" s="31" t="s">
        <v>20</v>
      </c>
      <c r="L34" s="52"/>
      <c r="M34" s="31" t="s">
        <v>21</v>
      </c>
      <c r="N34" s="31" t="s">
        <v>21</v>
      </c>
      <c r="O34" s="31" t="s">
        <v>20</v>
      </c>
      <c r="P34" s="31" t="s">
        <v>20</v>
      </c>
      <c r="Q34" s="31" t="s">
        <v>20</v>
      </c>
      <c r="R34" s="31" t="s">
        <v>20</v>
      </c>
      <c r="S34" s="52"/>
      <c r="T34" s="31" t="s">
        <v>21</v>
      </c>
      <c r="U34" s="55"/>
      <c r="V34" s="31" t="s">
        <v>20</v>
      </c>
      <c r="W34" s="31" t="s">
        <v>20</v>
      </c>
      <c r="X34" s="31" t="s">
        <v>20</v>
      </c>
      <c r="Y34" s="31" t="s">
        <v>20</v>
      </c>
      <c r="Z34" s="52"/>
      <c r="AA34" s="31" t="s">
        <v>20</v>
      </c>
      <c r="AB34" s="31" t="s">
        <v>20</v>
      </c>
      <c r="AC34" s="31" t="s">
        <v>20</v>
      </c>
      <c r="AD34" s="31" t="s">
        <v>20</v>
      </c>
      <c r="AE34" s="31" t="s">
        <v>20</v>
      </c>
      <c r="AF34" s="31" t="s">
        <v>20</v>
      </c>
      <c r="AG34" s="52"/>
      <c r="AH34" s="31" t="s">
        <v>20</v>
      </c>
      <c r="AI34" s="4">
        <f t="shared" si="1"/>
        <v>19</v>
      </c>
      <c r="AJ34" s="4">
        <f t="shared" si="2"/>
        <v>5</v>
      </c>
    </row>
    <row r="35" spans="1:36" x14ac:dyDescent="0.25">
      <c r="A35" s="5">
        <v>6</v>
      </c>
      <c r="B35" s="32" t="s">
        <v>489</v>
      </c>
      <c r="C35" s="33" t="s">
        <v>490</v>
      </c>
      <c r="D35" s="6" t="s">
        <v>457</v>
      </c>
      <c r="E35" s="52"/>
      <c r="F35" s="31" t="s">
        <v>20</v>
      </c>
      <c r="G35" s="31" t="s">
        <v>20</v>
      </c>
      <c r="H35" s="31" t="s">
        <v>20</v>
      </c>
      <c r="I35" s="31" t="s">
        <v>20</v>
      </c>
      <c r="J35" s="31" t="s">
        <v>21</v>
      </c>
      <c r="K35" s="31" t="s">
        <v>20</v>
      </c>
      <c r="L35" s="52"/>
      <c r="M35" s="31" t="s">
        <v>20</v>
      </c>
      <c r="N35" s="31" t="s">
        <v>20</v>
      </c>
      <c r="O35" s="31" t="s">
        <v>20</v>
      </c>
      <c r="P35" s="31" t="s">
        <v>20</v>
      </c>
      <c r="Q35" s="31" t="s">
        <v>20</v>
      </c>
      <c r="R35" s="31" t="s">
        <v>20</v>
      </c>
      <c r="S35" s="52"/>
      <c r="T35" s="31" t="s">
        <v>20</v>
      </c>
      <c r="U35" s="55"/>
      <c r="V35" s="31" t="s">
        <v>20</v>
      </c>
      <c r="W35" s="31" t="s">
        <v>20</v>
      </c>
      <c r="X35" s="31" t="s">
        <v>20</v>
      </c>
      <c r="Y35" s="31" t="s">
        <v>20</v>
      </c>
      <c r="Z35" s="52"/>
      <c r="AA35" s="31" t="s">
        <v>20</v>
      </c>
      <c r="AB35" s="31" t="s">
        <v>20</v>
      </c>
      <c r="AC35" s="31" t="s">
        <v>20</v>
      </c>
      <c r="AD35" s="31" t="s">
        <v>21</v>
      </c>
      <c r="AE35" s="31" t="s">
        <v>22</v>
      </c>
      <c r="AF35" s="31" t="s">
        <v>22</v>
      </c>
      <c r="AG35" s="52"/>
      <c r="AH35" s="31" t="s">
        <v>20</v>
      </c>
      <c r="AI35" s="4">
        <f t="shared" si="1"/>
        <v>20</v>
      </c>
      <c r="AJ35" s="4">
        <f t="shared" si="2"/>
        <v>2</v>
      </c>
    </row>
    <row r="36" spans="1:36" x14ac:dyDescent="0.25">
      <c r="A36" s="7">
        <v>7</v>
      </c>
      <c r="B36" s="32" t="s">
        <v>491</v>
      </c>
      <c r="C36" s="33" t="s">
        <v>492</v>
      </c>
      <c r="D36" s="6" t="s">
        <v>457</v>
      </c>
      <c r="E36" s="52"/>
      <c r="F36" s="31" t="s">
        <v>20</v>
      </c>
      <c r="G36" s="31" t="s">
        <v>20</v>
      </c>
      <c r="H36" s="31" t="s">
        <v>20</v>
      </c>
      <c r="I36" s="31" t="s">
        <v>20</v>
      </c>
      <c r="J36" s="31" t="s">
        <v>21</v>
      </c>
      <c r="K36" s="31" t="s">
        <v>20</v>
      </c>
      <c r="L36" s="52"/>
      <c r="M36" s="31" t="s">
        <v>21</v>
      </c>
      <c r="N36" s="31" t="s">
        <v>21</v>
      </c>
      <c r="O36" s="31" t="s">
        <v>21</v>
      </c>
      <c r="P36" s="31" t="s">
        <v>21</v>
      </c>
      <c r="Q36" s="31" t="s">
        <v>21</v>
      </c>
      <c r="R36" s="31" t="s">
        <v>21</v>
      </c>
      <c r="S36" s="52"/>
      <c r="T36" s="31" t="s">
        <v>20</v>
      </c>
      <c r="U36" s="55"/>
      <c r="V36" s="31" t="s">
        <v>20</v>
      </c>
      <c r="W36" s="31" t="s">
        <v>20</v>
      </c>
      <c r="X36" s="31" t="s">
        <v>20</v>
      </c>
      <c r="Y36" s="31" t="s">
        <v>20</v>
      </c>
      <c r="Z36" s="52"/>
      <c r="AA36" s="31" t="s">
        <v>20</v>
      </c>
      <c r="AB36" s="31" t="s">
        <v>20</v>
      </c>
      <c r="AC36" s="31" t="s">
        <v>20</v>
      </c>
      <c r="AD36" s="31" t="s">
        <v>21</v>
      </c>
      <c r="AE36" s="31" t="s">
        <v>20</v>
      </c>
      <c r="AF36" s="31" t="s">
        <v>20</v>
      </c>
      <c r="AG36" s="52"/>
      <c r="AH36" s="31" t="s">
        <v>20</v>
      </c>
      <c r="AI36" s="4">
        <f t="shared" si="1"/>
        <v>16</v>
      </c>
      <c r="AJ36" s="4">
        <f t="shared" si="2"/>
        <v>8</v>
      </c>
    </row>
    <row r="37" spans="1:36" x14ac:dyDescent="0.25">
      <c r="A37" s="5">
        <v>8</v>
      </c>
      <c r="B37" s="32" t="s">
        <v>493</v>
      </c>
      <c r="C37" s="33" t="s">
        <v>224</v>
      </c>
      <c r="D37" s="6" t="s">
        <v>457</v>
      </c>
      <c r="E37" s="52"/>
      <c r="F37" s="31" t="s">
        <v>20</v>
      </c>
      <c r="G37" s="31" t="s">
        <v>21</v>
      </c>
      <c r="H37" s="31" t="s">
        <v>20</v>
      </c>
      <c r="I37" s="31" t="s">
        <v>20</v>
      </c>
      <c r="J37" s="31" t="s">
        <v>21</v>
      </c>
      <c r="K37" s="31" t="s">
        <v>20</v>
      </c>
      <c r="L37" s="52"/>
      <c r="M37" s="31" t="s">
        <v>20</v>
      </c>
      <c r="N37" s="31" t="s">
        <v>20</v>
      </c>
      <c r="O37" s="31" t="s">
        <v>20</v>
      </c>
      <c r="P37" s="31" t="s">
        <v>20</v>
      </c>
      <c r="Q37" s="31" t="s">
        <v>21</v>
      </c>
      <c r="R37" s="31" t="s">
        <v>20</v>
      </c>
      <c r="S37" s="52"/>
      <c r="T37" s="31" t="s">
        <v>21</v>
      </c>
      <c r="U37" s="55"/>
      <c r="V37" s="31" t="s">
        <v>20</v>
      </c>
      <c r="W37" s="31" t="s">
        <v>20</v>
      </c>
      <c r="X37" s="31" t="s">
        <v>20</v>
      </c>
      <c r="Y37" s="31" t="s">
        <v>20</v>
      </c>
      <c r="Z37" s="52"/>
      <c r="AA37" s="31" t="s">
        <v>20</v>
      </c>
      <c r="AB37" s="31" t="s">
        <v>21</v>
      </c>
      <c r="AC37" s="31" t="s">
        <v>20</v>
      </c>
      <c r="AD37" s="31" t="s">
        <v>20</v>
      </c>
      <c r="AE37" s="31" t="s">
        <v>20</v>
      </c>
      <c r="AF37" s="31" t="s">
        <v>20</v>
      </c>
      <c r="AG37" s="52"/>
      <c r="AH37" s="31" t="s">
        <v>20</v>
      </c>
      <c r="AI37" s="4">
        <f t="shared" si="1"/>
        <v>19</v>
      </c>
      <c r="AJ37" s="4">
        <f t="shared" si="2"/>
        <v>5</v>
      </c>
    </row>
    <row r="38" spans="1:36" x14ac:dyDescent="0.25">
      <c r="A38" s="7">
        <v>9</v>
      </c>
      <c r="B38" s="32" t="s">
        <v>262</v>
      </c>
      <c r="C38" s="33" t="s">
        <v>494</v>
      </c>
      <c r="D38" s="6" t="s">
        <v>457</v>
      </c>
      <c r="E38" s="52"/>
      <c r="F38" s="31" t="s">
        <v>20</v>
      </c>
      <c r="G38" s="31" t="s">
        <v>20</v>
      </c>
      <c r="H38" s="31" t="s">
        <v>20</v>
      </c>
      <c r="I38" s="31" t="s">
        <v>20</v>
      </c>
      <c r="J38" s="31" t="s">
        <v>20</v>
      </c>
      <c r="K38" s="31" t="s">
        <v>20</v>
      </c>
      <c r="L38" s="52"/>
      <c r="M38" s="31" t="s">
        <v>20</v>
      </c>
      <c r="N38" s="31" t="s">
        <v>20</v>
      </c>
      <c r="O38" s="31" t="s">
        <v>20</v>
      </c>
      <c r="P38" s="31" t="s">
        <v>20</v>
      </c>
      <c r="Q38" s="31" t="s">
        <v>20</v>
      </c>
      <c r="R38" s="31" t="s">
        <v>20</v>
      </c>
      <c r="S38" s="52"/>
      <c r="T38" s="31" t="s">
        <v>20</v>
      </c>
      <c r="U38" s="55"/>
      <c r="V38" s="31" t="s">
        <v>20</v>
      </c>
      <c r="W38" s="31" t="s">
        <v>20</v>
      </c>
      <c r="X38" s="31" t="s">
        <v>20</v>
      </c>
      <c r="Y38" s="31" t="s">
        <v>21</v>
      </c>
      <c r="Z38" s="52"/>
      <c r="AA38" s="31" t="s">
        <v>20</v>
      </c>
      <c r="AB38" s="31" t="s">
        <v>20</v>
      </c>
      <c r="AC38" s="31" t="s">
        <v>20</v>
      </c>
      <c r="AD38" s="31" t="s">
        <v>20</v>
      </c>
      <c r="AE38" s="31" t="s">
        <v>20</v>
      </c>
      <c r="AF38" s="31" t="s">
        <v>20</v>
      </c>
      <c r="AG38" s="52"/>
      <c r="AH38" s="31" t="s">
        <v>20</v>
      </c>
      <c r="AI38" s="4">
        <f t="shared" si="1"/>
        <v>23</v>
      </c>
      <c r="AJ38" s="4">
        <f t="shared" si="2"/>
        <v>1</v>
      </c>
    </row>
    <row r="39" spans="1:36" x14ac:dyDescent="0.25">
      <c r="A39" s="5">
        <v>10</v>
      </c>
      <c r="B39" s="32" t="s">
        <v>495</v>
      </c>
      <c r="C39" s="33" t="s">
        <v>222</v>
      </c>
      <c r="D39" s="6" t="s">
        <v>457</v>
      </c>
      <c r="E39" s="52"/>
      <c r="F39" s="31" t="s">
        <v>20</v>
      </c>
      <c r="G39" s="31" t="s">
        <v>20</v>
      </c>
      <c r="H39" s="31" t="s">
        <v>20</v>
      </c>
      <c r="I39" s="31" t="s">
        <v>20</v>
      </c>
      <c r="J39" s="31" t="s">
        <v>20</v>
      </c>
      <c r="K39" s="31" t="s">
        <v>20</v>
      </c>
      <c r="L39" s="52"/>
      <c r="M39" s="31" t="s">
        <v>20</v>
      </c>
      <c r="N39" s="31" t="s">
        <v>20</v>
      </c>
      <c r="O39" s="31" t="s">
        <v>20</v>
      </c>
      <c r="P39" s="31" t="s">
        <v>20</v>
      </c>
      <c r="Q39" s="31" t="s">
        <v>20</v>
      </c>
      <c r="R39" s="31" t="s">
        <v>20</v>
      </c>
      <c r="S39" s="52"/>
      <c r="T39" s="31" t="s">
        <v>20</v>
      </c>
      <c r="U39" s="55"/>
      <c r="V39" s="31" t="s">
        <v>20</v>
      </c>
      <c r="W39" s="31" t="s">
        <v>20</v>
      </c>
      <c r="X39" s="31" t="s">
        <v>20</v>
      </c>
      <c r="Y39" s="31" t="s">
        <v>20</v>
      </c>
      <c r="Z39" s="52"/>
      <c r="AA39" s="31" t="s">
        <v>20</v>
      </c>
      <c r="AB39" s="31" t="s">
        <v>20</v>
      </c>
      <c r="AC39" s="31" t="s">
        <v>21</v>
      </c>
      <c r="AD39" s="31" t="s">
        <v>20</v>
      </c>
      <c r="AE39" s="31" t="s">
        <v>21</v>
      </c>
      <c r="AF39" s="31" t="s">
        <v>22</v>
      </c>
      <c r="AG39" s="52"/>
      <c r="AH39" s="31" t="s">
        <v>20</v>
      </c>
      <c r="AI39" s="4">
        <f t="shared" si="1"/>
        <v>21</v>
      </c>
      <c r="AJ39" s="4">
        <f t="shared" si="2"/>
        <v>2</v>
      </c>
    </row>
    <row r="40" spans="1:36" x14ac:dyDescent="0.25">
      <c r="A40" s="7">
        <v>11</v>
      </c>
      <c r="B40" s="32" t="s">
        <v>496</v>
      </c>
      <c r="C40" s="33" t="s">
        <v>416</v>
      </c>
      <c r="D40" s="6" t="s">
        <v>457</v>
      </c>
      <c r="E40" s="52"/>
      <c r="F40" s="31" t="s">
        <v>20</v>
      </c>
      <c r="G40" s="31" t="s">
        <v>20</v>
      </c>
      <c r="H40" s="31" t="s">
        <v>20</v>
      </c>
      <c r="I40" s="31" t="s">
        <v>20</v>
      </c>
      <c r="J40" s="31" t="s">
        <v>21</v>
      </c>
      <c r="K40" s="31" t="s">
        <v>20</v>
      </c>
      <c r="L40" s="52"/>
      <c r="M40" s="31" t="s">
        <v>20</v>
      </c>
      <c r="N40" s="31" t="s">
        <v>20</v>
      </c>
      <c r="O40" s="31" t="s">
        <v>20</v>
      </c>
      <c r="P40" s="31" t="s">
        <v>20</v>
      </c>
      <c r="Q40" s="31" t="s">
        <v>20</v>
      </c>
      <c r="R40" s="31" t="s">
        <v>20</v>
      </c>
      <c r="S40" s="52"/>
      <c r="T40" s="31" t="s">
        <v>20</v>
      </c>
      <c r="U40" s="55"/>
      <c r="V40" s="31" t="s">
        <v>20</v>
      </c>
      <c r="W40" s="31" t="s">
        <v>20</v>
      </c>
      <c r="X40" s="31" t="s">
        <v>20</v>
      </c>
      <c r="Y40" s="31" t="s">
        <v>20</v>
      </c>
      <c r="Z40" s="52"/>
      <c r="AA40" s="31" t="s">
        <v>20</v>
      </c>
      <c r="AB40" s="31" t="s">
        <v>20</v>
      </c>
      <c r="AC40" s="31" t="s">
        <v>20</v>
      </c>
      <c r="AD40" s="31" t="s">
        <v>20</v>
      </c>
      <c r="AE40" s="31" t="s">
        <v>20</v>
      </c>
      <c r="AF40" s="31" t="s">
        <v>20</v>
      </c>
      <c r="AG40" s="52"/>
      <c r="AH40" s="31" t="s">
        <v>20</v>
      </c>
      <c r="AI40" s="4">
        <f t="shared" si="1"/>
        <v>23</v>
      </c>
      <c r="AJ40" s="4">
        <f t="shared" si="2"/>
        <v>1</v>
      </c>
    </row>
    <row r="41" spans="1:36" x14ac:dyDescent="0.25">
      <c r="A41" s="5">
        <v>12</v>
      </c>
      <c r="B41" s="32" t="s">
        <v>334</v>
      </c>
      <c r="C41" s="33" t="s">
        <v>382</v>
      </c>
      <c r="D41" s="6" t="s">
        <v>457</v>
      </c>
      <c r="E41" s="52"/>
      <c r="F41" s="31" t="s">
        <v>20</v>
      </c>
      <c r="G41" s="31" t="s">
        <v>20</v>
      </c>
      <c r="H41" s="31" t="s">
        <v>20</v>
      </c>
      <c r="I41" s="31" t="s">
        <v>20</v>
      </c>
      <c r="J41" s="31" t="s">
        <v>21</v>
      </c>
      <c r="K41" s="31" t="s">
        <v>20</v>
      </c>
      <c r="L41" s="52"/>
      <c r="M41" s="31" t="s">
        <v>20</v>
      </c>
      <c r="N41" s="31" t="s">
        <v>20</v>
      </c>
      <c r="O41" s="31" t="s">
        <v>20</v>
      </c>
      <c r="P41" s="31" t="s">
        <v>20</v>
      </c>
      <c r="Q41" s="31" t="s">
        <v>20</v>
      </c>
      <c r="R41" s="31" t="s">
        <v>20</v>
      </c>
      <c r="S41" s="52"/>
      <c r="T41" s="31" t="s">
        <v>20</v>
      </c>
      <c r="U41" s="55"/>
      <c r="V41" s="31" t="s">
        <v>20</v>
      </c>
      <c r="W41" s="31" t="s">
        <v>20</v>
      </c>
      <c r="X41" s="31" t="s">
        <v>20</v>
      </c>
      <c r="Y41" s="31" t="s">
        <v>20</v>
      </c>
      <c r="Z41" s="52"/>
      <c r="AA41" s="31" t="s">
        <v>20</v>
      </c>
      <c r="AB41" s="31" t="s">
        <v>20</v>
      </c>
      <c r="AC41" s="31" t="s">
        <v>20</v>
      </c>
      <c r="AD41" s="31" t="s">
        <v>20</v>
      </c>
      <c r="AE41" s="31" t="s">
        <v>20</v>
      </c>
      <c r="AF41" s="31" t="s">
        <v>20</v>
      </c>
      <c r="AG41" s="52"/>
      <c r="AH41" s="31" t="s">
        <v>20</v>
      </c>
      <c r="AI41" s="4">
        <f t="shared" si="1"/>
        <v>23</v>
      </c>
      <c r="AJ41" s="4">
        <f t="shared" si="2"/>
        <v>1</v>
      </c>
    </row>
    <row r="42" spans="1:36" x14ac:dyDescent="0.25">
      <c r="A42" s="7">
        <v>13</v>
      </c>
      <c r="B42" s="32" t="s">
        <v>497</v>
      </c>
      <c r="C42" s="33" t="s">
        <v>498</v>
      </c>
      <c r="D42" s="6" t="s">
        <v>457</v>
      </c>
      <c r="E42" s="52"/>
      <c r="F42" s="31" t="s">
        <v>20</v>
      </c>
      <c r="G42" s="31" t="s">
        <v>22</v>
      </c>
      <c r="H42" s="31" t="s">
        <v>21</v>
      </c>
      <c r="I42" s="31" t="s">
        <v>20</v>
      </c>
      <c r="J42" s="31" t="s">
        <v>20</v>
      </c>
      <c r="K42" s="31" t="s">
        <v>20</v>
      </c>
      <c r="L42" s="52"/>
      <c r="M42" s="31" t="s">
        <v>20</v>
      </c>
      <c r="N42" s="31" t="s">
        <v>20</v>
      </c>
      <c r="O42" s="31" t="s">
        <v>20</v>
      </c>
      <c r="P42" s="31" t="s">
        <v>21</v>
      </c>
      <c r="Q42" s="31" t="s">
        <v>20</v>
      </c>
      <c r="R42" s="31" t="s">
        <v>20</v>
      </c>
      <c r="S42" s="52"/>
      <c r="T42" s="31" t="s">
        <v>20</v>
      </c>
      <c r="U42" s="55"/>
      <c r="V42" s="31" t="s">
        <v>20</v>
      </c>
      <c r="W42" s="31" t="s">
        <v>21</v>
      </c>
      <c r="X42" s="31" t="s">
        <v>21</v>
      </c>
      <c r="Y42" s="31" t="s">
        <v>20</v>
      </c>
      <c r="Z42" s="52"/>
      <c r="AA42" s="31" t="s">
        <v>20</v>
      </c>
      <c r="AB42" s="31" t="s">
        <v>20</v>
      </c>
      <c r="AC42" s="31" t="s">
        <v>21</v>
      </c>
      <c r="AD42" s="31" t="s">
        <v>20</v>
      </c>
      <c r="AE42" s="31" t="s">
        <v>20</v>
      </c>
      <c r="AF42" s="31" t="s">
        <v>20</v>
      </c>
      <c r="AG42" s="52"/>
      <c r="AH42" s="31" t="s">
        <v>20</v>
      </c>
      <c r="AI42" s="4">
        <f t="shared" si="1"/>
        <v>18</v>
      </c>
      <c r="AJ42" s="4">
        <f t="shared" si="2"/>
        <v>5</v>
      </c>
    </row>
    <row r="43" spans="1:36" x14ac:dyDescent="0.25">
      <c r="A43" s="5">
        <v>14</v>
      </c>
      <c r="B43" s="32" t="s">
        <v>499</v>
      </c>
      <c r="C43" s="33" t="s">
        <v>256</v>
      </c>
      <c r="D43" s="6" t="s">
        <v>457</v>
      </c>
      <c r="E43" s="52"/>
      <c r="F43" s="31" t="s">
        <v>20</v>
      </c>
      <c r="G43" s="31" t="s">
        <v>20</v>
      </c>
      <c r="H43" s="31" t="s">
        <v>20</v>
      </c>
      <c r="I43" s="31" t="s">
        <v>20</v>
      </c>
      <c r="J43" s="31" t="s">
        <v>20</v>
      </c>
      <c r="K43" s="31" t="s">
        <v>20</v>
      </c>
      <c r="L43" s="52"/>
      <c r="M43" s="31" t="s">
        <v>20</v>
      </c>
      <c r="N43" s="31" t="s">
        <v>20</v>
      </c>
      <c r="O43" s="31" t="s">
        <v>20</v>
      </c>
      <c r="P43" s="31" t="s">
        <v>20</v>
      </c>
      <c r="Q43" s="31" t="s">
        <v>20</v>
      </c>
      <c r="R43" s="31" t="s">
        <v>20</v>
      </c>
      <c r="S43" s="52"/>
      <c r="T43" s="31" t="s">
        <v>20</v>
      </c>
      <c r="U43" s="55"/>
      <c r="V43" s="31" t="s">
        <v>20</v>
      </c>
      <c r="W43" s="31" t="s">
        <v>20</v>
      </c>
      <c r="X43" s="31" t="s">
        <v>20</v>
      </c>
      <c r="Y43" s="31" t="s">
        <v>20</v>
      </c>
      <c r="Z43" s="52"/>
      <c r="AA43" s="31" t="s">
        <v>20</v>
      </c>
      <c r="AB43" s="31" t="s">
        <v>20</v>
      </c>
      <c r="AC43" s="31" t="s">
        <v>20</v>
      </c>
      <c r="AD43" s="31" t="s">
        <v>20</v>
      </c>
      <c r="AE43" s="31" t="s">
        <v>20</v>
      </c>
      <c r="AF43" s="31" t="s">
        <v>20</v>
      </c>
      <c r="AG43" s="52"/>
      <c r="AH43" s="31" t="s">
        <v>20</v>
      </c>
      <c r="AI43" s="4">
        <f t="shared" si="1"/>
        <v>24</v>
      </c>
      <c r="AJ43" s="4">
        <f t="shared" si="2"/>
        <v>0</v>
      </c>
    </row>
    <row r="44" spans="1:36" x14ac:dyDescent="0.25">
      <c r="A44" s="7">
        <v>15</v>
      </c>
      <c r="B44" s="32" t="s">
        <v>500</v>
      </c>
      <c r="C44" s="33" t="s">
        <v>501</v>
      </c>
      <c r="D44" s="6" t="s">
        <v>457</v>
      </c>
      <c r="E44" s="52"/>
      <c r="F44" s="31" t="s">
        <v>20</v>
      </c>
      <c r="G44" s="31" t="s">
        <v>20</v>
      </c>
      <c r="H44" s="31" t="s">
        <v>21</v>
      </c>
      <c r="I44" s="31" t="s">
        <v>21</v>
      </c>
      <c r="J44" s="31" t="s">
        <v>20</v>
      </c>
      <c r="K44" s="31" t="s">
        <v>21</v>
      </c>
      <c r="L44" s="52"/>
      <c r="M44" s="31" t="s">
        <v>20</v>
      </c>
      <c r="N44" s="31" t="s">
        <v>20</v>
      </c>
      <c r="O44" s="31" t="s">
        <v>20</v>
      </c>
      <c r="P44" s="31" t="s">
        <v>20</v>
      </c>
      <c r="Q44" s="31" t="s">
        <v>21</v>
      </c>
      <c r="R44" s="31" t="s">
        <v>20</v>
      </c>
      <c r="S44" s="52"/>
      <c r="T44" s="31" t="s">
        <v>21</v>
      </c>
      <c r="U44" s="55"/>
      <c r="V44" s="31" t="s">
        <v>20</v>
      </c>
      <c r="W44" s="31" t="s">
        <v>21</v>
      </c>
      <c r="X44" s="31" t="s">
        <v>20</v>
      </c>
      <c r="Y44" s="31" t="s">
        <v>21</v>
      </c>
      <c r="Z44" s="52"/>
      <c r="AA44" s="31" t="s">
        <v>20</v>
      </c>
      <c r="AB44" s="31" t="s">
        <v>20</v>
      </c>
      <c r="AC44" s="31" t="s">
        <v>21</v>
      </c>
      <c r="AD44" s="31" t="s">
        <v>20</v>
      </c>
      <c r="AE44" s="31" t="s">
        <v>21</v>
      </c>
      <c r="AF44" s="31" t="s">
        <v>20</v>
      </c>
      <c r="AG44" s="52"/>
      <c r="AH44" s="31" t="s">
        <v>20</v>
      </c>
      <c r="AI44" s="4">
        <f t="shared" si="1"/>
        <v>15</v>
      </c>
      <c r="AJ44" s="4">
        <f t="shared" si="2"/>
        <v>9</v>
      </c>
    </row>
    <row r="45" spans="1:36" x14ac:dyDescent="0.25">
      <c r="A45" s="5">
        <v>16</v>
      </c>
      <c r="B45" s="32" t="s">
        <v>502</v>
      </c>
      <c r="C45" s="33" t="s">
        <v>318</v>
      </c>
      <c r="D45" s="6" t="s">
        <v>457</v>
      </c>
      <c r="E45" s="52"/>
      <c r="F45" s="31" t="s">
        <v>20</v>
      </c>
      <c r="G45" s="31" t="s">
        <v>20</v>
      </c>
      <c r="H45" s="31" t="s">
        <v>20</v>
      </c>
      <c r="I45" s="31" t="s">
        <v>20</v>
      </c>
      <c r="J45" s="31" t="s">
        <v>20</v>
      </c>
      <c r="K45" s="31" t="s">
        <v>20</v>
      </c>
      <c r="L45" s="52"/>
      <c r="M45" s="31" t="s">
        <v>20</v>
      </c>
      <c r="N45" s="31" t="s">
        <v>20</v>
      </c>
      <c r="O45" s="31" t="s">
        <v>20</v>
      </c>
      <c r="P45" s="31" t="s">
        <v>20</v>
      </c>
      <c r="Q45" s="31" t="s">
        <v>20</v>
      </c>
      <c r="R45" s="31" t="s">
        <v>20</v>
      </c>
      <c r="S45" s="52"/>
      <c r="T45" s="31" t="s">
        <v>20</v>
      </c>
      <c r="U45" s="55"/>
      <c r="V45" s="31" t="s">
        <v>20</v>
      </c>
      <c r="W45" s="31" t="s">
        <v>20</v>
      </c>
      <c r="X45" s="31" t="s">
        <v>20</v>
      </c>
      <c r="Y45" s="31" t="s">
        <v>20</v>
      </c>
      <c r="Z45" s="52"/>
      <c r="AA45" s="31" t="s">
        <v>20</v>
      </c>
      <c r="AB45" s="31" t="s">
        <v>20</v>
      </c>
      <c r="AC45" s="31" t="s">
        <v>20</v>
      </c>
      <c r="AD45" s="31" t="s">
        <v>20</v>
      </c>
      <c r="AE45" s="31" t="s">
        <v>20</v>
      </c>
      <c r="AF45" s="31" t="s">
        <v>20</v>
      </c>
      <c r="AG45" s="52"/>
      <c r="AH45" s="31" t="s">
        <v>20</v>
      </c>
      <c r="AI45" s="4">
        <f t="shared" si="1"/>
        <v>24</v>
      </c>
      <c r="AJ45" s="4">
        <f t="shared" si="2"/>
        <v>0</v>
      </c>
    </row>
    <row r="46" spans="1:36" x14ac:dyDescent="0.25">
      <c r="A46" s="7">
        <v>17</v>
      </c>
      <c r="B46" s="32" t="s">
        <v>503</v>
      </c>
      <c r="C46" s="33" t="s">
        <v>504</v>
      </c>
      <c r="D46" s="6" t="s">
        <v>457</v>
      </c>
      <c r="E46" s="52"/>
      <c r="F46" s="31" t="s">
        <v>20</v>
      </c>
      <c r="G46" s="31" t="s">
        <v>20</v>
      </c>
      <c r="H46" s="31" t="s">
        <v>20</v>
      </c>
      <c r="I46" s="31" t="s">
        <v>20</v>
      </c>
      <c r="J46" s="31" t="s">
        <v>20</v>
      </c>
      <c r="K46" s="31" t="s">
        <v>20</v>
      </c>
      <c r="L46" s="52"/>
      <c r="M46" s="31" t="s">
        <v>20</v>
      </c>
      <c r="N46" s="31" t="s">
        <v>20</v>
      </c>
      <c r="O46" s="31" t="s">
        <v>20</v>
      </c>
      <c r="P46" s="31" t="s">
        <v>20</v>
      </c>
      <c r="Q46" s="31" t="s">
        <v>20</v>
      </c>
      <c r="R46" s="31" t="s">
        <v>20</v>
      </c>
      <c r="S46" s="52"/>
      <c r="T46" s="31" t="s">
        <v>21</v>
      </c>
      <c r="U46" s="55"/>
      <c r="V46" s="31" t="s">
        <v>20</v>
      </c>
      <c r="W46" s="31" t="s">
        <v>20</v>
      </c>
      <c r="X46" s="31" t="s">
        <v>20</v>
      </c>
      <c r="Y46" s="31" t="s">
        <v>20</v>
      </c>
      <c r="Z46" s="52"/>
      <c r="AA46" s="31" t="s">
        <v>20</v>
      </c>
      <c r="AB46" s="31" t="s">
        <v>20</v>
      </c>
      <c r="AC46" s="31" t="s">
        <v>20</v>
      </c>
      <c r="AD46" s="31" t="s">
        <v>20</v>
      </c>
      <c r="AE46" s="31" t="s">
        <v>20</v>
      </c>
      <c r="AF46" s="31" t="s">
        <v>21</v>
      </c>
      <c r="AG46" s="52"/>
      <c r="AH46" s="31" t="s">
        <v>22</v>
      </c>
      <c r="AI46" s="4">
        <f t="shared" si="1"/>
        <v>21</v>
      </c>
      <c r="AJ46" s="4">
        <f t="shared" si="2"/>
        <v>2</v>
      </c>
    </row>
    <row r="47" spans="1:36" x14ac:dyDescent="0.25">
      <c r="A47" s="5">
        <v>18</v>
      </c>
      <c r="B47" s="32" t="s">
        <v>505</v>
      </c>
      <c r="C47" s="33" t="s">
        <v>220</v>
      </c>
      <c r="D47" s="6" t="s">
        <v>457</v>
      </c>
      <c r="E47" s="52"/>
      <c r="F47" s="31" t="s">
        <v>20</v>
      </c>
      <c r="G47" s="31" t="s">
        <v>21</v>
      </c>
      <c r="H47" s="31" t="s">
        <v>20</v>
      </c>
      <c r="I47" s="31" t="s">
        <v>20</v>
      </c>
      <c r="J47" s="31" t="s">
        <v>20</v>
      </c>
      <c r="K47" s="31" t="s">
        <v>20</v>
      </c>
      <c r="L47" s="52"/>
      <c r="M47" s="31" t="s">
        <v>20</v>
      </c>
      <c r="N47" s="31" t="s">
        <v>20</v>
      </c>
      <c r="O47" s="31" t="s">
        <v>20</v>
      </c>
      <c r="P47" s="31" t="s">
        <v>20</v>
      </c>
      <c r="Q47" s="31" t="s">
        <v>20</v>
      </c>
      <c r="R47" s="31" t="s">
        <v>20</v>
      </c>
      <c r="S47" s="52"/>
      <c r="T47" s="31" t="s">
        <v>21</v>
      </c>
      <c r="U47" s="55"/>
      <c r="V47" s="31" t="s">
        <v>20</v>
      </c>
      <c r="W47" s="31" t="s">
        <v>20</v>
      </c>
      <c r="X47" s="31" t="s">
        <v>20</v>
      </c>
      <c r="Y47" s="31" t="s">
        <v>21</v>
      </c>
      <c r="Z47" s="52"/>
      <c r="AA47" s="31" t="s">
        <v>20</v>
      </c>
      <c r="AB47" s="31" t="s">
        <v>20</v>
      </c>
      <c r="AC47" s="31" t="s">
        <v>20</v>
      </c>
      <c r="AD47" s="31" t="s">
        <v>20</v>
      </c>
      <c r="AE47" s="31" t="s">
        <v>21</v>
      </c>
      <c r="AF47" s="31" t="s">
        <v>20</v>
      </c>
      <c r="AG47" s="52"/>
      <c r="AH47" s="31" t="s">
        <v>20</v>
      </c>
      <c r="AI47" s="4">
        <f t="shared" si="1"/>
        <v>20</v>
      </c>
      <c r="AJ47" s="4">
        <f t="shared" si="2"/>
        <v>4</v>
      </c>
    </row>
    <row r="48" spans="1:36" x14ac:dyDescent="0.25">
      <c r="A48" s="7">
        <v>19</v>
      </c>
      <c r="B48" s="32" t="s">
        <v>506</v>
      </c>
      <c r="C48" s="33" t="s">
        <v>507</v>
      </c>
      <c r="D48" s="6" t="s">
        <v>457</v>
      </c>
      <c r="E48" s="52"/>
      <c r="F48" s="31" t="s">
        <v>20</v>
      </c>
      <c r="G48" s="31" t="s">
        <v>20</v>
      </c>
      <c r="H48" s="31" t="s">
        <v>20</v>
      </c>
      <c r="I48" s="31" t="s">
        <v>20</v>
      </c>
      <c r="J48" s="31" t="s">
        <v>20</v>
      </c>
      <c r="K48" s="31" t="s">
        <v>20</v>
      </c>
      <c r="L48" s="52"/>
      <c r="M48" s="31" t="s">
        <v>20</v>
      </c>
      <c r="N48" s="31" t="s">
        <v>20</v>
      </c>
      <c r="O48" s="31" t="s">
        <v>20</v>
      </c>
      <c r="P48" s="31" t="s">
        <v>20</v>
      </c>
      <c r="Q48" s="31" t="s">
        <v>21</v>
      </c>
      <c r="R48" s="31" t="s">
        <v>20</v>
      </c>
      <c r="S48" s="52"/>
      <c r="T48" s="31" t="s">
        <v>21</v>
      </c>
      <c r="U48" s="55"/>
      <c r="V48" s="31" t="s">
        <v>20</v>
      </c>
      <c r="W48" s="31" t="s">
        <v>20</v>
      </c>
      <c r="X48" s="31" t="s">
        <v>20</v>
      </c>
      <c r="Y48" s="31" t="s">
        <v>21</v>
      </c>
      <c r="Z48" s="52"/>
      <c r="AA48" s="31" t="s">
        <v>20</v>
      </c>
      <c r="AB48" s="31" t="s">
        <v>20</v>
      </c>
      <c r="AC48" s="31" t="s">
        <v>20</v>
      </c>
      <c r="AD48" s="31" t="s">
        <v>20</v>
      </c>
      <c r="AE48" s="31" t="s">
        <v>20</v>
      </c>
      <c r="AF48" s="31" t="s">
        <v>21</v>
      </c>
      <c r="AG48" s="52"/>
      <c r="AH48" s="31" t="s">
        <v>20</v>
      </c>
      <c r="AI48" s="4">
        <f t="shared" si="1"/>
        <v>20</v>
      </c>
      <c r="AJ48" s="4">
        <f t="shared" si="2"/>
        <v>4</v>
      </c>
    </row>
    <row r="49" spans="1:36" x14ac:dyDescent="0.25">
      <c r="A49" s="5">
        <v>20</v>
      </c>
      <c r="B49" s="32" t="s">
        <v>508</v>
      </c>
      <c r="C49" s="33" t="s">
        <v>509</v>
      </c>
      <c r="D49" s="6" t="s">
        <v>457</v>
      </c>
      <c r="E49" s="52"/>
      <c r="F49" s="31" t="s">
        <v>20</v>
      </c>
      <c r="G49" s="31" t="s">
        <v>20</v>
      </c>
      <c r="H49" s="31" t="s">
        <v>20</v>
      </c>
      <c r="I49" s="31" t="s">
        <v>20</v>
      </c>
      <c r="J49" s="31" t="s">
        <v>20</v>
      </c>
      <c r="K49" s="31" t="s">
        <v>20</v>
      </c>
      <c r="L49" s="52"/>
      <c r="M49" s="31" t="s">
        <v>20</v>
      </c>
      <c r="N49" s="31" t="s">
        <v>20</v>
      </c>
      <c r="O49" s="31" t="s">
        <v>20</v>
      </c>
      <c r="P49" s="31" t="s">
        <v>20</v>
      </c>
      <c r="Q49" s="31" t="s">
        <v>20</v>
      </c>
      <c r="R49" s="31" t="s">
        <v>20</v>
      </c>
      <c r="S49" s="52"/>
      <c r="T49" s="31" t="s">
        <v>20</v>
      </c>
      <c r="U49" s="55"/>
      <c r="V49" s="31" t="s">
        <v>20</v>
      </c>
      <c r="W49" s="31" t="s">
        <v>20</v>
      </c>
      <c r="X49" s="31" t="s">
        <v>20</v>
      </c>
      <c r="Y49" s="31" t="s">
        <v>20</v>
      </c>
      <c r="Z49" s="52"/>
      <c r="AA49" s="31" t="s">
        <v>20</v>
      </c>
      <c r="AB49" s="31" t="s">
        <v>20</v>
      </c>
      <c r="AC49" s="31" t="s">
        <v>20</v>
      </c>
      <c r="AD49" s="31" t="s">
        <v>20</v>
      </c>
      <c r="AE49" s="31" t="s">
        <v>20</v>
      </c>
      <c r="AF49" s="31" t="s">
        <v>20</v>
      </c>
      <c r="AG49" s="52"/>
      <c r="AH49" s="31" t="s">
        <v>20</v>
      </c>
      <c r="AI49" s="4">
        <f t="shared" si="1"/>
        <v>24</v>
      </c>
      <c r="AJ49" s="4">
        <f t="shared" si="2"/>
        <v>0</v>
      </c>
    </row>
    <row r="50" spans="1:36" x14ac:dyDescent="0.25">
      <c r="A50" s="7">
        <v>21</v>
      </c>
      <c r="B50" s="32" t="s">
        <v>510</v>
      </c>
      <c r="C50" s="33" t="s">
        <v>511</v>
      </c>
      <c r="D50" s="6" t="s">
        <v>457</v>
      </c>
      <c r="E50" s="52"/>
      <c r="F50" s="31" t="s">
        <v>20</v>
      </c>
      <c r="G50" s="31" t="s">
        <v>20</v>
      </c>
      <c r="H50" s="31" t="s">
        <v>20</v>
      </c>
      <c r="I50" s="31" t="s">
        <v>21</v>
      </c>
      <c r="J50" s="31" t="s">
        <v>21</v>
      </c>
      <c r="K50" s="31" t="s">
        <v>20</v>
      </c>
      <c r="L50" s="52"/>
      <c r="M50" s="31" t="s">
        <v>20</v>
      </c>
      <c r="N50" s="31" t="s">
        <v>21</v>
      </c>
      <c r="O50" s="31" t="s">
        <v>21</v>
      </c>
      <c r="P50" s="31" t="s">
        <v>21</v>
      </c>
      <c r="Q50" s="31" t="s">
        <v>21</v>
      </c>
      <c r="R50" s="31" t="s">
        <v>21</v>
      </c>
      <c r="S50" s="52"/>
      <c r="T50" s="31" t="s">
        <v>21</v>
      </c>
      <c r="U50" s="55"/>
      <c r="V50" s="31" t="s">
        <v>20</v>
      </c>
      <c r="W50" s="31" t="s">
        <v>20</v>
      </c>
      <c r="X50" s="31" t="s">
        <v>20</v>
      </c>
      <c r="Y50" s="31" t="s">
        <v>20</v>
      </c>
      <c r="Z50" s="52"/>
      <c r="AA50" s="31" t="s">
        <v>20</v>
      </c>
      <c r="AB50" s="31" t="s">
        <v>20</v>
      </c>
      <c r="AC50" s="31" t="s">
        <v>20</v>
      </c>
      <c r="AD50" s="31" t="s">
        <v>22</v>
      </c>
      <c r="AE50" s="31" t="s">
        <v>22</v>
      </c>
      <c r="AF50" s="31" t="s">
        <v>22</v>
      </c>
      <c r="AG50" s="52"/>
      <c r="AH50" s="31" t="s">
        <v>22</v>
      </c>
      <c r="AI50" s="4">
        <f t="shared" si="1"/>
        <v>12</v>
      </c>
      <c r="AJ50" s="4">
        <f t="shared" si="2"/>
        <v>8</v>
      </c>
    </row>
    <row r="51" spans="1:36" x14ac:dyDescent="0.25">
      <c r="A51" s="5">
        <v>22</v>
      </c>
      <c r="B51" s="32" t="s">
        <v>444</v>
      </c>
      <c r="C51" s="33" t="s">
        <v>512</v>
      </c>
      <c r="D51" s="6" t="s">
        <v>457</v>
      </c>
      <c r="E51" s="52"/>
      <c r="F51" s="31" t="s">
        <v>20</v>
      </c>
      <c r="G51" s="31" t="s">
        <v>21</v>
      </c>
      <c r="H51" s="31" t="s">
        <v>21</v>
      </c>
      <c r="I51" s="31" t="s">
        <v>20</v>
      </c>
      <c r="J51" s="31" t="s">
        <v>21</v>
      </c>
      <c r="K51" s="31" t="s">
        <v>20</v>
      </c>
      <c r="L51" s="52"/>
      <c r="M51" s="31" t="s">
        <v>20</v>
      </c>
      <c r="N51" s="31" t="s">
        <v>21</v>
      </c>
      <c r="O51" s="31" t="s">
        <v>20</v>
      </c>
      <c r="P51" s="31" t="s">
        <v>20</v>
      </c>
      <c r="Q51" s="31" t="s">
        <v>21</v>
      </c>
      <c r="R51" s="31" t="s">
        <v>21</v>
      </c>
      <c r="S51" s="52"/>
      <c r="T51" s="31" t="s">
        <v>20</v>
      </c>
      <c r="U51" s="55"/>
      <c r="V51" s="31" t="s">
        <v>20</v>
      </c>
      <c r="W51" s="31" t="s">
        <v>20</v>
      </c>
      <c r="X51" s="31" t="s">
        <v>20</v>
      </c>
      <c r="Y51" s="31" t="s">
        <v>21</v>
      </c>
      <c r="Z51" s="52"/>
      <c r="AA51" s="31" t="s">
        <v>20</v>
      </c>
      <c r="AB51" s="31" t="s">
        <v>20</v>
      </c>
      <c r="AC51" s="31" t="s">
        <v>20</v>
      </c>
      <c r="AD51" s="31" t="s">
        <v>20</v>
      </c>
      <c r="AE51" s="31" t="s">
        <v>21</v>
      </c>
      <c r="AF51" s="31" t="s">
        <v>20</v>
      </c>
      <c r="AG51" s="52"/>
      <c r="AH51" s="31" t="s">
        <v>21</v>
      </c>
      <c r="AI51" s="4">
        <f t="shared" si="1"/>
        <v>15</v>
      </c>
      <c r="AJ51" s="4">
        <f t="shared" si="2"/>
        <v>9</v>
      </c>
    </row>
    <row r="52" spans="1:36" x14ac:dyDescent="0.25">
      <c r="A52" s="7">
        <v>23</v>
      </c>
      <c r="B52" s="32" t="s">
        <v>513</v>
      </c>
      <c r="C52" s="33" t="s">
        <v>514</v>
      </c>
      <c r="D52" s="6" t="s">
        <v>457</v>
      </c>
      <c r="E52" s="52"/>
      <c r="F52" s="31" t="s">
        <v>20</v>
      </c>
      <c r="G52" s="31" t="s">
        <v>20</v>
      </c>
      <c r="H52" s="31" t="s">
        <v>20</v>
      </c>
      <c r="I52" s="31" t="s">
        <v>20</v>
      </c>
      <c r="J52" s="31" t="s">
        <v>20</v>
      </c>
      <c r="K52" s="31" t="s">
        <v>21</v>
      </c>
      <c r="L52" s="52"/>
      <c r="M52" s="31" t="s">
        <v>21</v>
      </c>
      <c r="N52" s="31" t="s">
        <v>20</v>
      </c>
      <c r="O52" s="31" t="s">
        <v>21</v>
      </c>
      <c r="P52" s="31" t="s">
        <v>20</v>
      </c>
      <c r="Q52" s="31" t="s">
        <v>20</v>
      </c>
      <c r="R52" s="31" t="s">
        <v>21</v>
      </c>
      <c r="S52" s="52"/>
      <c r="T52" s="31" t="s">
        <v>21</v>
      </c>
      <c r="U52" s="55"/>
      <c r="V52" s="31" t="s">
        <v>20</v>
      </c>
      <c r="W52" s="31" t="s">
        <v>21</v>
      </c>
      <c r="X52" s="31" t="s">
        <v>20</v>
      </c>
      <c r="Y52" s="31" t="s">
        <v>21</v>
      </c>
      <c r="Z52" s="52"/>
      <c r="AA52" s="31" t="s">
        <v>20</v>
      </c>
      <c r="AB52" s="31" t="s">
        <v>21</v>
      </c>
      <c r="AC52" s="31" t="s">
        <v>20</v>
      </c>
      <c r="AD52" s="31" t="s">
        <v>20</v>
      </c>
      <c r="AE52" s="31" t="s">
        <v>21</v>
      </c>
      <c r="AF52" s="31" t="s">
        <v>20</v>
      </c>
      <c r="AG52" s="52"/>
      <c r="AH52" s="31" t="s">
        <v>20</v>
      </c>
      <c r="AI52" s="4">
        <f t="shared" si="1"/>
        <v>15</v>
      </c>
      <c r="AJ52" s="4">
        <f t="shared" si="2"/>
        <v>9</v>
      </c>
    </row>
    <row r="53" spans="1:36" x14ac:dyDescent="0.25">
      <c r="A53" s="5">
        <v>24</v>
      </c>
      <c r="B53" s="32" t="s">
        <v>515</v>
      </c>
      <c r="C53" s="33" t="s">
        <v>509</v>
      </c>
      <c r="D53" s="6" t="s">
        <v>457</v>
      </c>
      <c r="E53" s="52"/>
      <c r="F53" s="31" t="s">
        <v>20</v>
      </c>
      <c r="G53" s="31" t="s">
        <v>20</v>
      </c>
      <c r="H53" s="31" t="s">
        <v>20</v>
      </c>
      <c r="I53" s="31" t="s">
        <v>20</v>
      </c>
      <c r="J53" s="31" t="s">
        <v>20</v>
      </c>
      <c r="K53" s="31" t="s">
        <v>20</v>
      </c>
      <c r="L53" s="52"/>
      <c r="M53" s="31" t="s">
        <v>20</v>
      </c>
      <c r="N53" s="31" t="s">
        <v>20</v>
      </c>
      <c r="O53" s="31" t="s">
        <v>20</v>
      </c>
      <c r="P53" s="31" t="s">
        <v>20</v>
      </c>
      <c r="Q53" s="31" t="s">
        <v>20</v>
      </c>
      <c r="R53" s="31" t="s">
        <v>20</v>
      </c>
      <c r="S53" s="52"/>
      <c r="T53" s="31" t="s">
        <v>20</v>
      </c>
      <c r="U53" s="55"/>
      <c r="V53" s="31" t="s">
        <v>20</v>
      </c>
      <c r="W53" s="31" t="s">
        <v>20</v>
      </c>
      <c r="X53" s="31" t="s">
        <v>20</v>
      </c>
      <c r="Y53" s="31" t="s">
        <v>20</v>
      </c>
      <c r="Z53" s="52"/>
      <c r="AA53" s="31" t="s">
        <v>20</v>
      </c>
      <c r="AB53" s="31" t="s">
        <v>20</v>
      </c>
      <c r="AC53" s="31" t="s">
        <v>20</v>
      </c>
      <c r="AD53" s="31" t="s">
        <v>20</v>
      </c>
      <c r="AE53" s="31" t="s">
        <v>20</v>
      </c>
      <c r="AF53" s="31" t="s">
        <v>20</v>
      </c>
      <c r="AG53" s="52"/>
      <c r="AH53" s="31" t="s">
        <v>20</v>
      </c>
      <c r="AI53" s="4">
        <f t="shared" si="1"/>
        <v>24</v>
      </c>
      <c r="AJ53" s="4">
        <f t="shared" si="2"/>
        <v>0</v>
      </c>
    </row>
    <row r="54" spans="1:36" x14ac:dyDescent="0.25">
      <c r="A54" s="7">
        <v>25</v>
      </c>
      <c r="B54" s="32" t="s">
        <v>516</v>
      </c>
      <c r="C54" s="33" t="s">
        <v>517</v>
      </c>
      <c r="D54" s="6" t="s">
        <v>457</v>
      </c>
      <c r="E54" s="52"/>
      <c r="F54" s="31" t="s">
        <v>20</v>
      </c>
      <c r="G54" s="31" t="s">
        <v>20</v>
      </c>
      <c r="H54" s="31" t="s">
        <v>20</v>
      </c>
      <c r="I54" s="31" t="s">
        <v>20</v>
      </c>
      <c r="J54" s="31" t="s">
        <v>21</v>
      </c>
      <c r="K54" s="31" t="s">
        <v>20</v>
      </c>
      <c r="L54" s="52"/>
      <c r="M54" s="31" t="s">
        <v>20</v>
      </c>
      <c r="N54" s="31" t="s">
        <v>20</v>
      </c>
      <c r="O54" s="31" t="s">
        <v>20</v>
      </c>
      <c r="P54" s="31" t="s">
        <v>20</v>
      </c>
      <c r="Q54" s="31" t="s">
        <v>20</v>
      </c>
      <c r="R54" s="31" t="s">
        <v>21</v>
      </c>
      <c r="S54" s="52"/>
      <c r="T54" s="31" t="s">
        <v>21</v>
      </c>
      <c r="U54" s="55"/>
      <c r="V54" s="31" t="s">
        <v>21</v>
      </c>
      <c r="W54" s="31" t="s">
        <v>21</v>
      </c>
      <c r="X54" s="31" t="s">
        <v>21</v>
      </c>
      <c r="Y54" s="31" t="s">
        <v>21</v>
      </c>
      <c r="Z54" s="52"/>
      <c r="AA54" s="31" t="s">
        <v>20</v>
      </c>
      <c r="AB54" s="31" t="s">
        <v>20</v>
      </c>
      <c r="AC54" s="31" t="s">
        <v>20</v>
      </c>
      <c r="AD54" s="31" t="s">
        <v>21</v>
      </c>
      <c r="AE54" s="31" t="s">
        <v>21</v>
      </c>
      <c r="AF54" s="31" t="s">
        <v>21</v>
      </c>
      <c r="AG54" s="52"/>
      <c r="AH54" s="31" t="s">
        <v>20</v>
      </c>
      <c r="AI54" s="4">
        <f t="shared" si="1"/>
        <v>14</v>
      </c>
      <c r="AJ54" s="4">
        <f t="shared" si="2"/>
        <v>10</v>
      </c>
    </row>
    <row r="55" spans="1:36" x14ac:dyDescent="0.25">
      <c r="A55" s="5">
        <v>26</v>
      </c>
      <c r="B55" s="32" t="s">
        <v>518</v>
      </c>
      <c r="C55" s="33" t="s">
        <v>519</v>
      </c>
      <c r="D55" s="6" t="s">
        <v>457</v>
      </c>
      <c r="E55" s="53"/>
      <c r="F55" s="31" t="s">
        <v>20</v>
      </c>
      <c r="G55" s="31" t="s">
        <v>20</v>
      </c>
      <c r="H55" s="31" t="s">
        <v>20</v>
      </c>
      <c r="I55" s="31" t="s">
        <v>20</v>
      </c>
      <c r="J55" s="31" t="s">
        <v>21</v>
      </c>
      <c r="K55" s="31" t="s">
        <v>20</v>
      </c>
      <c r="L55" s="53"/>
      <c r="M55" s="31" t="s">
        <v>20</v>
      </c>
      <c r="N55" s="31" t="s">
        <v>20</v>
      </c>
      <c r="O55" s="31" t="s">
        <v>20</v>
      </c>
      <c r="P55" s="31" t="s">
        <v>20</v>
      </c>
      <c r="Q55" s="31" t="s">
        <v>20</v>
      </c>
      <c r="R55" s="31" t="s">
        <v>20</v>
      </c>
      <c r="S55" s="53"/>
      <c r="T55" s="31" t="s">
        <v>20</v>
      </c>
      <c r="U55" s="56"/>
      <c r="V55" s="31" t="s">
        <v>20</v>
      </c>
      <c r="W55" s="31" t="s">
        <v>20</v>
      </c>
      <c r="X55" s="31" t="s">
        <v>20</v>
      </c>
      <c r="Y55" s="31" t="s">
        <v>20</v>
      </c>
      <c r="Z55" s="53"/>
      <c r="AA55" s="31" t="s">
        <v>21</v>
      </c>
      <c r="AB55" s="31" t="s">
        <v>20</v>
      </c>
      <c r="AC55" s="31" t="s">
        <v>20</v>
      </c>
      <c r="AD55" s="31" t="s">
        <v>20</v>
      </c>
      <c r="AE55" s="31" t="s">
        <v>20</v>
      </c>
      <c r="AF55" s="31" t="s">
        <v>20</v>
      </c>
      <c r="AG55" s="53"/>
      <c r="AH55" s="31" t="s">
        <v>20</v>
      </c>
      <c r="AI55" s="4">
        <f t="shared" si="1"/>
        <v>22</v>
      </c>
      <c r="AJ55" s="4">
        <f t="shared" si="2"/>
        <v>2</v>
      </c>
    </row>
  </sheetData>
  <mergeCells count="17">
    <mergeCell ref="A1:AJ1"/>
    <mergeCell ref="A2:AJ2"/>
    <mergeCell ref="A3:A4"/>
    <mergeCell ref="B3:B4"/>
    <mergeCell ref="C3:C4"/>
    <mergeCell ref="D3:D4"/>
    <mergeCell ref="AI3:AI4"/>
    <mergeCell ref="AJ3:AJ4"/>
    <mergeCell ref="AK17:AN17"/>
    <mergeCell ref="AK3:AL3"/>
    <mergeCell ref="E5:E55"/>
    <mergeCell ref="L5:L55"/>
    <mergeCell ref="S5:S55"/>
    <mergeCell ref="U5:U55"/>
    <mergeCell ref="Z5:Z55"/>
    <mergeCell ref="AG5:AG55"/>
    <mergeCell ref="AK9:AN9"/>
  </mergeCells>
  <conditionalFormatting sqref="E5:L5 S5 U5 Z5 AG5 E4:AH4">
    <cfRule type="expression" dxfId="201" priority="22">
      <formula>IF(E$4=TODAY(),TRUE,FALSE)</formula>
    </cfRule>
  </conditionalFormatting>
  <conditionalFormatting sqref="E5:L5 S5 U5 Z5 AG5">
    <cfRule type="cellIs" dxfId="200" priority="14" operator="equal">
      <formula>"L"</formula>
    </cfRule>
    <cfRule type="cellIs" dxfId="199" priority="15" operator="equal">
      <formula>"A"</formula>
    </cfRule>
    <cfRule type="cellIs" dxfId="198" priority="16" operator="equal">
      <formula>"P"</formula>
    </cfRule>
  </conditionalFormatting>
  <conditionalFormatting sqref="E3:AH4 E5:L5 S5 U5 Z5 AG5">
    <cfRule type="expression" dxfId="197" priority="23">
      <formula>E$3="Sun"</formula>
    </cfRule>
  </conditionalFormatting>
  <conditionalFormatting sqref="M5:R55 T5:T55 V5:Y55 AA5:AF55 AH5:AH55 F6:K55">
    <cfRule type="cellIs" dxfId="196" priority="8" operator="equal">
      <formula>"L"</formula>
    </cfRule>
    <cfRule type="cellIs" dxfId="195" priority="9" operator="equal">
      <formula>"A"</formula>
    </cfRule>
    <cfRule type="cellIs" dxfId="194" priority="10" operator="equal">
      <formula>"P"</formula>
    </cfRule>
    <cfRule type="expression" dxfId="193" priority="11">
      <formula>IF(F$4=TODAY(),TRUE,FALSE)</formula>
    </cfRule>
    <cfRule type="expression" dxfId="192" priority="12">
      <formula>F$3="Sun"</formula>
    </cfRule>
  </conditionalFormatting>
  <conditionalFormatting sqref="AI3:AJ3">
    <cfRule type="expression" dxfId="191" priority="24">
      <formula>#REF!="Sun"</formula>
    </cfRule>
  </conditionalFormatting>
  <conditionalFormatting sqref="AI5:AJ55">
    <cfRule type="expression" dxfId="190" priority="13">
      <formula>#REF!="Sun"</formula>
    </cfRule>
  </conditionalFormatting>
  <conditionalFormatting sqref="AK5:AK7">
    <cfRule type="expression" dxfId="189" priority="5">
      <formula>AK$3="Sun"</formula>
    </cfRule>
  </conditionalFormatting>
  <conditionalFormatting sqref="AK10:AK13">
    <cfRule type="expression" dxfId="188" priority="2">
      <formula>AK$3="Sun"</formula>
    </cfRule>
  </conditionalFormatting>
  <conditionalFormatting sqref="AK18:AK21">
    <cfRule type="expression" dxfId="187" priority="1">
      <formula>AK$3="Sun"</formula>
    </cfRule>
  </conditionalFormatting>
  <conditionalFormatting sqref="AK4:AL4">
    <cfRule type="expression" dxfId="186" priority="6">
      <formula>AK$3="Sun"</formula>
    </cfRule>
  </conditionalFormatting>
  <conditionalFormatting sqref="AL10:AN10 AL18:AN18">
    <cfRule type="expression" dxfId="185" priority="7">
      <formula>AL$3="Sun"</formula>
    </cfRule>
  </conditionalFormatting>
  <conditionalFormatting sqref="AN19">
    <cfRule type="expression" dxfId="184" priority="4">
      <formula>AN$3="Sun"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86620-BB77-4B60-9EE9-D79D77EEEE95}">
  <dimension ref="A1:AN59"/>
  <sheetViews>
    <sheetView topLeftCell="D1" workbookViewId="0">
      <selection activeCell="AM11" sqref="AM11"/>
    </sheetView>
  </sheetViews>
  <sheetFormatPr defaultColWidth="3.85546875" defaultRowHeight="15" x14ac:dyDescent="0.25"/>
  <cols>
    <col min="1" max="1" width="5.140625" style="1" bestFit="1" customWidth="1"/>
    <col min="2" max="2" width="18.85546875" style="1" bestFit="1" customWidth="1"/>
    <col min="3" max="3" width="22.5703125" style="1" bestFit="1" customWidth="1"/>
    <col min="4" max="4" width="6.140625" style="1" bestFit="1" customWidth="1"/>
    <col min="5" max="5" width="3.85546875" style="1"/>
    <col min="6" max="6" width="4.5703125" style="1" bestFit="1" customWidth="1"/>
    <col min="7" max="7" width="3.85546875" style="1"/>
    <col min="8" max="8" width="4.7109375" style="1" bestFit="1" customWidth="1"/>
    <col min="9" max="9" width="3.85546875" style="1"/>
    <col min="10" max="11" width="3.7109375" style="1" bestFit="1" customWidth="1"/>
    <col min="12" max="12" width="3.85546875" style="1"/>
    <col min="13" max="13" width="4.5703125" style="1" bestFit="1" customWidth="1"/>
    <col min="14" max="14" width="3.85546875" style="1"/>
    <col min="15" max="15" width="4.7109375" style="1" bestFit="1" customWidth="1"/>
    <col min="16" max="16" width="3.85546875" style="1"/>
    <col min="17" max="18" width="3.7109375" style="1" bestFit="1" customWidth="1"/>
    <col min="19" max="19" width="3.85546875" style="1"/>
    <col min="20" max="20" width="4.5703125" style="1" bestFit="1" customWidth="1"/>
    <col min="21" max="21" width="3.85546875" style="1"/>
    <col min="22" max="22" width="4.7109375" style="1" bestFit="1" customWidth="1"/>
    <col min="23" max="23" width="3.85546875" style="1"/>
    <col min="24" max="25" width="3.7109375" style="1" bestFit="1" customWidth="1"/>
    <col min="26" max="26" width="3.85546875" style="1"/>
    <col min="27" max="27" width="4.5703125" style="1" bestFit="1" customWidth="1"/>
    <col min="28" max="28" width="3.85546875" style="1"/>
    <col min="29" max="29" width="4.7109375" style="1" bestFit="1" customWidth="1"/>
    <col min="30" max="30" width="3.85546875" style="1"/>
    <col min="31" max="32" width="3.7109375" style="1" bestFit="1" customWidth="1"/>
    <col min="33" max="33" width="3.85546875" style="1"/>
    <col min="34" max="34" width="4.5703125" style="1" bestFit="1" customWidth="1"/>
    <col min="35" max="35" width="7.140625" style="1" bestFit="1" customWidth="1"/>
    <col min="36" max="36" width="6.5703125" style="1" bestFit="1" customWidth="1"/>
    <col min="37" max="37" width="18.5703125" style="1" bestFit="1" customWidth="1"/>
    <col min="38" max="39" width="5.140625" style="1" bestFit="1" customWidth="1"/>
    <col min="40" max="40" width="5.42578125" style="1" bestFit="1" customWidth="1"/>
    <col min="41" max="16384" width="3.85546875" style="1"/>
  </cols>
  <sheetData>
    <row r="1" spans="1:40" ht="17.25" x14ac:dyDescent="0.25">
      <c r="A1" s="47" t="s">
        <v>19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</row>
    <row r="2" spans="1:40" ht="17.25" x14ac:dyDescent="0.3">
      <c r="A2" s="48" t="s">
        <v>183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</row>
    <row r="3" spans="1:40" ht="15.75" x14ac:dyDescent="0.25">
      <c r="A3" s="49" t="s">
        <v>0</v>
      </c>
      <c r="B3" s="49" t="s">
        <v>1</v>
      </c>
      <c r="C3" s="49" t="s">
        <v>2</v>
      </c>
      <c r="D3" s="49" t="s">
        <v>3</v>
      </c>
      <c r="E3" s="2" t="str">
        <f t="shared" ref="E3:AH3" si="0">TEXT(E4,"ddd")</f>
        <v>Sun</v>
      </c>
      <c r="F3" s="2" t="str">
        <f t="shared" si="0"/>
        <v>Mon</v>
      </c>
      <c r="G3" s="2" t="str">
        <f t="shared" si="0"/>
        <v>Tue</v>
      </c>
      <c r="H3" s="2" t="str">
        <f t="shared" si="0"/>
        <v>Wed</v>
      </c>
      <c r="I3" s="2" t="str">
        <f t="shared" si="0"/>
        <v>Thu</v>
      </c>
      <c r="J3" s="2" t="str">
        <f t="shared" si="0"/>
        <v>Fri</v>
      </c>
      <c r="K3" s="2" t="str">
        <f t="shared" si="0"/>
        <v>Sat</v>
      </c>
      <c r="L3" s="2" t="str">
        <f t="shared" si="0"/>
        <v>Sun</v>
      </c>
      <c r="M3" s="2" t="str">
        <f t="shared" si="0"/>
        <v>Mon</v>
      </c>
      <c r="N3" s="2" t="str">
        <f t="shared" si="0"/>
        <v>Tue</v>
      </c>
      <c r="O3" s="2" t="str">
        <f t="shared" si="0"/>
        <v>Wed</v>
      </c>
      <c r="P3" s="2" t="str">
        <f t="shared" si="0"/>
        <v>Thu</v>
      </c>
      <c r="Q3" s="2" t="str">
        <f t="shared" si="0"/>
        <v>Fri</v>
      </c>
      <c r="R3" s="2" t="str">
        <f t="shared" si="0"/>
        <v>Sat</v>
      </c>
      <c r="S3" s="2" t="str">
        <f t="shared" si="0"/>
        <v>Sun</v>
      </c>
      <c r="T3" s="2" t="str">
        <f t="shared" si="0"/>
        <v>Mon</v>
      </c>
      <c r="U3" s="2" t="str">
        <f t="shared" si="0"/>
        <v>Tue</v>
      </c>
      <c r="V3" s="2" t="str">
        <f t="shared" si="0"/>
        <v>Wed</v>
      </c>
      <c r="W3" s="2" t="str">
        <f t="shared" si="0"/>
        <v>Thu</v>
      </c>
      <c r="X3" s="2" t="str">
        <f t="shared" si="0"/>
        <v>Fri</v>
      </c>
      <c r="Y3" s="2" t="str">
        <f t="shared" si="0"/>
        <v>Sat</v>
      </c>
      <c r="Z3" s="2" t="str">
        <f t="shared" si="0"/>
        <v>Sun</v>
      </c>
      <c r="AA3" s="2" t="str">
        <f t="shared" si="0"/>
        <v>Mon</v>
      </c>
      <c r="AB3" s="2" t="str">
        <f t="shared" si="0"/>
        <v>Tue</v>
      </c>
      <c r="AC3" s="2" t="str">
        <f t="shared" si="0"/>
        <v>Wed</v>
      </c>
      <c r="AD3" s="2" t="str">
        <f t="shared" si="0"/>
        <v>Thu</v>
      </c>
      <c r="AE3" s="2" t="str">
        <f t="shared" si="0"/>
        <v>Fri</v>
      </c>
      <c r="AF3" s="2" t="str">
        <f t="shared" si="0"/>
        <v>Sat</v>
      </c>
      <c r="AG3" s="2" t="str">
        <f t="shared" si="0"/>
        <v>Sun</v>
      </c>
      <c r="AH3" s="2" t="str">
        <f t="shared" si="0"/>
        <v>Mon</v>
      </c>
      <c r="AI3" s="45" t="s">
        <v>4</v>
      </c>
      <c r="AJ3" s="45" t="s">
        <v>5</v>
      </c>
      <c r="AK3" s="42" t="s">
        <v>17</v>
      </c>
      <c r="AL3" s="43"/>
      <c r="AM3" s="3"/>
      <c r="AN3" s="3"/>
    </row>
    <row r="4" spans="1:40" ht="36" x14ac:dyDescent="0.25">
      <c r="A4" s="50"/>
      <c r="B4" s="50"/>
      <c r="C4" s="50"/>
      <c r="D4" s="50"/>
      <c r="E4" s="10">
        <v>45536</v>
      </c>
      <c r="F4" s="10">
        <v>45537</v>
      </c>
      <c r="G4" s="10">
        <v>45538</v>
      </c>
      <c r="H4" s="10">
        <v>45539</v>
      </c>
      <c r="I4" s="10">
        <v>45540</v>
      </c>
      <c r="J4" s="10">
        <v>45541</v>
      </c>
      <c r="K4" s="10">
        <v>45542</v>
      </c>
      <c r="L4" s="10">
        <v>45543</v>
      </c>
      <c r="M4" s="10">
        <v>45544</v>
      </c>
      <c r="N4" s="10">
        <v>45545</v>
      </c>
      <c r="O4" s="10">
        <v>45546</v>
      </c>
      <c r="P4" s="10">
        <v>45547</v>
      </c>
      <c r="Q4" s="10">
        <v>45548</v>
      </c>
      <c r="R4" s="10">
        <v>45549</v>
      </c>
      <c r="S4" s="10">
        <v>45550</v>
      </c>
      <c r="T4" s="10">
        <v>45551</v>
      </c>
      <c r="U4" s="10">
        <v>45552</v>
      </c>
      <c r="V4" s="10">
        <v>45553</v>
      </c>
      <c r="W4" s="10">
        <v>45554</v>
      </c>
      <c r="X4" s="10">
        <v>45555</v>
      </c>
      <c r="Y4" s="10">
        <v>45556</v>
      </c>
      <c r="Z4" s="10">
        <v>45557</v>
      </c>
      <c r="AA4" s="10">
        <v>45558</v>
      </c>
      <c r="AB4" s="10">
        <v>45559</v>
      </c>
      <c r="AC4" s="10">
        <v>45560</v>
      </c>
      <c r="AD4" s="10">
        <v>45561</v>
      </c>
      <c r="AE4" s="10">
        <v>45562</v>
      </c>
      <c r="AF4" s="10">
        <v>45563</v>
      </c>
      <c r="AG4" s="10">
        <v>45564</v>
      </c>
      <c r="AH4" s="10">
        <v>45565</v>
      </c>
      <c r="AI4" s="45"/>
      <c r="AJ4" s="45"/>
      <c r="AK4" s="4" t="s">
        <v>103</v>
      </c>
      <c r="AL4" s="4">
        <f>SUM(AL5:AL7)</f>
        <v>30</v>
      </c>
      <c r="AM4" s="3"/>
      <c r="AN4" s="3"/>
    </row>
    <row r="5" spans="1:40" ht="15" customHeight="1" x14ac:dyDescent="0.25">
      <c r="A5" s="5">
        <v>1</v>
      </c>
      <c r="B5" s="32" t="s">
        <v>520</v>
      </c>
      <c r="C5" s="33" t="s">
        <v>521</v>
      </c>
      <c r="D5" s="6" t="s">
        <v>522</v>
      </c>
      <c r="E5" s="51" t="s">
        <v>275</v>
      </c>
      <c r="F5" s="31" t="s">
        <v>20</v>
      </c>
      <c r="G5" s="31" t="s">
        <v>20</v>
      </c>
      <c r="H5" s="31" t="s">
        <v>21</v>
      </c>
      <c r="I5" s="31" t="s">
        <v>20</v>
      </c>
      <c r="J5" s="31" t="s">
        <v>20</v>
      </c>
      <c r="K5" s="31" t="s">
        <v>20</v>
      </c>
      <c r="L5" s="51" t="s">
        <v>275</v>
      </c>
      <c r="M5" s="31" t="s">
        <v>20</v>
      </c>
      <c r="N5" s="31" t="s">
        <v>20</v>
      </c>
      <c r="O5" s="31" t="s">
        <v>20</v>
      </c>
      <c r="P5" s="31" t="s">
        <v>20</v>
      </c>
      <c r="Q5" s="31" t="s">
        <v>20</v>
      </c>
      <c r="R5" s="31" t="s">
        <v>20</v>
      </c>
      <c r="S5" s="51" t="s">
        <v>275</v>
      </c>
      <c r="T5" s="31" t="s">
        <v>20</v>
      </c>
      <c r="U5" s="54" t="s">
        <v>276</v>
      </c>
      <c r="V5" s="31" t="s">
        <v>21</v>
      </c>
      <c r="W5" s="31" t="s">
        <v>20</v>
      </c>
      <c r="X5" s="31" t="s">
        <v>20</v>
      </c>
      <c r="Y5" s="31" t="s">
        <v>20</v>
      </c>
      <c r="Z5" s="51" t="s">
        <v>275</v>
      </c>
      <c r="AA5" s="31" t="s">
        <v>20</v>
      </c>
      <c r="AB5" s="31" t="s">
        <v>20</v>
      </c>
      <c r="AC5" s="31" t="s">
        <v>20</v>
      </c>
      <c r="AD5" s="31" t="s">
        <v>21</v>
      </c>
      <c r="AE5" s="31" t="s">
        <v>20</v>
      </c>
      <c r="AF5" s="31" t="s">
        <v>20</v>
      </c>
      <c r="AG5" s="51" t="s">
        <v>275</v>
      </c>
      <c r="AH5" s="31" t="s">
        <v>20</v>
      </c>
      <c r="AI5" s="4">
        <f t="shared" ref="AI5:AI59" si="1">COUNTIF(E5:AH5,"P")</f>
        <v>21</v>
      </c>
      <c r="AJ5" s="4">
        <f t="shared" ref="AJ5:AJ59" si="2">COUNTIF(E5:AH5,"A")</f>
        <v>3</v>
      </c>
      <c r="AK5" s="4" t="s">
        <v>6</v>
      </c>
      <c r="AL5" s="7">
        <v>24</v>
      </c>
      <c r="AM5" s="8"/>
      <c r="AN5" s="3"/>
    </row>
    <row r="6" spans="1:40" x14ac:dyDescent="0.25">
      <c r="A6" s="7">
        <v>2</v>
      </c>
      <c r="B6" s="32" t="s">
        <v>523</v>
      </c>
      <c r="C6" s="33" t="s">
        <v>524</v>
      </c>
      <c r="D6" s="6" t="s">
        <v>522</v>
      </c>
      <c r="E6" s="52"/>
      <c r="F6" s="31" t="s">
        <v>20</v>
      </c>
      <c r="G6" s="31" t="s">
        <v>20</v>
      </c>
      <c r="H6" s="31" t="s">
        <v>20</v>
      </c>
      <c r="I6" s="31" t="s">
        <v>20</v>
      </c>
      <c r="J6" s="31" t="s">
        <v>20</v>
      </c>
      <c r="K6" s="31" t="s">
        <v>20</v>
      </c>
      <c r="L6" s="52"/>
      <c r="M6" s="31" t="s">
        <v>20</v>
      </c>
      <c r="N6" s="31" t="s">
        <v>20</v>
      </c>
      <c r="O6" s="31" t="s">
        <v>20</v>
      </c>
      <c r="P6" s="31" t="s">
        <v>20</v>
      </c>
      <c r="Q6" s="31" t="s">
        <v>20</v>
      </c>
      <c r="R6" s="31" t="s">
        <v>20</v>
      </c>
      <c r="S6" s="52"/>
      <c r="T6" s="31" t="s">
        <v>20</v>
      </c>
      <c r="U6" s="55"/>
      <c r="V6" s="31" t="s">
        <v>20</v>
      </c>
      <c r="W6" s="31" t="s">
        <v>20</v>
      </c>
      <c r="X6" s="31" t="s">
        <v>20</v>
      </c>
      <c r="Y6" s="31" t="s">
        <v>20</v>
      </c>
      <c r="Z6" s="52"/>
      <c r="AA6" s="31" t="s">
        <v>20</v>
      </c>
      <c r="AB6" s="31" t="s">
        <v>20</v>
      </c>
      <c r="AC6" s="31" t="s">
        <v>20</v>
      </c>
      <c r="AD6" s="31" t="s">
        <v>20</v>
      </c>
      <c r="AE6" s="31" t="s">
        <v>21</v>
      </c>
      <c r="AF6" s="31" t="s">
        <v>20</v>
      </c>
      <c r="AG6" s="52"/>
      <c r="AH6" s="31" t="s">
        <v>20</v>
      </c>
      <c r="AI6" s="4">
        <f t="shared" si="1"/>
        <v>23</v>
      </c>
      <c r="AJ6" s="4">
        <f t="shared" si="2"/>
        <v>1</v>
      </c>
      <c r="AK6" s="4" t="s">
        <v>7</v>
      </c>
      <c r="AL6" s="7">
        <v>5</v>
      </c>
      <c r="AM6" s="3"/>
      <c r="AN6" s="3"/>
    </row>
    <row r="7" spans="1:40" x14ac:dyDescent="0.25">
      <c r="A7" s="5">
        <v>3</v>
      </c>
      <c r="B7" s="32" t="s">
        <v>525</v>
      </c>
      <c r="C7" s="33" t="s">
        <v>526</v>
      </c>
      <c r="D7" s="6" t="s">
        <v>522</v>
      </c>
      <c r="E7" s="52"/>
      <c r="F7" s="31" t="s">
        <v>20</v>
      </c>
      <c r="G7" s="31" t="s">
        <v>20</v>
      </c>
      <c r="H7" s="31" t="s">
        <v>20</v>
      </c>
      <c r="I7" s="31" t="s">
        <v>20</v>
      </c>
      <c r="J7" s="31" t="s">
        <v>20</v>
      </c>
      <c r="K7" s="31" t="s">
        <v>20</v>
      </c>
      <c r="L7" s="52"/>
      <c r="M7" s="31" t="s">
        <v>20</v>
      </c>
      <c r="N7" s="31" t="s">
        <v>20</v>
      </c>
      <c r="O7" s="31" t="s">
        <v>20</v>
      </c>
      <c r="P7" s="31" t="s">
        <v>20</v>
      </c>
      <c r="Q7" s="31" t="s">
        <v>20</v>
      </c>
      <c r="R7" s="31" t="s">
        <v>20</v>
      </c>
      <c r="S7" s="52"/>
      <c r="T7" s="31" t="s">
        <v>20</v>
      </c>
      <c r="U7" s="55"/>
      <c r="V7" s="31" t="s">
        <v>20</v>
      </c>
      <c r="W7" s="31" t="s">
        <v>20</v>
      </c>
      <c r="X7" s="31" t="s">
        <v>20</v>
      </c>
      <c r="Y7" s="31" t="s">
        <v>20</v>
      </c>
      <c r="Z7" s="52"/>
      <c r="AA7" s="31" t="s">
        <v>20</v>
      </c>
      <c r="AB7" s="31" t="s">
        <v>20</v>
      </c>
      <c r="AC7" s="31" t="s">
        <v>20</v>
      </c>
      <c r="AD7" s="31" t="s">
        <v>20</v>
      </c>
      <c r="AE7" s="31" t="s">
        <v>20</v>
      </c>
      <c r="AF7" s="31" t="s">
        <v>20</v>
      </c>
      <c r="AG7" s="52"/>
      <c r="AH7" s="31" t="s">
        <v>20</v>
      </c>
      <c r="AI7" s="4">
        <f t="shared" si="1"/>
        <v>24</v>
      </c>
      <c r="AJ7" s="4">
        <f t="shared" si="2"/>
        <v>0</v>
      </c>
      <c r="AK7" s="4" t="s">
        <v>105</v>
      </c>
      <c r="AL7" s="7">
        <v>1</v>
      </c>
      <c r="AM7" s="3"/>
      <c r="AN7" s="3"/>
    </row>
    <row r="8" spans="1:40" x14ac:dyDescent="0.25">
      <c r="A8" s="7">
        <v>4</v>
      </c>
      <c r="B8" s="32" t="s">
        <v>251</v>
      </c>
      <c r="C8" s="33" t="s">
        <v>527</v>
      </c>
      <c r="D8" s="6" t="s">
        <v>522</v>
      </c>
      <c r="E8" s="52"/>
      <c r="F8" s="31" t="s">
        <v>20</v>
      </c>
      <c r="G8" s="31" t="s">
        <v>20</v>
      </c>
      <c r="H8" s="31" t="s">
        <v>20</v>
      </c>
      <c r="I8" s="31" t="s">
        <v>20</v>
      </c>
      <c r="J8" s="31" t="s">
        <v>20</v>
      </c>
      <c r="K8" s="31" t="s">
        <v>20</v>
      </c>
      <c r="L8" s="52"/>
      <c r="M8" s="31" t="s">
        <v>20</v>
      </c>
      <c r="N8" s="31" t="s">
        <v>20</v>
      </c>
      <c r="O8" s="31" t="s">
        <v>20</v>
      </c>
      <c r="P8" s="31" t="s">
        <v>20</v>
      </c>
      <c r="Q8" s="31" t="s">
        <v>20</v>
      </c>
      <c r="R8" s="31" t="s">
        <v>20</v>
      </c>
      <c r="S8" s="52"/>
      <c r="T8" s="31" t="s">
        <v>21</v>
      </c>
      <c r="U8" s="55"/>
      <c r="V8" s="31" t="s">
        <v>20</v>
      </c>
      <c r="W8" s="31" t="s">
        <v>20</v>
      </c>
      <c r="X8" s="31" t="s">
        <v>20</v>
      </c>
      <c r="Y8" s="31" t="s">
        <v>20</v>
      </c>
      <c r="Z8" s="52"/>
      <c r="AA8" s="31" t="s">
        <v>20</v>
      </c>
      <c r="AB8" s="31" t="s">
        <v>21</v>
      </c>
      <c r="AC8" s="31" t="s">
        <v>20</v>
      </c>
      <c r="AD8" s="31" t="s">
        <v>20</v>
      </c>
      <c r="AE8" s="31" t="s">
        <v>20</v>
      </c>
      <c r="AF8" s="31" t="s">
        <v>21</v>
      </c>
      <c r="AG8" s="52"/>
      <c r="AH8" s="31" t="s">
        <v>20</v>
      </c>
      <c r="AI8" s="4">
        <f t="shared" si="1"/>
        <v>21</v>
      </c>
      <c r="AJ8" s="4">
        <f t="shared" si="2"/>
        <v>3</v>
      </c>
      <c r="AK8"/>
      <c r="AL8"/>
      <c r="AM8"/>
      <c r="AN8"/>
    </row>
    <row r="9" spans="1:40" ht="15.75" x14ac:dyDescent="0.25">
      <c r="A9" s="5">
        <v>5</v>
      </c>
      <c r="B9" s="32" t="s">
        <v>528</v>
      </c>
      <c r="C9" s="33" t="s">
        <v>529</v>
      </c>
      <c r="D9" s="6" t="s">
        <v>522</v>
      </c>
      <c r="E9" s="52"/>
      <c r="F9" s="31" t="s">
        <v>20</v>
      </c>
      <c r="G9" s="31" t="s">
        <v>20</v>
      </c>
      <c r="H9" s="31" t="s">
        <v>20</v>
      </c>
      <c r="I9" s="31" t="s">
        <v>20</v>
      </c>
      <c r="J9" s="31" t="s">
        <v>20</v>
      </c>
      <c r="K9" s="31" t="s">
        <v>20</v>
      </c>
      <c r="L9" s="52"/>
      <c r="M9" s="31" t="s">
        <v>20</v>
      </c>
      <c r="N9" s="31" t="s">
        <v>21</v>
      </c>
      <c r="O9" s="31" t="s">
        <v>20</v>
      </c>
      <c r="P9" s="31" t="s">
        <v>20</v>
      </c>
      <c r="Q9" s="31" t="s">
        <v>20</v>
      </c>
      <c r="R9" s="31" t="s">
        <v>20</v>
      </c>
      <c r="S9" s="52"/>
      <c r="T9" s="31" t="s">
        <v>21</v>
      </c>
      <c r="U9" s="55"/>
      <c r="V9" s="31" t="s">
        <v>20</v>
      </c>
      <c r="W9" s="31" t="s">
        <v>20</v>
      </c>
      <c r="X9" s="31" t="s">
        <v>20</v>
      </c>
      <c r="Y9" s="31" t="s">
        <v>20</v>
      </c>
      <c r="Z9" s="52"/>
      <c r="AA9" s="31" t="s">
        <v>20</v>
      </c>
      <c r="AB9" s="31" t="s">
        <v>20</v>
      </c>
      <c r="AC9" s="31" t="s">
        <v>20</v>
      </c>
      <c r="AD9" s="31" t="s">
        <v>20</v>
      </c>
      <c r="AE9" s="31" t="s">
        <v>20</v>
      </c>
      <c r="AF9" s="31" t="s">
        <v>20</v>
      </c>
      <c r="AG9" s="52"/>
      <c r="AH9" s="31" t="s">
        <v>20</v>
      </c>
      <c r="AI9" s="4">
        <f t="shared" si="1"/>
        <v>22</v>
      </c>
      <c r="AJ9" s="4">
        <f t="shared" si="2"/>
        <v>2</v>
      </c>
      <c r="AK9" s="42" t="s">
        <v>8</v>
      </c>
      <c r="AL9" s="43"/>
      <c r="AM9" s="43"/>
      <c r="AN9" s="44"/>
    </row>
    <row r="10" spans="1:40" x14ac:dyDescent="0.25">
      <c r="A10" s="7">
        <v>6</v>
      </c>
      <c r="B10" s="32" t="s">
        <v>530</v>
      </c>
      <c r="C10" s="33" t="s">
        <v>55</v>
      </c>
      <c r="D10" s="6" t="s">
        <v>522</v>
      </c>
      <c r="E10" s="52"/>
      <c r="F10" s="31" t="s">
        <v>20</v>
      </c>
      <c r="G10" s="31" t="s">
        <v>20</v>
      </c>
      <c r="H10" s="31" t="s">
        <v>20</v>
      </c>
      <c r="I10" s="31" t="s">
        <v>20</v>
      </c>
      <c r="J10" s="31" t="s">
        <v>20</v>
      </c>
      <c r="K10" s="31" t="s">
        <v>20</v>
      </c>
      <c r="L10" s="52"/>
      <c r="M10" s="31" t="s">
        <v>20</v>
      </c>
      <c r="N10" s="31" t="s">
        <v>20</v>
      </c>
      <c r="O10" s="31" t="s">
        <v>21</v>
      </c>
      <c r="P10" s="31" t="s">
        <v>20</v>
      </c>
      <c r="Q10" s="31" t="s">
        <v>20</v>
      </c>
      <c r="R10" s="31" t="s">
        <v>20</v>
      </c>
      <c r="S10" s="52"/>
      <c r="T10" s="31" t="s">
        <v>21</v>
      </c>
      <c r="U10" s="55"/>
      <c r="V10" s="31" t="s">
        <v>20</v>
      </c>
      <c r="W10" s="31" t="s">
        <v>20</v>
      </c>
      <c r="X10" s="31" t="s">
        <v>20</v>
      </c>
      <c r="Y10" s="31" t="s">
        <v>20</v>
      </c>
      <c r="Z10" s="52"/>
      <c r="AA10" s="31" t="s">
        <v>20</v>
      </c>
      <c r="AB10" s="31" t="s">
        <v>20</v>
      </c>
      <c r="AC10" s="31" t="s">
        <v>20</v>
      </c>
      <c r="AD10" s="31" t="s">
        <v>20</v>
      </c>
      <c r="AE10" s="31" t="s">
        <v>20</v>
      </c>
      <c r="AF10" s="31" t="s">
        <v>20</v>
      </c>
      <c r="AG10" s="52"/>
      <c r="AH10" s="31" t="s">
        <v>20</v>
      </c>
      <c r="AI10" s="4">
        <f t="shared" si="1"/>
        <v>22</v>
      </c>
      <c r="AJ10" s="4">
        <f t="shared" si="2"/>
        <v>2</v>
      </c>
      <c r="AK10" s="4" t="s">
        <v>9</v>
      </c>
      <c r="AL10" s="4" t="s">
        <v>10</v>
      </c>
      <c r="AM10" s="4" t="s">
        <v>11</v>
      </c>
      <c r="AN10" s="4" t="s">
        <v>12</v>
      </c>
    </row>
    <row r="11" spans="1:40" x14ac:dyDescent="0.25">
      <c r="A11" s="5">
        <v>7</v>
      </c>
      <c r="B11" s="32" t="s">
        <v>531</v>
      </c>
      <c r="C11" s="33" t="s">
        <v>422</v>
      </c>
      <c r="D11" s="6" t="s">
        <v>522</v>
      </c>
      <c r="E11" s="52"/>
      <c r="F11" s="31" t="s">
        <v>20</v>
      </c>
      <c r="G11" s="31" t="s">
        <v>20</v>
      </c>
      <c r="H11" s="31" t="s">
        <v>20</v>
      </c>
      <c r="I11" s="31" t="s">
        <v>20</v>
      </c>
      <c r="J11" s="31" t="s">
        <v>20</v>
      </c>
      <c r="K11" s="31" t="s">
        <v>20</v>
      </c>
      <c r="L11" s="52"/>
      <c r="M11" s="31" t="s">
        <v>20</v>
      </c>
      <c r="N11" s="31" t="s">
        <v>20</v>
      </c>
      <c r="O11" s="31" t="s">
        <v>20</v>
      </c>
      <c r="P11" s="31" t="s">
        <v>20</v>
      </c>
      <c r="Q11" s="31" t="s">
        <v>20</v>
      </c>
      <c r="R11" s="31" t="s">
        <v>20</v>
      </c>
      <c r="S11" s="52"/>
      <c r="T11" s="31" t="s">
        <v>20</v>
      </c>
      <c r="U11" s="55"/>
      <c r="V11" s="31" t="s">
        <v>20</v>
      </c>
      <c r="W11" s="31" t="s">
        <v>20</v>
      </c>
      <c r="X11" s="31" t="s">
        <v>22</v>
      </c>
      <c r="Y11" s="31" t="s">
        <v>20</v>
      </c>
      <c r="Z11" s="52"/>
      <c r="AA11" s="31" t="s">
        <v>20</v>
      </c>
      <c r="AB11" s="31" t="s">
        <v>20</v>
      </c>
      <c r="AC11" s="31" t="s">
        <v>20</v>
      </c>
      <c r="AD11" s="31" t="s">
        <v>20</v>
      </c>
      <c r="AE11" s="31" t="s">
        <v>20</v>
      </c>
      <c r="AF11" s="31" t="s">
        <v>20</v>
      </c>
      <c r="AG11" s="52"/>
      <c r="AH11" s="31" t="s">
        <v>20</v>
      </c>
      <c r="AI11" s="4">
        <f t="shared" si="1"/>
        <v>23</v>
      </c>
      <c r="AJ11" s="4">
        <f t="shared" si="2"/>
        <v>0</v>
      </c>
      <c r="AK11" s="4" t="s">
        <v>13</v>
      </c>
      <c r="AL11" s="7">
        <f>29*24</f>
        <v>696</v>
      </c>
      <c r="AM11" s="7">
        <f>26*24</f>
        <v>624</v>
      </c>
      <c r="AN11" s="7">
        <f>SUM(AL11:AM11)</f>
        <v>1320</v>
      </c>
    </row>
    <row r="12" spans="1:40" x14ac:dyDescent="0.25">
      <c r="A12" s="7">
        <v>8</v>
      </c>
      <c r="B12" s="32" t="s">
        <v>532</v>
      </c>
      <c r="C12" s="33" t="s">
        <v>533</v>
      </c>
      <c r="D12" s="6" t="s">
        <v>522</v>
      </c>
      <c r="E12" s="52"/>
      <c r="F12" s="31" t="s">
        <v>20</v>
      </c>
      <c r="G12" s="31" t="s">
        <v>20</v>
      </c>
      <c r="H12" s="31" t="s">
        <v>20</v>
      </c>
      <c r="I12" s="31" t="s">
        <v>21</v>
      </c>
      <c r="J12" s="31" t="s">
        <v>20</v>
      </c>
      <c r="K12" s="31" t="s">
        <v>20</v>
      </c>
      <c r="L12" s="52"/>
      <c r="M12" s="31" t="s">
        <v>20</v>
      </c>
      <c r="N12" s="31" t="s">
        <v>20</v>
      </c>
      <c r="O12" s="31" t="s">
        <v>20</v>
      </c>
      <c r="P12" s="31" t="s">
        <v>20</v>
      </c>
      <c r="Q12" s="31" t="s">
        <v>20</v>
      </c>
      <c r="R12" s="31" t="s">
        <v>20</v>
      </c>
      <c r="S12" s="52"/>
      <c r="T12" s="31" t="s">
        <v>21</v>
      </c>
      <c r="U12" s="55"/>
      <c r="V12" s="31" t="s">
        <v>20</v>
      </c>
      <c r="W12" s="31" t="s">
        <v>20</v>
      </c>
      <c r="X12" s="31" t="s">
        <v>20</v>
      </c>
      <c r="Y12" s="31" t="s">
        <v>20</v>
      </c>
      <c r="Z12" s="52"/>
      <c r="AA12" s="31" t="s">
        <v>20</v>
      </c>
      <c r="AB12" s="31" t="s">
        <v>20</v>
      </c>
      <c r="AC12" s="31" t="s">
        <v>20</v>
      </c>
      <c r="AD12" s="31" t="s">
        <v>20</v>
      </c>
      <c r="AE12" s="31" t="s">
        <v>20</v>
      </c>
      <c r="AF12" s="31" t="s">
        <v>20</v>
      </c>
      <c r="AG12" s="52"/>
      <c r="AH12" s="31" t="s">
        <v>20</v>
      </c>
      <c r="AI12" s="4">
        <f t="shared" si="1"/>
        <v>22</v>
      </c>
      <c r="AJ12" s="4">
        <f t="shared" si="2"/>
        <v>2</v>
      </c>
      <c r="AK12" s="4" t="s">
        <v>14</v>
      </c>
      <c r="AL12" s="7">
        <f>SUM(AI31:AI59)</f>
        <v>541</v>
      </c>
      <c r="AM12" s="7">
        <f>SUM(AI5:AI30)</f>
        <v>476</v>
      </c>
      <c r="AN12" s="7">
        <f>AL12+AM12</f>
        <v>1017</v>
      </c>
    </row>
    <row r="13" spans="1:40" x14ac:dyDescent="0.25">
      <c r="A13" s="5">
        <v>9</v>
      </c>
      <c r="B13" s="32" t="s">
        <v>465</v>
      </c>
      <c r="C13" s="33" t="s">
        <v>478</v>
      </c>
      <c r="D13" s="6" t="s">
        <v>522</v>
      </c>
      <c r="E13" s="52"/>
      <c r="F13" s="31" t="s">
        <v>20</v>
      </c>
      <c r="G13" s="31" t="s">
        <v>20</v>
      </c>
      <c r="H13" s="31" t="s">
        <v>20</v>
      </c>
      <c r="I13" s="31" t="s">
        <v>20</v>
      </c>
      <c r="J13" s="31" t="s">
        <v>20</v>
      </c>
      <c r="K13" s="31" t="s">
        <v>20</v>
      </c>
      <c r="L13" s="52"/>
      <c r="M13" s="31" t="s">
        <v>20</v>
      </c>
      <c r="N13" s="31" t="s">
        <v>20</v>
      </c>
      <c r="O13" s="31" t="s">
        <v>20</v>
      </c>
      <c r="P13" s="31" t="s">
        <v>20</v>
      </c>
      <c r="Q13" s="31" t="s">
        <v>20</v>
      </c>
      <c r="R13" s="31" t="s">
        <v>20</v>
      </c>
      <c r="S13" s="52"/>
      <c r="T13" s="31" t="s">
        <v>20</v>
      </c>
      <c r="U13" s="55"/>
      <c r="V13" s="31" t="s">
        <v>21</v>
      </c>
      <c r="W13" s="31" t="s">
        <v>20</v>
      </c>
      <c r="X13" s="31" t="s">
        <v>20</v>
      </c>
      <c r="Y13" s="31" t="s">
        <v>21</v>
      </c>
      <c r="Z13" s="52"/>
      <c r="AA13" s="31" t="s">
        <v>20</v>
      </c>
      <c r="AB13" s="31" t="s">
        <v>20</v>
      </c>
      <c r="AC13" s="31" t="s">
        <v>20</v>
      </c>
      <c r="AD13" s="31" t="s">
        <v>20</v>
      </c>
      <c r="AE13" s="31" t="s">
        <v>20</v>
      </c>
      <c r="AF13" s="31" t="s">
        <v>20</v>
      </c>
      <c r="AG13" s="52"/>
      <c r="AH13" s="31" t="s">
        <v>20</v>
      </c>
      <c r="AI13" s="4">
        <f t="shared" si="1"/>
        <v>22</v>
      </c>
      <c r="AJ13" s="4">
        <f t="shared" si="2"/>
        <v>2</v>
      </c>
      <c r="AK13" s="4" t="s">
        <v>15</v>
      </c>
      <c r="AL13" s="9">
        <f>AL12/AL11</f>
        <v>0.7772988505747126</v>
      </c>
      <c r="AM13" s="9">
        <f>AM12/AM11</f>
        <v>0.76282051282051277</v>
      </c>
      <c r="AN13" s="9">
        <f>AN12/AN11</f>
        <v>0.7704545454545455</v>
      </c>
    </row>
    <row r="14" spans="1:40" x14ac:dyDescent="0.25">
      <c r="A14" s="7">
        <v>10</v>
      </c>
      <c r="B14" s="32" t="s">
        <v>465</v>
      </c>
      <c r="C14" s="33" t="s">
        <v>534</v>
      </c>
      <c r="D14" s="6" t="s">
        <v>522</v>
      </c>
      <c r="E14" s="52"/>
      <c r="F14" s="31" t="s">
        <v>20</v>
      </c>
      <c r="G14" s="31" t="s">
        <v>21</v>
      </c>
      <c r="H14" s="31" t="s">
        <v>20</v>
      </c>
      <c r="I14" s="31" t="s">
        <v>20</v>
      </c>
      <c r="J14" s="31" t="s">
        <v>20</v>
      </c>
      <c r="K14" s="31" t="s">
        <v>20</v>
      </c>
      <c r="L14" s="52"/>
      <c r="M14" s="31" t="s">
        <v>20</v>
      </c>
      <c r="N14" s="31" t="s">
        <v>20</v>
      </c>
      <c r="O14" s="31" t="s">
        <v>20</v>
      </c>
      <c r="P14" s="31" t="s">
        <v>20</v>
      </c>
      <c r="Q14" s="31" t="s">
        <v>20</v>
      </c>
      <c r="R14" s="31" t="s">
        <v>21</v>
      </c>
      <c r="S14" s="52"/>
      <c r="T14" s="31" t="s">
        <v>20</v>
      </c>
      <c r="U14" s="55"/>
      <c r="V14" s="31" t="s">
        <v>21</v>
      </c>
      <c r="W14" s="31" t="s">
        <v>20</v>
      </c>
      <c r="X14" s="31" t="s">
        <v>20</v>
      </c>
      <c r="Y14" s="31" t="s">
        <v>21</v>
      </c>
      <c r="Z14" s="52"/>
      <c r="AA14" s="31" t="s">
        <v>20</v>
      </c>
      <c r="AB14" s="31" t="s">
        <v>20</v>
      </c>
      <c r="AC14" s="31" t="s">
        <v>20</v>
      </c>
      <c r="AD14" s="31" t="s">
        <v>21</v>
      </c>
      <c r="AE14" s="31" t="s">
        <v>20</v>
      </c>
      <c r="AF14" s="31" t="s">
        <v>20</v>
      </c>
      <c r="AG14" s="52"/>
      <c r="AH14" s="31" t="s">
        <v>20</v>
      </c>
      <c r="AI14" s="4">
        <f t="shared" si="1"/>
        <v>19</v>
      </c>
      <c r="AJ14" s="4">
        <f t="shared" si="2"/>
        <v>5</v>
      </c>
      <c r="AK14"/>
      <c r="AL14"/>
      <c r="AM14"/>
      <c r="AN14"/>
    </row>
    <row r="15" spans="1:40" x14ac:dyDescent="0.25">
      <c r="A15" s="5">
        <v>11</v>
      </c>
      <c r="B15" s="32" t="s">
        <v>68</v>
      </c>
      <c r="C15" s="33" t="s">
        <v>274</v>
      </c>
      <c r="D15" s="6" t="s">
        <v>522</v>
      </c>
      <c r="E15" s="52"/>
      <c r="F15" s="31" t="s">
        <v>21</v>
      </c>
      <c r="G15" s="31" t="s">
        <v>21</v>
      </c>
      <c r="H15" s="31" t="s">
        <v>21</v>
      </c>
      <c r="I15" s="31" t="s">
        <v>21</v>
      </c>
      <c r="J15" s="31" t="s">
        <v>21</v>
      </c>
      <c r="K15" s="31" t="s">
        <v>21</v>
      </c>
      <c r="L15" s="52"/>
      <c r="M15" s="31" t="s">
        <v>21</v>
      </c>
      <c r="N15" s="31" t="s">
        <v>21</v>
      </c>
      <c r="O15" s="31" t="s">
        <v>21</v>
      </c>
      <c r="P15" s="31" t="s">
        <v>21</v>
      </c>
      <c r="Q15" s="31" t="s">
        <v>21</v>
      </c>
      <c r="R15" s="31" t="s">
        <v>21</v>
      </c>
      <c r="S15" s="52"/>
      <c r="T15" s="31" t="s">
        <v>21</v>
      </c>
      <c r="U15" s="55"/>
      <c r="V15" s="31" t="s">
        <v>21</v>
      </c>
      <c r="W15" s="31" t="s">
        <v>21</v>
      </c>
      <c r="X15" s="31" t="s">
        <v>21</v>
      </c>
      <c r="Y15" s="31" t="s">
        <v>21</v>
      </c>
      <c r="Z15" s="52"/>
      <c r="AA15" s="31" t="s">
        <v>21</v>
      </c>
      <c r="AB15" s="31" t="s">
        <v>21</v>
      </c>
      <c r="AC15" s="31" t="s">
        <v>21</v>
      </c>
      <c r="AD15" s="31" t="s">
        <v>21</v>
      </c>
      <c r="AE15" s="31" t="s">
        <v>21</v>
      </c>
      <c r="AF15" s="31" t="s">
        <v>21</v>
      </c>
      <c r="AG15" s="52"/>
      <c r="AH15" s="31" t="s">
        <v>20</v>
      </c>
      <c r="AI15" s="4">
        <f t="shared" si="1"/>
        <v>1</v>
      </c>
      <c r="AJ15" s="4">
        <f t="shared" si="2"/>
        <v>23</v>
      </c>
      <c r="AK15"/>
      <c r="AL15"/>
      <c r="AM15"/>
      <c r="AN15"/>
    </row>
    <row r="16" spans="1:40" x14ac:dyDescent="0.25">
      <c r="A16" s="7">
        <v>12</v>
      </c>
      <c r="B16" s="32" t="s">
        <v>535</v>
      </c>
      <c r="C16" s="33" t="s">
        <v>536</v>
      </c>
      <c r="D16" s="6" t="s">
        <v>522</v>
      </c>
      <c r="E16" s="52"/>
      <c r="F16" s="31" t="s">
        <v>20</v>
      </c>
      <c r="G16" s="31" t="s">
        <v>20</v>
      </c>
      <c r="H16" s="31" t="s">
        <v>20</v>
      </c>
      <c r="I16" s="31" t="s">
        <v>20</v>
      </c>
      <c r="J16" s="31" t="s">
        <v>20</v>
      </c>
      <c r="K16" s="31" t="s">
        <v>20</v>
      </c>
      <c r="L16" s="52"/>
      <c r="M16" s="31" t="s">
        <v>20</v>
      </c>
      <c r="N16" s="31" t="s">
        <v>20</v>
      </c>
      <c r="O16" s="31" t="s">
        <v>20</v>
      </c>
      <c r="P16" s="31" t="s">
        <v>20</v>
      </c>
      <c r="Q16" s="31" t="s">
        <v>20</v>
      </c>
      <c r="R16" s="31" t="s">
        <v>20</v>
      </c>
      <c r="S16" s="52"/>
      <c r="T16" s="31" t="s">
        <v>20</v>
      </c>
      <c r="U16" s="55"/>
      <c r="V16" s="31" t="s">
        <v>20</v>
      </c>
      <c r="W16" s="31" t="s">
        <v>20</v>
      </c>
      <c r="X16" s="31" t="s">
        <v>20</v>
      </c>
      <c r="Y16" s="31" t="s">
        <v>20</v>
      </c>
      <c r="Z16" s="52"/>
      <c r="AA16" s="31" t="s">
        <v>20</v>
      </c>
      <c r="AB16" s="31" t="s">
        <v>20</v>
      </c>
      <c r="AC16" s="31" t="s">
        <v>20</v>
      </c>
      <c r="AD16" s="31" t="s">
        <v>20</v>
      </c>
      <c r="AE16" s="31" t="s">
        <v>20</v>
      </c>
      <c r="AF16" s="31" t="s">
        <v>21</v>
      </c>
      <c r="AG16" s="52"/>
      <c r="AH16" s="31" t="s">
        <v>20</v>
      </c>
      <c r="AI16" s="4">
        <f t="shared" si="1"/>
        <v>23</v>
      </c>
      <c r="AJ16" s="4">
        <f t="shared" si="2"/>
        <v>1</v>
      </c>
      <c r="AK16"/>
      <c r="AL16"/>
      <c r="AM16"/>
      <c r="AN16"/>
    </row>
    <row r="17" spans="1:40" ht="15.75" x14ac:dyDescent="0.25">
      <c r="A17" s="5">
        <v>13</v>
      </c>
      <c r="B17" s="32" t="s">
        <v>537</v>
      </c>
      <c r="C17" s="33" t="s">
        <v>309</v>
      </c>
      <c r="D17" s="6" t="s">
        <v>522</v>
      </c>
      <c r="E17" s="52"/>
      <c r="F17" s="31" t="s">
        <v>20</v>
      </c>
      <c r="G17" s="31" t="s">
        <v>20</v>
      </c>
      <c r="H17" s="31" t="s">
        <v>20</v>
      </c>
      <c r="I17" s="31" t="s">
        <v>21</v>
      </c>
      <c r="J17" s="31" t="s">
        <v>20</v>
      </c>
      <c r="K17" s="31" t="s">
        <v>20</v>
      </c>
      <c r="L17" s="52"/>
      <c r="M17" s="31" t="s">
        <v>20</v>
      </c>
      <c r="N17" s="31" t="s">
        <v>20</v>
      </c>
      <c r="O17" s="31" t="s">
        <v>20</v>
      </c>
      <c r="P17" s="31" t="s">
        <v>20</v>
      </c>
      <c r="Q17" s="31" t="s">
        <v>20</v>
      </c>
      <c r="R17" s="31" t="s">
        <v>20</v>
      </c>
      <c r="S17" s="52"/>
      <c r="T17" s="31" t="s">
        <v>21</v>
      </c>
      <c r="U17" s="55"/>
      <c r="V17" s="31" t="s">
        <v>20</v>
      </c>
      <c r="W17" s="31" t="s">
        <v>20</v>
      </c>
      <c r="X17" s="31" t="s">
        <v>20</v>
      </c>
      <c r="Y17" s="31" t="s">
        <v>20</v>
      </c>
      <c r="Z17" s="52"/>
      <c r="AA17" s="31" t="s">
        <v>21</v>
      </c>
      <c r="AB17" s="31" t="s">
        <v>20</v>
      </c>
      <c r="AC17" s="31" t="s">
        <v>20</v>
      </c>
      <c r="AD17" s="31" t="s">
        <v>20</v>
      </c>
      <c r="AE17" s="31" t="s">
        <v>20</v>
      </c>
      <c r="AF17" s="31" t="s">
        <v>20</v>
      </c>
      <c r="AG17" s="52"/>
      <c r="AH17" s="31" t="s">
        <v>20</v>
      </c>
      <c r="AI17" s="4">
        <f t="shared" si="1"/>
        <v>21</v>
      </c>
      <c r="AJ17" s="4">
        <f t="shared" si="2"/>
        <v>3</v>
      </c>
      <c r="AK17" s="42" t="s">
        <v>104</v>
      </c>
      <c r="AL17" s="43"/>
      <c r="AM17" s="43"/>
      <c r="AN17" s="44"/>
    </row>
    <row r="18" spans="1:40" x14ac:dyDescent="0.25">
      <c r="A18" s="7">
        <v>14</v>
      </c>
      <c r="B18" s="32" t="s">
        <v>538</v>
      </c>
      <c r="C18" s="33" t="s">
        <v>166</v>
      </c>
      <c r="D18" s="6" t="s">
        <v>522</v>
      </c>
      <c r="E18" s="52"/>
      <c r="F18" s="31" t="s">
        <v>21</v>
      </c>
      <c r="G18" s="31" t="s">
        <v>21</v>
      </c>
      <c r="H18" s="31" t="s">
        <v>21</v>
      </c>
      <c r="I18" s="31" t="s">
        <v>21</v>
      </c>
      <c r="J18" s="31" t="s">
        <v>21</v>
      </c>
      <c r="K18" s="31" t="s">
        <v>21</v>
      </c>
      <c r="L18" s="52"/>
      <c r="M18" s="31" t="s">
        <v>21</v>
      </c>
      <c r="N18" s="31" t="s">
        <v>21</v>
      </c>
      <c r="O18" s="31" t="s">
        <v>21</v>
      </c>
      <c r="P18" s="31" t="s">
        <v>21</v>
      </c>
      <c r="Q18" s="31" t="s">
        <v>21</v>
      </c>
      <c r="R18" s="31" t="s">
        <v>21</v>
      </c>
      <c r="S18" s="52"/>
      <c r="T18" s="31" t="s">
        <v>21</v>
      </c>
      <c r="U18" s="55"/>
      <c r="V18" s="31" t="s">
        <v>20</v>
      </c>
      <c r="W18" s="31" t="s">
        <v>20</v>
      </c>
      <c r="X18" s="31" t="s">
        <v>20</v>
      </c>
      <c r="Y18" s="31" t="s">
        <v>20</v>
      </c>
      <c r="Z18" s="52"/>
      <c r="AA18" s="31" t="s">
        <v>20</v>
      </c>
      <c r="AB18" s="31" t="s">
        <v>20</v>
      </c>
      <c r="AC18" s="31" t="s">
        <v>20</v>
      </c>
      <c r="AD18" s="31" t="s">
        <v>20</v>
      </c>
      <c r="AE18" s="31" t="s">
        <v>21</v>
      </c>
      <c r="AF18" s="31" t="s">
        <v>20</v>
      </c>
      <c r="AG18" s="52"/>
      <c r="AH18" s="31" t="s">
        <v>20</v>
      </c>
      <c r="AI18" s="4">
        <f t="shared" si="1"/>
        <v>10</v>
      </c>
      <c r="AJ18" s="4">
        <f t="shared" si="2"/>
        <v>14</v>
      </c>
      <c r="AK18" s="4" t="s">
        <v>9</v>
      </c>
      <c r="AL18" s="4" t="s">
        <v>10</v>
      </c>
      <c r="AM18" s="4" t="s">
        <v>11</v>
      </c>
      <c r="AN18" s="4" t="s">
        <v>12</v>
      </c>
    </row>
    <row r="19" spans="1:40" x14ac:dyDescent="0.25">
      <c r="A19" s="5">
        <v>15</v>
      </c>
      <c r="B19" s="32" t="s">
        <v>539</v>
      </c>
      <c r="C19" s="33" t="s">
        <v>90</v>
      </c>
      <c r="D19" s="6" t="s">
        <v>522</v>
      </c>
      <c r="E19" s="52"/>
      <c r="F19" s="31" t="s">
        <v>20</v>
      </c>
      <c r="G19" s="31" t="s">
        <v>20</v>
      </c>
      <c r="H19" s="31" t="s">
        <v>20</v>
      </c>
      <c r="I19" s="31" t="s">
        <v>20</v>
      </c>
      <c r="J19" s="31" t="s">
        <v>20</v>
      </c>
      <c r="K19" s="31" t="s">
        <v>20</v>
      </c>
      <c r="L19" s="52"/>
      <c r="M19" s="31" t="s">
        <v>20</v>
      </c>
      <c r="N19" s="31" t="s">
        <v>20</v>
      </c>
      <c r="O19" s="31" t="s">
        <v>20</v>
      </c>
      <c r="P19" s="31" t="s">
        <v>20</v>
      </c>
      <c r="Q19" s="31" t="s">
        <v>20</v>
      </c>
      <c r="R19" s="31" t="s">
        <v>20</v>
      </c>
      <c r="S19" s="52"/>
      <c r="T19" s="31" t="s">
        <v>20</v>
      </c>
      <c r="U19" s="55"/>
      <c r="V19" s="31" t="s">
        <v>20</v>
      </c>
      <c r="W19" s="31" t="s">
        <v>20</v>
      </c>
      <c r="X19" s="31" t="s">
        <v>20</v>
      </c>
      <c r="Y19" s="31" t="s">
        <v>20</v>
      </c>
      <c r="Z19" s="52"/>
      <c r="AA19" s="31" t="s">
        <v>20</v>
      </c>
      <c r="AB19" s="31" t="s">
        <v>20</v>
      </c>
      <c r="AC19" s="31" t="s">
        <v>20</v>
      </c>
      <c r="AD19" s="31" t="s">
        <v>20</v>
      </c>
      <c r="AE19" s="31" t="s">
        <v>21</v>
      </c>
      <c r="AF19" s="31" t="s">
        <v>20</v>
      </c>
      <c r="AG19" s="52"/>
      <c r="AH19" s="31" t="s">
        <v>20</v>
      </c>
      <c r="AI19" s="4">
        <f t="shared" si="1"/>
        <v>23</v>
      </c>
      <c r="AJ19" s="4">
        <f t="shared" si="2"/>
        <v>1</v>
      </c>
      <c r="AK19" s="4" t="s">
        <v>13</v>
      </c>
      <c r="AL19" s="7">
        <f>29*24</f>
        <v>696</v>
      </c>
      <c r="AM19" s="7">
        <f>26*24</f>
        <v>624</v>
      </c>
      <c r="AN19" s="7">
        <f>AL19+AM19</f>
        <v>1320</v>
      </c>
    </row>
    <row r="20" spans="1:40" x14ac:dyDescent="0.25">
      <c r="A20" s="7">
        <v>16</v>
      </c>
      <c r="B20" s="32" t="s">
        <v>540</v>
      </c>
      <c r="C20" s="33" t="s">
        <v>541</v>
      </c>
      <c r="D20" s="6" t="s">
        <v>522</v>
      </c>
      <c r="E20" s="52"/>
      <c r="F20" s="31" t="s">
        <v>20</v>
      </c>
      <c r="G20" s="31" t="s">
        <v>20</v>
      </c>
      <c r="H20" s="31" t="s">
        <v>20</v>
      </c>
      <c r="I20" s="31" t="s">
        <v>20</v>
      </c>
      <c r="J20" s="31" t="s">
        <v>20</v>
      </c>
      <c r="K20" s="31" t="s">
        <v>20</v>
      </c>
      <c r="L20" s="52"/>
      <c r="M20" s="31" t="s">
        <v>20</v>
      </c>
      <c r="N20" s="31" t="s">
        <v>20</v>
      </c>
      <c r="O20" s="31" t="s">
        <v>20</v>
      </c>
      <c r="P20" s="31" t="s">
        <v>20</v>
      </c>
      <c r="Q20" s="31" t="s">
        <v>20</v>
      </c>
      <c r="R20" s="31" t="s">
        <v>20</v>
      </c>
      <c r="S20" s="52"/>
      <c r="T20" s="31" t="s">
        <v>21</v>
      </c>
      <c r="U20" s="55"/>
      <c r="V20" s="31" t="s">
        <v>20</v>
      </c>
      <c r="W20" s="31" t="s">
        <v>20</v>
      </c>
      <c r="X20" s="31" t="s">
        <v>20</v>
      </c>
      <c r="Y20" s="31" t="s">
        <v>21</v>
      </c>
      <c r="Z20" s="52"/>
      <c r="AA20" s="31" t="s">
        <v>20</v>
      </c>
      <c r="AB20" s="31" t="s">
        <v>20</v>
      </c>
      <c r="AC20" s="31" t="s">
        <v>20</v>
      </c>
      <c r="AD20" s="31" t="s">
        <v>20</v>
      </c>
      <c r="AE20" s="31" t="s">
        <v>20</v>
      </c>
      <c r="AF20" s="31" t="s">
        <v>20</v>
      </c>
      <c r="AG20" s="52"/>
      <c r="AH20" s="31" t="s">
        <v>20</v>
      </c>
      <c r="AI20" s="4">
        <f t="shared" si="1"/>
        <v>22</v>
      </c>
      <c r="AJ20" s="4">
        <f t="shared" si="2"/>
        <v>2</v>
      </c>
      <c r="AK20" s="4" t="s">
        <v>16</v>
      </c>
      <c r="AL20" s="7">
        <f>AL19-AL12</f>
        <v>155</v>
      </c>
      <c r="AM20" s="7">
        <f>AM19-AM12</f>
        <v>148</v>
      </c>
      <c r="AN20" s="7">
        <f>AL20+AM20</f>
        <v>303</v>
      </c>
    </row>
    <row r="21" spans="1:40" x14ac:dyDescent="0.25">
      <c r="A21" s="5">
        <v>17</v>
      </c>
      <c r="B21" s="32" t="s">
        <v>542</v>
      </c>
      <c r="C21" s="33" t="s">
        <v>543</v>
      </c>
      <c r="D21" s="6" t="s">
        <v>522</v>
      </c>
      <c r="E21" s="52"/>
      <c r="F21" s="31" t="s">
        <v>20</v>
      </c>
      <c r="G21" s="31" t="s">
        <v>20</v>
      </c>
      <c r="H21" s="31" t="s">
        <v>21</v>
      </c>
      <c r="I21" s="31" t="s">
        <v>20</v>
      </c>
      <c r="J21" s="31" t="s">
        <v>20</v>
      </c>
      <c r="K21" s="31" t="s">
        <v>20</v>
      </c>
      <c r="L21" s="52"/>
      <c r="M21" s="31" t="s">
        <v>20</v>
      </c>
      <c r="N21" s="31" t="s">
        <v>20</v>
      </c>
      <c r="O21" s="31" t="s">
        <v>20</v>
      </c>
      <c r="P21" s="31" t="s">
        <v>21</v>
      </c>
      <c r="Q21" s="31" t="s">
        <v>20</v>
      </c>
      <c r="R21" s="31" t="s">
        <v>21</v>
      </c>
      <c r="S21" s="52"/>
      <c r="T21" s="31" t="s">
        <v>20</v>
      </c>
      <c r="U21" s="55"/>
      <c r="V21" s="31" t="s">
        <v>20</v>
      </c>
      <c r="W21" s="31" t="s">
        <v>20</v>
      </c>
      <c r="X21" s="31" t="s">
        <v>20</v>
      </c>
      <c r="Y21" s="31" t="s">
        <v>20</v>
      </c>
      <c r="Z21" s="52"/>
      <c r="AA21" s="31" t="s">
        <v>20</v>
      </c>
      <c r="AB21" s="31" t="s">
        <v>20</v>
      </c>
      <c r="AC21" s="31" t="s">
        <v>20</v>
      </c>
      <c r="AD21" s="31" t="s">
        <v>20</v>
      </c>
      <c r="AE21" s="31" t="s">
        <v>20</v>
      </c>
      <c r="AF21" s="31" t="s">
        <v>20</v>
      </c>
      <c r="AG21" s="52"/>
      <c r="AH21" s="31" t="s">
        <v>20</v>
      </c>
      <c r="AI21" s="4">
        <f t="shared" si="1"/>
        <v>21</v>
      </c>
      <c r="AJ21" s="4">
        <f t="shared" si="2"/>
        <v>3</v>
      </c>
      <c r="AK21" s="4" t="s">
        <v>15</v>
      </c>
      <c r="AL21" s="9">
        <f>AL20/AL19</f>
        <v>0.22270114942528735</v>
      </c>
      <c r="AM21" s="9">
        <f>AM20/AM19</f>
        <v>0.23717948717948717</v>
      </c>
      <c r="AN21" s="9">
        <f>AN20/AN19</f>
        <v>0.22954545454545455</v>
      </c>
    </row>
    <row r="22" spans="1:40" x14ac:dyDescent="0.25">
      <c r="A22" s="7">
        <v>18</v>
      </c>
      <c r="B22" s="32" t="s">
        <v>544</v>
      </c>
      <c r="C22" s="33" t="s">
        <v>545</v>
      </c>
      <c r="D22" s="6" t="s">
        <v>522</v>
      </c>
      <c r="E22" s="52"/>
      <c r="F22" s="31" t="s">
        <v>20</v>
      </c>
      <c r="G22" s="31" t="s">
        <v>22</v>
      </c>
      <c r="H22" s="31" t="s">
        <v>22</v>
      </c>
      <c r="I22" s="31" t="s">
        <v>20</v>
      </c>
      <c r="J22" s="31" t="s">
        <v>20</v>
      </c>
      <c r="K22" s="31" t="s">
        <v>20</v>
      </c>
      <c r="L22" s="52"/>
      <c r="M22" s="31" t="s">
        <v>20</v>
      </c>
      <c r="N22" s="31" t="s">
        <v>20</v>
      </c>
      <c r="O22" s="31" t="s">
        <v>20</v>
      </c>
      <c r="P22" s="31" t="s">
        <v>21</v>
      </c>
      <c r="Q22" s="31" t="s">
        <v>20</v>
      </c>
      <c r="R22" s="31" t="s">
        <v>20</v>
      </c>
      <c r="S22" s="52"/>
      <c r="T22" s="31" t="s">
        <v>20</v>
      </c>
      <c r="U22" s="55"/>
      <c r="V22" s="31" t="s">
        <v>20</v>
      </c>
      <c r="W22" s="31" t="s">
        <v>21</v>
      </c>
      <c r="X22" s="31" t="s">
        <v>20</v>
      </c>
      <c r="Y22" s="31" t="s">
        <v>20</v>
      </c>
      <c r="Z22" s="52"/>
      <c r="AA22" s="31" t="s">
        <v>20</v>
      </c>
      <c r="AB22" s="31" t="s">
        <v>20</v>
      </c>
      <c r="AC22" s="31" t="s">
        <v>21</v>
      </c>
      <c r="AD22" s="31" t="s">
        <v>20</v>
      </c>
      <c r="AE22" s="31" t="s">
        <v>20</v>
      </c>
      <c r="AF22" s="31" t="s">
        <v>20</v>
      </c>
      <c r="AG22" s="52"/>
      <c r="AH22" s="31" t="s">
        <v>20</v>
      </c>
      <c r="AI22" s="4">
        <f t="shared" si="1"/>
        <v>19</v>
      </c>
      <c r="AJ22" s="4">
        <f t="shared" si="2"/>
        <v>3</v>
      </c>
    </row>
    <row r="23" spans="1:40" x14ac:dyDescent="0.25">
      <c r="A23" s="5">
        <v>19</v>
      </c>
      <c r="B23" s="32" t="s">
        <v>89</v>
      </c>
      <c r="C23" s="33" t="s">
        <v>546</v>
      </c>
      <c r="D23" s="6" t="s">
        <v>522</v>
      </c>
      <c r="E23" s="52"/>
      <c r="F23" s="31" t="s">
        <v>20</v>
      </c>
      <c r="G23" s="31" t="s">
        <v>21</v>
      </c>
      <c r="H23" s="31" t="s">
        <v>20</v>
      </c>
      <c r="I23" s="31" t="s">
        <v>21</v>
      </c>
      <c r="J23" s="31" t="s">
        <v>20</v>
      </c>
      <c r="K23" s="31" t="s">
        <v>21</v>
      </c>
      <c r="L23" s="52"/>
      <c r="M23" s="31" t="s">
        <v>20</v>
      </c>
      <c r="N23" s="31" t="s">
        <v>20</v>
      </c>
      <c r="O23" s="31" t="s">
        <v>21</v>
      </c>
      <c r="P23" s="31" t="s">
        <v>20</v>
      </c>
      <c r="Q23" s="31" t="s">
        <v>20</v>
      </c>
      <c r="R23" s="31" t="s">
        <v>20</v>
      </c>
      <c r="S23" s="52"/>
      <c r="T23" s="31" t="s">
        <v>21</v>
      </c>
      <c r="U23" s="55"/>
      <c r="V23" s="31" t="s">
        <v>20</v>
      </c>
      <c r="W23" s="31" t="s">
        <v>20</v>
      </c>
      <c r="X23" s="31" t="s">
        <v>20</v>
      </c>
      <c r="Y23" s="31" t="s">
        <v>21</v>
      </c>
      <c r="Z23" s="52"/>
      <c r="AA23" s="31" t="s">
        <v>20</v>
      </c>
      <c r="AB23" s="31" t="s">
        <v>20</v>
      </c>
      <c r="AC23" s="31" t="s">
        <v>20</v>
      </c>
      <c r="AD23" s="31" t="s">
        <v>20</v>
      </c>
      <c r="AE23" s="31" t="s">
        <v>20</v>
      </c>
      <c r="AF23" s="31" t="s">
        <v>20</v>
      </c>
      <c r="AG23" s="52"/>
      <c r="AH23" s="31" t="s">
        <v>20</v>
      </c>
      <c r="AI23" s="4">
        <f t="shared" si="1"/>
        <v>18</v>
      </c>
      <c r="AJ23" s="4">
        <f t="shared" si="2"/>
        <v>6</v>
      </c>
    </row>
    <row r="24" spans="1:40" x14ac:dyDescent="0.25">
      <c r="A24" s="7">
        <v>20</v>
      </c>
      <c r="B24" s="32" t="s">
        <v>287</v>
      </c>
      <c r="C24" s="33" t="s">
        <v>332</v>
      </c>
      <c r="D24" s="6" t="s">
        <v>522</v>
      </c>
      <c r="E24" s="52"/>
      <c r="F24" s="31" t="s">
        <v>20</v>
      </c>
      <c r="G24" s="31" t="s">
        <v>20</v>
      </c>
      <c r="H24" s="31" t="s">
        <v>20</v>
      </c>
      <c r="I24" s="31" t="s">
        <v>20</v>
      </c>
      <c r="J24" s="31" t="s">
        <v>20</v>
      </c>
      <c r="K24" s="31" t="s">
        <v>20</v>
      </c>
      <c r="L24" s="52"/>
      <c r="M24" s="31" t="s">
        <v>20</v>
      </c>
      <c r="N24" s="31" t="s">
        <v>20</v>
      </c>
      <c r="O24" s="31" t="s">
        <v>20</v>
      </c>
      <c r="P24" s="31" t="s">
        <v>20</v>
      </c>
      <c r="Q24" s="31" t="s">
        <v>20</v>
      </c>
      <c r="R24" s="31" t="s">
        <v>20</v>
      </c>
      <c r="S24" s="52"/>
      <c r="T24" s="31" t="s">
        <v>20</v>
      </c>
      <c r="U24" s="55"/>
      <c r="V24" s="31" t="s">
        <v>20</v>
      </c>
      <c r="W24" s="31" t="s">
        <v>20</v>
      </c>
      <c r="X24" s="31" t="s">
        <v>20</v>
      </c>
      <c r="Y24" s="31" t="s">
        <v>20</v>
      </c>
      <c r="Z24" s="52"/>
      <c r="AA24" s="31" t="s">
        <v>20</v>
      </c>
      <c r="AB24" s="31" t="s">
        <v>20</v>
      </c>
      <c r="AC24" s="31" t="s">
        <v>20</v>
      </c>
      <c r="AD24" s="31" t="s">
        <v>20</v>
      </c>
      <c r="AE24" s="31" t="s">
        <v>21</v>
      </c>
      <c r="AF24" s="31" t="s">
        <v>21</v>
      </c>
      <c r="AG24" s="52"/>
      <c r="AH24" s="31" t="s">
        <v>20</v>
      </c>
      <c r="AI24" s="4">
        <f t="shared" si="1"/>
        <v>22</v>
      </c>
      <c r="AJ24" s="4">
        <f t="shared" si="2"/>
        <v>2</v>
      </c>
    </row>
    <row r="25" spans="1:40" x14ac:dyDescent="0.25">
      <c r="A25" s="5">
        <v>21</v>
      </c>
      <c r="B25" s="32" t="s">
        <v>547</v>
      </c>
      <c r="C25" s="33" t="s">
        <v>332</v>
      </c>
      <c r="D25" s="6" t="s">
        <v>522</v>
      </c>
      <c r="E25" s="52"/>
      <c r="F25" s="31" t="s">
        <v>20</v>
      </c>
      <c r="G25" s="31" t="s">
        <v>20</v>
      </c>
      <c r="H25" s="31" t="s">
        <v>20</v>
      </c>
      <c r="I25" s="31" t="s">
        <v>20</v>
      </c>
      <c r="J25" s="31" t="s">
        <v>21</v>
      </c>
      <c r="K25" s="31" t="s">
        <v>20</v>
      </c>
      <c r="L25" s="52"/>
      <c r="M25" s="31" t="s">
        <v>20</v>
      </c>
      <c r="N25" s="31" t="s">
        <v>20</v>
      </c>
      <c r="O25" s="31" t="s">
        <v>20</v>
      </c>
      <c r="P25" s="31" t="s">
        <v>20</v>
      </c>
      <c r="Q25" s="31" t="s">
        <v>20</v>
      </c>
      <c r="R25" s="31" t="s">
        <v>20</v>
      </c>
      <c r="S25" s="52"/>
      <c r="T25" s="31" t="s">
        <v>20</v>
      </c>
      <c r="U25" s="55"/>
      <c r="V25" s="31" t="s">
        <v>20</v>
      </c>
      <c r="W25" s="31" t="s">
        <v>20</v>
      </c>
      <c r="X25" s="31" t="s">
        <v>20</v>
      </c>
      <c r="Y25" s="31" t="s">
        <v>20</v>
      </c>
      <c r="Z25" s="52"/>
      <c r="AA25" s="31" t="s">
        <v>20</v>
      </c>
      <c r="AB25" s="31" t="s">
        <v>20</v>
      </c>
      <c r="AC25" s="31" t="s">
        <v>20</v>
      </c>
      <c r="AD25" s="31" t="s">
        <v>20</v>
      </c>
      <c r="AE25" s="31" t="s">
        <v>21</v>
      </c>
      <c r="AF25" s="31" t="s">
        <v>21</v>
      </c>
      <c r="AG25" s="52"/>
      <c r="AH25" s="31" t="s">
        <v>20</v>
      </c>
      <c r="AI25" s="4">
        <f t="shared" si="1"/>
        <v>21</v>
      </c>
      <c r="AJ25" s="4">
        <f t="shared" si="2"/>
        <v>3</v>
      </c>
    </row>
    <row r="26" spans="1:40" x14ac:dyDescent="0.25">
      <c r="A26" s="7">
        <v>22</v>
      </c>
      <c r="B26" s="32" t="s">
        <v>548</v>
      </c>
      <c r="C26" s="33" t="s">
        <v>163</v>
      </c>
      <c r="D26" s="6" t="s">
        <v>522</v>
      </c>
      <c r="E26" s="52"/>
      <c r="F26" s="31" t="s">
        <v>20</v>
      </c>
      <c r="G26" s="31" t="s">
        <v>20</v>
      </c>
      <c r="H26" s="31" t="s">
        <v>20</v>
      </c>
      <c r="I26" s="31" t="s">
        <v>20</v>
      </c>
      <c r="J26" s="31" t="s">
        <v>21</v>
      </c>
      <c r="K26" s="31" t="s">
        <v>20</v>
      </c>
      <c r="L26" s="52"/>
      <c r="M26" s="31" t="s">
        <v>20</v>
      </c>
      <c r="N26" s="31" t="s">
        <v>20</v>
      </c>
      <c r="O26" s="31" t="s">
        <v>20</v>
      </c>
      <c r="P26" s="31" t="s">
        <v>20</v>
      </c>
      <c r="Q26" s="31" t="s">
        <v>20</v>
      </c>
      <c r="R26" s="31" t="s">
        <v>20</v>
      </c>
      <c r="S26" s="52"/>
      <c r="T26" s="31" t="s">
        <v>21</v>
      </c>
      <c r="U26" s="55"/>
      <c r="V26" s="31" t="s">
        <v>20</v>
      </c>
      <c r="W26" s="31" t="s">
        <v>20</v>
      </c>
      <c r="X26" s="31" t="s">
        <v>20</v>
      </c>
      <c r="Y26" s="31" t="s">
        <v>20</v>
      </c>
      <c r="Z26" s="52"/>
      <c r="AA26" s="31" t="s">
        <v>20</v>
      </c>
      <c r="AB26" s="31" t="s">
        <v>20</v>
      </c>
      <c r="AC26" s="31" t="s">
        <v>20</v>
      </c>
      <c r="AD26" s="31" t="s">
        <v>21</v>
      </c>
      <c r="AE26" s="31" t="s">
        <v>21</v>
      </c>
      <c r="AF26" s="31" t="s">
        <v>20</v>
      </c>
      <c r="AG26" s="52"/>
      <c r="AH26" s="31" t="s">
        <v>20</v>
      </c>
      <c r="AI26" s="4">
        <f t="shared" si="1"/>
        <v>20</v>
      </c>
      <c r="AJ26" s="4">
        <f t="shared" si="2"/>
        <v>4</v>
      </c>
    </row>
    <row r="27" spans="1:40" x14ac:dyDescent="0.25">
      <c r="A27" s="5">
        <v>23</v>
      </c>
      <c r="B27" s="32" t="s">
        <v>549</v>
      </c>
      <c r="C27" s="33" t="s">
        <v>550</v>
      </c>
      <c r="D27" s="6" t="s">
        <v>522</v>
      </c>
      <c r="E27" s="52"/>
      <c r="F27" s="31" t="s">
        <v>20</v>
      </c>
      <c r="G27" s="31" t="s">
        <v>20</v>
      </c>
      <c r="H27" s="31" t="s">
        <v>20</v>
      </c>
      <c r="I27" s="31" t="s">
        <v>20</v>
      </c>
      <c r="J27" s="31" t="s">
        <v>21</v>
      </c>
      <c r="K27" s="31" t="s">
        <v>20</v>
      </c>
      <c r="L27" s="52"/>
      <c r="M27" s="31" t="s">
        <v>21</v>
      </c>
      <c r="N27" s="31" t="s">
        <v>20</v>
      </c>
      <c r="O27" s="31" t="s">
        <v>20</v>
      </c>
      <c r="P27" s="31" t="s">
        <v>20</v>
      </c>
      <c r="Q27" s="31" t="s">
        <v>20</v>
      </c>
      <c r="R27" s="31" t="s">
        <v>20</v>
      </c>
      <c r="S27" s="52"/>
      <c r="T27" s="31" t="s">
        <v>21</v>
      </c>
      <c r="U27" s="55"/>
      <c r="V27" s="31" t="s">
        <v>20</v>
      </c>
      <c r="W27" s="31" t="s">
        <v>20</v>
      </c>
      <c r="X27" s="31" t="s">
        <v>20</v>
      </c>
      <c r="Y27" s="31" t="s">
        <v>20</v>
      </c>
      <c r="Z27" s="52"/>
      <c r="AA27" s="31" t="s">
        <v>20</v>
      </c>
      <c r="AB27" s="31" t="s">
        <v>20</v>
      </c>
      <c r="AC27" s="31" t="s">
        <v>20</v>
      </c>
      <c r="AD27" s="31" t="s">
        <v>20</v>
      </c>
      <c r="AE27" s="31" t="s">
        <v>20</v>
      </c>
      <c r="AF27" s="31" t="s">
        <v>20</v>
      </c>
      <c r="AG27" s="52"/>
      <c r="AH27" s="31" t="s">
        <v>20</v>
      </c>
      <c r="AI27" s="4">
        <f t="shared" si="1"/>
        <v>21</v>
      </c>
      <c r="AJ27" s="4">
        <f t="shared" si="2"/>
        <v>3</v>
      </c>
    </row>
    <row r="28" spans="1:40" x14ac:dyDescent="0.25">
      <c r="A28" s="7">
        <v>24</v>
      </c>
      <c r="B28" s="32" t="s">
        <v>551</v>
      </c>
      <c r="C28" s="33" t="s">
        <v>552</v>
      </c>
      <c r="D28" s="6" t="s">
        <v>522</v>
      </c>
      <c r="E28" s="52"/>
      <c r="F28" s="31" t="s">
        <v>102</v>
      </c>
      <c r="G28" s="31" t="s">
        <v>102</v>
      </c>
      <c r="H28" s="31" t="s">
        <v>102</v>
      </c>
      <c r="I28" s="31" t="s">
        <v>102</v>
      </c>
      <c r="J28" s="31" t="s">
        <v>102</v>
      </c>
      <c r="K28" s="31" t="s">
        <v>102</v>
      </c>
      <c r="L28" s="52"/>
      <c r="M28" s="31" t="s">
        <v>102</v>
      </c>
      <c r="N28" s="31" t="s">
        <v>102</v>
      </c>
      <c r="O28" s="31" t="s">
        <v>102</v>
      </c>
      <c r="P28" s="31" t="s">
        <v>102</v>
      </c>
      <c r="Q28" s="31" t="s">
        <v>102</v>
      </c>
      <c r="R28" s="31" t="s">
        <v>102</v>
      </c>
      <c r="S28" s="52"/>
      <c r="T28" s="31" t="s">
        <v>20</v>
      </c>
      <c r="U28" s="55"/>
      <c r="V28" s="31" t="s">
        <v>21</v>
      </c>
      <c r="W28" s="31" t="s">
        <v>21</v>
      </c>
      <c r="X28" s="31" t="s">
        <v>21</v>
      </c>
      <c r="Y28" s="31" t="s">
        <v>21</v>
      </c>
      <c r="Z28" s="52"/>
      <c r="AA28" s="31" t="s">
        <v>20</v>
      </c>
      <c r="AB28" s="31" t="s">
        <v>20</v>
      </c>
      <c r="AC28" s="31" t="s">
        <v>20</v>
      </c>
      <c r="AD28" s="31" t="s">
        <v>20</v>
      </c>
      <c r="AE28" s="31" t="s">
        <v>20</v>
      </c>
      <c r="AF28" s="31" t="s">
        <v>21</v>
      </c>
      <c r="AG28" s="52"/>
      <c r="AH28" s="31" t="s">
        <v>20</v>
      </c>
      <c r="AI28" s="4">
        <f t="shared" si="1"/>
        <v>7</v>
      </c>
      <c r="AJ28" s="4">
        <f t="shared" si="2"/>
        <v>5</v>
      </c>
    </row>
    <row r="29" spans="1:40" x14ac:dyDescent="0.25">
      <c r="A29" s="5">
        <v>25</v>
      </c>
      <c r="B29" s="32" t="s">
        <v>553</v>
      </c>
      <c r="C29" s="33" t="s">
        <v>554</v>
      </c>
      <c r="D29" s="6" t="s">
        <v>522</v>
      </c>
      <c r="E29" s="52"/>
      <c r="F29" s="31" t="s">
        <v>102</v>
      </c>
      <c r="G29" s="31" t="s">
        <v>102</v>
      </c>
      <c r="H29" s="31" t="s">
        <v>102</v>
      </c>
      <c r="I29" s="31" t="s">
        <v>102</v>
      </c>
      <c r="J29" s="31" t="s">
        <v>102</v>
      </c>
      <c r="K29" s="31" t="s">
        <v>102</v>
      </c>
      <c r="L29" s="52"/>
      <c r="M29" s="31" t="s">
        <v>102</v>
      </c>
      <c r="N29" s="31" t="s">
        <v>102</v>
      </c>
      <c r="O29" s="31" t="s">
        <v>102</v>
      </c>
      <c r="P29" s="31" t="s">
        <v>102</v>
      </c>
      <c r="Q29" s="31" t="s">
        <v>102</v>
      </c>
      <c r="R29" s="31" t="s">
        <v>102</v>
      </c>
      <c r="S29" s="52"/>
      <c r="T29" s="31" t="s">
        <v>102</v>
      </c>
      <c r="U29" s="55"/>
      <c r="V29" s="31" t="s">
        <v>102</v>
      </c>
      <c r="W29" s="31" t="s">
        <v>102</v>
      </c>
      <c r="X29" s="31" t="s">
        <v>102</v>
      </c>
      <c r="Y29" s="31" t="s">
        <v>102</v>
      </c>
      <c r="Z29" s="52"/>
      <c r="AA29" s="31" t="s">
        <v>102</v>
      </c>
      <c r="AB29" s="31" t="s">
        <v>102</v>
      </c>
      <c r="AC29" s="31" t="s">
        <v>20</v>
      </c>
      <c r="AD29" s="31" t="s">
        <v>20</v>
      </c>
      <c r="AE29" s="31" t="s">
        <v>20</v>
      </c>
      <c r="AF29" s="31" t="s">
        <v>21</v>
      </c>
      <c r="AG29" s="52"/>
      <c r="AH29" s="31" t="s">
        <v>20</v>
      </c>
      <c r="AI29" s="4">
        <f t="shared" si="1"/>
        <v>4</v>
      </c>
      <c r="AJ29" s="4">
        <f t="shared" si="2"/>
        <v>1</v>
      </c>
    </row>
    <row r="30" spans="1:40" x14ac:dyDescent="0.25">
      <c r="A30" s="7">
        <v>26</v>
      </c>
      <c r="B30" s="32" t="s">
        <v>555</v>
      </c>
      <c r="C30" s="33" t="s">
        <v>62</v>
      </c>
      <c r="D30" s="6" t="s">
        <v>522</v>
      </c>
      <c r="E30" s="52"/>
      <c r="F30" s="31" t="s">
        <v>102</v>
      </c>
      <c r="G30" s="31" t="s">
        <v>102</v>
      </c>
      <c r="H30" s="31" t="s">
        <v>102</v>
      </c>
      <c r="I30" s="31" t="s">
        <v>102</v>
      </c>
      <c r="J30" s="31" t="s">
        <v>102</v>
      </c>
      <c r="K30" s="31" t="s">
        <v>102</v>
      </c>
      <c r="L30" s="52"/>
      <c r="M30" s="31" t="s">
        <v>102</v>
      </c>
      <c r="N30" s="31" t="s">
        <v>102</v>
      </c>
      <c r="O30" s="31" t="s">
        <v>102</v>
      </c>
      <c r="P30" s="31" t="s">
        <v>102</v>
      </c>
      <c r="Q30" s="31" t="s">
        <v>102</v>
      </c>
      <c r="R30" s="31" t="s">
        <v>102</v>
      </c>
      <c r="S30" s="52"/>
      <c r="T30" s="31" t="s">
        <v>102</v>
      </c>
      <c r="U30" s="55"/>
      <c r="V30" s="31" t="s">
        <v>102</v>
      </c>
      <c r="W30" s="31" t="s">
        <v>102</v>
      </c>
      <c r="X30" s="31" t="s">
        <v>102</v>
      </c>
      <c r="Y30" s="31" t="s">
        <v>102</v>
      </c>
      <c r="Z30" s="52"/>
      <c r="AA30" s="31" t="s">
        <v>102</v>
      </c>
      <c r="AB30" s="31" t="s">
        <v>102</v>
      </c>
      <c r="AC30" s="31" t="s">
        <v>102</v>
      </c>
      <c r="AD30" s="31" t="s">
        <v>20</v>
      </c>
      <c r="AE30" s="31" t="s">
        <v>20</v>
      </c>
      <c r="AF30" s="31" t="s">
        <v>20</v>
      </c>
      <c r="AG30" s="52"/>
      <c r="AH30" s="31" t="s">
        <v>20</v>
      </c>
      <c r="AI30" s="4">
        <f t="shared" si="1"/>
        <v>4</v>
      </c>
      <c r="AJ30" s="4">
        <f t="shared" si="2"/>
        <v>0</v>
      </c>
    </row>
    <row r="31" spans="1:40" ht="15" customHeight="1" x14ac:dyDescent="0.25">
      <c r="A31" s="5">
        <v>1</v>
      </c>
      <c r="B31" s="29" t="s">
        <v>556</v>
      </c>
      <c r="C31" s="30" t="s">
        <v>557</v>
      </c>
      <c r="D31" s="6" t="s">
        <v>522</v>
      </c>
      <c r="E31" s="52"/>
      <c r="F31" s="31" t="s">
        <v>20</v>
      </c>
      <c r="G31" s="31" t="s">
        <v>20</v>
      </c>
      <c r="H31" s="31" t="s">
        <v>20</v>
      </c>
      <c r="I31" s="31" t="s">
        <v>20</v>
      </c>
      <c r="J31" s="31" t="s">
        <v>20</v>
      </c>
      <c r="K31" s="31" t="s">
        <v>20</v>
      </c>
      <c r="L31" s="52"/>
      <c r="M31" s="31" t="s">
        <v>20</v>
      </c>
      <c r="N31" s="31" t="s">
        <v>20</v>
      </c>
      <c r="O31" s="31" t="s">
        <v>20</v>
      </c>
      <c r="P31" s="31" t="s">
        <v>21</v>
      </c>
      <c r="Q31" s="31" t="s">
        <v>20</v>
      </c>
      <c r="R31" s="31" t="s">
        <v>20</v>
      </c>
      <c r="S31" s="52"/>
      <c r="T31" s="31" t="s">
        <v>20</v>
      </c>
      <c r="U31" s="55"/>
      <c r="V31" s="31" t="s">
        <v>20</v>
      </c>
      <c r="W31" s="31" t="s">
        <v>20</v>
      </c>
      <c r="X31" s="31" t="s">
        <v>20</v>
      </c>
      <c r="Y31" s="31" t="s">
        <v>20</v>
      </c>
      <c r="Z31" s="52"/>
      <c r="AA31" s="31" t="s">
        <v>20</v>
      </c>
      <c r="AB31" s="31" t="s">
        <v>20</v>
      </c>
      <c r="AC31" s="31" t="s">
        <v>20</v>
      </c>
      <c r="AD31" s="31" t="s">
        <v>20</v>
      </c>
      <c r="AE31" s="31" t="s">
        <v>20</v>
      </c>
      <c r="AF31" s="31" t="s">
        <v>20</v>
      </c>
      <c r="AG31" s="52"/>
      <c r="AH31" s="31" t="s">
        <v>20</v>
      </c>
      <c r="AI31" s="4">
        <f t="shared" si="1"/>
        <v>23</v>
      </c>
      <c r="AJ31" s="4">
        <f t="shared" si="2"/>
        <v>1</v>
      </c>
    </row>
    <row r="32" spans="1:40" x14ac:dyDescent="0.25">
      <c r="A32" s="7">
        <v>2</v>
      </c>
      <c r="B32" s="32" t="s">
        <v>558</v>
      </c>
      <c r="C32" s="33" t="s">
        <v>380</v>
      </c>
      <c r="D32" s="6" t="s">
        <v>522</v>
      </c>
      <c r="E32" s="52"/>
      <c r="F32" s="31" t="s">
        <v>20</v>
      </c>
      <c r="G32" s="31" t="s">
        <v>20</v>
      </c>
      <c r="H32" s="31" t="s">
        <v>20</v>
      </c>
      <c r="I32" s="31" t="s">
        <v>20</v>
      </c>
      <c r="J32" s="31" t="s">
        <v>20</v>
      </c>
      <c r="K32" s="31" t="s">
        <v>20</v>
      </c>
      <c r="L32" s="52"/>
      <c r="M32" s="31" t="s">
        <v>20</v>
      </c>
      <c r="N32" s="31" t="s">
        <v>20</v>
      </c>
      <c r="O32" s="31" t="s">
        <v>20</v>
      </c>
      <c r="P32" s="31" t="s">
        <v>20</v>
      </c>
      <c r="Q32" s="31" t="s">
        <v>20</v>
      </c>
      <c r="R32" s="31" t="s">
        <v>20</v>
      </c>
      <c r="S32" s="52"/>
      <c r="T32" s="31" t="s">
        <v>21</v>
      </c>
      <c r="U32" s="55"/>
      <c r="V32" s="31" t="s">
        <v>20</v>
      </c>
      <c r="W32" s="31" t="s">
        <v>20</v>
      </c>
      <c r="X32" s="31" t="s">
        <v>20</v>
      </c>
      <c r="Y32" s="31" t="s">
        <v>20</v>
      </c>
      <c r="Z32" s="52"/>
      <c r="AA32" s="31" t="s">
        <v>20</v>
      </c>
      <c r="AB32" s="31" t="s">
        <v>20</v>
      </c>
      <c r="AC32" s="31" t="s">
        <v>20</v>
      </c>
      <c r="AD32" s="31" t="s">
        <v>20</v>
      </c>
      <c r="AE32" s="31" t="s">
        <v>20</v>
      </c>
      <c r="AF32" s="31" t="s">
        <v>20</v>
      </c>
      <c r="AG32" s="52"/>
      <c r="AH32" s="31" t="s">
        <v>20</v>
      </c>
      <c r="AI32" s="4">
        <f t="shared" si="1"/>
        <v>23</v>
      </c>
      <c r="AJ32" s="4">
        <f t="shared" si="2"/>
        <v>1</v>
      </c>
    </row>
    <row r="33" spans="1:36" x14ac:dyDescent="0.25">
      <c r="A33" s="5">
        <v>3</v>
      </c>
      <c r="B33" s="32" t="s">
        <v>559</v>
      </c>
      <c r="C33" s="33" t="s">
        <v>560</v>
      </c>
      <c r="D33" s="6" t="s">
        <v>522</v>
      </c>
      <c r="E33" s="52"/>
      <c r="F33" s="31" t="s">
        <v>20</v>
      </c>
      <c r="G33" s="31" t="s">
        <v>20</v>
      </c>
      <c r="H33" s="31" t="s">
        <v>20</v>
      </c>
      <c r="I33" s="31" t="s">
        <v>20</v>
      </c>
      <c r="J33" s="31" t="s">
        <v>20</v>
      </c>
      <c r="K33" s="31" t="s">
        <v>20</v>
      </c>
      <c r="L33" s="52"/>
      <c r="M33" s="31" t="s">
        <v>20</v>
      </c>
      <c r="N33" s="31" t="s">
        <v>20</v>
      </c>
      <c r="O33" s="31" t="s">
        <v>20</v>
      </c>
      <c r="P33" s="31" t="s">
        <v>20</v>
      </c>
      <c r="Q33" s="31" t="s">
        <v>20</v>
      </c>
      <c r="R33" s="31" t="s">
        <v>20</v>
      </c>
      <c r="S33" s="52"/>
      <c r="T33" s="31" t="s">
        <v>20</v>
      </c>
      <c r="U33" s="55"/>
      <c r="V33" s="31" t="s">
        <v>20</v>
      </c>
      <c r="W33" s="31" t="s">
        <v>20</v>
      </c>
      <c r="X33" s="31" t="s">
        <v>20</v>
      </c>
      <c r="Y33" s="31" t="s">
        <v>20</v>
      </c>
      <c r="Z33" s="52"/>
      <c r="AA33" s="31" t="s">
        <v>20</v>
      </c>
      <c r="AB33" s="31" t="s">
        <v>20</v>
      </c>
      <c r="AC33" s="31" t="s">
        <v>20</v>
      </c>
      <c r="AD33" s="31" t="s">
        <v>20</v>
      </c>
      <c r="AE33" s="31" t="s">
        <v>20</v>
      </c>
      <c r="AF33" s="31" t="s">
        <v>20</v>
      </c>
      <c r="AG33" s="52"/>
      <c r="AH33" s="31" t="s">
        <v>20</v>
      </c>
      <c r="AI33" s="4">
        <f t="shared" si="1"/>
        <v>24</v>
      </c>
      <c r="AJ33" s="4">
        <f t="shared" si="2"/>
        <v>0</v>
      </c>
    </row>
    <row r="34" spans="1:36" x14ac:dyDescent="0.25">
      <c r="A34" s="7">
        <v>4</v>
      </c>
      <c r="B34" s="32" t="s">
        <v>561</v>
      </c>
      <c r="C34" s="33" t="s">
        <v>486</v>
      </c>
      <c r="D34" s="6" t="s">
        <v>522</v>
      </c>
      <c r="E34" s="52"/>
      <c r="F34" s="31" t="s">
        <v>20</v>
      </c>
      <c r="G34" s="31" t="s">
        <v>20</v>
      </c>
      <c r="H34" s="31" t="s">
        <v>20</v>
      </c>
      <c r="I34" s="31" t="s">
        <v>20</v>
      </c>
      <c r="J34" s="31" t="s">
        <v>20</v>
      </c>
      <c r="K34" s="31" t="s">
        <v>21</v>
      </c>
      <c r="L34" s="52"/>
      <c r="M34" s="31" t="s">
        <v>21</v>
      </c>
      <c r="N34" s="31" t="s">
        <v>20</v>
      </c>
      <c r="O34" s="31" t="s">
        <v>20</v>
      </c>
      <c r="P34" s="31" t="s">
        <v>20</v>
      </c>
      <c r="Q34" s="31" t="s">
        <v>20</v>
      </c>
      <c r="R34" s="31" t="s">
        <v>20</v>
      </c>
      <c r="S34" s="52"/>
      <c r="T34" s="31" t="s">
        <v>21</v>
      </c>
      <c r="U34" s="55"/>
      <c r="V34" s="31" t="s">
        <v>20</v>
      </c>
      <c r="W34" s="31" t="s">
        <v>20</v>
      </c>
      <c r="X34" s="31" t="s">
        <v>20</v>
      </c>
      <c r="Y34" s="31" t="s">
        <v>21</v>
      </c>
      <c r="Z34" s="52"/>
      <c r="AA34" s="31" t="s">
        <v>20</v>
      </c>
      <c r="AB34" s="31" t="s">
        <v>20</v>
      </c>
      <c r="AC34" s="31" t="s">
        <v>20</v>
      </c>
      <c r="AD34" s="31" t="s">
        <v>20</v>
      </c>
      <c r="AE34" s="31" t="s">
        <v>20</v>
      </c>
      <c r="AF34" s="31" t="s">
        <v>20</v>
      </c>
      <c r="AG34" s="52"/>
      <c r="AH34" s="31" t="s">
        <v>20</v>
      </c>
      <c r="AI34" s="4">
        <f t="shared" si="1"/>
        <v>20</v>
      </c>
      <c r="AJ34" s="4">
        <f t="shared" si="2"/>
        <v>4</v>
      </c>
    </row>
    <row r="35" spans="1:36" x14ac:dyDescent="0.25">
      <c r="A35" s="5">
        <v>5</v>
      </c>
      <c r="B35" s="32" t="s">
        <v>270</v>
      </c>
      <c r="C35" s="33" t="s">
        <v>562</v>
      </c>
      <c r="D35" s="6" t="s">
        <v>522</v>
      </c>
      <c r="E35" s="52"/>
      <c r="F35" s="31" t="s">
        <v>20</v>
      </c>
      <c r="G35" s="31" t="s">
        <v>20</v>
      </c>
      <c r="H35" s="31" t="s">
        <v>20</v>
      </c>
      <c r="I35" s="31" t="s">
        <v>20</v>
      </c>
      <c r="J35" s="31" t="s">
        <v>20</v>
      </c>
      <c r="K35" s="31" t="s">
        <v>20</v>
      </c>
      <c r="L35" s="52"/>
      <c r="M35" s="31" t="s">
        <v>20</v>
      </c>
      <c r="N35" s="31" t="s">
        <v>20</v>
      </c>
      <c r="O35" s="31" t="s">
        <v>20</v>
      </c>
      <c r="P35" s="31" t="s">
        <v>20</v>
      </c>
      <c r="Q35" s="31" t="s">
        <v>20</v>
      </c>
      <c r="R35" s="31" t="s">
        <v>20</v>
      </c>
      <c r="S35" s="52"/>
      <c r="T35" s="31" t="s">
        <v>20</v>
      </c>
      <c r="U35" s="55"/>
      <c r="V35" s="31" t="s">
        <v>20</v>
      </c>
      <c r="W35" s="31" t="s">
        <v>20</v>
      </c>
      <c r="X35" s="31" t="s">
        <v>20</v>
      </c>
      <c r="Y35" s="31" t="s">
        <v>20</v>
      </c>
      <c r="Z35" s="52"/>
      <c r="AA35" s="31" t="s">
        <v>20</v>
      </c>
      <c r="AB35" s="31" t="s">
        <v>20</v>
      </c>
      <c r="AC35" s="31" t="s">
        <v>20</v>
      </c>
      <c r="AD35" s="31" t="s">
        <v>20</v>
      </c>
      <c r="AE35" s="31" t="s">
        <v>20</v>
      </c>
      <c r="AF35" s="31" t="s">
        <v>20</v>
      </c>
      <c r="AG35" s="52"/>
      <c r="AH35" s="31" t="s">
        <v>20</v>
      </c>
      <c r="AI35" s="4">
        <f t="shared" si="1"/>
        <v>24</v>
      </c>
      <c r="AJ35" s="4">
        <f t="shared" si="2"/>
        <v>0</v>
      </c>
    </row>
    <row r="36" spans="1:36" x14ac:dyDescent="0.25">
      <c r="A36" s="7">
        <v>6</v>
      </c>
      <c r="B36" s="32" t="s">
        <v>563</v>
      </c>
      <c r="C36" s="33" t="s">
        <v>564</v>
      </c>
      <c r="D36" s="6" t="s">
        <v>522</v>
      </c>
      <c r="E36" s="52"/>
      <c r="F36" s="31" t="s">
        <v>20</v>
      </c>
      <c r="G36" s="31" t="s">
        <v>20</v>
      </c>
      <c r="H36" s="31" t="s">
        <v>20</v>
      </c>
      <c r="I36" s="31" t="s">
        <v>20</v>
      </c>
      <c r="J36" s="31" t="s">
        <v>20</v>
      </c>
      <c r="K36" s="31" t="s">
        <v>20</v>
      </c>
      <c r="L36" s="52"/>
      <c r="M36" s="31" t="s">
        <v>20</v>
      </c>
      <c r="N36" s="31" t="s">
        <v>20</v>
      </c>
      <c r="O36" s="31" t="s">
        <v>20</v>
      </c>
      <c r="P36" s="31" t="s">
        <v>20</v>
      </c>
      <c r="Q36" s="31" t="s">
        <v>20</v>
      </c>
      <c r="R36" s="31" t="s">
        <v>20</v>
      </c>
      <c r="S36" s="52"/>
      <c r="T36" s="31" t="s">
        <v>20</v>
      </c>
      <c r="U36" s="55"/>
      <c r="V36" s="31" t="s">
        <v>20</v>
      </c>
      <c r="W36" s="31" t="s">
        <v>20</v>
      </c>
      <c r="X36" s="31" t="s">
        <v>20</v>
      </c>
      <c r="Y36" s="31" t="s">
        <v>20</v>
      </c>
      <c r="Z36" s="52"/>
      <c r="AA36" s="31" t="s">
        <v>20</v>
      </c>
      <c r="AB36" s="31" t="s">
        <v>20</v>
      </c>
      <c r="AC36" s="31" t="s">
        <v>20</v>
      </c>
      <c r="AD36" s="31" t="s">
        <v>20</v>
      </c>
      <c r="AE36" s="31" t="s">
        <v>20</v>
      </c>
      <c r="AF36" s="31" t="s">
        <v>20</v>
      </c>
      <c r="AG36" s="52"/>
      <c r="AH36" s="31" t="s">
        <v>20</v>
      </c>
      <c r="AI36" s="4">
        <f t="shared" si="1"/>
        <v>24</v>
      </c>
      <c r="AJ36" s="4">
        <f t="shared" si="2"/>
        <v>0</v>
      </c>
    </row>
    <row r="37" spans="1:36" x14ac:dyDescent="0.25">
      <c r="A37" s="5">
        <v>7</v>
      </c>
      <c r="B37" s="32" t="s">
        <v>565</v>
      </c>
      <c r="C37" s="33" t="s">
        <v>218</v>
      </c>
      <c r="D37" s="6" t="s">
        <v>522</v>
      </c>
      <c r="E37" s="52"/>
      <c r="F37" s="31" t="s">
        <v>20</v>
      </c>
      <c r="G37" s="31" t="s">
        <v>20</v>
      </c>
      <c r="H37" s="31" t="s">
        <v>21</v>
      </c>
      <c r="I37" s="31" t="s">
        <v>20</v>
      </c>
      <c r="J37" s="31" t="s">
        <v>20</v>
      </c>
      <c r="K37" s="31" t="s">
        <v>20</v>
      </c>
      <c r="L37" s="52"/>
      <c r="M37" s="31" t="s">
        <v>20</v>
      </c>
      <c r="N37" s="31" t="s">
        <v>20</v>
      </c>
      <c r="O37" s="31" t="s">
        <v>20</v>
      </c>
      <c r="P37" s="31" t="s">
        <v>20</v>
      </c>
      <c r="Q37" s="31" t="s">
        <v>20</v>
      </c>
      <c r="R37" s="31" t="s">
        <v>20</v>
      </c>
      <c r="S37" s="52"/>
      <c r="T37" s="31" t="s">
        <v>20</v>
      </c>
      <c r="U37" s="55"/>
      <c r="V37" s="31" t="s">
        <v>21</v>
      </c>
      <c r="W37" s="31" t="s">
        <v>20</v>
      </c>
      <c r="X37" s="31" t="s">
        <v>20</v>
      </c>
      <c r="Y37" s="31" t="s">
        <v>20</v>
      </c>
      <c r="Z37" s="52"/>
      <c r="AA37" s="31" t="s">
        <v>20</v>
      </c>
      <c r="AB37" s="31" t="s">
        <v>20</v>
      </c>
      <c r="AC37" s="31" t="s">
        <v>20</v>
      </c>
      <c r="AD37" s="31" t="s">
        <v>20</v>
      </c>
      <c r="AE37" s="31" t="s">
        <v>20</v>
      </c>
      <c r="AF37" s="31" t="s">
        <v>20</v>
      </c>
      <c r="AG37" s="52"/>
      <c r="AH37" s="31" t="s">
        <v>20</v>
      </c>
      <c r="AI37" s="4">
        <f t="shared" si="1"/>
        <v>22</v>
      </c>
      <c r="AJ37" s="4">
        <f t="shared" si="2"/>
        <v>2</v>
      </c>
    </row>
    <row r="38" spans="1:36" x14ac:dyDescent="0.25">
      <c r="A38" s="7">
        <v>8</v>
      </c>
      <c r="B38" s="32" t="s">
        <v>399</v>
      </c>
      <c r="C38" s="33" t="s">
        <v>566</v>
      </c>
      <c r="D38" s="6" t="s">
        <v>522</v>
      </c>
      <c r="E38" s="52"/>
      <c r="F38" s="31" t="s">
        <v>21</v>
      </c>
      <c r="G38" s="31" t="s">
        <v>21</v>
      </c>
      <c r="H38" s="31" t="s">
        <v>21</v>
      </c>
      <c r="I38" s="31" t="s">
        <v>21</v>
      </c>
      <c r="J38" s="31" t="s">
        <v>21</v>
      </c>
      <c r="K38" s="31" t="s">
        <v>21</v>
      </c>
      <c r="L38" s="52"/>
      <c r="M38" s="31" t="s">
        <v>21</v>
      </c>
      <c r="N38" s="31" t="s">
        <v>21</v>
      </c>
      <c r="O38" s="31" t="s">
        <v>21</v>
      </c>
      <c r="P38" s="31" t="s">
        <v>21</v>
      </c>
      <c r="Q38" s="31" t="s">
        <v>21</v>
      </c>
      <c r="R38" s="31" t="s">
        <v>21</v>
      </c>
      <c r="S38" s="52"/>
      <c r="T38" s="31" t="s">
        <v>21</v>
      </c>
      <c r="U38" s="55"/>
      <c r="V38" s="31" t="s">
        <v>21</v>
      </c>
      <c r="W38" s="31" t="s">
        <v>21</v>
      </c>
      <c r="X38" s="31" t="s">
        <v>21</v>
      </c>
      <c r="Y38" s="31" t="s">
        <v>21</v>
      </c>
      <c r="Z38" s="52"/>
      <c r="AA38" s="31" t="s">
        <v>21</v>
      </c>
      <c r="AB38" s="31" t="s">
        <v>21</v>
      </c>
      <c r="AC38" s="31" t="s">
        <v>21</v>
      </c>
      <c r="AD38" s="31" t="s">
        <v>21</v>
      </c>
      <c r="AE38" s="31" t="s">
        <v>21</v>
      </c>
      <c r="AF38" s="31" t="s">
        <v>21</v>
      </c>
      <c r="AG38" s="52"/>
      <c r="AH38" s="31" t="s">
        <v>21</v>
      </c>
      <c r="AI38" s="4">
        <f t="shared" si="1"/>
        <v>0</v>
      </c>
      <c r="AJ38" s="4">
        <f t="shared" si="2"/>
        <v>24</v>
      </c>
    </row>
    <row r="39" spans="1:36" x14ac:dyDescent="0.25">
      <c r="A39" s="5">
        <v>9</v>
      </c>
      <c r="B39" s="32" t="s">
        <v>220</v>
      </c>
      <c r="C39" s="33" t="s">
        <v>385</v>
      </c>
      <c r="D39" s="6" t="s">
        <v>522</v>
      </c>
      <c r="E39" s="52"/>
      <c r="F39" s="31" t="s">
        <v>20</v>
      </c>
      <c r="G39" s="31" t="s">
        <v>20</v>
      </c>
      <c r="H39" s="31" t="s">
        <v>21</v>
      </c>
      <c r="I39" s="31" t="s">
        <v>20</v>
      </c>
      <c r="J39" s="31" t="s">
        <v>20</v>
      </c>
      <c r="K39" s="31" t="s">
        <v>21</v>
      </c>
      <c r="L39" s="52"/>
      <c r="M39" s="31" t="s">
        <v>20</v>
      </c>
      <c r="N39" s="31" t="s">
        <v>20</v>
      </c>
      <c r="O39" s="31" t="s">
        <v>20</v>
      </c>
      <c r="P39" s="31" t="s">
        <v>20</v>
      </c>
      <c r="Q39" s="31" t="s">
        <v>20</v>
      </c>
      <c r="R39" s="31" t="s">
        <v>20</v>
      </c>
      <c r="S39" s="52"/>
      <c r="T39" s="31" t="s">
        <v>20</v>
      </c>
      <c r="U39" s="55"/>
      <c r="V39" s="31" t="s">
        <v>20</v>
      </c>
      <c r="W39" s="31" t="s">
        <v>20</v>
      </c>
      <c r="X39" s="31" t="s">
        <v>21</v>
      </c>
      <c r="Y39" s="31" t="s">
        <v>21</v>
      </c>
      <c r="Z39" s="52"/>
      <c r="AA39" s="31" t="s">
        <v>20</v>
      </c>
      <c r="AB39" s="31" t="s">
        <v>20</v>
      </c>
      <c r="AC39" s="31" t="s">
        <v>21</v>
      </c>
      <c r="AD39" s="31" t="s">
        <v>21</v>
      </c>
      <c r="AE39" s="31" t="s">
        <v>20</v>
      </c>
      <c r="AF39" s="31" t="s">
        <v>21</v>
      </c>
      <c r="AG39" s="52"/>
      <c r="AH39" s="31" t="s">
        <v>20</v>
      </c>
      <c r="AI39" s="4">
        <f t="shared" si="1"/>
        <v>17</v>
      </c>
      <c r="AJ39" s="4">
        <f t="shared" si="2"/>
        <v>7</v>
      </c>
    </row>
    <row r="40" spans="1:36" x14ac:dyDescent="0.25">
      <c r="A40" s="7">
        <v>10</v>
      </c>
      <c r="B40" s="32" t="s">
        <v>567</v>
      </c>
      <c r="C40" s="33" t="s">
        <v>35</v>
      </c>
      <c r="D40" s="6" t="s">
        <v>522</v>
      </c>
      <c r="E40" s="52"/>
      <c r="F40" s="31" t="s">
        <v>20</v>
      </c>
      <c r="G40" s="31" t="s">
        <v>20</v>
      </c>
      <c r="H40" s="31" t="s">
        <v>20</v>
      </c>
      <c r="I40" s="31" t="s">
        <v>20</v>
      </c>
      <c r="J40" s="31" t="s">
        <v>20</v>
      </c>
      <c r="K40" s="31" t="s">
        <v>20</v>
      </c>
      <c r="L40" s="52"/>
      <c r="M40" s="31" t="s">
        <v>20</v>
      </c>
      <c r="N40" s="31" t="s">
        <v>20</v>
      </c>
      <c r="O40" s="31" t="s">
        <v>21</v>
      </c>
      <c r="P40" s="31" t="s">
        <v>20</v>
      </c>
      <c r="Q40" s="31" t="s">
        <v>20</v>
      </c>
      <c r="R40" s="31" t="s">
        <v>20</v>
      </c>
      <c r="S40" s="52"/>
      <c r="T40" s="31" t="s">
        <v>21</v>
      </c>
      <c r="U40" s="55"/>
      <c r="V40" s="31" t="s">
        <v>20</v>
      </c>
      <c r="W40" s="31" t="s">
        <v>20</v>
      </c>
      <c r="X40" s="31" t="s">
        <v>20</v>
      </c>
      <c r="Y40" s="31" t="s">
        <v>21</v>
      </c>
      <c r="Z40" s="52"/>
      <c r="AA40" s="31" t="s">
        <v>20</v>
      </c>
      <c r="AB40" s="31" t="s">
        <v>20</v>
      </c>
      <c r="AC40" s="31" t="s">
        <v>20</v>
      </c>
      <c r="AD40" s="31" t="s">
        <v>20</v>
      </c>
      <c r="AE40" s="31" t="s">
        <v>21</v>
      </c>
      <c r="AF40" s="31" t="s">
        <v>21</v>
      </c>
      <c r="AG40" s="52"/>
      <c r="AH40" s="31" t="s">
        <v>20</v>
      </c>
      <c r="AI40" s="4">
        <f t="shared" si="1"/>
        <v>19</v>
      </c>
      <c r="AJ40" s="4">
        <f t="shared" si="2"/>
        <v>5</v>
      </c>
    </row>
    <row r="41" spans="1:36" x14ac:dyDescent="0.25">
      <c r="A41" s="5">
        <v>11</v>
      </c>
      <c r="B41" s="32" t="s">
        <v>568</v>
      </c>
      <c r="C41" s="33" t="s">
        <v>569</v>
      </c>
      <c r="D41" s="6" t="s">
        <v>522</v>
      </c>
      <c r="E41" s="52"/>
      <c r="F41" s="31" t="s">
        <v>20</v>
      </c>
      <c r="G41" s="31" t="s">
        <v>20</v>
      </c>
      <c r="H41" s="31" t="s">
        <v>20</v>
      </c>
      <c r="I41" s="31" t="s">
        <v>21</v>
      </c>
      <c r="J41" s="31" t="s">
        <v>20</v>
      </c>
      <c r="K41" s="31" t="s">
        <v>21</v>
      </c>
      <c r="L41" s="52"/>
      <c r="M41" s="31" t="s">
        <v>20</v>
      </c>
      <c r="N41" s="31" t="s">
        <v>21</v>
      </c>
      <c r="O41" s="31" t="s">
        <v>21</v>
      </c>
      <c r="P41" s="31" t="s">
        <v>21</v>
      </c>
      <c r="Q41" s="31" t="s">
        <v>21</v>
      </c>
      <c r="R41" s="31" t="s">
        <v>21</v>
      </c>
      <c r="S41" s="52"/>
      <c r="T41" s="31" t="s">
        <v>21</v>
      </c>
      <c r="U41" s="55"/>
      <c r="V41" s="31" t="s">
        <v>20</v>
      </c>
      <c r="W41" s="31" t="s">
        <v>21</v>
      </c>
      <c r="X41" s="31" t="s">
        <v>20</v>
      </c>
      <c r="Y41" s="31" t="s">
        <v>21</v>
      </c>
      <c r="Z41" s="52"/>
      <c r="AA41" s="31" t="s">
        <v>20</v>
      </c>
      <c r="AB41" s="31" t="s">
        <v>20</v>
      </c>
      <c r="AC41" s="31" t="s">
        <v>20</v>
      </c>
      <c r="AD41" s="31" t="s">
        <v>20</v>
      </c>
      <c r="AE41" s="31" t="s">
        <v>21</v>
      </c>
      <c r="AF41" s="31" t="s">
        <v>21</v>
      </c>
      <c r="AG41" s="52"/>
      <c r="AH41" s="31" t="s">
        <v>20</v>
      </c>
      <c r="AI41" s="4">
        <f t="shared" si="1"/>
        <v>12</v>
      </c>
      <c r="AJ41" s="4">
        <f t="shared" si="2"/>
        <v>12</v>
      </c>
    </row>
    <row r="42" spans="1:36" x14ac:dyDescent="0.25">
      <c r="A42" s="7">
        <v>12</v>
      </c>
      <c r="B42" s="32" t="s">
        <v>570</v>
      </c>
      <c r="C42" s="33" t="s">
        <v>112</v>
      </c>
      <c r="D42" s="6" t="s">
        <v>522</v>
      </c>
      <c r="E42" s="52"/>
      <c r="F42" s="31" t="s">
        <v>20</v>
      </c>
      <c r="G42" s="31" t="s">
        <v>20</v>
      </c>
      <c r="H42" s="31" t="s">
        <v>20</v>
      </c>
      <c r="I42" s="31" t="s">
        <v>20</v>
      </c>
      <c r="J42" s="31" t="s">
        <v>20</v>
      </c>
      <c r="K42" s="31" t="s">
        <v>20</v>
      </c>
      <c r="L42" s="52"/>
      <c r="M42" s="31" t="s">
        <v>20</v>
      </c>
      <c r="N42" s="31" t="s">
        <v>20</v>
      </c>
      <c r="O42" s="31" t="s">
        <v>20</v>
      </c>
      <c r="P42" s="31" t="s">
        <v>20</v>
      </c>
      <c r="Q42" s="31" t="s">
        <v>21</v>
      </c>
      <c r="R42" s="31" t="s">
        <v>21</v>
      </c>
      <c r="S42" s="52"/>
      <c r="T42" s="31" t="s">
        <v>21</v>
      </c>
      <c r="U42" s="55"/>
      <c r="V42" s="31" t="s">
        <v>20</v>
      </c>
      <c r="W42" s="31" t="s">
        <v>20</v>
      </c>
      <c r="X42" s="31" t="s">
        <v>20</v>
      </c>
      <c r="Y42" s="31" t="s">
        <v>21</v>
      </c>
      <c r="Z42" s="52"/>
      <c r="AA42" s="31" t="s">
        <v>20</v>
      </c>
      <c r="AB42" s="31" t="s">
        <v>20</v>
      </c>
      <c r="AC42" s="31" t="s">
        <v>20</v>
      </c>
      <c r="AD42" s="31" t="s">
        <v>20</v>
      </c>
      <c r="AE42" s="31" t="s">
        <v>20</v>
      </c>
      <c r="AF42" s="31" t="s">
        <v>20</v>
      </c>
      <c r="AG42" s="52"/>
      <c r="AH42" s="31" t="s">
        <v>20</v>
      </c>
      <c r="AI42" s="4">
        <f t="shared" si="1"/>
        <v>20</v>
      </c>
      <c r="AJ42" s="4">
        <f t="shared" si="2"/>
        <v>4</v>
      </c>
    </row>
    <row r="43" spans="1:36" x14ac:dyDescent="0.25">
      <c r="A43" s="5">
        <v>13</v>
      </c>
      <c r="B43" s="32" t="s">
        <v>87</v>
      </c>
      <c r="C43" s="33" t="s">
        <v>49</v>
      </c>
      <c r="D43" s="6" t="s">
        <v>522</v>
      </c>
      <c r="E43" s="52"/>
      <c r="F43" s="31" t="s">
        <v>20</v>
      </c>
      <c r="G43" s="31" t="s">
        <v>20</v>
      </c>
      <c r="H43" s="31" t="s">
        <v>20</v>
      </c>
      <c r="I43" s="31" t="s">
        <v>21</v>
      </c>
      <c r="J43" s="31" t="s">
        <v>20</v>
      </c>
      <c r="K43" s="31" t="s">
        <v>20</v>
      </c>
      <c r="L43" s="52"/>
      <c r="M43" s="31" t="s">
        <v>20</v>
      </c>
      <c r="N43" s="31" t="s">
        <v>21</v>
      </c>
      <c r="O43" s="31" t="s">
        <v>20</v>
      </c>
      <c r="P43" s="31" t="s">
        <v>20</v>
      </c>
      <c r="Q43" s="31" t="s">
        <v>20</v>
      </c>
      <c r="R43" s="31" t="s">
        <v>20</v>
      </c>
      <c r="S43" s="52"/>
      <c r="T43" s="31" t="s">
        <v>20</v>
      </c>
      <c r="U43" s="55"/>
      <c r="V43" s="31" t="s">
        <v>20</v>
      </c>
      <c r="W43" s="31" t="s">
        <v>20</v>
      </c>
      <c r="X43" s="31" t="s">
        <v>20</v>
      </c>
      <c r="Y43" s="31" t="s">
        <v>21</v>
      </c>
      <c r="Z43" s="52"/>
      <c r="AA43" s="31" t="s">
        <v>20</v>
      </c>
      <c r="AB43" s="31" t="s">
        <v>20</v>
      </c>
      <c r="AC43" s="31" t="s">
        <v>20</v>
      </c>
      <c r="AD43" s="31" t="s">
        <v>20</v>
      </c>
      <c r="AE43" s="31" t="s">
        <v>20</v>
      </c>
      <c r="AF43" s="31" t="s">
        <v>21</v>
      </c>
      <c r="AG43" s="52"/>
      <c r="AH43" s="31" t="s">
        <v>20</v>
      </c>
      <c r="AI43" s="4">
        <f t="shared" si="1"/>
        <v>20</v>
      </c>
      <c r="AJ43" s="4">
        <f t="shared" si="2"/>
        <v>4</v>
      </c>
    </row>
    <row r="44" spans="1:36" x14ac:dyDescent="0.25">
      <c r="A44" s="7">
        <v>14</v>
      </c>
      <c r="B44" s="32" t="s">
        <v>571</v>
      </c>
      <c r="C44" s="33" t="s">
        <v>227</v>
      </c>
      <c r="D44" s="6" t="s">
        <v>522</v>
      </c>
      <c r="E44" s="52"/>
      <c r="F44" s="31" t="s">
        <v>20</v>
      </c>
      <c r="G44" s="31" t="s">
        <v>20</v>
      </c>
      <c r="H44" s="31" t="s">
        <v>20</v>
      </c>
      <c r="I44" s="31" t="s">
        <v>20</v>
      </c>
      <c r="J44" s="31" t="s">
        <v>20</v>
      </c>
      <c r="K44" s="31" t="s">
        <v>21</v>
      </c>
      <c r="L44" s="52"/>
      <c r="M44" s="31" t="s">
        <v>20</v>
      </c>
      <c r="N44" s="31" t="s">
        <v>20</v>
      </c>
      <c r="O44" s="31" t="s">
        <v>20</v>
      </c>
      <c r="P44" s="31" t="s">
        <v>20</v>
      </c>
      <c r="Q44" s="31" t="s">
        <v>20</v>
      </c>
      <c r="R44" s="31" t="s">
        <v>20</v>
      </c>
      <c r="S44" s="52"/>
      <c r="T44" s="31" t="s">
        <v>20</v>
      </c>
      <c r="U44" s="55"/>
      <c r="V44" s="31" t="s">
        <v>20</v>
      </c>
      <c r="W44" s="31" t="s">
        <v>20</v>
      </c>
      <c r="X44" s="31" t="s">
        <v>20</v>
      </c>
      <c r="Y44" s="31" t="s">
        <v>20</v>
      </c>
      <c r="Z44" s="52"/>
      <c r="AA44" s="31" t="s">
        <v>20</v>
      </c>
      <c r="AB44" s="31" t="s">
        <v>20</v>
      </c>
      <c r="AC44" s="31" t="s">
        <v>20</v>
      </c>
      <c r="AD44" s="31" t="s">
        <v>20</v>
      </c>
      <c r="AE44" s="31" t="s">
        <v>20</v>
      </c>
      <c r="AF44" s="31" t="s">
        <v>20</v>
      </c>
      <c r="AG44" s="52"/>
      <c r="AH44" s="31" t="s">
        <v>20</v>
      </c>
      <c r="AI44" s="4">
        <f t="shared" si="1"/>
        <v>23</v>
      </c>
      <c r="AJ44" s="4">
        <f t="shared" si="2"/>
        <v>1</v>
      </c>
    </row>
    <row r="45" spans="1:36" x14ac:dyDescent="0.25">
      <c r="A45" s="5">
        <v>15</v>
      </c>
      <c r="B45" s="32" t="s">
        <v>572</v>
      </c>
      <c r="C45" s="33" t="s">
        <v>365</v>
      </c>
      <c r="D45" s="6" t="s">
        <v>522</v>
      </c>
      <c r="E45" s="52"/>
      <c r="F45" s="31" t="s">
        <v>20</v>
      </c>
      <c r="G45" s="31" t="s">
        <v>20</v>
      </c>
      <c r="H45" s="31" t="s">
        <v>20</v>
      </c>
      <c r="I45" s="31" t="s">
        <v>20</v>
      </c>
      <c r="J45" s="31" t="s">
        <v>20</v>
      </c>
      <c r="K45" s="31" t="s">
        <v>20</v>
      </c>
      <c r="L45" s="52"/>
      <c r="M45" s="31" t="s">
        <v>20</v>
      </c>
      <c r="N45" s="31" t="s">
        <v>20</v>
      </c>
      <c r="O45" s="31" t="s">
        <v>20</v>
      </c>
      <c r="P45" s="31" t="s">
        <v>20</v>
      </c>
      <c r="Q45" s="31" t="s">
        <v>20</v>
      </c>
      <c r="R45" s="31" t="s">
        <v>20</v>
      </c>
      <c r="S45" s="52"/>
      <c r="T45" s="31" t="s">
        <v>20</v>
      </c>
      <c r="U45" s="55"/>
      <c r="V45" s="31" t="s">
        <v>20</v>
      </c>
      <c r="W45" s="31" t="s">
        <v>20</v>
      </c>
      <c r="X45" s="31" t="s">
        <v>20</v>
      </c>
      <c r="Y45" s="31" t="s">
        <v>21</v>
      </c>
      <c r="Z45" s="52"/>
      <c r="AA45" s="31" t="s">
        <v>20</v>
      </c>
      <c r="AB45" s="31" t="s">
        <v>20</v>
      </c>
      <c r="AC45" s="31" t="s">
        <v>20</v>
      </c>
      <c r="AD45" s="31" t="s">
        <v>20</v>
      </c>
      <c r="AE45" s="31" t="s">
        <v>20</v>
      </c>
      <c r="AF45" s="31" t="s">
        <v>20</v>
      </c>
      <c r="AG45" s="52"/>
      <c r="AH45" s="31" t="s">
        <v>20</v>
      </c>
      <c r="AI45" s="4">
        <f t="shared" si="1"/>
        <v>23</v>
      </c>
      <c r="AJ45" s="4">
        <f t="shared" si="2"/>
        <v>1</v>
      </c>
    </row>
    <row r="46" spans="1:36" x14ac:dyDescent="0.25">
      <c r="A46" s="7">
        <v>16</v>
      </c>
      <c r="B46" s="32" t="s">
        <v>125</v>
      </c>
      <c r="C46" s="33" t="s">
        <v>163</v>
      </c>
      <c r="D46" s="6" t="s">
        <v>522</v>
      </c>
      <c r="E46" s="52"/>
      <c r="F46" s="31" t="s">
        <v>20</v>
      </c>
      <c r="G46" s="31" t="s">
        <v>20</v>
      </c>
      <c r="H46" s="31" t="s">
        <v>20</v>
      </c>
      <c r="I46" s="31" t="s">
        <v>20</v>
      </c>
      <c r="J46" s="31" t="s">
        <v>20</v>
      </c>
      <c r="K46" s="31" t="s">
        <v>20</v>
      </c>
      <c r="L46" s="52"/>
      <c r="M46" s="31" t="s">
        <v>20</v>
      </c>
      <c r="N46" s="31" t="s">
        <v>20</v>
      </c>
      <c r="O46" s="31" t="s">
        <v>20</v>
      </c>
      <c r="P46" s="31" t="s">
        <v>20</v>
      </c>
      <c r="Q46" s="31" t="s">
        <v>20</v>
      </c>
      <c r="R46" s="31" t="s">
        <v>20</v>
      </c>
      <c r="S46" s="52"/>
      <c r="T46" s="31" t="s">
        <v>21</v>
      </c>
      <c r="U46" s="55"/>
      <c r="V46" s="31" t="s">
        <v>20</v>
      </c>
      <c r="W46" s="31" t="s">
        <v>20</v>
      </c>
      <c r="X46" s="31" t="s">
        <v>20</v>
      </c>
      <c r="Y46" s="31" t="s">
        <v>20</v>
      </c>
      <c r="Z46" s="52"/>
      <c r="AA46" s="31" t="s">
        <v>20</v>
      </c>
      <c r="AB46" s="31" t="s">
        <v>20</v>
      </c>
      <c r="AC46" s="31" t="s">
        <v>20</v>
      </c>
      <c r="AD46" s="31" t="s">
        <v>21</v>
      </c>
      <c r="AE46" s="31" t="s">
        <v>21</v>
      </c>
      <c r="AF46" s="31" t="s">
        <v>20</v>
      </c>
      <c r="AG46" s="52"/>
      <c r="AH46" s="31" t="s">
        <v>20</v>
      </c>
      <c r="AI46" s="4">
        <f t="shared" si="1"/>
        <v>21</v>
      </c>
      <c r="AJ46" s="4">
        <f t="shared" si="2"/>
        <v>3</v>
      </c>
    </row>
    <row r="47" spans="1:36" x14ac:dyDescent="0.25">
      <c r="A47" s="5">
        <v>17</v>
      </c>
      <c r="B47" s="32" t="s">
        <v>573</v>
      </c>
      <c r="C47" s="33" t="s">
        <v>574</v>
      </c>
      <c r="D47" s="6" t="s">
        <v>522</v>
      </c>
      <c r="E47" s="52"/>
      <c r="F47" s="31" t="s">
        <v>21</v>
      </c>
      <c r="G47" s="31" t="s">
        <v>21</v>
      </c>
      <c r="H47" s="31" t="s">
        <v>21</v>
      </c>
      <c r="I47" s="31" t="s">
        <v>21</v>
      </c>
      <c r="J47" s="31" t="s">
        <v>20</v>
      </c>
      <c r="K47" s="31" t="s">
        <v>21</v>
      </c>
      <c r="L47" s="52"/>
      <c r="M47" s="31" t="s">
        <v>21</v>
      </c>
      <c r="N47" s="31" t="s">
        <v>21</v>
      </c>
      <c r="O47" s="31" t="s">
        <v>21</v>
      </c>
      <c r="P47" s="31" t="s">
        <v>21</v>
      </c>
      <c r="Q47" s="31" t="s">
        <v>21</v>
      </c>
      <c r="R47" s="31" t="s">
        <v>21</v>
      </c>
      <c r="S47" s="52"/>
      <c r="T47" s="31" t="s">
        <v>21</v>
      </c>
      <c r="U47" s="55"/>
      <c r="V47" s="31" t="s">
        <v>21</v>
      </c>
      <c r="W47" s="31" t="s">
        <v>21</v>
      </c>
      <c r="X47" s="31" t="s">
        <v>21</v>
      </c>
      <c r="Y47" s="31" t="s">
        <v>21</v>
      </c>
      <c r="Z47" s="52"/>
      <c r="AA47" s="31" t="s">
        <v>21</v>
      </c>
      <c r="AB47" s="31" t="s">
        <v>21</v>
      </c>
      <c r="AC47" s="31" t="s">
        <v>21</v>
      </c>
      <c r="AD47" s="31" t="s">
        <v>21</v>
      </c>
      <c r="AE47" s="31" t="s">
        <v>21</v>
      </c>
      <c r="AF47" s="31" t="s">
        <v>21</v>
      </c>
      <c r="AG47" s="52"/>
      <c r="AH47" s="31" t="s">
        <v>21</v>
      </c>
      <c r="AI47" s="4">
        <f t="shared" si="1"/>
        <v>1</v>
      </c>
      <c r="AJ47" s="4">
        <f t="shared" si="2"/>
        <v>23</v>
      </c>
    </row>
    <row r="48" spans="1:36" x14ac:dyDescent="0.25">
      <c r="A48" s="7">
        <v>18</v>
      </c>
      <c r="B48" s="32" t="s">
        <v>575</v>
      </c>
      <c r="C48" s="33" t="s">
        <v>576</v>
      </c>
      <c r="D48" s="6" t="s">
        <v>522</v>
      </c>
      <c r="E48" s="52"/>
      <c r="F48" s="31" t="s">
        <v>20</v>
      </c>
      <c r="G48" s="31" t="s">
        <v>20</v>
      </c>
      <c r="H48" s="31" t="s">
        <v>20</v>
      </c>
      <c r="I48" s="31" t="s">
        <v>20</v>
      </c>
      <c r="J48" s="31" t="s">
        <v>20</v>
      </c>
      <c r="K48" s="31" t="s">
        <v>20</v>
      </c>
      <c r="L48" s="52"/>
      <c r="M48" s="31" t="s">
        <v>20</v>
      </c>
      <c r="N48" s="31" t="s">
        <v>20</v>
      </c>
      <c r="O48" s="31" t="s">
        <v>21</v>
      </c>
      <c r="P48" s="31" t="s">
        <v>20</v>
      </c>
      <c r="Q48" s="31" t="s">
        <v>20</v>
      </c>
      <c r="R48" s="31" t="s">
        <v>20</v>
      </c>
      <c r="S48" s="52"/>
      <c r="T48" s="31" t="s">
        <v>20</v>
      </c>
      <c r="U48" s="55"/>
      <c r="V48" s="31" t="s">
        <v>20</v>
      </c>
      <c r="W48" s="31" t="s">
        <v>20</v>
      </c>
      <c r="X48" s="31" t="s">
        <v>20</v>
      </c>
      <c r="Y48" s="31" t="s">
        <v>20</v>
      </c>
      <c r="Z48" s="52"/>
      <c r="AA48" s="31" t="s">
        <v>20</v>
      </c>
      <c r="AB48" s="31" t="s">
        <v>20</v>
      </c>
      <c r="AC48" s="31" t="s">
        <v>20</v>
      </c>
      <c r="AD48" s="31" t="s">
        <v>21</v>
      </c>
      <c r="AE48" s="31" t="s">
        <v>20</v>
      </c>
      <c r="AF48" s="31" t="s">
        <v>20</v>
      </c>
      <c r="AG48" s="52"/>
      <c r="AH48" s="31" t="s">
        <v>20</v>
      </c>
      <c r="AI48" s="4">
        <f t="shared" si="1"/>
        <v>22</v>
      </c>
      <c r="AJ48" s="4">
        <f t="shared" si="2"/>
        <v>2</v>
      </c>
    </row>
    <row r="49" spans="1:36" x14ac:dyDescent="0.25">
      <c r="A49" s="5">
        <v>19</v>
      </c>
      <c r="B49" s="32" t="s">
        <v>577</v>
      </c>
      <c r="C49" s="33" t="s">
        <v>578</v>
      </c>
      <c r="D49" s="6" t="s">
        <v>522</v>
      </c>
      <c r="E49" s="52"/>
      <c r="F49" s="31" t="s">
        <v>20</v>
      </c>
      <c r="G49" s="31" t="s">
        <v>20</v>
      </c>
      <c r="H49" s="31" t="s">
        <v>20</v>
      </c>
      <c r="I49" s="31" t="s">
        <v>20</v>
      </c>
      <c r="J49" s="31" t="s">
        <v>20</v>
      </c>
      <c r="K49" s="31" t="s">
        <v>21</v>
      </c>
      <c r="L49" s="52"/>
      <c r="M49" s="31" t="s">
        <v>20</v>
      </c>
      <c r="N49" s="31" t="s">
        <v>20</v>
      </c>
      <c r="O49" s="31" t="s">
        <v>20</v>
      </c>
      <c r="P49" s="31" t="s">
        <v>20</v>
      </c>
      <c r="Q49" s="31" t="s">
        <v>20</v>
      </c>
      <c r="R49" s="31" t="s">
        <v>20</v>
      </c>
      <c r="S49" s="52"/>
      <c r="T49" s="31" t="s">
        <v>20</v>
      </c>
      <c r="U49" s="55"/>
      <c r="V49" s="31" t="s">
        <v>20</v>
      </c>
      <c r="W49" s="31" t="s">
        <v>20</v>
      </c>
      <c r="X49" s="31" t="s">
        <v>20</v>
      </c>
      <c r="Y49" s="31" t="s">
        <v>20</v>
      </c>
      <c r="Z49" s="52"/>
      <c r="AA49" s="31" t="s">
        <v>20</v>
      </c>
      <c r="AB49" s="31" t="s">
        <v>20</v>
      </c>
      <c r="AC49" s="31" t="s">
        <v>20</v>
      </c>
      <c r="AD49" s="31" t="s">
        <v>20</v>
      </c>
      <c r="AE49" s="31" t="s">
        <v>20</v>
      </c>
      <c r="AF49" s="31" t="s">
        <v>20</v>
      </c>
      <c r="AG49" s="52"/>
      <c r="AH49" s="31" t="s">
        <v>20</v>
      </c>
      <c r="AI49" s="4">
        <f t="shared" si="1"/>
        <v>23</v>
      </c>
      <c r="AJ49" s="4">
        <f t="shared" si="2"/>
        <v>1</v>
      </c>
    </row>
    <row r="50" spans="1:36" x14ac:dyDescent="0.25">
      <c r="A50" s="7">
        <v>20</v>
      </c>
      <c r="B50" s="32" t="s">
        <v>579</v>
      </c>
      <c r="C50" s="33" t="s">
        <v>204</v>
      </c>
      <c r="D50" s="6" t="s">
        <v>522</v>
      </c>
      <c r="E50" s="52"/>
      <c r="F50" s="31" t="s">
        <v>20</v>
      </c>
      <c r="G50" s="31" t="s">
        <v>20</v>
      </c>
      <c r="H50" s="31" t="s">
        <v>20</v>
      </c>
      <c r="I50" s="31" t="s">
        <v>20</v>
      </c>
      <c r="J50" s="31" t="s">
        <v>20</v>
      </c>
      <c r="K50" s="31" t="s">
        <v>21</v>
      </c>
      <c r="L50" s="52"/>
      <c r="M50" s="31" t="s">
        <v>20</v>
      </c>
      <c r="N50" s="31" t="s">
        <v>20</v>
      </c>
      <c r="O50" s="31" t="s">
        <v>20</v>
      </c>
      <c r="P50" s="31" t="s">
        <v>20</v>
      </c>
      <c r="Q50" s="31" t="s">
        <v>20</v>
      </c>
      <c r="R50" s="31" t="s">
        <v>21</v>
      </c>
      <c r="S50" s="52"/>
      <c r="T50" s="31" t="s">
        <v>20</v>
      </c>
      <c r="U50" s="55"/>
      <c r="V50" s="31" t="s">
        <v>20</v>
      </c>
      <c r="W50" s="31" t="s">
        <v>20</v>
      </c>
      <c r="X50" s="31" t="s">
        <v>20</v>
      </c>
      <c r="Y50" s="31" t="s">
        <v>20</v>
      </c>
      <c r="Z50" s="52"/>
      <c r="AA50" s="31" t="s">
        <v>20</v>
      </c>
      <c r="AB50" s="31" t="s">
        <v>20</v>
      </c>
      <c r="AC50" s="31" t="s">
        <v>20</v>
      </c>
      <c r="AD50" s="31" t="s">
        <v>20</v>
      </c>
      <c r="AE50" s="31" t="s">
        <v>20</v>
      </c>
      <c r="AF50" s="31" t="s">
        <v>20</v>
      </c>
      <c r="AG50" s="52"/>
      <c r="AH50" s="31" t="s">
        <v>20</v>
      </c>
      <c r="AI50" s="4">
        <f t="shared" si="1"/>
        <v>22</v>
      </c>
      <c r="AJ50" s="4">
        <f t="shared" si="2"/>
        <v>2</v>
      </c>
    </row>
    <row r="51" spans="1:36" x14ac:dyDescent="0.25">
      <c r="A51" s="5">
        <v>21</v>
      </c>
      <c r="B51" s="32" t="s">
        <v>580</v>
      </c>
      <c r="C51" s="33" t="s">
        <v>581</v>
      </c>
      <c r="D51" s="6" t="s">
        <v>522</v>
      </c>
      <c r="E51" s="52"/>
      <c r="F51" s="31" t="s">
        <v>20</v>
      </c>
      <c r="G51" s="31" t="s">
        <v>20</v>
      </c>
      <c r="H51" s="31" t="s">
        <v>20</v>
      </c>
      <c r="I51" s="31" t="s">
        <v>20</v>
      </c>
      <c r="J51" s="31" t="s">
        <v>20</v>
      </c>
      <c r="K51" s="31" t="s">
        <v>20</v>
      </c>
      <c r="L51" s="52"/>
      <c r="M51" s="31" t="s">
        <v>20</v>
      </c>
      <c r="N51" s="31" t="s">
        <v>20</v>
      </c>
      <c r="O51" s="31" t="s">
        <v>20</v>
      </c>
      <c r="P51" s="31" t="s">
        <v>20</v>
      </c>
      <c r="Q51" s="31" t="s">
        <v>20</v>
      </c>
      <c r="R51" s="31" t="s">
        <v>20</v>
      </c>
      <c r="S51" s="52"/>
      <c r="T51" s="31" t="s">
        <v>20</v>
      </c>
      <c r="U51" s="55"/>
      <c r="V51" s="31" t="s">
        <v>20</v>
      </c>
      <c r="W51" s="31" t="s">
        <v>20</v>
      </c>
      <c r="X51" s="31" t="s">
        <v>20</v>
      </c>
      <c r="Y51" s="31" t="s">
        <v>20</v>
      </c>
      <c r="Z51" s="52"/>
      <c r="AA51" s="31" t="s">
        <v>20</v>
      </c>
      <c r="AB51" s="31" t="s">
        <v>20</v>
      </c>
      <c r="AC51" s="31" t="s">
        <v>20</v>
      </c>
      <c r="AD51" s="31" t="s">
        <v>20</v>
      </c>
      <c r="AE51" s="31" t="s">
        <v>20</v>
      </c>
      <c r="AF51" s="31" t="s">
        <v>22</v>
      </c>
      <c r="AG51" s="52"/>
      <c r="AH51" s="31" t="s">
        <v>20</v>
      </c>
      <c r="AI51" s="4">
        <f t="shared" si="1"/>
        <v>23</v>
      </c>
      <c r="AJ51" s="4">
        <f t="shared" si="2"/>
        <v>0</v>
      </c>
    </row>
    <row r="52" spans="1:36" x14ac:dyDescent="0.25">
      <c r="A52" s="7">
        <v>22</v>
      </c>
      <c r="B52" s="32" t="s">
        <v>582</v>
      </c>
      <c r="C52" s="33" t="s">
        <v>382</v>
      </c>
      <c r="D52" s="6" t="s">
        <v>522</v>
      </c>
      <c r="E52" s="52"/>
      <c r="F52" s="31" t="s">
        <v>20</v>
      </c>
      <c r="G52" s="31" t="s">
        <v>20</v>
      </c>
      <c r="H52" s="31" t="s">
        <v>20</v>
      </c>
      <c r="I52" s="31" t="s">
        <v>20</v>
      </c>
      <c r="J52" s="31" t="s">
        <v>20</v>
      </c>
      <c r="K52" s="31" t="s">
        <v>21</v>
      </c>
      <c r="L52" s="52"/>
      <c r="M52" s="31" t="s">
        <v>21</v>
      </c>
      <c r="N52" s="31" t="s">
        <v>21</v>
      </c>
      <c r="O52" s="31" t="s">
        <v>21</v>
      </c>
      <c r="P52" s="31" t="s">
        <v>21</v>
      </c>
      <c r="Q52" s="31" t="s">
        <v>20</v>
      </c>
      <c r="R52" s="31" t="s">
        <v>20</v>
      </c>
      <c r="S52" s="52"/>
      <c r="T52" s="31" t="s">
        <v>20</v>
      </c>
      <c r="U52" s="55"/>
      <c r="V52" s="31" t="s">
        <v>20</v>
      </c>
      <c r="W52" s="31" t="s">
        <v>20</v>
      </c>
      <c r="X52" s="31" t="s">
        <v>20</v>
      </c>
      <c r="Y52" s="31" t="s">
        <v>20</v>
      </c>
      <c r="Z52" s="52"/>
      <c r="AA52" s="31" t="s">
        <v>20</v>
      </c>
      <c r="AB52" s="31" t="s">
        <v>20</v>
      </c>
      <c r="AC52" s="31" t="s">
        <v>20</v>
      </c>
      <c r="AD52" s="31" t="s">
        <v>20</v>
      </c>
      <c r="AE52" s="31" t="s">
        <v>20</v>
      </c>
      <c r="AF52" s="31" t="s">
        <v>20</v>
      </c>
      <c r="AG52" s="52"/>
      <c r="AH52" s="31" t="s">
        <v>20</v>
      </c>
      <c r="AI52" s="4">
        <f t="shared" si="1"/>
        <v>19</v>
      </c>
      <c r="AJ52" s="4">
        <f t="shared" si="2"/>
        <v>5</v>
      </c>
    </row>
    <row r="53" spans="1:36" x14ac:dyDescent="0.25">
      <c r="A53" s="5">
        <v>23</v>
      </c>
      <c r="B53" s="32" t="s">
        <v>452</v>
      </c>
      <c r="C53" s="33" t="s">
        <v>382</v>
      </c>
      <c r="D53" s="6" t="s">
        <v>522</v>
      </c>
      <c r="E53" s="52"/>
      <c r="F53" s="31" t="s">
        <v>20</v>
      </c>
      <c r="G53" s="31" t="s">
        <v>20</v>
      </c>
      <c r="H53" s="31" t="s">
        <v>20</v>
      </c>
      <c r="I53" s="31" t="s">
        <v>20</v>
      </c>
      <c r="J53" s="31" t="s">
        <v>20</v>
      </c>
      <c r="K53" s="31" t="s">
        <v>20</v>
      </c>
      <c r="L53" s="52"/>
      <c r="M53" s="31" t="s">
        <v>20</v>
      </c>
      <c r="N53" s="31" t="s">
        <v>20</v>
      </c>
      <c r="O53" s="31" t="s">
        <v>20</v>
      </c>
      <c r="P53" s="31" t="s">
        <v>20</v>
      </c>
      <c r="Q53" s="31" t="s">
        <v>20</v>
      </c>
      <c r="R53" s="31" t="s">
        <v>20</v>
      </c>
      <c r="S53" s="52"/>
      <c r="T53" s="31" t="s">
        <v>20</v>
      </c>
      <c r="U53" s="55"/>
      <c r="V53" s="31" t="s">
        <v>20</v>
      </c>
      <c r="W53" s="31" t="s">
        <v>20</v>
      </c>
      <c r="X53" s="31" t="s">
        <v>20</v>
      </c>
      <c r="Y53" s="31" t="s">
        <v>20</v>
      </c>
      <c r="Z53" s="52"/>
      <c r="AA53" s="31" t="s">
        <v>20</v>
      </c>
      <c r="AB53" s="31" t="s">
        <v>20</v>
      </c>
      <c r="AC53" s="31" t="s">
        <v>20</v>
      </c>
      <c r="AD53" s="31" t="s">
        <v>20</v>
      </c>
      <c r="AE53" s="31" t="s">
        <v>20</v>
      </c>
      <c r="AF53" s="31" t="s">
        <v>20</v>
      </c>
      <c r="AG53" s="52"/>
      <c r="AH53" s="31" t="s">
        <v>20</v>
      </c>
      <c r="AI53" s="4">
        <f t="shared" si="1"/>
        <v>24</v>
      </c>
      <c r="AJ53" s="4">
        <f t="shared" si="2"/>
        <v>0</v>
      </c>
    </row>
    <row r="54" spans="1:36" x14ac:dyDescent="0.25">
      <c r="A54" s="7">
        <v>24</v>
      </c>
      <c r="B54" s="32" t="s">
        <v>583</v>
      </c>
      <c r="C54" s="33" t="s">
        <v>584</v>
      </c>
      <c r="D54" s="6" t="s">
        <v>522</v>
      </c>
      <c r="E54" s="52"/>
      <c r="F54" s="31" t="s">
        <v>20</v>
      </c>
      <c r="G54" s="31" t="s">
        <v>20</v>
      </c>
      <c r="H54" s="31" t="s">
        <v>20</v>
      </c>
      <c r="I54" s="31" t="s">
        <v>20</v>
      </c>
      <c r="J54" s="31" t="s">
        <v>20</v>
      </c>
      <c r="K54" s="31" t="s">
        <v>21</v>
      </c>
      <c r="L54" s="52"/>
      <c r="M54" s="31" t="s">
        <v>20</v>
      </c>
      <c r="N54" s="31" t="s">
        <v>20</v>
      </c>
      <c r="O54" s="31" t="s">
        <v>21</v>
      </c>
      <c r="P54" s="31" t="s">
        <v>20</v>
      </c>
      <c r="Q54" s="31" t="s">
        <v>21</v>
      </c>
      <c r="R54" s="31" t="s">
        <v>21</v>
      </c>
      <c r="S54" s="52"/>
      <c r="T54" s="31" t="s">
        <v>20</v>
      </c>
      <c r="U54" s="55"/>
      <c r="V54" s="31" t="s">
        <v>21</v>
      </c>
      <c r="W54" s="31" t="s">
        <v>20</v>
      </c>
      <c r="X54" s="31" t="s">
        <v>20</v>
      </c>
      <c r="Y54" s="31" t="s">
        <v>21</v>
      </c>
      <c r="Z54" s="52"/>
      <c r="AA54" s="31" t="s">
        <v>21</v>
      </c>
      <c r="AB54" s="31" t="s">
        <v>21</v>
      </c>
      <c r="AC54" s="31" t="s">
        <v>20</v>
      </c>
      <c r="AD54" s="31" t="s">
        <v>20</v>
      </c>
      <c r="AE54" s="31" t="s">
        <v>20</v>
      </c>
      <c r="AF54" s="31" t="s">
        <v>20</v>
      </c>
      <c r="AG54" s="52"/>
      <c r="AH54" s="31" t="s">
        <v>20</v>
      </c>
      <c r="AI54" s="4">
        <f t="shared" si="1"/>
        <v>16</v>
      </c>
      <c r="AJ54" s="4">
        <f t="shared" si="2"/>
        <v>8</v>
      </c>
    </row>
    <row r="55" spans="1:36" x14ac:dyDescent="0.25">
      <c r="A55" s="5">
        <v>25</v>
      </c>
      <c r="B55" s="32" t="s">
        <v>585</v>
      </c>
      <c r="C55" s="33" t="s">
        <v>577</v>
      </c>
      <c r="D55" s="6" t="s">
        <v>522</v>
      </c>
      <c r="E55" s="52"/>
      <c r="F55" s="31" t="s">
        <v>20</v>
      </c>
      <c r="G55" s="31" t="s">
        <v>20</v>
      </c>
      <c r="H55" s="31" t="s">
        <v>21</v>
      </c>
      <c r="I55" s="31" t="s">
        <v>20</v>
      </c>
      <c r="J55" s="31" t="s">
        <v>20</v>
      </c>
      <c r="K55" s="31" t="s">
        <v>20</v>
      </c>
      <c r="L55" s="52"/>
      <c r="M55" s="31" t="s">
        <v>20</v>
      </c>
      <c r="N55" s="31" t="s">
        <v>21</v>
      </c>
      <c r="O55" s="31" t="s">
        <v>20</v>
      </c>
      <c r="P55" s="31" t="s">
        <v>20</v>
      </c>
      <c r="Q55" s="31" t="s">
        <v>21</v>
      </c>
      <c r="R55" s="31" t="s">
        <v>21</v>
      </c>
      <c r="S55" s="52"/>
      <c r="T55" s="31" t="s">
        <v>20</v>
      </c>
      <c r="U55" s="55"/>
      <c r="V55" s="31" t="s">
        <v>20</v>
      </c>
      <c r="W55" s="31" t="s">
        <v>20</v>
      </c>
      <c r="X55" s="31" t="s">
        <v>20</v>
      </c>
      <c r="Y55" s="31" t="s">
        <v>21</v>
      </c>
      <c r="Z55" s="52"/>
      <c r="AA55" s="31" t="s">
        <v>20</v>
      </c>
      <c r="AB55" s="31" t="s">
        <v>20</v>
      </c>
      <c r="AC55" s="31" t="s">
        <v>20</v>
      </c>
      <c r="AD55" s="31" t="s">
        <v>20</v>
      </c>
      <c r="AE55" s="31" t="s">
        <v>21</v>
      </c>
      <c r="AF55" s="31" t="s">
        <v>20</v>
      </c>
      <c r="AG55" s="52"/>
      <c r="AH55" s="31" t="s">
        <v>21</v>
      </c>
      <c r="AI55" s="4">
        <f t="shared" si="1"/>
        <v>17</v>
      </c>
      <c r="AJ55" s="4">
        <f t="shared" si="2"/>
        <v>7</v>
      </c>
    </row>
    <row r="56" spans="1:36" x14ac:dyDescent="0.25">
      <c r="A56" s="7">
        <v>26</v>
      </c>
      <c r="B56" s="32" t="s">
        <v>585</v>
      </c>
      <c r="C56" s="33" t="s">
        <v>586</v>
      </c>
      <c r="D56" s="6" t="s">
        <v>522</v>
      </c>
      <c r="E56" s="52"/>
      <c r="F56" s="31" t="s">
        <v>21</v>
      </c>
      <c r="G56" s="31" t="s">
        <v>21</v>
      </c>
      <c r="H56" s="31" t="s">
        <v>21</v>
      </c>
      <c r="I56" s="31" t="s">
        <v>21</v>
      </c>
      <c r="J56" s="31" t="s">
        <v>21</v>
      </c>
      <c r="K56" s="31" t="s">
        <v>21</v>
      </c>
      <c r="L56" s="52"/>
      <c r="M56" s="31" t="s">
        <v>21</v>
      </c>
      <c r="N56" s="31" t="s">
        <v>21</v>
      </c>
      <c r="O56" s="31" t="s">
        <v>21</v>
      </c>
      <c r="P56" s="31" t="s">
        <v>21</v>
      </c>
      <c r="Q56" s="31" t="s">
        <v>21</v>
      </c>
      <c r="R56" s="31" t="s">
        <v>21</v>
      </c>
      <c r="S56" s="52"/>
      <c r="T56" s="31" t="s">
        <v>21</v>
      </c>
      <c r="U56" s="55"/>
      <c r="V56" s="31" t="s">
        <v>21</v>
      </c>
      <c r="W56" s="31" t="s">
        <v>21</v>
      </c>
      <c r="X56" s="31" t="s">
        <v>21</v>
      </c>
      <c r="Y56" s="31" t="s">
        <v>21</v>
      </c>
      <c r="Z56" s="52"/>
      <c r="AA56" s="31" t="s">
        <v>21</v>
      </c>
      <c r="AB56" s="31" t="s">
        <v>20</v>
      </c>
      <c r="AC56" s="31" t="s">
        <v>20</v>
      </c>
      <c r="AD56" s="31" t="s">
        <v>20</v>
      </c>
      <c r="AE56" s="31" t="s">
        <v>20</v>
      </c>
      <c r="AF56" s="31" t="s">
        <v>20</v>
      </c>
      <c r="AG56" s="52"/>
      <c r="AH56" s="31" t="s">
        <v>20</v>
      </c>
      <c r="AI56" s="4">
        <f t="shared" si="1"/>
        <v>6</v>
      </c>
      <c r="AJ56" s="4">
        <f t="shared" si="2"/>
        <v>18</v>
      </c>
    </row>
    <row r="57" spans="1:36" x14ac:dyDescent="0.25">
      <c r="A57" s="5">
        <v>27</v>
      </c>
      <c r="B57" s="32" t="s">
        <v>587</v>
      </c>
      <c r="C57" s="33" t="s">
        <v>588</v>
      </c>
      <c r="D57" s="6" t="s">
        <v>522</v>
      </c>
      <c r="E57" s="52"/>
      <c r="F57" s="31" t="s">
        <v>20</v>
      </c>
      <c r="G57" s="31" t="s">
        <v>20</v>
      </c>
      <c r="H57" s="31" t="s">
        <v>20</v>
      </c>
      <c r="I57" s="31" t="s">
        <v>20</v>
      </c>
      <c r="J57" s="31" t="s">
        <v>20</v>
      </c>
      <c r="K57" s="31" t="s">
        <v>20</v>
      </c>
      <c r="L57" s="52"/>
      <c r="M57" s="31" t="s">
        <v>20</v>
      </c>
      <c r="N57" s="31" t="s">
        <v>20</v>
      </c>
      <c r="O57" s="31" t="s">
        <v>20</v>
      </c>
      <c r="P57" s="31" t="s">
        <v>20</v>
      </c>
      <c r="Q57" s="31" t="s">
        <v>20</v>
      </c>
      <c r="R57" s="31" t="s">
        <v>20</v>
      </c>
      <c r="S57" s="52"/>
      <c r="T57" s="31" t="s">
        <v>21</v>
      </c>
      <c r="U57" s="55"/>
      <c r="V57" s="31" t="s">
        <v>20</v>
      </c>
      <c r="W57" s="31" t="s">
        <v>20</v>
      </c>
      <c r="X57" s="31" t="s">
        <v>20</v>
      </c>
      <c r="Y57" s="31" t="s">
        <v>20</v>
      </c>
      <c r="Z57" s="52"/>
      <c r="AA57" s="31" t="s">
        <v>20</v>
      </c>
      <c r="AB57" s="31" t="s">
        <v>20</v>
      </c>
      <c r="AC57" s="31" t="s">
        <v>20</v>
      </c>
      <c r="AD57" s="31" t="s">
        <v>20</v>
      </c>
      <c r="AE57" s="31" t="s">
        <v>20</v>
      </c>
      <c r="AF57" s="31" t="s">
        <v>20</v>
      </c>
      <c r="AG57" s="52"/>
      <c r="AH57" s="31" t="s">
        <v>20</v>
      </c>
      <c r="AI57" s="4">
        <f t="shared" si="1"/>
        <v>23</v>
      </c>
      <c r="AJ57" s="4">
        <f t="shared" si="2"/>
        <v>1</v>
      </c>
    </row>
    <row r="58" spans="1:36" x14ac:dyDescent="0.25">
      <c r="A58" s="7">
        <v>28</v>
      </c>
      <c r="B58" s="32" t="s">
        <v>589</v>
      </c>
      <c r="C58" s="33" t="s">
        <v>588</v>
      </c>
      <c r="D58" s="6" t="s">
        <v>522</v>
      </c>
      <c r="E58" s="52"/>
      <c r="F58" s="31" t="s">
        <v>20</v>
      </c>
      <c r="G58" s="31" t="s">
        <v>20</v>
      </c>
      <c r="H58" s="31" t="s">
        <v>20</v>
      </c>
      <c r="I58" s="31" t="s">
        <v>20</v>
      </c>
      <c r="J58" s="31" t="s">
        <v>20</v>
      </c>
      <c r="K58" s="31" t="s">
        <v>20</v>
      </c>
      <c r="L58" s="52"/>
      <c r="M58" s="31" t="s">
        <v>20</v>
      </c>
      <c r="N58" s="31" t="s">
        <v>20</v>
      </c>
      <c r="O58" s="31" t="s">
        <v>20</v>
      </c>
      <c r="P58" s="31" t="s">
        <v>20</v>
      </c>
      <c r="Q58" s="31" t="s">
        <v>20</v>
      </c>
      <c r="R58" s="31" t="s">
        <v>20</v>
      </c>
      <c r="S58" s="52"/>
      <c r="T58" s="31" t="s">
        <v>21</v>
      </c>
      <c r="U58" s="55"/>
      <c r="V58" s="31" t="s">
        <v>20</v>
      </c>
      <c r="W58" s="31" t="s">
        <v>20</v>
      </c>
      <c r="X58" s="31" t="s">
        <v>20</v>
      </c>
      <c r="Y58" s="31" t="s">
        <v>20</v>
      </c>
      <c r="Z58" s="52"/>
      <c r="AA58" s="31" t="s">
        <v>20</v>
      </c>
      <c r="AB58" s="31" t="s">
        <v>20</v>
      </c>
      <c r="AC58" s="31" t="s">
        <v>20</v>
      </c>
      <c r="AD58" s="31" t="s">
        <v>20</v>
      </c>
      <c r="AE58" s="31" t="s">
        <v>20</v>
      </c>
      <c r="AF58" s="31" t="s">
        <v>20</v>
      </c>
      <c r="AG58" s="52"/>
      <c r="AH58" s="31" t="s">
        <v>20</v>
      </c>
      <c r="AI58" s="4">
        <f t="shared" si="1"/>
        <v>23</v>
      </c>
      <c r="AJ58" s="4">
        <f t="shared" si="2"/>
        <v>1</v>
      </c>
    </row>
    <row r="59" spans="1:36" x14ac:dyDescent="0.25">
      <c r="A59" s="5">
        <v>29</v>
      </c>
      <c r="B59" s="32" t="s">
        <v>590</v>
      </c>
      <c r="C59" s="33" t="s">
        <v>591</v>
      </c>
      <c r="D59" s="6" t="s">
        <v>522</v>
      </c>
      <c r="E59" s="53"/>
      <c r="F59" s="31" t="s">
        <v>102</v>
      </c>
      <c r="G59" s="31" t="s">
        <v>102</v>
      </c>
      <c r="H59" s="31" t="s">
        <v>102</v>
      </c>
      <c r="I59" s="31" t="s">
        <v>102</v>
      </c>
      <c r="J59" s="31" t="s">
        <v>102</v>
      </c>
      <c r="K59" s="31" t="s">
        <v>102</v>
      </c>
      <c r="L59" s="53"/>
      <c r="M59" s="31" t="s">
        <v>102</v>
      </c>
      <c r="N59" s="31" t="s">
        <v>102</v>
      </c>
      <c r="O59" s="31" t="s">
        <v>102</v>
      </c>
      <c r="P59" s="31" t="s">
        <v>102</v>
      </c>
      <c r="Q59" s="31" t="s">
        <v>102</v>
      </c>
      <c r="R59" s="31" t="s">
        <v>102</v>
      </c>
      <c r="S59" s="53"/>
      <c r="T59" s="31" t="s">
        <v>102</v>
      </c>
      <c r="U59" s="56"/>
      <c r="V59" s="31" t="s">
        <v>102</v>
      </c>
      <c r="W59" s="31" t="s">
        <v>102</v>
      </c>
      <c r="X59" s="31" t="s">
        <v>102</v>
      </c>
      <c r="Y59" s="31" t="s">
        <v>102</v>
      </c>
      <c r="Z59" s="53"/>
      <c r="AA59" s="31" t="s">
        <v>20</v>
      </c>
      <c r="AB59" s="31" t="s">
        <v>20</v>
      </c>
      <c r="AC59" s="31" t="s">
        <v>20</v>
      </c>
      <c r="AD59" s="31" t="s">
        <v>20</v>
      </c>
      <c r="AE59" s="31" t="s">
        <v>20</v>
      </c>
      <c r="AF59" s="31" t="s">
        <v>20</v>
      </c>
      <c r="AG59" s="53"/>
      <c r="AH59" s="31" t="s">
        <v>20</v>
      </c>
      <c r="AI59" s="4">
        <f t="shared" si="1"/>
        <v>7</v>
      </c>
      <c r="AJ59" s="4">
        <f t="shared" si="2"/>
        <v>0</v>
      </c>
    </row>
  </sheetData>
  <mergeCells count="17">
    <mergeCell ref="AG5:AG59"/>
    <mergeCell ref="A1:AH1"/>
    <mergeCell ref="A2:AH2"/>
    <mergeCell ref="A3:A4"/>
    <mergeCell ref="B3:B4"/>
    <mergeCell ref="C3:C4"/>
    <mergeCell ref="D3:D4"/>
    <mergeCell ref="E5:E59"/>
    <mergeCell ref="L5:L59"/>
    <mergeCell ref="S5:S59"/>
    <mergeCell ref="U5:U59"/>
    <mergeCell ref="Z5:Z59"/>
    <mergeCell ref="AK9:AN9"/>
    <mergeCell ref="AK17:AN17"/>
    <mergeCell ref="AI3:AI4"/>
    <mergeCell ref="AJ3:AJ4"/>
    <mergeCell ref="AK3:AL3"/>
  </mergeCells>
  <conditionalFormatting sqref="E5:L5 S5 U5 Z5 AG5 E4:AH4">
    <cfRule type="expression" dxfId="183" priority="24">
      <formula>IF(E$4=TODAY(),TRUE,FALSE)</formula>
    </cfRule>
  </conditionalFormatting>
  <conditionalFormatting sqref="E5:L5 S5 U5 Z5 AG5">
    <cfRule type="cellIs" dxfId="182" priority="21" operator="equal">
      <formula>"L"</formula>
    </cfRule>
    <cfRule type="cellIs" dxfId="181" priority="22" operator="equal">
      <formula>"A"</formula>
    </cfRule>
    <cfRule type="cellIs" dxfId="180" priority="23" operator="equal">
      <formula>"P"</formula>
    </cfRule>
  </conditionalFormatting>
  <conditionalFormatting sqref="E3:AH4 E5:L5 S5 U5 Z5 AG5">
    <cfRule type="expression" dxfId="179" priority="25">
      <formula>E$3="Sun"</formula>
    </cfRule>
  </conditionalFormatting>
  <conditionalFormatting sqref="M5:R59 T5:T59 V5:Y59 AA5:AF59 AH5:AH59 F6:K59">
    <cfRule type="cellIs" dxfId="178" priority="8" operator="equal">
      <formula>"L"</formula>
    </cfRule>
    <cfRule type="cellIs" dxfId="177" priority="9" operator="equal">
      <formula>"A"</formula>
    </cfRule>
    <cfRule type="cellIs" dxfId="176" priority="10" operator="equal">
      <formula>"P"</formula>
    </cfRule>
    <cfRule type="expression" dxfId="175" priority="11">
      <formula>IF(F$4=TODAY(),TRUE,FALSE)</formula>
    </cfRule>
    <cfRule type="expression" dxfId="174" priority="12">
      <formula>F$3="Sun"</formula>
    </cfRule>
  </conditionalFormatting>
  <conditionalFormatting sqref="AI3:AJ3">
    <cfRule type="expression" dxfId="173" priority="26">
      <formula>#REF!="Sun"</formula>
    </cfRule>
  </conditionalFormatting>
  <conditionalFormatting sqref="AI5:AJ59">
    <cfRule type="expression" dxfId="172" priority="13">
      <formula>#REF!="Sun"</formula>
    </cfRule>
  </conditionalFormatting>
  <conditionalFormatting sqref="AK5:AK7">
    <cfRule type="expression" dxfId="171" priority="5">
      <formula>AK$3="Sun"</formula>
    </cfRule>
  </conditionalFormatting>
  <conditionalFormatting sqref="AK10:AK13">
    <cfRule type="expression" dxfId="170" priority="2">
      <formula>AK$3="Sun"</formula>
    </cfRule>
  </conditionalFormatting>
  <conditionalFormatting sqref="AK18:AK21">
    <cfRule type="expression" dxfId="169" priority="1">
      <formula>AK$3="Sun"</formula>
    </cfRule>
  </conditionalFormatting>
  <conditionalFormatting sqref="AK4:AL4">
    <cfRule type="expression" dxfId="168" priority="6">
      <formula>AK$3="Sun"</formula>
    </cfRule>
  </conditionalFormatting>
  <conditionalFormatting sqref="AL10:AN10 AL18:AN18">
    <cfRule type="expression" dxfId="167" priority="7">
      <formula>AL$3="Sun"</formula>
    </cfRule>
  </conditionalFormatting>
  <conditionalFormatting sqref="AN19">
    <cfRule type="expression" dxfId="166" priority="4">
      <formula>AN$3="Sun"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3BD21-E83D-437D-921D-BA27A0D8C37B}">
  <dimension ref="A1:AN58"/>
  <sheetViews>
    <sheetView topLeftCell="E4" workbookViewId="0">
      <selection activeCell="AM12" sqref="AM12"/>
    </sheetView>
  </sheetViews>
  <sheetFormatPr defaultColWidth="3.85546875" defaultRowHeight="15" x14ac:dyDescent="0.25"/>
  <cols>
    <col min="1" max="1" width="5.140625" style="1" bestFit="1" customWidth="1"/>
    <col min="2" max="2" width="16.28515625" style="1" bestFit="1" customWidth="1"/>
    <col min="3" max="3" width="15.85546875" style="1" bestFit="1" customWidth="1"/>
    <col min="4" max="4" width="5" style="1" bestFit="1" customWidth="1"/>
    <col min="5" max="5" width="3.85546875" style="1"/>
    <col min="6" max="9" width="4.5703125" style="1" bestFit="1" customWidth="1"/>
    <col min="10" max="10" width="3.85546875" style="1"/>
    <col min="11" max="11" width="4.5703125" style="1" bestFit="1" customWidth="1"/>
    <col min="12" max="12" width="3.85546875" style="1"/>
    <col min="13" max="13" width="4.5703125" style="1" customWidth="1"/>
    <col min="14" max="18" width="4.5703125" style="1" bestFit="1" customWidth="1"/>
    <col min="19" max="19" width="3.85546875" style="1"/>
    <col min="20" max="20" width="4.5703125" style="1" customWidth="1"/>
    <col min="21" max="21" width="3.85546875" style="1"/>
    <col min="22" max="25" width="4.5703125" style="1" bestFit="1" customWidth="1"/>
    <col min="26" max="26" width="3.85546875" style="1"/>
    <col min="27" max="32" width="4.5703125" style="1" bestFit="1" customWidth="1"/>
    <col min="33" max="33" width="3.85546875" style="1"/>
    <col min="34" max="34" width="4.5703125" style="1" bestFit="1" customWidth="1"/>
    <col min="35" max="36" width="6.7109375" style="1" bestFit="1" customWidth="1"/>
    <col min="37" max="37" width="18.5703125" style="1" bestFit="1" customWidth="1"/>
    <col min="38" max="38" width="5.85546875" style="1" bestFit="1" customWidth="1"/>
    <col min="39" max="39" width="14.28515625" style="1" bestFit="1" customWidth="1"/>
    <col min="40" max="40" width="6.7109375" style="1" bestFit="1" customWidth="1"/>
    <col min="41" max="16384" width="3.85546875" style="1"/>
  </cols>
  <sheetData>
    <row r="1" spans="1:40" ht="17.25" x14ac:dyDescent="0.25">
      <c r="A1" s="47" t="s">
        <v>19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</row>
    <row r="2" spans="1:40" ht="17.25" x14ac:dyDescent="0.3">
      <c r="A2" s="48" t="s">
        <v>183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</row>
    <row r="3" spans="1:40" ht="15.75" x14ac:dyDescent="0.25">
      <c r="A3" s="49" t="s">
        <v>0</v>
      </c>
      <c r="B3" s="49" t="s">
        <v>1</v>
      </c>
      <c r="C3" s="49" t="s">
        <v>2</v>
      </c>
      <c r="D3" s="49" t="s">
        <v>3</v>
      </c>
      <c r="E3" s="2" t="str">
        <f t="shared" ref="E3:AH3" si="0">TEXT(E4,"ddd")</f>
        <v>Sun</v>
      </c>
      <c r="F3" s="2" t="str">
        <f t="shared" si="0"/>
        <v>Mon</v>
      </c>
      <c r="G3" s="2" t="str">
        <f t="shared" si="0"/>
        <v>Tue</v>
      </c>
      <c r="H3" s="2" t="str">
        <f t="shared" si="0"/>
        <v>Wed</v>
      </c>
      <c r="I3" s="2" t="str">
        <f t="shared" si="0"/>
        <v>Thu</v>
      </c>
      <c r="J3" s="2" t="str">
        <f t="shared" si="0"/>
        <v>Fri</v>
      </c>
      <c r="K3" s="2" t="str">
        <f t="shared" si="0"/>
        <v>Sat</v>
      </c>
      <c r="L3" s="2" t="str">
        <f t="shared" si="0"/>
        <v>Sun</v>
      </c>
      <c r="M3" s="2" t="str">
        <f t="shared" si="0"/>
        <v>Mon</v>
      </c>
      <c r="N3" s="2" t="str">
        <f t="shared" si="0"/>
        <v>Tue</v>
      </c>
      <c r="O3" s="2" t="str">
        <f t="shared" si="0"/>
        <v>Wed</v>
      </c>
      <c r="P3" s="2" t="str">
        <f t="shared" si="0"/>
        <v>Thu</v>
      </c>
      <c r="Q3" s="2" t="str">
        <f t="shared" si="0"/>
        <v>Fri</v>
      </c>
      <c r="R3" s="2" t="str">
        <f t="shared" si="0"/>
        <v>Sat</v>
      </c>
      <c r="S3" s="2" t="str">
        <f t="shared" si="0"/>
        <v>Sun</v>
      </c>
      <c r="T3" s="2" t="str">
        <f t="shared" si="0"/>
        <v>Mon</v>
      </c>
      <c r="U3" s="2" t="str">
        <f t="shared" si="0"/>
        <v>Tue</v>
      </c>
      <c r="V3" s="2" t="str">
        <f t="shared" si="0"/>
        <v>Wed</v>
      </c>
      <c r="W3" s="2" t="str">
        <f t="shared" si="0"/>
        <v>Thu</v>
      </c>
      <c r="X3" s="2" t="str">
        <f t="shared" si="0"/>
        <v>Fri</v>
      </c>
      <c r="Y3" s="2" t="str">
        <f t="shared" si="0"/>
        <v>Sat</v>
      </c>
      <c r="Z3" s="2" t="str">
        <f t="shared" si="0"/>
        <v>Sun</v>
      </c>
      <c r="AA3" s="2" t="str">
        <f t="shared" si="0"/>
        <v>Mon</v>
      </c>
      <c r="AB3" s="2" t="str">
        <f t="shared" si="0"/>
        <v>Tue</v>
      </c>
      <c r="AC3" s="2" t="str">
        <f t="shared" si="0"/>
        <v>Wed</v>
      </c>
      <c r="AD3" s="2" t="str">
        <f t="shared" si="0"/>
        <v>Thu</v>
      </c>
      <c r="AE3" s="2" t="str">
        <f t="shared" si="0"/>
        <v>Fri</v>
      </c>
      <c r="AF3" s="2" t="str">
        <f t="shared" si="0"/>
        <v>Sat</v>
      </c>
      <c r="AG3" s="2" t="str">
        <f t="shared" si="0"/>
        <v>Sun</v>
      </c>
      <c r="AH3" s="2" t="str">
        <f t="shared" si="0"/>
        <v>Mon</v>
      </c>
      <c r="AI3" s="45" t="s">
        <v>4</v>
      </c>
      <c r="AJ3" s="45" t="s">
        <v>5</v>
      </c>
      <c r="AK3" s="42" t="s">
        <v>17</v>
      </c>
      <c r="AL3" s="43"/>
      <c r="AM3" s="3"/>
      <c r="AN3" s="3"/>
    </row>
    <row r="4" spans="1:40" ht="36" x14ac:dyDescent="0.25">
      <c r="A4" s="50"/>
      <c r="B4" s="50"/>
      <c r="C4" s="50"/>
      <c r="D4" s="50"/>
      <c r="E4" s="10">
        <v>45536</v>
      </c>
      <c r="F4" s="10">
        <v>45537</v>
      </c>
      <c r="G4" s="10">
        <v>45538</v>
      </c>
      <c r="H4" s="10">
        <v>45539</v>
      </c>
      <c r="I4" s="10">
        <v>45540</v>
      </c>
      <c r="J4" s="10">
        <v>45541</v>
      </c>
      <c r="K4" s="10">
        <v>45542</v>
      </c>
      <c r="L4" s="10">
        <v>45543</v>
      </c>
      <c r="M4" s="10">
        <v>45544</v>
      </c>
      <c r="N4" s="10">
        <v>45545</v>
      </c>
      <c r="O4" s="10">
        <v>45546</v>
      </c>
      <c r="P4" s="10">
        <v>45547</v>
      </c>
      <c r="Q4" s="10">
        <v>45548</v>
      </c>
      <c r="R4" s="10">
        <v>45549</v>
      </c>
      <c r="S4" s="10">
        <v>45550</v>
      </c>
      <c r="T4" s="10">
        <v>45551</v>
      </c>
      <c r="U4" s="10">
        <v>45552</v>
      </c>
      <c r="V4" s="10">
        <v>45553</v>
      </c>
      <c r="W4" s="10">
        <v>45554</v>
      </c>
      <c r="X4" s="10">
        <v>45555</v>
      </c>
      <c r="Y4" s="10">
        <v>45556</v>
      </c>
      <c r="Z4" s="10">
        <v>45557</v>
      </c>
      <c r="AA4" s="10">
        <v>45558</v>
      </c>
      <c r="AB4" s="10">
        <v>45559</v>
      </c>
      <c r="AC4" s="10">
        <v>45560</v>
      </c>
      <c r="AD4" s="10">
        <v>45561</v>
      </c>
      <c r="AE4" s="10">
        <v>45562</v>
      </c>
      <c r="AF4" s="10">
        <v>45563</v>
      </c>
      <c r="AG4" s="10">
        <v>45564</v>
      </c>
      <c r="AH4" s="10">
        <v>45565</v>
      </c>
      <c r="AI4" s="45"/>
      <c r="AJ4" s="45"/>
      <c r="AK4" s="4" t="s">
        <v>103</v>
      </c>
      <c r="AL4" s="4">
        <f>SUM(AL5:AL8)</f>
        <v>30</v>
      </c>
      <c r="AM4" s="3"/>
      <c r="AN4" s="3"/>
    </row>
    <row r="5" spans="1:40" ht="15" customHeight="1" x14ac:dyDescent="0.25">
      <c r="A5" s="5">
        <v>1</v>
      </c>
      <c r="B5" s="13" t="s">
        <v>652</v>
      </c>
      <c r="C5" s="12" t="s">
        <v>653</v>
      </c>
      <c r="D5" s="6" t="s">
        <v>654</v>
      </c>
      <c r="E5" s="51" t="s">
        <v>275</v>
      </c>
      <c r="F5" s="19" t="s">
        <v>21</v>
      </c>
      <c r="G5" s="19" t="s">
        <v>20</v>
      </c>
      <c r="H5" s="19" t="s">
        <v>21</v>
      </c>
      <c r="I5" s="19" t="s">
        <v>21</v>
      </c>
      <c r="J5" s="54" t="s">
        <v>655</v>
      </c>
      <c r="K5" s="19" t="s">
        <v>21</v>
      </c>
      <c r="L5" s="51" t="s">
        <v>275</v>
      </c>
      <c r="M5" s="19" t="s">
        <v>21</v>
      </c>
      <c r="N5" s="19" t="s">
        <v>21</v>
      </c>
      <c r="O5" s="19" t="s">
        <v>21</v>
      </c>
      <c r="P5" s="19" t="s">
        <v>21</v>
      </c>
      <c r="Q5" s="19" t="s">
        <v>21</v>
      </c>
      <c r="R5" s="19" t="s">
        <v>21</v>
      </c>
      <c r="S5" s="51" t="s">
        <v>275</v>
      </c>
      <c r="T5" s="19" t="s">
        <v>21</v>
      </c>
      <c r="U5" s="54" t="s">
        <v>656</v>
      </c>
      <c r="V5" s="19" t="s">
        <v>21</v>
      </c>
      <c r="W5" s="19" t="s">
        <v>20</v>
      </c>
      <c r="X5" s="19" t="s">
        <v>20</v>
      </c>
      <c r="Y5" s="19" t="s">
        <v>20</v>
      </c>
      <c r="Z5" s="51" t="s">
        <v>275</v>
      </c>
      <c r="AA5" s="19" t="s">
        <v>21</v>
      </c>
      <c r="AB5" s="19" t="s">
        <v>21</v>
      </c>
      <c r="AC5" s="19" t="s">
        <v>20</v>
      </c>
      <c r="AD5" s="19" t="s">
        <v>21</v>
      </c>
      <c r="AE5" s="19" t="s">
        <v>20</v>
      </c>
      <c r="AF5" s="19" t="s">
        <v>21</v>
      </c>
      <c r="AG5" s="51" t="s">
        <v>275</v>
      </c>
      <c r="AH5" s="19" t="s">
        <v>20</v>
      </c>
      <c r="AI5" s="4">
        <f>COUNTIF(E5:AH5,"P")</f>
        <v>7</v>
      </c>
      <c r="AJ5" s="4">
        <f>COUNTIF(E5:AH5,"A")</f>
        <v>16</v>
      </c>
      <c r="AK5" s="4" t="s">
        <v>6</v>
      </c>
      <c r="AL5" s="7">
        <v>23</v>
      </c>
      <c r="AM5" s="8"/>
      <c r="AN5" s="3"/>
    </row>
    <row r="6" spans="1:40" x14ac:dyDescent="0.25">
      <c r="A6" s="7">
        <v>2</v>
      </c>
      <c r="B6" s="13" t="s">
        <v>657</v>
      </c>
      <c r="C6" s="12" t="s">
        <v>658</v>
      </c>
      <c r="D6" s="6" t="s">
        <v>654</v>
      </c>
      <c r="E6" s="52"/>
      <c r="F6" s="19" t="s">
        <v>659</v>
      </c>
      <c r="G6" s="19" t="s">
        <v>20</v>
      </c>
      <c r="H6" s="19" t="s">
        <v>20</v>
      </c>
      <c r="I6" s="19" t="s">
        <v>20</v>
      </c>
      <c r="J6" s="55"/>
      <c r="K6" s="19" t="s">
        <v>21</v>
      </c>
      <c r="L6" s="52"/>
      <c r="M6" s="19" t="s">
        <v>20</v>
      </c>
      <c r="N6" s="19" t="s">
        <v>20</v>
      </c>
      <c r="O6" s="19" t="s">
        <v>20</v>
      </c>
      <c r="P6" s="19" t="s">
        <v>20</v>
      </c>
      <c r="Q6" s="19" t="s">
        <v>20</v>
      </c>
      <c r="R6" s="19" t="s">
        <v>20</v>
      </c>
      <c r="S6" s="52"/>
      <c r="T6" s="19" t="s">
        <v>21</v>
      </c>
      <c r="U6" s="55"/>
      <c r="V6" s="19" t="s">
        <v>20</v>
      </c>
      <c r="W6" s="19" t="s">
        <v>20</v>
      </c>
      <c r="X6" s="19" t="s">
        <v>20</v>
      </c>
      <c r="Y6" s="19" t="s">
        <v>20</v>
      </c>
      <c r="Z6" s="52"/>
      <c r="AA6" s="19" t="s">
        <v>20</v>
      </c>
      <c r="AB6" s="19" t="s">
        <v>20</v>
      </c>
      <c r="AC6" s="19" t="s">
        <v>20</v>
      </c>
      <c r="AD6" s="19" t="s">
        <v>20</v>
      </c>
      <c r="AE6" s="19" t="s">
        <v>20</v>
      </c>
      <c r="AF6" s="19" t="s">
        <v>20</v>
      </c>
      <c r="AG6" s="52"/>
      <c r="AH6" s="19" t="s">
        <v>20</v>
      </c>
      <c r="AI6" s="4">
        <f t="shared" ref="AI6:AI57" si="1">COUNTIF(E6:AH6,"P")</f>
        <v>21</v>
      </c>
      <c r="AJ6" s="4">
        <f t="shared" ref="AJ6:AJ57" si="2">COUNTIF(E6:AH6,"A")</f>
        <v>2</v>
      </c>
      <c r="AK6" s="4" t="s">
        <v>7</v>
      </c>
      <c r="AL6" s="7">
        <v>5</v>
      </c>
      <c r="AM6" s="3"/>
      <c r="AN6" s="3"/>
    </row>
    <row r="7" spans="1:40" x14ac:dyDescent="0.25">
      <c r="A7" s="5">
        <v>3</v>
      </c>
      <c r="B7" s="13" t="s">
        <v>660</v>
      </c>
      <c r="C7" s="12" t="s">
        <v>661</v>
      </c>
      <c r="D7" s="6" t="s">
        <v>654</v>
      </c>
      <c r="E7" s="52"/>
      <c r="F7" s="19" t="s">
        <v>659</v>
      </c>
      <c r="G7" s="19" t="s">
        <v>21</v>
      </c>
      <c r="H7" s="19" t="s">
        <v>20</v>
      </c>
      <c r="I7" s="19" t="s">
        <v>20</v>
      </c>
      <c r="J7" s="55"/>
      <c r="K7" s="19" t="s">
        <v>20</v>
      </c>
      <c r="L7" s="52"/>
      <c r="M7" s="19" t="s">
        <v>20</v>
      </c>
      <c r="N7" s="19" t="s">
        <v>20</v>
      </c>
      <c r="O7" s="19" t="s">
        <v>20</v>
      </c>
      <c r="P7" s="19" t="s">
        <v>20</v>
      </c>
      <c r="Q7" s="19" t="s">
        <v>20</v>
      </c>
      <c r="R7" s="19" t="s">
        <v>21</v>
      </c>
      <c r="S7" s="52"/>
      <c r="T7" s="19" t="s">
        <v>20</v>
      </c>
      <c r="U7" s="55"/>
      <c r="V7" s="19" t="s">
        <v>20</v>
      </c>
      <c r="W7" s="19" t="s">
        <v>20</v>
      </c>
      <c r="X7" s="19" t="s">
        <v>21</v>
      </c>
      <c r="Y7" s="19" t="s">
        <v>20</v>
      </c>
      <c r="Z7" s="52"/>
      <c r="AA7" s="19" t="s">
        <v>20</v>
      </c>
      <c r="AB7" s="19" t="s">
        <v>20</v>
      </c>
      <c r="AC7" s="19" t="s">
        <v>20</v>
      </c>
      <c r="AD7" s="19" t="s">
        <v>20</v>
      </c>
      <c r="AE7" s="19" t="s">
        <v>20</v>
      </c>
      <c r="AF7" s="19" t="s">
        <v>21</v>
      </c>
      <c r="AG7" s="52"/>
      <c r="AH7" s="19" t="s">
        <v>20</v>
      </c>
      <c r="AI7" s="4">
        <f t="shared" si="1"/>
        <v>19</v>
      </c>
      <c r="AJ7" s="4">
        <f t="shared" si="2"/>
        <v>4</v>
      </c>
      <c r="AK7" s="4" t="s">
        <v>784</v>
      </c>
      <c r="AL7" s="7">
        <v>1</v>
      </c>
      <c r="AM7" s="3"/>
      <c r="AN7" s="3"/>
    </row>
    <row r="8" spans="1:40" x14ac:dyDescent="0.25">
      <c r="A8" s="7">
        <v>4</v>
      </c>
      <c r="B8" s="13" t="s">
        <v>332</v>
      </c>
      <c r="C8" s="12" t="s">
        <v>662</v>
      </c>
      <c r="D8" s="6" t="s">
        <v>654</v>
      </c>
      <c r="E8" s="52"/>
      <c r="F8" s="19" t="s">
        <v>659</v>
      </c>
      <c r="G8" s="19" t="s">
        <v>20</v>
      </c>
      <c r="H8" s="19" t="s">
        <v>20</v>
      </c>
      <c r="I8" s="19" t="s">
        <v>20</v>
      </c>
      <c r="J8" s="55"/>
      <c r="K8" s="19" t="s">
        <v>20</v>
      </c>
      <c r="L8" s="52"/>
      <c r="M8" s="19" t="s">
        <v>20</v>
      </c>
      <c r="N8" s="19" t="s">
        <v>20</v>
      </c>
      <c r="O8" s="19" t="s">
        <v>20</v>
      </c>
      <c r="P8" s="19" t="s">
        <v>21</v>
      </c>
      <c r="Q8" s="19" t="s">
        <v>20</v>
      </c>
      <c r="R8" s="19" t="s">
        <v>21</v>
      </c>
      <c r="S8" s="52"/>
      <c r="T8" s="19" t="s">
        <v>20</v>
      </c>
      <c r="U8" s="55"/>
      <c r="V8" s="19" t="s">
        <v>20</v>
      </c>
      <c r="W8" s="19" t="s">
        <v>21</v>
      </c>
      <c r="X8" s="19" t="s">
        <v>21</v>
      </c>
      <c r="Y8" s="19" t="s">
        <v>20</v>
      </c>
      <c r="Z8" s="52"/>
      <c r="AA8" s="19" t="s">
        <v>20</v>
      </c>
      <c r="AB8" s="19" t="s">
        <v>20</v>
      </c>
      <c r="AC8" s="19" t="s">
        <v>20</v>
      </c>
      <c r="AD8" s="19" t="s">
        <v>20</v>
      </c>
      <c r="AE8" s="19" t="s">
        <v>20</v>
      </c>
      <c r="AF8" s="19" t="s">
        <v>20</v>
      </c>
      <c r="AG8" s="52"/>
      <c r="AH8" s="19" t="s">
        <v>20</v>
      </c>
      <c r="AI8" s="4">
        <f t="shared" si="1"/>
        <v>19</v>
      </c>
      <c r="AJ8" s="4">
        <f t="shared" si="2"/>
        <v>4</v>
      </c>
      <c r="AK8" s="4" t="s">
        <v>105</v>
      </c>
      <c r="AL8" s="7">
        <v>1</v>
      </c>
      <c r="AM8"/>
      <c r="AN8"/>
    </row>
    <row r="9" spans="1:40" x14ac:dyDescent="0.25">
      <c r="A9" s="5">
        <v>5</v>
      </c>
      <c r="B9" s="13" t="s">
        <v>597</v>
      </c>
      <c r="C9" s="12" t="s">
        <v>663</v>
      </c>
      <c r="D9" s="6" t="s">
        <v>654</v>
      </c>
      <c r="E9" s="52"/>
      <c r="F9" s="19" t="s">
        <v>659</v>
      </c>
      <c r="G9" s="19" t="s">
        <v>20</v>
      </c>
      <c r="H9" s="19" t="s">
        <v>20</v>
      </c>
      <c r="I9" s="19" t="s">
        <v>20</v>
      </c>
      <c r="J9" s="55"/>
      <c r="K9" s="19" t="s">
        <v>20</v>
      </c>
      <c r="L9" s="52"/>
      <c r="M9" s="19" t="s">
        <v>20</v>
      </c>
      <c r="N9" s="19" t="s">
        <v>20</v>
      </c>
      <c r="O9" s="19" t="s">
        <v>20</v>
      </c>
      <c r="P9" s="19" t="s">
        <v>20</v>
      </c>
      <c r="Q9" s="19" t="s">
        <v>20</v>
      </c>
      <c r="R9" s="19" t="s">
        <v>21</v>
      </c>
      <c r="S9" s="52"/>
      <c r="T9" s="19" t="s">
        <v>21</v>
      </c>
      <c r="U9" s="55"/>
      <c r="V9" s="19" t="s">
        <v>20</v>
      </c>
      <c r="W9" s="19" t="s">
        <v>21</v>
      </c>
      <c r="X9" s="19" t="s">
        <v>20</v>
      </c>
      <c r="Y9" s="19" t="s">
        <v>21</v>
      </c>
      <c r="Z9" s="52"/>
      <c r="AA9" s="19" t="s">
        <v>20</v>
      </c>
      <c r="AB9" s="19" t="s">
        <v>21</v>
      </c>
      <c r="AC9" s="19" t="s">
        <v>20</v>
      </c>
      <c r="AD9" s="19" t="s">
        <v>20</v>
      </c>
      <c r="AE9" s="19" t="s">
        <v>20</v>
      </c>
      <c r="AF9" s="19" t="s">
        <v>21</v>
      </c>
      <c r="AG9" s="52"/>
      <c r="AH9" s="19" t="s">
        <v>20</v>
      </c>
      <c r="AI9" s="4">
        <f t="shared" si="1"/>
        <v>17</v>
      </c>
      <c r="AJ9" s="4">
        <f t="shared" si="2"/>
        <v>6</v>
      </c>
    </row>
    <row r="10" spans="1:40" ht="15.75" x14ac:dyDescent="0.25">
      <c r="A10" s="7">
        <v>6</v>
      </c>
      <c r="B10" s="13" t="s">
        <v>97</v>
      </c>
      <c r="C10" s="12" t="s">
        <v>664</v>
      </c>
      <c r="D10" s="6" t="s">
        <v>654</v>
      </c>
      <c r="E10" s="52"/>
      <c r="F10" s="19" t="s">
        <v>659</v>
      </c>
      <c r="G10" s="19" t="s">
        <v>20</v>
      </c>
      <c r="H10" s="19" t="s">
        <v>21</v>
      </c>
      <c r="I10" s="19" t="s">
        <v>20</v>
      </c>
      <c r="J10" s="55"/>
      <c r="K10" s="19" t="s">
        <v>20</v>
      </c>
      <c r="L10" s="52"/>
      <c r="M10" s="19" t="s">
        <v>20</v>
      </c>
      <c r="N10" s="19" t="s">
        <v>20</v>
      </c>
      <c r="O10" s="19" t="s">
        <v>20</v>
      </c>
      <c r="P10" s="19" t="s">
        <v>20</v>
      </c>
      <c r="Q10" s="19" t="s">
        <v>20</v>
      </c>
      <c r="R10" s="19" t="s">
        <v>21</v>
      </c>
      <c r="S10" s="52"/>
      <c r="T10" s="19" t="s">
        <v>20</v>
      </c>
      <c r="U10" s="55"/>
      <c r="V10" s="19" t="s">
        <v>20</v>
      </c>
      <c r="W10" s="19" t="s">
        <v>20</v>
      </c>
      <c r="X10" s="19" t="s">
        <v>21</v>
      </c>
      <c r="Y10" s="19" t="s">
        <v>21</v>
      </c>
      <c r="Z10" s="52"/>
      <c r="AA10" s="19" t="s">
        <v>20</v>
      </c>
      <c r="AB10" s="19" t="s">
        <v>21</v>
      </c>
      <c r="AC10" s="19" t="s">
        <v>20</v>
      </c>
      <c r="AD10" s="19" t="s">
        <v>20</v>
      </c>
      <c r="AE10" s="19" t="s">
        <v>20</v>
      </c>
      <c r="AF10" s="19" t="s">
        <v>21</v>
      </c>
      <c r="AG10" s="52"/>
      <c r="AH10" s="19" t="s">
        <v>20</v>
      </c>
      <c r="AI10" s="4">
        <f t="shared" si="1"/>
        <v>17</v>
      </c>
      <c r="AJ10" s="4">
        <f t="shared" si="2"/>
        <v>6</v>
      </c>
      <c r="AK10" s="42" t="s">
        <v>8</v>
      </c>
      <c r="AL10" s="43"/>
      <c r="AM10" s="43"/>
      <c r="AN10" s="44"/>
    </row>
    <row r="11" spans="1:40" x14ac:dyDescent="0.25">
      <c r="A11" s="5">
        <v>7</v>
      </c>
      <c r="B11" s="13" t="s">
        <v>665</v>
      </c>
      <c r="C11" s="12" t="s">
        <v>666</v>
      </c>
      <c r="D11" s="6" t="s">
        <v>654</v>
      </c>
      <c r="E11" s="52"/>
      <c r="F11" s="19" t="s">
        <v>659</v>
      </c>
      <c r="G11" s="19" t="s">
        <v>20</v>
      </c>
      <c r="H11" s="19" t="s">
        <v>20</v>
      </c>
      <c r="I11" s="19" t="s">
        <v>20</v>
      </c>
      <c r="J11" s="55"/>
      <c r="K11" s="19" t="s">
        <v>20</v>
      </c>
      <c r="L11" s="52"/>
      <c r="M11" s="19" t="s">
        <v>20</v>
      </c>
      <c r="N11" s="19" t="s">
        <v>21</v>
      </c>
      <c r="O11" s="19" t="s">
        <v>20</v>
      </c>
      <c r="P11" s="19" t="s">
        <v>20</v>
      </c>
      <c r="Q11" s="19" t="s">
        <v>20</v>
      </c>
      <c r="R11" s="19" t="s">
        <v>20</v>
      </c>
      <c r="S11" s="52"/>
      <c r="T11" s="19" t="s">
        <v>21</v>
      </c>
      <c r="U11" s="55"/>
      <c r="V11" s="19" t="s">
        <v>20</v>
      </c>
      <c r="W11" s="19" t="s">
        <v>20</v>
      </c>
      <c r="X11" s="19" t="s">
        <v>20</v>
      </c>
      <c r="Y11" s="19" t="s">
        <v>20</v>
      </c>
      <c r="Z11" s="52"/>
      <c r="AA11" s="19" t="s">
        <v>20</v>
      </c>
      <c r="AB11" s="19" t="s">
        <v>20</v>
      </c>
      <c r="AC11" s="19" t="s">
        <v>20</v>
      </c>
      <c r="AD11" s="19" t="s">
        <v>20</v>
      </c>
      <c r="AE11" s="19" t="s">
        <v>20</v>
      </c>
      <c r="AF11" s="19" t="s">
        <v>20</v>
      </c>
      <c r="AG11" s="52"/>
      <c r="AH11" s="19" t="s">
        <v>20</v>
      </c>
      <c r="AI11" s="4">
        <f t="shared" si="1"/>
        <v>21</v>
      </c>
      <c r="AJ11" s="4">
        <f t="shared" si="2"/>
        <v>2</v>
      </c>
      <c r="AK11" s="4" t="s">
        <v>9</v>
      </c>
      <c r="AL11" s="4" t="s">
        <v>10</v>
      </c>
      <c r="AM11" s="4" t="s">
        <v>11</v>
      </c>
      <c r="AN11" s="4" t="s">
        <v>12</v>
      </c>
    </row>
    <row r="12" spans="1:40" x14ac:dyDescent="0.25">
      <c r="A12" s="7">
        <v>8</v>
      </c>
      <c r="B12" s="13" t="s">
        <v>444</v>
      </c>
      <c r="C12" s="12" t="s">
        <v>380</v>
      </c>
      <c r="D12" s="6" t="s">
        <v>654</v>
      </c>
      <c r="E12" s="52"/>
      <c r="F12" s="19" t="s">
        <v>659</v>
      </c>
      <c r="G12" s="19" t="s">
        <v>20</v>
      </c>
      <c r="H12" s="19" t="s">
        <v>20</v>
      </c>
      <c r="I12" s="19" t="s">
        <v>20</v>
      </c>
      <c r="J12" s="55"/>
      <c r="K12" s="19" t="s">
        <v>20</v>
      </c>
      <c r="L12" s="52"/>
      <c r="M12" s="19" t="s">
        <v>20</v>
      </c>
      <c r="N12" s="19" t="s">
        <v>20</v>
      </c>
      <c r="O12" s="19" t="s">
        <v>20</v>
      </c>
      <c r="P12" s="19" t="s">
        <v>20</v>
      </c>
      <c r="Q12" s="19" t="s">
        <v>20</v>
      </c>
      <c r="R12" s="19" t="s">
        <v>20</v>
      </c>
      <c r="S12" s="52"/>
      <c r="T12" s="19" t="s">
        <v>21</v>
      </c>
      <c r="U12" s="55"/>
      <c r="V12" s="19" t="s">
        <v>20</v>
      </c>
      <c r="W12" s="19" t="s">
        <v>20</v>
      </c>
      <c r="X12" s="19" t="s">
        <v>20</v>
      </c>
      <c r="Y12" s="19" t="s">
        <v>20</v>
      </c>
      <c r="Z12" s="52"/>
      <c r="AA12" s="19" t="s">
        <v>20</v>
      </c>
      <c r="AB12" s="19" t="s">
        <v>20</v>
      </c>
      <c r="AC12" s="19" t="s">
        <v>20</v>
      </c>
      <c r="AD12" s="19" t="s">
        <v>20</v>
      </c>
      <c r="AE12" s="19" t="s">
        <v>20</v>
      </c>
      <c r="AF12" s="19" t="s">
        <v>20</v>
      </c>
      <c r="AG12" s="52"/>
      <c r="AH12" s="19" t="s">
        <v>20</v>
      </c>
      <c r="AI12" s="4">
        <f t="shared" si="1"/>
        <v>22</v>
      </c>
      <c r="AJ12" s="4">
        <f t="shared" si="2"/>
        <v>1</v>
      </c>
      <c r="AK12" s="4" t="s">
        <v>13</v>
      </c>
      <c r="AL12" s="7">
        <f>21*AL5</f>
        <v>483</v>
      </c>
      <c r="AM12" s="7">
        <f>32*AL5</f>
        <v>736</v>
      </c>
      <c r="AN12" s="7">
        <f>SUM(AL12:AM12)</f>
        <v>1219</v>
      </c>
    </row>
    <row r="13" spans="1:40" x14ac:dyDescent="0.25">
      <c r="A13" s="5">
        <v>9</v>
      </c>
      <c r="B13" s="13" t="s">
        <v>621</v>
      </c>
      <c r="C13" s="12" t="s">
        <v>667</v>
      </c>
      <c r="D13" s="6" t="s">
        <v>654</v>
      </c>
      <c r="E13" s="52"/>
      <c r="F13" s="19" t="s">
        <v>21</v>
      </c>
      <c r="G13" s="19" t="s">
        <v>21</v>
      </c>
      <c r="H13" s="19" t="s">
        <v>21</v>
      </c>
      <c r="I13" s="19" t="s">
        <v>21</v>
      </c>
      <c r="J13" s="55"/>
      <c r="K13" s="19" t="s">
        <v>20</v>
      </c>
      <c r="L13" s="52"/>
      <c r="M13" s="19" t="s">
        <v>20</v>
      </c>
      <c r="N13" s="19" t="s">
        <v>20</v>
      </c>
      <c r="O13" s="19" t="s">
        <v>20</v>
      </c>
      <c r="P13" s="19" t="s">
        <v>20</v>
      </c>
      <c r="Q13" s="19" t="s">
        <v>20</v>
      </c>
      <c r="R13" s="19" t="s">
        <v>20</v>
      </c>
      <c r="S13" s="52"/>
      <c r="T13" s="19" t="s">
        <v>21</v>
      </c>
      <c r="U13" s="55"/>
      <c r="V13" s="19" t="s">
        <v>21</v>
      </c>
      <c r="W13" s="19" t="s">
        <v>20</v>
      </c>
      <c r="X13" s="19" t="s">
        <v>20</v>
      </c>
      <c r="Y13" s="19" t="s">
        <v>20</v>
      </c>
      <c r="Z13" s="52"/>
      <c r="AA13" s="19" t="s">
        <v>20</v>
      </c>
      <c r="AB13" s="19" t="s">
        <v>20</v>
      </c>
      <c r="AC13" s="19" t="s">
        <v>20</v>
      </c>
      <c r="AD13" s="19" t="s">
        <v>21</v>
      </c>
      <c r="AE13" s="19" t="s">
        <v>20</v>
      </c>
      <c r="AF13" s="19" t="s">
        <v>20</v>
      </c>
      <c r="AG13" s="52"/>
      <c r="AH13" s="19" t="s">
        <v>20</v>
      </c>
      <c r="AI13" s="4">
        <f t="shared" si="1"/>
        <v>16</v>
      </c>
      <c r="AJ13" s="4">
        <f t="shared" si="2"/>
        <v>7</v>
      </c>
      <c r="AK13" s="4" t="s">
        <v>14</v>
      </c>
      <c r="AL13" s="7">
        <f>SUM(AI5:AI25)</f>
        <v>362</v>
      </c>
      <c r="AM13" s="7">
        <f>SUM(AI26:AI57)</f>
        <v>579</v>
      </c>
      <c r="AN13" s="7">
        <f>AL13+AM13</f>
        <v>941</v>
      </c>
    </row>
    <row r="14" spans="1:40" x14ac:dyDescent="0.25">
      <c r="A14" s="7">
        <v>10</v>
      </c>
      <c r="B14" s="13" t="s">
        <v>668</v>
      </c>
      <c r="C14" s="12" t="s">
        <v>641</v>
      </c>
      <c r="D14" s="6" t="s">
        <v>654</v>
      </c>
      <c r="E14" s="52"/>
      <c r="F14" s="19" t="s">
        <v>659</v>
      </c>
      <c r="G14" s="19" t="s">
        <v>21</v>
      </c>
      <c r="H14" s="19" t="s">
        <v>20</v>
      </c>
      <c r="I14" s="19" t="s">
        <v>21</v>
      </c>
      <c r="J14" s="55"/>
      <c r="K14" s="19" t="s">
        <v>20</v>
      </c>
      <c r="L14" s="52"/>
      <c r="M14" s="19" t="s">
        <v>20</v>
      </c>
      <c r="N14" s="19" t="s">
        <v>20</v>
      </c>
      <c r="O14" s="19" t="s">
        <v>20</v>
      </c>
      <c r="P14" s="19" t="s">
        <v>20</v>
      </c>
      <c r="Q14" s="19" t="s">
        <v>20</v>
      </c>
      <c r="R14" s="19" t="s">
        <v>20</v>
      </c>
      <c r="S14" s="52"/>
      <c r="T14" s="19" t="s">
        <v>21</v>
      </c>
      <c r="U14" s="55"/>
      <c r="V14" s="19" t="s">
        <v>20</v>
      </c>
      <c r="W14" s="19" t="s">
        <v>20</v>
      </c>
      <c r="X14" s="19" t="s">
        <v>20</v>
      </c>
      <c r="Y14" s="19" t="s">
        <v>20</v>
      </c>
      <c r="Z14" s="52"/>
      <c r="AA14" s="19" t="s">
        <v>20</v>
      </c>
      <c r="AB14" s="19" t="s">
        <v>22</v>
      </c>
      <c r="AC14" s="19" t="s">
        <v>20</v>
      </c>
      <c r="AD14" s="19" t="s">
        <v>20</v>
      </c>
      <c r="AE14" s="19" t="s">
        <v>20</v>
      </c>
      <c r="AF14" s="19" t="s">
        <v>20</v>
      </c>
      <c r="AG14" s="52"/>
      <c r="AH14" s="19" t="s">
        <v>20</v>
      </c>
      <c r="AI14" s="4">
        <f t="shared" si="1"/>
        <v>19</v>
      </c>
      <c r="AJ14" s="4">
        <f t="shared" si="2"/>
        <v>3</v>
      </c>
      <c r="AK14" s="4" t="s">
        <v>15</v>
      </c>
      <c r="AL14" s="9">
        <f>AL13/AL12</f>
        <v>0.74948240165631475</v>
      </c>
      <c r="AM14" s="9">
        <f>AM13/AM12</f>
        <v>0.78668478260869568</v>
      </c>
      <c r="AN14" s="9">
        <f>AN13/AN12</f>
        <v>0.7719442165709598</v>
      </c>
    </row>
    <row r="15" spans="1:40" x14ac:dyDescent="0.25">
      <c r="A15" s="5">
        <v>11</v>
      </c>
      <c r="B15" s="13" t="s">
        <v>397</v>
      </c>
      <c r="C15" s="12" t="s">
        <v>669</v>
      </c>
      <c r="D15" s="6" t="s">
        <v>654</v>
      </c>
      <c r="E15" s="52"/>
      <c r="F15" s="19" t="s">
        <v>659</v>
      </c>
      <c r="G15" s="19" t="s">
        <v>20</v>
      </c>
      <c r="H15" s="19" t="s">
        <v>20</v>
      </c>
      <c r="I15" s="19" t="s">
        <v>21</v>
      </c>
      <c r="J15" s="55"/>
      <c r="K15" s="19" t="s">
        <v>20</v>
      </c>
      <c r="L15" s="52"/>
      <c r="M15" s="19" t="s">
        <v>20</v>
      </c>
      <c r="N15" s="19" t="s">
        <v>21</v>
      </c>
      <c r="O15" s="19" t="s">
        <v>21</v>
      </c>
      <c r="P15" s="19" t="s">
        <v>21</v>
      </c>
      <c r="Q15" s="19" t="s">
        <v>21</v>
      </c>
      <c r="R15" s="19" t="s">
        <v>21</v>
      </c>
      <c r="S15" s="52"/>
      <c r="T15" s="19" t="s">
        <v>21</v>
      </c>
      <c r="U15" s="55"/>
      <c r="V15" s="19" t="s">
        <v>20</v>
      </c>
      <c r="W15" s="19" t="s">
        <v>21</v>
      </c>
      <c r="X15" s="19" t="s">
        <v>20</v>
      </c>
      <c r="Y15" s="19" t="s">
        <v>21</v>
      </c>
      <c r="Z15" s="52"/>
      <c r="AA15" s="19" t="s">
        <v>20</v>
      </c>
      <c r="AB15" s="19" t="s">
        <v>20</v>
      </c>
      <c r="AC15" s="19" t="s">
        <v>20</v>
      </c>
      <c r="AD15" s="19" t="s">
        <v>20</v>
      </c>
      <c r="AE15" s="19" t="s">
        <v>21</v>
      </c>
      <c r="AF15" s="19" t="s">
        <v>21</v>
      </c>
      <c r="AG15" s="52"/>
      <c r="AH15" s="19" t="s">
        <v>20</v>
      </c>
      <c r="AI15" s="4">
        <f t="shared" si="1"/>
        <v>12</v>
      </c>
      <c r="AJ15" s="4">
        <f t="shared" si="2"/>
        <v>11</v>
      </c>
      <c r="AK15"/>
      <c r="AL15"/>
      <c r="AM15"/>
      <c r="AN15"/>
    </row>
    <row r="16" spans="1:40" x14ac:dyDescent="0.25">
      <c r="A16" s="7">
        <v>12</v>
      </c>
      <c r="B16" s="13" t="s">
        <v>670</v>
      </c>
      <c r="C16" s="12" t="s">
        <v>98</v>
      </c>
      <c r="D16" s="6" t="s">
        <v>654</v>
      </c>
      <c r="E16" s="52"/>
      <c r="F16" s="19" t="s">
        <v>659</v>
      </c>
      <c r="G16" s="19" t="s">
        <v>20</v>
      </c>
      <c r="H16" s="19" t="s">
        <v>20</v>
      </c>
      <c r="I16" s="19" t="s">
        <v>21</v>
      </c>
      <c r="J16" s="55"/>
      <c r="K16" s="19" t="s">
        <v>20</v>
      </c>
      <c r="L16" s="52"/>
      <c r="M16" s="19" t="s">
        <v>20</v>
      </c>
      <c r="N16" s="19" t="s">
        <v>20</v>
      </c>
      <c r="O16" s="19" t="s">
        <v>20</v>
      </c>
      <c r="P16" s="19" t="s">
        <v>20</v>
      </c>
      <c r="Q16" s="19" t="s">
        <v>20</v>
      </c>
      <c r="R16" s="19" t="s">
        <v>20</v>
      </c>
      <c r="S16" s="52"/>
      <c r="T16" s="19" t="s">
        <v>21</v>
      </c>
      <c r="U16" s="55"/>
      <c r="V16" s="19" t="s">
        <v>20</v>
      </c>
      <c r="W16" s="19" t="s">
        <v>21</v>
      </c>
      <c r="X16" s="19" t="s">
        <v>20</v>
      </c>
      <c r="Y16" s="19" t="s">
        <v>21</v>
      </c>
      <c r="Z16" s="52"/>
      <c r="AA16" s="19" t="s">
        <v>20</v>
      </c>
      <c r="AB16" s="19" t="s">
        <v>20</v>
      </c>
      <c r="AC16" s="19" t="s">
        <v>20</v>
      </c>
      <c r="AD16" s="19" t="s">
        <v>21</v>
      </c>
      <c r="AE16" s="19" t="s">
        <v>20</v>
      </c>
      <c r="AF16" s="19" t="s">
        <v>20</v>
      </c>
      <c r="AG16" s="52"/>
      <c r="AH16" s="19" t="s">
        <v>20</v>
      </c>
      <c r="AI16" s="4">
        <f t="shared" si="1"/>
        <v>18</v>
      </c>
      <c r="AJ16" s="4">
        <f t="shared" si="2"/>
        <v>5</v>
      </c>
      <c r="AK16"/>
      <c r="AL16"/>
      <c r="AM16"/>
      <c r="AN16"/>
    </row>
    <row r="17" spans="1:40" x14ac:dyDescent="0.25">
      <c r="A17" s="5">
        <v>13</v>
      </c>
      <c r="B17" s="13" t="s">
        <v>671</v>
      </c>
      <c r="C17" s="12" t="s">
        <v>227</v>
      </c>
      <c r="D17" s="6" t="s">
        <v>654</v>
      </c>
      <c r="E17" s="52"/>
      <c r="F17" s="19" t="s">
        <v>659</v>
      </c>
      <c r="G17" s="19" t="s">
        <v>21</v>
      </c>
      <c r="H17" s="19" t="s">
        <v>21</v>
      </c>
      <c r="I17" s="19" t="s">
        <v>21</v>
      </c>
      <c r="J17" s="55"/>
      <c r="K17" s="19" t="s">
        <v>20</v>
      </c>
      <c r="L17" s="52"/>
      <c r="M17" s="19" t="s">
        <v>20</v>
      </c>
      <c r="N17" s="19" t="s">
        <v>20</v>
      </c>
      <c r="O17" s="19" t="s">
        <v>20</v>
      </c>
      <c r="P17" s="19" t="s">
        <v>20</v>
      </c>
      <c r="Q17" s="19" t="s">
        <v>20</v>
      </c>
      <c r="R17" s="19" t="s">
        <v>20</v>
      </c>
      <c r="S17" s="52"/>
      <c r="T17" s="19" t="s">
        <v>20</v>
      </c>
      <c r="U17" s="55"/>
      <c r="V17" s="19" t="s">
        <v>20</v>
      </c>
      <c r="W17" s="19" t="s">
        <v>20</v>
      </c>
      <c r="X17" s="19" t="s">
        <v>21</v>
      </c>
      <c r="Y17" s="19" t="s">
        <v>20</v>
      </c>
      <c r="Z17" s="52"/>
      <c r="AA17" s="19" t="s">
        <v>20</v>
      </c>
      <c r="AB17" s="19" t="s">
        <v>20</v>
      </c>
      <c r="AC17" s="19" t="s">
        <v>20</v>
      </c>
      <c r="AD17" s="19" t="s">
        <v>20</v>
      </c>
      <c r="AE17" s="19" t="s">
        <v>20</v>
      </c>
      <c r="AF17" s="19" t="s">
        <v>20</v>
      </c>
      <c r="AG17" s="52"/>
      <c r="AH17" s="19" t="s">
        <v>20</v>
      </c>
      <c r="AI17" s="4">
        <f t="shared" si="1"/>
        <v>19</v>
      </c>
      <c r="AJ17" s="4">
        <f t="shared" si="2"/>
        <v>4</v>
      </c>
      <c r="AK17"/>
      <c r="AL17"/>
      <c r="AM17"/>
      <c r="AN17"/>
    </row>
    <row r="18" spans="1:40" ht="15.75" x14ac:dyDescent="0.25">
      <c r="A18" s="7">
        <v>14</v>
      </c>
      <c r="B18" s="13" t="s">
        <v>672</v>
      </c>
      <c r="C18" s="12" t="s">
        <v>150</v>
      </c>
      <c r="D18" s="6" t="s">
        <v>654</v>
      </c>
      <c r="E18" s="52"/>
      <c r="F18" s="19" t="s">
        <v>659</v>
      </c>
      <c r="G18" s="19" t="s">
        <v>21</v>
      </c>
      <c r="H18" s="19" t="s">
        <v>20</v>
      </c>
      <c r="I18" s="19" t="s">
        <v>20</v>
      </c>
      <c r="J18" s="55"/>
      <c r="K18" s="19" t="s">
        <v>20</v>
      </c>
      <c r="L18" s="52"/>
      <c r="M18" s="19" t="s">
        <v>20</v>
      </c>
      <c r="N18" s="19" t="s">
        <v>20</v>
      </c>
      <c r="O18" s="19" t="s">
        <v>21</v>
      </c>
      <c r="P18" s="19" t="s">
        <v>20</v>
      </c>
      <c r="Q18" s="19" t="s">
        <v>20</v>
      </c>
      <c r="R18" s="19" t="s">
        <v>20</v>
      </c>
      <c r="S18" s="52"/>
      <c r="T18" s="19" t="s">
        <v>21</v>
      </c>
      <c r="U18" s="55"/>
      <c r="V18" s="19" t="s">
        <v>20</v>
      </c>
      <c r="W18" s="19" t="s">
        <v>20</v>
      </c>
      <c r="X18" s="19" t="s">
        <v>20</v>
      </c>
      <c r="Y18" s="19" t="s">
        <v>20</v>
      </c>
      <c r="Z18" s="52"/>
      <c r="AA18" s="19" t="s">
        <v>20</v>
      </c>
      <c r="AB18" s="19" t="s">
        <v>20</v>
      </c>
      <c r="AC18" s="19" t="s">
        <v>20</v>
      </c>
      <c r="AD18" s="19" t="s">
        <v>20</v>
      </c>
      <c r="AE18" s="19" t="s">
        <v>20</v>
      </c>
      <c r="AF18" s="19" t="s">
        <v>20</v>
      </c>
      <c r="AG18" s="52"/>
      <c r="AH18" s="19" t="s">
        <v>20</v>
      </c>
      <c r="AI18" s="4">
        <f t="shared" si="1"/>
        <v>20</v>
      </c>
      <c r="AJ18" s="4">
        <f t="shared" si="2"/>
        <v>3</v>
      </c>
      <c r="AK18" s="24" t="s">
        <v>104</v>
      </c>
      <c r="AL18" s="25"/>
      <c r="AM18" s="25"/>
      <c r="AN18" s="26"/>
    </row>
    <row r="19" spans="1:40" x14ac:dyDescent="0.25">
      <c r="A19" s="5">
        <v>15</v>
      </c>
      <c r="B19" s="13" t="s">
        <v>673</v>
      </c>
      <c r="C19" s="12" t="s">
        <v>674</v>
      </c>
      <c r="D19" s="6" t="s">
        <v>654</v>
      </c>
      <c r="E19" s="52"/>
      <c r="F19" s="19" t="s">
        <v>659</v>
      </c>
      <c r="G19" s="19" t="s">
        <v>20</v>
      </c>
      <c r="H19" s="19" t="s">
        <v>20</v>
      </c>
      <c r="I19" s="19" t="s">
        <v>21</v>
      </c>
      <c r="J19" s="55"/>
      <c r="K19" s="19" t="s">
        <v>20</v>
      </c>
      <c r="L19" s="52"/>
      <c r="M19" s="19" t="s">
        <v>20</v>
      </c>
      <c r="N19" s="19" t="s">
        <v>21</v>
      </c>
      <c r="O19" s="19" t="s">
        <v>21</v>
      </c>
      <c r="P19" s="19" t="s">
        <v>20</v>
      </c>
      <c r="Q19" s="19" t="s">
        <v>20</v>
      </c>
      <c r="R19" s="19" t="s">
        <v>21</v>
      </c>
      <c r="S19" s="52"/>
      <c r="T19" s="19" t="s">
        <v>20</v>
      </c>
      <c r="U19" s="55"/>
      <c r="V19" s="19" t="s">
        <v>20</v>
      </c>
      <c r="W19" s="19" t="s">
        <v>20</v>
      </c>
      <c r="X19" s="19" t="s">
        <v>21</v>
      </c>
      <c r="Y19" s="19" t="s">
        <v>20</v>
      </c>
      <c r="Z19" s="52"/>
      <c r="AA19" s="19" t="s">
        <v>20</v>
      </c>
      <c r="AB19" s="19" t="s">
        <v>20</v>
      </c>
      <c r="AC19" s="19" t="s">
        <v>20</v>
      </c>
      <c r="AD19" s="19" t="s">
        <v>20</v>
      </c>
      <c r="AE19" s="19" t="s">
        <v>20</v>
      </c>
      <c r="AF19" s="19" t="s">
        <v>20</v>
      </c>
      <c r="AG19" s="52"/>
      <c r="AH19" s="19" t="s">
        <v>20</v>
      </c>
      <c r="AI19" s="4">
        <f t="shared" si="1"/>
        <v>18</v>
      </c>
      <c r="AJ19" s="4">
        <f t="shared" si="2"/>
        <v>5</v>
      </c>
      <c r="AK19" s="4" t="s">
        <v>9</v>
      </c>
      <c r="AL19" s="4" t="s">
        <v>10</v>
      </c>
      <c r="AM19" s="4" t="s">
        <v>11</v>
      </c>
      <c r="AN19" s="4" t="s">
        <v>12</v>
      </c>
    </row>
    <row r="20" spans="1:40" x14ac:dyDescent="0.25">
      <c r="A20" s="7">
        <v>16</v>
      </c>
      <c r="B20" s="13" t="s">
        <v>675</v>
      </c>
      <c r="C20" s="12" t="s">
        <v>676</v>
      </c>
      <c r="D20" s="6" t="s">
        <v>654</v>
      </c>
      <c r="E20" s="52"/>
      <c r="F20" s="19" t="s">
        <v>659</v>
      </c>
      <c r="G20" s="19" t="s">
        <v>20</v>
      </c>
      <c r="H20" s="19" t="s">
        <v>20</v>
      </c>
      <c r="I20" s="19" t="s">
        <v>21</v>
      </c>
      <c r="J20" s="55"/>
      <c r="K20" s="19" t="s">
        <v>20</v>
      </c>
      <c r="L20" s="52"/>
      <c r="M20" s="19" t="s">
        <v>20</v>
      </c>
      <c r="N20" s="19" t="s">
        <v>20</v>
      </c>
      <c r="O20" s="19" t="s">
        <v>20</v>
      </c>
      <c r="P20" s="19" t="s">
        <v>20</v>
      </c>
      <c r="Q20" s="19" t="s">
        <v>20</v>
      </c>
      <c r="R20" s="19" t="s">
        <v>20</v>
      </c>
      <c r="S20" s="52"/>
      <c r="T20" s="19" t="s">
        <v>20</v>
      </c>
      <c r="U20" s="55"/>
      <c r="V20" s="19" t="s">
        <v>20</v>
      </c>
      <c r="W20" s="19" t="s">
        <v>20</v>
      </c>
      <c r="X20" s="19" t="s">
        <v>20</v>
      </c>
      <c r="Y20" s="19" t="s">
        <v>20</v>
      </c>
      <c r="Z20" s="52"/>
      <c r="AA20" s="19" t="s">
        <v>20</v>
      </c>
      <c r="AB20" s="19" t="s">
        <v>20</v>
      </c>
      <c r="AC20" s="19" t="s">
        <v>20</v>
      </c>
      <c r="AD20" s="19" t="s">
        <v>20</v>
      </c>
      <c r="AE20" s="19" t="s">
        <v>20</v>
      </c>
      <c r="AF20" s="19" t="s">
        <v>21</v>
      </c>
      <c r="AG20" s="52"/>
      <c r="AH20" s="19" t="s">
        <v>20</v>
      </c>
      <c r="AI20" s="4">
        <f t="shared" si="1"/>
        <v>21</v>
      </c>
      <c r="AJ20" s="4">
        <f t="shared" si="2"/>
        <v>2</v>
      </c>
      <c r="AK20" s="4" t="s">
        <v>13</v>
      </c>
      <c r="AL20" s="7">
        <f>21*AL5</f>
        <v>483</v>
      </c>
      <c r="AM20" s="7">
        <f>32*AL5</f>
        <v>736</v>
      </c>
      <c r="AN20" s="7">
        <f>AL20+AM20</f>
        <v>1219</v>
      </c>
    </row>
    <row r="21" spans="1:40" x14ac:dyDescent="0.25">
      <c r="A21" s="5">
        <v>17</v>
      </c>
      <c r="B21" s="13" t="s">
        <v>586</v>
      </c>
      <c r="C21" s="12" t="s">
        <v>677</v>
      </c>
      <c r="D21" s="6" t="s">
        <v>654</v>
      </c>
      <c r="E21" s="52"/>
      <c r="F21" s="19" t="s">
        <v>20</v>
      </c>
      <c r="G21" s="19" t="s">
        <v>20</v>
      </c>
      <c r="H21" s="19" t="s">
        <v>20</v>
      </c>
      <c r="I21" s="19" t="s">
        <v>20</v>
      </c>
      <c r="J21" s="55"/>
      <c r="K21" s="19" t="s">
        <v>20</v>
      </c>
      <c r="L21" s="52"/>
      <c r="M21" s="19" t="s">
        <v>20</v>
      </c>
      <c r="N21" s="19" t="s">
        <v>20</v>
      </c>
      <c r="O21" s="19" t="s">
        <v>20</v>
      </c>
      <c r="P21" s="19" t="s">
        <v>20</v>
      </c>
      <c r="Q21" s="19" t="s">
        <v>20</v>
      </c>
      <c r="R21" s="19" t="s">
        <v>20</v>
      </c>
      <c r="S21" s="52"/>
      <c r="T21" s="19" t="s">
        <v>21</v>
      </c>
      <c r="U21" s="55"/>
      <c r="V21" s="19" t="s">
        <v>20</v>
      </c>
      <c r="W21" s="19" t="s">
        <v>20</v>
      </c>
      <c r="X21" s="19" t="s">
        <v>20</v>
      </c>
      <c r="Y21" s="19" t="s">
        <v>20</v>
      </c>
      <c r="Z21" s="52"/>
      <c r="AA21" s="19" t="s">
        <v>20</v>
      </c>
      <c r="AB21" s="19" t="s">
        <v>20</v>
      </c>
      <c r="AC21" s="19" t="s">
        <v>20</v>
      </c>
      <c r="AD21" s="19" t="s">
        <v>21</v>
      </c>
      <c r="AE21" s="19" t="s">
        <v>20</v>
      </c>
      <c r="AF21" s="19" t="s">
        <v>20</v>
      </c>
      <c r="AG21" s="52"/>
      <c r="AH21" s="19" t="s">
        <v>20</v>
      </c>
      <c r="AI21" s="4">
        <f t="shared" si="1"/>
        <v>21</v>
      </c>
      <c r="AJ21" s="4">
        <f t="shared" si="2"/>
        <v>2</v>
      </c>
      <c r="AK21" s="4" t="s">
        <v>16</v>
      </c>
      <c r="AL21" s="7">
        <f>AL20-AL13</f>
        <v>121</v>
      </c>
      <c r="AM21" s="7">
        <f>AM20-AM13</f>
        <v>157</v>
      </c>
      <c r="AN21" s="7">
        <f>AL21+AM21</f>
        <v>278</v>
      </c>
    </row>
    <row r="22" spans="1:40" x14ac:dyDescent="0.25">
      <c r="A22" s="7">
        <v>18</v>
      </c>
      <c r="B22" s="13" t="s">
        <v>678</v>
      </c>
      <c r="C22" s="12" t="s">
        <v>90</v>
      </c>
      <c r="D22" s="6" t="s">
        <v>654</v>
      </c>
      <c r="E22" s="52"/>
      <c r="F22" s="19" t="s">
        <v>659</v>
      </c>
      <c r="G22" s="19" t="s">
        <v>20</v>
      </c>
      <c r="H22" s="19" t="s">
        <v>21</v>
      </c>
      <c r="I22" s="19" t="s">
        <v>21</v>
      </c>
      <c r="J22" s="55"/>
      <c r="K22" s="19" t="s">
        <v>20</v>
      </c>
      <c r="L22" s="52"/>
      <c r="M22" s="19" t="s">
        <v>20</v>
      </c>
      <c r="N22" s="19" t="s">
        <v>20</v>
      </c>
      <c r="O22" s="19" t="s">
        <v>20</v>
      </c>
      <c r="P22" s="19" t="s">
        <v>20</v>
      </c>
      <c r="Q22" s="19" t="s">
        <v>20</v>
      </c>
      <c r="R22" s="19" t="s">
        <v>20</v>
      </c>
      <c r="S22" s="52"/>
      <c r="T22" s="19" t="s">
        <v>20</v>
      </c>
      <c r="U22" s="55"/>
      <c r="V22" s="19" t="s">
        <v>20</v>
      </c>
      <c r="W22" s="19" t="s">
        <v>20</v>
      </c>
      <c r="X22" s="19" t="s">
        <v>20</v>
      </c>
      <c r="Y22" s="19" t="s">
        <v>20</v>
      </c>
      <c r="Z22" s="52"/>
      <c r="AA22" s="19" t="s">
        <v>20</v>
      </c>
      <c r="AB22" s="19" t="s">
        <v>20</v>
      </c>
      <c r="AC22" s="19" t="s">
        <v>20</v>
      </c>
      <c r="AD22" s="19" t="s">
        <v>20</v>
      </c>
      <c r="AE22" s="19" t="s">
        <v>20</v>
      </c>
      <c r="AF22" s="19" t="s">
        <v>20</v>
      </c>
      <c r="AG22" s="52"/>
      <c r="AH22" s="19" t="s">
        <v>20</v>
      </c>
      <c r="AI22" s="4">
        <f t="shared" si="1"/>
        <v>21</v>
      </c>
      <c r="AJ22" s="4">
        <f t="shared" si="2"/>
        <v>2</v>
      </c>
      <c r="AK22" s="4" t="s">
        <v>15</v>
      </c>
      <c r="AL22" s="9">
        <f>AL21/AL20</f>
        <v>0.25051759834368531</v>
      </c>
      <c r="AM22" s="9">
        <f>AM21/AM20</f>
        <v>0.21331521739130435</v>
      </c>
      <c r="AN22" s="9">
        <f>AN21/AN20</f>
        <v>0.2280557834290402</v>
      </c>
    </row>
    <row r="23" spans="1:40" x14ac:dyDescent="0.25">
      <c r="A23" s="5">
        <v>19</v>
      </c>
      <c r="B23" s="13" t="s">
        <v>679</v>
      </c>
      <c r="C23" s="13" t="s">
        <v>86</v>
      </c>
      <c r="D23" s="6" t="s">
        <v>654</v>
      </c>
      <c r="E23" s="52"/>
      <c r="F23" s="19" t="s">
        <v>659</v>
      </c>
      <c r="G23" s="19" t="s">
        <v>21</v>
      </c>
      <c r="H23" s="19" t="s">
        <v>21</v>
      </c>
      <c r="I23" s="19" t="s">
        <v>20</v>
      </c>
      <c r="J23" s="55"/>
      <c r="K23" s="19" t="s">
        <v>21</v>
      </c>
      <c r="L23" s="52"/>
      <c r="M23" s="19" t="s">
        <v>21</v>
      </c>
      <c r="N23" s="19" t="s">
        <v>21</v>
      </c>
      <c r="O23" s="19" t="s">
        <v>20</v>
      </c>
      <c r="P23" s="19" t="s">
        <v>20</v>
      </c>
      <c r="Q23" s="19" t="s">
        <v>20</v>
      </c>
      <c r="R23" s="19" t="s">
        <v>21</v>
      </c>
      <c r="S23" s="52"/>
      <c r="T23" s="19" t="s">
        <v>21</v>
      </c>
      <c r="U23" s="55"/>
      <c r="V23" s="19" t="s">
        <v>21</v>
      </c>
      <c r="W23" s="19" t="s">
        <v>21</v>
      </c>
      <c r="X23" s="19" t="s">
        <v>21</v>
      </c>
      <c r="Y23" s="19" t="s">
        <v>21</v>
      </c>
      <c r="Z23" s="52"/>
      <c r="AA23" s="19" t="s">
        <v>21</v>
      </c>
      <c r="AB23" s="19" t="s">
        <v>21</v>
      </c>
      <c r="AC23" s="19" t="s">
        <v>21</v>
      </c>
      <c r="AD23" s="19" t="s">
        <v>21</v>
      </c>
      <c r="AE23" s="19" t="s">
        <v>21</v>
      </c>
      <c r="AF23" s="19" t="s">
        <v>21</v>
      </c>
      <c r="AG23" s="52"/>
      <c r="AH23" s="19" t="s">
        <v>21</v>
      </c>
      <c r="AI23" s="4">
        <f t="shared" si="1"/>
        <v>5</v>
      </c>
      <c r="AJ23" s="4">
        <f t="shared" si="2"/>
        <v>18</v>
      </c>
    </row>
    <row r="24" spans="1:40" x14ac:dyDescent="0.25">
      <c r="A24" s="7">
        <v>20</v>
      </c>
      <c r="B24" s="13" t="s">
        <v>680</v>
      </c>
      <c r="C24" s="12" t="s">
        <v>681</v>
      </c>
      <c r="D24" s="6" t="s">
        <v>654</v>
      </c>
      <c r="E24" s="52"/>
      <c r="F24" s="19" t="s">
        <v>21</v>
      </c>
      <c r="G24" s="19" t="s">
        <v>21</v>
      </c>
      <c r="H24" s="19" t="s">
        <v>21</v>
      </c>
      <c r="I24" s="19" t="s">
        <v>20</v>
      </c>
      <c r="J24" s="55"/>
      <c r="K24" s="19" t="s">
        <v>21</v>
      </c>
      <c r="L24" s="52"/>
      <c r="M24" s="19" t="s">
        <v>21</v>
      </c>
      <c r="N24" s="19" t="s">
        <v>20</v>
      </c>
      <c r="O24" s="19" t="s">
        <v>21</v>
      </c>
      <c r="P24" s="19" t="s">
        <v>20</v>
      </c>
      <c r="Q24" s="19" t="s">
        <v>20</v>
      </c>
      <c r="R24" s="19" t="s">
        <v>20</v>
      </c>
      <c r="S24" s="52"/>
      <c r="T24" s="19" t="s">
        <v>21</v>
      </c>
      <c r="U24" s="55"/>
      <c r="V24" s="19" t="s">
        <v>20</v>
      </c>
      <c r="W24" s="19" t="s">
        <v>20</v>
      </c>
      <c r="X24" s="19" t="s">
        <v>20</v>
      </c>
      <c r="Y24" s="19" t="s">
        <v>20</v>
      </c>
      <c r="Z24" s="52"/>
      <c r="AA24" s="19" t="s">
        <v>20</v>
      </c>
      <c r="AB24" s="19" t="s">
        <v>20</v>
      </c>
      <c r="AC24" s="19" t="s">
        <v>20</v>
      </c>
      <c r="AD24" s="19" t="s">
        <v>20</v>
      </c>
      <c r="AE24" s="19" t="s">
        <v>20</v>
      </c>
      <c r="AF24" s="19" t="s">
        <v>20</v>
      </c>
      <c r="AG24" s="52"/>
      <c r="AH24" s="19" t="s">
        <v>20</v>
      </c>
      <c r="AI24" s="4">
        <f t="shared" si="1"/>
        <v>16</v>
      </c>
      <c r="AJ24" s="4">
        <f t="shared" si="2"/>
        <v>7</v>
      </c>
    </row>
    <row r="25" spans="1:40" x14ac:dyDescent="0.25">
      <c r="A25" s="5">
        <v>21</v>
      </c>
      <c r="B25" s="13" t="s">
        <v>672</v>
      </c>
      <c r="C25" s="15" t="s">
        <v>150</v>
      </c>
      <c r="D25" s="6" t="s">
        <v>654</v>
      </c>
      <c r="E25" s="52"/>
      <c r="F25" s="19" t="s">
        <v>21</v>
      </c>
      <c r="G25" s="19" t="s">
        <v>20</v>
      </c>
      <c r="H25" s="19" t="s">
        <v>20</v>
      </c>
      <c r="I25" s="19" t="s">
        <v>21</v>
      </c>
      <c r="J25" s="55"/>
      <c r="K25" s="19" t="s">
        <v>21</v>
      </c>
      <c r="L25" s="52"/>
      <c r="M25" s="19" t="s">
        <v>659</v>
      </c>
      <c r="N25" s="19" t="s">
        <v>20</v>
      </c>
      <c r="O25" s="19" t="s">
        <v>20</v>
      </c>
      <c r="P25" s="19" t="s">
        <v>20</v>
      </c>
      <c r="Q25" s="19" t="s">
        <v>21</v>
      </c>
      <c r="R25" s="19" t="s">
        <v>21</v>
      </c>
      <c r="S25" s="52"/>
      <c r="T25" s="19" t="s">
        <v>21</v>
      </c>
      <c r="U25" s="55"/>
      <c r="V25" s="19" t="s">
        <v>20</v>
      </c>
      <c r="W25" s="19" t="s">
        <v>20</v>
      </c>
      <c r="X25" s="19" t="s">
        <v>20</v>
      </c>
      <c r="Y25" s="19" t="s">
        <v>21</v>
      </c>
      <c r="Z25" s="52"/>
      <c r="AA25" s="19" t="s">
        <v>20</v>
      </c>
      <c r="AB25" s="19" t="s">
        <v>20</v>
      </c>
      <c r="AC25" s="19" t="s">
        <v>20</v>
      </c>
      <c r="AD25" s="19" t="s">
        <v>20</v>
      </c>
      <c r="AE25" s="19" t="s">
        <v>21</v>
      </c>
      <c r="AF25" s="19" t="s">
        <v>21</v>
      </c>
      <c r="AG25" s="52"/>
      <c r="AH25" s="19" t="s">
        <v>21</v>
      </c>
      <c r="AI25" s="4">
        <f t="shared" si="1"/>
        <v>13</v>
      </c>
      <c r="AJ25" s="4">
        <f t="shared" si="2"/>
        <v>10</v>
      </c>
    </row>
    <row r="26" spans="1:40" x14ac:dyDescent="0.25">
      <c r="A26" s="7">
        <v>1</v>
      </c>
      <c r="B26" s="13" t="s">
        <v>279</v>
      </c>
      <c r="C26" s="15" t="s">
        <v>365</v>
      </c>
      <c r="D26" s="6" t="s">
        <v>654</v>
      </c>
      <c r="E26" s="52"/>
      <c r="F26" s="19" t="s">
        <v>659</v>
      </c>
      <c r="G26" s="19" t="s">
        <v>20</v>
      </c>
      <c r="H26" s="19" t="s">
        <v>21</v>
      </c>
      <c r="I26" s="19" t="s">
        <v>21</v>
      </c>
      <c r="J26" s="55"/>
      <c r="K26" s="19" t="s">
        <v>21</v>
      </c>
      <c r="L26" s="52"/>
      <c r="M26" s="19" t="s">
        <v>20</v>
      </c>
      <c r="N26" s="19" t="s">
        <v>20</v>
      </c>
      <c r="O26" s="19" t="s">
        <v>20</v>
      </c>
      <c r="P26" s="19" t="s">
        <v>20</v>
      </c>
      <c r="Q26" s="19" t="s">
        <v>20</v>
      </c>
      <c r="R26" s="19" t="s">
        <v>20</v>
      </c>
      <c r="S26" s="52"/>
      <c r="T26" s="19" t="s">
        <v>20</v>
      </c>
      <c r="U26" s="55"/>
      <c r="V26" s="19" t="s">
        <v>20</v>
      </c>
      <c r="W26" s="19" t="s">
        <v>20</v>
      </c>
      <c r="X26" s="19" t="s">
        <v>20</v>
      </c>
      <c r="Y26" s="19" t="s">
        <v>20</v>
      </c>
      <c r="Z26" s="52"/>
      <c r="AA26" s="19" t="s">
        <v>20</v>
      </c>
      <c r="AB26" s="19" t="s">
        <v>21</v>
      </c>
      <c r="AC26" s="19" t="s">
        <v>21</v>
      </c>
      <c r="AD26" s="19" t="s">
        <v>20</v>
      </c>
      <c r="AE26" s="19" t="s">
        <v>20</v>
      </c>
      <c r="AF26" s="19" t="s">
        <v>20</v>
      </c>
      <c r="AG26" s="52"/>
      <c r="AH26" s="19" t="s">
        <v>20</v>
      </c>
      <c r="AI26" s="4">
        <f t="shared" si="1"/>
        <v>18</v>
      </c>
      <c r="AJ26" s="4">
        <f t="shared" si="2"/>
        <v>5</v>
      </c>
    </row>
    <row r="27" spans="1:40" x14ac:dyDescent="0.25">
      <c r="A27" s="5">
        <v>2</v>
      </c>
      <c r="B27" s="13" t="s">
        <v>682</v>
      </c>
      <c r="C27" s="12" t="s">
        <v>683</v>
      </c>
      <c r="D27" s="6" t="s">
        <v>654</v>
      </c>
      <c r="E27" s="52"/>
      <c r="F27" s="19" t="s">
        <v>659</v>
      </c>
      <c r="G27" s="19" t="s">
        <v>20</v>
      </c>
      <c r="H27" s="19" t="s">
        <v>20</v>
      </c>
      <c r="I27" s="19" t="s">
        <v>20</v>
      </c>
      <c r="J27" s="55"/>
      <c r="K27" s="19" t="s">
        <v>20</v>
      </c>
      <c r="L27" s="52"/>
      <c r="M27" s="19" t="s">
        <v>20</v>
      </c>
      <c r="N27" s="19" t="s">
        <v>20</v>
      </c>
      <c r="O27" s="19" t="s">
        <v>20</v>
      </c>
      <c r="P27" s="19" t="s">
        <v>20</v>
      </c>
      <c r="Q27" s="19" t="s">
        <v>20</v>
      </c>
      <c r="R27" s="19" t="s">
        <v>20</v>
      </c>
      <c r="S27" s="52"/>
      <c r="T27" s="19" t="s">
        <v>20</v>
      </c>
      <c r="U27" s="55"/>
      <c r="V27" s="19" t="s">
        <v>21</v>
      </c>
      <c r="W27" s="19" t="s">
        <v>20</v>
      </c>
      <c r="X27" s="19" t="s">
        <v>20</v>
      </c>
      <c r="Y27" s="19" t="s">
        <v>20</v>
      </c>
      <c r="Z27" s="52"/>
      <c r="AA27" s="19" t="s">
        <v>20</v>
      </c>
      <c r="AB27" s="19" t="s">
        <v>20</v>
      </c>
      <c r="AC27" s="19" t="s">
        <v>20</v>
      </c>
      <c r="AD27" s="19" t="s">
        <v>20</v>
      </c>
      <c r="AE27" s="19" t="s">
        <v>20</v>
      </c>
      <c r="AF27" s="19" t="s">
        <v>20</v>
      </c>
      <c r="AG27" s="52"/>
      <c r="AH27" s="19" t="s">
        <v>20</v>
      </c>
      <c r="AI27" s="4">
        <f t="shared" si="1"/>
        <v>22</v>
      </c>
      <c r="AJ27" s="4">
        <f t="shared" si="2"/>
        <v>1</v>
      </c>
    </row>
    <row r="28" spans="1:40" x14ac:dyDescent="0.25">
      <c r="A28" s="7">
        <v>3</v>
      </c>
      <c r="B28" s="13" t="s">
        <v>684</v>
      </c>
      <c r="C28" s="15" t="s">
        <v>685</v>
      </c>
      <c r="D28" s="6" t="s">
        <v>654</v>
      </c>
      <c r="E28" s="52"/>
      <c r="F28" s="19" t="s">
        <v>659</v>
      </c>
      <c r="G28" s="19" t="s">
        <v>659</v>
      </c>
      <c r="H28" s="19" t="s">
        <v>21</v>
      </c>
      <c r="I28" s="19" t="s">
        <v>21</v>
      </c>
      <c r="J28" s="55"/>
      <c r="K28" s="19" t="s">
        <v>20</v>
      </c>
      <c r="L28" s="52"/>
      <c r="M28" s="19" t="s">
        <v>20</v>
      </c>
      <c r="N28" s="19" t="s">
        <v>20</v>
      </c>
      <c r="O28" s="19" t="s">
        <v>20</v>
      </c>
      <c r="P28" s="19" t="s">
        <v>20</v>
      </c>
      <c r="Q28" s="19" t="s">
        <v>21</v>
      </c>
      <c r="R28" s="19" t="s">
        <v>20</v>
      </c>
      <c r="S28" s="52"/>
      <c r="T28" s="19" t="s">
        <v>20</v>
      </c>
      <c r="U28" s="55"/>
      <c r="V28" s="19" t="s">
        <v>21</v>
      </c>
      <c r="W28" s="19" t="s">
        <v>20</v>
      </c>
      <c r="X28" s="19" t="s">
        <v>20</v>
      </c>
      <c r="Y28" s="19" t="s">
        <v>21</v>
      </c>
      <c r="Z28" s="52"/>
      <c r="AA28" s="19" t="s">
        <v>21</v>
      </c>
      <c r="AB28" s="19" t="s">
        <v>20</v>
      </c>
      <c r="AC28" s="19" t="s">
        <v>20</v>
      </c>
      <c r="AD28" s="19" t="s">
        <v>20</v>
      </c>
      <c r="AE28" s="19" t="s">
        <v>20</v>
      </c>
      <c r="AF28" s="19" t="s">
        <v>20</v>
      </c>
      <c r="AG28" s="52"/>
      <c r="AH28" s="19" t="s">
        <v>20</v>
      </c>
      <c r="AI28" s="4">
        <f t="shared" si="1"/>
        <v>17</v>
      </c>
      <c r="AJ28" s="4">
        <f t="shared" si="2"/>
        <v>6</v>
      </c>
    </row>
    <row r="29" spans="1:40" x14ac:dyDescent="0.25">
      <c r="A29" s="5">
        <v>4</v>
      </c>
      <c r="B29" s="13" t="s">
        <v>686</v>
      </c>
      <c r="C29" s="12" t="s">
        <v>687</v>
      </c>
      <c r="D29" s="6" t="s">
        <v>654</v>
      </c>
      <c r="E29" s="52"/>
      <c r="F29" s="19" t="s">
        <v>659</v>
      </c>
      <c r="G29" s="19" t="s">
        <v>20</v>
      </c>
      <c r="H29" s="19" t="s">
        <v>20</v>
      </c>
      <c r="I29" s="19" t="s">
        <v>20</v>
      </c>
      <c r="J29" s="55"/>
      <c r="K29" s="19" t="s">
        <v>20</v>
      </c>
      <c r="L29" s="52"/>
      <c r="M29" s="19" t="s">
        <v>20</v>
      </c>
      <c r="N29" s="19" t="s">
        <v>20</v>
      </c>
      <c r="O29" s="19" t="s">
        <v>20</v>
      </c>
      <c r="P29" s="19" t="s">
        <v>20</v>
      </c>
      <c r="Q29" s="19" t="s">
        <v>20</v>
      </c>
      <c r="R29" s="19" t="s">
        <v>20</v>
      </c>
      <c r="S29" s="52"/>
      <c r="T29" s="19" t="s">
        <v>21</v>
      </c>
      <c r="U29" s="55"/>
      <c r="V29" s="19" t="s">
        <v>20</v>
      </c>
      <c r="W29" s="19" t="s">
        <v>20</v>
      </c>
      <c r="X29" s="19" t="s">
        <v>20</v>
      </c>
      <c r="Y29" s="19" t="s">
        <v>20</v>
      </c>
      <c r="Z29" s="52"/>
      <c r="AA29" s="19" t="s">
        <v>20</v>
      </c>
      <c r="AB29" s="19" t="s">
        <v>20</v>
      </c>
      <c r="AC29" s="19" t="s">
        <v>20</v>
      </c>
      <c r="AD29" s="19" t="s">
        <v>20</v>
      </c>
      <c r="AE29" s="19" t="s">
        <v>20</v>
      </c>
      <c r="AF29" s="19" t="s">
        <v>21</v>
      </c>
      <c r="AG29" s="52"/>
      <c r="AH29" s="19" t="s">
        <v>20</v>
      </c>
      <c r="AI29" s="4">
        <f t="shared" si="1"/>
        <v>21</v>
      </c>
      <c r="AJ29" s="4">
        <f t="shared" si="2"/>
        <v>2</v>
      </c>
    </row>
    <row r="30" spans="1:40" x14ac:dyDescent="0.25">
      <c r="A30" s="7">
        <v>5</v>
      </c>
      <c r="B30" s="13" t="s">
        <v>551</v>
      </c>
      <c r="C30" s="12" t="s">
        <v>688</v>
      </c>
      <c r="D30" s="6" t="s">
        <v>654</v>
      </c>
      <c r="E30" s="52"/>
      <c r="F30" s="19" t="s">
        <v>659</v>
      </c>
      <c r="G30" s="19" t="s">
        <v>20</v>
      </c>
      <c r="H30" s="19" t="s">
        <v>21</v>
      </c>
      <c r="I30" s="19" t="s">
        <v>21</v>
      </c>
      <c r="J30" s="55"/>
      <c r="K30" s="19" t="s">
        <v>20</v>
      </c>
      <c r="L30" s="52"/>
      <c r="M30" s="19" t="s">
        <v>20</v>
      </c>
      <c r="N30" s="19" t="s">
        <v>20</v>
      </c>
      <c r="O30" s="19" t="s">
        <v>20</v>
      </c>
      <c r="P30" s="19" t="s">
        <v>20</v>
      </c>
      <c r="Q30" s="19" t="s">
        <v>20</v>
      </c>
      <c r="R30" s="19" t="s">
        <v>20</v>
      </c>
      <c r="S30" s="52"/>
      <c r="T30" s="19" t="s">
        <v>21</v>
      </c>
      <c r="U30" s="55"/>
      <c r="V30" s="19" t="s">
        <v>20</v>
      </c>
      <c r="W30" s="19" t="s">
        <v>20</v>
      </c>
      <c r="X30" s="19" t="s">
        <v>20</v>
      </c>
      <c r="Y30" s="19" t="s">
        <v>21</v>
      </c>
      <c r="Z30" s="52"/>
      <c r="AA30" s="19" t="s">
        <v>20</v>
      </c>
      <c r="AB30" s="19" t="s">
        <v>20</v>
      </c>
      <c r="AC30" s="19" t="s">
        <v>20</v>
      </c>
      <c r="AD30" s="19" t="s">
        <v>20</v>
      </c>
      <c r="AE30" s="19" t="s">
        <v>20</v>
      </c>
      <c r="AF30" s="19" t="s">
        <v>20</v>
      </c>
      <c r="AG30" s="52"/>
      <c r="AH30" s="19" t="s">
        <v>20</v>
      </c>
      <c r="AI30" s="4">
        <f t="shared" si="1"/>
        <v>19</v>
      </c>
      <c r="AJ30" s="4">
        <f t="shared" si="2"/>
        <v>4</v>
      </c>
    </row>
    <row r="31" spans="1:40" x14ac:dyDescent="0.25">
      <c r="A31" s="5">
        <v>6</v>
      </c>
      <c r="B31" s="13" t="s">
        <v>64</v>
      </c>
      <c r="C31" s="12" t="s">
        <v>658</v>
      </c>
      <c r="D31" s="6" t="s">
        <v>654</v>
      </c>
      <c r="E31" s="52"/>
      <c r="F31" s="19" t="s">
        <v>659</v>
      </c>
      <c r="G31" s="19" t="s">
        <v>20</v>
      </c>
      <c r="H31" s="19" t="s">
        <v>20</v>
      </c>
      <c r="I31" s="19" t="s">
        <v>20</v>
      </c>
      <c r="J31" s="55"/>
      <c r="K31" s="19" t="s">
        <v>20</v>
      </c>
      <c r="L31" s="52"/>
      <c r="M31" s="19" t="s">
        <v>20</v>
      </c>
      <c r="N31" s="19" t="s">
        <v>20</v>
      </c>
      <c r="O31" s="19" t="s">
        <v>20</v>
      </c>
      <c r="P31" s="19" t="s">
        <v>20</v>
      </c>
      <c r="Q31" s="19" t="s">
        <v>20</v>
      </c>
      <c r="R31" s="19" t="s">
        <v>20</v>
      </c>
      <c r="S31" s="52"/>
      <c r="T31" s="19" t="s">
        <v>21</v>
      </c>
      <c r="U31" s="55"/>
      <c r="V31" s="19" t="s">
        <v>20</v>
      </c>
      <c r="W31" s="19" t="s">
        <v>20</v>
      </c>
      <c r="X31" s="19" t="s">
        <v>20</v>
      </c>
      <c r="Y31" s="19" t="s">
        <v>20</v>
      </c>
      <c r="Z31" s="52"/>
      <c r="AA31" s="19" t="s">
        <v>20</v>
      </c>
      <c r="AB31" s="19" t="s">
        <v>20</v>
      </c>
      <c r="AC31" s="19" t="s">
        <v>20</v>
      </c>
      <c r="AD31" s="19" t="s">
        <v>20</v>
      </c>
      <c r="AE31" s="19" t="s">
        <v>20</v>
      </c>
      <c r="AF31" s="19" t="s">
        <v>20</v>
      </c>
      <c r="AG31" s="52"/>
      <c r="AH31" s="19" t="s">
        <v>20</v>
      </c>
      <c r="AI31" s="4">
        <f t="shared" si="1"/>
        <v>22</v>
      </c>
      <c r="AJ31" s="4">
        <f t="shared" si="2"/>
        <v>1</v>
      </c>
    </row>
    <row r="32" spans="1:40" x14ac:dyDescent="0.25">
      <c r="A32" s="7">
        <v>7</v>
      </c>
      <c r="B32" s="13" t="s">
        <v>689</v>
      </c>
      <c r="C32" s="12" t="s">
        <v>690</v>
      </c>
      <c r="D32" s="6" t="s">
        <v>654</v>
      </c>
      <c r="E32" s="52"/>
      <c r="F32" s="19" t="s">
        <v>659</v>
      </c>
      <c r="G32" s="19" t="s">
        <v>20</v>
      </c>
      <c r="H32" s="19" t="s">
        <v>21</v>
      </c>
      <c r="I32" s="19" t="s">
        <v>21</v>
      </c>
      <c r="J32" s="55"/>
      <c r="K32" s="19" t="s">
        <v>20</v>
      </c>
      <c r="L32" s="52"/>
      <c r="M32" s="19" t="s">
        <v>20</v>
      </c>
      <c r="N32" s="19" t="s">
        <v>20</v>
      </c>
      <c r="O32" s="19" t="s">
        <v>20</v>
      </c>
      <c r="P32" s="19" t="s">
        <v>20</v>
      </c>
      <c r="Q32" s="19" t="s">
        <v>21</v>
      </c>
      <c r="R32" s="19" t="s">
        <v>21</v>
      </c>
      <c r="S32" s="52"/>
      <c r="T32" s="19" t="s">
        <v>21</v>
      </c>
      <c r="U32" s="55"/>
      <c r="V32" s="19" t="s">
        <v>20</v>
      </c>
      <c r="W32" s="19" t="s">
        <v>20</v>
      </c>
      <c r="X32" s="19" t="s">
        <v>20</v>
      </c>
      <c r="Y32" s="19" t="s">
        <v>21</v>
      </c>
      <c r="Z32" s="52"/>
      <c r="AA32" s="19" t="s">
        <v>20</v>
      </c>
      <c r="AB32" s="19" t="s">
        <v>20</v>
      </c>
      <c r="AC32" s="19" t="s">
        <v>20</v>
      </c>
      <c r="AD32" s="19" t="s">
        <v>20</v>
      </c>
      <c r="AE32" s="19" t="s">
        <v>20</v>
      </c>
      <c r="AF32" s="19" t="s">
        <v>20</v>
      </c>
      <c r="AG32" s="52"/>
      <c r="AH32" s="19" t="s">
        <v>20</v>
      </c>
      <c r="AI32" s="4">
        <f t="shared" si="1"/>
        <v>17</v>
      </c>
      <c r="AJ32" s="4">
        <f t="shared" si="2"/>
        <v>6</v>
      </c>
    </row>
    <row r="33" spans="1:36" x14ac:dyDescent="0.25">
      <c r="A33" s="5">
        <v>8</v>
      </c>
      <c r="B33" s="13" t="s">
        <v>691</v>
      </c>
      <c r="C33" s="12" t="s">
        <v>692</v>
      </c>
      <c r="D33" s="6" t="s">
        <v>654</v>
      </c>
      <c r="E33" s="52"/>
      <c r="F33" s="19" t="s">
        <v>659</v>
      </c>
      <c r="G33" s="19" t="s">
        <v>20</v>
      </c>
      <c r="H33" s="19" t="s">
        <v>21</v>
      </c>
      <c r="I33" s="19" t="s">
        <v>21</v>
      </c>
      <c r="J33" s="55"/>
      <c r="K33" s="19" t="s">
        <v>21</v>
      </c>
      <c r="L33" s="52"/>
      <c r="M33" s="19" t="s">
        <v>20</v>
      </c>
      <c r="N33" s="19" t="s">
        <v>20</v>
      </c>
      <c r="O33" s="19" t="s">
        <v>20</v>
      </c>
      <c r="P33" s="19" t="s">
        <v>20</v>
      </c>
      <c r="Q33" s="19" t="s">
        <v>20</v>
      </c>
      <c r="R33" s="19" t="s">
        <v>20</v>
      </c>
      <c r="S33" s="52"/>
      <c r="T33" s="19" t="s">
        <v>21</v>
      </c>
      <c r="U33" s="55"/>
      <c r="V33" s="19" t="s">
        <v>20</v>
      </c>
      <c r="W33" s="19" t="s">
        <v>21</v>
      </c>
      <c r="X33" s="19" t="s">
        <v>20</v>
      </c>
      <c r="Y33" s="19" t="s">
        <v>21</v>
      </c>
      <c r="Z33" s="52"/>
      <c r="AA33" s="19" t="s">
        <v>20</v>
      </c>
      <c r="AB33" s="19" t="s">
        <v>21</v>
      </c>
      <c r="AC33" s="19" t="s">
        <v>20</v>
      </c>
      <c r="AD33" s="19" t="s">
        <v>20</v>
      </c>
      <c r="AE33" s="19" t="s">
        <v>21</v>
      </c>
      <c r="AF33" s="19" t="s">
        <v>20</v>
      </c>
      <c r="AG33" s="52"/>
      <c r="AH33" s="19" t="s">
        <v>20</v>
      </c>
      <c r="AI33" s="4">
        <f t="shared" si="1"/>
        <v>15</v>
      </c>
      <c r="AJ33" s="4">
        <f t="shared" si="2"/>
        <v>8</v>
      </c>
    </row>
    <row r="34" spans="1:36" x14ac:dyDescent="0.25">
      <c r="A34" s="7">
        <v>9</v>
      </c>
      <c r="B34" s="13" t="s">
        <v>693</v>
      </c>
      <c r="C34" s="12" t="s">
        <v>694</v>
      </c>
      <c r="D34" s="6" t="s">
        <v>654</v>
      </c>
      <c r="E34" s="52"/>
      <c r="F34" s="19" t="s">
        <v>21</v>
      </c>
      <c r="G34" s="19" t="s">
        <v>20</v>
      </c>
      <c r="H34" s="19" t="s">
        <v>20</v>
      </c>
      <c r="I34" s="19" t="s">
        <v>21</v>
      </c>
      <c r="J34" s="55"/>
      <c r="K34" s="19" t="s">
        <v>21</v>
      </c>
      <c r="L34" s="52"/>
      <c r="M34" s="19" t="s">
        <v>20</v>
      </c>
      <c r="N34" s="19" t="s">
        <v>20</v>
      </c>
      <c r="O34" s="19" t="s">
        <v>20</v>
      </c>
      <c r="P34" s="19" t="s">
        <v>20</v>
      </c>
      <c r="Q34" s="19" t="s">
        <v>20</v>
      </c>
      <c r="R34" s="19" t="s">
        <v>20</v>
      </c>
      <c r="S34" s="52"/>
      <c r="T34" s="19" t="s">
        <v>21</v>
      </c>
      <c r="U34" s="55"/>
      <c r="V34" s="19" t="s">
        <v>20</v>
      </c>
      <c r="W34" s="19" t="s">
        <v>20</v>
      </c>
      <c r="X34" s="19" t="s">
        <v>20</v>
      </c>
      <c r="Y34" s="19" t="s">
        <v>21</v>
      </c>
      <c r="Z34" s="52"/>
      <c r="AA34" s="19" t="s">
        <v>20</v>
      </c>
      <c r="AB34" s="19" t="s">
        <v>20</v>
      </c>
      <c r="AC34" s="19" t="s">
        <v>20</v>
      </c>
      <c r="AD34" s="19" t="s">
        <v>20</v>
      </c>
      <c r="AE34" s="19" t="s">
        <v>20</v>
      </c>
      <c r="AF34" s="19" t="s">
        <v>20</v>
      </c>
      <c r="AG34" s="52"/>
      <c r="AH34" s="19" t="s">
        <v>20</v>
      </c>
      <c r="AI34" s="4">
        <f t="shared" si="1"/>
        <v>18</v>
      </c>
      <c r="AJ34" s="4">
        <f t="shared" si="2"/>
        <v>5</v>
      </c>
    </row>
    <row r="35" spans="1:36" x14ac:dyDescent="0.25">
      <c r="A35" s="5">
        <v>10</v>
      </c>
      <c r="B35" s="13" t="s">
        <v>695</v>
      </c>
      <c r="C35" s="12" t="s">
        <v>696</v>
      </c>
      <c r="D35" s="6" t="s">
        <v>654</v>
      </c>
      <c r="E35" s="52"/>
      <c r="F35" s="19" t="s">
        <v>659</v>
      </c>
      <c r="G35" s="19" t="s">
        <v>20</v>
      </c>
      <c r="H35" s="19" t="s">
        <v>20</v>
      </c>
      <c r="I35" s="19" t="s">
        <v>20</v>
      </c>
      <c r="J35" s="55"/>
      <c r="K35" s="19" t="s">
        <v>21</v>
      </c>
      <c r="L35" s="52"/>
      <c r="M35" s="19" t="s">
        <v>20</v>
      </c>
      <c r="N35" s="19" t="s">
        <v>20</v>
      </c>
      <c r="O35" s="19" t="s">
        <v>20</v>
      </c>
      <c r="P35" s="19" t="s">
        <v>20</v>
      </c>
      <c r="Q35" s="19" t="s">
        <v>20</v>
      </c>
      <c r="R35" s="19" t="s">
        <v>20</v>
      </c>
      <c r="S35" s="52"/>
      <c r="T35" s="19" t="s">
        <v>21</v>
      </c>
      <c r="U35" s="55"/>
      <c r="V35" s="19" t="s">
        <v>20</v>
      </c>
      <c r="W35" s="19" t="s">
        <v>21</v>
      </c>
      <c r="X35" s="19" t="s">
        <v>20</v>
      </c>
      <c r="Y35" s="19" t="s">
        <v>20</v>
      </c>
      <c r="Z35" s="52"/>
      <c r="AA35" s="19" t="s">
        <v>20</v>
      </c>
      <c r="AB35" s="19" t="s">
        <v>20</v>
      </c>
      <c r="AC35" s="19" t="s">
        <v>20</v>
      </c>
      <c r="AD35" s="19" t="s">
        <v>20</v>
      </c>
      <c r="AE35" s="19" t="s">
        <v>20</v>
      </c>
      <c r="AF35" s="19" t="s">
        <v>20</v>
      </c>
      <c r="AG35" s="52"/>
      <c r="AH35" s="19" t="s">
        <v>20</v>
      </c>
      <c r="AI35" s="4">
        <f t="shared" si="1"/>
        <v>20</v>
      </c>
      <c r="AJ35" s="4">
        <f t="shared" si="2"/>
        <v>3</v>
      </c>
    </row>
    <row r="36" spans="1:36" x14ac:dyDescent="0.25">
      <c r="A36" s="7">
        <v>11</v>
      </c>
      <c r="B36" s="13" t="s">
        <v>697</v>
      </c>
      <c r="C36" s="12" t="s">
        <v>602</v>
      </c>
      <c r="D36" s="6" t="s">
        <v>654</v>
      </c>
      <c r="E36" s="52"/>
      <c r="F36" s="19" t="s">
        <v>659</v>
      </c>
      <c r="G36" s="19" t="s">
        <v>21</v>
      </c>
      <c r="H36" s="19" t="s">
        <v>20</v>
      </c>
      <c r="I36" s="19" t="s">
        <v>20</v>
      </c>
      <c r="J36" s="55"/>
      <c r="K36" s="19" t="s">
        <v>20</v>
      </c>
      <c r="L36" s="52"/>
      <c r="M36" s="19" t="s">
        <v>20</v>
      </c>
      <c r="N36" s="19" t="s">
        <v>20</v>
      </c>
      <c r="O36" s="19" t="s">
        <v>20</v>
      </c>
      <c r="P36" s="19" t="s">
        <v>20</v>
      </c>
      <c r="Q36" s="19" t="s">
        <v>20</v>
      </c>
      <c r="R36" s="19" t="s">
        <v>20</v>
      </c>
      <c r="S36" s="52"/>
      <c r="T36" s="19" t="s">
        <v>20</v>
      </c>
      <c r="U36" s="55"/>
      <c r="V36" s="19" t="s">
        <v>20</v>
      </c>
      <c r="W36" s="19" t="s">
        <v>20</v>
      </c>
      <c r="X36" s="19" t="s">
        <v>20</v>
      </c>
      <c r="Y36" s="19" t="s">
        <v>20</v>
      </c>
      <c r="Z36" s="52"/>
      <c r="AA36" s="19" t="s">
        <v>20</v>
      </c>
      <c r="AB36" s="19" t="s">
        <v>20</v>
      </c>
      <c r="AC36" s="19" t="s">
        <v>20</v>
      </c>
      <c r="AD36" s="19" t="s">
        <v>20</v>
      </c>
      <c r="AE36" s="19" t="s">
        <v>20</v>
      </c>
      <c r="AF36" s="19" t="s">
        <v>20</v>
      </c>
      <c r="AG36" s="52"/>
      <c r="AH36" s="19" t="s">
        <v>20</v>
      </c>
      <c r="AI36" s="4">
        <f t="shared" si="1"/>
        <v>22</v>
      </c>
      <c r="AJ36" s="4">
        <f t="shared" si="2"/>
        <v>1</v>
      </c>
    </row>
    <row r="37" spans="1:36" x14ac:dyDescent="0.25">
      <c r="A37" s="5">
        <v>12</v>
      </c>
      <c r="B37" s="13" t="s">
        <v>698</v>
      </c>
      <c r="C37" s="12" t="s">
        <v>699</v>
      </c>
      <c r="D37" s="6" t="s">
        <v>654</v>
      </c>
      <c r="E37" s="52"/>
      <c r="F37" s="19" t="s">
        <v>659</v>
      </c>
      <c r="G37" s="19" t="s">
        <v>20</v>
      </c>
      <c r="H37" s="19" t="s">
        <v>21</v>
      </c>
      <c r="I37" s="19" t="s">
        <v>20</v>
      </c>
      <c r="J37" s="55"/>
      <c r="K37" s="19" t="s">
        <v>20</v>
      </c>
      <c r="L37" s="52"/>
      <c r="M37" s="19" t="s">
        <v>20</v>
      </c>
      <c r="N37" s="19" t="s">
        <v>21</v>
      </c>
      <c r="O37" s="19" t="s">
        <v>20</v>
      </c>
      <c r="P37" s="19" t="s">
        <v>20</v>
      </c>
      <c r="Q37" s="19" t="s">
        <v>20</v>
      </c>
      <c r="R37" s="19" t="s">
        <v>20</v>
      </c>
      <c r="S37" s="52"/>
      <c r="T37" s="19" t="s">
        <v>21</v>
      </c>
      <c r="U37" s="55"/>
      <c r="V37" s="19" t="s">
        <v>20</v>
      </c>
      <c r="W37" s="19" t="s">
        <v>20</v>
      </c>
      <c r="X37" s="19" t="s">
        <v>20</v>
      </c>
      <c r="Y37" s="19" t="s">
        <v>20</v>
      </c>
      <c r="Z37" s="52"/>
      <c r="AA37" s="19" t="s">
        <v>20</v>
      </c>
      <c r="AB37" s="19" t="s">
        <v>21</v>
      </c>
      <c r="AC37" s="19" t="s">
        <v>20</v>
      </c>
      <c r="AD37" s="19" t="s">
        <v>20</v>
      </c>
      <c r="AE37" s="19" t="s">
        <v>20</v>
      </c>
      <c r="AF37" s="19" t="s">
        <v>20</v>
      </c>
      <c r="AG37" s="52"/>
      <c r="AH37" s="19" t="s">
        <v>20</v>
      </c>
      <c r="AI37" s="4">
        <f t="shared" si="1"/>
        <v>19</v>
      </c>
      <c r="AJ37" s="4">
        <f t="shared" si="2"/>
        <v>4</v>
      </c>
    </row>
    <row r="38" spans="1:36" x14ac:dyDescent="0.25">
      <c r="A38" s="7">
        <v>13</v>
      </c>
      <c r="B38" s="13" t="s">
        <v>700</v>
      </c>
      <c r="C38" s="12" t="s">
        <v>701</v>
      </c>
      <c r="D38" s="6" t="s">
        <v>654</v>
      </c>
      <c r="E38" s="52"/>
      <c r="F38" s="19" t="s">
        <v>659</v>
      </c>
      <c r="G38" s="19" t="s">
        <v>20</v>
      </c>
      <c r="H38" s="19" t="s">
        <v>20</v>
      </c>
      <c r="I38" s="19" t="s">
        <v>20</v>
      </c>
      <c r="J38" s="55"/>
      <c r="K38" s="19" t="s">
        <v>20</v>
      </c>
      <c r="L38" s="52"/>
      <c r="M38" s="19" t="s">
        <v>20</v>
      </c>
      <c r="N38" s="19" t="s">
        <v>20</v>
      </c>
      <c r="O38" s="19" t="s">
        <v>21</v>
      </c>
      <c r="P38" s="19" t="s">
        <v>20</v>
      </c>
      <c r="Q38" s="19" t="s">
        <v>20</v>
      </c>
      <c r="R38" s="19" t="s">
        <v>20</v>
      </c>
      <c r="S38" s="52"/>
      <c r="T38" s="19" t="s">
        <v>21</v>
      </c>
      <c r="U38" s="55"/>
      <c r="V38" s="19" t="s">
        <v>20</v>
      </c>
      <c r="W38" s="19" t="s">
        <v>20</v>
      </c>
      <c r="X38" s="19" t="s">
        <v>20</v>
      </c>
      <c r="Y38" s="19" t="s">
        <v>20</v>
      </c>
      <c r="Z38" s="52"/>
      <c r="AA38" s="19" t="s">
        <v>20</v>
      </c>
      <c r="AB38" s="19" t="s">
        <v>20</v>
      </c>
      <c r="AC38" s="19" t="s">
        <v>20</v>
      </c>
      <c r="AD38" s="19" t="s">
        <v>20</v>
      </c>
      <c r="AE38" s="19" t="s">
        <v>21</v>
      </c>
      <c r="AF38" s="19" t="s">
        <v>20</v>
      </c>
      <c r="AG38" s="52"/>
      <c r="AH38" s="19" t="s">
        <v>20</v>
      </c>
      <c r="AI38" s="4">
        <f t="shared" si="1"/>
        <v>20</v>
      </c>
      <c r="AJ38" s="4">
        <f t="shared" si="2"/>
        <v>3</v>
      </c>
    </row>
    <row r="39" spans="1:36" x14ac:dyDescent="0.25">
      <c r="A39" s="5">
        <v>14</v>
      </c>
      <c r="B39" s="13" t="s">
        <v>702</v>
      </c>
      <c r="C39" s="12" t="s">
        <v>397</v>
      </c>
      <c r="D39" s="6" t="s">
        <v>654</v>
      </c>
      <c r="E39" s="52"/>
      <c r="F39" s="19" t="s">
        <v>659</v>
      </c>
      <c r="G39" s="19" t="s">
        <v>20</v>
      </c>
      <c r="H39" s="19" t="s">
        <v>20</v>
      </c>
      <c r="I39" s="19" t="s">
        <v>20</v>
      </c>
      <c r="J39" s="55"/>
      <c r="K39" s="19" t="s">
        <v>20</v>
      </c>
      <c r="L39" s="52"/>
      <c r="M39" s="19" t="s">
        <v>20</v>
      </c>
      <c r="N39" s="19" t="s">
        <v>21</v>
      </c>
      <c r="O39" s="19" t="s">
        <v>20</v>
      </c>
      <c r="P39" s="19" t="s">
        <v>20</v>
      </c>
      <c r="Q39" s="19" t="s">
        <v>20</v>
      </c>
      <c r="R39" s="19" t="s">
        <v>20</v>
      </c>
      <c r="S39" s="52"/>
      <c r="T39" s="19" t="s">
        <v>20</v>
      </c>
      <c r="U39" s="55"/>
      <c r="V39" s="19" t="s">
        <v>20</v>
      </c>
      <c r="W39" s="19" t="s">
        <v>20</v>
      </c>
      <c r="X39" s="19" t="s">
        <v>20</v>
      </c>
      <c r="Y39" s="19" t="s">
        <v>21</v>
      </c>
      <c r="Z39" s="52"/>
      <c r="AA39" s="19" t="s">
        <v>20</v>
      </c>
      <c r="AB39" s="19" t="s">
        <v>20</v>
      </c>
      <c r="AC39" s="19" t="s">
        <v>20</v>
      </c>
      <c r="AD39" s="19" t="s">
        <v>20</v>
      </c>
      <c r="AE39" s="19" t="s">
        <v>20</v>
      </c>
      <c r="AF39" s="19" t="s">
        <v>21</v>
      </c>
      <c r="AG39" s="52"/>
      <c r="AH39" s="19" t="s">
        <v>20</v>
      </c>
      <c r="AI39" s="4">
        <f t="shared" si="1"/>
        <v>20</v>
      </c>
      <c r="AJ39" s="4">
        <f t="shared" si="2"/>
        <v>3</v>
      </c>
    </row>
    <row r="40" spans="1:36" x14ac:dyDescent="0.25">
      <c r="A40" s="7">
        <v>15</v>
      </c>
      <c r="B40" s="13" t="s">
        <v>703</v>
      </c>
      <c r="C40" s="12" t="s">
        <v>152</v>
      </c>
      <c r="D40" s="6" t="s">
        <v>654</v>
      </c>
      <c r="E40" s="52"/>
      <c r="F40" s="19" t="s">
        <v>659</v>
      </c>
      <c r="G40" s="19" t="s">
        <v>20</v>
      </c>
      <c r="H40" s="19" t="s">
        <v>20</v>
      </c>
      <c r="I40" s="19" t="s">
        <v>20</v>
      </c>
      <c r="J40" s="55"/>
      <c r="K40" s="19" t="s">
        <v>20</v>
      </c>
      <c r="L40" s="52"/>
      <c r="M40" s="19" t="s">
        <v>20</v>
      </c>
      <c r="N40" s="19" t="s">
        <v>20</v>
      </c>
      <c r="O40" s="19" t="s">
        <v>20</v>
      </c>
      <c r="P40" s="19" t="s">
        <v>20</v>
      </c>
      <c r="Q40" s="19" t="s">
        <v>20</v>
      </c>
      <c r="R40" s="19" t="s">
        <v>20</v>
      </c>
      <c r="S40" s="52"/>
      <c r="T40" s="19" t="s">
        <v>21</v>
      </c>
      <c r="U40" s="55"/>
      <c r="V40" s="19" t="s">
        <v>20</v>
      </c>
      <c r="W40" s="19" t="s">
        <v>20</v>
      </c>
      <c r="X40" s="19" t="s">
        <v>20</v>
      </c>
      <c r="Y40" s="19" t="s">
        <v>20</v>
      </c>
      <c r="Z40" s="52"/>
      <c r="AA40" s="19" t="s">
        <v>20</v>
      </c>
      <c r="AB40" s="19" t="s">
        <v>20</v>
      </c>
      <c r="AC40" s="19" t="s">
        <v>20</v>
      </c>
      <c r="AD40" s="19" t="s">
        <v>20</v>
      </c>
      <c r="AE40" s="19" t="s">
        <v>20</v>
      </c>
      <c r="AF40" s="19" t="s">
        <v>20</v>
      </c>
      <c r="AG40" s="52"/>
      <c r="AH40" s="19" t="s">
        <v>20</v>
      </c>
      <c r="AI40" s="4">
        <f t="shared" si="1"/>
        <v>22</v>
      </c>
      <c r="AJ40" s="4">
        <f t="shared" si="2"/>
        <v>1</v>
      </c>
    </row>
    <row r="41" spans="1:36" x14ac:dyDescent="0.25">
      <c r="A41" s="5">
        <v>16</v>
      </c>
      <c r="B41" s="13" t="s">
        <v>68</v>
      </c>
      <c r="C41" s="12" t="s">
        <v>249</v>
      </c>
      <c r="D41" s="6" t="s">
        <v>654</v>
      </c>
      <c r="E41" s="52"/>
      <c r="F41" s="19" t="s">
        <v>659</v>
      </c>
      <c r="G41" s="19" t="s">
        <v>21</v>
      </c>
      <c r="H41" s="19" t="s">
        <v>20</v>
      </c>
      <c r="I41" s="19" t="s">
        <v>20</v>
      </c>
      <c r="J41" s="55"/>
      <c r="K41" s="19" t="s">
        <v>20</v>
      </c>
      <c r="L41" s="52"/>
      <c r="M41" s="19" t="s">
        <v>21</v>
      </c>
      <c r="N41" s="19" t="s">
        <v>20</v>
      </c>
      <c r="O41" s="19" t="s">
        <v>20</v>
      </c>
      <c r="P41" s="19" t="s">
        <v>20</v>
      </c>
      <c r="Q41" s="19" t="s">
        <v>20</v>
      </c>
      <c r="R41" s="19" t="s">
        <v>20</v>
      </c>
      <c r="S41" s="52"/>
      <c r="T41" s="19" t="s">
        <v>20</v>
      </c>
      <c r="U41" s="55"/>
      <c r="V41" s="19" t="s">
        <v>20</v>
      </c>
      <c r="W41" s="19" t="s">
        <v>20</v>
      </c>
      <c r="X41" s="19" t="s">
        <v>21</v>
      </c>
      <c r="Y41" s="19" t="s">
        <v>20</v>
      </c>
      <c r="Z41" s="52"/>
      <c r="AA41" s="19" t="s">
        <v>20</v>
      </c>
      <c r="AB41" s="19" t="s">
        <v>20</v>
      </c>
      <c r="AC41" s="19" t="s">
        <v>20</v>
      </c>
      <c r="AD41" s="19" t="s">
        <v>21</v>
      </c>
      <c r="AE41" s="19" t="s">
        <v>20</v>
      </c>
      <c r="AF41" s="19" t="s">
        <v>20</v>
      </c>
      <c r="AG41" s="52"/>
      <c r="AH41" s="19" t="s">
        <v>20</v>
      </c>
      <c r="AI41" s="4">
        <f t="shared" si="1"/>
        <v>19</v>
      </c>
      <c r="AJ41" s="4">
        <f t="shared" si="2"/>
        <v>4</v>
      </c>
    </row>
    <row r="42" spans="1:36" x14ac:dyDescent="0.25">
      <c r="A42" s="7">
        <v>17</v>
      </c>
      <c r="B42" s="13" t="s">
        <v>704</v>
      </c>
      <c r="C42" s="12" t="s">
        <v>705</v>
      </c>
      <c r="D42" s="6" t="s">
        <v>654</v>
      </c>
      <c r="E42" s="52"/>
      <c r="F42" s="19" t="s">
        <v>659</v>
      </c>
      <c r="G42" s="19" t="s">
        <v>20</v>
      </c>
      <c r="H42" s="19" t="s">
        <v>20</v>
      </c>
      <c r="I42" s="19" t="s">
        <v>21</v>
      </c>
      <c r="J42" s="55"/>
      <c r="K42" s="19" t="s">
        <v>20</v>
      </c>
      <c r="L42" s="52"/>
      <c r="M42" s="19" t="s">
        <v>20</v>
      </c>
      <c r="N42" s="19" t="s">
        <v>20</v>
      </c>
      <c r="O42" s="19" t="s">
        <v>20</v>
      </c>
      <c r="P42" s="19" t="s">
        <v>20</v>
      </c>
      <c r="Q42" s="19" t="s">
        <v>20</v>
      </c>
      <c r="R42" s="19" t="s">
        <v>20</v>
      </c>
      <c r="S42" s="52"/>
      <c r="T42" s="19" t="s">
        <v>21</v>
      </c>
      <c r="U42" s="55"/>
      <c r="V42" s="19" t="s">
        <v>20</v>
      </c>
      <c r="W42" s="19" t="s">
        <v>20</v>
      </c>
      <c r="X42" s="19" t="s">
        <v>20</v>
      </c>
      <c r="Y42" s="19" t="s">
        <v>20</v>
      </c>
      <c r="Z42" s="52"/>
      <c r="AA42" s="19" t="s">
        <v>20</v>
      </c>
      <c r="AB42" s="19" t="s">
        <v>20</v>
      </c>
      <c r="AC42" s="19" t="s">
        <v>20</v>
      </c>
      <c r="AD42" s="19" t="s">
        <v>20</v>
      </c>
      <c r="AE42" s="19" t="s">
        <v>20</v>
      </c>
      <c r="AF42" s="19" t="s">
        <v>20</v>
      </c>
      <c r="AG42" s="52"/>
      <c r="AH42" s="19" t="s">
        <v>20</v>
      </c>
      <c r="AI42" s="4">
        <f t="shared" si="1"/>
        <v>21</v>
      </c>
      <c r="AJ42" s="4">
        <f t="shared" si="2"/>
        <v>2</v>
      </c>
    </row>
    <row r="43" spans="1:36" x14ac:dyDescent="0.25">
      <c r="A43" s="5">
        <v>18</v>
      </c>
      <c r="B43" s="13" t="s">
        <v>706</v>
      </c>
      <c r="C43" s="12" t="s">
        <v>707</v>
      </c>
      <c r="D43" s="6" t="s">
        <v>654</v>
      </c>
      <c r="E43" s="52"/>
      <c r="F43" s="19" t="s">
        <v>659</v>
      </c>
      <c r="G43" s="19" t="s">
        <v>20</v>
      </c>
      <c r="H43" s="19" t="s">
        <v>20</v>
      </c>
      <c r="I43" s="19" t="s">
        <v>21</v>
      </c>
      <c r="J43" s="55"/>
      <c r="K43" s="19" t="s">
        <v>21</v>
      </c>
      <c r="L43" s="52"/>
      <c r="M43" s="19" t="s">
        <v>20</v>
      </c>
      <c r="N43" s="19" t="s">
        <v>20</v>
      </c>
      <c r="O43" s="19" t="s">
        <v>20</v>
      </c>
      <c r="P43" s="19" t="s">
        <v>20</v>
      </c>
      <c r="Q43" s="19" t="s">
        <v>21</v>
      </c>
      <c r="R43" s="19" t="s">
        <v>20</v>
      </c>
      <c r="S43" s="52"/>
      <c r="T43" s="19" t="s">
        <v>20</v>
      </c>
      <c r="U43" s="55"/>
      <c r="V43" s="19" t="s">
        <v>20</v>
      </c>
      <c r="W43" s="19" t="s">
        <v>20</v>
      </c>
      <c r="X43" s="19" t="s">
        <v>20</v>
      </c>
      <c r="Y43" s="19" t="s">
        <v>20</v>
      </c>
      <c r="Z43" s="52"/>
      <c r="AA43" s="19" t="s">
        <v>20</v>
      </c>
      <c r="AB43" s="19" t="s">
        <v>20</v>
      </c>
      <c r="AC43" s="19" t="s">
        <v>20</v>
      </c>
      <c r="AD43" s="19" t="s">
        <v>20</v>
      </c>
      <c r="AE43" s="19" t="s">
        <v>20</v>
      </c>
      <c r="AF43" s="19" t="s">
        <v>20</v>
      </c>
      <c r="AG43" s="52"/>
      <c r="AH43" s="19" t="s">
        <v>20</v>
      </c>
      <c r="AI43" s="4">
        <f t="shared" si="1"/>
        <v>20</v>
      </c>
      <c r="AJ43" s="4">
        <f t="shared" si="2"/>
        <v>3</v>
      </c>
    </row>
    <row r="44" spans="1:36" x14ac:dyDescent="0.25">
      <c r="A44" s="7">
        <v>19</v>
      </c>
      <c r="B44" s="13" t="s">
        <v>708</v>
      </c>
      <c r="C44" s="12" t="s">
        <v>43</v>
      </c>
      <c r="D44" s="6" t="s">
        <v>654</v>
      </c>
      <c r="E44" s="52"/>
      <c r="F44" s="19" t="s">
        <v>659</v>
      </c>
      <c r="G44" s="19" t="s">
        <v>20</v>
      </c>
      <c r="H44" s="19" t="s">
        <v>20</v>
      </c>
      <c r="I44" s="19" t="s">
        <v>20</v>
      </c>
      <c r="J44" s="55"/>
      <c r="K44" s="19" t="s">
        <v>21</v>
      </c>
      <c r="L44" s="52"/>
      <c r="M44" s="19" t="s">
        <v>20</v>
      </c>
      <c r="N44" s="19" t="s">
        <v>20</v>
      </c>
      <c r="O44" s="19" t="s">
        <v>20</v>
      </c>
      <c r="P44" s="19" t="s">
        <v>20</v>
      </c>
      <c r="Q44" s="19" t="s">
        <v>21</v>
      </c>
      <c r="R44" s="19" t="s">
        <v>20</v>
      </c>
      <c r="S44" s="52"/>
      <c r="T44" s="19" t="s">
        <v>21</v>
      </c>
      <c r="U44" s="55"/>
      <c r="V44" s="19" t="s">
        <v>20</v>
      </c>
      <c r="W44" s="19" t="s">
        <v>21</v>
      </c>
      <c r="X44" s="19" t="s">
        <v>20</v>
      </c>
      <c r="Y44" s="19" t="s">
        <v>20</v>
      </c>
      <c r="Z44" s="52"/>
      <c r="AA44" s="19" t="s">
        <v>21</v>
      </c>
      <c r="AB44" s="19" t="s">
        <v>20</v>
      </c>
      <c r="AC44" s="19" t="s">
        <v>20</v>
      </c>
      <c r="AD44" s="19" t="s">
        <v>21</v>
      </c>
      <c r="AE44" s="19" t="s">
        <v>20</v>
      </c>
      <c r="AF44" s="19" t="s">
        <v>21</v>
      </c>
      <c r="AG44" s="52"/>
      <c r="AH44" s="19" t="s">
        <v>20</v>
      </c>
      <c r="AI44" s="4">
        <f t="shared" si="1"/>
        <v>16</v>
      </c>
      <c r="AJ44" s="4">
        <f t="shared" si="2"/>
        <v>7</v>
      </c>
    </row>
    <row r="45" spans="1:36" x14ac:dyDescent="0.25">
      <c r="A45" s="5">
        <v>20</v>
      </c>
      <c r="B45" s="13" t="s">
        <v>709</v>
      </c>
      <c r="C45" s="12" t="s">
        <v>710</v>
      </c>
      <c r="D45" s="6" t="s">
        <v>654</v>
      </c>
      <c r="E45" s="52"/>
      <c r="F45" s="19" t="s">
        <v>659</v>
      </c>
      <c r="G45" s="19" t="s">
        <v>20</v>
      </c>
      <c r="H45" s="19" t="s">
        <v>20</v>
      </c>
      <c r="I45" s="19" t="s">
        <v>20</v>
      </c>
      <c r="J45" s="55"/>
      <c r="K45" s="19" t="s">
        <v>21</v>
      </c>
      <c r="L45" s="52"/>
      <c r="M45" s="19" t="s">
        <v>20</v>
      </c>
      <c r="N45" s="19" t="s">
        <v>21</v>
      </c>
      <c r="O45" s="19" t="s">
        <v>20</v>
      </c>
      <c r="P45" s="19" t="s">
        <v>20</v>
      </c>
      <c r="Q45" s="19" t="s">
        <v>20</v>
      </c>
      <c r="R45" s="19" t="s">
        <v>21</v>
      </c>
      <c r="S45" s="52"/>
      <c r="T45" s="19" t="s">
        <v>20</v>
      </c>
      <c r="U45" s="55"/>
      <c r="V45" s="19" t="s">
        <v>20</v>
      </c>
      <c r="W45" s="19" t="s">
        <v>21</v>
      </c>
      <c r="X45" s="19" t="s">
        <v>20</v>
      </c>
      <c r="Y45" s="19" t="s">
        <v>21</v>
      </c>
      <c r="Z45" s="52"/>
      <c r="AA45" s="19" t="s">
        <v>20</v>
      </c>
      <c r="AB45" s="19" t="s">
        <v>20</v>
      </c>
      <c r="AC45" s="19" t="s">
        <v>20</v>
      </c>
      <c r="AD45" s="19" t="s">
        <v>20</v>
      </c>
      <c r="AE45" s="19" t="s">
        <v>20</v>
      </c>
      <c r="AF45" s="19" t="s">
        <v>20</v>
      </c>
      <c r="AG45" s="52"/>
      <c r="AH45" s="19" t="s">
        <v>20</v>
      </c>
      <c r="AI45" s="4">
        <f t="shared" si="1"/>
        <v>18</v>
      </c>
      <c r="AJ45" s="4">
        <f t="shared" si="2"/>
        <v>5</v>
      </c>
    </row>
    <row r="46" spans="1:36" x14ac:dyDescent="0.25">
      <c r="A46" s="7">
        <v>21</v>
      </c>
      <c r="B46" s="13" t="s">
        <v>711</v>
      </c>
      <c r="C46" s="12" t="s">
        <v>289</v>
      </c>
      <c r="D46" s="6" t="s">
        <v>654</v>
      </c>
      <c r="E46" s="52"/>
      <c r="F46" s="19" t="s">
        <v>659</v>
      </c>
      <c r="G46" s="19" t="s">
        <v>20</v>
      </c>
      <c r="H46" s="19" t="s">
        <v>20</v>
      </c>
      <c r="I46" s="19" t="s">
        <v>20</v>
      </c>
      <c r="J46" s="55"/>
      <c r="K46" s="19" t="s">
        <v>21</v>
      </c>
      <c r="L46" s="52"/>
      <c r="M46" s="19" t="s">
        <v>20</v>
      </c>
      <c r="N46" s="19" t="s">
        <v>20</v>
      </c>
      <c r="O46" s="19" t="s">
        <v>20</v>
      </c>
      <c r="P46" s="19" t="s">
        <v>20</v>
      </c>
      <c r="Q46" s="19" t="s">
        <v>21</v>
      </c>
      <c r="R46" s="19" t="s">
        <v>20</v>
      </c>
      <c r="S46" s="52"/>
      <c r="T46" s="19" t="s">
        <v>20</v>
      </c>
      <c r="U46" s="55"/>
      <c r="V46" s="19" t="s">
        <v>20</v>
      </c>
      <c r="W46" s="19" t="s">
        <v>20</v>
      </c>
      <c r="X46" s="19" t="s">
        <v>21</v>
      </c>
      <c r="Y46" s="19" t="s">
        <v>20</v>
      </c>
      <c r="Z46" s="52"/>
      <c r="AA46" s="19" t="s">
        <v>21</v>
      </c>
      <c r="AB46" s="19" t="s">
        <v>20</v>
      </c>
      <c r="AC46" s="19" t="s">
        <v>20</v>
      </c>
      <c r="AD46" s="19" t="s">
        <v>20</v>
      </c>
      <c r="AE46" s="19" t="s">
        <v>21</v>
      </c>
      <c r="AF46" s="19" t="s">
        <v>21</v>
      </c>
      <c r="AG46" s="52"/>
      <c r="AH46" s="19" t="s">
        <v>21</v>
      </c>
      <c r="AI46" s="4">
        <f t="shared" si="1"/>
        <v>16</v>
      </c>
      <c r="AJ46" s="4">
        <f t="shared" si="2"/>
        <v>7</v>
      </c>
    </row>
    <row r="47" spans="1:36" x14ac:dyDescent="0.25">
      <c r="A47" s="5">
        <v>22</v>
      </c>
      <c r="B47" s="13" t="s">
        <v>712</v>
      </c>
      <c r="C47" s="12" t="s">
        <v>282</v>
      </c>
      <c r="D47" s="6" t="s">
        <v>654</v>
      </c>
      <c r="E47" s="52"/>
      <c r="F47" s="19" t="s">
        <v>21</v>
      </c>
      <c r="G47" s="19" t="s">
        <v>21</v>
      </c>
      <c r="H47" s="19" t="s">
        <v>21</v>
      </c>
      <c r="I47" s="19" t="s">
        <v>21</v>
      </c>
      <c r="J47" s="55"/>
      <c r="K47" s="19" t="s">
        <v>21</v>
      </c>
      <c r="L47" s="52"/>
      <c r="M47" s="19" t="s">
        <v>21</v>
      </c>
      <c r="N47" s="19" t="s">
        <v>21</v>
      </c>
      <c r="O47" s="19" t="s">
        <v>21</v>
      </c>
      <c r="P47" s="19" t="s">
        <v>21</v>
      </c>
      <c r="Q47" s="19" t="s">
        <v>21</v>
      </c>
      <c r="R47" s="19" t="s">
        <v>21</v>
      </c>
      <c r="S47" s="52"/>
      <c r="T47" s="19" t="s">
        <v>21</v>
      </c>
      <c r="U47" s="55"/>
      <c r="V47" s="19" t="s">
        <v>21</v>
      </c>
      <c r="W47" s="19" t="s">
        <v>21</v>
      </c>
      <c r="X47" s="19" t="s">
        <v>21</v>
      </c>
      <c r="Y47" s="19" t="s">
        <v>21</v>
      </c>
      <c r="Z47" s="52"/>
      <c r="AA47" s="19" t="s">
        <v>21</v>
      </c>
      <c r="AB47" s="19" t="s">
        <v>21</v>
      </c>
      <c r="AC47" s="19" t="s">
        <v>21</v>
      </c>
      <c r="AD47" s="19" t="s">
        <v>21</v>
      </c>
      <c r="AE47" s="19" t="s">
        <v>21</v>
      </c>
      <c r="AF47" s="19" t="s">
        <v>21</v>
      </c>
      <c r="AG47" s="52"/>
      <c r="AH47" s="19" t="s">
        <v>21</v>
      </c>
      <c r="AI47" s="4">
        <f t="shared" si="1"/>
        <v>0</v>
      </c>
      <c r="AJ47" s="4">
        <f t="shared" si="2"/>
        <v>23</v>
      </c>
    </row>
    <row r="48" spans="1:36" x14ac:dyDescent="0.25">
      <c r="A48" s="7">
        <v>23</v>
      </c>
      <c r="B48" s="13" t="s">
        <v>713</v>
      </c>
      <c r="C48" s="12" t="s">
        <v>160</v>
      </c>
      <c r="D48" s="6" t="s">
        <v>654</v>
      </c>
      <c r="E48" s="52"/>
      <c r="F48" s="19" t="s">
        <v>659</v>
      </c>
      <c r="G48" s="19" t="s">
        <v>20</v>
      </c>
      <c r="H48" s="19" t="s">
        <v>20</v>
      </c>
      <c r="I48" s="19" t="s">
        <v>20</v>
      </c>
      <c r="J48" s="55"/>
      <c r="K48" s="19" t="s">
        <v>20</v>
      </c>
      <c r="L48" s="52"/>
      <c r="M48" s="19" t="s">
        <v>20</v>
      </c>
      <c r="N48" s="19" t="s">
        <v>20</v>
      </c>
      <c r="O48" s="19" t="s">
        <v>20</v>
      </c>
      <c r="P48" s="19" t="s">
        <v>20</v>
      </c>
      <c r="Q48" s="19" t="s">
        <v>20</v>
      </c>
      <c r="R48" s="19" t="s">
        <v>20</v>
      </c>
      <c r="S48" s="52"/>
      <c r="T48" s="19" t="s">
        <v>20</v>
      </c>
      <c r="U48" s="55"/>
      <c r="V48" s="19" t="s">
        <v>20</v>
      </c>
      <c r="W48" s="19" t="s">
        <v>20</v>
      </c>
      <c r="X48" s="19" t="s">
        <v>20</v>
      </c>
      <c r="Y48" s="19" t="s">
        <v>20</v>
      </c>
      <c r="Z48" s="52"/>
      <c r="AA48" s="19" t="s">
        <v>21</v>
      </c>
      <c r="AB48" s="19" t="s">
        <v>20</v>
      </c>
      <c r="AC48" s="19" t="s">
        <v>20</v>
      </c>
      <c r="AD48" s="19" t="s">
        <v>20</v>
      </c>
      <c r="AE48" s="19" t="s">
        <v>20</v>
      </c>
      <c r="AF48" s="19" t="s">
        <v>21</v>
      </c>
      <c r="AG48" s="52"/>
      <c r="AH48" s="19" t="s">
        <v>21</v>
      </c>
      <c r="AI48" s="4">
        <f t="shared" si="1"/>
        <v>20</v>
      </c>
      <c r="AJ48" s="4">
        <f t="shared" si="2"/>
        <v>3</v>
      </c>
    </row>
    <row r="49" spans="1:36" x14ac:dyDescent="0.25">
      <c r="A49" s="5">
        <v>24</v>
      </c>
      <c r="B49" s="13" t="s">
        <v>714</v>
      </c>
      <c r="C49" s="13"/>
      <c r="D49" s="6" t="s">
        <v>654</v>
      </c>
      <c r="E49" s="52"/>
      <c r="F49" s="19" t="s">
        <v>659</v>
      </c>
      <c r="G49" s="19" t="s">
        <v>20</v>
      </c>
      <c r="H49" s="19" t="s">
        <v>20</v>
      </c>
      <c r="I49" s="19" t="s">
        <v>20</v>
      </c>
      <c r="J49" s="55"/>
      <c r="K49" s="19" t="s">
        <v>20</v>
      </c>
      <c r="L49" s="52"/>
      <c r="M49" s="19" t="s">
        <v>21</v>
      </c>
      <c r="N49" s="19" t="s">
        <v>20</v>
      </c>
      <c r="O49" s="19" t="s">
        <v>21</v>
      </c>
      <c r="P49" s="19" t="s">
        <v>21</v>
      </c>
      <c r="Q49" s="19" t="s">
        <v>20</v>
      </c>
      <c r="R49" s="19" t="s">
        <v>20</v>
      </c>
      <c r="S49" s="52"/>
      <c r="T49" s="19" t="s">
        <v>21</v>
      </c>
      <c r="U49" s="55"/>
      <c r="V49" s="19" t="s">
        <v>20</v>
      </c>
      <c r="W49" s="19" t="s">
        <v>20</v>
      </c>
      <c r="X49" s="19" t="s">
        <v>21</v>
      </c>
      <c r="Y49" s="19" t="s">
        <v>20</v>
      </c>
      <c r="Z49" s="52"/>
      <c r="AA49" s="19" t="s">
        <v>21</v>
      </c>
      <c r="AB49" s="19" t="s">
        <v>21</v>
      </c>
      <c r="AC49" s="19" t="s">
        <v>21</v>
      </c>
      <c r="AD49" s="19" t="s">
        <v>21</v>
      </c>
      <c r="AE49" s="19" t="s">
        <v>21</v>
      </c>
      <c r="AF49" s="19" t="s">
        <v>21</v>
      </c>
      <c r="AG49" s="52"/>
      <c r="AH49" s="19" t="s">
        <v>21</v>
      </c>
      <c r="AI49" s="4">
        <f t="shared" si="1"/>
        <v>11</v>
      </c>
      <c r="AJ49" s="4">
        <f t="shared" si="2"/>
        <v>12</v>
      </c>
    </row>
    <row r="50" spans="1:36" x14ac:dyDescent="0.25">
      <c r="A50" s="7">
        <v>25</v>
      </c>
      <c r="B50" s="13" t="s">
        <v>715</v>
      </c>
      <c r="C50" s="12" t="s">
        <v>150</v>
      </c>
      <c r="D50" s="6" t="s">
        <v>654</v>
      </c>
      <c r="E50" s="52"/>
      <c r="F50" s="19" t="s">
        <v>659</v>
      </c>
      <c r="G50" s="19" t="s">
        <v>20</v>
      </c>
      <c r="H50" s="19" t="s">
        <v>20</v>
      </c>
      <c r="I50" s="19" t="s">
        <v>21</v>
      </c>
      <c r="J50" s="55"/>
      <c r="K50" s="19" t="s">
        <v>20</v>
      </c>
      <c r="L50" s="52"/>
      <c r="M50" s="19" t="s">
        <v>20</v>
      </c>
      <c r="N50" s="19" t="s">
        <v>20</v>
      </c>
      <c r="O50" s="19" t="s">
        <v>21</v>
      </c>
      <c r="P50" s="19" t="s">
        <v>20</v>
      </c>
      <c r="Q50" s="19" t="s">
        <v>20</v>
      </c>
      <c r="R50" s="19" t="s">
        <v>20</v>
      </c>
      <c r="S50" s="52"/>
      <c r="T50" s="19" t="s">
        <v>21</v>
      </c>
      <c r="U50" s="55"/>
      <c r="V50" s="19" t="s">
        <v>20</v>
      </c>
      <c r="W50" s="19" t="s">
        <v>20</v>
      </c>
      <c r="X50" s="19" t="s">
        <v>20</v>
      </c>
      <c r="Y50" s="19" t="s">
        <v>20</v>
      </c>
      <c r="Z50" s="52"/>
      <c r="AA50" s="19" t="s">
        <v>21</v>
      </c>
      <c r="AB50" s="19" t="s">
        <v>20</v>
      </c>
      <c r="AC50" s="19" t="s">
        <v>21</v>
      </c>
      <c r="AD50" s="19" t="s">
        <v>20</v>
      </c>
      <c r="AE50" s="19" t="s">
        <v>20</v>
      </c>
      <c r="AF50" s="19" t="s">
        <v>20</v>
      </c>
      <c r="AG50" s="52"/>
      <c r="AH50" s="19" t="s">
        <v>20</v>
      </c>
      <c r="AI50" s="4">
        <f t="shared" si="1"/>
        <v>18</v>
      </c>
      <c r="AJ50" s="4">
        <f t="shared" si="2"/>
        <v>5</v>
      </c>
    </row>
    <row r="51" spans="1:36" x14ac:dyDescent="0.25">
      <c r="A51" s="5">
        <v>26</v>
      </c>
      <c r="B51" s="11" t="s">
        <v>716</v>
      </c>
      <c r="C51" s="11" t="s">
        <v>517</v>
      </c>
      <c r="D51" s="19" t="s">
        <v>654</v>
      </c>
      <c r="E51" s="52"/>
      <c r="F51" s="19" t="s">
        <v>659</v>
      </c>
      <c r="G51" s="19" t="s">
        <v>20</v>
      </c>
      <c r="H51" s="19" t="s">
        <v>20</v>
      </c>
      <c r="I51" s="19" t="s">
        <v>20</v>
      </c>
      <c r="J51" s="55"/>
      <c r="K51" s="19" t="s">
        <v>20</v>
      </c>
      <c r="L51" s="52"/>
      <c r="M51" s="19" t="s">
        <v>20</v>
      </c>
      <c r="N51" s="19" t="s">
        <v>20</v>
      </c>
      <c r="O51" s="19" t="s">
        <v>20</v>
      </c>
      <c r="P51" s="19" t="s">
        <v>20</v>
      </c>
      <c r="Q51" s="19" t="s">
        <v>20</v>
      </c>
      <c r="R51" s="19" t="s">
        <v>21</v>
      </c>
      <c r="S51" s="52"/>
      <c r="T51" s="19" t="s">
        <v>20</v>
      </c>
      <c r="U51" s="55"/>
      <c r="V51" s="19" t="s">
        <v>21</v>
      </c>
      <c r="W51" s="19" t="s">
        <v>20</v>
      </c>
      <c r="X51" s="19" t="s">
        <v>20</v>
      </c>
      <c r="Y51" s="19" t="s">
        <v>20</v>
      </c>
      <c r="Z51" s="52"/>
      <c r="AA51" s="19" t="s">
        <v>20</v>
      </c>
      <c r="AB51" s="19" t="s">
        <v>20</v>
      </c>
      <c r="AC51" s="19" t="s">
        <v>20</v>
      </c>
      <c r="AD51" s="19" t="s">
        <v>20</v>
      </c>
      <c r="AE51" s="19" t="s">
        <v>20</v>
      </c>
      <c r="AF51" s="19" t="s">
        <v>21</v>
      </c>
      <c r="AG51" s="52"/>
      <c r="AH51" s="19" t="s">
        <v>20</v>
      </c>
      <c r="AI51" s="4">
        <f t="shared" si="1"/>
        <v>20</v>
      </c>
      <c r="AJ51" s="4">
        <f t="shared" si="2"/>
        <v>3</v>
      </c>
    </row>
    <row r="52" spans="1:36" x14ac:dyDescent="0.25">
      <c r="A52" s="7">
        <v>27</v>
      </c>
      <c r="B52" s="11" t="s">
        <v>717</v>
      </c>
      <c r="C52" s="11" t="s">
        <v>35</v>
      </c>
      <c r="D52" s="19" t="s">
        <v>654</v>
      </c>
      <c r="E52" s="52"/>
      <c r="F52" s="19" t="s">
        <v>659</v>
      </c>
      <c r="G52" s="19" t="s">
        <v>20</v>
      </c>
      <c r="H52" s="19" t="s">
        <v>20</v>
      </c>
      <c r="I52" s="19" t="s">
        <v>21</v>
      </c>
      <c r="J52" s="55"/>
      <c r="K52" s="19" t="s">
        <v>20</v>
      </c>
      <c r="L52" s="52"/>
      <c r="M52" s="19" t="s">
        <v>21</v>
      </c>
      <c r="N52" s="19" t="s">
        <v>21</v>
      </c>
      <c r="O52" s="19" t="s">
        <v>21</v>
      </c>
      <c r="P52" s="19" t="s">
        <v>20</v>
      </c>
      <c r="Q52" s="19" t="s">
        <v>20</v>
      </c>
      <c r="R52" s="19" t="s">
        <v>20</v>
      </c>
      <c r="S52" s="52"/>
      <c r="T52" s="19" t="s">
        <v>21</v>
      </c>
      <c r="U52" s="55"/>
      <c r="V52" s="19" t="s">
        <v>20</v>
      </c>
      <c r="W52" s="19" t="s">
        <v>20</v>
      </c>
      <c r="X52" s="19" t="s">
        <v>20</v>
      </c>
      <c r="Y52" s="19" t="s">
        <v>20</v>
      </c>
      <c r="Z52" s="52"/>
      <c r="AA52" s="19" t="s">
        <v>20</v>
      </c>
      <c r="AB52" s="19" t="s">
        <v>20</v>
      </c>
      <c r="AC52" s="19" t="s">
        <v>20</v>
      </c>
      <c r="AD52" s="19" t="s">
        <v>20</v>
      </c>
      <c r="AE52" s="19" t="s">
        <v>20</v>
      </c>
      <c r="AF52" s="19" t="s">
        <v>20</v>
      </c>
      <c r="AG52" s="52"/>
      <c r="AH52" s="19" t="s">
        <v>20</v>
      </c>
      <c r="AI52" s="4">
        <f t="shared" si="1"/>
        <v>18</v>
      </c>
      <c r="AJ52" s="4">
        <f t="shared" si="2"/>
        <v>5</v>
      </c>
    </row>
    <row r="53" spans="1:36" x14ac:dyDescent="0.25">
      <c r="A53" s="5">
        <v>28</v>
      </c>
      <c r="B53" s="11" t="s">
        <v>717</v>
      </c>
      <c r="C53" s="11" t="s">
        <v>98</v>
      </c>
      <c r="D53" s="19" t="s">
        <v>654</v>
      </c>
      <c r="E53" s="52"/>
      <c r="F53" s="19" t="s">
        <v>21</v>
      </c>
      <c r="G53" s="19" t="s">
        <v>21</v>
      </c>
      <c r="H53" s="19" t="s">
        <v>21</v>
      </c>
      <c r="I53" s="19" t="s">
        <v>21</v>
      </c>
      <c r="J53" s="55"/>
      <c r="K53" s="19" t="s">
        <v>21</v>
      </c>
      <c r="L53" s="52"/>
      <c r="M53" s="19" t="s">
        <v>21</v>
      </c>
      <c r="N53" s="19" t="s">
        <v>21</v>
      </c>
      <c r="O53" s="19" t="s">
        <v>20</v>
      </c>
      <c r="P53" s="19" t="s">
        <v>20</v>
      </c>
      <c r="Q53" s="19" t="s">
        <v>20</v>
      </c>
      <c r="R53" s="19" t="s">
        <v>21</v>
      </c>
      <c r="S53" s="52"/>
      <c r="T53" s="19" t="s">
        <v>20</v>
      </c>
      <c r="U53" s="55"/>
      <c r="V53" s="19" t="s">
        <v>20</v>
      </c>
      <c r="W53" s="19" t="s">
        <v>20</v>
      </c>
      <c r="X53" s="19" t="s">
        <v>20</v>
      </c>
      <c r="Y53" s="19" t="s">
        <v>20</v>
      </c>
      <c r="Z53" s="52"/>
      <c r="AA53" s="19" t="s">
        <v>20</v>
      </c>
      <c r="AB53" s="19" t="s">
        <v>20</v>
      </c>
      <c r="AC53" s="19" t="s">
        <v>20</v>
      </c>
      <c r="AD53" s="19" t="s">
        <v>20</v>
      </c>
      <c r="AE53" s="19" t="s">
        <v>21</v>
      </c>
      <c r="AF53" s="19" t="s">
        <v>20</v>
      </c>
      <c r="AG53" s="52"/>
      <c r="AH53" s="19" t="s">
        <v>21</v>
      </c>
      <c r="AI53" s="4">
        <f t="shared" si="1"/>
        <v>13</v>
      </c>
      <c r="AJ53" s="4">
        <f t="shared" si="2"/>
        <v>10</v>
      </c>
    </row>
    <row r="54" spans="1:36" x14ac:dyDescent="0.25">
      <c r="A54" s="7">
        <v>29</v>
      </c>
      <c r="B54" s="11" t="s">
        <v>110</v>
      </c>
      <c r="C54" s="11" t="s">
        <v>718</v>
      </c>
      <c r="D54" s="19" t="s">
        <v>654</v>
      </c>
      <c r="E54" s="52"/>
      <c r="F54" s="19" t="s">
        <v>659</v>
      </c>
      <c r="G54" s="19" t="s">
        <v>20</v>
      </c>
      <c r="H54" s="19" t="s">
        <v>20</v>
      </c>
      <c r="I54" s="19" t="s">
        <v>20</v>
      </c>
      <c r="J54" s="55"/>
      <c r="K54" s="19" t="s">
        <v>21</v>
      </c>
      <c r="L54" s="52"/>
      <c r="M54" s="19" t="s">
        <v>20</v>
      </c>
      <c r="N54" s="19" t="s">
        <v>20</v>
      </c>
      <c r="O54" s="19" t="s">
        <v>21</v>
      </c>
      <c r="P54" s="19" t="s">
        <v>20</v>
      </c>
      <c r="Q54" s="19" t="s">
        <v>20</v>
      </c>
      <c r="R54" s="19" t="s">
        <v>20</v>
      </c>
      <c r="S54" s="52"/>
      <c r="T54" s="19" t="s">
        <v>21</v>
      </c>
      <c r="U54" s="55"/>
      <c r="V54" s="19" t="s">
        <v>20</v>
      </c>
      <c r="W54" s="19" t="s">
        <v>20</v>
      </c>
      <c r="X54" s="19" t="s">
        <v>20</v>
      </c>
      <c r="Y54" s="19" t="s">
        <v>20</v>
      </c>
      <c r="Z54" s="52"/>
      <c r="AA54" s="19" t="s">
        <v>20</v>
      </c>
      <c r="AB54" s="19" t="s">
        <v>20</v>
      </c>
      <c r="AC54" s="19" t="s">
        <v>20</v>
      </c>
      <c r="AD54" s="19" t="s">
        <v>20</v>
      </c>
      <c r="AE54" s="19" t="s">
        <v>20</v>
      </c>
      <c r="AF54" s="19" t="s">
        <v>21</v>
      </c>
      <c r="AG54" s="52"/>
      <c r="AH54" s="19" t="s">
        <v>21</v>
      </c>
      <c r="AI54" s="4">
        <f t="shared" si="1"/>
        <v>18</v>
      </c>
      <c r="AJ54" s="4">
        <f t="shared" si="2"/>
        <v>5</v>
      </c>
    </row>
    <row r="55" spans="1:36" x14ac:dyDescent="0.25">
      <c r="A55" s="5">
        <v>30</v>
      </c>
      <c r="B55" s="11" t="s">
        <v>719</v>
      </c>
      <c r="C55" s="11" t="s">
        <v>350</v>
      </c>
      <c r="D55" s="19" t="s">
        <v>654</v>
      </c>
      <c r="E55" s="52"/>
      <c r="F55" s="19" t="s">
        <v>659</v>
      </c>
      <c r="G55" s="19" t="s">
        <v>20</v>
      </c>
      <c r="H55" s="19" t="s">
        <v>20</v>
      </c>
      <c r="I55" s="19" t="s">
        <v>20</v>
      </c>
      <c r="J55" s="55"/>
      <c r="K55" s="19" t="s">
        <v>20</v>
      </c>
      <c r="L55" s="52"/>
      <c r="M55" s="19" t="s">
        <v>21</v>
      </c>
      <c r="N55" s="19" t="s">
        <v>20</v>
      </c>
      <c r="O55" s="19" t="s">
        <v>20</v>
      </c>
      <c r="P55" s="19" t="s">
        <v>20</v>
      </c>
      <c r="Q55" s="19" t="s">
        <v>20</v>
      </c>
      <c r="R55" s="19" t="s">
        <v>20</v>
      </c>
      <c r="S55" s="52"/>
      <c r="T55" s="19" t="s">
        <v>20</v>
      </c>
      <c r="U55" s="55"/>
      <c r="V55" s="19" t="s">
        <v>20</v>
      </c>
      <c r="W55" s="19" t="s">
        <v>20</v>
      </c>
      <c r="X55" s="19" t="s">
        <v>20</v>
      </c>
      <c r="Y55" s="19" t="s">
        <v>21</v>
      </c>
      <c r="Z55" s="52"/>
      <c r="AA55" s="19" t="s">
        <v>20</v>
      </c>
      <c r="AB55" s="19" t="s">
        <v>20</v>
      </c>
      <c r="AC55" s="19" t="s">
        <v>20</v>
      </c>
      <c r="AD55" s="19" t="s">
        <v>20</v>
      </c>
      <c r="AE55" s="19" t="s">
        <v>20</v>
      </c>
      <c r="AF55" s="19" t="s">
        <v>20</v>
      </c>
      <c r="AG55" s="52"/>
      <c r="AH55" s="19" t="s">
        <v>21</v>
      </c>
      <c r="AI55" s="4">
        <f t="shared" si="1"/>
        <v>20</v>
      </c>
      <c r="AJ55" s="4">
        <f t="shared" si="2"/>
        <v>3</v>
      </c>
    </row>
    <row r="56" spans="1:36" x14ac:dyDescent="0.25">
      <c r="A56" s="7">
        <v>31</v>
      </c>
      <c r="B56" s="39" t="s">
        <v>720</v>
      </c>
      <c r="C56" s="39" t="s">
        <v>271</v>
      </c>
      <c r="D56" s="36" t="s">
        <v>654</v>
      </c>
      <c r="E56" s="52"/>
      <c r="F56" s="36" t="s">
        <v>659</v>
      </c>
      <c r="G56" s="36" t="s">
        <v>20</v>
      </c>
      <c r="H56" s="36" t="s">
        <v>21</v>
      </c>
      <c r="I56" s="36" t="s">
        <v>21</v>
      </c>
      <c r="J56" s="55"/>
      <c r="K56" s="36" t="s">
        <v>20</v>
      </c>
      <c r="L56" s="52"/>
      <c r="M56" s="36" t="s">
        <v>20</v>
      </c>
      <c r="N56" s="36" t="s">
        <v>20</v>
      </c>
      <c r="O56" s="36" t="s">
        <v>20</v>
      </c>
      <c r="P56" s="36" t="s">
        <v>20</v>
      </c>
      <c r="Q56" s="36" t="s">
        <v>20</v>
      </c>
      <c r="R56" s="36" t="s">
        <v>20</v>
      </c>
      <c r="S56" s="52"/>
      <c r="T56" s="36" t="s">
        <v>20</v>
      </c>
      <c r="U56" s="55"/>
      <c r="V56" s="36" t="s">
        <v>20</v>
      </c>
      <c r="W56" s="36" t="s">
        <v>20</v>
      </c>
      <c r="X56" s="36" t="s">
        <v>20</v>
      </c>
      <c r="Y56" s="36" t="s">
        <v>20</v>
      </c>
      <c r="Z56" s="52"/>
      <c r="AA56" s="36" t="s">
        <v>20</v>
      </c>
      <c r="AB56" s="36" t="s">
        <v>20</v>
      </c>
      <c r="AC56" s="36" t="s">
        <v>20</v>
      </c>
      <c r="AD56" s="36" t="s">
        <v>20</v>
      </c>
      <c r="AE56" s="36" t="s">
        <v>20</v>
      </c>
      <c r="AF56" s="36" t="s">
        <v>20</v>
      </c>
      <c r="AG56" s="52"/>
      <c r="AH56" s="36" t="s">
        <v>20</v>
      </c>
      <c r="AI56" s="38">
        <f t="shared" si="1"/>
        <v>21</v>
      </c>
      <c r="AJ56" s="38">
        <f t="shared" si="2"/>
        <v>2</v>
      </c>
    </row>
    <row r="57" spans="1:36" x14ac:dyDescent="0.25">
      <c r="A57" s="5">
        <v>32</v>
      </c>
      <c r="B57" s="11" t="s">
        <v>721</v>
      </c>
      <c r="C57" s="11" t="s">
        <v>722</v>
      </c>
      <c r="D57" s="19" t="s">
        <v>654</v>
      </c>
      <c r="E57" s="53"/>
      <c r="F57" s="19" t="s">
        <v>21</v>
      </c>
      <c r="G57" s="19" t="s">
        <v>20</v>
      </c>
      <c r="H57" s="19" t="s">
        <v>21</v>
      </c>
      <c r="I57" s="19" t="s">
        <v>21</v>
      </c>
      <c r="J57" s="56"/>
      <c r="K57" s="19" t="s">
        <v>21</v>
      </c>
      <c r="L57" s="53"/>
      <c r="M57" s="19" t="s">
        <v>20</v>
      </c>
      <c r="N57" s="19" t="s">
        <v>20</v>
      </c>
      <c r="O57" s="19" t="s">
        <v>20</v>
      </c>
      <c r="P57" s="19" t="s">
        <v>20</v>
      </c>
      <c r="Q57" s="19" t="s">
        <v>20</v>
      </c>
      <c r="R57" s="19" t="s">
        <v>20</v>
      </c>
      <c r="S57" s="53"/>
      <c r="T57" s="19" t="s">
        <v>21</v>
      </c>
      <c r="U57" s="56"/>
      <c r="V57" s="19" t="s">
        <v>20</v>
      </c>
      <c r="W57" s="19" t="s">
        <v>20</v>
      </c>
      <c r="X57" s="19" t="s">
        <v>20</v>
      </c>
      <c r="Y57" s="19" t="s">
        <v>20</v>
      </c>
      <c r="Z57" s="53"/>
      <c r="AA57" s="19" t="s">
        <v>20</v>
      </c>
      <c r="AB57" s="19" t="s">
        <v>20</v>
      </c>
      <c r="AC57" s="19" t="s">
        <v>20</v>
      </c>
      <c r="AD57" s="19" t="s">
        <v>20</v>
      </c>
      <c r="AE57" s="19" t="s">
        <v>20</v>
      </c>
      <c r="AF57" s="19" t="s">
        <v>20</v>
      </c>
      <c r="AG57" s="53"/>
      <c r="AH57" s="19" t="s">
        <v>20</v>
      </c>
      <c r="AI57" s="4">
        <f t="shared" si="1"/>
        <v>18</v>
      </c>
      <c r="AJ57" s="4">
        <f t="shared" si="2"/>
        <v>5</v>
      </c>
    </row>
    <row r="58" spans="1:36" ht="15.75" x14ac:dyDescent="0.25">
      <c r="J58" s="40"/>
    </row>
  </sheetData>
  <mergeCells count="17">
    <mergeCell ref="AK3:AL3"/>
    <mergeCell ref="A1:AJ1"/>
    <mergeCell ref="A2:AJ2"/>
    <mergeCell ref="A3:A4"/>
    <mergeCell ref="B3:B4"/>
    <mergeCell ref="C3:C4"/>
    <mergeCell ref="D3:D4"/>
    <mergeCell ref="AI3:AI4"/>
    <mergeCell ref="AJ3:AJ4"/>
    <mergeCell ref="AG5:AG57"/>
    <mergeCell ref="AK10:AN10"/>
    <mergeCell ref="E5:E57"/>
    <mergeCell ref="J5:J57"/>
    <mergeCell ref="L5:L57"/>
    <mergeCell ref="S5:S57"/>
    <mergeCell ref="U5:U57"/>
    <mergeCell ref="Z5:Z57"/>
  </mergeCells>
  <conditionalFormatting sqref="E5:Z5 AG5 AA5:AF57 AH5:AH57 F6:I57 K6:K57 M6:R57 T6:T57 V6:Y57 E4:AH4">
    <cfRule type="expression" dxfId="165" priority="17">
      <formula>IF(E$4=TODAY(),TRUE,FALSE)</formula>
    </cfRule>
  </conditionalFormatting>
  <conditionalFormatting sqref="E5:Z5 AG5 AA5:AF57 AH5:AH57 F6:I57 K6:K57 M6:R57 T6:T57 V6:Y57">
    <cfRule type="cellIs" dxfId="164" priority="14" operator="equal">
      <formula>"L"</formula>
    </cfRule>
    <cfRule type="cellIs" dxfId="163" priority="15" operator="equal">
      <formula>"A"</formula>
    </cfRule>
    <cfRule type="cellIs" dxfId="162" priority="16" operator="equal">
      <formula>"P"</formula>
    </cfRule>
  </conditionalFormatting>
  <conditionalFormatting sqref="E3:AH4 E5:Z5 AG5 AA5:AF57 AH5:AH57 F6:I57 K6:K57 M6:R57 T6:T57 V6:Y57">
    <cfRule type="expression" dxfId="161" priority="18">
      <formula>E$3="Sun"</formula>
    </cfRule>
  </conditionalFormatting>
  <conditionalFormatting sqref="AI3:AJ3 AI5:AJ57">
    <cfRule type="expression" dxfId="160" priority="19">
      <formula>#REF!="Sun"</formula>
    </cfRule>
  </conditionalFormatting>
  <conditionalFormatting sqref="AK5:AK8">
    <cfRule type="expression" dxfId="159" priority="5">
      <formula>AK$3="Sun"</formula>
    </cfRule>
  </conditionalFormatting>
  <conditionalFormatting sqref="AK11:AK14">
    <cfRule type="expression" dxfId="158" priority="2">
      <formula>AK$3="Sun"</formula>
    </cfRule>
  </conditionalFormatting>
  <conditionalFormatting sqref="AK19:AK22">
    <cfRule type="expression" dxfId="157" priority="1">
      <formula>AK$3="Sun"</formula>
    </cfRule>
  </conditionalFormatting>
  <conditionalFormatting sqref="AK4:AL4">
    <cfRule type="expression" dxfId="156" priority="6">
      <formula>AK$3="Sun"</formula>
    </cfRule>
  </conditionalFormatting>
  <conditionalFormatting sqref="AL11:AN11 AL19:AN19">
    <cfRule type="expression" dxfId="155" priority="7">
      <formula>AL$3="Sun"</formula>
    </cfRule>
  </conditionalFormatting>
  <conditionalFormatting sqref="AN20">
    <cfRule type="expression" dxfId="154" priority="4">
      <formula>AN$3="Sun"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8BE2B-3048-49E3-BC18-AAE017CDCB94}">
  <dimension ref="A1:AN50"/>
  <sheetViews>
    <sheetView topLeftCell="E4" workbookViewId="0">
      <selection activeCell="AL13" sqref="AL13"/>
    </sheetView>
  </sheetViews>
  <sheetFormatPr defaultColWidth="3.85546875" defaultRowHeight="15" x14ac:dyDescent="0.2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3.85546875" style="1" bestFit="1"/>
    <col min="6" max="7" width="3.7109375" style="1" bestFit="1" customWidth="1"/>
    <col min="8" max="8" width="3.85546875" style="1" bestFit="1"/>
    <col min="9" max="9" width="4.5703125" style="1" bestFit="1" customWidth="1"/>
    <col min="10" max="20" width="4.5703125" style="1" customWidth="1"/>
    <col min="21" max="21" width="4" style="1" bestFit="1" customWidth="1"/>
    <col min="22" max="22" width="3.85546875" style="1" bestFit="1"/>
    <col min="23" max="23" width="4.7109375" style="1" bestFit="1" customWidth="1"/>
    <col min="24" max="24" width="3.85546875" style="1" bestFit="1"/>
    <col min="25" max="26" width="3.7109375" style="1" bestFit="1" customWidth="1"/>
    <col min="27" max="27" width="3.85546875" style="1" bestFit="1"/>
    <col min="28" max="28" width="4.5703125" style="1" bestFit="1" customWidth="1"/>
    <col min="29" max="29" width="3.85546875" style="1" bestFit="1"/>
    <col min="30" max="30" width="4.7109375" style="1" bestFit="1" customWidth="1"/>
    <col min="31" max="31" width="3.85546875" style="1" bestFit="1"/>
    <col min="32" max="32" width="3.7109375" style="1" bestFit="1" customWidth="1"/>
    <col min="33" max="34" width="3.7109375" style="1" customWidth="1"/>
    <col min="35" max="36" width="6.7109375" style="1" bestFit="1" customWidth="1"/>
    <col min="37" max="37" width="18.5703125" style="1" bestFit="1" customWidth="1"/>
    <col min="38" max="38" width="5.85546875" style="1" bestFit="1" customWidth="1"/>
    <col min="39" max="39" width="14.28515625" style="1" bestFit="1" customWidth="1"/>
    <col min="40" max="40" width="6.7109375" style="1" bestFit="1" customWidth="1"/>
    <col min="41" max="16384" width="3.85546875" style="1"/>
  </cols>
  <sheetData>
    <row r="1" spans="1:40" ht="17.25" x14ac:dyDescent="0.25">
      <c r="A1" s="47" t="s">
        <v>19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</row>
    <row r="2" spans="1:40" ht="17.25" x14ac:dyDescent="0.3">
      <c r="A2" s="48" t="s">
        <v>183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</row>
    <row r="3" spans="1:40" ht="15.75" x14ac:dyDescent="0.25">
      <c r="A3" s="49" t="s">
        <v>0</v>
      </c>
      <c r="B3" s="49" t="s">
        <v>1</v>
      </c>
      <c r="C3" s="49" t="s">
        <v>2</v>
      </c>
      <c r="D3" s="49" t="s">
        <v>3</v>
      </c>
      <c r="E3" s="2" t="str">
        <f t="shared" ref="E3:AH3" si="0">TEXT(E4,"ddd")</f>
        <v>Sun</v>
      </c>
      <c r="F3" s="2" t="str">
        <f t="shared" si="0"/>
        <v>Mon</v>
      </c>
      <c r="G3" s="2" t="str">
        <f t="shared" si="0"/>
        <v>Tue</v>
      </c>
      <c r="H3" s="2" t="str">
        <f t="shared" si="0"/>
        <v>Wed</v>
      </c>
      <c r="I3" s="2" t="str">
        <f t="shared" si="0"/>
        <v>Thu</v>
      </c>
      <c r="J3" s="2" t="str">
        <f t="shared" si="0"/>
        <v>Fri</v>
      </c>
      <c r="K3" s="2" t="str">
        <f t="shared" si="0"/>
        <v>Sat</v>
      </c>
      <c r="L3" s="2" t="str">
        <f t="shared" si="0"/>
        <v>Sun</v>
      </c>
      <c r="M3" s="2" t="str">
        <f t="shared" si="0"/>
        <v>Mon</v>
      </c>
      <c r="N3" s="2" t="str">
        <f t="shared" si="0"/>
        <v>Tue</v>
      </c>
      <c r="O3" s="2" t="str">
        <f t="shared" si="0"/>
        <v>Wed</v>
      </c>
      <c r="P3" s="2" t="str">
        <f t="shared" si="0"/>
        <v>Thu</v>
      </c>
      <c r="Q3" s="2" t="str">
        <f t="shared" si="0"/>
        <v>Fri</v>
      </c>
      <c r="R3" s="2" t="str">
        <f t="shared" si="0"/>
        <v>Sat</v>
      </c>
      <c r="S3" s="2" t="str">
        <f t="shared" si="0"/>
        <v>Sun</v>
      </c>
      <c r="T3" s="2" t="str">
        <f t="shared" si="0"/>
        <v>Mon</v>
      </c>
      <c r="U3" s="2" t="str">
        <f t="shared" si="0"/>
        <v>Tue</v>
      </c>
      <c r="V3" s="2" t="str">
        <f t="shared" si="0"/>
        <v>Wed</v>
      </c>
      <c r="W3" s="2" t="str">
        <f t="shared" si="0"/>
        <v>Thu</v>
      </c>
      <c r="X3" s="2" t="str">
        <f t="shared" si="0"/>
        <v>Fri</v>
      </c>
      <c r="Y3" s="2" t="str">
        <f t="shared" si="0"/>
        <v>Sat</v>
      </c>
      <c r="Z3" s="2" t="str">
        <f t="shared" si="0"/>
        <v>Sun</v>
      </c>
      <c r="AA3" s="2" t="str">
        <f t="shared" si="0"/>
        <v>Mon</v>
      </c>
      <c r="AB3" s="2" t="str">
        <f t="shared" si="0"/>
        <v>Tue</v>
      </c>
      <c r="AC3" s="2" t="str">
        <f t="shared" si="0"/>
        <v>Wed</v>
      </c>
      <c r="AD3" s="2" t="str">
        <f t="shared" si="0"/>
        <v>Thu</v>
      </c>
      <c r="AE3" s="2" t="str">
        <f t="shared" si="0"/>
        <v>Fri</v>
      </c>
      <c r="AF3" s="2" t="str">
        <f t="shared" si="0"/>
        <v>Sat</v>
      </c>
      <c r="AG3" s="2" t="str">
        <f t="shared" si="0"/>
        <v>Sun</v>
      </c>
      <c r="AH3" s="2" t="str">
        <f t="shared" si="0"/>
        <v>Mon</v>
      </c>
      <c r="AI3" s="45" t="s">
        <v>4</v>
      </c>
      <c r="AJ3" s="45" t="s">
        <v>5</v>
      </c>
      <c r="AK3" s="42" t="s">
        <v>17</v>
      </c>
      <c r="AL3" s="43"/>
      <c r="AM3" s="3"/>
      <c r="AN3" s="3"/>
    </row>
    <row r="4" spans="1:40" ht="36" x14ac:dyDescent="0.25">
      <c r="A4" s="50"/>
      <c r="B4" s="50"/>
      <c r="C4" s="50"/>
      <c r="D4" s="50"/>
      <c r="E4" s="10">
        <v>45536</v>
      </c>
      <c r="F4" s="10">
        <v>45537</v>
      </c>
      <c r="G4" s="10">
        <v>45538</v>
      </c>
      <c r="H4" s="10">
        <v>45539</v>
      </c>
      <c r="I4" s="10">
        <v>45540</v>
      </c>
      <c r="J4" s="10">
        <v>45541</v>
      </c>
      <c r="K4" s="10">
        <v>45542</v>
      </c>
      <c r="L4" s="10">
        <v>45543</v>
      </c>
      <c r="M4" s="10">
        <v>45544</v>
      </c>
      <c r="N4" s="10">
        <v>45545</v>
      </c>
      <c r="O4" s="10">
        <v>45546</v>
      </c>
      <c r="P4" s="10">
        <v>45547</v>
      </c>
      <c r="Q4" s="10">
        <v>45548</v>
      </c>
      <c r="R4" s="10">
        <v>45549</v>
      </c>
      <c r="S4" s="10">
        <v>45550</v>
      </c>
      <c r="T4" s="10">
        <v>45551</v>
      </c>
      <c r="U4" s="10">
        <v>45552</v>
      </c>
      <c r="V4" s="10">
        <v>45553</v>
      </c>
      <c r="W4" s="10">
        <v>45554</v>
      </c>
      <c r="X4" s="10">
        <v>45555</v>
      </c>
      <c r="Y4" s="10">
        <v>45556</v>
      </c>
      <c r="Z4" s="10">
        <v>45557</v>
      </c>
      <c r="AA4" s="10">
        <v>45558</v>
      </c>
      <c r="AB4" s="10">
        <v>45559</v>
      </c>
      <c r="AC4" s="10">
        <v>45560</v>
      </c>
      <c r="AD4" s="10">
        <v>45561</v>
      </c>
      <c r="AE4" s="10">
        <v>45562</v>
      </c>
      <c r="AF4" s="10">
        <v>45563</v>
      </c>
      <c r="AG4" s="10">
        <v>45564</v>
      </c>
      <c r="AH4" s="10">
        <v>45565</v>
      </c>
      <c r="AI4" s="45"/>
      <c r="AJ4" s="45"/>
      <c r="AK4" s="4" t="s">
        <v>103</v>
      </c>
      <c r="AL4" s="4">
        <f>SUM(AL5:AL8)</f>
        <v>30</v>
      </c>
      <c r="AM4" s="3"/>
      <c r="AN4" s="3"/>
    </row>
    <row r="5" spans="1:40" ht="15" customHeight="1" x14ac:dyDescent="0.25">
      <c r="A5" s="7">
        <v>1</v>
      </c>
      <c r="B5" s="11" t="s">
        <v>723</v>
      </c>
      <c r="C5" s="11" t="s">
        <v>724</v>
      </c>
      <c r="D5" s="19" t="s">
        <v>725</v>
      </c>
      <c r="E5" s="51" t="s">
        <v>109</v>
      </c>
      <c r="F5" s="19" t="s">
        <v>21</v>
      </c>
      <c r="G5" s="19" t="s">
        <v>21</v>
      </c>
      <c r="H5" s="19" t="s">
        <v>21</v>
      </c>
      <c r="I5" s="19" t="s">
        <v>21</v>
      </c>
      <c r="J5" s="19" t="s">
        <v>21</v>
      </c>
      <c r="K5" s="19" t="s">
        <v>20</v>
      </c>
      <c r="L5" s="51" t="s">
        <v>109</v>
      </c>
      <c r="M5" s="19" t="s">
        <v>20</v>
      </c>
      <c r="N5" s="19" t="s">
        <v>20</v>
      </c>
      <c r="O5" s="19" t="s">
        <v>20</v>
      </c>
      <c r="P5" s="19" t="s">
        <v>20</v>
      </c>
      <c r="Q5" s="19" t="s">
        <v>20</v>
      </c>
      <c r="R5" s="19" t="s">
        <v>21</v>
      </c>
      <c r="S5" s="51" t="s">
        <v>109</v>
      </c>
      <c r="T5" s="19" t="s">
        <v>21</v>
      </c>
      <c r="U5" s="41" t="s">
        <v>101</v>
      </c>
      <c r="V5" s="19" t="s">
        <v>20</v>
      </c>
      <c r="W5" s="19" t="s">
        <v>20</v>
      </c>
      <c r="X5" s="19" t="s">
        <v>20</v>
      </c>
      <c r="Y5" s="19" t="s">
        <v>20</v>
      </c>
      <c r="Z5" s="51" t="s">
        <v>109</v>
      </c>
      <c r="AA5" s="19" t="s">
        <v>20</v>
      </c>
      <c r="AB5" s="19" t="s">
        <v>20</v>
      </c>
      <c r="AC5" s="19" t="s">
        <v>20</v>
      </c>
      <c r="AD5" s="19" t="s">
        <v>20</v>
      </c>
      <c r="AE5" s="19" t="s">
        <v>21</v>
      </c>
      <c r="AF5" s="19" t="s">
        <v>20</v>
      </c>
      <c r="AG5" s="51" t="s">
        <v>109</v>
      </c>
      <c r="AH5" s="19" t="s">
        <v>20</v>
      </c>
      <c r="AI5" s="4">
        <f t="shared" ref="AI5:AI50" si="1">COUNTIF(E5:AH5,"P")</f>
        <v>16</v>
      </c>
      <c r="AJ5" s="4">
        <f t="shared" ref="AJ5:AJ50" si="2">COUNTIF(E5:AH5,"A")</f>
        <v>8</v>
      </c>
      <c r="AK5" s="4" t="s">
        <v>6</v>
      </c>
      <c r="AL5" s="7">
        <v>23</v>
      </c>
      <c r="AM5" s="8"/>
      <c r="AN5" s="3"/>
    </row>
    <row r="6" spans="1:40" x14ac:dyDescent="0.25">
      <c r="A6" s="7">
        <v>2</v>
      </c>
      <c r="B6" s="11" t="s">
        <v>209</v>
      </c>
      <c r="C6" s="11" t="s">
        <v>557</v>
      </c>
      <c r="D6" s="19" t="s">
        <v>725</v>
      </c>
      <c r="E6" s="52"/>
      <c r="F6" s="19" t="s">
        <v>20</v>
      </c>
      <c r="G6" s="19" t="s">
        <v>20</v>
      </c>
      <c r="H6" s="19" t="s">
        <v>20</v>
      </c>
      <c r="I6" s="19" t="s">
        <v>20</v>
      </c>
      <c r="J6" s="19" t="s">
        <v>20</v>
      </c>
      <c r="K6" s="19" t="s">
        <v>20</v>
      </c>
      <c r="L6" s="52"/>
      <c r="M6" s="19" t="s">
        <v>20</v>
      </c>
      <c r="N6" s="19" t="s">
        <v>20</v>
      </c>
      <c r="O6" s="19" t="s">
        <v>20</v>
      </c>
      <c r="P6" s="19" t="s">
        <v>20</v>
      </c>
      <c r="Q6" s="19" t="s">
        <v>20</v>
      </c>
      <c r="R6" s="19" t="s">
        <v>20</v>
      </c>
      <c r="S6" s="52"/>
      <c r="T6" s="19" t="s">
        <v>20</v>
      </c>
      <c r="U6" s="41"/>
      <c r="V6" s="19" t="s">
        <v>20</v>
      </c>
      <c r="W6" s="19" t="s">
        <v>20</v>
      </c>
      <c r="X6" s="19" t="s">
        <v>20</v>
      </c>
      <c r="Y6" s="19" t="s">
        <v>20</v>
      </c>
      <c r="Z6" s="52"/>
      <c r="AA6" s="19" t="s">
        <v>20</v>
      </c>
      <c r="AB6" s="19" t="s">
        <v>20</v>
      </c>
      <c r="AC6" s="19" t="s">
        <v>20</v>
      </c>
      <c r="AD6" s="19" t="s">
        <v>20</v>
      </c>
      <c r="AE6" s="19" t="s">
        <v>20</v>
      </c>
      <c r="AF6" s="19" t="s">
        <v>20</v>
      </c>
      <c r="AG6" s="52"/>
      <c r="AH6" s="19" t="s">
        <v>20</v>
      </c>
      <c r="AI6" s="4">
        <f t="shared" si="1"/>
        <v>24</v>
      </c>
      <c r="AJ6" s="4">
        <f t="shared" si="2"/>
        <v>0</v>
      </c>
      <c r="AK6" s="4" t="s">
        <v>7</v>
      </c>
      <c r="AL6" s="7">
        <v>5</v>
      </c>
      <c r="AM6" s="3"/>
      <c r="AN6" s="3"/>
    </row>
    <row r="7" spans="1:40" x14ac:dyDescent="0.25">
      <c r="A7" s="7">
        <v>3</v>
      </c>
      <c r="B7" s="11" t="s">
        <v>726</v>
      </c>
      <c r="C7" s="11" t="s">
        <v>727</v>
      </c>
      <c r="D7" s="19" t="s">
        <v>725</v>
      </c>
      <c r="E7" s="52"/>
      <c r="F7" s="19" t="s">
        <v>20</v>
      </c>
      <c r="G7" s="19" t="s">
        <v>20</v>
      </c>
      <c r="H7" s="19" t="s">
        <v>20</v>
      </c>
      <c r="I7" s="19" t="s">
        <v>20</v>
      </c>
      <c r="J7" s="19" t="s">
        <v>21</v>
      </c>
      <c r="K7" s="19" t="s">
        <v>21</v>
      </c>
      <c r="L7" s="52"/>
      <c r="M7" s="19" t="s">
        <v>20</v>
      </c>
      <c r="N7" s="19" t="s">
        <v>20</v>
      </c>
      <c r="O7" s="19" t="s">
        <v>20</v>
      </c>
      <c r="P7" s="19" t="s">
        <v>20</v>
      </c>
      <c r="Q7" s="19" t="s">
        <v>20</v>
      </c>
      <c r="R7" s="19" t="s">
        <v>21</v>
      </c>
      <c r="S7" s="52"/>
      <c r="T7" s="19" t="s">
        <v>21</v>
      </c>
      <c r="U7" s="41"/>
      <c r="V7" s="19" t="s">
        <v>20</v>
      </c>
      <c r="W7" s="19" t="s">
        <v>20</v>
      </c>
      <c r="X7" s="19" t="s">
        <v>20</v>
      </c>
      <c r="Y7" s="19" t="s">
        <v>20</v>
      </c>
      <c r="Z7" s="52"/>
      <c r="AA7" s="19" t="s">
        <v>20</v>
      </c>
      <c r="AB7" s="19" t="s">
        <v>20</v>
      </c>
      <c r="AC7" s="19" t="s">
        <v>20</v>
      </c>
      <c r="AD7" s="19" t="s">
        <v>20</v>
      </c>
      <c r="AE7" s="19" t="s">
        <v>20</v>
      </c>
      <c r="AF7" s="19" t="s">
        <v>20</v>
      </c>
      <c r="AG7" s="52"/>
      <c r="AH7" s="19" t="s">
        <v>20</v>
      </c>
      <c r="AI7" s="4">
        <f t="shared" si="1"/>
        <v>20</v>
      </c>
      <c r="AJ7" s="4">
        <f t="shared" si="2"/>
        <v>4</v>
      </c>
      <c r="AK7" s="4" t="s">
        <v>784</v>
      </c>
      <c r="AL7" s="7">
        <v>1</v>
      </c>
      <c r="AM7" s="3"/>
      <c r="AN7" s="3"/>
    </row>
    <row r="8" spans="1:40" x14ac:dyDescent="0.25">
      <c r="A8" s="7">
        <v>4</v>
      </c>
      <c r="B8" s="11" t="s">
        <v>728</v>
      </c>
      <c r="C8" s="11" t="s">
        <v>289</v>
      </c>
      <c r="D8" s="19" t="s">
        <v>725</v>
      </c>
      <c r="E8" s="52"/>
      <c r="F8" s="19" t="s">
        <v>20</v>
      </c>
      <c r="G8" s="19" t="s">
        <v>20</v>
      </c>
      <c r="H8" s="19" t="s">
        <v>20</v>
      </c>
      <c r="I8" s="19" t="s">
        <v>20</v>
      </c>
      <c r="J8" s="19" t="s">
        <v>21</v>
      </c>
      <c r="K8" s="19" t="s">
        <v>20</v>
      </c>
      <c r="L8" s="52"/>
      <c r="M8" s="19" t="s">
        <v>20</v>
      </c>
      <c r="N8" s="19" t="s">
        <v>20</v>
      </c>
      <c r="O8" s="19" t="s">
        <v>20</v>
      </c>
      <c r="P8" s="19" t="s">
        <v>20</v>
      </c>
      <c r="Q8" s="19" t="s">
        <v>20</v>
      </c>
      <c r="R8" s="19" t="s">
        <v>20</v>
      </c>
      <c r="S8" s="52"/>
      <c r="T8" s="19" t="s">
        <v>21</v>
      </c>
      <c r="U8" s="41"/>
      <c r="V8" s="19" t="s">
        <v>20</v>
      </c>
      <c r="W8" s="19" t="s">
        <v>20</v>
      </c>
      <c r="X8" s="19" t="s">
        <v>20</v>
      </c>
      <c r="Y8" s="19" t="s">
        <v>20</v>
      </c>
      <c r="Z8" s="52"/>
      <c r="AA8" s="19" t="s">
        <v>20</v>
      </c>
      <c r="AB8" s="19" t="s">
        <v>20</v>
      </c>
      <c r="AC8" s="19" t="s">
        <v>21</v>
      </c>
      <c r="AD8" s="19" t="s">
        <v>20</v>
      </c>
      <c r="AE8" s="19" t="s">
        <v>21</v>
      </c>
      <c r="AF8" s="19" t="s">
        <v>21</v>
      </c>
      <c r="AG8" s="52"/>
      <c r="AH8" s="19" t="s">
        <v>20</v>
      </c>
      <c r="AI8" s="4">
        <f t="shared" si="1"/>
        <v>19</v>
      </c>
      <c r="AJ8" s="4">
        <f t="shared" si="2"/>
        <v>5</v>
      </c>
      <c r="AK8" s="4" t="s">
        <v>105</v>
      </c>
      <c r="AL8" s="7">
        <v>1</v>
      </c>
      <c r="AM8"/>
      <c r="AN8"/>
    </row>
    <row r="9" spans="1:40" x14ac:dyDescent="0.25">
      <c r="A9" s="7">
        <v>5</v>
      </c>
      <c r="B9" s="11" t="s">
        <v>729</v>
      </c>
      <c r="C9" s="11" t="s">
        <v>249</v>
      </c>
      <c r="D9" s="19" t="s">
        <v>725</v>
      </c>
      <c r="E9" s="52"/>
      <c r="F9" s="19" t="s">
        <v>20</v>
      </c>
      <c r="G9" s="19" t="s">
        <v>20</v>
      </c>
      <c r="H9" s="19" t="s">
        <v>21</v>
      </c>
      <c r="I9" s="19" t="s">
        <v>20</v>
      </c>
      <c r="J9" s="19" t="s">
        <v>21</v>
      </c>
      <c r="K9" s="19" t="s">
        <v>20</v>
      </c>
      <c r="L9" s="52"/>
      <c r="M9" s="19" t="s">
        <v>20</v>
      </c>
      <c r="N9" s="19" t="s">
        <v>20</v>
      </c>
      <c r="O9" s="19" t="s">
        <v>20</v>
      </c>
      <c r="P9" s="19" t="s">
        <v>21</v>
      </c>
      <c r="Q9" s="19" t="s">
        <v>20</v>
      </c>
      <c r="R9" s="19" t="s">
        <v>21</v>
      </c>
      <c r="S9" s="52"/>
      <c r="T9" s="19" t="s">
        <v>20</v>
      </c>
      <c r="U9" s="41"/>
      <c r="V9" s="19" t="s">
        <v>20</v>
      </c>
      <c r="W9" s="19" t="s">
        <v>21</v>
      </c>
      <c r="X9" s="19" t="s">
        <v>21</v>
      </c>
      <c r="Y9" s="19" t="s">
        <v>21</v>
      </c>
      <c r="Z9" s="52"/>
      <c r="AA9" s="19" t="s">
        <v>20</v>
      </c>
      <c r="AB9" s="19" t="s">
        <v>20</v>
      </c>
      <c r="AC9" s="19" t="s">
        <v>21</v>
      </c>
      <c r="AD9" s="19" t="s">
        <v>20</v>
      </c>
      <c r="AE9" s="19" t="s">
        <v>20</v>
      </c>
      <c r="AF9" s="19" t="s">
        <v>21</v>
      </c>
      <c r="AG9" s="52"/>
      <c r="AH9" s="19" t="s">
        <v>20</v>
      </c>
      <c r="AI9" s="4">
        <f t="shared" si="1"/>
        <v>15</v>
      </c>
      <c r="AJ9" s="4">
        <f t="shared" si="2"/>
        <v>9</v>
      </c>
    </row>
    <row r="10" spans="1:40" ht="15.75" x14ac:dyDescent="0.25">
      <c r="A10" s="7">
        <v>6</v>
      </c>
      <c r="B10" s="11" t="s">
        <v>730</v>
      </c>
      <c r="C10" s="11" t="s">
        <v>731</v>
      </c>
      <c r="D10" s="19" t="s">
        <v>725</v>
      </c>
      <c r="E10" s="52"/>
      <c r="F10" s="19" t="s">
        <v>20</v>
      </c>
      <c r="G10" s="19" t="s">
        <v>20</v>
      </c>
      <c r="H10" s="19" t="s">
        <v>20</v>
      </c>
      <c r="I10" s="19" t="s">
        <v>20</v>
      </c>
      <c r="J10" s="19" t="s">
        <v>21</v>
      </c>
      <c r="K10" s="19" t="s">
        <v>20</v>
      </c>
      <c r="L10" s="52"/>
      <c r="M10" s="19" t="s">
        <v>20</v>
      </c>
      <c r="N10" s="19" t="s">
        <v>20</v>
      </c>
      <c r="O10" s="19" t="s">
        <v>20</v>
      </c>
      <c r="P10" s="19" t="s">
        <v>20</v>
      </c>
      <c r="Q10" s="19" t="s">
        <v>20</v>
      </c>
      <c r="R10" s="19" t="s">
        <v>21</v>
      </c>
      <c r="S10" s="52"/>
      <c r="T10" s="19" t="s">
        <v>20</v>
      </c>
      <c r="U10" s="41"/>
      <c r="V10" s="19" t="s">
        <v>20</v>
      </c>
      <c r="W10" s="19" t="s">
        <v>21</v>
      </c>
      <c r="X10" s="19" t="s">
        <v>21</v>
      </c>
      <c r="Y10" s="19" t="s">
        <v>21</v>
      </c>
      <c r="Z10" s="52"/>
      <c r="AA10" s="19" t="s">
        <v>20</v>
      </c>
      <c r="AB10" s="19" t="s">
        <v>20</v>
      </c>
      <c r="AC10" s="19" t="s">
        <v>20</v>
      </c>
      <c r="AD10" s="19" t="s">
        <v>20</v>
      </c>
      <c r="AE10" s="19" t="s">
        <v>20</v>
      </c>
      <c r="AF10" s="19" t="s">
        <v>20</v>
      </c>
      <c r="AG10" s="52"/>
      <c r="AH10" s="19" t="s">
        <v>20</v>
      </c>
      <c r="AI10" s="4">
        <f t="shared" si="1"/>
        <v>19</v>
      </c>
      <c r="AJ10" s="4">
        <f t="shared" si="2"/>
        <v>5</v>
      </c>
      <c r="AK10" s="42" t="s">
        <v>8</v>
      </c>
      <c r="AL10" s="43"/>
      <c r="AM10" s="43"/>
      <c r="AN10" s="44"/>
    </row>
    <row r="11" spans="1:40" x14ac:dyDescent="0.25">
      <c r="A11" s="7">
        <v>7</v>
      </c>
      <c r="B11" s="11" t="s">
        <v>732</v>
      </c>
      <c r="C11" s="11" t="s">
        <v>98</v>
      </c>
      <c r="D11" s="19" t="s">
        <v>725</v>
      </c>
      <c r="E11" s="52"/>
      <c r="F11" s="19" t="s">
        <v>20</v>
      </c>
      <c r="G11" s="19" t="s">
        <v>20</v>
      </c>
      <c r="H11" s="19" t="s">
        <v>21</v>
      </c>
      <c r="I11" s="19" t="s">
        <v>20</v>
      </c>
      <c r="J11" s="19" t="s">
        <v>21</v>
      </c>
      <c r="K11" s="19" t="s">
        <v>20</v>
      </c>
      <c r="L11" s="52"/>
      <c r="M11" s="19" t="s">
        <v>20</v>
      </c>
      <c r="N11" s="19" t="s">
        <v>20</v>
      </c>
      <c r="O11" s="19" t="s">
        <v>20</v>
      </c>
      <c r="P11" s="19" t="s">
        <v>20</v>
      </c>
      <c r="Q11" s="19" t="s">
        <v>20</v>
      </c>
      <c r="R11" s="19" t="s">
        <v>21</v>
      </c>
      <c r="S11" s="52"/>
      <c r="T11" s="19" t="s">
        <v>21</v>
      </c>
      <c r="U11" s="41"/>
      <c r="V11" s="19" t="s">
        <v>20</v>
      </c>
      <c r="W11" s="19" t="s">
        <v>20</v>
      </c>
      <c r="X11" s="19" t="s">
        <v>20</v>
      </c>
      <c r="Y11" s="19" t="s">
        <v>20</v>
      </c>
      <c r="Z11" s="52"/>
      <c r="AA11" s="19" t="s">
        <v>20</v>
      </c>
      <c r="AB11" s="19" t="s">
        <v>21</v>
      </c>
      <c r="AC11" s="19" t="s">
        <v>20</v>
      </c>
      <c r="AD11" s="19" t="s">
        <v>20</v>
      </c>
      <c r="AE11" s="19" t="s">
        <v>21</v>
      </c>
      <c r="AF11" s="19" t="s">
        <v>20</v>
      </c>
      <c r="AG11" s="52"/>
      <c r="AH11" s="19" t="s">
        <v>20</v>
      </c>
      <c r="AI11" s="4">
        <f t="shared" si="1"/>
        <v>18</v>
      </c>
      <c r="AJ11" s="4">
        <f t="shared" si="2"/>
        <v>6</v>
      </c>
      <c r="AK11" s="4" t="s">
        <v>9</v>
      </c>
      <c r="AL11" s="4" t="s">
        <v>10</v>
      </c>
      <c r="AM11" s="4" t="s">
        <v>11</v>
      </c>
      <c r="AN11" s="4" t="s">
        <v>12</v>
      </c>
    </row>
    <row r="12" spans="1:40" x14ac:dyDescent="0.25">
      <c r="A12" s="7">
        <v>8</v>
      </c>
      <c r="B12" s="11" t="s">
        <v>733</v>
      </c>
      <c r="C12" s="11" t="s">
        <v>694</v>
      </c>
      <c r="D12" s="19" t="s">
        <v>725</v>
      </c>
      <c r="E12" s="52"/>
      <c r="F12" s="19" t="s">
        <v>21</v>
      </c>
      <c r="G12" s="19" t="s">
        <v>21</v>
      </c>
      <c r="H12" s="19" t="s">
        <v>21</v>
      </c>
      <c r="I12" s="19" t="s">
        <v>21</v>
      </c>
      <c r="J12" s="19" t="s">
        <v>21</v>
      </c>
      <c r="K12" s="19" t="s">
        <v>21</v>
      </c>
      <c r="L12" s="52"/>
      <c r="M12" s="19" t="s">
        <v>20</v>
      </c>
      <c r="N12" s="19" t="s">
        <v>20</v>
      </c>
      <c r="O12" s="19" t="s">
        <v>20</v>
      </c>
      <c r="P12" s="19" t="s">
        <v>20</v>
      </c>
      <c r="Q12" s="19" t="s">
        <v>20</v>
      </c>
      <c r="R12" s="19" t="s">
        <v>20</v>
      </c>
      <c r="S12" s="52"/>
      <c r="T12" s="19" t="s">
        <v>21</v>
      </c>
      <c r="U12" s="41"/>
      <c r="V12" s="19" t="s">
        <v>20</v>
      </c>
      <c r="W12" s="19" t="s">
        <v>20</v>
      </c>
      <c r="X12" s="19" t="s">
        <v>20</v>
      </c>
      <c r="Y12" s="19" t="s">
        <v>20</v>
      </c>
      <c r="Z12" s="52"/>
      <c r="AA12" s="19" t="s">
        <v>20</v>
      </c>
      <c r="AB12" s="19" t="s">
        <v>20</v>
      </c>
      <c r="AC12" s="19" t="s">
        <v>20</v>
      </c>
      <c r="AD12" s="19" t="s">
        <v>20</v>
      </c>
      <c r="AE12" s="19" t="s">
        <v>20</v>
      </c>
      <c r="AF12" s="19" t="s">
        <v>20</v>
      </c>
      <c r="AG12" s="52"/>
      <c r="AH12" s="19" t="s">
        <v>20</v>
      </c>
      <c r="AI12" s="4">
        <f t="shared" si="1"/>
        <v>17</v>
      </c>
      <c r="AJ12" s="4">
        <f t="shared" si="2"/>
        <v>7</v>
      </c>
      <c r="AK12" s="4" t="s">
        <v>13</v>
      </c>
      <c r="AL12" s="7">
        <f>23*$AL$5</f>
        <v>529</v>
      </c>
      <c r="AM12" s="7">
        <f>23*$AL$5</f>
        <v>529</v>
      </c>
      <c r="AN12" s="7">
        <f>SUM(AL12:AM12)</f>
        <v>1058</v>
      </c>
    </row>
    <row r="13" spans="1:40" x14ac:dyDescent="0.25">
      <c r="A13" s="7">
        <v>9</v>
      </c>
      <c r="B13" s="11" t="s">
        <v>734</v>
      </c>
      <c r="C13" s="11" t="s">
        <v>606</v>
      </c>
      <c r="D13" s="19" t="s">
        <v>725</v>
      </c>
      <c r="E13" s="52"/>
      <c r="F13" s="19" t="s">
        <v>20</v>
      </c>
      <c r="G13" s="19" t="s">
        <v>20</v>
      </c>
      <c r="H13" s="19" t="s">
        <v>20</v>
      </c>
      <c r="I13" s="19" t="s">
        <v>20</v>
      </c>
      <c r="J13" s="19" t="s">
        <v>21</v>
      </c>
      <c r="K13" s="19" t="s">
        <v>20</v>
      </c>
      <c r="L13" s="52"/>
      <c r="M13" s="19" t="s">
        <v>20</v>
      </c>
      <c r="N13" s="19" t="s">
        <v>20</v>
      </c>
      <c r="O13" s="19" t="s">
        <v>20</v>
      </c>
      <c r="P13" s="19" t="s">
        <v>20</v>
      </c>
      <c r="Q13" s="19" t="s">
        <v>20</v>
      </c>
      <c r="R13" s="19" t="s">
        <v>20</v>
      </c>
      <c r="S13" s="52"/>
      <c r="T13" s="19" t="s">
        <v>20</v>
      </c>
      <c r="U13" s="41"/>
      <c r="V13" s="19" t="s">
        <v>20</v>
      </c>
      <c r="W13" s="19" t="s">
        <v>20</v>
      </c>
      <c r="X13" s="19" t="s">
        <v>20</v>
      </c>
      <c r="Y13" s="19" t="s">
        <v>20</v>
      </c>
      <c r="Z13" s="52"/>
      <c r="AA13" s="19" t="s">
        <v>20</v>
      </c>
      <c r="AB13" s="19" t="s">
        <v>20</v>
      </c>
      <c r="AC13" s="19" t="s">
        <v>20</v>
      </c>
      <c r="AD13" s="19" t="s">
        <v>20</v>
      </c>
      <c r="AE13" s="19" t="s">
        <v>20</v>
      </c>
      <c r="AF13" s="19" t="s">
        <v>20</v>
      </c>
      <c r="AG13" s="52"/>
      <c r="AH13" s="19" t="s">
        <v>20</v>
      </c>
      <c r="AI13" s="4">
        <f t="shared" si="1"/>
        <v>23</v>
      </c>
      <c r="AJ13" s="4">
        <f t="shared" si="2"/>
        <v>1</v>
      </c>
      <c r="AK13" s="4" t="s">
        <v>14</v>
      </c>
      <c r="AL13" s="7">
        <f>SUM(AI5:AI25)</f>
        <v>429</v>
      </c>
      <c r="AM13" s="7">
        <f>SUM(AI26:AI57)</f>
        <v>465</v>
      </c>
      <c r="AN13" s="7">
        <f>AL13+AM13</f>
        <v>894</v>
      </c>
    </row>
    <row r="14" spans="1:40" x14ac:dyDescent="0.25">
      <c r="A14" s="7">
        <v>10</v>
      </c>
      <c r="B14" s="11" t="s">
        <v>735</v>
      </c>
      <c r="C14" s="11" t="s">
        <v>736</v>
      </c>
      <c r="D14" s="19" t="s">
        <v>725</v>
      </c>
      <c r="E14" s="52"/>
      <c r="F14" s="19" t="s">
        <v>20</v>
      </c>
      <c r="G14" s="19" t="s">
        <v>20</v>
      </c>
      <c r="H14" s="19" t="s">
        <v>20</v>
      </c>
      <c r="I14" s="19" t="s">
        <v>20</v>
      </c>
      <c r="J14" s="19" t="s">
        <v>21</v>
      </c>
      <c r="K14" s="19" t="s">
        <v>20</v>
      </c>
      <c r="L14" s="52"/>
      <c r="M14" s="19" t="s">
        <v>20</v>
      </c>
      <c r="N14" s="19" t="s">
        <v>20</v>
      </c>
      <c r="O14" s="19" t="s">
        <v>20</v>
      </c>
      <c r="P14" s="19" t="s">
        <v>20</v>
      </c>
      <c r="Q14" s="19" t="s">
        <v>20</v>
      </c>
      <c r="R14" s="19" t="s">
        <v>20</v>
      </c>
      <c r="S14" s="52"/>
      <c r="T14" s="19" t="s">
        <v>20</v>
      </c>
      <c r="U14" s="41"/>
      <c r="V14" s="19" t="s">
        <v>20</v>
      </c>
      <c r="W14" s="19" t="s">
        <v>20</v>
      </c>
      <c r="X14" s="19" t="s">
        <v>20</v>
      </c>
      <c r="Y14" s="19" t="s">
        <v>20</v>
      </c>
      <c r="Z14" s="52"/>
      <c r="AA14" s="19" t="s">
        <v>20</v>
      </c>
      <c r="AB14" s="19" t="s">
        <v>20</v>
      </c>
      <c r="AC14" s="19" t="s">
        <v>20</v>
      </c>
      <c r="AD14" s="19" t="s">
        <v>20</v>
      </c>
      <c r="AE14" s="19" t="s">
        <v>20</v>
      </c>
      <c r="AF14" s="19" t="s">
        <v>20</v>
      </c>
      <c r="AG14" s="52"/>
      <c r="AH14" s="19" t="s">
        <v>20</v>
      </c>
      <c r="AI14" s="4">
        <f t="shared" si="1"/>
        <v>23</v>
      </c>
      <c r="AJ14" s="4">
        <f t="shared" si="2"/>
        <v>1</v>
      </c>
      <c r="AK14" s="4" t="s">
        <v>15</v>
      </c>
      <c r="AL14" s="9">
        <f>AL13/AL12</f>
        <v>0.81096408317580337</v>
      </c>
      <c r="AM14" s="9">
        <f>AM13/AM12</f>
        <v>0.87901701323251413</v>
      </c>
      <c r="AN14" s="9">
        <f>AN13/AN12</f>
        <v>0.84499054820415875</v>
      </c>
    </row>
    <row r="15" spans="1:40" x14ac:dyDescent="0.25">
      <c r="A15" s="7">
        <v>11</v>
      </c>
      <c r="B15" s="11" t="s">
        <v>737</v>
      </c>
      <c r="C15" s="11" t="s">
        <v>284</v>
      </c>
      <c r="D15" s="19" t="s">
        <v>725</v>
      </c>
      <c r="E15" s="52"/>
      <c r="F15" s="19" t="s">
        <v>20</v>
      </c>
      <c r="G15" s="19" t="s">
        <v>20</v>
      </c>
      <c r="H15" s="19" t="s">
        <v>20</v>
      </c>
      <c r="I15" s="19" t="s">
        <v>21</v>
      </c>
      <c r="J15" s="19" t="s">
        <v>21</v>
      </c>
      <c r="K15" s="19" t="s">
        <v>20</v>
      </c>
      <c r="L15" s="52"/>
      <c r="M15" s="19" t="s">
        <v>20</v>
      </c>
      <c r="N15" s="19" t="s">
        <v>20</v>
      </c>
      <c r="O15" s="19" t="s">
        <v>20</v>
      </c>
      <c r="P15" s="19" t="s">
        <v>20</v>
      </c>
      <c r="Q15" s="19" t="s">
        <v>20</v>
      </c>
      <c r="R15" s="19" t="s">
        <v>20</v>
      </c>
      <c r="S15" s="52"/>
      <c r="T15" s="19" t="s">
        <v>21</v>
      </c>
      <c r="U15" s="41"/>
      <c r="V15" s="19" t="s">
        <v>20</v>
      </c>
      <c r="W15" s="19" t="s">
        <v>20</v>
      </c>
      <c r="X15" s="19" t="s">
        <v>20</v>
      </c>
      <c r="Y15" s="19" t="s">
        <v>20</v>
      </c>
      <c r="Z15" s="52"/>
      <c r="AA15" s="19" t="s">
        <v>20</v>
      </c>
      <c r="AB15" s="19" t="s">
        <v>20</v>
      </c>
      <c r="AC15" s="19" t="s">
        <v>20</v>
      </c>
      <c r="AD15" s="19" t="s">
        <v>21</v>
      </c>
      <c r="AE15" s="19" t="s">
        <v>20</v>
      </c>
      <c r="AF15" s="19" t="s">
        <v>21</v>
      </c>
      <c r="AG15" s="52"/>
      <c r="AH15" s="19" t="s">
        <v>20</v>
      </c>
      <c r="AI15" s="4">
        <f t="shared" si="1"/>
        <v>19</v>
      </c>
      <c r="AJ15" s="4">
        <f t="shared" si="2"/>
        <v>5</v>
      </c>
      <c r="AK15"/>
      <c r="AL15"/>
      <c r="AM15"/>
      <c r="AN15"/>
    </row>
    <row r="16" spans="1:40" x14ac:dyDescent="0.25">
      <c r="A16" s="7">
        <v>12</v>
      </c>
      <c r="B16" s="11" t="s">
        <v>647</v>
      </c>
      <c r="C16" s="11" t="s">
        <v>738</v>
      </c>
      <c r="D16" s="19" t="s">
        <v>725</v>
      </c>
      <c r="E16" s="52"/>
      <c r="F16" s="19" t="s">
        <v>20</v>
      </c>
      <c r="G16" s="19" t="s">
        <v>20</v>
      </c>
      <c r="H16" s="19" t="s">
        <v>20</v>
      </c>
      <c r="I16" s="19" t="s">
        <v>20</v>
      </c>
      <c r="J16" s="19" t="s">
        <v>21</v>
      </c>
      <c r="K16" s="19" t="s">
        <v>21</v>
      </c>
      <c r="L16" s="52"/>
      <c r="M16" s="19" t="s">
        <v>20</v>
      </c>
      <c r="N16" s="19" t="s">
        <v>20</v>
      </c>
      <c r="O16" s="19" t="s">
        <v>20</v>
      </c>
      <c r="P16" s="19" t="s">
        <v>20</v>
      </c>
      <c r="Q16" s="19" t="s">
        <v>21</v>
      </c>
      <c r="R16" s="19" t="s">
        <v>20</v>
      </c>
      <c r="S16" s="52"/>
      <c r="T16" s="19" t="s">
        <v>21</v>
      </c>
      <c r="U16" s="41"/>
      <c r="V16" s="19" t="s">
        <v>20</v>
      </c>
      <c r="W16" s="19" t="s">
        <v>20</v>
      </c>
      <c r="X16" s="19" t="s">
        <v>20</v>
      </c>
      <c r="Y16" s="19" t="s">
        <v>21</v>
      </c>
      <c r="Z16" s="52"/>
      <c r="AA16" s="19" t="s">
        <v>20</v>
      </c>
      <c r="AB16" s="19" t="s">
        <v>20</v>
      </c>
      <c r="AC16" s="19" t="s">
        <v>20</v>
      </c>
      <c r="AD16" s="19" t="s">
        <v>20</v>
      </c>
      <c r="AE16" s="19" t="s">
        <v>20</v>
      </c>
      <c r="AF16" s="19" t="s">
        <v>21</v>
      </c>
      <c r="AG16" s="52"/>
      <c r="AH16" s="19" t="s">
        <v>20</v>
      </c>
      <c r="AI16" s="4">
        <f t="shared" si="1"/>
        <v>18</v>
      </c>
      <c r="AJ16" s="4">
        <f t="shared" si="2"/>
        <v>6</v>
      </c>
      <c r="AK16"/>
      <c r="AL16"/>
      <c r="AM16"/>
      <c r="AN16"/>
    </row>
    <row r="17" spans="1:40" x14ac:dyDescent="0.25">
      <c r="A17" s="7">
        <v>13</v>
      </c>
      <c r="B17" s="11" t="s">
        <v>739</v>
      </c>
      <c r="C17" s="11" t="s">
        <v>740</v>
      </c>
      <c r="D17" s="19" t="s">
        <v>725</v>
      </c>
      <c r="E17" s="52"/>
      <c r="F17" s="19" t="s">
        <v>20</v>
      </c>
      <c r="G17" s="19" t="s">
        <v>20</v>
      </c>
      <c r="H17" s="19" t="s">
        <v>20</v>
      </c>
      <c r="I17" s="19" t="s">
        <v>20</v>
      </c>
      <c r="J17" s="19" t="s">
        <v>20</v>
      </c>
      <c r="K17" s="19" t="s">
        <v>20</v>
      </c>
      <c r="L17" s="52"/>
      <c r="M17" s="19" t="s">
        <v>20</v>
      </c>
      <c r="N17" s="19" t="s">
        <v>20</v>
      </c>
      <c r="O17" s="19" t="s">
        <v>20</v>
      </c>
      <c r="P17" s="19" t="s">
        <v>20</v>
      </c>
      <c r="Q17" s="19" t="s">
        <v>20</v>
      </c>
      <c r="R17" s="19" t="s">
        <v>20</v>
      </c>
      <c r="S17" s="52"/>
      <c r="T17" s="19" t="s">
        <v>20</v>
      </c>
      <c r="U17" s="41"/>
      <c r="V17" s="19" t="s">
        <v>20</v>
      </c>
      <c r="W17" s="19" t="s">
        <v>20</v>
      </c>
      <c r="X17" s="19" t="s">
        <v>20</v>
      </c>
      <c r="Y17" s="19" t="s">
        <v>20</v>
      </c>
      <c r="Z17" s="52"/>
      <c r="AA17" s="19" t="s">
        <v>20</v>
      </c>
      <c r="AB17" s="19" t="s">
        <v>20</v>
      </c>
      <c r="AC17" s="19" t="s">
        <v>20</v>
      </c>
      <c r="AD17" s="19" t="s">
        <v>20</v>
      </c>
      <c r="AE17" s="19" t="s">
        <v>20</v>
      </c>
      <c r="AF17" s="19" t="s">
        <v>20</v>
      </c>
      <c r="AG17" s="52"/>
      <c r="AH17" s="19" t="s">
        <v>20</v>
      </c>
      <c r="AI17" s="4">
        <f t="shared" si="1"/>
        <v>24</v>
      </c>
      <c r="AJ17" s="4">
        <f t="shared" si="2"/>
        <v>0</v>
      </c>
      <c r="AK17"/>
      <c r="AL17"/>
      <c r="AM17"/>
      <c r="AN17"/>
    </row>
    <row r="18" spans="1:40" ht="15.75" x14ac:dyDescent="0.25">
      <c r="A18" s="7">
        <v>14</v>
      </c>
      <c r="B18" s="11" t="s">
        <v>741</v>
      </c>
      <c r="C18" s="11" t="s">
        <v>742</v>
      </c>
      <c r="D18" s="19" t="s">
        <v>725</v>
      </c>
      <c r="E18" s="52"/>
      <c r="F18" s="19" t="s">
        <v>20</v>
      </c>
      <c r="G18" s="19" t="s">
        <v>20</v>
      </c>
      <c r="H18" s="19" t="s">
        <v>20</v>
      </c>
      <c r="I18" s="19" t="s">
        <v>20</v>
      </c>
      <c r="J18" s="19" t="s">
        <v>20</v>
      </c>
      <c r="K18" s="19" t="s">
        <v>20</v>
      </c>
      <c r="L18" s="52"/>
      <c r="M18" s="19" t="s">
        <v>20</v>
      </c>
      <c r="N18" s="19" t="s">
        <v>20</v>
      </c>
      <c r="O18" s="19" t="s">
        <v>20</v>
      </c>
      <c r="P18" s="19" t="s">
        <v>20</v>
      </c>
      <c r="Q18" s="19" t="s">
        <v>21</v>
      </c>
      <c r="R18" s="19" t="s">
        <v>20</v>
      </c>
      <c r="S18" s="52"/>
      <c r="T18" s="19" t="s">
        <v>20</v>
      </c>
      <c r="U18" s="41"/>
      <c r="V18" s="19" t="s">
        <v>20</v>
      </c>
      <c r="W18" s="19" t="s">
        <v>21</v>
      </c>
      <c r="X18" s="19" t="s">
        <v>20</v>
      </c>
      <c r="Y18" s="19" t="s">
        <v>20</v>
      </c>
      <c r="Z18" s="52"/>
      <c r="AA18" s="19" t="s">
        <v>20</v>
      </c>
      <c r="AB18" s="19" t="s">
        <v>21</v>
      </c>
      <c r="AC18" s="19" t="s">
        <v>20</v>
      </c>
      <c r="AD18" s="19" t="s">
        <v>20</v>
      </c>
      <c r="AE18" s="19" t="s">
        <v>20</v>
      </c>
      <c r="AF18" s="19" t="s">
        <v>21</v>
      </c>
      <c r="AG18" s="52"/>
      <c r="AH18" s="19" t="s">
        <v>20</v>
      </c>
      <c r="AI18" s="4">
        <f t="shared" si="1"/>
        <v>20</v>
      </c>
      <c r="AJ18" s="4">
        <f t="shared" si="2"/>
        <v>4</v>
      </c>
      <c r="AK18" s="24" t="s">
        <v>104</v>
      </c>
      <c r="AL18" s="25"/>
      <c r="AM18" s="25"/>
      <c r="AN18" s="26"/>
    </row>
    <row r="19" spans="1:40" x14ac:dyDescent="0.25">
      <c r="A19" s="7">
        <v>15</v>
      </c>
      <c r="B19" s="11" t="s">
        <v>163</v>
      </c>
      <c r="C19" s="11" t="s">
        <v>743</v>
      </c>
      <c r="D19" s="19" t="s">
        <v>725</v>
      </c>
      <c r="E19" s="52"/>
      <c r="F19" s="19" t="s">
        <v>20</v>
      </c>
      <c r="G19" s="19" t="s">
        <v>20</v>
      </c>
      <c r="H19" s="19" t="s">
        <v>20</v>
      </c>
      <c r="I19" s="19" t="s">
        <v>20</v>
      </c>
      <c r="J19" s="19" t="s">
        <v>21</v>
      </c>
      <c r="K19" s="19" t="s">
        <v>20</v>
      </c>
      <c r="L19" s="52"/>
      <c r="M19" s="19" t="s">
        <v>20</v>
      </c>
      <c r="N19" s="19" t="s">
        <v>20</v>
      </c>
      <c r="O19" s="19" t="s">
        <v>20</v>
      </c>
      <c r="P19" s="19" t="s">
        <v>20</v>
      </c>
      <c r="Q19" s="19" t="s">
        <v>20</v>
      </c>
      <c r="R19" s="19" t="s">
        <v>21</v>
      </c>
      <c r="S19" s="52"/>
      <c r="T19" s="19" t="s">
        <v>20</v>
      </c>
      <c r="U19" s="41"/>
      <c r="V19" s="19" t="s">
        <v>20</v>
      </c>
      <c r="W19" s="19" t="s">
        <v>20</v>
      </c>
      <c r="X19" s="19" t="s">
        <v>20</v>
      </c>
      <c r="Y19" s="19" t="s">
        <v>20</v>
      </c>
      <c r="Z19" s="52"/>
      <c r="AA19" s="19" t="s">
        <v>20</v>
      </c>
      <c r="AB19" s="19" t="s">
        <v>20</v>
      </c>
      <c r="AC19" s="19" t="s">
        <v>20</v>
      </c>
      <c r="AD19" s="19" t="s">
        <v>20</v>
      </c>
      <c r="AE19" s="19" t="s">
        <v>20</v>
      </c>
      <c r="AF19" s="19" t="s">
        <v>20</v>
      </c>
      <c r="AG19" s="52"/>
      <c r="AH19" s="19" t="s">
        <v>20</v>
      </c>
      <c r="AI19" s="4">
        <f t="shared" si="1"/>
        <v>22</v>
      </c>
      <c r="AJ19" s="4">
        <f t="shared" si="2"/>
        <v>2</v>
      </c>
      <c r="AK19" s="4" t="s">
        <v>9</v>
      </c>
      <c r="AL19" s="4" t="s">
        <v>10</v>
      </c>
      <c r="AM19" s="4" t="s">
        <v>11</v>
      </c>
      <c r="AN19" s="4" t="s">
        <v>12</v>
      </c>
    </row>
    <row r="20" spans="1:40" x14ac:dyDescent="0.25">
      <c r="A20" s="7">
        <v>16</v>
      </c>
      <c r="B20" s="11" t="s">
        <v>744</v>
      </c>
      <c r="C20" s="11" t="s">
        <v>745</v>
      </c>
      <c r="D20" s="19" t="s">
        <v>725</v>
      </c>
      <c r="E20" s="52"/>
      <c r="F20" s="19" t="s">
        <v>20</v>
      </c>
      <c r="G20" s="19" t="s">
        <v>20</v>
      </c>
      <c r="H20" s="19" t="s">
        <v>20</v>
      </c>
      <c r="I20" s="19" t="s">
        <v>20</v>
      </c>
      <c r="J20" s="19" t="s">
        <v>20</v>
      </c>
      <c r="K20" s="19" t="s">
        <v>20</v>
      </c>
      <c r="L20" s="52"/>
      <c r="M20" s="19" t="s">
        <v>20</v>
      </c>
      <c r="N20" s="19" t="s">
        <v>20</v>
      </c>
      <c r="O20" s="19" t="s">
        <v>20</v>
      </c>
      <c r="P20" s="19" t="s">
        <v>20</v>
      </c>
      <c r="Q20" s="19" t="s">
        <v>20</v>
      </c>
      <c r="R20" s="19" t="s">
        <v>20</v>
      </c>
      <c r="S20" s="52"/>
      <c r="T20" s="19" t="s">
        <v>21</v>
      </c>
      <c r="U20" s="41"/>
      <c r="V20" s="19" t="s">
        <v>20</v>
      </c>
      <c r="W20" s="19" t="s">
        <v>20</v>
      </c>
      <c r="X20" s="19" t="s">
        <v>20</v>
      </c>
      <c r="Y20" s="19" t="s">
        <v>20</v>
      </c>
      <c r="Z20" s="52"/>
      <c r="AA20" s="19" t="s">
        <v>20</v>
      </c>
      <c r="AB20" s="19" t="s">
        <v>20</v>
      </c>
      <c r="AC20" s="19" t="s">
        <v>20</v>
      </c>
      <c r="AD20" s="19" t="s">
        <v>20</v>
      </c>
      <c r="AE20" s="19" t="s">
        <v>20</v>
      </c>
      <c r="AF20" s="19" t="s">
        <v>20</v>
      </c>
      <c r="AG20" s="52"/>
      <c r="AH20" s="19" t="s">
        <v>20</v>
      </c>
      <c r="AI20" s="4">
        <f t="shared" si="1"/>
        <v>23</v>
      </c>
      <c r="AJ20" s="4">
        <f t="shared" si="2"/>
        <v>1</v>
      </c>
      <c r="AK20" s="4" t="s">
        <v>13</v>
      </c>
      <c r="AL20" s="7">
        <f>23*$AL$5</f>
        <v>529</v>
      </c>
      <c r="AM20" s="7">
        <f>23*$AL$5</f>
        <v>529</v>
      </c>
      <c r="AN20" s="7">
        <f>AL20+AM20</f>
        <v>1058</v>
      </c>
    </row>
    <row r="21" spans="1:40" x14ac:dyDescent="0.25">
      <c r="A21" s="7">
        <v>17</v>
      </c>
      <c r="B21" s="11" t="s">
        <v>746</v>
      </c>
      <c r="C21" s="11" t="s">
        <v>148</v>
      </c>
      <c r="D21" s="19" t="s">
        <v>725</v>
      </c>
      <c r="E21" s="52"/>
      <c r="F21" s="19" t="s">
        <v>20</v>
      </c>
      <c r="G21" s="19" t="s">
        <v>20</v>
      </c>
      <c r="H21" s="19" t="s">
        <v>20</v>
      </c>
      <c r="I21" s="19" t="s">
        <v>20</v>
      </c>
      <c r="J21" s="19" t="s">
        <v>20</v>
      </c>
      <c r="K21" s="19" t="s">
        <v>20</v>
      </c>
      <c r="L21" s="52"/>
      <c r="M21" s="19" t="s">
        <v>20</v>
      </c>
      <c r="N21" s="19" t="s">
        <v>20</v>
      </c>
      <c r="O21" s="19" t="s">
        <v>21</v>
      </c>
      <c r="P21" s="19" t="s">
        <v>20</v>
      </c>
      <c r="Q21" s="19" t="s">
        <v>20</v>
      </c>
      <c r="R21" s="19" t="s">
        <v>20</v>
      </c>
      <c r="S21" s="52"/>
      <c r="T21" s="19" t="s">
        <v>20</v>
      </c>
      <c r="U21" s="41"/>
      <c r="V21" s="19" t="s">
        <v>20</v>
      </c>
      <c r="W21" s="19" t="s">
        <v>20</v>
      </c>
      <c r="X21" s="19" t="s">
        <v>20</v>
      </c>
      <c r="Y21" s="19" t="s">
        <v>20</v>
      </c>
      <c r="Z21" s="52"/>
      <c r="AA21" s="19" t="s">
        <v>20</v>
      </c>
      <c r="AB21" s="19" t="s">
        <v>20</v>
      </c>
      <c r="AC21" s="19" t="s">
        <v>20</v>
      </c>
      <c r="AD21" s="19" t="s">
        <v>20</v>
      </c>
      <c r="AE21" s="19" t="s">
        <v>20</v>
      </c>
      <c r="AF21" s="19" t="s">
        <v>21</v>
      </c>
      <c r="AG21" s="52"/>
      <c r="AH21" s="19" t="s">
        <v>20</v>
      </c>
      <c r="AI21" s="4">
        <f t="shared" si="1"/>
        <v>22</v>
      </c>
      <c r="AJ21" s="4">
        <f t="shared" si="2"/>
        <v>2</v>
      </c>
      <c r="AK21" s="4" t="s">
        <v>16</v>
      </c>
      <c r="AL21" s="7">
        <f>AL20-AL13</f>
        <v>100</v>
      </c>
      <c r="AM21" s="7">
        <f>AM20-AM13</f>
        <v>64</v>
      </c>
      <c r="AN21" s="7">
        <f>AL21+AM21</f>
        <v>164</v>
      </c>
    </row>
    <row r="22" spans="1:40" x14ac:dyDescent="0.25">
      <c r="A22" s="7">
        <v>18</v>
      </c>
      <c r="B22" s="11" t="s">
        <v>747</v>
      </c>
      <c r="C22" s="11" t="s">
        <v>119</v>
      </c>
      <c r="D22" s="19" t="s">
        <v>725</v>
      </c>
      <c r="E22" s="52"/>
      <c r="F22" s="19" t="s">
        <v>20</v>
      </c>
      <c r="G22" s="19" t="s">
        <v>20</v>
      </c>
      <c r="H22" s="19" t="s">
        <v>20</v>
      </c>
      <c r="I22" s="19" t="s">
        <v>20</v>
      </c>
      <c r="J22" s="19" t="s">
        <v>20</v>
      </c>
      <c r="K22" s="19" t="s">
        <v>20</v>
      </c>
      <c r="L22" s="52"/>
      <c r="M22" s="19" t="s">
        <v>20</v>
      </c>
      <c r="N22" s="19" t="s">
        <v>20</v>
      </c>
      <c r="O22" s="19" t="s">
        <v>20</v>
      </c>
      <c r="P22" s="19" t="s">
        <v>20</v>
      </c>
      <c r="Q22" s="19" t="s">
        <v>20</v>
      </c>
      <c r="R22" s="19" t="s">
        <v>20</v>
      </c>
      <c r="S22" s="52"/>
      <c r="T22" s="19" t="s">
        <v>20</v>
      </c>
      <c r="U22" s="41"/>
      <c r="V22" s="19" t="s">
        <v>20</v>
      </c>
      <c r="W22" s="19" t="s">
        <v>20</v>
      </c>
      <c r="X22" s="19" t="s">
        <v>20</v>
      </c>
      <c r="Y22" s="19" t="s">
        <v>20</v>
      </c>
      <c r="Z22" s="52"/>
      <c r="AA22" s="19" t="s">
        <v>20</v>
      </c>
      <c r="AB22" s="19" t="s">
        <v>20</v>
      </c>
      <c r="AC22" s="19" t="s">
        <v>20</v>
      </c>
      <c r="AD22" s="19" t="s">
        <v>20</v>
      </c>
      <c r="AE22" s="19" t="s">
        <v>20</v>
      </c>
      <c r="AF22" s="19" t="s">
        <v>20</v>
      </c>
      <c r="AG22" s="52"/>
      <c r="AH22" s="19" t="s">
        <v>20</v>
      </c>
      <c r="AI22" s="4">
        <f t="shared" si="1"/>
        <v>24</v>
      </c>
      <c r="AJ22" s="4">
        <f t="shared" si="2"/>
        <v>0</v>
      </c>
      <c r="AK22" s="4" t="s">
        <v>15</v>
      </c>
      <c r="AL22" s="9">
        <f>AL21/AL20</f>
        <v>0.1890359168241966</v>
      </c>
      <c r="AM22" s="9">
        <f>AM21/AM20</f>
        <v>0.12098298676748583</v>
      </c>
      <c r="AN22" s="9">
        <f>AN21/AN20</f>
        <v>0.15500945179584122</v>
      </c>
    </row>
    <row r="23" spans="1:40" x14ac:dyDescent="0.25">
      <c r="A23" s="7">
        <v>19</v>
      </c>
      <c r="B23" s="11" t="s">
        <v>748</v>
      </c>
      <c r="C23" s="11" t="s">
        <v>256</v>
      </c>
      <c r="D23" s="19" t="s">
        <v>725</v>
      </c>
      <c r="E23" s="52"/>
      <c r="F23" s="19" t="s">
        <v>20</v>
      </c>
      <c r="G23" s="19" t="s">
        <v>20</v>
      </c>
      <c r="H23" s="19" t="s">
        <v>20</v>
      </c>
      <c r="I23" s="19" t="s">
        <v>20</v>
      </c>
      <c r="J23" s="19" t="s">
        <v>20</v>
      </c>
      <c r="K23" s="19" t="s">
        <v>21</v>
      </c>
      <c r="L23" s="52"/>
      <c r="M23" s="19" t="s">
        <v>21</v>
      </c>
      <c r="N23" s="19" t="s">
        <v>20</v>
      </c>
      <c r="O23" s="19" t="s">
        <v>20</v>
      </c>
      <c r="P23" s="19" t="s">
        <v>20</v>
      </c>
      <c r="Q23" s="19" t="s">
        <v>20</v>
      </c>
      <c r="R23" s="19" t="s">
        <v>20</v>
      </c>
      <c r="S23" s="52"/>
      <c r="T23" s="19" t="s">
        <v>20</v>
      </c>
      <c r="U23" s="41"/>
      <c r="V23" s="19" t="s">
        <v>20</v>
      </c>
      <c r="W23" s="19" t="s">
        <v>20</v>
      </c>
      <c r="X23" s="19" t="s">
        <v>20</v>
      </c>
      <c r="Y23" s="19" t="s">
        <v>20</v>
      </c>
      <c r="Z23" s="52"/>
      <c r="AA23" s="19" t="s">
        <v>20</v>
      </c>
      <c r="AB23" s="19" t="s">
        <v>20</v>
      </c>
      <c r="AC23" s="19" t="s">
        <v>20</v>
      </c>
      <c r="AD23" s="19" t="s">
        <v>20</v>
      </c>
      <c r="AE23" s="19" t="s">
        <v>20</v>
      </c>
      <c r="AF23" s="19" t="s">
        <v>20</v>
      </c>
      <c r="AG23" s="52"/>
      <c r="AH23" s="19" t="s">
        <v>20</v>
      </c>
      <c r="AI23" s="4">
        <f t="shared" si="1"/>
        <v>22</v>
      </c>
      <c r="AJ23" s="4">
        <f t="shared" si="2"/>
        <v>2</v>
      </c>
    </row>
    <row r="24" spans="1:40" x14ac:dyDescent="0.25">
      <c r="A24" s="7">
        <v>20</v>
      </c>
      <c r="B24" s="11" t="s">
        <v>749</v>
      </c>
      <c r="C24" s="11" t="s">
        <v>750</v>
      </c>
      <c r="D24" s="19" t="s">
        <v>725</v>
      </c>
      <c r="E24" s="52"/>
      <c r="F24" s="19" t="s">
        <v>20</v>
      </c>
      <c r="G24" s="19" t="s">
        <v>20</v>
      </c>
      <c r="H24" s="19" t="s">
        <v>20</v>
      </c>
      <c r="I24" s="19" t="s">
        <v>20</v>
      </c>
      <c r="J24" s="19" t="s">
        <v>21</v>
      </c>
      <c r="K24" s="19" t="s">
        <v>20</v>
      </c>
      <c r="L24" s="52"/>
      <c r="M24" s="19" t="s">
        <v>20</v>
      </c>
      <c r="N24" s="19" t="s">
        <v>20</v>
      </c>
      <c r="O24" s="19" t="s">
        <v>20</v>
      </c>
      <c r="P24" s="19" t="s">
        <v>20</v>
      </c>
      <c r="Q24" s="19" t="s">
        <v>20</v>
      </c>
      <c r="R24" s="19" t="s">
        <v>20</v>
      </c>
      <c r="S24" s="52"/>
      <c r="T24" s="19" t="s">
        <v>20</v>
      </c>
      <c r="U24" s="41"/>
      <c r="V24" s="19" t="s">
        <v>20</v>
      </c>
      <c r="W24" s="19" t="s">
        <v>20</v>
      </c>
      <c r="X24" s="19" t="s">
        <v>20</v>
      </c>
      <c r="Y24" s="19" t="s">
        <v>20</v>
      </c>
      <c r="Z24" s="52"/>
      <c r="AA24" s="19" t="s">
        <v>20</v>
      </c>
      <c r="AB24" s="19" t="s">
        <v>20</v>
      </c>
      <c r="AC24" s="19" t="s">
        <v>20</v>
      </c>
      <c r="AD24" s="19" t="s">
        <v>20</v>
      </c>
      <c r="AE24" s="19" t="s">
        <v>21</v>
      </c>
      <c r="AF24" s="19" t="s">
        <v>20</v>
      </c>
      <c r="AG24" s="52"/>
      <c r="AH24" s="19" t="s">
        <v>20</v>
      </c>
      <c r="AI24" s="4">
        <f t="shared" si="1"/>
        <v>22</v>
      </c>
      <c r="AJ24" s="4">
        <f t="shared" si="2"/>
        <v>2</v>
      </c>
    </row>
    <row r="25" spans="1:40" x14ac:dyDescent="0.25">
      <c r="A25" s="7">
        <v>21</v>
      </c>
      <c r="B25" s="11" t="s">
        <v>751</v>
      </c>
      <c r="C25" s="11" t="s">
        <v>49</v>
      </c>
      <c r="D25" s="19" t="s">
        <v>725</v>
      </c>
      <c r="E25" s="52"/>
      <c r="F25" s="19" t="s">
        <v>20</v>
      </c>
      <c r="G25" s="19" t="s">
        <v>20</v>
      </c>
      <c r="H25" s="19" t="s">
        <v>20</v>
      </c>
      <c r="I25" s="19" t="s">
        <v>20</v>
      </c>
      <c r="J25" s="19" t="s">
        <v>20</v>
      </c>
      <c r="K25" s="19" t="s">
        <v>20</v>
      </c>
      <c r="L25" s="52"/>
      <c r="M25" s="19" t="s">
        <v>20</v>
      </c>
      <c r="N25" s="19" t="s">
        <v>20</v>
      </c>
      <c r="O25" s="19" t="s">
        <v>21</v>
      </c>
      <c r="P25" s="19" t="s">
        <v>21</v>
      </c>
      <c r="Q25" s="19" t="s">
        <v>21</v>
      </c>
      <c r="R25" s="19" t="s">
        <v>21</v>
      </c>
      <c r="S25" s="52"/>
      <c r="T25" s="19" t="s">
        <v>21</v>
      </c>
      <c r="U25" s="41"/>
      <c r="V25" s="19" t="s">
        <v>20</v>
      </c>
      <c r="W25" s="19" t="s">
        <v>20</v>
      </c>
      <c r="X25" s="19" t="s">
        <v>20</v>
      </c>
      <c r="Y25" s="19" t="s">
        <v>20</v>
      </c>
      <c r="Z25" s="52"/>
      <c r="AA25" s="19" t="s">
        <v>20</v>
      </c>
      <c r="AB25" s="19" t="s">
        <v>20</v>
      </c>
      <c r="AC25" s="19" t="s">
        <v>20</v>
      </c>
      <c r="AD25" s="19" t="s">
        <v>20</v>
      </c>
      <c r="AE25" s="19" t="s">
        <v>20</v>
      </c>
      <c r="AF25" s="19" t="s">
        <v>20</v>
      </c>
      <c r="AG25" s="52"/>
      <c r="AH25" s="19" t="s">
        <v>20</v>
      </c>
      <c r="AI25" s="4">
        <f t="shared" si="1"/>
        <v>19</v>
      </c>
      <c r="AJ25" s="4">
        <f t="shared" si="2"/>
        <v>5</v>
      </c>
    </row>
    <row r="26" spans="1:40" x14ac:dyDescent="0.25">
      <c r="A26" s="7">
        <v>22</v>
      </c>
      <c r="B26" s="11" t="s">
        <v>404</v>
      </c>
      <c r="C26" s="11" t="s">
        <v>473</v>
      </c>
      <c r="D26" s="19" t="s">
        <v>725</v>
      </c>
      <c r="E26" s="52"/>
      <c r="F26" s="19" t="s">
        <v>20</v>
      </c>
      <c r="G26" s="19" t="s">
        <v>20</v>
      </c>
      <c r="H26" s="19" t="s">
        <v>20</v>
      </c>
      <c r="I26" s="19" t="s">
        <v>20</v>
      </c>
      <c r="J26" s="19" t="s">
        <v>20</v>
      </c>
      <c r="K26" s="19" t="s">
        <v>20</v>
      </c>
      <c r="L26" s="52"/>
      <c r="M26" s="19" t="s">
        <v>20</v>
      </c>
      <c r="N26" s="19" t="s">
        <v>20</v>
      </c>
      <c r="O26" s="19" t="s">
        <v>20</v>
      </c>
      <c r="P26" s="19" t="s">
        <v>20</v>
      </c>
      <c r="Q26" s="19" t="s">
        <v>20</v>
      </c>
      <c r="R26" s="19" t="s">
        <v>20</v>
      </c>
      <c r="S26" s="52"/>
      <c r="T26" s="19" t="s">
        <v>21</v>
      </c>
      <c r="U26" s="41"/>
      <c r="V26" s="19" t="s">
        <v>20</v>
      </c>
      <c r="W26" s="19" t="s">
        <v>20</v>
      </c>
      <c r="X26" s="19" t="s">
        <v>20</v>
      </c>
      <c r="Y26" s="19" t="s">
        <v>20</v>
      </c>
      <c r="Z26" s="52"/>
      <c r="AA26" s="19" t="s">
        <v>20</v>
      </c>
      <c r="AB26" s="19" t="s">
        <v>20</v>
      </c>
      <c r="AC26" s="19" t="s">
        <v>20</v>
      </c>
      <c r="AD26" s="19" t="s">
        <v>20</v>
      </c>
      <c r="AE26" s="19" t="s">
        <v>20</v>
      </c>
      <c r="AF26" s="19" t="s">
        <v>20</v>
      </c>
      <c r="AG26" s="52"/>
      <c r="AH26" s="19" t="s">
        <v>20</v>
      </c>
      <c r="AI26" s="4">
        <f t="shared" si="1"/>
        <v>23</v>
      </c>
      <c r="AJ26" s="4">
        <f t="shared" si="2"/>
        <v>1</v>
      </c>
    </row>
    <row r="27" spans="1:40" x14ac:dyDescent="0.25">
      <c r="A27" s="7">
        <v>23</v>
      </c>
      <c r="B27" s="11" t="s">
        <v>752</v>
      </c>
      <c r="C27" s="11" t="s">
        <v>62</v>
      </c>
      <c r="D27" s="19" t="s">
        <v>725</v>
      </c>
      <c r="E27" s="52"/>
      <c r="F27" s="19" t="s">
        <v>20</v>
      </c>
      <c r="G27" s="19" t="s">
        <v>20</v>
      </c>
      <c r="H27" s="19" t="s">
        <v>20</v>
      </c>
      <c r="I27" s="19" t="s">
        <v>20</v>
      </c>
      <c r="J27" s="19" t="s">
        <v>20</v>
      </c>
      <c r="K27" s="19" t="s">
        <v>21</v>
      </c>
      <c r="L27" s="52"/>
      <c r="M27" s="19" t="s">
        <v>20</v>
      </c>
      <c r="N27" s="19" t="s">
        <v>20</v>
      </c>
      <c r="O27" s="19" t="s">
        <v>20</v>
      </c>
      <c r="P27" s="19" t="s">
        <v>20</v>
      </c>
      <c r="Q27" s="19" t="s">
        <v>20</v>
      </c>
      <c r="R27" s="19" t="s">
        <v>20</v>
      </c>
      <c r="S27" s="52"/>
      <c r="T27" s="19" t="s">
        <v>20</v>
      </c>
      <c r="U27" s="41"/>
      <c r="V27" s="19" t="s">
        <v>20</v>
      </c>
      <c r="W27" s="19" t="s">
        <v>20</v>
      </c>
      <c r="X27" s="19" t="s">
        <v>20</v>
      </c>
      <c r="Y27" s="19" t="s">
        <v>20</v>
      </c>
      <c r="Z27" s="52"/>
      <c r="AA27" s="19" t="s">
        <v>20</v>
      </c>
      <c r="AB27" s="19" t="s">
        <v>20</v>
      </c>
      <c r="AC27" s="19" t="s">
        <v>20</v>
      </c>
      <c r="AD27" s="19" t="s">
        <v>20</v>
      </c>
      <c r="AE27" s="19" t="s">
        <v>20</v>
      </c>
      <c r="AF27" s="19" t="s">
        <v>21</v>
      </c>
      <c r="AG27" s="52"/>
      <c r="AH27" s="19" t="s">
        <v>20</v>
      </c>
      <c r="AI27" s="4">
        <f t="shared" si="1"/>
        <v>22</v>
      </c>
      <c r="AJ27" s="4">
        <f t="shared" si="2"/>
        <v>2</v>
      </c>
    </row>
    <row r="28" spans="1:40" x14ac:dyDescent="0.25">
      <c r="A28" s="7">
        <v>1</v>
      </c>
      <c r="B28" s="11" t="s">
        <v>753</v>
      </c>
      <c r="C28" s="11" t="s">
        <v>754</v>
      </c>
      <c r="D28" s="19" t="s">
        <v>725</v>
      </c>
      <c r="E28" s="52"/>
      <c r="F28" s="19" t="s">
        <v>21</v>
      </c>
      <c r="G28" s="19" t="s">
        <v>20</v>
      </c>
      <c r="H28" s="19" t="s">
        <v>20</v>
      </c>
      <c r="I28" s="19" t="s">
        <v>20</v>
      </c>
      <c r="J28" s="19" t="s">
        <v>21</v>
      </c>
      <c r="K28" s="19" t="s">
        <v>21</v>
      </c>
      <c r="L28" s="52"/>
      <c r="M28" s="19" t="s">
        <v>20</v>
      </c>
      <c r="N28" s="19" t="s">
        <v>20</v>
      </c>
      <c r="O28" s="19" t="s">
        <v>20</v>
      </c>
      <c r="P28" s="19" t="s">
        <v>20</v>
      </c>
      <c r="Q28" s="19" t="s">
        <v>21</v>
      </c>
      <c r="R28" s="19" t="s">
        <v>20</v>
      </c>
      <c r="S28" s="52"/>
      <c r="T28" s="19" t="s">
        <v>21</v>
      </c>
      <c r="U28" s="41"/>
      <c r="V28" s="19" t="s">
        <v>20</v>
      </c>
      <c r="W28" s="19" t="s">
        <v>20</v>
      </c>
      <c r="X28" s="19" t="s">
        <v>20</v>
      </c>
      <c r="Y28" s="19" t="s">
        <v>21</v>
      </c>
      <c r="Z28" s="52"/>
      <c r="AA28" s="19" t="s">
        <v>20</v>
      </c>
      <c r="AB28" s="19" t="s">
        <v>20</v>
      </c>
      <c r="AC28" s="19" t="s">
        <v>20</v>
      </c>
      <c r="AD28" s="19" t="s">
        <v>20</v>
      </c>
      <c r="AE28" s="19" t="s">
        <v>21</v>
      </c>
      <c r="AF28" s="19" t="s">
        <v>20</v>
      </c>
      <c r="AG28" s="52"/>
      <c r="AH28" s="19" t="s">
        <v>20</v>
      </c>
      <c r="AI28" s="4">
        <f t="shared" si="1"/>
        <v>17</v>
      </c>
      <c r="AJ28" s="4">
        <f t="shared" si="2"/>
        <v>7</v>
      </c>
    </row>
    <row r="29" spans="1:40" x14ac:dyDescent="0.25">
      <c r="A29" s="7">
        <v>2</v>
      </c>
      <c r="B29" s="11" t="s">
        <v>755</v>
      </c>
      <c r="C29" s="11" t="s">
        <v>694</v>
      </c>
      <c r="D29" s="19" t="s">
        <v>725</v>
      </c>
      <c r="E29" s="52"/>
      <c r="F29" s="19" t="s">
        <v>21</v>
      </c>
      <c r="G29" s="19" t="s">
        <v>21</v>
      </c>
      <c r="H29" s="19" t="s">
        <v>21</v>
      </c>
      <c r="I29" s="19" t="s">
        <v>21</v>
      </c>
      <c r="J29" s="19" t="s">
        <v>21</v>
      </c>
      <c r="K29" s="19" t="s">
        <v>21</v>
      </c>
      <c r="L29" s="52"/>
      <c r="M29" s="19" t="s">
        <v>20</v>
      </c>
      <c r="N29" s="19" t="s">
        <v>20</v>
      </c>
      <c r="O29" s="19" t="s">
        <v>20</v>
      </c>
      <c r="P29" s="19" t="s">
        <v>20</v>
      </c>
      <c r="Q29" s="19" t="s">
        <v>20</v>
      </c>
      <c r="R29" s="19" t="s">
        <v>20</v>
      </c>
      <c r="S29" s="52"/>
      <c r="T29" s="19" t="s">
        <v>21</v>
      </c>
      <c r="U29" s="41"/>
      <c r="V29" s="19" t="s">
        <v>20</v>
      </c>
      <c r="W29" s="19" t="s">
        <v>20</v>
      </c>
      <c r="X29" s="19" t="s">
        <v>20</v>
      </c>
      <c r="Y29" s="19" t="s">
        <v>20</v>
      </c>
      <c r="Z29" s="52"/>
      <c r="AA29" s="19" t="s">
        <v>20</v>
      </c>
      <c r="AB29" s="19" t="s">
        <v>20</v>
      </c>
      <c r="AC29" s="19" t="s">
        <v>20</v>
      </c>
      <c r="AD29" s="19" t="s">
        <v>20</v>
      </c>
      <c r="AE29" s="19" t="s">
        <v>20</v>
      </c>
      <c r="AF29" s="19" t="s">
        <v>20</v>
      </c>
      <c r="AG29" s="52"/>
      <c r="AH29" s="19" t="s">
        <v>20</v>
      </c>
      <c r="AI29" s="4">
        <f t="shared" si="1"/>
        <v>17</v>
      </c>
      <c r="AJ29" s="4">
        <f t="shared" si="2"/>
        <v>7</v>
      </c>
    </row>
    <row r="30" spans="1:40" x14ac:dyDescent="0.25">
      <c r="A30" s="7">
        <v>3</v>
      </c>
      <c r="B30" s="11" t="s">
        <v>756</v>
      </c>
      <c r="C30" s="11" t="s">
        <v>446</v>
      </c>
      <c r="D30" s="19" t="s">
        <v>725</v>
      </c>
      <c r="E30" s="52"/>
      <c r="F30" s="19" t="s">
        <v>21</v>
      </c>
      <c r="G30" s="19" t="s">
        <v>20</v>
      </c>
      <c r="H30" s="19" t="s">
        <v>20</v>
      </c>
      <c r="I30" s="19" t="s">
        <v>20</v>
      </c>
      <c r="J30" s="19" t="s">
        <v>21</v>
      </c>
      <c r="K30" s="19" t="s">
        <v>20</v>
      </c>
      <c r="L30" s="52"/>
      <c r="M30" s="19" t="s">
        <v>20</v>
      </c>
      <c r="N30" s="19" t="s">
        <v>20</v>
      </c>
      <c r="O30" s="19" t="s">
        <v>20</v>
      </c>
      <c r="P30" s="19" t="s">
        <v>20</v>
      </c>
      <c r="Q30" s="19" t="s">
        <v>20</v>
      </c>
      <c r="R30" s="19" t="s">
        <v>20</v>
      </c>
      <c r="S30" s="52"/>
      <c r="T30" s="19" t="s">
        <v>20</v>
      </c>
      <c r="U30" s="41"/>
      <c r="V30" s="19" t="s">
        <v>20</v>
      </c>
      <c r="W30" s="19" t="s">
        <v>20</v>
      </c>
      <c r="X30" s="19" t="s">
        <v>20</v>
      </c>
      <c r="Y30" s="19" t="s">
        <v>20</v>
      </c>
      <c r="Z30" s="52"/>
      <c r="AA30" s="19" t="s">
        <v>20</v>
      </c>
      <c r="AB30" s="19" t="s">
        <v>20</v>
      </c>
      <c r="AC30" s="19" t="s">
        <v>20</v>
      </c>
      <c r="AD30" s="19" t="s">
        <v>20</v>
      </c>
      <c r="AE30" s="19" t="s">
        <v>20</v>
      </c>
      <c r="AF30" s="19" t="s">
        <v>20</v>
      </c>
      <c r="AG30" s="52"/>
      <c r="AH30" s="19" t="s">
        <v>20</v>
      </c>
      <c r="AI30" s="4">
        <f t="shared" si="1"/>
        <v>22</v>
      </c>
      <c r="AJ30" s="4">
        <f t="shared" si="2"/>
        <v>2</v>
      </c>
    </row>
    <row r="31" spans="1:40" x14ac:dyDescent="0.25">
      <c r="A31" s="7">
        <v>4</v>
      </c>
      <c r="B31" s="11" t="s">
        <v>757</v>
      </c>
      <c r="C31" s="11" t="s">
        <v>280</v>
      </c>
      <c r="D31" s="19" t="s">
        <v>725</v>
      </c>
      <c r="E31" s="52"/>
      <c r="F31" s="19" t="s">
        <v>20</v>
      </c>
      <c r="G31" s="19" t="s">
        <v>20</v>
      </c>
      <c r="H31" s="19" t="s">
        <v>20</v>
      </c>
      <c r="I31" s="19" t="s">
        <v>21</v>
      </c>
      <c r="J31" s="19" t="s">
        <v>21</v>
      </c>
      <c r="K31" s="19" t="s">
        <v>20</v>
      </c>
      <c r="L31" s="52"/>
      <c r="M31" s="19" t="s">
        <v>20</v>
      </c>
      <c r="N31" s="19" t="s">
        <v>20</v>
      </c>
      <c r="O31" s="19" t="s">
        <v>20</v>
      </c>
      <c r="P31" s="19" t="s">
        <v>20</v>
      </c>
      <c r="Q31" s="19" t="s">
        <v>20</v>
      </c>
      <c r="R31" s="19" t="s">
        <v>20</v>
      </c>
      <c r="S31" s="52"/>
      <c r="T31" s="19" t="s">
        <v>20</v>
      </c>
      <c r="U31" s="41"/>
      <c r="V31" s="19" t="s">
        <v>20</v>
      </c>
      <c r="W31" s="19" t="s">
        <v>21</v>
      </c>
      <c r="X31" s="19" t="s">
        <v>21</v>
      </c>
      <c r="Y31" s="19" t="s">
        <v>21</v>
      </c>
      <c r="Z31" s="52"/>
      <c r="AA31" s="19" t="s">
        <v>20</v>
      </c>
      <c r="AB31" s="19" t="s">
        <v>21</v>
      </c>
      <c r="AC31" s="19" t="s">
        <v>21</v>
      </c>
      <c r="AD31" s="19" t="s">
        <v>21</v>
      </c>
      <c r="AE31" s="19" t="s">
        <v>21</v>
      </c>
      <c r="AF31" s="19" t="s">
        <v>21</v>
      </c>
      <c r="AG31" s="52"/>
      <c r="AH31" s="19" t="s">
        <v>20</v>
      </c>
      <c r="AI31" s="4">
        <f t="shared" si="1"/>
        <v>14</v>
      </c>
      <c r="AJ31" s="4">
        <f t="shared" si="2"/>
        <v>10</v>
      </c>
    </row>
    <row r="32" spans="1:40" x14ac:dyDescent="0.25">
      <c r="A32" s="7">
        <v>5</v>
      </c>
      <c r="B32" s="11" t="s">
        <v>525</v>
      </c>
      <c r="C32" s="11" t="s">
        <v>191</v>
      </c>
      <c r="D32" s="19" t="s">
        <v>725</v>
      </c>
      <c r="E32" s="52"/>
      <c r="F32" s="19" t="s">
        <v>20</v>
      </c>
      <c r="G32" s="19" t="s">
        <v>20</v>
      </c>
      <c r="H32" s="19" t="s">
        <v>21</v>
      </c>
      <c r="I32" s="19" t="s">
        <v>21</v>
      </c>
      <c r="J32" s="19" t="s">
        <v>21</v>
      </c>
      <c r="K32" s="19" t="s">
        <v>20</v>
      </c>
      <c r="L32" s="52"/>
      <c r="M32" s="19" t="s">
        <v>20</v>
      </c>
      <c r="N32" s="19" t="s">
        <v>21</v>
      </c>
      <c r="O32" s="19" t="s">
        <v>20</v>
      </c>
      <c r="P32" s="19" t="s">
        <v>20</v>
      </c>
      <c r="Q32" s="19" t="s">
        <v>20</v>
      </c>
      <c r="R32" s="19" t="s">
        <v>20</v>
      </c>
      <c r="S32" s="52"/>
      <c r="T32" s="19" t="s">
        <v>20</v>
      </c>
      <c r="U32" s="41"/>
      <c r="V32" s="19" t="s">
        <v>20</v>
      </c>
      <c r="W32" s="19" t="s">
        <v>20</v>
      </c>
      <c r="X32" s="19" t="s">
        <v>20</v>
      </c>
      <c r="Y32" s="19" t="s">
        <v>21</v>
      </c>
      <c r="Z32" s="52"/>
      <c r="AA32" s="19" t="s">
        <v>20</v>
      </c>
      <c r="AB32" s="19" t="s">
        <v>20</v>
      </c>
      <c r="AC32" s="19" t="s">
        <v>20</v>
      </c>
      <c r="AD32" s="19" t="s">
        <v>20</v>
      </c>
      <c r="AE32" s="19" t="s">
        <v>20</v>
      </c>
      <c r="AF32" s="19" t="s">
        <v>21</v>
      </c>
      <c r="AG32" s="52"/>
      <c r="AH32" s="19" t="s">
        <v>20</v>
      </c>
      <c r="AI32" s="4">
        <f t="shared" si="1"/>
        <v>18</v>
      </c>
      <c r="AJ32" s="4">
        <f t="shared" si="2"/>
        <v>6</v>
      </c>
    </row>
    <row r="33" spans="1:36" x14ac:dyDescent="0.25">
      <c r="A33" s="7">
        <v>6</v>
      </c>
      <c r="B33" s="11" t="s">
        <v>758</v>
      </c>
      <c r="C33" s="11" t="s">
        <v>119</v>
      </c>
      <c r="D33" s="19" t="s">
        <v>725</v>
      </c>
      <c r="E33" s="52"/>
      <c r="F33" s="19" t="s">
        <v>20</v>
      </c>
      <c r="G33" s="19" t="s">
        <v>20</v>
      </c>
      <c r="H33" s="19" t="s">
        <v>20</v>
      </c>
      <c r="I33" s="19" t="s">
        <v>20</v>
      </c>
      <c r="J33" s="19" t="s">
        <v>20</v>
      </c>
      <c r="K33" s="19" t="s">
        <v>20</v>
      </c>
      <c r="L33" s="52"/>
      <c r="M33" s="19" t="s">
        <v>20</v>
      </c>
      <c r="N33" s="19" t="s">
        <v>20</v>
      </c>
      <c r="O33" s="19" t="s">
        <v>20</v>
      </c>
      <c r="P33" s="19" t="s">
        <v>20</v>
      </c>
      <c r="Q33" s="19" t="s">
        <v>20</v>
      </c>
      <c r="R33" s="19" t="s">
        <v>20</v>
      </c>
      <c r="S33" s="52"/>
      <c r="T33" s="19" t="s">
        <v>20</v>
      </c>
      <c r="U33" s="41"/>
      <c r="V33" s="19" t="s">
        <v>20</v>
      </c>
      <c r="W33" s="19" t="s">
        <v>20</v>
      </c>
      <c r="X33" s="19" t="s">
        <v>20</v>
      </c>
      <c r="Y33" s="19" t="s">
        <v>20</v>
      </c>
      <c r="Z33" s="52"/>
      <c r="AA33" s="19" t="s">
        <v>20</v>
      </c>
      <c r="AB33" s="19" t="s">
        <v>20</v>
      </c>
      <c r="AC33" s="19" t="s">
        <v>20</v>
      </c>
      <c r="AD33" s="19" t="s">
        <v>20</v>
      </c>
      <c r="AE33" s="19" t="s">
        <v>20</v>
      </c>
      <c r="AF33" s="19" t="s">
        <v>20</v>
      </c>
      <c r="AG33" s="52"/>
      <c r="AH33" s="19" t="s">
        <v>20</v>
      </c>
      <c r="AI33" s="4">
        <f t="shared" si="1"/>
        <v>24</v>
      </c>
      <c r="AJ33" s="4">
        <f t="shared" si="2"/>
        <v>0</v>
      </c>
    </row>
    <row r="34" spans="1:36" x14ac:dyDescent="0.25">
      <c r="A34" s="7">
        <v>7</v>
      </c>
      <c r="B34" s="11" t="s">
        <v>759</v>
      </c>
      <c r="C34" s="11" t="s">
        <v>156</v>
      </c>
      <c r="D34" s="19" t="s">
        <v>725</v>
      </c>
      <c r="E34" s="52"/>
      <c r="F34" s="19" t="s">
        <v>20</v>
      </c>
      <c r="G34" s="19" t="s">
        <v>20</v>
      </c>
      <c r="H34" s="19" t="s">
        <v>20</v>
      </c>
      <c r="I34" s="19" t="s">
        <v>20</v>
      </c>
      <c r="J34" s="19" t="s">
        <v>21</v>
      </c>
      <c r="K34" s="19" t="s">
        <v>20</v>
      </c>
      <c r="L34" s="52"/>
      <c r="M34" s="19" t="s">
        <v>21</v>
      </c>
      <c r="N34" s="19" t="s">
        <v>20</v>
      </c>
      <c r="O34" s="19" t="s">
        <v>20</v>
      </c>
      <c r="P34" s="19" t="s">
        <v>20</v>
      </c>
      <c r="Q34" s="19" t="s">
        <v>20</v>
      </c>
      <c r="R34" s="19" t="s">
        <v>20</v>
      </c>
      <c r="S34" s="52"/>
      <c r="T34" s="19" t="s">
        <v>20</v>
      </c>
      <c r="U34" s="41"/>
      <c r="V34" s="19" t="s">
        <v>20</v>
      </c>
      <c r="W34" s="19" t="s">
        <v>20</v>
      </c>
      <c r="X34" s="19" t="s">
        <v>20</v>
      </c>
      <c r="Y34" s="19" t="s">
        <v>20</v>
      </c>
      <c r="Z34" s="52"/>
      <c r="AA34" s="19" t="s">
        <v>20</v>
      </c>
      <c r="AB34" s="19" t="s">
        <v>21</v>
      </c>
      <c r="AC34" s="19" t="s">
        <v>20</v>
      </c>
      <c r="AD34" s="19" t="s">
        <v>20</v>
      </c>
      <c r="AE34" s="19" t="s">
        <v>20</v>
      </c>
      <c r="AF34" s="19" t="s">
        <v>20</v>
      </c>
      <c r="AG34" s="52"/>
      <c r="AH34" s="19" t="s">
        <v>20</v>
      </c>
      <c r="AI34" s="4">
        <f t="shared" si="1"/>
        <v>21</v>
      </c>
      <c r="AJ34" s="4">
        <f t="shared" si="2"/>
        <v>3</v>
      </c>
    </row>
    <row r="35" spans="1:36" x14ac:dyDescent="0.25">
      <c r="A35" s="7">
        <v>8</v>
      </c>
      <c r="B35" s="11" t="s">
        <v>115</v>
      </c>
      <c r="C35" s="11" t="s">
        <v>562</v>
      </c>
      <c r="D35" s="19" t="s">
        <v>725</v>
      </c>
      <c r="E35" s="52"/>
      <c r="F35" s="19" t="s">
        <v>20</v>
      </c>
      <c r="G35" s="19" t="s">
        <v>20</v>
      </c>
      <c r="H35" s="19" t="s">
        <v>20</v>
      </c>
      <c r="I35" s="19" t="s">
        <v>20</v>
      </c>
      <c r="J35" s="19" t="s">
        <v>20</v>
      </c>
      <c r="K35" s="19" t="s">
        <v>21</v>
      </c>
      <c r="L35" s="52"/>
      <c r="M35" s="19" t="s">
        <v>20</v>
      </c>
      <c r="N35" s="19" t="s">
        <v>20</v>
      </c>
      <c r="O35" s="19" t="s">
        <v>20</v>
      </c>
      <c r="P35" s="19" t="s">
        <v>20</v>
      </c>
      <c r="Q35" s="19" t="s">
        <v>20</v>
      </c>
      <c r="R35" s="19" t="s">
        <v>20</v>
      </c>
      <c r="S35" s="52"/>
      <c r="T35" s="19" t="s">
        <v>20</v>
      </c>
      <c r="U35" s="41"/>
      <c r="V35" s="19" t="s">
        <v>20</v>
      </c>
      <c r="W35" s="19" t="s">
        <v>20</v>
      </c>
      <c r="X35" s="19" t="s">
        <v>20</v>
      </c>
      <c r="Y35" s="19" t="s">
        <v>20</v>
      </c>
      <c r="Z35" s="52"/>
      <c r="AA35" s="19" t="s">
        <v>20</v>
      </c>
      <c r="AB35" s="19" t="s">
        <v>20</v>
      </c>
      <c r="AC35" s="19" t="s">
        <v>20</v>
      </c>
      <c r="AD35" s="19" t="s">
        <v>20</v>
      </c>
      <c r="AE35" s="19" t="s">
        <v>20</v>
      </c>
      <c r="AF35" s="19" t="s">
        <v>20</v>
      </c>
      <c r="AG35" s="52"/>
      <c r="AH35" s="19" t="s">
        <v>20</v>
      </c>
      <c r="AI35" s="4">
        <f t="shared" si="1"/>
        <v>23</v>
      </c>
      <c r="AJ35" s="4">
        <f t="shared" si="2"/>
        <v>1</v>
      </c>
    </row>
    <row r="36" spans="1:36" x14ac:dyDescent="0.25">
      <c r="A36" s="7">
        <v>9</v>
      </c>
      <c r="B36" s="11" t="s">
        <v>760</v>
      </c>
      <c r="C36" s="11" t="s">
        <v>112</v>
      </c>
      <c r="D36" s="19" t="s">
        <v>725</v>
      </c>
      <c r="E36" s="52"/>
      <c r="F36" s="19" t="s">
        <v>20</v>
      </c>
      <c r="G36" s="19" t="s">
        <v>21</v>
      </c>
      <c r="H36" s="19" t="s">
        <v>20</v>
      </c>
      <c r="I36" s="19" t="s">
        <v>20</v>
      </c>
      <c r="J36" s="19" t="s">
        <v>21</v>
      </c>
      <c r="K36" s="19" t="s">
        <v>20</v>
      </c>
      <c r="L36" s="52"/>
      <c r="M36" s="19" t="s">
        <v>20</v>
      </c>
      <c r="N36" s="19" t="s">
        <v>20</v>
      </c>
      <c r="O36" s="19" t="s">
        <v>20</v>
      </c>
      <c r="P36" s="19" t="s">
        <v>20</v>
      </c>
      <c r="Q36" s="19" t="s">
        <v>20</v>
      </c>
      <c r="R36" s="19" t="s">
        <v>20</v>
      </c>
      <c r="S36" s="52"/>
      <c r="T36" s="19" t="s">
        <v>20</v>
      </c>
      <c r="U36" s="41"/>
      <c r="V36" s="19" t="s">
        <v>20</v>
      </c>
      <c r="W36" s="19" t="s">
        <v>20</v>
      </c>
      <c r="X36" s="19" t="s">
        <v>20</v>
      </c>
      <c r="Y36" s="19" t="s">
        <v>20</v>
      </c>
      <c r="Z36" s="52"/>
      <c r="AA36" s="19" t="s">
        <v>20</v>
      </c>
      <c r="AB36" s="19" t="s">
        <v>20</v>
      </c>
      <c r="AC36" s="19" t="s">
        <v>20</v>
      </c>
      <c r="AD36" s="19" t="s">
        <v>20</v>
      </c>
      <c r="AE36" s="19" t="s">
        <v>20</v>
      </c>
      <c r="AF36" s="19" t="s">
        <v>21</v>
      </c>
      <c r="AG36" s="52"/>
      <c r="AH36" s="19" t="s">
        <v>20</v>
      </c>
      <c r="AI36" s="4">
        <f t="shared" si="1"/>
        <v>21</v>
      </c>
      <c r="AJ36" s="4">
        <f t="shared" si="2"/>
        <v>3</v>
      </c>
    </row>
    <row r="37" spans="1:36" x14ac:dyDescent="0.25">
      <c r="A37" s="7">
        <v>10</v>
      </c>
      <c r="B37" s="11" t="s">
        <v>761</v>
      </c>
      <c r="C37" s="11" t="s">
        <v>762</v>
      </c>
      <c r="D37" s="19" t="s">
        <v>725</v>
      </c>
      <c r="E37" s="52"/>
      <c r="F37" s="19" t="s">
        <v>20</v>
      </c>
      <c r="G37" s="19" t="s">
        <v>21</v>
      </c>
      <c r="H37" s="19" t="s">
        <v>20</v>
      </c>
      <c r="I37" s="19" t="s">
        <v>20</v>
      </c>
      <c r="J37" s="19" t="s">
        <v>20</v>
      </c>
      <c r="K37" s="19" t="s">
        <v>21</v>
      </c>
      <c r="L37" s="52"/>
      <c r="M37" s="19" t="s">
        <v>20</v>
      </c>
      <c r="N37" s="19" t="s">
        <v>20</v>
      </c>
      <c r="O37" s="19" t="s">
        <v>20</v>
      </c>
      <c r="P37" s="19" t="s">
        <v>20</v>
      </c>
      <c r="Q37" s="19" t="s">
        <v>20</v>
      </c>
      <c r="R37" s="19" t="s">
        <v>20</v>
      </c>
      <c r="S37" s="52"/>
      <c r="T37" s="19" t="s">
        <v>21</v>
      </c>
      <c r="U37" s="41"/>
      <c r="V37" s="19" t="s">
        <v>21</v>
      </c>
      <c r="W37" s="19" t="s">
        <v>20</v>
      </c>
      <c r="X37" s="19" t="s">
        <v>20</v>
      </c>
      <c r="Y37" s="19" t="s">
        <v>21</v>
      </c>
      <c r="Z37" s="52"/>
      <c r="AA37" s="19" t="s">
        <v>20</v>
      </c>
      <c r="AB37" s="19" t="s">
        <v>20</v>
      </c>
      <c r="AC37" s="19" t="s">
        <v>20</v>
      </c>
      <c r="AD37" s="19" t="s">
        <v>20</v>
      </c>
      <c r="AE37" s="19" t="s">
        <v>20</v>
      </c>
      <c r="AF37" s="19" t="s">
        <v>20</v>
      </c>
      <c r="AG37" s="52"/>
      <c r="AH37" s="19" t="s">
        <v>20</v>
      </c>
      <c r="AI37" s="4">
        <f t="shared" si="1"/>
        <v>19</v>
      </c>
      <c r="AJ37" s="4">
        <f t="shared" si="2"/>
        <v>5</v>
      </c>
    </row>
    <row r="38" spans="1:36" x14ac:dyDescent="0.25">
      <c r="A38" s="7">
        <v>11</v>
      </c>
      <c r="B38" s="11" t="s">
        <v>763</v>
      </c>
      <c r="C38" s="11" t="s">
        <v>764</v>
      </c>
      <c r="D38" s="19" t="s">
        <v>725</v>
      </c>
      <c r="E38" s="52"/>
      <c r="F38" s="19" t="s">
        <v>20</v>
      </c>
      <c r="G38" s="19" t="s">
        <v>21</v>
      </c>
      <c r="H38" s="19" t="s">
        <v>20</v>
      </c>
      <c r="I38" s="19" t="s">
        <v>20</v>
      </c>
      <c r="J38" s="19" t="s">
        <v>20</v>
      </c>
      <c r="K38" s="19" t="s">
        <v>20</v>
      </c>
      <c r="L38" s="52"/>
      <c r="M38" s="19" t="s">
        <v>20</v>
      </c>
      <c r="N38" s="19" t="s">
        <v>20</v>
      </c>
      <c r="O38" s="19" t="s">
        <v>20</v>
      </c>
      <c r="P38" s="19" t="s">
        <v>20</v>
      </c>
      <c r="Q38" s="19" t="s">
        <v>20</v>
      </c>
      <c r="R38" s="19" t="s">
        <v>20</v>
      </c>
      <c r="S38" s="52"/>
      <c r="T38" s="19" t="s">
        <v>20</v>
      </c>
      <c r="U38" s="41"/>
      <c r="V38" s="19" t="s">
        <v>20</v>
      </c>
      <c r="W38" s="19" t="s">
        <v>20</v>
      </c>
      <c r="X38" s="19" t="s">
        <v>20</v>
      </c>
      <c r="Y38" s="19" t="s">
        <v>20</v>
      </c>
      <c r="Z38" s="52"/>
      <c r="AA38" s="19" t="s">
        <v>20</v>
      </c>
      <c r="AB38" s="19" t="s">
        <v>20</v>
      </c>
      <c r="AC38" s="19" t="s">
        <v>20</v>
      </c>
      <c r="AD38" s="19" t="s">
        <v>20</v>
      </c>
      <c r="AE38" s="19" t="s">
        <v>20</v>
      </c>
      <c r="AF38" s="19" t="s">
        <v>20</v>
      </c>
      <c r="AG38" s="52"/>
      <c r="AH38" s="19" t="s">
        <v>20</v>
      </c>
      <c r="AI38" s="4">
        <f t="shared" si="1"/>
        <v>23</v>
      </c>
      <c r="AJ38" s="4">
        <f t="shared" si="2"/>
        <v>1</v>
      </c>
    </row>
    <row r="39" spans="1:36" x14ac:dyDescent="0.25">
      <c r="A39" s="7">
        <v>12</v>
      </c>
      <c r="B39" s="11" t="s">
        <v>765</v>
      </c>
      <c r="C39" s="11" t="s">
        <v>333</v>
      </c>
      <c r="D39" s="19" t="s">
        <v>725</v>
      </c>
      <c r="E39" s="52"/>
      <c r="F39" s="19" t="s">
        <v>20</v>
      </c>
      <c r="G39" s="19" t="s">
        <v>20</v>
      </c>
      <c r="H39" s="19" t="s">
        <v>21</v>
      </c>
      <c r="I39" s="19" t="s">
        <v>20</v>
      </c>
      <c r="J39" s="19" t="s">
        <v>20</v>
      </c>
      <c r="K39" s="19" t="s">
        <v>20</v>
      </c>
      <c r="L39" s="52"/>
      <c r="M39" s="19" t="s">
        <v>20</v>
      </c>
      <c r="N39" s="19" t="s">
        <v>20</v>
      </c>
      <c r="O39" s="19" t="s">
        <v>20</v>
      </c>
      <c r="P39" s="19" t="s">
        <v>20</v>
      </c>
      <c r="Q39" s="19" t="s">
        <v>20</v>
      </c>
      <c r="R39" s="19" t="s">
        <v>20</v>
      </c>
      <c r="S39" s="52"/>
      <c r="T39" s="19" t="s">
        <v>20</v>
      </c>
      <c r="U39" s="41"/>
      <c r="V39" s="19" t="s">
        <v>20</v>
      </c>
      <c r="W39" s="19" t="s">
        <v>20</v>
      </c>
      <c r="X39" s="19" t="s">
        <v>20</v>
      </c>
      <c r="Y39" s="19" t="s">
        <v>20</v>
      </c>
      <c r="Z39" s="52"/>
      <c r="AA39" s="19" t="s">
        <v>20</v>
      </c>
      <c r="AB39" s="19" t="s">
        <v>20</v>
      </c>
      <c r="AC39" s="19" t="s">
        <v>20</v>
      </c>
      <c r="AD39" s="19" t="s">
        <v>20</v>
      </c>
      <c r="AE39" s="19" t="s">
        <v>20</v>
      </c>
      <c r="AF39" s="19" t="s">
        <v>21</v>
      </c>
      <c r="AG39" s="52"/>
      <c r="AH39" s="19" t="s">
        <v>20</v>
      </c>
      <c r="AI39" s="4">
        <f t="shared" si="1"/>
        <v>22</v>
      </c>
      <c r="AJ39" s="4">
        <f t="shared" si="2"/>
        <v>2</v>
      </c>
    </row>
    <row r="40" spans="1:36" x14ac:dyDescent="0.25">
      <c r="A40" s="7">
        <v>13</v>
      </c>
      <c r="B40" s="11" t="s">
        <v>766</v>
      </c>
      <c r="C40" s="11" t="s">
        <v>280</v>
      </c>
      <c r="D40" s="19" t="s">
        <v>725</v>
      </c>
      <c r="E40" s="52"/>
      <c r="F40" s="19" t="s">
        <v>20</v>
      </c>
      <c r="G40" s="19" t="s">
        <v>20</v>
      </c>
      <c r="H40" s="19" t="s">
        <v>20</v>
      </c>
      <c r="I40" s="19" t="s">
        <v>20</v>
      </c>
      <c r="J40" s="19" t="s">
        <v>20</v>
      </c>
      <c r="K40" s="19" t="s">
        <v>20</v>
      </c>
      <c r="L40" s="52"/>
      <c r="M40" s="19" t="s">
        <v>21</v>
      </c>
      <c r="N40" s="19" t="s">
        <v>20</v>
      </c>
      <c r="O40" s="19" t="s">
        <v>20</v>
      </c>
      <c r="P40" s="19" t="s">
        <v>20</v>
      </c>
      <c r="Q40" s="19" t="s">
        <v>20</v>
      </c>
      <c r="R40" s="19" t="s">
        <v>20</v>
      </c>
      <c r="S40" s="52"/>
      <c r="T40" s="19" t="s">
        <v>20</v>
      </c>
      <c r="U40" s="41"/>
      <c r="V40" s="19" t="s">
        <v>20</v>
      </c>
      <c r="W40" s="19" t="s">
        <v>20</v>
      </c>
      <c r="X40" s="19" t="s">
        <v>20</v>
      </c>
      <c r="Y40" s="19" t="s">
        <v>20</v>
      </c>
      <c r="Z40" s="52"/>
      <c r="AA40" s="19" t="s">
        <v>20</v>
      </c>
      <c r="AB40" s="19" t="s">
        <v>20</v>
      </c>
      <c r="AC40" s="19" t="s">
        <v>20</v>
      </c>
      <c r="AD40" s="19" t="s">
        <v>20</v>
      </c>
      <c r="AE40" s="19" t="s">
        <v>20</v>
      </c>
      <c r="AF40" s="19" t="s">
        <v>20</v>
      </c>
      <c r="AG40" s="52"/>
      <c r="AH40" s="19" t="s">
        <v>20</v>
      </c>
      <c r="AI40" s="4">
        <f t="shared" si="1"/>
        <v>23</v>
      </c>
      <c r="AJ40" s="4">
        <f t="shared" si="2"/>
        <v>1</v>
      </c>
    </row>
    <row r="41" spans="1:36" x14ac:dyDescent="0.25">
      <c r="A41" s="7">
        <v>14</v>
      </c>
      <c r="B41" s="11" t="s">
        <v>767</v>
      </c>
      <c r="C41" s="11" t="s">
        <v>98</v>
      </c>
      <c r="D41" s="19" t="s">
        <v>725</v>
      </c>
      <c r="E41" s="52"/>
      <c r="F41" s="19" t="s">
        <v>21</v>
      </c>
      <c r="G41" s="19" t="s">
        <v>20</v>
      </c>
      <c r="H41" s="19" t="s">
        <v>21</v>
      </c>
      <c r="I41" s="19" t="s">
        <v>21</v>
      </c>
      <c r="J41" s="19" t="s">
        <v>21</v>
      </c>
      <c r="K41" s="19" t="s">
        <v>21</v>
      </c>
      <c r="L41" s="52"/>
      <c r="M41" s="19" t="s">
        <v>21</v>
      </c>
      <c r="N41" s="19" t="s">
        <v>21</v>
      </c>
      <c r="O41" s="19" t="s">
        <v>20</v>
      </c>
      <c r="P41" s="19" t="s">
        <v>20</v>
      </c>
      <c r="Q41" s="19" t="s">
        <v>20</v>
      </c>
      <c r="R41" s="19" t="s">
        <v>21</v>
      </c>
      <c r="S41" s="52"/>
      <c r="T41" s="19" t="s">
        <v>21</v>
      </c>
      <c r="U41" s="41"/>
      <c r="V41" s="19" t="s">
        <v>20</v>
      </c>
      <c r="W41" s="19" t="s">
        <v>20</v>
      </c>
      <c r="X41" s="19" t="s">
        <v>20</v>
      </c>
      <c r="Y41" s="19" t="s">
        <v>21</v>
      </c>
      <c r="Z41" s="52"/>
      <c r="AA41" s="19" t="s">
        <v>20</v>
      </c>
      <c r="AB41" s="19" t="s">
        <v>20</v>
      </c>
      <c r="AC41" s="19" t="s">
        <v>20</v>
      </c>
      <c r="AD41" s="19" t="s">
        <v>20</v>
      </c>
      <c r="AE41" s="19" t="s">
        <v>20</v>
      </c>
      <c r="AF41" s="19" t="s">
        <v>21</v>
      </c>
      <c r="AG41" s="52"/>
      <c r="AH41" s="19" t="s">
        <v>20</v>
      </c>
      <c r="AI41" s="4">
        <f t="shared" si="1"/>
        <v>13</v>
      </c>
      <c r="AJ41" s="4">
        <f t="shared" si="2"/>
        <v>11</v>
      </c>
    </row>
    <row r="42" spans="1:36" x14ac:dyDescent="0.25">
      <c r="A42" s="7">
        <v>15</v>
      </c>
      <c r="B42" s="11" t="s">
        <v>768</v>
      </c>
      <c r="C42" s="11" t="s">
        <v>762</v>
      </c>
      <c r="D42" s="19" t="s">
        <v>725</v>
      </c>
      <c r="E42" s="52"/>
      <c r="F42" s="19" t="s">
        <v>20</v>
      </c>
      <c r="G42" s="19" t="s">
        <v>20</v>
      </c>
      <c r="H42" s="19" t="s">
        <v>20</v>
      </c>
      <c r="I42" s="19" t="s">
        <v>20</v>
      </c>
      <c r="J42" s="19" t="s">
        <v>20</v>
      </c>
      <c r="K42" s="19" t="s">
        <v>21</v>
      </c>
      <c r="L42" s="52"/>
      <c r="M42" s="19" t="s">
        <v>20</v>
      </c>
      <c r="N42" s="19" t="s">
        <v>20</v>
      </c>
      <c r="O42" s="19" t="s">
        <v>20</v>
      </c>
      <c r="P42" s="19" t="s">
        <v>20</v>
      </c>
      <c r="Q42" s="19" t="s">
        <v>20</v>
      </c>
      <c r="R42" s="19" t="s">
        <v>20</v>
      </c>
      <c r="S42" s="52"/>
      <c r="T42" s="19" t="s">
        <v>21</v>
      </c>
      <c r="U42" s="41"/>
      <c r="V42" s="19" t="s">
        <v>21</v>
      </c>
      <c r="W42" s="19" t="s">
        <v>20</v>
      </c>
      <c r="X42" s="19" t="s">
        <v>20</v>
      </c>
      <c r="Y42" s="19" t="s">
        <v>21</v>
      </c>
      <c r="Z42" s="52"/>
      <c r="AA42" s="19" t="s">
        <v>20</v>
      </c>
      <c r="AB42" s="19" t="s">
        <v>20</v>
      </c>
      <c r="AC42" s="19" t="s">
        <v>20</v>
      </c>
      <c r="AD42" s="19" t="s">
        <v>20</v>
      </c>
      <c r="AE42" s="19" t="s">
        <v>20</v>
      </c>
      <c r="AF42" s="19" t="s">
        <v>20</v>
      </c>
      <c r="AG42" s="52"/>
      <c r="AH42" s="19" t="s">
        <v>20</v>
      </c>
      <c r="AI42" s="4">
        <f t="shared" si="1"/>
        <v>20</v>
      </c>
      <c r="AJ42" s="4">
        <f t="shared" si="2"/>
        <v>4</v>
      </c>
    </row>
    <row r="43" spans="1:36" x14ac:dyDescent="0.25">
      <c r="A43" s="7">
        <v>16</v>
      </c>
      <c r="B43" s="11" t="s">
        <v>769</v>
      </c>
      <c r="C43" s="11" t="s">
        <v>43</v>
      </c>
      <c r="D43" s="19" t="s">
        <v>725</v>
      </c>
      <c r="E43" s="52"/>
      <c r="F43" s="19" t="s">
        <v>20</v>
      </c>
      <c r="G43" s="19" t="s">
        <v>20</v>
      </c>
      <c r="H43" s="19" t="s">
        <v>20</v>
      </c>
      <c r="I43" s="19" t="s">
        <v>21</v>
      </c>
      <c r="J43" s="19" t="s">
        <v>21</v>
      </c>
      <c r="K43" s="19" t="s">
        <v>20</v>
      </c>
      <c r="L43" s="52"/>
      <c r="M43" s="19" t="s">
        <v>20</v>
      </c>
      <c r="N43" s="19" t="s">
        <v>20</v>
      </c>
      <c r="O43" s="19" t="s">
        <v>21</v>
      </c>
      <c r="P43" s="19" t="s">
        <v>20</v>
      </c>
      <c r="Q43" s="19" t="s">
        <v>21</v>
      </c>
      <c r="R43" s="19" t="s">
        <v>20</v>
      </c>
      <c r="S43" s="52"/>
      <c r="T43" s="19" t="s">
        <v>21</v>
      </c>
      <c r="U43" s="41"/>
      <c r="V43" s="19" t="s">
        <v>20</v>
      </c>
      <c r="W43" s="19" t="s">
        <v>20</v>
      </c>
      <c r="X43" s="19" t="s">
        <v>21</v>
      </c>
      <c r="Y43" s="19" t="s">
        <v>20</v>
      </c>
      <c r="Z43" s="52"/>
      <c r="AA43" s="19" t="s">
        <v>20</v>
      </c>
      <c r="AB43" s="19" t="s">
        <v>21</v>
      </c>
      <c r="AC43" s="19" t="s">
        <v>21</v>
      </c>
      <c r="AD43" s="19" t="s">
        <v>20</v>
      </c>
      <c r="AE43" s="19" t="s">
        <v>20</v>
      </c>
      <c r="AF43" s="19" t="s">
        <v>21</v>
      </c>
      <c r="AG43" s="52"/>
      <c r="AH43" s="19" t="s">
        <v>20</v>
      </c>
      <c r="AI43" s="4">
        <f t="shared" si="1"/>
        <v>15</v>
      </c>
      <c r="AJ43" s="4">
        <f t="shared" si="2"/>
        <v>9</v>
      </c>
    </row>
    <row r="44" spans="1:36" x14ac:dyDescent="0.25">
      <c r="A44" s="7">
        <v>17</v>
      </c>
      <c r="B44" s="11" t="s">
        <v>770</v>
      </c>
      <c r="C44" s="11" t="s">
        <v>771</v>
      </c>
      <c r="D44" s="19" t="s">
        <v>725</v>
      </c>
      <c r="E44" s="52"/>
      <c r="F44" s="19" t="s">
        <v>20</v>
      </c>
      <c r="G44" s="19" t="s">
        <v>20</v>
      </c>
      <c r="H44" s="19" t="s">
        <v>20</v>
      </c>
      <c r="I44" s="19" t="s">
        <v>20</v>
      </c>
      <c r="J44" s="19" t="s">
        <v>21</v>
      </c>
      <c r="K44" s="19" t="s">
        <v>20</v>
      </c>
      <c r="L44" s="52"/>
      <c r="M44" s="19" t="s">
        <v>21</v>
      </c>
      <c r="N44" s="19" t="s">
        <v>20</v>
      </c>
      <c r="O44" s="19" t="s">
        <v>21</v>
      </c>
      <c r="P44" s="19" t="s">
        <v>20</v>
      </c>
      <c r="Q44" s="19" t="s">
        <v>20</v>
      </c>
      <c r="R44" s="19" t="s">
        <v>21</v>
      </c>
      <c r="S44" s="52"/>
      <c r="T44" s="19" t="s">
        <v>21</v>
      </c>
      <c r="U44" s="41"/>
      <c r="V44" s="19" t="s">
        <v>21</v>
      </c>
      <c r="W44" s="19" t="s">
        <v>20</v>
      </c>
      <c r="X44" s="19" t="s">
        <v>20</v>
      </c>
      <c r="Y44" s="19" t="s">
        <v>21</v>
      </c>
      <c r="Z44" s="52"/>
      <c r="AA44" s="19" t="s">
        <v>20</v>
      </c>
      <c r="AB44" s="19" t="s">
        <v>20</v>
      </c>
      <c r="AC44" s="19" t="s">
        <v>20</v>
      </c>
      <c r="AD44" s="19" t="s">
        <v>21</v>
      </c>
      <c r="AE44" s="19" t="s">
        <v>20</v>
      </c>
      <c r="AF44" s="19" t="s">
        <v>21</v>
      </c>
      <c r="AG44" s="52"/>
      <c r="AH44" s="19" t="s">
        <v>20</v>
      </c>
      <c r="AI44" s="4">
        <f t="shared" si="1"/>
        <v>15</v>
      </c>
      <c r="AJ44" s="4">
        <f t="shared" si="2"/>
        <v>9</v>
      </c>
    </row>
    <row r="45" spans="1:36" x14ac:dyDescent="0.25">
      <c r="A45" s="7">
        <v>18</v>
      </c>
      <c r="B45" s="11" t="s">
        <v>772</v>
      </c>
      <c r="C45" s="11" t="s">
        <v>280</v>
      </c>
      <c r="D45" s="19" t="s">
        <v>725</v>
      </c>
      <c r="E45" s="52"/>
      <c r="F45" s="19" t="s">
        <v>20</v>
      </c>
      <c r="G45" s="19" t="s">
        <v>20</v>
      </c>
      <c r="H45" s="19" t="s">
        <v>20</v>
      </c>
      <c r="I45" s="19" t="s">
        <v>20</v>
      </c>
      <c r="J45" s="19" t="s">
        <v>20</v>
      </c>
      <c r="K45" s="19" t="s">
        <v>21</v>
      </c>
      <c r="L45" s="52"/>
      <c r="M45" s="19" t="s">
        <v>21</v>
      </c>
      <c r="N45" s="19" t="s">
        <v>20</v>
      </c>
      <c r="O45" s="19" t="s">
        <v>20</v>
      </c>
      <c r="P45" s="19" t="s">
        <v>20</v>
      </c>
      <c r="Q45" s="19" t="s">
        <v>21</v>
      </c>
      <c r="R45" s="19" t="s">
        <v>20</v>
      </c>
      <c r="S45" s="52"/>
      <c r="T45" s="19" t="s">
        <v>20</v>
      </c>
      <c r="U45" s="41"/>
      <c r="V45" s="19" t="s">
        <v>20</v>
      </c>
      <c r="W45" s="19" t="s">
        <v>21</v>
      </c>
      <c r="X45" s="19" t="s">
        <v>20</v>
      </c>
      <c r="Y45" s="19" t="s">
        <v>20</v>
      </c>
      <c r="Z45" s="52"/>
      <c r="AA45" s="19" t="s">
        <v>20</v>
      </c>
      <c r="AB45" s="19" t="s">
        <v>20</v>
      </c>
      <c r="AC45" s="19" t="s">
        <v>20</v>
      </c>
      <c r="AD45" s="19" t="s">
        <v>20</v>
      </c>
      <c r="AE45" s="19" t="s">
        <v>20</v>
      </c>
      <c r="AF45" s="19" t="s">
        <v>20</v>
      </c>
      <c r="AG45" s="52"/>
      <c r="AH45" s="19" t="s">
        <v>20</v>
      </c>
      <c r="AI45" s="4">
        <f t="shared" si="1"/>
        <v>20</v>
      </c>
      <c r="AJ45" s="4">
        <f t="shared" si="2"/>
        <v>4</v>
      </c>
    </row>
    <row r="46" spans="1:36" x14ac:dyDescent="0.25">
      <c r="A46" s="7">
        <v>19</v>
      </c>
      <c r="B46" s="11" t="s">
        <v>773</v>
      </c>
      <c r="C46" s="11" t="s">
        <v>774</v>
      </c>
      <c r="D46" s="19" t="s">
        <v>725</v>
      </c>
      <c r="E46" s="52"/>
      <c r="F46" s="19" t="s">
        <v>21</v>
      </c>
      <c r="G46" s="19" t="s">
        <v>20</v>
      </c>
      <c r="H46" s="19" t="s">
        <v>20</v>
      </c>
      <c r="I46" s="19" t="s">
        <v>20</v>
      </c>
      <c r="J46" s="19" t="s">
        <v>20</v>
      </c>
      <c r="K46" s="19" t="s">
        <v>21</v>
      </c>
      <c r="L46" s="52"/>
      <c r="M46" s="19" t="s">
        <v>20</v>
      </c>
      <c r="N46" s="19" t="s">
        <v>21</v>
      </c>
      <c r="O46" s="19" t="s">
        <v>20</v>
      </c>
      <c r="P46" s="19" t="s">
        <v>20</v>
      </c>
      <c r="Q46" s="19" t="s">
        <v>20</v>
      </c>
      <c r="R46" s="19" t="s">
        <v>21</v>
      </c>
      <c r="S46" s="52"/>
      <c r="T46" s="19" t="s">
        <v>21</v>
      </c>
      <c r="U46" s="41"/>
      <c r="V46" s="19" t="s">
        <v>20</v>
      </c>
      <c r="W46" s="19" t="s">
        <v>20</v>
      </c>
      <c r="X46" s="19" t="s">
        <v>20</v>
      </c>
      <c r="Y46" s="19" t="s">
        <v>20</v>
      </c>
      <c r="Z46" s="52"/>
      <c r="AA46" s="19" t="s">
        <v>21</v>
      </c>
      <c r="AB46" s="19" t="s">
        <v>20</v>
      </c>
      <c r="AC46" s="19" t="s">
        <v>20</v>
      </c>
      <c r="AD46" s="19" t="s">
        <v>20</v>
      </c>
      <c r="AE46" s="19" t="s">
        <v>20</v>
      </c>
      <c r="AF46" s="19" t="s">
        <v>21</v>
      </c>
      <c r="AG46" s="52"/>
      <c r="AH46" s="19" t="s">
        <v>20</v>
      </c>
      <c r="AI46" s="4">
        <f t="shared" si="1"/>
        <v>17</v>
      </c>
      <c r="AJ46" s="4">
        <f t="shared" si="2"/>
        <v>7</v>
      </c>
    </row>
    <row r="47" spans="1:36" x14ac:dyDescent="0.25">
      <c r="A47" s="7">
        <v>20</v>
      </c>
      <c r="B47" s="11" t="s">
        <v>775</v>
      </c>
      <c r="C47" s="11" t="s">
        <v>119</v>
      </c>
      <c r="D47" s="19" t="s">
        <v>725</v>
      </c>
      <c r="E47" s="52"/>
      <c r="F47" s="19" t="s">
        <v>20</v>
      </c>
      <c r="G47" s="19" t="s">
        <v>20</v>
      </c>
      <c r="H47" s="19" t="s">
        <v>20</v>
      </c>
      <c r="I47" s="19" t="s">
        <v>20</v>
      </c>
      <c r="J47" s="19" t="s">
        <v>20</v>
      </c>
      <c r="K47" s="19" t="s">
        <v>20</v>
      </c>
      <c r="L47" s="52"/>
      <c r="M47" s="19" t="s">
        <v>20</v>
      </c>
      <c r="N47" s="19" t="s">
        <v>20</v>
      </c>
      <c r="O47" s="19" t="s">
        <v>20</v>
      </c>
      <c r="P47" s="19" t="s">
        <v>20</v>
      </c>
      <c r="Q47" s="19" t="s">
        <v>21</v>
      </c>
      <c r="R47" s="19" t="s">
        <v>21</v>
      </c>
      <c r="S47" s="52"/>
      <c r="T47" s="19" t="s">
        <v>20</v>
      </c>
      <c r="U47" s="41"/>
      <c r="V47" s="19" t="s">
        <v>20</v>
      </c>
      <c r="W47" s="19" t="s">
        <v>20</v>
      </c>
      <c r="X47" s="19" t="s">
        <v>20</v>
      </c>
      <c r="Y47" s="19" t="s">
        <v>20</v>
      </c>
      <c r="Z47" s="52"/>
      <c r="AA47" s="19" t="s">
        <v>20</v>
      </c>
      <c r="AB47" s="19" t="s">
        <v>20</v>
      </c>
      <c r="AC47" s="19" t="s">
        <v>20</v>
      </c>
      <c r="AD47" s="19" t="s">
        <v>20</v>
      </c>
      <c r="AE47" s="19" t="s">
        <v>20</v>
      </c>
      <c r="AF47" s="19" t="s">
        <v>20</v>
      </c>
      <c r="AG47" s="52"/>
      <c r="AH47" s="19" t="s">
        <v>20</v>
      </c>
      <c r="AI47" s="4">
        <f t="shared" si="1"/>
        <v>22</v>
      </c>
      <c r="AJ47" s="4">
        <f t="shared" si="2"/>
        <v>2</v>
      </c>
    </row>
    <row r="48" spans="1:36" x14ac:dyDescent="0.25">
      <c r="A48" s="7">
        <v>21</v>
      </c>
      <c r="B48" s="11" t="s">
        <v>776</v>
      </c>
      <c r="C48" s="11" t="s">
        <v>777</v>
      </c>
      <c r="D48" s="19" t="s">
        <v>725</v>
      </c>
      <c r="E48" s="52"/>
      <c r="F48" s="19" t="s">
        <v>20</v>
      </c>
      <c r="G48" s="19" t="s">
        <v>20</v>
      </c>
      <c r="H48" s="19" t="s">
        <v>21</v>
      </c>
      <c r="I48" s="19" t="s">
        <v>20</v>
      </c>
      <c r="J48" s="19" t="s">
        <v>20</v>
      </c>
      <c r="K48" s="19" t="s">
        <v>20</v>
      </c>
      <c r="L48" s="52"/>
      <c r="M48" s="19" t="s">
        <v>20</v>
      </c>
      <c r="N48" s="19" t="s">
        <v>21</v>
      </c>
      <c r="O48" s="19" t="s">
        <v>20</v>
      </c>
      <c r="P48" s="19" t="s">
        <v>20</v>
      </c>
      <c r="Q48" s="19" t="s">
        <v>21</v>
      </c>
      <c r="R48" s="19" t="s">
        <v>20</v>
      </c>
      <c r="S48" s="52"/>
      <c r="T48" s="19" t="s">
        <v>21</v>
      </c>
      <c r="U48" s="41"/>
      <c r="V48" s="19" t="s">
        <v>20</v>
      </c>
      <c r="W48" s="19" t="s">
        <v>20</v>
      </c>
      <c r="X48" s="19" t="s">
        <v>20</v>
      </c>
      <c r="Y48" s="19" t="s">
        <v>21</v>
      </c>
      <c r="Z48" s="52"/>
      <c r="AA48" s="19" t="s">
        <v>20</v>
      </c>
      <c r="AB48" s="19" t="s">
        <v>20</v>
      </c>
      <c r="AC48" s="19" t="s">
        <v>20</v>
      </c>
      <c r="AD48" s="19" t="s">
        <v>20</v>
      </c>
      <c r="AE48" s="19" t="s">
        <v>20</v>
      </c>
      <c r="AF48" s="19" t="s">
        <v>20</v>
      </c>
      <c r="AG48" s="52"/>
      <c r="AH48" s="19" t="s">
        <v>20</v>
      </c>
      <c r="AI48" s="4">
        <f t="shared" si="1"/>
        <v>19</v>
      </c>
      <c r="AJ48" s="4">
        <f t="shared" si="2"/>
        <v>5</v>
      </c>
    </row>
    <row r="49" spans="1:36" x14ac:dyDescent="0.25">
      <c r="A49" s="7">
        <v>22</v>
      </c>
      <c r="B49" s="11" t="s">
        <v>778</v>
      </c>
      <c r="C49" s="11" t="s">
        <v>779</v>
      </c>
      <c r="D49" s="19" t="s">
        <v>725</v>
      </c>
      <c r="E49" s="52"/>
      <c r="F49" s="19" t="s">
        <v>102</v>
      </c>
      <c r="G49" s="19" t="s">
        <v>102</v>
      </c>
      <c r="H49" s="19" t="s">
        <v>102</v>
      </c>
      <c r="I49" s="19" t="s">
        <v>102</v>
      </c>
      <c r="J49" s="19" t="s">
        <v>102</v>
      </c>
      <c r="K49" s="19" t="s">
        <v>102</v>
      </c>
      <c r="L49" s="52"/>
      <c r="M49" s="19" t="s">
        <v>102</v>
      </c>
      <c r="N49" s="19" t="s">
        <v>102</v>
      </c>
      <c r="O49" s="19" t="s">
        <v>102</v>
      </c>
      <c r="P49" s="19" t="s">
        <v>102</v>
      </c>
      <c r="Q49" s="19" t="s">
        <v>102</v>
      </c>
      <c r="R49" s="19" t="s">
        <v>102</v>
      </c>
      <c r="S49" s="52"/>
      <c r="T49" s="19" t="s">
        <v>102</v>
      </c>
      <c r="U49" s="41"/>
      <c r="V49" s="19" t="s">
        <v>20</v>
      </c>
      <c r="W49" s="19" t="s">
        <v>20</v>
      </c>
      <c r="X49" s="19" t="s">
        <v>20</v>
      </c>
      <c r="Y49" s="19" t="s">
        <v>20</v>
      </c>
      <c r="Z49" s="52"/>
      <c r="AA49" s="19" t="s">
        <v>20</v>
      </c>
      <c r="AB49" s="19" t="s">
        <v>20</v>
      </c>
      <c r="AC49" s="19" t="s">
        <v>20</v>
      </c>
      <c r="AD49" s="19" t="s">
        <v>20</v>
      </c>
      <c r="AE49" s="19" t="s">
        <v>20</v>
      </c>
      <c r="AF49" s="19" t="s">
        <v>20</v>
      </c>
      <c r="AG49" s="52"/>
      <c r="AH49" s="19" t="s">
        <v>20</v>
      </c>
      <c r="AI49" s="4">
        <f t="shared" si="1"/>
        <v>11</v>
      </c>
      <c r="AJ49" s="4">
        <f t="shared" si="2"/>
        <v>0</v>
      </c>
    </row>
    <row r="50" spans="1:36" x14ac:dyDescent="0.25">
      <c r="A50" s="7">
        <v>23</v>
      </c>
      <c r="B50" s="11" t="s">
        <v>633</v>
      </c>
      <c r="C50" s="11" t="s">
        <v>780</v>
      </c>
      <c r="D50" s="19" t="s">
        <v>725</v>
      </c>
      <c r="E50" s="53"/>
      <c r="F50" s="19" t="s">
        <v>102</v>
      </c>
      <c r="G50" s="19" t="s">
        <v>102</v>
      </c>
      <c r="H50" s="19" t="s">
        <v>102</v>
      </c>
      <c r="I50" s="19" t="s">
        <v>102</v>
      </c>
      <c r="J50" s="19" t="s">
        <v>102</v>
      </c>
      <c r="K50" s="19" t="s">
        <v>102</v>
      </c>
      <c r="L50" s="53"/>
      <c r="M50" s="19" t="s">
        <v>102</v>
      </c>
      <c r="N50" s="19" t="s">
        <v>102</v>
      </c>
      <c r="O50" s="19" t="s">
        <v>102</v>
      </c>
      <c r="P50" s="19" t="s">
        <v>102</v>
      </c>
      <c r="Q50" s="19" t="s">
        <v>102</v>
      </c>
      <c r="R50" s="19" t="s">
        <v>102</v>
      </c>
      <c r="S50" s="53"/>
      <c r="T50" s="19" t="s">
        <v>102</v>
      </c>
      <c r="U50" s="41"/>
      <c r="V50" s="19" t="s">
        <v>102</v>
      </c>
      <c r="W50" s="19" t="s">
        <v>102</v>
      </c>
      <c r="X50" s="19" t="s">
        <v>102</v>
      </c>
      <c r="Y50" s="19" t="s">
        <v>102</v>
      </c>
      <c r="Z50" s="53"/>
      <c r="AA50" s="19" t="s">
        <v>20</v>
      </c>
      <c r="AB50" s="19" t="s">
        <v>20</v>
      </c>
      <c r="AC50" s="19" t="s">
        <v>21</v>
      </c>
      <c r="AD50" s="19" t="s">
        <v>20</v>
      </c>
      <c r="AE50" s="19" t="s">
        <v>21</v>
      </c>
      <c r="AF50" s="19" t="s">
        <v>21</v>
      </c>
      <c r="AG50" s="53"/>
      <c r="AH50" s="19" t="s">
        <v>20</v>
      </c>
      <c r="AI50" s="4">
        <f t="shared" si="1"/>
        <v>4</v>
      </c>
      <c r="AJ50" s="4">
        <f t="shared" si="2"/>
        <v>3</v>
      </c>
    </row>
  </sheetData>
  <mergeCells count="16">
    <mergeCell ref="A1:AJ1"/>
    <mergeCell ref="A2:AJ2"/>
    <mergeCell ref="A3:A4"/>
    <mergeCell ref="B3:B4"/>
    <mergeCell ref="C3:C4"/>
    <mergeCell ref="D3:D4"/>
    <mergeCell ref="AI3:AI4"/>
    <mergeCell ref="AJ3:AJ4"/>
    <mergeCell ref="AK10:AN10"/>
    <mergeCell ref="AK3:AL3"/>
    <mergeCell ref="E5:E50"/>
    <mergeCell ref="L5:L50"/>
    <mergeCell ref="S5:S50"/>
    <mergeCell ref="U5:U50"/>
    <mergeCell ref="Z5:Z50"/>
    <mergeCell ref="AG5:AG50"/>
  </mergeCells>
  <conditionalFormatting sqref="E5:Z5 AG5 AA5:AF50 AH5:AH50 F6:K50 M6:R50 T6:T50 V6:Y50 E4:AH4">
    <cfRule type="expression" dxfId="153" priority="24">
      <formula>IF(E$4=TODAY(),TRUE,FALSE)</formula>
    </cfRule>
  </conditionalFormatting>
  <conditionalFormatting sqref="E5:Z5 AG5 AA5:AF50 AH5:AH50 F6:K50 M6:R50 T6:T50 V6:Y50">
    <cfRule type="cellIs" dxfId="152" priority="21" operator="equal">
      <formula>"L"</formula>
    </cfRule>
    <cfRule type="cellIs" dxfId="151" priority="22" operator="equal">
      <formula>"A"</formula>
    </cfRule>
    <cfRule type="cellIs" dxfId="150" priority="23" operator="equal">
      <formula>"P"</formula>
    </cfRule>
  </conditionalFormatting>
  <conditionalFormatting sqref="E3:AH4 E5:Z5 AG5 AA5:AF50 AH5:AH50 F6:K50 M6:R50 T6:T50 V6:Y50">
    <cfRule type="expression" dxfId="149" priority="25">
      <formula>E$3="Sun"</formula>
    </cfRule>
  </conditionalFormatting>
  <conditionalFormatting sqref="AI3:AJ3 AI5:AJ50">
    <cfRule type="expression" dxfId="148" priority="26">
      <formula>#REF!="Sun"</formula>
    </cfRule>
  </conditionalFormatting>
  <conditionalFormatting sqref="AK5:AK8">
    <cfRule type="expression" dxfId="147" priority="5">
      <formula>AK$3="Sun"</formula>
    </cfRule>
  </conditionalFormatting>
  <conditionalFormatting sqref="AK11:AK14">
    <cfRule type="expression" dxfId="146" priority="2">
      <formula>AK$3="Sun"</formula>
    </cfRule>
  </conditionalFormatting>
  <conditionalFormatting sqref="AK19:AK22">
    <cfRule type="expression" dxfId="145" priority="1">
      <formula>AK$3="Sun"</formula>
    </cfRule>
  </conditionalFormatting>
  <conditionalFormatting sqref="AK4:AL4">
    <cfRule type="expression" dxfId="144" priority="6">
      <formula>AK$3="Sun"</formula>
    </cfRule>
  </conditionalFormatting>
  <conditionalFormatting sqref="AL11:AN11 AL19:AN19">
    <cfRule type="expression" dxfId="143" priority="7">
      <formula>AL$3="Sun"</formula>
    </cfRule>
  </conditionalFormatting>
  <conditionalFormatting sqref="AN20">
    <cfRule type="expression" dxfId="142" priority="4">
      <formula>AN$3="Sun"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D4630-8154-47C6-B036-616A7851D23A}">
  <dimension ref="A1:AN49"/>
  <sheetViews>
    <sheetView topLeftCell="E1" workbookViewId="0">
      <selection activeCell="AM12" sqref="AM12"/>
    </sheetView>
  </sheetViews>
  <sheetFormatPr defaultColWidth="3.85546875" defaultRowHeight="15" x14ac:dyDescent="0.2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3.85546875" style="1" bestFit="1"/>
    <col min="6" max="7" width="3.7109375" style="1" bestFit="1" customWidth="1"/>
    <col min="8" max="8" width="3.85546875" style="1" bestFit="1"/>
    <col min="9" max="9" width="4.5703125" style="1" bestFit="1" customWidth="1"/>
    <col min="10" max="21" width="4.5703125" style="1" customWidth="1"/>
    <col min="22" max="22" width="3.85546875" style="1" bestFit="1"/>
    <col min="23" max="23" width="4.7109375" style="1" bestFit="1" customWidth="1"/>
    <col min="24" max="24" width="3.85546875" style="1" bestFit="1"/>
    <col min="25" max="26" width="3.7109375" style="1" bestFit="1" customWidth="1"/>
    <col min="27" max="27" width="3.85546875" style="1" bestFit="1"/>
    <col min="28" max="28" width="4.5703125" style="1" bestFit="1" customWidth="1"/>
    <col min="29" max="29" width="3.85546875" style="1" bestFit="1"/>
    <col min="30" max="30" width="4.7109375" style="1" bestFit="1" customWidth="1"/>
    <col min="31" max="31" width="3.85546875" style="1" bestFit="1"/>
    <col min="32" max="32" width="3.7109375" style="1" bestFit="1" customWidth="1"/>
    <col min="33" max="34" width="3.7109375" style="1" customWidth="1"/>
    <col min="35" max="36" width="6.7109375" style="1" bestFit="1" customWidth="1"/>
    <col min="37" max="37" width="18.5703125" style="1" bestFit="1" customWidth="1"/>
    <col min="38" max="38" width="5.85546875" style="1" bestFit="1" customWidth="1"/>
    <col min="39" max="39" width="14.28515625" style="1" bestFit="1" customWidth="1"/>
    <col min="40" max="40" width="6.7109375" style="1" bestFit="1" customWidth="1"/>
    <col min="41" max="16384" width="3.85546875" style="1"/>
  </cols>
  <sheetData>
    <row r="1" spans="1:40" ht="17.25" x14ac:dyDescent="0.25">
      <c r="A1" s="47" t="s">
        <v>19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</row>
    <row r="2" spans="1:40" ht="17.25" x14ac:dyDescent="0.3">
      <c r="A2" s="48" t="s">
        <v>18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</row>
    <row r="3" spans="1:40" ht="15.75" x14ac:dyDescent="0.25">
      <c r="A3" s="49" t="s">
        <v>0</v>
      </c>
      <c r="B3" s="49" t="s">
        <v>1</v>
      </c>
      <c r="C3" s="49" t="s">
        <v>2</v>
      </c>
      <c r="D3" s="49" t="s">
        <v>3</v>
      </c>
      <c r="E3" s="2" t="str">
        <f t="shared" ref="E3:AH3" si="0">TEXT(E4,"ddd")</f>
        <v>Sun</v>
      </c>
      <c r="F3" s="2" t="str">
        <f t="shared" si="0"/>
        <v>Mon</v>
      </c>
      <c r="G3" s="2" t="str">
        <f t="shared" si="0"/>
        <v>Tue</v>
      </c>
      <c r="H3" s="2" t="str">
        <f t="shared" si="0"/>
        <v>Wed</v>
      </c>
      <c r="I3" s="2" t="str">
        <f t="shared" si="0"/>
        <v>Thu</v>
      </c>
      <c r="J3" s="2" t="str">
        <f t="shared" si="0"/>
        <v>Fri</v>
      </c>
      <c r="K3" s="2" t="str">
        <f t="shared" si="0"/>
        <v>Sat</v>
      </c>
      <c r="L3" s="2" t="str">
        <f t="shared" si="0"/>
        <v>Sun</v>
      </c>
      <c r="M3" s="2" t="str">
        <f t="shared" si="0"/>
        <v>Mon</v>
      </c>
      <c r="N3" s="2" t="str">
        <f t="shared" si="0"/>
        <v>Tue</v>
      </c>
      <c r="O3" s="2" t="str">
        <f t="shared" si="0"/>
        <v>Wed</v>
      </c>
      <c r="P3" s="2" t="str">
        <f t="shared" si="0"/>
        <v>Thu</v>
      </c>
      <c r="Q3" s="2" t="str">
        <f t="shared" si="0"/>
        <v>Fri</v>
      </c>
      <c r="R3" s="2" t="str">
        <f t="shared" si="0"/>
        <v>Sat</v>
      </c>
      <c r="S3" s="2" t="str">
        <f t="shared" si="0"/>
        <v>Sun</v>
      </c>
      <c r="T3" s="2" t="str">
        <f t="shared" si="0"/>
        <v>Mon</v>
      </c>
      <c r="U3" s="2" t="str">
        <f t="shared" si="0"/>
        <v>Tue</v>
      </c>
      <c r="V3" s="2" t="str">
        <f t="shared" si="0"/>
        <v>Wed</v>
      </c>
      <c r="W3" s="2" t="str">
        <f t="shared" si="0"/>
        <v>Thu</v>
      </c>
      <c r="X3" s="2" t="str">
        <f t="shared" si="0"/>
        <v>Fri</v>
      </c>
      <c r="Y3" s="2" t="str">
        <f t="shared" si="0"/>
        <v>Sat</v>
      </c>
      <c r="Z3" s="2" t="str">
        <f t="shared" si="0"/>
        <v>Sun</v>
      </c>
      <c r="AA3" s="2" t="str">
        <f t="shared" si="0"/>
        <v>Mon</v>
      </c>
      <c r="AB3" s="2" t="str">
        <f t="shared" si="0"/>
        <v>Tue</v>
      </c>
      <c r="AC3" s="2" t="str">
        <f t="shared" si="0"/>
        <v>Wed</v>
      </c>
      <c r="AD3" s="2" t="str">
        <f t="shared" si="0"/>
        <v>Thu</v>
      </c>
      <c r="AE3" s="2" t="str">
        <f t="shared" si="0"/>
        <v>Fri</v>
      </c>
      <c r="AF3" s="2" t="str">
        <f t="shared" si="0"/>
        <v>Sat</v>
      </c>
      <c r="AG3" s="2" t="str">
        <f t="shared" si="0"/>
        <v>Sun</v>
      </c>
      <c r="AH3" s="2" t="str">
        <f t="shared" si="0"/>
        <v>Mon</v>
      </c>
      <c r="AI3" s="45" t="s">
        <v>4</v>
      </c>
      <c r="AJ3" s="45" t="s">
        <v>5</v>
      </c>
      <c r="AK3" s="42" t="s">
        <v>17</v>
      </c>
      <c r="AL3" s="43"/>
      <c r="AM3" s="3"/>
      <c r="AN3" s="3"/>
    </row>
    <row r="4" spans="1:40" ht="36" x14ac:dyDescent="0.25">
      <c r="A4" s="50"/>
      <c r="B4" s="50"/>
      <c r="C4" s="50"/>
      <c r="D4" s="50"/>
      <c r="E4" s="10">
        <v>45536</v>
      </c>
      <c r="F4" s="10">
        <v>45537</v>
      </c>
      <c r="G4" s="10">
        <v>45538</v>
      </c>
      <c r="H4" s="10">
        <v>45539</v>
      </c>
      <c r="I4" s="10">
        <v>45540</v>
      </c>
      <c r="J4" s="10">
        <v>45541</v>
      </c>
      <c r="K4" s="10">
        <v>45542</v>
      </c>
      <c r="L4" s="10">
        <v>45543</v>
      </c>
      <c r="M4" s="10">
        <v>45544</v>
      </c>
      <c r="N4" s="10">
        <v>45545</v>
      </c>
      <c r="O4" s="10">
        <v>45546</v>
      </c>
      <c r="P4" s="10">
        <v>45547</v>
      </c>
      <c r="Q4" s="10">
        <v>45548</v>
      </c>
      <c r="R4" s="10">
        <v>45549</v>
      </c>
      <c r="S4" s="10">
        <v>45550</v>
      </c>
      <c r="T4" s="10">
        <v>45551</v>
      </c>
      <c r="U4" s="10">
        <v>45552</v>
      </c>
      <c r="V4" s="10">
        <v>45553</v>
      </c>
      <c r="W4" s="10">
        <v>45554</v>
      </c>
      <c r="X4" s="10">
        <v>45555</v>
      </c>
      <c r="Y4" s="10">
        <v>45556</v>
      </c>
      <c r="Z4" s="10">
        <v>45557</v>
      </c>
      <c r="AA4" s="10">
        <v>45558</v>
      </c>
      <c r="AB4" s="10">
        <v>45559</v>
      </c>
      <c r="AC4" s="10">
        <v>45560</v>
      </c>
      <c r="AD4" s="10">
        <v>45561</v>
      </c>
      <c r="AE4" s="10">
        <v>45562</v>
      </c>
      <c r="AF4" s="10">
        <v>45563</v>
      </c>
      <c r="AG4" s="10">
        <v>45564</v>
      </c>
      <c r="AH4" s="10">
        <v>45565</v>
      </c>
      <c r="AI4" s="45"/>
      <c r="AJ4" s="45"/>
      <c r="AK4" s="4" t="s">
        <v>103</v>
      </c>
      <c r="AL4" s="4">
        <f>SUM(AL5:AL8)</f>
        <v>30</v>
      </c>
      <c r="AM4" s="3"/>
      <c r="AN4" s="3"/>
    </row>
    <row r="5" spans="1:40" ht="15" customHeight="1" x14ac:dyDescent="0.25">
      <c r="A5" s="5">
        <v>1</v>
      </c>
      <c r="B5" s="13" t="s">
        <v>148</v>
      </c>
      <c r="C5" s="12" t="s">
        <v>255</v>
      </c>
      <c r="D5" s="6" t="s">
        <v>592</v>
      </c>
      <c r="E5" s="51" t="s">
        <v>781</v>
      </c>
      <c r="F5" s="19" t="s">
        <v>20</v>
      </c>
      <c r="G5" s="19" t="s">
        <v>20</v>
      </c>
      <c r="H5" s="19" t="s">
        <v>20</v>
      </c>
      <c r="I5" s="19" t="s">
        <v>20</v>
      </c>
      <c r="J5" s="54" t="s">
        <v>782</v>
      </c>
      <c r="K5" s="19" t="s">
        <v>20</v>
      </c>
      <c r="L5" s="51" t="s">
        <v>781</v>
      </c>
      <c r="M5" s="19" t="s">
        <v>21</v>
      </c>
      <c r="N5" s="19" t="s">
        <v>21</v>
      </c>
      <c r="O5" s="19" t="s">
        <v>21</v>
      </c>
      <c r="P5" s="19" t="s">
        <v>21</v>
      </c>
      <c r="Q5" s="19" t="s">
        <v>21</v>
      </c>
      <c r="R5" s="19" t="s">
        <v>21</v>
      </c>
      <c r="S5" s="51" t="s">
        <v>781</v>
      </c>
      <c r="T5" s="19" t="s">
        <v>20</v>
      </c>
      <c r="U5" s="54" t="s">
        <v>272</v>
      </c>
      <c r="V5" s="19" t="s">
        <v>20</v>
      </c>
      <c r="W5" s="19" t="s">
        <v>20</v>
      </c>
      <c r="X5" s="19" t="s">
        <v>20</v>
      </c>
      <c r="Y5" s="19" t="s">
        <v>20</v>
      </c>
      <c r="Z5" s="51" t="s">
        <v>781</v>
      </c>
      <c r="AA5" s="19" t="s">
        <v>20</v>
      </c>
      <c r="AB5" s="19" t="s">
        <v>20</v>
      </c>
      <c r="AC5" s="19" t="s">
        <v>20</v>
      </c>
      <c r="AD5" s="19" t="s">
        <v>20</v>
      </c>
      <c r="AE5" s="19" t="s">
        <v>20</v>
      </c>
      <c r="AF5" s="19" t="s">
        <v>20</v>
      </c>
      <c r="AG5" s="51" t="s">
        <v>781</v>
      </c>
      <c r="AH5" s="19" t="s">
        <v>20</v>
      </c>
      <c r="AI5" s="4">
        <f t="shared" ref="AI5:AI49" si="1">COUNTIF(E5:AH5,"P")</f>
        <v>17</v>
      </c>
      <c r="AJ5" s="4">
        <f t="shared" ref="AJ5:AJ49" si="2">COUNTIF(E5:AH5,"A")</f>
        <v>6</v>
      </c>
      <c r="AK5" s="4" t="s">
        <v>6</v>
      </c>
      <c r="AL5" s="7">
        <v>23</v>
      </c>
      <c r="AM5" s="8"/>
      <c r="AN5" s="3"/>
    </row>
    <row r="6" spans="1:40" x14ac:dyDescent="0.25">
      <c r="A6" s="7">
        <v>2</v>
      </c>
      <c r="B6" s="13" t="s">
        <v>593</v>
      </c>
      <c r="C6" s="12" t="s">
        <v>422</v>
      </c>
      <c r="D6" s="6" t="s">
        <v>592</v>
      </c>
      <c r="E6" s="52"/>
      <c r="F6" s="19" t="s">
        <v>20</v>
      </c>
      <c r="G6" s="19" t="s">
        <v>20</v>
      </c>
      <c r="H6" s="19" t="s">
        <v>20</v>
      </c>
      <c r="I6" s="19" t="s">
        <v>20</v>
      </c>
      <c r="J6" s="55"/>
      <c r="K6" s="19" t="s">
        <v>20</v>
      </c>
      <c r="L6" s="52"/>
      <c r="M6" s="19" t="s">
        <v>20</v>
      </c>
      <c r="N6" s="19" t="s">
        <v>20</v>
      </c>
      <c r="O6" s="19" t="s">
        <v>20</v>
      </c>
      <c r="P6" s="19" t="s">
        <v>20</v>
      </c>
      <c r="Q6" s="19" t="s">
        <v>20</v>
      </c>
      <c r="R6" s="19" t="s">
        <v>21</v>
      </c>
      <c r="S6" s="52"/>
      <c r="T6" s="19" t="s">
        <v>20</v>
      </c>
      <c r="U6" s="55"/>
      <c r="V6" s="19" t="s">
        <v>20</v>
      </c>
      <c r="W6" s="19" t="s">
        <v>20</v>
      </c>
      <c r="X6" s="19" t="s">
        <v>20</v>
      </c>
      <c r="Y6" s="19" t="s">
        <v>21</v>
      </c>
      <c r="Z6" s="52"/>
      <c r="AA6" s="19" t="s">
        <v>20</v>
      </c>
      <c r="AB6" s="19" t="s">
        <v>20</v>
      </c>
      <c r="AC6" s="19" t="s">
        <v>20</v>
      </c>
      <c r="AD6" s="19" t="s">
        <v>20</v>
      </c>
      <c r="AE6" s="19" t="s">
        <v>21</v>
      </c>
      <c r="AF6" s="19" t="s">
        <v>20</v>
      </c>
      <c r="AG6" s="52"/>
      <c r="AH6" s="19" t="s">
        <v>20</v>
      </c>
      <c r="AI6" s="4">
        <f t="shared" si="1"/>
        <v>20</v>
      </c>
      <c r="AJ6" s="4">
        <f t="shared" si="2"/>
        <v>3</v>
      </c>
      <c r="AK6" s="4" t="s">
        <v>7</v>
      </c>
      <c r="AL6" s="7">
        <v>5</v>
      </c>
      <c r="AM6" s="3"/>
      <c r="AN6" s="3"/>
    </row>
    <row r="7" spans="1:40" x14ac:dyDescent="0.25">
      <c r="A7" s="5">
        <v>3</v>
      </c>
      <c r="B7" s="13" t="s">
        <v>594</v>
      </c>
      <c r="C7" s="12" t="s">
        <v>595</v>
      </c>
      <c r="D7" s="6" t="s">
        <v>592</v>
      </c>
      <c r="E7" s="52"/>
      <c r="F7" s="19" t="s">
        <v>21</v>
      </c>
      <c r="G7" s="19" t="s">
        <v>20</v>
      </c>
      <c r="H7" s="19" t="s">
        <v>20</v>
      </c>
      <c r="I7" s="19" t="s">
        <v>20</v>
      </c>
      <c r="J7" s="55"/>
      <c r="K7" s="19" t="s">
        <v>21</v>
      </c>
      <c r="L7" s="52"/>
      <c r="M7" s="19" t="s">
        <v>20</v>
      </c>
      <c r="N7" s="19" t="s">
        <v>20</v>
      </c>
      <c r="O7" s="19" t="s">
        <v>20</v>
      </c>
      <c r="P7" s="19" t="s">
        <v>20</v>
      </c>
      <c r="Q7" s="19" t="s">
        <v>21</v>
      </c>
      <c r="R7" s="19" t="s">
        <v>20</v>
      </c>
      <c r="S7" s="52"/>
      <c r="T7" s="19" t="s">
        <v>20</v>
      </c>
      <c r="U7" s="55"/>
      <c r="V7" s="19" t="s">
        <v>20</v>
      </c>
      <c r="W7" s="19" t="s">
        <v>20</v>
      </c>
      <c r="X7" s="19" t="s">
        <v>20</v>
      </c>
      <c r="Y7" s="19" t="s">
        <v>20</v>
      </c>
      <c r="Z7" s="52"/>
      <c r="AA7" s="19" t="s">
        <v>20</v>
      </c>
      <c r="AB7" s="19" t="s">
        <v>20</v>
      </c>
      <c r="AC7" s="19" t="s">
        <v>20</v>
      </c>
      <c r="AD7" s="19" t="s">
        <v>20</v>
      </c>
      <c r="AE7" s="19" t="s">
        <v>21</v>
      </c>
      <c r="AF7" s="19" t="s">
        <v>20</v>
      </c>
      <c r="AG7" s="52"/>
      <c r="AH7" s="19" t="s">
        <v>20</v>
      </c>
      <c r="AI7" s="4">
        <f t="shared" si="1"/>
        <v>19</v>
      </c>
      <c r="AJ7" s="4">
        <f t="shared" si="2"/>
        <v>4</v>
      </c>
      <c r="AK7" s="4" t="s">
        <v>784</v>
      </c>
      <c r="AL7" s="7">
        <v>1</v>
      </c>
      <c r="AM7" s="3"/>
      <c r="AN7" s="3"/>
    </row>
    <row r="8" spans="1:40" x14ac:dyDescent="0.25">
      <c r="A8" s="7">
        <v>4</v>
      </c>
      <c r="B8" s="13" t="s">
        <v>596</v>
      </c>
      <c r="C8" s="12" t="s">
        <v>255</v>
      </c>
      <c r="D8" s="6" t="s">
        <v>592</v>
      </c>
      <c r="E8" s="52"/>
      <c r="F8" s="19" t="s">
        <v>20</v>
      </c>
      <c r="G8" s="19" t="s">
        <v>20</v>
      </c>
      <c r="H8" s="19" t="s">
        <v>21</v>
      </c>
      <c r="I8" s="19" t="s">
        <v>20</v>
      </c>
      <c r="J8" s="55"/>
      <c r="K8" s="19" t="s">
        <v>20</v>
      </c>
      <c r="L8" s="52"/>
      <c r="M8" s="19" t="s">
        <v>20</v>
      </c>
      <c r="N8" s="19" t="s">
        <v>20</v>
      </c>
      <c r="O8" s="19" t="s">
        <v>20</v>
      </c>
      <c r="P8" s="19" t="s">
        <v>20</v>
      </c>
      <c r="Q8" s="19" t="s">
        <v>20</v>
      </c>
      <c r="R8" s="19" t="s">
        <v>21</v>
      </c>
      <c r="S8" s="52"/>
      <c r="T8" s="19" t="s">
        <v>20</v>
      </c>
      <c r="U8" s="55"/>
      <c r="V8" s="19" t="s">
        <v>20</v>
      </c>
      <c r="W8" s="19" t="s">
        <v>20</v>
      </c>
      <c r="X8" s="19" t="s">
        <v>20</v>
      </c>
      <c r="Y8" s="19" t="s">
        <v>20</v>
      </c>
      <c r="Z8" s="52"/>
      <c r="AA8" s="19" t="s">
        <v>20</v>
      </c>
      <c r="AB8" s="19" t="s">
        <v>20</v>
      </c>
      <c r="AC8" s="19" t="s">
        <v>20</v>
      </c>
      <c r="AD8" s="19" t="s">
        <v>20</v>
      </c>
      <c r="AE8" s="19" t="s">
        <v>20</v>
      </c>
      <c r="AF8" s="19" t="s">
        <v>20</v>
      </c>
      <c r="AG8" s="52"/>
      <c r="AH8" s="19" t="s">
        <v>20</v>
      </c>
      <c r="AI8" s="4">
        <f t="shared" si="1"/>
        <v>21</v>
      </c>
      <c r="AJ8" s="4">
        <f t="shared" si="2"/>
        <v>2</v>
      </c>
      <c r="AK8" s="4" t="s">
        <v>105</v>
      </c>
      <c r="AL8" s="7">
        <v>1</v>
      </c>
      <c r="AM8"/>
      <c r="AN8"/>
    </row>
    <row r="9" spans="1:40" x14ac:dyDescent="0.25">
      <c r="A9" s="5">
        <v>5</v>
      </c>
      <c r="B9" s="13" t="s">
        <v>219</v>
      </c>
      <c r="C9" s="12" t="s">
        <v>597</v>
      </c>
      <c r="D9" s="6" t="s">
        <v>592</v>
      </c>
      <c r="E9" s="52"/>
      <c r="F9" s="19" t="s">
        <v>20</v>
      </c>
      <c r="G9" s="19" t="s">
        <v>20</v>
      </c>
      <c r="H9" s="19" t="s">
        <v>20</v>
      </c>
      <c r="I9" s="19" t="s">
        <v>20</v>
      </c>
      <c r="J9" s="55"/>
      <c r="K9" s="19" t="s">
        <v>20</v>
      </c>
      <c r="L9" s="52"/>
      <c r="M9" s="19" t="s">
        <v>20</v>
      </c>
      <c r="N9" s="19" t="s">
        <v>20</v>
      </c>
      <c r="O9" s="19" t="s">
        <v>20</v>
      </c>
      <c r="P9" s="19" t="s">
        <v>20</v>
      </c>
      <c r="Q9" s="19" t="s">
        <v>20</v>
      </c>
      <c r="R9" s="19" t="s">
        <v>20</v>
      </c>
      <c r="S9" s="52"/>
      <c r="T9" s="19" t="s">
        <v>20</v>
      </c>
      <c r="U9" s="55"/>
      <c r="V9" s="19" t="s">
        <v>20</v>
      </c>
      <c r="W9" s="19" t="s">
        <v>20</v>
      </c>
      <c r="X9" s="19" t="s">
        <v>20</v>
      </c>
      <c r="Y9" s="19" t="s">
        <v>20</v>
      </c>
      <c r="Z9" s="52"/>
      <c r="AA9" s="19" t="s">
        <v>20</v>
      </c>
      <c r="AB9" s="19" t="s">
        <v>20</v>
      </c>
      <c r="AC9" s="19" t="s">
        <v>21</v>
      </c>
      <c r="AD9" s="19" t="s">
        <v>20</v>
      </c>
      <c r="AE9" s="19" t="s">
        <v>20</v>
      </c>
      <c r="AF9" s="19" t="s">
        <v>20</v>
      </c>
      <c r="AG9" s="52"/>
      <c r="AH9" s="19" t="s">
        <v>20</v>
      </c>
      <c r="AI9" s="4">
        <f t="shared" si="1"/>
        <v>22</v>
      </c>
      <c r="AJ9" s="4">
        <f t="shared" si="2"/>
        <v>1</v>
      </c>
    </row>
    <row r="10" spans="1:40" ht="15.75" x14ac:dyDescent="0.25">
      <c r="A10" s="7">
        <v>6</v>
      </c>
      <c r="B10" s="13" t="s">
        <v>598</v>
      </c>
      <c r="C10" s="12" t="s">
        <v>529</v>
      </c>
      <c r="D10" s="6" t="s">
        <v>592</v>
      </c>
      <c r="E10" s="52"/>
      <c r="F10" s="19" t="s">
        <v>20</v>
      </c>
      <c r="G10" s="19" t="s">
        <v>20</v>
      </c>
      <c r="H10" s="19" t="s">
        <v>20</v>
      </c>
      <c r="I10" s="19" t="s">
        <v>20</v>
      </c>
      <c r="J10" s="55"/>
      <c r="K10" s="19" t="s">
        <v>21</v>
      </c>
      <c r="L10" s="52"/>
      <c r="M10" s="19" t="s">
        <v>20</v>
      </c>
      <c r="N10" s="19" t="s">
        <v>20</v>
      </c>
      <c r="O10" s="19" t="s">
        <v>20</v>
      </c>
      <c r="P10" s="19" t="s">
        <v>20</v>
      </c>
      <c r="Q10" s="19" t="s">
        <v>21</v>
      </c>
      <c r="R10" s="19" t="s">
        <v>20</v>
      </c>
      <c r="S10" s="52"/>
      <c r="T10" s="19" t="s">
        <v>20</v>
      </c>
      <c r="U10" s="55"/>
      <c r="V10" s="19" t="s">
        <v>20</v>
      </c>
      <c r="W10" s="19" t="s">
        <v>20</v>
      </c>
      <c r="X10" s="19" t="s">
        <v>20</v>
      </c>
      <c r="Y10" s="19" t="s">
        <v>20</v>
      </c>
      <c r="Z10" s="52"/>
      <c r="AA10" s="19" t="s">
        <v>20</v>
      </c>
      <c r="AB10" s="19" t="s">
        <v>20</v>
      </c>
      <c r="AC10" s="19" t="s">
        <v>20</v>
      </c>
      <c r="AD10" s="19" t="s">
        <v>20</v>
      </c>
      <c r="AE10" s="19" t="s">
        <v>21</v>
      </c>
      <c r="AF10" s="19" t="s">
        <v>20</v>
      </c>
      <c r="AG10" s="52"/>
      <c r="AH10" s="19" t="s">
        <v>20</v>
      </c>
      <c r="AI10" s="4">
        <f t="shared" si="1"/>
        <v>20</v>
      </c>
      <c r="AJ10" s="4">
        <f t="shared" si="2"/>
        <v>3</v>
      </c>
      <c r="AK10" s="42" t="s">
        <v>8</v>
      </c>
      <c r="AL10" s="43"/>
      <c r="AM10" s="43"/>
      <c r="AN10" s="44"/>
    </row>
    <row r="11" spans="1:40" x14ac:dyDescent="0.25">
      <c r="A11" s="5">
        <v>7</v>
      </c>
      <c r="B11" s="13" t="s">
        <v>599</v>
      </c>
      <c r="C11" s="12" t="s">
        <v>112</v>
      </c>
      <c r="D11" s="6" t="s">
        <v>592</v>
      </c>
      <c r="E11" s="52"/>
      <c r="F11" s="19" t="s">
        <v>20</v>
      </c>
      <c r="G11" s="19" t="s">
        <v>20</v>
      </c>
      <c r="H11" s="19" t="s">
        <v>20</v>
      </c>
      <c r="I11" s="19" t="s">
        <v>21</v>
      </c>
      <c r="J11" s="55"/>
      <c r="K11" s="19" t="s">
        <v>20</v>
      </c>
      <c r="L11" s="52"/>
      <c r="M11" s="19" t="s">
        <v>21</v>
      </c>
      <c r="N11" s="19" t="s">
        <v>20</v>
      </c>
      <c r="O11" s="19" t="s">
        <v>20</v>
      </c>
      <c r="P11" s="19" t="s">
        <v>20</v>
      </c>
      <c r="Q11" s="19" t="s">
        <v>20</v>
      </c>
      <c r="R11" s="19" t="s">
        <v>20</v>
      </c>
      <c r="S11" s="52"/>
      <c r="T11" s="19" t="s">
        <v>20</v>
      </c>
      <c r="U11" s="55"/>
      <c r="V11" s="19" t="s">
        <v>21</v>
      </c>
      <c r="W11" s="19" t="s">
        <v>21</v>
      </c>
      <c r="X11" s="19" t="s">
        <v>21</v>
      </c>
      <c r="Y11" s="19" t="s">
        <v>21</v>
      </c>
      <c r="Z11" s="52"/>
      <c r="AA11" s="19" t="s">
        <v>20</v>
      </c>
      <c r="AB11" s="19" t="s">
        <v>20</v>
      </c>
      <c r="AC11" s="19" t="s">
        <v>20</v>
      </c>
      <c r="AD11" s="19" t="s">
        <v>20</v>
      </c>
      <c r="AE11" s="19" t="s">
        <v>20</v>
      </c>
      <c r="AF11" s="19" t="s">
        <v>21</v>
      </c>
      <c r="AG11" s="52"/>
      <c r="AH11" s="19" t="s">
        <v>20</v>
      </c>
      <c r="AI11" s="4">
        <f t="shared" si="1"/>
        <v>16</v>
      </c>
      <c r="AJ11" s="4">
        <f t="shared" si="2"/>
        <v>7</v>
      </c>
      <c r="AK11" s="4" t="s">
        <v>9</v>
      </c>
      <c r="AL11" s="4" t="s">
        <v>10</v>
      </c>
      <c r="AM11" s="4" t="s">
        <v>11</v>
      </c>
      <c r="AN11" s="4" t="s">
        <v>12</v>
      </c>
    </row>
    <row r="12" spans="1:40" x14ac:dyDescent="0.25">
      <c r="A12" s="7">
        <v>8</v>
      </c>
      <c r="B12" s="13" t="s">
        <v>600</v>
      </c>
      <c r="C12" s="12" t="s">
        <v>255</v>
      </c>
      <c r="D12" s="6" t="s">
        <v>592</v>
      </c>
      <c r="E12" s="52"/>
      <c r="F12" s="19" t="s">
        <v>20</v>
      </c>
      <c r="G12" s="19" t="s">
        <v>20</v>
      </c>
      <c r="H12" s="19" t="s">
        <v>20</v>
      </c>
      <c r="I12" s="19" t="s">
        <v>20</v>
      </c>
      <c r="J12" s="55"/>
      <c r="K12" s="19" t="s">
        <v>20</v>
      </c>
      <c r="L12" s="52"/>
      <c r="M12" s="19" t="s">
        <v>20</v>
      </c>
      <c r="N12" s="19" t="s">
        <v>20</v>
      </c>
      <c r="O12" s="19" t="s">
        <v>20</v>
      </c>
      <c r="P12" s="19" t="s">
        <v>20</v>
      </c>
      <c r="Q12" s="19" t="s">
        <v>20</v>
      </c>
      <c r="R12" s="19" t="s">
        <v>20</v>
      </c>
      <c r="S12" s="52"/>
      <c r="T12" s="19" t="s">
        <v>20</v>
      </c>
      <c r="U12" s="55"/>
      <c r="V12" s="19" t="s">
        <v>20</v>
      </c>
      <c r="W12" s="19" t="s">
        <v>20</v>
      </c>
      <c r="X12" s="19" t="s">
        <v>20</v>
      </c>
      <c r="Y12" s="19" t="s">
        <v>20</v>
      </c>
      <c r="Z12" s="52"/>
      <c r="AA12" s="19" t="s">
        <v>20</v>
      </c>
      <c r="AB12" s="19" t="s">
        <v>20</v>
      </c>
      <c r="AC12" s="19" t="s">
        <v>20</v>
      </c>
      <c r="AD12" s="19" t="s">
        <v>20</v>
      </c>
      <c r="AE12" s="19" t="s">
        <v>20</v>
      </c>
      <c r="AF12" s="19" t="s">
        <v>20</v>
      </c>
      <c r="AG12" s="52"/>
      <c r="AH12" s="19" t="s">
        <v>20</v>
      </c>
      <c r="AI12" s="4">
        <f t="shared" si="1"/>
        <v>23</v>
      </c>
      <c r="AJ12" s="4">
        <f t="shared" si="2"/>
        <v>0</v>
      </c>
      <c r="AK12" s="4" t="s">
        <v>13</v>
      </c>
      <c r="AL12" s="7">
        <f>17*$AL$5</f>
        <v>391</v>
      </c>
      <c r="AM12" s="7">
        <f>28*$AL$5</f>
        <v>644</v>
      </c>
      <c r="AN12" s="7">
        <f>SUM(AL12:AM12)</f>
        <v>1035</v>
      </c>
    </row>
    <row r="13" spans="1:40" x14ac:dyDescent="0.25">
      <c r="A13" s="5">
        <v>9</v>
      </c>
      <c r="B13" s="13" t="s">
        <v>601</v>
      </c>
      <c r="C13" s="12" t="s">
        <v>602</v>
      </c>
      <c r="D13" s="6" t="s">
        <v>592</v>
      </c>
      <c r="E13" s="52"/>
      <c r="F13" s="19" t="s">
        <v>20</v>
      </c>
      <c r="G13" s="19" t="s">
        <v>20</v>
      </c>
      <c r="H13" s="19" t="s">
        <v>20</v>
      </c>
      <c r="I13" s="19" t="s">
        <v>20</v>
      </c>
      <c r="J13" s="55"/>
      <c r="K13" s="19" t="s">
        <v>20</v>
      </c>
      <c r="L13" s="52"/>
      <c r="M13" s="19" t="s">
        <v>20</v>
      </c>
      <c r="N13" s="19" t="s">
        <v>20</v>
      </c>
      <c r="O13" s="19" t="s">
        <v>20</v>
      </c>
      <c r="P13" s="19" t="s">
        <v>20</v>
      </c>
      <c r="Q13" s="19" t="s">
        <v>20</v>
      </c>
      <c r="R13" s="19" t="s">
        <v>20</v>
      </c>
      <c r="S13" s="52"/>
      <c r="T13" s="19" t="s">
        <v>20</v>
      </c>
      <c r="U13" s="55"/>
      <c r="V13" s="19" t="s">
        <v>20</v>
      </c>
      <c r="W13" s="19" t="s">
        <v>21</v>
      </c>
      <c r="X13" s="19" t="s">
        <v>20</v>
      </c>
      <c r="Y13" s="19" t="s">
        <v>20</v>
      </c>
      <c r="Z13" s="52"/>
      <c r="AA13" s="19" t="s">
        <v>20</v>
      </c>
      <c r="AB13" s="19" t="s">
        <v>20</v>
      </c>
      <c r="AC13" s="19" t="s">
        <v>20</v>
      </c>
      <c r="AD13" s="19" t="s">
        <v>20</v>
      </c>
      <c r="AE13" s="19" t="s">
        <v>20</v>
      </c>
      <c r="AF13" s="19" t="s">
        <v>20</v>
      </c>
      <c r="AG13" s="52"/>
      <c r="AH13" s="19" t="s">
        <v>20</v>
      </c>
      <c r="AI13" s="4">
        <f t="shared" si="1"/>
        <v>22</v>
      </c>
      <c r="AJ13" s="4">
        <f t="shared" si="2"/>
        <v>1</v>
      </c>
      <c r="AK13" s="4" t="s">
        <v>14</v>
      </c>
      <c r="AL13" s="7">
        <f>SUM(AI5:AI21)</f>
        <v>336</v>
      </c>
      <c r="AM13" s="7">
        <f>SUM(AI22:AI49)</f>
        <v>539</v>
      </c>
      <c r="AN13" s="7">
        <f>AL13+AM13</f>
        <v>875</v>
      </c>
    </row>
    <row r="14" spans="1:40" x14ac:dyDescent="0.25">
      <c r="A14" s="7">
        <v>10</v>
      </c>
      <c r="B14" s="13" t="s">
        <v>603</v>
      </c>
      <c r="C14" s="12" t="s">
        <v>604</v>
      </c>
      <c r="D14" s="6" t="s">
        <v>592</v>
      </c>
      <c r="E14" s="52"/>
      <c r="F14" s="19" t="s">
        <v>20</v>
      </c>
      <c r="G14" s="19" t="s">
        <v>20</v>
      </c>
      <c r="H14" s="19" t="s">
        <v>20</v>
      </c>
      <c r="I14" s="19" t="s">
        <v>20</v>
      </c>
      <c r="J14" s="55"/>
      <c r="K14" s="19" t="s">
        <v>20</v>
      </c>
      <c r="L14" s="52"/>
      <c r="M14" s="19" t="s">
        <v>20</v>
      </c>
      <c r="N14" s="19" t="s">
        <v>20</v>
      </c>
      <c r="O14" s="19" t="s">
        <v>20</v>
      </c>
      <c r="P14" s="19" t="s">
        <v>20</v>
      </c>
      <c r="Q14" s="19" t="s">
        <v>20</v>
      </c>
      <c r="R14" s="19" t="s">
        <v>20</v>
      </c>
      <c r="S14" s="52"/>
      <c r="T14" s="19" t="s">
        <v>20</v>
      </c>
      <c r="U14" s="55"/>
      <c r="V14" s="19" t="s">
        <v>21</v>
      </c>
      <c r="W14" s="19" t="s">
        <v>21</v>
      </c>
      <c r="X14" s="19" t="s">
        <v>21</v>
      </c>
      <c r="Y14" s="19" t="s">
        <v>21</v>
      </c>
      <c r="Z14" s="52"/>
      <c r="AA14" s="19" t="s">
        <v>20</v>
      </c>
      <c r="AB14" s="19" t="s">
        <v>20</v>
      </c>
      <c r="AC14" s="19" t="s">
        <v>20</v>
      </c>
      <c r="AD14" s="19" t="s">
        <v>20</v>
      </c>
      <c r="AE14" s="19" t="s">
        <v>20</v>
      </c>
      <c r="AF14" s="19" t="s">
        <v>20</v>
      </c>
      <c r="AG14" s="52"/>
      <c r="AH14" s="19" t="s">
        <v>20</v>
      </c>
      <c r="AI14" s="4">
        <f t="shared" si="1"/>
        <v>19</v>
      </c>
      <c r="AJ14" s="4">
        <f t="shared" si="2"/>
        <v>4</v>
      </c>
      <c r="AK14" s="4" t="s">
        <v>15</v>
      </c>
      <c r="AL14" s="9">
        <f>AL13/AL12</f>
        <v>0.85933503836317138</v>
      </c>
      <c r="AM14" s="9">
        <f>AM13/AM12</f>
        <v>0.83695652173913049</v>
      </c>
      <c r="AN14" s="9">
        <f>AN13/AN12</f>
        <v>0.84541062801932365</v>
      </c>
    </row>
    <row r="15" spans="1:40" x14ac:dyDescent="0.25">
      <c r="A15" s="5">
        <v>11</v>
      </c>
      <c r="B15" s="13" t="s">
        <v>605</v>
      </c>
      <c r="C15" s="12" t="s">
        <v>606</v>
      </c>
      <c r="D15" s="6" t="s">
        <v>592</v>
      </c>
      <c r="E15" s="52"/>
      <c r="F15" s="19" t="s">
        <v>20</v>
      </c>
      <c r="G15" s="19" t="s">
        <v>20</v>
      </c>
      <c r="H15" s="19" t="s">
        <v>20</v>
      </c>
      <c r="I15" s="19" t="s">
        <v>20</v>
      </c>
      <c r="J15" s="55"/>
      <c r="K15" s="19" t="s">
        <v>20</v>
      </c>
      <c r="L15" s="52"/>
      <c r="M15" s="19" t="s">
        <v>20</v>
      </c>
      <c r="N15" s="19" t="s">
        <v>20</v>
      </c>
      <c r="O15" s="19" t="s">
        <v>20</v>
      </c>
      <c r="P15" s="19" t="s">
        <v>20</v>
      </c>
      <c r="Q15" s="19" t="s">
        <v>21</v>
      </c>
      <c r="R15" s="19" t="s">
        <v>20</v>
      </c>
      <c r="S15" s="52"/>
      <c r="T15" s="19" t="s">
        <v>20</v>
      </c>
      <c r="U15" s="55"/>
      <c r="V15" s="19" t="s">
        <v>20</v>
      </c>
      <c r="W15" s="19" t="s">
        <v>20</v>
      </c>
      <c r="X15" s="19" t="s">
        <v>20</v>
      </c>
      <c r="Y15" s="19" t="s">
        <v>20</v>
      </c>
      <c r="Z15" s="52"/>
      <c r="AA15" s="19" t="s">
        <v>21</v>
      </c>
      <c r="AB15" s="19" t="s">
        <v>20</v>
      </c>
      <c r="AC15" s="19" t="s">
        <v>20</v>
      </c>
      <c r="AD15" s="19" t="s">
        <v>20</v>
      </c>
      <c r="AE15" s="19" t="s">
        <v>20</v>
      </c>
      <c r="AF15" s="19" t="s">
        <v>20</v>
      </c>
      <c r="AG15" s="52"/>
      <c r="AH15" s="19" t="s">
        <v>20</v>
      </c>
      <c r="AI15" s="4">
        <f t="shared" si="1"/>
        <v>21</v>
      </c>
      <c r="AJ15" s="4">
        <f t="shared" si="2"/>
        <v>2</v>
      </c>
      <c r="AK15"/>
      <c r="AL15"/>
      <c r="AM15"/>
      <c r="AN15"/>
    </row>
    <row r="16" spans="1:40" x14ac:dyDescent="0.25">
      <c r="A16" s="7">
        <v>12</v>
      </c>
      <c r="B16" s="13" t="s">
        <v>607</v>
      </c>
      <c r="C16" s="12" t="s">
        <v>462</v>
      </c>
      <c r="D16" s="6" t="s">
        <v>592</v>
      </c>
      <c r="E16" s="52"/>
      <c r="F16" s="19" t="s">
        <v>21</v>
      </c>
      <c r="G16" s="19" t="s">
        <v>20</v>
      </c>
      <c r="H16" s="19" t="s">
        <v>20</v>
      </c>
      <c r="I16" s="19" t="s">
        <v>20</v>
      </c>
      <c r="J16" s="55"/>
      <c r="K16" s="19" t="s">
        <v>21</v>
      </c>
      <c r="L16" s="52"/>
      <c r="M16" s="19" t="s">
        <v>20</v>
      </c>
      <c r="N16" s="19" t="s">
        <v>20</v>
      </c>
      <c r="O16" s="19" t="s">
        <v>20</v>
      </c>
      <c r="P16" s="19" t="s">
        <v>21</v>
      </c>
      <c r="Q16" s="19" t="s">
        <v>20</v>
      </c>
      <c r="R16" s="19" t="s">
        <v>20</v>
      </c>
      <c r="S16" s="52"/>
      <c r="T16" s="19" t="s">
        <v>20</v>
      </c>
      <c r="U16" s="55"/>
      <c r="V16" s="19" t="s">
        <v>20</v>
      </c>
      <c r="W16" s="19" t="s">
        <v>20</v>
      </c>
      <c r="X16" s="19" t="s">
        <v>20</v>
      </c>
      <c r="Y16" s="19" t="s">
        <v>20</v>
      </c>
      <c r="Z16" s="52"/>
      <c r="AA16" s="19" t="s">
        <v>21</v>
      </c>
      <c r="AB16" s="19" t="s">
        <v>20</v>
      </c>
      <c r="AC16" s="19" t="s">
        <v>21</v>
      </c>
      <c r="AD16" s="19" t="s">
        <v>21</v>
      </c>
      <c r="AE16" s="19" t="s">
        <v>20</v>
      </c>
      <c r="AF16" s="19" t="s">
        <v>21</v>
      </c>
      <c r="AG16" s="52"/>
      <c r="AH16" s="19" t="s">
        <v>20</v>
      </c>
      <c r="AI16" s="4">
        <f t="shared" si="1"/>
        <v>16</v>
      </c>
      <c r="AJ16" s="4">
        <f t="shared" si="2"/>
        <v>7</v>
      </c>
      <c r="AK16"/>
      <c r="AL16"/>
      <c r="AM16"/>
      <c r="AN16"/>
    </row>
    <row r="17" spans="1:40" x14ac:dyDescent="0.25">
      <c r="A17" s="5">
        <v>13</v>
      </c>
      <c r="B17" s="13" t="s">
        <v>608</v>
      </c>
      <c r="C17" s="12" t="s">
        <v>154</v>
      </c>
      <c r="D17" s="6" t="s">
        <v>592</v>
      </c>
      <c r="E17" s="52"/>
      <c r="F17" s="19" t="s">
        <v>21</v>
      </c>
      <c r="G17" s="19" t="s">
        <v>21</v>
      </c>
      <c r="H17" s="19" t="s">
        <v>21</v>
      </c>
      <c r="I17" s="19" t="s">
        <v>21</v>
      </c>
      <c r="J17" s="55"/>
      <c r="K17" s="19" t="s">
        <v>21</v>
      </c>
      <c r="L17" s="52"/>
      <c r="M17" s="19" t="s">
        <v>20</v>
      </c>
      <c r="N17" s="19" t="s">
        <v>20</v>
      </c>
      <c r="O17" s="19" t="s">
        <v>20</v>
      </c>
      <c r="P17" s="19" t="s">
        <v>20</v>
      </c>
      <c r="Q17" s="19" t="s">
        <v>20</v>
      </c>
      <c r="R17" s="19" t="s">
        <v>21</v>
      </c>
      <c r="S17" s="52"/>
      <c r="T17" s="19" t="s">
        <v>20</v>
      </c>
      <c r="U17" s="55"/>
      <c r="V17" s="19" t="s">
        <v>20</v>
      </c>
      <c r="W17" s="19" t="s">
        <v>20</v>
      </c>
      <c r="X17" s="19" t="s">
        <v>20</v>
      </c>
      <c r="Y17" s="19" t="s">
        <v>20</v>
      </c>
      <c r="Z17" s="52"/>
      <c r="AA17" s="19" t="s">
        <v>20</v>
      </c>
      <c r="AB17" s="19" t="s">
        <v>20</v>
      </c>
      <c r="AC17" s="19" t="s">
        <v>20</v>
      </c>
      <c r="AD17" s="19" t="s">
        <v>20</v>
      </c>
      <c r="AE17" s="19" t="s">
        <v>20</v>
      </c>
      <c r="AF17" s="19" t="s">
        <v>20</v>
      </c>
      <c r="AG17" s="52"/>
      <c r="AH17" s="19" t="s">
        <v>20</v>
      </c>
      <c r="AI17" s="4">
        <f t="shared" si="1"/>
        <v>17</v>
      </c>
      <c r="AJ17" s="4">
        <f t="shared" si="2"/>
        <v>6</v>
      </c>
      <c r="AK17"/>
      <c r="AL17"/>
      <c r="AM17"/>
      <c r="AN17"/>
    </row>
    <row r="18" spans="1:40" ht="15.75" x14ac:dyDescent="0.25">
      <c r="A18" s="7">
        <v>14</v>
      </c>
      <c r="B18" s="13" t="s">
        <v>609</v>
      </c>
      <c r="C18" s="12" t="s">
        <v>610</v>
      </c>
      <c r="D18" s="6" t="s">
        <v>592</v>
      </c>
      <c r="E18" s="52"/>
      <c r="F18" s="19" t="s">
        <v>20</v>
      </c>
      <c r="G18" s="19" t="s">
        <v>20</v>
      </c>
      <c r="H18" s="19" t="s">
        <v>20</v>
      </c>
      <c r="I18" s="19" t="s">
        <v>20</v>
      </c>
      <c r="J18" s="55"/>
      <c r="K18" s="19" t="s">
        <v>20</v>
      </c>
      <c r="L18" s="52"/>
      <c r="M18" s="19" t="s">
        <v>20</v>
      </c>
      <c r="N18" s="19" t="s">
        <v>20</v>
      </c>
      <c r="O18" s="19" t="s">
        <v>20</v>
      </c>
      <c r="P18" s="19" t="s">
        <v>20</v>
      </c>
      <c r="Q18" s="19" t="s">
        <v>20</v>
      </c>
      <c r="R18" s="19" t="s">
        <v>21</v>
      </c>
      <c r="S18" s="52"/>
      <c r="T18" s="19" t="s">
        <v>20</v>
      </c>
      <c r="U18" s="55"/>
      <c r="V18" s="19" t="s">
        <v>20</v>
      </c>
      <c r="W18" s="19" t="s">
        <v>20</v>
      </c>
      <c r="X18" s="19" t="s">
        <v>20</v>
      </c>
      <c r="Y18" s="19" t="s">
        <v>20</v>
      </c>
      <c r="Z18" s="52"/>
      <c r="AA18" s="19" t="s">
        <v>20</v>
      </c>
      <c r="AB18" s="19" t="s">
        <v>20</v>
      </c>
      <c r="AC18" s="19" t="s">
        <v>20</v>
      </c>
      <c r="AD18" s="19" t="s">
        <v>20</v>
      </c>
      <c r="AE18" s="19" t="s">
        <v>20</v>
      </c>
      <c r="AF18" s="19" t="s">
        <v>20</v>
      </c>
      <c r="AG18" s="52"/>
      <c r="AH18" s="19" t="s">
        <v>20</v>
      </c>
      <c r="AI18" s="4">
        <f t="shared" si="1"/>
        <v>22</v>
      </c>
      <c r="AJ18" s="4">
        <f t="shared" si="2"/>
        <v>1</v>
      </c>
      <c r="AK18" s="24" t="s">
        <v>104</v>
      </c>
      <c r="AL18" s="25"/>
      <c r="AM18" s="25"/>
      <c r="AN18" s="26"/>
    </row>
    <row r="19" spans="1:40" x14ac:dyDescent="0.25">
      <c r="A19" s="5">
        <v>15</v>
      </c>
      <c r="B19" s="13" t="s">
        <v>611</v>
      </c>
      <c r="C19" s="12" t="s">
        <v>116</v>
      </c>
      <c r="D19" s="6" t="s">
        <v>592</v>
      </c>
      <c r="E19" s="52"/>
      <c r="F19" s="19" t="s">
        <v>20</v>
      </c>
      <c r="G19" s="19" t="s">
        <v>20</v>
      </c>
      <c r="H19" s="19" t="s">
        <v>20</v>
      </c>
      <c r="I19" s="19" t="s">
        <v>20</v>
      </c>
      <c r="J19" s="55"/>
      <c r="K19" s="19" t="s">
        <v>21</v>
      </c>
      <c r="L19" s="52"/>
      <c r="M19" s="19" t="s">
        <v>20</v>
      </c>
      <c r="N19" s="19" t="s">
        <v>20</v>
      </c>
      <c r="O19" s="19" t="s">
        <v>20</v>
      </c>
      <c r="P19" s="19" t="s">
        <v>20</v>
      </c>
      <c r="Q19" s="19" t="s">
        <v>20</v>
      </c>
      <c r="R19" s="19" t="s">
        <v>21</v>
      </c>
      <c r="S19" s="52"/>
      <c r="T19" s="19" t="s">
        <v>20</v>
      </c>
      <c r="U19" s="55"/>
      <c r="V19" s="19" t="s">
        <v>20</v>
      </c>
      <c r="W19" s="19" t="s">
        <v>20</v>
      </c>
      <c r="X19" s="19" t="s">
        <v>20</v>
      </c>
      <c r="Y19" s="19" t="s">
        <v>20</v>
      </c>
      <c r="Z19" s="52"/>
      <c r="AA19" s="19" t="s">
        <v>20</v>
      </c>
      <c r="AB19" s="19" t="s">
        <v>20</v>
      </c>
      <c r="AC19" s="19" t="s">
        <v>20</v>
      </c>
      <c r="AD19" s="19" t="s">
        <v>20</v>
      </c>
      <c r="AE19" s="19" t="s">
        <v>21</v>
      </c>
      <c r="AF19" s="19" t="s">
        <v>20</v>
      </c>
      <c r="AG19" s="52"/>
      <c r="AH19" s="19" t="s">
        <v>20</v>
      </c>
      <c r="AI19" s="4">
        <f t="shared" si="1"/>
        <v>20</v>
      </c>
      <c r="AJ19" s="4">
        <f t="shared" si="2"/>
        <v>3</v>
      </c>
      <c r="AK19" s="4" t="s">
        <v>9</v>
      </c>
      <c r="AL19" s="4" t="s">
        <v>10</v>
      </c>
      <c r="AM19" s="4" t="s">
        <v>11</v>
      </c>
      <c r="AN19" s="4" t="s">
        <v>12</v>
      </c>
    </row>
    <row r="20" spans="1:40" x14ac:dyDescent="0.25">
      <c r="A20" s="7">
        <v>16</v>
      </c>
      <c r="B20" s="13" t="s">
        <v>612</v>
      </c>
      <c r="C20" s="12" t="s">
        <v>613</v>
      </c>
      <c r="D20" s="6" t="s">
        <v>592</v>
      </c>
      <c r="E20" s="52"/>
      <c r="F20" s="19" t="s">
        <v>21</v>
      </c>
      <c r="G20" s="19" t="s">
        <v>20</v>
      </c>
      <c r="H20" s="19" t="s">
        <v>20</v>
      </c>
      <c r="I20" s="19" t="s">
        <v>20</v>
      </c>
      <c r="J20" s="55"/>
      <c r="K20" s="19" t="s">
        <v>20</v>
      </c>
      <c r="L20" s="52"/>
      <c r="M20" s="19" t="s">
        <v>20</v>
      </c>
      <c r="N20" s="19" t="s">
        <v>21</v>
      </c>
      <c r="O20" s="19" t="s">
        <v>20</v>
      </c>
      <c r="P20" s="19" t="s">
        <v>20</v>
      </c>
      <c r="Q20" s="19" t="s">
        <v>20</v>
      </c>
      <c r="R20" s="19" t="s">
        <v>21</v>
      </c>
      <c r="S20" s="52"/>
      <c r="T20" s="19" t="s">
        <v>20</v>
      </c>
      <c r="U20" s="55"/>
      <c r="V20" s="19" t="s">
        <v>20</v>
      </c>
      <c r="W20" s="19" t="s">
        <v>20</v>
      </c>
      <c r="X20" s="19" t="s">
        <v>20</v>
      </c>
      <c r="Y20" s="19" t="s">
        <v>20</v>
      </c>
      <c r="Z20" s="52"/>
      <c r="AA20" s="19" t="s">
        <v>20</v>
      </c>
      <c r="AB20" s="19" t="s">
        <v>20</v>
      </c>
      <c r="AC20" s="19" t="s">
        <v>21</v>
      </c>
      <c r="AD20" s="19" t="s">
        <v>20</v>
      </c>
      <c r="AE20" s="19" t="s">
        <v>20</v>
      </c>
      <c r="AF20" s="19" t="s">
        <v>20</v>
      </c>
      <c r="AG20" s="52"/>
      <c r="AH20" s="19" t="s">
        <v>20</v>
      </c>
      <c r="AI20" s="4">
        <f t="shared" si="1"/>
        <v>19</v>
      </c>
      <c r="AJ20" s="4">
        <f t="shared" si="2"/>
        <v>4</v>
      </c>
      <c r="AK20" s="4" t="s">
        <v>13</v>
      </c>
      <c r="AL20" s="7">
        <f>17*$AL$5</f>
        <v>391</v>
      </c>
      <c r="AM20" s="7">
        <f>28*$AL$5</f>
        <v>644</v>
      </c>
      <c r="AN20" s="7">
        <f>AL20+AM20</f>
        <v>1035</v>
      </c>
    </row>
    <row r="21" spans="1:40" x14ac:dyDescent="0.25">
      <c r="A21" s="5">
        <v>17</v>
      </c>
      <c r="B21" s="13" t="s">
        <v>614</v>
      </c>
      <c r="C21" s="12" t="s">
        <v>615</v>
      </c>
      <c r="D21" s="6" t="s">
        <v>592</v>
      </c>
      <c r="E21" s="52"/>
      <c r="F21" s="19" t="s">
        <v>20</v>
      </c>
      <c r="G21" s="19" t="s">
        <v>20</v>
      </c>
      <c r="H21" s="19" t="s">
        <v>20</v>
      </c>
      <c r="I21" s="19" t="s">
        <v>20</v>
      </c>
      <c r="J21" s="55"/>
      <c r="K21" s="19" t="s">
        <v>20</v>
      </c>
      <c r="L21" s="52"/>
      <c r="M21" s="19" t="s">
        <v>20</v>
      </c>
      <c r="N21" s="19" t="s">
        <v>20</v>
      </c>
      <c r="O21" s="19" t="s">
        <v>20</v>
      </c>
      <c r="P21" s="19" t="s">
        <v>20</v>
      </c>
      <c r="Q21" s="19" t="s">
        <v>20</v>
      </c>
      <c r="R21" s="19" t="s">
        <v>21</v>
      </c>
      <c r="S21" s="52"/>
      <c r="T21" s="19" t="s">
        <v>20</v>
      </c>
      <c r="U21" s="55"/>
      <c r="V21" s="19" t="s">
        <v>20</v>
      </c>
      <c r="W21" s="19" t="s">
        <v>20</v>
      </c>
      <c r="X21" s="19" t="s">
        <v>20</v>
      </c>
      <c r="Y21" s="19" t="s">
        <v>20</v>
      </c>
      <c r="Z21" s="52"/>
      <c r="AA21" s="19" t="s">
        <v>20</v>
      </c>
      <c r="AB21" s="19" t="s">
        <v>20</v>
      </c>
      <c r="AC21" s="19" t="s">
        <v>20</v>
      </c>
      <c r="AD21" s="19" t="s">
        <v>20</v>
      </c>
      <c r="AE21" s="19" t="s">
        <v>20</v>
      </c>
      <c r="AF21" s="19" t="s">
        <v>20</v>
      </c>
      <c r="AG21" s="52"/>
      <c r="AH21" s="19" t="s">
        <v>20</v>
      </c>
      <c r="AI21" s="4">
        <f t="shared" si="1"/>
        <v>22</v>
      </c>
      <c r="AJ21" s="4">
        <f t="shared" si="2"/>
        <v>1</v>
      </c>
      <c r="AK21" s="4" t="s">
        <v>16</v>
      </c>
      <c r="AL21" s="7">
        <f>AL20-AL13</f>
        <v>55</v>
      </c>
      <c r="AM21" s="7">
        <f>AM20-AM13</f>
        <v>105</v>
      </c>
      <c r="AN21" s="7">
        <f>AL21+AM21</f>
        <v>160</v>
      </c>
    </row>
    <row r="22" spans="1:40" x14ac:dyDescent="0.25">
      <c r="A22" s="7">
        <v>1</v>
      </c>
      <c r="B22" s="13" t="s">
        <v>616</v>
      </c>
      <c r="C22" s="12" t="s">
        <v>617</v>
      </c>
      <c r="D22" s="6" t="s">
        <v>592</v>
      </c>
      <c r="E22" s="52"/>
      <c r="F22" s="19" t="s">
        <v>21</v>
      </c>
      <c r="G22" s="19" t="s">
        <v>20</v>
      </c>
      <c r="H22" s="19" t="s">
        <v>20</v>
      </c>
      <c r="I22" s="19" t="s">
        <v>20</v>
      </c>
      <c r="J22" s="55"/>
      <c r="K22" s="19" t="s">
        <v>20</v>
      </c>
      <c r="L22" s="52"/>
      <c r="M22" s="19" t="s">
        <v>20</v>
      </c>
      <c r="N22" s="19" t="s">
        <v>21</v>
      </c>
      <c r="O22" s="19" t="s">
        <v>21</v>
      </c>
      <c r="P22" s="19" t="s">
        <v>21</v>
      </c>
      <c r="Q22" s="19" t="s">
        <v>21</v>
      </c>
      <c r="R22" s="19" t="s">
        <v>21</v>
      </c>
      <c r="S22" s="52"/>
      <c r="T22" s="19" t="s">
        <v>20</v>
      </c>
      <c r="U22" s="55"/>
      <c r="V22" s="19" t="s">
        <v>20</v>
      </c>
      <c r="W22" s="19" t="s">
        <v>20</v>
      </c>
      <c r="X22" s="19" t="s">
        <v>20</v>
      </c>
      <c r="Y22" s="19" t="s">
        <v>20</v>
      </c>
      <c r="Z22" s="52"/>
      <c r="AA22" s="19" t="s">
        <v>21</v>
      </c>
      <c r="AB22" s="19" t="s">
        <v>21</v>
      </c>
      <c r="AC22" s="19" t="s">
        <v>21</v>
      </c>
      <c r="AD22" s="19" t="s">
        <v>21</v>
      </c>
      <c r="AE22" s="19" t="s">
        <v>21</v>
      </c>
      <c r="AF22" s="19" t="s">
        <v>21</v>
      </c>
      <c r="AG22" s="52"/>
      <c r="AH22" s="19" t="s">
        <v>20</v>
      </c>
      <c r="AI22" s="4">
        <f t="shared" si="1"/>
        <v>11</v>
      </c>
      <c r="AJ22" s="4">
        <f t="shared" si="2"/>
        <v>12</v>
      </c>
      <c r="AK22" s="4" t="s">
        <v>15</v>
      </c>
      <c r="AL22" s="9">
        <f>AL21/AL20</f>
        <v>0.14066496163682865</v>
      </c>
      <c r="AM22" s="9">
        <f>AM21/AM20</f>
        <v>0.16304347826086957</v>
      </c>
      <c r="AN22" s="9">
        <f>AN21/AN20</f>
        <v>0.15458937198067632</v>
      </c>
    </row>
    <row r="23" spans="1:40" x14ac:dyDescent="0.25">
      <c r="A23" s="5">
        <v>2</v>
      </c>
      <c r="B23" s="13" t="s">
        <v>618</v>
      </c>
      <c r="C23" s="12" t="s">
        <v>619</v>
      </c>
      <c r="D23" s="6" t="s">
        <v>592</v>
      </c>
      <c r="E23" s="52"/>
      <c r="F23" s="19" t="s">
        <v>20</v>
      </c>
      <c r="G23" s="19" t="s">
        <v>21</v>
      </c>
      <c r="H23" s="19" t="s">
        <v>20</v>
      </c>
      <c r="I23" s="19" t="s">
        <v>20</v>
      </c>
      <c r="J23" s="55"/>
      <c r="K23" s="19" t="s">
        <v>20</v>
      </c>
      <c r="L23" s="52"/>
      <c r="M23" s="19" t="s">
        <v>20</v>
      </c>
      <c r="N23" s="19" t="s">
        <v>20</v>
      </c>
      <c r="O23" s="19" t="s">
        <v>20</v>
      </c>
      <c r="P23" s="19" t="s">
        <v>20</v>
      </c>
      <c r="Q23" s="19" t="s">
        <v>20</v>
      </c>
      <c r="R23" s="19" t="s">
        <v>20</v>
      </c>
      <c r="S23" s="52"/>
      <c r="T23" s="19" t="s">
        <v>20</v>
      </c>
      <c r="U23" s="55"/>
      <c r="V23" s="19" t="s">
        <v>20</v>
      </c>
      <c r="W23" s="19" t="s">
        <v>20</v>
      </c>
      <c r="X23" s="19" t="s">
        <v>20</v>
      </c>
      <c r="Y23" s="19" t="s">
        <v>20</v>
      </c>
      <c r="Z23" s="52"/>
      <c r="AA23" s="19" t="s">
        <v>21</v>
      </c>
      <c r="AB23" s="19" t="s">
        <v>20</v>
      </c>
      <c r="AC23" s="19" t="s">
        <v>21</v>
      </c>
      <c r="AD23" s="19" t="s">
        <v>20</v>
      </c>
      <c r="AE23" s="19" t="s">
        <v>20</v>
      </c>
      <c r="AF23" s="19" t="s">
        <v>20</v>
      </c>
      <c r="AG23" s="52"/>
      <c r="AH23" s="19" t="s">
        <v>20</v>
      </c>
      <c r="AI23" s="4">
        <f t="shared" si="1"/>
        <v>20</v>
      </c>
      <c r="AJ23" s="4">
        <f t="shared" si="2"/>
        <v>3</v>
      </c>
    </row>
    <row r="24" spans="1:40" x14ac:dyDescent="0.25">
      <c r="A24" s="7">
        <v>3</v>
      </c>
      <c r="B24" s="13" t="s">
        <v>111</v>
      </c>
      <c r="C24" s="12" t="s">
        <v>256</v>
      </c>
      <c r="D24" s="6" t="s">
        <v>592</v>
      </c>
      <c r="E24" s="52"/>
      <c r="F24" s="19" t="s">
        <v>20</v>
      </c>
      <c r="G24" s="19" t="s">
        <v>20</v>
      </c>
      <c r="H24" s="19" t="s">
        <v>20</v>
      </c>
      <c r="I24" s="19" t="s">
        <v>20</v>
      </c>
      <c r="J24" s="55"/>
      <c r="K24" s="19" t="s">
        <v>20</v>
      </c>
      <c r="L24" s="52"/>
      <c r="M24" s="19" t="s">
        <v>21</v>
      </c>
      <c r="N24" s="19" t="s">
        <v>20</v>
      </c>
      <c r="O24" s="19" t="s">
        <v>20</v>
      </c>
      <c r="P24" s="19" t="s">
        <v>20</v>
      </c>
      <c r="Q24" s="19" t="s">
        <v>20</v>
      </c>
      <c r="R24" s="19" t="s">
        <v>20</v>
      </c>
      <c r="S24" s="52"/>
      <c r="T24" s="19" t="s">
        <v>20</v>
      </c>
      <c r="U24" s="55"/>
      <c r="V24" s="19" t="s">
        <v>20</v>
      </c>
      <c r="W24" s="19" t="s">
        <v>20</v>
      </c>
      <c r="X24" s="19" t="s">
        <v>20</v>
      </c>
      <c r="Y24" s="19" t="s">
        <v>20</v>
      </c>
      <c r="Z24" s="52"/>
      <c r="AA24" s="19" t="s">
        <v>20</v>
      </c>
      <c r="AB24" s="19" t="s">
        <v>20</v>
      </c>
      <c r="AC24" s="19" t="s">
        <v>20</v>
      </c>
      <c r="AD24" s="19" t="s">
        <v>20</v>
      </c>
      <c r="AE24" s="19" t="s">
        <v>20</v>
      </c>
      <c r="AF24" s="19" t="s">
        <v>20</v>
      </c>
      <c r="AG24" s="52"/>
      <c r="AH24" s="19" t="s">
        <v>20</v>
      </c>
      <c r="AI24" s="4">
        <f t="shared" si="1"/>
        <v>22</v>
      </c>
      <c r="AJ24" s="4">
        <f t="shared" si="2"/>
        <v>1</v>
      </c>
    </row>
    <row r="25" spans="1:40" x14ac:dyDescent="0.25">
      <c r="A25" s="5">
        <v>4</v>
      </c>
      <c r="B25" s="13" t="s">
        <v>281</v>
      </c>
      <c r="C25" s="12" t="s">
        <v>473</v>
      </c>
      <c r="D25" s="6" t="s">
        <v>592</v>
      </c>
      <c r="E25" s="52"/>
      <c r="F25" s="19" t="s">
        <v>20</v>
      </c>
      <c r="G25" s="19" t="s">
        <v>20</v>
      </c>
      <c r="H25" s="19" t="s">
        <v>20</v>
      </c>
      <c r="I25" s="19" t="s">
        <v>20</v>
      </c>
      <c r="J25" s="55"/>
      <c r="K25" s="19" t="s">
        <v>20</v>
      </c>
      <c r="L25" s="52"/>
      <c r="M25" s="19" t="s">
        <v>20</v>
      </c>
      <c r="N25" s="19" t="s">
        <v>20</v>
      </c>
      <c r="O25" s="19" t="s">
        <v>20</v>
      </c>
      <c r="P25" s="19" t="s">
        <v>20</v>
      </c>
      <c r="Q25" s="19" t="s">
        <v>20</v>
      </c>
      <c r="R25" s="19" t="s">
        <v>20</v>
      </c>
      <c r="S25" s="52"/>
      <c r="T25" s="19" t="s">
        <v>20</v>
      </c>
      <c r="U25" s="55"/>
      <c r="V25" s="19" t="s">
        <v>20</v>
      </c>
      <c r="W25" s="19" t="s">
        <v>20</v>
      </c>
      <c r="X25" s="19" t="s">
        <v>20</v>
      </c>
      <c r="Y25" s="19" t="s">
        <v>20</v>
      </c>
      <c r="Z25" s="52"/>
      <c r="AA25" s="19" t="s">
        <v>20</v>
      </c>
      <c r="AB25" s="19" t="s">
        <v>20</v>
      </c>
      <c r="AC25" s="19" t="s">
        <v>20</v>
      </c>
      <c r="AD25" s="19" t="s">
        <v>20</v>
      </c>
      <c r="AE25" s="19" t="s">
        <v>20</v>
      </c>
      <c r="AF25" s="19" t="s">
        <v>21</v>
      </c>
      <c r="AG25" s="52"/>
      <c r="AH25" s="19" t="s">
        <v>20</v>
      </c>
      <c r="AI25" s="4">
        <f t="shared" si="1"/>
        <v>22</v>
      </c>
      <c r="AJ25" s="4">
        <f t="shared" si="2"/>
        <v>1</v>
      </c>
    </row>
    <row r="26" spans="1:40" x14ac:dyDescent="0.25">
      <c r="A26" s="7">
        <v>5</v>
      </c>
      <c r="B26" s="13" t="s">
        <v>620</v>
      </c>
      <c r="C26" s="12" t="s">
        <v>529</v>
      </c>
      <c r="D26" s="6" t="s">
        <v>592</v>
      </c>
      <c r="E26" s="52"/>
      <c r="F26" s="19" t="s">
        <v>20</v>
      </c>
      <c r="G26" s="19" t="s">
        <v>20</v>
      </c>
      <c r="H26" s="19" t="s">
        <v>20</v>
      </c>
      <c r="I26" s="19" t="s">
        <v>20</v>
      </c>
      <c r="J26" s="55"/>
      <c r="K26" s="19" t="s">
        <v>20</v>
      </c>
      <c r="L26" s="52"/>
      <c r="M26" s="19" t="s">
        <v>20</v>
      </c>
      <c r="N26" s="19" t="s">
        <v>20</v>
      </c>
      <c r="O26" s="19" t="s">
        <v>20</v>
      </c>
      <c r="P26" s="19" t="s">
        <v>20</v>
      </c>
      <c r="Q26" s="19" t="s">
        <v>20</v>
      </c>
      <c r="R26" s="19" t="s">
        <v>20</v>
      </c>
      <c r="S26" s="52"/>
      <c r="T26" s="19" t="s">
        <v>20</v>
      </c>
      <c r="U26" s="55"/>
      <c r="V26" s="19" t="s">
        <v>20</v>
      </c>
      <c r="W26" s="19" t="s">
        <v>20</v>
      </c>
      <c r="X26" s="19" t="s">
        <v>20</v>
      </c>
      <c r="Y26" s="19" t="s">
        <v>20</v>
      </c>
      <c r="Z26" s="52"/>
      <c r="AA26" s="19" t="s">
        <v>20</v>
      </c>
      <c r="AB26" s="19" t="s">
        <v>20</v>
      </c>
      <c r="AC26" s="19" t="s">
        <v>21</v>
      </c>
      <c r="AD26" s="19" t="s">
        <v>21</v>
      </c>
      <c r="AE26" s="19" t="s">
        <v>20</v>
      </c>
      <c r="AF26" s="19" t="s">
        <v>20</v>
      </c>
      <c r="AG26" s="52"/>
      <c r="AH26" s="19" t="s">
        <v>20</v>
      </c>
      <c r="AI26" s="4">
        <f t="shared" si="1"/>
        <v>21</v>
      </c>
      <c r="AJ26" s="4">
        <f t="shared" si="2"/>
        <v>2</v>
      </c>
    </row>
    <row r="27" spans="1:40" x14ac:dyDescent="0.25">
      <c r="A27" s="5">
        <v>6</v>
      </c>
      <c r="B27" s="13" t="s">
        <v>283</v>
      </c>
      <c r="C27" s="12" t="s">
        <v>621</v>
      </c>
      <c r="D27" s="6" t="s">
        <v>592</v>
      </c>
      <c r="E27" s="52"/>
      <c r="F27" s="19" t="s">
        <v>20</v>
      </c>
      <c r="G27" s="19" t="s">
        <v>20</v>
      </c>
      <c r="H27" s="19" t="s">
        <v>21</v>
      </c>
      <c r="I27" s="19" t="s">
        <v>20</v>
      </c>
      <c r="J27" s="55"/>
      <c r="K27" s="19" t="s">
        <v>20</v>
      </c>
      <c r="L27" s="52"/>
      <c r="M27" s="19" t="s">
        <v>20</v>
      </c>
      <c r="N27" s="19" t="s">
        <v>20</v>
      </c>
      <c r="O27" s="19" t="s">
        <v>20</v>
      </c>
      <c r="P27" s="19" t="s">
        <v>20</v>
      </c>
      <c r="Q27" s="19" t="s">
        <v>21</v>
      </c>
      <c r="R27" s="19" t="s">
        <v>20</v>
      </c>
      <c r="S27" s="52"/>
      <c r="T27" s="19" t="s">
        <v>20</v>
      </c>
      <c r="U27" s="55"/>
      <c r="V27" s="19" t="s">
        <v>20</v>
      </c>
      <c r="W27" s="19" t="s">
        <v>20</v>
      </c>
      <c r="X27" s="19" t="s">
        <v>20</v>
      </c>
      <c r="Y27" s="19" t="s">
        <v>20</v>
      </c>
      <c r="Z27" s="52"/>
      <c r="AA27" s="19" t="s">
        <v>20</v>
      </c>
      <c r="AB27" s="19" t="s">
        <v>20</v>
      </c>
      <c r="AC27" s="19" t="s">
        <v>20</v>
      </c>
      <c r="AD27" s="19" t="s">
        <v>21</v>
      </c>
      <c r="AE27" s="19" t="s">
        <v>21</v>
      </c>
      <c r="AF27" s="19" t="s">
        <v>20</v>
      </c>
      <c r="AG27" s="52"/>
      <c r="AH27" s="19" t="s">
        <v>20</v>
      </c>
      <c r="AI27" s="4">
        <f t="shared" si="1"/>
        <v>19</v>
      </c>
      <c r="AJ27" s="4">
        <f t="shared" si="2"/>
        <v>4</v>
      </c>
    </row>
    <row r="28" spans="1:40" x14ac:dyDescent="0.25">
      <c r="A28" s="7">
        <v>7</v>
      </c>
      <c r="B28" s="13" t="s">
        <v>285</v>
      </c>
      <c r="C28" s="13" t="s">
        <v>119</v>
      </c>
      <c r="D28" s="6" t="s">
        <v>592</v>
      </c>
      <c r="E28" s="52"/>
      <c r="F28" s="19" t="s">
        <v>20</v>
      </c>
      <c r="G28" s="19" t="s">
        <v>20</v>
      </c>
      <c r="H28" s="19" t="s">
        <v>20</v>
      </c>
      <c r="I28" s="19" t="s">
        <v>20</v>
      </c>
      <c r="J28" s="55"/>
      <c r="K28" s="19" t="s">
        <v>20</v>
      </c>
      <c r="L28" s="52"/>
      <c r="M28" s="19" t="s">
        <v>20</v>
      </c>
      <c r="N28" s="19" t="s">
        <v>20</v>
      </c>
      <c r="O28" s="19" t="s">
        <v>20</v>
      </c>
      <c r="P28" s="19" t="s">
        <v>20</v>
      </c>
      <c r="Q28" s="19" t="s">
        <v>21</v>
      </c>
      <c r="R28" s="19" t="s">
        <v>21</v>
      </c>
      <c r="S28" s="52"/>
      <c r="T28" s="19" t="s">
        <v>20</v>
      </c>
      <c r="U28" s="55"/>
      <c r="V28" s="19" t="s">
        <v>20</v>
      </c>
      <c r="W28" s="19" t="s">
        <v>20</v>
      </c>
      <c r="X28" s="19" t="s">
        <v>20</v>
      </c>
      <c r="Y28" s="19" t="s">
        <v>20</v>
      </c>
      <c r="Z28" s="52"/>
      <c r="AA28" s="19" t="s">
        <v>20</v>
      </c>
      <c r="AB28" s="19" t="s">
        <v>20</v>
      </c>
      <c r="AC28" s="19" t="s">
        <v>20</v>
      </c>
      <c r="AD28" s="19" t="s">
        <v>20</v>
      </c>
      <c r="AE28" s="19" t="s">
        <v>20</v>
      </c>
      <c r="AF28" s="19" t="s">
        <v>20</v>
      </c>
      <c r="AG28" s="52"/>
      <c r="AH28" s="19" t="s">
        <v>20</v>
      </c>
      <c r="AI28" s="4">
        <f t="shared" si="1"/>
        <v>21</v>
      </c>
      <c r="AJ28" s="4">
        <f t="shared" si="2"/>
        <v>2</v>
      </c>
    </row>
    <row r="29" spans="1:40" x14ac:dyDescent="0.25">
      <c r="A29" s="5">
        <v>8</v>
      </c>
      <c r="B29" s="13" t="s">
        <v>115</v>
      </c>
      <c r="C29" s="12" t="s">
        <v>622</v>
      </c>
      <c r="D29" s="6" t="s">
        <v>592</v>
      </c>
      <c r="E29" s="52"/>
      <c r="F29" s="19" t="s">
        <v>20</v>
      </c>
      <c r="G29" s="19" t="s">
        <v>20</v>
      </c>
      <c r="H29" s="19" t="s">
        <v>20</v>
      </c>
      <c r="I29" s="19" t="s">
        <v>20</v>
      </c>
      <c r="J29" s="55"/>
      <c r="K29" s="19" t="s">
        <v>20</v>
      </c>
      <c r="L29" s="52"/>
      <c r="M29" s="19" t="s">
        <v>20</v>
      </c>
      <c r="N29" s="19" t="s">
        <v>20</v>
      </c>
      <c r="O29" s="19" t="s">
        <v>22</v>
      </c>
      <c r="P29" s="19" t="s">
        <v>22</v>
      </c>
      <c r="Q29" s="19" t="s">
        <v>20</v>
      </c>
      <c r="R29" s="19" t="s">
        <v>20</v>
      </c>
      <c r="S29" s="52"/>
      <c r="T29" s="19" t="s">
        <v>20</v>
      </c>
      <c r="U29" s="55"/>
      <c r="V29" s="19" t="s">
        <v>20</v>
      </c>
      <c r="W29" s="19" t="s">
        <v>20</v>
      </c>
      <c r="X29" s="19" t="s">
        <v>20</v>
      </c>
      <c r="Y29" s="19" t="s">
        <v>20</v>
      </c>
      <c r="Z29" s="52"/>
      <c r="AA29" s="19" t="s">
        <v>20</v>
      </c>
      <c r="AB29" s="19" t="s">
        <v>20</v>
      </c>
      <c r="AC29" s="19" t="s">
        <v>20</v>
      </c>
      <c r="AD29" s="19" t="s">
        <v>21</v>
      </c>
      <c r="AE29" s="19" t="s">
        <v>20</v>
      </c>
      <c r="AF29" s="19" t="s">
        <v>20</v>
      </c>
      <c r="AG29" s="52"/>
      <c r="AH29" s="19" t="s">
        <v>20</v>
      </c>
      <c r="AI29" s="4">
        <f t="shared" si="1"/>
        <v>20</v>
      </c>
      <c r="AJ29" s="4">
        <f t="shared" si="2"/>
        <v>1</v>
      </c>
    </row>
    <row r="30" spans="1:40" x14ac:dyDescent="0.25">
      <c r="A30" s="7">
        <v>9</v>
      </c>
      <c r="B30" s="14" t="s">
        <v>623</v>
      </c>
      <c r="C30" s="15" t="s">
        <v>624</v>
      </c>
      <c r="D30" s="6" t="s">
        <v>592</v>
      </c>
      <c r="E30" s="52"/>
      <c r="F30" s="19" t="s">
        <v>20</v>
      </c>
      <c r="G30" s="19" t="s">
        <v>20</v>
      </c>
      <c r="H30" s="19" t="s">
        <v>20</v>
      </c>
      <c r="I30" s="19" t="s">
        <v>20</v>
      </c>
      <c r="J30" s="55"/>
      <c r="K30" s="19" t="s">
        <v>20</v>
      </c>
      <c r="L30" s="52"/>
      <c r="M30" s="19" t="s">
        <v>20</v>
      </c>
      <c r="N30" s="19" t="s">
        <v>20</v>
      </c>
      <c r="O30" s="19" t="s">
        <v>20</v>
      </c>
      <c r="P30" s="19" t="s">
        <v>20</v>
      </c>
      <c r="Q30" s="19" t="s">
        <v>20</v>
      </c>
      <c r="R30" s="19" t="s">
        <v>20</v>
      </c>
      <c r="S30" s="52"/>
      <c r="T30" s="19" t="s">
        <v>20</v>
      </c>
      <c r="U30" s="55"/>
      <c r="V30" s="19" t="s">
        <v>20</v>
      </c>
      <c r="W30" s="19" t="s">
        <v>20</v>
      </c>
      <c r="X30" s="19" t="s">
        <v>20</v>
      </c>
      <c r="Y30" s="19" t="s">
        <v>20</v>
      </c>
      <c r="Z30" s="52"/>
      <c r="AA30" s="19" t="s">
        <v>20</v>
      </c>
      <c r="AB30" s="19" t="s">
        <v>20</v>
      </c>
      <c r="AC30" s="19" t="s">
        <v>22</v>
      </c>
      <c r="AD30" s="19" t="s">
        <v>22</v>
      </c>
      <c r="AE30" s="19" t="s">
        <v>22</v>
      </c>
      <c r="AF30" s="19" t="s">
        <v>20</v>
      </c>
      <c r="AG30" s="52"/>
      <c r="AH30" s="19" t="s">
        <v>20</v>
      </c>
      <c r="AI30" s="4">
        <f t="shared" si="1"/>
        <v>20</v>
      </c>
      <c r="AJ30" s="4">
        <f t="shared" si="2"/>
        <v>0</v>
      </c>
    </row>
    <row r="31" spans="1:40" x14ac:dyDescent="0.25">
      <c r="A31" s="5">
        <v>10</v>
      </c>
      <c r="B31" s="16" t="s">
        <v>625</v>
      </c>
      <c r="C31" s="16" t="s">
        <v>626</v>
      </c>
      <c r="D31" s="6" t="s">
        <v>592</v>
      </c>
      <c r="E31" s="52"/>
      <c r="F31" s="19" t="s">
        <v>20</v>
      </c>
      <c r="G31" s="19" t="s">
        <v>20</v>
      </c>
      <c r="H31" s="19" t="s">
        <v>20</v>
      </c>
      <c r="I31" s="19" t="s">
        <v>20</v>
      </c>
      <c r="J31" s="55"/>
      <c r="K31" s="19" t="s">
        <v>20</v>
      </c>
      <c r="L31" s="52"/>
      <c r="M31" s="19" t="s">
        <v>20</v>
      </c>
      <c r="N31" s="19" t="s">
        <v>20</v>
      </c>
      <c r="O31" s="19" t="s">
        <v>20</v>
      </c>
      <c r="P31" s="19" t="s">
        <v>20</v>
      </c>
      <c r="Q31" s="19" t="s">
        <v>20</v>
      </c>
      <c r="R31" s="19" t="s">
        <v>21</v>
      </c>
      <c r="S31" s="52"/>
      <c r="T31" s="19" t="s">
        <v>20</v>
      </c>
      <c r="U31" s="55"/>
      <c r="V31" s="19" t="s">
        <v>20</v>
      </c>
      <c r="W31" s="19" t="s">
        <v>20</v>
      </c>
      <c r="X31" s="19" t="s">
        <v>20</v>
      </c>
      <c r="Y31" s="19" t="s">
        <v>20</v>
      </c>
      <c r="Z31" s="52"/>
      <c r="AA31" s="19" t="s">
        <v>20</v>
      </c>
      <c r="AB31" s="19" t="s">
        <v>20</v>
      </c>
      <c r="AC31" s="19" t="s">
        <v>20</v>
      </c>
      <c r="AD31" s="19" t="s">
        <v>20</v>
      </c>
      <c r="AE31" s="19" t="s">
        <v>21</v>
      </c>
      <c r="AF31" s="19" t="s">
        <v>20</v>
      </c>
      <c r="AG31" s="52"/>
      <c r="AH31" s="19" t="s">
        <v>20</v>
      </c>
      <c r="AI31" s="4">
        <f t="shared" si="1"/>
        <v>21</v>
      </c>
      <c r="AJ31" s="4">
        <f t="shared" si="2"/>
        <v>2</v>
      </c>
    </row>
    <row r="32" spans="1:40" x14ac:dyDescent="0.25">
      <c r="A32" s="7">
        <v>11</v>
      </c>
      <c r="B32" s="16" t="s">
        <v>68</v>
      </c>
      <c r="C32" s="16" t="s">
        <v>422</v>
      </c>
      <c r="D32" s="6" t="s">
        <v>592</v>
      </c>
      <c r="E32" s="52"/>
      <c r="F32" s="19" t="s">
        <v>20</v>
      </c>
      <c r="G32" s="19" t="s">
        <v>20</v>
      </c>
      <c r="H32" s="19" t="s">
        <v>20</v>
      </c>
      <c r="I32" s="19" t="s">
        <v>20</v>
      </c>
      <c r="J32" s="55"/>
      <c r="K32" s="19" t="s">
        <v>20</v>
      </c>
      <c r="L32" s="52"/>
      <c r="M32" s="19" t="s">
        <v>20</v>
      </c>
      <c r="N32" s="19" t="s">
        <v>20</v>
      </c>
      <c r="O32" s="19" t="s">
        <v>20</v>
      </c>
      <c r="P32" s="19" t="s">
        <v>20</v>
      </c>
      <c r="Q32" s="19" t="s">
        <v>20</v>
      </c>
      <c r="R32" s="19" t="s">
        <v>20</v>
      </c>
      <c r="S32" s="52"/>
      <c r="T32" s="19" t="s">
        <v>20</v>
      </c>
      <c r="U32" s="55"/>
      <c r="V32" s="19" t="s">
        <v>20</v>
      </c>
      <c r="W32" s="19" t="s">
        <v>20</v>
      </c>
      <c r="X32" s="19" t="s">
        <v>20</v>
      </c>
      <c r="Y32" s="19" t="s">
        <v>20</v>
      </c>
      <c r="Z32" s="52"/>
      <c r="AA32" s="19" t="s">
        <v>20</v>
      </c>
      <c r="AB32" s="19" t="s">
        <v>20</v>
      </c>
      <c r="AC32" s="19" t="s">
        <v>20</v>
      </c>
      <c r="AD32" s="19" t="s">
        <v>20</v>
      </c>
      <c r="AE32" s="19" t="s">
        <v>20</v>
      </c>
      <c r="AF32" s="19" t="s">
        <v>20</v>
      </c>
      <c r="AG32" s="52"/>
      <c r="AH32" s="19" t="s">
        <v>20</v>
      </c>
      <c r="AI32" s="4">
        <f t="shared" si="1"/>
        <v>23</v>
      </c>
      <c r="AJ32" s="4">
        <f t="shared" si="2"/>
        <v>0</v>
      </c>
    </row>
    <row r="33" spans="1:36" x14ac:dyDescent="0.25">
      <c r="A33" s="5">
        <v>12</v>
      </c>
      <c r="B33" s="16" t="s">
        <v>68</v>
      </c>
      <c r="C33" s="16" t="s">
        <v>627</v>
      </c>
      <c r="D33" s="6" t="s">
        <v>592</v>
      </c>
      <c r="E33" s="52"/>
      <c r="F33" s="19" t="s">
        <v>20</v>
      </c>
      <c r="G33" s="19" t="s">
        <v>20</v>
      </c>
      <c r="H33" s="19" t="s">
        <v>20</v>
      </c>
      <c r="I33" s="19" t="s">
        <v>20</v>
      </c>
      <c r="J33" s="55"/>
      <c r="K33" s="19" t="s">
        <v>20</v>
      </c>
      <c r="L33" s="52"/>
      <c r="M33" s="19" t="s">
        <v>20</v>
      </c>
      <c r="N33" s="19" t="s">
        <v>20</v>
      </c>
      <c r="O33" s="19" t="s">
        <v>20</v>
      </c>
      <c r="P33" s="19" t="s">
        <v>20</v>
      </c>
      <c r="Q33" s="19" t="s">
        <v>20</v>
      </c>
      <c r="R33" s="19" t="s">
        <v>20</v>
      </c>
      <c r="S33" s="52"/>
      <c r="T33" s="19" t="s">
        <v>20</v>
      </c>
      <c r="U33" s="55"/>
      <c r="V33" s="19" t="s">
        <v>20</v>
      </c>
      <c r="W33" s="19" t="s">
        <v>20</v>
      </c>
      <c r="X33" s="19" t="s">
        <v>20</v>
      </c>
      <c r="Y33" s="19" t="s">
        <v>20</v>
      </c>
      <c r="Z33" s="52"/>
      <c r="AA33" s="19" t="s">
        <v>20</v>
      </c>
      <c r="AB33" s="19" t="s">
        <v>20</v>
      </c>
      <c r="AC33" s="19" t="s">
        <v>20</v>
      </c>
      <c r="AD33" s="19" t="s">
        <v>20</v>
      </c>
      <c r="AE33" s="19" t="s">
        <v>20</v>
      </c>
      <c r="AF33" s="19" t="s">
        <v>20</v>
      </c>
      <c r="AG33" s="52"/>
      <c r="AH33" s="19" t="s">
        <v>20</v>
      </c>
      <c r="AI33" s="4">
        <f t="shared" si="1"/>
        <v>23</v>
      </c>
      <c r="AJ33" s="4">
        <f t="shared" si="2"/>
        <v>0</v>
      </c>
    </row>
    <row r="34" spans="1:36" x14ac:dyDescent="0.25">
      <c r="A34" s="7">
        <v>13</v>
      </c>
      <c r="B34" s="16" t="s">
        <v>628</v>
      </c>
      <c r="C34" s="17" t="s">
        <v>629</v>
      </c>
      <c r="D34" s="6" t="s">
        <v>592</v>
      </c>
      <c r="E34" s="52"/>
      <c r="F34" s="19" t="s">
        <v>20</v>
      </c>
      <c r="G34" s="19" t="s">
        <v>20</v>
      </c>
      <c r="H34" s="19" t="s">
        <v>20</v>
      </c>
      <c r="I34" s="19" t="s">
        <v>20</v>
      </c>
      <c r="J34" s="55"/>
      <c r="K34" s="19" t="s">
        <v>20</v>
      </c>
      <c r="L34" s="52"/>
      <c r="M34" s="19" t="s">
        <v>20</v>
      </c>
      <c r="N34" s="19" t="s">
        <v>20</v>
      </c>
      <c r="O34" s="19" t="s">
        <v>20</v>
      </c>
      <c r="P34" s="19" t="s">
        <v>20</v>
      </c>
      <c r="Q34" s="19" t="s">
        <v>20</v>
      </c>
      <c r="R34" s="19" t="s">
        <v>20</v>
      </c>
      <c r="S34" s="52"/>
      <c r="T34" s="19" t="s">
        <v>20</v>
      </c>
      <c r="U34" s="55"/>
      <c r="V34" s="19" t="s">
        <v>20</v>
      </c>
      <c r="W34" s="19" t="s">
        <v>20</v>
      </c>
      <c r="X34" s="19" t="s">
        <v>20</v>
      </c>
      <c r="Y34" s="19" t="s">
        <v>20</v>
      </c>
      <c r="Z34" s="52"/>
      <c r="AA34" s="19" t="s">
        <v>20</v>
      </c>
      <c r="AB34" s="19" t="s">
        <v>20</v>
      </c>
      <c r="AC34" s="19" t="s">
        <v>20</v>
      </c>
      <c r="AD34" s="19" t="s">
        <v>20</v>
      </c>
      <c r="AE34" s="19" t="s">
        <v>20</v>
      </c>
      <c r="AF34" s="19" t="s">
        <v>20</v>
      </c>
      <c r="AG34" s="52"/>
      <c r="AH34" s="19" t="s">
        <v>20</v>
      </c>
      <c r="AI34" s="4">
        <f t="shared" si="1"/>
        <v>23</v>
      </c>
      <c r="AJ34" s="4">
        <f t="shared" si="2"/>
        <v>0</v>
      </c>
    </row>
    <row r="35" spans="1:36" x14ac:dyDescent="0.25">
      <c r="A35" s="5">
        <v>14</v>
      </c>
      <c r="B35" s="11" t="s">
        <v>616</v>
      </c>
      <c r="C35" s="18" t="s">
        <v>249</v>
      </c>
      <c r="D35" s="6" t="s">
        <v>592</v>
      </c>
      <c r="E35" s="52"/>
      <c r="F35" s="19" t="s">
        <v>21</v>
      </c>
      <c r="G35" s="19" t="s">
        <v>21</v>
      </c>
      <c r="H35" s="19" t="s">
        <v>21</v>
      </c>
      <c r="I35" s="19" t="s">
        <v>21</v>
      </c>
      <c r="J35" s="55"/>
      <c r="K35" s="19" t="s">
        <v>20</v>
      </c>
      <c r="L35" s="52"/>
      <c r="M35" s="19" t="s">
        <v>20</v>
      </c>
      <c r="N35" s="19" t="s">
        <v>20</v>
      </c>
      <c r="O35" s="19" t="s">
        <v>21</v>
      </c>
      <c r="P35" s="19" t="s">
        <v>20</v>
      </c>
      <c r="Q35" s="19" t="s">
        <v>20</v>
      </c>
      <c r="R35" s="19" t="s">
        <v>21</v>
      </c>
      <c r="S35" s="52"/>
      <c r="T35" s="19" t="s">
        <v>20</v>
      </c>
      <c r="U35" s="55"/>
      <c r="V35" s="19" t="s">
        <v>21</v>
      </c>
      <c r="W35" s="19" t="s">
        <v>21</v>
      </c>
      <c r="X35" s="19" t="s">
        <v>21</v>
      </c>
      <c r="Y35" s="19" t="s">
        <v>21</v>
      </c>
      <c r="Z35" s="52"/>
      <c r="AA35" s="19" t="s">
        <v>20</v>
      </c>
      <c r="AB35" s="19" t="s">
        <v>20</v>
      </c>
      <c r="AC35" s="19" t="s">
        <v>21</v>
      </c>
      <c r="AD35" s="19" t="s">
        <v>20</v>
      </c>
      <c r="AE35" s="19" t="s">
        <v>20</v>
      </c>
      <c r="AF35" s="19" t="s">
        <v>20</v>
      </c>
      <c r="AG35" s="52"/>
      <c r="AH35" s="19" t="s">
        <v>20</v>
      </c>
      <c r="AI35" s="4">
        <f t="shared" si="1"/>
        <v>12</v>
      </c>
      <c r="AJ35" s="4">
        <f t="shared" si="2"/>
        <v>11</v>
      </c>
    </row>
    <row r="36" spans="1:36" x14ac:dyDescent="0.25">
      <c r="A36" s="7">
        <v>15</v>
      </c>
      <c r="B36" s="13" t="s">
        <v>630</v>
      </c>
      <c r="C36" s="12" t="s">
        <v>631</v>
      </c>
      <c r="D36" s="6" t="s">
        <v>592</v>
      </c>
      <c r="E36" s="52"/>
      <c r="F36" s="19" t="s">
        <v>20</v>
      </c>
      <c r="G36" s="19" t="s">
        <v>20</v>
      </c>
      <c r="H36" s="19" t="s">
        <v>20</v>
      </c>
      <c r="I36" s="19" t="s">
        <v>20</v>
      </c>
      <c r="J36" s="55"/>
      <c r="K36" s="19" t="s">
        <v>20</v>
      </c>
      <c r="L36" s="52"/>
      <c r="M36" s="19" t="s">
        <v>20</v>
      </c>
      <c r="N36" s="19" t="s">
        <v>20</v>
      </c>
      <c r="O36" s="19" t="s">
        <v>20</v>
      </c>
      <c r="P36" s="19" t="s">
        <v>21</v>
      </c>
      <c r="Q36" s="19" t="s">
        <v>20</v>
      </c>
      <c r="R36" s="19" t="s">
        <v>21</v>
      </c>
      <c r="S36" s="52"/>
      <c r="T36" s="19" t="s">
        <v>20</v>
      </c>
      <c r="U36" s="55"/>
      <c r="V36" s="19" t="s">
        <v>20</v>
      </c>
      <c r="W36" s="19" t="s">
        <v>20</v>
      </c>
      <c r="X36" s="19" t="s">
        <v>20</v>
      </c>
      <c r="Y36" s="19" t="s">
        <v>20</v>
      </c>
      <c r="Z36" s="52"/>
      <c r="AA36" s="19" t="s">
        <v>20</v>
      </c>
      <c r="AB36" s="19" t="s">
        <v>20</v>
      </c>
      <c r="AC36" s="19" t="s">
        <v>20</v>
      </c>
      <c r="AD36" s="19" t="s">
        <v>20</v>
      </c>
      <c r="AE36" s="19" t="s">
        <v>21</v>
      </c>
      <c r="AF36" s="19" t="s">
        <v>21</v>
      </c>
      <c r="AG36" s="52"/>
      <c r="AH36" s="19" t="s">
        <v>20</v>
      </c>
      <c r="AI36" s="4">
        <f t="shared" si="1"/>
        <v>19</v>
      </c>
      <c r="AJ36" s="4">
        <f t="shared" si="2"/>
        <v>4</v>
      </c>
    </row>
    <row r="37" spans="1:36" x14ac:dyDescent="0.25">
      <c r="A37" s="5">
        <v>16</v>
      </c>
      <c r="B37" s="13" t="s">
        <v>632</v>
      </c>
      <c r="C37" s="12" t="s">
        <v>627</v>
      </c>
      <c r="D37" s="6" t="s">
        <v>592</v>
      </c>
      <c r="E37" s="52"/>
      <c r="F37" s="19" t="s">
        <v>20</v>
      </c>
      <c r="G37" s="19" t="s">
        <v>20</v>
      </c>
      <c r="H37" s="19" t="s">
        <v>20</v>
      </c>
      <c r="I37" s="19" t="s">
        <v>20</v>
      </c>
      <c r="J37" s="55"/>
      <c r="K37" s="19" t="s">
        <v>20</v>
      </c>
      <c r="L37" s="52"/>
      <c r="M37" s="19" t="s">
        <v>20</v>
      </c>
      <c r="N37" s="19" t="s">
        <v>20</v>
      </c>
      <c r="O37" s="19" t="s">
        <v>20</v>
      </c>
      <c r="P37" s="19" t="s">
        <v>20</v>
      </c>
      <c r="Q37" s="19" t="s">
        <v>20</v>
      </c>
      <c r="R37" s="19" t="s">
        <v>20</v>
      </c>
      <c r="S37" s="52"/>
      <c r="T37" s="19" t="s">
        <v>20</v>
      </c>
      <c r="U37" s="55"/>
      <c r="V37" s="19" t="s">
        <v>20</v>
      </c>
      <c r="W37" s="19" t="s">
        <v>20</v>
      </c>
      <c r="X37" s="19" t="s">
        <v>20</v>
      </c>
      <c r="Y37" s="19" t="s">
        <v>20</v>
      </c>
      <c r="Z37" s="52"/>
      <c r="AA37" s="19" t="s">
        <v>22</v>
      </c>
      <c r="AB37" s="19" t="s">
        <v>22</v>
      </c>
      <c r="AC37" s="19" t="s">
        <v>21</v>
      </c>
      <c r="AD37" s="19" t="s">
        <v>20</v>
      </c>
      <c r="AE37" s="19" t="s">
        <v>20</v>
      </c>
      <c r="AF37" s="19" t="s">
        <v>21</v>
      </c>
      <c r="AG37" s="52"/>
      <c r="AH37" s="19" t="s">
        <v>20</v>
      </c>
      <c r="AI37" s="4">
        <f t="shared" si="1"/>
        <v>19</v>
      </c>
      <c r="AJ37" s="4">
        <f t="shared" si="2"/>
        <v>2</v>
      </c>
    </row>
    <row r="38" spans="1:36" x14ac:dyDescent="0.25">
      <c r="A38" s="7">
        <v>17</v>
      </c>
      <c r="B38" s="20" t="s">
        <v>633</v>
      </c>
      <c r="C38" s="20" t="s">
        <v>783</v>
      </c>
      <c r="D38" s="6" t="s">
        <v>592</v>
      </c>
      <c r="E38" s="52"/>
      <c r="F38" s="19" t="s">
        <v>21</v>
      </c>
      <c r="G38" s="19" t="s">
        <v>21</v>
      </c>
      <c r="H38" s="19" t="s">
        <v>21</v>
      </c>
      <c r="I38" s="19" t="s">
        <v>21</v>
      </c>
      <c r="J38" s="55"/>
      <c r="K38" s="19" t="s">
        <v>21</v>
      </c>
      <c r="L38" s="52"/>
      <c r="M38" s="19" t="s">
        <v>21</v>
      </c>
      <c r="N38" s="19" t="s">
        <v>21</v>
      </c>
      <c r="O38" s="19" t="s">
        <v>21</v>
      </c>
      <c r="P38" s="19" t="s">
        <v>21</v>
      </c>
      <c r="Q38" s="19" t="s">
        <v>21</v>
      </c>
      <c r="R38" s="19" t="s">
        <v>21</v>
      </c>
      <c r="S38" s="52"/>
      <c r="T38" s="19" t="s">
        <v>21</v>
      </c>
      <c r="U38" s="55"/>
      <c r="V38" s="19" t="s">
        <v>21</v>
      </c>
      <c r="W38" s="19" t="s">
        <v>21</v>
      </c>
      <c r="X38" s="19" t="s">
        <v>21</v>
      </c>
      <c r="Y38" s="19" t="s">
        <v>21</v>
      </c>
      <c r="Z38" s="52"/>
      <c r="AA38" s="19" t="s">
        <v>21</v>
      </c>
      <c r="AB38" s="19" t="s">
        <v>21</v>
      </c>
      <c r="AC38" s="19" t="s">
        <v>21</v>
      </c>
      <c r="AD38" s="19" t="s">
        <v>21</v>
      </c>
      <c r="AE38" s="19" t="s">
        <v>21</v>
      </c>
      <c r="AF38" s="19" t="s">
        <v>21</v>
      </c>
      <c r="AG38" s="52"/>
      <c r="AH38" s="19" t="s">
        <v>21</v>
      </c>
      <c r="AI38" s="4">
        <f t="shared" si="1"/>
        <v>0</v>
      </c>
      <c r="AJ38" s="4">
        <f t="shared" si="2"/>
        <v>23</v>
      </c>
    </row>
    <row r="39" spans="1:36" x14ac:dyDescent="0.25">
      <c r="A39" s="5">
        <v>18</v>
      </c>
      <c r="B39" s="20" t="s">
        <v>634</v>
      </c>
      <c r="C39" s="20" t="s">
        <v>152</v>
      </c>
      <c r="D39" s="6" t="s">
        <v>592</v>
      </c>
      <c r="E39" s="52"/>
      <c r="F39" s="19" t="s">
        <v>20</v>
      </c>
      <c r="G39" s="19" t="s">
        <v>20</v>
      </c>
      <c r="H39" s="19" t="s">
        <v>20</v>
      </c>
      <c r="I39" s="19" t="s">
        <v>20</v>
      </c>
      <c r="J39" s="55"/>
      <c r="K39" s="19" t="s">
        <v>20</v>
      </c>
      <c r="L39" s="52"/>
      <c r="M39" s="19" t="s">
        <v>20</v>
      </c>
      <c r="N39" s="19" t="s">
        <v>20</v>
      </c>
      <c r="O39" s="19" t="s">
        <v>20</v>
      </c>
      <c r="P39" s="19" t="s">
        <v>20</v>
      </c>
      <c r="Q39" s="19" t="s">
        <v>20</v>
      </c>
      <c r="R39" s="19" t="s">
        <v>20</v>
      </c>
      <c r="S39" s="52"/>
      <c r="T39" s="19" t="s">
        <v>20</v>
      </c>
      <c r="U39" s="55"/>
      <c r="V39" s="19" t="s">
        <v>20</v>
      </c>
      <c r="W39" s="19" t="s">
        <v>20</v>
      </c>
      <c r="X39" s="19" t="s">
        <v>20</v>
      </c>
      <c r="Y39" s="19" t="s">
        <v>20</v>
      </c>
      <c r="Z39" s="52"/>
      <c r="AA39" s="19" t="s">
        <v>20</v>
      </c>
      <c r="AB39" s="19" t="s">
        <v>20</v>
      </c>
      <c r="AC39" s="19" t="s">
        <v>20</v>
      </c>
      <c r="AD39" s="19" t="s">
        <v>20</v>
      </c>
      <c r="AE39" s="19" t="s">
        <v>20</v>
      </c>
      <c r="AF39" s="19" t="s">
        <v>21</v>
      </c>
      <c r="AG39" s="52"/>
      <c r="AH39" s="19" t="s">
        <v>20</v>
      </c>
      <c r="AI39" s="4">
        <f t="shared" si="1"/>
        <v>22</v>
      </c>
      <c r="AJ39" s="4">
        <f t="shared" si="2"/>
        <v>1</v>
      </c>
    </row>
    <row r="40" spans="1:36" x14ac:dyDescent="0.25">
      <c r="A40" s="7">
        <v>19</v>
      </c>
      <c r="B40" s="20" t="s">
        <v>635</v>
      </c>
      <c r="C40" s="20" t="s">
        <v>422</v>
      </c>
      <c r="D40" s="6" t="s">
        <v>592</v>
      </c>
      <c r="E40" s="52"/>
      <c r="F40" s="19" t="s">
        <v>20</v>
      </c>
      <c r="G40" s="19" t="s">
        <v>20</v>
      </c>
      <c r="H40" s="19" t="s">
        <v>20</v>
      </c>
      <c r="I40" s="19" t="s">
        <v>20</v>
      </c>
      <c r="J40" s="55"/>
      <c r="K40" s="19" t="s">
        <v>20</v>
      </c>
      <c r="L40" s="52"/>
      <c r="M40" s="19" t="s">
        <v>20</v>
      </c>
      <c r="N40" s="19" t="s">
        <v>20</v>
      </c>
      <c r="O40" s="19" t="s">
        <v>20</v>
      </c>
      <c r="P40" s="19" t="s">
        <v>20</v>
      </c>
      <c r="Q40" s="19" t="s">
        <v>20</v>
      </c>
      <c r="R40" s="19" t="s">
        <v>20</v>
      </c>
      <c r="S40" s="52"/>
      <c r="T40" s="19" t="s">
        <v>20</v>
      </c>
      <c r="U40" s="55"/>
      <c r="V40" s="19" t="s">
        <v>20</v>
      </c>
      <c r="W40" s="19" t="s">
        <v>20</v>
      </c>
      <c r="X40" s="19" t="s">
        <v>20</v>
      </c>
      <c r="Y40" s="19" t="s">
        <v>20</v>
      </c>
      <c r="Z40" s="52"/>
      <c r="AA40" s="19" t="s">
        <v>20</v>
      </c>
      <c r="AB40" s="19" t="s">
        <v>20</v>
      </c>
      <c r="AC40" s="19" t="s">
        <v>20</v>
      </c>
      <c r="AD40" s="19" t="s">
        <v>20</v>
      </c>
      <c r="AE40" s="19" t="s">
        <v>20</v>
      </c>
      <c r="AF40" s="19" t="s">
        <v>20</v>
      </c>
      <c r="AG40" s="52"/>
      <c r="AH40" s="19" t="s">
        <v>20</v>
      </c>
      <c r="AI40" s="4">
        <f t="shared" si="1"/>
        <v>23</v>
      </c>
      <c r="AJ40" s="4">
        <f t="shared" si="2"/>
        <v>0</v>
      </c>
    </row>
    <row r="41" spans="1:36" x14ac:dyDescent="0.25">
      <c r="A41" s="5">
        <v>20</v>
      </c>
      <c r="B41" s="20" t="s">
        <v>636</v>
      </c>
      <c r="C41" s="20" t="s">
        <v>637</v>
      </c>
      <c r="D41" s="6" t="s">
        <v>592</v>
      </c>
      <c r="E41" s="52"/>
      <c r="F41" s="19" t="s">
        <v>20</v>
      </c>
      <c r="G41" s="19" t="s">
        <v>20</v>
      </c>
      <c r="H41" s="19" t="s">
        <v>20</v>
      </c>
      <c r="I41" s="19" t="s">
        <v>20</v>
      </c>
      <c r="J41" s="55"/>
      <c r="K41" s="19" t="s">
        <v>20</v>
      </c>
      <c r="L41" s="52"/>
      <c r="M41" s="19" t="s">
        <v>20</v>
      </c>
      <c r="N41" s="19" t="s">
        <v>20</v>
      </c>
      <c r="O41" s="19" t="s">
        <v>20</v>
      </c>
      <c r="P41" s="19" t="s">
        <v>20</v>
      </c>
      <c r="Q41" s="19" t="s">
        <v>20</v>
      </c>
      <c r="R41" s="19" t="s">
        <v>20</v>
      </c>
      <c r="S41" s="52"/>
      <c r="T41" s="19" t="s">
        <v>20</v>
      </c>
      <c r="U41" s="55"/>
      <c r="V41" s="19" t="s">
        <v>20</v>
      </c>
      <c r="W41" s="19" t="s">
        <v>20</v>
      </c>
      <c r="X41" s="19" t="s">
        <v>20</v>
      </c>
      <c r="Y41" s="19" t="s">
        <v>20</v>
      </c>
      <c r="Z41" s="52"/>
      <c r="AA41" s="19" t="s">
        <v>20</v>
      </c>
      <c r="AB41" s="19" t="s">
        <v>20</v>
      </c>
      <c r="AC41" s="19" t="s">
        <v>20</v>
      </c>
      <c r="AD41" s="19" t="s">
        <v>20</v>
      </c>
      <c r="AE41" s="19" t="s">
        <v>20</v>
      </c>
      <c r="AF41" s="19" t="s">
        <v>20</v>
      </c>
      <c r="AG41" s="52"/>
      <c r="AH41" s="19" t="s">
        <v>20</v>
      </c>
      <c r="AI41" s="4">
        <f t="shared" si="1"/>
        <v>23</v>
      </c>
      <c r="AJ41" s="4">
        <f t="shared" si="2"/>
        <v>0</v>
      </c>
    </row>
    <row r="42" spans="1:36" x14ac:dyDescent="0.25">
      <c r="A42" s="7">
        <v>21</v>
      </c>
      <c r="B42" s="20" t="s">
        <v>638</v>
      </c>
      <c r="C42" s="20" t="s">
        <v>257</v>
      </c>
      <c r="D42" s="6" t="s">
        <v>592</v>
      </c>
      <c r="E42" s="52"/>
      <c r="F42" s="19" t="s">
        <v>20</v>
      </c>
      <c r="G42" s="19" t="s">
        <v>20</v>
      </c>
      <c r="H42" s="19" t="s">
        <v>20</v>
      </c>
      <c r="I42" s="19" t="s">
        <v>20</v>
      </c>
      <c r="J42" s="55"/>
      <c r="K42" s="19" t="s">
        <v>20</v>
      </c>
      <c r="L42" s="52"/>
      <c r="M42" s="19" t="s">
        <v>20</v>
      </c>
      <c r="N42" s="19" t="s">
        <v>20</v>
      </c>
      <c r="O42" s="19" t="s">
        <v>20</v>
      </c>
      <c r="P42" s="19" t="s">
        <v>20</v>
      </c>
      <c r="Q42" s="19" t="s">
        <v>20</v>
      </c>
      <c r="R42" s="19" t="s">
        <v>20</v>
      </c>
      <c r="S42" s="52"/>
      <c r="T42" s="19" t="s">
        <v>20</v>
      </c>
      <c r="U42" s="55"/>
      <c r="V42" s="19" t="s">
        <v>20</v>
      </c>
      <c r="W42" s="19" t="s">
        <v>20</v>
      </c>
      <c r="X42" s="19" t="s">
        <v>20</v>
      </c>
      <c r="Y42" s="19" t="s">
        <v>20</v>
      </c>
      <c r="Z42" s="52"/>
      <c r="AA42" s="19" t="s">
        <v>20</v>
      </c>
      <c r="AB42" s="19" t="s">
        <v>20</v>
      </c>
      <c r="AC42" s="19" t="s">
        <v>20</v>
      </c>
      <c r="AD42" s="19" t="s">
        <v>20</v>
      </c>
      <c r="AE42" s="19" t="s">
        <v>20</v>
      </c>
      <c r="AF42" s="19" t="s">
        <v>20</v>
      </c>
      <c r="AG42" s="52"/>
      <c r="AH42" s="19" t="s">
        <v>20</v>
      </c>
      <c r="AI42" s="4">
        <f t="shared" si="1"/>
        <v>23</v>
      </c>
      <c r="AJ42" s="4">
        <f t="shared" si="2"/>
        <v>0</v>
      </c>
    </row>
    <row r="43" spans="1:36" x14ac:dyDescent="0.25">
      <c r="A43" s="5">
        <v>22</v>
      </c>
      <c r="B43" s="20" t="s">
        <v>128</v>
      </c>
      <c r="C43" s="20" t="s">
        <v>639</v>
      </c>
      <c r="D43" s="6" t="s">
        <v>592</v>
      </c>
      <c r="E43" s="52"/>
      <c r="F43" s="19" t="s">
        <v>20</v>
      </c>
      <c r="G43" s="19" t="s">
        <v>20</v>
      </c>
      <c r="H43" s="19" t="s">
        <v>20</v>
      </c>
      <c r="I43" s="19" t="s">
        <v>20</v>
      </c>
      <c r="J43" s="55"/>
      <c r="K43" s="19" t="s">
        <v>20</v>
      </c>
      <c r="L43" s="52"/>
      <c r="M43" s="19" t="s">
        <v>20</v>
      </c>
      <c r="N43" s="19" t="s">
        <v>20</v>
      </c>
      <c r="O43" s="19" t="s">
        <v>20</v>
      </c>
      <c r="P43" s="19" t="s">
        <v>20</v>
      </c>
      <c r="Q43" s="19" t="s">
        <v>20</v>
      </c>
      <c r="R43" s="19" t="s">
        <v>20</v>
      </c>
      <c r="S43" s="52"/>
      <c r="T43" s="19" t="s">
        <v>20</v>
      </c>
      <c r="U43" s="55"/>
      <c r="V43" s="19" t="s">
        <v>20</v>
      </c>
      <c r="W43" s="19" t="s">
        <v>20</v>
      </c>
      <c r="X43" s="19" t="s">
        <v>20</v>
      </c>
      <c r="Y43" s="19" t="s">
        <v>20</v>
      </c>
      <c r="Z43" s="52"/>
      <c r="AA43" s="19" t="s">
        <v>20</v>
      </c>
      <c r="AB43" s="19" t="s">
        <v>20</v>
      </c>
      <c r="AC43" s="19" t="s">
        <v>20</v>
      </c>
      <c r="AD43" s="19" t="s">
        <v>20</v>
      </c>
      <c r="AE43" s="19" t="s">
        <v>20</v>
      </c>
      <c r="AF43" s="19" t="s">
        <v>20</v>
      </c>
      <c r="AG43" s="52"/>
      <c r="AH43" s="19" t="s">
        <v>20</v>
      </c>
      <c r="AI43" s="4">
        <f t="shared" si="1"/>
        <v>23</v>
      </c>
      <c r="AJ43" s="4">
        <f t="shared" si="2"/>
        <v>0</v>
      </c>
    </row>
    <row r="44" spans="1:36" x14ac:dyDescent="0.25">
      <c r="A44" s="7">
        <v>23</v>
      </c>
      <c r="B44" s="20" t="s">
        <v>640</v>
      </c>
      <c r="C44" s="20" t="s">
        <v>641</v>
      </c>
      <c r="D44" s="6" t="s">
        <v>592</v>
      </c>
      <c r="E44" s="52"/>
      <c r="F44" s="19" t="s">
        <v>20</v>
      </c>
      <c r="G44" s="19" t="s">
        <v>20</v>
      </c>
      <c r="H44" s="19" t="s">
        <v>20</v>
      </c>
      <c r="I44" s="19" t="s">
        <v>20</v>
      </c>
      <c r="J44" s="55"/>
      <c r="K44" s="19" t="s">
        <v>20</v>
      </c>
      <c r="L44" s="52"/>
      <c r="M44" s="19" t="s">
        <v>20</v>
      </c>
      <c r="N44" s="19" t="s">
        <v>20</v>
      </c>
      <c r="O44" s="19" t="s">
        <v>20</v>
      </c>
      <c r="P44" s="19" t="s">
        <v>20</v>
      </c>
      <c r="Q44" s="19" t="s">
        <v>20</v>
      </c>
      <c r="R44" s="19" t="s">
        <v>20</v>
      </c>
      <c r="S44" s="52"/>
      <c r="T44" s="19" t="s">
        <v>21</v>
      </c>
      <c r="U44" s="55"/>
      <c r="V44" s="19" t="s">
        <v>20</v>
      </c>
      <c r="W44" s="19" t="s">
        <v>20</v>
      </c>
      <c r="X44" s="19" t="s">
        <v>20</v>
      </c>
      <c r="Y44" s="19" t="s">
        <v>20</v>
      </c>
      <c r="Z44" s="52"/>
      <c r="AA44" s="19" t="s">
        <v>20</v>
      </c>
      <c r="AB44" s="19" t="s">
        <v>20</v>
      </c>
      <c r="AC44" s="19" t="s">
        <v>20</v>
      </c>
      <c r="AD44" s="19" t="s">
        <v>20</v>
      </c>
      <c r="AE44" s="19" t="s">
        <v>20</v>
      </c>
      <c r="AF44" s="19" t="s">
        <v>20</v>
      </c>
      <c r="AG44" s="52"/>
      <c r="AH44" s="19" t="s">
        <v>20</v>
      </c>
      <c r="AI44" s="4">
        <f t="shared" si="1"/>
        <v>22</v>
      </c>
      <c r="AJ44" s="4">
        <f t="shared" si="2"/>
        <v>1</v>
      </c>
    </row>
    <row r="45" spans="1:36" x14ac:dyDescent="0.25">
      <c r="A45" s="5">
        <v>24</v>
      </c>
      <c r="B45" s="20" t="s">
        <v>642</v>
      </c>
      <c r="C45" s="20" t="s">
        <v>643</v>
      </c>
      <c r="D45" s="6" t="s">
        <v>592</v>
      </c>
      <c r="E45" s="52"/>
      <c r="F45" s="19" t="s">
        <v>20</v>
      </c>
      <c r="G45" s="19" t="s">
        <v>20</v>
      </c>
      <c r="H45" s="19" t="s">
        <v>20</v>
      </c>
      <c r="I45" s="19" t="s">
        <v>20</v>
      </c>
      <c r="J45" s="55"/>
      <c r="K45" s="19" t="s">
        <v>20</v>
      </c>
      <c r="L45" s="52"/>
      <c r="M45" s="19" t="s">
        <v>20</v>
      </c>
      <c r="N45" s="19" t="s">
        <v>20</v>
      </c>
      <c r="O45" s="19" t="s">
        <v>20</v>
      </c>
      <c r="P45" s="19" t="s">
        <v>20</v>
      </c>
      <c r="Q45" s="19" t="s">
        <v>20</v>
      </c>
      <c r="R45" s="19" t="s">
        <v>20</v>
      </c>
      <c r="S45" s="52"/>
      <c r="T45" s="19" t="s">
        <v>20</v>
      </c>
      <c r="U45" s="55"/>
      <c r="V45" s="19" t="s">
        <v>20</v>
      </c>
      <c r="W45" s="19" t="s">
        <v>20</v>
      </c>
      <c r="X45" s="19" t="s">
        <v>20</v>
      </c>
      <c r="Y45" s="19" t="s">
        <v>21</v>
      </c>
      <c r="Z45" s="52"/>
      <c r="AA45" s="19" t="s">
        <v>20</v>
      </c>
      <c r="AB45" s="19" t="s">
        <v>20</v>
      </c>
      <c r="AC45" s="19" t="s">
        <v>20</v>
      </c>
      <c r="AD45" s="19" t="s">
        <v>20</v>
      </c>
      <c r="AE45" s="19" t="s">
        <v>20</v>
      </c>
      <c r="AF45" s="19" t="s">
        <v>20</v>
      </c>
      <c r="AG45" s="52"/>
      <c r="AH45" s="19" t="s">
        <v>20</v>
      </c>
      <c r="AI45" s="4">
        <f t="shared" si="1"/>
        <v>22</v>
      </c>
      <c r="AJ45" s="4">
        <f t="shared" si="2"/>
        <v>1</v>
      </c>
    </row>
    <row r="46" spans="1:36" x14ac:dyDescent="0.25">
      <c r="A46" s="7">
        <v>25</v>
      </c>
      <c r="B46" s="20" t="s">
        <v>644</v>
      </c>
      <c r="C46" s="20" t="s">
        <v>645</v>
      </c>
      <c r="D46" s="6" t="s">
        <v>592</v>
      </c>
      <c r="E46" s="52"/>
      <c r="F46" s="19" t="s">
        <v>21</v>
      </c>
      <c r="G46" s="19" t="s">
        <v>21</v>
      </c>
      <c r="H46" s="19" t="s">
        <v>21</v>
      </c>
      <c r="I46" s="19" t="s">
        <v>21</v>
      </c>
      <c r="J46" s="55"/>
      <c r="K46" s="19" t="s">
        <v>21</v>
      </c>
      <c r="L46" s="52"/>
      <c r="M46" s="19" t="s">
        <v>21</v>
      </c>
      <c r="N46" s="19" t="s">
        <v>21</v>
      </c>
      <c r="O46" s="19" t="s">
        <v>21</v>
      </c>
      <c r="P46" s="19" t="s">
        <v>21</v>
      </c>
      <c r="Q46" s="19" t="s">
        <v>21</v>
      </c>
      <c r="R46" s="19" t="s">
        <v>21</v>
      </c>
      <c r="S46" s="52"/>
      <c r="T46" s="19" t="s">
        <v>21</v>
      </c>
      <c r="U46" s="55"/>
      <c r="V46" s="19" t="s">
        <v>21</v>
      </c>
      <c r="W46" s="19" t="s">
        <v>21</v>
      </c>
      <c r="X46" s="19" t="s">
        <v>21</v>
      </c>
      <c r="Y46" s="19" t="s">
        <v>21</v>
      </c>
      <c r="Z46" s="52"/>
      <c r="AA46" s="19" t="s">
        <v>21</v>
      </c>
      <c r="AB46" s="19" t="s">
        <v>21</v>
      </c>
      <c r="AC46" s="19" t="s">
        <v>21</v>
      </c>
      <c r="AD46" s="19" t="s">
        <v>21</v>
      </c>
      <c r="AE46" s="19" t="s">
        <v>21</v>
      </c>
      <c r="AF46" s="19" t="s">
        <v>21</v>
      </c>
      <c r="AG46" s="52"/>
      <c r="AH46" s="19" t="s">
        <v>21</v>
      </c>
      <c r="AI46" s="4">
        <f t="shared" si="1"/>
        <v>0</v>
      </c>
      <c r="AJ46" s="4">
        <f t="shared" si="2"/>
        <v>23</v>
      </c>
    </row>
    <row r="47" spans="1:36" x14ac:dyDescent="0.25">
      <c r="A47" s="5">
        <v>26</v>
      </c>
      <c r="B47" s="20" t="s">
        <v>646</v>
      </c>
      <c r="C47" s="20" t="s">
        <v>647</v>
      </c>
      <c r="D47" s="6" t="s">
        <v>592</v>
      </c>
      <c r="E47" s="52"/>
      <c r="F47" s="19" t="s">
        <v>21</v>
      </c>
      <c r="G47" s="19" t="s">
        <v>20</v>
      </c>
      <c r="H47" s="19" t="s">
        <v>20</v>
      </c>
      <c r="I47" s="19" t="s">
        <v>20</v>
      </c>
      <c r="J47" s="55"/>
      <c r="K47" s="19" t="s">
        <v>20</v>
      </c>
      <c r="L47" s="52"/>
      <c r="M47" s="19" t="s">
        <v>20</v>
      </c>
      <c r="N47" s="19" t="s">
        <v>20</v>
      </c>
      <c r="O47" s="19" t="s">
        <v>20</v>
      </c>
      <c r="P47" s="19" t="s">
        <v>20</v>
      </c>
      <c r="Q47" s="19" t="s">
        <v>20</v>
      </c>
      <c r="R47" s="19" t="s">
        <v>20</v>
      </c>
      <c r="S47" s="52"/>
      <c r="T47" s="19" t="s">
        <v>20</v>
      </c>
      <c r="U47" s="55"/>
      <c r="V47" s="19" t="s">
        <v>20</v>
      </c>
      <c r="W47" s="19" t="s">
        <v>20</v>
      </c>
      <c r="X47" s="19" t="s">
        <v>20</v>
      </c>
      <c r="Y47" s="19" t="s">
        <v>20</v>
      </c>
      <c r="Z47" s="52"/>
      <c r="AA47" s="19" t="s">
        <v>20</v>
      </c>
      <c r="AB47" s="19" t="s">
        <v>20</v>
      </c>
      <c r="AC47" s="19" t="s">
        <v>20</v>
      </c>
      <c r="AD47" s="19" t="s">
        <v>20</v>
      </c>
      <c r="AE47" s="19" t="s">
        <v>20</v>
      </c>
      <c r="AF47" s="19" t="s">
        <v>21</v>
      </c>
      <c r="AG47" s="52"/>
      <c r="AH47" s="19" t="s">
        <v>20</v>
      </c>
      <c r="AI47" s="4">
        <f t="shared" si="1"/>
        <v>21</v>
      </c>
      <c r="AJ47" s="4">
        <f t="shared" si="2"/>
        <v>2</v>
      </c>
    </row>
    <row r="48" spans="1:36" x14ac:dyDescent="0.25">
      <c r="A48" s="7">
        <v>27</v>
      </c>
      <c r="B48" s="20" t="s">
        <v>648</v>
      </c>
      <c r="C48" s="20" t="s">
        <v>649</v>
      </c>
      <c r="D48" s="6" t="s">
        <v>592</v>
      </c>
      <c r="E48" s="52"/>
      <c r="F48" s="19" t="s">
        <v>20</v>
      </c>
      <c r="G48" s="19" t="s">
        <v>20</v>
      </c>
      <c r="H48" s="19" t="s">
        <v>20</v>
      </c>
      <c r="I48" s="19" t="s">
        <v>20</v>
      </c>
      <c r="J48" s="55"/>
      <c r="K48" s="19" t="s">
        <v>20</v>
      </c>
      <c r="L48" s="52"/>
      <c r="M48" s="19" t="s">
        <v>20</v>
      </c>
      <c r="N48" s="19" t="s">
        <v>20</v>
      </c>
      <c r="O48" s="19" t="s">
        <v>20</v>
      </c>
      <c r="P48" s="19" t="s">
        <v>20</v>
      </c>
      <c r="Q48" s="19" t="s">
        <v>20</v>
      </c>
      <c r="R48" s="19" t="s">
        <v>20</v>
      </c>
      <c r="S48" s="52"/>
      <c r="T48" s="19" t="s">
        <v>20</v>
      </c>
      <c r="U48" s="55"/>
      <c r="V48" s="19" t="s">
        <v>20</v>
      </c>
      <c r="W48" s="19" t="s">
        <v>20</v>
      </c>
      <c r="X48" s="19" t="s">
        <v>20</v>
      </c>
      <c r="Y48" s="19" t="s">
        <v>20</v>
      </c>
      <c r="Z48" s="52"/>
      <c r="AA48" s="19" t="s">
        <v>20</v>
      </c>
      <c r="AB48" s="19" t="s">
        <v>20</v>
      </c>
      <c r="AC48" s="19" t="s">
        <v>20</v>
      </c>
      <c r="AD48" s="19" t="s">
        <v>20</v>
      </c>
      <c r="AE48" s="19" t="s">
        <v>20</v>
      </c>
      <c r="AF48" s="19" t="s">
        <v>21</v>
      </c>
      <c r="AG48" s="52"/>
      <c r="AH48" s="19" t="s">
        <v>20</v>
      </c>
      <c r="AI48" s="4">
        <f t="shared" si="1"/>
        <v>22</v>
      </c>
      <c r="AJ48" s="4">
        <f t="shared" si="2"/>
        <v>1</v>
      </c>
    </row>
    <row r="49" spans="1:36" x14ac:dyDescent="0.25">
      <c r="A49" s="5">
        <v>28</v>
      </c>
      <c r="B49" s="20" t="s">
        <v>650</v>
      </c>
      <c r="C49" s="20" t="s">
        <v>651</v>
      </c>
      <c r="D49" s="6" t="s">
        <v>592</v>
      </c>
      <c r="E49" s="53"/>
      <c r="F49" s="19" t="s">
        <v>20</v>
      </c>
      <c r="G49" s="19" t="s">
        <v>20</v>
      </c>
      <c r="H49" s="19" t="s">
        <v>20</v>
      </c>
      <c r="I49" s="19" t="s">
        <v>20</v>
      </c>
      <c r="J49" s="56"/>
      <c r="K49" s="19" t="s">
        <v>20</v>
      </c>
      <c r="L49" s="53"/>
      <c r="M49" s="19" t="s">
        <v>20</v>
      </c>
      <c r="N49" s="19" t="s">
        <v>20</v>
      </c>
      <c r="O49" s="19" t="s">
        <v>20</v>
      </c>
      <c r="P49" s="19" t="s">
        <v>20</v>
      </c>
      <c r="Q49" s="19" t="s">
        <v>20</v>
      </c>
      <c r="R49" s="19" t="s">
        <v>20</v>
      </c>
      <c r="S49" s="53"/>
      <c r="T49" s="19" t="s">
        <v>20</v>
      </c>
      <c r="U49" s="56"/>
      <c r="V49" s="19" t="s">
        <v>20</v>
      </c>
      <c r="W49" s="19" t="s">
        <v>20</v>
      </c>
      <c r="X49" s="19" t="s">
        <v>20</v>
      </c>
      <c r="Y49" s="19" t="s">
        <v>20</v>
      </c>
      <c r="Z49" s="53"/>
      <c r="AA49" s="19" t="s">
        <v>20</v>
      </c>
      <c r="AB49" s="19" t="s">
        <v>20</v>
      </c>
      <c r="AC49" s="19" t="s">
        <v>21</v>
      </c>
      <c r="AD49" s="19" t="s">
        <v>20</v>
      </c>
      <c r="AE49" s="19" t="s">
        <v>20</v>
      </c>
      <c r="AF49" s="19" t="s">
        <v>20</v>
      </c>
      <c r="AG49" s="53"/>
      <c r="AH49" s="19" t="s">
        <v>20</v>
      </c>
      <c r="AI49" s="4">
        <f t="shared" si="1"/>
        <v>22</v>
      </c>
      <c r="AJ49" s="4">
        <f t="shared" si="2"/>
        <v>1</v>
      </c>
    </row>
  </sheetData>
  <mergeCells count="17">
    <mergeCell ref="A1:AJ1"/>
    <mergeCell ref="A2:AJ2"/>
    <mergeCell ref="A3:A4"/>
    <mergeCell ref="B3:B4"/>
    <mergeCell ref="C3:C4"/>
    <mergeCell ref="D3:D4"/>
    <mergeCell ref="AI3:AI4"/>
    <mergeCell ref="AJ3:AJ4"/>
    <mergeCell ref="AK10:AN10"/>
    <mergeCell ref="AK3:AL3"/>
    <mergeCell ref="E5:E49"/>
    <mergeCell ref="J5:J49"/>
    <mergeCell ref="L5:L49"/>
    <mergeCell ref="S5:S49"/>
    <mergeCell ref="U5:U49"/>
    <mergeCell ref="Z5:Z49"/>
    <mergeCell ref="AG5:AG49"/>
  </mergeCells>
  <conditionalFormatting sqref="E5:L5 S5 U5 Z5 AG5 M5:R49 T5:T49 V5:Y49 AA5:AF49 AH5:AH49 F6:I49 K6:K49 E4:AH4">
    <cfRule type="expression" dxfId="141" priority="18">
      <formula>IF(E$4=TODAY(),TRUE,FALSE)</formula>
    </cfRule>
  </conditionalFormatting>
  <conditionalFormatting sqref="E5:L5 S5 U5 Z5 AG5 M5:R49 T5:T49 V5:Y49 AA5:AF49 AH5:AH49 F6:I49 K6:K49">
    <cfRule type="cellIs" dxfId="140" priority="15" operator="equal">
      <formula>"L"</formula>
    </cfRule>
    <cfRule type="cellIs" dxfId="139" priority="16" operator="equal">
      <formula>"A"</formula>
    </cfRule>
    <cfRule type="cellIs" dxfId="138" priority="17" operator="equal">
      <formula>"P"</formula>
    </cfRule>
  </conditionalFormatting>
  <conditionalFormatting sqref="E3:AH4 E5:L5 S5 U5 Z5 AG5 M5:R49 T5:T49 V5:Y49 AA5:AF49 AH5:AH49 F6:I49 K6:K49">
    <cfRule type="expression" dxfId="137" priority="19">
      <formula>E$3="Sun"</formula>
    </cfRule>
  </conditionalFormatting>
  <conditionalFormatting sqref="AI3:AJ3 AI5:AJ49">
    <cfRule type="expression" dxfId="136" priority="20">
      <formula>#REF!="Sun"</formula>
    </cfRule>
  </conditionalFormatting>
  <conditionalFormatting sqref="AK5:AK8">
    <cfRule type="expression" dxfId="135" priority="5">
      <formula>AK$3="Sun"</formula>
    </cfRule>
  </conditionalFormatting>
  <conditionalFormatting sqref="AK11:AK14">
    <cfRule type="expression" dxfId="134" priority="2">
      <formula>AK$3="Sun"</formula>
    </cfRule>
  </conditionalFormatting>
  <conditionalFormatting sqref="AK19:AK22">
    <cfRule type="expression" dxfId="133" priority="1">
      <formula>AK$3="Sun"</formula>
    </cfRule>
  </conditionalFormatting>
  <conditionalFormatting sqref="AK4:AL4">
    <cfRule type="expression" dxfId="132" priority="6">
      <formula>AK$3="Sun"</formula>
    </cfRule>
  </conditionalFormatting>
  <conditionalFormatting sqref="AL11:AN11 AL19:AN19">
    <cfRule type="expression" dxfId="131" priority="7">
      <formula>AL$3="Sun"</formula>
    </cfRule>
  </conditionalFormatting>
  <conditionalFormatting sqref="AN20">
    <cfRule type="expression" dxfId="130" priority="4">
      <formula>AN$3="Sun"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FE31C-A329-4FC2-9610-DC83AD632CD9}">
  <dimension ref="A1:AM51"/>
  <sheetViews>
    <sheetView topLeftCell="D1" workbookViewId="0">
      <selection activeCell="AK13" sqref="AK13"/>
    </sheetView>
  </sheetViews>
  <sheetFormatPr defaultColWidth="3.85546875" defaultRowHeight="15" x14ac:dyDescent="0.25"/>
  <cols>
    <col min="1" max="1" width="5.140625" style="1" bestFit="1" customWidth="1"/>
    <col min="2" max="2" width="19.28515625" style="1" bestFit="1" customWidth="1"/>
    <col min="3" max="3" width="5" style="1" bestFit="1" customWidth="1"/>
    <col min="4" max="4" width="3.85546875" style="1" bestFit="1"/>
    <col min="5" max="6" width="3.7109375" style="1" bestFit="1" customWidth="1"/>
    <col min="7" max="7" width="3.85546875" style="1" bestFit="1"/>
    <col min="8" max="8" width="4.5703125" style="1" bestFit="1" customWidth="1"/>
    <col min="9" max="20" width="4.5703125" style="1" customWidth="1"/>
    <col min="21" max="21" width="3.85546875" style="1" bestFit="1"/>
    <col min="22" max="22" width="4.7109375" style="1" bestFit="1" customWidth="1"/>
    <col min="23" max="23" width="3.85546875" style="1" bestFit="1"/>
    <col min="24" max="25" width="3.7109375" style="1" bestFit="1" customWidth="1"/>
    <col min="26" max="26" width="3.85546875" style="1" bestFit="1"/>
    <col min="27" max="27" width="4.5703125" style="1" bestFit="1" customWidth="1"/>
    <col min="28" max="28" width="3.85546875" style="1" bestFit="1"/>
    <col min="29" max="29" width="4.7109375" style="1" bestFit="1" customWidth="1"/>
    <col min="30" max="30" width="3.85546875" style="1" bestFit="1"/>
    <col min="31" max="31" width="3.7109375" style="1" bestFit="1" customWidth="1"/>
    <col min="32" max="33" width="3.7109375" style="1" customWidth="1"/>
    <col min="34" max="34" width="6.5703125" style="1" bestFit="1" customWidth="1"/>
    <col min="35" max="35" width="6.140625" style="1" bestFit="1" customWidth="1"/>
    <col min="36" max="36" width="18.5703125" style="1" bestFit="1" customWidth="1"/>
    <col min="37" max="37" width="5.85546875" style="1" bestFit="1" customWidth="1"/>
    <col min="38" max="38" width="14.28515625" style="1" bestFit="1" customWidth="1"/>
    <col min="39" max="39" width="6.7109375" style="1" bestFit="1" customWidth="1"/>
    <col min="40" max="16384" width="3.85546875" style="1"/>
  </cols>
  <sheetData>
    <row r="1" spans="1:39" ht="17.25" x14ac:dyDescent="0.25">
      <c r="A1" s="47" t="s">
        <v>19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</row>
    <row r="2" spans="1:39" ht="17.25" x14ac:dyDescent="0.3">
      <c r="A2" s="48" t="s">
        <v>785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</row>
    <row r="3" spans="1:39" ht="15.75" x14ac:dyDescent="0.25">
      <c r="A3" s="49" t="s">
        <v>0</v>
      </c>
      <c r="B3" s="49" t="s">
        <v>1</v>
      </c>
      <c r="C3" s="49" t="s">
        <v>3</v>
      </c>
      <c r="D3" s="2" t="str">
        <f t="shared" ref="D3:AG3" si="0">TEXT(D4,"ddd")</f>
        <v>Sun</v>
      </c>
      <c r="E3" s="2" t="str">
        <f t="shared" si="0"/>
        <v>Mon</v>
      </c>
      <c r="F3" s="2" t="str">
        <f t="shared" si="0"/>
        <v>Tue</v>
      </c>
      <c r="G3" s="2" t="str">
        <f t="shared" si="0"/>
        <v>Wed</v>
      </c>
      <c r="H3" s="2" t="str">
        <f t="shared" si="0"/>
        <v>Thu</v>
      </c>
      <c r="I3" s="2" t="str">
        <f t="shared" si="0"/>
        <v>Fri</v>
      </c>
      <c r="J3" s="2" t="str">
        <f t="shared" si="0"/>
        <v>Sat</v>
      </c>
      <c r="K3" s="2" t="str">
        <f t="shared" si="0"/>
        <v>Sun</v>
      </c>
      <c r="L3" s="2" t="str">
        <f t="shared" si="0"/>
        <v>Mon</v>
      </c>
      <c r="M3" s="2" t="str">
        <f t="shared" si="0"/>
        <v>Tue</v>
      </c>
      <c r="N3" s="2" t="str">
        <f t="shared" si="0"/>
        <v>Wed</v>
      </c>
      <c r="O3" s="2" t="str">
        <f t="shared" si="0"/>
        <v>Thu</v>
      </c>
      <c r="P3" s="2" t="str">
        <f t="shared" si="0"/>
        <v>Fri</v>
      </c>
      <c r="Q3" s="2" t="str">
        <f t="shared" si="0"/>
        <v>Sat</v>
      </c>
      <c r="R3" s="2" t="str">
        <f t="shared" si="0"/>
        <v>Sun</v>
      </c>
      <c r="S3" s="2" t="str">
        <f t="shared" si="0"/>
        <v>Mon</v>
      </c>
      <c r="T3" s="2" t="str">
        <f t="shared" si="0"/>
        <v>Tue</v>
      </c>
      <c r="U3" s="2" t="str">
        <f t="shared" si="0"/>
        <v>Wed</v>
      </c>
      <c r="V3" s="2" t="str">
        <f t="shared" si="0"/>
        <v>Thu</v>
      </c>
      <c r="W3" s="2" t="str">
        <f t="shared" si="0"/>
        <v>Fri</v>
      </c>
      <c r="X3" s="2" t="str">
        <f t="shared" si="0"/>
        <v>Sat</v>
      </c>
      <c r="Y3" s="2" t="str">
        <f t="shared" si="0"/>
        <v>Sun</v>
      </c>
      <c r="Z3" s="2" t="str">
        <f t="shared" si="0"/>
        <v>Mon</v>
      </c>
      <c r="AA3" s="2" t="str">
        <f t="shared" si="0"/>
        <v>Tue</v>
      </c>
      <c r="AB3" s="2" t="str">
        <f t="shared" si="0"/>
        <v>Wed</v>
      </c>
      <c r="AC3" s="2" t="str">
        <f t="shared" si="0"/>
        <v>Thu</v>
      </c>
      <c r="AD3" s="2" t="str">
        <f t="shared" si="0"/>
        <v>Fri</v>
      </c>
      <c r="AE3" s="2" t="str">
        <f t="shared" si="0"/>
        <v>Sat</v>
      </c>
      <c r="AF3" s="2" t="str">
        <f t="shared" si="0"/>
        <v>Sun</v>
      </c>
      <c r="AG3" s="2" t="str">
        <f t="shared" si="0"/>
        <v>Mon</v>
      </c>
      <c r="AH3" s="45" t="s">
        <v>4</v>
      </c>
      <c r="AI3" s="45" t="s">
        <v>5</v>
      </c>
      <c r="AJ3" s="42" t="s">
        <v>17</v>
      </c>
      <c r="AK3" s="43"/>
      <c r="AL3" s="3"/>
      <c r="AM3" s="3"/>
    </row>
    <row r="4" spans="1:39" ht="36" x14ac:dyDescent="0.25">
      <c r="A4" s="50"/>
      <c r="B4" s="50"/>
      <c r="C4" s="50"/>
      <c r="D4" s="10">
        <v>45536</v>
      </c>
      <c r="E4" s="10">
        <v>45537</v>
      </c>
      <c r="F4" s="10">
        <v>45538</v>
      </c>
      <c r="G4" s="10">
        <v>45539</v>
      </c>
      <c r="H4" s="10">
        <v>45540</v>
      </c>
      <c r="I4" s="10">
        <v>45541</v>
      </c>
      <c r="J4" s="10">
        <v>45542</v>
      </c>
      <c r="K4" s="10">
        <v>45543</v>
      </c>
      <c r="L4" s="10">
        <v>45544</v>
      </c>
      <c r="M4" s="10">
        <v>45545</v>
      </c>
      <c r="N4" s="10">
        <v>45546</v>
      </c>
      <c r="O4" s="10">
        <v>45547</v>
      </c>
      <c r="P4" s="10">
        <v>45548</v>
      </c>
      <c r="Q4" s="10">
        <v>45549</v>
      </c>
      <c r="R4" s="10">
        <v>45550</v>
      </c>
      <c r="S4" s="10">
        <v>45551</v>
      </c>
      <c r="T4" s="10">
        <v>45552</v>
      </c>
      <c r="U4" s="10">
        <v>45553</v>
      </c>
      <c r="V4" s="10">
        <v>45554</v>
      </c>
      <c r="W4" s="10">
        <v>45555</v>
      </c>
      <c r="X4" s="10">
        <v>45556</v>
      </c>
      <c r="Y4" s="10">
        <v>45557</v>
      </c>
      <c r="Z4" s="10">
        <v>45558</v>
      </c>
      <c r="AA4" s="10">
        <v>45559</v>
      </c>
      <c r="AB4" s="10">
        <v>45560</v>
      </c>
      <c r="AC4" s="10">
        <v>45561</v>
      </c>
      <c r="AD4" s="10">
        <v>45562</v>
      </c>
      <c r="AE4" s="10">
        <v>45563</v>
      </c>
      <c r="AF4" s="10">
        <v>45564</v>
      </c>
      <c r="AG4" s="10">
        <v>45565</v>
      </c>
      <c r="AH4" s="45"/>
      <c r="AI4" s="45"/>
      <c r="AJ4" s="4" t="s">
        <v>103</v>
      </c>
      <c r="AK4" s="4">
        <f>SUM(AK5:AK8)</f>
        <v>30</v>
      </c>
      <c r="AL4" s="3"/>
      <c r="AM4" s="3"/>
    </row>
    <row r="5" spans="1:39" ht="15" customHeight="1" x14ac:dyDescent="0.25">
      <c r="A5" s="5">
        <v>1</v>
      </c>
      <c r="B5" s="13" t="s">
        <v>786</v>
      </c>
      <c r="C5" s="6" t="s">
        <v>787</v>
      </c>
      <c r="D5" s="51" t="s">
        <v>109</v>
      </c>
      <c r="E5" s="19" t="s">
        <v>20</v>
      </c>
      <c r="F5" s="19" t="s">
        <v>20</v>
      </c>
      <c r="G5" s="19" t="s">
        <v>20</v>
      </c>
      <c r="H5" s="19" t="s">
        <v>21</v>
      </c>
      <c r="I5" s="54" t="s">
        <v>782</v>
      </c>
      <c r="J5" s="19" t="s">
        <v>21</v>
      </c>
      <c r="K5" s="51" t="s">
        <v>109</v>
      </c>
      <c r="L5" s="19" t="s">
        <v>20</v>
      </c>
      <c r="M5" s="19" t="s">
        <v>20</v>
      </c>
      <c r="N5" s="19" t="s">
        <v>20</v>
      </c>
      <c r="O5" s="19" t="s">
        <v>20</v>
      </c>
      <c r="P5" s="19" t="s">
        <v>20</v>
      </c>
      <c r="Q5" s="19" t="s">
        <v>20</v>
      </c>
      <c r="R5" s="51" t="s">
        <v>109</v>
      </c>
      <c r="S5" s="19" t="s">
        <v>20</v>
      </c>
      <c r="T5" s="54" t="s">
        <v>101</v>
      </c>
      <c r="U5" s="19" t="s">
        <v>20</v>
      </c>
      <c r="V5" s="19" t="s">
        <v>20</v>
      </c>
      <c r="W5" s="19" t="s">
        <v>20</v>
      </c>
      <c r="X5" s="19" t="s">
        <v>21</v>
      </c>
      <c r="Y5" s="51" t="s">
        <v>109</v>
      </c>
      <c r="Z5" s="19" t="s">
        <v>20</v>
      </c>
      <c r="AA5" s="19" t="s">
        <v>20</v>
      </c>
      <c r="AB5" s="19" t="s">
        <v>21</v>
      </c>
      <c r="AC5" s="19" t="s">
        <v>20</v>
      </c>
      <c r="AD5" s="19" t="s">
        <v>20</v>
      </c>
      <c r="AE5" s="19" t="s">
        <v>21</v>
      </c>
      <c r="AF5" s="51" t="s">
        <v>109</v>
      </c>
      <c r="AG5" s="19" t="s">
        <v>20</v>
      </c>
      <c r="AH5" s="4">
        <f>COUNTIF(D5:AG5,"P")</f>
        <v>18</v>
      </c>
      <c r="AI5" s="4">
        <f>COUNTIF(D5:AH5,"A")</f>
        <v>5</v>
      </c>
      <c r="AJ5" s="4" t="s">
        <v>6</v>
      </c>
      <c r="AK5" s="7">
        <v>23</v>
      </c>
      <c r="AL5" s="8"/>
      <c r="AM5" s="3"/>
    </row>
    <row r="6" spans="1:39" x14ac:dyDescent="0.25">
      <c r="A6" s="7">
        <v>2</v>
      </c>
      <c r="B6" s="13" t="s">
        <v>788</v>
      </c>
      <c r="C6" s="6" t="s">
        <v>787</v>
      </c>
      <c r="D6" s="52"/>
      <c r="E6" s="19" t="s">
        <v>20</v>
      </c>
      <c r="F6" s="19" t="s">
        <v>20</v>
      </c>
      <c r="G6" s="19" t="s">
        <v>21</v>
      </c>
      <c r="H6" s="19" t="s">
        <v>21</v>
      </c>
      <c r="I6" s="55"/>
      <c r="J6" s="19" t="s">
        <v>20</v>
      </c>
      <c r="K6" s="52"/>
      <c r="L6" s="19" t="s">
        <v>20</v>
      </c>
      <c r="M6" s="19" t="s">
        <v>21</v>
      </c>
      <c r="N6" s="19" t="s">
        <v>20</v>
      </c>
      <c r="O6" s="19" t="s">
        <v>20</v>
      </c>
      <c r="P6" s="19" t="s">
        <v>20</v>
      </c>
      <c r="Q6" s="19" t="s">
        <v>20</v>
      </c>
      <c r="R6" s="52"/>
      <c r="S6" s="19" t="s">
        <v>20</v>
      </c>
      <c r="T6" s="55"/>
      <c r="U6" s="19" t="s">
        <v>20</v>
      </c>
      <c r="V6" s="19" t="s">
        <v>20</v>
      </c>
      <c r="W6" s="19" t="s">
        <v>21</v>
      </c>
      <c r="X6" s="19" t="s">
        <v>21</v>
      </c>
      <c r="Y6" s="52"/>
      <c r="Z6" s="19" t="s">
        <v>20</v>
      </c>
      <c r="AA6" s="19" t="s">
        <v>20</v>
      </c>
      <c r="AB6" s="19" t="s">
        <v>20</v>
      </c>
      <c r="AC6" s="19" t="s">
        <v>21</v>
      </c>
      <c r="AD6" s="19" t="s">
        <v>20</v>
      </c>
      <c r="AE6" s="19" t="s">
        <v>21</v>
      </c>
      <c r="AF6" s="52"/>
      <c r="AG6" s="19" t="s">
        <v>20</v>
      </c>
      <c r="AH6" s="4">
        <f t="shared" ref="AH6:AH51" si="1">COUNTIF(D6:AG6,"P")</f>
        <v>16</v>
      </c>
      <c r="AI6" s="4">
        <f t="shared" ref="AI6:AI51" si="2">COUNTIF(D6:AH6,"A")</f>
        <v>7</v>
      </c>
      <c r="AJ6" s="4" t="s">
        <v>7</v>
      </c>
      <c r="AK6" s="7">
        <v>5</v>
      </c>
      <c r="AL6" s="3"/>
      <c r="AM6" s="3"/>
    </row>
    <row r="7" spans="1:39" x14ac:dyDescent="0.25">
      <c r="A7" s="5">
        <v>3</v>
      </c>
      <c r="B7" s="13" t="s">
        <v>789</v>
      </c>
      <c r="C7" s="6" t="s">
        <v>787</v>
      </c>
      <c r="D7" s="52"/>
      <c r="E7" s="19" t="s">
        <v>20</v>
      </c>
      <c r="F7" s="19" t="s">
        <v>20</v>
      </c>
      <c r="G7" s="19" t="s">
        <v>20</v>
      </c>
      <c r="H7" s="19" t="s">
        <v>20</v>
      </c>
      <c r="I7" s="55"/>
      <c r="J7" s="19" t="s">
        <v>21</v>
      </c>
      <c r="K7" s="52"/>
      <c r="L7" s="19" t="s">
        <v>20</v>
      </c>
      <c r="M7" s="19" t="s">
        <v>20</v>
      </c>
      <c r="N7" s="19" t="s">
        <v>21</v>
      </c>
      <c r="O7" s="19" t="s">
        <v>20</v>
      </c>
      <c r="P7" s="19" t="s">
        <v>20</v>
      </c>
      <c r="Q7" s="19" t="s">
        <v>20</v>
      </c>
      <c r="R7" s="52"/>
      <c r="S7" s="19" t="s">
        <v>20</v>
      </c>
      <c r="T7" s="55"/>
      <c r="U7" s="19" t="s">
        <v>20</v>
      </c>
      <c r="V7" s="19" t="s">
        <v>20</v>
      </c>
      <c r="W7" s="19" t="s">
        <v>21</v>
      </c>
      <c r="X7" s="19" t="s">
        <v>21</v>
      </c>
      <c r="Y7" s="52"/>
      <c r="Z7" s="19" t="s">
        <v>20</v>
      </c>
      <c r="AA7" s="19" t="s">
        <v>20</v>
      </c>
      <c r="AB7" s="19" t="s">
        <v>21</v>
      </c>
      <c r="AC7" s="19" t="s">
        <v>20</v>
      </c>
      <c r="AD7" s="19" t="s">
        <v>20</v>
      </c>
      <c r="AE7" s="19" t="s">
        <v>20</v>
      </c>
      <c r="AF7" s="52"/>
      <c r="AG7" s="19" t="s">
        <v>20</v>
      </c>
      <c r="AH7" s="4">
        <f t="shared" si="1"/>
        <v>18</v>
      </c>
      <c r="AI7" s="4">
        <f t="shared" si="2"/>
        <v>5</v>
      </c>
      <c r="AJ7" s="4" t="s">
        <v>784</v>
      </c>
      <c r="AK7" s="7">
        <v>1</v>
      </c>
      <c r="AL7" s="3"/>
      <c r="AM7" s="3"/>
    </row>
    <row r="8" spans="1:39" x14ac:dyDescent="0.25">
      <c r="A8" s="7">
        <v>4</v>
      </c>
      <c r="B8" s="13" t="s">
        <v>790</v>
      </c>
      <c r="C8" s="6" t="s">
        <v>787</v>
      </c>
      <c r="D8" s="52"/>
      <c r="E8" s="19" t="s">
        <v>20</v>
      </c>
      <c r="F8" s="19" t="s">
        <v>20</v>
      </c>
      <c r="G8" s="19" t="s">
        <v>20</v>
      </c>
      <c r="H8" s="19" t="s">
        <v>20</v>
      </c>
      <c r="I8" s="55"/>
      <c r="J8" s="19" t="s">
        <v>20</v>
      </c>
      <c r="K8" s="52"/>
      <c r="L8" s="19" t="s">
        <v>20</v>
      </c>
      <c r="M8" s="19" t="s">
        <v>20</v>
      </c>
      <c r="N8" s="19" t="s">
        <v>20</v>
      </c>
      <c r="O8" s="19" t="s">
        <v>21</v>
      </c>
      <c r="P8" s="19" t="s">
        <v>21</v>
      </c>
      <c r="Q8" s="19" t="s">
        <v>20</v>
      </c>
      <c r="R8" s="52"/>
      <c r="S8" s="19" t="s">
        <v>20</v>
      </c>
      <c r="T8" s="55"/>
      <c r="U8" s="19" t="s">
        <v>20</v>
      </c>
      <c r="V8" s="19" t="s">
        <v>20</v>
      </c>
      <c r="W8" s="19" t="s">
        <v>20</v>
      </c>
      <c r="X8" s="19" t="s">
        <v>20</v>
      </c>
      <c r="Y8" s="52"/>
      <c r="Z8" s="19" t="s">
        <v>20</v>
      </c>
      <c r="AA8" s="19" t="s">
        <v>21</v>
      </c>
      <c r="AB8" s="19" t="s">
        <v>21</v>
      </c>
      <c r="AC8" s="19" t="s">
        <v>20</v>
      </c>
      <c r="AD8" s="19" t="s">
        <v>21</v>
      </c>
      <c r="AE8" s="19" t="s">
        <v>21</v>
      </c>
      <c r="AF8" s="52"/>
      <c r="AG8" s="19" t="s">
        <v>21</v>
      </c>
      <c r="AH8" s="4">
        <f t="shared" si="1"/>
        <v>16</v>
      </c>
      <c r="AI8" s="4">
        <f t="shared" si="2"/>
        <v>7</v>
      </c>
      <c r="AJ8" s="4" t="s">
        <v>105</v>
      </c>
      <c r="AK8" s="7">
        <v>1</v>
      </c>
      <c r="AL8"/>
      <c r="AM8"/>
    </row>
    <row r="9" spans="1:39" x14ac:dyDescent="0.25">
      <c r="A9" s="5">
        <v>5</v>
      </c>
      <c r="B9" s="13" t="s">
        <v>791</v>
      </c>
      <c r="C9" s="6" t="s">
        <v>787</v>
      </c>
      <c r="D9" s="52"/>
      <c r="E9" s="19" t="s">
        <v>20</v>
      </c>
      <c r="F9" s="19" t="s">
        <v>20</v>
      </c>
      <c r="G9" s="19" t="s">
        <v>20</v>
      </c>
      <c r="H9" s="19" t="s">
        <v>20</v>
      </c>
      <c r="I9" s="55"/>
      <c r="J9" s="19" t="s">
        <v>20</v>
      </c>
      <c r="K9" s="52"/>
      <c r="L9" s="19" t="s">
        <v>20</v>
      </c>
      <c r="M9" s="19" t="s">
        <v>20</v>
      </c>
      <c r="N9" s="19" t="s">
        <v>20</v>
      </c>
      <c r="O9" s="19" t="s">
        <v>20</v>
      </c>
      <c r="P9" s="19" t="s">
        <v>20</v>
      </c>
      <c r="Q9" s="19" t="s">
        <v>20</v>
      </c>
      <c r="R9" s="52"/>
      <c r="S9" s="19" t="s">
        <v>20</v>
      </c>
      <c r="T9" s="55"/>
      <c r="U9" s="19" t="s">
        <v>21</v>
      </c>
      <c r="V9" s="19" t="s">
        <v>20</v>
      </c>
      <c r="W9" s="19" t="s">
        <v>21</v>
      </c>
      <c r="X9" s="19" t="s">
        <v>20</v>
      </c>
      <c r="Y9" s="52"/>
      <c r="Z9" s="19" t="s">
        <v>20</v>
      </c>
      <c r="AA9" s="19" t="s">
        <v>20</v>
      </c>
      <c r="AB9" s="19" t="s">
        <v>20</v>
      </c>
      <c r="AC9" s="19" t="s">
        <v>20</v>
      </c>
      <c r="AD9" s="19" t="s">
        <v>20</v>
      </c>
      <c r="AE9" s="19" t="s">
        <v>20</v>
      </c>
      <c r="AF9" s="52"/>
      <c r="AG9" s="19" t="s">
        <v>20</v>
      </c>
      <c r="AH9" s="4">
        <f t="shared" si="1"/>
        <v>21</v>
      </c>
      <c r="AI9" s="4">
        <f t="shared" si="2"/>
        <v>2</v>
      </c>
    </row>
    <row r="10" spans="1:39" ht="15.75" x14ac:dyDescent="0.25">
      <c r="A10" s="7">
        <v>6</v>
      </c>
      <c r="B10" s="13" t="s">
        <v>792</v>
      </c>
      <c r="C10" s="6" t="s">
        <v>787</v>
      </c>
      <c r="D10" s="52"/>
      <c r="E10" s="19" t="s">
        <v>20</v>
      </c>
      <c r="F10" s="19" t="s">
        <v>20</v>
      </c>
      <c r="G10" s="19" t="s">
        <v>20</v>
      </c>
      <c r="H10" s="19" t="s">
        <v>20</v>
      </c>
      <c r="I10" s="55"/>
      <c r="J10" s="19" t="s">
        <v>20</v>
      </c>
      <c r="K10" s="52"/>
      <c r="L10" s="19" t="s">
        <v>20</v>
      </c>
      <c r="M10" s="19" t="s">
        <v>20</v>
      </c>
      <c r="N10" s="19" t="s">
        <v>21</v>
      </c>
      <c r="O10" s="19" t="s">
        <v>21</v>
      </c>
      <c r="P10" s="19" t="s">
        <v>20</v>
      </c>
      <c r="Q10" s="19" t="s">
        <v>20</v>
      </c>
      <c r="R10" s="52"/>
      <c r="S10" s="19" t="s">
        <v>20</v>
      </c>
      <c r="T10" s="55"/>
      <c r="U10" s="19" t="s">
        <v>21</v>
      </c>
      <c r="V10" s="19" t="s">
        <v>20</v>
      </c>
      <c r="W10" s="19" t="s">
        <v>20</v>
      </c>
      <c r="X10" s="19" t="s">
        <v>20</v>
      </c>
      <c r="Y10" s="52"/>
      <c r="Z10" s="19" t="s">
        <v>21</v>
      </c>
      <c r="AA10" s="19" t="s">
        <v>21</v>
      </c>
      <c r="AB10" s="19" t="s">
        <v>21</v>
      </c>
      <c r="AC10" s="19" t="s">
        <v>21</v>
      </c>
      <c r="AD10" s="19" t="s">
        <v>20</v>
      </c>
      <c r="AE10" s="19" t="s">
        <v>20</v>
      </c>
      <c r="AF10" s="52"/>
      <c r="AG10" s="19" t="s">
        <v>21</v>
      </c>
      <c r="AH10" s="4">
        <f t="shared" si="1"/>
        <v>15</v>
      </c>
      <c r="AI10" s="4">
        <f t="shared" si="2"/>
        <v>8</v>
      </c>
      <c r="AJ10" s="42" t="s">
        <v>8</v>
      </c>
      <c r="AK10" s="43"/>
      <c r="AL10" s="43"/>
      <c r="AM10" s="44"/>
    </row>
    <row r="11" spans="1:39" x14ac:dyDescent="0.25">
      <c r="A11" s="5">
        <v>7</v>
      </c>
      <c r="B11" s="13" t="s">
        <v>219</v>
      </c>
      <c r="C11" s="6" t="s">
        <v>787</v>
      </c>
      <c r="D11" s="52"/>
      <c r="E11" s="19" t="s">
        <v>20</v>
      </c>
      <c r="F11" s="19" t="s">
        <v>20</v>
      </c>
      <c r="G11" s="19" t="s">
        <v>20</v>
      </c>
      <c r="H11" s="19" t="s">
        <v>20</v>
      </c>
      <c r="I11" s="55"/>
      <c r="J11" s="19" t="s">
        <v>20</v>
      </c>
      <c r="K11" s="52"/>
      <c r="L11" s="19" t="s">
        <v>20</v>
      </c>
      <c r="M11" s="19" t="s">
        <v>20</v>
      </c>
      <c r="N11" s="19" t="s">
        <v>20</v>
      </c>
      <c r="O11" s="19" t="s">
        <v>21</v>
      </c>
      <c r="P11" s="19" t="s">
        <v>21</v>
      </c>
      <c r="Q11" s="19" t="s">
        <v>20</v>
      </c>
      <c r="R11" s="52"/>
      <c r="S11" s="19" t="s">
        <v>20</v>
      </c>
      <c r="T11" s="55"/>
      <c r="U11" s="19" t="s">
        <v>21</v>
      </c>
      <c r="V11" s="19" t="s">
        <v>20</v>
      </c>
      <c r="W11" s="19" t="s">
        <v>20</v>
      </c>
      <c r="X11" s="19" t="s">
        <v>20</v>
      </c>
      <c r="Y11" s="52"/>
      <c r="Z11" s="19" t="s">
        <v>20</v>
      </c>
      <c r="AA11" s="19" t="s">
        <v>20</v>
      </c>
      <c r="AB11" s="19" t="s">
        <v>20</v>
      </c>
      <c r="AC11" s="19" t="s">
        <v>20</v>
      </c>
      <c r="AD11" s="19" t="s">
        <v>21</v>
      </c>
      <c r="AE11" s="19" t="s">
        <v>21</v>
      </c>
      <c r="AF11" s="52"/>
      <c r="AG11" s="19" t="s">
        <v>20</v>
      </c>
      <c r="AH11" s="4">
        <f t="shared" si="1"/>
        <v>18</v>
      </c>
      <c r="AI11" s="4">
        <f t="shared" si="2"/>
        <v>5</v>
      </c>
      <c r="AJ11" s="4" t="s">
        <v>9</v>
      </c>
      <c r="AK11" s="4" t="s">
        <v>10</v>
      </c>
      <c r="AL11" s="4" t="s">
        <v>11</v>
      </c>
      <c r="AM11" s="4" t="s">
        <v>12</v>
      </c>
    </row>
    <row r="12" spans="1:39" x14ac:dyDescent="0.25">
      <c r="A12" s="7">
        <v>8</v>
      </c>
      <c r="B12" s="13" t="s">
        <v>793</v>
      </c>
      <c r="C12" s="6" t="s">
        <v>787</v>
      </c>
      <c r="D12" s="52"/>
      <c r="E12" s="19" t="s">
        <v>20</v>
      </c>
      <c r="F12" s="19" t="s">
        <v>20</v>
      </c>
      <c r="G12" s="19" t="s">
        <v>20</v>
      </c>
      <c r="H12" s="19" t="s">
        <v>20</v>
      </c>
      <c r="I12" s="55"/>
      <c r="J12" s="19" t="s">
        <v>20</v>
      </c>
      <c r="K12" s="52"/>
      <c r="L12" s="19" t="s">
        <v>20</v>
      </c>
      <c r="M12" s="19" t="s">
        <v>20</v>
      </c>
      <c r="N12" s="19" t="s">
        <v>20</v>
      </c>
      <c r="O12" s="19" t="s">
        <v>20</v>
      </c>
      <c r="P12" s="19" t="s">
        <v>20</v>
      </c>
      <c r="Q12" s="19" t="s">
        <v>21</v>
      </c>
      <c r="R12" s="52"/>
      <c r="S12" s="19" t="s">
        <v>20</v>
      </c>
      <c r="T12" s="55"/>
      <c r="U12" s="19" t="s">
        <v>20</v>
      </c>
      <c r="V12" s="19" t="s">
        <v>20</v>
      </c>
      <c r="W12" s="19" t="s">
        <v>20</v>
      </c>
      <c r="X12" s="19" t="s">
        <v>20</v>
      </c>
      <c r="Y12" s="52"/>
      <c r="Z12" s="19" t="s">
        <v>20</v>
      </c>
      <c r="AA12" s="19" t="s">
        <v>20</v>
      </c>
      <c r="AB12" s="19" t="s">
        <v>21</v>
      </c>
      <c r="AC12" s="19" t="s">
        <v>21</v>
      </c>
      <c r="AD12" s="19" t="s">
        <v>20</v>
      </c>
      <c r="AE12" s="19" t="s">
        <v>20</v>
      </c>
      <c r="AF12" s="52"/>
      <c r="AG12" s="19" t="s">
        <v>20</v>
      </c>
      <c r="AH12" s="4">
        <f t="shared" si="1"/>
        <v>20</v>
      </c>
      <c r="AI12" s="4">
        <f t="shared" si="2"/>
        <v>3</v>
      </c>
      <c r="AJ12" s="4" t="s">
        <v>13</v>
      </c>
      <c r="AK12" s="7">
        <f>30*$AK$5</f>
        <v>690</v>
      </c>
      <c r="AL12" s="7">
        <f>17*$AK$5</f>
        <v>391</v>
      </c>
      <c r="AM12" s="7">
        <f>SUM(AK12:AL12)</f>
        <v>1081</v>
      </c>
    </row>
    <row r="13" spans="1:39" x14ac:dyDescent="0.25">
      <c r="A13" s="5">
        <v>9</v>
      </c>
      <c r="B13" s="13" t="s">
        <v>794</v>
      </c>
      <c r="C13" s="6" t="s">
        <v>787</v>
      </c>
      <c r="D13" s="52"/>
      <c r="E13" s="19" t="s">
        <v>20</v>
      </c>
      <c r="F13" s="19" t="s">
        <v>20</v>
      </c>
      <c r="G13" s="19" t="s">
        <v>20</v>
      </c>
      <c r="H13" s="19" t="s">
        <v>20</v>
      </c>
      <c r="I13" s="55"/>
      <c r="J13" s="19" t="s">
        <v>20</v>
      </c>
      <c r="K13" s="52"/>
      <c r="L13" s="19" t="s">
        <v>20</v>
      </c>
      <c r="M13" s="19" t="s">
        <v>20</v>
      </c>
      <c r="N13" s="19" t="s">
        <v>20</v>
      </c>
      <c r="O13" s="19" t="s">
        <v>20</v>
      </c>
      <c r="P13" s="19" t="s">
        <v>20</v>
      </c>
      <c r="Q13" s="19" t="s">
        <v>20</v>
      </c>
      <c r="R13" s="52"/>
      <c r="S13" s="19" t="s">
        <v>20</v>
      </c>
      <c r="T13" s="55"/>
      <c r="U13" s="19" t="s">
        <v>20</v>
      </c>
      <c r="V13" s="19" t="s">
        <v>20</v>
      </c>
      <c r="W13" s="19" t="s">
        <v>20</v>
      </c>
      <c r="X13" s="19" t="s">
        <v>20</v>
      </c>
      <c r="Y13" s="52"/>
      <c r="Z13" s="19" t="s">
        <v>20</v>
      </c>
      <c r="AA13" s="19" t="s">
        <v>20</v>
      </c>
      <c r="AB13" s="19" t="s">
        <v>20</v>
      </c>
      <c r="AC13" s="19" t="s">
        <v>20</v>
      </c>
      <c r="AD13" s="19" t="s">
        <v>20</v>
      </c>
      <c r="AE13" s="19" t="s">
        <v>20</v>
      </c>
      <c r="AF13" s="52"/>
      <c r="AG13" s="19" t="s">
        <v>20</v>
      </c>
      <c r="AH13" s="4">
        <f t="shared" si="1"/>
        <v>23</v>
      </c>
      <c r="AI13" s="4">
        <f t="shared" si="2"/>
        <v>0</v>
      </c>
      <c r="AJ13" s="4" t="s">
        <v>14</v>
      </c>
      <c r="AK13" s="7">
        <f>SUM(AH5,AH6,AH7,AH10,AH11,AH12,AH15,AH16,AH17,AH18,AH19,AH20,AH22,AH25,AH26,AH27,AH28,AH29,AH30,AH31,AH33,AH34,AH36,AH41,AH42,AH43,AH48,AH49,AH51)</f>
        <v>541</v>
      </c>
      <c r="AL13" s="7">
        <f>SUM(AH8,AH9,AH13,AH14,AH21,AH23,AH24,AH32,AH35,AH38,AH39,AH40,AH44,AH45,AH46,AH47,AH50)</f>
        <v>327</v>
      </c>
      <c r="AM13" s="7">
        <f>AK13+AL13</f>
        <v>868</v>
      </c>
    </row>
    <row r="14" spans="1:39" x14ac:dyDescent="0.25">
      <c r="A14" s="7">
        <v>10</v>
      </c>
      <c r="B14" s="13" t="s">
        <v>251</v>
      </c>
      <c r="C14" s="6" t="s">
        <v>787</v>
      </c>
      <c r="D14" s="52"/>
      <c r="E14" s="19" t="s">
        <v>20</v>
      </c>
      <c r="F14" s="19" t="s">
        <v>20</v>
      </c>
      <c r="G14" s="19" t="s">
        <v>20</v>
      </c>
      <c r="H14" s="19" t="s">
        <v>21</v>
      </c>
      <c r="I14" s="55"/>
      <c r="J14" s="19" t="s">
        <v>20</v>
      </c>
      <c r="K14" s="52"/>
      <c r="L14" s="19" t="s">
        <v>20</v>
      </c>
      <c r="M14" s="19" t="s">
        <v>20</v>
      </c>
      <c r="N14" s="19" t="s">
        <v>20</v>
      </c>
      <c r="O14" s="19" t="s">
        <v>20</v>
      </c>
      <c r="P14" s="19" t="s">
        <v>20</v>
      </c>
      <c r="Q14" s="19" t="s">
        <v>20</v>
      </c>
      <c r="R14" s="52"/>
      <c r="S14" s="19" t="s">
        <v>20</v>
      </c>
      <c r="T14" s="55"/>
      <c r="U14" s="19" t="s">
        <v>20</v>
      </c>
      <c r="V14" s="19" t="s">
        <v>20</v>
      </c>
      <c r="W14" s="19" t="s">
        <v>20</v>
      </c>
      <c r="X14" s="19" t="s">
        <v>21</v>
      </c>
      <c r="Y14" s="52"/>
      <c r="Z14" s="19" t="s">
        <v>21</v>
      </c>
      <c r="AA14" s="19" t="s">
        <v>20</v>
      </c>
      <c r="AB14" s="19" t="s">
        <v>20</v>
      </c>
      <c r="AC14" s="19" t="s">
        <v>20</v>
      </c>
      <c r="AD14" s="19" t="s">
        <v>20</v>
      </c>
      <c r="AE14" s="19" t="s">
        <v>20</v>
      </c>
      <c r="AF14" s="52"/>
      <c r="AG14" s="19" t="s">
        <v>20</v>
      </c>
      <c r="AH14" s="4">
        <f t="shared" si="1"/>
        <v>20</v>
      </c>
      <c r="AI14" s="4">
        <f t="shared" si="2"/>
        <v>3</v>
      </c>
      <c r="AJ14" s="4" t="s">
        <v>15</v>
      </c>
      <c r="AK14" s="9">
        <f>AK13/AK12</f>
        <v>0.78405797101449271</v>
      </c>
      <c r="AL14" s="9">
        <f>AL13/AL12</f>
        <v>0.83631713554987208</v>
      </c>
      <c r="AM14" s="9">
        <f>AM13/AM12</f>
        <v>0.80296022201665129</v>
      </c>
    </row>
    <row r="15" spans="1:39" x14ac:dyDescent="0.25">
      <c r="A15" s="5">
        <v>11</v>
      </c>
      <c r="B15" s="13" t="s">
        <v>795</v>
      </c>
      <c r="C15" s="6" t="s">
        <v>787</v>
      </c>
      <c r="D15" s="52"/>
      <c r="E15" s="19" t="s">
        <v>21</v>
      </c>
      <c r="F15" s="19" t="s">
        <v>20</v>
      </c>
      <c r="G15" s="19" t="s">
        <v>21</v>
      </c>
      <c r="H15" s="19" t="s">
        <v>20</v>
      </c>
      <c r="I15" s="55"/>
      <c r="J15" s="19" t="s">
        <v>20</v>
      </c>
      <c r="K15" s="52"/>
      <c r="L15" s="19" t="s">
        <v>20</v>
      </c>
      <c r="M15" s="19" t="s">
        <v>21</v>
      </c>
      <c r="N15" s="19" t="s">
        <v>20</v>
      </c>
      <c r="O15" s="19" t="s">
        <v>20</v>
      </c>
      <c r="P15" s="19" t="s">
        <v>20</v>
      </c>
      <c r="Q15" s="19" t="s">
        <v>20</v>
      </c>
      <c r="R15" s="52"/>
      <c r="S15" s="19" t="s">
        <v>20</v>
      </c>
      <c r="T15" s="55"/>
      <c r="U15" s="19" t="s">
        <v>20</v>
      </c>
      <c r="V15" s="19" t="s">
        <v>20</v>
      </c>
      <c r="W15" s="19" t="s">
        <v>20</v>
      </c>
      <c r="X15" s="19" t="s">
        <v>20</v>
      </c>
      <c r="Y15" s="52"/>
      <c r="Z15" s="19" t="s">
        <v>20</v>
      </c>
      <c r="AA15" s="19" t="s">
        <v>20</v>
      </c>
      <c r="AB15" s="19" t="s">
        <v>20</v>
      </c>
      <c r="AC15" s="19" t="s">
        <v>21</v>
      </c>
      <c r="AD15" s="19" t="s">
        <v>20</v>
      </c>
      <c r="AE15" s="19" t="s">
        <v>20</v>
      </c>
      <c r="AF15" s="52"/>
      <c r="AG15" s="19" t="s">
        <v>21</v>
      </c>
      <c r="AH15" s="4">
        <f t="shared" si="1"/>
        <v>18</v>
      </c>
      <c r="AI15" s="4">
        <f t="shared" si="2"/>
        <v>5</v>
      </c>
      <c r="AJ15"/>
      <c r="AK15"/>
      <c r="AL15"/>
      <c r="AM15"/>
    </row>
    <row r="16" spans="1:39" x14ac:dyDescent="0.25">
      <c r="A16" s="7">
        <v>12</v>
      </c>
      <c r="B16" s="13" t="s">
        <v>796</v>
      </c>
      <c r="C16" s="6" t="s">
        <v>787</v>
      </c>
      <c r="D16" s="52"/>
      <c r="E16" s="19" t="s">
        <v>20</v>
      </c>
      <c r="F16" s="19" t="s">
        <v>20</v>
      </c>
      <c r="G16" s="19" t="s">
        <v>21</v>
      </c>
      <c r="H16" s="19" t="s">
        <v>20</v>
      </c>
      <c r="I16" s="55"/>
      <c r="J16" s="19" t="s">
        <v>20</v>
      </c>
      <c r="K16" s="52"/>
      <c r="L16" s="19" t="s">
        <v>20</v>
      </c>
      <c r="M16" s="19" t="s">
        <v>20</v>
      </c>
      <c r="N16" s="19" t="s">
        <v>20</v>
      </c>
      <c r="O16" s="19" t="s">
        <v>20</v>
      </c>
      <c r="P16" s="19" t="s">
        <v>21</v>
      </c>
      <c r="Q16" s="19" t="s">
        <v>20</v>
      </c>
      <c r="R16" s="52"/>
      <c r="S16" s="19" t="s">
        <v>20</v>
      </c>
      <c r="T16" s="55"/>
      <c r="U16" s="19" t="s">
        <v>20</v>
      </c>
      <c r="V16" s="19" t="s">
        <v>20</v>
      </c>
      <c r="W16" s="19" t="s">
        <v>20</v>
      </c>
      <c r="X16" s="19" t="s">
        <v>20</v>
      </c>
      <c r="Y16" s="52"/>
      <c r="Z16" s="19" t="s">
        <v>20</v>
      </c>
      <c r="AA16" s="19" t="s">
        <v>20</v>
      </c>
      <c r="AB16" s="19" t="s">
        <v>20</v>
      </c>
      <c r="AC16" s="19" t="s">
        <v>20</v>
      </c>
      <c r="AD16" s="19" t="s">
        <v>20</v>
      </c>
      <c r="AE16" s="19" t="s">
        <v>20</v>
      </c>
      <c r="AF16" s="52"/>
      <c r="AG16" s="19" t="s">
        <v>20</v>
      </c>
      <c r="AH16" s="4">
        <f t="shared" si="1"/>
        <v>21</v>
      </c>
      <c r="AI16" s="4">
        <f t="shared" si="2"/>
        <v>2</v>
      </c>
      <c r="AJ16"/>
      <c r="AK16"/>
      <c r="AL16"/>
      <c r="AM16"/>
    </row>
    <row r="17" spans="1:39" x14ac:dyDescent="0.25">
      <c r="A17" s="5">
        <v>13</v>
      </c>
      <c r="B17" s="13" t="s">
        <v>797</v>
      </c>
      <c r="C17" s="6" t="s">
        <v>787</v>
      </c>
      <c r="D17" s="52"/>
      <c r="E17" s="19" t="s">
        <v>20</v>
      </c>
      <c r="F17" s="19" t="s">
        <v>20</v>
      </c>
      <c r="G17" s="19" t="s">
        <v>20</v>
      </c>
      <c r="H17" s="19" t="s">
        <v>20</v>
      </c>
      <c r="I17" s="55"/>
      <c r="J17" s="19" t="s">
        <v>20</v>
      </c>
      <c r="K17" s="52"/>
      <c r="L17" s="19" t="s">
        <v>20</v>
      </c>
      <c r="M17" s="19" t="s">
        <v>20</v>
      </c>
      <c r="N17" s="19" t="s">
        <v>20</v>
      </c>
      <c r="O17" s="19" t="s">
        <v>20</v>
      </c>
      <c r="P17" s="19" t="s">
        <v>20</v>
      </c>
      <c r="Q17" s="19" t="s">
        <v>20</v>
      </c>
      <c r="R17" s="52"/>
      <c r="S17" s="19" t="s">
        <v>20</v>
      </c>
      <c r="T17" s="55"/>
      <c r="U17" s="19" t="s">
        <v>20</v>
      </c>
      <c r="V17" s="19" t="s">
        <v>20</v>
      </c>
      <c r="W17" s="19" t="s">
        <v>20</v>
      </c>
      <c r="X17" s="19" t="s">
        <v>21</v>
      </c>
      <c r="Y17" s="52"/>
      <c r="Z17" s="19" t="s">
        <v>20</v>
      </c>
      <c r="AA17" s="19" t="s">
        <v>20</v>
      </c>
      <c r="AB17" s="19" t="s">
        <v>20</v>
      </c>
      <c r="AC17" s="19" t="s">
        <v>20</v>
      </c>
      <c r="AD17" s="19" t="s">
        <v>20</v>
      </c>
      <c r="AE17" s="19" t="s">
        <v>20</v>
      </c>
      <c r="AF17" s="52"/>
      <c r="AG17" s="19" t="s">
        <v>20</v>
      </c>
      <c r="AH17" s="4">
        <f t="shared" si="1"/>
        <v>22</v>
      </c>
      <c r="AI17" s="4">
        <f t="shared" si="2"/>
        <v>1</v>
      </c>
      <c r="AJ17"/>
      <c r="AK17"/>
      <c r="AL17"/>
      <c r="AM17"/>
    </row>
    <row r="18" spans="1:39" ht="15.75" x14ac:dyDescent="0.25">
      <c r="A18" s="7">
        <v>14</v>
      </c>
      <c r="B18" s="13" t="s">
        <v>798</v>
      </c>
      <c r="C18" s="6" t="s">
        <v>787</v>
      </c>
      <c r="D18" s="52"/>
      <c r="E18" s="19" t="s">
        <v>20</v>
      </c>
      <c r="F18" s="19" t="s">
        <v>20</v>
      </c>
      <c r="G18" s="19" t="s">
        <v>20</v>
      </c>
      <c r="H18" s="19" t="s">
        <v>20</v>
      </c>
      <c r="I18" s="55"/>
      <c r="J18" s="19" t="s">
        <v>20</v>
      </c>
      <c r="K18" s="52"/>
      <c r="L18" s="19" t="s">
        <v>20</v>
      </c>
      <c r="M18" s="19" t="s">
        <v>20</v>
      </c>
      <c r="N18" s="19" t="s">
        <v>21</v>
      </c>
      <c r="O18" s="19" t="s">
        <v>21</v>
      </c>
      <c r="P18" s="19" t="s">
        <v>20</v>
      </c>
      <c r="Q18" s="19" t="s">
        <v>20</v>
      </c>
      <c r="R18" s="52"/>
      <c r="S18" s="19" t="s">
        <v>20</v>
      </c>
      <c r="T18" s="55"/>
      <c r="U18" s="19" t="s">
        <v>20</v>
      </c>
      <c r="V18" s="19" t="s">
        <v>20</v>
      </c>
      <c r="W18" s="19" t="s">
        <v>20</v>
      </c>
      <c r="X18" s="19" t="s">
        <v>21</v>
      </c>
      <c r="Y18" s="52"/>
      <c r="Z18" s="19" t="s">
        <v>20</v>
      </c>
      <c r="AA18" s="19" t="s">
        <v>20</v>
      </c>
      <c r="AB18" s="19" t="s">
        <v>20</v>
      </c>
      <c r="AC18" s="19" t="s">
        <v>20</v>
      </c>
      <c r="AD18" s="19" t="s">
        <v>20</v>
      </c>
      <c r="AE18" s="19" t="s">
        <v>21</v>
      </c>
      <c r="AF18" s="52"/>
      <c r="AG18" s="19" t="s">
        <v>20</v>
      </c>
      <c r="AH18" s="4">
        <f t="shared" si="1"/>
        <v>19</v>
      </c>
      <c r="AI18" s="4">
        <f t="shared" si="2"/>
        <v>4</v>
      </c>
      <c r="AJ18" s="24" t="s">
        <v>104</v>
      </c>
      <c r="AK18" s="25"/>
      <c r="AL18" s="25"/>
      <c r="AM18" s="26"/>
    </row>
    <row r="19" spans="1:39" x14ac:dyDescent="0.25">
      <c r="A19" s="5">
        <v>15</v>
      </c>
      <c r="B19" s="13" t="s">
        <v>799</v>
      </c>
      <c r="C19" s="6" t="s">
        <v>787</v>
      </c>
      <c r="D19" s="52"/>
      <c r="E19" s="19" t="s">
        <v>20</v>
      </c>
      <c r="F19" s="19" t="s">
        <v>20</v>
      </c>
      <c r="G19" s="19" t="s">
        <v>20</v>
      </c>
      <c r="H19" s="19" t="s">
        <v>21</v>
      </c>
      <c r="I19" s="55"/>
      <c r="J19" s="19" t="s">
        <v>20</v>
      </c>
      <c r="K19" s="52"/>
      <c r="L19" s="19" t="s">
        <v>20</v>
      </c>
      <c r="M19" s="19" t="s">
        <v>20</v>
      </c>
      <c r="N19" s="19" t="s">
        <v>20</v>
      </c>
      <c r="O19" s="19" t="s">
        <v>20</v>
      </c>
      <c r="P19" s="19" t="s">
        <v>20</v>
      </c>
      <c r="Q19" s="19" t="s">
        <v>21</v>
      </c>
      <c r="R19" s="52"/>
      <c r="S19" s="19" t="s">
        <v>20</v>
      </c>
      <c r="T19" s="55"/>
      <c r="U19" s="19" t="s">
        <v>20</v>
      </c>
      <c r="V19" s="19" t="s">
        <v>20</v>
      </c>
      <c r="W19" s="19" t="s">
        <v>20</v>
      </c>
      <c r="X19" s="19" t="s">
        <v>20</v>
      </c>
      <c r="Y19" s="52"/>
      <c r="Z19" s="19" t="s">
        <v>20</v>
      </c>
      <c r="AA19" s="19" t="s">
        <v>21</v>
      </c>
      <c r="AB19" s="19" t="s">
        <v>20</v>
      </c>
      <c r="AC19" s="19" t="s">
        <v>20</v>
      </c>
      <c r="AD19" s="19" t="s">
        <v>20</v>
      </c>
      <c r="AE19" s="19" t="s">
        <v>21</v>
      </c>
      <c r="AF19" s="52"/>
      <c r="AG19" s="19" t="s">
        <v>20</v>
      </c>
      <c r="AH19" s="4">
        <f t="shared" si="1"/>
        <v>19</v>
      </c>
      <c r="AI19" s="4">
        <f t="shared" si="2"/>
        <v>4</v>
      </c>
      <c r="AJ19" s="4" t="s">
        <v>9</v>
      </c>
      <c r="AK19" s="4" t="s">
        <v>10</v>
      </c>
      <c r="AL19" s="4" t="s">
        <v>11</v>
      </c>
      <c r="AM19" s="4" t="s">
        <v>12</v>
      </c>
    </row>
    <row r="20" spans="1:39" x14ac:dyDescent="0.25">
      <c r="A20" s="7">
        <v>16</v>
      </c>
      <c r="B20" s="13" t="s">
        <v>800</v>
      </c>
      <c r="C20" s="6" t="s">
        <v>787</v>
      </c>
      <c r="D20" s="52"/>
      <c r="E20" s="19" t="s">
        <v>20</v>
      </c>
      <c r="F20" s="19" t="s">
        <v>20</v>
      </c>
      <c r="G20" s="19" t="s">
        <v>20</v>
      </c>
      <c r="H20" s="19" t="s">
        <v>20</v>
      </c>
      <c r="I20" s="55"/>
      <c r="J20" s="19" t="s">
        <v>20</v>
      </c>
      <c r="K20" s="52"/>
      <c r="L20" s="19" t="s">
        <v>20</v>
      </c>
      <c r="M20" s="19" t="s">
        <v>20</v>
      </c>
      <c r="N20" s="19" t="s">
        <v>20</v>
      </c>
      <c r="O20" s="19" t="s">
        <v>20</v>
      </c>
      <c r="P20" s="19" t="s">
        <v>20</v>
      </c>
      <c r="Q20" s="19" t="s">
        <v>20</v>
      </c>
      <c r="R20" s="52"/>
      <c r="S20" s="19" t="s">
        <v>20</v>
      </c>
      <c r="T20" s="55"/>
      <c r="U20" s="19" t="s">
        <v>20</v>
      </c>
      <c r="V20" s="19" t="s">
        <v>20</v>
      </c>
      <c r="W20" s="19" t="s">
        <v>20</v>
      </c>
      <c r="X20" s="19" t="s">
        <v>20</v>
      </c>
      <c r="Y20" s="52"/>
      <c r="Z20" s="19" t="s">
        <v>20</v>
      </c>
      <c r="AA20" s="19" t="s">
        <v>20</v>
      </c>
      <c r="AB20" s="19" t="s">
        <v>20</v>
      </c>
      <c r="AC20" s="19" t="s">
        <v>20</v>
      </c>
      <c r="AD20" s="19" t="s">
        <v>20</v>
      </c>
      <c r="AE20" s="19" t="s">
        <v>20</v>
      </c>
      <c r="AF20" s="52"/>
      <c r="AG20" s="19" t="s">
        <v>21</v>
      </c>
      <c r="AH20" s="4">
        <f t="shared" si="1"/>
        <v>22</v>
      </c>
      <c r="AI20" s="4">
        <f t="shared" si="2"/>
        <v>1</v>
      </c>
      <c r="AJ20" s="4" t="s">
        <v>13</v>
      </c>
      <c r="AK20" s="7">
        <f>30*$AK$5</f>
        <v>690</v>
      </c>
      <c r="AL20" s="7">
        <f>17*$AK$5</f>
        <v>391</v>
      </c>
      <c r="AM20" s="7">
        <f>AK20+AL20</f>
        <v>1081</v>
      </c>
    </row>
    <row r="21" spans="1:39" x14ac:dyDescent="0.25">
      <c r="A21" s="5">
        <v>17</v>
      </c>
      <c r="B21" s="13" t="s">
        <v>801</v>
      </c>
      <c r="C21" s="6" t="s">
        <v>787</v>
      </c>
      <c r="D21" s="52"/>
      <c r="E21" s="19" t="s">
        <v>20</v>
      </c>
      <c r="F21" s="19" t="s">
        <v>20</v>
      </c>
      <c r="G21" s="19" t="s">
        <v>20</v>
      </c>
      <c r="H21" s="19" t="s">
        <v>20</v>
      </c>
      <c r="I21" s="55"/>
      <c r="J21" s="19" t="s">
        <v>20</v>
      </c>
      <c r="K21" s="52"/>
      <c r="L21" s="19" t="s">
        <v>20</v>
      </c>
      <c r="M21" s="19" t="s">
        <v>20</v>
      </c>
      <c r="N21" s="19" t="s">
        <v>20</v>
      </c>
      <c r="O21" s="19" t="s">
        <v>20</v>
      </c>
      <c r="P21" s="19" t="s">
        <v>20</v>
      </c>
      <c r="Q21" s="19" t="s">
        <v>20</v>
      </c>
      <c r="R21" s="52"/>
      <c r="S21" s="19" t="s">
        <v>20</v>
      </c>
      <c r="T21" s="55"/>
      <c r="U21" s="19" t="s">
        <v>20</v>
      </c>
      <c r="V21" s="19" t="s">
        <v>21</v>
      </c>
      <c r="W21" s="19" t="s">
        <v>20</v>
      </c>
      <c r="X21" s="19" t="s">
        <v>20</v>
      </c>
      <c r="Y21" s="52"/>
      <c r="Z21" s="19" t="s">
        <v>20</v>
      </c>
      <c r="AA21" s="19" t="s">
        <v>20</v>
      </c>
      <c r="AB21" s="19" t="s">
        <v>20</v>
      </c>
      <c r="AC21" s="19" t="s">
        <v>20</v>
      </c>
      <c r="AD21" s="19" t="s">
        <v>20</v>
      </c>
      <c r="AE21" s="19" t="s">
        <v>21</v>
      </c>
      <c r="AF21" s="52"/>
      <c r="AG21" s="19" t="s">
        <v>20</v>
      </c>
      <c r="AH21" s="4">
        <f t="shared" si="1"/>
        <v>21</v>
      </c>
      <c r="AI21" s="4">
        <f t="shared" si="2"/>
        <v>2</v>
      </c>
      <c r="AJ21" s="4" t="s">
        <v>16</v>
      </c>
      <c r="AK21" s="7">
        <f>AK20-AK13</f>
        <v>149</v>
      </c>
      <c r="AL21" s="7">
        <f>AL20-AL13</f>
        <v>64</v>
      </c>
      <c r="AM21" s="7">
        <f>AK21+AL21</f>
        <v>213</v>
      </c>
    </row>
    <row r="22" spans="1:39" x14ac:dyDescent="0.25">
      <c r="A22" s="7">
        <v>18</v>
      </c>
      <c r="B22" s="13" t="s">
        <v>274</v>
      </c>
      <c r="C22" s="6" t="s">
        <v>787</v>
      </c>
      <c r="D22" s="52"/>
      <c r="E22" s="19" t="s">
        <v>20</v>
      </c>
      <c r="F22" s="19" t="s">
        <v>20</v>
      </c>
      <c r="G22" s="19" t="s">
        <v>21</v>
      </c>
      <c r="H22" s="19" t="s">
        <v>20</v>
      </c>
      <c r="I22" s="55"/>
      <c r="J22" s="19" t="s">
        <v>20</v>
      </c>
      <c r="K22" s="52"/>
      <c r="L22" s="19" t="s">
        <v>20</v>
      </c>
      <c r="M22" s="19" t="s">
        <v>20</v>
      </c>
      <c r="N22" s="19" t="s">
        <v>20</v>
      </c>
      <c r="O22" s="19" t="s">
        <v>20</v>
      </c>
      <c r="P22" s="19" t="s">
        <v>20</v>
      </c>
      <c r="Q22" s="19" t="s">
        <v>20</v>
      </c>
      <c r="R22" s="52"/>
      <c r="S22" s="19" t="s">
        <v>20</v>
      </c>
      <c r="T22" s="55"/>
      <c r="U22" s="19" t="s">
        <v>20</v>
      </c>
      <c r="V22" s="19" t="s">
        <v>20</v>
      </c>
      <c r="W22" s="19" t="s">
        <v>20</v>
      </c>
      <c r="X22" s="19" t="s">
        <v>20</v>
      </c>
      <c r="Y22" s="52"/>
      <c r="Z22" s="19" t="s">
        <v>20</v>
      </c>
      <c r="AA22" s="19" t="s">
        <v>20</v>
      </c>
      <c r="AB22" s="19" t="s">
        <v>20</v>
      </c>
      <c r="AC22" s="19" t="s">
        <v>20</v>
      </c>
      <c r="AD22" s="19" t="s">
        <v>21</v>
      </c>
      <c r="AE22" s="19" t="s">
        <v>21</v>
      </c>
      <c r="AF22" s="52"/>
      <c r="AG22" s="19" t="s">
        <v>20</v>
      </c>
      <c r="AH22" s="4">
        <f t="shared" si="1"/>
        <v>20</v>
      </c>
      <c r="AI22" s="4">
        <f t="shared" si="2"/>
        <v>3</v>
      </c>
      <c r="AJ22" s="4" t="s">
        <v>15</v>
      </c>
      <c r="AK22" s="9">
        <f>AK21/AK20</f>
        <v>0.21594202898550724</v>
      </c>
      <c r="AL22" s="9">
        <f>AL21/AL20</f>
        <v>0.16368286445012789</v>
      </c>
      <c r="AM22" s="9">
        <f>AM21/AM20</f>
        <v>0.19703977798334876</v>
      </c>
    </row>
    <row r="23" spans="1:39" x14ac:dyDescent="0.25">
      <c r="A23" s="5">
        <v>19</v>
      </c>
      <c r="B23" s="13" t="s">
        <v>802</v>
      </c>
      <c r="C23" s="6" t="s">
        <v>787</v>
      </c>
      <c r="D23" s="52"/>
      <c r="E23" s="19" t="s">
        <v>20</v>
      </c>
      <c r="F23" s="19" t="s">
        <v>20</v>
      </c>
      <c r="G23" s="19" t="s">
        <v>20</v>
      </c>
      <c r="H23" s="19" t="s">
        <v>20</v>
      </c>
      <c r="I23" s="55"/>
      <c r="J23" s="19" t="s">
        <v>20</v>
      </c>
      <c r="K23" s="52"/>
      <c r="L23" s="19" t="s">
        <v>20</v>
      </c>
      <c r="M23" s="19" t="s">
        <v>20</v>
      </c>
      <c r="N23" s="19" t="s">
        <v>20</v>
      </c>
      <c r="O23" s="19" t="s">
        <v>20</v>
      </c>
      <c r="P23" s="19" t="s">
        <v>20</v>
      </c>
      <c r="Q23" s="19" t="s">
        <v>20</v>
      </c>
      <c r="R23" s="52"/>
      <c r="S23" s="19" t="s">
        <v>20</v>
      </c>
      <c r="T23" s="55"/>
      <c r="U23" s="19" t="s">
        <v>21</v>
      </c>
      <c r="V23" s="19" t="s">
        <v>20</v>
      </c>
      <c r="W23" s="19" t="s">
        <v>21</v>
      </c>
      <c r="X23" s="19" t="s">
        <v>21</v>
      </c>
      <c r="Y23" s="52"/>
      <c r="Z23" s="19" t="s">
        <v>21</v>
      </c>
      <c r="AA23" s="19" t="s">
        <v>20</v>
      </c>
      <c r="AB23" s="19" t="s">
        <v>20</v>
      </c>
      <c r="AC23" s="19" t="s">
        <v>20</v>
      </c>
      <c r="AD23" s="19" t="s">
        <v>20</v>
      </c>
      <c r="AE23" s="19" t="s">
        <v>20</v>
      </c>
      <c r="AF23" s="52"/>
      <c r="AG23" s="19" t="s">
        <v>20</v>
      </c>
      <c r="AH23" s="4">
        <f t="shared" si="1"/>
        <v>19</v>
      </c>
      <c r="AI23" s="4">
        <f t="shared" si="2"/>
        <v>4</v>
      </c>
    </row>
    <row r="24" spans="1:39" x14ac:dyDescent="0.25">
      <c r="A24" s="7">
        <v>20</v>
      </c>
      <c r="B24" s="13" t="s">
        <v>703</v>
      </c>
      <c r="C24" s="6" t="s">
        <v>787</v>
      </c>
      <c r="D24" s="52"/>
      <c r="E24" s="19" t="s">
        <v>20</v>
      </c>
      <c r="F24" s="19" t="s">
        <v>20</v>
      </c>
      <c r="G24" s="19" t="s">
        <v>20</v>
      </c>
      <c r="H24" s="19" t="s">
        <v>21</v>
      </c>
      <c r="I24" s="55"/>
      <c r="J24" s="19" t="s">
        <v>20</v>
      </c>
      <c r="K24" s="52"/>
      <c r="L24" s="19" t="s">
        <v>20</v>
      </c>
      <c r="M24" s="19" t="s">
        <v>20</v>
      </c>
      <c r="N24" s="19" t="s">
        <v>20</v>
      </c>
      <c r="O24" s="19" t="s">
        <v>21</v>
      </c>
      <c r="P24" s="19" t="s">
        <v>21</v>
      </c>
      <c r="Q24" s="19" t="s">
        <v>21</v>
      </c>
      <c r="R24" s="52"/>
      <c r="S24" s="19" t="s">
        <v>20</v>
      </c>
      <c r="T24" s="55"/>
      <c r="U24" s="19" t="s">
        <v>20</v>
      </c>
      <c r="V24" s="19" t="s">
        <v>20</v>
      </c>
      <c r="W24" s="19" t="s">
        <v>20</v>
      </c>
      <c r="X24" s="19" t="s">
        <v>20</v>
      </c>
      <c r="Y24" s="52"/>
      <c r="Z24" s="19" t="s">
        <v>20</v>
      </c>
      <c r="AA24" s="19" t="s">
        <v>20</v>
      </c>
      <c r="AB24" s="19" t="s">
        <v>20</v>
      </c>
      <c r="AC24" s="19" t="s">
        <v>21</v>
      </c>
      <c r="AD24" s="19" t="s">
        <v>20</v>
      </c>
      <c r="AE24" s="19" t="s">
        <v>20</v>
      </c>
      <c r="AF24" s="52"/>
      <c r="AG24" s="19" t="s">
        <v>20</v>
      </c>
      <c r="AH24" s="4">
        <f t="shared" si="1"/>
        <v>18</v>
      </c>
      <c r="AI24" s="4">
        <f t="shared" si="2"/>
        <v>5</v>
      </c>
    </row>
    <row r="25" spans="1:39" x14ac:dyDescent="0.25">
      <c r="A25" s="5">
        <v>21</v>
      </c>
      <c r="B25" s="13" t="s">
        <v>438</v>
      </c>
      <c r="C25" s="6" t="s">
        <v>787</v>
      </c>
      <c r="D25" s="52"/>
      <c r="E25" s="19" t="s">
        <v>20</v>
      </c>
      <c r="F25" s="19" t="s">
        <v>20</v>
      </c>
      <c r="G25" s="19" t="s">
        <v>21</v>
      </c>
      <c r="H25" s="19" t="s">
        <v>20</v>
      </c>
      <c r="I25" s="55"/>
      <c r="J25" s="19" t="s">
        <v>20</v>
      </c>
      <c r="K25" s="52"/>
      <c r="L25" s="19" t="s">
        <v>20</v>
      </c>
      <c r="M25" s="19" t="s">
        <v>20</v>
      </c>
      <c r="N25" s="19" t="s">
        <v>20</v>
      </c>
      <c r="O25" s="19" t="s">
        <v>20</v>
      </c>
      <c r="P25" s="19" t="s">
        <v>20</v>
      </c>
      <c r="Q25" s="19" t="s">
        <v>20</v>
      </c>
      <c r="R25" s="52"/>
      <c r="S25" s="19" t="s">
        <v>20</v>
      </c>
      <c r="T25" s="55"/>
      <c r="U25" s="19" t="s">
        <v>20</v>
      </c>
      <c r="V25" s="19" t="s">
        <v>20</v>
      </c>
      <c r="W25" s="19" t="s">
        <v>20</v>
      </c>
      <c r="X25" s="19" t="s">
        <v>20</v>
      </c>
      <c r="Y25" s="52"/>
      <c r="Z25" s="19" t="s">
        <v>20</v>
      </c>
      <c r="AA25" s="19" t="s">
        <v>20</v>
      </c>
      <c r="AB25" s="19" t="s">
        <v>20</v>
      </c>
      <c r="AC25" s="19" t="s">
        <v>20</v>
      </c>
      <c r="AD25" s="19" t="s">
        <v>20</v>
      </c>
      <c r="AE25" s="19" t="s">
        <v>20</v>
      </c>
      <c r="AF25" s="52"/>
      <c r="AG25" s="19" t="s">
        <v>20</v>
      </c>
      <c r="AH25" s="4">
        <f t="shared" si="1"/>
        <v>22</v>
      </c>
      <c r="AI25" s="4">
        <f t="shared" si="2"/>
        <v>1</v>
      </c>
    </row>
    <row r="26" spans="1:39" x14ac:dyDescent="0.25">
      <c r="A26" s="7">
        <v>22</v>
      </c>
      <c r="B26" s="13" t="s">
        <v>803</v>
      </c>
      <c r="C26" s="6" t="s">
        <v>787</v>
      </c>
      <c r="D26" s="52"/>
      <c r="E26" s="19" t="s">
        <v>21</v>
      </c>
      <c r="F26" s="19" t="s">
        <v>20</v>
      </c>
      <c r="G26" s="19" t="s">
        <v>20</v>
      </c>
      <c r="H26" s="19" t="s">
        <v>20</v>
      </c>
      <c r="I26" s="55"/>
      <c r="J26" s="19" t="s">
        <v>20</v>
      </c>
      <c r="K26" s="52"/>
      <c r="L26" s="19" t="s">
        <v>22</v>
      </c>
      <c r="M26" s="19" t="s">
        <v>22</v>
      </c>
      <c r="N26" s="19" t="s">
        <v>20</v>
      </c>
      <c r="O26" s="19" t="s">
        <v>20</v>
      </c>
      <c r="P26" s="19" t="s">
        <v>20</v>
      </c>
      <c r="Q26" s="19" t="s">
        <v>20</v>
      </c>
      <c r="R26" s="52"/>
      <c r="S26" s="19" t="s">
        <v>20</v>
      </c>
      <c r="T26" s="55"/>
      <c r="U26" s="19" t="s">
        <v>22</v>
      </c>
      <c r="V26" s="19" t="s">
        <v>22</v>
      </c>
      <c r="W26" s="19" t="s">
        <v>20</v>
      </c>
      <c r="X26" s="19" t="s">
        <v>20</v>
      </c>
      <c r="Y26" s="52"/>
      <c r="Z26" s="19" t="s">
        <v>20</v>
      </c>
      <c r="AA26" s="19" t="s">
        <v>20</v>
      </c>
      <c r="AB26" s="19" t="s">
        <v>20</v>
      </c>
      <c r="AC26" s="19" t="s">
        <v>20</v>
      </c>
      <c r="AD26" s="19" t="s">
        <v>20</v>
      </c>
      <c r="AE26" s="19" t="s">
        <v>20</v>
      </c>
      <c r="AF26" s="52"/>
      <c r="AG26" s="19" t="s">
        <v>20</v>
      </c>
      <c r="AH26" s="4">
        <f t="shared" si="1"/>
        <v>18</v>
      </c>
      <c r="AI26" s="4">
        <f t="shared" si="2"/>
        <v>1</v>
      </c>
    </row>
    <row r="27" spans="1:39" x14ac:dyDescent="0.25">
      <c r="A27" s="5">
        <v>23</v>
      </c>
      <c r="B27" s="13" t="s">
        <v>661</v>
      </c>
      <c r="C27" s="6" t="s">
        <v>787</v>
      </c>
      <c r="D27" s="52"/>
      <c r="E27" s="19" t="s">
        <v>21</v>
      </c>
      <c r="F27" s="19" t="s">
        <v>20</v>
      </c>
      <c r="G27" s="19" t="s">
        <v>20</v>
      </c>
      <c r="H27" s="19" t="s">
        <v>20</v>
      </c>
      <c r="I27" s="55"/>
      <c r="J27" s="19" t="s">
        <v>20</v>
      </c>
      <c r="K27" s="52"/>
      <c r="L27" s="19" t="s">
        <v>20</v>
      </c>
      <c r="M27" s="19" t="s">
        <v>20</v>
      </c>
      <c r="N27" s="19" t="s">
        <v>20</v>
      </c>
      <c r="O27" s="19" t="s">
        <v>20</v>
      </c>
      <c r="P27" s="19" t="s">
        <v>20</v>
      </c>
      <c r="Q27" s="19" t="s">
        <v>20</v>
      </c>
      <c r="R27" s="52"/>
      <c r="S27" s="19" t="s">
        <v>20</v>
      </c>
      <c r="T27" s="55"/>
      <c r="U27" s="19" t="s">
        <v>20</v>
      </c>
      <c r="V27" s="19" t="s">
        <v>20</v>
      </c>
      <c r="W27" s="19" t="s">
        <v>20</v>
      </c>
      <c r="X27" s="19" t="s">
        <v>20</v>
      </c>
      <c r="Y27" s="52"/>
      <c r="Z27" s="19" t="s">
        <v>20</v>
      </c>
      <c r="AA27" s="19" t="s">
        <v>20</v>
      </c>
      <c r="AB27" s="19" t="s">
        <v>20</v>
      </c>
      <c r="AC27" s="19" t="s">
        <v>20</v>
      </c>
      <c r="AD27" s="19" t="s">
        <v>20</v>
      </c>
      <c r="AE27" s="19" t="s">
        <v>20</v>
      </c>
      <c r="AF27" s="52"/>
      <c r="AG27" s="19" t="s">
        <v>20</v>
      </c>
      <c r="AH27" s="4">
        <f t="shared" si="1"/>
        <v>22</v>
      </c>
      <c r="AI27" s="4">
        <f t="shared" si="2"/>
        <v>1</v>
      </c>
    </row>
    <row r="28" spans="1:39" x14ac:dyDescent="0.25">
      <c r="A28" s="7">
        <v>24</v>
      </c>
      <c r="B28" s="14" t="s">
        <v>804</v>
      </c>
      <c r="C28" s="6" t="s">
        <v>787</v>
      </c>
      <c r="D28" s="52"/>
      <c r="E28" s="19" t="s">
        <v>20</v>
      </c>
      <c r="F28" s="19" t="s">
        <v>20</v>
      </c>
      <c r="G28" s="19" t="s">
        <v>21</v>
      </c>
      <c r="H28" s="19" t="s">
        <v>20</v>
      </c>
      <c r="I28" s="55"/>
      <c r="J28" s="19" t="s">
        <v>20</v>
      </c>
      <c r="K28" s="52"/>
      <c r="L28" s="19" t="s">
        <v>20</v>
      </c>
      <c r="M28" s="19" t="s">
        <v>20</v>
      </c>
      <c r="N28" s="19" t="s">
        <v>20</v>
      </c>
      <c r="O28" s="19" t="s">
        <v>20</v>
      </c>
      <c r="P28" s="19" t="s">
        <v>20</v>
      </c>
      <c r="Q28" s="19" t="s">
        <v>21</v>
      </c>
      <c r="R28" s="52"/>
      <c r="S28" s="19" t="s">
        <v>20</v>
      </c>
      <c r="T28" s="55"/>
      <c r="U28" s="19" t="s">
        <v>20</v>
      </c>
      <c r="V28" s="19" t="s">
        <v>20</v>
      </c>
      <c r="W28" s="19" t="s">
        <v>20</v>
      </c>
      <c r="X28" s="19" t="s">
        <v>20</v>
      </c>
      <c r="Y28" s="52"/>
      <c r="Z28" s="19" t="s">
        <v>20</v>
      </c>
      <c r="AA28" s="19" t="s">
        <v>20</v>
      </c>
      <c r="AB28" s="19" t="s">
        <v>20</v>
      </c>
      <c r="AC28" s="19" t="s">
        <v>20</v>
      </c>
      <c r="AD28" s="19" t="s">
        <v>20</v>
      </c>
      <c r="AE28" s="19" t="s">
        <v>20</v>
      </c>
      <c r="AF28" s="52"/>
      <c r="AG28" s="19" t="s">
        <v>21</v>
      </c>
      <c r="AH28" s="4">
        <f t="shared" si="1"/>
        <v>20</v>
      </c>
      <c r="AI28" s="4">
        <f t="shared" si="2"/>
        <v>3</v>
      </c>
    </row>
    <row r="29" spans="1:39" x14ac:dyDescent="0.25">
      <c r="A29" s="5">
        <v>25</v>
      </c>
      <c r="B29" s="16" t="s">
        <v>434</v>
      </c>
      <c r="C29" s="6" t="s">
        <v>787</v>
      </c>
      <c r="D29" s="52"/>
      <c r="E29" s="19" t="s">
        <v>20</v>
      </c>
      <c r="F29" s="19" t="s">
        <v>20</v>
      </c>
      <c r="G29" s="19" t="s">
        <v>20</v>
      </c>
      <c r="H29" s="19" t="s">
        <v>20</v>
      </c>
      <c r="I29" s="55"/>
      <c r="J29" s="19" t="s">
        <v>20</v>
      </c>
      <c r="K29" s="52"/>
      <c r="L29" s="19" t="s">
        <v>20</v>
      </c>
      <c r="M29" s="19" t="s">
        <v>20</v>
      </c>
      <c r="N29" s="19" t="s">
        <v>20</v>
      </c>
      <c r="O29" s="19" t="s">
        <v>20</v>
      </c>
      <c r="P29" s="19" t="s">
        <v>20</v>
      </c>
      <c r="Q29" s="19" t="s">
        <v>20</v>
      </c>
      <c r="R29" s="52"/>
      <c r="S29" s="19" t="s">
        <v>20</v>
      </c>
      <c r="T29" s="55"/>
      <c r="U29" s="19" t="s">
        <v>21</v>
      </c>
      <c r="V29" s="19" t="s">
        <v>21</v>
      </c>
      <c r="W29" s="19" t="s">
        <v>21</v>
      </c>
      <c r="X29" s="19" t="s">
        <v>20</v>
      </c>
      <c r="Y29" s="52"/>
      <c r="Z29" s="19" t="s">
        <v>20</v>
      </c>
      <c r="AA29" s="19" t="s">
        <v>20</v>
      </c>
      <c r="AB29" s="19" t="s">
        <v>20</v>
      </c>
      <c r="AC29" s="19" t="s">
        <v>20</v>
      </c>
      <c r="AD29" s="19" t="s">
        <v>20</v>
      </c>
      <c r="AE29" s="19" t="s">
        <v>20</v>
      </c>
      <c r="AF29" s="52"/>
      <c r="AG29" s="19" t="s">
        <v>20</v>
      </c>
      <c r="AH29" s="4">
        <f t="shared" si="1"/>
        <v>20</v>
      </c>
      <c r="AI29" s="4">
        <f t="shared" si="2"/>
        <v>3</v>
      </c>
    </row>
    <row r="30" spans="1:39" x14ac:dyDescent="0.25">
      <c r="A30" s="7">
        <v>26</v>
      </c>
      <c r="B30" s="16" t="s">
        <v>805</v>
      </c>
      <c r="C30" s="6" t="s">
        <v>787</v>
      </c>
      <c r="D30" s="52"/>
      <c r="E30" s="19" t="s">
        <v>20</v>
      </c>
      <c r="F30" s="19" t="s">
        <v>20</v>
      </c>
      <c r="G30" s="19" t="s">
        <v>20</v>
      </c>
      <c r="H30" s="19" t="s">
        <v>20</v>
      </c>
      <c r="I30" s="55"/>
      <c r="J30" s="19" t="s">
        <v>20</v>
      </c>
      <c r="K30" s="52"/>
      <c r="L30" s="19" t="s">
        <v>20</v>
      </c>
      <c r="M30" s="19" t="s">
        <v>20</v>
      </c>
      <c r="N30" s="19" t="s">
        <v>20</v>
      </c>
      <c r="O30" s="19" t="s">
        <v>20</v>
      </c>
      <c r="P30" s="19" t="s">
        <v>20</v>
      </c>
      <c r="Q30" s="19" t="s">
        <v>20</v>
      </c>
      <c r="R30" s="52"/>
      <c r="S30" s="19" t="s">
        <v>20</v>
      </c>
      <c r="T30" s="55"/>
      <c r="U30" s="19" t="s">
        <v>20</v>
      </c>
      <c r="V30" s="19" t="s">
        <v>20</v>
      </c>
      <c r="W30" s="19" t="s">
        <v>20</v>
      </c>
      <c r="X30" s="19" t="s">
        <v>20</v>
      </c>
      <c r="Y30" s="52"/>
      <c r="Z30" s="19" t="s">
        <v>20</v>
      </c>
      <c r="AA30" s="19" t="s">
        <v>20</v>
      </c>
      <c r="AB30" s="19" t="s">
        <v>20</v>
      </c>
      <c r="AC30" s="19" t="s">
        <v>20</v>
      </c>
      <c r="AD30" s="19" t="s">
        <v>20</v>
      </c>
      <c r="AE30" s="19" t="s">
        <v>20</v>
      </c>
      <c r="AF30" s="52"/>
      <c r="AG30" s="19" t="s">
        <v>20</v>
      </c>
      <c r="AH30" s="4">
        <f t="shared" si="1"/>
        <v>23</v>
      </c>
      <c r="AI30" s="4">
        <f t="shared" si="2"/>
        <v>0</v>
      </c>
    </row>
    <row r="31" spans="1:39" x14ac:dyDescent="0.25">
      <c r="A31" s="5">
        <v>27</v>
      </c>
      <c r="B31" s="16" t="s">
        <v>806</v>
      </c>
      <c r="C31" s="6" t="s">
        <v>787</v>
      </c>
      <c r="D31" s="52"/>
      <c r="E31" s="19" t="s">
        <v>20</v>
      </c>
      <c r="F31" s="19" t="s">
        <v>20</v>
      </c>
      <c r="G31" s="19" t="s">
        <v>20</v>
      </c>
      <c r="H31" s="19" t="s">
        <v>20</v>
      </c>
      <c r="I31" s="55"/>
      <c r="J31" s="19" t="s">
        <v>20</v>
      </c>
      <c r="K31" s="52"/>
      <c r="L31" s="19" t="s">
        <v>20</v>
      </c>
      <c r="M31" s="19" t="s">
        <v>20</v>
      </c>
      <c r="N31" s="19" t="s">
        <v>20</v>
      </c>
      <c r="O31" s="19" t="s">
        <v>20</v>
      </c>
      <c r="P31" s="19" t="s">
        <v>20</v>
      </c>
      <c r="Q31" s="19" t="s">
        <v>20</v>
      </c>
      <c r="R31" s="52"/>
      <c r="S31" s="19" t="s">
        <v>20</v>
      </c>
      <c r="T31" s="55"/>
      <c r="U31" s="19" t="s">
        <v>20</v>
      </c>
      <c r="V31" s="19" t="s">
        <v>20</v>
      </c>
      <c r="W31" s="19" t="s">
        <v>20</v>
      </c>
      <c r="X31" s="19" t="s">
        <v>20</v>
      </c>
      <c r="Y31" s="52"/>
      <c r="Z31" s="19" t="s">
        <v>20</v>
      </c>
      <c r="AA31" s="19" t="s">
        <v>20</v>
      </c>
      <c r="AB31" s="19" t="s">
        <v>20</v>
      </c>
      <c r="AC31" s="19" t="s">
        <v>20</v>
      </c>
      <c r="AD31" s="19" t="s">
        <v>20</v>
      </c>
      <c r="AE31" s="19" t="s">
        <v>20</v>
      </c>
      <c r="AF31" s="52"/>
      <c r="AG31" s="19" t="s">
        <v>20</v>
      </c>
      <c r="AH31" s="4">
        <f t="shared" si="1"/>
        <v>23</v>
      </c>
      <c r="AI31" s="4">
        <f t="shared" si="2"/>
        <v>0</v>
      </c>
    </row>
    <row r="32" spans="1:39" x14ac:dyDescent="0.25">
      <c r="A32" s="7">
        <v>28</v>
      </c>
      <c r="B32" s="16" t="s">
        <v>143</v>
      </c>
      <c r="C32" s="6" t="s">
        <v>787</v>
      </c>
      <c r="D32" s="52"/>
      <c r="E32" s="19" t="s">
        <v>20</v>
      </c>
      <c r="F32" s="19" t="s">
        <v>20</v>
      </c>
      <c r="G32" s="19" t="s">
        <v>20</v>
      </c>
      <c r="H32" s="19" t="s">
        <v>20</v>
      </c>
      <c r="I32" s="55"/>
      <c r="J32" s="19" t="s">
        <v>20</v>
      </c>
      <c r="K32" s="52"/>
      <c r="L32" s="19" t="s">
        <v>21</v>
      </c>
      <c r="M32" s="19" t="s">
        <v>20</v>
      </c>
      <c r="N32" s="19" t="s">
        <v>20</v>
      </c>
      <c r="O32" s="19" t="s">
        <v>20</v>
      </c>
      <c r="P32" s="19" t="s">
        <v>20</v>
      </c>
      <c r="Q32" s="19" t="s">
        <v>21</v>
      </c>
      <c r="R32" s="52"/>
      <c r="S32" s="19" t="s">
        <v>20</v>
      </c>
      <c r="T32" s="55"/>
      <c r="U32" s="19" t="s">
        <v>21</v>
      </c>
      <c r="V32" s="19" t="s">
        <v>20</v>
      </c>
      <c r="W32" s="19" t="s">
        <v>21</v>
      </c>
      <c r="X32" s="19" t="s">
        <v>21</v>
      </c>
      <c r="Y32" s="52"/>
      <c r="Z32" s="19" t="s">
        <v>20</v>
      </c>
      <c r="AA32" s="19" t="s">
        <v>21</v>
      </c>
      <c r="AB32" s="19" t="s">
        <v>20</v>
      </c>
      <c r="AC32" s="19" t="s">
        <v>20</v>
      </c>
      <c r="AD32" s="19" t="s">
        <v>20</v>
      </c>
      <c r="AE32" s="19" t="s">
        <v>21</v>
      </c>
      <c r="AF32" s="52"/>
      <c r="AG32" s="19" t="s">
        <v>20</v>
      </c>
      <c r="AH32" s="4">
        <f t="shared" si="1"/>
        <v>16</v>
      </c>
      <c r="AI32" s="4">
        <f t="shared" si="2"/>
        <v>7</v>
      </c>
    </row>
    <row r="33" spans="1:35" x14ac:dyDescent="0.25">
      <c r="A33" s="5">
        <v>29</v>
      </c>
      <c r="B33" s="11" t="s">
        <v>444</v>
      </c>
      <c r="C33" s="6" t="s">
        <v>787</v>
      </c>
      <c r="D33" s="52"/>
      <c r="E33" s="19" t="s">
        <v>20</v>
      </c>
      <c r="F33" s="19" t="s">
        <v>21</v>
      </c>
      <c r="G33" s="19" t="s">
        <v>20</v>
      </c>
      <c r="H33" s="19" t="s">
        <v>20</v>
      </c>
      <c r="I33" s="55"/>
      <c r="J33" s="19" t="s">
        <v>20</v>
      </c>
      <c r="K33" s="52"/>
      <c r="L33" s="19" t="s">
        <v>20</v>
      </c>
      <c r="M33" s="19" t="s">
        <v>20</v>
      </c>
      <c r="N33" s="19" t="s">
        <v>21</v>
      </c>
      <c r="O33" s="19" t="s">
        <v>20</v>
      </c>
      <c r="P33" s="19" t="s">
        <v>20</v>
      </c>
      <c r="Q33" s="19" t="s">
        <v>21</v>
      </c>
      <c r="R33" s="52"/>
      <c r="S33" s="19" t="s">
        <v>20</v>
      </c>
      <c r="T33" s="55"/>
      <c r="U33" s="19" t="s">
        <v>21</v>
      </c>
      <c r="V33" s="19" t="s">
        <v>20</v>
      </c>
      <c r="W33" s="19" t="s">
        <v>20</v>
      </c>
      <c r="X33" s="19" t="s">
        <v>20</v>
      </c>
      <c r="Y33" s="52"/>
      <c r="Z33" s="19" t="s">
        <v>20</v>
      </c>
      <c r="AA33" s="19" t="s">
        <v>20</v>
      </c>
      <c r="AB33" s="19" t="s">
        <v>20</v>
      </c>
      <c r="AC33" s="19" t="s">
        <v>20</v>
      </c>
      <c r="AD33" s="19" t="s">
        <v>20</v>
      </c>
      <c r="AE33" s="19" t="s">
        <v>21</v>
      </c>
      <c r="AF33" s="52"/>
      <c r="AG33" s="19" t="s">
        <v>20</v>
      </c>
      <c r="AH33" s="4">
        <f t="shared" si="1"/>
        <v>18</v>
      </c>
      <c r="AI33" s="4">
        <f t="shared" si="2"/>
        <v>5</v>
      </c>
    </row>
    <row r="34" spans="1:35" x14ac:dyDescent="0.25">
      <c r="A34" s="7">
        <v>30</v>
      </c>
      <c r="B34" s="13" t="s">
        <v>807</v>
      </c>
      <c r="C34" s="6" t="s">
        <v>787</v>
      </c>
      <c r="D34" s="52"/>
      <c r="E34" s="19" t="s">
        <v>20</v>
      </c>
      <c r="F34" s="19" t="s">
        <v>20</v>
      </c>
      <c r="G34" s="19" t="s">
        <v>20</v>
      </c>
      <c r="H34" s="19" t="s">
        <v>21</v>
      </c>
      <c r="I34" s="55"/>
      <c r="J34" s="19" t="s">
        <v>20</v>
      </c>
      <c r="K34" s="52"/>
      <c r="L34" s="19" t="s">
        <v>20</v>
      </c>
      <c r="M34" s="19" t="s">
        <v>20</v>
      </c>
      <c r="N34" s="19" t="s">
        <v>20</v>
      </c>
      <c r="O34" s="19" t="s">
        <v>20</v>
      </c>
      <c r="P34" s="19" t="s">
        <v>20</v>
      </c>
      <c r="Q34" s="19" t="s">
        <v>21</v>
      </c>
      <c r="R34" s="52"/>
      <c r="S34" s="19" t="s">
        <v>20</v>
      </c>
      <c r="T34" s="55"/>
      <c r="U34" s="19" t="s">
        <v>20</v>
      </c>
      <c r="V34" s="19" t="s">
        <v>20</v>
      </c>
      <c r="W34" s="19" t="s">
        <v>21</v>
      </c>
      <c r="X34" s="19" t="s">
        <v>21</v>
      </c>
      <c r="Y34" s="52"/>
      <c r="Z34" s="19" t="s">
        <v>20</v>
      </c>
      <c r="AA34" s="19" t="s">
        <v>20</v>
      </c>
      <c r="AB34" s="19" t="s">
        <v>20</v>
      </c>
      <c r="AC34" s="19" t="s">
        <v>20</v>
      </c>
      <c r="AD34" s="19" t="s">
        <v>20</v>
      </c>
      <c r="AE34" s="19" t="s">
        <v>20</v>
      </c>
      <c r="AF34" s="52"/>
      <c r="AG34" s="19" t="s">
        <v>20</v>
      </c>
      <c r="AH34" s="4">
        <f t="shared" si="1"/>
        <v>19</v>
      </c>
      <c r="AI34" s="4">
        <f t="shared" si="2"/>
        <v>4</v>
      </c>
    </row>
    <row r="35" spans="1:35" x14ac:dyDescent="0.25">
      <c r="A35" s="5">
        <v>31</v>
      </c>
      <c r="B35" s="13" t="s">
        <v>808</v>
      </c>
      <c r="C35" s="6" t="s">
        <v>787</v>
      </c>
      <c r="D35" s="52"/>
      <c r="E35" s="19" t="s">
        <v>20</v>
      </c>
      <c r="F35" s="19" t="s">
        <v>20</v>
      </c>
      <c r="G35" s="19" t="s">
        <v>20</v>
      </c>
      <c r="H35" s="19" t="s">
        <v>20</v>
      </c>
      <c r="I35" s="55"/>
      <c r="J35" s="19" t="s">
        <v>20</v>
      </c>
      <c r="K35" s="52"/>
      <c r="L35" s="19" t="s">
        <v>20</v>
      </c>
      <c r="M35" s="19" t="s">
        <v>20</v>
      </c>
      <c r="N35" s="19" t="s">
        <v>20</v>
      </c>
      <c r="O35" s="19" t="s">
        <v>20</v>
      </c>
      <c r="P35" s="19" t="s">
        <v>20</v>
      </c>
      <c r="Q35" s="19" t="s">
        <v>21</v>
      </c>
      <c r="R35" s="52"/>
      <c r="S35" s="19" t="s">
        <v>20</v>
      </c>
      <c r="T35" s="55"/>
      <c r="U35" s="19" t="s">
        <v>20</v>
      </c>
      <c r="V35" s="19" t="s">
        <v>21</v>
      </c>
      <c r="W35" s="19" t="s">
        <v>20</v>
      </c>
      <c r="X35" s="19" t="s">
        <v>20</v>
      </c>
      <c r="Y35" s="52"/>
      <c r="Z35" s="19" t="s">
        <v>21</v>
      </c>
      <c r="AA35" s="19" t="s">
        <v>20</v>
      </c>
      <c r="AB35" s="19" t="s">
        <v>20</v>
      </c>
      <c r="AC35" s="19" t="s">
        <v>20</v>
      </c>
      <c r="AD35" s="19" t="s">
        <v>20</v>
      </c>
      <c r="AE35" s="19" t="s">
        <v>20</v>
      </c>
      <c r="AF35" s="52"/>
      <c r="AG35" s="19" t="s">
        <v>20</v>
      </c>
      <c r="AH35" s="4">
        <f t="shared" si="1"/>
        <v>20</v>
      </c>
      <c r="AI35" s="4">
        <f t="shared" si="2"/>
        <v>3</v>
      </c>
    </row>
    <row r="36" spans="1:35" x14ac:dyDescent="0.25">
      <c r="A36" s="7">
        <v>32</v>
      </c>
      <c r="B36" s="20" t="s">
        <v>809</v>
      </c>
      <c r="C36" s="6" t="s">
        <v>787</v>
      </c>
      <c r="D36" s="52"/>
      <c r="E36" s="19" t="s">
        <v>21</v>
      </c>
      <c r="F36" s="19" t="s">
        <v>20</v>
      </c>
      <c r="G36" s="19" t="s">
        <v>20</v>
      </c>
      <c r="H36" s="19" t="s">
        <v>21</v>
      </c>
      <c r="I36" s="55"/>
      <c r="J36" s="19" t="s">
        <v>21</v>
      </c>
      <c r="K36" s="52"/>
      <c r="L36" s="19" t="s">
        <v>20</v>
      </c>
      <c r="M36" s="19" t="s">
        <v>20</v>
      </c>
      <c r="N36" s="19" t="s">
        <v>20</v>
      </c>
      <c r="O36" s="19" t="s">
        <v>20</v>
      </c>
      <c r="P36" s="19" t="s">
        <v>20</v>
      </c>
      <c r="Q36" s="19" t="s">
        <v>21</v>
      </c>
      <c r="R36" s="52"/>
      <c r="S36" s="19" t="s">
        <v>20</v>
      </c>
      <c r="T36" s="55"/>
      <c r="U36" s="19" t="s">
        <v>20</v>
      </c>
      <c r="V36" s="19" t="s">
        <v>20</v>
      </c>
      <c r="W36" s="19" t="s">
        <v>20</v>
      </c>
      <c r="X36" s="19" t="s">
        <v>20</v>
      </c>
      <c r="Y36" s="52"/>
      <c r="Z36" s="19" t="s">
        <v>20</v>
      </c>
      <c r="AA36" s="19" t="s">
        <v>20</v>
      </c>
      <c r="AB36" s="19" t="s">
        <v>20</v>
      </c>
      <c r="AC36" s="19" t="s">
        <v>20</v>
      </c>
      <c r="AD36" s="19" t="s">
        <v>20</v>
      </c>
      <c r="AE36" s="19" t="s">
        <v>20</v>
      </c>
      <c r="AF36" s="52"/>
      <c r="AG36" s="19" t="s">
        <v>20</v>
      </c>
      <c r="AH36" s="4">
        <f t="shared" si="1"/>
        <v>19</v>
      </c>
      <c r="AI36" s="4">
        <f t="shared" si="2"/>
        <v>4</v>
      </c>
    </row>
    <row r="37" spans="1:35" x14ac:dyDescent="0.25">
      <c r="A37" s="5">
        <v>33</v>
      </c>
      <c r="B37" s="20" t="s">
        <v>810</v>
      </c>
      <c r="C37" s="6" t="s">
        <v>787</v>
      </c>
      <c r="D37" s="52"/>
      <c r="E37" s="19" t="s">
        <v>20</v>
      </c>
      <c r="F37" s="19" t="s">
        <v>20</v>
      </c>
      <c r="G37" s="19" t="s">
        <v>20</v>
      </c>
      <c r="H37" s="19" t="s">
        <v>21</v>
      </c>
      <c r="I37" s="55"/>
      <c r="J37" s="19" t="s">
        <v>20</v>
      </c>
      <c r="K37" s="52"/>
      <c r="L37" s="19" t="s">
        <v>20</v>
      </c>
      <c r="M37" s="19" t="s">
        <v>20</v>
      </c>
      <c r="N37" s="19" t="s">
        <v>20</v>
      </c>
      <c r="O37" s="19" t="s">
        <v>20</v>
      </c>
      <c r="P37" s="19" t="s">
        <v>20</v>
      </c>
      <c r="Q37" s="19" t="s">
        <v>20</v>
      </c>
      <c r="R37" s="52"/>
      <c r="S37" s="19" t="s">
        <v>20</v>
      </c>
      <c r="T37" s="55"/>
      <c r="U37" s="19" t="s">
        <v>20</v>
      </c>
      <c r="V37" s="19" t="s">
        <v>20</v>
      </c>
      <c r="W37" s="19" t="s">
        <v>20</v>
      </c>
      <c r="X37" s="19" t="s">
        <v>20</v>
      </c>
      <c r="Y37" s="52"/>
      <c r="Z37" s="19" t="s">
        <v>20</v>
      </c>
      <c r="AA37" s="19" t="s">
        <v>20</v>
      </c>
      <c r="AB37" s="19" t="s">
        <v>20</v>
      </c>
      <c r="AC37" s="19" t="s">
        <v>20</v>
      </c>
      <c r="AD37" s="19" t="s">
        <v>20</v>
      </c>
      <c r="AE37" s="19" t="s">
        <v>20</v>
      </c>
      <c r="AF37" s="52"/>
      <c r="AG37" s="19" t="s">
        <v>20</v>
      </c>
      <c r="AH37" s="4">
        <f t="shared" si="1"/>
        <v>22</v>
      </c>
      <c r="AI37" s="4">
        <f t="shared" si="2"/>
        <v>1</v>
      </c>
    </row>
    <row r="38" spans="1:35" x14ac:dyDescent="0.25">
      <c r="A38" s="7">
        <v>34</v>
      </c>
      <c r="B38" s="20" t="s">
        <v>811</v>
      </c>
      <c r="C38" s="6" t="s">
        <v>787</v>
      </c>
      <c r="D38" s="52"/>
      <c r="E38" s="19" t="s">
        <v>20</v>
      </c>
      <c r="F38" s="19" t="s">
        <v>20</v>
      </c>
      <c r="G38" s="19" t="s">
        <v>20</v>
      </c>
      <c r="H38" s="19" t="s">
        <v>20</v>
      </c>
      <c r="I38" s="55"/>
      <c r="J38" s="19" t="s">
        <v>20</v>
      </c>
      <c r="K38" s="52"/>
      <c r="L38" s="19" t="s">
        <v>20</v>
      </c>
      <c r="M38" s="19" t="s">
        <v>20</v>
      </c>
      <c r="N38" s="19" t="s">
        <v>20</v>
      </c>
      <c r="O38" s="19" t="s">
        <v>20</v>
      </c>
      <c r="P38" s="19" t="s">
        <v>20</v>
      </c>
      <c r="Q38" s="19" t="s">
        <v>20</v>
      </c>
      <c r="R38" s="52"/>
      <c r="S38" s="19" t="s">
        <v>20</v>
      </c>
      <c r="T38" s="55"/>
      <c r="U38" s="19" t="s">
        <v>20</v>
      </c>
      <c r="V38" s="19" t="s">
        <v>20</v>
      </c>
      <c r="W38" s="19" t="s">
        <v>20</v>
      </c>
      <c r="X38" s="19" t="s">
        <v>20</v>
      </c>
      <c r="Y38" s="52"/>
      <c r="Z38" s="19" t="s">
        <v>20</v>
      </c>
      <c r="AA38" s="19" t="s">
        <v>20</v>
      </c>
      <c r="AB38" s="19" t="s">
        <v>20</v>
      </c>
      <c r="AC38" s="19" t="s">
        <v>20</v>
      </c>
      <c r="AD38" s="19" t="s">
        <v>20</v>
      </c>
      <c r="AE38" s="19" t="s">
        <v>20</v>
      </c>
      <c r="AF38" s="52"/>
      <c r="AG38" s="19" t="s">
        <v>20</v>
      </c>
      <c r="AH38" s="4">
        <f t="shared" si="1"/>
        <v>23</v>
      </c>
      <c r="AI38" s="4">
        <f t="shared" si="2"/>
        <v>0</v>
      </c>
    </row>
    <row r="39" spans="1:35" x14ac:dyDescent="0.25">
      <c r="A39" s="5">
        <v>35</v>
      </c>
      <c r="B39" s="20" t="s">
        <v>812</v>
      </c>
      <c r="C39" s="6" t="s">
        <v>787</v>
      </c>
      <c r="D39" s="52"/>
      <c r="E39" s="19" t="s">
        <v>20</v>
      </c>
      <c r="F39" s="19" t="s">
        <v>20</v>
      </c>
      <c r="G39" s="19" t="s">
        <v>21</v>
      </c>
      <c r="H39" s="19" t="s">
        <v>20</v>
      </c>
      <c r="I39" s="55"/>
      <c r="J39" s="19" t="s">
        <v>20</v>
      </c>
      <c r="K39" s="52"/>
      <c r="L39" s="19" t="s">
        <v>21</v>
      </c>
      <c r="M39" s="19" t="s">
        <v>20</v>
      </c>
      <c r="N39" s="19" t="s">
        <v>20</v>
      </c>
      <c r="O39" s="19" t="s">
        <v>20</v>
      </c>
      <c r="P39" s="19" t="s">
        <v>20</v>
      </c>
      <c r="Q39" s="19" t="s">
        <v>20</v>
      </c>
      <c r="R39" s="52"/>
      <c r="S39" s="19" t="s">
        <v>20</v>
      </c>
      <c r="T39" s="55"/>
      <c r="U39" s="19" t="s">
        <v>20</v>
      </c>
      <c r="V39" s="19" t="s">
        <v>20</v>
      </c>
      <c r="W39" s="19" t="s">
        <v>20</v>
      </c>
      <c r="X39" s="19" t="s">
        <v>20</v>
      </c>
      <c r="Y39" s="52"/>
      <c r="Z39" s="19" t="s">
        <v>20</v>
      </c>
      <c r="AA39" s="19" t="s">
        <v>21</v>
      </c>
      <c r="AB39" s="19" t="s">
        <v>21</v>
      </c>
      <c r="AC39" s="19" t="s">
        <v>21</v>
      </c>
      <c r="AD39" s="19" t="s">
        <v>20</v>
      </c>
      <c r="AE39" s="19" t="s">
        <v>20</v>
      </c>
      <c r="AF39" s="52"/>
      <c r="AG39" s="19" t="s">
        <v>20</v>
      </c>
      <c r="AH39" s="4">
        <f t="shared" si="1"/>
        <v>18</v>
      </c>
      <c r="AI39" s="4">
        <f t="shared" si="2"/>
        <v>5</v>
      </c>
    </row>
    <row r="40" spans="1:35" x14ac:dyDescent="0.25">
      <c r="A40" s="7">
        <v>36</v>
      </c>
      <c r="B40" s="20" t="s">
        <v>813</v>
      </c>
      <c r="C40" s="6" t="s">
        <v>787</v>
      </c>
      <c r="D40" s="52"/>
      <c r="E40" s="19" t="s">
        <v>21</v>
      </c>
      <c r="F40" s="19" t="s">
        <v>21</v>
      </c>
      <c r="G40" s="19" t="s">
        <v>20</v>
      </c>
      <c r="H40" s="19" t="s">
        <v>20</v>
      </c>
      <c r="I40" s="55"/>
      <c r="J40" s="19" t="s">
        <v>20</v>
      </c>
      <c r="K40" s="52"/>
      <c r="L40" s="19" t="s">
        <v>20</v>
      </c>
      <c r="M40" s="19" t="s">
        <v>20</v>
      </c>
      <c r="N40" s="19" t="s">
        <v>20</v>
      </c>
      <c r="O40" s="19" t="s">
        <v>20</v>
      </c>
      <c r="P40" s="19" t="s">
        <v>20</v>
      </c>
      <c r="Q40" s="19" t="s">
        <v>20</v>
      </c>
      <c r="R40" s="52"/>
      <c r="S40" s="19" t="s">
        <v>20</v>
      </c>
      <c r="T40" s="55"/>
      <c r="U40" s="19" t="s">
        <v>21</v>
      </c>
      <c r="V40" s="19" t="s">
        <v>21</v>
      </c>
      <c r="W40" s="19" t="s">
        <v>21</v>
      </c>
      <c r="X40" s="19" t="s">
        <v>21</v>
      </c>
      <c r="Y40" s="52"/>
      <c r="Z40" s="19" t="s">
        <v>20</v>
      </c>
      <c r="AA40" s="19" t="s">
        <v>20</v>
      </c>
      <c r="AB40" s="19" t="s">
        <v>20</v>
      </c>
      <c r="AC40" s="19" t="s">
        <v>21</v>
      </c>
      <c r="AD40" s="19" t="s">
        <v>21</v>
      </c>
      <c r="AE40" s="19" t="s">
        <v>20</v>
      </c>
      <c r="AF40" s="52"/>
      <c r="AG40" s="19" t="s">
        <v>20</v>
      </c>
      <c r="AH40" s="4">
        <f t="shared" si="1"/>
        <v>15</v>
      </c>
      <c r="AI40" s="4">
        <f t="shared" si="2"/>
        <v>8</v>
      </c>
    </row>
    <row r="41" spans="1:35" x14ac:dyDescent="0.25">
      <c r="A41" s="5">
        <v>37</v>
      </c>
      <c r="B41" s="20" t="s">
        <v>814</v>
      </c>
      <c r="C41" s="6" t="s">
        <v>787</v>
      </c>
      <c r="D41" s="52"/>
      <c r="E41" s="19" t="s">
        <v>21</v>
      </c>
      <c r="F41" s="19" t="s">
        <v>21</v>
      </c>
      <c r="G41" s="19" t="s">
        <v>21</v>
      </c>
      <c r="H41" s="19" t="s">
        <v>21</v>
      </c>
      <c r="I41" s="55"/>
      <c r="J41" s="19" t="s">
        <v>21</v>
      </c>
      <c r="K41" s="52"/>
      <c r="L41" s="19" t="s">
        <v>21</v>
      </c>
      <c r="M41" s="19" t="s">
        <v>21</v>
      </c>
      <c r="N41" s="19" t="s">
        <v>21</v>
      </c>
      <c r="O41" s="19" t="s">
        <v>21</v>
      </c>
      <c r="P41" s="19" t="s">
        <v>21</v>
      </c>
      <c r="Q41" s="19" t="s">
        <v>21</v>
      </c>
      <c r="R41" s="52"/>
      <c r="S41" s="19" t="s">
        <v>20</v>
      </c>
      <c r="T41" s="55"/>
      <c r="U41" s="19" t="s">
        <v>20</v>
      </c>
      <c r="V41" s="19" t="s">
        <v>20</v>
      </c>
      <c r="W41" s="19" t="s">
        <v>20</v>
      </c>
      <c r="X41" s="19" t="s">
        <v>21</v>
      </c>
      <c r="Y41" s="52"/>
      <c r="Z41" s="19" t="s">
        <v>21</v>
      </c>
      <c r="AA41" s="19" t="s">
        <v>21</v>
      </c>
      <c r="AB41" s="19" t="s">
        <v>21</v>
      </c>
      <c r="AC41" s="19" t="s">
        <v>21</v>
      </c>
      <c r="AD41" s="19" t="s">
        <v>21</v>
      </c>
      <c r="AE41" s="19" t="s">
        <v>21</v>
      </c>
      <c r="AF41" s="52"/>
      <c r="AG41" s="19" t="s">
        <v>21</v>
      </c>
      <c r="AH41" s="4">
        <f t="shared" si="1"/>
        <v>4</v>
      </c>
      <c r="AI41" s="4">
        <f t="shared" si="2"/>
        <v>19</v>
      </c>
    </row>
    <row r="42" spans="1:35" x14ac:dyDescent="0.25">
      <c r="A42" s="7">
        <v>38</v>
      </c>
      <c r="B42" s="20" t="s">
        <v>152</v>
      </c>
      <c r="C42" s="6" t="s">
        <v>787</v>
      </c>
      <c r="D42" s="52"/>
      <c r="E42" s="19" t="s">
        <v>20</v>
      </c>
      <c r="F42" s="19" t="s">
        <v>20</v>
      </c>
      <c r="G42" s="19" t="s">
        <v>20</v>
      </c>
      <c r="H42" s="19" t="s">
        <v>20</v>
      </c>
      <c r="I42" s="55"/>
      <c r="J42" s="19" t="s">
        <v>20</v>
      </c>
      <c r="K42" s="52"/>
      <c r="L42" s="19" t="s">
        <v>21</v>
      </c>
      <c r="M42" s="19" t="s">
        <v>21</v>
      </c>
      <c r="N42" s="19" t="s">
        <v>20</v>
      </c>
      <c r="O42" s="19" t="s">
        <v>21</v>
      </c>
      <c r="P42" s="19" t="s">
        <v>20</v>
      </c>
      <c r="Q42" s="19" t="s">
        <v>20</v>
      </c>
      <c r="R42" s="52"/>
      <c r="S42" s="19" t="s">
        <v>20</v>
      </c>
      <c r="T42" s="55"/>
      <c r="U42" s="19" t="s">
        <v>20</v>
      </c>
      <c r="V42" s="19" t="s">
        <v>20</v>
      </c>
      <c r="W42" s="19" t="s">
        <v>20</v>
      </c>
      <c r="X42" s="19" t="s">
        <v>21</v>
      </c>
      <c r="Y42" s="52"/>
      <c r="Z42" s="19" t="s">
        <v>20</v>
      </c>
      <c r="AA42" s="19" t="s">
        <v>20</v>
      </c>
      <c r="AB42" s="19" t="s">
        <v>20</v>
      </c>
      <c r="AC42" s="19" t="s">
        <v>20</v>
      </c>
      <c r="AD42" s="19" t="s">
        <v>21</v>
      </c>
      <c r="AE42" s="19" t="s">
        <v>20</v>
      </c>
      <c r="AF42" s="52"/>
      <c r="AG42" s="19" t="s">
        <v>20</v>
      </c>
      <c r="AH42" s="4">
        <f t="shared" si="1"/>
        <v>18</v>
      </c>
      <c r="AI42" s="4">
        <f t="shared" si="2"/>
        <v>5</v>
      </c>
    </row>
    <row r="43" spans="1:35" x14ac:dyDescent="0.25">
      <c r="A43" s="5">
        <v>39</v>
      </c>
      <c r="B43" s="20" t="s">
        <v>119</v>
      </c>
      <c r="C43" s="6" t="s">
        <v>787</v>
      </c>
      <c r="D43" s="52"/>
      <c r="E43" s="19" t="s">
        <v>20</v>
      </c>
      <c r="F43" s="19" t="s">
        <v>21</v>
      </c>
      <c r="G43" s="19" t="s">
        <v>21</v>
      </c>
      <c r="H43" s="19" t="s">
        <v>21</v>
      </c>
      <c r="I43" s="55"/>
      <c r="J43" s="19" t="s">
        <v>21</v>
      </c>
      <c r="K43" s="52"/>
      <c r="L43" s="19" t="s">
        <v>20</v>
      </c>
      <c r="M43" s="19" t="s">
        <v>20</v>
      </c>
      <c r="N43" s="19" t="s">
        <v>20</v>
      </c>
      <c r="O43" s="19" t="s">
        <v>20</v>
      </c>
      <c r="P43" s="19" t="s">
        <v>20</v>
      </c>
      <c r="Q43" s="19" t="s">
        <v>21</v>
      </c>
      <c r="R43" s="52"/>
      <c r="S43" s="19" t="s">
        <v>20</v>
      </c>
      <c r="T43" s="55"/>
      <c r="U43" s="19" t="s">
        <v>20</v>
      </c>
      <c r="V43" s="19" t="s">
        <v>20</v>
      </c>
      <c r="W43" s="19" t="s">
        <v>20</v>
      </c>
      <c r="X43" s="19" t="s">
        <v>20</v>
      </c>
      <c r="Y43" s="52"/>
      <c r="Z43" s="19" t="s">
        <v>20</v>
      </c>
      <c r="AA43" s="19" t="s">
        <v>20</v>
      </c>
      <c r="AB43" s="19" t="s">
        <v>20</v>
      </c>
      <c r="AC43" s="19" t="s">
        <v>20</v>
      </c>
      <c r="AD43" s="19" t="s">
        <v>20</v>
      </c>
      <c r="AE43" s="19" t="s">
        <v>21</v>
      </c>
      <c r="AF43" s="52"/>
      <c r="AG43" s="19" t="s">
        <v>20</v>
      </c>
      <c r="AH43" s="4">
        <f t="shared" si="1"/>
        <v>17</v>
      </c>
      <c r="AI43" s="4">
        <f t="shared" si="2"/>
        <v>6</v>
      </c>
    </row>
    <row r="44" spans="1:35" x14ac:dyDescent="0.25">
      <c r="A44" s="7">
        <v>40</v>
      </c>
      <c r="B44" s="20" t="s">
        <v>815</v>
      </c>
      <c r="C44" s="6" t="s">
        <v>787</v>
      </c>
      <c r="D44" s="52"/>
      <c r="E44" s="19" t="s">
        <v>20</v>
      </c>
      <c r="F44" s="19" t="s">
        <v>20</v>
      </c>
      <c r="G44" s="19" t="s">
        <v>20</v>
      </c>
      <c r="H44" s="19" t="s">
        <v>20</v>
      </c>
      <c r="I44" s="55"/>
      <c r="J44" s="19" t="s">
        <v>20</v>
      </c>
      <c r="K44" s="52"/>
      <c r="L44" s="19" t="s">
        <v>20</v>
      </c>
      <c r="M44" s="19" t="s">
        <v>21</v>
      </c>
      <c r="N44" s="19" t="s">
        <v>20</v>
      </c>
      <c r="O44" s="19" t="s">
        <v>21</v>
      </c>
      <c r="P44" s="19" t="s">
        <v>21</v>
      </c>
      <c r="Q44" s="19" t="s">
        <v>20</v>
      </c>
      <c r="R44" s="52"/>
      <c r="S44" s="19" t="s">
        <v>20</v>
      </c>
      <c r="T44" s="55"/>
      <c r="U44" s="19" t="s">
        <v>20</v>
      </c>
      <c r="V44" s="19" t="s">
        <v>20</v>
      </c>
      <c r="W44" s="19" t="s">
        <v>20</v>
      </c>
      <c r="X44" s="19" t="s">
        <v>20</v>
      </c>
      <c r="Y44" s="52"/>
      <c r="Z44" s="19" t="s">
        <v>20</v>
      </c>
      <c r="AA44" s="19" t="s">
        <v>20</v>
      </c>
      <c r="AB44" s="19" t="s">
        <v>20</v>
      </c>
      <c r="AC44" s="19" t="s">
        <v>20</v>
      </c>
      <c r="AD44" s="19" t="s">
        <v>20</v>
      </c>
      <c r="AE44" s="19" t="s">
        <v>20</v>
      </c>
      <c r="AF44" s="52"/>
      <c r="AG44" s="19" t="s">
        <v>20</v>
      </c>
      <c r="AH44" s="4">
        <f t="shared" si="1"/>
        <v>20</v>
      </c>
      <c r="AI44" s="4">
        <f t="shared" si="2"/>
        <v>3</v>
      </c>
    </row>
    <row r="45" spans="1:35" x14ac:dyDescent="0.25">
      <c r="A45" s="5">
        <v>41</v>
      </c>
      <c r="B45" s="20" t="s">
        <v>816</v>
      </c>
      <c r="C45" s="6" t="s">
        <v>787</v>
      </c>
      <c r="D45" s="52"/>
      <c r="E45" s="19" t="s">
        <v>20</v>
      </c>
      <c r="F45" s="19" t="s">
        <v>20</v>
      </c>
      <c r="G45" s="19" t="s">
        <v>20</v>
      </c>
      <c r="H45" s="19" t="s">
        <v>21</v>
      </c>
      <c r="I45" s="55"/>
      <c r="J45" s="19" t="s">
        <v>20</v>
      </c>
      <c r="K45" s="52"/>
      <c r="L45" s="19" t="s">
        <v>20</v>
      </c>
      <c r="M45" s="19" t="s">
        <v>20</v>
      </c>
      <c r="N45" s="19" t="s">
        <v>20</v>
      </c>
      <c r="O45" s="19" t="s">
        <v>20</v>
      </c>
      <c r="P45" s="19" t="s">
        <v>20</v>
      </c>
      <c r="Q45" s="19" t="s">
        <v>20</v>
      </c>
      <c r="R45" s="52"/>
      <c r="S45" s="19" t="s">
        <v>20</v>
      </c>
      <c r="T45" s="55"/>
      <c r="U45" s="19" t="s">
        <v>20</v>
      </c>
      <c r="V45" s="19" t="s">
        <v>20</v>
      </c>
      <c r="W45" s="19" t="s">
        <v>20</v>
      </c>
      <c r="X45" s="19" t="s">
        <v>21</v>
      </c>
      <c r="Y45" s="52"/>
      <c r="Z45" s="19" t="s">
        <v>20</v>
      </c>
      <c r="AA45" s="19" t="s">
        <v>20</v>
      </c>
      <c r="AB45" s="19" t="s">
        <v>20</v>
      </c>
      <c r="AC45" s="19" t="s">
        <v>20</v>
      </c>
      <c r="AD45" s="19" t="s">
        <v>20</v>
      </c>
      <c r="AE45" s="19" t="s">
        <v>20</v>
      </c>
      <c r="AF45" s="52"/>
      <c r="AG45" s="19" t="s">
        <v>20</v>
      </c>
      <c r="AH45" s="4">
        <f t="shared" si="1"/>
        <v>21</v>
      </c>
      <c r="AI45" s="4">
        <f t="shared" si="2"/>
        <v>2</v>
      </c>
    </row>
    <row r="46" spans="1:35" x14ac:dyDescent="0.25">
      <c r="A46" s="7">
        <v>42</v>
      </c>
      <c r="B46" s="20" t="s">
        <v>817</v>
      </c>
      <c r="C46" s="6" t="s">
        <v>787</v>
      </c>
      <c r="D46" s="52"/>
      <c r="E46" s="19" t="s">
        <v>20</v>
      </c>
      <c r="F46" s="19" t="s">
        <v>20</v>
      </c>
      <c r="G46" s="19" t="s">
        <v>20</v>
      </c>
      <c r="H46" s="19" t="s">
        <v>20</v>
      </c>
      <c r="I46" s="55"/>
      <c r="J46" s="19" t="s">
        <v>21</v>
      </c>
      <c r="K46" s="52"/>
      <c r="L46" s="19" t="s">
        <v>21</v>
      </c>
      <c r="M46" s="19" t="s">
        <v>20</v>
      </c>
      <c r="N46" s="19" t="s">
        <v>20</v>
      </c>
      <c r="O46" s="19" t="s">
        <v>20</v>
      </c>
      <c r="P46" s="19" t="s">
        <v>20</v>
      </c>
      <c r="Q46" s="19" t="s">
        <v>20</v>
      </c>
      <c r="R46" s="52"/>
      <c r="S46" s="19" t="s">
        <v>20</v>
      </c>
      <c r="T46" s="55"/>
      <c r="U46" s="19" t="s">
        <v>20</v>
      </c>
      <c r="V46" s="19" t="s">
        <v>20</v>
      </c>
      <c r="W46" s="19" t="s">
        <v>20</v>
      </c>
      <c r="X46" s="19" t="s">
        <v>21</v>
      </c>
      <c r="Y46" s="52"/>
      <c r="Z46" s="19" t="s">
        <v>20</v>
      </c>
      <c r="AA46" s="19" t="s">
        <v>20</v>
      </c>
      <c r="AB46" s="19" t="s">
        <v>20</v>
      </c>
      <c r="AC46" s="19" t="s">
        <v>20</v>
      </c>
      <c r="AD46" s="19" t="s">
        <v>20</v>
      </c>
      <c r="AE46" s="19" t="s">
        <v>20</v>
      </c>
      <c r="AF46" s="52"/>
      <c r="AG46" s="19" t="s">
        <v>20</v>
      </c>
      <c r="AH46" s="4">
        <f t="shared" si="1"/>
        <v>20</v>
      </c>
      <c r="AI46" s="4">
        <f t="shared" si="2"/>
        <v>3</v>
      </c>
    </row>
    <row r="47" spans="1:35" x14ac:dyDescent="0.25">
      <c r="A47" s="5">
        <v>43</v>
      </c>
      <c r="B47" s="20" t="s">
        <v>818</v>
      </c>
      <c r="C47" s="6" t="s">
        <v>787</v>
      </c>
      <c r="D47" s="52"/>
      <c r="E47" s="19" t="s">
        <v>20</v>
      </c>
      <c r="F47" s="19" t="s">
        <v>20</v>
      </c>
      <c r="G47" s="19" t="s">
        <v>20</v>
      </c>
      <c r="H47" s="19" t="s">
        <v>21</v>
      </c>
      <c r="I47" s="55"/>
      <c r="J47" s="19" t="s">
        <v>20</v>
      </c>
      <c r="K47" s="52"/>
      <c r="L47" s="19" t="s">
        <v>20</v>
      </c>
      <c r="M47" s="19" t="s">
        <v>20</v>
      </c>
      <c r="N47" s="19" t="s">
        <v>20</v>
      </c>
      <c r="O47" s="19" t="s">
        <v>20</v>
      </c>
      <c r="P47" s="19" t="s">
        <v>20</v>
      </c>
      <c r="Q47" s="19" t="s">
        <v>20</v>
      </c>
      <c r="R47" s="52"/>
      <c r="S47" s="19" t="s">
        <v>20</v>
      </c>
      <c r="T47" s="55"/>
      <c r="U47" s="19" t="s">
        <v>20</v>
      </c>
      <c r="V47" s="19" t="s">
        <v>20</v>
      </c>
      <c r="W47" s="19" t="s">
        <v>20</v>
      </c>
      <c r="X47" s="19" t="s">
        <v>20</v>
      </c>
      <c r="Y47" s="52"/>
      <c r="Z47" s="19" t="s">
        <v>20</v>
      </c>
      <c r="AA47" s="19" t="s">
        <v>20</v>
      </c>
      <c r="AB47" s="19" t="s">
        <v>20</v>
      </c>
      <c r="AC47" s="19" t="s">
        <v>20</v>
      </c>
      <c r="AD47" s="19" t="s">
        <v>21</v>
      </c>
      <c r="AE47" s="19" t="s">
        <v>20</v>
      </c>
      <c r="AF47" s="52"/>
      <c r="AG47" s="19" t="s">
        <v>20</v>
      </c>
      <c r="AH47" s="4">
        <f t="shared" si="1"/>
        <v>21</v>
      </c>
      <c r="AI47" s="4">
        <f t="shared" si="2"/>
        <v>2</v>
      </c>
    </row>
    <row r="48" spans="1:35" x14ac:dyDescent="0.25">
      <c r="A48" s="7">
        <v>44</v>
      </c>
      <c r="B48" s="20" t="s">
        <v>819</v>
      </c>
      <c r="C48" s="6" t="s">
        <v>787</v>
      </c>
      <c r="D48" s="52"/>
      <c r="E48" s="19" t="s">
        <v>20</v>
      </c>
      <c r="F48" s="19" t="s">
        <v>21</v>
      </c>
      <c r="G48" s="19" t="s">
        <v>21</v>
      </c>
      <c r="H48" s="19" t="s">
        <v>21</v>
      </c>
      <c r="I48" s="55"/>
      <c r="J48" s="19" t="s">
        <v>20</v>
      </c>
      <c r="K48" s="52"/>
      <c r="L48" s="19" t="s">
        <v>20</v>
      </c>
      <c r="M48" s="19" t="s">
        <v>21</v>
      </c>
      <c r="N48" s="19" t="s">
        <v>20</v>
      </c>
      <c r="O48" s="19" t="s">
        <v>21</v>
      </c>
      <c r="P48" s="19" t="s">
        <v>21</v>
      </c>
      <c r="Q48" s="19" t="s">
        <v>21</v>
      </c>
      <c r="R48" s="52"/>
      <c r="S48" s="19" t="s">
        <v>20</v>
      </c>
      <c r="T48" s="55"/>
      <c r="U48" s="19" t="s">
        <v>20</v>
      </c>
      <c r="V48" s="19" t="s">
        <v>20</v>
      </c>
      <c r="W48" s="19" t="s">
        <v>20</v>
      </c>
      <c r="X48" s="19" t="s">
        <v>20</v>
      </c>
      <c r="Y48" s="52"/>
      <c r="Z48" s="19" t="s">
        <v>20</v>
      </c>
      <c r="AA48" s="19" t="s">
        <v>20</v>
      </c>
      <c r="AB48" s="19" t="s">
        <v>20</v>
      </c>
      <c r="AC48" s="19" t="s">
        <v>20</v>
      </c>
      <c r="AD48" s="19" t="s">
        <v>20</v>
      </c>
      <c r="AE48" s="19" t="s">
        <v>20</v>
      </c>
      <c r="AF48" s="52"/>
      <c r="AG48" s="19" t="s">
        <v>20</v>
      </c>
      <c r="AH48" s="4">
        <f t="shared" si="1"/>
        <v>16</v>
      </c>
      <c r="AI48" s="4">
        <f t="shared" si="2"/>
        <v>7</v>
      </c>
    </row>
    <row r="49" spans="1:35" x14ac:dyDescent="0.25">
      <c r="A49" s="5">
        <v>45</v>
      </c>
      <c r="B49" s="20" t="s">
        <v>270</v>
      </c>
      <c r="C49" s="19" t="s">
        <v>787</v>
      </c>
      <c r="D49" s="52"/>
      <c r="E49" s="19" t="s">
        <v>20</v>
      </c>
      <c r="F49" s="19" t="s">
        <v>20</v>
      </c>
      <c r="G49" s="19" t="s">
        <v>20</v>
      </c>
      <c r="H49" s="19" t="s">
        <v>20</v>
      </c>
      <c r="I49" s="55"/>
      <c r="J49" s="19" t="s">
        <v>20</v>
      </c>
      <c r="K49" s="52"/>
      <c r="L49" s="19" t="s">
        <v>20</v>
      </c>
      <c r="M49" s="19" t="s">
        <v>20</v>
      </c>
      <c r="N49" s="19" t="s">
        <v>20</v>
      </c>
      <c r="O49" s="19" t="s">
        <v>20</v>
      </c>
      <c r="P49" s="19" t="s">
        <v>20</v>
      </c>
      <c r="Q49" s="19" t="s">
        <v>21</v>
      </c>
      <c r="R49" s="52"/>
      <c r="S49" s="19" t="s">
        <v>20</v>
      </c>
      <c r="T49" s="55"/>
      <c r="U49" s="19" t="s">
        <v>20</v>
      </c>
      <c r="V49" s="19" t="s">
        <v>20</v>
      </c>
      <c r="W49" s="19" t="s">
        <v>20</v>
      </c>
      <c r="X49" s="19" t="s">
        <v>21</v>
      </c>
      <c r="Y49" s="52"/>
      <c r="Z49" s="19" t="s">
        <v>20</v>
      </c>
      <c r="AA49" s="19" t="s">
        <v>20</v>
      </c>
      <c r="AB49" s="19" t="s">
        <v>20</v>
      </c>
      <c r="AC49" s="19" t="s">
        <v>20</v>
      </c>
      <c r="AD49" s="19" t="s">
        <v>20</v>
      </c>
      <c r="AE49" s="19" t="s">
        <v>21</v>
      </c>
      <c r="AF49" s="52"/>
      <c r="AG49" s="19" t="s">
        <v>20</v>
      </c>
      <c r="AH49" s="4">
        <f t="shared" si="1"/>
        <v>20</v>
      </c>
      <c r="AI49" s="4">
        <f t="shared" si="2"/>
        <v>3</v>
      </c>
    </row>
    <row r="50" spans="1:35" x14ac:dyDescent="0.25">
      <c r="A50" s="7">
        <v>46</v>
      </c>
      <c r="B50" s="20" t="s">
        <v>820</v>
      </c>
      <c r="C50" s="6" t="s">
        <v>787</v>
      </c>
      <c r="D50" s="52"/>
      <c r="E50" s="19" t="s">
        <v>20</v>
      </c>
      <c r="F50" s="19" t="s">
        <v>21</v>
      </c>
      <c r="G50" s="19" t="s">
        <v>21</v>
      </c>
      <c r="H50" s="19" t="s">
        <v>21</v>
      </c>
      <c r="I50" s="55"/>
      <c r="J50" s="19" t="s">
        <v>21</v>
      </c>
      <c r="K50" s="52"/>
      <c r="L50" s="19" t="s">
        <v>20</v>
      </c>
      <c r="M50" s="19" t="s">
        <v>20</v>
      </c>
      <c r="N50" s="19" t="s">
        <v>21</v>
      </c>
      <c r="O50" s="19" t="s">
        <v>20</v>
      </c>
      <c r="P50" s="19" t="s">
        <v>20</v>
      </c>
      <c r="Q50" s="19" t="s">
        <v>20</v>
      </c>
      <c r="R50" s="52"/>
      <c r="S50" s="19" t="s">
        <v>20</v>
      </c>
      <c r="T50" s="55"/>
      <c r="U50" s="19" t="s">
        <v>20</v>
      </c>
      <c r="V50" s="19" t="s">
        <v>20</v>
      </c>
      <c r="W50" s="19" t="s">
        <v>20</v>
      </c>
      <c r="X50" s="19" t="s">
        <v>20</v>
      </c>
      <c r="Y50" s="52"/>
      <c r="Z50" s="19" t="s">
        <v>20</v>
      </c>
      <c r="AA50" s="19" t="s">
        <v>21</v>
      </c>
      <c r="AB50" s="19" t="s">
        <v>21</v>
      </c>
      <c r="AC50" s="19" t="s">
        <v>21</v>
      </c>
      <c r="AD50" s="19" t="s">
        <v>20</v>
      </c>
      <c r="AE50" s="19" t="s">
        <v>20</v>
      </c>
      <c r="AF50" s="52"/>
      <c r="AG50" s="19" t="s">
        <v>20</v>
      </c>
      <c r="AH50" s="4">
        <f t="shared" si="1"/>
        <v>15</v>
      </c>
      <c r="AI50" s="4">
        <f t="shared" si="2"/>
        <v>8</v>
      </c>
    </row>
    <row r="51" spans="1:35" x14ac:dyDescent="0.25">
      <c r="A51" s="5">
        <v>47</v>
      </c>
      <c r="B51" s="20" t="s">
        <v>821</v>
      </c>
      <c r="C51" s="19" t="s">
        <v>787</v>
      </c>
      <c r="D51" s="53"/>
      <c r="E51" s="19" t="s">
        <v>20</v>
      </c>
      <c r="F51" s="19" t="s">
        <v>20</v>
      </c>
      <c r="G51" s="19" t="s">
        <v>20</v>
      </c>
      <c r="H51" s="19" t="s">
        <v>20</v>
      </c>
      <c r="I51" s="56"/>
      <c r="J51" s="19" t="s">
        <v>21</v>
      </c>
      <c r="K51" s="53"/>
      <c r="L51" s="19" t="s">
        <v>20</v>
      </c>
      <c r="M51" s="19" t="s">
        <v>20</v>
      </c>
      <c r="N51" s="19" t="s">
        <v>20</v>
      </c>
      <c r="O51" s="19" t="s">
        <v>20</v>
      </c>
      <c r="P51" s="19" t="s">
        <v>20</v>
      </c>
      <c r="Q51" s="19" t="s">
        <v>21</v>
      </c>
      <c r="R51" s="53"/>
      <c r="S51" s="19" t="s">
        <v>20</v>
      </c>
      <c r="T51" s="56"/>
      <c r="U51" s="19" t="s">
        <v>21</v>
      </c>
      <c r="V51" s="19" t="s">
        <v>21</v>
      </c>
      <c r="W51" s="19" t="s">
        <v>21</v>
      </c>
      <c r="X51" s="19" t="s">
        <v>21</v>
      </c>
      <c r="Y51" s="53"/>
      <c r="Z51" s="19" t="s">
        <v>20</v>
      </c>
      <c r="AA51" s="19" t="s">
        <v>20</v>
      </c>
      <c r="AB51" s="19" t="s">
        <v>20</v>
      </c>
      <c r="AC51" s="19" t="s">
        <v>20</v>
      </c>
      <c r="AD51" s="19" t="s">
        <v>21</v>
      </c>
      <c r="AE51" s="19" t="s">
        <v>20</v>
      </c>
      <c r="AF51" s="53"/>
      <c r="AG51" s="19" t="s">
        <v>20</v>
      </c>
      <c r="AH51" s="4">
        <f t="shared" si="1"/>
        <v>16</v>
      </c>
      <c r="AI51" s="4">
        <f t="shared" si="2"/>
        <v>7</v>
      </c>
    </row>
  </sheetData>
  <mergeCells count="16">
    <mergeCell ref="A1:AI1"/>
    <mergeCell ref="A2:AI2"/>
    <mergeCell ref="A3:A4"/>
    <mergeCell ref="B3:B4"/>
    <mergeCell ref="C3:C4"/>
    <mergeCell ref="AH3:AH4"/>
    <mergeCell ref="AI3:AI4"/>
    <mergeCell ref="AJ10:AM10"/>
    <mergeCell ref="AJ3:AK3"/>
    <mergeCell ref="D5:D51"/>
    <mergeCell ref="I5:I51"/>
    <mergeCell ref="K5:K51"/>
    <mergeCell ref="R5:R51"/>
    <mergeCell ref="T5:T51"/>
    <mergeCell ref="Y5:Y51"/>
    <mergeCell ref="AF5:AF51"/>
  </mergeCells>
  <conditionalFormatting sqref="D5">
    <cfRule type="expression" dxfId="129" priority="41">
      <formula>IF(D$4=TODAY(),TRUE,FALSE)</formula>
    </cfRule>
    <cfRule type="cellIs" dxfId="128" priority="40" operator="equal">
      <formula>"P"</formula>
    </cfRule>
    <cfRule type="cellIs" dxfId="127" priority="39" operator="equal">
      <formula>"A"</formula>
    </cfRule>
    <cfRule type="cellIs" dxfId="126" priority="38" operator="equal">
      <formula>"L"</formula>
    </cfRule>
    <cfRule type="expression" dxfId="125" priority="42">
      <formula>D$3="Sun"</formula>
    </cfRule>
  </conditionalFormatting>
  <conditionalFormatting sqref="D3:AG4 E5:H51 J5:J51 L5:Q51 S5:S51 U5:X51 Z5:AE51 AG5:AG51">
    <cfRule type="expression" dxfId="124" priority="54">
      <formula>D$3="Sun"</formula>
    </cfRule>
  </conditionalFormatting>
  <conditionalFormatting sqref="E5:H51 J5:J51 L5:Q51 S5:S51 U5:X51 Z5:AE51 AG5:AG51 D4:AG4">
    <cfRule type="expression" dxfId="123" priority="53">
      <formula>IF(D$4=TODAY(),TRUE,FALSE)</formula>
    </cfRule>
  </conditionalFormatting>
  <conditionalFormatting sqref="E5:H51 J5:J51 L5:Q51 S5:S51 U5:X51 Z5:AE51 AG5:AG51">
    <cfRule type="cellIs" dxfId="122" priority="52" operator="equal">
      <formula>"P"</formula>
    </cfRule>
    <cfRule type="cellIs" dxfId="121" priority="51" operator="equal">
      <formula>"A"</formula>
    </cfRule>
    <cfRule type="cellIs" dxfId="120" priority="50" operator="equal">
      <formula>"L"</formula>
    </cfRule>
  </conditionalFormatting>
  <conditionalFormatting sqref="I5">
    <cfRule type="expression" dxfId="119" priority="21">
      <formula>IF(I$4=TODAY(),TRUE,FALSE)</formula>
    </cfRule>
    <cfRule type="expression" dxfId="118" priority="22">
      <formula>I$3="Sun"</formula>
    </cfRule>
    <cfRule type="cellIs" dxfId="117" priority="18" operator="equal">
      <formula>"L"</formula>
    </cfRule>
    <cfRule type="cellIs" dxfId="116" priority="19" operator="equal">
      <formula>"A"</formula>
    </cfRule>
    <cfRule type="cellIs" dxfId="115" priority="20" operator="equal">
      <formula>"P"</formula>
    </cfRule>
  </conditionalFormatting>
  <conditionalFormatting sqref="K5">
    <cfRule type="cellIs" dxfId="114" priority="34" operator="equal">
      <formula>"A"</formula>
    </cfRule>
    <cfRule type="cellIs" dxfId="113" priority="33" operator="equal">
      <formula>"L"</formula>
    </cfRule>
    <cfRule type="expression" dxfId="112" priority="36">
      <formula>IF(K$4=TODAY(),TRUE,FALSE)</formula>
    </cfRule>
    <cfRule type="expression" dxfId="111" priority="37">
      <formula>K$3="Sun"</formula>
    </cfRule>
    <cfRule type="cellIs" dxfId="110" priority="35" operator="equal">
      <formula>"P"</formula>
    </cfRule>
  </conditionalFormatting>
  <conditionalFormatting sqref="R5">
    <cfRule type="cellIs" dxfId="109" priority="28" operator="equal">
      <formula>"L"</formula>
    </cfRule>
    <cfRule type="cellIs" dxfId="108" priority="29" operator="equal">
      <formula>"A"</formula>
    </cfRule>
    <cfRule type="cellIs" dxfId="107" priority="30" operator="equal">
      <formula>"P"</formula>
    </cfRule>
    <cfRule type="expression" dxfId="106" priority="32">
      <formula>R$3="Sun"</formula>
    </cfRule>
    <cfRule type="expression" dxfId="105" priority="31">
      <formula>IF(R$4=TODAY(),TRUE,FALSE)</formula>
    </cfRule>
  </conditionalFormatting>
  <conditionalFormatting sqref="T5">
    <cfRule type="cellIs" dxfId="104" priority="13" operator="equal">
      <formula>"L"</formula>
    </cfRule>
    <cfRule type="expression" dxfId="103" priority="17">
      <formula>T$3="Sun"</formula>
    </cfRule>
    <cfRule type="expression" dxfId="102" priority="16">
      <formula>IF(T$4=TODAY(),TRUE,FALSE)</formula>
    </cfRule>
    <cfRule type="cellIs" dxfId="101" priority="15" operator="equal">
      <formula>"P"</formula>
    </cfRule>
    <cfRule type="cellIs" dxfId="100" priority="14" operator="equal">
      <formula>"A"</formula>
    </cfRule>
  </conditionalFormatting>
  <conditionalFormatting sqref="Y5">
    <cfRule type="expression" dxfId="99" priority="26">
      <formula>IF(Y$4=TODAY(),TRUE,FALSE)</formula>
    </cfRule>
    <cfRule type="cellIs" dxfId="98" priority="25" operator="equal">
      <formula>"P"</formula>
    </cfRule>
    <cfRule type="expression" dxfId="97" priority="27">
      <formula>Y$3="Sun"</formula>
    </cfRule>
    <cfRule type="cellIs" dxfId="96" priority="24" operator="equal">
      <formula>"A"</formula>
    </cfRule>
    <cfRule type="cellIs" dxfId="95" priority="23" operator="equal">
      <formula>"L"</formula>
    </cfRule>
  </conditionalFormatting>
  <conditionalFormatting sqref="AF5">
    <cfRule type="expression" dxfId="94" priority="12">
      <formula>AF$3="Sun"</formula>
    </cfRule>
    <cfRule type="expression" dxfId="93" priority="11">
      <formula>IF(AF$4=TODAY(),TRUE,FALSE)</formula>
    </cfRule>
    <cfRule type="cellIs" dxfId="92" priority="10" operator="equal">
      <formula>"P"</formula>
    </cfRule>
    <cfRule type="cellIs" dxfId="91" priority="9" operator="equal">
      <formula>"A"</formula>
    </cfRule>
    <cfRule type="cellIs" dxfId="90" priority="8" operator="equal">
      <formula>"L"</formula>
    </cfRule>
  </conditionalFormatting>
  <conditionalFormatting sqref="AH3:AI3 AH5:AI51">
    <cfRule type="expression" dxfId="89" priority="55">
      <formula>#REF!="Sun"</formula>
    </cfRule>
  </conditionalFormatting>
  <conditionalFormatting sqref="AJ5:AJ8">
    <cfRule type="expression" dxfId="88" priority="5">
      <formula>AJ$3="Sun"</formula>
    </cfRule>
  </conditionalFormatting>
  <conditionalFormatting sqref="AJ11:AJ14">
    <cfRule type="expression" dxfId="87" priority="2">
      <formula>AJ$3="Sun"</formula>
    </cfRule>
  </conditionalFormatting>
  <conditionalFormatting sqref="AJ19:AJ22">
    <cfRule type="expression" dxfId="86" priority="1">
      <formula>AJ$3="Sun"</formula>
    </cfRule>
  </conditionalFormatting>
  <conditionalFormatting sqref="AJ4:AK4">
    <cfRule type="expression" dxfId="85" priority="6">
      <formula>AJ$3="Sun"</formula>
    </cfRule>
  </conditionalFormatting>
  <conditionalFormatting sqref="AK11:AM11 AK19:AM19">
    <cfRule type="expression" dxfId="84" priority="7">
      <formula>AK$3="Sun"</formula>
    </cfRule>
  </conditionalFormatting>
  <conditionalFormatting sqref="AM20">
    <cfRule type="expression" dxfId="83" priority="4">
      <formula>AM$3="Sun"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255C5-30B7-46E3-9EC9-A9167714FC03}">
  <dimension ref="A1:AN48"/>
  <sheetViews>
    <sheetView topLeftCell="A30" workbookViewId="0">
      <selection activeCell="AM11" sqref="AM11"/>
    </sheetView>
  </sheetViews>
  <sheetFormatPr defaultColWidth="3.85546875" defaultRowHeight="15" x14ac:dyDescent="0.2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3.85546875" style="1" bestFit="1"/>
    <col min="6" max="7" width="3.7109375" style="1" bestFit="1" customWidth="1"/>
    <col min="8" max="8" width="3.85546875" style="1" bestFit="1"/>
    <col min="9" max="9" width="4.5703125" style="1" bestFit="1" customWidth="1"/>
    <col min="10" max="21" width="4.5703125" style="1" customWidth="1"/>
    <col min="22" max="22" width="3.85546875" style="1" bestFit="1"/>
    <col min="23" max="23" width="4.7109375" style="1" bestFit="1" customWidth="1"/>
    <col min="24" max="24" width="3.85546875" style="1" bestFit="1"/>
    <col min="25" max="26" width="3.7109375" style="1" bestFit="1" customWidth="1"/>
    <col min="27" max="27" width="3.85546875" style="1" bestFit="1"/>
    <col min="28" max="28" width="4.5703125" style="1" bestFit="1" customWidth="1"/>
    <col min="29" max="29" width="3.85546875" style="1" bestFit="1"/>
    <col min="30" max="30" width="4.7109375" style="1" bestFit="1" customWidth="1"/>
    <col min="31" max="31" width="3.85546875" style="1" bestFit="1"/>
    <col min="32" max="32" width="3.7109375" style="1" bestFit="1" customWidth="1"/>
    <col min="33" max="34" width="3.7109375" style="1" customWidth="1"/>
    <col min="35" max="36" width="6.7109375" style="1" bestFit="1" customWidth="1"/>
    <col min="37" max="37" width="18.5703125" style="1" bestFit="1" customWidth="1"/>
    <col min="38" max="38" width="5.85546875" style="1" bestFit="1" customWidth="1"/>
    <col min="39" max="39" width="14.28515625" style="1" bestFit="1" customWidth="1"/>
    <col min="40" max="40" width="6.7109375" style="1" bestFit="1" customWidth="1"/>
    <col min="41" max="16384" width="3.85546875" style="1"/>
  </cols>
  <sheetData>
    <row r="1" spans="1:40" ht="17.25" x14ac:dyDescent="0.25">
      <c r="A1" s="47" t="s">
        <v>19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</row>
    <row r="2" spans="1:40" ht="17.25" x14ac:dyDescent="0.3">
      <c r="A2" s="48" t="s">
        <v>18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</row>
    <row r="3" spans="1:40" ht="15.75" x14ac:dyDescent="0.25">
      <c r="A3" s="49" t="s">
        <v>0</v>
      </c>
      <c r="B3" s="49" t="s">
        <v>1</v>
      </c>
      <c r="C3" s="49" t="s">
        <v>2</v>
      </c>
      <c r="D3" s="49" t="s">
        <v>3</v>
      </c>
      <c r="E3" s="2" t="str">
        <f t="shared" ref="E3:AH3" si="0">TEXT(E4,"ddd")</f>
        <v>Sun</v>
      </c>
      <c r="F3" s="2" t="str">
        <f t="shared" si="0"/>
        <v>Mon</v>
      </c>
      <c r="G3" s="2" t="str">
        <f t="shared" si="0"/>
        <v>Tue</v>
      </c>
      <c r="H3" s="2" t="str">
        <f t="shared" si="0"/>
        <v>Wed</v>
      </c>
      <c r="I3" s="2" t="str">
        <f t="shared" si="0"/>
        <v>Thu</v>
      </c>
      <c r="J3" s="2" t="str">
        <f t="shared" si="0"/>
        <v>Fri</v>
      </c>
      <c r="K3" s="2" t="str">
        <f t="shared" si="0"/>
        <v>Sat</v>
      </c>
      <c r="L3" s="2" t="str">
        <f t="shared" si="0"/>
        <v>Sun</v>
      </c>
      <c r="M3" s="2" t="str">
        <f t="shared" si="0"/>
        <v>Mon</v>
      </c>
      <c r="N3" s="2" t="str">
        <f t="shared" si="0"/>
        <v>Tue</v>
      </c>
      <c r="O3" s="2" t="str">
        <f t="shared" si="0"/>
        <v>Wed</v>
      </c>
      <c r="P3" s="2" t="str">
        <f t="shared" si="0"/>
        <v>Thu</v>
      </c>
      <c r="Q3" s="2" t="str">
        <f t="shared" si="0"/>
        <v>Fri</v>
      </c>
      <c r="R3" s="2" t="str">
        <f t="shared" si="0"/>
        <v>Sat</v>
      </c>
      <c r="S3" s="2" t="str">
        <f t="shared" si="0"/>
        <v>Sun</v>
      </c>
      <c r="T3" s="2" t="str">
        <f t="shared" si="0"/>
        <v>Mon</v>
      </c>
      <c r="U3" s="2" t="str">
        <f t="shared" si="0"/>
        <v>Tue</v>
      </c>
      <c r="V3" s="2" t="str">
        <f t="shared" si="0"/>
        <v>Wed</v>
      </c>
      <c r="W3" s="2" t="str">
        <f t="shared" si="0"/>
        <v>Thu</v>
      </c>
      <c r="X3" s="2" t="str">
        <f t="shared" si="0"/>
        <v>Fri</v>
      </c>
      <c r="Y3" s="2" t="str">
        <f t="shared" si="0"/>
        <v>Sat</v>
      </c>
      <c r="Z3" s="2" t="str">
        <f t="shared" si="0"/>
        <v>Sun</v>
      </c>
      <c r="AA3" s="2" t="str">
        <f t="shared" si="0"/>
        <v>Mon</v>
      </c>
      <c r="AB3" s="2" t="str">
        <f t="shared" si="0"/>
        <v>Tue</v>
      </c>
      <c r="AC3" s="2" t="str">
        <f t="shared" si="0"/>
        <v>Wed</v>
      </c>
      <c r="AD3" s="2" t="str">
        <f t="shared" si="0"/>
        <v>Thu</v>
      </c>
      <c r="AE3" s="2" t="str">
        <f t="shared" si="0"/>
        <v>Fri</v>
      </c>
      <c r="AF3" s="2" t="str">
        <f t="shared" si="0"/>
        <v>Sat</v>
      </c>
      <c r="AG3" s="2" t="str">
        <f t="shared" si="0"/>
        <v>Sun</v>
      </c>
      <c r="AH3" s="2" t="str">
        <f t="shared" si="0"/>
        <v>Mon</v>
      </c>
      <c r="AI3" s="45" t="s">
        <v>4</v>
      </c>
      <c r="AJ3" s="45" t="s">
        <v>5</v>
      </c>
      <c r="AK3" s="42" t="s">
        <v>17</v>
      </c>
      <c r="AL3" s="43"/>
      <c r="AM3" s="3"/>
      <c r="AN3" s="3"/>
    </row>
    <row r="4" spans="1:40" ht="36" x14ac:dyDescent="0.25">
      <c r="A4" s="50"/>
      <c r="B4" s="50"/>
      <c r="C4" s="50"/>
      <c r="D4" s="50"/>
      <c r="E4" s="10">
        <v>45536</v>
      </c>
      <c r="F4" s="10">
        <v>45537</v>
      </c>
      <c r="G4" s="10">
        <v>45538</v>
      </c>
      <c r="H4" s="10">
        <v>45539</v>
      </c>
      <c r="I4" s="10">
        <v>45540</v>
      </c>
      <c r="J4" s="10">
        <v>45541</v>
      </c>
      <c r="K4" s="10">
        <v>45542</v>
      </c>
      <c r="L4" s="10">
        <v>45543</v>
      </c>
      <c r="M4" s="10">
        <v>45544</v>
      </c>
      <c r="N4" s="10">
        <v>45545</v>
      </c>
      <c r="O4" s="10">
        <v>45546</v>
      </c>
      <c r="P4" s="10">
        <v>45547</v>
      </c>
      <c r="Q4" s="10">
        <v>45548</v>
      </c>
      <c r="R4" s="10">
        <v>45549</v>
      </c>
      <c r="S4" s="10">
        <v>45550</v>
      </c>
      <c r="T4" s="10">
        <v>45551</v>
      </c>
      <c r="U4" s="10">
        <v>45552</v>
      </c>
      <c r="V4" s="10">
        <v>45553</v>
      </c>
      <c r="W4" s="10">
        <v>45554</v>
      </c>
      <c r="X4" s="10">
        <v>45555</v>
      </c>
      <c r="Y4" s="10">
        <v>45556</v>
      </c>
      <c r="Z4" s="10">
        <v>45557</v>
      </c>
      <c r="AA4" s="10">
        <v>45558</v>
      </c>
      <c r="AB4" s="10">
        <v>45559</v>
      </c>
      <c r="AC4" s="10">
        <v>45560</v>
      </c>
      <c r="AD4" s="10">
        <v>45561</v>
      </c>
      <c r="AE4" s="10">
        <v>45562</v>
      </c>
      <c r="AF4" s="10">
        <v>45563</v>
      </c>
      <c r="AG4" s="10">
        <v>45564</v>
      </c>
      <c r="AH4" s="10">
        <v>45565</v>
      </c>
      <c r="AI4" s="45"/>
      <c r="AJ4" s="45"/>
      <c r="AK4" s="4" t="s">
        <v>103</v>
      </c>
      <c r="AL4" s="4">
        <f>SUM(AL5:AL7)</f>
        <v>30</v>
      </c>
      <c r="AM4" s="3"/>
      <c r="AN4" s="3"/>
    </row>
    <row r="5" spans="1:40" ht="15" customHeight="1" x14ac:dyDescent="0.25">
      <c r="A5" s="5">
        <v>1</v>
      </c>
      <c r="B5" s="13" t="s">
        <v>106</v>
      </c>
      <c r="C5" s="12" t="s">
        <v>107</v>
      </c>
      <c r="D5" s="6" t="s">
        <v>108</v>
      </c>
      <c r="E5" s="51" t="s">
        <v>109</v>
      </c>
      <c r="F5" s="19" t="s">
        <v>20</v>
      </c>
      <c r="G5" s="19" t="s">
        <v>20</v>
      </c>
      <c r="H5" s="19" t="s">
        <v>20</v>
      </c>
      <c r="I5" s="19" t="s">
        <v>20</v>
      </c>
      <c r="J5" s="19" t="s">
        <v>21</v>
      </c>
      <c r="K5" s="19" t="s">
        <v>21</v>
      </c>
      <c r="L5" s="51" t="s">
        <v>109</v>
      </c>
      <c r="M5" s="19" t="s">
        <v>20</v>
      </c>
      <c r="N5" s="19" t="s">
        <v>20</v>
      </c>
      <c r="O5" s="19" t="s">
        <v>20</v>
      </c>
      <c r="P5" s="19" t="s">
        <v>20</v>
      </c>
      <c r="Q5" s="19" t="s">
        <v>20</v>
      </c>
      <c r="R5" s="19" t="s">
        <v>20</v>
      </c>
      <c r="S5" s="51" t="s">
        <v>109</v>
      </c>
      <c r="T5" s="19" t="s">
        <v>20</v>
      </c>
      <c r="U5" s="54" t="s">
        <v>101</v>
      </c>
      <c r="V5" s="19" t="s">
        <v>20</v>
      </c>
      <c r="W5" s="19" t="s">
        <v>20</v>
      </c>
      <c r="X5" s="19" t="s">
        <v>20</v>
      </c>
      <c r="Y5" s="19" t="s">
        <v>20</v>
      </c>
      <c r="Z5" s="51" t="s">
        <v>109</v>
      </c>
      <c r="AA5" s="19" t="s">
        <v>20</v>
      </c>
      <c r="AB5" s="19" t="s">
        <v>20</v>
      </c>
      <c r="AC5" s="19" t="s">
        <v>20</v>
      </c>
      <c r="AD5" s="19" t="s">
        <v>20</v>
      </c>
      <c r="AE5" s="19" t="s">
        <v>20</v>
      </c>
      <c r="AF5" s="19" t="s">
        <v>20</v>
      </c>
      <c r="AG5" s="51" t="s">
        <v>109</v>
      </c>
      <c r="AH5" s="19" t="s">
        <v>20</v>
      </c>
      <c r="AI5" s="4">
        <f t="shared" ref="AI5:AI48" si="1">COUNTIF(E5:AH5,"P")</f>
        <v>22</v>
      </c>
      <c r="AJ5" s="4">
        <f t="shared" ref="AJ5:AJ48" si="2">COUNTIF(E5:AH5,"A")</f>
        <v>2</v>
      </c>
      <c r="AK5" s="4" t="s">
        <v>6</v>
      </c>
      <c r="AL5" s="7">
        <v>24</v>
      </c>
      <c r="AM5" s="8"/>
      <c r="AN5" s="3"/>
    </row>
    <row r="6" spans="1:40" x14ac:dyDescent="0.25">
      <c r="A6" s="7">
        <v>2</v>
      </c>
      <c r="B6" s="13" t="s">
        <v>110</v>
      </c>
      <c r="C6" s="12" t="s">
        <v>35</v>
      </c>
      <c r="D6" s="6" t="s">
        <v>108</v>
      </c>
      <c r="E6" s="52"/>
      <c r="F6" s="19" t="s">
        <v>20</v>
      </c>
      <c r="G6" s="19" t="s">
        <v>20</v>
      </c>
      <c r="H6" s="19" t="s">
        <v>20</v>
      </c>
      <c r="I6" s="19" t="s">
        <v>20</v>
      </c>
      <c r="J6" s="19" t="s">
        <v>20</v>
      </c>
      <c r="K6" s="19" t="s">
        <v>20</v>
      </c>
      <c r="L6" s="52"/>
      <c r="M6" s="19" t="s">
        <v>20</v>
      </c>
      <c r="N6" s="19" t="s">
        <v>20</v>
      </c>
      <c r="O6" s="19" t="s">
        <v>20</v>
      </c>
      <c r="P6" s="19" t="s">
        <v>20</v>
      </c>
      <c r="Q6" s="19" t="s">
        <v>20</v>
      </c>
      <c r="R6" s="19" t="s">
        <v>20</v>
      </c>
      <c r="S6" s="52"/>
      <c r="T6" s="19" t="s">
        <v>20</v>
      </c>
      <c r="U6" s="55"/>
      <c r="V6" s="19" t="s">
        <v>20</v>
      </c>
      <c r="W6" s="19" t="s">
        <v>20</v>
      </c>
      <c r="X6" s="19" t="s">
        <v>20</v>
      </c>
      <c r="Y6" s="19" t="s">
        <v>21</v>
      </c>
      <c r="Z6" s="52"/>
      <c r="AA6" s="19" t="s">
        <v>20</v>
      </c>
      <c r="AB6" s="19" t="s">
        <v>20</v>
      </c>
      <c r="AC6" s="19" t="s">
        <v>20</v>
      </c>
      <c r="AD6" s="19" t="s">
        <v>20</v>
      </c>
      <c r="AE6" s="19" t="s">
        <v>20</v>
      </c>
      <c r="AF6" s="19" t="s">
        <v>20</v>
      </c>
      <c r="AG6" s="52"/>
      <c r="AH6" s="19" t="s">
        <v>20</v>
      </c>
      <c r="AI6" s="4">
        <f t="shared" si="1"/>
        <v>23</v>
      </c>
      <c r="AJ6" s="4">
        <f t="shared" si="2"/>
        <v>1</v>
      </c>
      <c r="AK6" s="4" t="s">
        <v>7</v>
      </c>
      <c r="AL6" s="7">
        <v>5</v>
      </c>
      <c r="AM6" s="3"/>
      <c r="AN6" s="3"/>
    </row>
    <row r="7" spans="1:40" x14ac:dyDescent="0.25">
      <c r="A7" s="5">
        <v>3</v>
      </c>
      <c r="B7" s="13" t="s">
        <v>111</v>
      </c>
      <c r="C7" s="12" t="s">
        <v>112</v>
      </c>
      <c r="D7" s="6" t="s">
        <v>108</v>
      </c>
      <c r="E7" s="52"/>
      <c r="F7" s="19" t="s">
        <v>20</v>
      </c>
      <c r="G7" s="19" t="s">
        <v>20</v>
      </c>
      <c r="H7" s="19" t="s">
        <v>20</v>
      </c>
      <c r="I7" s="19" t="s">
        <v>20</v>
      </c>
      <c r="J7" s="19" t="s">
        <v>20</v>
      </c>
      <c r="K7" s="19" t="s">
        <v>20</v>
      </c>
      <c r="L7" s="52"/>
      <c r="M7" s="19" t="s">
        <v>20</v>
      </c>
      <c r="N7" s="19" t="s">
        <v>20</v>
      </c>
      <c r="O7" s="19" t="s">
        <v>20</v>
      </c>
      <c r="P7" s="19" t="s">
        <v>20</v>
      </c>
      <c r="Q7" s="19" t="s">
        <v>20</v>
      </c>
      <c r="R7" s="19" t="s">
        <v>20</v>
      </c>
      <c r="S7" s="52"/>
      <c r="T7" s="19" t="s">
        <v>20</v>
      </c>
      <c r="U7" s="55"/>
      <c r="V7" s="19" t="s">
        <v>20</v>
      </c>
      <c r="W7" s="19" t="s">
        <v>20</v>
      </c>
      <c r="X7" s="19" t="s">
        <v>20</v>
      </c>
      <c r="Y7" s="19" t="s">
        <v>20</v>
      </c>
      <c r="Z7" s="52"/>
      <c r="AA7" s="19" t="s">
        <v>20</v>
      </c>
      <c r="AB7" s="19" t="s">
        <v>20</v>
      </c>
      <c r="AC7" s="19" t="s">
        <v>20</v>
      </c>
      <c r="AD7" s="19" t="s">
        <v>20</v>
      </c>
      <c r="AE7" s="19" t="s">
        <v>20</v>
      </c>
      <c r="AF7" s="19" t="s">
        <v>20</v>
      </c>
      <c r="AG7" s="52"/>
      <c r="AH7" s="19" t="s">
        <v>20</v>
      </c>
      <c r="AI7" s="4">
        <f t="shared" si="1"/>
        <v>24</v>
      </c>
      <c r="AJ7" s="4">
        <f t="shared" si="2"/>
        <v>0</v>
      </c>
      <c r="AK7" s="4" t="s">
        <v>105</v>
      </c>
      <c r="AL7" s="7">
        <v>1</v>
      </c>
      <c r="AM7" s="3"/>
      <c r="AN7" s="3"/>
    </row>
    <row r="8" spans="1:40" x14ac:dyDescent="0.25">
      <c r="A8" s="7">
        <v>4</v>
      </c>
      <c r="B8" s="13" t="s">
        <v>113</v>
      </c>
      <c r="C8" s="12" t="s">
        <v>114</v>
      </c>
      <c r="D8" s="6" t="s">
        <v>108</v>
      </c>
      <c r="E8" s="52"/>
      <c r="F8" s="19" t="s">
        <v>20</v>
      </c>
      <c r="G8" s="19" t="s">
        <v>20</v>
      </c>
      <c r="H8" s="19" t="s">
        <v>20</v>
      </c>
      <c r="I8" s="19" t="s">
        <v>20</v>
      </c>
      <c r="J8" s="19" t="s">
        <v>20</v>
      </c>
      <c r="K8" s="19" t="s">
        <v>20</v>
      </c>
      <c r="L8" s="52"/>
      <c r="M8" s="19" t="s">
        <v>20</v>
      </c>
      <c r="N8" s="19" t="s">
        <v>20</v>
      </c>
      <c r="O8" s="19" t="s">
        <v>20</v>
      </c>
      <c r="P8" s="19" t="s">
        <v>20</v>
      </c>
      <c r="Q8" s="19" t="s">
        <v>20</v>
      </c>
      <c r="R8" s="19" t="s">
        <v>20</v>
      </c>
      <c r="S8" s="52"/>
      <c r="T8" s="19" t="s">
        <v>20</v>
      </c>
      <c r="U8" s="55"/>
      <c r="V8" s="19" t="s">
        <v>20</v>
      </c>
      <c r="W8" s="19" t="s">
        <v>20</v>
      </c>
      <c r="X8" s="19" t="s">
        <v>20</v>
      </c>
      <c r="Y8" s="19" t="s">
        <v>20</v>
      </c>
      <c r="Z8" s="52"/>
      <c r="AA8" s="19" t="s">
        <v>20</v>
      </c>
      <c r="AB8" s="19" t="s">
        <v>20</v>
      </c>
      <c r="AC8" s="19" t="s">
        <v>20</v>
      </c>
      <c r="AD8" s="19" t="s">
        <v>20</v>
      </c>
      <c r="AE8" s="19" t="s">
        <v>20</v>
      </c>
      <c r="AF8" s="19" t="s">
        <v>20</v>
      </c>
      <c r="AG8" s="52"/>
      <c r="AH8" s="19" t="s">
        <v>20</v>
      </c>
      <c r="AI8" s="4">
        <f t="shared" si="1"/>
        <v>24</v>
      </c>
      <c r="AJ8" s="4">
        <f t="shared" si="2"/>
        <v>0</v>
      </c>
      <c r="AK8"/>
      <c r="AL8"/>
      <c r="AM8"/>
      <c r="AN8"/>
    </row>
    <row r="9" spans="1:40" ht="15.75" x14ac:dyDescent="0.25">
      <c r="A9" s="5">
        <v>5</v>
      </c>
      <c r="B9" s="13" t="s">
        <v>115</v>
      </c>
      <c r="C9" s="12" t="s">
        <v>116</v>
      </c>
      <c r="D9" s="6" t="s">
        <v>108</v>
      </c>
      <c r="E9" s="52"/>
      <c r="F9" s="19" t="s">
        <v>20</v>
      </c>
      <c r="G9" s="19" t="s">
        <v>20</v>
      </c>
      <c r="H9" s="19" t="s">
        <v>20</v>
      </c>
      <c r="I9" s="19" t="s">
        <v>20</v>
      </c>
      <c r="J9" s="19" t="s">
        <v>20</v>
      </c>
      <c r="K9" s="19" t="s">
        <v>20</v>
      </c>
      <c r="L9" s="52"/>
      <c r="M9" s="19" t="s">
        <v>20</v>
      </c>
      <c r="N9" s="19" t="s">
        <v>20</v>
      </c>
      <c r="O9" s="19" t="s">
        <v>20</v>
      </c>
      <c r="P9" s="19" t="s">
        <v>20</v>
      </c>
      <c r="Q9" s="19" t="s">
        <v>20</v>
      </c>
      <c r="R9" s="19" t="s">
        <v>20</v>
      </c>
      <c r="S9" s="52"/>
      <c r="T9" s="19" t="s">
        <v>20</v>
      </c>
      <c r="U9" s="55"/>
      <c r="V9" s="19" t="s">
        <v>20</v>
      </c>
      <c r="W9" s="19" t="s">
        <v>20</v>
      </c>
      <c r="X9" s="19" t="s">
        <v>20</v>
      </c>
      <c r="Y9" s="19" t="s">
        <v>20</v>
      </c>
      <c r="Z9" s="52"/>
      <c r="AA9" s="19" t="s">
        <v>20</v>
      </c>
      <c r="AB9" s="19" t="s">
        <v>20</v>
      </c>
      <c r="AC9" s="19" t="s">
        <v>20</v>
      </c>
      <c r="AD9" s="19" t="s">
        <v>20</v>
      </c>
      <c r="AE9" s="19" t="s">
        <v>20</v>
      </c>
      <c r="AF9" s="19" t="s">
        <v>20</v>
      </c>
      <c r="AG9" s="52"/>
      <c r="AH9" s="19" t="s">
        <v>20</v>
      </c>
      <c r="AI9" s="4">
        <f t="shared" si="1"/>
        <v>24</v>
      </c>
      <c r="AJ9" s="4">
        <f t="shared" si="2"/>
        <v>0</v>
      </c>
      <c r="AK9" s="42" t="s">
        <v>8</v>
      </c>
      <c r="AL9" s="43"/>
      <c r="AM9" s="43"/>
      <c r="AN9" s="44"/>
    </row>
    <row r="10" spans="1:40" x14ac:dyDescent="0.25">
      <c r="A10" s="7">
        <v>6</v>
      </c>
      <c r="B10" s="13" t="s">
        <v>117</v>
      </c>
      <c r="C10" s="12" t="s">
        <v>107</v>
      </c>
      <c r="D10" s="6" t="s">
        <v>108</v>
      </c>
      <c r="E10" s="52"/>
      <c r="F10" s="19" t="s">
        <v>20</v>
      </c>
      <c r="G10" s="19" t="s">
        <v>20</v>
      </c>
      <c r="H10" s="19" t="s">
        <v>20</v>
      </c>
      <c r="I10" s="19" t="s">
        <v>20</v>
      </c>
      <c r="J10" s="19" t="s">
        <v>20</v>
      </c>
      <c r="K10" s="19" t="s">
        <v>21</v>
      </c>
      <c r="L10" s="52"/>
      <c r="M10" s="19" t="s">
        <v>20</v>
      </c>
      <c r="N10" s="19" t="s">
        <v>20</v>
      </c>
      <c r="O10" s="19" t="s">
        <v>20</v>
      </c>
      <c r="P10" s="19" t="s">
        <v>20</v>
      </c>
      <c r="Q10" s="19" t="s">
        <v>20</v>
      </c>
      <c r="R10" s="19" t="s">
        <v>20</v>
      </c>
      <c r="S10" s="52"/>
      <c r="T10" s="19" t="s">
        <v>20</v>
      </c>
      <c r="U10" s="55"/>
      <c r="V10" s="19" t="s">
        <v>20</v>
      </c>
      <c r="W10" s="19" t="s">
        <v>20</v>
      </c>
      <c r="X10" s="19" t="s">
        <v>20</v>
      </c>
      <c r="Y10" s="19" t="s">
        <v>20</v>
      </c>
      <c r="Z10" s="52"/>
      <c r="AA10" s="19" t="s">
        <v>20</v>
      </c>
      <c r="AB10" s="19" t="s">
        <v>20</v>
      </c>
      <c r="AC10" s="19" t="s">
        <v>20</v>
      </c>
      <c r="AD10" s="19" t="s">
        <v>20</v>
      </c>
      <c r="AE10" s="19" t="s">
        <v>20</v>
      </c>
      <c r="AF10" s="19" t="s">
        <v>20</v>
      </c>
      <c r="AG10" s="52"/>
      <c r="AH10" s="19" t="s">
        <v>20</v>
      </c>
      <c r="AI10" s="4">
        <f t="shared" si="1"/>
        <v>23</v>
      </c>
      <c r="AJ10" s="4">
        <f t="shared" si="2"/>
        <v>1</v>
      </c>
      <c r="AK10" s="4" t="s">
        <v>9</v>
      </c>
      <c r="AL10" s="4" t="s">
        <v>10</v>
      </c>
      <c r="AM10" s="4" t="s">
        <v>11</v>
      </c>
      <c r="AN10" s="4" t="s">
        <v>12</v>
      </c>
    </row>
    <row r="11" spans="1:40" x14ac:dyDescent="0.25">
      <c r="A11" s="5">
        <v>7</v>
      </c>
      <c r="B11" s="13" t="s">
        <v>118</v>
      </c>
      <c r="C11" s="12" t="s">
        <v>119</v>
      </c>
      <c r="D11" s="6" t="s">
        <v>108</v>
      </c>
      <c r="E11" s="52"/>
      <c r="F11" s="19" t="s">
        <v>20</v>
      </c>
      <c r="G11" s="19" t="s">
        <v>20</v>
      </c>
      <c r="H11" s="19" t="s">
        <v>20</v>
      </c>
      <c r="I11" s="19" t="s">
        <v>20</v>
      </c>
      <c r="J11" s="19" t="s">
        <v>20</v>
      </c>
      <c r="K11" s="19" t="s">
        <v>20</v>
      </c>
      <c r="L11" s="52"/>
      <c r="M11" s="19" t="s">
        <v>20</v>
      </c>
      <c r="N11" s="19" t="s">
        <v>20</v>
      </c>
      <c r="O11" s="19" t="s">
        <v>20</v>
      </c>
      <c r="P11" s="19" t="s">
        <v>20</v>
      </c>
      <c r="Q11" s="19" t="s">
        <v>20</v>
      </c>
      <c r="R11" s="19" t="s">
        <v>20</v>
      </c>
      <c r="S11" s="52"/>
      <c r="T11" s="19" t="s">
        <v>20</v>
      </c>
      <c r="U11" s="55"/>
      <c r="V11" s="19" t="s">
        <v>20</v>
      </c>
      <c r="W11" s="19" t="s">
        <v>20</v>
      </c>
      <c r="X11" s="19" t="s">
        <v>20</v>
      </c>
      <c r="Y11" s="19" t="s">
        <v>20</v>
      </c>
      <c r="Z11" s="52"/>
      <c r="AA11" s="19" t="s">
        <v>20</v>
      </c>
      <c r="AB11" s="19" t="s">
        <v>20</v>
      </c>
      <c r="AC11" s="19" t="s">
        <v>20</v>
      </c>
      <c r="AD11" s="19" t="s">
        <v>20</v>
      </c>
      <c r="AE11" s="19" t="s">
        <v>20</v>
      </c>
      <c r="AF11" s="19" t="s">
        <v>20</v>
      </c>
      <c r="AG11" s="52"/>
      <c r="AH11" s="19" t="s">
        <v>20</v>
      </c>
      <c r="AI11" s="4">
        <f t="shared" si="1"/>
        <v>24</v>
      </c>
      <c r="AJ11" s="4">
        <f t="shared" si="2"/>
        <v>0</v>
      </c>
      <c r="AK11" s="4" t="s">
        <v>13</v>
      </c>
      <c r="AL11" s="7">
        <f>20*$AL$5</f>
        <v>480</v>
      </c>
      <c r="AM11" s="7">
        <f>24*$AL$5</f>
        <v>576</v>
      </c>
      <c r="AN11" s="7">
        <f>SUM(AL11:AM11)</f>
        <v>1056</v>
      </c>
    </row>
    <row r="12" spans="1:40" x14ac:dyDescent="0.25">
      <c r="A12" s="7">
        <v>8</v>
      </c>
      <c r="B12" s="13" t="s">
        <v>120</v>
      </c>
      <c r="C12" s="12" t="s">
        <v>121</v>
      </c>
      <c r="D12" s="6" t="s">
        <v>108</v>
      </c>
      <c r="E12" s="52"/>
      <c r="F12" s="19" t="s">
        <v>20</v>
      </c>
      <c r="G12" s="19" t="s">
        <v>20</v>
      </c>
      <c r="H12" s="19" t="s">
        <v>20</v>
      </c>
      <c r="I12" s="19" t="s">
        <v>20</v>
      </c>
      <c r="J12" s="19" t="s">
        <v>20</v>
      </c>
      <c r="K12" s="19" t="s">
        <v>20</v>
      </c>
      <c r="L12" s="52"/>
      <c r="M12" s="19" t="s">
        <v>20</v>
      </c>
      <c r="N12" s="19" t="s">
        <v>20</v>
      </c>
      <c r="O12" s="19" t="s">
        <v>20</v>
      </c>
      <c r="P12" s="19" t="s">
        <v>20</v>
      </c>
      <c r="Q12" s="19" t="s">
        <v>20</v>
      </c>
      <c r="R12" s="19" t="s">
        <v>20</v>
      </c>
      <c r="S12" s="52"/>
      <c r="T12" s="19" t="s">
        <v>20</v>
      </c>
      <c r="U12" s="55"/>
      <c r="V12" s="19" t="s">
        <v>20</v>
      </c>
      <c r="W12" s="19" t="s">
        <v>20</v>
      </c>
      <c r="X12" s="19" t="s">
        <v>20</v>
      </c>
      <c r="Y12" s="19" t="s">
        <v>20</v>
      </c>
      <c r="Z12" s="52"/>
      <c r="AA12" s="19" t="s">
        <v>20</v>
      </c>
      <c r="AB12" s="19" t="s">
        <v>20</v>
      </c>
      <c r="AC12" s="19" t="s">
        <v>20</v>
      </c>
      <c r="AD12" s="19" t="s">
        <v>20</v>
      </c>
      <c r="AE12" s="19" t="s">
        <v>20</v>
      </c>
      <c r="AF12" s="19" t="s">
        <v>20</v>
      </c>
      <c r="AG12" s="52"/>
      <c r="AH12" s="19" t="s">
        <v>20</v>
      </c>
      <c r="AI12" s="4">
        <f t="shared" si="1"/>
        <v>24</v>
      </c>
      <c r="AJ12" s="4">
        <f t="shared" si="2"/>
        <v>0</v>
      </c>
      <c r="AK12" s="4" t="s">
        <v>14</v>
      </c>
      <c r="AL12" s="7">
        <f>SUM(AI29:AI48)</f>
        <v>353</v>
      </c>
      <c r="AM12" s="7">
        <f>SUM(AI5:AI28)</f>
        <v>520</v>
      </c>
      <c r="AN12" s="7">
        <f>AL12+AM12</f>
        <v>873</v>
      </c>
    </row>
    <row r="13" spans="1:40" x14ac:dyDescent="0.25">
      <c r="A13" s="5">
        <v>9</v>
      </c>
      <c r="B13" s="13" t="s">
        <v>122</v>
      </c>
      <c r="C13" s="12" t="s">
        <v>123</v>
      </c>
      <c r="D13" s="6" t="s">
        <v>108</v>
      </c>
      <c r="E13" s="52"/>
      <c r="F13" s="19" t="s">
        <v>20</v>
      </c>
      <c r="G13" s="19" t="s">
        <v>20</v>
      </c>
      <c r="H13" s="19" t="s">
        <v>20</v>
      </c>
      <c r="I13" s="19" t="s">
        <v>20</v>
      </c>
      <c r="J13" s="19" t="s">
        <v>20</v>
      </c>
      <c r="K13" s="19" t="s">
        <v>20</v>
      </c>
      <c r="L13" s="52"/>
      <c r="M13" s="19" t="s">
        <v>20</v>
      </c>
      <c r="N13" s="19" t="s">
        <v>20</v>
      </c>
      <c r="O13" s="19" t="s">
        <v>20</v>
      </c>
      <c r="P13" s="19" t="s">
        <v>20</v>
      </c>
      <c r="Q13" s="19" t="s">
        <v>20</v>
      </c>
      <c r="R13" s="19" t="s">
        <v>20</v>
      </c>
      <c r="S13" s="52"/>
      <c r="T13" s="19" t="s">
        <v>20</v>
      </c>
      <c r="U13" s="55"/>
      <c r="V13" s="19" t="s">
        <v>20</v>
      </c>
      <c r="W13" s="19" t="s">
        <v>20</v>
      </c>
      <c r="X13" s="19" t="s">
        <v>20</v>
      </c>
      <c r="Y13" s="19" t="s">
        <v>21</v>
      </c>
      <c r="Z13" s="52"/>
      <c r="AA13" s="19" t="s">
        <v>20</v>
      </c>
      <c r="AB13" s="19" t="s">
        <v>20</v>
      </c>
      <c r="AC13" s="19" t="s">
        <v>20</v>
      </c>
      <c r="AD13" s="19" t="s">
        <v>20</v>
      </c>
      <c r="AE13" s="19" t="s">
        <v>20</v>
      </c>
      <c r="AF13" s="19" t="s">
        <v>20</v>
      </c>
      <c r="AG13" s="52"/>
      <c r="AH13" s="19" t="s">
        <v>20</v>
      </c>
      <c r="AI13" s="4">
        <f t="shared" si="1"/>
        <v>23</v>
      </c>
      <c r="AJ13" s="4">
        <f t="shared" si="2"/>
        <v>1</v>
      </c>
      <c r="AK13" s="4" t="s">
        <v>15</v>
      </c>
      <c r="AL13" s="9">
        <f>AL12/AL11</f>
        <v>0.73541666666666672</v>
      </c>
      <c r="AM13" s="9">
        <f>AM12/AM11</f>
        <v>0.90277777777777779</v>
      </c>
      <c r="AN13" s="9">
        <f>AN12/AN11</f>
        <v>0.82670454545454541</v>
      </c>
    </row>
    <row r="14" spans="1:40" x14ac:dyDescent="0.25">
      <c r="A14" s="7">
        <v>10</v>
      </c>
      <c r="B14" s="13" t="s">
        <v>124</v>
      </c>
      <c r="C14" s="12" t="s">
        <v>125</v>
      </c>
      <c r="D14" s="6" t="s">
        <v>108</v>
      </c>
      <c r="E14" s="52"/>
      <c r="F14" s="19" t="s">
        <v>20</v>
      </c>
      <c r="G14" s="19" t="s">
        <v>20</v>
      </c>
      <c r="H14" s="19" t="s">
        <v>20</v>
      </c>
      <c r="I14" s="19" t="s">
        <v>21</v>
      </c>
      <c r="J14" s="19" t="s">
        <v>21</v>
      </c>
      <c r="K14" s="19" t="s">
        <v>21</v>
      </c>
      <c r="L14" s="52"/>
      <c r="M14" s="19" t="s">
        <v>20</v>
      </c>
      <c r="N14" s="19" t="s">
        <v>20</v>
      </c>
      <c r="O14" s="19" t="s">
        <v>20</v>
      </c>
      <c r="P14" s="19" t="s">
        <v>20</v>
      </c>
      <c r="Q14" s="19" t="s">
        <v>20</v>
      </c>
      <c r="R14" s="19" t="s">
        <v>20</v>
      </c>
      <c r="S14" s="52"/>
      <c r="T14" s="19" t="s">
        <v>20</v>
      </c>
      <c r="U14" s="55"/>
      <c r="V14" s="19" t="s">
        <v>20</v>
      </c>
      <c r="W14" s="19" t="s">
        <v>20</v>
      </c>
      <c r="X14" s="19" t="s">
        <v>20</v>
      </c>
      <c r="Y14" s="19" t="s">
        <v>21</v>
      </c>
      <c r="Z14" s="52"/>
      <c r="AA14" s="19" t="s">
        <v>20</v>
      </c>
      <c r="AB14" s="19" t="s">
        <v>20</v>
      </c>
      <c r="AC14" s="19" t="s">
        <v>20</v>
      </c>
      <c r="AD14" s="19" t="s">
        <v>20</v>
      </c>
      <c r="AE14" s="19" t="s">
        <v>20</v>
      </c>
      <c r="AF14" s="19" t="s">
        <v>20</v>
      </c>
      <c r="AG14" s="52"/>
      <c r="AH14" s="19" t="s">
        <v>20</v>
      </c>
      <c r="AI14" s="4">
        <f t="shared" si="1"/>
        <v>20</v>
      </c>
      <c r="AJ14" s="4">
        <f t="shared" si="2"/>
        <v>4</v>
      </c>
      <c r="AK14"/>
      <c r="AL14"/>
      <c r="AM14"/>
      <c r="AN14"/>
    </row>
    <row r="15" spans="1:40" x14ac:dyDescent="0.25">
      <c r="A15" s="5">
        <v>11</v>
      </c>
      <c r="B15" s="13" t="s">
        <v>126</v>
      </c>
      <c r="C15" s="12" t="s">
        <v>127</v>
      </c>
      <c r="D15" s="6" t="s">
        <v>108</v>
      </c>
      <c r="E15" s="52"/>
      <c r="F15" s="19" t="s">
        <v>20</v>
      </c>
      <c r="G15" s="19" t="s">
        <v>21</v>
      </c>
      <c r="H15" s="19" t="s">
        <v>21</v>
      </c>
      <c r="I15" s="19" t="s">
        <v>21</v>
      </c>
      <c r="J15" s="19" t="s">
        <v>21</v>
      </c>
      <c r="K15" s="19" t="s">
        <v>21</v>
      </c>
      <c r="L15" s="52"/>
      <c r="M15" s="19" t="s">
        <v>20</v>
      </c>
      <c r="N15" s="19" t="s">
        <v>20</v>
      </c>
      <c r="O15" s="19" t="s">
        <v>20</v>
      </c>
      <c r="P15" s="19" t="s">
        <v>20</v>
      </c>
      <c r="Q15" s="19" t="s">
        <v>20</v>
      </c>
      <c r="R15" s="19" t="s">
        <v>20</v>
      </c>
      <c r="S15" s="52"/>
      <c r="T15" s="19" t="s">
        <v>20</v>
      </c>
      <c r="U15" s="55"/>
      <c r="V15" s="19" t="s">
        <v>20</v>
      </c>
      <c r="W15" s="19" t="s">
        <v>20</v>
      </c>
      <c r="X15" s="19" t="s">
        <v>20</v>
      </c>
      <c r="Y15" s="19" t="s">
        <v>20</v>
      </c>
      <c r="Z15" s="52"/>
      <c r="AA15" s="19" t="s">
        <v>20</v>
      </c>
      <c r="AB15" s="19" t="s">
        <v>20</v>
      </c>
      <c r="AC15" s="19" t="s">
        <v>20</v>
      </c>
      <c r="AD15" s="19" t="s">
        <v>20</v>
      </c>
      <c r="AE15" s="19" t="s">
        <v>20</v>
      </c>
      <c r="AF15" s="19" t="s">
        <v>20</v>
      </c>
      <c r="AG15" s="52"/>
      <c r="AH15" s="19" t="s">
        <v>20</v>
      </c>
      <c r="AI15" s="4">
        <f t="shared" si="1"/>
        <v>19</v>
      </c>
      <c r="AJ15" s="4">
        <f t="shared" si="2"/>
        <v>5</v>
      </c>
      <c r="AK15"/>
      <c r="AL15"/>
      <c r="AM15"/>
      <c r="AN15"/>
    </row>
    <row r="16" spans="1:40" x14ac:dyDescent="0.25">
      <c r="A16" s="7">
        <v>12</v>
      </c>
      <c r="B16" s="13" t="s">
        <v>128</v>
      </c>
      <c r="C16" s="12" t="s">
        <v>129</v>
      </c>
      <c r="D16" s="6" t="s">
        <v>108</v>
      </c>
      <c r="E16" s="52"/>
      <c r="F16" s="19" t="s">
        <v>20</v>
      </c>
      <c r="G16" s="19" t="s">
        <v>20</v>
      </c>
      <c r="H16" s="19" t="s">
        <v>20</v>
      </c>
      <c r="I16" s="19" t="s">
        <v>20</v>
      </c>
      <c r="J16" s="19" t="s">
        <v>20</v>
      </c>
      <c r="K16" s="19" t="s">
        <v>20</v>
      </c>
      <c r="L16" s="52"/>
      <c r="M16" s="19" t="s">
        <v>20</v>
      </c>
      <c r="N16" s="19" t="s">
        <v>20</v>
      </c>
      <c r="O16" s="19" t="s">
        <v>20</v>
      </c>
      <c r="P16" s="19" t="s">
        <v>20</v>
      </c>
      <c r="Q16" s="19" t="s">
        <v>20</v>
      </c>
      <c r="R16" s="19" t="s">
        <v>20</v>
      </c>
      <c r="S16" s="52"/>
      <c r="T16" s="19" t="s">
        <v>20</v>
      </c>
      <c r="U16" s="55"/>
      <c r="V16" s="19" t="s">
        <v>20</v>
      </c>
      <c r="W16" s="19" t="s">
        <v>20</v>
      </c>
      <c r="X16" s="19" t="s">
        <v>20</v>
      </c>
      <c r="Y16" s="19" t="s">
        <v>20</v>
      </c>
      <c r="Z16" s="52"/>
      <c r="AA16" s="19" t="s">
        <v>20</v>
      </c>
      <c r="AB16" s="19" t="s">
        <v>20</v>
      </c>
      <c r="AC16" s="19" t="s">
        <v>20</v>
      </c>
      <c r="AD16" s="19" t="s">
        <v>20</v>
      </c>
      <c r="AE16" s="19" t="s">
        <v>20</v>
      </c>
      <c r="AF16" s="19" t="s">
        <v>20</v>
      </c>
      <c r="AG16" s="52"/>
      <c r="AH16" s="19" t="s">
        <v>20</v>
      </c>
      <c r="AI16" s="4">
        <f t="shared" si="1"/>
        <v>24</v>
      </c>
      <c r="AJ16" s="4">
        <f t="shared" si="2"/>
        <v>0</v>
      </c>
      <c r="AK16"/>
      <c r="AL16"/>
      <c r="AM16"/>
      <c r="AN16"/>
    </row>
    <row r="17" spans="1:40" ht="15.75" x14ac:dyDescent="0.25">
      <c r="A17" s="5">
        <v>13</v>
      </c>
      <c r="B17" s="13" t="s">
        <v>130</v>
      </c>
      <c r="C17" s="12" t="s">
        <v>131</v>
      </c>
      <c r="D17" s="6" t="s">
        <v>108</v>
      </c>
      <c r="E17" s="52"/>
      <c r="F17" s="19" t="s">
        <v>20</v>
      </c>
      <c r="G17" s="19" t="s">
        <v>20</v>
      </c>
      <c r="H17" s="19" t="s">
        <v>20</v>
      </c>
      <c r="I17" s="19" t="s">
        <v>20</v>
      </c>
      <c r="J17" s="19" t="s">
        <v>20</v>
      </c>
      <c r="K17" s="19" t="s">
        <v>20</v>
      </c>
      <c r="L17" s="52"/>
      <c r="M17" s="19" t="s">
        <v>20</v>
      </c>
      <c r="N17" s="19" t="s">
        <v>20</v>
      </c>
      <c r="O17" s="19" t="s">
        <v>20</v>
      </c>
      <c r="P17" s="19" t="s">
        <v>20</v>
      </c>
      <c r="Q17" s="19" t="s">
        <v>20</v>
      </c>
      <c r="R17" s="19" t="s">
        <v>20</v>
      </c>
      <c r="S17" s="52"/>
      <c r="T17" s="19" t="s">
        <v>21</v>
      </c>
      <c r="U17" s="55"/>
      <c r="V17" s="19" t="s">
        <v>20</v>
      </c>
      <c r="W17" s="19" t="s">
        <v>20</v>
      </c>
      <c r="X17" s="19" t="s">
        <v>20</v>
      </c>
      <c r="Y17" s="19" t="s">
        <v>20</v>
      </c>
      <c r="Z17" s="52"/>
      <c r="AA17" s="19" t="s">
        <v>20</v>
      </c>
      <c r="AB17" s="19" t="s">
        <v>20</v>
      </c>
      <c r="AC17" s="19" t="s">
        <v>20</v>
      </c>
      <c r="AD17" s="19" t="s">
        <v>20</v>
      </c>
      <c r="AE17" s="19" t="s">
        <v>20</v>
      </c>
      <c r="AF17" s="19" t="s">
        <v>20</v>
      </c>
      <c r="AG17" s="52"/>
      <c r="AH17" s="19" t="s">
        <v>20</v>
      </c>
      <c r="AI17" s="4">
        <f t="shared" si="1"/>
        <v>23</v>
      </c>
      <c r="AJ17" s="4">
        <f t="shared" si="2"/>
        <v>1</v>
      </c>
      <c r="AK17" s="42" t="s">
        <v>104</v>
      </c>
      <c r="AL17" s="43"/>
      <c r="AM17" s="43"/>
      <c r="AN17" s="44"/>
    </row>
    <row r="18" spans="1:40" x14ac:dyDescent="0.25">
      <c r="A18" s="7">
        <v>14</v>
      </c>
      <c r="B18" s="13" t="s">
        <v>132</v>
      </c>
      <c r="C18" s="12" t="s">
        <v>131</v>
      </c>
      <c r="D18" s="6" t="s">
        <v>108</v>
      </c>
      <c r="E18" s="52"/>
      <c r="F18" s="19" t="s">
        <v>20</v>
      </c>
      <c r="G18" s="19" t="s">
        <v>20</v>
      </c>
      <c r="H18" s="19" t="s">
        <v>20</v>
      </c>
      <c r="I18" s="19" t="s">
        <v>20</v>
      </c>
      <c r="J18" s="19" t="s">
        <v>20</v>
      </c>
      <c r="K18" s="19" t="s">
        <v>20</v>
      </c>
      <c r="L18" s="52"/>
      <c r="M18" s="19" t="s">
        <v>20</v>
      </c>
      <c r="N18" s="19" t="s">
        <v>20</v>
      </c>
      <c r="O18" s="19" t="s">
        <v>20</v>
      </c>
      <c r="P18" s="19" t="s">
        <v>20</v>
      </c>
      <c r="Q18" s="19" t="s">
        <v>20</v>
      </c>
      <c r="R18" s="19" t="s">
        <v>20</v>
      </c>
      <c r="S18" s="52"/>
      <c r="T18" s="19" t="s">
        <v>21</v>
      </c>
      <c r="U18" s="55"/>
      <c r="V18" s="19" t="s">
        <v>20</v>
      </c>
      <c r="W18" s="19" t="s">
        <v>20</v>
      </c>
      <c r="X18" s="19" t="s">
        <v>20</v>
      </c>
      <c r="Y18" s="19" t="s">
        <v>20</v>
      </c>
      <c r="Z18" s="52"/>
      <c r="AA18" s="19" t="s">
        <v>20</v>
      </c>
      <c r="AB18" s="19" t="s">
        <v>20</v>
      </c>
      <c r="AC18" s="19" t="s">
        <v>20</v>
      </c>
      <c r="AD18" s="19" t="s">
        <v>20</v>
      </c>
      <c r="AE18" s="19" t="s">
        <v>20</v>
      </c>
      <c r="AF18" s="19" t="s">
        <v>20</v>
      </c>
      <c r="AG18" s="52"/>
      <c r="AH18" s="19" t="s">
        <v>20</v>
      </c>
      <c r="AI18" s="4">
        <f t="shared" si="1"/>
        <v>23</v>
      </c>
      <c r="AJ18" s="4">
        <f t="shared" si="2"/>
        <v>1</v>
      </c>
      <c r="AK18" s="4" t="s">
        <v>9</v>
      </c>
      <c r="AL18" s="4" t="s">
        <v>10</v>
      </c>
      <c r="AM18" s="4" t="s">
        <v>11</v>
      </c>
      <c r="AN18" s="4" t="s">
        <v>12</v>
      </c>
    </row>
    <row r="19" spans="1:40" x14ac:dyDescent="0.25">
      <c r="A19" s="5">
        <v>15</v>
      </c>
      <c r="B19" s="13" t="s">
        <v>133</v>
      </c>
      <c r="C19" s="12" t="s">
        <v>134</v>
      </c>
      <c r="D19" s="6" t="s">
        <v>108</v>
      </c>
      <c r="E19" s="52"/>
      <c r="F19" s="19" t="s">
        <v>20</v>
      </c>
      <c r="G19" s="19" t="s">
        <v>20</v>
      </c>
      <c r="H19" s="19" t="s">
        <v>20</v>
      </c>
      <c r="I19" s="19" t="s">
        <v>20</v>
      </c>
      <c r="J19" s="19" t="s">
        <v>21</v>
      </c>
      <c r="K19" s="19" t="s">
        <v>21</v>
      </c>
      <c r="L19" s="52"/>
      <c r="M19" s="19" t="s">
        <v>20</v>
      </c>
      <c r="N19" s="19" t="s">
        <v>20</v>
      </c>
      <c r="O19" s="19" t="s">
        <v>20</v>
      </c>
      <c r="P19" s="19" t="s">
        <v>20</v>
      </c>
      <c r="Q19" s="19" t="s">
        <v>20</v>
      </c>
      <c r="R19" s="19" t="s">
        <v>20</v>
      </c>
      <c r="S19" s="52"/>
      <c r="T19" s="19" t="s">
        <v>20</v>
      </c>
      <c r="U19" s="55"/>
      <c r="V19" s="19" t="s">
        <v>20</v>
      </c>
      <c r="W19" s="19" t="s">
        <v>20</v>
      </c>
      <c r="X19" s="19" t="s">
        <v>20</v>
      </c>
      <c r="Y19" s="19" t="s">
        <v>21</v>
      </c>
      <c r="Z19" s="52"/>
      <c r="AA19" s="19" t="s">
        <v>20</v>
      </c>
      <c r="AB19" s="19" t="s">
        <v>20</v>
      </c>
      <c r="AC19" s="19" t="s">
        <v>20</v>
      </c>
      <c r="AD19" s="19" t="s">
        <v>20</v>
      </c>
      <c r="AE19" s="19" t="s">
        <v>20</v>
      </c>
      <c r="AF19" s="19" t="s">
        <v>20</v>
      </c>
      <c r="AG19" s="52"/>
      <c r="AH19" s="19" t="s">
        <v>20</v>
      </c>
      <c r="AI19" s="4">
        <f t="shared" si="1"/>
        <v>21</v>
      </c>
      <c r="AJ19" s="4">
        <f t="shared" si="2"/>
        <v>3</v>
      </c>
      <c r="AK19" s="4" t="s">
        <v>13</v>
      </c>
      <c r="AL19" s="7">
        <f>20*$AL$5</f>
        <v>480</v>
      </c>
      <c r="AM19" s="7">
        <f>24*$AL$5</f>
        <v>576</v>
      </c>
      <c r="AN19" s="7">
        <f>AL19+AM19</f>
        <v>1056</v>
      </c>
    </row>
    <row r="20" spans="1:40" x14ac:dyDescent="0.25">
      <c r="A20" s="7">
        <v>16</v>
      </c>
      <c r="B20" s="13" t="s">
        <v>135</v>
      </c>
      <c r="C20" s="12" t="s">
        <v>69</v>
      </c>
      <c r="D20" s="6" t="s">
        <v>108</v>
      </c>
      <c r="E20" s="52"/>
      <c r="F20" s="19" t="s">
        <v>20</v>
      </c>
      <c r="G20" s="19" t="s">
        <v>20</v>
      </c>
      <c r="H20" s="19" t="s">
        <v>20</v>
      </c>
      <c r="I20" s="19" t="s">
        <v>20</v>
      </c>
      <c r="J20" s="19" t="s">
        <v>20</v>
      </c>
      <c r="K20" s="19" t="s">
        <v>20</v>
      </c>
      <c r="L20" s="52"/>
      <c r="M20" s="19" t="s">
        <v>20</v>
      </c>
      <c r="N20" s="19" t="s">
        <v>20</v>
      </c>
      <c r="O20" s="19" t="s">
        <v>20</v>
      </c>
      <c r="P20" s="19" t="s">
        <v>20</v>
      </c>
      <c r="Q20" s="19" t="s">
        <v>20</v>
      </c>
      <c r="R20" s="19" t="s">
        <v>20</v>
      </c>
      <c r="S20" s="52"/>
      <c r="T20" s="19" t="s">
        <v>20</v>
      </c>
      <c r="U20" s="55"/>
      <c r="V20" s="19" t="s">
        <v>20</v>
      </c>
      <c r="W20" s="19" t="s">
        <v>20</v>
      </c>
      <c r="X20" s="19" t="s">
        <v>20</v>
      </c>
      <c r="Y20" s="19" t="s">
        <v>20</v>
      </c>
      <c r="Z20" s="52"/>
      <c r="AA20" s="19" t="s">
        <v>20</v>
      </c>
      <c r="AB20" s="19" t="s">
        <v>20</v>
      </c>
      <c r="AC20" s="19" t="s">
        <v>20</v>
      </c>
      <c r="AD20" s="19" t="s">
        <v>20</v>
      </c>
      <c r="AE20" s="19" t="s">
        <v>20</v>
      </c>
      <c r="AF20" s="19" t="s">
        <v>20</v>
      </c>
      <c r="AG20" s="52"/>
      <c r="AH20" s="19" t="s">
        <v>21</v>
      </c>
      <c r="AI20" s="4">
        <f t="shared" si="1"/>
        <v>23</v>
      </c>
      <c r="AJ20" s="4">
        <f t="shared" si="2"/>
        <v>1</v>
      </c>
      <c r="AK20" s="4" t="s">
        <v>16</v>
      </c>
      <c r="AL20" s="7">
        <f>AL19-AL12</f>
        <v>127</v>
      </c>
      <c r="AM20" s="7">
        <f>AM19-AM12</f>
        <v>56</v>
      </c>
      <c r="AN20" s="7">
        <f>AL20+AM20</f>
        <v>183</v>
      </c>
    </row>
    <row r="21" spans="1:40" x14ac:dyDescent="0.25">
      <c r="A21" s="5">
        <v>17</v>
      </c>
      <c r="B21" s="13" t="s">
        <v>117</v>
      </c>
      <c r="C21" s="12" t="s">
        <v>136</v>
      </c>
      <c r="D21" s="6" t="s">
        <v>108</v>
      </c>
      <c r="E21" s="52"/>
      <c r="F21" s="19" t="s">
        <v>20</v>
      </c>
      <c r="G21" s="19" t="s">
        <v>20</v>
      </c>
      <c r="H21" s="19" t="s">
        <v>20</v>
      </c>
      <c r="I21" s="19" t="s">
        <v>20</v>
      </c>
      <c r="J21" s="19" t="s">
        <v>20</v>
      </c>
      <c r="K21" s="19" t="s">
        <v>20</v>
      </c>
      <c r="L21" s="52"/>
      <c r="M21" s="19" t="s">
        <v>20</v>
      </c>
      <c r="N21" s="19" t="s">
        <v>20</v>
      </c>
      <c r="O21" s="19" t="s">
        <v>20</v>
      </c>
      <c r="P21" s="19" t="s">
        <v>20</v>
      </c>
      <c r="Q21" s="19" t="s">
        <v>20</v>
      </c>
      <c r="R21" s="19" t="s">
        <v>20</v>
      </c>
      <c r="S21" s="52"/>
      <c r="T21" s="19" t="s">
        <v>20</v>
      </c>
      <c r="U21" s="55"/>
      <c r="V21" s="19" t="s">
        <v>20</v>
      </c>
      <c r="W21" s="19" t="s">
        <v>20</v>
      </c>
      <c r="X21" s="19" t="s">
        <v>20</v>
      </c>
      <c r="Y21" s="19" t="s">
        <v>20</v>
      </c>
      <c r="Z21" s="52"/>
      <c r="AA21" s="19" t="s">
        <v>20</v>
      </c>
      <c r="AB21" s="19" t="s">
        <v>20</v>
      </c>
      <c r="AC21" s="19" t="s">
        <v>20</v>
      </c>
      <c r="AD21" s="19" t="s">
        <v>20</v>
      </c>
      <c r="AE21" s="19" t="s">
        <v>20</v>
      </c>
      <c r="AF21" s="19" t="s">
        <v>20</v>
      </c>
      <c r="AG21" s="52"/>
      <c r="AH21" s="19" t="s">
        <v>20</v>
      </c>
      <c r="AI21" s="4">
        <f t="shared" si="1"/>
        <v>24</v>
      </c>
      <c r="AJ21" s="4">
        <f t="shared" si="2"/>
        <v>0</v>
      </c>
      <c r="AK21" s="4" t="s">
        <v>15</v>
      </c>
      <c r="AL21" s="9">
        <f>AL20/AL19</f>
        <v>0.26458333333333334</v>
      </c>
      <c r="AM21" s="9">
        <f>AM20/AM19</f>
        <v>9.7222222222222224E-2</v>
      </c>
      <c r="AN21" s="9">
        <f>AN20/AN19</f>
        <v>0.17329545454545456</v>
      </c>
    </row>
    <row r="22" spans="1:40" x14ac:dyDescent="0.25">
      <c r="A22" s="7">
        <v>18</v>
      </c>
      <c r="B22" s="13" t="s">
        <v>137</v>
      </c>
      <c r="C22" s="12" t="s">
        <v>119</v>
      </c>
      <c r="D22" s="6" t="s">
        <v>108</v>
      </c>
      <c r="E22" s="52"/>
      <c r="F22" s="19" t="s">
        <v>20</v>
      </c>
      <c r="G22" s="19" t="s">
        <v>20</v>
      </c>
      <c r="H22" s="19" t="s">
        <v>20</v>
      </c>
      <c r="I22" s="19" t="s">
        <v>20</v>
      </c>
      <c r="J22" s="19" t="s">
        <v>20</v>
      </c>
      <c r="K22" s="19" t="s">
        <v>20</v>
      </c>
      <c r="L22" s="52"/>
      <c r="M22" s="19" t="s">
        <v>20</v>
      </c>
      <c r="N22" s="19" t="s">
        <v>20</v>
      </c>
      <c r="O22" s="19" t="s">
        <v>20</v>
      </c>
      <c r="P22" s="19" t="s">
        <v>20</v>
      </c>
      <c r="Q22" s="19" t="s">
        <v>20</v>
      </c>
      <c r="R22" s="19" t="s">
        <v>20</v>
      </c>
      <c r="S22" s="52"/>
      <c r="T22" s="19" t="s">
        <v>20</v>
      </c>
      <c r="U22" s="55"/>
      <c r="V22" s="19" t="s">
        <v>20</v>
      </c>
      <c r="W22" s="19" t="s">
        <v>20</v>
      </c>
      <c r="X22" s="19" t="s">
        <v>20</v>
      </c>
      <c r="Y22" s="19" t="s">
        <v>20</v>
      </c>
      <c r="Z22" s="52"/>
      <c r="AA22" s="19" t="s">
        <v>20</v>
      </c>
      <c r="AB22" s="19" t="s">
        <v>20</v>
      </c>
      <c r="AC22" s="19" t="s">
        <v>20</v>
      </c>
      <c r="AD22" s="19" t="s">
        <v>20</v>
      </c>
      <c r="AE22" s="19" t="s">
        <v>20</v>
      </c>
      <c r="AF22" s="19" t="s">
        <v>20</v>
      </c>
      <c r="AG22" s="52"/>
      <c r="AH22" s="19" t="s">
        <v>20</v>
      </c>
      <c r="AI22" s="4">
        <f t="shared" si="1"/>
        <v>24</v>
      </c>
      <c r="AJ22" s="4">
        <f t="shared" si="2"/>
        <v>0</v>
      </c>
    </row>
    <row r="23" spans="1:40" x14ac:dyDescent="0.25">
      <c r="A23" s="5">
        <v>19</v>
      </c>
      <c r="B23" s="13" t="s">
        <v>138</v>
      </c>
      <c r="C23" s="12" t="s">
        <v>69</v>
      </c>
      <c r="D23" s="6" t="s">
        <v>108</v>
      </c>
      <c r="E23" s="52"/>
      <c r="F23" s="19" t="s">
        <v>20</v>
      </c>
      <c r="G23" s="19" t="s">
        <v>20</v>
      </c>
      <c r="H23" s="19" t="s">
        <v>20</v>
      </c>
      <c r="I23" s="19" t="s">
        <v>20</v>
      </c>
      <c r="J23" s="19" t="s">
        <v>20</v>
      </c>
      <c r="K23" s="19" t="s">
        <v>20</v>
      </c>
      <c r="L23" s="52"/>
      <c r="M23" s="19" t="s">
        <v>20</v>
      </c>
      <c r="N23" s="19" t="s">
        <v>20</v>
      </c>
      <c r="O23" s="19" t="s">
        <v>20</v>
      </c>
      <c r="P23" s="19" t="s">
        <v>20</v>
      </c>
      <c r="Q23" s="19" t="s">
        <v>20</v>
      </c>
      <c r="R23" s="19" t="s">
        <v>20</v>
      </c>
      <c r="S23" s="52"/>
      <c r="T23" s="19" t="s">
        <v>20</v>
      </c>
      <c r="U23" s="55"/>
      <c r="V23" s="19" t="s">
        <v>20</v>
      </c>
      <c r="W23" s="19" t="s">
        <v>20</v>
      </c>
      <c r="X23" s="19" t="s">
        <v>20</v>
      </c>
      <c r="Y23" s="19" t="s">
        <v>20</v>
      </c>
      <c r="Z23" s="52"/>
      <c r="AA23" s="19" t="s">
        <v>20</v>
      </c>
      <c r="AB23" s="19" t="s">
        <v>20</v>
      </c>
      <c r="AC23" s="19" t="s">
        <v>20</v>
      </c>
      <c r="AD23" s="19" t="s">
        <v>20</v>
      </c>
      <c r="AE23" s="19" t="s">
        <v>20</v>
      </c>
      <c r="AF23" s="19" t="s">
        <v>20</v>
      </c>
      <c r="AG23" s="52"/>
      <c r="AH23" s="19" t="s">
        <v>20</v>
      </c>
      <c r="AI23" s="4">
        <f t="shared" si="1"/>
        <v>24</v>
      </c>
      <c r="AJ23" s="4">
        <f t="shared" si="2"/>
        <v>0</v>
      </c>
    </row>
    <row r="24" spans="1:40" x14ac:dyDescent="0.25">
      <c r="A24" s="7">
        <v>20</v>
      </c>
      <c r="B24" s="13" t="s">
        <v>139</v>
      </c>
      <c r="C24" s="12" t="s">
        <v>140</v>
      </c>
      <c r="D24" s="6" t="s">
        <v>108</v>
      </c>
      <c r="E24" s="52"/>
      <c r="F24" s="19" t="s">
        <v>20</v>
      </c>
      <c r="G24" s="19" t="s">
        <v>20</v>
      </c>
      <c r="H24" s="19" t="s">
        <v>20</v>
      </c>
      <c r="I24" s="19" t="s">
        <v>20</v>
      </c>
      <c r="J24" s="19" t="s">
        <v>20</v>
      </c>
      <c r="K24" s="19" t="s">
        <v>20</v>
      </c>
      <c r="L24" s="52"/>
      <c r="M24" s="19" t="s">
        <v>20</v>
      </c>
      <c r="N24" s="19" t="s">
        <v>20</v>
      </c>
      <c r="O24" s="19" t="s">
        <v>21</v>
      </c>
      <c r="P24" s="19" t="s">
        <v>20</v>
      </c>
      <c r="Q24" s="19" t="s">
        <v>20</v>
      </c>
      <c r="R24" s="19" t="s">
        <v>21</v>
      </c>
      <c r="S24" s="52"/>
      <c r="T24" s="19" t="s">
        <v>20</v>
      </c>
      <c r="U24" s="55"/>
      <c r="V24" s="19" t="s">
        <v>20</v>
      </c>
      <c r="W24" s="19" t="s">
        <v>20</v>
      </c>
      <c r="X24" s="19" t="s">
        <v>20</v>
      </c>
      <c r="Y24" s="19" t="s">
        <v>20</v>
      </c>
      <c r="Z24" s="52"/>
      <c r="AA24" s="19" t="s">
        <v>20</v>
      </c>
      <c r="AB24" s="19" t="s">
        <v>20</v>
      </c>
      <c r="AC24" s="19" t="s">
        <v>20</v>
      </c>
      <c r="AD24" s="19" t="s">
        <v>20</v>
      </c>
      <c r="AE24" s="19" t="s">
        <v>21</v>
      </c>
      <c r="AF24" s="19" t="s">
        <v>21</v>
      </c>
      <c r="AG24" s="52"/>
      <c r="AH24" s="19" t="s">
        <v>20</v>
      </c>
      <c r="AI24" s="4">
        <f t="shared" si="1"/>
        <v>20</v>
      </c>
      <c r="AJ24" s="4">
        <f t="shared" si="2"/>
        <v>4</v>
      </c>
    </row>
    <row r="25" spans="1:40" x14ac:dyDescent="0.25">
      <c r="A25" s="5">
        <v>21</v>
      </c>
      <c r="B25" s="13" t="s">
        <v>141</v>
      </c>
      <c r="C25" s="12" t="s">
        <v>142</v>
      </c>
      <c r="D25" s="6" t="s">
        <v>108</v>
      </c>
      <c r="E25" s="52"/>
      <c r="F25" s="19" t="s">
        <v>20</v>
      </c>
      <c r="G25" s="19" t="s">
        <v>21</v>
      </c>
      <c r="H25" s="19" t="s">
        <v>21</v>
      </c>
      <c r="I25" s="19" t="s">
        <v>21</v>
      </c>
      <c r="J25" s="19" t="s">
        <v>21</v>
      </c>
      <c r="K25" s="19" t="s">
        <v>21</v>
      </c>
      <c r="L25" s="52"/>
      <c r="M25" s="19" t="s">
        <v>21</v>
      </c>
      <c r="N25" s="19" t="s">
        <v>21</v>
      </c>
      <c r="O25" s="19" t="s">
        <v>21</v>
      </c>
      <c r="P25" s="19" t="s">
        <v>20</v>
      </c>
      <c r="Q25" s="19" t="s">
        <v>20</v>
      </c>
      <c r="R25" s="19" t="s">
        <v>21</v>
      </c>
      <c r="S25" s="52"/>
      <c r="T25" s="19" t="s">
        <v>21</v>
      </c>
      <c r="U25" s="55"/>
      <c r="V25" s="19" t="s">
        <v>21</v>
      </c>
      <c r="W25" s="19" t="s">
        <v>21</v>
      </c>
      <c r="X25" s="19" t="s">
        <v>20</v>
      </c>
      <c r="Y25" s="19" t="s">
        <v>21</v>
      </c>
      <c r="Z25" s="52"/>
      <c r="AA25" s="19" t="s">
        <v>21</v>
      </c>
      <c r="AB25" s="19" t="s">
        <v>21</v>
      </c>
      <c r="AC25" s="19" t="s">
        <v>21</v>
      </c>
      <c r="AD25" s="19" t="s">
        <v>21</v>
      </c>
      <c r="AE25" s="19" t="s">
        <v>21</v>
      </c>
      <c r="AF25" s="19" t="s">
        <v>21</v>
      </c>
      <c r="AG25" s="52"/>
      <c r="AH25" s="19" t="s">
        <v>21</v>
      </c>
      <c r="AI25" s="4">
        <f t="shared" si="1"/>
        <v>4</v>
      </c>
      <c r="AJ25" s="4">
        <f t="shared" si="2"/>
        <v>20</v>
      </c>
    </row>
    <row r="26" spans="1:40" x14ac:dyDescent="0.25">
      <c r="A26" s="7">
        <v>22</v>
      </c>
      <c r="B26" s="13" t="s">
        <v>143</v>
      </c>
      <c r="C26" s="12" t="s">
        <v>144</v>
      </c>
      <c r="D26" s="6" t="s">
        <v>108</v>
      </c>
      <c r="E26" s="52"/>
      <c r="F26" s="19" t="s">
        <v>20</v>
      </c>
      <c r="G26" s="19" t="s">
        <v>21</v>
      </c>
      <c r="H26" s="19" t="s">
        <v>20</v>
      </c>
      <c r="I26" s="19" t="s">
        <v>20</v>
      </c>
      <c r="J26" s="19" t="s">
        <v>20</v>
      </c>
      <c r="K26" s="19" t="s">
        <v>20</v>
      </c>
      <c r="L26" s="52"/>
      <c r="M26" s="19" t="s">
        <v>21</v>
      </c>
      <c r="N26" s="19" t="s">
        <v>21</v>
      </c>
      <c r="O26" s="19" t="s">
        <v>20</v>
      </c>
      <c r="P26" s="19" t="s">
        <v>20</v>
      </c>
      <c r="Q26" s="19" t="s">
        <v>20</v>
      </c>
      <c r="R26" s="19" t="s">
        <v>21</v>
      </c>
      <c r="S26" s="52"/>
      <c r="T26" s="19" t="s">
        <v>21</v>
      </c>
      <c r="U26" s="55"/>
      <c r="V26" s="19" t="s">
        <v>20</v>
      </c>
      <c r="W26" s="19" t="s">
        <v>20</v>
      </c>
      <c r="X26" s="19" t="s">
        <v>20</v>
      </c>
      <c r="Y26" s="19" t="s">
        <v>20</v>
      </c>
      <c r="Z26" s="52"/>
      <c r="AA26" s="19" t="s">
        <v>20</v>
      </c>
      <c r="AB26" s="19" t="s">
        <v>20</v>
      </c>
      <c r="AC26" s="19" t="s">
        <v>20</v>
      </c>
      <c r="AD26" s="19" t="s">
        <v>20</v>
      </c>
      <c r="AE26" s="19" t="s">
        <v>20</v>
      </c>
      <c r="AF26" s="19" t="s">
        <v>20</v>
      </c>
      <c r="AG26" s="52"/>
      <c r="AH26" s="19" t="s">
        <v>20</v>
      </c>
      <c r="AI26" s="4">
        <f t="shared" si="1"/>
        <v>19</v>
      </c>
      <c r="AJ26" s="4">
        <f t="shared" si="2"/>
        <v>5</v>
      </c>
    </row>
    <row r="27" spans="1:40" x14ac:dyDescent="0.25">
      <c r="A27" s="5">
        <v>23</v>
      </c>
      <c r="B27" s="13" t="s">
        <v>145</v>
      </c>
      <c r="C27" s="12" t="s">
        <v>146</v>
      </c>
      <c r="D27" s="6" t="s">
        <v>108</v>
      </c>
      <c r="E27" s="52"/>
      <c r="F27" s="19" t="s">
        <v>20</v>
      </c>
      <c r="G27" s="19" t="s">
        <v>20</v>
      </c>
      <c r="H27" s="19" t="s">
        <v>20</v>
      </c>
      <c r="I27" s="19" t="s">
        <v>20</v>
      </c>
      <c r="J27" s="19" t="s">
        <v>20</v>
      </c>
      <c r="K27" s="19" t="s">
        <v>20</v>
      </c>
      <c r="L27" s="52"/>
      <c r="M27" s="19" t="s">
        <v>20</v>
      </c>
      <c r="N27" s="19" t="s">
        <v>20</v>
      </c>
      <c r="O27" s="19" t="s">
        <v>20</v>
      </c>
      <c r="P27" s="19" t="s">
        <v>20</v>
      </c>
      <c r="Q27" s="19" t="s">
        <v>20</v>
      </c>
      <c r="R27" s="19" t="s">
        <v>20</v>
      </c>
      <c r="S27" s="52"/>
      <c r="T27" s="19" t="s">
        <v>21</v>
      </c>
      <c r="U27" s="55"/>
      <c r="V27" s="19" t="s">
        <v>20</v>
      </c>
      <c r="W27" s="19" t="s">
        <v>20</v>
      </c>
      <c r="X27" s="19" t="s">
        <v>20</v>
      </c>
      <c r="Y27" s="19" t="s">
        <v>20</v>
      </c>
      <c r="Z27" s="52"/>
      <c r="AA27" s="19" t="s">
        <v>20</v>
      </c>
      <c r="AB27" s="19" t="s">
        <v>20</v>
      </c>
      <c r="AC27" s="19" t="s">
        <v>20</v>
      </c>
      <c r="AD27" s="19" t="s">
        <v>20</v>
      </c>
      <c r="AE27" s="19" t="s">
        <v>20</v>
      </c>
      <c r="AF27" s="19" t="s">
        <v>20</v>
      </c>
      <c r="AG27" s="52"/>
      <c r="AH27" s="19" t="s">
        <v>20</v>
      </c>
      <c r="AI27" s="4">
        <f t="shared" si="1"/>
        <v>23</v>
      </c>
      <c r="AJ27" s="4">
        <f t="shared" si="2"/>
        <v>1</v>
      </c>
    </row>
    <row r="28" spans="1:40" x14ac:dyDescent="0.25">
      <c r="A28" s="7">
        <v>24</v>
      </c>
      <c r="B28" s="13" t="s">
        <v>143</v>
      </c>
      <c r="C28" s="13" t="s">
        <v>86</v>
      </c>
      <c r="D28" s="6" t="s">
        <v>108</v>
      </c>
      <c r="E28" s="52"/>
      <c r="F28" s="19" t="s">
        <v>21</v>
      </c>
      <c r="G28" s="19" t="s">
        <v>21</v>
      </c>
      <c r="H28" s="19" t="s">
        <v>21</v>
      </c>
      <c r="I28" s="19" t="s">
        <v>20</v>
      </c>
      <c r="J28" s="19" t="s">
        <v>20</v>
      </c>
      <c r="K28" s="19" t="s">
        <v>20</v>
      </c>
      <c r="L28" s="52"/>
      <c r="M28" s="19" t="s">
        <v>20</v>
      </c>
      <c r="N28" s="19" t="s">
        <v>20</v>
      </c>
      <c r="O28" s="19" t="s">
        <v>20</v>
      </c>
      <c r="P28" s="19" t="s">
        <v>20</v>
      </c>
      <c r="Q28" s="19" t="s">
        <v>21</v>
      </c>
      <c r="R28" s="19" t="s">
        <v>21</v>
      </c>
      <c r="S28" s="52"/>
      <c r="T28" s="19" t="s">
        <v>21</v>
      </c>
      <c r="U28" s="55"/>
      <c r="V28" s="19" t="s">
        <v>20</v>
      </c>
      <c r="W28" s="19" t="s">
        <v>20</v>
      </c>
      <c r="X28" s="19" t="s">
        <v>20</v>
      </c>
      <c r="Y28" s="19" t="s">
        <v>20</v>
      </c>
      <c r="Z28" s="52"/>
      <c r="AA28" s="19" t="s">
        <v>20</v>
      </c>
      <c r="AB28" s="19" t="s">
        <v>20</v>
      </c>
      <c r="AC28" s="19" t="s">
        <v>20</v>
      </c>
      <c r="AD28" s="19" t="s">
        <v>20</v>
      </c>
      <c r="AE28" s="19" t="s">
        <v>20</v>
      </c>
      <c r="AF28" s="19" t="s">
        <v>20</v>
      </c>
      <c r="AG28" s="52"/>
      <c r="AH28" s="19" t="s">
        <v>20</v>
      </c>
      <c r="AI28" s="4">
        <f t="shared" si="1"/>
        <v>18</v>
      </c>
      <c r="AJ28" s="4">
        <f t="shared" si="2"/>
        <v>6</v>
      </c>
    </row>
    <row r="29" spans="1:40" x14ac:dyDescent="0.25">
      <c r="A29" s="5">
        <v>1</v>
      </c>
      <c r="B29" s="13" t="s">
        <v>147</v>
      </c>
      <c r="C29" s="12" t="s">
        <v>148</v>
      </c>
      <c r="D29" s="6" t="s">
        <v>108</v>
      </c>
      <c r="E29" s="52"/>
      <c r="F29" s="19" t="s">
        <v>20</v>
      </c>
      <c r="G29" s="19" t="s">
        <v>20</v>
      </c>
      <c r="H29" s="19" t="s">
        <v>20</v>
      </c>
      <c r="I29" s="19" t="s">
        <v>20</v>
      </c>
      <c r="J29" s="19" t="s">
        <v>21</v>
      </c>
      <c r="K29" s="19" t="s">
        <v>20</v>
      </c>
      <c r="L29" s="52"/>
      <c r="M29" s="19" t="s">
        <v>20</v>
      </c>
      <c r="N29" s="19" t="s">
        <v>20</v>
      </c>
      <c r="O29" s="19" t="s">
        <v>21</v>
      </c>
      <c r="P29" s="19" t="s">
        <v>20</v>
      </c>
      <c r="Q29" s="19" t="s">
        <v>20</v>
      </c>
      <c r="R29" s="19" t="s">
        <v>20</v>
      </c>
      <c r="S29" s="52"/>
      <c r="T29" s="19" t="s">
        <v>20</v>
      </c>
      <c r="U29" s="55"/>
      <c r="V29" s="19" t="s">
        <v>20</v>
      </c>
      <c r="W29" s="19" t="s">
        <v>20</v>
      </c>
      <c r="X29" s="19" t="s">
        <v>20</v>
      </c>
      <c r="Y29" s="19" t="s">
        <v>20</v>
      </c>
      <c r="Z29" s="52"/>
      <c r="AA29" s="19" t="s">
        <v>20</v>
      </c>
      <c r="AB29" s="19" t="s">
        <v>20</v>
      </c>
      <c r="AC29" s="19" t="s">
        <v>20</v>
      </c>
      <c r="AD29" s="19" t="s">
        <v>20</v>
      </c>
      <c r="AE29" s="19" t="s">
        <v>20</v>
      </c>
      <c r="AF29" s="19" t="s">
        <v>21</v>
      </c>
      <c r="AG29" s="52"/>
      <c r="AH29" s="19" t="s">
        <v>20</v>
      </c>
      <c r="AI29" s="4">
        <f t="shared" si="1"/>
        <v>21</v>
      </c>
      <c r="AJ29" s="4">
        <f t="shared" si="2"/>
        <v>3</v>
      </c>
    </row>
    <row r="30" spans="1:40" x14ac:dyDescent="0.25">
      <c r="A30" s="7">
        <v>2</v>
      </c>
      <c r="B30" s="13" t="s">
        <v>149</v>
      </c>
      <c r="C30" s="12" t="s">
        <v>150</v>
      </c>
      <c r="D30" s="6" t="s">
        <v>108</v>
      </c>
      <c r="E30" s="52"/>
      <c r="F30" s="19" t="s">
        <v>20</v>
      </c>
      <c r="G30" s="19" t="s">
        <v>20</v>
      </c>
      <c r="H30" s="19" t="s">
        <v>20</v>
      </c>
      <c r="I30" s="19" t="s">
        <v>20</v>
      </c>
      <c r="J30" s="19" t="s">
        <v>20</v>
      </c>
      <c r="K30" s="19" t="s">
        <v>21</v>
      </c>
      <c r="L30" s="52"/>
      <c r="M30" s="19" t="s">
        <v>20</v>
      </c>
      <c r="N30" s="19" t="s">
        <v>20</v>
      </c>
      <c r="O30" s="19" t="s">
        <v>20</v>
      </c>
      <c r="P30" s="19" t="s">
        <v>20</v>
      </c>
      <c r="Q30" s="19" t="s">
        <v>20</v>
      </c>
      <c r="R30" s="19" t="s">
        <v>20</v>
      </c>
      <c r="S30" s="52"/>
      <c r="T30" s="19" t="s">
        <v>20</v>
      </c>
      <c r="U30" s="55"/>
      <c r="V30" s="19" t="s">
        <v>20</v>
      </c>
      <c r="W30" s="19" t="s">
        <v>20</v>
      </c>
      <c r="X30" s="19" t="s">
        <v>20</v>
      </c>
      <c r="Y30" s="19" t="s">
        <v>21</v>
      </c>
      <c r="Z30" s="52"/>
      <c r="AA30" s="19" t="s">
        <v>20</v>
      </c>
      <c r="AB30" s="19" t="s">
        <v>20</v>
      </c>
      <c r="AC30" s="19" t="s">
        <v>20</v>
      </c>
      <c r="AD30" s="19" t="s">
        <v>20</v>
      </c>
      <c r="AE30" s="19" t="s">
        <v>20</v>
      </c>
      <c r="AF30" s="19" t="s">
        <v>20</v>
      </c>
      <c r="AG30" s="52"/>
      <c r="AH30" s="19" t="s">
        <v>20</v>
      </c>
      <c r="AI30" s="4">
        <f t="shared" si="1"/>
        <v>22</v>
      </c>
      <c r="AJ30" s="4">
        <f t="shared" si="2"/>
        <v>2</v>
      </c>
    </row>
    <row r="31" spans="1:40" x14ac:dyDescent="0.25">
      <c r="A31" s="5">
        <v>3</v>
      </c>
      <c r="B31" s="13" t="s">
        <v>151</v>
      </c>
      <c r="C31" s="12" t="s">
        <v>152</v>
      </c>
      <c r="D31" s="6" t="s">
        <v>108</v>
      </c>
      <c r="E31" s="52"/>
      <c r="F31" s="19" t="s">
        <v>20</v>
      </c>
      <c r="G31" s="19" t="s">
        <v>20</v>
      </c>
      <c r="H31" s="19" t="s">
        <v>20</v>
      </c>
      <c r="I31" s="19" t="s">
        <v>20</v>
      </c>
      <c r="J31" s="19" t="s">
        <v>20</v>
      </c>
      <c r="K31" s="19" t="s">
        <v>20</v>
      </c>
      <c r="L31" s="52"/>
      <c r="M31" s="19" t="s">
        <v>20</v>
      </c>
      <c r="N31" s="19" t="s">
        <v>20</v>
      </c>
      <c r="O31" s="19" t="s">
        <v>20</v>
      </c>
      <c r="P31" s="19" t="s">
        <v>20</v>
      </c>
      <c r="Q31" s="19" t="s">
        <v>20</v>
      </c>
      <c r="R31" s="19" t="s">
        <v>20</v>
      </c>
      <c r="S31" s="52"/>
      <c r="T31" s="19" t="s">
        <v>20</v>
      </c>
      <c r="U31" s="55"/>
      <c r="V31" s="19" t="s">
        <v>20</v>
      </c>
      <c r="W31" s="19" t="s">
        <v>20</v>
      </c>
      <c r="X31" s="19" t="s">
        <v>20</v>
      </c>
      <c r="Y31" s="19" t="s">
        <v>20</v>
      </c>
      <c r="Z31" s="52"/>
      <c r="AA31" s="19" t="s">
        <v>20</v>
      </c>
      <c r="AB31" s="19" t="s">
        <v>20</v>
      </c>
      <c r="AC31" s="19" t="s">
        <v>20</v>
      </c>
      <c r="AD31" s="19" t="s">
        <v>20</v>
      </c>
      <c r="AE31" s="19" t="s">
        <v>20</v>
      </c>
      <c r="AF31" s="19" t="s">
        <v>20</v>
      </c>
      <c r="AG31" s="52"/>
      <c r="AH31" s="19" t="s">
        <v>20</v>
      </c>
      <c r="AI31" s="4">
        <f t="shared" si="1"/>
        <v>24</v>
      </c>
      <c r="AJ31" s="4">
        <f t="shared" si="2"/>
        <v>0</v>
      </c>
    </row>
    <row r="32" spans="1:40" x14ac:dyDescent="0.25">
      <c r="A32" s="7">
        <v>4</v>
      </c>
      <c r="B32" s="13" t="s">
        <v>153</v>
      </c>
      <c r="C32" s="13" t="s">
        <v>154</v>
      </c>
      <c r="D32" s="6" t="s">
        <v>108</v>
      </c>
      <c r="E32" s="52"/>
      <c r="F32" s="19" t="s">
        <v>20</v>
      </c>
      <c r="G32" s="19" t="s">
        <v>20</v>
      </c>
      <c r="H32" s="19" t="s">
        <v>20</v>
      </c>
      <c r="I32" s="19" t="s">
        <v>20</v>
      </c>
      <c r="J32" s="19" t="s">
        <v>20</v>
      </c>
      <c r="K32" s="19" t="s">
        <v>20</v>
      </c>
      <c r="L32" s="52"/>
      <c r="M32" s="19" t="s">
        <v>20</v>
      </c>
      <c r="N32" s="19" t="s">
        <v>20</v>
      </c>
      <c r="O32" s="19" t="s">
        <v>20</v>
      </c>
      <c r="P32" s="19" t="s">
        <v>20</v>
      </c>
      <c r="Q32" s="19" t="s">
        <v>20</v>
      </c>
      <c r="R32" s="19" t="s">
        <v>20</v>
      </c>
      <c r="S32" s="52"/>
      <c r="T32" s="19" t="s">
        <v>20</v>
      </c>
      <c r="U32" s="55"/>
      <c r="V32" s="19" t="s">
        <v>20</v>
      </c>
      <c r="W32" s="19" t="s">
        <v>20</v>
      </c>
      <c r="X32" s="19" t="s">
        <v>20</v>
      </c>
      <c r="Y32" s="19" t="s">
        <v>21</v>
      </c>
      <c r="Z32" s="52"/>
      <c r="AA32" s="19" t="s">
        <v>20</v>
      </c>
      <c r="AB32" s="19" t="s">
        <v>20</v>
      </c>
      <c r="AC32" s="19" t="s">
        <v>20</v>
      </c>
      <c r="AD32" s="19" t="s">
        <v>20</v>
      </c>
      <c r="AE32" s="19" t="s">
        <v>20</v>
      </c>
      <c r="AF32" s="19" t="s">
        <v>20</v>
      </c>
      <c r="AG32" s="52"/>
      <c r="AH32" s="19" t="s">
        <v>20</v>
      </c>
      <c r="AI32" s="4">
        <f t="shared" si="1"/>
        <v>23</v>
      </c>
      <c r="AJ32" s="4">
        <f t="shared" si="2"/>
        <v>1</v>
      </c>
    </row>
    <row r="33" spans="1:36" x14ac:dyDescent="0.25">
      <c r="A33" s="5">
        <v>5</v>
      </c>
      <c r="B33" s="13" t="s">
        <v>155</v>
      </c>
      <c r="C33" s="12" t="s">
        <v>156</v>
      </c>
      <c r="D33" s="6" t="s">
        <v>108</v>
      </c>
      <c r="E33" s="52"/>
      <c r="F33" s="19" t="s">
        <v>20</v>
      </c>
      <c r="G33" s="19" t="s">
        <v>21</v>
      </c>
      <c r="H33" s="19" t="s">
        <v>20</v>
      </c>
      <c r="I33" s="19" t="s">
        <v>21</v>
      </c>
      <c r="J33" s="19" t="s">
        <v>21</v>
      </c>
      <c r="K33" s="19" t="s">
        <v>20</v>
      </c>
      <c r="L33" s="52"/>
      <c r="M33" s="19" t="s">
        <v>20</v>
      </c>
      <c r="N33" s="19" t="s">
        <v>20</v>
      </c>
      <c r="O33" s="19" t="s">
        <v>20</v>
      </c>
      <c r="P33" s="19" t="s">
        <v>21</v>
      </c>
      <c r="Q33" s="19" t="s">
        <v>21</v>
      </c>
      <c r="R33" s="19" t="s">
        <v>20</v>
      </c>
      <c r="S33" s="52"/>
      <c r="T33" s="19" t="s">
        <v>20</v>
      </c>
      <c r="U33" s="55"/>
      <c r="V33" s="19" t="s">
        <v>20</v>
      </c>
      <c r="W33" s="19" t="s">
        <v>20</v>
      </c>
      <c r="X33" s="19" t="s">
        <v>20</v>
      </c>
      <c r="Y33" s="19" t="s">
        <v>20</v>
      </c>
      <c r="Z33" s="52"/>
      <c r="AA33" s="19" t="s">
        <v>20</v>
      </c>
      <c r="AB33" s="19" t="s">
        <v>20</v>
      </c>
      <c r="AC33" s="19" t="s">
        <v>20</v>
      </c>
      <c r="AD33" s="19" t="s">
        <v>20</v>
      </c>
      <c r="AE33" s="19" t="s">
        <v>20</v>
      </c>
      <c r="AF33" s="19" t="s">
        <v>20</v>
      </c>
      <c r="AG33" s="52"/>
      <c r="AH33" s="19" t="s">
        <v>20</v>
      </c>
      <c r="AI33" s="4">
        <f t="shared" si="1"/>
        <v>19</v>
      </c>
      <c r="AJ33" s="4">
        <f t="shared" si="2"/>
        <v>5</v>
      </c>
    </row>
    <row r="34" spans="1:36" x14ac:dyDescent="0.25">
      <c r="A34" s="7">
        <v>6</v>
      </c>
      <c r="B34" s="14" t="s">
        <v>157</v>
      </c>
      <c r="C34" s="15" t="s">
        <v>158</v>
      </c>
      <c r="D34" s="6" t="s">
        <v>108</v>
      </c>
      <c r="E34" s="52"/>
      <c r="F34" s="19" t="s">
        <v>20</v>
      </c>
      <c r="G34" s="19" t="s">
        <v>20</v>
      </c>
      <c r="H34" s="19" t="s">
        <v>20</v>
      </c>
      <c r="I34" s="19" t="s">
        <v>20</v>
      </c>
      <c r="J34" s="19" t="s">
        <v>20</v>
      </c>
      <c r="K34" s="19" t="s">
        <v>20</v>
      </c>
      <c r="L34" s="52"/>
      <c r="M34" s="19" t="s">
        <v>20</v>
      </c>
      <c r="N34" s="19" t="s">
        <v>20</v>
      </c>
      <c r="O34" s="19" t="s">
        <v>20</v>
      </c>
      <c r="P34" s="19" t="s">
        <v>20</v>
      </c>
      <c r="Q34" s="19" t="s">
        <v>20</v>
      </c>
      <c r="R34" s="19" t="s">
        <v>21</v>
      </c>
      <c r="S34" s="52"/>
      <c r="T34" s="19" t="s">
        <v>20</v>
      </c>
      <c r="U34" s="55"/>
      <c r="V34" s="19" t="s">
        <v>20</v>
      </c>
      <c r="W34" s="19" t="s">
        <v>20</v>
      </c>
      <c r="X34" s="19" t="s">
        <v>20</v>
      </c>
      <c r="Y34" s="19" t="s">
        <v>20</v>
      </c>
      <c r="Z34" s="52"/>
      <c r="AA34" s="19" t="s">
        <v>20</v>
      </c>
      <c r="AB34" s="19" t="s">
        <v>20</v>
      </c>
      <c r="AC34" s="19" t="s">
        <v>20</v>
      </c>
      <c r="AD34" s="19" t="s">
        <v>20</v>
      </c>
      <c r="AE34" s="19" t="s">
        <v>20</v>
      </c>
      <c r="AF34" s="19" t="s">
        <v>20</v>
      </c>
      <c r="AG34" s="52"/>
      <c r="AH34" s="19" t="s">
        <v>20</v>
      </c>
      <c r="AI34" s="4">
        <f t="shared" si="1"/>
        <v>23</v>
      </c>
      <c r="AJ34" s="4">
        <f t="shared" si="2"/>
        <v>1</v>
      </c>
    </row>
    <row r="35" spans="1:36" x14ac:dyDescent="0.25">
      <c r="A35" s="5">
        <v>7</v>
      </c>
      <c r="B35" s="16" t="s">
        <v>159</v>
      </c>
      <c r="C35" s="16" t="s">
        <v>160</v>
      </c>
      <c r="D35" s="6" t="s">
        <v>108</v>
      </c>
      <c r="E35" s="52"/>
      <c r="F35" s="19" t="s">
        <v>20</v>
      </c>
      <c r="G35" s="19" t="s">
        <v>20</v>
      </c>
      <c r="H35" s="19" t="s">
        <v>20</v>
      </c>
      <c r="I35" s="19" t="s">
        <v>20</v>
      </c>
      <c r="J35" s="19" t="s">
        <v>20</v>
      </c>
      <c r="K35" s="19" t="s">
        <v>20</v>
      </c>
      <c r="L35" s="52"/>
      <c r="M35" s="19" t="s">
        <v>20</v>
      </c>
      <c r="N35" s="19" t="s">
        <v>20</v>
      </c>
      <c r="O35" s="19" t="s">
        <v>20</v>
      </c>
      <c r="P35" s="19" t="s">
        <v>20</v>
      </c>
      <c r="Q35" s="19" t="s">
        <v>20</v>
      </c>
      <c r="R35" s="19" t="s">
        <v>20</v>
      </c>
      <c r="S35" s="52"/>
      <c r="T35" s="19" t="s">
        <v>20</v>
      </c>
      <c r="U35" s="55"/>
      <c r="V35" s="19" t="s">
        <v>20</v>
      </c>
      <c r="W35" s="19" t="s">
        <v>20</v>
      </c>
      <c r="X35" s="19" t="s">
        <v>20</v>
      </c>
      <c r="Y35" s="19" t="s">
        <v>20</v>
      </c>
      <c r="Z35" s="52"/>
      <c r="AA35" s="19" t="s">
        <v>20</v>
      </c>
      <c r="AB35" s="19" t="s">
        <v>20</v>
      </c>
      <c r="AC35" s="19" t="s">
        <v>20</v>
      </c>
      <c r="AD35" s="19" t="s">
        <v>20</v>
      </c>
      <c r="AE35" s="19" t="s">
        <v>20</v>
      </c>
      <c r="AF35" s="19" t="s">
        <v>20</v>
      </c>
      <c r="AG35" s="52"/>
      <c r="AH35" s="19" t="s">
        <v>20</v>
      </c>
      <c r="AI35" s="4">
        <f t="shared" si="1"/>
        <v>24</v>
      </c>
      <c r="AJ35" s="4">
        <f t="shared" si="2"/>
        <v>0</v>
      </c>
    </row>
    <row r="36" spans="1:36" x14ac:dyDescent="0.25">
      <c r="A36" s="7">
        <v>8</v>
      </c>
      <c r="B36" s="16" t="s">
        <v>161</v>
      </c>
      <c r="C36" s="16" t="s">
        <v>162</v>
      </c>
      <c r="D36" s="6" t="s">
        <v>108</v>
      </c>
      <c r="E36" s="52"/>
      <c r="F36" s="19" t="s">
        <v>21</v>
      </c>
      <c r="G36" s="19" t="s">
        <v>21</v>
      </c>
      <c r="H36" s="19" t="s">
        <v>21</v>
      </c>
      <c r="I36" s="19" t="s">
        <v>21</v>
      </c>
      <c r="J36" s="19" t="s">
        <v>21</v>
      </c>
      <c r="K36" s="19" t="s">
        <v>21</v>
      </c>
      <c r="L36" s="52"/>
      <c r="M36" s="19" t="s">
        <v>21</v>
      </c>
      <c r="N36" s="19" t="s">
        <v>21</v>
      </c>
      <c r="O36" s="19" t="s">
        <v>21</v>
      </c>
      <c r="P36" s="19" t="s">
        <v>21</v>
      </c>
      <c r="Q36" s="19" t="s">
        <v>21</v>
      </c>
      <c r="R36" s="19" t="s">
        <v>21</v>
      </c>
      <c r="S36" s="52"/>
      <c r="T36" s="19" t="s">
        <v>20</v>
      </c>
      <c r="U36" s="55"/>
      <c r="V36" s="19" t="s">
        <v>21</v>
      </c>
      <c r="W36" s="19" t="s">
        <v>21</v>
      </c>
      <c r="X36" s="19" t="s">
        <v>20</v>
      </c>
      <c r="Y36" s="19" t="s">
        <v>21</v>
      </c>
      <c r="Z36" s="52"/>
      <c r="AA36" s="19" t="s">
        <v>21</v>
      </c>
      <c r="AB36" s="19" t="s">
        <v>21</v>
      </c>
      <c r="AC36" s="19" t="s">
        <v>21</v>
      </c>
      <c r="AD36" s="19" t="s">
        <v>21</v>
      </c>
      <c r="AE36" s="19" t="s">
        <v>21</v>
      </c>
      <c r="AF36" s="19" t="s">
        <v>21</v>
      </c>
      <c r="AG36" s="52"/>
      <c r="AH36" s="19" t="s">
        <v>21</v>
      </c>
      <c r="AI36" s="4">
        <f t="shared" si="1"/>
        <v>2</v>
      </c>
      <c r="AJ36" s="4">
        <f t="shared" si="2"/>
        <v>22</v>
      </c>
    </row>
    <row r="37" spans="1:36" x14ac:dyDescent="0.25">
      <c r="A37" s="5">
        <v>9</v>
      </c>
      <c r="B37" s="16" t="s">
        <v>163</v>
      </c>
      <c r="C37" s="16" t="s">
        <v>164</v>
      </c>
      <c r="D37" s="6" t="s">
        <v>108</v>
      </c>
      <c r="E37" s="52"/>
      <c r="F37" s="19" t="s">
        <v>20</v>
      </c>
      <c r="G37" s="19" t="s">
        <v>20</v>
      </c>
      <c r="H37" s="19" t="s">
        <v>20</v>
      </c>
      <c r="I37" s="19" t="s">
        <v>20</v>
      </c>
      <c r="J37" s="19" t="s">
        <v>20</v>
      </c>
      <c r="K37" s="19" t="s">
        <v>20</v>
      </c>
      <c r="L37" s="52"/>
      <c r="M37" s="19" t="s">
        <v>20</v>
      </c>
      <c r="N37" s="19" t="s">
        <v>20</v>
      </c>
      <c r="O37" s="19" t="s">
        <v>20</v>
      </c>
      <c r="P37" s="19" t="s">
        <v>20</v>
      </c>
      <c r="Q37" s="19" t="s">
        <v>20</v>
      </c>
      <c r="R37" s="19" t="s">
        <v>20</v>
      </c>
      <c r="S37" s="52"/>
      <c r="T37" s="19" t="s">
        <v>20</v>
      </c>
      <c r="U37" s="55"/>
      <c r="V37" s="19" t="s">
        <v>20</v>
      </c>
      <c r="W37" s="19" t="s">
        <v>20</v>
      </c>
      <c r="X37" s="19" t="s">
        <v>20</v>
      </c>
      <c r="Y37" s="19" t="s">
        <v>20</v>
      </c>
      <c r="Z37" s="52"/>
      <c r="AA37" s="19" t="s">
        <v>20</v>
      </c>
      <c r="AB37" s="19" t="s">
        <v>20</v>
      </c>
      <c r="AC37" s="19" t="s">
        <v>20</v>
      </c>
      <c r="AD37" s="19" t="s">
        <v>20</v>
      </c>
      <c r="AE37" s="19" t="s">
        <v>20</v>
      </c>
      <c r="AF37" s="19" t="s">
        <v>21</v>
      </c>
      <c r="AG37" s="52"/>
      <c r="AH37" s="19" t="s">
        <v>20</v>
      </c>
      <c r="AI37" s="4">
        <f t="shared" si="1"/>
        <v>23</v>
      </c>
      <c r="AJ37" s="4">
        <f t="shared" si="2"/>
        <v>1</v>
      </c>
    </row>
    <row r="38" spans="1:36" x14ac:dyDescent="0.25">
      <c r="A38" s="7">
        <v>10</v>
      </c>
      <c r="B38" s="16" t="s">
        <v>165</v>
      </c>
      <c r="C38" s="17" t="s">
        <v>166</v>
      </c>
      <c r="D38" s="6" t="s">
        <v>108</v>
      </c>
      <c r="E38" s="52"/>
      <c r="F38" s="19" t="s">
        <v>21</v>
      </c>
      <c r="G38" s="19" t="s">
        <v>21</v>
      </c>
      <c r="H38" s="19" t="s">
        <v>21</v>
      </c>
      <c r="I38" s="19" t="s">
        <v>21</v>
      </c>
      <c r="J38" s="19" t="s">
        <v>21</v>
      </c>
      <c r="K38" s="19" t="s">
        <v>21</v>
      </c>
      <c r="L38" s="52"/>
      <c r="M38" s="19" t="s">
        <v>21</v>
      </c>
      <c r="N38" s="19" t="s">
        <v>21</v>
      </c>
      <c r="O38" s="19" t="s">
        <v>21</v>
      </c>
      <c r="P38" s="19" t="s">
        <v>21</v>
      </c>
      <c r="Q38" s="19" t="s">
        <v>21</v>
      </c>
      <c r="R38" s="19" t="s">
        <v>21</v>
      </c>
      <c r="S38" s="52"/>
      <c r="T38" s="19" t="s">
        <v>21</v>
      </c>
      <c r="U38" s="55"/>
      <c r="V38" s="19" t="s">
        <v>21</v>
      </c>
      <c r="W38" s="19" t="s">
        <v>21</v>
      </c>
      <c r="X38" s="19" t="s">
        <v>21</v>
      </c>
      <c r="Y38" s="19" t="s">
        <v>21</v>
      </c>
      <c r="Z38" s="52"/>
      <c r="AA38" s="19" t="s">
        <v>21</v>
      </c>
      <c r="AB38" s="19" t="s">
        <v>21</v>
      </c>
      <c r="AC38" s="19" t="s">
        <v>21</v>
      </c>
      <c r="AD38" s="19" t="s">
        <v>21</v>
      </c>
      <c r="AE38" s="19" t="s">
        <v>21</v>
      </c>
      <c r="AF38" s="19" t="s">
        <v>21</v>
      </c>
      <c r="AG38" s="52"/>
      <c r="AH38" s="19" t="s">
        <v>21</v>
      </c>
      <c r="AI38" s="4">
        <f t="shared" si="1"/>
        <v>0</v>
      </c>
      <c r="AJ38" s="4">
        <f t="shared" si="2"/>
        <v>24</v>
      </c>
    </row>
    <row r="39" spans="1:36" x14ac:dyDescent="0.25">
      <c r="A39" s="5">
        <v>11</v>
      </c>
      <c r="B39" s="11" t="s">
        <v>167</v>
      </c>
      <c r="C39" s="18" t="s">
        <v>31</v>
      </c>
      <c r="D39" s="6" t="s">
        <v>108</v>
      </c>
      <c r="E39" s="52"/>
      <c r="F39" s="19" t="s">
        <v>20</v>
      </c>
      <c r="G39" s="19" t="s">
        <v>20</v>
      </c>
      <c r="H39" s="19" t="s">
        <v>20</v>
      </c>
      <c r="I39" s="19" t="s">
        <v>20</v>
      </c>
      <c r="J39" s="19" t="s">
        <v>20</v>
      </c>
      <c r="K39" s="19" t="s">
        <v>20</v>
      </c>
      <c r="L39" s="52"/>
      <c r="M39" s="19" t="s">
        <v>20</v>
      </c>
      <c r="N39" s="19" t="s">
        <v>20</v>
      </c>
      <c r="O39" s="19" t="s">
        <v>20</v>
      </c>
      <c r="P39" s="19" t="s">
        <v>20</v>
      </c>
      <c r="Q39" s="19" t="s">
        <v>20</v>
      </c>
      <c r="R39" s="19" t="s">
        <v>20</v>
      </c>
      <c r="S39" s="52"/>
      <c r="T39" s="19" t="s">
        <v>20</v>
      </c>
      <c r="U39" s="55"/>
      <c r="V39" s="19" t="s">
        <v>20</v>
      </c>
      <c r="W39" s="19" t="s">
        <v>20</v>
      </c>
      <c r="X39" s="19" t="s">
        <v>20</v>
      </c>
      <c r="Y39" s="19" t="s">
        <v>20</v>
      </c>
      <c r="Z39" s="52"/>
      <c r="AA39" s="19" t="s">
        <v>20</v>
      </c>
      <c r="AB39" s="19" t="s">
        <v>20</v>
      </c>
      <c r="AC39" s="19" t="s">
        <v>20</v>
      </c>
      <c r="AD39" s="19" t="s">
        <v>20</v>
      </c>
      <c r="AE39" s="19" t="s">
        <v>20</v>
      </c>
      <c r="AF39" s="19" t="s">
        <v>20</v>
      </c>
      <c r="AG39" s="52"/>
      <c r="AH39" s="19" t="s">
        <v>20</v>
      </c>
      <c r="AI39" s="4">
        <f t="shared" si="1"/>
        <v>24</v>
      </c>
      <c r="AJ39" s="4">
        <f t="shared" si="2"/>
        <v>0</v>
      </c>
    </row>
    <row r="40" spans="1:36" x14ac:dyDescent="0.25">
      <c r="A40" s="7">
        <v>12</v>
      </c>
      <c r="B40" s="13" t="s">
        <v>168</v>
      </c>
      <c r="C40" s="12" t="s">
        <v>169</v>
      </c>
      <c r="D40" s="6" t="s">
        <v>108</v>
      </c>
      <c r="E40" s="52"/>
      <c r="F40" s="19" t="s">
        <v>20</v>
      </c>
      <c r="G40" s="19" t="s">
        <v>21</v>
      </c>
      <c r="H40" s="19" t="s">
        <v>21</v>
      </c>
      <c r="I40" s="19" t="s">
        <v>21</v>
      </c>
      <c r="J40" s="19"/>
      <c r="K40" s="19" t="s">
        <v>21</v>
      </c>
      <c r="L40" s="52"/>
      <c r="M40" s="19" t="s">
        <v>21</v>
      </c>
      <c r="N40" s="19" t="s">
        <v>21</v>
      </c>
      <c r="O40" s="19" t="s">
        <v>21</v>
      </c>
      <c r="P40" s="19" t="s">
        <v>21</v>
      </c>
      <c r="Q40" s="19" t="s">
        <v>21</v>
      </c>
      <c r="R40" s="19" t="s">
        <v>21</v>
      </c>
      <c r="S40" s="52"/>
      <c r="T40" s="19" t="s">
        <v>21</v>
      </c>
      <c r="U40" s="55"/>
      <c r="V40" s="19" t="s">
        <v>21</v>
      </c>
      <c r="W40" s="19" t="s">
        <v>21</v>
      </c>
      <c r="X40" s="19" t="s">
        <v>21</v>
      </c>
      <c r="Y40" s="19" t="s">
        <v>21</v>
      </c>
      <c r="Z40" s="52"/>
      <c r="AA40" s="19" t="s">
        <v>21</v>
      </c>
      <c r="AB40" s="19" t="s">
        <v>21</v>
      </c>
      <c r="AC40" s="19" t="s">
        <v>21</v>
      </c>
      <c r="AD40" s="19" t="s">
        <v>21</v>
      </c>
      <c r="AE40" s="19" t="s">
        <v>21</v>
      </c>
      <c r="AF40" s="19" t="s">
        <v>21</v>
      </c>
      <c r="AG40" s="52"/>
      <c r="AH40" s="19" t="s">
        <v>21</v>
      </c>
      <c r="AI40" s="4">
        <f t="shared" si="1"/>
        <v>1</v>
      </c>
      <c r="AJ40" s="4">
        <f t="shared" si="2"/>
        <v>22</v>
      </c>
    </row>
    <row r="41" spans="1:36" x14ac:dyDescent="0.25">
      <c r="A41" s="5">
        <v>13</v>
      </c>
      <c r="B41" s="13" t="s">
        <v>170</v>
      </c>
      <c r="C41" s="12" t="s">
        <v>171</v>
      </c>
      <c r="D41" s="6" t="s">
        <v>108</v>
      </c>
      <c r="E41" s="52"/>
      <c r="F41" s="19" t="s">
        <v>20</v>
      </c>
      <c r="G41" s="19" t="s">
        <v>20</v>
      </c>
      <c r="H41" s="19" t="s">
        <v>20</v>
      </c>
      <c r="I41" s="19" t="s">
        <v>20</v>
      </c>
      <c r="J41" s="19" t="s">
        <v>20</v>
      </c>
      <c r="K41" s="19" t="s">
        <v>20</v>
      </c>
      <c r="L41" s="52"/>
      <c r="M41" s="19" t="s">
        <v>20</v>
      </c>
      <c r="N41" s="19" t="s">
        <v>20</v>
      </c>
      <c r="O41" s="19" t="s">
        <v>20</v>
      </c>
      <c r="P41" s="19" t="s">
        <v>20</v>
      </c>
      <c r="Q41" s="19" t="s">
        <v>20</v>
      </c>
      <c r="R41" s="19" t="s">
        <v>20</v>
      </c>
      <c r="S41" s="52"/>
      <c r="T41" s="19" t="s">
        <v>20</v>
      </c>
      <c r="U41" s="55"/>
      <c r="V41" s="19" t="s">
        <v>20</v>
      </c>
      <c r="W41" s="19" t="s">
        <v>20</v>
      </c>
      <c r="X41" s="19" t="s">
        <v>20</v>
      </c>
      <c r="Y41" s="19" t="s">
        <v>20</v>
      </c>
      <c r="Z41" s="52"/>
      <c r="AA41" s="19" t="s">
        <v>20</v>
      </c>
      <c r="AB41" s="19" t="s">
        <v>20</v>
      </c>
      <c r="AC41" s="19" t="s">
        <v>20</v>
      </c>
      <c r="AD41" s="19" t="s">
        <v>20</v>
      </c>
      <c r="AE41" s="19" t="s">
        <v>20</v>
      </c>
      <c r="AF41" s="19" t="s">
        <v>20</v>
      </c>
      <c r="AG41" s="52"/>
      <c r="AH41" s="19" t="s">
        <v>20</v>
      </c>
      <c r="AI41" s="4">
        <f t="shared" si="1"/>
        <v>24</v>
      </c>
      <c r="AJ41" s="4">
        <f t="shared" si="2"/>
        <v>0</v>
      </c>
    </row>
    <row r="42" spans="1:36" x14ac:dyDescent="0.25">
      <c r="A42" s="7">
        <v>14</v>
      </c>
      <c r="B42" s="20" t="s">
        <v>172</v>
      </c>
      <c r="C42" s="20" t="s">
        <v>173</v>
      </c>
      <c r="D42" s="6" t="s">
        <v>108</v>
      </c>
      <c r="E42" s="52"/>
      <c r="F42" s="19" t="s">
        <v>20</v>
      </c>
      <c r="G42" s="19" t="s">
        <v>20</v>
      </c>
      <c r="H42" s="19" t="s">
        <v>20</v>
      </c>
      <c r="I42" s="19" t="s">
        <v>20</v>
      </c>
      <c r="J42" s="19" t="s">
        <v>20</v>
      </c>
      <c r="K42" s="19" t="s">
        <v>21</v>
      </c>
      <c r="L42" s="52"/>
      <c r="M42" s="19" t="s">
        <v>21</v>
      </c>
      <c r="N42" s="19" t="s">
        <v>20</v>
      </c>
      <c r="O42" s="19" t="s">
        <v>20</v>
      </c>
      <c r="P42" s="19" t="s">
        <v>20</v>
      </c>
      <c r="Q42" s="19" t="s">
        <v>20</v>
      </c>
      <c r="R42" s="19" t="s">
        <v>21</v>
      </c>
      <c r="S42" s="52"/>
      <c r="T42" s="19" t="s">
        <v>21</v>
      </c>
      <c r="U42" s="55"/>
      <c r="V42" s="19" t="s">
        <v>21</v>
      </c>
      <c r="W42" s="19" t="s">
        <v>21</v>
      </c>
      <c r="X42" s="19" t="s">
        <v>20</v>
      </c>
      <c r="Y42" s="19" t="s">
        <v>21</v>
      </c>
      <c r="Z42" s="52"/>
      <c r="AA42" s="19" t="s">
        <v>20</v>
      </c>
      <c r="AB42" s="19" t="s">
        <v>20</v>
      </c>
      <c r="AC42" s="19" t="s">
        <v>20</v>
      </c>
      <c r="AD42" s="19" t="s">
        <v>21</v>
      </c>
      <c r="AE42" s="19" t="s">
        <v>20</v>
      </c>
      <c r="AF42" s="19" t="s">
        <v>20</v>
      </c>
      <c r="AG42" s="52"/>
      <c r="AH42" s="19" t="s">
        <v>20</v>
      </c>
      <c r="AI42" s="4">
        <f t="shared" si="1"/>
        <v>16</v>
      </c>
      <c r="AJ42" s="4">
        <f t="shared" si="2"/>
        <v>8</v>
      </c>
    </row>
    <row r="43" spans="1:36" x14ac:dyDescent="0.25">
      <c r="A43" s="5">
        <v>15</v>
      </c>
      <c r="B43" s="20" t="s">
        <v>174</v>
      </c>
      <c r="C43" s="20" t="s">
        <v>88</v>
      </c>
      <c r="D43" s="6" t="s">
        <v>108</v>
      </c>
      <c r="E43" s="52"/>
      <c r="F43" s="19" t="s">
        <v>20</v>
      </c>
      <c r="G43" s="19" t="s">
        <v>20</v>
      </c>
      <c r="H43" s="19" t="s">
        <v>20</v>
      </c>
      <c r="I43" s="19" t="s">
        <v>20</v>
      </c>
      <c r="J43" s="19" t="s">
        <v>20</v>
      </c>
      <c r="K43" s="19" t="s">
        <v>20</v>
      </c>
      <c r="L43" s="52"/>
      <c r="M43" s="19" t="s">
        <v>20</v>
      </c>
      <c r="N43" s="19" t="s">
        <v>20</v>
      </c>
      <c r="O43" s="19" t="s">
        <v>20</v>
      </c>
      <c r="P43" s="19" t="s">
        <v>20</v>
      </c>
      <c r="Q43" s="19" t="s">
        <v>20</v>
      </c>
      <c r="R43" s="19" t="s">
        <v>20</v>
      </c>
      <c r="S43" s="52"/>
      <c r="T43" s="19" t="s">
        <v>20</v>
      </c>
      <c r="U43" s="55"/>
      <c r="V43" s="19" t="s">
        <v>20</v>
      </c>
      <c r="W43" s="19" t="s">
        <v>20</v>
      </c>
      <c r="X43" s="19" t="s">
        <v>20</v>
      </c>
      <c r="Y43" s="19" t="s">
        <v>20</v>
      </c>
      <c r="Z43" s="52"/>
      <c r="AA43" s="19" t="s">
        <v>20</v>
      </c>
      <c r="AB43" s="19" t="s">
        <v>20</v>
      </c>
      <c r="AC43" s="19" t="s">
        <v>20</v>
      </c>
      <c r="AD43" s="19" t="s">
        <v>20</v>
      </c>
      <c r="AE43" s="19" t="s">
        <v>20</v>
      </c>
      <c r="AF43" s="19" t="s">
        <v>20</v>
      </c>
      <c r="AG43" s="52"/>
      <c r="AH43" s="19" t="s">
        <v>20</v>
      </c>
      <c r="AI43" s="4">
        <f t="shared" si="1"/>
        <v>24</v>
      </c>
      <c r="AJ43" s="4">
        <f t="shared" si="2"/>
        <v>0</v>
      </c>
    </row>
    <row r="44" spans="1:36" x14ac:dyDescent="0.25">
      <c r="A44" s="7">
        <v>16</v>
      </c>
      <c r="B44" s="20" t="s">
        <v>175</v>
      </c>
      <c r="C44" s="20" t="s">
        <v>77</v>
      </c>
      <c r="D44" s="6" t="s">
        <v>108</v>
      </c>
      <c r="E44" s="52"/>
      <c r="F44" s="19" t="s">
        <v>20</v>
      </c>
      <c r="G44" s="19" t="s">
        <v>20</v>
      </c>
      <c r="H44" s="19" t="s">
        <v>20</v>
      </c>
      <c r="I44" s="19" t="s">
        <v>20</v>
      </c>
      <c r="J44" s="19" t="s">
        <v>20</v>
      </c>
      <c r="K44" s="19" t="s">
        <v>20</v>
      </c>
      <c r="L44" s="52"/>
      <c r="M44" s="19" t="s">
        <v>20</v>
      </c>
      <c r="N44" s="19" t="s">
        <v>20</v>
      </c>
      <c r="O44" s="19" t="s">
        <v>20</v>
      </c>
      <c r="P44" s="19" t="s">
        <v>20</v>
      </c>
      <c r="Q44" s="19" t="s">
        <v>20</v>
      </c>
      <c r="R44" s="19" t="s">
        <v>20</v>
      </c>
      <c r="S44" s="52"/>
      <c r="T44" s="19" t="s">
        <v>20</v>
      </c>
      <c r="U44" s="55"/>
      <c r="V44" s="19" t="s">
        <v>20</v>
      </c>
      <c r="W44" s="19" t="s">
        <v>20</v>
      </c>
      <c r="X44" s="19" t="s">
        <v>20</v>
      </c>
      <c r="Y44" s="19" t="s">
        <v>20</v>
      </c>
      <c r="Z44" s="52"/>
      <c r="AA44" s="19" t="s">
        <v>20</v>
      </c>
      <c r="AB44" s="19" t="s">
        <v>20</v>
      </c>
      <c r="AC44" s="19" t="s">
        <v>20</v>
      </c>
      <c r="AD44" s="19" t="s">
        <v>20</v>
      </c>
      <c r="AE44" s="19" t="s">
        <v>20</v>
      </c>
      <c r="AF44" s="19" t="s">
        <v>20</v>
      </c>
      <c r="AG44" s="52"/>
      <c r="AH44" s="19" t="s">
        <v>20</v>
      </c>
      <c r="AI44" s="4">
        <f t="shared" si="1"/>
        <v>24</v>
      </c>
      <c r="AJ44" s="4">
        <f t="shared" si="2"/>
        <v>0</v>
      </c>
    </row>
    <row r="45" spans="1:36" x14ac:dyDescent="0.25">
      <c r="A45" s="5">
        <v>17</v>
      </c>
      <c r="B45" s="20" t="s">
        <v>176</v>
      </c>
      <c r="C45" s="20" t="s">
        <v>177</v>
      </c>
      <c r="D45" s="6" t="s">
        <v>108</v>
      </c>
      <c r="E45" s="52"/>
      <c r="F45" s="19" t="s">
        <v>20</v>
      </c>
      <c r="G45" s="19" t="s">
        <v>20</v>
      </c>
      <c r="H45" s="19" t="s">
        <v>20</v>
      </c>
      <c r="I45" s="19" t="s">
        <v>20</v>
      </c>
      <c r="J45" s="19" t="s">
        <v>20</v>
      </c>
      <c r="K45" s="19" t="s">
        <v>20</v>
      </c>
      <c r="L45" s="52"/>
      <c r="M45" s="19" t="s">
        <v>20</v>
      </c>
      <c r="N45" s="19" t="s">
        <v>20</v>
      </c>
      <c r="O45" s="19" t="s">
        <v>20</v>
      </c>
      <c r="P45" s="19" t="s">
        <v>20</v>
      </c>
      <c r="Q45" s="19" t="s">
        <v>20</v>
      </c>
      <c r="R45" s="19" t="s">
        <v>20</v>
      </c>
      <c r="S45" s="52"/>
      <c r="T45" s="19" t="s">
        <v>20</v>
      </c>
      <c r="U45" s="55"/>
      <c r="V45" s="19" t="s">
        <v>20</v>
      </c>
      <c r="W45" s="19" t="s">
        <v>20</v>
      </c>
      <c r="X45" s="19" t="s">
        <v>20</v>
      </c>
      <c r="Y45" s="19" t="s">
        <v>20</v>
      </c>
      <c r="Z45" s="52"/>
      <c r="AA45" s="19" t="s">
        <v>20</v>
      </c>
      <c r="AB45" s="19" t="s">
        <v>20</v>
      </c>
      <c r="AC45" s="19" t="s">
        <v>20</v>
      </c>
      <c r="AD45" s="19" t="s">
        <v>20</v>
      </c>
      <c r="AE45" s="19" t="s">
        <v>20</v>
      </c>
      <c r="AF45" s="19" t="s">
        <v>20</v>
      </c>
      <c r="AG45" s="52"/>
      <c r="AH45" s="19" t="s">
        <v>20</v>
      </c>
      <c r="AI45" s="4">
        <f t="shared" si="1"/>
        <v>24</v>
      </c>
      <c r="AJ45" s="4">
        <f t="shared" si="2"/>
        <v>0</v>
      </c>
    </row>
    <row r="46" spans="1:36" x14ac:dyDescent="0.25">
      <c r="A46" s="7">
        <v>18</v>
      </c>
      <c r="B46" s="20" t="s">
        <v>178</v>
      </c>
      <c r="C46" s="20" t="s">
        <v>179</v>
      </c>
      <c r="D46" s="6" t="s">
        <v>108</v>
      </c>
      <c r="E46" s="52"/>
      <c r="F46" s="19" t="s">
        <v>21</v>
      </c>
      <c r="G46" s="19" t="s">
        <v>21</v>
      </c>
      <c r="H46" s="19" t="s">
        <v>21</v>
      </c>
      <c r="I46" s="19" t="s">
        <v>20</v>
      </c>
      <c r="J46" s="19" t="s">
        <v>20</v>
      </c>
      <c r="K46" s="19" t="s">
        <v>20</v>
      </c>
      <c r="L46" s="52"/>
      <c r="M46" s="19" t="s">
        <v>20</v>
      </c>
      <c r="N46" s="19" t="s">
        <v>20</v>
      </c>
      <c r="O46" s="19" t="s">
        <v>20</v>
      </c>
      <c r="P46" s="19" t="s">
        <v>20</v>
      </c>
      <c r="Q46" s="19" t="s">
        <v>21</v>
      </c>
      <c r="R46" s="19" t="s">
        <v>21</v>
      </c>
      <c r="S46" s="52"/>
      <c r="T46" s="19" t="s">
        <v>20</v>
      </c>
      <c r="U46" s="55"/>
      <c r="V46" s="19" t="s">
        <v>20</v>
      </c>
      <c r="W46" s="19" t="s">
        <v>20</v>
      </c>
      <c r="X46" s="19" t="s">
        <v>20</v>
      </c>
      <c r="Y46" s="19" t="s">
        <v>20</v>
      </c>
      <c r="Z46" s="52"/>
      <c r="AA46" s="19" t="s">
        <v>21</v>
      </c>
      <c r="AB46" s="19" t="s">
        <v>21</v>
      </c>
      <c r="AC46" s="19" t="s">
        <v>21</v>
      </c>
      <c r="AD46" s="19" t="s">
        <v>21</v>
      </c>
      <c r="AE46" s="19" t="s">
        <v>21</v>
      </c>
      <c r="AF46" s="19" t="s">
        <v>21</v>
      </c>
      <c r="AG46" s="52"/>
      <c r="AH46" s="19" t="s">
        <v>20</v>
      </c>
      <c r="AI46" s="4">
        <f t="shared" si="1"/>
        <v>13</v>
      </c>
      <c r="AJ46" s="4">
        <f t="shared" si="2"/>
        <v>11</v>
      </c>
    </row>
    <row r="47" spans="1:36" x14ac:dyDescent="0.25">
      <c r="A47" s="5">
        <v>19</v>
      </c>
      <c r="B47" s="20" t="s">
        <v>180</v>
      </c>
      <c r="C47" s="20" t="s">
        <v>181</v>
      </c>
      <c r="D47" s="6" t="s">
        <v>108</v>
      </c>
      <c r="E47" s="52"/>
      <c r="F47" s="19" t="s">
        <v>21</v>
      </c>
      <c r="G47" s="19" t="s">
        <v>21</v>
      </c>
      <c r="H47" s="19" t="s">
        <v>21</v>
      </c>
      <c r="I47" s="19" t="s">
        <v>20</v>
      </c>
      <c r="J47" s="19" t="s">
        <v>20</v>
      </c>
      <c r="K47" s="19" t="s">
        <v>20</v>
      </c>
      <c r="L47" s="52"/>
      <c r="M47" s="19" t="s">
        <v>20</v>
      </c>
      <c r="N47" s="19" t="s">
        <v>20</v>
      </c>
      <c r="O47" s="19" t="s">
        <v>20</v>
      </c>
      <c r="P47" s="19" t="s">
        <v>20</v>
      </c>
      <c r="Q47" s="19" t="s">
        <v>20</v>
      </c>
      <c r="R47" s="19" t="s">
        <v>20</v>
      </c>
      <c r="S47" s="52"/>
      <c r="T47" s="19" t="s">
        <v>20</v>
      </c>
      <c r="U47" s="55"/>
      <c r="V47" s="19" t="s">
        <v>20</v>
      </c>
      <c r="W47" s="19" t="s">
        <v>20</v>
      </c>
      <c r="X47" s="19" t="s">
        <v>20</v>
      </c>
      <c r="Y47" s="19" t="s">
        <v>20</v>
      </c>
      <c r="Z47" s="52"/>
      <c r="AA47" s="19" t="s">
        <v>20</v>
      </c>
      <c r="AB47" s="19" t="s">
        <v>20</v>
      </c>
      <c r="AC47" s="19" t="s">
        <v>20</v>
      </c>
      <c r="AD47" s="19" t="s">
        <v>20</v>
      </c>
      <c r="AE47" s="19" t="s">
        <v>20</v>
      </c>
      <c r="AF47" s="19" t="s">
        <v>20</v>
      </c>
      <c r="AG47" s="52"/>
      <c r="AH47" s="19" t="s">
        <v>20</v>
      </c>
      <c r="AI47" s="4">
        <f t="shared" si="1"/>
        <v>21</v>
      </c>
      <c r="AJ47" s="4">
        <f t="shared" si="2"/>
        <v>3</v>
      </c>
    </row>
    <row r="48" spans="1:36" x14ac:dyDescent="0.25">
      <c r="A48" s="7">
        <v>20</v>
      </c>
      <c r="B48" s="20" t="s">
        <v>60</v>
      </c>
      <c r="C48" s="20" t="s">
        <v>182</v>
      </c>
      <c r="D48" s="6" t="s">
        <v>108</v>
      </c>
      <c r="E48" s="53"/>
      <c r="F48" s="19" t="s">
        <v>21</v>
      </c>
      <c r="G48" s="19" t="s">
        <v>21</v>
      </c>
      <c r="H48" s="19" t="s">
        <v>21</v>
      </c>
      <c r="I48" s="19" t="s">
        <v>21</v>
      </c>
      <c r="J48" s="19" t="s">
        <v>21</v>
      </c>
      <c r="K48" s="19" t="s">
        <v>21</v>
      </c>
      <c r="L48" s="53"/>
      <c r="M48" s="19" t="s">
        <v>21</v>
      </c>
      <c r="N48" s="19" t="s">
        <v>21</v>
      </c>
      <c r="O48" s="19" t="s">
        <v>20</v>
      </c>
      <c r="P48" s="19" t="s">
        <v>21</v>
      </c>
      <c r="Q48" s="19" t="s">
        <v>21</v>
      </c>
      <c r="R48" s="19" t="s">
        <v>21</v>
      </c>
      <c r="S48" s="53"/>
      <c r="T48" s="19" t="s">
        <v>21</v>
      </c>
      <c r="U48" s="56"/>
      <c r="V48" s="19" t="s">
        <v>21</v>
      </c>
      <c r="W48" s="19" t="s">
        <v>21</v>
      </c>
      <c r="X48" s="19" t="s">
        <v>21</v>
      </c>
      <c r="Y48" s="19" t="s">
        <v>21</v>
      </c>
      <c r="Z48" s="53"/>
      <c r="AA48" s="19" t="s">
        <v>21</v>
      </c>
      <c r="AB48" s="19" t="s">
        <v>21</v>
      </c>
      <c r="AC48" s="19" t="s">
        <v>21</v>
      </c>
      <c r="AD48" s="19" t="s">
        <v>21</v>
      </c>
      <c r="AE48" s="19" t="s">
        <v>21</v>
      </c>
      <c r="AF48" s="19" t="s">
        <v>21</v>
      </c>
      <c r="AG48" s="53"/>
      <c r="AH48" s="19" t="s">
        <v>21</v>
      </c>
      <c r="AI48" s="4">
        <f t="shared" si="1"/>
        <v>1</v>
      </c>
      <c r="AJ48" s="4">
        <f t="shared" si="2"/>
        <v>23</v>
      </c>
    </row>
  </sheetData>
  <mergeCells count="17">
    <mergeCell ref="A1:AJ1"/>
    <mergeCell ref="A2:AJ2"/>
    <mergeCell ref="A3:A4"/>
    <mergeCell ref="B3:B4"/>
    <mergeCell ref="C3:C4"/>
    <mergeCell ref="D3:D4"/>
    <mergeCell ref="AI3:AI4"/>
    <mergeCell ref="AJ3:AJ4"/>
    <mergeCell ref="AK17:AN17"/>
    <mergeCell ref="AK3:AL3"/>
    <mergeCell ref="E5:E48"/>
    <mergeCell ref="L5:L48"/>
    <mergeCell ref="S5:S48"/>
    <mergeCell ref="U5:U48"/>
    <mergeCell ref="Z5:Z48"/>
    <mergeCell ref="AG5:AG48"/>
    <mergeCell ref="AK9:AN9"/>
  </mergeCells>
  <conditionalFormatting sqref="E5">
    <cfRule type="expression" dxfId="82" priority="37">
      <formula>E$3="Sun"</formula>
    </cfRule>
    <cfRule type="expression" dxfId="81" priority="36">
      <formula>IF(E$4=TODAY(),TRUE,FALSE)</formula>
    </cfRule>
    <cfRule type="cellIs" dxfId="80" priority="35" operator="equal">
      <formula>"P"</formula>
    </cfRule>
    <cfRule type="cellIs" dxfId="79" priority="34" operator="equal">
      <formula>"A"</formula>
    </cfRule>
    <cfRule type="cellIs" dxfId="78" priority="33" operator="equal">
      <formula>"L"</formula>
    </cfRule>
  </conditionalFormatting>
  <conditionalFormatting sqref="E3:AH4 F5:K48 M5:R48 T5:T48 V5:Y48 AA5:AF48 AH5:AH48">
    <cfRule type="expression" dxfId="77" priority="54">
      <formula>E$3="Sun"</formula>
    </cfRule>
  </conditionalFormatting>
  <conditionalFormatting sqref="F5:K48 M5:R48 T5:T48 V5:Y48 AA5:AF48 AH5:AH48 E4:AH4">
    <cfRule type="expression" dxfId="76" priority="53">
      <formula>IF(E$4=TODAY(),TRUE,FALSE)</formula>
    </cfRule>
  </conditionalFormatting>
  <conditionalFormatting sqref="F5:K48 M5:R48 T5:T48 V5:Y48 AA5:AF48 AH5:AH48">
    <cfRule type="cellIs" dxfId="75" priority="51" operator="equal">
      <formula>"A"</formula>
    </cfRule>
    <cfRule type="cellIs" dxfId="74" priority="50" operator="equal">
      <formula>"L"</formula>
    </cfRule>
    <cfRule type="cellIs" dxfId="73" priority="52" operator="equal">
      <formula>"P"</formula>
    </cfRule>
  </conditionalFormatting>
  <conditionalFormatting sqref="L5">
    <cfRule type="expression" dxfId="72" priority="32">
      <formula>L$3="Sun"</formula>
    </cfRule>
    <cfRule type="expression" dxfId="71" priority="31">
      <formula>IF(L$4=TODAY(),TRUE,FALSE)</formula>
    </cfRule>
    <cfRule type="cellIs" dxfId="70" priority="30" operator="equal">
      <formula>"P"</formula>
    </cfRule>
    <cfRule type="cellIs" dxfId="69" priority="29" operator="equal">
      <formula>"A"</formula>
    </cfRule>
    <cfRule type="cellIs" dxfId="68" priority="28" operator="equal">
      <formula>"L"</formula>
    </cfRule>
  </conditionalFormatting>
  <conditionalFormatting sqref="S5">
    <cfRule type="expression" dxfId="67" priority="26">
      <formula>IF(S$4=TODAY(),TRUE,FALSE)</formula>
    </cfRule>
    <cfRule type="cellIs" dxfId="66" priority="25" operator="equal">
      <formula>"P"</formula>
    </cfRule>
    <cfRule type="cellIs" dxfId="65" priority="24" operator="equal">
      <formula>"A"</formula>
    </cfRule>
    <cfRule type="cellIs" dxfId="64" priority="23" operator="equal">
      <formula>"L"</formula>
    </cfRule>
    <cfRule type="expression" dxfId="63" priority="27">
      <formula>S$3="Sun"</formula>
    </cfRule>
  </conditionalFormatting>
  <conditionalFormatting sqref="U5">
    <cfRule type="expression" dxfId="62" priority="21">
      <formula>IF(U$4=TODAY(),TRUE,FALSE)</formula>
    </cfRule>
    <cfRule type="expression" dxfId="61" priority="22">
      <formula>U$3="Sun"</formula>
    </cfRule>
    <cfRule type="cellIs" dxfId="60" priority="18" operator="equal">
      <formula>"L"</formula>
    </cfRule>
    <cfRule type="cellIs" dxfId="59" priority="19" operator="equal">
      <formula>"A"</formula>
    </cfRule>
    <cfRule type="cellIs" dxfId="58" priority="20" operator="equal">
      <formula>"P"</formula>
    </cfRule>
  </conditionalFormatting>
  <conditionalFormatting sqref="Z5">
    <cfRule type="cellIs" dxfId="57" priority="13" operator="equal">
      <formula>"L"</formula>
    </cfRule>
    <cfRule type="expression" dxfId="56" priority="17">
      <formula>Z$3="Sun"</formula>
    </cfRule>
    <cfRule type="expression" dxfId="55" priority="16">
      <formula>IF(Z$4=TODAY(),TRUE,FALSE)</formula>
    </cfRule>
    <cfRule type="cellIs" dxfId="54" priority="15" operator="equal">
      <formula>"P"</formula>
    </cfRule>
    <cfRule type="cellIs" dxfId="53" priority="14" operator="equal">
      <formula>"A"</formula>
    </cfRule>
  </conditionalFormatting>
  <conditionalFormatting sqref="AG5">
    <cfRule type="expression" dxfId="52" priority="12">
      <formula>AG$3="Sun"</formula>
    </cfRule>
    <cfRule type="cellIs" dxfId="51" priority="10" operator="equal">
      <formula>"P"</formula>
    </cfRule>
    <cfRule type="cellIs" dxfId="50" priority="9" operator="equal">
      <formula>"A"</formula>
    </cfRule>
    <cfRule type="cellIs" dxfId="49" priority="8" operator="equal">
      <formula>"L"</formula>
    </cfRule>
    <cfRule type="expression" dxfId="48" priority="11">
      <formula>IF(AG$4=TODAY(),TRUE,FALSE)</formula>
    </cfRule>
  </conditionalFormatting>
  <conditionalFormatting sqref="AI3:AJ3 AI5:AJ48">
    <cfRule type="expression" dxfId="47" priority="55">
      <formula>#REF!="Sun"</formula>
    </cfRule>
  </conditionalFormatting>
  <conditionalFormatting sqref="AK5:AK7">
    <cfRule type="expression" dxfId="46" priority="5">
      <formula>AK$3="Sun"</formula>
    </cfRule>
  </conditionalFormatting>
  <conditionalFormatting sqref="AK10:AK13">
    <cfRule type="expression" dxfId="45" priority="2">
      <formula>AK$3="Sun"</formula>
    </cfRule>
  </conditionalFormatting>
  <conditionalFormatting sqref="AK18:AK21">
    <cfRule type="expression" dxfId="44" priority="1">
      <formula>AK$3="Sun"</formula>
    </cfRule>
  </conditionalFormatting>
  <conditionalFormatting sqref="AK4:AL4">
    <cfRule type="expression" dxfId="43" priority="6">
      <formula>AK$3="Sun"</formula>
    </cfRule>
  </conditionalFormatting>
  <conditionalFormatting sqref="AL10:AN10 AL18:AN18">
    <cfRule type="expression" dxfId="42" priority="7">
      <formula>AL$3="Sun"</formula>
    </cfRule>
  </conditionalFormatting>
  <conditionalFormatting sqref="AN19">
    <cfRule type="expression" dxfId="41" priority="4">
      <formula>AN$3="Sun"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6DFB9-03D3-4CD5-AC41-C920A9DB2B12}">
  <dimension ref="A1:AN49"/>
  <sheetViews>
    <sheetView topLeftCell="D1" zoomScaleNormal="100" workbookViewId="0">
      <selection activeCell="AM11" sqref="AM11"/>
    </sheetView>
  </sheetViews>
  <sheetFormatPr defaultColWidth="3.85546875" defaultRowHeight="15" x14ac:dyDescent="0.25"/>
  <cols>
    <col min="1" max="1" width="5.140625" style="1" bestFit="1" customWidth="1"/>
    <col min="2" max="2" width="19.28515625" style="1" bestFit="1" customWidth="1"/>
    <col min="3" max="3" width="22.140625" style="1" bestFit="1" customWidth="1"/>
    <col min="4" max="4" width="6.42578125" style="1" customWidth="1"/>
    <col min="5" max="5" width="4" style="1" bestFit="1" customWidth="1"/>
    <col min="6" max="6" width="4.7109375" style="1" bestFit="1" customWidth="1"/>
    <col min="7" max="7" width="3.85546875" style="1" bestFit="1" customWidth="1"/>
    <col min="8" max="8" width="4.7109375" style="1" bestFit="1" customWidth="1"/>
    <col min="9" max="9" width="4" style="1" bestFit="1" customWidth="1"/>
    <col min="10" max="11" width="3.7109375" style="1" bestFit="1" customWidth="1"/>
    <col min="12" max="12" width="4" style="1" bestFit="1" customWidth="1"/>
    <col min="13" max="13" width="4.7109375" style="1" bestFit="1" customWidth="1"/>
    <col min="14" max="14" width="3.85546875" style="1" bestFit="1" customWidth="1"/>
    <col min="15" max="15" width="4.7109375" style="1" bestFit="1" customWidth="1"/>
    <col min="16" max="16" width="4" style="1" bestFit="1" customWidth="1"/>
    <col min="17" max="18" width="3.7109375" style="1" bestFit="1" customWidth="1"/>
    <col min="19" max="19" width="4" style="1" bestFit="1" customWidth="1"/>
    <col min="20" max="20" width="4.7109375" style="1" bestFit="1" customWidth="1"/>
    <col min="21" max="21" width="3.85546875" style="1" bestFit="1" customWidth="1"/>
    <col min="22" max="22" width="4.7109375" style="1" bestFit="1" customWidth="1"/>
    <col min="23" max="23" width="4" style="1" bestFit="1" customWidth="1"/>
    <col min="24" max="25" width="3.7109375" style="1" bestFit="1" customWidth="1"/>
    <col min="26" max="26" width="4" style="1" bestFit="1" customWidth="1"/>
    <col min="27" max="27" width="4.7109375" style="1" bestFit="1" customWidth="1"/>
    <col min="28" max="28" width="3.85546875" style="1" bestFit="1" customWidth="1"/>
    <col min="29" max="29" width="4.7109375" style="1" bestFit="1" customWidth="1"/>
    <col min="30" max="30" width="4" style="1" bestFit="1" customWidth="1"/>
    <col min="31" max="32" width="3.7109375" style="1" bestFit="1" customWidth="1"/>
    <col min="33" max="33" width="4" style="1" bestFit="1" customWidth="1"/>
    <col min="34" max="34" width="4.7109375" style="1" bestFit="1" customWidth="1"/>
    <col min="35" max="36" width="6.7109375" style="1" bestFit="1" customWidth="1"/>
    <col min="37" max="37" width="21.140625" style="1" bestFit="1" customWidth="1"/>
    <col min="38" max="38" width="5.85546875" style="1" bestFit="1" customWidth="1"/>
    <col min="39" max="39" width="9.42578125" style="1" bestFit="1" customWidth="1"/>
    <col min="40" max="40" width="6.7109375" style="1" bestFit="1" customWidth="1"/>
    <col min="41" max="16384" width="3.85546875" style="1"/>
  </cols>
  <sheetData>
    <row r="1" spans="1:40" ht="17.25" x14ac:dyDescent="0.25">
      <c r="A1" s="47" t="s">
        <v>19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</row>
    <row r="2" spans="1:40" ht="17.25" x14ac:dyDescent="0.3">
      <c r="A2" s="48" t="s">
        <v>18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</row>
    <row r="3" spans="1:40" ht="15.75" x14ac:dyDescent="0.25">
      <c r="A3" s="49" t="s">
        <v>0</v>
      </c>
      <c r="B3" s="49" t="s">
        <v>1</v>
      </c>
      <c r="C3" s="49" t="s">
        <v>2</v>
      </c>
      <c r="D3" s="49" t="s">
        <v>3</v>
      </c>
      <c r="E3" s="2" t="str">
        <f t="shared" ref="E3:AH3" si="0">TEXT(E4,"ddd")</f>
        <v>Sun</v>
      </c>
      <c r="F3" s="2" t="str">
        <f t="shared" si="0"/>
        <v>Mon</v>
      </c>
      <c r="G3" s="2" t="str">
        <f t="shared" si="0"/>
        <v>Tue</v>
      </c>
      <c r="H3" s="2" t="str">
        <f t="shared" si="0"/>
        <v>Wed</v>
      </c>
      <c r="I3" s="2" t="str">
        <f t="shared" si="0"/>
        <v>Thu</v>
      </c>
      <c r="J3" s="2" t="str">
        <f t="shared" si="0"/>
        <v>Fri</v>
      </c>
      <c r="K3" s="2" t="str">
        <f t="shared" si="0"/>
        <v>Sat</v>
      </c>
      <c r="L3" s="2" t="str">
        <f t="shared" si="0"/>
        <v>Sun</v>
      </c>
      <c r="M3" s="2" t="str">
        <f t="shared" si="0"/>
        <v>Mon</v>
      </c>
      <c r="N3" s="2" t="str">
        <f t="shared" si="0"/>
        <v>Tue</v>
      </c>
      <c r="O3" s="2" t="str">
        <f t="shared" si="0"/>
        <v>Wed</v>
      </c>
      <c r="P3" s="2" t="str">
        <f t="shared" si="0"/>
        <v>Thu</v>
      </c>
      <c r="Q3" s="2" t="str">
        <f t="shared" si="0"/>
        <v>Fri</v>
      </c>
      <c r="R3" s="2" t="str">
        <f t="shared" si="0"/>
        <v>Sat</v>
      </c>
      <c r="S3" s="2" t="str">
        <f t="shared" si="0"/>
        <v>Sun</v>
      </c>
      <c r="T3" s="2" t="str">
        <f t="shared" si="0"/>
        <v>Mon</v>
      </c>
      <c r="U3" s="2" t="str">
        <f t="shared" si="0"/>
        <v>Tue</v>
      </c>
      <c r="V3" s="2" t="str">
        <f t="shared" si="0"/>
        <v>Wed</v>
      </c>
      <c r="W3" s="2" t="str">
        <f t="shared" si="0"/>
        <v>Thu</v>
      </c>
      <c r="X3" s="2" t="str">
        <f t="shared" si="0"/>
        <v>Fri</v>
      </c>
      <c r="Y3" s="2" t="str">
        <f t="shared" si="0"/>
        <v>Sat</v>
      </c>
      <c r="Z3" s="2" t="str">
        <f t="shared" si="0"/>
        <v>Sun</v>
      </c>
      <c r="AA3" s="2" t="str">
        <f t="shared" si="0"/>
        <v>Mon</v>
      </c>
      <c r="AB3" s="2" t="str">
        <f t="shared" si="0"/>
        <v>Tue</v>
      </c>
      <c r="AC3" s="2" t="str">
        <f t="shared" si="0"/>
        <v>Wed</v>
      </c>
      <c r="AD3" s="2" t="str">
        <f t="shared" si="0"/>
        <v>Thu</v>
      </c>
      <c r="AE3" s="2" t="str">
        <f t="shared" si="0"/>
        <v>Fri</v>
      </c>
      <c r="AF3" s="2" t="str">
        <f t="shared" si="0"/>
        <v>Sat</v>
      </c>
      <c r="AG3" s="2" t="str">
        <f t="shared" si="0"/>
        <v>Sun</v>
      </c>
      <c r="AH3" s="2" t="str">
        <f t="shared" si="0"/>
        <v>Mon</v>
      </c>
      <c r="AI3" s="45" t="s">
        <v>4</v>
      </c>
      <c r="AJ3" s="45" t="s">
        <v>5</v>
      </c>
      <c r="AK3" s="42" t="s">
        <v>17</v>
      </c>
      <c r="AL3" s="43"/>
      <c r="AM3" s="3"/>
      <c r="AN3" s="3"/>
    </row>
    <row r="4" spans="1:40" ht="36" x14ac:dyDescent="0.25">
      <c r="A4" s="50"/>
      <c r="B4" s="50"/>
      <c r="C4" s="50"/>
      <c r="D4" s="50"/>
      <c r="E4" s="10">
        <v>45536</v>
      </c>
      <c r="F4" s="10">
        <v>45537</v>
      </c>
      <c r="G4" s="10">
        <v>45538</v>
      </c>
      <c r="H4" s="10">
        <v>45539</v>
      </c>
      <c r="I4" s="10">
        <v>45540</v>
      </c>
      <c r="J4" s="10">
        <v>45541</v>
      </c>
      <c r="K4" s="10">
        <v>45542</v>
      </c>
      <c r="L4" s="10">
        <v>45543</v>
      </c>
      <c r="M4" s="10">
        <v>45544</v>
      </c>
      <c r="N4" s="10">
        <v>45545</v>
      </c>
      <c r="O4" s="10">
        <v>45546</v>
      </c>
      <c r="P4" s="10">
        <v>45547</v>
      </c>
      <c r="Q4" s="10">
        <v>45548</v>
      </c>
      <c r="R4" s="10">
        <v>45549</v>
      </c>
      <c r="S4" s="10">
        <v>45550</v>
      </c>
      <c r="T4" s="10">
        <v>45551</v>
      </c>
      <c r="U4" s="10">
        <v>45552</v>
      </c>
      <c r="V4" s="10">
        <v>45553</v>
      </c>
      <c r="W4" s="10">
        <v>45554</v>
      </c>
      <c r="X4" s="10">
        <v>45555</v>
      </c>
      <c r="Y4" s="10">
        <v>45556</v>
      </c>
      <c r="Z4" s="10">
        <v>45557</v>
      </c>
      <c r="AA4" s="10">
        <v>45558</v>
      </c>
      <c r="AB4" s="10">
        <v>45559</v>
      </c>
      <c r="AC4" s="10">
        <v>45560</v>
      </c>
      <c r="AD4" s="10">
        <v>45561</v>
      </c>
      <c r="AE4" s="10">
        <v>45562</v>
      </c>
      <c r="AF4" s="10">
        <v>45563</v>
      </c>
      <c r="AG4" s="10">
        <v>45564</v>
      </c>
      <c r="AH4" s="10">
        <v>45565</v>
      </c>
      <c r="AI4" s="45"/>
      <c r="AJ4" s="45"/>
      <c r="AK4" s="4" t="s">
        <v>103</v>
      </c>
      <c r="AL4" s="4">
        <f>SUM(AL5:AL7)</f>
        <v>30</v>
      </c>
      <c r="AM4" s="3"/>
      <c r="AN4" s="3"/>
    </row>
    <row r="5" spans="1:40" ht="15" customHeight="1" x14ac:dyDescent="0.25">
      <c r="A5" s="5">
        <v>1</v>
      </c>
      <c r="B5" s="13" t="s">
        <v>24</v>
      </c>
      <c r="C5" s="12" t="s">
        <v>25</v>
      </c>
      <c r="D5" s="6" t="s">
        <v>23</v>
      </c>
      <c r="E5" s="51" t="s">
        <v>100</v>
      </c>
      <c r="F5" s="19" t="s">
        <v>20</v>
      </c>
      <c r="G5" s="19" t="s">
        <v>20</v>
      </c>
      <c r="H5" s="19" t="s">
        <v>20</v>
      </c>
      <c r="I5" s="19" t="s">
        <v>20</v>
      </c>
      <c r="J5" s="19" t="s">
        <v>21</v>
      </c>
      <c r="K5" s="19" t="s">
        <v>20</v>
      </c>
      <c r="L5" s="51" t="s">
        <v>100</v>
      </c>
      <c r="M5" s="19" t="s">
        <v>20</v>
      </c>
      <c r="N5" s="19" t="s">
        <v>20</v>
      </c>
      <c r="O5" s="19" t="s">
        <v>20</v>
      </c>
      <c r="P5" s="19" t="s">
        <v>20</v>
      </c>
      <c r="Q5" s="19" t="s">
        <v>20</v>
      </c>
      <c r="R5" s="19" t="s">
        <v>20</v>
      </c>
      <c r="S5" s="51" t="s">
        <v>100</v>
      </c>
      <c r="T5" s="19" t="s">
        <v>20</v>
      </c>
      <c r="U5" s="54" t="s">
        <v>101</v>
      </c>
      <c r="V5" s="19" t="s">
        <v>20</v>
      </c>
      <c r="W5" s="19" t="s">
        <v>20</v>
      </c>
      <c r="X5" s="19" t="s">
        <v>20</v>
      </c>
      <c r="Y5" s="19" t="s">
        <v>20</v>
      </c>
      <c r="Z5" s="51" t="s">
        <v>100</v>
      </c>
      <c r="AA5" s="19" t="s">
        <v>20</v>
      </c>
      <c r="AB5" s="19" t="s">
        <v>20</v>
      </c>
      <c r="AC5" s="19" t="s">
        <v>20</v>
      </c>
      <c r="AD5" s="19" t="s">
        <v>20</v>
      </c>
      <c r="AE5" s="19" t="s">
        <v>20</v>
      </c>
      <c r="AF5" s="19" t="s">
        <v>20</v>
      </c>
      <c r="AG5" s="51" t="s">
        <v>100</v>
      </c>
      <c r="AH5" s="19" t="s">
        <v>20</v>
      </c>
      <c r="AI5" s="4">
        <f t="shared" ref="AI5:AI43" si="1">COUNTIF(E5:AH5,"P")</f>
        <v>23</v>
      </c>
      <c r="AJ5" s="4">
        <f t="shared" ref="AJ5:AJ43" si="2">COUNTIF(E5:AH5,"A")</f>
        <v>1</v>
      </c>
      <c r="AK5" s="4" t="s">
        <v>6</v>
      </c>
      <c r="AL5" s="7">
        <v>24</v>
      </c>
      <c r="AM5" s="8"/>
      <c r="AN5" s="3"/>
    </row>
    <row r="6" spans="1:40" x14ac:dyDescent="0.25">
      <c r="A6" s="7">
        <v>2</v>
      </c>
      <c r="B6" s="13" t="s">
        <v>26</v>
      </c>
      <c r="C6" s="12" t="s">
        <v>27</v>
      </c>
      <c r="D6" s="6" t="s">
        <v>23</v>
      </c>
      <c r="E6" s="52"/>
      <c r="F6" s="19" t="s">
        <v>21</v>
      </c>
      <c r="G6" s="19" t="s">
        <v>20</v>
      </c>
      <c r="H6" s="19" t="s">
        <v>20</v>
      </c>
      <c r="I6" s="19" t="s">
        <v>20</v>
      </c>
      <c r="J6" s="19" t="s">
        <v>20</v>
      </c>
      <c r="K6" s="19" t="s">
        <v>20</v>
      </c>
      <c r="L6" s="52"/>
      <c r="M6" s="19" t="s">
        <v>20</v>
      </c>
      <c r="N6" s="19" t="s">
        <v>20</v>
      </c>
      <c r="O6" s="19" t="s">
        <v>20</v>
      </c>
      <c r="P6" s="19" t="s">
        <v>20</v>
      </c>
      <c r="Q6" s="19" t="s">
        <v>20</v>
      </c>
      <c r="R6" s="19" t="s">
        <v>20</v>
      </c>
      <c r="S6" s="52"/>
      <c r="T6" s="19" t="s">
        <v>20</v>
      </c>
      <c r="U6" s="55"/>
      <c r="V6" s="19" t="s">
        <v>20</v>
      </c>
      <c r="W6" s="19" t="s">
        <v>20</v>
      </c>
      <c r="X6" s="19" t="s">
        <v>20</v>
      </c>
      <c r="Y6" s="19" t="s">
        <v>20</v>
      </c>
      <c r="Z6" s="52"/>
      <c r="AA6" s="19" t="s">
        <v>20</v>
      </c>
      <c r="AB6" s="19" t="s">
        <v>20</v>
      </c>
      <c r="AC6" s="19" t="s">
        <v>20</v>
      </c>
      <c r="AD6" s="19" t="s">
        <v>20</v>
      </c>
      <c r="AE6" s="19" t="s">
        <v>20</v>
      </c>
      <c r="AF6" s="19" t="s">
        <v>20</v>
      </c>
      <c r="AG6" s="52"/>
      <c r="AH6" s="19" t="s">
        <v>20</v>
      </c>
      <c r="AI6" s="4">
        <f t="shared" si="1"/>
        <v>23</v>
      </c>
      <c r="AJ6" s="4">
        <f t="shared" si="2"/>
        <v>1</v>
      </c>
      <c r="AK6" s="4" t="s">
        <v>7</v>
      </c>
      <c r="AL6" s="7">
        <v>5</v>
      </c>
      <c r="AM6" s="3"/>
      <c r="AN6" s="3"/>
    </row>
    <row r="7" spans="1:40" x14ac:dyDescent="0.25">
      <c r="A7" s="5">
        <v>3</v>
      </c>
      <c r="B7" s="13" t="s">
        <v>28</v>
      </c>
      <c r="C7" s="12" t="s">
        <v>29</v>
      </c>
      <c r="D7" s="6" t="s">
        <v>23</v>
      </c>
      <c r="E7" s="52"/>
      <c r="F7" s="19" t="s">
        <v>20</v>
      </c>
      <c r="G7" s="19" t="s">
        <v>20</v>
      </c>
      <c r="H7" s="19" t="s">
        <v>20</v>
      </c>
      <c r="I7" s="19" t="s">
        <v>20</v>
      </c>
      <c r="J7" s="19" t="s">
        <v>20</v>
      </c>
      <c r="K7" s="19" t="s">
        <v>21</v>
      </c>
      <c r="L7" s="52"/>
      <c r="M7" s="19" t="s">
        <v>20</v>
      </c>
      <c r="N7" s="19" t="s">
        <v>20</v>
      </c>
      <c r="O7" s="19" t="s">
        <v>20</v>
      </c>
      <c r="P7" s="19" t="s">
        <v>21</v>
      </c>
      <c r="Q7" s="19" t="s">
        <v>20</v>
      </c>
      <c r="R7" s="19" t="s">
        <v>20</v>
      </c>
      <c r="S7" s="52"/>
      <c r="T7" s="19" t="s">
        <v>20</v>
      </c>
      <c r="U7" s="55"/>
      <c r="V7" s="19" t="s">
        <v>21</v>
      </c>
      <c r="W7" s="19" t="s">
        <v>20</v>
      </c>
      <c r="X7" s="19" t="s">
        <v>20</v>
      </c>
      <c r="Y7" s="19" t="s">
        <v>21</v>
      </c>
      <c r="Z7" s="52"/>
      <c r="AA7" s="19" t="s">
        <v>20</v>
      </c>
      <c r="AB7" s="19" t="s">
        <v>20</v>
      </c>
      <c r="AC7" s="19" t="s">
        <v>20</v>
      </c>
      <c r="AD7" s="19" t="s">
        <v>21</v>
      </c>
      <c r="AE7" s="19" t="s">
        <v>20</v>
      </c>
      <c r="AF7" s="19" t="s">
        <v>20</v>
      </c>
      <c r="AG7" s="52"/>
      <c r="AH7" s="19" t="s">
        <v>20</v>
      </c>
      <c r="AI7" s="4">
        <f t="shared" si="1"/>
        <v>19</v>
      </c>
      <c r="AJ7" s="4">
        <f t="shared" si="2"/>
        <v>5</v>
      </c>
      <c r="AK7" s="4" t="s">
        <v>105</v>
      </c>
      <c r="AL7" s="7">
        <v>1</v>
      </c>
      <c r="AM7" s="3"/>
      <c r="AN7" s="3"/>
    </row>
    <row r="8" spans="1:40" x14ac:dyDescent="0.25">
      <c r="A8" s="7">
        <v>4</v>
      </c>
      <c r="B8" s="13" t="s">
        <v>30</v>
      </c>
      <c r="C8" s="12" t="s">
        <v>31</v>
      </c>
      <c r="D8" s="6" t="s">
        <v>23</v>
      </c>
      <c r="E8" s="52"/>
      <c r="F8" s="19" t="s">
        <v>20</v>
      </c>
      <c r="G8" s="19" t="s">
        <v>20</v>
      </c>
      <c r="H8" s="19" t="s">
        <v>20</v>
      </c>
      <c r="I8" s="19" t="s">
        <v>20</v>
      </c>
      <c r="J8" s="19" t="s">
        <v>20</v>
      </c>
      <c r="K8" s="19" t="s">
        <v>20</v>
      </c>
      <c r="L8" s="52"/>
      <c r="M8" s="19" t="s">
        <v>20</v>
      </c>
      <c r="N8" s="19" t="s">
        <v>20</v>
      </c>
      <c r="O8" s="19" t="s">
        <v>20</v>
      </c>
      <c r="P8" s="19" t="s">
        <v>20</v>
      </c>
      <c r="Q8" s="19" t="s">
        <v>20</v>
      </c>
      <c r="R8" s="19" t="s">
        <v>20</v>
      </c>
      <c r="S8" s="52"/>
      <c r="T8" s="19" t="s">
        <v>20</v>
      </c>
      <c r="U8" s="55"/>
      <c r="V8" s="19" t="s">
        <v>20</v>
      </c>
      <c r="W8" s="19" t="s">
        <v>20</v>
      </c>
      <c r="X8" s="19" t="s">
        <v>20</v>
      </c>
      <c r="Y8" s="19" t="s">
        <v>20</v>
      </c>
      <c r="Z8" s="52"/>
      <c r="AA8" s="19" t="s">
        <v>20</v>
      </c>
      <c r="AB8" s="19" t="s">
        <v>20</v>
      </c>
      <c r="AC8" s="19" t="s">
        <v>20</v>
      </c>
      <c r="AD8" s="19" t="s">
        <v>20</v>
      </c>
      <c r="AE8" s="19" t="s">
        <v>20</v>
      </c>
      <c r="AF8" s="19" t="s">
        <v>20</v>
      </c>
      <c r="AG8" s="52"/>
      <c r="AH8" s="19" t="s">
        <v>20</v>
      </c>
      <c r="AI8" s="4">
        <f t="shared" si="1"/>
        <v>24</v>
      </c>
      <c r="AJ8" s="4">
        <f t="shared" si="2"/>
        <v>0</v>
      </c>
      <c r="AK8"/>
      <c r="AL8"/>
      <c r="AM8"/>
      <c r="AN8"/>
    </row>
    <row r="9" spans="1:40" ht="15.75" x14ac:dyDescent="0.25">
      <c r="A9" s="5">
        <v>5</v>
      </c>
      <c r="B9" s="13" t="s">
        <v>32</v>
      </c>
      <c r="C9" s="12" t="s">
        <v>33</v>
      </c>
      <c r="D9" s="6" t="s">
        <v>23</v>
      </c>
      <c r="E9" s="52"/>
      <c r="F9" s="19" t="s">
        <v>21</v>
      </c>
      <c r="G9" s="19" t="s">
        <v>21</v>
      </c>
      <c r="H9" s="19" t="s">
        <v>21</v>
      </c>
      <c r="I9" s="19" t="s">
        <v>21</v>
      </c>
      <c r="J9" s="19" t="s">
        <v>21</v>
      </c>
      <c r="K9" s="19" t="s">
        <v>21</v>
      </c>
      <c r="L9" s="52"/>
      <c r="M9" s="19" t="s">
        <v>21</v>
      </c>
      <c r="N9" s="19" t="s">
        <v>21</v>
      </c>
      <c r="O9" s="19" t="s">
        <v>21</v>
      </c>
      <c r="P9" s="19" t="s">
        <v>21</v>
      </c>
      <c r="Q9" s="19" t="s">
        <v>21</v>
      </c>
      <c r="R9" s="19" t="s">
        <v>21</v>
      </c>
      <c r="S9" s="52"/>
      <c r="T9" s="19" t="s">
        <v>21</v>
      </c>
      <c r="U9" s="55"/>
      <c r="V9" s="19" t="s">
        <v>21</v>
      </c>
      <c r="W9" s="19" t="s">
        <v>21</v>
      </c>
      <c r="X9" s="19" t="s">
        <v>21</v>
      </c>
      <c r="Y9" s="19" t="s">
        <v>21</v>
      </c>
      <c r="Z9" s="52"/>
      <c r="AA9" s="19" t="s">
        <v>21</v>
      </c>
      <c r="AB9" s="19" t="s">
        <v>21</v>
      </c>
      <c r="AC9" s="19" t="s">
        <v>21</v>
      </c>
      <c r="AD9" s="19" t="s">
        <v>21</v>
      </c>
      <c r="AE9" s="19" t="s">
        <v>21</v>
      </c>
      <c r="AF9" s="19" t="s">
        <v>21</v>
      </c>
      <c r="AG9" s="52"/>
      <c r="AH9" s="19" t="s">
        <v>21</v>
      </c>
      <c r="AI9" s="4">
        <f t="shared" si="1"/>
        <v>0</v>
      </c>
      <c r="AJ9" s="4">
        <f t="shared" si="2"/>
        <v>24</v>
      </c>
      <c r="AK9" s="42" t="s">
        <v>8</v>
      </c>
      <c r="AL9" s="43"/>
      <c r="AM9" s="43"/>
      <c r="AN9" s="44"/>
    </row>
    <row r="10" spans="1:40" x14ac:dyDescent="0.25">
      <c r="A10" s="7">
        <v>6</v>
      </c>
      <c r="B10" s="13" t="s">
        <v>34</v>
      </c>
      <c r="C10" s="12" t="s">
        <v>35</v>
      </c>
      <c r="D10" s="6" t="s">
        <v>23</v>
      </c>
      <c r="E10" s="52"/>
      <c r="F10" s="19" t="s">
        <v>20</v>
      </c>
      <c r="G10" s="19" t="s">
        <v>20</v>
      </c>
      <c r="H10" s="19" t="s">
        <v>20</v>
      </c>
      <c r="I10" s="19" t="s">
        <v>20</v>
      </c>
      <c r="J10" s="19" t="s">
        <v>21</v>
      </c>
      <c r="K10" s="19" t="s">
        <v>20</v>
      </c>
      <c r="L10" s="52"/>
      <c r="M10" s="19" t="s">
        <v>20</v>
      </c>
      <c r="N10" s="19" t="s">
        <v>20</v>
      </c>
      <c r="O10" s="19" t="s">
        <v>20</v>
      </c>
      <c r="P10" s="19" t="s">
        <v>20</v>
      </c>
      <c r="Q10" s="19" t="s">
        <v>20</v>
      </c>
      <c r="R10" s="19" t="s">
        <v>20</v>
      </c>
      <c r="S10" s="52"/>
      <c r="T10" s="19" t="s">
        <v>20</v>
      </c>
      <c r="U10" s="55"/>
      <c r="V10" s="19" t="s">
        <v>20</v>
      </c>
      <c r="W10" s="19" t="s">
        <v>20</v>
      </c>
      <c r="X10" s="19" t="s">
        <v>20</v>
      </c>
      <c r="Y10" s="19" t="s">
        <v>20</v>
      </c>
      <c r="Z10" s="52"/>
      <c r="AA10" s="19" t="s">
        <v>20</v>
      </c>
      <c r="AB10" s="19" t="s">
        <v>20</v>
      </c>
      <c r="AC10" s="19" t="s">
        <v>20</v>
      </c>
      <c r="AD10" s="19" t="s">
        <v>21</v>
      </c>
      <c r="AE10" s="19" t="s">
        <v>21</v>
      </c>
      <c r="AF10" s="19" t="s">
        <v>20</v>
      </c>
      <c r="AG10" s="52"/>
      <c r="AH10" s="19" t="s">
        <v>20</v>
      </c>
      <c r="AI10" s="4">
        <f t="shared" si="1"/>
        <v>21</v>
      </c>
      <c r="AJ10" s="4">
        <f t="shared" si="2"/>
        <v>3</v>
      </c>
      <c r="AK10" s="4" t="s">
        <v>9</v>
      </c>
      <c r="AL10" s="4" t="s">
        <v>10</v>
      </c>
      <c r="AM10" s="4" t="s">
        <v>11</v>
      </c>
      <c r="AN10" s="4" t="s">
        <v>12</v>
      </c>
    </row>
    <row r="11" spans="1:40" x14ac:dyDescent="0.25">
      <c r="A11" s="5">
        <v>7</v>
      </c>
      <c r="B11" s="13" t="s">
        <v>36</v>
      </c>
      <c r="C11" s="12" t="s">
        <v>37</v>
      </c>
      <c r="D11" s="6" t="s">
        <v>23</v>
      </c>
      <c r="E11" s="52"/>
      <c r="F11" s="19" t="s">
        <v>20</v>
      </c>
      <c r="G11" s="19" t="s">
        <v>20</v>
      </c>
      <c r="H11" s="19" t="s">
        <v>20</v>
      </c>
      <c r="I11" s="19" t="s">
        <v>20</v>
      </c>
      <c r="J11" s="19" t="s">
        <v>21</v>
      </c>
      <c r="K11" s="19" t="s">
        <v>20</v>
      </c>
      <c r="L11" s="52"/>
      <c r="M11" s="19" t="s">
        <v>20</v>
      </c>
      <c r="N11" s="19" t="s">
        <v>20</v>
      </c>
      <c r="O11" s="19" t="s">
        <v>20</v>
      </c>
      <c r="P11" s="19" t="s">
        <v>20</v>
      </c>
      <c r="Q11" s="19" t="s">
        <v>20</v>
      </c>
      <c r="R11" s="19" t="s">
        <v>20</v>
      </c>
      <c r="S11" s="52"/>
      <c r="T11" s="19" t="s">
        <v>20</v>
      </c>
      <c r="U11" s="55"/>
      <c r="V11" s="19" t="s">
        <v>20</v>
      </c>
      <c r="W11" s="19" t="s">
        <v>20</v>
      </c>
      <c r="X11" s="19" t="s">
        <v>20</v>
      </c>
      <c r="Y11" s="19" t="s">
        <v>20</v>
      </c>
      <c r="Z11" s="52"/>
      <c r="AA11" s="19" t="s">
        <v>20</v>
      </c>
      <c r="AB11" s="19" t="s">
        <v>20</v>
      </c>
      <c r="AC11" s="19" t="s">
        <v>21</v>
      </c>
      <c r="AD11" s="19" t="s">
        <v>20</v>
      </c>
      <c r="AE11" s="19" t="s">
        <v>20</v>
      </c>
      <c r="AF11" s="19" t="s">
        <v>21</v>
      </c>
      <c r="AG11" s="52"/>
      <c r="AH11" s="19" t="s">
        <v>20</v>
      </c>
      <c r="AI11" s="4">
        <f t="shared" si="1"/>
        <v>21</v>
      </c>
      <c r="AJ11" s="4">
        <f t="shared" si="2"/>
        <v>3</v>
      </c>
      <c r="AK11" s="4" t="s">
        <v>13</v>
      </c>
      <c r="AL11" s="7">
        <f>17*$AL$5</f>
        <v>408</v>
      </c>
      <c r="AM11" s="7">
        <f>22*$AL$5</f>
        <v>528</v>
      </c>
      <c r="AN11" s="7">
        <f>SUM(AL11:AM11)</f>
        <v>936</v>
      </c>
    </row>
    <row r="12" spans="1:40" x14ac:dyDescent="0.25">
      <c r="A12" s="7">
        <v>8</v>
      </c>
      <c r="B12" s="13" t="s">
        <v>38</v>
      </c>
      <c r="C12" s="12" t="s">
        <v>39</v>
      </c>
      <c r="D12" s="6" t="s">
        <v>23</v>
      </c>
      <c r="E12" s="52"/>
      <c r="F12" s="19" t="s">
        <v>20</v>
      </c>
      <c r="G12" s="19" t="s">
        <v>20</v>
      </c>
      <c r="H12" s="19" t="s">
        <v>20</v>
      </c>
      <c r="I12" s="19" t="s">
        <v>20</v>
      </c>
      <c r="J12" s="19" t="s">
        <v>20</v>
      </c>
      <c r="K12" s="19" t="s">
        <v>20</v>
      </c>
      <c r="L12" s="52"/>
      <c r="M12" s="19" t="s">
        <v>20</v>
      </c>
      <c r="N12" s="19" t="s">
        <v>20</v>
      </c>
      <c r="O12" s="19" t="s">
        <v>20</v>
      </c>
      <c r="P12" s="19" t="s">
        <v>20</v>
      </c>
      <c r="Q12" s="19" t="s">
        <v>20</v>
      </c>
      <c r="R12" s="19" t="s">
        <v>20</v>
      </c>
      <c r="S12" s="52"/>
      <c r="T12" s="19" t="s">
        <v>20</v>
      </c>
      <c r="U12" s="55"/>
      <c r="V12" s="19" t="s">
        <v>20</v>
      </c>
      <c r="W12" s="19" t="s">
        <v>20</v>
      </c>
      <c r="X12" s="19" t="s">
        <v>20</v>
      </c>
      <c r="Y12" s="19" t="s">
        <v>20</v>
      </c>
      <c r="Z12" s="52"/>
      <c r="AA12" s="19" t="s">
        <v>20</v>
      </c>
      <c r="AB12" s="19" t="s">
        <v>21</v>
      </c>
      <c r="AC12" s="19" t="s">
        <v>20</v>
      </c>
      <c r="AD12" s="19" t="s">
        <v>20</v>
      </c>
      <c r="AE12" s="19" t="s">
        <v>21</v>
      </c>
      <c r="AF12" s="19" t="s">
        <v>20</v>
      </c>
      <c r="AG12" s="52"/>
      <c r="AH12" s="19" t="s">
        <v>20</v>
      </c>
      <c r="AI12" s="4">
        <f t="shared" si="1"/>
        <v>22</v>
      </c>
      <c r="AJ12" s="4">
        <f t="shared" si="2"/>
        <v>2</v>
      </c>
      <c r="AK12" s="4" t="s">
        <v>14</v>
      </c>
      <c r="AL12" s="7">
        <f>SUM(AI5:AI21)</f>
        <v>322</v>
      </c>
      <c r="AM12" s="7">
        <f>SUM(AI22:AI43)</f>
        <v>351</v>
      </c>
      <c r="AN12" s="7">
        <f>AL12+AM12</f>
        <v>673</v>
      </c>
    </row>
    <row r="13" spans="1:40" x14ac:dyDescent="0.25">
      <c r="A13" s="5">
        <v>9</v>
      </c>
      <c r="B13" s="13" t="s">
        <v>40</v>
      </c>
      <c r="C13" s="12" t="s">
        <v>41</v>
      </c>
      <c r="D13" s="6" t="s">
        <v>23</v>
      </c>
      <c r="E13" s="52"/>
      <c r="F13" s="19" t="s">
        <v>20</v>
      </c>
      <c r="G13" s="19" t="s">
        <v>20</v>
      </c>
      <c r="H13" s="19" t="s">
        <v>20</v>
      </c>
      <c r="I13" s="19" t="s">
        <v>20</v>
      </c>
      <c r="J13" s="19" t="s">
        <v>21</v>
      </c>
      <c r="K13" s="19" t="s">
        <v>21</v>
      </c>
      <c r="L13" s="52"/>
      <c r="M13" s="19" t="s">
        <v>20</v>
      </c>
      <c r="N13" s="19" t="s">
        <v>20</v>
      </c>
      <c r="O13" s="19" t="s">
        <v>20</v>
      </c>
      <c r="P13" s="19" t="s">
        <v>20</v>
      </c>
      <c r="Q13" s="19" t="s">
        <v>20</v>
      </c>
      <c r="R13" s="19" t="s">
        <v>20</v>
      </c>
      <c r="S13" s="52"/>
      <c r="T13" s="19" t="s">
        <v>21</v>
      </c>
      <c r="U13" s="55"/>
      <c r="V13" s="19" t="s">
        <v>20</v>
      </c>
      <c r="W13" s="19" t="s">
        <v>20</v>
      </c>
      <c r="X13" s="19" t="s">
        <v>20</v>
      </c>
      <c r="Y13" s="19" t="s">
        <v>20</v>
      </c>
      <c r="Z13" s="52"/>
      <c r="AA13" s="19" t="s">
        <v>21</v>
      </c>
      <c r="AB13" s="19" t="s">
        <v>20</v>
      </c>
      <c r="AC13" s="19" t="s">
        <v>20</v>
      </c>
      <c r="AD13" s="19" t="s">
        <v>20</v>
      </c>
      <c r="AE13" s="19" t="s">
        <v>20</v>
      </c>
      <c r="AF13" s="19" t="s">
        <v>20</v>
      </c>
      <c r="AG13" s="52"/>
      <c r="AH13" s="19" t="s">
        <v>21</v>
      </c>
      <c r="AI13" s="4">
        <f t="shared" si="1"/>
        <v>19</v>
      </c>
      <c r="AJ13" s="4">
        <f t="shared" si="2"/>
        <v>5</v>
      </c>
      <c r="AK13" s="4" t="s">
        <v>15</v>
      </c>
      <c r="AL13" s="9">
        <f>AL12/AL11</f>
        <v>0.78921568627450978</v>
      </c>
      <c r="AM13" s="9">
        <f>AM12/AM11</f>
        <v>0.66477272727272729</v>
      </c>
      <c r="AN13" s="9">
        <f>AN12/AN11</f>
        <v>0.71901709401709402</v>
      </c>
    </row>
    <row r="14" spans="1:40" x14ac:dyDescent="0.25">
      <c r="A14" s="7">
        <v>10</v>
      </c>
      <c r="B14" s="13" t="s">
        <v>42</v>
      </c>
      <c r="C14" s="12" t="s">
        <v>43</v>
      </c>
      <c r="D14" s="6" t="s">
        <v>23</v>
      </c>
      <c r="E14" s="52"/>
      <c r="F14" s="19" t="s">
        <v>20</v>
      </c>
      <c r="G14" s="19" t="s">
        <v>20</v>
      </c>
      <c r="H14" s="19" t="s">
        <v>20</v>
      </c>
      <c r="I14" s="19" t="s">
        <v>20</v>
      </c>
      <c r="J14" s="19" t="s">
        <v>21</v>
      </c>
      <c r="K14" s="19" t="s">
        <v>21</v>
      </c>
      <c r="L14" s="52"/>
      <c r="M14" s="19" t="s">
        <v>21</v>
      </c>
      <c r="N14" s="19" t="s">
        <v>20</v>
      </c>
      <c r="O14" s="19" t="s">
        <v>20</v>
      </c>
      <c r="P14" s="19" t="s">
        <v>20</v>
      </c>
      <c r="Q14" s="19" t="s">
        <v>20</v>
      </c>
      <c r="R14" s="19" t="s">
        <v>20</v>
      </c>
      <c r="S14" s="52"/>
      <c r="T14" s="19" t="s">
        <v>20</v>
      </c>
      <c r="U14" s="55"/>
      <c r="V14" s="19" t="s">
        <v>20</v>
      </c>
      <c r="W14" s="19" t="s">
        <v>21</v>
      </c>
      <c r="X14" s="19" t="s">
        <v>20</v>
      </c>
      <c r="Y14" s="19" t="s">
        <v>20</v>
      </c>
      <c r="Z14" s="52"/>
      <c r="AA14" s="19" t="s">
        <v>20</v>
      </c>
      <c r="AB14" s="19" t="s">
        <v>20</v>
      </c>
      <c r="AC14" s="19" t="s">
        <v>20</v>
      </c>
      <c r="AD14" s="19" t="s">
        <v>21</v>
      </c>
      <c r="AE14" s="19" t="s">
        <v>20</v>
      </c>
      <c r="AF14" s="19" t="s">
        <v>20</v>
      </c>
      <c r="AG14" s="52"/>
      <c r="AH14" s="19" t="s">
        <v>21</v>
      </c>
      <c r="AI14" s="4">
        <f t="shared" si="1"/>
        <v>18</v>
      </c>
      <c r="AJ14" s="4">
        <f t="shared" si="2"/>
        <v>6</v>
      </c>
      <c r="AK14"/>
      <c r="AL14"/>
      <c r="AM14"/>
      <c r="AN14"/>
    </row>
    <row r="15" spans="1:40" x14ac:dyDescent="0.25">
      <c r="A15" s="5">
        <v>11</v>
      </c>
      <c r="B15" s="16" t="s">
        <v>76</v>
      </c>
      <c r="C15" s="17" t="s">
        <v>77</v>
      </c>
      <c r="D15" s="6" t="s">
        <v>23</v>
      </c>
      <c r="E15" s="52"/>
      <c r="F15" s="19" t="s">
        <v>20</v>
      </c>
      <c r="G15" s="19" t="s">
        <v>20</v>
      </c>
      <c r="H15" s="19" t="s">
        <v>20</v>
      </c>
      <c r="I15" s="19" t="s">
        <v>20</v>
      </c>
      <c r="J15" s="19" t="s">
        <v>20</v>
      </c>
      <c r="K15" s="19" t="s">
        <v>20</v>
      </c>
      <c r="L15" s="52"/>
      <c r="M15" s="19" t="s">
        <v>20</v>
      </c>
      <c r="N15" s="19" t="s">
        <v>22</v>
      </c>
      <c r="O15" s="19" t="s">
        <v>22</v>
      </c>
      <c r="P15" s="19" t="s">
        <v>22</v>
      </c>
      <c r="Q15" s="19" t="s">
        <v>22</v>
      </c>
      <c r="R15" s="19" t="s">
        <v>22</v>
      </c>
      <c r="S15" s="52"/>
      <c r="T15" s="19" t="s">
        <v>20</v>
      </c>
      <c r="U15" s="55"/>
      <c r="V15" s="19" t="s">
        <v>20</v>
      </c>
      <c r="W15" s="19" t="s">
        <v>20</v>
      </c>
      <c r="X15" s="19" t="s">
        <v>20</v>
      </c>
      <c r="Y15" s="19" t="s">
        <v>21</v>
      </c>
      <c r="Z15" s="52"/>
      <c r="AA15" s="19" t="s">
        <v>20</v>
      </c>
      <c r="AB15" s="19" t="s">
        <v>20</v>
      </c>
      <c r="AC15" s="19" t="s">
        <v>20</v>
      </c>
      <c r="AD15" s="19" t="s">
        <v>20</v>
      </c>
      <c r="AE15" s="19" t="s">
        <v>20</v>
      </c>
      <c r="AF15" s="19" t="s">
        <v>20</v>
      </c>
      <c r="AG15" s="52"/>
      <c r="AH15" s="19" t="s">
        <v>20</v>
      </c>
      <c r="AI15" s="4">
        <f t="shared" si="1"/>
        <v>18</v>
      </c>
      <c r="AJ15" s="4">
        <f t="shared" si="2"/>
        <v>1</v>
      </c>
      <c r="AK15"/>
      <c r="AL15"/>
      <c r="AM15"/>
      <c r="AN15"/>
    </row>
    <row r="16" spans="1:40" x14ac:dyDescent="0.25">
      <c r="A16" s="7">
        <v>12</v>
      </c>
      <c r="B16" s="11" t="s">
        <v>78</v>
      </c>
      <c r="C16" s="18" t="s">
        <v>71</v>
      </c>
      <c r="D16" s="6" t="s">
        <v>23</v>
      </c>
      <c r="E16" s="52"/>
      <c r="F16" s="19" t="s">
        <v>20</v>
      </c>
      <c r="G16" s="19" t="s">
        <v>20</v>
      </c>
      <c r="H16" s="19" t="s">
        <v>20</v>
      </c>
      <c r="I16" s="19" t="s">
        <v>20</v>
      </c>
      <c r="J16" s="19" t="s">
        <v>21</v>
      </c>
      <c r="K16" s="19" t="s">
        <v>20</v>
      </c>
      <c r="L16" s="52"/>
      <c r="M16" s="19" t="s">
        <v>20</v>
      </c>
      <c r="N16" s="19" t="s">
        <v>20</v>
      </c>
      <c r="O16" s="19" t="s">
        <v>20</v>
      </c>
      <c r="P16" s="19" t="s">
        <v>20</v>
      </c>
      <c r="Q16" s="19" t="s">
        <v>20</v>
      </c>
      <c r="R16" s="19" t="s">
        <v>20</v>
      </c>
      <c r="S16" s="52"/>
      <c r="T16" s="19" t="s">
        <v>20</v>
      </c>
      <c r="U16" s="55"/>
      <c r="V16" s="19" t="s">
        <v>20</v>
      </c>
      <c r="W16" s="19" t="s">
        <v>20</v>
      </c>
      <c r="X16" s="19" t="s">
        <v>20</v>
      </c>
      <c r="Y16" s="19" t="s">
        <v>20</v>
      </c>
      <c r="Z16" s="52"/>
      <c r="AA16" s="19" t="s">
        <v>20</v>
      </c>
      <c r="AB16" s="19" t="s">
        <v>20</v>
      </c>
      <c r="AC16" s="19" t="s">
        <v>20</v>
      </c>
      <c r="AD16" s="19" t="s">
        <v>20</v>
      </c>
      <c r="AE16" s="19" t="s">
        <v>20</v>
      </c>
      <c r="AF16" s="19" t="s">
        <v>20</v>
      </c>
      <c r="AG16" s="52"/>
      <c r="AH16" s="19" t="s">
        <v>20</v>
      </c>
      <c r="AI16" s="4">
        <f t="shared" si="1"/>
        <v>23</v>
      </c>
      <c r="AJ16" s="4">
        <f t="shared" si="2"/>
        <v>1</v>
      </c>
      <c r="AK16"/>
      <c r="AL16"/>
      <c r="AM16"/>
      <c r="AN16"/>
    </row>
    <row r="17" spans="1:40" ht="15.75" x14ac:dyDescent="0.25">
      <c r="A17" s="5">
        <v>13</v>
      </c>
      <c r="B17" s="13" t="s">
        <v>79</v>
      </c>
      <c r="C17" s="12" t="s">
        <v>80</v>
      </c>
      <c r="D17" s="6" t="s">
        <v>23</v>
      </c>
      <c r="E17" s="52"/>
      <c r="F17" s="19" t="s">
        <v>20</v>
      </c>
      <c r="G17" s="19" t="s">
        <v>20</v>
      </c>
      <c r="H17" s="19" t="s">
        <v>20</v>
      </c>
      <c r="I17" s="19" t="s">
        <v>20</v>
      </c>
      <c r="J17" s="19" t="s">
        <v>21</v>
      </c>
      <c r="K17" s="19" t="s">
        <v>20</v>
      </c>
      <c r="L17" s="52"/>
      <c r="M17" s="19" t="s">
        <v>20</v>
      </c>
      <c r="N17" s="19" t="s">
        <v>20</v>
      </c>
      <c r="O17" s="19" t="s">
        <v>20</v>
      </c>
      <c r="P17" s="19" t="s">
        <v>20</v>
      </c>
      <c r="Q17" s="19" t="s">
        <v>20</v>
      </c>
      <c r="R17" s="19" t="s">
        <v>20</v>
      </c>
      <c r="S17" s="52"/>
      <c r="T17" s="19" t="s">
        <v>20</v>
      </c>
      <c r="U17" s="55"/>
      <c r="V17" s="19" t="s">
        <v>20</v>
      </c>
      <c r="W17" s="19" t="s">
        <v>20</v>
      </c>
      <c r="X17" s="19" t="s">
        <v>20</v>
      </c>
      <c r="Y17" s="19" t="s">
        <v>21</v>
      </c>
      <c r="Z17" s="52"/>
      <c r="AA17" s="19" t="s">
        <v>20</v>
      </c>
      <c r="AB17" s="19" t="s">
        <v>20</v>
      </c>
      <c r="AC17" s="19" t="s">
        <v>20</v>
      </c>
      <c r="AD17" s="19" t="s">
        <v>20</v>
      </c>
      <c r="AE17" s="19" t="s">
        <v>20</v>
      </c>
      <c r="AF17" s="19" t="s">
        <v>21</v>
      </c>
      <c r="AG17" s="52"/>
      <c r="AH17" s="19" t="s">
        <v>20</v>
      </c>
      <c r="AI17" s="4">
        <f t="shared" si="1"/>
        <v>21</v>
      </c>
      <c r="AJ17" s="4">
        <f t="shared" si="2"/>
        <v>3</v>
      </c>
      <c r="AK17" s="42" t="s">
        <v>104</v>
      </c>
      <c r="AL17" s="43"/>
      <c r="AM17" s="43"/>
      <c r="AN17" s="44"/>
    </row>
    <row r="18" spans="1:40" x14ac:dyDescent="0.25">
      <c r="A18" s="7">
        <v>14</v>
      </c>
      <c r="B18" s="13" t="s">
        <v>81</v>
      </c>
      <c r="C18" s="12" t="s">
        <v>82</v>
      </c>
      <c r="D18" s="6" t="s">
        <v>23</v>
      </c>
      <c r="E18" s="52"/>
      <c r="F18" s="19" t="s">
        <v>102</v>
      </c>
      <c r="G18" s="19" t="s">
        <v>20</v>
      </c>
      <c r="H18" s="19" t="s">
        <v>20</v>
      </c>
      <c r="I18" s="19" t="s">
        <v>20</v>
      </c>
      <c r="J18" s="19" t="s">
        <v>20</v>
      </c>
      <c r="K18" s="19" t="s">
        <v>20</v>
      </c>
      <c r="L18" s="52"/>
      <c r="M18" s="19" t="s">
        <v>20</v>
      </c>
      <c r="N18" s="19" t="s">
        <v>20</v>
      </c>
      <c r="O18" s="19" t="s">
        <v>20</v>
      </c>
      <c r="P18" s="19" t="s">
        <v>20</v>
      </c>
      <c r="Q18" s="19" t="s">
        <v>20</v>
      </c>
      <c r="R18" s="19" t="s">
        <v>20</v>
      </c>
      <c r="S18" s="52"/>
      <c r="T18" s="19" t="s">
        <v>20</v>
      </c>
      <c r="U18" s="55"/>
      <c r="V18" s="19" t="s">
        <v>20</v>
      </c>
      <c r="W18" s="19" t="s">
        <v>20</v>
      </c>
      <c r="X18" s="19" t="s">
        <v>20</v>
      </c>
      <c r="Y18" s="19" t="s">
        <v>20</v>
      </c>
      <c r="Z18" s="52"/>
      <c r="AA18" s="19" t="s">
        <v>20</v>
      </c>
      <c r="AB18" s="19" t="s">
        <v>20</v>
      </c>
      <c r="AC18" s="19" t="s">
        <v>20</v>
      </c>
      <c r="AD18" s="19" t="s">
        <v>20</v>
      </c>
      <c r="AE18" s="19" t="s">
        <v>20</v>
      </c>
      <c r="AF18" s="19" t="s">
        <v>20</v>
      </c>
      <c r="AG18" s="52"/>
      <c r="AH18" s="19" t="s">
        <v>21</v>
      </c>
      <c r="AI18" s="4">
        <f t="shared" si="1"/>
        <v>22</v>
      </c>
      <c r="AJ18" s="4">
        <f t="shared" si="2"/>
        <v>1</v>
      </c>
      <c r="AK18" s="4" t="s">
        <v>9</v>
      </c>
      <c r="AL18" s="4" t="s">
        <v>10</v>
      </c>
      <c r="AM18" s="4" t="s">
        <v>11</v>
      </c>
      <c r="AN18" s="4" t="s">
        <v>12</v>
      </c>
    </row>
    <row r="19" spans="1:40" x14ac:dyDescent="0.25">
      <c r="A19" s="5">
        <v>15</v>
      </c>
      <c r="B19" s="13" t="s">
        <v>83</v>
      </c>
      <c r="C19" s="12" t="s">
        <v>84</v>
      </c>
      <c r="D19" s="6" t="s">
        <v>23</v>
      </c>
      <c r="E19" s="52"/>
      <c r="F19" s="19" t="s">
        <v>102</v>
      </c>
      <c r="G19" s="19" t="s">
        <v>102</v>
      </c>
      <c r="H19" s="19" t="s">
        <v>20</v>
      </c>
      <c r="I19" s="19" t="s">
        <v>20</v>
      </c>
      <c r="J19" s="19" t="s">
        <v>20</v>
      </c>
      <c r="K19" s="19" t="s">
        <v>20</v>
      </c>
      <c r="L19" s="52"/>
      <c r="M19" s="19" t="s">
        <v>20</v>
      </c>
      <c r="N19" s="19" t="s">
        <v>20</v>
      </c>
      <c r="O19" s="19" t="s">
        <v>20</v>
      </c>
      <c r="P19" s="19" t="s">
        <v>20</v>
      </c>
      <c r="Q19" s="19" t="s">
        <v>20</v>
      </c>
      <c r="R19" s="19" t="s">
        <v>20</v>
      </c>
      <c r="S19" s="52"/>
      <c r="T19" s="19" t="s">
        <v>20</v>
      </c>
      <c r="U19" s="55"/>
      <c r="V19" s="19" t="s">
        <v>20</v>
      </c>
      <c r="W19" s="19" t="s">
        <v>20</v>
      </c>
      <c r="X19" s="19" t="s">
        <v>20</v>
      </c>
      <c r="Y19" s="19" t="s">
        <v>21</v>
      </c>
      <c r="Z19" s="52"/>
      <c r="AA19" s="19" t="s">
        <v>20</v>
      </c>
      <c r="AB19" s="19" t="s">
        <v>20</v>
      </c>
      <c r="AC19" s="19" t="s">
        <v>20</v>
      </c>
      <c r="AD19" s="19" t="s">
        <v>20</v>
      </c>
      <c r="AE19" s="19" t="s">
        <v>20</v>
      </c>
      <c r="AF19" s="19" t="s">
        <v>20</v>
      </c>
      <c r="AG19" s="52"/>
      <c r="AH19" s="19" t="s">
        <v>20</v>
      </c>
      <c r="AI19" s="4">
        <f t="shared" si="1"/>
        <v>21</v>
      </c>
      <c r="AJ19" s="4">
        <f t="shared" si="2"/>
        <v>1</v>
      </c>
      <c r="AK19" s="4" t="s">
        <v>13</v>
      </c>
      <c r="AL19" s="7">
        <f>17*$AL$5</f>
        <v>408</v>
      </c>
      <c r="AM19" s="7">
        <f>22*$AL$5</f>
        <v>528</v>
      </c>
      <c r="AN19" s="7">
        <f>AL19+AM19</f>
        <v>936</v>
      </c>
    </row>
    <row r="20" spans="1:40" x14ac:dyDescent="0.25">
      <c r="A20" s="7">
        <v>16</v>
      </c>
      <c r="B20" s="13" t="s">
        <v>85</v>
      </c>
      <c r="C20" s="12" t="s">
        <v>86</v>
      </c>
      <c r="D20" s="6" t="s">
        <v>23</v>
      </c>
      <c r="E20" s="52"/>
      <c r="F20" s="19" t="s">
        <v>102</v>
      </c>
      <c r="G20" s="19" t="s">
        <v>102</v>
      </c>
      <c r="H20" s="19" t="s">
        <v>20</v>
      </c>
      <c r="I20" s="19" t="s">
        <v>20</v>
      </c>
      <c r="J20" s="19" t="s">
        <v>20</v>
      </c>
      <c r="K20" s="19" t="s">
        <v>20</v>
      </c>
      <c r="L20" s="52"/>
      <c r="M20" s="19" t="s">
        <v>20</v>
      </c>
      <c r="N20" s="19" t="s">
        <v>20</v>
      </c>
      <c r="O20" s="19" t="s">
        <v>20</v>
      </c>
      <c r="P20" s="19" t="s">
        <v>20</v>
      </c>
      <c r="Q20" s="19" t="s">
        <v>20</v>
      </c>
      <c r="R20" s="19" t="s">
        <v>20</v>
      </c>
      <c r="S20" s="52"/>
      <c r="T20" s="19" t="s">
        <v>20</v>
      </c>
      <c r="U20" s="55"/>
      <c r="V20" s="19" t="s">
        <v>20</v>
      </c>
      <c r="W20" s="19" t="s">
        <v>20</v>
      </c>
      <c r="X20" s="19" t="s">
        <v>20</v>
      </c>
      <c r="Y20" s="19" t="s">
        <v>21</v>
      </c>
      <c r="Z20" s="52"/>
      <c r="AA20" s="19" t="s">
        <v>20</v>
      </c>
      <c r="AB20" s="19" t="s">
        <v>20</v>
      </c>
      <c r="AC20" s="19" t="s">
        <v>20</v>
      </c>
      <c r="AD20" s="19" t="s">
        <v>20</v>
      </c>
      <c r="AE20" s="19" t="s">
        <v>21</v>
      </c>
      <c r="AF20" s="19" t="s">
        <v>20</v>
      </c>
      <c r="AG20" s="52"/>
      <c r="AH20" s="19" t="s">
        <v>20</v>
      </c>
      <c r="AI20" s="4">
        <f t="shared" si="1"/>
        <v>20</v>
      </c>
      <c r="AJ20" s="4">
        <f t="shared" si="2"/>
        <v>2</v>
      </c>
      <c r="AK20" s="4" t="s">
        <v>16</v>
      </c>
      <c r="AL20" s="7">
        <f>AL19-AL12</f>
        <v>86</v>
      </c>
      <c r="AM20" s="7">
        <f>AM19-AM12</f>
        <v>177</v>
      </c>
      <c r="AN20" s="7">
        <f>AL20+AM20</f>
        <v>263</v>
      </c>
    </row>
    <row r="21" spans="1:40" x14ac:dyDescent="0.25">
      <c r="A21" s="5">
        <v>17</v>
      </c>
      <c r="B21" s="13" t="s">
        <v>87</v>
      </c>
      <c r="C21" s="12" t="s">
        <v>88</v>
      </c>
      <c r="D21" s="6" t="s">
        <v>23</v>
      </c>
      <c r="E21" s="52"/>
      <c r="F21" s="19" t="s">
        <v>102</v>
      </c>
      <c r="G21" s="19" t="s">
        <v>102</v>
      </c>
      <c r="H21" s="19" t="s">
        <v>102</v>
      </c>
      <c r="I21" s="19" t="s">
        <v>102</v>
      </c>
      <c r="J21" s="19" t="s">
        <v>102</v>
      </c>
      <c r="K21" s="19" t="s">
        <v>102</v>
      </c>
      <c r="L21" s="52"/>
      <c r="M21" s="19" t="s">
        <v>102</v>
      </c>
      <c r="N21" s="19" t="s">
        <v>102</v>
      </c>
      <c r="O21" s="19" t="s">
        <v>102</v>
      </c>
      <c r="P21" s="19" t="s">
        <v>102</v>
      </c>
      <c r="Q21" s="19" t="s">
        <v>102</v>
      </c>
      <c r="R21" s="19" t="s">
        <v>102</v>
      </c>
      <c r="S21" s="52"/>
      <c r="T21" s="19" t="s">
        <v>102</v>
      </c>
      <c r="U21" s="55"/>
      <c r="V21" s="19" t="s">
        <v>102</v>
      </c>
      <c r="W21" s="19" t="s">
        <v>102</v>
      </c>
      <c r="X21" s="19" t="s">
        <v>102</v>
      </c>
      <c r="Y21" s="19" t="s">
        <v>102</v>
      </c>
      <c r="Z21" s="52"/>
      <c r="AA21" s="19" t="s">
        <v>20</v>
      </c>
      <c r="AB21" s="19" t="s">
        <v>20</v>
      </c>
      <c r="AC21" s="19" t="s">
        <v>20</v>
      </c>
      <c r="AD21" s="19" t="s">
        <v>20</v>
      </c>
      <c r="AE21" s="19" t="s">
        <v>20</v>
      </c>
      <c r="AF21" s="19" t="s">
        <v>20</v>
      </c>
      <c r="AG21" s="52"/>
      <c r="AH21" s="19" t="s">
        <v>20</v>
      </c>
      <c r="AI21" s="4">
        <f t="shared" si="1"/>
        <v>7</v>
      </c>
      <c r="AJ21" s="4">
        <f t="shared" si="2"/>
        <v>0</v>
      </c>
      <c r="AK21" s="4" t="s">
        <v>15</v>
      </c>
      <c r="AL21" s="9">
        <f>AL20/AL19</f>
        <v>0.2107843137254902</v>
      </c>
      <c r="AM21" s="9">
        <f>AM20/AM19</f>
        <v>0.33522727272727271</v>
      </c>
      <c r="AN21" s="9">
        <f>AN20/AN19</f>
        <v>0.28098290598290598</v>
      </c>
    </row>
    <row r="22" spans="1:40" x14ac:dyDescent="0.25">
      <c r="A22" s="7">
        <v>1</v>
      </c>
      <c r="B22" s="13" t="s">
        <v>44</v>
      </c>
      <c r="C22" s="12" t="s">
        <v>45</v>
      </c>
      <c r="D22" s="6" t="s">
        <v>23</v>
      </c>
      <c r="E22" s="52"/>
      <c r="F22" s="19" t="s">
        <v>21</v>
      </c>
      <c r="G22" s="19" t="s">
        <v>20</v>
      </c>
      <c r="H22" s="19" t="s">
        <v>20</v>
      </c>
      <c r="I22" s="19" t="s">
        <v>20</v>
      </c>
      <c r="J22" s="19" t="s">
        <v>20</v>
      </c>
      <c r="K22" s="19" t="s">
        <v>20</v>
      </c>
      <c r="L22" s="52"/>
      <c r="M22" s="19" t="s">
        <v>21</v>
      </c>
      <c r="N22" s="19" t="s">
        <v>21</v>
      </c>
      <c r="O22" s="19" t="s">
        <v>21</v>
      </c>
      <c r="P22" s="19" t="s">
        <v>21</v>
      </c>
      <c r="Q22" s="19" t="s">
        <v>21</v>
      </c>
      <c r="R22" s="19" t="s">
        <v>20</v>
      </c>
      <c r="S22" s="52"/>
      <c r="T22" s="19" t="s">
        <v>20</v>
      </c>
      <c r="U22" s="55"/>
      <c r="V22" s="19" t="s">
        <v>20</v>
      </c>
      <c r="W22" s="19" t="s">
        <v>20</v>
      </c>
      <c r="X22" s="19" t="s">
        <v>20</v>
      </c>
      <c r="Y22" s="19" t="s">
        <v>21</v>
      </c>
      <c r="Z22" s="52"/>
      <c r="AA22" s="19" t="s">
        <v>20</v>
      </c>
      <c r="AB22" s="19" t="s">
        <v>20</v>
      </c>
      <c r="AC22" s="19" t="s">
        <v>20</v>
      </c>
      <c r="AD22" s="19" t="s">
        <v>20</v>
      </c>
      <c r="AE22" s="19" t="s">
        <v>20</v>
      </c>
      <c r="AF22" s="19" t="s">
        <v>21</v>
      </c>
      <c r="AG22" s="52"/>
      <c r="AH22" s="19" t="s">
        <v>20</v>
      </c>
      <c r="AI22" s="4">
        <f t="shared" si="1"/>
        <v>16</v>
      </c>
      <c r="AJ22" s="4">
        <f t="shared" si="2"/>
        <v>8</v>
      </c>
    </row>
    <row r="23" spans="1:40" x14ac:dyDescent="0.25">
      <c r="A23" s="5">
        <v>2</v>
      </c>
      <c r="B23" s="13" t="s">
        <v>46</v>
      </c>
      <c r="C23" s="12" t="s">
        <v>47</v>
      </c>
      <c r="D23" s="6" t="s">
        <v>23</v>
      </c>
      <c r="E23" s="52"/>
      <c r="F23" s="19" t="s">
        <v>21</v>
      </c>
      <c r="G23" s="19" t="s">
        <v>21</v>
      </c>
      <c r="H23" s="19" t="s">
        <v>21</v>
      </c>
      <c r="I23" s="19" t="s">
        <v>21</v>
      </c>
      <c r="J23" s="19" t="s">
        <v>21</v>
      </c>
      <c r="K23" s="19" t="s">
        <v>21</v>
      </c>
      <c r="L23" s="52"/>
      <c r="M23" s="19" t="s">
        <v>21</v>
      </c>
      <c r="N23" s="19" t="s">
        <v>21</v>
      </c>
      <c r="O23" s="19" t="s">
        <v>21</v>
      </c>
      <c r="P23" s="19" t="s">
        <v>21</v>
      </c>
      <c r="Q23" s="19" t="s">
        <v>21</v>
      </c>
      <c r="R23" s="19" t="s">
        <v>21</v>
      </c>
      <c r="S23" s="52"/>
      <c r="T23" s="19" t="s">
        <v>21</v>
      </c>
      <c r="U23" s="55"/>
      <c r="V23" s="19" t="s">
        <v>21</v>
      </c>
      <c r="W23" s="19" t="s">
        <v>21</v>
      </c>
      <c r="X23" s="19" t="s">
        <v>21</v>
      </c>
      <c r="Y23" s="19" t="s">
        <v>21</v>
      </c>
      <c r="Z23" s="52"/>
      <c r="AA23" s="19" t="s">
        <v>21</v>
      </c>
      <c r="AB23" s="19" t="s">
        <v>21</v>
      </c>
      <c r="AC23" s="19" t="s">
        <v>21</v>
      </c>
      <c r="AD23" s="19" t="s">
        <v>21</v>
      </c>
      <c r="AE23" s="19" t="s">
        <v>21</v>
      </c>
      <c r="AF23" s="19" t="s">
        <v>21</v>
      </c>
      <c r="AG23" s="52"/>
      <c r="AH23" s="19" t="s">
        <v>20</v>
      </c>
      <c r="AI23" s="4">
        <f t="shared" si="1"/>
        <v>1</v>
      </c>
      <c r="AJ23" s="4">
        <f t="shared" si="2"/>
        <v>23</v>
      </c>
    </row>
    <row r="24" spans="1:40" x14ac:dyDescent="0.25">
      <c r="A24" s="7">
        <v>3</v>
      </c>
      <c r="B24" s="13" t="s">
        <v>48</v>
      </c>
      <c r="C24" s="12" t="s">
        <v>49</v>
      </c>
      <c r="D24" s="6" t="s">
        <v>23</v>
      </c>
      <c r="E24" s="52"/>
      <c r="F24" s="19" t="s">
        <v>21</v>
      </c>
      <c r="G24" s="19" t="s">
        <v>20</v>
      </c>
      <c r="H24" s="19" t="s">
        <v>20</v>
      </c>
      <c r="I24" s="19" t="s">
        <v>20</v>
      </c>
      <c r="J24" s="19" t="s">
        <v>20</v>
      </c>
      <c r="K24" s="19" t="s">
        <v>20</v>
      </c>
      <c r="L24" s="52"/>
      <c r="M24" s="19" t="s">
        <v>20</v>
      </c>
      <c r="N24" s="19" t="s">
        <v>21</v>
      </c>
      <c r="O24" s="19" t="s">
        <v>20</v>
      </c>
      <c r="P24" s="19" t="s">
        <v>20</v>
      </c>
      <c r="Q24" s="19" t="s">
        <v>20</v>
      </c>
      <c r="R24" s="19" t="s">
        <v>20</v>
      </c>
      <c r="S24" s="52"/>
      <c r="T24" s="19" t="s">
        <v>20</v>
      </c>
      <c r="U24" s="55"/>
      <c r="V24" s="19" t="s">
        <v>20</v>
      </c>
      <c r="W24" s="19" t="s">
        <v>20</v>
      </c>
      <c r="X24" s="19" t="s">
        <v>20</v>
      </c>
      <c r="Y24" s="19" t="s">
        <v>21</v>
      </c>
      <c r="Z24" s="52"/>
      <c r="AA24" s="19" t="s">
        <v>20</v>
      </c>
      <c r="AB24" s="19" t="s">
        <v>20</v>
      </c>
      <c r="AC24" s="19" t="s">
        <v>20</v>
      </c>
      <c r="AD24" s="19" t="s">
        <v>20</v>
      </c>
      <c r="AE24" s="19" t="s">
        <v>20</v>
      </c>
      <c r="AF24" s="19" t="s">
        <v>20</v>
      </c>
      <c r="AG24" s="52"/>
      <c r="AH24" s="19" t="s">
        <v>20</v>
      </c>
      <c r="AI24" s="4">
        <f t="shared" si="1"/>
        <v>21</v>
      </c>
      <c r="AJ24" s="4">
        <f t="shared" si="2"/>
        <v>3</v>
      </c>
    </row>
    <row r="25" spans="1:40" x14ac:dyDescent="0.25">
      <c r="A25" s="5">
        <v>4</v>
      </c>
      <c r="B25" s="13" t="s">
        <v>50</v>
      </c>
      <c r="C25" s="12" t="s">
        <v>51</v>
      </c>
      <c r="D25" s="6" t="s">
        <v>23</v>
      </c>
      <c r="E25" s="52"/>
      <c r="F25" s="19" t="s">
        <v>21</v>
      </c>
      <c r="G25" s="19" t="s">
        <v>21</v>
      </c>
      <c r="H25" s="19" t="s">
        <v>21</v>
      </c>
      <c r="I25" s="19" t="s">
        <v>21</v>
      </c>
      <c r="J25" s="19" t="s">
        <v>21</v>
      </c>
      <c r="K25" s="19" t="s">
        <v>21</v>
      </c>
      <c r="L25" s="52"/>
      <c r="M25" s="19" t="s">
        <v>21</v>
      </c>
      <c r="N25" s="19" t="s">
        <v>21</v>
      </c>
      <c r="O25" s="19" t="s">
        <v>21</v>
      </c>
      <c r="P25" s="19" t="s">
        <v>21</v>
      </c>
      <c r="Q25" s="19" t="s">
        <v>21</v>
      </c>
      <c r="R25" s="19" t="s">
        <v>21</v>
      </c>
      <c r="S25" s="52"/>
      <c r="T25" s="19" t="s">
        <v>20</v>
      </c>
      <c r="U25" s="55"/>
      <c r="V25" s="19" t="s">
        <v>21</v>
      </c>
      <c r="W25" s="19" t="s">
        <v>21</v>
      </c>
      <c r="X25" s="19" t="s">
        <v>21</v>
      </c>
      <c r="Y25" s="19" t="s">
        <v>21</v>
      </c>
      <c r="Z25" s="52"/>
      <c r="AA25" s="19" t="s">
        <v>21</v>
      </c>
      <c r="AB25" s="19" t="s">
        <v>21</v>
      </c>
      <c r="AC25" s="19" t="s">
        <v>21</v>
      </c>
      <c r="AD25" s="19" t="s">
        <v>21</v>
      </c>
      <c r="AE25" s="19" t="s">
        <v>21</v>
      </c>
      <c r="AF25" s="19" t="s">
        <v>21</v>
      </c>
      <c r="AG25" s="52"/>
      <c r="AH25" s="19" t="s">
        <v>21</v>
      </c>
      <c r="AI25" s="4">
        <f t="shared" si="1"/>
        <v>1</v>
      </c>
      <c r="AJ25" s="4">
        <f t="shared" si="2"/>
        <v>23</v>
      </c>
    </row>
    <row r="26" spans="1:40" x14ac:dyDescent="0.25">
      <c r="A26" s="7">
        <v>5</v>
      </c>
      <c r="B26" s="13" t="s">
        <v>52</v>
      </c>
      <c r="C26" s="12" t="s">
        <v>53</v>
      </c>
      <c r="D26" s="6" t="s">
        <v>23</v>
      </c>
      <c r="E26" s="52"/>
      <c r="F26" s="19" t="s">
        <v>20</v>
      </c>
      <c r="G26" s="19" t="s">
        <v>20</v>
      </c>
      <c r="H26" s="19" t="s">
        <v>20</v>
      </c>
      <c r="I26" s="19" t="s">
        <v>20</v>
      </c>
      <c r="J26" s="19" t="s">
        <v>20</v>
      </c>
      <c r="K26" s="19" t="s">
        <v>20</v>
      </c>
      <c r="L26" s="52"/>
      <c r="M26" s="19" t="s">
        <v>20</v>
      </c>
      <c r="N26" s="19" t="s">
        <v>20</v>
      </c>
      <c r="O26" s="19" t="s">
        <v>20</v>
      </c>
      <c r="P26" s="19" t="s">
        <v>20</v>
      </c>
      <c r="Q26" s="19" t="s">
        <v>20</v>
      </c>
      <c r="R26" s="19" t="s">
        <v>21</v>
      </c>
      <c r="S26" s="52"/>
      <c r="T26" s="19" t="s">
        <v>20</v>
      </c>
      <c r="U26" s="55"/>
      <c r="V26" s="19" t="s">
        <v>21</v>
      </c>
      <c r="W26" s="19" t="s">
        <v>20</v>
      </c>
      <c r="X26" s="19" t="s">
        <v>20</v>
      </c>
      <c r="Y26" s="19" t="s">
        <v>20</v>
      </c>
      <c r="Z26" s="52"/>
      <c r="AA26" s="19" t="s">
        <v>21</v>
      </c>
      <c r="AB26" s="19" t="s">
        <v>20</v>
      </c>
      <c r="AC26" s="19" t="s">
        <v>20</v>
      </c>
      <c r="AD26" s="19" t="s">
        <v>20</v>
      </c>
      <c r="AE26" s="19" t="s">
        <v>20</v>
      </c>
      <c r="AF26" s="19" t="s">
        <v>20</v>
      </c>
      <c r="AG26" s="52"/>
      <c r="AH26" s="19" t="s">
        <v>20</v>
      </c>
      <c r="AI26" s="4">
        <f t="shared" si="1"/>
        <v>21</v>
      </c>
      <c r="AJ26" s="4">
        <f t="shared" si="2"/>
        <v>3</v>
      </c>
    </row>
    <row r="27" spans="1:40" x14ac:dyDescent="0.25">
      <c r="A27" s="5">
        <v>6</v>
      </c>
      <c r="B27" s="13" t="s">
        <v>54</v>
      </c>
      <c r="C27" s="12" t="s">
        <v>55</v>
      </c>
      <c r="D27" s="6" t="s">
        <v>23</v>
      </c>
      <c r="E27" s="52"/>
      <c r="F27" s="19" t="s">
        <v>21</v>
      </c>
      <c r="G27" s="19" t="s">
        <v>21</v>
      </c>
      <c r="H27" s="19" t="s">
        <v>21</v>
      </c>
      <c r="I27" s="19" t="s">
        <v>21</v>
      </c>
      <c r="J27" s="19" t="s">
        <v>21</v>
      </c>
      <c r="K27" s="19" t="s">
        <v>21</v>
      </c>
      <c r="L27" s="52"/>
      <c r="M27" s="19" t="s">
        <v>21</v>
      </c>
      <c r="N27" s="19" t="s">
        <v>21</v>
      </c>
      <c r="O27" s="19" t="s">
        <v>21</v>
      </c>
      <c r="P27" s="19" t="s">
        <v>21</v>
      </c>
      <c r="Q27" s="19" t="s">
        <v>21</v>
      </c>
      <c r="R27" s="19" t="s">
        <v>21</v>
      </c>
      <c r="S27" s="52"/>
      <c r="T27" s="19" t="s">
        <v>21</v>
      </c>
      <c r="U27" s="55"/>
      <c r="V27" s="19" t="s">
        <v>21</v>
      </c>
      <c r="W27" s="19" t="s">
        <v>20</v>
      </c>
      <c r="X27" s="19" t="s">
        <v>20</v>
      </c>
      <c r="Y27" s="19" t="s">
        <v>20</v>
      </c>
      <c r="Z27" s="52"/>
      <c r="AA27" s="19" t="s">
        <v>21</v>
      </c>
      <c r="AB27" s="19" t="s">
        <v>20</v>
      </c>
      <c r="AC27" s="19" t="s">
        <v>20</v>
      </c>
      <c r="AD27" s="19" t="s">
        <v>20</v>
      </c>
      <c r="AE27" s="19" t="s">
        <v>20</v>
      </c>
      <c r="AF27" s="19" t="s">
        <v>20</v>
      </c>
      <c r="AG27" s="52"/>
      <c r="AH27" s="19" t="s">
        <v>20</v>
      </c>
      <c r="AI27" s="4">
        <f t="shared" si="1"/>
        <v>9</v>
      </c>
      <c r="AJ27" s="4">
        <f t="shared" si="2"/>
        <v>15</v>
      </c>
    </row>
    <row r="28" spans="1:40" x14ac:dyDescent="0.25">
      <c r="A28" s="7">
        <v>7</v>
      </c>
      <c r="B28" s="13" t="s">
        <v>56</v>
      </c>
      <c r="C28" s="12" t="s">
        <v>57</v>
      </c>
      <c r="D28" s="6" t="s">
        <v>23</v>
      </c>
      <c r="E28" s="52"/>
      <c r="F28" s="19" t="s">
        <v>20</v>
      </c>
      <c r="G28" s="19" t="s">
        <v>20</v>
      </c>
      <c r="H28" s="19" t="s">
        <v>20</v>
      </c>
      <c r="I28" s="19" t="s">
        <v>20</v>
      </c>
      <c r="J28" s="19" t="s">
        <v>20</v>
      </c>
      <c r="K28" s="19" t="s">
        <v>20</v>
      </c>
      <c r="L28" s="52"/>
      <c r="M28" s="19" t="s">
        <v>20</v>
      </c>
      <c r="N28" s="19" t="s">
        <v>20</v>
      </c>
      <c r="O28" s="19" t="s">
        <v>20</v>
      </c>
      <c r="P28" s="19" t="s">
        <v>20</v>
      </c>
      <c r="Q28" s="19" t="s">
        <v>20</v>
      </c>
      <c r="R28" s="19" t="s">
        <v>20</v>
      </c>
      <c r="S28" s="52"/>
      <c r="T28" s="19" t="s">
        <v>20</v>
      </c>
      <c r="U28" s="55"/>
      <c r="V28" s="19" t="s">
        <v>20</v>
      </c>
      <c r="W28" s="19" t="s">
        <v>20</v>
      </c>
      <c r="X28" s="19" t="s">
        <v>20</v>
      </c>
      <c r="Y28" s="19" t="s">
        <v>20</v>
      </c>
      <c r="Z28" s="52"/>
      <c r="AA28" s="19" t="s">
        <v>20</v>
      </c>
      <c r="AB28" s="19" t="s">
        <v>20</v>
      </c>
      <c r="AC28" s="19" t="s">
        <v>20</v>
      </c>
      <c r="AD28" s="19" t="s">
        <v>20</v>
      </c>
      <c r="AE28" s="19" t="s">
        <v>20</v>
      </c>
      <c r="AF28" s="19" t="s">
        <v>21</v>
      </c>
      <c r="AG28" s="52"/>
      <c r="AH28" s="19" t="s">
        <v>20</v>
      </c>
      <c r="AI28" s="4">
        <f t="shared" si="1"/>
        <v>23</v>
      </c>
      <c r="AJ28" s="4">
        <f t="shared" si="2"/>
        <v>1</v>
      </c>
    </row>
    <row r="29" spans="1:40" x14ac:dyDescent="0.25">
      <c r="A29" s="5">
        <v>8</v>
      </c>
      <c r="B29" s="13" t="s">
        <v>58</v>
      </c>
      <c r="C29" s="12" t="s">
        <v>39</v>
      </c>
      <c r="D29" s="6" t="s">
        <v>23</v>
      </c>
      <c r="E29" s="52"/>
      <c r="F29" s="19" t="s">
        <v>20</v>
      </c>
      <c r="G29" s="19" t="s">
        <v>20</v>
      </c>
      <c r="H29" s="19" t="s">
        <v>20</v>
      </c>
      <c r="I29" s="19" t="s">
        <v>20</v>
      </c>
      <c r="J29" s="19" t="s">
        <v>20</v>
      </c>
      <c r="K29" s="19" t="s">
        <v>20</v>
      </c>
      <c r="L29" s="52"/>
      <c r="M29" s="19" t="s">
        <v>20</v>
      </c>
      <c r="N29" s="19" t="s">
        <v>20</v>
      </c>
      <c r="O29" s="19" t="s">
        <v>20</v>
      </c>
      <c r="P29" s="19" t="s">
        <v>20</v>
      </c>
      <c r="Q29" s="19" t="s">
        <v>20</v>
      </c>
      <c r="R29" s="19" t="s">
        <v>20</v>
      </c>
      <c r="S29" s="52"/>
      <c r="T29" s="19" t="s">
        <v>20</v>
      </c>
      <c r="U29" s="55"/>
      <c r="V29" s="19" t="s">
        <v>20</v>
      </c>
      <c r="W29" s="19" t="s">
        <v>20</v>
      </c>
      <c r="X29" s="19" t="s">
        <v>20</v>
      </c>
      <c r="Y29" s="19" t="s">
        <v>20</v>
      </c>
      <c r="Z29" s="52"/>
      <c r="AA29" s="19" t="s">
        <v>21</v>
      </c>
      <c r="AB29" s="19" t="s">
        <v>21</v>
      </c>
      <c r="AC29" s="19" t="s">
        <v>20</v>
      </c>
      <c r="AD29" s="19" t="s">
        <v>20</v>
      </c>
      <c r="AE29" s="19" t="s">
        <v>20</v>
      </c>
      <c r="AF29" s="19" t="s">
        <v>20</v>
      </c>
      <c r="AG29" s="52"/>
      <c r="AH29" s="19" t="s">
        <v>20</v>
      </c>
      <c r="AI29" s="4">
        <f t="shared" si="1"/>
        <v>22</v>
      </c>
      <c r="AJ29" s="4">
        <f t="shared" si="2"/>
        <v>2</v>
      </c>
    </row>
    <row r="30" spans="1:40" x14ac:dyDescent="0.25">
      <c r="A30" s="7">
        <v>9</v>
      </c>
      <c r="B30" s="13" t="s">
        <v>59</v>
      </c>
      <c r="C30" s="12" t="s">
        <v>60</v>
      </c>
      <c r="D30" s="6" t="s">
        <v>23</v>
      </c>
      <c r="E30" s="52"/>
      <c r="F30" s="19" t="s">
        <v>20</v>
      </c>
      <c r="G30" s="19" t="s">
        <v>20</v>
      </c>
      <c r="H30" s="19" t="s">
        <v>20</v>
      </c>
      <c r="I30" s="19" t="s">
        <v>20</v>
      </c>
      <c r="J30" s="19" t="s">
        <v>20</v>
      </c>
      <c r="K30" s="19" t="s">
        <v>20</v>
      </c>
      <c r="L30" s="52"/>
      <c r="M30" s="19" t="s">
        <v>20</v>
      </c>
      <c r="N30" s="19" t="s">
        <v>20</v>
      </c>
      <c r="O30" s="19" t="s">
        <v>20</v>
      </c>
      <c r="P30" s="19" t="s">
        <v>20</v>
      </c>
      <c r="Q30" s="19" t="s">
        <v>20</v>
      </c>
      <c r="R30" s="19" t="s">
        <v>20</v>
      </c>
      <c r="S30" s="52"/>
      <c r="T30" s="19" t="s">
        <v>20</v>
      </c>
      <c r="U30" s="55"/>
      <c r="V30" s="19" t="s">
        <v>20</v>
      </c>
      <c r="W30" s="19" t="s">
        <v>20</v>
      </c>
      <c r="X30" s="19" t="s">
        <v>20</v>
      </c>
      <c r="Y30" s="19" t="s">
        <v>21</v>
      </c>
      <c r="Z30" s="52"/>
      <c r="AA30" s="19" t="s">
        <v>20</v>
      </c>
      <c r="AB30" s="19" t="s">
        <v>20</v>
      </c>
      <c r="AC30" s="19" t="s">
        <v>20</v>
      </c>
      <c r="AD30" s="19" t="s">
        <v>20</v>
      </c>
      <c r="AE30" s="19" t="s">
        <v>20</v>
      </c>
      <c r="AF30" s="19" t="s">
        <v>20</v>
      </c>
      <c r="AG30" s="52"/>
      <c r="AH30" s="19" t="s">
        <v>20</v>
      </c>
      <c r="AI30" s="4">
        <f t="shared" si="1"/>
        <v>23</v>
      </c>
      <c r="AJ30" s="4">
        <f t="shared" si="2"/>
        <v>1</v>
      </c>
    </row>
    <row r="31" spans="1:40" x14ac:dyDescent="0.25">
      <c r="A31" s="5">
        <v>10</v>
      </c>
      <c r="B31" s="13" t="s">
        <v>61</v>
      </c>
      <c r="C31" s="12" t="s">
        <v>62</v>
      </c>
      <c r="D31" s="6" t="s">
        <v>23</v>
      </c>
      <c r="E31" s="52"/>
      <c r="F31" s="19" t="s">
        <v>20</v>
      </c>
      <c r="G31" s="19" t="s">
        <v>20</v>
      </c>
      <c r="H31" s="19" t="s">
        <v>20</v>
      </c>
      <c r="I31" s="19" t="s">
        <v>20</v>
      </c>
      <c r="J31" s="19" t="s">
        <v>21</v>
      </c>
      <c r="K31" s="19" t="s">
        <v>21</v>
      </c>
      <c r="L31" s="52"/>
      <c r="M31" s="19" t="s">
        <v>21</v>
      </c>
      <c r="N31" s="19" t="s">
        <v>20</v>
      </c>
      <c r="O31" s="19" t="s">
        <v>20</v>
      </c>
      <c r="P31" s="19" t="s">
        <v>20</v>
      </c>
      <c r="Q31" s="19" t="s">
        <v>20</v>
      </c>
      <c r="R31" s="19" t="s">
        <v>20</v>
      </c>
      <c r="S31" s="52"/>
      <c r="T31" s="19" t="s">
        <v>20</v>
      </c>
      <c r="U31" s="55"/>
      <c r="V31" s="19" t="s">
        <v>20</v>
      </c>
      <c r="W31" s="19" t="s">
        <v>20</v>
      </c>
      <c r="X31" s="19" t="s">
        <v>20</v>
      </c>
      <c r="Y31" s="19" t="s">
        <v>21</v>
      </c>
      <c r="Z31" s="52"/>
      <c r="AA31" s="19" t="s">
        <v>20</v>
      </c>
      <c r="AB31" s="19" t="s">
        <v>20</v>
      </c>
      <c r="AC31" s="19" t="s">
        <v>20</v>
      </c>
      <c r="AD31" s="19" t="s">
        <v>20</v>
      </c>
      <c r="AE31" s="19" t="s">
        <v>20</v>
      </c>
      <c r="AF31" s="19" t="s">
        <v>20</v>
      </c>
      <c r="AG31" s="52"/>
      <c r="AH31" s="19" t="s">
        <v>20</v>
      </c>
      <c r="AI31" s="4">
        <f t="shared" si="1"/>
        <v>20</v>
      </c>
      <c r="AJ31" s="4">
        <f t="shared" si="2"/>
        <v>4</v>
      </c>
    </row>
    <row r="32" spans="1:40" x14ac:dyDescent="0.25">
      <c r="A32" s="7">
        <v>11</v>
      </c>
      <c r="B32" s="13" t="s">
        <v>63</v>
      </c>
      <c r="C32" s="12" t="s">
        <v>62</v>
      </c>
      <c r="D32" s="6" t="s">
        <v>23</v>
      </c>
      <c r="E32" s="52"/>
      <c r="F32" s="19" t="s">
        <v>20</v>
      </c>
      <c r="G32" s="19" t="s">
        <v>20</v>
      </c>
      <c r="H32" s="19" t="s">
        <v>20</v>
      </c>
      <c r="I32" s="19" t="s">
        <v>20</v>
      </c>
      <c r="J32" s="19" t="s">
        <v>21</v>
      </c>
      <c r="K32" s="19" t="s">
        <v>21</v>
      </c>
      <c r="L32" s="52"/>
      <c r="M32" s="19" t="s">
        <v>21</v>
      </c>
      <c r="N32" s="19" t="s">
        <v>20</v>
      </c>
      <c r="O32" s="19" t="s">
        <v>20</v>
      </c>
      <c r="P32" s="19" t="s">
        <v>20</v>
      </c>
      <c r="Q32" s="19" t="s">
        <v>20</v>
      </c>
      <c r="R32" s="19" t="s">
        <v>20</v>
      </c>
      <c r="S32" s="52"/>
      <c r="T32" s="19" t="s">
        <v>20</v>
      </c>
      <c r="U32" s="55"/>
      <c r="V32" s="19" t="s">
        <v>20</v>
      </c>
      <c r="W32" s="19" t="s">
        <v>20</v>
      </c>
      <c r="X32" s="19" t="s">
        <v>20</v>
      </c>
      <c r="Y32" s="19" t="s">
        <v>21</v>
      </c>
      <c r="Z32" s="52"/>
      <c r="AA32" s="19" t="s">
        <v>20</v>
      </c>
      <c r="AB32" s="19" t="s">
        <v>20</v>
      </c>
      <c r="AC32" s="19" t="s">
        <v>20</v>
      </c>
      <c r="AD32" s="19" t="s">
        <v>20</v>
      </c>
      <c r="AE32" s="19" t="s">
        <v>20</v>
      </c>
      <c r="AF32" s="19" t="s">
        <v>20</v>
      </c>
      <c r="AG32" s="52"/>
      <c r="AH32" s="19" t="s">
        <v>20</v>
      </c>
      <c r="AI32" s="4">
        <f t="shared" si="1"/>
        <v>20</v>
      </c>
      <c r="AJ32" s="4">
        <f t="shared" si="2"/>
        <v>4</v>
      </c>
    </row>
    <row r="33" spans="1:36" x14ac:dyDescent="0.25">
      <c r="A33" s="5">
        <v>12</v>
      </c>
      <c r="B33" s="11" t="s">
        <v>64</v>
      </c>
      <c r="C33" s="11" t="s">
        <v>65</v>
      </c>
      <c r="D33" s="6" t="s">
        <v>23</v>
      </c>
      <c r="E33" s="52"/>
      <c r="F33" s="19" t="s">
        <v>21</v>
      </c>
      <c r="G33" s="19" t="s">
        <v>21</v>
      </c>
      <c r="H33" s="19" t="s">
        <v>21</v>
      </c>
      <c r="I33" s="19" t="s">
        <v>21</v>
      </c>
      <c r="J33" s="19" t="s">
        <v>21</v>
      </c>
      <c r="K33" s="19" t="s">
        <v>21</v>
      </c>
      <c r="L33" s="52"/>
      <c r="M33" s="19" t="s">
        <v>21</v>
      </c>
      <c r="N33" s="19" t="s">
        <v>21</v>
      </c>
      <c r="O33" s="19" t="s">
        <v>21</v>
      </c>
      <c r="P33" s="19" t="s">
        <v>21</v>
      </c>
      <c r="Q33" s="19" t="s">
        <v>21</v>
      </c>
      <c r="R33" s="19" t="s">
        <v>21</v>
      </c>
      <c r="S33" s="52"/>
      <c r="T33" s="19" t="s">
        <v>21</v>
      </c>
      <c r="U33" s="55"/>
      <c r="V33" s="19" t="s">
        <v>21</v>
      </c>
      <c r="W33" s="19" t="s">
        <v>21</v>
      </c>
      <c r="X33" s="19" t="s">
        <v>21</v>
      </c>
      <c r="Y33" s="19" t="s">
        <v>21</v>
      </c>
      <c r="Z33" s="52"/>
      <c r="AA33" s="19" t="s">
        <v>21</v>
      </c>
      <c r="AB33" s="19" t="s">
        <v>21</v>
      </c>
      <c r="AC33" s="19" t="s">
        <v>21</v>
      </c>
      <c r="AD33" s="19" t="s">
        <v>21</v>
      </c>
      <c r="AE33" s="19" t="s">
        <v>21</v>
      </c>
      <c r="AF33" s="19" t="s">
        <v>21</v>
      </c>
      <c r="AG33" s="52"/>
      <c r="AH33" s="19" t="s">
        <v>21</v>
      </c>
      <c r="AI33" s="4">
        <f t="shared" si="1"/>
        <v>0</v>
      </c>
      <c r="AJ33" s="4">
        <f t="shared" si="2"/>
        <v>24</v>
      </c>
    </row>
    <row r="34" spans="1:36" x14ac:dyDescent="0.25">
      <c r="A34" s="7">
        <v>13</v>
      </c>
      <c r="B34" s="11" t="s">
        <v>66</v>
      </c>
      <c r="C34" s="11" t="s">
        <v>67</v>
      </c>
      <c r="D34" s="6" t="s">
        <v>23</v>
      </c>
      <c r="E34" s="52"/>
      <c r="F34" s="19" t="s">
        <v>20</v>
      </c>
      <c r="G34" s="19" t="s">
        <v>20</v>
      </c>
      <c r="H34" s="19" t="s">
        <v>20</v>
      </c>
      <c r="I34" s="19" t="s">
        <v>20</v>
      </c>
      <c r="J34" s="19" t="s">
        <v>20</v>
      </c>
      <c r="K34" s="19" t="s">
        <v>20</v>
      </c>
      <c r="L34" s="52"/>
      <c r="M34" s="19" t="s">
        <v>20</v>
      </c>
      <c r="N34" s="19" t="s">
        <v>20</v>
      </c>
      <c r="O34" s="19" t="s">
        <v>20</v>
      </c>
      <c r="P34" s="19" t="s">
        <v>20</v>
      </c>
      <c r="Q34" s="19" t="s">
        <v>20</v>
      </c>
      <c r="R34" s="19" t="s">
        <v>20</v>
      </c>
      <c r="S34" s="52"/>
      <c r="T34" s="19" t="s">
        <v>20</v>
      </c>
      <c r="U34" s="55"/>
      <c r="V34" s="19" t="s">
        <v>20</v>
      </c>
      <c r="W34" s="19" t="s">
        <v>20</v>
      </c>
      <c r="X34" s="19" t="s">
        <v>20</v>
      </c>
      <c r="Y34" s="19" t="s">
        <v>20</v>
      </c>
      <c r="Z34" s="52"/>
      <c r="AA34" s="19" t="s">
        <v>20</v>
      </c>
      <c r="AB34" s="19" t="s">
        <v>20</v>
      </c>
      <c r="AC34" s="19" t="s">
        <v>20</v>
      </c>
      <c r="AD34" s="19" t="s">
        <v>20</v>
      </c>
      <c r="AE34" s="19" t="s">
        <v>20</v>
      </c>
      <c r="AF34" s="19" t="s">
        <v>20</v>
      </c>
      <c r="AG34" s="52"/>
      <c r="AH34" s="19" t="s">
        <v>20</v>
      </c>
      <c r="AI34" s="4">
        <f t="shared" si="1"/>
        <v>24</v>
      </c>
      <c r="AJ34" s="4">
        <f t="shared" si="2"/>
        <v>0</v>
      </c>
    </row>
    <row r="35" spans="1:36" x14ac:dyDescent="0.25">
      <c r="A35" s="5">
        <v>14</v>
      </c>
      <c r="B35" s="11" t="s">
        <v>68</v>
      </c>
      <c r="C35" s="11" t="s">
        <v>69</v>
      </c>
      <c r="D35" s="6" t="s">
        <v>23</v>
      </c>
      <c r="E35" s="52"/>
      <c r="F35" s="19" t="s">
        <v>21</v>
      </c>
      <c r="G35" s="19" t="s">
        <v>20</v>
      </c>
      <c r="H35" s="19" t="s">
        <v>20</v>
      </c>
      <c r="I35" s="19" t="s">
        <v>21</v>
      </c>
      <c r="J35" s="19" t="s">
        <v>21</v>
      </c>
      <c r="K35" s="19" t="s">
        <v>21</v>
      </c>
      <c r="L35" s="52"/>
      <c r="M35" s="19" t="s">
        <v>21</v>
      </c>
      <c r="N35" s="19" t="s">
        <v>21</v>
      </c>
      <c r="O35" s="19" t="s">
        <v>21</v>
      </c>
      <c r="P35" s="19" t="s">
        <v>21</v>
      </c>
      <c r="Q35" s="19" t="s">
        <v>20</v>
      </c>
      <c r="R35" s="19" t="s">
        <v>20</v>
      </c>
      <c r="S35" s="52"/>
      <c r="T35" s="19" t="s">
        <v>20</v>
      </c>
      <c r="U35" s="55"/>
      <c r="V35" s="19" t="s">
        <v>21</v>
      </c>
      <c r="W35" s="19" t="s">
        <v>21</v>
      </c>
      <c r="X35" s="19" t="s">
        <v>20</v>
      </c>
      <c r="Y35" s="19" t="s">
        <v>20</v>
      </c>
      <c r="Z35" s="52"/>
      <c r="AA35" s="19" t="s">
        <v>20</v>
      </c>
      <c r="AB35" s="19" t="s">
        <v>21</v>
      </c>
      <c r="AC35" s="19" t="s">
        <v>20</v>
      </c>
      <c r="AD35" s="19" t="s">
        <v>20</v>
      </c>
      <c r="AE35" s="19" t="s">
        <v>20</v>
      </c>
      <c r="AF35" s="19" t="s">
        <v>20</v>
      </c>
      <c r="AG35" s="52"/>
      <c r="AH35" s="19" t="s">
        <v>20</v>
      </c>
      <c r="AI35" s="4">
        <f t="shared" si="1"/>
        <v>13</v>
      </c>
      <c r="AJ35" s="4">
        <f t="shared" si="2"/>
        <v>11</v>
      </c>
    </row>
    <row r="36" spans="1:36" x14ac:dyDescent="0.25">
      <c r="A36" s="7">
        <v>15</v>
      </c>
      <c r="B36" s="16" t="s">
        <v>70</v>
      </c>
      <c r="C36" s="16" t="s">
        <v>71</v>
      </c>
      <c r="D36" s="6" t="s">
        <v>23</v>
      </c>
      <c r="E36" s="52"/>
      <c r="F36" s="19" t="s">
        <v>20</v>
      </c>
      <c r="G36" s="19" t="s">
        <v>20</v>
      </c>
      <c r="H36" s="19" t="s">
        <v>20</v>
      </c>
      <c r="I36" s="19" t="s">
        <v>20</v>
      </c>
      <c r="J36" s="19" t="s">
        <v>20</v>
      </c>
      <c r="K36" s="19" t="s">
        <v>20</v>
      </c>
      <c r="L36" s="52"/>
      <c r="M36" s="19" t="s">
        <v>20</v>
      </c>
      <c r="N36" s="19" t="s">
        <v>20</v>
      </c>
      <c r="O36" s="19" t="s">
        <v>20</v>
      </c>
      <c r="P36" s="19" t="s">
        <v>20</v>
      </c>
      <c r="Q36" s="19" t="s">
        <v>20</v>
      </c>
      <c r="R36" s="19" t="s">
        <v>20</v>
      </c>
      <c r="S36" s="52"/>
      <c r="T36" s="19" t="s">
        <v>20</v>
      </c>
      <c r="U36" s="55"/>
      <c r="V36" s="19" t="s">
        <v>20</v>
      </c>
      <c r="W36" s="19" t="s">
        <v>20</v>
      </c>
      <c r="X36" s="19" t="s">
        <v>20</v>
      </c>
      <c r="Y36" s="19" t="s">
        <v>20</v>
      </c>
      <c r="Z36" s="52"/>
      <c r="AA36" s="19" t="s">
        <v>20</v>
      </c>
      <c r="AB36" s="19" t="s">
        <v>20</v>
      </c>
      <c r="AC36" s="19" t="s">
        <v>20</v>
      </c>
      <c r="AD36" s="19" t="s">
        <v>20</v>
      </c>
      <c r="AE36" s="19" t="s">
        <v>20</v>
      </c>
      <c r="AF36" s="19" t="s">
        <v>20</v>
      </c>
      <c r="AG36" s="52"/>
      <c r="AH36" s="19" t="s">
        <v>20</v>
      </c>
      <c r="AI36" s="4">
        <f t="shared" si="1"/>
        <v>24</v>
      </c>
      <c r="AJ36" s="4">
        <f t="shared" si="2"/>
        <v>0</v>
      </c>
    </row>
    <row r="37" spans="1:36" x14ac:dyDescent="0.25">
      <c r="A37" s="5">
        <v>16</v>
      </c>
      <c r="B37" s="16" t="s">
        <v>73</v>
      </c>
      <c r="C37" s="16" t="s">
        <v>72</v>
      </c>
      <c r="D37" s="6" t="s">
        <v>23</v>
      </c>
      <c r="E37" s="52"/>
      <c r="F37" s="19" t="s">
        <v>21</v>
      </c>
      <c r="G37" s="19" t="s">
        <v>20</v>
      </c>
      <c r="H37" s="19" t="s">
        <v>20</v>
      </c>
      <c r="I37" s="19" t="s">
        <v>20</v>
      </c>
      <c r="J37" s="19" t="s">
        <v>21</v>
      </c>
      <c r="K37" s="19" t="s">
        <v>21</v>
      </c>
      <c r="L37" s="52"/>
      <c r="M37" s="19" t="s">
        <v>21</v>
      </c>
      <c r="N37" s="19" t="s">
        <v>20</v>
      </c>
      <c r="O37" s="19" t="s">
        <v>20</v>
      </c>
      <c r="P37" s="19" t="s">
        <v>20</v>
      </c>
      <c r="Q37" s="19" t="s">
        <v>20</v>
      </c>
      <c r="R37" s="19" t="s">
        <v>20</v>
      </c>
      <c r="S37" s="52"/>
      <c r="T37" s="19" t="s">
        <v>20</v>
      </c>
      <c r="U37" s="55"/>
      <c r="V37" s="19" t="s">
        <v>20</v>
      </c>
      <c r="W37" s="19" t="s">
        <v>20</v>
      </c>
      <c r="X37" s="19" t="s">
        <v>20</v>
      </c>
      <c r="Y37" s="19" t="s">
        <v>20</v>
      </c>
      <c r="Z37" s="52"/>
      <c r="AA37" s="19" t="s">
        <v>20</v>
      </c>
      <c r="AB37" s="19" t="s">
        <v>20</v>
      </c>
      <c r="AC37" s="19" t="s">
        <v>20</v>
      </c>
      <c r="AD37" s="19" t="s">
        <v>20</v>
      </c>
      <c r="AE37" s="19" t="s">
        <v>20</v>
      </c>
      <c r="AF37" s="19" t="s">
        <v>20</v>
      </c>
      <c r="AG37" s="52"/>
      <c r="AH37" s="19" t="s">
        <v>20</v>
      </c>
      <c r="AI37" s="4">
        <f t="shared" si="1"/>
        <v>20</v>
      </c>
      <c r="AJ37" s="4">
        <f t="shared" si="2"/>
        <v>4</v>
      </c>
    </row>
    <row r="38" spans="1:36" x14ac:dyDescent="0.25">
      <c r="A38" s="7">
        <v>17</v>
      </c>
      <c r="B38" s="16" t="s">
        <v>74</v>
      </c>
      <c r="C38" s="16" t="s">
        <v>75</v>
      </c>
      <c r="D38" s="6" t="s">
        <v>23</v>
      </c>
      <c r="E38" s="52"/>
      <c r="F38" s="19" t="s">
        <v>20</v>
      </c>
      <c r="G38" s="19" t="s">
        <v>20</v>
      </c>
      <c r="H38" s="19" t="s">
        <v>20</v>
      </c>
      <c r="I38" s="19" t="s">
        <v>20</v>
      </c>
      <c r="J38" s="19" t="s">
        <v>20</v>
      </c>
      <c r="K38" s="19" t="s">
        <v>20</v>
      </c>
      <c r="L38" s="52"/>
      <c r="M38" s="19" t="s">
        <v>20</v>
      </c>
      <c r="N38" s="19" t="s">
        <v>20</v>
      </c>
      <c r="O38" s="19" t="s">
        <v>20</v>
      </c>
      <c r="P38" s="19" t="s">
        <v>20</v>
      </c>
      <c r="Q38" s="19" t="s">
        <v>20</v>
      </c>
      <c r="R38" s="19" t="s">
        <v>20</v>
      </c>
      <c r="S38" s="52"/>
      <c r="T38" s="19" t="s">
        <v>20</v>
      </c>
      <c r="U38" s="55"/>
      <c r="V38" s="19" t="s">
        <v>20</v>
      </c>
      <c r="W38" s="19" t="s">
        <v>20</v>
      </c>
      <c r="X38" s="19" t="s">
        <v>20</v>
      </c>
      <c r="Y38" s="19" t="s">
        <v>20</v>
      </c>
      <c r="Z38" s="52"/>
      <c r="AA38" s="19" t="s">
        <v>20</v>
      </c>
      <c r="AB38" s="19" t="s">
        <v>20</v>
      </c>
      <c r="AC38" s="19" t="s">
        <v>20</v>
      </c>
      <c r="AD38" s="19" t="s">
        <v>20</v>
      </c>
      <c r="AE38" s="19" t="s">
        <v>20</v>
      </c>
      <c r="AF38" s="19" t="s">
        <v>21</v>
      </c>
      <c r="AG38" s="52"/>
      <c r="AH38" s="19" t="s">
        <v>20</v>
      </c>
      <c r="AI38" s="4">
        <f t="shared" si="1"/>
        <v>23</v>
      </c>
      <c r="AJ38" s="4">
        <f t="shared" si="2"/>
        <v>1</v>
      </c>
    </row>
    <row r="39" spans="1:36" x14ac:dyDescent="0.25">
      <c r="A39" s="5">
        <v>18</v>
      </c>
      <c r="B39" s="20" t="s">
        <v>89</v>
      </c>
      <c r="C39" s="20" t="s">
        <v>90</v>
      </c>
      <c r="D39" s="6" t="s">
        <v>23</v>
      </c>
      <c r="E39" s="52"/>
      <c r="F39" s="19" t="s">
        <v>20</v>
      </c>
      <c r="G39" s="19" t="s">
        <v>20</v>
      </c>
      <c r="H39" s="19" t="s">
        <v>20</v>
      </c>
      <c r="I39" s="19" t="s">
        <v>20</v>
      </c>
      <c r="J39" s="19" t="s">
        <v>20</v>
      </c>
      <c r="K39" s="19" t="s">
        <v>20</v>
      </c>
      <c r="L39" s="52"/>
      <c r="M39" s="19" t="s">
        <v>20</v>
      </c>
      <c r="N39" s="19" t="s">
        <v>20</v>
      </c>
      <c r="O39" s="19" t="s">
        <v>20</v>
      </c>
      <c r="P39" s="19" t="s">
        <v>20</v>
      </c>
      <c r="Q39" s="19" t="s">
        <v>20</v>
      </c>
      <c r="R39" s="19" t="s">
        <v>20</v>
      </c>
      <c r="S39" s="52"/>
      <c r="T39" s="19" t="s">
        <v>20</v>
      </c>
      <c r="U39" s="55"/>
      <c r="V39" s="19" t="s">
        <v>20</v>
      </c>
      <c r="W39" s="19" t="s">
        <v>20</v>
      </c>
      <c r="X39" s="19" t="s">
        <v>20</v>
      </c>
      <c r="Y39" s="19" t="s">
        <v>20</v>
      </c>
      <c r="Z39" s="52"/>
      <c r="AA39" s="19" t="s">
        <v>20</v>
      </c>
      <c r="AB39" s="19" t="s">
        <v>20</v>
      </c>
      <c r="AC39" s="19" t="s">
        <v>20</v>
      </c>
      <c r="AD39" s="19" t="s">
        <v>20</v>
      </c>
      <c r="AE39" s="19" t="s">
        <v>20</v>
      </c>
      <c r="AF39" s="19" t="s">
        <v>20</v>
      </c>
      <c r="AG39" s="52"/>
      <c r="AH39" s="19" t="s">
        <v>20</v>
      </c>
      <c r="AI39" s="4">
        <f t="shared" si="1"/>
        <v>24</v>
      </c>
      <c r="AJ39" s="4">
        <f t="shared" si="2"/>
        <v>0</v>
      </c>
    </row>
    <row r="40" spans="1:36" x14ac:dyDescent="0.25">
      <c r="A40" s="7">
        <v>19</v>
      </c>
      <c r="B40" s="20" t="s">
        <v>91</v>
      </c>
      <c r="C40" s="20" t="s">
        <v>92</v>
      </c>
      <c r="D40" s="6" t="s">
        <v>23</v>
      </c>
      <c r="E40" s="52"/>
      <c r="F40" s="19" t="s">
        <v>102</v>
      </c>
      <c r="G40" s="19" t="s">
        <v>102</v>
      </c>
      <c r="H40" s="19" t="s">
        <v>102</v>
      </c>
      <c r="I40" s="19" t="s">
        <v>102</v>
      </c>
      <c r="J40" s="19" t="s">
        <v>102</v>
      </c>
      <c r="K40" s="19" t="s">
        <v>20</v>
      </c>
      <c r="L40" s="52"/>
      <c r="M40" s="19" t="s">
        <v>20</v>
      </c>
      <c r="N40" s="19" t="s">
        <v>20</v>
      </c>
      <c r="O40" s="19" t="s">
        <v>20</v>
      </c>
      <c r="P40" s="19" t="s">
        <v>20</v>
      </c>
      <c r="Q40" s="19" t="s">
        <v>20</v>
      </c>
      <c r="R40" s="19" t="s">
        <v>20</v>
      </c>
      <c r="S40" s="52"/>
      <c r="T40" s="19" t="s">
        <v>20</v>
      </c>
      <c r="U40" s="55"/>
      <c r="V40" s="19" t="s">
        <v>20</v>
      </c>
      <c r="W40" s="19" t="s">
        <v>21</v>
      </c>
      <c r="X40" s="19" t="s">
        <v>20</v>
      </c>
      <c r="Y40" s="19" t="s">
        <v>20</v>
      </c>
      <c r="Z40" s="52"/>
      <c r="AA40" s="19" t="s">
        <v>20</v>
      </c>
      <c r="AB40" s="19" t="s">
        <v>20</v>
      </c>
      <c r="AC40" s="19" t="s">
        <v>20</v>
      </c>
      <c r="AD40" s="19" t="s">
        <v>20</v>
      </c>
      <c r="AE40" s="19" t="s">
        <v>20</v>
      </c>
      <c r="AF40" s="19" t="s">
        <v>20</v>
      </c>
      <c r="AG40" s="52"/>
      <c r="AH40" s="19" t="s">
        <v>20</v>
      </c>
      <c r="AI40" s="4">
        <f t="shared" si="1"/>
        <v>18</v>
      </c>
      <c r="AJ40" s="4">
        <f t="shared" si="2"/>
        <v>1</v>
      </c>
    </row>
    <row r="41" spans="1:36" x14ac:dyDescent="0.25">
      <c r="A41" s="5">
        <v>20</v>
      </c>
      <c r="B41" s="20" t="s">
        <v>93</v>
      </c>
      <c r="C41" s="20"/>
      <c r="D41" s="6" t="s">
        <v>23</v>
      </c>
      <c r="E41" s="52"/>
      <c r="F41" s="19" t="s">
        <v>102</v>
      </c>
      <c r="G41" s="19" t="s">
        <v>102</v>
      </c>
      <c r="H41" s="19" t="s">
        <v>102</v>
      </c>
      <c r="I41" s="19" t="s">
        <v>102</v>
      </c>
      <c r="J41" s="19" t="s">
        <v>102</v>
      </c>
      <c r="K41" s="19" t="s">
        <v>102</v>
      </c>
      <c r="L41" s="52"/>
      <c r="M41" s="19" t="s">
        <v>102</v>
      </c>
      <c r="N41" s="19" t="s">
        <v>102</v>
      </c>
      <c r="O41" s="19" t="s">
        <v>102</v>
      </c>
      <c r="P41" s="19" t="s">
        <v>102</v>
      </c>
      <c r="Q41" s="19" t="s">
        <v>102</v>
      </c>
      <c r="R41" s="19" t="s">
        <v>102</v>
      </c>
      <c r="S41" s="52"/>
      <c r="T41" s="19" t="s">
        <v>20</v>
      </c>
      <c r="U41" s="55"/>
      <c r="V41" s="19" t="s">
        <v>20</v>
      </c>
      <c r="W41" s="19" t="s">
        <v>21</v>
      </c>
      <c r="X41" s="19" t="s">
        <v>20</v>
      </c>
      <c r="Y41" s="19" t="s">
        <v>21</v>
      </c>
      <c r="Z41" s="52"/>
      <c r="AA41" s="19" t="s">
        <v>20</v>
      </c>
      <c r="AB41" s="19" t="s">
        <v>21</v>
      </c>
      <c r="AC41" s="19" t="s">
        <v>20</v>
      </c>
      <c r="AD41" s="19" t="s">
        <v>20</v>
      </c>
      <c r="AE41" s="19" t="s">
        <v>20</v>
      </c>
      <c r="AF41" s="19" t="s">
        <v>20</v>
      </c>
      <c r="AG41" s="52"/>
      <c r="AH41" s="19" t="s">
        <v>20</v>
      </c>
      <c r="AI41" s="4">
        <f t="shared" si="1"/>
        <v>9</v>
      </c>
      <c r="AJ41" s="4">
        <f t="shared" si="2"/>
        <v>3</v>
      </c>
    </row>
    <row r="42" spans="1:36" x14ac:dyDescent="0.25">
      <c r="A42" s="7">
        <v>21</v>
      </c>
      <c r="B42" s="20" t="s">
        <v>94</v>
      </c>
      <c r="C42" s="20" t="s">
        <v>95</v>
      </c>
      <c r="D42" s="6" t="s">
        <v>23</v>
      </c>
      <c r="E42" s="52"/>
      <c r="F42" s="19" t="s">
        <v>102</v>
      </c>
      <c r="G42" s="19" t="s">
        <v>102</v>
      </c>
      <c r="H42" s="19" t="s">
        <v>102</v>
      </c>
      <c r="I42" s="19" t="s">
        <v>102</v>
      </c>
      <c r="J42" s="19" t="s">
        <v>102</v>
      </c>
      <c r="K42" s="19" t="s">
        <v>102</v>
      </c>
      <c r="L42" s="52"/>
      <c r="M42" s="19" t="s">
        <v>102</v>
      </c>
      <c r="N42" s="19" t="s">
        <v>102</v>
      </c>
      <c r="O42" s="19" t="s">
        <v>102</v>
      </c>
      <c r="P42" s="19" t="s">
        <v>102</v>
      </c>
      <c r="Q42" s="19" t="s">
        <v>102</v>
      </c>
      <c r="R42" s="19" t="s">
        <v>102</v>
      </c>
      <c r="S42" s="52"/>
      <c r="T42" s="19" t="s">
        <v>20</v>
      </c>
      <c r="U42" s="55"/>
      <c r="V42" s="19" t="s">
        <v>20</v>
      </c>
      <c r="W42" s="19" t="s">
        <v>21</v>
      </c>
      <c r="X42" s="19" t="s">
        <v>20</v>
      </c>
      <c r="Y42" s="19" t="s">
        <v>21</v>
      </c>
      <c r="Z42" s="52"/>
      <c r="AA42" s="19" t="s">
        <v>21</v>
      </c>
      <c r="AB42" s="19" t="s">
        <v>20</v>
      </c>
      <c r="AC42" s="19" t="s">
        <v>20</v>
      </c>
      <c r="AD42" s="19" t="s">
        <v>20</v>
      </c>
      <c r="AE42" s="19" t="s">
        <v>20</v>
      </c>
      <c r="AF42" s="19" t="s">
        <v>20</v>
      </c>
      <c r="AG42" s="52"/>
      <c r="AH42" s="19" t="s">
        <v>20</v>
      </c>
      <c r="AI42" s="4">
        <f t="shared" si="1"/>
        <v>9</v>
      </c>
      <c r="AJ42" s="4">
        <f t="shared" si="2"/>
        <v>3</v>
      </c>
    </row>
    <row r="43" spans="1:36" x14ac:dyDescent="0.25">
      <c r="A43" s="5">
        <v>22</v>
      </c>
      <c r="B43" s="20" t="s">
        <v>96</v>
      </c>
      <c r="C43" s="20" t="s">
        <v>97</v>
      </c>
      <c r="D43" s="6" t="s">
        <v>23</v>
      </c>
      <c r="E43" s="53"/>
      <c r="F43" s="19" t="s">
        <v>102</v>
      </c>
      <c r="G43" s="19" t="s">
        <v>102</v>
      </c>
      <c r="H43" s="19" t="s">
        <v>102</v>
      </c>
      <c r="I43" s="19" t="s">
        <v>102</v>
      </c>
      <c r="J43" s="19" t="s">
        <v>102</v>
      </c>
      <c r="K43" s="19" t="s">
        <v>102</v>
      </c>
      <c r="L43" s="53"/>
      <c r="M43" s="19" t="s">
        <v>102</v>
      </c>
      <c r="N43" s="19" t="s">
        <v>102</v>
      </c>
      <c r="O43" s="19" t="s">
        <v>102</v>
      </c>
      <c r="P43" s="19" t="s">
        <v>102</v>
      </c>
      <c r="Q43" s="19" t="s">
        <v>102</v>
      </c>
      <c r="R43" s="19" t="s">
        <v>102</v>
      </c>
      <c r="S43" s="53"/>
      <c r="T43" s="19" t="s">
        <v>20</v>
      </c>
      <c r="U43" s="56"/>
      <c r="V43" s="19" t="s">
        <v>20</v>
      </c>
      <c r="W43" s="19" t="s">
        <v>21</v>
      </c>
      <c r="X43" s="19" t="s">
        <v>20</v>
      </c>
      <c r="Y43" s="19" t="s">
        <v>20</v>
      </c>
      <c r="Z43" s="53"/>
      <c r="AA43" s="19" t="s">
        <v>20</v>
      </c>
      <c r="AB43" s="19" t="s">
        <v>20</v>
      </c>
      <c r="AC43" s="19" t="s">
        <v>20</v>
      </c>
      <c r="AD43" s="19" t="s">
        <v>21</v>
      </c>
      <c r="AE43" s="19" t="s">
        <v>20</v>
      </c>
      <c r="AF43" s="19" t="s">
        <v>20</v>
      </c>
      <c r="AG43" s="53"/>
      <c r="AH43" s="19" t="s">
        <v>20</v>
      </c>
      <c r="AI43" s="4">
        <f t="shared" si="1"/>
        <v>10</v>
      </c>
      <c r="AJ43" s="4">
        <f t="shared" si="2"/>
        <v>2</v>
      </c>
    </row>
    <row r="44" spans="1:36" x14ac:dyDescent="0.25">
      <c r="A44" s="21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3"/>
      <c r="AJ44" s="23"/>
    </row>
    <row r="45" spans="1:36" x14ac:dyDescent="0.25">
      <c r="A45" s="21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3"/>
      <c r="AJ45" s="23"/>
    </row>
    <row r="46" spans="1:36" x14ac:dyDescent="0.25">
      <c r="A46" s="21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3"/>
      <c r="AJ46" s="23"/>
    </row>
    <row r="47" spans="1:36" x14ac:dyDescent="0.25">
      <c r="A47" s="21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3"/>
      <c r="AJ47" s="23"/>
    </row>
    <row r="48" spans="1:36" x14ac:dyDescent="0.25">
      <c r="A48" s="21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3"/>
      <c r="AJ48" s="23"/>
    </row>
    <row r="49" spans="1:36" x14ac:dyDescent="0.25">
      <c r="A49" s="21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3"/>
      <c r="AJ49" s="23"/>
    </row>
  </sheetData>
  <mergeCells count="17">
    <mergeCell ref="AK3:AL3"/>
    <mergeCell ref="AK9:AN9"/>
    <mergeCell ref="AK17:AN17"/>
    <mergeCell ref="E5:E43"/>
    <mergeCell ref="L5:L43"/>
    <mergeCell ref="S5:S43"/>
    <mergeCell ref="AG5:AG43"/>
    <mergeCell ref="A1:AJ1"/>
    <mergeCell ref="A2:AJ2"/>
    <mergeCell ref="A3:A4"/>
    <mergeCell ref="B3:B4"/>
    <mergeCell ref="C3:C4"/>
    <mergeCell ref="D3:D4"/>
    <mergeCell ref="AI3:AI4"/>
    <mergeCell ref="AJ3:AJ4"/>
    <mergeCell ref="Z5:Z43"/>
    <mergeCell ref="U5:U43"/>
  </mergeCells>
  <conditionalFormatting sqref="E5">
    <cfRule type="expression" dxfId="40" priority="53">
      <formula>E$3="Sun"</formula>
    </cfRule>
    <cfRule type="expression" dxfId="39" priority="52">
      <formula>IF(E$4=TODAY(),TRUE,FALSE)</formula>
    </cfRule>
    <cfRule type="cellIs" dxfId="38" priority="51" operator="equal">
      <formula>"P"</formula>
    </cfRule>
    <cfRule type="cellIs" dxfId="37" priority="50" operator="equal">
      <formula>"A"</formula>
    </cfRule>
    <cfRule type="cellIs" dxfId="36" priority="49" operator="equal">
      <formula>"L"</formula>
    </cfRule>
  </conditionalFormatting>
  <conditionalFormatting sqref="E3:AH4 F5:K43 M5:R43 T5:T43 V5:Y43 AA5:AF43 AH5:AH43 AL10:AN10 AL18:AN18">
    <cfRule type="expression" dxfId="35" priority="69">
      <formula>E$3="Sun"</formula>
    </cfRule>
  </conditionalFormatting>
  <conditionalFormatting sqref="F5:K43 M5:R43 T5:T43 V5:Y43 AA5:AF43 AH5:AH43 E4:AH4">
    <cfRule type="expression" dxfId="34" priority="68">
      <formula>IF(E$4=TODAY(),TRUE,FALSE)</formula>
    </cfRule>
  </conditionalFormatting>
  <conditionalFormatting sqref="F5:K43 M5:R43 T5:T43 V5:Y43 AA5:AF43 AH5:AH43">
    <cfRule type="cellIs" dxfId="33" priority="67" operator="equal">
      <formula>"P"</formula>
    </cfRule>
    <cfRule type="cellIs" dxfId="32" priority="65" operator="equal">
      <formula>"L"</formula>
    </cfRule>
    <cfRule type="cellIs" dxfId="31" priority="66" operator="equal">
      <formula>"A"</formula>
    </cfRule>
  </conditionalFormatting>
  <conditionalFormatting sqref="L5">
    <cfRule type="cellIs" dxfId="30" priority="25" operator="equal">
      <formula>"A"</formula>
    </cfRule>
    <cfRule type="cellIs" dxfId="29" priority="24" operator="equal">
      <formula>"L"</formula>
    </cfRule>
    <cfRule type="expression" dxfId="28" priority="28">
      <formula>L$3="Sun"</formula>
    </cfRule>
    <cfRule type="expression" dxfId="27" priority="27">
      <formula>IF(L$4=TODAY(),TRUE,FALSE)</formula>
    </cfRule>
    <cfRule type="cellIs" dxfId="26" priority="26" operator="equal">
      <formula>"P"</formula>
    </cfRule>
  </conditionalFormatting>
  <conditionalFormatting sqref="S5">
    <cfRule type="expression" dxfId="25" priority="23">
      <formula>S$3="Sun"</formula>
    </cfRule>
    <cfRule type="cellIs" dxfId="24" priority="19" operator="equal">
      <formula>"L"</formula>
    </cfRule>
    <cfRule type="cellIs" dxfId="23" priority="20" operator="equal">
      <formula>"A"</formula>
    </cfRule>
    <cfRule type="cellIs" dxfId="22" priority="21" operator="equal">
      <formula>"P"</formula>
    </cfRule>
    <cfRule type="expression" dxfId="21" priority="22">
      <formula>IF(S$4=TODAY(),TRUE,FALSE)</formula>
    </cfRule>
  </conditionalFormatting>
  <conditionalFormatting sqref="U5">
    <cfRule type="cellIs" dxfId="20" priority="29" operator="equal">
      <formula>"L"</formula>
    </cfRule>
    <cfRule type="cellIs" dxfId="19" priority="30" operator="equal">
      <formula>"A"</formula>
    </cfRule>
    <cfRule type="cellIs" dxfId="18" priority="31" operator="equal">
      <formula>"P"</formula>
    </cfRule>
    <cfRule type="expression" dxfId="17" priority="32">
      <formula>IF(U$4=TODAY(),TRUE,FALSE)</formula>
    </cfRule>
    <cfRule type="expression" dxfId="16" priority="33">
      <formula>U$3="Sun"</formula>
    </cfRule>
  </conditionalFormatting>
  <conditionalFormatting sqref="Z5">
    <cfRule type="expression" dxfId="15" priority="18">
      <formula>Z$3="Sun"</formula>
    </cfRule>
    <cfRule type="expression" dxfId="14" priority="17">
      <formula>IF(Z$4=TODAY(),TRUE,FALSE)</formula>
    </cfRule>
    <cfRule type="cellIs" dxfId="13" priority="16" operator="equal">
      <formula>"P"</formula>
    </cfRule>
    <cfRule type="cellIs" dxfId="12" priority="15" operator="equal">
      <formula>"A"</formula>
    </cfRule>
    <cfRule type="cellIs" dxfId="11" priority="14" operator="equal">
      <formula>"L"</formula>
    </cfRule>
  </conditionalFormatting>
  <conditionalFormatting sqref="AG5">
    <cfRule type="expression" dxfId="10" priority="13">
      <formula>AG$3="Sun"</formula>
    </cfRule>
    <cfRule type="expression" dxfId="9" priority="12">
      <formula>IF(AG$4=TODAY(),TRUE,FALSE)</formula>
    </cfRule>
    <cfRule type="cellIs" dxfId="8" priority="11" operator="equal">
      <formula>"P"</formula>
    </cfRule>
    <cfRule type="cellIs" dxfId="7" priority="10" operator="equal">
      <formula>"A"</formula>
    </cfRule>
    <cfRule type="cellIs" dxfId="6" priority="9" operator="equal">
      <formula>"L"</formula>
    </cfRule>
  </conditionalFormatting>
  <conditionalFormatting sqref="AI3:AJ3 AI5:AJ43">
    <cfRule type="expression" dxfId="5" priority="70">
      <formula>#REF!="Sun"</formula>
    </cfRule>
  </conditionalFormatting>
  <conditionalFormatting sqref="AK5:AK7">
    <cfRule type="expression" dxfId="4" priority="7">
      <formula>AK$3="Sun"</formula>
    </cfRule>
  </conditionalFormatting>
  <conditionalFormatting sqref="AK10:AK13">
    <cfRule type="expression" dxfId="3" priority="3">
      <formula>AK$3="Sun"</formula>
    </cfRule>
  </conditionalFormatting>
  <conditionalFormatting sqref="AK18:AK21">
    <cfRule type="expression" dxfId="2" priority="2">
      <formula>AK$3="Sun"</formula>
    </cfRule>
  </conditionalFormatting>
  <conditionalFormatting sqref="AK4:AL4">
    <cfRule type="expression" dxfId="1" priority="8">
      <formula>AK$3="Sun"</formula>
    </cfRule>
  </conditionalFormatting>
  <conditionalFormatting sqref="AN19">
    <cfRule type="expression" dxfId="0" priority="6">
      <formula>AN$3="Sun"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Compile Sheet-September-2024</vt:lpstr>
      <vt:lpstr>ECE (ROSE)</vt:lpstr>
      <vt:lpstr>ECE (Daffodils)</vt:lpstr>
      <vt:lpstr>Class-I</vt:lpstr>
      <vt:lpstr>Class-II</vt:lpstr>
      <vt:lpstr>Class-III</vt:lpstr>
      <vt:lpstr>Class-IV</vt:lpstr>
      <vt:lpstr>Class-V</vt:lpstr>
      <vt:lpstr>Class-VI</vt:lpstr>
      <vt:lpstr>Class-VII</vt:lpstr>
      <vt:lpstr>Class-VIII</vt:lpstr>
      <vt:lpstr>Class-IX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Faysal</dc:creator>
  <cp:lastModifiedBy>Fayyaz Mohammad</cp:lastModifiedBy>
  <dcterms:created xsi:type="dcterms:W3CDTF">2015-06-05T18:17:20Z</dcterms:created>
  <dcterms:modified xsi:type="dcterms:W3CDTF">2025-01-22T06:30:03Z</dcterms:modified>
</cp:coreProperties>
</file>