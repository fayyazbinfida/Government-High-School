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Student Attendance\Audit Attendance\"/>
    </mc:Choice>
  </mc:AlternateContent>
  <xr:revisionPtr revIDLastSave="0" documentId="13_ncr:1_{1D135FBA-0625-421D-8950-7D6C72AA62A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mpile Sheet-August-2024" sheetId="18" r:id="rId1"/>
    <sheet name="ECE (ROSE)" sheetId="2" r:id="rId2"/>
    <sheet name="ECE (DAFFODILS)" sheetId="8" r:id="rId3"/>
    <sheet name="Class-I" sheetId="9" r:id="rId4"/>
    <sheet name="Class-II" sheetId="10" r:id="rId5"/>
    <sheet name="Class-III" sheetId="11" r:id="rId6"/>
    <sheet name="Class-IV" sheetId="12" r:id="rId7"/>
    <sheet name="Class-V" sheetId="13" r:id="rId8"/>
    <sheet name="Class-VI" sheetId="14" r:id="rId9"/>
    <sheet name="Class-VII" sheetId="15" r:id="rId10"/>
    <sheet name="Class-VIII" sheetId="16" r:id="rId11"/>
    <sheet name="Class-IX" sheetId="17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6" i="18" l="1"/>
  <c r="I16" i="18"/>
  <c r="J15" i="18"/>
  <c r="I15" i="18"/>
  <c r="J14" i="18"/>
  <c r="I14" i="18"/>
  <c r="J13" i="18"/>
  <c r="I13" i="18"/>
  <c r="J12" i="18"/>
  <c r="I12" i="18"/>
  <c r="J11" i="18"/>
  <c r="I11" i="18"/>
  <c r="J10" i="18"/>
  <c r="I10" i="18"/>
  <c r="J9" i="18" l="1"/>
  <c r="I9" i="18"/>
  <c r="I17" i="18" s="1"/>
  <c r="J8" i="18"/>
  <c r="I8" i="18"/>
  <c r="J7" i="18"/>
  <c r="I7" i="18"/>
  <c r="Y16" i="9"/>
  <c r="J6" i="18"/>
  <c r="I6" i="18"/>
  <c r="G6" i="18"/>
  <c r="G7" i="18"/>
  <c r="H7" i="18" s="1"/>
  <c r="F6" i="18"/>
  <c r="L7" i="18"/>
  <c r="D7" i="18"/>
  <c r="F7" i="18"/>
  <c r="M7" i="18" s="1"/>
  <c r="E17" i="18"/>
  <c r="C17" i="18"/>
  <c r="B17" i="18"/>
  <c r="K16" i="18"/>
  <c r="G16" i="18"/>
  <c r="L16" i="18" s="1"/>
  <c r="F16" i="18"/>
  <c r="D16" i="18"/>
  <c r="K15" i="18"/>
  <c r="G15" i="18"/>
  <c r="L15" i="18" s="1"/>
  <c r="F15" i="18"/>
  <c r="D15" i="18"/>
  <c r="K14" i="18"/>
  <c r="G14" i="18"/>
  <c r="L14" i="18" s="1"/>
  <c r="F14" i="18"/>
  <c r="M14" i="18" s="1"/>
  <c r="D14" i="18"/>
  <c r="K13" i="18"/>
  <c r="G13" i="18"/>
  <c r="L13" i="18" s="1"/>
  <c r="F13" i="18"/>
  <c r="D13" i="18"/>
  <c r="K12" i="18"/>
  <c r="G12" i="18"/>
  <c r="L12" i="18" s="1"/>
  <c r="F12" i="18"/>
  <c r="D12" i="18"/>
  <c r="K11" i="18"/>
  <c r="G11" i="18"/>
  <c r="L11" i="18" s="1"/>
  <c r="F11" i="18"/>
  <c r="M11" i="18" s="1"/>
  <c r="D11" i="18"/>
  <c r="K10" i="18"/>
  <c r="G10" i="18"/>
  <c r="L10" i="18" s="1"/>
  <c r="F10" i="18"/>
  <c r="M10" i="18" s="1"/>
  <c r="D10" i="18"/>
  <c r="G9" i="18"/>
  <c r="F9" i="18"/>
  <c r="D9" i="18"/>
  <c r="K8" i="18"/>
  <c r="G8" i="18"/>
  <c r="F8" i="18"/>
  <c r="D8" i="18"/>
  <c r="K6" i="18"/>
  <c r="D6" i="18"/>
  <c r="Z16" i="17"/>
  <c r="Z17" i="17" s="1"/>
  <c r="Z15" i="17"/>
  <c r="Y15" i="17"/>
  <c r="Y16" i="17"/>
  <c r="Z23" i="17"/>
  <c r="Y23" i="17"/>
  <c r="Y4" i="17"/>
  <c r="W34" i="17"/>
  <c r="V34" i="17"/>
  <c r="W33" i="17"/>
  <c r="V33" i="17"/>
  <c r="W32" i="17"/>
  <c r="V32" i="17"/>
  <c r="W31" i="17"/>
  <c r="V31" i="17"/>
  <c r="W30" i="17"/>
  <c r="V30" i="17"/>
  <c r="W29" i="17"/>
  <c r="V29" i="17"/>
  <c r="W28" i="17"/>
  <c r="V28" i="17"/>
  <c r="W27" i="17"/>
  <c r="V27" i="17"/>
  <c r="W26" i="17"/>
  <c r="V26" i="17"/>
  <c r="W25" i="17"/>
  <c r="V25" i="17"/>
  <c r="W24" i="17"/>
  <c r="V24" i="17"/>
  <c r="W23" i="17"/>
  <c r="V23" i="17"/>
  <c r="W22" i="17"/>
  <c r="V22" i="17"/>
  <c r="W21" i="17"/>
  <c r="V21" i="17"/>
  <c r="W20" i="17"/>
  <c r="V20" i="17"/>
  <c r="W19" i="17"/>
  <c r="V19" i="17"/>
  <c r="W18" i="17"/>
  <c r="V18" i="17"/>
  <c r="W17" i="17"/>
  <c r="V17" i="17"/>
  <c r="W16" i="17"/>
  <c r="V16" i="17"/>
  <c r="W15" i="17"/>
  <c r="V15" i="17"/>
  <c r="W14" i="17"/>
  <c r="V14" i="17"/>
  <c r="W13" i="17"/>
  <c r="V13" i="17"/>
  <c r="W12" i="17"/>
  <c r="V12" i="17"/>
  <c r="W11" i="17"/>
  <c r="V11" i="17"/>
  <c r="W10" i="17"/>
  <c r="V10" i="17"/>
  <c r="W9" i="17"/>
  <c r="V9" i="17"/>
  <c r="W8" i="17"/>
  <c r="V8" i="17"/>
  <c r="W7" i="17"/>
  <c r="V7" i="17"/>
  <c r="W6" i="17"/>
  <c r="V6" i="17"/>
  <c r="W5" i="17"/>
  <c r="V5" i="17"/>
  <c r="U3" i="17"/>
  <c r="T3" i="17"/>
  <c r="S3" i="17"/>
  <c r="R3" i="17"/>
  <c r="Q3" i="17"/>
  <c r="P3" i="17"/>
  <c r="O3" i="17"/>
  <c r="N3" i="17"/>
  <c r="M3" i="17"/>
  <c r="L3" i="17"/>
  <c r="K3" i="17"/>
  <c r="J3" i="17"/>
  <c r="I3" i="17"/>
  <c r="H3" i="17"/>
  <c r="G3" i="17"/>
  <c r="F3" i="17"/>
  <c r="E3" i="17"/>
  <c r="H16" i="18" l="1"/>
  <c r="H15" i="18"/>
  <c r="H13" i="18"/>
  <c r="H12" i="18"/>
  <c r="K9" i="18"/>
  <c r="K17" i="18" s="1"/>
  <c r="L8" i="18"/>
  <c r="L9" i="18"/>
  <c r="J17" i="18"/>
  <c r="K7" i="18"/>
  <c r="N7" i="18"/>
  <c r="L6" i="18"/>
  <c r="N13" i="18"/>
  <c r="O11" i="18"/>
  <c r="H9" i="18"/>
  <c r="N9" i="18" s="1"/>
  <c r="O7" i="18"/>
  <c r="M9" i="18"/>
  <c r="O9" i="18" s="1"/>
  <c r="M13" i="18"/>
  <c r="O13" i="18" s="1"/>
  <c r="F17" i="18"/>
  <c r="I18" i="18" s="1"/>
  <c r="O14" i="18"/>
  <c r="G17" i="18"/>
  <c r="L17" i="18" s="1"/>
  <c r="H8" i="18"/>
  <c r="N8" i="18" s="1"/>
  <c r="O10" i="18"/>
  <c r="D17" i="18"/>
  <c r="N12" i="18"/>
  <c r="N15" i="18"/>
  <c r="N16" i="18"/>
  <c r="M6" i="18"/>
  <c r="O6" i="18" s="1"/>
  <c r="H10" i="18"/>
  <c r="N10" i="18" s="1"/>
  <c r="M15" i="18"/>
  <c r="O15" i="18" s="1"/>
  <c r="H6" i="18"/>
  <c r="N6" i="18" s="1"/>
  <c r="M8" i="18"/>
  <c r="O8" i="18" s="1"/>
  <c r="H11" i="18"/>
  <c r="N11" i="18" s="1"/>
  <c r="M12" i="18"/>
  <c r="O12" i="18" s="1"/>
  <c r="M16" i="18"/>
  <c r="O16" i="18" s="1"/>
  <c r="H14" i="18"/>
  <c r="N14" i="18" s="1"/>
  <c r="Z24" i="17"/>
  <c r="Z25" i="17" s="1"/>
  <c r="AA15" i="17"/>
  <c r="Y17" i="17"/>
  <c r="AA16" i="17"/>
  <c r="AA17" i="17" s="1"/>
  <c r="Y24" i="17"/>
  <c r="AA24" i="17" s="1"/>
  <c r="Y25" i="17"/>
  <c r="AA23" i="17"/>
  <c r="M17" i="18" l="1"/>
  <c r="O18" i="18" s="1"/>
  <c r="O17" i="18"/>
  <c r="J18" i="18"/>
  <c r="H17" i="18"/>
  <c r="K18" i="18" s="1"/>
  <c r="N17" i="18"/>
  <c r="AA25" i="17"/>
  <c r="Z16" i="16" l="1"/>
  <c r="Y16" i="16"/>
  <c r="Z23" i="16"/>
  <c r="Y23" i="16"/>
  <c r="Z15" i="16"/>
  <c r="Y15" i="16"/>
  <c r="AA15" i="16"/>
  <c r="Y4" i="16"/>
  <c r="W38" i="16"/>
  <c r="V38" i="16"/>
  <c r="W37" i="16"/>
  <c r="V37" i="16"/>
  <c r="W36" i="16"/>
  <c r="V36" i="16"/>
  <c r="W35" i="16"/>
  <c r="V35" i="16"/>
  <c r="W34" i="16"/>
  <c r="V34" i="16"/>
  <c r="W33" i="16"/>
  <c r="V33" i="16"/>
  <c r="W32" i="16"/>
  <c r="V32" i="16"/>
  <c r="W31" i="16"/>
  <c r="V31" i="16"/>
  <c r="W30" i="16"/>
  <c r="V30" i="16"/>
  <c r="W29" i="16"/>
  <c r="V29" i="16"/>
  <c r="W28" i="16"/>
  <c r="V28" i="16"/>
  <c r="W27" i="16"/>
  <c r="V27" i="16"/>
  <c r="W26" i="16"/>
  <c r="V26" i="16"/>
  <c r="W25" i="16"/>
  <c r="V25" i="16"/>
  <c r="W24" i="16"/>
  <c r="V24" i="16"/>
  <c r="W23" i="16"/>
  <c r="V23" i="16"/>
  <c r="W22" i="16"/>
  <c r="V22" i="16"/>
  <c r="W21" i="16"/>
  <c r="V21" i="16"/>
  <c r="W20" i="16"/>
  <c r="V20" i="16"/>
  <c r="W19" i="16"/>
  <c r="V19" i="16"/>
  <c r="W18" i="16"/>
  <c r="V18" i="16"/>
  <c r="W17" i="16"/>
  <c r="V17" i="16"/>
  <c r="W16" i="16"/>
  <c r="V16" i="16"/>
  <c r="W15" i="16"/>
  <c r="V15" i="16"/>
  <c r="W14" i="16"/>
  <c r="V14" i="16"/>
  <c r="W13" i="16"/>
  <c r="V13" i="16"/>
  <c r="W12" i="16"/>
  <c r="V12" i="16"/>
  <c r="W11" i="16"/>
  <c r="V11" i="16"/>
  <c r="W10" i="16"/>
  <c r="V10" i="16"/>
  <c r="W9" i="16"/>
  <c r="V9" i="16"/>
  <c r="W8" i="16"/>
  <c r="V8" i="16"/>
  <c r="W7" i="16"/>
  <c r="V7" i="16"/>
  <c r="W6" i="16"/>
  <c r="V6" i="16"/>
  <c r="W5" i="16"/>
  <c r="V5" i="16"/>
  <c r="U3" i="16"/>
  <c r="T3" i="16"/>
  <c r="S3" i="16"/>
  <c r="R3" i="16"/>
  <c r="Q3" i="16"/>
  <c r="P3" i="16"/>
  <c r="O3" i="16"/>
  <c r="N3" i="16"/>
  <c r="M3" i="16"/>
  <c r="L3" i="16"/>
  <c r="K3" i="16"/>
  <c r="J3" i="16"/>
  <c r="I3" i="16"/>
  <c r="H3" i="16"/>
  <c r="G3" i="16"/>
  <c r="F3" i="16"/>
  <c r="E3" i="16"/>
  <c r="Z17" i="16" l="1"/>
  <c r="AA23" i="16"/>
  <c r="Z24" i="16" l="1"/>
  <c r="Z25" i="16" s="1"/>
  <c r="AA16" i="16"/>
  <c r="AA17" i="16" s="1"/>
  <c r="Y24" i="16"/>
  <c r="AA24" i="16" s="1"/>
  <c r="AA25" i="16" s="1"/>
  <c r="Y17" i="16"/>
  <c r="Y25" i="16" l="1"/>
  <c r="Y16" i="15"/>
  <c r="X16" i="15"/>
  <c r="Y23" i="15"/>
  <c r="X23" i="15"/>
  <c r="Y15" i="15"/>
  <c r="X15" i="15"/>
  <c r="X4" i="15"/>
  <c r="V50" i="15"/>
  <c r="U50" i="15"/>
  <c r="V49" i="15"/>
  <c r="U49" i="15"/>
  <c r="V48" i="15"/>
  <c r="U48" i="15"/>
  <c r="V47" i="15"/>
  <c r="U47" i="15"/>
  <c r="V46" i="15"/>
  <c r="U46" i="15"/>
  <c r="V45" i="15"/>
  <c r="U45" i="15"/>
  <c r="V44" i="15"/>
  <c r="U44" i="15"/>
  <c r="V43" i="15"/>
  <c r="U43" i="15"/>
  <c r="V42" i="15"/>
  <c r="U42" i="15"/>
  <c r="V41" i="15"/>
  <c r="U41" i="15"/>
  <c r="V40" i="15"/>
  <c r="U40" i="15"/>
  <c r="V39" i="15"/>
  <c r="U39" i="15"/>
  <c r="V38" i="15"/>
  <c r="U38" i="15"/>
  <c r="V37" i="15"/>
  <c r="U37" i="15"/>
  <c r="V36" i="15"/>
  <c r="U36" i="15"/>
  <c r="V35" i="15"/>
  <c r="U35" i="15"/>
  <c r="V34" i="15"/>
  <c r="U34" i="15"/>
  <c r="V33" i="15"/>
  <c r="U33" i="15"/>
  <c r="V32" i="15"/>
  <c r="U32" i="15"/>
  <c r="V31" i="15"/>
  <c r="U31" i="15"/>
  <c r="V30" i="15"/>
  <c r="U30" i="15"/>
  <c r="V29" i="15"/>
  <c r="U29" i="15"/>
  <c r="V28" i="15"/>
  <c r="U28" i="15"/>
  <c r="V27" i="15"/>
  <c r="U27" i="15"/>
  <c r="V26" i="15"/>
  <c r="U26" i="15"/>
  <c r="V25" i="15"/>
  <c r="U25" i="15"/>
  <c r="V24" i="15"/>
  <c r="U24" i="15"/>
  <c r="V23" i="15"/>
  <c r="U23" i="15"/>
  <c r="V22" i="15"/>
  <c r="U22" i="15"/>
  <c r="V21" i="15"/>
  <c r="U21" i="15"/>
  <c r="V20" i="15"/>
  <c r="U20" i="15"/>
  <c r="V19" i="15"/>
  <c r="U19" i="15"/>
  <c r="V18" i="15"/>
  <c r="U18" i="15"/>
  <c r="V17" i="15"/>
  <c r="U17" i="15"/>
  <c r="V16" i="15"/>
  <c r="U16" i="15"/>
  <c r="V15" i="15"/>
  <c r="U15" i="15"/>
  <c r="V14" i="15"/>
  <c r="U14" i="15"/>
  <c r="V13" i="15"/>
  <c r="U13" i="15"/>
  <c r="V12" i="15"/>
  <c r="U12" i="15"/>
  <c r="V11" i="15"/>
  <c r="U11" i="15"/>
  <c r="V10" i="15"/>
  <c r="U10" i="15"/>
  <c r="V9" i="15"/>
  <c r="U9" i="15"/>
  <c r="V8" i="15"/>
  <c r="U8" i="15"/>
  <c r="V7" i="15"/>
  <c r="U7" i="15"/>
  <c r="V6" i="15"/>
  <c r="U6" i="15"/>
  <c r="V5" i="15"/>
  <c r="U5" i="15"/>
  <c r="T3" i="15"/>
  <c r="S3" i="15"/>
  <c r="R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D3" i="15"/>
  <c r="Y17" i="15" l="1"/>
  <c r="Z15" i="15"/>
  <c r="Z23" i="15"/>
  <c r="Z16" i="15"/>
  <c r="X17" i="15"/>
  <c r="Y24" i="15"/>
  <c r="Y25" i="15" s="1"/>
  <c r="X24" i="15"/>
  <c r="X25" i="15" s="1"/>
  <c r="Z16" i="14"/>
  <c r="Y16" i="14"/>
  <c r="Z23" i="14"/>
  <c r="Y23" i="14"/>
  <c r="Z15" i="14"/>
  <c r="Y15" i="14"/>
  <c r="AA15" i="14"/>
  <c r="Y4" i="14"/>
  <c r="W47" i="14"/>
  <c r="V47" i="14"/>
  <c r="W46" i="14"/>
  <c r="V46" i="14"/>
  <c r="W45" i="14"/>
  <c r="V45" i="14"/>
  <c r="W44" i="14"/>
  <c r="V44" i="14"/>
  <c r="W43" i="14"/>
  <c r="V43" i="14"/>
  <c r="W42" i="14"/>
  <c r="V42" i="14"/>
  <c r="W41" i="14"/>
  <c r="V41" i="14"/>
  <c r="W40" i="14"/>
  <c r="V40" i="14"/>
  <c r="W39" i="14"/>
  <c r="V39" i="14"/>
  <c r="W38" i="14"/>
  <c r="V38" i="14"/>
  <c r="W37" i="14"/>
  <c r="V37" i="14"/>
  <c r="W36" i="14"/>
  <c r="V36" i="14"/>
  <c r="W35" i="14"/>
  <c r="V35" i="14"/>
  <c r="W34" i="14"/>
  <c r="V34" i="14"/>
  <c r="W33" i="14"/>
  <c r="V33" i="14"/>
  <c r="W32" i="14"/>
  <c r="V32" i="14"/>
  <c r="W31" i="14"/>
  <c r="V31" i="14"/>
  <c r="W30" i="14"/>
  <c r="V30" i="14"/>
  <c r="W29" i="14"/>
  <c r="V29" i="14"/>
  <c r="W28" i="14"/>
  <c r="V28" i="14"/>
  <c r="W27" i="14"/>
  <c r="V27" i="14"/>
  <c r="W26" i="14"/>
  <c r="V26" i="14"/>
  <c r="W25" i="14"/>
  <c r="V25" i="14"/>
  <c r="W24" i="14"/>
  <c r="V24" i="14"/>
  <c r="W23" i="14"/>
  <c r="V23" i="14"/>
  <c r="W22" i="14"/>
  <c r="V22" i="14"/>
  <c r="W21" i="14"/>
  <c r="V21" i="14"/>
  <c r="W20" i="14"/>
  <c r="V20" i="14"/>
  <c r="W19" i="14"/>
  <c r="V19" i="14"/>
  <c r="W18" i="14"/>
  <c r="V18" i="14"/>
  <c r="W17" i="14"/>
  <c r="V17" i="14"/>
  <c r="W16" i="14"/>
  <c r="V16" i="14"/>
  <c r="W15" i="14"/>
  <c r="V15" i="14"/>
  <c r="W14" i="14"/>
  <c r="V14" i="14"/>
  <c r="W13" i="14"/>
  <c r="V13" i="14"/>
  <c r="W12" i="14"/>
  <c r="V12" i="14"/>
  <c r="W11" i="14"/>
  <c r="V11" i="14"/>
  <c r="W10" i="14"/>
  <c r="V10" i="14"/>
  <c r="W9" i="14"/>
  <c r="V9" i="14"/>
  <c r="W8" i="14"/>
  <c r="V8" i="14"/>
  <c r="W7" i="14"/>
  <c r="V7" i="14"/>
  <c r="W6" i="14"/>
  <c r="V6" i="14"/>
  <c r="W5" i="14"/>
  <c r="V5" i="14"/>
  <c r="U3" i="14"/>
  <c r="T3" i="14"/>
  <c r="S3" i="14"/>
  <c r="R3" i="14"/>
  <c r="Q3" i="14"/>
  <c r="P3" i="14"/>
  <c r="O3" i="14"/>
  <c r="N3" i="14"/>
  <c r="M3" i="14"/>
  <c r="L3" i="14"/>
  <c r="K3" i="14"/>
  <c r="J3" i="14"/>
  <c r="I3" i="14"/>
  <c r="H3" i="14"/>
  <c r="G3" i="14"/>
  <c r="F3" i="14"/>
  <c r="E3" i="14"/>
  <c r="Z17" i="15" l="1"/>
  <c r="Z24" i="15"/>
  <c r="Z25" i="15" s="1"/>
  <c r="Z17" i="14"/>
  <c r="AA16" i="14"/>
  <c r="AA17" i="14" s="1"/>
  <c r="Y17" i="14"/>
  <c r="Y24" i="14"/>
  <c r="Y25" i="14" s="1"/>
  <c r="Z24" i="14"/>
  <c r="Z25" i="14" s="1"/>
  <c r="AA23" i="14"/>
  <c r="AA24" i="14" l="1"/>
  <c r="AA25" i="14"/>
  <c r="Z16" i="13" l="1"/>
  <c r="Y16" i="13"/>
  <c r="Z23" i="13"/>
  <c r="Y23" i="13"/>
  <c r="Z15" i="13"/>
  <c r="Y15" i="13"/>
  <c r="AA15" i="13"/>
  <c r="Y4" i="13"/>
  <c r="W53" i="13"/>
  <c r="V53" i="13"/>
  <c r="W52" i="13"/>
  <c r="V52" i="13"/>
  <c r="W51" i="13"/>
  <c r="V51" i="13"/>
  <c r="W50" i="13"/>
  <c r="V50" i="13"/>
  <c r="W49" i="13"/>
  <c r="V49" i="13"/>
  <c r="W48" i="13"/>
  <c r="V48" i="13"/>
  <c r="W47" i="13"/>
  <c r="V47" i="13"/>
  <c r="W46" i="13"/>
  <c r="V46" i="13"/>
  <c r="W45" i="13"/>
  <c r="V45" i="13"/>
  <c r="W44" i="13"/>
  <c r="V44" i="13"/>
  <c r="W43" i="13"/>
  <c r="V43" i="13"/>
  <c r="W42" i="13"/>
  <c r="V42" i="13"/>
  <c r="W41" i="13"/>
  <c r="V41" i="13"/>
  <c r="W40" i="13"/>
  <c r="V40" i="13"/>
  <c r="W39" i="13"/>
  <c r="V39" i="13"/>
  <c r="W38" i="13"/>
  <c r="V38" i="13"/>
  <c r="W37" i="13"/>
  <c r="V37" i="13"/>
  <c r="W36" i="13"/>
  <c r="V36" i="13"/>
  <c r="W35" i="13"/>
  <c r="V35" i="13"/>
  <c r="W34" i="13"/>
  <c r="V34" i="13"/>
  <c r="W33" i="13"/>
  <c r="V33" i="13"/>
  <c r="W32" i="13"/>
  <c r="V32" i="13"/>
  <c r="W31" i="13"/>
  <c r="V31" i="13"/>
  <c r="W30" i="13"/>
  <c r="V30" i="13"/>
  <c r="W29" i="13"/>
  <c r="V29" i="13"/>
  <c r="W28" i="13"/>
  <c r="V28" i="13"/>
  <c r="W27" i="13"/>
  <c r="V27" i="13"/>
  <c r="W26" i="13"/>
  <c r="V26" i="13"/>
  <c r="W25" i="13"/>
  <c r="V25" i="13"/>
  <c r="W24" i="13"/>
  <c r="V24" i="13"/>
  <c r="W23" i="13"/>
  <c r="V23" i="13"/>
  <c r="W22" i="13"/>
  <c r="V22" i="13"/>
  <c r="W21" i="13"/>
  <c r="V21" i="13"/>
  <c r="W20" i="13"/>
  <c r="V20" i="13"/>
  <c r="W19" i="13"/>
  <c r="V19" i="13"/>
  <c r="W18" i="13"/>
  <c r="V18" i="13"/>
  <c r="W17" i="13"/>
  <c r="V17" i="13"/>
  <c r="W16" i="13"/>
  <c r="V16" i="13"/>
  <c r="W15" i="13"/>
  <c r="V15" i="13"/>
  <c r="W14" i="13"/>
  <c r="V14" i="13"/>
  <c r="W13" i="13"/>
  <c r="V13" i="13"/>
  <c r="W12" i="13"/>
  <c r="V12" i="13"/>
  <c r="W11" i="13"/>
  <c r="V11" i="13"/>
  <c r="W10" i="13"/>
  <c r="V10" i="13"/>
  <c r="W9" i="13"/>
  <c r="V9" i="13"/>
  <c r="W8" i="13"/>
  <c r="V8" i="13"/>
  <c r="W7" i="13"/>
  <c r="V7" i="13"/>
  <c r="W6" i="13"/>
  <c r="V6" i="13"/>
  <c r="W5" i="13"/>
  <c r="V5" i="13"/>
  <c r="U3" i="13"/>
  <c r="T3" i="13"/>
  <c r="S3" i="13"/>
  <c r="R3" i="13"/>
  <c r="Q3" i="13"/>
  <c r="P3" i="13"/>
  <c r="O3" i="13"/>
  <c r="N3" i="13"/>
  <c r="M3" i="13"/>
  <c r="L3" i="13"/>
  <c r="K3" i="13"/>
  <c r="J3" i="13"/>
  <c r="I3" i="13"/>
  <c r="H3" i="13"/>
  <c r="G3" i="13"/>
  <c r="F3" i="13"/>
  <c r="E3" i="13"/>
  <c r="Z17" i="13" l="1"/>
  <c r="AA23" i="13"/>
  <c r="Z24" i="13" l="1"/>
  <c r="Z25" i="13" s="1"/>
  <c r="AA16" i="13"/>
  <c r="AA17" i="13" s="1"/>
  <c r="Y24" i="13"/>
  <c r="AA24" i="13" s="1"/>
  <c r="AA25" i="13" s="1"/>
  <c r="Y17" i="13"/>
  <c r="Y25" i="13" l="1"/>
  <c r="Z16" i="12"/>
  <c r="Y16" i="12"/>
  <c r="Z23" i="12"/>
  <c r="Y23" i="12"/>
  <c r="Z15" i="12"/>
  <c r="Y15" i="12"/>
  <c r="AA15" i="12"/>
  <c r="Y4" i="12"/>
  <c r="W52" i="12"/>
  <c r="V52" i="12"/>
  <c r="W51" i="12"/>
  <c r="V51" i="12"/>
  <c r="W50" i="12"/>
  <c r="V50" i="12"/>
  <c r="W49" i="12"/>
  <c r="V49" i="12"/>
  <c r="W48" i="12"/>
  <c r="V48" i="12"/>
  <c r="W47" i="12"/>
  <c r="V47" i="12"/>
  <c r="W46" i="12"/>
  <c r="V46" i="12"/>
  <c r="W45" i="12"/>
  <c r="V45" i="12"/>
  <c r="W44" i="12"/>
  <c r="V44" i="12"/>
  <c r="W43" i="12"/>
  <c r="V43" i="12"/>
  <c r="W42" i="12"/>
  <c r="V42" i="12"/>
  <c r="W41" i="12"/>
  <c r="V41" i="12"/>
  <c r="W40" i="12"/>
  <c r="V40" i="12"/>
  <c r="W39" i="12"/>
  <c r="V39" i="12"/>
  <c r="W38" i="12"/>
  <c r="V38" i="12"/>
  <c r="W37" i="12"/>
  <c r="V37" i="12"/>
  <c r="W36" i="12"/>
  <c r="V36" i="12"/>
  <c r="W35" i="12"/>
  <c r="V35" i="12"/>
  <c r="W34" i="12"/>
  <c r="V34" i="12"/>
  <c r="W33" i="12"/>
  <c r="V33" i="12"/>
  <c r="W32" i="12"/>
  <c r="V32" i="12"/>
  <c r="W31" i="12"/>
  <c r="V31" i="12"/>
  <c r="W30" i="12"/>
  <c r="V30" i="12"/>
  <c r="W29" i="12"/>
  <c r="V29" i="12"/>
  <c r="W28" i="12"/>
  <c r="V28" i="12"/>
  <c r="W27" i="12"/>
  <c r="V27" i="12"/>
  <c r="W26" i="12"/>
  <c r="V26" i="12"/>
  <c r="W25" i="12"/>
  <c r="V25" i="12"/>
  <c r="W24" i="12"/>
  <c r="V24" i="12"/>
  <c r="W23" i="12"/>
  <c r="V23" i="12"/>
  <c r="W22" i="12"/>
  <c r="V22" i="12"/>
  <c r="W21" i="12"/>
  <c r="V21" i="12"/>
  <c r="W20" i="12"/>
  <c r="V20" i="12"/>
  <c r="W19" i="12"/>
  <c r="V19" i="12"/>
  <c r="W18" i="12"/>
  <c r="V18" i="12"/>
  <c r="W17" i="12"/>
  <c r="V17" i="12"/>
  <c r="W16" i="12"/>
  <c r="V16" i="12"/>
  <c r="W15" i="12"/>
  <c r="V15" i="12"/>
  <c r="W14" i="12"/>
  <c r="V14" i="12"/>
  <c r="W13" i="12"/>
  <c r="V13" i="12"/>
  <c r="W12" i="12"/>
  <c r="V12" i="12"/>
  <c r="W11" i="12"/>
  <c r="V11" i="12"/>
  <c r="W10" i="12"/>
  <c r="V10" i="12"/>
  <c r="W9" i="12"/>
  <c r="V9" i="12"/>
  <c r="W8" i="12"/>
  <c r="V8" i="12"/>
  <c r="W7" i="12"/>
  <c r="V7" i="12"/>
  <c r="W6" i="12"/>
  <c r="V6" i="12"/>
  <c r="W5" i="12"/>
  <c r="V5" i="12"/>
  <c r="U3" i="12"/>
  <c r="T3" i="12"/>
  <c r="S3" i="12"/>
  <c r="R3" i="12"/>
  <c r="Q3" i="12"/>
  <c r="P3" i="12"/>
  <c r="O3" i="12"/>
  <c r="N3" i="12"/>
  <c r="M3" i="12"/>
  <c r="L3" i="12"/>
  <c r="K3" i="12"/>
  <c r="J3" i="12"/>
  <c r="I3" i="12"/>
  <c r="H3" i="12"/>
  <c r="G3" i="12"/>
  <c r="F3" i="12"/>
  <c r="E3" i="12"/>
  <c r="Y17" i="12" l="1"/>
  <c r="Z17" i="12"/>
  <c r="AA23" i="12"/>
  <c r="Y24" i="12" l="1"/>
  <c r="Y25" i="12" s="1"/>
  <c r="Z24" i="12"/>
  <c r="Z25" i="12" s="1"/>
  <c r="AA16" i="12"/>
  <c r="AA17" i="12" s="1"/>
  <c r="AA24" i="12" l="1"/>
  <c r="AA25" i="12" s="1"/>
  <c r="Z23" i="11" l="1"/>
  <c r="Y23" i="11"/>
  <c r="Z16" i="11"/>
  <c r="Y16" i="11"/>
  <c r="Y15" i="11"/>
  <c r="Z15" i="11"/>
  <c r="AA15" i="11"/>
  <c r="Y4" i="11"/>
  <c r="W55" i="11"/>
  <c r="V55" i="11"/>
  <c r="W54" i="11"/>
  <c r="V54" i="11"/>
  <c r="W53" i="11"/>
  <c r="V53" i="11"/>
  <c r="W52" i="11"/>
  <c r="V52" i="11"/>
  <c r="W51" i="11"/>
  <c r="V51" i="11"/>
  <c r="W50" i="11"/>
  <c r="V50" i="11"/>
  <c r="W49" i="11"/>
  <c r="V49" i="11"/>
  <c r="W48" i="11"/>
  <c r="V48" i="11"/>
  <c r="W47" i="11"/>
  <c r="V47" i="11"/>
  <c r="W46" i="11"/>
  <c r="V46" i="11"/>
  <c r="W45" i="11"/>
  <c r="V45" i="11"/>
  <c r="W44" i="11"/>
  <c r="V44" i="11"/>
  <c r="W43" i="11"/>
  <c r="V43" i="11"/>
  <c r="W42" i="11"/>
  <c r="V42" i="11"/>
  <c r="W41" i="11"/>
  <c r="V41" i="11"/>
  <c r="W40" i="11"/>
  <c r="V40" i="11"/>
  <c r="W39" i="11"/>
  <c r="V39" i="11"/>
  <c r="W38" i="11"/>
  <c r="V38" i="11"/>
  <c r="W37" i="11"/>
  <c r="V37" i="11"/>
  <c r="W36" i="11"/>
  <c r="V36" i="11"/>
  <c r="W35" i="11"/>
  <c r="V35" i="11"/>
  <c r="W34" i="11"/>
  <c r="V34" i="11"/>
  <c r="W33" i="11"/>
  <c r="V33" i="11"/>
  <c r="W32" i="11"/>
  <c r="V32" i="11"/>
  <c r="W31" i="11"/>
  <c r="V31" i="11"/>
  <c r="W30" i="11"/>
  <c r="V30" i="11"/>
  <c r="W29" i="11"/>
  <c r="V29" i="11"/>
  <c r="W28" i="11"/>
  <c r="V28" i="11"/>
  <c r="W27" i="11"/>
  <c r="V27" i="11"/>
  <c r="W26" i="11"/>
  <c r="V26" i="11"/>
  <c r="W25" i="11"/>
  <c r="V25" i="11"/>
  <c r="W24" i="11"/>
  <c r="V24" i="11"/>
  <c r="W23" i="11"/>
  <c r="V23" i="11"/>
  <c r="W22" i="11"/>
  <c r="V22" i="11"/>
  <c r="W21" i="11"/>
  <c r="V21" i="11"/>
  <c r="W20" i="11"/>
  <c r="V20" i="11"/>
  <c r="W19" i="11"/>
  <c r="V19" i="11"/>
  <c r="W18" i="11"/>
  <c r="V18" i="11"/>
  <c r="W17" i="11"/>
  <c r="V17" i="11"/>
  <c r="W16" i="11"/>
  <c r="V16" i="11"/>
  <c r="W15" i="11"/>
  <c r="V15" i="11"/>
  <c r="W14" i="11"/>
  <c r="V14" i="11"/>
  <c r="W13" i="11"/>
  <c r="V13" i="11"/>
  <c r="W12" i="11"/>
  <c r="V12" i="11"/>
  <c r="W11" i="11"/>
  <c r="V11" i="11"/>
  <c r="W10" i="11"/>
  <c r="V10" i="11"/>
  <c r="W9" i="11"/>
  <c r="V9" i="11"/>
  <c r="W8" i="11"/>
  <c r="V8" i="11"/>
  <c r="W7" i="11"/>
  <c r="V7" i="11"/>
  <c r="W6" i="11"/>
  <c r="V6" i="11"/>
  <c r="W5" i="11"/>
  <c r="V5" i="11"/>
  <c r="U3" i="11"/>
  <c r="T3" i="11"/>
  <c r="S3" i="11"/>
  <c r="R3" i="11"/>
  <c r="Q3" i="11"/>
  <c r="P3" i="11"/>
  <c r="O3" i="11"/>
  <c r="N3" i="11"/>
  <c r="M3" i="11"/>
  <c r="L3" i="11"/>
  <c r="K3" i="11"/>
  <c r="J3" i="11"/>
  <c r="I3" i="11"/>
  <c r="H3" i="11"/>
  <c r="G3" i="11"/>
  <c r="F3" i="11"/>
  <c r="E3" i="11"/>
  <c r="Y24" i="11" l="1"/>
  <c r="Y25" i="11" s="1"/>
  <c r="Y17" i="11"/>
  <c r="Z17" i="11"/>
  <c r="AA16" i="11"/>
  <c r="AA17" i="11" s="1"/>
  <c r="AA23" i="11"/>
  <c r="Z24" i="11" l="1"/>
  <c r="Z25" i="11" s="1"/>
  <c r="AA24" i="11"/>
  <c r="AA25" i="11" s="1"/>
  <c r="Z16" i="10" l="1"/>
  <c r="Y16" i="10"/>
  <c r="Z23" i="10"/>
  <c r="Y23" i="10"/>
  <c r="Z15" i="10"/>
  <c r="Y15" i="10"/>
  <c r="AA15" i="10"/>
  <c r="Y4" i="10"/>
  <c r="W52" i="10"/>
  <c r="V52" i="10"/>
  <c r="W51" i="10"/>
  <c r="V51" i="10"/>
  <c r="W50" i="10"/>
  <c r="V50" i="10"/>
  <c r="W49" i="10"/>
  <c r="V49" i="10"/>
  <c r="W48" i="10"/>
  <c r="V48" i="10"/>
  <c r="W47" i="10"/>
  <c r="V47" i="10"/>
  <c r="W46" i="10"/>
  <c r="V46" i="10"/>
  <c r="W45" i="10"/>
  <c r="V45" i="10"/>
  <c r="W44" i="10"/>
  <c r="V44" i="10"/>
  <c r="W43" i="10"/>
  <c r="V43" i="10"/>
  <c r="W42" i="10"/>
  <c r="V42" i="10"/>
  <c r="W41" i="10"/>
  <c r="V41" i="10"/>
  <c r="W40" i="10"/>
  <c r="V40" i="10"/>
  <c r="W39" i="10"/>
  <c r="V39" i="10"/>
  <c r="W38" i="10"/>
  <c r="V38" i="10"/>
  <c r="W37" i="10"/>
  <c r="V37" i="10"/>
  <c r="W36" i="10"/>
  <c r="V36" i="10"/>
  <c r="W35" i="10"/>
  <c r="V35" i="10"/>
  <c r="W34" i="10"/>
  <c r="V34" i="10"/>
  <c r="W33" i="10"/>
  <c r="V33" i="10"/>
  <c r="W32" i="10"/>
  <c r="V32" i="10"/>
  <c r="W31" i="10"/>
  <c r="V31" i="10"/>
  <c r="W30" i="10"/>
  <c r="V30" i="10"/>
  <c r="W29" i="10"/>
  <c r="V29" i="10"/>
  <c r="W28" i="10"/>
  <c r="V28" i="10"/>
  <c r="W27" i="10"/>
  <c r="V27" i="10"/>
  <c r="W26" i="10"/>
  <c r="V26" i="10"/>
  <c r="W25" i="10"/>
  <c r="V25" i="10"/>
  <c r="W24" i="10"/>
  <c r="V24" i="10"/>
  <c r="W23" i="10"/>
  <c r="V23" i="10"/>
  <c r="W22" i="10"/>
  <c r="V22" i="10"/>
  <c r="W21" i="10"/>
  <c r="V21" i="10"/>
  <c r="W20" i="10"/>
  <c r="V20" i="10"/>
  <c r="W19" i="10"/>
  <c r="V19" i="10"/>
  <c r="W18" i="10"/>
  <c r="V18" i="10"/>
  <c r="W17" i="10"/>
  <c r="V17" i="10"/>
  <c r="W16" i="10"/>
  <c r="V16" i="10"/>
  <c r="W15" i="10"/>
  <c r="V15" i="10"/>
  <c r="W14" i="10"/>
  <c r="V14" i="10"/>
  <c r="W13" i="10"/>
  <c r="V13" i="10"/>
  <c r="W12" i="10"/>
  <c r="V12" i="10"/>
  <c r="W11" i="10"/>
  <c r="V11" i="10"/>
  <c r="W10" i="10"/>
  <c r="V10" i="10"/>
  <c r="W9" i="10"/>
  <c r="V9" i="10"/>
  <c r="W8" i="10"/>
  <c r="V8" i="10"/>
  <c r="W7" i="10"/>
  <c r="V7" i="10"/>
  <c r="W6" i="10"/>
  <c r="V6" i="10"/>
  <c r="W5" i="10"/>
  <c r="V5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E3" i="10"/>
  <c r="Z17" i="10" l="1"/>
  <c r="AA23" i="10"/>
  <c r="Z24" i="10" l="1"/>
  <c r="Z25" i="10" s="1"/>
  <c r="AA16" i="10"/>
  <c r="AA17" i="10" s="1"/>
  <c r="Y24" i="10"/>
  <c r="AA24" i="10" s="1"/>
  <c r="AA25" i="10" s="1"/>
  <c r="Y17" i="10"/>
  <c r="Y25" i="10" l="1"/>
  <c r="Z16" i="2" l="1"/>
  <c r="Y16" i="2"/>
  <c r="Z23" i="2"/>
  <c r="Y23" i="2"/>
  <c r="Z15" i="2"/>
  <c r="Y15" i="2"/>
  <c r="Y4" i="2"/>
  <c r="Y23" i="8"/>
  <c r="Y15" i="8"/>
  <c r="Z23" i="8"/>
  <c r="AA15" i="8"/>
  <c r="Z15" i="8"/>
  <c r="Y4" i="8"/>
  <c r="Z23" i="9"/>
  <c r="Y23" i="9"/>
  <c r="Z15" i="9"/>
  <c r="Y15" i="9"/>
  <c r="AA15" i="2" l="1"/>
  <c r="AA23" i="2"/>
  <c r="AA23" i="8"/>
  <c r="AA15" i="9" l="1"/>
  <c r="Y4" i="9"/>
  <c r="W60" i="9"/>
  <c r="V60" i="9"/>
  <c r="W59" i="9"/>
  <c r="V59" i="9"/>
  <c r="W58" i="9"/>
  <c r="V58" i="9"/>
  <c r="W57" i="9"/>
  <c r="V57" i="9"/>
  <c r="W56" i="9"/>
  <c r="V56" i="9"/>
  <c r="W55" i="9"/>
  <c r="V55" i="9"/>
  <c r="W54" i="9"/>
  <c r="V54" i="9"/>
  <c r="W53" i="9"/>
  <c r="V53" i="9"/>
  <c r="W52" i="9"/>
  <c r="V52" i="9"/>
  <c r="W51" i="9"/>
  <c r="V51" i="9"/>
  <c r="W50" i="9"/>
  <c r="V50" i="9"/>
  <c r="W49" i="9"/>
  <c r="V49" i="9"/>
  <c r="W48" i="9"/>
  <c r="V48" i="9"/>
  <c r="W47" i="9"/>
  <c r="V47" i="9"/>
  <c r="W46" i="9"/>
  <c r="V46" i="9"/>
  <c r="W45" i="9"/>
  <c r="V45" i="9"/>
  <c r="W44" i="9"/>
  <c r="V44" i="9"/>
  <c r="W43" i="9"/>
  <c r="V43" i="9"/>
  <c r="W42" i="9"/>
  <c r="V42" i="9"/>
  <c r="W41" i="9"/>
  <c r="V41" i="9"/>
  <c r="W40" i="9"/>
  <c r="V40" i="9"/>
  <c r="W39" i="9"/>
  <c r="V39" i="9"/>
  <c r="W38" i="9"/>
  <c r="V38" i="9"/>
  <c r="W37" i="9"/>
  <c r="V37" i="9"/>
  <c r="W36" i="9"/>
  <c r="V36" i="9"/>
  <c r="W35" i="9"/>
  <c r="V35" i="9"/>
  <c r="W34" i="9"/>
  <c r="V34" i="9"/>
  <c r="W33" i="9"/>
  <c r="V33" i="9"/>
  <c r="W32" i="9"/>
  <c r="V32" i="9"/>
  <c r="W31" i="9"/>
  <c r="V31" i="9"/>
  <c r="W30" i="9"/>
  <c r="V30" i="9"/>
  <c r="W29" i="9"/>
  <c r="V29" i="9"/>
  <c r="W28" i="9"/>
  <c r="V28" i="9"/>
  <c r="W27" i="9"/>
  <c r="V27" i="9"/>
  <c r="W26" i="9"/>
  <c r="V26" i="9"/>
  <c r="W25" i="9"/>
  <c r="V25" i="9"/>
  <c r="W24" i="9"/>
  <c r="V24" i="9"/>
  <c r="W23" i="9"/>
  <c r="V23" i="9"/>
  <c r="W22" i="9"/>
  <c r="V22" i="9"/>
  <c r="W21" i="9"/>
  <c r="V21" i="9"/>
  <c r="W20" i="9"/>
  <c r="V20" i="9"/>
  <c r="W19" i="9"/>
  <c r="V19" i="9"/>
  <c r="W18" i="9"/>
  <c r="V18" i="9"/>
  <c r="W17" i="9"/>
  <c r="V17" i="9"/>
  <c r="W16" i="9"/>
  <c r="V16" i="9"/>
  <c r="W15" i="9"/>
  <c r="V15" i="9"/>
  <c r="W14" i="9"/>
  <c r="V14" i="9"/>
  <c r="W13" i="9"/>
  <c r="V13" i="9"/>
  <c r="W12" i="9"/>
  <c r="V12" i="9"/>
  <c r="W11" i="9"/>
  <c r="V11" i="9"/>
  <c r="W10" i="9"/>
  <c r="V10" i="9"/>
  <c r="W9" i="9"/>
  <c r="V9" i="9"/>
  <c r="W8" i="9"/>
  <c r="V8" i="9"/>
  <c r="W7" i="9"/>
  <c r="V7" i="9"/>
  <c r="W6" i="9"/>
  <c r="V6" i="9"/>
  <c r="W5" i="9"/>
  <c r="V5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Y17" i="9" l="1"/>
  <c r="Z16" i="9"/>
  <c r="Z17" i="9" s="1"/>
  <c r="AA16" i="9"/>
  <c r="AA17" i="9" s="1"/>
  <c r="Y24" i="9"/>
  <c r="Y25" i="9" s="1"/>
  <c r="AA23" i="9"/>
  <c r="Z24" i="9" l="1"/>
  <c r="Z25" i="9" s="1"/>
  <c r="AA24" i="9"/>
  <c r="AA25" i="9" s="1"/>
  <c r="W57" i="8" l="1"/>
  <c r="V57" i="8"/>
  <c r="W56" i="8"/>
  <c r="V56" i="8"/>
  <c r="W55" i="8"/>
  <c r="V55" i="8"/>
  <c r="W54" i="8"/>
  <c r="V54" i="8"/>
  <c r="W53" i="8"/>
  <c r="V53" i="8"/>
  <c r="W52" i="8"/>
  <c r="V52" i="8"/>
  <c r="W51" i="8"/>
  <c r="V51" i="8"/>
  <c r="W50" i="8"/>
  <c r="V50" i="8"/>
  <c r="W49" i="8"/>
  <c r="V49" i="8"/>
  <c r="W48" i="8"/>
  <c r="V48" i="8"/>
  <c r="W47" i="8"/>
  <c r="V47" i="8"/>
  <c r="W46" i="8"/>
  <c r="V46" i="8"/>
  <c r="W45" i="8"/>
  <c r="V45" i="8"/>
  <c r="W44" i="8"/>
  <c r="V44" i="8"/>
  <c r="W43" i="8"/>
  <c r="V43" i="8"/>
  <c r="W42" i="8"/>
  <c r="V42" i="8"/>
  <c r="W41" i="8"/>
  <c r="V41" i="8"/>
  <c r="W40" i="8"/>
  <c r="V40" i="8"/>
  <c r="W39" i="8"/>
  <c r="V39" i="8"/>
  <c r="W38" i="8"/>
  <c r="V38" i="8"/>
  <c r="W37" i="8"/>
  <c r="V37" i="8"/>
  <c r="W36" i="8"/>
  <c r="V36" i="8"/>
  <c r="W35" i="8"/>
  <c r="V35" i="8"/>
  <c r="W34" i="8"/>
  <c r="V34" i="8"/>
  <c r="W33" i="8"/>
  <c r="V33" i="8"/>
  <c r="W32" i="8"/>
  <c r="V32" i="8"/>
  <c r="W31" i="8"/>
  <c r="V31" i="8"/>
  <c r="W30" i="8"/>
  <c r="V30" i="8"/>
  <c r="W29" i="8"/>
  <c r="V29" i="8"/>
  <c r="W28" i="8"/>
  <c r="V28" i="8"/>
  <c r="W27" i="8"/>
  <c r="V27" i="8"/>
  <c r="W26" i="8"/>
  <c r="V26" i="8"/>
  <c r="W25" i="8"/>
  <c r="V25" i="8"/>
  <c r="W24" i="8"/>
  <c r="V24" i="8"/>
  <c r="W23" i="8"/>
  <c r="V23" i="8"/>
  <c r="W22" i="8"/>
  <c r="V22" i="8"/>
  <c r="W21" i="8"/>
  <c r="V21" i="8"/>
  <c r="W20" i="8"/>
  <c r="V20" i="8"/>
  <c r="W19" i="8"/>
  <c r="V19" i="8"/>
  <c r="W18" i="8"/>
  <c r="V18" i="8"/>
  <c r="W17" i="8"/>
  <c r="V17" i="8"/>
  <c r="W16" i="8"/>
  <c r="V16" i="8"/>
  <c r="W15" i="8"/>
  <c r="V15" i="8"/>
  <c r="W14" i="8"/>
  <c r="V14" i="8"/>
  <c r="W13" i="8"/>
  <c r="V13" i="8"/>
  <c r="W12" i="8"/>
  <c r="V12" i="8"/>
  <c r="W11" i="8"/>
  <c r="V11" i="8"/>
  <c r="W10" i="8"/>
  <c r="V10" i="8"/>
  <c r="W9" i="8"/>
  <c r="V9" i="8"/>
  <c r="W8" i="8"/>
  <c r="V8" i="8"/>
  <c r="W7" i="8"/>
  <c r="V7" i="8"/>
  <c r="W6" i="8"/>
  <c r="V6" i="8"/>
  <c r="W5" i="8"/>
  <c r="V5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E3" i="8"/>
  <c r="Y16" i="8" l="1"/>
  <c r="Z16" i="8"/>
  <c r="V40" i="2"/>
  <c r="W40" i="2"/>
  <c r="V41" i="2"/>
  <c r="W41" i="2"/>
  <c r="V42" i="2"/>
  <c r="W42" i="2"/>
  <c r="V43" i="2"/>
  <c r="W43" i="2"/>
  <c r="V44" i="2"/>
  <c r="W44" i="2"/>
  <c r="V45" i="2"/>
  <c r="W45" i="2"/>
  <c r="AA16" i="8" l="1"/>
  <c r="AA17" i="8" s="1"/>
  <c r="Y17" i="8"/>
  <c r="Y24" i="8"/>
  <c r="Z17" i="8"/>
  <c r="Z24" i="8"/>
  <c r="Z25" i="8" s="1"/>
  <c r="W39" i="2"/>
  <c r="V39" i="2"/>
  <c r="W38" i="2"/>
  <c r="V38" i="2"/>
  <c r="W37" i="2"/>
  <c r="V37" i="2"/>
  <c r="W36" i="2"/>
  <c r="V36" i="2"/>
  <c r="W35" i="2"/>
  <c r="V35" i="2"/>
  <c r="W34" i="2"/>
  <c r="V34" i="2"/>
  <c r="W33" i="2"/>
  <c r="V33" i="2"/>
  <c r="W32" i="2"/>
  <c r="V32" i="2"/>
  <c r="W31" i="2"/>
  <c r="V31" i="2"/>
  <c r="W30" i="2"/>
  <c r="V30" i="2"/>
  <c r="W29" i="2"/>
  <c r="V29" i="2"/>
  <c r="W28" i="2"/>
  <c r="V28" i="2"/>
  <c r="W27" i="2"/>
  <c r="V27" i="2"/>
  <c r="W26" i="2"/>
  <c r="V26" i="2"/>
  <c r="W25" i="2"/>
  <c r="V25" i="2"/>
  <c r="W24" i="2"/>
  <c r="V24" i="2"/>
  <c r="W23" i="2"/>
  <c r="V23" i="2"/>
  <c r="W22" i="2"/>
  <c r="V22" i="2"/>
  <c r="W21" i="2"/>
  <c r="V21" i="2"/>
  <c r="W20" i="2"/>
  <c r="V20" i="2"/>
  <c r="W19" i="2"/>
  <c r="V19" i="2"/>
  <c r="W18" i="2"/>
  <c r="V18" i="2"/>
  <c r="W17" i="2"/>
  <c r="V17" i="2"/>
  <c r="W16" i="2"/>
  <c r="V16" i="2"/>
  <c r="W15" i="2"/>
  <c r="V15" i="2"/>
  <c r="W14" i="2"/>
  <c r="V14" i="2"/>
  <c r="W13" i="2"/>
  <c r="V13" i="2"/>
  <c r="W12" i="2"/>
  <c r="V12" i="2"/>
  <c r="W11" i="2"/>
  <c r="V11" i="2"/>
  <c r="W10" i="2"/>
  <c r="V10" i="2"/>
  <c r="W9" i="2"/>
  <c r="V9" i="2"/>
  <c r="W8" i="2"/>
  <c r="V8" i="2"/>
  <c r="W7" i="2"/>
  <c r="V7" i="2"/>
  <c r="W6" i="2"/>
  <c r="V6" i="2"/>
  <c r="W5" i="2"/>
  <c r="V5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Y24" i="2" l="1"/>
  <c r="AA16" i="2"/>
  <c r="AA17" i="2" s="1"/>
  <c r="Y17" i="2"/>
  <c r="AA24" i="8"/>
  <c r="AA25" i="8" s="1"/>
  <c r="Y25" i="8"/>
  <c r="Z24" i="2" l="1"/>
  <c r="Z25" i="2" s="1"/>
  <c r="Z17" i="2"/>
  <c r="Y25" i="2"/>
  <c r="AA24" i="2" l="1"/>
  <c r="AA25" i="2" s="1"/>
</calcChain>
</file>

<file path=xl/sharedStrings.xml><?xml version="1.0" encoding="utf-8"?>
<sst xmlns="http://schemas.openxmlformats.org/spreadsheetml/2006/main" count="7552" uniqueCount="795">
  <si>
    <t>S.No</t>
  </si>
  <si>
    <t>Student Name</t>
  </si>
  <si>
    <t>Father Name</t>
  </si>
  <si>
    <t>Class</t>
  </si>
  <si>
    <t>Present</t>
  </si>
  <si>
    <t>Absent</t>
  </si>
  <si>
    <t>ECE</t>
  </si>
  <si>
    <t>Working days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</si>
  <si>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</si>
  <si>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</si>
  <si>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</si>
  <si>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</si>
  <si>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</si>
  <si>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</si>
  <si>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</si>
  <si>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</si>
  <si>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</si>
  <si>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</si>
  <si>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Monthly Attendence Month of August-2024</t>
  </si>
  <si>
    <t>Goverment high school (SJCHS)</t>
  </si>
  <si>
    <t>Eman</t>
  </si>
  <si>
    <t>Shahnawaz Khan</t>
  </si>
  <si>
    <t>Rehan Ali</t>
  </si>
  <si>
    <t>Abdul Rehman</t>
  </si>
  <si>
    <t>Dilkash</t>
  </si>
  <si>
    <t>Faraz Hussain</t>
  </si>
  <si>
    <t>Masooma</t>
  </si>
  <si>
    <t>Faiq Ali</t>
  </si>
  <si>
    <t>Ali</t>
  </si>
  <si>
    <t>Saddam Hussain</t>
  </si>
  <si>
    <t>Hafsa Batool</t>
  </si>
  <si>
    <t>Gul Mohammad Chandio</t>
  </si>
  <si>
    <t>Mohammad Aliyan</t>
  </si>
  <si>
    <t>Shabir Ahmed Bhutto</t>
  </si>
  <si>
    <t>Hoor Fatima</t>
  </si>
  <si>
    <t>Shahid Ali</t>
  </si>
  <si>
    <t>Muhammad Sahil</t>
  </si>
  <si>
    <t>Irshad Ali</t>
  </si>
  <si>
    <t>Kinza</t>
  </si>
  <si>
    <t>Aijaz Ali</t>
  </si>
  <si>
    <t>Zaryab Sultan</t>
  </si>
  <si>
    <t>Muhammad Zaman</t>
  </si>
  <si>
    <t>M. Ibrahim</t>
  </si>
  <si>
    <t>Fayaz Ali Ansari</t>
  </si>
  <si>
    <t>Fatima Ansari</t>
  </si>
  <si>
    <t>Ayaz Ali Ansari</t>
  </si>
  <si>
    <t>Zil-e-Huma</t>
  </si>
  <si>
    <t>Abdul Qayoom</t>
  </si>
  <si>
    <t>Ayat Fatima</t>
  </si>
  <si>
    <t>Imran Hussain</t>
  </si>
  <si>
    <t>Aqsa</t>
  </si>
  <si>
    <t>Ahsan Ali</t>
  </si>
  <si>
    <t>Muhammad Fawad</t>
  </si>
  <si>
    <t>Waseem Ahmed Channa</t>
  </si>
  <si>
    <t>Muhammad Haris</t>
  </si>
  <si>
    <t>M. Shareef Niyazi</t>
  </si>
  <si>
    <t>Muhammad Ayan</t>
  </si>
  <si>
    <t>Abdul Ghaffar</t>
  </si>
  <si>
    <t>Danish</t>
  </si>
  <si>
    <t>Ayaz Ali</t>
  </si>
  <si>
    <t>Mujahid Ali</t>
  </si>
  <si>
    <t>Sajjad Ali</t>
  </si>
  <si>
    <t>Zawar Ali</t>
  </si>
  <si>
    <t>Kamran Ali</t>
  </si>
  <si>
    <t>Muhammad Rayyan</t>
  </si>
  <si>
    <t>Ghulam Murtaza</t>
  </si>
  <si>
    <t>Safa</t>
  </si>
  <si>
    <t>Dil Murad</t>
  </si>
  <si>
    <t>Hifza</t>
  </si>
  <si>
    <t>Zakir Ali</t>
  </si>
  <si>
    <t>Zameeran</t>
  </si>
  <si>
    <t>Babar Ali</t>
  </si>
  <si>
    <t>Parwisha</t>
  </si>
  <si>
    <t>Sarfaraz Ahmed</t>
  </si>
  <si>
    <t>Muhammad Ahad</t>
  </si>
  <si>
    <t>Khalid Hussain Abbasi</t>
  </si>
  <si>
    <t>Aiza</t>
  </si>
  <si>
    <t>Irshad-Ul-Haq</t>
  </si>
  <si>
    <t>Shazia</t>
  </si>
  <si>
    <t>Rashid Ali</t>
  </si>
  <si>
    <t>M. Ayan</t>
  </si>
  <si>
    <t>Sanaullah Qureshi</t>
  </si>
  <si>
    <t>Ume Farwa</t>
  </si>
  <si>
    <t>Meer Ameer-u-Din</t>
  </si>
  <si>
    <t>Mohsin Ali</t>
  </si>
  <si>
    <t>Muhammad Hamza</t>
  </si>
  <si>
    <t>M. Awais</t>
  </si>
  <si>
    <t>Mehboob Ali</t>
  </si>
  <si>
    <t>M. Raheel</t>
  </si>
  <si>
    <t>Fiza</t>
  </si>
  <si>
    <t>Ahmed</t>
  </si>
  <si>
    <t>Amanullah</t>
  </si>
  <si>
    <t>Sajid Ahmed</t>
  </si>
  <si>
    <t>Ahmed Ali</t>
  </si>
  <si>
    <t>Asghar Ali</t>
  </si>
  <si>
    <t>M. Qasim</t>
  </si>
  <si>
    <t>Abdul Hameed</t>
  </si>
  <si>
    <t>Eshaal</t>
  </si>
  <si>
    <t>Shahbaz Ali</t>
  </si>
  <si>
    <t>Muhammad Ibrahim</t>
  </si>
  <si>
    <t>M. Fahad</t>
  </si>
  <si>
    <t>Rija Batool</t>
  </si>
  <si>
    <t>Ghulam Mehdi</t>
  </si>
  <si>
    <t>A</t>
  </si>
  <si>
    <t>P</t>
  </si>
  <si>
    <t>OFF DUE TO CHEHLUM OF HAZRAT IMAM HUSSAIN (A.S)</t>
  </si>
  <si>
    <t>OFF DUE TO HEAVY RAIN - OFF DUE TO HEAVY RAIN</t>
  </si>
  <si>
    <t>L</t>
  </si>
  <si>
    <t>SUNDAY - SUNDAY - SUNDAY - SUNDAY - SUNDAY</t>
  </si>
  <si>
    <t>Abdullah</t>
  </si>
  <si>
    <t>Jameel Hussain</t>
  </si>
  <si>
    <t>Zulfiqar Ali</t>
  </si>
  <si>
    <t>-</t>
  </si>
  <si>
    <t>SUNDAY - SUNDAY - SUNDAY - SUNDAY - SUNDAY - SUNDAY</t>
  </si>
  <si>
    <t>Alishba Batool</t>
  </si>
  <si>
    <t>Irfan Ali</t>
  </si>
  <si>
    <t>LATIF DAY - LATIF DAY - LATIF DAY - LATIF DAY - LATIF DAY</t>
  </si>
  <si>
    <t>MANGO DAY - MANGO DAY - MANGO DAY - MANGO DAY - MANGO DAY</t>
  </si>
  <si>
    <t>Amna</t>
  </si>
  <si>
    <t>Imtiaz Hussain</t>
  </si>
  <si>
    <t>Aniza Memon</t>
  </si>
  <si>
    <t>Areeba</t>
  </si>
  <si>
    <t>Altaf Hussain</t>
  </si>
  <si>
    <t>Batool</t>
  </si>
  <si>
    <t>Amjad Ali</t>
  </si>
  <si>
    <t>Dua</t>
  </si>
  <si>
    <t>Khalid Hussain</t>
  </si>
  <si>
    <t>Faiza</t>
  </si>
  <si>
    <t>Liaqat Ali</t>
  </si>
  <si>
    <t>Fatima</t>
  </si>
  <si>
    <t>Aziz-ur-Rehman</t>
  </si>
  <si>
    <t>Hafsa</t>
  </si>
  <si>
    <t>Hafeezullah</t>
  </si>
  <si>
    <t>Insha Arzoo</t>
  </si>
  <si>
    <t>Meeral</t>
  </si>
  <si>
    <t>Kauser Fatima</t>
  </si>
  <si>
    <t>Amir Jamil</t>
  </si>
  <si>
    <t>Mehrunisa</t>
  </si>
  <si>
    <t>Mirha</t>
  </si>
  <si>
    <t>M. Luqman</t>
  </si>
  <si>
    <t>Misbah Bhutto</t>
  </si>
  <si>
    <t>M. Azeem</t>
  </si>
  <si>
    <t>Rimsha</t>
  </si>
  <si>
    <t>Meer Ameer-ud-Din</t>
  </si>
  <si>
    <t>Sidra</t>
  </si>
  <si>
    <t>Sidra Batool</t>
  </si>
  <si>
    <t>M. Khan</t>
  </si>
  <si>
    <t>Taniya Bibi</t>
  </si>
  <si>
    <t>Wazir Ali</t>
  </si>
  <si>
    <t>Tanzeela</t>
  </si>
  <si>
    <t>Hizbullah</t>
  </si>
  <si>
    <t>Tayaba Fatima</t>
  </si>
  <si>
    <t>Waseem Ahmed</t>
  </si>
  <si>
    <t>Tooba Noor</t>
  </si>
  <si>
    <t>M. Shareef</t>
  </si>
  <si>
    <t>Umm-e-Kulsoom</t>
  </si>
  <si>
    <t>Shah Ali</t>
  </si>
  <si>
    <t>Zunaira</t>
  </si>
  <si>
    <t>Sahib Khatoon</t>
  </si>
  <si>
    <t>A. Qayoom</t>
  </si>
  <si>
    <t>Abrar</t>
  </si>
  <si>
    <t>Jan Muhammad</t>
  </si>
  <si>
    <t>Azan Shafeeque</t>
  </si>
  <si>
    <t>M. Shafeeque</t>
  </si>
  <si>
    <t>Azan Fayaz</t>
  </si>
  <si>
    <t>Fayaz Hussain</t>
  </si>
  <si>
    <t>Adil Ahmed</t>
  </si>
  <si>
    <t>Faiz Muhammad</t>
  </si>
  <si>
    <t>Ab. Qudoos</t>
  </si>
  <si>
    <t>Sikandar</t>
  </si>
  <si>
    <t>Ab. Rehman</t>
  </si>
  <si>
    <t>M. Aslam</t>
  </si>
  <si>
    <t>Ahmed Zia</t>
  </si>
  <si>
    <t>Zia Buksh</t>
  </si>
  <si>
    <t>Arham</t>
  </si>
  <si>
    <t>Mujtaba Ahmed</t>
  </si>
  <si>
    <t>Qasim Memon</t>
  </si>
  <si>
    <t>Amar Farooque</t>
  </si>
  <si>
    <t>M. Farooque</t>
  </si>
  <si>
    <t>Ashfaque</t>
  </si>
  <si>
    <t>M. Zubair</t>
  </si>
  <si>
    <t>Fahad</t>
  </si>
  <si>
    <t>M. Maroof</t>
  </si>
  <si>
    <t>Hussain</t>
  </si>
  <si>
    <t>Hassan Naveed</t>
  </si>
  <si>
    <t>Naveed Siddique</t>
  </si>
  <si>
    <t>Hassnain Naeem</t>
  </si>
  <si>
    <t>Naeem Ali</t>
  </si>
  <si>
    <t>Hassnain Sadam</t>
  </si>
  <si>
    <t>Sadam Hussain</t>
  </si>
  <si>
    <t>Muhammad</t>
  </si>
  <si>
    <t>Sher Dil</t>
  </si>
  <si>
    <t>M. Ameen</t>
  </si>
  <si>
    <t>Ab. Hafeez</t>
  </si>
  <si>
    <t>M. Ahas</t>
  </si>
  <si>
    <t>Aman Badshah</t>
  </si>
  <si>
    <t>M. Bilal</t>
  </si>
  <si>
    <t>Sadaquat</t>
  </si>
  <si>
    <t>Hussain Zahid</t>
  </si>
  <si>
    <t>Shahid</t>
  </si>
  <si>
    <t>Shaheer Ahmed</t>
  </si>
  <si>
    <t>Ahmed Rizwan</t>
  </si>
  <si>
    <t>Shahzain</t>
  </si>
  <si>
    <t>Saqlain Haider</t>
  </si>
  <si>
    <t>Dilber</t>
  </si>
  <si>
    <t>Shahzaman</t>
  </si>
  <si>
    <t>Taha</t>
  </si>
  <si>
    <t>Shabir Ahmed</t>
  </si>
  <si>
    <t>Ammadullah</t>
  </si>
  <si>
    <t>M Fahad</t>
  </si>
  <si>
    <t>Year 2024</t>
  </si>
  <si>
    <t>Anum</t>
  </si>
  <si>
    <t>M. Arif</t>
  </si>
  <si>
    <t>One</t>
  </si>
  <si>
    <t>(URS) SHAH ABDUL LATIF BHITAI (URS)</t>
  </si>
  <si>
    <t>MANGO DAY (ACTIVITY) - MANGO DAY (ACTIVITY)</t>
  </si>
  <si>
    <t>CHEHLUM - CHEHLUM - CHEHLUM - CHEHLUM - CHEHLUM</t>
  </si>
  <si>
    <t>Ayat</t>
  </si>
  <si>
    <t>Meer Mohammad</t>
  </si>
  <si>
    <t>Saeed Ahmed</t>
  </si>
  <si>
    <t>Adeeba</t>
  </si>
  <si>
    <t>Qurban Ali</t>
  </si>
  <si>
    <t>Emaan Noor</t>
  </si>
  <si>
    <t>Noor Mohammad</t>
  </si>
  <si>
    <t>Horain</t>
  </si>
  <si>
    <t>Hannah</t>
  </si>
  <si>
    <t>Luqman Ali</t>
  </si>
  <si>
    <t>Horiya</t>
  </si>
  <si>
    <t>Siddique</t>
  </si>
  <si>
    <t>Hareem Fatima</t>
  </si>
  <si>
    <t>Deedar Ali</t>
  </si>
  <si>
    <t>Maham Noor</t>
  </si>
  <si>
    <t>Zaheer Abbas</t>
  </si>
  <si>
    <t>Maria</t>
  </si>
  <si>
    <t>Mehreen</t>
  </si>
  <si>
    <t>Mahira</t>
  </si>
  <si>
    <t>Arbab Ali</t>
  </si>
  <si>
    <t>Meerab</t>
  </si>
  <si>
    <t>Yasir Ahmed</t>
  </si>
  <si>
    <t>Qudsia Zehra</t>
  </si>
  <si>
    <t>Awaheed Ali</t>
  </si>
  <si>
    <t>Paras</t>
  </si>
  <si>
    <t>Sadam</t>
  </si>
  <si>
    <t>Thamna Batool</t>
  </si>
  <si>
    <t>Shehzad</t>
  </si>
  <si>
    <t>Tamana Fatima</t>
  </si>
  <si>
    <t>Zaiba Bakhtawar</t>
  </si>
  <si>
    <t>Hameed</t>
  </si>
  <si>
    <t>Zainab</t>
  </si>
  <si>
    <t>A. Aziz</t>
  </si>
  <si>
    <t>Zulfiqar</t>
  </si>
  <si>
    <t>Waniya</t>
  </si>
  <si>
    <t>Asad Ali</t>
  </si>
  <si>
    <t>Haram</t>
  </si>
  <si>
    <t>Moien Khan</t>
  </si>
  <si>
    <t>Ayesha</t>
  </si>
  <si>
    <t>A. Latif</t>
  </si>
  <si>
    <t>Arsalan</t>
  </si>
  <si>
    <t>Faheem</t>
  </si>
  <si>
    <t>A. Nawaz</t>
  </si>
  <si>
    <t>M. Nawaz</t>
  </si>
  <si>
    <t>A. Malik</t>
  </si>
  <si>
    <t>Sohail</t>
  </si>
  <si>
    <t>Imtiaz</t>
  </si>
  <si>
    <t>Aqeel</t>
  </si>
  <si>
    <t>A. Ghaffar</t>
  </si>
  <si>
    <t>A. Wasay</t>
  </si>
  <si>
    <t>Aslam</t>
  </si>
  <si>
    <t>A. Qadir</t>
  </si>
  <si>
    <t>A. Hammad</t>
  </si>
  <si>
    <t>Akbar Ali</t>
  </si>
  <si>
    <t>A. Nafay</t>
  </si>
  <si>
    <t>Irshad ul Haq</t>
  </si>
  <si>
    <t>Hasaan</t>
  </si>
  <si>
    <t>Manzoor</t>
  </si>
  <si>
    <t>Hammad</t>
  </si>
  <si>
    <t>Rehmatullah</t>
  </si>
  <si>
    <t>A. Bakar</t>
  </si>
  <si>
    <t>Haseeb</t>
  </si>
  <si>
    <t>Saeed</t>
  </si>
  <si>
    <t>Ismail</t>
  </si>
  <si>
    <t>M. Raheem</t>
  </si>
  <si>
    <t>M. Salar</t>
  </si>
  <si>
    <t>M. Umer</t>
  </si>
  <si>
    <t>M. Mashab</t>
  </si>
  <si>
    <t>Hafizullah</t>
  </si>
  <si>
    <t>M. Salman</t>
  </si>
  <si>
    <t>Waheed</t>
  </si>
  <si>
    <t>M. Mairaj</t>
  </si>
  <si>
    <t>Sajad</t>
  </si>
  <si>
    <t>M. Talha</t>
  </si>
  <si>
    <t>Umair</t>
  </si>
  <si>
    <t>M. Mudasir</t>
  </si>
  <si>
    <t>Hisbullah</t>
  </si>
  <si>
    <t>M. Mubashir</t>
  </si>
  <si>
    <t>Meer Ameer</t>
  </si>
  <si>
    <t>Muzzamil</t>
  </si>
  <si>
    <t>Mehboob</t>
  </si>
  <si>
    <t>Muzammil</t>
  </si>
  <si>
    <t>Rana Bhutto</t>
  </si>
  <si>
    <t>M. Taha</t>
  </si>
  <si>
    <t>Maqsood Ahmed</t>
  </si>
  <si>
    <t>M. Azaan</t>
  </si>
  <si>
    <t>Akhtiar</t>
  </si>
  <si>
    <t>Tanzaib Ali</t>
  </si>
  <si>
    <t>Umer</t>
  </si>
  <si>
    <t>Amaan</t>
  </si>
  <si>
    <t>Imran</t>
  </si>
  <si>
    <t>Zain Ali</t>
  </si>
  <si>
    <t>Altaf</t>
  </si>
  <si>
    <t>URS</t>
  </si>
  <si>
    <t>Chehlum</t>
  </si>
  <si>
    <t>OFF Due to Heavy Rain</t>
  </si>
  <si>
    <t>Summer Vications</t>
  </si>
  <si>
    <t>Mango Day</t>
  </si>
  <si>
    <t>Total days</t>
  </si>
  <si>
    <t>Absent Days Details</t>
  </si>
  <si>
    <t>SUNDAY - SUNDAY - SUNDAY - SUNDAY</t>
  </si>
  <si>
    <t>LATIF DAY - LATIF DAY - LATIF DAY</t>
  </si>
  <si>
    <t xml:space="preserve">OFF DUE TO HEAVY RAIN </t>
  </si>
  <si>
    <t>OFF DUE TO CHEHLUM - OFF DUE TO CHEHLUM</t>
  </si>
  <si>
    <t>Goverment High School (SJCHS)</t>
  </si>
  <si>
    <t>Abiha Zehra</t>
  </si>
  <si>
    <t>Ab. Mateen</t>
  </si>
  <si>
    <t>Two</t>
  </si>
  <si>
    <t>SHAH ABDUL LATIF DAY - SHAH ABDUL LATIF DAY</t>
  </si>
  <si>
    <t>CHEHLUM - CHEHLUM - CHEHLUM - CHEHLUM</t>
  </si>
  <si>
    <t>OFF DUE TO RAIN - OFF DUE TO RAIN</t>
  </si>
  <si>
    <t>Aleena Zia</t>
  </si>
  <si>
    <t>Khuda Baksh</t>
  </si>
  <si>
    <t>Anumta Jamali</t>
  </si>
  <si>
    <t>Anusha</t>
  </si>
  <si>
    <t>Mukhtiyar Ali</t>
  </si>
  <si>
    <t>Ali Muhammad</t>
  </si>
  <si>
    <t>Jannat Fatima</t>
  </si>
  <si>
    <t>Kashaf</t>
  </si>
  <si>
    <t>Muneeza</t>
  </si>
  <si>
    <t>Mir Amirudin</t>
  </si>
  <si>
    <t>Nayyara</t>
  </si>
  <si>
    <t>Rashida</t>
  </si>
  <si>
    <t>Sajjad Ahmed</t>
  </si>
  <si>
    <t>Rubab Zahra</t>
  </si>
  <si>
    <t>Abdul Aziz</t>
  </si>
  <si>
    <t>Saba Jamali</t>
  </si>
  <si>
    <t>Sajid Ali</t>
  </si>
  <si>
    <t>Tahreem Fatima</t>
  </si>
  <si>
    <t>Sehar Fatima</t>
  </si>
  <si>
    <t>Taskeen</t>
  </si>
  <si>
    <t>Kashish</t>
  </si>
  <si>
    <t>M. Noman</t>
  </si>
  <si>
    <t>Saba</t>
  </si>
  <si>
    <t>Asif</t>
  </si>
  <si>
    <t>Abdul Musawir</t>
  </si>
  <si>
    <t>M. Ismail</t>
  </si>
  <si>
    <t>Abdul Wahab</t>
  </si>
  <si>
    <t>Abdul Hafeez</t>
  </si>
  <si>
    <t>Riazuddin</t>
  </si>
  <si>
    <t>Ali Shanawar</t>
  </si>
  <si>
    <t>Mukhtiyar</t>
  </si>
  <si>
    <t>Faizan</t>
  </si>
  <si>
    <t>Lutfullah</t>
  </si>
  <si>
    <t>Fayaz</t>
  </si>
  <si>
    <t>Samano Khan</t>
  </si>
  <si>
    <t>Ghulam Abbas</t>
  </si>
  <si>
    <t>Rizwan</t>
  </si>
  <si>
    <t>Hammad Ali</t>
  </si>
  <si>
    <t>Haris</t>
  </si>
  <si>
    <t>M. Arsalan</t>
  </si>
  <si>
    <t>Shahbaz Ahmed</t>
  </si>
  <si>
    <t>Mohammad Ali</t>
  </si>
  <si>
    <t>Mehar Ali</t>
  </si>
  <si>
    <t>Faiz Mohammad</t>
  </si>
  <si>
    <t>Mohammad Ayan</t>
  </si>
  <si>
    <t>Mohammad Nawaz</t>
  </si>
  <si>
    <t>Ali Nawaz</t>
  </si>
  <si>
    <t>Mohammad Rafay</t>
  </si>
  <si>
    <t>Mohammad Waseem</t>
  </si>
  <si>
    <t>Mohammad Azeem</t>
  </si>
  <si>
    <t>.</t>
  </si>
  <si>
    <t>Mohammad Shayan</t>
  </si>
  <si>
    <t>Mohammad Shareef</t>
  </si>
  <si>
    <t>Mukkaram Ali</t>
  </si>
  <si>
    <t>Masood Ali</t>
  </si>
  <si>
    <t>Munir Ahmed</t>
  </si>
  <si>
    <t>Riaz Hussain</t>
  </si>
  <si>
    <t>Irfan Hussain</t>
  </si>
  <si>
    <t>Samiullah</t>
  </si>
  <si>
    <t>Zain</t>
  </si>
  <si>
    <t>Zahid Ali</t>
  </si>
  <si>
    <t>Burair Abbas</t>
  </si>
  <si>
    <t>Azhar Abbas</t>
  </si>
  <si>
    <t>Anjuman</t>
  </si>
  <si>
    <t>Ab. Ghaffar</t>
  </si>
  <si>
    <t>Three</t>
  </si>
  <si>
    <t>(URS) SHAH ABDUL LATIF BHITTAI (URS)</t>
  </si>
  <si>
    <t>Ayeza</t>
  </si>
  <si>
    <t>M. Ameen Solangi</t>
  </si>
  <si>
    <t>Dua Batool</t>
  </si>
  <si>
    <t>Muneer Ahmed Tahiri</t>
  </si>
  <si>
    <t>Hamid Ali Siyal</t>
  </si>
  <si>
    <t>Hadeeqa</t>
  </si>
  <si>
    <t>Haji Malah</t>
  </si>
  <si>
    <t>Hajul</t>
  </si>
  <si>
    <t>Manzoor Ahmed Memon</t>
  </si>
  <si>
    <t>Hafsa Jamali</t>
  </si>
  <si>
    <t>Insha</t>
  </si>
  <si>
    <t>Fazal Mohammad</t>
  </si>
  <si>
    <t>Shahid Hussain</t>
  </si>
  <si>
    <t>Maryam</t>
  </si>
  <si>
    <t>Noor-E-Sahar</t>
  </si>
  <si>
    <t>Mir Ameerudin</t>
  </si>
  <si>
    <t>Sehrish Ali</t>
  </si>
  <si>
    <t>Shafia</t>
  </si>
  <si>
    <t>Meer Muhammad</t>
  </si>
  <si>
    <t>Sawebia</t>
  </si>
  <si>
    <t>Sughra</t>
  </si>
  <si>
    <t>Suhrab Ali</t>
  </si>
  <si>
    <t>Tashfeen</t>
  </si>
  <si>
    <t>M. Idrees</t>
  </si>
  <si>
    <t>Tasmiya</t>
  </si>
  <si>
    <t>Shehbaz Ahmed</t>
  </si>
  <si>
    <t>Tayyaba</t>
  </si>
  <si>
    <t>M. Farooque Sarki</t>
  </si>
  <si>
    <t>Hooriya</t>
  </si>
  <si>
    <t>Zainab Batool</t>
  </si>
  <si>
    <t>Rida-E-Zainab</t>
  </si>
  <si>
    <t>Faraz Hyder</t>
  </si>
  <si>
    <t>Bushra</t>
  </si>
  <si>
    <t>Ubaidullah</t>
  </si>
  <si>
    <t>Abdul Qudoos</t>
  </si>
  <si>
    <t>Waheed Ahmed</t>
  </si>
  <si>
    <t>Abbas Ali</t>
  </si>
  <si>
    <t>Abdul Rafay</t>
  </si>
  <si>
    <t>Noor Ul Haq</t>
  </si>
  <si>
    <t>Abdul Rahim</t>
  </si>
  <si>
    <t>Munawar Ali</t>
  </si>
  <si>
    <t>Ali Haider</t>
  </si>
  <si>
    <t>Akber Ali</t>
  </si>
  <si>
    <t>Aqib Ali</t>
  </si>
  <si>
    <t>Ali Ejaz</t>
  </si>
  <si>
    <t>Azan</t>
  </si>
  <si>
    <t>Nisar Ahmed</t>
  </si>
  <si>
    <t>Faizan Ahmed</t>
  </si>
  <si>
    <t>Riaz Ahmed</t>
  </si>
  <si>
    <t>Haider Ali</t>
  </si>
  <si>
    <t>Imran Ali</t>
  </si>
  <si>
    <t>M. Shayan</t>
  </si>
  <si>
    <t>Meer Alam</t>
  </si>
  <si>
    <t>M. Ahsan</t>
  </si>
  <si>
    <t>M. Yasin</t>
  </si>
  <si>
    <t>Shah Nawaz Khan</t>
  </si>
  <si>
    <t>M. Zawiyar</t>
  </si>
  <si>
    <t>Zulfiqar Ali Mangi</t>
  </si>
  <si>
    <t>Muneer Ahmed</t>
  </si>
  <si>
    <t>Ghous Bux</t>
  </si>
  <si>
    <t>Shah Fahad</t>
  </si>
  <si>
    <t>Saif Ali</t>
  </si>
  <si>
    <t>Riaz uddin Qureshi</t>
  </si>
  <si>
    <t>Shehbaz Ali</t>
  </si>
  <si>
    <t>Zain Zulfiqar</t>
  </si>
  <si>
    <t>Zulfiqar Qureshi</t>
  </si>
  <si>
    <t>Zeeshan</t>
  </si>
  <si>
    <t>M. Hussain</t>
  </si>
  <si>
    <t>Roohan</t>
  </si>
  <si>
    <t>Ishfaque</t>
  </si>
  <si>
    <t>Subhan</t>
  </si>
  <si>
    <t>Ambreen Junejo</t>
  </si>
  <si>
    <t>Four</t>
  </si>
  <si>
    <t>URS SHAH ABDUL LATIF BHITTAI</t>
  </si>
  <si>
    <t>Muhammad Arif</t>
  </si>
  <si>
    <t>Bakhtawar</t>
  </si>
  <si>
    <t>Taj Muhammad</t>
  </si>
  <si>
    <t>Bibi Zehra</t>
  </si>
  <si>
    <t>Rana</t>
  </si>
  <si>
    <t>Dua Soomro</t>
  </si>
  <si>
    <t>Muhammad Shafeeque</t>
  </si>
  <si>
    <t>Fatima Gul</t>
  </si>
  <si>
    <t>Ghulam Sakina</t>
  </si>
  <si>
    <t>Rafeeq Ahmed</t>
  </si>
  <si>
    <t>Gul Sanober</t>
  </si>
  <si>
    <t>Sabir Hussain</t>
  </si>
  <si>
    <t>Hiba Bhutto</t>
  </si>
  <si>
    <t>Muhammad Azeem</t>
  </si>
  <si>
    <t>Isha</t>
  </si>
  <si>
    <t>Fazal Muhammad</t>
  </si>
  <si>
    <t>Khadija tul Qubra</t>
  </si>
  <si>
    <t>Adnan Jameel</t>
  </si>
  <si>
    <t>Khushboo Fatima</t>
  </si>
  <si>
    <t>Laraib</t>
  </si>
  <si>
    <t>Maheen</t>
  </si>
  <si>
    <t>Sohail Ahmed</t>
  </si>
  <si>
    <t>Minal Ali</t>
  </si>
  <si>
    <t>Misbah</t>
  </si>
  <si>
    <t>Muntasha</t>
  </si>
  <si>
    <t xml:space="preserve">Nimra </t>
  </si>
  <si>
    <t>Muhammad Ghaffar Jokhio</t>
  </si>
  <si>
    <t>Nisha</t>
  </si>
  <si>
    <t>Meraal</t>
  </si>
  <si>
    <t>Noor Nisa</t>
  </si>
  <si>
    <t>Nuzahat</t>
  </si>
  <si>
    <t>Rooba</t>
  </si>
  <si>
    <t>Lakhmir Khan</t>
  </si>
  <si>
    <t>Tahmeena</t>
  </si>
  <si>
    <t>Gulbahar Ali</t>
  </si>
  <si>
    <t>Zara</t>
  </si>
  <si>
    <t>Zoya</t>
  </si>
  <si>
    <t>Zoya Ahsan</t>
  </si>
  <si>
    <t>Bisma</t>
  </si>
  <si>
    <t>Basheer Ahmed</t>
  </si>
  <si>
    <t>Sabeen Bhutto</t>
  </si>
  <si>
    <t>Shahid Bhutto</t>
  </si>
  <si>
    <t>Javeria Jameel</t>
  </si>
  <si>
    <t>Aqeel Ahmed</t>
  </si>
  <si>
    <t>Najeebullah</t>
  </si>
  <si>
    <t>Ali Jan</t>
  </si>
  <si>
    <t>Muhammad Shafique</t>
  </si>
  <si>
    <t>Dost Muhammad</t>
  </si>
  <si>
    <t>Muhammad Usman</t>
  </si>
  <si>
    <t>Riaz</t>
  </si>
  <si>
    <t>Imdad Ali</t>
  </si>
  <si>
    <t>Muhammad Suleman</t>
  </si>
  <si>
    <t>Muhammad Faisal</t>
  </si>
  <si>
    <t>Abdul Sattar</t>
  </si>
  <si>
    <t>Tanveer Ahmed</t>
  </si>
  <si>
    <t>Wazeer Ali</t>
  </si>
  <si>
    <t>Zaheer Ahmed</t>
  </si>
  <si>
    <t>Nazeer Ali</t>
  </si>
  <si>
    <t>Tasawar Ali</t>
  </si>
  <si>
    <t>Zan Ul Abdin</t>
  </si>
  <si>
    <t>Sameer Ali</t>
  </si>
  <si>
    <t>Muhammad Hussain</t>
  </si>
  <si>
    <t>Khawar Ali</t>
  </si>
  <si>
    <t>Muhammad Anees</t>
  </si>
  <si>
    <t>Muhammad Ramzan</t>
  </si>
  <si>
    <t>Hamadullah</t>
  </si>
  <si>
    <t>Abrar Hussain</t>
  </si>
  <si>
    <t>Abdul Fatah</t>
  </si>
  <si>
    <t>Manzoor Ahmed</t>
  </si>
  <si>
    <t>Five</t>
  </si>
  <si>
    <t>URS SHAH ABDUL LATIF BITHAI</t>
  </si>
  <si>
    <t xml:space="preserve">Ahmed Ali </t>
  </si>
  <si>
    <t>Nasrullah</t>
  </si>
  <si>
    <t>Ahsan Raza</t>
  </si>
  <si>
    <t>Ayan Ali</t>
  </si>
  <si>
    <t>Faizan Ali</t>
  </si>
  <si>
    <t>Mubarak</t>
  </si>
  <si>
    <t>Ghulam Muhammad</t>
  </si>
  <si>
    <t>Parvaiz Ahmed</t>
  </si>
  <si>
    <t>Masab Ali</t>
  </si>
  <si>
    <t>Meesam Abbas</t>
  </si>
  <si>
    <t>Muhammad Hassan</t>
  </si>
  <si>
    <t>Javaid Ali</t>
  </si>
  <si>
    <t xml:space="preserve">Muhammad Zaid </t>
  </si>
  <si>
    <t>Khalid Abbasi</t>
  </si>
  <si>
    <t>Usman Jamali</t>
  </si>
  <si>
    <t>Muhammad Ali</t>
  </si>
  <si>
    <t>Maula Abdullah Bux</t>
  </si>
  <si>
    <t>Muhammad Israr</t>
  </si>
  <si>
    <t>Abdullah Bhand</t>
  </si>
  <si>
    <t>Muhammad Rahim</t>
  </si>
  <si>
    <t>Sajid Ali Junejo</t>
  </si>
  <si>
    <t>Muhammad Hassan Ali</t>
  </si>
  <si>
    <t>M. Ammad-ud-din</t>
  </si>
  <si>
    <t>Riyaz-ud-din</t>
  </si>
  <si>
    <t>Noman</t>
  </si>
  <si>
    <t>Rahib Hussain</t>
  </si>
  <si>
    <t>Zahid Hussain</t>
  </si>
  <si>
    <t>Sameer Gul</t>
  </si>
  <si>
    <t>Shamsuddin</t>
  </si>
  <si>
    <t>Massab Ali</t>
  </si>
  <si>
    <t>Safdar Ali</t>
  </si>
  <si>
    <t>Zohaib Ali</t>
  </si>
  <si>
    <t>Aitina Sohail</t>
  </si>
  <si>
    <t>Sohail Sarwar Jatoi</t>
  </si>
  <si>
    <t>Ajwa Gul</t>
  </si>
  <si>
    <t xml:space="preserve">Alishba </t>
  </si>
  <si>
    <t>Anosha</t>
  </si>
  <si>
    <t>Gul Naz</t>
  </si>
  <si>
    <t>Hina</t>
  </si>
  <si>
    <t>Iqra</t>
  </si>
  <si>
    <t>Javeria Batool</t>
  </si>
  <si>
    <t>Khadija Bibi</t>
  </si>
  <si>
    <t>Zulfiqar Quraishi</t>
  </si>
  <si>
    <t>Kinza Fatima</t>
  </si>
  <si>
    <t>Laiba</t>
  </si>
  <si>
    <t>Amjad Hussain</t>
  </si>
  <si>
    <t>Maheen Nisa</t>
  </si>
  <si>
    <t>Murk Fatima</t>
  </si>
  <si>
    <t xml:space="preserve">Nayab </t>
  </si>
  <si>
    <t>Sidra Bibi</t>
  </si>
  <si>
    <t>Sidratul Muntaha</t>
  </si>
  <si>
    <t>Sundas Qamar</t>
  </si>
  <si>
    <t>Imran Qamar</t>
  </si>
  <si>
    <t>Tayyaba Fatima</t>
  </si>
  <si>
    <t>Urooj</t>
  </si>
  <si>
    <t>Mehmood Khan</t>
  </si>
  <si>
    <t>Zahra Batool</t>
  </si>
  <si>
    <t>Zainab Bibi</t>
  </si>
  <si>
    <t>Bakhshal Ali</t>
  </si>
  <si>
    <t>M. Husnain</t>
  </si>
  <si>
    <t>Six</t>
  </si>
  <si>
    <t>SHAH ABDUL LATIF BITHAI URS</t>
  </si>
  <si>
    <t>OFF DUE TO HEAVY RAIN</t>
  </si>
  <si>
    <t>Abdul Samad</t>
  </si>
  <si>
    <t>Abdul Wassay</t>
  </si>
  <si>
    <t>Sohail Sarwar</t>
  </si>
  <si>
    <t>Abid Ali</t>
  </si>
  <si>
    <t>Irshaad Ali</t>
  </si>
  <si>
    <t>Joun Ali</t>
  </si>
  <si>
    <t>M. Muzzamil</t>
  </si>
  <si>
    <t>M. Sameer</t>
  </si>
  <si>
    <t>Meer Majid</t>
  </si>
  <si>
    <t>Haji Iqbal</t>
  </si>
  <si>
    <t>M. Tayyab</t>
  </si>
  <si>
    <t>Mudasir Hussain</t>
  </si>
  <si>
    <t>Uzair Ahmed</t>
  </si>
  <si>
    <t>M. Yaseen</t>
  </si>
  <si>
    <t>Muhammad Younus</t>
  </si>
  <si>
    <t>Faisal Ahmed</t>
  </si>
  <si>
    <t>Wajid Ali</t>
  </si>
  <si>
    <t>M. Ali Ahmed</t>
  </si>
  <si>
    <t>Ayan</t>
  </si>
  <si>
    <t>Rafeeque Ahmed</t>
  </si>
  <si>
    <t>Fahmida</t>
  </si>
  <si>
    <t>M. Ghafoor Jukhio</t>
  </si>
  <si>
    <t>Kaneez Fatima</t>
  </si>
  <si>
    <t>Rizwan Ali</t>
  </si>
  <si>
    <t>Mahnoor Fatima</t>
  </si>
  <si>
    <t>Ghulam Yaseen</t>
  </si>
  <si>
    <t>Zulfiqaar Ali</t>
  </si>
  <si>
    <t>Naina Naz</t>
  </si>
  <si>
    <t xml:space="preserve">Nida </t>
  </si>
  <si>
    <t>Noor Muqadis</t>
  </si>
  <si>
    <t>Muhammad Idrees</t>
  </si>
  <si>
    <t xml:space="preserve">Rubina </t>
  </si>
  <si>
    <t>Rukhsana</t>
  </si>
  <si>
    <t>Suhan</t>
  </si>
  <si>
    <t>Sahar</t>
  </si>
  <si>
    <t>Sana Jamali</t>
  </si>
  <si>
    <t>Sawera</t>
  </si>
  <si>
    <t>Abdul Raheem</t>
  </si>
  <si>
    <t>Shabnam</t>
  </si>
  <si>
    <t>Shaista</t>
  </si>
  <si>
    <t>Naseer Ahmed</t>
  </si>
  <si>
    <t>Zohrra</t>
  </si>
  <si>
    <t>Zainab Khatoon</t>
  </si>
  <si>
    <t>Sohrab</t>
  </si>
  <si>
    <t xml:space="preserve">Zainab </t>
  </si>
  <si>
    <t>Murtaza Ali</t>
  </si>
  <si>
    <t>Muskan</t>
  </si>
  <si>
    <t>Zara Bano</t>
  </si>
  <si>
    <t>Nabi Bux</t>
  </si>
  <si>
    <t xml:space="preserve">Razia </t>
  </si>
  <si>
    <t>Aman</t>
  </si>
  <si>
    <t>Adil Khan</t>
  </si>
  <si>
    <t>7th</t>
  </si>
  <si>
    <t>p</t>
  </si>
  <si>
    <t>SHAH ABDUL LATIF BITHAAI URS</t>
  </si>
  <si>
    <t>Ali Khan</t>
  </si>
  <si>
    <t>Ameer Hamza</t>
  </si>
  <si>
    <t xml:space="preserve">Aqsa </t>
  </si>
  <si>
    <t xml:space="preserve">Asma </t>
  </si>
  <si>
    <t>Bismillah Khan</t>
  </si>
  <si>
    <t>Daniyal</t>
  </si>
  <si>
    <t>Fatima Zahra</t>
  </si>
  <si>
    <t>Hamza Nisar</t>
  </si>
  <si>
    <t>Haseeb Hyder</t>
  </si>
  <si>
    <t>Hasnain G. Nabi</t>
  </si>
  <si>
    <t>Hasnain yasir</t>
  </si>
  <si>
    <t>Hasnain Ali Soomro</t>
  </si>
  <si>
    <t xml:space="preserve">Hasnain Raza </t>
  </si>
  <si>
    <t>Hira Abroo</t>
  </si>
  <si>
    <t>M. Raza</t>
  </si>
  <si>
    <t>M. Usman</t>
  </si>
  <si>
    <t>M. Hassan</t>
  </si>
  <si>
    <t>Mubashir</t>
  </si>
  <si>
    <t>M. Anwaar</t>
  </si>
  <si>
    <t xml:space="preserve">Muskan </t>
  </si>
  <si>
    <t>Nisar Ali</t>
  </si>
  <si>
    <t>Rimsha Khatoon</t>
  </si>
  <si>
    <t>Rizwan Razique</t>
  </si>
  <si>
    <t>Rizwan Arbab</t>
  </si>
  <si>
    <t>Sadaf Aziz</t>
  </si>
  <si>
    <t>Sania</t>
  </si>
  <si>
    <t>Seema</t>
  </si>
  <si>
    <t>Shahzeb</t>
  </si>
  <si>
    <t>Muneeza Ali Sher</t>
  </si>
  <si>
    <t>Bushra Ubaid</t>
  </si>
  <si>
    <t xml:space="preserve">Aiman </t>
  </si>
  <si>
    <t xml:space="preserve">Hassan </t>
  </si>
  <si>
    <t xml:space="preserve">Tamara </t>
  </si>
  <si>
    <t>Erum</t>
  </si>
  <si>
    <t>Azra</t>
  </si>
  <si>
    <t>8th</t>
  </si>
  <si>
    <t>CHEHLUM - CHEHLUM - CHEHLUM</t>
  </si>
  <si>
    <t xml:space="preserve">Hina </t>
  </si>
  <si>
    <t xml:space="preserve">Iqra </t>
  </si>
  <si>
    <t>Kanwal Naz</t>
  </si>
  <si>
    <t>M. Rehman Abbasi</t>
  </si>
  <si>
    <t>Murk</t>
  </si>
  <si>
    <t>Noshina</t>
  </si>
  <si>
    <t>Shadab Aziz</t>
  </si>
  <si>
    <t>Abdul Wahid</t>
  </si>
  <si>
    <t>Shaista Rani</t>
  </si>
  <si>
    <t>M. Moosa</t>
  </si>
  <si>
    <t>Tasleem Rani</t>
  </si>
  <si>
    <t xml:space="preserve">Zarmina </t>
  </si>
  <si>
    <t>Gulbahar</t>
  </si>
  <si>
    <t xml:space="preserve">Dua </t>
  </si>
  <si>
    <t>Aliya</t>
  </si>
  <si>
    <t>Awais</t>
  </si>
  <si>
    <t>Abdul Salam</t>
  </si>
  <si>
    <t>Ameer Ali</t>
  </si>
  <si>
    <t>Ghaibi Khan</t>
  </si>
  <si>
    <t>Hasnain</t>
  </si>
  <si>
    <t>Lutufullah</t>
  </si>
  <si>
    <t>Kabeer Ahmed</t>
  </si>
  <si>
    <t>Shah M.</t>
  </si>
  <si>
    <t>M. Ahmed Khalid</t>
  </si>
  <si>
    <t>Meer Gohnam</t>
  </si>
  <si>
    <t>Nuzrat Ali</t>
  </si>
  <si>
    <t>Mudasir</t>
  </si>
  <si>
    <t>Muzakir</t>
  </si>
  <si>
    <t>Gulzar Ahmed</t>
  </si>
  <si>
    <t>Shuvan Ali</t>
  </si>
  <si>
    <t xml:space="preserve">Gulam Sarwar </t>
  </si>
  <si>
    <t>Syed Rashid Ali</t>
  </si>
  <si>
    <t>Mehboob Ali Shah</t>
  </si>
  <si>
    <t>Shayan Ali</t>
  </si>
  <si>
    <t>Aliyan</t>
  </si>
  <si>
    <t>Narejo</t>
  </si>
  <si>
    <t>Nagma Naz</t>
  </si>
  <si>
    <t>Asim</t>
  </si>
  <si>
    <t>M. Haneef</t>
  </si>
  <si>
    <t>Nine</t>
  </si>
  <si>
    <t>SUNDAY - SUNDAY - SUNDAY</t>
  </si>
  <si>
    <t>Haseeb ullah</t>
  </si>
  <si>
    <t>Hafeezullah Abro</t>
  </si>
  <si>
    <t>Moez</t>
  </si>
  <si>
    <t>Munawar Ali  Bhatti</t>
  </si>
  <si>
    <t>Mudassir</t>
  </si>
  <si>
    <t>Sarfaraz</t>
  </si>
  <si>
    <t>Ghulam Sarwar Kaladi</t>
  </si>
  <si>
    <t>Zaheer Ali</t>
  </si>
  <si>
    <t>Shah Muhammad</t>
  </si>
  <si>
    <t>Nawab Khan</t>
  </si>
  <si>
    <t>Meesum Abbas</t>
  </si>
  <si>
    <t>Waheed ali</t>
  </si>
  <si>
    <t>Manzar Hussain</t>
  </si>
  <si>
    <t>Haleema</t>
  </si>
  <si>
    <t>Qalandar Bakhsh</t>
  </si>
  <si>
    <t>Kinza Tariq</t>
  </si>
  <si>
    <t>M. Tariq Zafar</t>
  </si>
  <si>
    <t>Maheen Zulfiqar</t>
  </si>
  <si>
    <t xml:space="preserve">Maria </t>
  </si>
  <si>
    <t>Sohail Sarwar Jataoi</t>
  </si>
  <si>
    <t>Qandeel Zehra</t>
  </si>
  <si>
    <t>Waheed Ali</t>
  </si>
  <si>
    <t>Sanam</t>
  </si>
  <si>
    <t>Sultan Ahmed</t>
  </si>
  <si>
    <t>Asia</t>
  </si>
  <si>
    <t>Tooba</t>
  </si>
  <si>
    <t>Afsheen</t>
  </si>
  <si>
    <t>Nosheen</t>
  </si>
  <si>
    <t>Ramzan Jamali</t>
  </si>
  <si>
    <t>Khair Un Nisa</t>
  </si>
  <si>
    <t>Syed Qutab Ali Shah</t>
  </si>
  <si>
    <t>Salwa</t>
  </si>
  <si>
    <t>Imran Ahmed</t>
  </si>
  <si>
    <t>Madina</t>
  </si>
  <si>
    <t>Yasir Arfat</t>
  </si>
  <si>
    <t>Farasha</t>
  </si>
  <si>
    <t>Javed Ali</t>
  </si>
  <si>
    <t>Noorullah</t>
  </si>
  <si>
    <t>Abdul Jabbar</t>
  </si>
  <si>
    <t>Saif ur Rehman</t>
  </si>
  <si>
    <t>Shafique</t>
  </si>
  <si>
    <t>Rafique Ahmed</t>
  </si>
  <si>
    <t>total working Days</t>
  </si>
  <si>
    <t>Total working days-Boys</t>
  </si>
  <si>
    <t>Total working days-Girls</t>
  </si>
  <si>
    <t>Total working days-All</t>
  </si>
  <si>
    <t>P-Days Boys</t>
  </si>
  <si>
    <t>P-Days Girls</t>
  </si>
  <si>
    <t>P-Days All</t>
  </si>
  <si>
    <t>Percentage-Girls</t>
  </si>
  <si>
    <t>Percentage-Boys</t>
  </si>
  <si>
    <t>Total average</t>
  </si>
  <si>
    <t xml:space="preserve">One </t>
  </si>
  <si>
    <t>Seven</t>
  </si>
  <si>
    <t>Eight</t>
  </si>
  <si>
    <t>Ninth</t>
  </si>
  <si>
    <t>ECE (ROSE)</t>
  </si>
  <si>
    <t>ECE (Daffodils)</t>
  </si>
  <si>
    <t>Total Enrolment &amp; Attendance August-24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</si>
</sst>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,mmm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8"/>
      <color theme="1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9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5" tint="-0.249977111117893"/>
      <name val="Times New Roman"/>
      <family val="1"/>
    </font>
    <font>
      <b/>
      <sz val="8"/>
      <color theme="5" tint="-0.249977111117893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7">
    <xf numFmtId="0" fontId="0" fillId="0" borderId="0" xfId="0"/>
    <xf numFmtId="0" fontId="3" fillId="0" borderId="0" xfId="0" applyFont="1"/>
    <xf numFmtId="0" fontId="4" fillId="0" borderId="3" xfId="0" applyFont="1" applyBorder="1" applyAlignment="1">
      <alignment horizontal="center"/>
    </xf>
    <xf numFmtId="0" fontId="5" fillId="0" borderId="0" xfId="0" applyFont="1"/>
    <xf numFmtId="0" fontId="2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6" fillId="0" borderId="3" xfId="0" applyFont="1" applyBorder="1"/>
    <xf numFmtId="0" fontId="6" fillId="0" borderId="5" xfId="0" applyFont="1" applyBorder="1"/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3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6" xfId="0" applyFont="1" applyBorder="1"/>
    <xf numFmtId="0" fontId="6" fillId="0" borderId="7" xfId="0" applyFont="1" applyBorder="1"/>
    <xf numFmtId="9" fontId="3" fillId="0" borderId="3" xfId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 textRotation="90" wrapText="1"/>
    </xf>
    <xf numFmtId="0" fontId="3" fillId="0" borderId="3" xfId="0" applyFont="1" applyBorder="1"/>
    <xf numFmtId="0" fontId="0" fillId="0" borderId="3" xfId="0" quotePrefix="1" applyBorder="1"/>
    <xf numFmtId="0" fontId="10" fillId="0" borderId="6" xfId="0" applyFont="1" applyBorder="1"/>
    <xf numFmtId="0" fontId="10" fillId="0" borderId="7" xfId="0" applyFont="1" applyBorder="1"/>
    <xf numFmtId="0" fontId="10" fillId="0" borderId="9" xfId="0" applyFont="1" applyBorder="1"/>
    <xf numFmtId="0" fontId="10" fillId="0" borderId="10" xfId="0" applyFont="1" applyBorder="1"/>
    <xf numFmtId="0" fontId="1" fillId="0" borderId="3" xfId="0" applyFont="1" applyBorder="1"/>
    <xf numFmtId="0" fontId="1" fillId="0" borderId="5" xfId="0" applyFont="1" applyBorder="1"/>
    <xf numFmtId="0" fontId="10" fillId="0" borderId="3" xfId="0" applyFont="1" applyBorder="1"/>
    <xf numFmtId="0" fontId="10" fillId="0" borderId="5" xfId="0" applyFont="1" applyBorder="1"/>
    <xf numFmtId="0" fontId="10" fillId="0" borderId="0" xfId="0" applyFont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16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12" fillId="4" borderId="18" xfId="0" applyFont="1" applyFill="1" applyBorder="1" applyAlignment="1">
      <alignment horizontal="center" vertical="center" wrapText="1"/>
    </xf>
    <xf numFmtId="0" fontId="3" fillId="0" borderId="19" xfId="0" applyFont="1" applyBorder="1"/>
    <xf numFmtId="0" fontId="14" fillId="0" borderId="3" xfId="0" applyFont="1" applyBorder="1"/>
    <xf numFmtId="0" fontId="15" fillId="0" borderId="3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3" fillId="4" borderId="20" xfId="0" applyFont="1" applyFill="1" applyBorder="1"/>
    <xf numFmtId="9" fontId="15" fillId="0" borderId="3" xfId="1" applyFont="1" applyFill="1" applyBorder="1" applyAlignment="1">
      <alignment horizontal="center" vertical="center"/>
    </xf>
    <xf numFmtId="9" fontId="15" fillId="0" borderId="4" xfId="1" applyFont="1" applyFill="1" applyBorder="1" applyAlignment="1">
      <alignment horizontal="center" vertical="center"/>
    </xf>
    <xf numFmtId="9" fontId="15" fillId="5" borderId="18" xfId="1" applyFont="1" applyFill="1" applyBorder="1"/>
    <xf numFmtId="0" fontId="3" fillId="5" borderId="4" xfId="0" applyFont="1" applyFill="1" applyBorder="1"/>
    <xf numFmtId="0" fontId="3" fillId="0" borderId="4" xfId="0" applyFont="1" applyBorder="1"/>
    <xf numFmtId="0" fontId="16" fillId="0" borderId="21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7" fillId="0" borderId="22" xfId="0" applyFont="1" applyBorder="1" applyAlignment="1">
      <alignment horizontal="center"/>
    </xf>
    <xf numFmtId="9" fontId="17" fillId="0" borderId="16" xfId="1" applyFont="1" applyFill="1" applyBorder="1" applyAlignment="1">
      <alignment horizontal="center"/>
    </xf>
    <xf numFmtId="9" fontId="17" fillId="0" borderId="17" xfId="1" applyFont="1" applyFill="1" applyBorder="1" applyAlignment="1">
      <alignment horizontal="center"/>
    </xf>
    <xf numFmtId="9" fontId="18" fillId="0" borderId="17" xfId="1" applyFont="1" applyFill="1" applyBorder="1" applyAlignment="1">
      <alignment horizontal="center" vertical="center" wrapText="1"/>
    </xf>
    <xf numFmtId="9" fontId="3" fillId="0" borderId="23" xfId="1" applyFont="1" applyFill="1" applyBorder="1" applyAlignment="1">
      <alignment horizontal="center" vertical="center"/>
    </xf>
    <xf numFmtId="9" fontId="15" fillId="0" borderId="23" xfId="1" applyFont="1" applyFill="1" applyBorder="1" applyAlignment="1">
      <alignment horizontal="center" vertical="center"/>
    </xf>
    <xf numFmtId="9" fontId="15" fillId="0" borderId="24" xfId="1" applyFont="1" applyFill="1" applyBorder="1" applyAlignment="1">
      <alignment horizontal="center" vertical="center"/>
    </xf>
    <xf numFmtId="9" fontId="15" fillId="5" borderId="25" xfId="1" applyFont="1" applyFill="1" applyBorder="1"/>
    <xf numFmtId="0" fontId="16" fillId="0" borderId="4" xfId="0" applyFont="1" applyBorder="1" applyAlignment="1">
      <alignment horizontal="center"/>
    </xf>
    <xf numFmtId="9" fontId="15" fillId="0" borderId="5" xfId="1" applyFont="1" applyFill="1" applyBorder="1" applyAlignment="1">
      <alignment horizontal="center" vertical="center"/>
    </xf>
    <xf numFmtId="0" fontId="3" fillId="4" borderId="26" xfId="0" applyFont="1" applyFill="1" applyBorder="1"/>
    <xf numFmtId="9" fontId="18" fillId="0" borderId="27" xfId="1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4" borderId="5" xfId="0" applyFont="1" applyFill="1" applyBorder="1" applyAlignment="1">
      <alignment horizontal="center" vertical="center" wrapText="1"/>
    </xf>
    <xf numFmtId="0" fontId="12" fillId="4" borderId="29" xfId="0" applyFont="1" applyFill="1" applyBorder="1" applyAlignment="1">
      <alignment horizontal="center" vertical="center" wrapText="1"/>
    </xf>
    <xf numFmtId="0" fontId="12" fillId="4" borderId="13" xfId="0" applyFont="1" applyFill="1" applyBorder="1" applyAlignment="1">
      <alignment horizontal="center" vertical="center" wrapText="1"/>
    </xf>
    <xf numFmtId="0" fontId="12" fillId="4" borderId="15" xfId="0" applyFont="1" applyFill="1" applyBorder="1" applyAlignment="1">
      <alignment horizontal="center" vertical="center" wrapText="1"/>
    </xf>
    <xf numFmtId="0" fontId="3" fillId="4" borderId="30" xfId="0" applyFont="1" applyFill="1" applyBorder="1"/>
    <xf numFmtId="0" fontId="3" fillId="4" borderId="31" xfId="0" applyFont="1" applyFill="1" applyBorder="1"/>
    <xf numFmtId="0" fontId="16" fillId="4" borderId="32" xfId="0" applyFont="1" applyFill="1" applyBorder="1" applyAlignment="1">
      <alignment horizontal="center"/>
    </xf>
    <xf numFmtId="0" fontId="16" fillId="4" borderId="23" xfId="0" applyFont="1" applyFill="1" applyBorder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2" fillId="0" borderId="3" xfId="0" applyFont="1" applyBorder="1" applyAlignment="1">
      <alignment horizontal="center" vertical="center"/>
    </xf>
    <xf numFmtId="17" fontId="13" fillId="0" borderId="12" xfId="0" applyNumberFormat="1" applyFont="1" applyBorder="1" applyAlignment="1">
      <alignment horizontal="center"/>
    </xf>
    <xf numFmtId="17" fontId="13" fillId="0" borderId="13" xfId="0" applyNumberFormat="1" applyFont="1" applyBorder="1" applyAlignment="1">
      <alignment horizontal="center"/>
    </xf>
    <xf numFmtId="17" fontId="13" fillId="0" borderId="28" xfId="0" applyNumberFormat="1" applyFont="1" applyBorder="1" applyAlignment="1">
      <alignment horizontal="center"/>
    </xf>
    <xf numFmtId="17" fontId="13" fillId="0" borderId="14" xfId="0" applyNumberFormat="1" applyFont="1" applyBorder="1" applyAlignment="1">
      <alignment horizontal="center"/>
    </xf>
    <xf numFmtId="17" fontId="13" fillId="0" borderId="15" xfId="0" applyNumberFormat="1" applyFont="1" applyBorder="1" applyAlignment="1">
      <alignment horizontal="center"/>
    </xf>
    <xf numFmtId="17" fontId="9" fillId="2" borderId="4" xfId="0" applyNumberFormat="1" applyFont="1" applyFill="1" applyBorder="1" applyAlignment="1">
      <alignment horizontal="center" vertical="center"/>
    </xf>
    <xf numFmtId="17" fontId="9" fillId="2" borderId="8" xfId="0" applyNumberFormat="1" applyFont="1" applyFill="1" applyBorder="1" applyAlignment="1">
      <alignment horizontal="center" vertical="center"/>
    </xf>
    <xf numFmtId="17" fontId="9" fillId="2" borderId="5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textRotation="255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textRotation="255"/>
    </xf>
    <xf numFmtId="0" fontId="7" fillId="2" borderId="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textRotation="255"/>
    </xf>
    <xf numFmtId="0" fontId="2" fillId="0" borderId="9" xfId="0" applyFont="1" applyBorder="1" applyAlignment="1">
      <alignment horizontal="center" vertical="center" textRotation="255"/>
    </xf>
    <xf numFmtId="0" fontId="2" fillId="3" borderId="2" xfId="0" applyFont="1" applyFill="1" applyBorder="1" applyAlignment="1">
      <alignment horizontal="center" vertical="center" textRotation="255"/>
    </xf>
    <xf numFmtId="0" fontId="2" fillId="3" borderId="9" xfId="0" applyFont="1" applyFill="1" applyBorder="1" applyAlignment="1">
      <alignment horizontal="center" vertical="center" textRotation="255"/>
    </xf>
    <xf numFmtId="0" fontId="2" fillId="0" borderId="6" xfId="0" applyFont="1" applyBorder="1" applyAlignment="1">
      <alignment horizontal="center" vertical="center" textRotation="255"/>
    </xf>
    <xf numFmtId="0" fontId="2" fillId="3" borderId="6" xfId="0" applyFont="1" applyFill="1" applyBorder="1" applyAlignment="1">
      <alignment horizontal="center" vertical="center" textRotation="255"/>
    </xf>
    <xf numFmtId="0" fontId="2" fillId="3" borderId="11" xfId="0" applyFont="1" applyFill="1" applyBorder="1" applyAlignment="1">
      <alignment horizontal="center" vertical="center" textRotation="255"/>
    </xf>
    <xf numFmtId="0" fontId="2" fillId="3" borderId="10" xfId="0" applyFont="1" applyFill="1" applyBorder="1" applyAlignment="1">
      <alignment horizontal="center" vertical="center" textRotation="255"/>
    </xf>
    <xf numFmtId="0" fontId="11" fillId="3" borderId="2" xfId="0" applyFont="1" applyFill="1" applyBorder="1" applyAlignment="1">
      <alignment horizontal="center" vertical="center" textRotation="255"/>
    </xf>
    <xf numFmtId="0" fontId="11" fillId="3" borderId="9" xfId="0" applyFont="1" applyFill="1" applyBorder="1" applyAlignment="1">
      <alignment horizontal="center" vertical="center" textRotation="255"/>
    </xf>
    <xf numFmtId="0" fontId="11" fillId="3" borderId="6" xfId="0" applyFont="1" applyFill="1" applyBorder="1" applyAlignment="1">
      <alignment horizontal="center" vertical="center" textRotation="255"/>
    </xf>
  </cellXfs>
  <cellStyles count="2">
    <cellStyle name="Normal" xfId="0" builtinId="0"/>
    <cellStyle name="Percent" xfId="1" builtinId="5"/>
  </cellStyles>
  <dxfs count="169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24A44-3C28-4F21-AB57-6848102964FA}">
  <dimension ref="A3:O18"/>
  <sheetViews>
    <sheetView tabSelected="1" topLeftCell="A4" workbookViewId="0">
      <selection activeCell="E18" sqref="E18"/>
    </sheetView>
  </sheetViews>
  <sheetFormatPr defaultRowHeight="15" x14ac:dyDescent="0.25"/>
  <cols>
    <col min="1" max="1" width="14.85546875" bestFit="1" customWidth="1"/>
  </cols>
  <sheetData>
    <row r="3" spans="1:15" ht="15.75" thickBot="1" x14ac:dyDescent="0.3"/>
    <row r="4" spans="1:15" ht="16.5" thickBot="1" x14ac:dyDescent="0.3">
      <c r="A4" s="70" t="s">
        <v>3</v>
      </c>
      <c r="B4" s="71" t="s">
        <v>794</v>
      </c>
      <c r="C4" s="72"/>
      <c r="D4" s="72"/>
      <c r="E4" s="72"/>
      <c r="F4" s="72"/>
      <c r="G4" s="72"/>
      <c r="H4" s="72"/>
      <c r="I4" s="73"/>
      <c r="J4" s="73"/>
      <c r="K4" s="73"/>
      <c r="L4" s="72"/>
      <c r="M4" s="72"/>
      <c r="N4" s="74"/>
      <c r="O4" s="75"/>
    </row>
    <row r="5" spans="1:15" ht="34.5" thickBot="1" x14ac:dyDescent="0.3">
      <c r="A5" s="70"/>
      <c r="B5" s="31" t="s">
        <v>11</v>
      </c>
      <c r="C5" s="32" t="s">
        <v>12</v>
      </c>
      <c r="D5" s="32" t="s">
        <v>13</v>
      </c>
      <c r="E5" s="33" t="s">
        <v>778</v>
      </c>
      <c r="F5" s="33" t="s">
        <v>779</v>
      </c>
      <c r="G5" s="33" t="s">
        <v>780</v>
      </c>
      <c r="H5" s="60" t="s">
        <v>781</v>
      </c>
      <c r="I5" s="62" t="s">
        <v>782</v>
      </c>
      <c r="J5" s="63" t="s">
        <v>783</v>
      </c>
      <c r="K5" s="64" t="s">
        <v>784</v>
      </c>
      <c r="L5" s="61" t="s">
        <v>785</v>
      </c>
      <c r="M5" s="34" t="s">
        <v>786</v>
      </c>
      <c r="N5" s="34" t="s">
        <v>786</v>
      </c>
      <c r="O5" s="35" t="s">
        <v>787</v>
      </c>
    </row>
    <row r="6" spans="1:15" ht="18.75" x14ac:dyDescent="0.3">
      <c r="A6" s="36" t="s">
        <v>792</v>
      </c>
      <c r="B6" s="37">
        <v>20</v>
      </c>
      <c r="C6" s="37">
        <v>21</v>
      </c>
      <c r="D6" s="37">
        <f>SUM(B6:C6)</f>
        <v>41</v>
      </c>
      <c r="E6" s="38">
        <v>11</v>
      </c>
      <c r="F6" s="38">
        <f>B6*E6</f>
        <v>220</v>
      </c>
      <c r="G6" s="38">
        <f t="shared" ref="G6:G16" si="0">C6*E6</f>
        <v>231</v>
      </c>
      <c r="H6" s="39">
        <f>SUM(F6:G6)</f>
        <v>451</v>
      </c>
      <c r="I6" s="40">
        <f>'ECE (ROSE)'!Y16</f>
        <v>120</v>
      </c>
      <c r="J6" s="40">
        <f>'ECE (ROSE)'!Z16</f>
        <v>142</v>
      </c>
      <c r="K6" s="65">
        <f>SUM(I6:J6)</f>
        <v>262</v>
      </c>
      <c r="L6" s="57">
        <f>J6/G6</f>
        <v>0.61471861471861466</v>
      </c>
      <c r="M6" s="41">
        <f>I6/F6</f>
        <v>0.54545454545454541</v>
      </c>
      <c r="N6" s="42">
        <f>K6/H6</f>
        <v>0.58093126385809313</v>
      </c>
      <c r="O6" s="43">
        <f>AVERAGE(L6:M6)</f>
        <v>0.58008658008657998</v>
      </c>
    </row>
    <row r="7" spans="1:15" ht="18.75" x14ac:dyDescent="0.3">
      <c r="A7" s="36" t="s">
        <v>793</v>
      </c>
      <c r="B7" s="37">
        <v>29</v>
      </c>
      <c r="C7" s="37">
        <v>24</v>
      </c>
      <c r="D7" s="37">
        <f>SUM(B7:C7)</f>
        <v>53</v>
      </c>
      <c r="E7" s="38">
        <v>11</v>
      </c>
      <c r="F7" s="38">
        <f>B7*E7</f>
        <v>319</v>
      </c>
      <c r="G7" s="38">
        <f t="shared" si="0"/>
        <v>264</v>
      </c>
      <c r="H7" s="39">
        <f>SUM(F7:G7)</f>
        <v>583</v>
      </c>
      <c r="I7" s="40">
        <f>'ECE (DAFFODILS)'!Y16</f>
        <v>185</v>
      </c>
      <c r="J7" s="40">
        <f>'ECE (DAFFODILS)'!Z16</f>
        <v>206</v>
      </c>
      <c r="K7" s="65">
        <f>SUM(I7:J7)</f>
        <v>391</v>
      </c>
      <c r="L7" s="57">
        <f>J7/G7</f>
        <v>0.78030303030303028</v>
      </c>
      <c r="M7" s="41">
        <f>I7/F7</f>
        <v>0.57993730407523514</v>
      </c>
      <c r="N7" s="42">
        <f>K7/H7</f>
        <v>0.67066895368782165</v>
      </c>
      <c r="O7" s="43">
        <f>AVERAGE(L7:M7)</f>
        <v>0.68012016718913271</v>
      </c>
    </row>
    <row r="8" spans="1:15" ht="18.75" x14ac:dyDescent="0.3">
      <c r="A8" s="44" t="s">
        <v>788</v>
      </c>
      <c r="B8" s="37">
        <v>32</v>
      </c>
      <c r="C8" s="37">
        <v>24</v>
      </c>
      <c r="D8" s="37">
        <f t="shared" ref="D8:D16" si="1">SUM(B8:C8)</f>
        <v>56</v>
      </c>
      <c r="E8" s="38">
        <v>11</v>
      </c>
      <c r="F8" s="38">
        <f t="shared" ref="F8:F16" si="2">B8*E8</f>
        <v>352</v>
      </c>
      <c r="G8" s="38">
        <f t="shared" si="0"/>
        <v>264</v>
      </c>
      <c r="H8" s="39">
        <f t="shared" ref="H8:H16" si="3">SUM(F8:G8)</f>
        <v>616</v>
      </c>
      <c r="I8" s="40">
        <f>'Class-I'!Y16</f>
        <v>145</v>
      </c>
      <c r="J8" s="40">
        <f>'Class-I'!Z16</f>
        <v>230</v>
      </c>
      <c r="K8" s="65">
        <f t="shared" ref="K8:K16" si="4">SUM(I8:J8)</f>
        <v>375</v>
      </c>
      <c r="L8" s="57">
        <f t="shared" ref="L8:L16" si="5">J8/G8</f>
        <v>0.87121212121212122</v>
      </c>
      <c r="M8" s="41">
        <f t="shared" ref="M8:M16" si="6">I8/F8</f>
        <v>0.41193181818181818</v>
      </c>
      <c r="N8" s="42">
        <f t="shared" ref="N8:N16" si="7">K8/H8</f>
        <v>0.60876623376623373</v>
      </c>
      <c r="O8" s="43">
        <f t="shared" ref="O8:O16" si="8">AVERAGE(L8:M8)</f>
        <v>0.64157196969696972</v>
      </c>
    </row>
    <row r="9" spans="1:15" ht="18.75" x14ac:dyDescent="0.3">
      <c r="A9" s="45" t="s">
        <v>324</v>
      </c>
      <c r="B9" s="37">
        <v>26</v>
      </c>
      <c r="C9" s="37">
        <v>22</v>
      </c>
      <c r="D9" s="37">
        <f t="shared" si="1"/>
        <v>48</v>
      </c>
      <c r="E9" s="38">
        <v>11</v>
      </c>
      <c r="F9" s="38">
        <f t="shared" si="2"/>
        <v>286</v>
      </c>
      <c r="G9" s="38">
        <f t="shared" si="0"/>
        <v>242</v>
      </c>
      <c r="H9" s="39">
        <f t="shared" si="3"/>
        <v>528</v>
      </c>
      <c r="I9" s="40">
        <f>'Class-II'!Y16</f>
        <v>220</v>
      </c>
      <c r="J9" s="40">
        <f>'Class-II'!Z16</f>
        <v>159</v>
      </c>
      <c r="K9" s="65">
        <f t="shared" si="4"/>
        <v>379</v>
      </c>
      <c r="L9" s="57">
        <f t="shared" si="5"/>
        <v>0.65702479338842978</v>
      </c>
      <c r="M9" s="41">
        <f t="shared" si="6"/>
        <v>0.76923076923076927</v>
      </c>
      <c r="N9" s="42">
        <f t="shared" si="7"/>
        <v>0.71780303030303028</v>
      </c>
      <c r="O9" s="43">
        <f t="shared" si="8"/>
        <v>0.71312778130959953</v>
      </c>
    </row>
    <row r="10" spans="1:15" ht="18.75" x14ac:dyDescent="0.3">
      <c r="A10" s="44" t="s">
        <v>393</v>
      </c>
      <c r="B10" s="37">
        <v>28</v>
      </c>
      <c r="C10" s="37">
        <v>23</v>
      </c>
      <c r="D10" s="37">
        <f t="shared" si="1"/>
        <v>51</v>
      </c>
      <c r="E10" s="38">
        <v>11</v>
      </c>
      <c r="F10" s="38">
        <f t="shared" si="2"/>
        <v>308</v>
      </c>
      <c r="G10" s="38">
        <f t="shared" si="0"/>
        <v>253</v>
      </c>
      <c r="H10" s="39">
        <f t="shared" si="3"/>
        <v>561</v>
      </c>
      <c r="I10" s="40">
        <f>'Class-III'!Y16</f>
        <v>205</v>
      </c>
      <c r="J10" s="40">
        <f>'Class-III'!Z16</f>
        <v>182</v>
      </c>
      <c r="K10" s="65">
        <f>SUM(I10:J10)</f>
        <v>387</v>
      </c>
      <c r="L10" s="57">
        <f t="shared" si="5"/>
        <v>0.71936758893280628</v>
      </c>
      <c r="M10" s="41">
        <f t="shared" si="6"/>
        <v>0.66558441558441561</v>
      </c>
      <c r="N10" s="42">
        <f>K10/H10</f>
        <v>0.68983957219251335</v>
      </c>
      <c r="O10" s="43">
        <f t="shared" si="8"/>
        <v>0.69247600225861095</v>
      </c>
    </row>
    <row r="11" spans="1:15" ht="18.75" x14ac:dyDescent="0.3">
      <c r="A11" s="44" t="s">
        <v>467</v>
      </c>
      <c r="B11" s="37">
        <v>17</v>
      </c>
      <c r="C11" s="37">
        <v>31</v>
      </c>
      <c r="D11" s="37">
        <f t="shared" si="1"/>
        <v>48</v>
      </c>
      <c r="E11" s="38">
        <v>11</v>
      </c>
      <c r="F11" s="38">
        <f t="shared" si="2"/>
        <v>187</v>
      </c>
      <c r="G11" s="38">
        <f t="shared" si="0"/>
        <v>341</v>
      </c>
      <c r="H11" s="39">
        <f t="shared" si="3"/>
        <v>528</v>
      </c>
      <c r="I11" s="40">
        <f>'Class-IV'!Y16</f>
        <v>141</v>
      </c>
      <c r="J11" s="40">
        <f>'Class-IV'!Z16</f>
        <v>175</v>
      </c>
      <c r="K11" s="65">
        <f t="shared" si="4"/>
        <v>316</v>
      </c>
      <c r="L11" s="57">
        <f t="shared" si="5"/>
        <v>0.51319648093841641</v>
      </c>
      <c r="M11" s="41">
        <f t="shared" si="6"/>
        <v>0.75401069518716579</v>
      </c>
      <c r="N11" s="42">
        <f t="shared" si="7"/>
        <v>0.59848484848484851</v>
      </c>
      <c r="O11" s="43">
        <f t="shared" si="8"/>
        <v>0.63360358806279105</v>
      </c>
    </row>
    <row r="12" spans="1:15" ht="18.75" x14ac:dyDescent="0.3">
      <c r="A12" s="44" t="s">
        <v>538</v>
      </c>
      <c r="B12" s="37">
        <v>27</v>
      </c>
      <c r="C12" s="37">
        <v>22</v>
      </c>
      <c r="D12" s="37">
        <f t="shared" si="1"/>
        <v>49</v>
      </c>
      <c r="E12" s="38">
        <v>11</v>
      </c>
      <c r="F12" s="38">
        <f t="shared" si="2"/>
        <v>297</v>
      </c>
      <c r="G12" s="38">
        <f t="shared" si="0"/>
        <v>242</v>
      </c>
      <c r="H12" s="39">
        <f t="shared" si="3"/>
        <v>539</v>
      </c>
      <c r="I12" s="40">
        <f>'Class-V'!Y16</f>
        <v>160</v>
      </c>
      <c r="J12" s="40">
        <f>'Class-V'!Z16</f>
        <v>189</v>
      </c>
      <c r="K12" s="65">
        <f t="shared" si="4"/>
        <v>349</v>
      </c>
      <c r="L12" s="57">
        <f t="shared" si="5"/>
        <v>0.78099173553719003</v>
      </c>
      <c r="M12" s="41">
        <f t="shared" si="6"/>
        <v>0.53872053872053871</v>
      </c>
      <c r="N12" s="42">
        <f t="shared" si="7"/>
        <v>0.64749536178107603</v>
      </c>
      <c r="O12" s="43">
        <f t="shared" si="8"/>
        <v>0.65985613712886437</v>
      </c>
    </row>
    <row r="13" spans="1:15" ht="18.75" x14ac:dyDescent="0.3">
      <c r="A13" s="45" t="s">
        <v>600</v>
      </c>
      <c r="B13" s="37">
        <v>17</v>
      </c>
      <c r="C13" s="37">
        <v>26</v>
      </c>
      <c r="D13" s="37">
        <f t="shared" si="1"/>
        <v>43</v>
      </c>
      <c r="E13" s="38">
        <v>11</v>
      </c>
      <c r="F13" s="38">
        <f t="shared" si="2"/>
        <v>187</v>
      </c>
      <c r="G13" s="38">
        <f t="shared" si="0"/>
        <v>286</v>
      </c>
      <c r="H13" s="39">
        <f t="shared" si="3"/>
        <v>473</v>
      </c>
      <c r="I13" s="40">
        <f>'Class-VI'!Y16</f>
        <v>130</v>
      </c>
      <c r="J13" s="40">
        <f>'Class-VI'!Z16</f>
        <v>206</v>
      </c>
      <c r="K13" s="65">
        <f t="shared" si="4"/>
        <v>336</v>
      </c>
      <c r="L13" s="57">
        <f t="shared" si="5"/>
        <v>0.72027972027972031</v>
      </c>
      <c r="M13" s="41">
        <f t="shared" si="6"/>
        <v>0.69518716577540107</v>
      </c>
      <c r="N13" s="42">
        <f t="shared" si="7"/>
        <v>0.71035940803382669</v>
      </c>
      <c r="O13" s="43">
        <f t="shared" si="8"/>
        <v>0.70773344302756069</v>
      </c>
    </row>
    <row r="14" spans="1:15" ht="18.75" x14ac:dyDescent="0.3">
      <c r="A14" s="45" t="s">
        <v>789</v>
      </c>
      <c r="B14" s="37">
        <v>29</v>
      </c>
      <c r="C14" s="37">
        <v>17</v>
      </c>
      <c r="D14" s="37">
        <f t="shared" si="1"/>
        <v>46</v>
      </c>
      <c r="E14" s="38">
        <v>11</v>
      </c>
      <c r="F14" s="38">
        <f t="shared" si="2"/>
        <v>319</v>
      </c>
      <c r="G14" s="38">
        <f t="shared" si="0"/>
        <v>187</v>
      </c>
      <c r="H14" s="39">
        <f t="shared" si="3"/>
        <v>506</v>
      </c>
      <c r="I14" s="40">
        <f>'Class-VII'!X16</f>
        <v>248</v>
      </c>
      <c r="J14" s="40">
        <f>'Class-VII'!Y16</f>
        <v>134</v>
      </c>
      <c r="K14" s="65">
        <f t="shared" si="4"/>
        <v>382</v>
      </c>
      <c r="L14" s="57">
        <f t="shared" si="5"/>
        <v>0.71657754010695185</v>
      </c>
      <c r="M14" s="41">
        <f t="shared" si="6"/>
        <v>0.77742946708463945</v>
      </c>
      <c r="N14" s="42">
        <f t="shared" si="7"/>
        <v>0.75494071146245056</v>
      </c>
      <c r="O14" s="43">
        <f t="shared" si="8"/>
        <v>0.74700350359579559</v>
      </c>
    </row>
    <row r="15" spans="1:15" ht="18.75" x14ac:dyDescent="0.3">
      <c r="A15" s="45" t="s">
        <v>790</v>
      </c>
      <c r="B15" s="37">
        <v>16</v>
      </c>
      <c r="C15" s="37">
        <v>18</v>
      </c>
      <c r="D15" s="37">
        <f t="shared" si="1"/>
        <v>34</v>
      </c>
      <c r="E15" s="38">
        <v>11</v>
      </c>
      <c r="F15" s="38">
        <f t="shared" si="2"/>
        <v>176</v>
      </c>
      <c r="G15" s="38">
        <f t="shared" si="0"/>
        <v>198</v>
      </c>
      <c r="H15" s="39">
        <f t="shared" si="3"/>
        <v>374</v>
      </c>
      <c r="I15" s="40">
        <f>'Class-VIII'!Y16</f>
        <v>90</v>
      </c>
      <c r="J15" s="40">
        <f>'Class-VIII'!Z16</f>
        <v>171</v>
      </c>
      <c r="K15" s="65">
        <f t="shared" si="4"/>
        <v>261</v>
      </c>
      <c r="L15" s="57">
        <f t="shared" si="5"/>
        <v>0.86363636363636365</v>
      </c>
      <c r="M15" s="41">
        <f t="shared" si="6"/>
        <v>0.51136363636363635</v>
      </c>
      <c r="N15" s="42">
        <f t="shared" si="7"/>
        <v>0.69786096256684493</v>
      </c>
      <c r="O15" s="43">
        <f t="shared" si="8"/>
        <v>0.6875</v>
      </c>
    </row>
    <row r="16" spans="1:15" ht="19.5" thickBot="1" x14ac:dyDescent="0.35">
      <c r="A16" s="45" t="s">
        <v>791</v>
      </c>
      <c r="B16" s="37">
        <v>13</v>
      </c>
      <c r="C16" s="37">
        <v>17</v>
      </c>
      <c r="D16" s="37">
        <f t="shared" si="1"/>
        <v>30</v>
      </c>
      <c r="E16" s="38">
        <v>11</v>
      </c>
      <c r="F16" s="38">
        <f t="shared" si="2"/>
        <v>143</v>
      </c>
      <c r="G16" s="38">
        <f t="shared" si="0"/>
        <v>187</v>
      </c>
      <c r="H16" s="39">
        <f t="shared" si="3"/>
        <v>330</v>
      </c>
      <c r="I16" s="58">
        <f>'Class-IX'!Y16</f>
        <v>77</v>
      </c>
      <c r="J16" s="58">
        <f>'Class-IX'!Z16</f>
        <v>61</v>
      </c>
      <c r="K16" s="66">
        <f t="shared" si="4"/>
        <v>138</v>
      </c>
      <c r="L16" s="57">
        <f t="shared" si="5"/>
        <v>0.32620320855614976</v>
      </c>
      <c r="M16" s="41">
        <f t="shared" si="6"/>
        <v>0.53846153846153844</v>
      </c>
      <c r="N16" s="42">
        <f t="shared" si="7"/>
        <v>0.41818181818181815</v>
      </c>
      <c r="O16" s="43">
        <f t="shared" si="8"/>
        <v>0.43233237350884413</v>
      </c>
    </row>
    <row r="17" spans="1:15" ht="19.5" thickBot="1" x14ac:dyDescent="0.35">
      <c r="A17" s="46" t="s">
        <v>13</v>
      </c>
      <c r="B17" s="37">
        <f t="shared" ref="B17:K17" si="9">SUM(B6:B16)</f>
        <v>254</v>
      </c>
      <c r="C17" s="37">
        <f t="shared" si="9"/>
        <v>245</v>
      </c>
      <c r="D17" s="37">
        <f t="shared" si="9"/>
        <v>499</v>
      </c>
      <c r="E17" s="47">
        <f t="shared" si="9"/>
        <v>121</v>
      </c>
      <c r="F17" s="47">
        <f t="shared" si="9"/>
        <v>2794</v>
      </c>
      <c r="G17" s="47">
        <f t="shared" si="9"/>
        <v>2695</v>
      </c>
      <c r="H17" s="56">
        <f t="shared" si="9"/>
        <v>5489</v>
      </c>
      <c r="I17" s="67">
        <f t="shared" si="9"/>
        <v>1721</v>
      </c>
      <c r="J17" s="68">
        <f t="shared" si="9"/>
        <v>1855</v>
      </c>
      <c r="K17" s="69">
        <f t="shared" si="9"/>
        <v>3576</v>
      </c>
      <c r="L17" s="57">
        <f>J17/G17</f>
        <v>0.68831168831168832</v>
      </c>
      <c r="M17" s="41">
        <f>I17/F17</f>
        <v>0.61596277738010019</v>
      </c>
      <c r="N17" s="42">
        <f>AVERAGE(N6:N16)</f>
        <v>0.64503019675623241</v>
      </c>
      <c r="O17" s="43">
        <f>AVERAGE(O6:O16)</f>
        <v>0.65231014053315894</v>
      </c>
    </row>
    <row r="18" spans="1:15" ht="15.75" thickBot="1" x14ac:dyDescent="0.3">
      <c r="A18" s="48" t="s">
        <v>16</v>
      </c>
      <c r="B18" s="49">
        <v>1</v>
      </c>
      <c r="C18" s="50">
        <v>1</v>
      </c>
      <c r="D18" s="51">
        <v>1</v>
      </c>
      <c r="E18" s="49">
        <v>1</v>
      </c>
      <c r="F18" s="50">
        <v>1</v>
      </c>
      <c r="G18" s="51">
        <v>1</v>
      </c>
      <c r="H18" s="51">
        <v>1</v>
      </c>
      <c r="I18" s="59">
        <f>I17/F17</f>
        <v>0.61596277738010019</v>
      </c>
      <c r="J18" s="59">
        <f>J17/G17</f>
        <v>0.68831168831168832</v>
      </c>
      <c r="K18" s="59">
        <f>K17/H17</f>
        <v>0.65148478775733287</v>
      </c>
      <c r="L18" s="52">
        <v>0.54</v>
      </c>
      <c r="M18" s="53">
        <v>0.56000000000000005</v>
      </c>
      <c r="N18" s="54">
        <v>0.55000000000000004</v>
      </c>
      <c r="O18" s="55">
        <f>AVERAGE(L17:M17)</f>
        <v>0.65213723284589431</v>
      </c>
    </row>
  </sheetData>
  <mergeCells count="2">
    <mergeCell ref="A4:A5"/>
    <mergeCell ref="B4:O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1FD99-49D7-41EB-A8AE-866D166DC500}">
  <dimension ref="A1:AA45"/>
  <sheetViews>
    <sheetView workbookViewId="0">
      <selection activeCell="Z15" sqref="Z15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22.5703125" style="1" bestFit="1" customWidth="1"/>
    <col min="4" max="4" width="6.42578125" style="1" customWidth="1"/>
    <col min="5" max="5" width="3.85546875" style="1" bestFit="1" customWidth="1"/>
    <col min="6" max="7" width="3.7109375" style="1" bestFit="1" customWidth="1"/>
    <col min="8" max="8" width="3.85546875" style="1" bestFit="1" customWidth="1"/>
    <col min="9" max="9" width="4.5703125" style="1" bestFit="1" customWidth="1"/>
    <col min="10" max="10" width="3.85546875" style="1" bestFit="1" customWidth="1"/>
    <col min="11" max="11" width="4.7109375" style="1" bestFit="1" customWidth="1"/>
    <col min="12" max="12" width="3.85546875" style="1" bestFit="1" customWidth="1"/>
    <col min="13" max="14" width="3.7109375" style="1" bestFit="1" customWidth="1"/>
    <col min="15" max="15" width="3.85546875" style="1" bestFit="1" customWidth="1"/>
    <col min="16" max="16" width="4.5703125" style="1" bestFit="1" customWidth="1"/>
    <col min="17" max="17" width="3.85546875" style="1" bestFit="1" customWidth="1"/>
    <col min="18" max="18" width="4.7109375" style="1" bestFit="1" customWidth="1"/>
    <col min="19" max="19" width="3.85546875" style="1" bestFit="1" customWidth="1"/>
    <col min="20" max="21" width="3.7109375" style="1" bestFit="1" customWidth="1"/>
    <col min="22" max="23" width="6.7109375" style="1" bestFit="1" customWidth="1"/>
    <col min="24" max="24" width="21.140625" style="1" bestFit="1" customWidth="1"/>
    <col min="25" max="25" width="6.7109375" style="1" bestFit="1" customWidth="1"/>
    <col min="26" max="26" width="14.28515625" style="1" bestFit="1" customWidth="1"/>
    <col min="27" max="27" width="6.7109375" style="1" bestFit="1" customWidth="1"/>
    <col min="28" max="16384" width="3.85546875" style="1"/>
  </cols>
  <sheetData>
    <row r="1" spans="1:27" ht="17.25" x14ac:dyDescent="0.25">
      <c r="A1" s="81" t="s">
        <v>19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</row>
    <row r="2" spans="1:27" ht="17.25" x14ac:dyDescent="0.3">
      <c r="A2" s="82" t="s">
        <v>18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</row>
    <row r="3" spans="1:27" ht="15.75" x14ac:dyDescent="0.25">
      <c r="A3" s="84" t="s">
        <v>0</v>
      </c>
      <c r="B3" s="84" t="s">
        <v>1</v>
      </c>
      <c r="C3" s="84" t="s">
        <v>2</v>
      </c>
      <c r="D3" s="84" t="s">
        <v>3</v>
      </c>
      <c r="E3" s="2" t="str">
        <f t="shared" ref="E3:U3" si="0">TEXT(E4,"ddd")</f>
        <v>Thu</v>
      </c>
      <c r="F3" s="2" t="str">
        <f t="shared" si="0"/>
        <v>Fri</v>
      </c>
      <c r="G3" s="2" t="str">
        <f t="shared" si="0"/>
        <v>Sat</v>
      </c>
      <c r="H3" s="2" t="str">
        <f t="shared" si="0"/>
        <v>Sun</v>
      </c>
      <c r="I3" s="2" t="str">
        <f t="shared" si="0"/>
        <v>Mon</v>
      </c>
      <c r="J3" s="2" t="str">
        <f t="shared" si="0"/>
        <v>Tue</v>
      </c>
      <c r="K3" s="2" t="str">
        <f t="shared" si="0"/>
        <v>Wed</v>
      </c>
      <c r="L3" s="2" t="str">
        <f t="shared" si="0"/>
        <v>Thu</v>
      </c>
      <c r="M3" s="2" t="str">
        <f t="shared" si="0"/>
        <v>Fri</v>
      </c>
      <c r="N3" s="2" t="str">
        <f t="shared" si="0"/>
        <v>Sat</v>
      </c>
      <c r="O3" s="2" t="str">
        <f t="shared" si="0"/>
        <v>Sun</v>
      </c>
      <c r="P3" s="2" t="str">
        <f t="shared" si="0"/>
        <v>Mon</v>
      </c>
      <c r="Q3" s="2" t="str">
        <f t="shared" si="0"/>
        <v>Tue</v>
      </c>
      <c r="R3" s="2" t="str">
        <f t="shared" si="0"/>
        <v>Wed</v>
      </c>
      <c r="S3" s="2" t="str">
        <f t="shared" si="0"/>
        <v>Thu</v>
      </c>
      <c r="T3" s="2" t="str">
        <f t="shared" si="0"/>
        <v>Fri</v>
      </c>
      <c r="U3" s="2" t="str">
        <f t="shared" si="0"/>
        <v>Sat</v>
      </c>
      <c r="V3" s="79" t="s">
        <v>4</v>
      </c>
      <c r="W3" s="79" t="s">
        <v>5</v>
      </c>
      <c r="X3" s="76" t="s">
        <v>210</v>
      </c>
      <c r="Y3" s="77"/>
      <c r="Z3" s="3"/>
      <c r="AA3" s="3"/>
    </row>
    <row r="4" spans="1:27" ht="36.75" x14ac:dyDescent="0.25">
      <c r="A4" s="85"/>
      <c r="B4" s="85"/>
      <c r="C4" s="85"/>
      <c r="D4" s="85"/>
      <c r="E4" s="17">
        <v>45519</v>
      </c>
      <c r="F4" s="17">
        <v>45520</v>
      </c>
      <c r="G4" s="17">
        <v>45521</v>
      </c>
      <c r="H4" s="17">
        <v>45522</v>
      </c>
      <c r="I4" s="17">
        <v>45523</v>
      </c>
      <c r="J4" s="17">
        <v>45524</v>
      </c>
      <c r="K4" s="17">
        <v>45525</v>
      </c>
      <c r="L4" s="17">
        <v>45526</v>
      </c>
      <c r="M4" s="17">
        <v>45527</v>
      </c>
      <c r="N4" s="17">
        <v>45528</v>
      </c>
      <c r="O4" s="17">
        <v>45529</v>
      </c>
      <c r="P4" s="17">
        <v>45530</v>
      </c>
      <c r="Q4" s="17">
        <v>45531</v>
      </c>
      <c r="R4" s="17">
        <v>45532</v>
      </c>
      <c r="S4" s="17">
        <v>45533</v>
      </c>
      <c r="T4" s="17">
        <v>45534</v>
      </c>
      <c r="U4" s="17">
        <v>45535</v>
      </c>
      <c r="V4" s="79"/>
      <c r="W4" s="79"/>
      <c r="X4" s="4" t="s">
        <v>315</v>
      </c>
      <c r="Y4" s="4">
        <f>SUM(Y5:Y11)</f>
        <v>31</v>
      </c>
      <c r="Z4" s="3"/>
      <c r="AA4" s="3"/>
    </row>
    <row r="5" spans="1:27" ht="15" customHeight="1" x14ac:dyDescent="0.25">
      <c r="A5" s="5">
        <v>1</v>
      </c>
      <c r="B5" s="6" t="s">
        <v>20</v>
      </c>
      <c r="C5" s="7" t="s">
        <v>21</v>
      </c>
      <c r="D5" s="8" t="s">
        <v>6</v>
      </c>
      <c r="E5" s="10" t="s">
        <v>103</v>
      </c>
      <c r="F5" s="10" t="s">
        <v>103</v>
      </c>
      <c r="G5" s="10" t="s">
        <v>103</v>
      </c>
      <c r="H5" s="83" t="s">
        <v>317</v>
      </c>
      <c r="I5" s="10" t="s">
        <v>104</v>
      </c>
      <c r="J5" s="80" t="s">
        <v>318</v>
      </c>
      <c r="K5" s="10" t="s">
        <v>104</v>
      </c>
      <c r="L5" s="10" t="s">
        <v>103</v>
      </c>
      <c r="M5" s="10" t="s">
        <v>104</v>
      </c>
      <c r="N5" s="10" t="s">
        <v>104</v>
      </c>
      <c r="O5" s="83" t="s">
        <v>317</v>
      </c>
      <c r="P5" s="80" t="s">
        <v>320</v>
      </c>
      <c r="Q5" s="10" t="s">
        <v>104</v>
      </c>
      <c r="R5" s="10" t="s">
        <v>103</v>
      </c>
      <c r="S5" s="10" t="s">
        <v>104</v>
      </c>
      <c r="T5" s="80" t="s">
        <v>319</v>
      </c>
      <c r="U5" s="10" t="s">
        <v>103</v>
      </c>
      <c r="V5" s="4">
        <f t="shared" ref="V5:V45" si="1">COUNTIF(E5:U5,"P")</f>
        <v>6</v>
      </c>
      <c r="W5" s="4">
        <f t="shared" ref="W5:W45" si="2">COUNTIF(E5:U5,"A")</f>
        <v>6</v>
      </c>
      <c r="X5" s="4" t="s">
        <v>7</v>
      </c>
      <c r="Y5" s="11">
        <v>11</v>
      </c>
      <c r="Z5" s="12"/>
      <c r="AA5" s="3"/>
    </row>
    <row r="6" spans="1:27" x14ac:dyDescent="0.25">
      <c r="A6" s="11">
        <v>2</v>
      </c>
      <c r="B6" s="13" t="s">
        <v>22</v>
      </c>
      <c r="C6" s="14" t="s">
        <v>23</v>
      </c>
      <c r="D6" s="9" t="s">
        <v>6</v>
      </c>
      <c r="E6" s="10" t="s">
        <v>104</v>
      </c>
      <c r="F6" s="10" t="s">
        <v>104</v>
      </c>
      <c r="G6" s="10" t="s">
        <v>104</v>
      </c>
      <c r="H6" s="83"/>
      <c r="I6" s="10" t="s">
        <v>103</v>
      </c>
      <c r="J6" s="80"/>
      <c r="K6" s="10" t="s">
        <v>104</v>
      </c>
      <c r="L6" s="10" t="s">
        <v>104</v>
      </c>
      <c r="M6" s="10" t="s">
        <v>104</v>
      </c>
      <c r="N6" s="10" t="s">
        <v>104</v>
      </c>
      <c r="O6" s="83"/>
      <c r="P6" s="80"/>
      <c r="Q6" s="10" t="s">
        <v>104</v>
      </c>
      <c r="R6" s="10" t="s">
        <v>103</v>
      </c>
      <c r="S6" s="10" t="s">
        <v>103</v>
      </c>
      <c r="T6" s="80"/>
      <c r="U6" s="10" t="s">
        <v>103</v>
      </c>
      <c r="V6" s="4">
        <f t="shared" si="1"/>
        <v>8</v>
      </c>
      <c r="W6" s="4">
        <f t="shared" si="2"/>
        <v>4</v>
      </c>
      <c r="X6" s="4" t="s">
        <v>8</v>
      </c>
      <c r="Y6" s="11">
        <v>4</v>
      </c>
      <c r="Z6" s="3"/>
      <c r="AA6" s="3"/>
    </row>
    <row r="7" spans="1:27" x14ac:dyDescent="0.25">
      <c r="A7" s="5">
        <v>3</v>
      </c>
      <c r="B7" s="13" t="s">
        <v>24</v>
      </c>
      <c r="C7" s="14" t="s">
        <v>25</v>
      </c>
      <c r="D7" s="9" t="s">
        <v>6</v>
      </c>
      <c r="E7" s="10" t="s">
        <v>103</v>
      </c>
      <c r="F7" s="10" t="s">
        <v>103</v>
      </c>
      <c r="G7" s="10" t="s">
        <v>103</v>
      </c>
      <c r="H7" s="83"/>
      <c r="I7" s="10" t="s">
        <v>103</v>
      </c>
      <c r="J7" s="80"/>
      <c r="K7" s="10" t="s">
        <v>104</v>
      </c>
      <c r="L7" s="10" t="s">
        <v>104</v>
      </c>
      <c r="M7" s="10" t="s">
        <v>104</v>
      </c>
      <c r="N7" s="10" t="s">
        <v>103</v>
      </c>
      <c r="O7" s="83"/>
      <c r="P7" s="80"/>
      <c r="Q7" s="10" t="s">
        <v>104</v>
      </c>
      <c r="R7" s="10" t="s">
        <v>103</v>
      </c>
      <c r="S7" s="10" t="s">
        <v>104</v>
      </c>
      <c r="T7" s="80"/>
      <c r="U7" s="10" t="s">
        <v>103</v>
      </c>
      <c r="V7" s="4">
        <f t="shared" si="1"/>
        <v>5</v>
      </c>
      <c r="W7" s="4">
        <f t="shared" si="2"/>
        <v>7</v>
      </c>
      <c r="X7" s="4" t="s">
        <v>313</v>
      </c>
      <c r="Y7" s="11">
        <v>12</v>
      </c>
      <c r="Z7" s="3"/>
      <c r="AA7" s="3"/>
    </row>
    <row r="8" spans="1:27" x14ac:dyDescent="0.25">
      <c r="A8" s="11">
        <v>4</v>
      </c>
      <c r="B8" s="13" t="s">
        <v>26</v>
      </c>
      <c r="C8" s="14" t="s">
        <v>27</v>
      </c>
      <c r="D8" s="9" t="s">
        <v>6</v>
      </c>
      <c r="E8" s="10" t="s">
        <v>104</v>
      </c>
      <c r="F8" s="10" t="s">
        <v>104</v>
      </c>
      <c r="G8" s="10" t="s">
        <v>103</v>
      </c>
      <c r="H8" s="83"/>
      <c r="I8" s="10" t="s">
        <v>104</v>
      </c>
      <c r="J8" s="80"/>
      <c r="K8" s="10" t="s">
        <v>104</v>
      </c>
      <c r="L8" s="10" t="s">
        <v>104</v>
      </c>
      <c r="M8" s="10" t="s">
        <v>104</v>
      </c>
      <c r="N8" s="10" t="s">
        <v>103</v>
      </c>
      <c r="O8" s="83"/>
      <c r="P8" s="80"/>
      <c r="Q8" s="10" t="s">
        <v>104</v>
      </c>
      <c r="R8" s="10" t="s">
        <v>103</v>
      </c>
      <c r="S8" s="10" t="s">
        <v>104</v>
      </c>
      <c r="T8" s="80"/>
      <c r="U8" s="10" t="s">
        <v>103</v>
      </c>
      <c r="V8" s="4">
        <f t="shared" si="1"/>
        <v>8</v>
      </c>
      <c r="W8" s="4">
        <f t="shared" si="2"/>
        <v>4</v>
      </c>
      <c r="X8" s="4" t="s">
        <v>310</v>
      </c>
      <c r="Y8" s="11">
        <v>1</v>
      </c>
      <c r="Z8"/>
      <c r="AA8"/>
    </row>
    <row r="9" spans="1:27" x14ac:dyDescent="0.25">
      <c r="A9" s="5">
        <v>5</v>
      </c>
      <c r="B9" s="13" t="s">
        <v>28</v>
      </c>
      <c r="C9" s="14" t="s">
        <v>29</v>
      </c>
      <c r="D9" s="9" t="s">
        <v>6</v>
      </c>
      <c r="E9" s="10" t="s">
        <v>104</v>
      </c>
      <c r="F9" s="10" t="s">
        <v>104</v>
      </c>
      <c r="G9" s="10" t="s">
        <v>104</v>
      </c>
      <c r="H9" s="83"/>
      <c r="I9" s="10" t="s">
        <v>104</v>
      </c>
      <c r="J9" s="80"/>
      <c r="K9" s="10" t="s">
        <v>104</v>
      </c>
      <c r="L9" s="10" t="s">
        <v>104</v>
      </c>
      <c r="M9" s="10" t="s">
        <v>104</v>
      </c>
      <c r="N9" s="10" t="s">
        <v>103</v>
      </c>
      <c r="O9" s="83"/>
      <c r="P9" s="80"/>
      <c r="Q9" s="10" t="s">
        <v>104</v>
      </c>
      <c r="R9" s="10" t="s">
        <v>103</v>
      </c>
      <c r="S9" s="10" t="s">
        <v>104</v>
      </c>
      <c r="T9" s="80"/>
      <c r="U9" s="10" t="s">
        <v>103</v>
      </c>
      <c r="V9" s="4">
        <f t="shared" si="1"/>
        <v>9</v>
      </c>
      <c r="W9" s="4">
        <f t="shared" si="2"/>
        <v>3</v>
      </c>
      <c r="X9" s="4" t="s">
        <v>314</v>
      </c>
      <c r="Y9" s="11">
        <v>1</v>
      </c>
      <c r="Z9"/>
      <c r="AA9"/>
    </row>
    <row r="10" spans="1:27" x14ac:dyDescent="0.25">
      <c r="A10" s="11">
        <v>6</v>
      </c>
      <c r="B10" s="13" t="s">
        <v>30</v>
      </c>
      <c r="C10" s="14" t="s">
        <v>31</v>
      </c>
      <c r="D10" s="9" t="s">
        <v>6</v>
      </c>
      <c r="E10" s="10" t="s">
        <v>103</v>
      </c>
      <c r="F10" s="10" t="s">
        <v>103</v>
      </c>
      <c r="G10" s="10" t="s">
        <v>103</v>
      </c>
      <c r="H10" s="83"/>
      <c r="I10" s="10" t="s">
        <v>104</v>
      </c>
      <c r="J10" s="80"/>
      <c r="K10" s="10" t="s">
        <v>104</v>
      </c>
      <c r="L10" s="10" t="s">
        <v>104</v>
      </c>
      <c r="M10" s="10" t="s">
        <v>104</v>
      </c>
      <c r="N10" s="10" t="s">
        <v>104</v>
      </c>
      <c r="O10" s="83"/>
      <c r="P10" s="80"/>
      <c r="Q10" s="10" t="s">
        <v>104</v>
      </c>
      <c r="R10" s="10" t="s">
        <v>104</v>
      </c>
      <c r="S10" s="10" t="s">
        <v>103</v>
      </c>
      <c r="T10" s="80"/>
      <c r="U10" s="10" t="s">
        <v>103</v>
      </c>
      <c r="V10" s="4">
        <f t="shared" si="1"/>
        <v>7</v>
      </c>
      <c r="W10" s="4">
        <f t="shared" si="2"/>
        <v>5</v>
      </c>
      <c r="X10" s="4" t="s">
        <v>311</v>
      </c>
      <c r="Y10" s="11">
        <v>1</v>
      </c>
      <c r="Z10"/>
      <c r="AA10"/>
    </row>
    <row r="11" spans="1:27" x14ac:dyDescent="0.25">
      <c r="A11" s="5">
        <v>7</v>
      </c>
      <c r="B11" s="13" t="s">
        <v>32</v>
      </c>
      <c r="C11" s="14" t="s">
        <v>33</v>
      </c>
      <c r="D11" s="9" t="s">
        <v>6</v>
      </c>
      <c r="E11" s="10" t="s">
        <v>103</v>
      </c>
      <c r="F11" s="10" t="s">
        <v>103</v>
      </c>
      <c r="G11" s="10" t="s">
        <v>104</v>
      </c>
      <c r="H11" s="83"/>
      <c r="I11" s="10" t="s">
        <v>104</v>
      </c>
      <c r="J11" s="80"/>
      <c r="K11" s="10" t="s">
        <v>104</v>
      </c>
      <c r="L11" s="10" t="s">
        <v>104</v>
      </c>
      <c r="M11" s="10" t="s">
        <v>104</v>
      </c>
      <c r="N11" s="10" t="s">
        <v>103</v>
      </c>
      <c r="O11" s="83"/>
      <c r="P11" s="80"/>
      <c r="Q11" s="10" t="s">
        <v>104</v>
      </c>
      <c r="R11" s="10" t="s">
        <v>103</v>
      </c>
      <c r="S11" s="10" t="s">
        <v>104</v>
      </c>
      <c r="T11" s="80"/>
      <c r="U11" s="10" t="s">
        <v>103</v>
      </c>
      <c r="V11" s="4">
        <f t="shared" si="1"/>
        <v>7</v>
      </c>
      <c r="W11" s="4">
        <f t="shared" si="2"/>
        <v>5</v>
      </c>
      <c r="X11" s="4" t="s">
        <v>312</v>
      </c>
      <c r="Y11" s="11">
        <v>1</v>
      </c>
      <c r="Z11"/>
      <c r="AA11"/>
    </row>
    <row r="12" spans="1:27" x14ac:dyDescent="0.25">
      <c r="A12" s="11">
        <v>8</v>
      </c>
      <c r="B12" s="13" t="s">
        <v>34</v>
      </c>
      <c r="C12" s="14" t="s">
        <v>35</v>
      </c>
      <c r="D12" s="9" t="s">
        <v>6</v>
      </c>
      <c r="E12" s="10" t="s">
        <v>103</v>
      </c>
      <c r="F12" s="10" t="s">
        <v>103</v>
      </c>
      <c r="G12" s="10" t="s">
        <v>104</v>
      </c>
      <c r="H12" s="83"/>
      <c r="I12" s="10" t="s">
        <v>103</v>
      </c>
      <c r="J12" s="80"/>
      <c r="K12" s="10" t="s">
        <v>104</v>
      </c>
      <c r="L12" s="10" t="s">
        <v>104</v>
      </c>
      <c r="M12" s="10" t="s">
        <v>104</v>
      </c>
      <c r="N12" s="10" t="s">
        <v>104</v>
      </c>
      <c r="O12" s="83"/>
      <c r="P12" s="80"/>
      <c r="Q12" s="10" t="s">
        <v>104</v>
      </c>
      <c r="R12" s="10" t="s">
        <v>103</v>
      </c>
      <c r="S12" s="10" t="s">
        <v>104</v>
      </c>
      <c r="T12" s="80"/>
      <c r="U12" s="10" t="s">
        <v>103</v>
      </c>
      <c r="V12" s="4">
        <f t="shared" si="1"/>
        <v>7</v>
      </c>
      <c r="W12" s="4">
        <f t="shared" si="2"/>
        <v>5</v>
      </c>
      <c r="X12"/>
      <c r="Y12"/>
      <c r="Z12"/>
      <c r="AA12"/>
    </row>
    <row r="13" spans="1:27" ht="15.75" x14ac:dyDescent="0.25">
      <c r="A13" s="5">
        <v>9</v>
      </c>
      <c r="B13" s="13" t="s">
        <v>36</v>
      </c>
      <c r="C13" s="14" t="s">
        <v>37</v>
      </c>
      <c r="D13" s="9" t="s">
        <v>6</v>
      </c>
      <c r="E13" s="10" t="s">
        <v>103</v>
      </c>
      <c r="F13" s="10" t="s">
        <v>103</v>
      </c>
      <c r="G13" s="10" t="s">
        <v>104</v>
      </c>
      <c r="H13" s="83"/>
      <c r="I13" s="10" t="s">
        <v>104</v>
      </c>
      <c r="J13" s="80"/>
      <c r="K13" s="10" t="s">
        <v>104</v>
      </c>
      <c r="L13" s="10" t="s">
        <v>104</v>
      </c>
      <c r="M13" s="10" t="s">
        <v>104</v>
      </c>
      <c r="N13" s="10" t="s">
        <v>104</v>
      </c>
      <c r="O13" s="83"/>
      <c r="P13" s="80"/>
      <c r="Q13" s="10" t="s">
        <v>104</v>
      </c>
      <c r="R13" s="10" t="s">
        <v>104</v>
      </c>
      <c r="S13" s="10" t="s">
        <v>104</v>
      </c>
      <c r="T13" s="80"/>
      <c r="U13" s="10" t="s">
        <v>103</v>
      </c>
      <c r="V13" s="4">
        <f t="shared" si="1"/>
        <v>9</v>
      </c>
      <c r="W13" s="4">
        <f t="shared" si="2"/>
        <v>3</v>
      </c>
      <c r="X13" s="76" t="s">
        <v>9</v>
      </c>
      <c r="Y13" s="77"/>
      <c r="Z13" s="77"/>
      <c r="AA13" s="78"/>
    </row>
    <row r="14" spans="1:27" x14ac:dyDescent="0.25">
      <c r="A14" s="11">
        <v>10</v>
      </c>
      <c r="B14" s="13" t="s">
        <v>38</v>
      </c>
      <c r="C14" s="14" t="s">
        <v>39</v>
      </c>
      <c r="D14" s="9" t="s">
        <v>6</v>
      </c>
      <c r="E14" s="10" t="s">
        <v>103</v>
      </c>
      <c r="F14" s="10" t="s">
        <v>103</v>
      </c>
      <c r="G14" s="10" t="s">
        <v>104</v>
      </c>
      <c r="H14" s="83"/>
      <c r="I14" s="10" t="s">
        <v>104</v>
      </c>
      <c r="J14" s="80"/>
      <c r="K14" s="10" t="s">
        <v>104</v>
      </c>
      <c r="L14" s="10" t="s">
        <v>104</v>
      </c>
      <c r="M14" s="10" t="s">
        <v>104</v>
      </c>
      <c r="N14" s="10" t="s">
        <v>104</v>
      </c>
      <c r="O14" s="83"/>
      <c r="P14" s="80"/>
      <c r="Q14" s="10" t="s">
        <v>104</v>
      </c>
      <c r="R14" s="10" t="s">
        <v>104</v>
      </c>
      <c r="S14" s="10" t="s">
        <v>104</v>
      </c>
      <c r="T14" s="80"/>
      <c r="U14" s="10" t="s">
        <v>103</v>
      </c>
      <c r="V14" s="4">
        <f t="shared" si="1"/>
        <v>9</v>
      </c>
      <c r="W14" s="4">
        <f t="shared" si="2"/>
        <v>3</v>
      </c>
      <c r="X14" s="4" t="s">
        <v>10</v>
      </c>
      <c r="Y14" s="4" t="s">
        <v>11</v>
      </c>
      <c r="Z14" s="4" t="s">
        <v>12</v>
      </c>
      <c r="AA14" s="4" t="s">
        <v>13</v>
      </c>
    </row>
    <row r="15" spans="1:27" x14ac:dyDescent="0.25">
      <c r="A15" s="5">
        <v>11</v>
      </c>
      <c r="B15" s="13" t="s">
        <v>40</v>
      </c>
      <c r="C15" s="14" t="s">
        <v>41</v>
      </c>
      <c r="D15" s="9" t="s">
        <v>6</v>
      </c>
      <c r="E15" s="10" t="s">
        <v>103</v>
      </c>
      <c r="F15" s="10" t="s">
        <v>103</v>
      </c>
      <c r="G15" s="10" t="s">
        <v>104</v>
      </c>
      <c r="H15" s="83"/>
      <c r="I15" s="10" t="s">
        <v>104</v>
      </c>
      <c r="J15" s="80"/>
      <c r="K15" s="10" t="s">
        <v>104</v>
      </c>
      <c r="L15" s="10" t="s">
        <v>104</v>
      </c>
      <c r="M15" s="10" t="s">
        <v>104</v>
      </c>
      <c r="N15" s="10" t="s">
        <v>103</v>
      </c>
      <c r="O15" s="83"/>
      <c r="P15" s="80"/>
      <c r="Q15" s="10" t="s">
        <v>104</v>
      </c>
      <c r="R15" s="10" t="s">
        <v>103</v>
      </c>
      <c r="S15" s="10" t="s">
        <v>103</v>
      </c>
      <c r="T15" s="80"/>
      <c r="U15" s="10" t="s">
        <v>103</v>
      </c>
      <c r="V15" s="4">
        <f t="shared" si="1"/>
        <v>6</v>
      </c>
      <c r="W15" s="4">
        <f t="shared" si="2"/>
        <v>6</v>
      </c>
      <c r="X15" s="4" t="s">
        <v>14</v>
      </c>
      <c r="Y15" s="11">
        <f>20*11</f>
        <v>220</v>
      </c>
      <c r="Z15" s="11">
        <f>21*11</f>
        <v>231</v>
      </c>
      <c r="AA15" s="11">
        <f>SUM(Y15:Z15)</f>
        <v>451</v>
      </c>
    </row>
    <row r="16" spans="1:27" x14ac:dyDescent="0.25">
      <c r="A16" s="11">
        <v>12</v>
      </c>
      <c r="B16" s="13" t="s">
        <v>42</v>
      </c>
      <c r="C16" s="14" t="s">
        <v>43</v>
      </c>
      <c r="D16" s="9" t="s">
        <v>6</v>
      </c>
      <c r="E16" s="10" t="s">
        <v>103</v>
      </c>
      <c r="F16" s="10" t="s">
        <v>103</v>
      </c>
      <c r="G16" s="10" t="s">
        <v>103</v>
      </c>
      <c r="H16" s="83"/>
      <c r="I16" s="10" t="s">
        <v>104</v>
      </c>
      <c r="J16" s="80"/>
      <c r="K16" s="10" t="s">
        <v>104</v>
      </c>
      <c r="L16" s="10" t="s">
        <v>104</v>
      </c>
      <c r="M16" s="10" t="s">
        <v>104</v>
      </c>
      <c r="N16" s="10" t="s">
        <v>104</v>
      </c>
      <c r="O16" s="83"/>
      <c r="P16" s="80"/>
      <c r="Q16" s="10" t="s">
        <v>104</v>
      </c>
      <c r="R16" s="10" t="s">
        <v>104</v>
      </c>
      <c r="S16" s="10" t="s">
        <v>104</v>
      </c>
      <c r="T16" s="80"/>
      <c r="U16" s="10" t="s">
        <v>103</v>
      </c>
      <c r="V16" s="4">
        <f t="shared" si="1"/>
        <v>8</v>
      </c>
      <c r="W16" s="4">
        <f t="shared" si="2"/>
        <v>4</v>
      </c>
      <c r="X16" s="4" t="s">
        <v>15</v>
      </c>
      <c r="Y16" s="11">
        <f>V6+V9+V11+V13+V16+V21+V22+V23+V24+V25+V26+V27+V32+V34+V36+V38+V39+V41+V40+V40</f>
        <v>120</v>
      </c>
      <c r="Z16" s="11">
        <f>V5+V7+V8+V10+V12+V14+V15+V17+V18+V19+V28+V29+V30+V31+V33+V35+V37+V40+V44+V45</f>
        <v>142</v>
      </c>
      <c r="AA16" s="11">
        <f>Y16+Z16</f>
        <v>262</v>
      </c>
    </row>
    <row r="17" spans="1:27" x14ac:dyDescent="0.25">
      <c r="A17" s="5">
        <v>13</v>
      </c>
      <c r="B17" s="13" t="s">
        <v>44</v>
      </c>
      <c r="C17" s="14" t="s">
        <v>45</v>
      </c>
      <c r="D17" s="9" t="s">
        <v>6</v>
      </c>
      <c r="E17" s="10" t="s">
        <v>103</v>
      </c>
      <c r="F17" s="10" t="s">
        <v>103</v>
      </c>
      <c r="G17" s="10" t="s">
        <v>103</v>
      </c>
      <c r="H17" s="83"/>
      <c r="I17" s="10" t="s">
        <v>104</v>
      </c>
      <c r="J17" s="80"/>
      <c r="K17" s="10" t="s">
        <v>104</v>
      </c>
      <c r="L17" s="10" t="s">
        <v>104</v>
      </c>
      <c r="M17" s="10" t="s">
        <v>104</v>
      </c>
      <c r="N17" s="10" t="s">
        <v>104</v>
      </c>
      <c r="O17" s="83"/>
      <c r="P17" s="80"/>
      <c r="Q17" s="10" t="s">
        <v>103</v>
      </c>
      <c r="R17" s="10" t="s">
        <v>103</v>
      </c>
      <c r="S17" s="10" t="s">
        <v>103</v>
      </c>
      <c r="T17" s="80"/>
      <c r="U17" s="10" t="s">
        <v>103</v>
      </c>
      <c r="V17" s="4">
        <f t="shared" si="1"/>
        <v>5</v>
      </c>
      <c r="W17" s="4">
        <f t="shared" si="2"/>
        <v>7</v>
      </c>
      <c r="X17" s="4" t="s">
        <v>16</v>
      </c>
      <c r="Y17" s="15">
        <f>Y16/Y15</f>
        <v>0.54545454545454541</v>
      </c>
      <c r="Z17" s="15">
        <f>Z16/Z15</f>
        <v>0.61471861471861466</v>
      </c>
      <c r="AA17" s="15">
        <f>AA16/AA15</f>
        <v>0.58093126385809313</v>
      </c>
    </row>
    <row r="18" spans="1:27" x14ac:dyDescent="0.25">
      <c r="A18" s="11">
        <v>14</v>
      </c>
      <c r="B18" s="13" t="s">
        <v>46</v>
      </c>
      <c r="C18" s="14" t="s">
        <v>47</v>
      </c>
      <c r="D18" s="9" t="s">
        <v>6</v>
      </c>
      <c r="E18" s="10" t="s">
        <v>103</v>
      </c>
      <c r="F18" s="10" t="s">
        <v>103</v>
      </c>
      <c r="G18" s="10" t="s">
        <v>103</v>
      </c>
      <c r="H18" s="83"/>
      <c r="I18" s="10" t="s">
        <v>104</v>
      </c>
      <c r="J18" s="80"/>
      <c r="K18" s="10" t="s">
        <v>104</v>
      </c>
      <c r="L18" s="10" t="s">
        <v>104</v>
      </c>
      <c r="M18" s="10" t="s">
        <v>104</v>
      </c>
      <c r="N18" s="10" t="s">
        <v>104</v>
      </c>
      <c r="O18" s="83"/>
      <c r="P18" s="80"/>
      <c r="Q18" s="10" t="s">
        <v>104</v>
      </c>
      <c r="R18" s="10" t="s">
        <v>103</v>
      </c>
      <c r="S18" s="10" t="s">
        <v>103</v>
      </c>
      <c r="T18" s="80"/>
      <c r="U18" s="10" t="s">
        <v>103</v>
      </c>
      <c r="V18" s="4">
        <f t="shared" si="1"/>
        <v>6</v>
      </c>
      <c r="W18" s="4">
        <f t="shared" si="2"/>
        <v>6</v>
      </c>
      <c r="X18"/>
      <c r="Y18"/>
      <c r="Z18"/>
      <c r="AA18"/>
    </row>
    <row r="19" spans="1:27" x14ac:dyDescent="0.25">
      <c r="A19" s="5">
        <v>15</v>
      </c>
      <c r="B19" s="13" t="s">
        <v>48</v>
      </c>
      <c r="C19" s="14" t="s">
        <v>49</v>
      </c>
      <c r="D19" s="9" t="s">
        <v>6</v>
      </c>
      <c r="E19" s="10" t="s">
        <v>103</v>
      </c>
      <c r="F19" s="10" t="s">
        <v>104</v>
      </c>
      <c r="G19" s="10" t="s">
        <v>104</v>
      </c>
      <c r="H19" s="83"/>
      <c r="I19" s="10" t="s">
        <v>104</v>
      </c>
      <c r="J19" s="80"/>
      <c r="K19" s="10" t="s">
        <v>104</v>
      </c>
      <c r="L19" s="10" t="s">
        <v>104</v>
      </c>
      <c r="M19" s="10" t="s">
        <v>104</v>
      </c>
      <c r="N19" s="10" t="s">
        <v>104</v>
      </c>
      <c r="O19" s="83"/>
      <c r="P19" s="80"/>
      <c r="Q19" s="10" t="s">
        <v>104</v>
      </c>
      <c r="R19" s="10" t="s">
        <v>103</v>
      </c>
      <c r="S19" s="10" t="s">
        <v>104</v>
      </c>
      <c r="T19" s="80"/>
      <c r="U19" s="10" t="s">
        <v>103</v>
      </c>
      <c r="V19" s="4">
        <f t="shared" si="1"/>
        <v>9</v>
      </c>
      <c r="W19" s="4">
        <f t="shared" si="2"/>
        <v>3</v>
      </c>
      <c r="X19"/>
      <c r="Y19"/>
      <c r="Z19"/>
      <c r="AA19"/>
    </row>
    <row r="20" spans="1:27" x14ac:dyDescent="0.25">
      <c r="A20" s="11">
        <v>16</v>
      </c>
      <c r="B20" s="13" t="s">
        <v>50</v>
      </c>
      <c r="C20" s="14" t="s">
        <v>51</v>
      </c>
      <c r="D20" s="9" t="s">
        <v>6</v>
      </c>
      <c r="E20" s="10" t="s">
        <v>103</v>
      </c>
      <c r="F20" s="10" t="s">
        <v>103</v>
      </c>
      <c r="G20" s="10" t="s">
        <v>103</v>
      </c>
      <c r="H20" s="83"/>
      <c r="I20" s="10" t="s">
        <v>104</v>
      </c>
      <c r="J20" s="80"/>
      <c r="K20" s="10" t="s">
        <v>104</v>
      </c>
      <c r="L20" s="10" t="s">
        <v>104</v>
      </c>
      <c r="M20" s="10" t="s">
        <v>104</v>
      </c>
      <c r="N20" s="10" t="s">
        <v>104</v>
      </c>
      <c r="O20" s="83"/>
      <c r="P20" s="80"/>
      <c r="Q20" s="10" t="s">
        <v>104</v>
      </c>
      <c r="R20" s="10" t="s">
        <v>103</v>
      </c>
      <c r="S20" s="10" t="s">
        <v>104</v>
      </c>
      <c r="T20" s="80"/>
      <c r="U20" s="10" t="s">
        <v>103</v>
      </c>
      <c r="V20" s="4">
        <f t="shared" si="1"/>
        <v>7</v>
      </c>
      <c r="W20" s="4">
        <f t="shared" si="2"/>
        <v>5</v>
      </c>
      <c r="X20"/>
      <c r="Y20"/>
      <c r="Z20"/>
      <c r="AA20"/>
    </row>
    <row r="21" spans="1:27" ht="15.75" x14ac:dyDescent="0.25">
      <c r="A21" s="5">
        <v>17</v>
      </c>
      <c r="B21" s="13" t="s">
        <v>52</v>
      </c>
      <c r="C21" s="14" t="s">
        <v>53</v>
      </c>
      <c r="D21" s="9" t="s">
        <v>6</v>
      </c>
      <c r="E21" s="10" t="s">
        <v>103</v>
      </c>
      <c r="F21" s="10" t="s">
        <v>103</v>
      </c>
      <c r="G21" s="10" t="s">
        <v>103</v>
      </c>
      <c r="H21" s="83"/>
      <c r="I21" s="10" t="s">
        <v>104</v>
      </c>
      <c r="J21" s="80"/>
      <c r="K21" s="10" t="s">
        <v>104</v>
      </c>
      <c r="L21" s="10" t="s">
        <v>103</v>
      </c>
      <c r="M21" s="10" t="s">
        <v>104</v>
      </c>
      <c r="N21" s="10" t="s">
        <v>104</v>
      </c>
      <c r="O21" s="83"/>
      <c r="P21" s="80"/>
      <c r="Q21" s="10" t="s">
        <v>103</v>
      </c>
      <c r="R21" s="10" t="s">
        <v>103</v>
      </c>
      <c r="S21" s="10" t="s">
        <v>103</v>
      </c>
      <c r="T21" s="80"/>
      <c r="U21" s="10" t="s">
        <v>103</v>
      </c>
      <c r="V21" s="4">
        <f t="shared" si="1"/>
        <v>4</v>
      </c>
      <c r="W21" s="4">
        <f t="shared" si="2"/>
        <v>8</v>
      </c>
      <c r="X21" s="76" t="s">
        <v>316</v>
      </c>
      <c r="Y21" s="77"/>
      <c r="Z21" s="77"/>
      <c r="AA21" s="78"/>
    </row>
    <row r="22" spans="1:27" x14ac:dyDescent="0.25">
      <c r="A22" s="11">
        <v>18</v>
      </c>
      <c r="B22" s="13" t="s">
        <v>54</v>
      </c>
      <c r="C22" s="14" t="s">
        <v>55</v>
      </c>
      <c r="D22" s="9" t="s">
        <v>6</v>
      </c>
      <c r="E22" s="10" t="s">
        <v>103</v>
      </c>
      <c r="F22" s="10" t="s">
        <v>104</v>
      </c>
      <c r="G22" s="10" t="s">
        <v>104</v>
      </c>
      <c r="H22" s="83"/>
      <c r="I22" s="10" t="s">
        <v>104</v>
      </c>
      <c r="J22" s="80"/>
      <c r="K22" s="10" t="s">
        <v>104</v>
      </c>
      <c r="L22" s="10" t="s">
        <v>104</v>
      </c>
      <c r="M22" s="10" t="s">
        <v>104</v>
      </c>
      <c r="N22" s="10" t="s">
        <v>103</v>
      </c>
      <c r="O22" s="83"/>
      <c r="P22" s="80"/>
      <c r="Q22" s="10" t="s">
        <v>104</v>
      </c>
      <c r="R22" s="10" t="s">
        <v>103</v>
      </c>
      <c r="S22" s="10" t="s">
        <v>103</v>
      </c>
      <c r="T22" s="80"/>
      <c r="U22" s="10" t="s">
        <v>103</v>
      </c>
      <c r="V22" s="4">
        <f t="shared" si="1"/>
        <v>7</v>
      </c>
      <c r="W22" s="4">
        <f t="shared" si="2"/>
        <v>5</v>
      </c>
      <c r="X22" s="4" t="s">
        <v>10</v>
      </c>
      <c r="Y22" s="4" t="s">
        <v>11</v>
      </c>
      <c r="Z22" s="4" t="s">
        <v>12</v>
      </c>
      <c r="AA22" s="4" t="s">
        <v>13</v>
      </c>
    </row>
    <row r="23" spans="1:27" x14ac:dyDescent="0.25">
      <c r="A23" s="5">
        <v>19</v>
      </c>
      <c r="B23" s="13" t="s">
        <v>56</v>
      </c>
      <c r="C23" s="14" t="s">
        <v>57</v>
      </c>
      <c r="D23" s="9" t="s">
        <v>6</v>
      </c>
      <c r="E23" s="10" t="s">
        <v>104</v>
      </c>
      <c r="F23" s="10" t="s">
        <v>104</v>
      </c>
      <c r="G23" s="10" t="s">
        <v>104</v>
      </c>
      <c r="H23" s="83"/>
      <c r="I23" s="10" t="s">
        <v>104</v>
      </c>
      <c r="J23" s="80"/>
      <c r="K23" s="10" t="s">
        <v>104</v>
      </c>
      <c r="L23" s="10" t="s">
        <v>104</v>
      </c>
      <c r="M23" s="10" t="s">
        <v>104</v>
      </c>
      <c r="N23" s="10" t="s">
        <v>104</v>
      </c>
      <c r="O23" s="83"/>
      <c r="P23" s="80"/>
      <c r="Q23" s="10" t="s">
        <v>104</v>
      </c>
      <c r="R23" s="10" t="s">
        <v>103</v>
      </c>
      <c r="S23" s="10" t="s">
        <v>104</v>
      </c>
      <c r="T23" s="80"/>
      <c r="U23" s="10" t="s">
        <v>103</v>
      </c>
      <c r="V23" s="4">
        <f t="shared" si="1"/>
        <v>10</v>
      </c>
      <c r="W23" s="4">
        <f t="shared" si="2"/>
        <v>2</v>
      </c>
      <c r="X23" s="4" t="s">
        <v>14</v>
      </c>
      <c r="Y23" s="11">
        <f>20*11</f>
        <v>220</v>
      </c>
      <c r="Z23" s="11">
        <f>21*11</f>
        <v>231</v>
      </c>
      <c r="AA23" s="11">
        <f>Y23+Z23</f>
        <v>451</v>
      </c>
    </row>
    <row r="24" spans="1:27" x14ac:dyDescent="0.25">
      <c r="A24" s="11">
        <v>20</v>
      </c>
      <c r="B24" s="13" t="s">
        <v>58</v>
      </c>
      <c r="C24" s="14" t="s">
        <v>59</v>
      </c>
      <c r="D24" s="9" t="s">
        <v>6</v>
      </c>
      <c r="E24" s="10" t="s">
        <v>103</v>
      </c>
      <c r="F24" s="10" t="s">
        <v>104</v>
      </c>
      <c r="G24" s="10" t="s">
        <v>104</v>
      </c>
      <c r="H24" s="83"/>
      <c r="I24" s="10" t="s">
        <v>103</v>
      </c>
      <c r="J24" s="80"/>
      <c r="K24" s="10" t="s">
        <v>104</v>
      </c>
      <c r="L24" s="10" t="s">
        <v>104</v>
      </c>
      <c r="M24" s="10" t="s">
        <v>104</v>
      </c>
      <c r="N24" s="10" t="s">
        <v>104</v>
      </c>
      <c r="O24" s="83"/>
      <c r="P24" s="80"/>
      <c r="Q24" s="10" t="s">
        <v>104</v>
      </c>
      <c r="R24" s="10" t="s">
        <v>104</v>
      </c>
      <c r="S24" s="10" t="s">
        <v>103</v>
      </c>
      <c r="T24" s="80"/>
      <c r="U24" s="10" t="s">
        <v>103</v>
      </c>
      <c r="V24" s="4">
        <f t="shared" si="1"/>
        <v>8</v>
      </c>
      <c r="W24" s="4">
        <f t="shared" si="2"/>
        <v>4</v>
      </c>
      <c r="X24" s="4" t="s">
        <v>17</v>
      </c>
      <c r="Y24" s="11">
        <f>Y23-Y16</f>
        <v>100</v>
      </c>
      <c r="Z24" s="11">
        <f>Z23-Z16</f>
        <v>89</v>
      </c>
      <c r="AA24" s="11">
        <f>Y24+Z24</f>
        <v>189</v>
      </c>
    </row>
    <row r="25" spans="1:27" x14ac:dyDescent="0.25">
      <c r="A25" s="5">
        <v>21</v>
      </c>
      <c r="B25" s="13" t="s">
        <v>60</v>
      </c>
      <c r="C25" s="14" t="s">
        <v>61</v>
      </c>
      <c r="D25" s="9" t="s">
        <v>6</v>
      </c>
      <c r="E25" s="10" t="s">
        <v>103</v>
      </c>
      <c r="F25" s="10" t="s">
        <v>103</v>
      </c>
      <c r="G25" s="10" t="s">
        <v>104</v>
      </c>
      <c r="H25" s="83"/>
      <c r="I25" s="10" t="s">
        <v>104</v>
      </c>
      <c r="J25" s="80"/>
      <c r="K25" s="10" t="s">
        <v>104</v>
      </c>
      <c r="L25" s="10" t="s">
        <v>104</v>
      </c>
      <c r="M25" s="10" t="s">
        <v>104</v>
      </c>
      <c r="N25" s="10" t="s">
        <v>103</v>
      </c>
      <c r="O25" s="83"/>
      <c r="P25" s="80"/>
      <c r="Q25" s="10" t="s">
        <v>104</v>
      </c>
      <c r="R25" s="10" t="s">
        <v>103</v>
      </c>
      <c r="S25" s="10" t="s">
        <v>104</v>
      </c>
      <c r="T25" s="80"/>
      <c r="U25" s="10" t="s">
        <v>103</v>
      </c>
      <c r="V25" s="4">
        <f t="shared" si="1"/>
        <v>7</v>
      </c>
      <c r="W25" s="4">
        <f t="shared" si="2"/>
        <v>5</v>
      </c>
      <c r="X25" s="4" t="s">
        <v>16</v>
      </c>
      <c r="Y25" s="15">
        <f>Y24/Y23</f>
        <v>0.45454545454545453</v>
      </c>
      <c r="Z25" s="15">
        <f>Z24/Z23</f>
        <v>0.38528138528138528</v>
      </c>
      <c r="AA25" s="15">
        <f>AA24/AA23</f>
        <v>0.41906873614190687</v>
      </c>
    </row>
    <row r="26" spans="1:27" x14ac:dyDescent="0.25">
      <c r="A26" s="11">
        <v>22</v>
      </c>
      <c r="B26" s="13" t="s">
        <v>62</v>
      </c>
      <c r="C26" s="14" t="s">
        <v>63</v>
      </c>
      <c r="D26" s="9" t="s">
        <v>6</v>
      </c>
      <c r="E26" s="10" t="s">
        <v>112</v>
      </c>
      <c r="F26" s="10" t="s">
        <v>112</v>
      </c>
      <c r="G26" s="10" t="s">
        <v>112</v>
      </c>
      <c r="H26" s="83"/>
      <c r="I26" s="10" t="s">
        <v>112</v>
      </c>
      <c r="J26" s="80"/>
      <c r="K26" s="10" t="s">
        <v>112</v>
      </c>
      <c r="L26" s="10" t="s">
        <v>112</v>
      </c>
      <c r="M26" s="10" t="s">
        <v>112</v>
      </c>
      <c r="N26" s="10" t="s">
        <v>112</v>
      </c>
      <c r="O26" s="83"/>
      <c r="P26" s="80"/>
      <c r="Q26" s="10" t="s">
        <v>104</v>
      </c>
      <c r="R26" s="10" t="s">
        <v>103</v>
      </c>
      <c r="S26" s="10" t="s">
        <v>103</v>
      </c>
      <c r="T26" s="80"/>
      <c r="U26" s="10" t="s">
        <v>103</v>
      </c>
      <c r="V26" s="4">
        <f t="shared" si="1"/>
        <v>1</v>
      </c>
      <c r="W26" s="4">
        <f t="shared" si="2"/>
        <v>3</v>
      </c>
    </row>
    <row r="27" spans="1:27" x14ac:dyDescent="0.25">
      <c r="A27" s="5">
        <v>23</v>
      </c>
      <c r="B27" s="13" t="s">
        <v>64</v>
      </c>
      <c r="C27" s="14" t="s">
        <v>65</v>
      </c>
      <c r="D27" s="9" t="s">
        <v>6</v>
      </c>
      <c r="E27" s="10" t="s">
        <v>112</v>
      </c>
      <c r="F27" s="10" t="s">
        <v>112</v>
      </c>
      <c r="G27" s="10" t="s">
        <v>112</v>
      </c>
      <c r="H27" s="83"/>
      <c r="I27" s="10" t="s">
        <v>112</v>
      </c>
      <c r="J27" s="80"/>
      <c r="K27" s="10" t="s">
        <v>112</v>
      </c>
      <c r="L27" s="10" t="s">
        <v>112</v>
      </c>
      <c r="M27" s="10" t="s">
        <v>112</v>
      </c>
      <c r="N27" s="10" t="s">
        <v>112</v>
      </c>
      <c r="O27" s="83"/>
      <c r="P27" s="80"/>
      <c r="Q27" s="10" t="s">
        <v>112</v>
      </c>
      <c r="R27" s="10" t="s">
        <v>112</v>
      </c>
      <c r="S27" s="10" t="s">
        <v>112</v>
      </c>
      <c r="T27" s="80"/>
      <c r="U27" s="10" t="s">
        <v>112</v>
      </c>
      <c r="V27" s="4">
        <f t="shared" si="1"/>
        <v>0</v>
      </c>
      <c r="W27" s="4">
        <f t="shared" si="2"/>
        <v>0</v>
      </c>
    </row>
    <row r="28" spans="1:27" x14ac:dyDescent="0.25">
      <c r="A28" s="11">
        <v>24</v>
      </c>
      <c r="B28" s="13" t="s">
        <v>66</v>
      </c>
      <c r="C28" s="14" t="s">
        <v>67</v>
      </c>
      <c r="D28" s="9" t="s">
        <v>6</v>
      </c>
      <c r="E28" s="10" t="s">
        <v>103</v>
      </c>
      <c r="F28" s="10" t="s">
        <v>104</v>
      </c>
      <c r="G28" s="10" t="s">
        <v>104</v>
      </c>
      <c r="H28" s="83"/>
      <c r="I28" s="10" t="s">
        <v>104</v>
      </c>
      <c r="J28" s="80"/>
      <c r="K28" s="10" t="s">
        <v>104</v>
      </c>
      <c r="L28" s="10" t="s">
        <v>104</v>
      </c>
      <c r="M28" s="10" t="s">
        <v>104</v>
      </c>
      <c r="N28" s="10" t="s">
        <v>104</v>
      </c>
      <c r="O28" s="83"/>
      <c r="P28" s="80"/>
      <c r="Q28" s="10" t="s">
        <v>104</v>
      </c>
      <c r="R28" s="10" t="s">
        <v>104</v>
      </c>
      <c r="S28" s="10" t="s">
        <v>104</v>
      </c>
      <c r="T28" s="80"/>
      <c r="U28" s="10" t="s">
        <v>103</v>
      </c>
      <c r="V28" s="4">
        <f t="shared" si="1"/>
        <v>10</v>
      </c>
      <c r="W28" s="4">
        <f t="shared" si="2"/>
        <v>2</v>
      </c>
    </row>
    <row r="29" spans="1:27" x14ac:dyDescent="0.25">
      <c r="A29" s="5">
        <v>25</v>
      </c>
      <c r="B29" s="13" t="s">
        <v>68</v>
      </c>
      <c r="C29" s="14" t="s">
        <v>69</v>
      </c>
      <c r="D29" s="9" t="s">
        <v>6</v>
      </c>
      <c r="E29" s="10" t="s">
        <v>104</v>
      </c>
      <c r="F29" s="10" t="s">
        <v>104</v>
      </c>
      <c r="G29" s="10" t="s">
        <v>103</v>
      </c>
      <c r="H29" s="83"/>
      <c r="I29" s="10" t="s">
        <v>103</v>
      </c>
      <c r="J29" s="80"/>
      <c r="K29" s="10" t="s">
        <v>103</v>
      </c>
      <c r="L29" s="10" t="s">
        <v>103</v>
      </c>
      <c r="M29" s="10" t="s">
        <v>103</v>
      </c>
      <c r="N29" s="10" t="s">
        <v>104</v>
      </c>
      <c r="O29" s="83"/>
      <c r="P29" s="80"/>
      <c r="Q29" s="10" t="s">
        <v>103</v>
      </c>
      <c r="R29" s="10" t="s">
        <v>103</v>
      </c>
      <c r="S29" s="10" t="s">
        <v>104</v>
      </c>
      <c r="T29" s="80"/>
      <c r="U29" s="10" t="s">
        <v>103</v>
      </c>
      <c r="V29" s="4">
        <f t="shared" si="1"/>
        <v>4</v>
      </c>
      <c r="W29" s="4">
        <f t="shared" si="2"/>
        <v>8</v>
      </c>
    </row>
    <row r="30" spans="1:27" x14ac:dyDescent="0.25">
      <c r="A30" s="11">
        <v>26</v>
      </c>
      <c r="B30" s="13" t="s">
        <v>70</v>
      </c>
      <c r="C30" s="14" t="s">
        <v>71</v>
      </c>
      <c r="D30" s="9" t="s">
        <v>6</v>
      </c>
      <c r="E30" s="10" t="s">
        <v>104</v>
      </c>
      <c r="F30" s="10" t="s">
        <v>104</v>
      </c>
      <c r="G30" s="10" t="s">
        <v>104</v>
      </c>
      <c r="H30" s="83"/>
      <c r="I30" s="10" t="s">
        <v>104</v>
      </c>
      <c r="J30" s="80"/>
      <c r="K30" s="10" t="s">
        <v>104</v>
      </c>
      <c r="L30" s="10" t="s">
        <v>104</v>
      </c>
      <c r="M30" s="10" t="s">
        <v>103</v>
      </c>
      <c r="N30" s="10" t="s">
        <v>107</v>
      </c>
      <c r="O30" s="83"/>
      <c r="P30" s="80"/>
      <c r="Q30" s="10" t="s">
        <v>103</v>
      </c>
      <c r="R30" s="10" t="s">
        <v>104</v>
      </c>
      <c r="S30" s="10" t="s">
        <v>103</v>
      </c>
      <c r="T30" s="80"/>
      <c r="U30" s="10" t="s">
        <v>103</v>
      </c>
      <c r="V30" s="4">
        <f t="shared" si="1"/>
        <v>7</v>
      </c>
      <c r="W30" s="4">
        <f t="shared" si="2"/>
        <v>4</v>
      </c>
    </row>
    <row r="31" spans="1:27" x14ac:dyDescent="0.25">
      <c r="A31" s="5">
        <v>27</v>
      </c>
      <c r="B31" s="13" t="s">
        <v>72</v>
      </c>
      <c r="C31" s="14" t="s">
        <v>73</v>
      </c>
      <c r="D31" s="9" t="s">
        <v>6</v>
      </c>
      <c r="E31" s="10" t="s">
        <v>103</v>
      </c>
      <c r="F31" s="10" t="s">
        <v>103</v>
      </c>
      <c r="G31" s="10" t="s">
        <v>103</v>
      </c>
      <c r="H31" s="83"/>
      <c r="I31" s="10" t="s">
        <v>104</v>
      </c>
      <c r="J31" s="80"/>
      <c r="K31" s="10" t="s">
        <v>104</v>
      </c>
      <c r="L31" s="10" t="s">
        <v>104</v>
      </c>
      <c r="M31" s="10" t="s">
        <v>104</v>
      </c>
      <c r="N31" s="10" t="s">
        <v>104</v>
      </c>
      <c r="O31" s="83"/>
      <c r="P31" s="80"/>
      <c r="Q31" s="10" t="s">
        <v>104</v>
      </c>
      <c r="R31" s="10" t="s">
        <v>103</v>
      </c>
      <c r="S31" s="10" t="s">
        <v>103</v>
      </c>
      <c r="T31" s="80"/>
      <c r="U31" s="10" t="s">
        <v>103</v>
      </c>
      <c r="V31" s="4">
        <f t="shared" si="1"/>
        <v>6</v>
      </c>
      <c r="W31" s="4">
        <f t="shared" si="2"/>
        <v>6</v>
      </c>
    </row>
    <row r="32" spans="1:27" x14ac:dyDescent="0.25">
      <c r="A32" s="11">
        <v>28</v>
      </c>
      <c r="B32" s="13" t="s">
        <v>74</v>
      </c>
      <c r="C32" s="14" t="s">
        <v>75</v>
      </c>
      <c r="D32" s="9" t="s">
        <v>6</v>
      </c>
      <c r="E32" s="10" t="s">
        <v>103</v>
      </c>
      <c r="F32" s="10" t="s">
        <v>103</v>
      </c>
      <c r="G32" s="10" t="s">
        <v>103</v>
      </c>
      <c r="H32" s="83"/>
      <c r="I32" s="10" t="s">
        <v>104</v>
      </c>
      <c r="J32" s="80"/>
      <c r="K32" s="10" t="s">
        <v>104</v>
      </c>
      <c r="L32" s="10" t="s">
        <v>103</v>
      </c>
      <c r="M32" s="10" t="s">
        <v>104</v>
      </c>
      <c r="N32" s="10" t="s">
        <v>103</v>
      </c>
      <c r="O32" s="83"/>
      <c r="P32" s="80"/>
      <c r="Q32" s="10" t="s">
        <v>103</v>
      </c>
      <c r="R32" s="10" t="s">
        <v>103</v>
      </c>
      <c r="S32" s="10" t="s">
        <v>103</v>
      </c>
      <c r="T32" s="80"/>
      <c r="U32" s="10" t="s">
        <v>103</v>
      </c>
      <c r="V32" s="4">
        <f t="shared" si="1"/>
        <v>3</v>
      </c>
      <c r="W32" s="4">
        <f t="shared" si="2"/>
        <v>9</v>
      </c>
    </row>
    <row r="33" spans="1:23" x14ac:dyDescent="0.25">
      <c r="A33" s="5">
        <v>29</v>
      </c>
      <c r="B33" s="13" t="s">
        <v>76</v>
      </c>
      <c r="C33" s="14" t="s">
        <v>77</v>
      </c>
      <c r="D33" s="9" t="s">
        <v>6</v>
      </c>
      <c r="E33" s="10" t="s">
        <v>104</v>
      </c>
      <c r="F33" s="10" t="s">
        <v>104</v>
      </c>
      <c r="G33" s="10" t="s">
        <v>104</v>
      </c>
      <c r="H33" s="83"/>
      <c r="I33" s="10" t="s">
        <v>104</v>
      </c>
      <c r="J33" s="80"/>
      <c r="K33" s="10" t="s">
        <v>104</v>
      </c>
      <c r="L33" s="10" t="s">
        <v>104</v>
      </c>
      <c r="M33" s="10" t="s">
        <v>104</v>
      </c>
      <c r="N33" s="10" t="s">
        <v>104</v>
      </c>
      <c r="O33" s="83"/>
      <c r="P33" s="80"/>
      <c r="Q33" s="10" t="s">
        <v>104</v>
      </c>
      <c r="R33" s="10" t="s">
        <v>103</v>
      </c>
      <c r="S33" s="10" t="s">
        <v>103</v>
      </c>
      <c r="T33" s="80"/>
      <c r="U33" s="10" t="s">
        <v>103</v>
      </c>
      <c r="V33" s="4">
        <f t="shared" si="1"/>
        <v>9</v>
      </c>
      <c r="W33" s="4">
        <f t="shared" si="2"/>
        <v>3</v>
      </c>
    </row>
    <row r="34" spans="1:23" x14ac:dyDescent="0.25">
      <c r="A34" s="11">
        <v>30</v>
      </c>
      <c r="B34" s="13" t="s">
        <v>85</v>
      </c>
      <c r="C34" s="14" t="s">
        <v>77</v>
      </c>
      <c r="D34" s="9" t="s">
        <v>6</v>
      </c>
      <c r="E34" s="10" t="s">
        <v>104</v>
      </c>
      <c r="F34" s="10" t="s">
        <v>104</v>
      </c>
      <c r="G34" s="10" t="s">
        <v>104</v>
      </c>
      <c r="H34" s="83"/>
      <c r="I34" s="10" t="s">
        <v>104</v>
      </c>
      <c r="J34" s="80"/>
      <c r="K34" s="10" t="s">
        <v>104</v>
      </c>
      <c r="L34" s="10" t="s">
        <v>104</v>
      </c>
      <c r="M34" s="10" t="s">
        <v>107</v>
      </c>
      <c r="N34" s="10" t="s">
        <v>104</v>
      </c>
      <c r="O34" s="83"/>
      <c r="P34" s="80"/>
      <c r="Q34" s="10" t="s">
        <v>104</v>
      </c>
      <c r="R34" s="10" t="s">
        <v>103</v>
      </c>
      <c r="S34" s="10" t="s">
        <v>103</v>
      </c>
      <c r="T34" s="80"/>
      <c r="U34" s="10" t="s">
        <v>103</v>
      </c>
      <c r="V34" s="4">
        <f t="shared" si="1"/>
        <v>8</v>
      </c>
      <c r="W34" s="4">
        <f t="shared" si="2"/>
        <v>3</v>
      </c>
    </row>
    <row r="35" spans="1:23" x14ac:dyDescent="0.25">
      <c r="A35" s="5">
        <v>31</v>
      </c>
      <c r="B35" s="13" t="s">
        <v>78</v>
      </c>
      <c r="C35" s="14" t="s">
        <v>79</v>
      </c>
      <c r="D35" s="9" t="s">
        <v>6</v>
      </c>
      <c r="E35" s="10" t="s">
        <v>103</v>
      </c>
      <c r="F35" s="10" t="s">
        <v>103</v>
      </c>
      <c r="G35" s="10" t="s">
        <v>103</v>
      </c>
      <c r="H35" s="83"/>
      <c r="I35" s="10" t="s">
        <v>104</v>
      </c>
      <c r="J35" s="80"/>
      <c r="K35" s="10" t="s">
        <v>104</v>
      </c>
      <c r="L35" s="10" t="s">
        <v>104</v>
      </c>
      <c r="M35" s="10" t="s">
        <v>104</v>
      </c>
      <c r="N35" s="10" t="s">
        <v>104</v>
      </c>
      <c r="O35" s="83"/>
      <c r="P35" s="80"/>
      <c r="Q35" s="10" t="s">
        <v>103</v>
      </c>
      <c r="R35" s="10" t="s">
        <v>103</v>
      </c>
      <c r="S35" s="10" t="s">
        <v>104</v>
      </c>
      <c r="T35" s="80"/>
      <c r="U35" s="10" t="s">
        <v>103</v>
      </c>
      <c r="V35" s="4">
        <f t="shared" si="1"/>
        <v>6</v>
      </c>
      <c r="W35" s="4">
        <f t="shared" si="2"/>
        <v>6</v>
      </c>
    </row>
    <row r="36" spans="1:23" x14ac:dyDescent="0.25">
      <c r="A36" s="11">
        <v>32</v>
      </c>
      <c r="B36" s="13" t="s">
        <v>80</v>
      </c>
      <c r="C36" s="14" t="s">
        <v>81</v>
      </c>
      <c r="D36" s="9" t="s">
        <v>6</v>
      </c>
      <c r="E36" s="10" t="s">
        <v>103</v>
      </c>
      <c r="F36" s="10" t="s">
        <v>103</v>
      </c>
      <c r="G36" s="10" t="s">
        <v>103</v>
      </c>
      <c r="H36" s="83"/>
      <c r="I36" s="10" t="s">
        <v>103</v>
      </c>
      <c r="J36" s="80"/>
      <c r="K36" s="10" t="s">
        <v>103</v>
      </c>
      <c r="L36" s="10" t="s">
        <v>104</v>
      </c>
      <c r="M36" s="10" t="s">
        <v>104</v>
      </c>
      <c r="N36" s="10" t="s">
        <v>103</v>
      </c>
      <c r="O36" s="83"/>
      <c r="P36" s="80"/>
      <c r="Q36" s="10" t="s">
        <v>104</v>
      </c>
      <c r="R36" s="10" t="s">
        <v>103</v>
      </c>
      <c r="S36" s="10" t="s">
        <v>103</v>
      </c>
      <c r="T36" s="80"/>
      <c r="U36" s="10" t="s">
        <v>103</v>
      </c>
      <c r="V36" s="4">
        <f t="shared" si="1"/>
        <v>3</v>
      </c>
      <c r="W36" s="4">
        <f t="shared" si="2"/>
        <v>9</v>
      </c>
    </row>
    <row r="37" spans="1:23" x14ac:dyDescent="0.25">
      <c r="A37" s="5">
        <v>33</v>
      </c>
      <c r="B37" s="13" t="s">
        <v>82</v>
      </c>
      <c r="C37" s="14" t="s">
        <v>83</v>
      </c>
      <c r="D37" s="9" t="s">
        <v>6</v>
      </c>
      <c r="E37" s="10" t="s">
        <v>104</v>
      </c>
      <c r="F37" s="10" t="s">
        <v>104</v>
      </c>
      <c r="G37" s="10" t="s">
        <v>104</v>
      </c>
      <c r="H37" s="83"/>
      <c r="I37" s="10" t="s">
        <v>104</v>
      </c>
      <c r="J37" s="80"/>
      <c r="K37" s="10" t="s">
        <v>104</v>
      </c>
      <c r="L37" s="10" t="s">
        <v>104</v>
      </c>
      <c r="M37" s="10" t="s">
        <v>103</v>
      </c>
      <c r="N37" s="10" t="s">
        <v>103</v>
      </c>
      <c r="O37" s="83"/>
      <c r="P37" s="80"/>
      <c r="Q37" s="10" t="s">
        <v>104</v>
      </c>
      <c r="R37" s="10" t="s">
        <v>104</v>
      </c>
      <c r="S37" s="10" t="s">
        <v>104</v>
      </c>
      <c r="T37" s="80"/>
      <c r="U37" s="10" t="s">
        <v>103</v>
      </c>
      <c r="V37" s="4">
        <f t="shared" si="1"/>
        <v>9</v>
      </c>
      <c r="W37" s="4">
        <f t="shared" si="2"/>
        <v>3</v>
      </c>
    </row>
    <row r="38" spans="1:23" x14ac:dyDescent="0.25">
      <c r="A38" s="11">
        <v>34</v>
      </c>
      <c r="B38" s="13" t="s">
        <v>86</v>
      </c>
      <c r="C38" s="14" t="s">
        <v>87</v>
      </c>
      <c r="D38" s="9" t="s">
        <v>6</v>
      </c>
      <c r="E38" s="10" t="s">
        <v>112</v>
      </c>
      <c r="F38" s="10" t="s">
        <v>112</v>
      </c>
      <c r="G38" s="10" t="s">
        <v>112</v>
      </c>
      <c r="H38" s="83"/>
      <c r="I38" s="10" t="s">
        <v>112</v>
      </c>
      <c r="J38" s="80"/>
      <c r="K38" s="10" t="s">
        <v>112</v>
      </c>
      <c r="L38" s="10" t="s">
        <v>112</v>
      </c>
      <c r="M38" s="10" t="s">
        <v>104</v>
      </c>
      <c r="N38" s="10" t="s">
        <v>104</v>
      </c>
      <c r="O38" s="83"/>
      <c r="P38" s="80"/>
      <c r="Q38" s="10" t="s">
        <v>103</v>
      </c>
      <c r="R38" s="10" t="s">
        <v>104</v>
      </c>
      <c r="S38" s="10" t="s">
        <v>104</v>
      </c>
      <c r="T38" s="80"/>
      <c r="U38" s="10" t="s">
        <v>103</v>
      </c>
      <c r="V38" s="4">
        <f t="shared" si="1"/>
        <v>4</v>
      </c>
      <c r="W38" s="4">
        <f t="shared" si="2"/>
        <v>2</v>
      </c>
    </row>
    <row r="39" spans="1:23" x14ac:dyDescent="0.25">
      <c r="A39" s="5">
        <v>35</v>
      </c>
      <c r="B39" s="13" t="s">
        <v>88</v>
      </c>
      <c r="C39" s="14"/>
      <c r="D39" s="9" t="s">
        <v>6</v>
      </c>
      <c r="E39" s="10" t="s">
        <v>112</v>
      </c>
      <c r="F39" s="10" t="s">
        <v>112</v>
      </c>
      <c r="G39" s="10" t="s">
        <v>112</v>
      </c>
      <c r="H39" s="83"/>
      <c r="I39" s="10" t="s">
        <v>112</v>
      </c>
      <c r="J39" s="80"/>
      <c r="K39" s="10" t="s">
        <v>112</v>
      </c>
      <c r="L39" s="10" t="s">
        <v>112</v>
      </c>
      <c r="M39" s="10" t="s">
        <v>104</v>
      </c>
      <c r="N39" s="10" t="s">
        <v>104</v>
      </c>
      <c r="O39" s="83"/>
      <c r="P39" s="80"/>
      <c r="Q39" s="10" t="s">
        <v>103</v>
      </c>
      <c r="R39" s="10" t="s">
        <v>104</v>
      </c>
      <c r="S39" s="10" t="s">
        <v>104</v>
      </c>
      <c r="T39" s="80"/>
      <c r="U39" s="10" t="s">
        <v>103</v>
      </c>
      <c r="V39" s="4">
        <f t="shared" si="1"/>
        <v>4</v>
      </c>
      <c r="W39" s="4">
        <f t="shared" si="2"/>
        <v>2</v>
      </c>
    </row>
    <row r="40" spans="1:23" x14ac:dyDescent="0.25">
      <c r="A40" s="11">
        <v>36</v>
      </c>
      <c r="B40" s="13" t="s">
        <v>89</v>
      </c>
      <c r="C40" s="14" t="s">
        <v>90</v>
      </c>
      <c r="D40" s="9" t="s">
        <v>6</v>
      </c>
      <c r="E40" s="10" t="s">
        <v>103</v>
      </c>
      <c r="F40" s="10" t="s">
        <v>103</v>
      </c>
      <c r="G40" s="10" t="s">
        <v>104</v>
      </c>
      <c r="H40" s="83"/>
      <c r="I40" s="10" t="s">
        <v>104</v>
      </c>
      <c r="J40" s="80"/>
      <c r="K40" s="10" t="s">
        <v>104</v>
      </c>
      <c r="L40" s="10" t="s">
        <v>104</v>
      </c>
      <c r="M40" s="10" t="s">
        <v>104</v>
      </c>
      <c r="N40" s="10" t="s">
        <v>104</v>
      </c>
      <c r="O40" s="83"/>
      <c r="P40" s="80"/>
      <c r="Q40" s="10" t="s">
        <v>104</v>
      </c>
      <c r="R40" s="10" t="s">
        <v>103</v>
      </c>
      <c r="S40" s="10" t="s">
        <v>103</v>
      </c>
      <c r="T40" s="80"/>
      <c r="U40" s="10" t="s">
        <v>103</v>
      </c>
      <c r="V40" s="4">
        <f t="shared" si="1"/>
        <v>7</v>
      </c>
      <c r="W40" s="4">
        <f t="shared" si="2"/>
        <v>5</v>
      </c>
    </row>
    <row r="41" spans="1:23" x14ac:dyDescent="0.25">
      <c r="A41" s="5">
        <v>37</v>
      </c>
      <c r="B41" s="13" t="s">
        <v>91</v>
      </c>
      <c r="C41" s="14" t="s">
        <v>92</v>
      </c>
      <c r="D41" s="9" t="s">
        <v>6</v>
      </c>
      <c r="E41" s="10" t="s">
        <v>103</v>
      </c>
      <c r="F41" s="10" t="s">
        <v>103</v>
      </c>
      <c r="G41" s="10" t="s">
        <v>104</v>
      </c>
      <c r="H41" s="83"/>
      <c r="I41" s="10" t="s">
        <v>104</v>
      </c>
      <c r="J41" s="80"/>
      <c r="K41" s="10" t="s">
        <v>104</v>
      </c>
      <c r="L41" s="10" t="s">
        <v>104</v>
      </c>
      <c r="M41" s="10" t="s">
        <v>104</v>
      </c>
      <c r="N41" s="10" t="s">
        <v>103</v>
      </c>
      <c r="O41" s="83"/>
      <c r="P41" s="80"/>
      <c r="Q41" s="10" t="s">
        <v>104</v>
      </c>
      <c r="R41" s="10" t="s">
        <v>103</v>
      </c>
      <c r="S41" s="10" t="s">
        <v>103</v>
      </c>
      <c r="T41" s="80"/>
      <c r="U41" s="10" t="s">
        <v>103</v>
      </c>
      <c r="V41" s="4">
        <f t="shared" si="1"/>
        <v>6</v>
      </c>
      <c r="W41" s="4">
        <f t="shared" si="2"/>
        <v>6</v>
      </c>
    </row>
    <row r="42" spans="1:23" x14ac:dyDescent="0.25">
      <c r="A42" s="11">
        <v>38</v>
      </c>
      <c r="B42" s="13" t="s">
        <v>93</v>
      </c>
      <c r="C42" s="14" t="s">
        <v>94</v>
      </c>
      <c r="D42" s="9" t="s">
        <v>6</v>
      </c>
      <c r="E42" s="10" t="s">
        <v>103</v>
      </c>
      <c r="F42" s="10" t="s">
        <v>103</v>
      </c>
      <c r="G42" s="10" t="s">
        <v>103</v>
      </c>
      <c r="H42" s="83"/>
      <c r="I42" s="10" t="s">
        <v>104</v>
      </c>
      <c r="J42" s="80"/>
      <c r="K42" s="10" t="s">
        <v>104</v>
      </c>
      <c r="L42" s="10" t="s">
        <v>104</v>
      </c>
      <c r="M42" s="10" t="s">
        <v>104</v>
      </c>
      <c r="N42" s="10" t="s">
        <v>103</v>
      </c>
      <c r="O42" s="83"/>
      <c r="P42" s="80"/>
      <c r="Q42" s="10" t="s">
        <v>104</v>
      </c>
      <c r="R42" s="10" t="s">
        <v>103</v>
      </c>
      <c r="S42" s="10" t="s">
        <v>104</v>
      </c>
      <c r="T42" s="80"/>
      <c r="U42" s="10" t="s">
        <v>103</v>
      </c>
      <c r="V42" s="4">
        <f t="shared" si="1"/>
        <v>6</v>
      </c>
      <c r="W42" s="4">
        <f t="shared" si="2"/>
        <v>6</v>
      </c>
    </row>
    <row r="43" spans="1:23" x14ac:dyDescent="0.25">
      <c r="A43" s="5">
        <v>39</v>
      </c>
      <c r="B43" s="13" t="s">
        <v>98</v>
      </c>
      <c r="C43" s="14" t="s">
        <v>99</v>
      </c>
      <c r="D43" s="9" t="s">
        <v>6</v>
      </c>
      <c r="E43" s="10" t="s">
        <v>103</v>
      </c>
      <c r="F43" s="10" t="s">
        <v>103</v>
      </c>
      <c r="G43" s="10" t="s">
        <v>103</v>
      </c>
      <c r="H43" s="83"/>
      <c r="I43" s="10" t="s">
        <v>104</v>
      </c>
      <c r="J43" s="80"/>
      <c r="K43" s="10" t="s">
        <v>104</v>
      </c>
      <c r="L43" s="10" t="s">
        <v>104</v>
      </c>
      <c r="M43" s="10" t="s">
        <v>104</v>
      </c>
      <c r="N43" s="10" t="s">
        <v>104</v>
      </c>
      <c r="O43" s="83"/>
      <c r="P43" s="80"/>
      <c r="Q43" s="10" t="s">
        <v>104</v>
      </c>
      <c r="R43" s="10" t="s">
        <v>104</v>
      </c>
      <c r="S43" s="10" t="s">
        <v>104</v>
      </c>
      <c r="T43" s="80"/>
      <c r="U43" s="10" t="s">
        <v>103</v>
      </c>
      <c r="V43" s="4">
        <f t="shared" si="1"/>
        <v>8</v>
      </c>
      <c r="W43" s="4">
        <f t="shared" si="2"/>
        <v>4</v>
      </c>
    </row>
    <row r="44" spans="1:23" x14ac:dyDescent="0.25">
      <c r="A44" s="11">
        <v>40</v>
      </c>
      <c r="B44" s="13" t="s">
        <v>97</v>
      </c>
      <c r="C44" s="14" t="s">
        <v>100</v>
      </c>
      <c r="D44" s="9" t="s">
        <v>6</v>
      </c>
      <c r="E44" s="10" t="s">
        <v>112</v>
      </c>
      <c r="F44" s="10" t="s">
        <v>112</v>
      </c>
      <c r="G44" s="10" t="s">
        <v>112</v>
      </c>
      <c r="H44" s="83"/>
      <c r="I44" s="10" t="s">
        <v>104</v>
      </c>
      <c r="J44" s="80"/>
      <c r="K44" s="10" t="s">
        <v>104</v>
      </c>
      <c r="L44" s="10" t="s">
        <v>104</v>
      </c>
      <c r="M44" s="10" t="s">
        <v>104</v>
      </c>
      <c r="N44" s="10" t="s">
        <v>104</v>
      </c>
      <c r="O44" s="83"/>
      <c r="P44" s="80"/>
      <c r="Q44" s="10" t="s">
        <v>104</v>
      </c>
      <c r="R44" s="10" t="s">
        <v>103</v>
      </c>
      <c r="S44" s="10" t="s">
        <v>103</v>
      </c>
      <c r="T44" s="80"/>
      <c r="U44" s="10" t="s">
        <v>103</v>
      </c>
      <c r="V44" s="4">
        <f t="shared" si="1"/>
        <v>6</v>
      </c>
      <c r="W44" s="4">
        <f t="shared" si="2"/>
        <v>3</v>
      </c>
    </row>
    <row r="45" spans="1:23" x14ac:dyDescent="0.25">
      <c r="A45" s="5">
        <v>41</v>
      </c>
      <c r="B45" s="13" t="s">
        <v>101</v>
      </c>
      <c r="C45" s="13" t="s">
        <v>102</v>
      </c>
      <c r="D45" s="9" t="s">
        <v>6</v>
      </c>
      <c r="E45" s="10" t="s">
        <v>103</v>
      </c>
      <c r="F45" s="10" t="s">
        <v>104</v>
      </c>
      <c r="G45" s="10" t="s">
        <v>104</v>
      </c>
      <c r="H45" s="83"/>
      <c r="I45" s="10" t="s">
        <v>104</v>
      </c>
      <c r="J45" s="80"/>
      <c r="K45" s="10" t="s">
        <v>104</v>
      </c>
      <c r="L45" s="10" t="s">
        <v>104</v>
      </c>
      <c r="M45" s="10" t="s">
        <v>104</v>
      </c>
      <c r="N45" s="10" t="s">
        <v>104</v>
      </c>
      <c r="O45" s="83"/>
      <c r="P45" s="80"/>
      <c r="Q45" s="10" t="s">
        <v>104</v>
      </c>
      <c r="R45" s="10" t="s">
        <v>104</v>
      </c>
      <c r="S45" s="10" t="s">
        <v>104</v>
      </c>
      <c r="T45" s="80"/>
      <c r="U45" s="10" t="s">
        <v>103</v>
      </c>
      <c r="V45" s="4">
        <f t="shared" si="1"/>
        <v>10</v>
      </c>
      <c r="W45" s="4">
        <f t="shared" si="2"/>
        <v>2</v>
      </c>
    </row>
  </sheetData>
  <mergeCells count="16">
    <mergeCell ref="A1:W1"/>
    <mergeCell ref="A2:W2"/>
    <mergeCell ref="O5:O45"/>
    <mergeCell ref="J5:J45"/>
    <mergeCell ref="H5:H45"/>
    <mergeCell ref="V3:V4"/>
    <mergeCell ref="A3:A4"/>
    <mergeCell ref="B3:B4"/>
    <mergeCell ref="C3:C4"/>
    <mergeCell ref="D3:D4"/>
    <mergeCell ref="X13:AA13"/>
    <mergeCell ref="X21:AA21"/>
    <mergeCell ref="W3:W4"/>
    <mergeCell ref="T5:T45"/>
    <mergeCell ref="P5:P45"/>
    <mergeCell ref="X3:Y3"/>
  </mergeCells>
  <conditionalFormatting sqref="E5:P5 T5 Q5:S45 U5:U45 E6:G45 I6:I45 K6:N45 E4:U4">
    <cfRule type="expression" dxfId="168" priority="23">
      <formula>IF(E$4=TODAY(),TRUE,FALSE)</formula>
    </cfRule>
  </conditionalFormatting>
  <conditionalFormatting sqref="E5:P5 T5 Q5:S45 U5:U45 E6:G45 I6:I45 K6:N45">
    <cfRule type="cellIs" dxfId="167" priority="10" operator="equal">
      <formula>"P"</formula>
    </cfRule>
  </conditionalFormatting>
  <conditionalFormatting sqref="E3:U4 E5:P5 T5 Q5:S45 U5:U45 E6:G45 I6:I45 K6:N45">
    <cfRule type="expression" dxfId="166" priority="24">
      <formula>E$3="Sun"</formula>
    </cfRule>
  </conditionalFormatting>
  <conditionalFormatting sqref="E5:U45">
    <cfRule type="cellIs" dxfId="165" priority="9" operator="equal">
      <formula>"A"</formula>
    </cfRule>
  </conditionalFormatting>
  <conditionalFormatting sqref="V3:W3 V5:W45">
    <cfRule type="expression" dxfId="164" priority="26">
      <formula>#REF!="Sun"</formula>
    </cfRule>
  </conditionalFormatting>
  <conditionalFormatting sqref="X5:X11">
    <cfRule type="expression" dxfId="163" priority="7">
      <formula>X$3="Sun"</formula>
    </cfRule>
  </conditionalFormatting>
  <conditionalFormatting sqref="X14:X17">
    <cfRule type="expression" dxfId="162" priority="3">
      <formula>X$3="Sun"</formula>
    </cfRule>
  </conditionalFormatting>
  <conditionalFormatting sqref="X22:X25">
    <cfRule type="expression" dxfId="161" priority="2">
      <formula>X$3="Sun"</formula>
    </cfRule>
  </conditionalFormatting>
  <conditionalFormatting sqref="X4:Y4">
    <cfRule type="expression" dxfId="160" priority="8">
      <formula>X$3="Sun"</formula>
    </cfRule>
  </conditionalFormatting>
  <conditionalFormatting sqref="Y14:AA14">
    <cfRule type="expression" dxfId="159" priority="4">
      <formula>Y$3="Sun"</formula>
    </cfRule>
  </conditionalFormatting>
  <conditionalFormatting sqref="Y22:AA22">
    <cfRule type="expression" dxfId="158" priority="1">
      <formula>Y$3="Sun"</formula>
    </cfRule>
  </conditionalFormatting>
  <conditionalFormatting sqref="AA23">
    <cfRule type="expression" dxfId="157" priority="6">
      <formula>AA$3="Sun"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30C30-945B-4976-9316-808A3D120422}">
  <dimension ref="A1:AA57"/>
  <sheetViews>
    <sheetView topLeftCell="A7" workbookViewId="0">
      <selection activeCell="Z15" sqref="Z15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/>
    <col min="6" max="7" width="3.7109375" style="1" bestFit="1" customWidth="1"/>
    <col min="8" max="8" width="3.85546875" style="1"/>
    <col min="9" max="9" width="4.5703125" style="1" bestFit="1" customWidth="1"/>
    <col min="10" max="10" width="3.85546875" style="1"/>
    <col min="11" max="11" width="4.7109375" style="1" bestFit="1" customWidth="1"/>
    <col min="12" max="12" width="3.85546875" style="1"/>
    <col min="13" max="14" width="3.7109375" style="1" bestFit="1" customWidth="1"/>
    <col min="15" max="15" width="3.85546875" style="1"/>
    <col min="16" max="16" width="4.5703125" style="1" bestFit="1" customWidth="1"/>
    <col min="17" max="17" width="3.85546875" style="1"/>
    <col min="18" max="18" width="4.7109375" style="1" bestFit="1" customWidth="1"/>
    <col min="19" max="19" width="3.85546875" style="1"/>
    <col min="20" max="21" width="3.7109375" style="1" bestFit="1" customWidth="1"/>
    <col min="22" max="23" width="6.7109375" style="1" bestFit="1" customWidth="1"/>
    <col min="24" max="24" width="21.140625" style="1" bestFit="1" customWidth="1"/>
    <col min="25" max="25" width="5.85546875" style="1" bestFit="1" customWidth="1"/>
    <col min="26" max="26" width="14.28515625" style="1" bestFit="1" customWidth="1"/>
    <col min="27" max="27" width="6.7109375" style="1" bestFit="1" customWidth="1"/>
    <col min="28" max="16384" width="3.85546875" style="1"/>
  </cols>
  <sheetData>
    <row r="1" spans="1:27" ht="17.25" x14ac:dyDescent="0.25">
      <c r="A1" s="81" t="s">
        <v>19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</row>
    <row r="2" spans="1:27" ht="17.25" x14ac:dyDescent="0.3">
      <c r="A2" s="82" t="s">
        <v>18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</row>
    <row r="3" spans="1:27" ht="15.75" x14ac:dyDescent="0.25">
      <c r="A3" s="84" t="s">
        <v>0</v>
      </c>
      <c r="B3" s="84" t="s">
        <v>1</v>
      </c>
      <c r="C3" s="84" t="s">
        <v>2</v>
      </c>
      <c r="D3" s="84" t="s">
        <v>3</v>
      </c>
      <c r="E3" s="2" t="str">
        <f t="shared" ref="E3:U3" si="0">TEXT(E4,"ddd")</f>
        <v>Thu</v>
      </c>
      <c r="F3" s="2" t="str">
        <f t="shared" si="0"/>
        <v>Fri</v>
      </c>
      <c r="G3" s="2" t="str">
        <f t="shared" si="0"/>
        <v>Sat</v>
      </c>
      <c r="H3" s="2" t="str">
        <f t="shared" si="0"/>
        <v>Sun</v>
      </c>
      <c r="I3" s="2" t="str">
        <f t="shared" si="0"/>
        <v>Mon</v>
      </c>
      <c r="J3" s="2" t="str">
        <f t="shared" si="0"/>
        <v>Tue</v>
      </c>
      <c r="K3" s="2" t="str">
        <f t="shared" si="0"/>
        <v>Wed</v>
      </c>
      <c r="L3" s="2" t="str">
        <f t="shared" si="0"/>
        <v>Thu</v>
      </c>
      <c r="M3" s="2" t="str">
        <f t="shared" si="0"/>
        <v>Fri</v>
      </c>
      <c r="N3" s="2" t="str">
        <f t="shared" si="0"/>
        <v>Sat</v>
      </c>
      <c r="O3" s="2" t="str">
        <f t="shared" si="0"/>
        <v>Sun</v>
      </c>
      <c r="P3" s="2" t="str">
        <f t="shared" si="0"/>
        <v>Mon</v>
      </c>
      <c r="Q3" s="2" t="str">
        <f t="shared" si="0"/>
        <v>Tue</v>
      </c>
      <c r="R3" s="2" t="str">
        <f t="shared" si="0"/>
        <v>Wed</v>
      </c>
      <c r="S3" s="2" t="str">
        <f t="shared" si="0"/>
        <v>Thu</v>
      </c>
      <c r="T3" s="2" t="str">
        <f t="shared" si="0"/>
        <v>Fri</v>
      </c>
      <c r="U3" s="2" t="str">
        <f t="shared" si="0"/>
        <v>Sat</v>
      </c>
      <c r="V3" s="79" t="s">
        <v>4</v>
      </c>
      <c r="W3" s="79" t="s">
        <v>5</v>
      </c>
      <c r="X3" s="76" t="s">
        <v>210</v>
      </c>
      <c r="Y3" s="77"/>
      <c r="Z3" s="3"/>
      <c r="AA3" s="3"/>
    </row>
    <row r="4" spans="1:27" ht="36.75" x14ac:dyDescent="0.25">
      <c r="A4" s="85"/>
      <c r="B4" s="85"/>
      <c r="C4" s="85"/>
      <c r="D4" s="85"/>
      <c r="E4" s="17">
        <v>45519</v>
      </c>
      <c r="F4" s="17">
        <v>45520</v>
      </c>
      <c r="G4" s="17">
        <v>45521</v>
      </c>
      <c r="H4" s="17">
        <v>45522</v>
      </c>
      <c r="I4" s="17">
        <v>45523</v>
      </c>
      <c r="J4" s="17">
        <v>45524</v>
      </c>
      <c r="K4" s="17">
        <v>45525</v>
      </c>
      <c r="L4" s="17">
        <v>45526</v>
      </c>
      <c r="M4" s="17">
        <v>45527</v>
      </c>
      <c r="N4" s="17">
        <v>45528</v>
      </c>
      <c r="O4" s="17">
        <v>45529</v>
      </c>
      <c r="P4" s="17">
        <v>45530</v>
      </c>
      <c r="Q4" s="17">
        <v>45531</v>
      </c>
      <c r="R4" s="17">
        <v>45532</v>
      </c>
      <c r="S4" s="17">
        <v>45533</v>
      </c>
      <c r="T4" s="17">
        <v>45534</v>
      </c>
      <c r="U4" s="17">
        <v>45535</v>
      </c>
      <c r="V4" s="79"/>
      <c r="W4" s="79"/>
      <c r="X4" s="4" t="s">
        <v>315</v>
      </c>
      <c r="Y4" s="4">
        <f>SUM(Y5:Y11)</f>
        <v>31</v>
      </c>
      <c r="Z4" s="3"/>
      <c r="AA4" s="3"/>
    </row>
    <row r="5" spans="1:27" ht="15" customHeight="1" x14ac:dyDescent="0.25">
      <c r="A5" s="5">
        <v>1</v>
      </c>
      <c r="B5" s="6" t="s">
        <v>114</v>
      </c>
      <c r="C5" s="7" t="s">
        <v>115</v>
      </c>
      <c r="D5" s="8" t="s">
        <v>6</v>
      </c>
      <c r="E5" s="10" t="s">
        <v>104</v>
      </c>
      <c r="F5" s="10" t="s">
        <v>104</v>
      </c>
      <c r="G5" s="10" t="s">
        <v>104</v>
      </c>
      <c r="H5" s="86" t="s">
        <v>113</v>
      </c>
      <c r="I5" s="10" t="s">
        <v>104</v>
      </c>
      <c r="J5" s="88" t="s">
        <v>116</v>
      </c>
      <c r="K5" s="10" t="s">
        <v>104</v>
      </c>
      <c r="L5" s="10" t="s">
        <v>104</v>
      </c>
      <c r="M5" s="10" t="s">
        <v>104</v>
      </c>
      <c r="N5" s="88" t="s">
        <v>117</v>
      </c>
      <c r="O5" s="86" t="s">
        <v>113</v>
      </c>
      <c r="P5" s="88" t="s">
        <v>105</v>
      </c>
      <c r="Q5" s="10" t="s">
        <v>103</v>
      </c>
      <c r="R5" s="10" t="s">
        <v>104</v>
      </c>
      <c r="S5" s="10" t="s">
        <v>104</v>
      </c>
      <c r="T5" s="88" t="s">
        <v>106</v>
      </c>
      <c r="U5" s="10"/>
      <c r="V5" s="4">
        <f t="shared" ref="V5:V57" si="1">COUNTIF(E5:U5,"P")</f>
        <v>9</v>
      </c>
      <c r="W5" s="4">
        <f t="shared" ref="W5:W57" si="2">COUNTIF(E5:U5,"A")</f>
        <v>1</v>
      </c>
      <c r="X5" s="4" t="s">
        <v>7</v>
      </c>
      <c r="Y5" s="11">
        <v>11</v>
      </c>
      <c r="Z5" s="12"/>
      <c r="AA5" s="3"/>
    </row>
    <row r="6" spans="1:27" x14ac:dyDescent="0.25">
      <c r="A6" s="11">
        <v>2</v>
      </c>
      <c r="B6" s="13" t="s">
        <v>118</v>
      </c>
      <c r="C6" s="14" t="s">
        <v>119</v>
      </c>
      <c r="D6" s="9" t="s">
        <v>6</v>
      </c>
      <c r="E6" s="10" t="s">
        <v>103</v>
      </c>
      <c r="F6" s="10" t="s">
        <v>104</v>
      </c>
      <c r="G6" s="10" t="s">
        <v>104</v>
      </c>
      <c r="H6" s="87"/>
      <c r="I6" s="10" t="s">
        <v>104</v>
      </c>
      <c r="J6" s="89"/>
      <c r="K6" s="10" t="s">
        <v>104</v>
      </c>
      <c r="L6" s="10" t="s">
        <v>104</v>
      </c>
      <c r="M6" s="10" t="s">
        <v>104</v>
      </c>
      <c r="N6" s="89"/>
      <c r="O6" s="87"/>
      <c r="P6" s="89"/>
      <c r="Q6" s="10" t="s">
        <v>104</v>
      </c>
      <c r="R6" s="10" t="s">
        <v>104</v>
      </c>
      <c r="S6" s="10" t="s">
        <v>103</v>
      </c>
      <c r="T6" s="89"/>
      <c r="U6" s="10"/>
      <c r="V6" s="4">
        <f t="shared" si="1"/>
        <v>8</v>
      </c>
      <c r="W6" s="4">
        <f t="shared" si="2"/>
        <v>2</v>
      </c>
      <c r="X6" s="4" t="s">
        <v>8</v>
      </c>
      <c r="Y6" s="11">
        <v>4</v>
      </c>
      <c r="Z6" s="3"/>
      <c r="AA6" s="3"/>
    </row>
    <row r="7" spans="1:27" x14ac:dyDescent="0.25">
      <c r="A7" s="5">
        <v>3</v>
      </c>
      <c r="B7" s="13" t="s">
        <v>120</v>
      </c>
      <c r="C7" s="14" t="s">
        <v>95</v>
      </c>
      <c r="D7" s="9" t="s">
        <v>6</v>
      </c>
      <c r="E7" s="10" t="s">
        <v>104</v>
      </c>
      <c r="F7" s="10" t="s">
        <v>104</v>
      </c>
      <c r="G7" s="10" t="s">
        <v>104</v>
      </c>
      <c r="H7" s="87"/>
      <c r="I7" s="10" t="s">
        <v>104</v>
      </c>
      <c r="J7" s="89"/>
      <c r="K7" s="10" t="s">
        <v>104</v>
      </c>
      <c r="L7" s="10" t="s">
        <v>104</v>
      </c>
      <c r="M7" s="10" t="s">
        <v>104</v>
      </c>
      <c r="N7" s="89"/>
      <c r="O7" s="87"/>
      <c r="P7" s="89"/>
      <c r="Q7" s="10" t="s">
        <v>104</v>
      </c>
      <c r="R7" s="10" t="s">
        <v>103</v>
      </c>
      <c r="S7" s="10" t="s">
        <v>104</v>
      </c>
      <c r="T7" s="89"/>
      <c r="U7" s="10"/>
      <c r="V7" s="4">
        <f t="shared" si="1"/>
        <v>9</v>
      </c>
      <c r="W7" s="4">
        <f t="shared" si="2"/>
        <v>1</v>
      </c>
      <c r="X7" s="4" t="s">
        <v>313</v>
      </c>
      <c r="Y7" s="11">
        <v>12</v>
      </c>
      <c r="Z7" s="3"/>
      <c r="AA7" s="3"/>
    </row>
    <row r="8" spans="1:27" x14ac:dyDescent="0.25">
      <c r="A8" s="11">
        <v>4</v>
      </c>
      <c r="B8" s="13" t="s">
        <v>121</v>
      </c>
      <c r="C8" s="14" t="s">
        <v>122</v>
      </c>
      <c r="D8" s="9" t="s">
        <v>6</v>
      </c>
      <c r="E8" s="10" t="s">
        <v>103</v>
      </c>
      <c r="F8" s="10" t="s">
        <v>104</v>
      </c>
      <c r="G8" s="10" t="s">
        <v>104</v>
      </c>
      <c r="H8" s="87"/>
      <c r="I8" s="10" t="s">
        <v>104</v>
      </c>
      <c r="J8" s="89"/>
      <c r="K8" s="10" t="s">
        <v>104</v>
      </c>
      <c r="L8" s="10" t="s">
        <v>104</v>
      </c>
      <c r="M8" s="10" t="s">
        <v>104</v>
      </c>
      <c r="N8" s="89"/>
      <c r="O8" s="87"/>
      <c r="P8" s="89"/>
      <c r="Q8" s="10" t="s">
        <v>104</v>
      </c>
      <c r="R8" s="10" t="s">
        <v>103</v>
      </c>
      <c r="S8" s="10" t="s">
        <v>103</v>
      </c>
      <c r="T8" s="89"/>
      <c r="U8" s="10"/>
      <c r="V8" s="4">
        <f t="shared" si="1"/>
        <v>7</v>
      </c>
      <c r="W8" s="4">
        <f t="shared" si="2"/>
        <v>3</v>
      </c>
      <c r="X8" s="4" t="s">
        <v>310</v>
      </c>
      <c r="Y8" s="11">
        <v>1</v>
      </c>
      <c r="Z8"/>
      <c r="AA8"/>
    </row>
    <row r="9" spans="1:27" x14ac:dyDescent="0.25">
      <c r="A9" s="5">
        <v>5</v>
      </c>
      <c r="B9" s="13" t="s">
        <v>123</v>
      </c>
      <c r="C9" s="14" t="s">
        <v>124</v>
      </c>
      <c r="D9" s="9" t="s">
        <v>6</v>
      </c>
      <c r="E9" s="10" t="s">
        <v>104</v>
      </c>
      <c r="F9" s="10" t="s">
        <v>104</v>
      </c>
      <c r="G9" s="10" t="s">
        <v>104</v>
      </c>
      <c r="H9" s="87"/>
      <c r="I9" s="10" t="s">
        <v>104</v>
      </c>
      <c r="J9" s="89"/>
      <c r="K9" s="10" t="s">
        <v>104</v>
      </c>
      <c r="L9" s="10" t="s">
        <v>104</v>
      </c>
      <c r="M9" s="10" t="s">
        <v>104</v>
      </c>
      <c r="N9" s="89"/>
      <c r="O9" s="87"/>
      <c r="P9" s="89"/>
      <c r="Q9" s="10" t="s">
        <v>103</v>
      </c>
      <c r="R9" s="10" t="s">
        <v>103</v>
      </c>
      <c r="S9" s="10" t="s">
        <v>104</v>
      </c>
      <c r="T9" s="89"/>
      <c r="U9" s="10"/>
      <c r="V9" s="4">
        <f t="shared" si="1"/>
        <v>8</v>
      </c>
      <c r="W9" s="4">
        <f t="shared" si="2"/>
        <v>2</v>
      </c>
      <c r="X9" s="4" t="s">
        <v>314</v>
      </c>
      <c r="Y9" s="11">
        <v>1</v>
      </c>
      <c r="Z9"/>
      <c r="AA9"/>
    </row>
    <row r="10" spans="1:27" x14ac:dyDescent="0.25">
      <c r="A10" s="11">
        <v>6</v>
      </c>
      <c r="B10" s="13" t="s">
        <v>125</v>
      </c>
      <c r="C10" s="14" t="s">
        <v>126</v>
      </c>
      <c r="D10" s="9" t="s">
        <v>6</v>
      </c>
      <c r="E10" s="10" t="s">
        <v>103</v>
      </c>
      <c r="F10" s="10" t="s">
        <v>104</v>
      </c>
      <c r="G10" s="10" t="s">
        <v>104</v>
      </c>
      <c r="H10" s="87"/>
      <c r="I10" s="10" t="s">
        <v>104</v>
      </c>
      <c r="J10" s="89"/>
      <c r="K10" s="10" t="s">
        <v>104</v>
      </c>
      <c r="L10" s="10" t="s">
        <v>104</v>
      </c>
      <c r="M10" s="10" t="s">
        <v>104</v>
      </c>
      <c r="N10" s="89"/>
      <c r="O10" s="87"/>
      <c r="P10" s="89"/>
      <c r="Q10" s="10" t="s">
        <v>103</v>
      </c>
      <c r="R10" s="10" t="s">
        <v>103</v>
      </c>
      <c r="S10" s="10" t="s">
        <v>104</v>
      </c>
      <c r="T10" s="89"/>
      <c r="U10" s="10"/>
      <c r="V10" s="4">
        <f t="shared" si="1"/>
        <v>7</v>
      </c>
      <c r="W10" s="4">
        <f t="shared" si="2"/>
        <v>3</v>
      </c>
      <c r="X10" s="4" t="s">
        <v>311</v>
      </c>
      <c r="Y10" s="11">
        <v>1</v>
      </c>
      <c r="Z10"/>
      <c r="AA10"/>
    </row>
    <row r="11" spans="1:27" x14ac:dyDescent="0.25">
      <c r="A11" s="5">
        <v>7</v>
      </c>
      <c r="B11" s="13" t="s">
        <v>127</v>
      </c>
      <c r="C11" s="14" t="s">
        <v>128</v>
      </c>
      <c r="D11" s="9" t="s">
        <v>6</v>
      </c>
      <c r="E11" s="10" t="s">
        <v>104</v>
      </c>
      <c r="F11" s="10" t="s">
        <v>104</v>
      </c>
      <c r="G11" s="10" t="s">
        <v>104</v>
      </c>
      <c r="H11" s="87"/>
      <c r="I11" s="10" t="s">
        <v>104</v>
      </c>
      <c r="J11" s="89"/>
      <c r="K11" s="10" t="s">
        <v>104</v>
      </c>
      <c r="L11" s="10" t="s">
        <v>104</v>
      </c>
      <c r="M11" s="10" t="s">
        <v>104</v>
      </c>
      <c r="N11" s="89"/>
      <c r="O11" s="87"/>
      <c r="P11" s="89"/>
      <c r="Q11" s="10" t="s">
        <v>103</v>
      </c>
      <c r="R11" s="10" t="s">
        <v>103</v>
      </c>
      <c r="S11" s="10" t="s">
        <v>104</v>
      </c>
      <c r="T11" s="89"/>
      <c r="U11" s="10"/>
      <c r="V11" s="4">
        <f t="shared" si="1"/>
        <v>8</v>
      </c>
      <c r="W11" s="4">
        <f t="shared" si="2"/>
        <v>2</v>
      </c>
      <c r="X11" s="4" t="s">
        <v>312</v>
      </c>
      <c r="Y11" s="11">
        <v>1</v>
      </c>
      <c r="Z11"/>
      <c r="AA11"/>
    </row>
    <row r="12" spans="1:27" x14ac:dyDescent="0.25">
      <c r="A12" s="11">
        <v>8</v>
      </c>
      <c r="B12" s="13" t="s">
        <v>129</v>
      </c>
      <c r="C12" s="14" t="s">
        <v>130</v>
      </c>
      <c r="D12" s="9" t="s">
        <v>6</v>
      </c>
      <c r="E12" s="10" t="s">
        <v>104</v>
      </c>
      <c r="F12" s="10" t="s">
        <v>104</v>
      </c>
      <c r="G12" s="10" t="s">
        <v>104</v>
      </c>
      <c r="H12" s="87"/>
      <c r="I12" s="10" t="s">
        <v>104</v>
      </c>
      <c r="J12" s="89"/>
      <c r="K12" s="10" t="s">
        <v>104</v>
      </c>
      <c r="L12" s="10" t="s">
        <v>104</v>
      </c>
      <c r="M12" s="10" t="s">
        <v>104</v>
      </c>
      <c r="N12" s="89"/>
      <c r="O12" s="87"/>
      <c r="P12" s="89"/>
      <c r="Q12" s="10" t="s">
        <v>104</v>
      </c>
      <c r="R12" s="10" t="s">
        <v>103</v>
      </c>
      <c r="S12" s="10" t="s">
        <v>104</v>
      </c>
      <c r="T12" s="89"/>
      <c r="U12" s="10"/>
      <c r="V12" s="4">
        <f t="shared" si="1"/>
        <v>9</v>
      </c>
      <c r="W12" s="4">
        <f t="shared" si="2"/>
        <v>1</v>
      </c>
      <c r="X12"/>
      <c r="Y12"/>
      <c r="Z12"/>
      <c r="AA12"/>
    </row>
    <row r="13" spans="1:27" ht="15.75" x14ac:dyDescent="0.25">
      <c r="A13" s="5">
        <v>9</v>
      </c>
      <c r="B13" s="13" t="s">
        <v>131</v>
      </c>
      <c r="C13" s="14" t="s">
        <v>132</v>
      </c>
      <c r="D13" s="9" t="s">
        <v>6</v>
      </c>
      <c r="E13" s="10" t="s">
        <v>103</v>
      </c>
      <c r="F13" s="10" t="s">
        <v>104</v>
      </c>
      <c r="G13" s="10" t="s">
        <v>104</v>
      </c>
      <c r="H13" s="87"/>
      <c r="I13" s="10" t="s">
        <v>104</v>
      </c>
      <c r="J13" s="89"/>
      <c r="K13" s="10" t="s">
        <v>104</v>
      </c>
      <c r="L13" s="10" t="s">
        <v>104</v>
      </c>
      <c r="M13" s="10" t="s">
        <v>104</v>
      </c>
      <c r="N13" s="89"/>
      <c r="O13" s="87"/>
      <c r="P13" s="89"/>
      <c r="Q13" s="10" t="s">
        <v>103</v>
      </c>
      <c r="R13" s="10" t="s">
        <v>103</v>
      </c>
      <c r="S13" s="10" t="s">
        <v>104</v>
      </c>
      <c r="T13" s="89"/>
      <c r="U13" s="10"/>
      <c r="V13" s="4">
        <f t="shared" si="1"/>
        <v>7</v>
      </c>
      <c r="W13" s="4">
        <f t="shared" si="2"/>
        <v>3</v>
      </c>
      <c r="X13" s="76" t="s">
        <v>9</v>
      </c>
      <c r="Y13" s="77"/>
      <c r="Z13" s="77"/>
      <c r="AA13" s="78"/>
    </row>
    <row r="14" spans="1:27" x14ac:dyDescent="0.25">
      <c r="A14" s="11">
        <v>10</v>
      </c>
      <c r="B14" s="13" t="s">
        <v>133</v>
      </c>
      <c r="C14" s="14" t="s">
        <v>134</v>
      </c>
      <c r="D14" s="9" t="s">
        <v>6</v>
      </c>
      <c r="E14" s="10" t="s">
        <v>103</v>
      </c>
      <c r="F14" s="10" t="s">
        <v>104</v>
      </c>
      <c r="G14" s="10" t="s">
        <v>104</v>
      </c>
      <c r="H14" s="87"/>
      <c r="I14" s="10" t="s">
        <v>104</v>
      </c>
      <c r="J14" s="89"/>
      <c r="K14" s="10" t="s">
        <v>104</v>
      </c>
      <c r="L14" s="10" t="s">
        <v>104</v>
      </c>
      <c r="M14" s="10" t="s">
        <v>103</v>
      </c>
      <c r="N14" s="89"/>
      <c r="O14" s="87"/>
      <c r="P14" s="89"/>
      <c r="Q14" s="10" t="s">
        <v>103</v>
      </c>
      <c r="R14" s="10" t="s">
        <v>103</v>
      </c>
      <c r="S14" s="10" t="s">
        <v>104</v>
      </c>
      <c r="T14" s="89"/>
      <c r="U14" s="10"/>
      <c r="V14" s="4">
        <f t="shared" si="1"/>
        <v>6</v>
      </c>
      <c r="W14" s="4">
        <f t="shared" si="2"/>
        <v>4</v>
      </c>
      <c r="X14" s="4" t="s">
        <v>10</v>
      </c>
      <c r="Y14" s="4" t="s">
        <v>11</v>
      </c>
      <c r="Z14" s="4" t="s">
        <v>12</v>
      </c>
      <c r="AA14" s="4" t="s">
        <v>13</v>
      </c>
    </row>
    <row r="15" spans="1:27" x14ac:dyDescent="0.25">
      <c r="A15" s="5">
        <v>11</v>
      </c>
      <c r="B15" s="13" t="s">
        <v>135</v>
      </c>
      <c r="C15" s="14" t="s">
        <v>136</v>
      </c>
      <c r="D15" s="9" t="s">
        <v>6</v>
      </c>
      <c r="E15" s="10" t="s">
        <v>104</v>
      </c>
      <c r="F15" s="10" t="s">
        <v>104</v>
      </c>
      <c r="G15" s="10" t="s">
        <v>104</v>
      </c>
      <c r="H15" s="87"/>
      <c r="I15" s="10" t="s">
        <v>104</v>
      </c>
      <c r="J15" s="89"/>
      <c r="K15" s="10" t="s">
        <v>104</v>
      </c>
      <c r="L15" s="10" t="s">
        <v>104</v>
      </c>
      <c r="M15" s="10" t="s">
        <v>104</v>
      </c>
      <c r="N15" s="89"/>
      <c r="O15" s="87"/>
      <c r="P15" s="89"/>
      <c r="Q15" s="10" t="s">
        <v>103</v>
      </c>
      <c r="R15" s="10" t="s">
        <v>103</v>
      </c>
      <c r="S15" s="10" t="s">
        <v>103</v>
      </c>
      <c r="T15" s="89"/>
      <c r="U15" s="10"/>
      <c r="V15" s="4">
        <f t="shared" si="1"/>
        <v>7</v>
      </c>
      <c r="W15" s="4">
        <f t="shared" si="2"/>
        <v>3</v>
      </c>
      <c r="X15" s="4" t="s">
        <v>14</v>
      </c>
      <c r="Y15" s="11">
        <f>29*11</f>
        <v>319</v>
      </c>
      <c r="Z15" s="11">
        <f>24*11</f>
        <v>264</v>
      </c>
      <c r="AA15" s="11">
        <f>SUM(Y15:Z15)</f>
        <v>583</v>
      </c>
    </row>
    <row r="16" spans="1:27" x14ac:dyDescent="0.25">
      <c r="A16" s="11">
        <v>12</v>
      </c>
      <c r="B16" s="13" t="s">
        <v>137</v>
      </c>
      <c r="C16" s="14" t="s">
        <v>39</v>
      </c>
      <c r="D16" s="9" t="s">
        <v>6</v>
      </c>
      <c r="E16" s="10" t="s">
        <v>103</v>
      </c>
      <c r="F16" s="10" t="s">
        <v>104</v>
      </c>
      <c r="G16" s="10" t="s">
        <v>104</v>
      </c>
      <c r="H16" s="87"/>
      <c r="I16" s="10" t="s">
        <v>104</v>
      </c>
      <c r="J16" s="89"/>
      <c r="K16" s="10" t="s">
        <v>104</v>
      </c>
      <c r="L16" s="10" t="s">
        <v>104</v>
      </c>
      <c r="M16" s="10" t="s">
        <v>104</v>
      </c>
      <c r="N16" s="89"/>
      <c r="O16" s="87"/>
      <c r="P16" s="89"/>
      <c r="Q16" s="10" t="s">
        <v>103</v>
      </c>
      <c r="R16" s="10" t="s">
        <v>103</v>
      </c>
      <c r="S16" s="10" t="s">
        <v>104</v>
      </c>
      <c r="T16" s="89"/>
      <c r="U16" s="10"/>
      <c r="V16" s="4">
        <f t="shared" si="1"/>
        <v>7</v>
      </c>
      <c r="W16" s="4">
        <f t="shared" si="2"/>
        <v>3</v>
      </c>
      <c r="X16" s="4" t="s">
        <v>15</v>
      </c>
      <c r="Y16" s="11">
        <f>SUM(V5:V28)</f>
        <v>185</v>
      </c>
      <c r="Z16" s="11">
        <f>SUM(V29:V57)</f>
        <v>206</v>
      </c>
      <c r="AA16" s="11">
        <f>Y16+Z16</f>
        <v>391</v>
      </c>
    </row>
    <row r="17" spans="1:27" x14ac:dyDescent="0.25">
      <c r="A17" s="5">
        <v>13</v>
      </c>
      <c r="B17" s="13" t="s">
        <v>138</v>
      </c>
      <c r="C17" s="14" t="s">
        <v>139</v>
      </c>
      <c r="D17" s="9" t="s">
        <v>6</v>
      </c>
      <c r="E17" s="10" t="s">
        <v>104</v>
      </c>
      <c r="F17" s="10" t="s">
        <v>104</v>
      </c>
      <c r="G17" s="10" t="s">
        <v>104</v>
      </c>
      <c r="H17" s="87"/>
      <c r="I17" s="10" t="s">
        <v>104</v>
      </c>
      <c r="J17" s="89"/>
      <c r="K17" s="10" t="s">
        <v>104</v>
      </c>
      <c r="L17" s="10" t="s">
        <v>104</v>
      </c>
      <c r="M17" s="10" t="s">
        <v>103</v>
      </c>
      <c r="N17" s="89"/>
      <c r="O17" s="87"/>
      <c r="P17" s="89"/>
      <c r="Q17" s="10" t="s">
        <v>103</v>
      </c>
      <c r="R17" s="10" t="s">
        <v>103</v>
      </c>
      <c r="S17" s="10" t="s">
        <v>104</v>
      </c>
      <c r="T17" s="89"/>
      <c r="U17" s="10"/>
      <c r="V17" s="4">
        <f t="shared" si="1"/>
        <v>7</v>
      </c>
      <c r="W17" s="4">
        <f t="shared" si="2"/>
        <v>3</v>
      </c>
      <c r="X17" s="4" t="s">
        <v>16</v>
      </c>
      <c r="Y17" s="15">
        <f>Y16/Y15</f>
        <v>0.57993730407523514</v>
      </c>
      <c r="Z17" s="15">
        <f>Z16/Z15</f>
        <v>0.78030303030303028</v>
      </c>
      <c r="AA17" s="15">
        <f>AA16/AA15</f>
        <v>0.67066895368782165</v>
      </c>
    </row>
    <row r="18" spans="1:27" x14ac:dyDescent="0.25">
      <c r="A18" s="11">
        <v>14</v>
      </c>
      <c r="B18" s="13" t="s">
        <v>140</v>
      </c>
      <c r="C18" s="14" t="s">
        <v>141</v>
      </c>
      <c r="D18" s="9" t="s">
        <v>6</v>
      </c>
      <c r="E18" s="10" t="s">
        <v>103</v>
      </c>
      <c r="F18" s="10" t="s">
        <v>103</v>
      </c>
      <c r="G18" s="10" t="s">
        <v>104</v>
      </c>
      <c r="H18" s="87"/>
      <c r="I18" s="10" t="s">
        <v>104</v>
      </c>
      <c r="J18" s="89"/>
      <c r="K18" s="10" t="s">
        <v>104</v>
      </c>
      <c r="L18" s="10" t="s">
        <v>104</v>
      </c>
      <c r="M18" s="10" t="s">
        <v>104</v>
      </c>
      <c r="N18" s="89"/>
      <c r="O18" s="87"/>
      <c r="P18" s="89"/>
      <c r="Q18" s="10" t="s">
        <v>103</v>
      </c>
      <c r="R18" s="10" t="s">
        <v>104</v>
      </c>
      <c r="S18" s="10" t="s">
        <v>104</v>
      </c>
      <c r="T18" s="89"/>
      <c r="U18" s="10"/>
      <c r="V18" s="4">
        <f t="shared" si="1"/>
        <v>7</v>
      </c>
      <c r="W18" s="4">
        <f t="shared" si="2"/>
        <v>3</v>
      </c>
      <c r="X18"/>
      <c r="Y18"/>
      <c r="Z18"/>
      <c r="AA18"/>
    </row>
    <row r="19" spans="1:27" x14ac:dyDescent="0.25">
      <c r="A19" s="5">
        <v>15</v>
      </c>
      <c r="B19" s="13" t="s">
        <v>142</v>
      </c>
      <c r="C19" s="14" t="s">
        <v>143</v>
      </c>
      <c r="D19" s="9" t="s">
        <v>6</v>
      </c>
      <c r="E19" s="10" t="s">
        <v>104</v>
      </c>
      <c r="F19" s="10" t="s">
        <v>104</v>
      </c>
      <c r="G19" s="10" t="s">
        <v>104</v>
      </c>
      <c r="H19" s="87"/>
      <c r="I19" s="10" t="s">
        <v>104</v>
      </c>
      <c r="J19" s="89"/>
      <c r="K19" s="10" t="s">
        <v>104</v>
      </c>
      <c r="L19" s="10" t="s">
        <v>104</v>
      </c>
      <c r="M19" s="10" t="s">
        <v>104</v>
      </c>
      <c r="N19" s="89"/>
      <c r="O19" s="87"/>
      <c r="P19" s="89"/>
      <c r="Q19" s="10" t="s">
        <v>104</v>
      </c>
      <c r="R19" s="10" t="s">
        <v>104</v>
      </c>
      <c r="S19" s="10" t="s">
        <v>104</v>
      </c>
      <c r="T19" s="89"/>
      <c r="U19" s="10"/>
      <c r="V19" s="4">
        <f t="shared" si="1"/>
        <v>10</v>
      </c>
      <c r="W19" s="4">
        <f t="shared" si="2"/>
        <v>0</v>
      </c>
      <c r="X19"/>
      <c r="Y19"/>
      <c r="Z19"/>
      <c r="AA19"/>
    </row>
    <row r="20" spans="1:27" x14ac:dyDescent="0.25">
      <c r="A20" s="11">
        <v>16</v>
      </c>
      <c r="B20" s="13" t="s">
        <v>144</v>
      </c>
      <c r="C20" s="14" t="s">
        <v>126</v>
      </c>
      <c r="D20" s="9" t="s">
        <v>6</v>
      </c>
      <c r="E20" s="10" t="s">
        <v>103</v>
      </c>
      <c r="F20" s="10" t="s">
        <v>104</v>
      </c>
      <c r="G20" s="10" t="s">
        <v>104</v>
      </c>
      <c r="H20" s="87"/>
      <c r="I20" s="10" t="s">
        <v>104</v>
      </c>
      <c r="J20" s="89"/>
      <c r="K20" s="10" t="s">
        <v>104</v>
      </c>
      <c r="L20" s="10" t="s">
        <v>104</v>
      </c>
      <c r="M20" s="10" t="s">
        <v>104</v>
      </c>
      <c r="N20" s="89"/>
      <c r="O20" s="87"/>
      <c r="P20" s="89"/>
      <c r="Q20" s="10" t="s">
        <v>103</v>
      </c>
      <c r="R20" s="10" t="s">
        <v>103</v>
      </c>
      <c r="S20" s="10" t="s">
        <v>104</v>
      </c>
      <c r="T20" s="89"/>
      <c r="U20" s="10"/>
      <c r="V20" s="4">
        <f t="shared" si="1"/>
        <v>7</v>
      </c>
      <c r="W20" s="4">
        <f t="shared" si="2"/>
        <v>3</v>
      </c>
      <c r="X20"/>
      <c r="Y20"/>
      <c r="Z20"/>
      <c r="AA20"/>
    </row>
    <row r="21" spans="1:27" ht="15.75" x14ac:dyDescent="0.25">
      <c r="A21" s="5">
        <v>17</v>
      </c>
      <c r="B21" s="13" t="s">
        <v>145</v>
      </c>
      <c r="C21" s="14" t="s">
        <v>146</v>
      </c>
      <c r="D21" s="9" t="s">
        <v>6</v>
      </c>
      <c r="E21" s="10" t="s">
        <v>103</v>
      </c>
      <c r="F21" s="10" t="s">
        <v>104</v>
      </c>
      <c r="G21" s="10" t="s">
        <v>104</v>
      </c>
      <c r="H21" s="87"/>
      <c r="I21" s="10" t="s">
        <v>104</v>
      </c>
      <c r="J21" s="89"/>
      <c r="K21" s="10" t="s">
        <v>104</v>
      </c>
      <c r="L21" s="10" t="s">
        <v>104</v>
      </c>
      <c r="M21" s="10" t="s">
        <v>104</v>
      </c>
      <c r="N21" s="89"/>
      <c r="O21" s="87"/>
      <c r="P21" s="89"/>
      <c r="Q21" s="10" t="s">
        <v>104</v>
      </c>
      <c r="R21" s="10" t="s">
        <v>104</v>
      </c>
      <c r="S21" s="10" t="s">
        <v>104</v>
      </c>
      <c r="T21" s="89"/>
      <c r="U21" s="10"/>
      <c r="V21" s="4">
        <f t="shared" si="1"/>
        <v>9</v>
      </c>
      <c r="W21" s="4">
        <f t="shared" si="2"/>
        <v>1</v>
      </c>
      <c r="X21" s="76" t="s">
        <v>316</v>
      </c>
      <c r="Y21" s="77"/>
      <c r="Z21" s="77"/>
      <c r="AA21" s="78"/>
    </row>
    <row r="22" spans="1:27" x14ac:dyDescent="0.25">
      <c r="A22" s="11">
        <v>18</v>
      </c>
      <c r="B22" s="13" t="s">
        <v>147</v>
      </c>
      <c r="C22" s="14" t="s">
        <v>148</v>
      </c>
      <c r="D22" s="9" t="s">
        <v>6</v>
      </c>
      <c r="E22" s="10" t="s">
        <v>103</v>
      </c>
      <c r="F22" s="10" t="s">
        <v>103</v>
      </c>
      <c r="G22" s="10" t="s">
        <v>103</v>
      </c>
      <c r="H22" s="87"/>
      <c r="I22" s="10" t="s">
        <v>104</v>
      </c>
      <c r="J22" s="89"/>
      <c r="K22" s="10" t="s">
        <v>104</v>
      </c>
      <c r="L22" s="10" t="s">
        <v>104</v>
      </c>
      <c r="M22" s="10" t="s">
        <v>103</v>
      </c>
      <c r="N22" s="89"/>
      <c r="O22" s="87"/>
      <c r="P22" s="89"/>
      <c r="Q22" s="10" t="s">
        <v>103</v>
      </c>
      <c r="R22" s="10" t="s">
        <v>103</v>
      </c>
      <c r="S22" s="10" t="s">
        <v>104</v>
      </c>
      <c r="T22" s="89"/>
      <c r="U22" s="10"/>
      <c r="V22" s="4">
        <f t="shared" si="1"/>
        <v>4</v>
      </c>
      <c r="W22" s="4">
        <f t="shared" si="2"/>
        <v>6</v>
      </c>
      <c r="X22" s="4" t="s">
        <v>10</v>
      </c>
      <c r="Y22" s="4" t="s">
        <v>11</v>
      </c>
      <c r="Z22" s="4" t="s">
        <v>12</v>
      </c>
      <c r="AA22" s="4" t="s">
        <v>13</v>
      </c>
    </row>
    <row r="23" spans="1:27" x14ac:dyDescent="0.25">
      <c r="A23" s="5">
        <v>19</v>
      </c>
      <c r="B23" s="13" t="s">
        <v>149</v>
      </c>
      <c r="C23" s="14" t="s">
        <v>150</v>
      </c>
      <c r="D23" s="9" t="s">
        <v>6</v>
      </c>
      <c r="E23" s="10" t="s">
        <v>104</v>
      </c>
      <c r="F23" s="10" t="s">
        <v>104</v>
      </c>
      <c r="G23" s="10" t="s">
        <v>104</v>
      </c>
      <c r="H23" s="87"/>
      <c r="I23" s="10" t="s">
        <v>104</v>
      </c>
      <c r="J23" s="89"/>
      <c r="K23" s="10" t="s">
        <v>104</v>
      </c>
      <c r="L23" s="10" t="s">
        <v>104</v>
      </c>
      <c r="M23" s="10" t="s">
        <v>104</v>
      </c>
      <c r="N23" s="89"/>
      <c r="O23" s="87"/>
      <c r="P23" s="89"/>
      <c r="Q23" s="10" t="s">
        <v>104</v>
      </c>
      <c r="R23" s="10" t="s">
        <v>103</v>
      </c>
      <c r="S23" s="10" t="s">
        <v>104</v>
      </c>
      <c r="T23" s="89"/>
      <c r="U23" s="10"/>
      <c r="V23" s="4">
        <f t="shared" si="1"/>
        <v>9</v>
      </c>
      <c r="W23" s="4">
        <f t="shared" si="2"/>
        <v>1</v>
      </c>
      <c r="X23" s="4" t="s">
        <v>14</v>
      </c>
      <c r="Y23" s="11">
        <f>29*11</f>
        <v>319</v>
      </c>
      <c r="Z23" s="11">
        <f>24*11</f>
        <v>264</v>
      </c>
      <c r="AA23" s="11">
        <f>Y23+Z23</f>
        <v>583</v>
      </c>
    </row>
    <row r="24" spans="1:27" x14ac:dyDescent="0.25">
      <c r="A24" s="11">
        <v>20</v>
      </c>
      <c r="B24" s="13" t="s">
        <v>151</v>
      </c>
      <c r="C24" s="14" t="s">
        <v>152</v>
      </c>
      <c r="D24" s="9" t="s">
        <v>6</v>
      </c>
      <c r="E24" s="10" t="s">
        <v>104</v>
      </c>
      <c r="F24" s="10" t="s">
        <v>104</v>
      </c>
      <c r="G24" s="10" t="s">
        <v>104</v>
      </c>
      <c r="H24" s="87"/>
      <c r="I24" s="10" t="s">
        <v>104</v>
      </c>
      <c r="J24" s="89"/>
      <c r="K24" s="10" t="s">
        <v>104</v>
      </c>
      <c r="L24" s="10" t="s">
        <v>103</v>
      </c>
      <c r="M24" s="10" t="s">
        <v>104</v>
      </c>
      <c r="N24" s="89"/>
      <c r="O24" s="87"/>
      <c r="P24" s="89"/>
      <c r="Q24" s="10" t="s">
        <v>103</v>
      </c>
      <c r="R24" s="10" t="s">
        <v>103</v>
      </c>
      <c r="S24" s="10" t="s">
        <v>103</v>
      </c>
      <c r="T24" s="89"/>
      <c r="U24" s="10"/>
      <c r="V24" s="4">
        <f t="shared" si="1"/>
        <v>6</v>
      </c>
      <c r="W24" s="4">
        <f t="shared" si="2"/>
        <v>4</v>
      </c>
      <c r="X24" s="4" t="s">
        <v>17</v>
      </c>
      <c r="Y24" s="11">
        <f>Y23-Y16</f>
        <v>134</v>
      </c>
      <c r="Z24" s="11">
        <f>Z23-Z16</f>
        <v>58</v>
      </c>
      <c r="AA24" s="11">
        <f>Y24+Z24</f>
        <v>192</v>
      </c>
    </row>
    <row r="25" spans="1:27" x14ac:dyDescent="0.25">
      <c r="A25" s="5">
        <v>21</v>
      </c>
      <c r="B25" s="13" t="s">
        <v>153</v>
      </c>
      <c r="C25" s="14" t="s">
        <v>154</v>
      </c>
      <c r="D25" s="9" t="s">
        <v>6</v>
      </c>
      <c r="E25" s="10" t="s">
        <v>104</v>
      </c>
      <c r="F25" s="10" t="s">
        <v>104</v>
      </c>
      <c r="G25" s="10" t="s">
        <v>104</v>
      </c>
      <c r="H25" s="87"/>
      <c r="I25" s="10" t="s">
        <v>104</v>
      </c>
      <c r="J25" s="89"/>
      <c r="K25" s="10" t="s">
        <v>104</v>
      </c>
      <c r="L25" s="10" t="s">
        <v>104</v>
      </c>
      <c r="M25" s="10" t="s">
        <v>104</v>
      </c>
      <c r="N25" s="89"/>
      <c r="O25" s="87"/>
      <c r="P25" s="89"/>
      <c r="Q25" s="10" t="s">
        <v>104</v>
      </c>
      <c r="R25" s="10" t="s">
        <v>103</v>
      </c>
      <c r="S25" s="10" t="s">
        <v>103</v>
      </c>
      <c r="T25" s="89"/>
      <c r="U25" s="10"/>
      <c r="V25" s="4">
        <f t="shared" si="1"/>
        <v>8</v>
      </c>
      <c r="W25" s="4">
        <f t="shared" si="2"/>
        <v>2</v>
      </c>
      <c r="X25" s="4" t="s">
        <v>16</v>
      </c>
      <c r="Y25" s="15">
        <f>Y24/Y23</f>
        <v>0.42006269592476492</v>
      </c>
      <c r="Z25" s="15">
        <f>Z24/Z23</f>
        <v>0.2196969696969697</v>
      </c>
      <c r="AA25" s="15">
        <f>AA24/AA23</f>
        <v>0.32933104631217841</v>
      </c>
    </row>
    <row r="26" spans="1:27" x14ac:dyDescent="0.25">
      <c r="A26" s="11">
        <v>22</v>
      </c>
      <c r="B26" s="13" t="s">
        <v>155</v>
      </c>
      <c r="C26" s="14" t="s">
        <v>156</v>
      </c>
      <c r="D26" s="9" t="s">
        <v>6</v>
      </c>
      <c r="E26" s="10" t="s">
        <v>104</v>
      </c>
      <c r="F26" s="10" t="s">
        <v>104</v>
      </c>
      <c r="G26" s="10" t="s">
        <v>104</v>
      </c>
      <c r="H26" s="87"/>
      <c r="I26" s="10" t="s">
        <v>104</v>
      </c>
      <c r="J26" s="89"/>
      <c r="K26" s="10" t="s">
        <v>104</v>
      </c>
      <c r="L26" s="10" t="s">
        <v>104</v>
      </c>
      <c r="M26" s="10" t="s">
        <v>104</v>
      </c>
      <c r="N26" s="89"/>
      <c r="O26" s="87"/>
      <c r="P26" s="89"/>
      <c r="Q26" s="10" t="s">
        <v>104</v>
      </c>
      <c r="R26" s="10" t="s">
        <v>103</v>
      </c>
      <c r="S26" s="10" t="s">
        <v>104</v>
      </c>
      <c r="T26" s="89"/>
      <c r="U26" s="10"/>
      <c r="V26" s="4">
        <f t="shared" si="1"/>
        <v>9</v>
      </c>
      <c r="W26" s="4">
        <f t="shared" si="2"/>
        <v>1</v>
      </c>
    </row>
    <row r="27" spans="1:27" x14ac:dyDescent="0.25">
      <c r="A27" s="5">
        <v>23</v>
      </c>
      <c r="B27" s="13" t="s">
        <v>157</v>
      </c>
      <c r="C27" s="14" t="s">
        <v>124</v>
      </c>
      <c r="D27" s="9" t="s">
        <v>6</v>
      </c>
      <c r="E27" s="10" t="s">
        <v>104</v>
      </c>
      <c r="F27" s="10" t="s">
        <v>104</v>
      </c>
      <c r="G27" s="10" t="s">
        <v>104</v>
      </c>
      <c r="H27" s="87"/>
      <c r="I27" s="10" t="s">
        <v>104</v>
      </c>
      <c r="J27" s="89"/>
      <c r="K27" s="10" t="s">
        <v>104</v>
      </c>
      <c r="L27" s="10" t="s">
        <v>104</v>
      </c>
      <c r="M27" s="10" t="s">
        <v>104</v>
      </c>
      <c r="N27" s="89"/>
      <c r="O27" s="87"/>
      <c r="P27" s="89"/>
      <c r="Q27" s="10" t="s">
        <v>104</v>
      </c>
      <c r="R27" s="10" t="s">
        <v>103</v>
      </c>
      <c r="S27" s="10" t="s">
        <v>104</v>
      </c>
      <c r="T27" s="89"/>
      <c r="U27" s="10"/>
      <c r="V27" s="4">
        <f t="shared" si="1"/>
        <v>9</v>
      </c>
      <c r="W27" s="4">
        <f t="shared" si="2"/>
        <v>1</v>
      </c>
    </row>
    <row r="28" spans="1:27" x14ac:dyDescent="0.25">
      <c r="A28" s="11">
        <v>24</v>
      </c>
      <c r="B28" s="13" t="s">
        <v>158</v>
      </c>
      <c r="C28" s="14" t="s">
        <v>159</v>
      </c>
      <c r="D28" s="9" t="s">
        <v>6</v>
      </c>
      <c r="E28" s="10" t="s">
        <v>104</v>
      </c>
      <c r="F28" s="10" t="s">
        <v>104</v>
      </c>
      <c r="G28" s="10" t="s">
        <v>104</v>
      </c>
      <c r="H28" s="87"/>
      <c r="I28" s="10" t="s">
        <v>104</v>
      </c>
      <c r="J28" s="89"/>
      <c r="K28" s="10" t="s">
        <v>104</v>
      </c>
      <c r="L28" s="10" t="s">
        <v>104</v>
      </c>
      <c r="M28" s="10" t="s">
        <v>104</v>
      </c>
      <c r="N28" s="89"/>
      <c r="O28" s="87"/>
      <c r="P28" s="89"/>
      <c r="Q28" s="10" t="s">
        <v>104</v>
      </c>
      <c r="R28" s="10" t="s">
        <v>103</v>
      </c>
      <c r="S28" s="10" t="s">
        <v>103</v>
      </c>
      <c r="T28" s="89"/>
      <c r="U28" s="10"/>
      <c r="V28" s="4">
        <f t="shared" si="1"/>
        <v>8</v>
      </c>
      <c r="W28" s="4">
        <f t="shared" si="2"/>
        <v>2</v>
      </c>
    </row>
    <row r="29" spans="1:27" ht="15" customHeight="1" x14ac:dyDescent="0.25">
      <c r="A29" s="11">
        <v>1</v>
      </c>
      <c r="B29" s="6" t="s">
        <v>160</v>
      </c>
      <c r="C29" s="6" t="s">
        <v>161</v>
      </c>
      <c r="D29" s="9" t="s">
        <v>6</v>
      </c>
      <c r="E29" s="10" t="s">
        <v>103</v>
      </c>
      <c r="F29" s="10" t="s">
        <v>103</v>
      </c>
      <c r="G29" s="10" t="s">
        <v>103</v>
      </c>
      <c r="H29" s="87"/>
      <c r="I29" s="10" t="s">
        <v>103</v>
      </c>
      <c r="J29" s="89"/>
      <c r="K29" s="10" t="s">
        <v>104</v>
      </c>
      <c r="L29" s="10" t="s">
        <v>104</v>
      </c>
      <c r="M29" s="10" t="s">
        <v>104</v>
      </c>
      <c r="N29" s="89"/>
      <c r="O29" s="87"/>
      <c r="P29" s="89"/>
      <c r="Q29" s="10" t="s">
        <v>104</v>
      </c>
      <c r="R29" s="10" t="s">
        <v>104</v>
      </c>
      <c r="S29" s="10" t="s">
        <v>103</v>
      </c>
      <c r="T29" s="89"/>
      <c r="U29" s="10"/>
      <c r="V29" s="4">
        <f t="shared" si="1"/>
        <v>5</v>
      </c>
      <c r="W29" s="4">
        <f t="shared" si="2"/>
        <v>5</v>
      </c>
    </row>
    <row r="30" spans="1:27" x14ac:dyDescent="0.25">
      <c r="A30" s="11">
        <v>2</v>
      </c>
      <c r="B30" s="6" t="s">
        <v>162</v>
      </c>
      <c r="C30" s="6" t="s">
        <v>163</v>
      </c>
      <c r="D30" s="9" t="s">
        <v>6</v>
      </c>
      <c r="E30" s="10" t="s">
        <v>104</v>
      </c>
      <c r="F30" s="10" t="s">
        <v>104</v>
      </c>
      <c r="G30" s="10" t="s">
        <v>104</v>
      </c>
      <c r="H30" s="87"/>
      <c r="I30" s="10" t="s">
        <v>104</v>
      </c>
      <c r="J30" s="89"/>
      <c r="K30" s="10" t="s">
        <v>104</v>
      </c>
      <c r="L30" s="10" t="s">
        <v>104</v>
      </c>
      <c r="M30" s="10" t="s">
        <v>104</v>
      </c>
      <c r="N30" s="89"/>
      <c r="O30" s="87"/>
      <c r="P30" s="89"/>
      <c r="Q30" s="10" t="s">
        <v>103</v>
      </c>
      <c r="R30" s="10" t="s">
        <v>103</v>
      </c>
      <c r="S30" s="10" t="s">
        <v>103</v>
      </c>
      <c r="T30" s="89"/>
      <c r="U30" s="10" t="s">
        <v>104</v>
      </c>
      <c r="V30" s="4">
        <f t="shared" si="1"/>
        <v>8</v>
      </c>
      <c r="W30" s="4">
        <f t="shared" si="2"/>
        <v>3</v>
      </c>
    </row>
    <row r="31" spans="1:27" x14ac:dyDescent="0.25">
      <c r="A31" s="11">
        <v>3</v>
      </c>
      <c r="B31" s="6" t="s">
        <v>164</v>
      </c>
      <c r="C31" s="6" t="s">
        <v>165</v>
      </c>
      <c r="D31" s="9" t="s">
        <v>6</v>
      </c>
      <c r="E31" s="10" t="s">
        <v>103</v>
      </c>
      <c r="F31" s="10" t="s">
        <v>103</v>
      </c>
      <c r="G31" s="10" t="s">
        <v>104</v>
      </c>
      <c r="H31" s="87"/>
      <c r="I31" s="10" t="s">
        <v>104</v>
      </c>
      <c r="J31" s="89"/>
      <c r="K31" s="10" t="s">
        <v>104</v>
      </c>
      <c r="L31" s="10" t="s">
        <v>104</v>
      </c>
      <c r="M31" s="10" t="s">
        <v>104</v>
      </c>
      <c r="N31" s="89"/>
      <c r="O31" s="87"/>
      <c r="P31" s="89"/>
      <c r="Q31" s="10" t="s">
        <v>104</v>
      </c>
      <c r="R31" s="10" t="s">
        <v>103</v>
      </c>
      <c r="S31" s="10" t="s">
        <v>103</v>
      </c>
      <c r="T31" s="89"/>
      <c r="U31" s="10"/>
      <c r="V31" s="4">
        <f t="shared" si="1"/>
        <v>6</v>
      </c>
      <c r="W31" s="4">
        <f t="shared" si="2"/>
        <v>4</v>
      </c>
    </row>
    <row r="32" spans="1:27" x14ac:dyDescent="0.25">
      <c r="A32" s="11">
        <v>4</v>
      </c>
      <c r="B32" s="6" t="s">
        <v>166</v>
      </c>
      <c r="C32" s="6" t="s">
        <v>167</v>
      </c>
      <c r="D32" s="9" t="s">
        <v>6</v>
      </c>
      <c r="E32" s="10" t="s">
        <v>103</v>
      </c>
      <c r="F32" s="10" t="s">
        <v>104</v>
      </c>
      <c r="G32" s="10" t="s">
        <v>104</v>
      </c>
      <c r="H32" s="87"/>
      <c r="I32" s="10" t="s">
        <v>104</v>
      </c>
      <c r="J32" s="89"/>
      <c r="K32" s="10" t="s">
        <v>104</v>
      </c>
      <c r="L32" s="10" t="s">
        <v>103</v>
      </c>
      <c r="M32" s="10" t="s">
        <v>104</v>
      </c>
      <c r="N32" s="89"/>
      <c r="O32" s="87"/>
      <c r="P32" s="89"/>
      <c r="Q32" s="10" t="s">
        <v>104</v>
      </c>
      <c r="R32" s="10" t="s">
        <v>103</v>
      </c>
      <c r="S32" s="10" t="s">
        <v>104</v>
      </c>
      <c r="T32" s="89"/>
      <c r="U32" s="10"/>
      <c r="V32" s="4">
        <f t="shared" si="1"/>
        <v>7</v>
      </c>
      <c r="W32" s="4">
        <f t="shared" si="2"/>
        <v>3</v>
      </c>
    </row>
    <row r="33" spans="1:23" x14ac:dyDescent="0.25">
      <c r="A33" s="11">
        <v>5</v>
      </c>
      <c r="B33" s="6" t="s">
        <v>168</v>
      </c>
      <c r="C33" s="6" t="s">
        <v>169</v>
      </c>
      <c r="D33" s="9" t="s">
        <v>6</v>
      </c>
      <c r="E33" s="10" t="s">
        <v>103</v>
      </c>
      <c r="F33" s="10" t="s">
        <v>103</v>
      </c>
      <c r="G33" s="10" t="s">
        <v>103</v>
      </c>
      <c r="H33" s="87"/>
      <c r="I33" s="10" t="s">
        <v>103</v>
      </c>
      <c r="J33" s="89"/>
      <c r="K33" s="10" t="s">
        <v>104</v>
      </c>
      <c r="L33" s="10" t="s">
        <v>103</v>
      </c>
      <c r="M33" s="10" t="s">
        <v>103</v>
      </c>
      <c r="N33" s="89"/>
      <c r="O33" s="87"/>
      <c r="P33" s="89"/>
      <c r="Q33" s="10" t="s">
        <v>104</v>
      </c>
      <c r="R33" s="10" t="s">
        <v>104</v>
      </c>
      <c r="S33" s="10" t="s">
        <v>104</v>
      </c>
      <c r="T33" s="89"/>
      <c r="U33" s="10"/>
      <c r="V33" s="4">
        <f t="shared" si="1"/>
        <v>4</v>
      </c>
      <c r="W33" s="4">
        <f t="shared" si="2"/>
        <v>6</v>
      </c>
    </row>
    <row r="34" spans="1:23" x14ac:dyDescent="0.25">
      <c r="A34" s="11">
        <v>6</v>
      </c>
      <c r="B34" s="6" t="s">
        <v>170</v>
      </c>
      <c r="C34" s="6" t="s">
        <v>171</v>
      </c>
      <c r="D34" s="9" t="s">
        <v>6</v>
      </c>
      <c r="E34" s="10" t="s">
        <v>103</v>
      </c>
      <c r="F34" s="10" t="s">
        <v>103</v>
      </c>
      <c r="G34" s="10" t="s">
        <v>103</v>
      </c>
      <c r="H34" s="87"/>
      <c r="I34" s="10" t="s">
        <v>103</v>
      </c>
      <c r="J34" s="89"/>
      <c r="K34" s="10" t="s">
        <v>104</v>
      </c>
      <c r="L34" s="10" t="s">
        <v>104</v>
      </c>
      <c r="M34" s="10" t="s">
        <v>104</v>
      </c>
      <c r="N34" s="89"/>
      <c r="O34" s="87"/>
      <c r="P34" s="89"/>
      <c r="Q34" s="10" t="s">
        <v>103</v>
      </c>
      <c r="R34" s="10" t="s">
        <v>103</v>
      </c>
      <c r="S34" s="10" t="s">
        <v>103</v>
      </c>
      <c r="T34" s="89"/>
      <c r="U34" s="10"/>
      <c r="V34" s="4">
        <f t="shared" si="1"/>
        <v>3</v>
      </c>
      <c r="W34" s="4">
        <f t="shared" si="2"/>
        <v>7</v>
      </c>
    </row>
    <row r="35" spans="1:23" x14ac:dyDescent="0.25">
      <c r="A35" s="11">
        <v>7</v>
      </c>
      <c r="B35" s="6" t="s">
        <v>172</v>
      </c>
      <c r="C35" s="6" t="s">
        <v>173</v>
      </c>
      <c r="D35" s="9" t="s">
        <v>6</v>
      </c>
      <c r="E35" s="10" t="s">
        <v>103</v>
      </c>
      <c r="F35" s="10" t="s">
        <v>104</v>
      </c>
      <c r="G35" s="10" t="s">
        <v>104</v>
      </c>
      <c r="H35" s="87"/>
      <c r="I35" s="10" t="s">
        <v>104</v>
      </c>
      <c r="J35" s="89"/>
      <c r="K35" s="10" t="s">
        <v>104</v>
      </c>
      <c r="L35" s="10" t="s">
        <v>107</v>
      </c>
      <c r="M35" s="10" t="s">
        <v>104</v>
      </c>
      <c r="N35" s="89"/>
      <c r="O35" s="87"/>
      <c r="P35" s="89"/>
      <c r="Q35" s="10" t="s">
        <v>104</v>
      </c>
      <c r="R35" s="10" t="s">
        <v>103</v>
      </c>
      <c r="S35" s="10" t="s">
        <v>104</v>
      </c>
      <c r="T35" s="89"/>
      <c r="U35" s="10"/>
      <c r="V35" s="4">
        <f t="shared" si="1"/>
        <v>7</v>
      </c>
      <c r="W35" s="4">
        <f t="shared" si="2"/>
        <v>2</v>
      </c>
    </row>
    <row r="36" spans="1:23" x14ac:dyDescent="0.25">
      <c r="A36" s="11">
        <v>8</v>
      </c>
      <c r="B36" s="6" t="s">
        <v>174</v>
      </c>
      <c r="C36" s="6" t="s">
        <v>175</v>
      </c>
      <c r="D36" s="9" t="s">
        <v>6</v>
      </c>
      <c r="E36" s="10" t="s">
        <v>103</v>
      </c>
      <c r="F36" s="10" t="s">
        <v>103</v>
      </c>
      <c r="G36" s="10" t="s">
        <v>103</v>
      </c>
      <c r="H36" s="87"/>
      <c r="I36" s="10" t="s">
        <v>103</v>
      </c>
      <c r="J36" s="89"/>
      <c r="K36" s="10" t="s">
        <v>103</v>
      </c>
      <c r="L36" s="10" t="s">
        <v>103</v>
      </c>
      <c r="M36" s="10" t="s">
        <v>103</v>
      </c>
      <c r="N36" s="89"/>
      <c r="O36" s="87"/>
      <c r="P36" s="89"/>
      <c r="Q36" s="10" t="s">
        <v>103</v>
      </c>
      <c r="R36" s="10" t="s">
        <v>103</v>
      </c>
      <c r="S36" s="10" t="s">
        <v>103</v>
      </c>
      <c r="T36" s="89"/>
      <c r="U36" s="10"/>
      <c r="V36" s="4">
        <f t="shared" si="1"/>
        <v>0</v>
      </c>
      <c r="W36" s="4">
        <f t="shared" si="2"/>
        <v>10</v>
      </c>
    </row>
    <row r="37" spans="1:23" x14ac:dyDescent="0.25">
      <c r="A37" s="11">
        <v>9</v>
      </c>
      <c r="B37" s="6" t="s">
        <v>174</v>
      </c>
      <c r="C37" s="6" t="s">
        <v>176</v>
      </c>
      <c r="D37" s="9" t="s">
        <v>6</v>
      </c>
      <c r="E37" s="10" t="s">
        <v>104</v>
      </c>
      <c r="F37" s="10" t="s">
        <v>104</v>
      </c>
      <c r="G37" s="10" t="s">
        <v>104</v>
      </c>
      <c r="H37" s="87"/>
      <c r="I37" s="10" t="s">
        <v>104</v>
      </c>
      <c r="J37" s="89"/>
      <c r="K37" s="10" t="s">
        <v>104</v>
      </c>
      <c r="L37" s="10" t="s">
        <v>104</v>
      </c>
      <c r="M37" s="10" t="s">
        <v>104</v>
      </c>
      <c r="N37" s="89"/>
      <c r="O37" s="87"/>
      <c r="P37" s="89"/>
      <c r="Q37" s="10" t="s">
        <v>104</v>
      </c>
      <c r="R37" s="10" t="s">
        <v>103</v>
      </c>
      <c r="S37" s="10" t="s">
        <v>104</v>
      </c>
      <c r="T37" s="89"/>
      <c r="U37" s="10"/>
      <c r="V37" s="4">
        <f t="shared" si="1"/>
        <v>9</v>
      </c>
      <c r="W37" s="4">
        <f t="shared" si="2"/>
        <v>1</v>
      </c>
    </row>
    <row r="38" spans="1:23" x14ac:dyDescent="0.25">
      <c r="A38" s="11">
        <v>10</v>
      </c>
      <c r="B38" s="6" t="s">
        <v>177</v>
      </c>
      <c r="C38" s="6" t="s">
        <v>178</v>
      </c>
      <c r="D38" s="9" t="s">
        <v>6</v>
      </c>
      <c r="E38" s="10" t="s">
        <v>104</v>
      </c>
      <c r="F38" s="10" t="s">
        <v>104</v>
      </c>
      <c r="G38" s="10" t="s">
        <v>104</v>
      </c>
      <c r="H38" s="87"/>
      <c r="I38" s="10" t="s">
        <v>104</v>
      </c>
      <c r="J38" s="89"/>
      <c r="K38" s="10" t="s">
        <v>104</v>
      </c>
      <c r="L38" s="10" t="s">
        <v>104</v>
      </c>
      <c r="M38" s="10" t="s">
        <v>103</v>
      </c>
      <c r="N38" s="89"/>
      <c r="O38" s="87"/>
      <c r="P38" s="89"/>
      <c r="Q38" s="10" t="s">
        <v>103</v>
      </c>
      <c r="R38" s="10" t="s">
        <v>103</v>
      </c>
      <c r="S38" s="10" t="s">
        <v>103</v>
      </c>
      <c r="T38" s="89"/>
      <c r="U38" s="10"/>
      <c r="V38" s="4">
        <f t="shared" si="1"/>
        <v>6</v>
      </c>
      <c r="W38" s="4">
        <f t="shared" si="2"/>
        <v>4</v>
      </c>
    </row>
    <row r="39" spans="1:23" x14ac:dyDescent="0.25">
      <c r="A39" s="11">
        <v>11</v>
      </c>
      <c r="B39" s="6" t="s">
        <v>179</v>
      </c>
      <c r="C39" s="6" t="s">
        <v>180</v>
      </c>
      <c r="D39" s="9" t="s">
        <v>6</v>
      </c>
      <c r="E39" s="10" t="s">
        <v>104</v>
      </c>
      <c r="F39" s="10" t="s">
        <v>104</v>
      </c>
      <c r="G39" s="10" t="s">
        <v>104</v>
      </c>
      <c r="H39" s="87"/>
      <c r="I39" s="10" t="s">
        <v>103</v>
      </c>
      <c r="J39" s="89"/>
      <c r="K39" s="10" t="s">
        <v>104</v>
      </c>
      <c r="L39" s="10" t="s">
        <v>104</v>
      </c>
      <c r="M39" s="10" t="s">
        <v>104</v>
      </c>
      <c r="N39" s="89"/>
      <c r="O39" s="87"/>
      <c r="P39" s="89"/>
      <c r="Q39" s="10" t="s">
        <v>104</v>
      </c>
      <c r="R39" s="10" t="s">
        <v>104</v>
      </c>
      <c r="S39" s="10" t="s">
        <v>104</v>
      </c>
      <c r="T39" s="89"/>
      <c r="U39" s="10"/>
      <c r="V39" s="4">
        <f t="shared" si="1"/>
        <v>9</v>
      </c>
      <c r="W39" s="4">
        <f t="shared" si="2"/>
        <v>1</v>
      </c>
    </row>
    <row r="40" spans="1:23" x14ac:dyDescent="0.25">
      <c r="A40" s="11">
        <v>12</v>
      </c>
      <c r="B40" s="6" t="s">
        <v>181</v>
      </c>
      <c r="C40" s="6" t="s">
        <v>182</v>
      </c>
      <c r="D40" s="9" t="s">
        <v>6</v>
      </c>
      <c r="E40" s="10" t="s">
        <v>104</v>
      </c>
      <c r="F40" s="10" t="s">
        <v>103</v>
      </c>
      <c r="G40" s="10" t="s">
        <v>104</v>
      </c>
      <c r="H40" s="87"/>
      <c r="I40" s="10" t="s">
        <v>104</v>
      </c>
      <c r="J40" s="89"/>
      <c r="K40" s="10" t="s">
        <v>104</v>
      </c>
      <c r="L40" s="10" t="s">
        <v>104</v>
      </c>
      <c r="M40" s="10" t="s">
        <v>103</v>
      </c>
      <c r="N40" s="89"/>
      <c r="O40" s="87"/>
      <c r="P40" s="89"/>
      <c r="Q40" s="10" t="s">
        <v>103</v>
      </c>
      <c r="R40" s="10" t="s">
        <v>103</v>
      </c>
      <c r="S40" s="10" t="s">
        <v>104</v>
      </c>
      <c r="T40" s="89"/>
      <c r="U40" s="10"/>
      <c r="V40" s="4">
        <f t="shared" si="1"/>
        <v>6</v>
      </c>
      <c r="W40" s="4">
        <f t="shared" si="2"/>
        <v>4</v>
      </c>
    </row>
    <row r="41" spans="1:23" x14ac:dyDescent="0.25">
      <c r="A41" s="11">
        <v>13</v>
      </c>
      <c r="B41" s="6" t="s">
        <v>183</v>
      </c>
      <c r="C41" s="6" t="s">
        <v>132</v>
      </c>
      <c r="D41" s="9" t="s">
        <v>6</v>
      </c>
      <c r="E41" s="10" t="s">
        <v>104</v>
      </c>
      <c r="F41" s="10" t="s">
        <v>104</v>
      </c>
      <c r="G41" s="10" t="s">
        <v>104</v>
      </c>
      <c r="H41" s="87"/>
      <c r="I41" s="10" t="s">
        <v>104</v>
      </c>
      <c r="J41" s="89"/>
      <c r="K41" s="10" t="s">
        <v>104</v>
      </c>
      <c r="L41" s="10" t="s">
        <v>104</v>
      </c>
      <c r="M41" s="10" t="s">
        <v>104</v>
      </c>
      <c r="N41" s="89"/>
      <c r="O41" s="87"/>
      <c r="P41" s="89"/>
      <c r="Q41" s="10" t="s">
        <v>103</v>
      </c>
      <c r="R41" s="10" t="s">
        <v>103</v>
      </c>
      <c r="S41" s="10" t="s">
        <v>104</v>
      </c>
      <c r="T41" s="89"/>
      <c r="U41" s="10"/>
      <c r="V41" s="4">
        <f t="shared" si="1"/>
        <v>8</v>
      </c>
      <c r="W41" s="4">
        <f t="shared" si="2"/>
        <v>2</v>
      </c>
    </row>
    <row r="42" spans="1:23" x14ac:dyDescent="0.25">
      <c r="A42" s="11">
        <v>14</v>
      </c>
      <c r="B42" s="6" t="s">
        <v>184</v>
      </c>
      <c r="C42" s="6" t="s">
        <v>185</v>
      </c>
      <c r="D42" s="9" t="s">
        <v>6</v>
      </c>
      <c r="E42" s="10" t="s">
        <v>104</v>
      </c>
      <c r="F42" s="10" t="s">
        <v>104</v>
      </c>
      <c r="G42" s="10" t="s">
        <v>104</v>
      </c>
      <c r="H42" s="87"/>
      <c r="I42" s="10" t="s">
        <v>104</v>
      </c>
      <c r="J42" s="89"/>
      <c r="K42" s="10" t="s">
        <v>104</v>
      </c>
      <c r="L42" s="10" t="s">
        <v>104</v>
      </c>
      <c r="M42" s="10" t="s">
        <v>104</v>
      </c>
      <c r="N42" s="89"/>
      <c r="O42" s="87"/>
      <c r="P42" s="89"/>
      <c r="Q42" s="10" t="s">
        <v>103</v>
      </c>
      <c r="R42" s="10" t="s">
        <v>104</v>
      </c>
      <c r="S42" s="10" t="s">
        <v>103</v>
      </c>
      <c r="T42" s="89"/>
      <c r="U42" s="10"/>
      <c r="V42" s="4">
        <f t="shared" si="1"/>
        <v>8</v>
      </c>
      <c r="W42" s="4">
        <f t="shared" si="2"/>
        <v>2</v>
      </c>
    </row>
    <row r="43" spans="1:23" x14ac:dyDescent="0.25">
      <c r="A43" s="11">
        <v>15</v>
      </c>
      <c r="B43" s="6" t="s">
        <v>186</v>
      </c>
      <c r="C43" s="6" t="s">
        <v>187</v>
      </c>
      <c r="D43" s="9" t="s">
        <v>6</v>
      </c>
      <c r="E43" s="10" t="s">
        <v>104</v>
      </c>
      <c r="F43" s="10" t="s">
        <v>104</v>
      </c>
      <c r="G43" s="10" t="s">
        <v>104</v>
      </c>
      <c r="H43" s="87"/>
      <c r="I43" s="10" t="s">
        <v>104</v>
      </c>
      <c r="J43" s="89"/>
      <c r="K43" s="10" t="s">
        <v>104</v>
      </c>
      <c r="L43" s="10" t="s">
        <v>104</v>
      </c>
      <c r="M43" s="10" t="s">
        <v>104</v>
      </c>
      <c r="N43" s="89"/>
      <c r="O43" s="87"/>
      <c r="P43" s="89"/>
      <c r="Q43" s="10" t="s">
        <v>104</v>
      </c>
      <c r="R43" s="10" t="s">
        <v>103</v>
      </c>
      <c r="S43" s="10" t="s">
        <v>103</v>
      </c>
      <c r="T43" s="89"/>
      <c r="U43" s="10"/>
      <c r="V43" s="4">
        <f t="shared" si="1"/>
        <v>8</v>
      </c>
      <c r="W43" s="4">
        <f t="shared" si="2"/>
        <v>2</v>
      </c>
    </row>
    <row r="44" spans="1:23" x14ac:dyDescent="0.25">
      <c r="A44" s="11">
        <v>16</v>
      </c>
      <c r="B44" s="6" t="s">
        <v>188</v>
      </c>
      <c r="C44" s="6" t="s">
        <v>189</v>
      </c>
      <c r="D44" s="9" t="s">
        <v>6</v>
      </c>
      <c r="E44" s="10" t="s">
        <v>104</v>
      </c>
      <c r="F44" s="10" t="s">
        <v>104</v>
      </c>
      <c r="G44" s="10" t="s">
        <v>104</v>
      </c>
      <c r="H44" s="87"/>
      <c r="I44" s="10" t="s">
        <v>104</v>
      </c>
      <c r="J44" s="89"/>
      <c r="K44" s="10" t="s">
        <v>104</v>
      </c>
      <c r="L44" s="10" t="s">
        <v>104</v>
      </c>
      <c r="M44" s="10" t="s">
        <v>104</v>
      </c>
      <c r="N44" s="89"/>
      <c r="O44" s="87"/>
      <c r="P44" s="89"/>
      <c r="Q44" s="10" t="s">
        <v>104</v>
      </c>
      <c r="R44" s="10" t="s">
        <v>103</v>
      </c>
      <c r="S44" s="10" t="s">
        <v>103</v>
      </c>
      <c r="T44" s="89"/>
      <c r="U44" s="10"/>
      <c r="V44" s="4">
        <f t="shared" si="1"/>
        <v>8</v>
      </c>
      <c r="W44" s="4">
        <f t="shared" si="2"/>
        <v>2</v>
      </c>
    </row>
    <row r="45" spans="1:23" x14ac:dyDescent="0.25">
      <c r="A45" s="11">
        <v>17</v>
      </c>
      <c r="B45" s="6" t="s">
        <v>190</v>
      </c>
      <c r="C45" s="6" t="s">
        <v>191</v>
      </c>
      <c r="D45" s="9" t="s">
        <v>6</v>
      </c>
      <c r="E45" s="10" t="s">
        <v>103</v>
      </c>
      <c r="F45" s="10" t="s">
        <v>103</v>
      </c>
      <c r="G45" s="10" t="s">
        <v>103</v>
      </c>
      <c r="H45" s="87"/>
      <c r="I45" s="10" t="s">
        <v>104</v>
      </c>
      <c r="J45" s="89"/>
      <c r="K45" s="10" t="s">
        <v>103</v>
      </c>
      <c r="L45" s="10" t="s">
        <v>104</v>
      </c>
      <c r="M45" s="10" t="s">
        <v>104</v>
      </c>
      <c r="N45" s="89"/>
      <c r="O45" s="87"/>
      <c r="P45" s="89"/>
      <c r="Q45" s="10" t="s">
        <v>104</v>
      </c>
      <c r="R45" s="10" t="s">
        <v>104</v>
      </c>
      <c r="S45" s="10" t="s">
        <v>104</v>
      </c>
      <c r="T45" s="89"/>
      <c r="U45" s="10"/>
      <c r="V45" s="4">
        <f t="shared" si="1"/>
        <v>6</v>
      </c>
      <c r="W45" s="4">
        <f t="shared" si="2"/>
        <v>4</v>
      </c>
    </row>
    <row r="46" spans="1:23" x14ac:dyDescent="0.25">
      <c r="A46" s="11">
        <v>18</v>
      </c>
      <c r="B46" s="6" t="s">
        <v>192</v>
      </c>
      <c r="C46" s="6" t="s">
        <v>193</v>
      </c>
      <c r="D46" s="9" t="s">
        <v>6</v>
      </c>
      <c r="E46" s="10" t="s">
        <v>104</v>
      </c>
      <c r="F46" s="10" t="s">
        <v>104</v>
      </c>
      <c r="G46" s="10" t="s">
        <v>104</v>
      </c>
      <c r="H46" s="87"/>
      <c r="I46" s="10" t="s">
        <v>104</v>
      </c>
      <c r="J46" s="89"/>
      <c r="K46" s="10" t="s">
        <v>104</v>
      </c>
      <c r="L46" s="10" t="s">
        <v>104</v>
      </c>
      <c r="M46" s="10" t="s">
        <v>104</v>
      </c>
      <c r="N46" s="89"/>
      <c r="O46" s="87"/>
      <c r="P46" s="89"/>
      <c r="Q46" s="10" t="s">
        <v>104</v>
      </c>
      <c r="R46" s="10" t="s">
        <v>103</v>
      </c>
      <c r="S46" s="10" t="s">
        <v>103</v>
      </c>
      <c r="T46" s="89"/>
      <c r="U46" s="10"/>
      <c r="V46" s="4">
        <f t="shared" si="1"/>
        <v>8</v>
      </c>
      <c r="W46" s="4">
        <f t="shared" si="2"/>
        <v>2</v>
      </c>
    </row>
    <row r="47" spans="1:23" x14ac:dyDescent="0.25">
      <c r="A47" s="11">
        <v>19</v>
      </c>
      <c r="B47" s="6" t="s">
        <v>194</v>
      </c>
      <c r="C47" s="6" t="s">
        <v>195</v>
      </c>
      <c r="D47" s="9" t="s">
        <v>6</v>
      </c>
      <c r="E47" s="10" t="s">
        <v>104</v>
      </c>
      <c r="F47" s="10" t="s">
        <v>104</v>
      </c>
      <c r="G47" s="10" t="s">
        <v>104</v>
      </c>
      <c r="H47" s="87"/>
      <c r="I47" s="10" t="s">
        <v>104</v>
      </c>
      <c r="J47" s="89"/>
      <c r="K47" s="10" t="s">
        <v>104</v>
      </c>
      <c r="L47" s="10" t="s">
        <v>104</v>
      </c>
      <c r="M47" s="10" t="s">
        <v>104</v>
      </c>
      <c r="N47" s="89"/>
      <c r="O47" s="87"/>
      <c r="P47" s="89"/>
      <c r="Q47" s="10" t="s">
        <v>104</v>
      </c>
      <c r="R47" s="10" t="s">
        <v>104</v>
      </c>
      <c r="S47" s="10" t="s">
        <v>103</v>
      </c>
      <c r="T47" s="89"/>
      <c r="U47" s="10"/>
      <c r="V47" s="4">
        <f t="shared" si="1"/>
        <v>9</v>
      </c>
      <c r="W47" s="4">
        <f t="shared" si="2"/>
        <v>1</v>
      </c>
    </row>
    <row r="48" spans="1:23" x14ac:dyDescent="0.25">
      <c r="A48" s="11">
        <v>20</v>
      </c>
      <c r="B48" s="6" t="s">
        <v>196</v>
      </c>
      <c r="C48" s="6" t="s">
        <v>59</v>
      </c>
      <c r="D48" s="9" t="s">
        <v>6</v>
      </c>
      <c r="E48" s="10" t="s">
        <v>104</v>
      </c>
      <c r="F48" s="10" t="s">
        <v>104</v>
      </c>
      <c r="G48" s="10" t="s">
        <v>104</v>
      </c>
      <c r="H48" s="87"/>
      <c r="I48" s="10" t="s">
        <v>104</v>
      </c>
      <c r="J48" s="89"/>
      <c r="K48" s="10" t="s">
        <v>104</v>
      </c>
      <c r="L48" s="10" t="s">
        <v>104</v>
      </c>
      <c r="M48" s="10" t="s">
        <v>104</v>
      </c>
      <c r="N48" s="89"/>
      <c r="O48" s="87"/>
      <c r="P48" s="89"/>
      <c r="Q48" s="10" t="s">
        <v>104</v>
      </c>
      <c r="R48" s="10" t="s">
        <v>104</v>
      </c>
      <c r="S48" s="10" t="s">
        <v>103</v>
      </c>
      <c r="T48" s="89"/>
      <c r="U48" s="10"/>
      <c r="V48" s="4">
        <f t="shared" si="1"/>
        <v>9</v>
      </c>
      <c r="W48" s="4">
        <f t="shared" si="2"/>
        <v>1</v>
      </c>
    </row>
    <row r="49" spans="1:23" x14ac:dyDescent="0.25">
      <c r="A49" s="11">
        <v>21</v>
      </c>
      <c r="B49" s="6" t="s">
        <v>197</v>
      </c>
      <c r="C49" s="6" t="s">
        <v>198</v>
      </c>
      <c r="D49" s="9" t="s">
        <v>6</v>
      </c>
      <c r="E49" s="10" t="s">
        <v>104</v>
      </c>
      <c r="F49" s="10" t="s">
        <v>104</v>
      </c>
      <c r="G49" s="10" t="s">
        <v>104</v>
      </c>
      <c r="H49" s="87"/>
      <c r="I49" s="10" t="s">
        <v>104</v>
      </c>
      <c r="J49" s="89"/>
      <c r="K49" s="10" t="s">
        <v>104</v>
      </c>
      <c r="L49" s="10" t="s">
        <v>104</v>
      </c>
      <c r="M49" s="10" t="s">
        <v>103</v>
      </c>
      <c r="N49" s="89"/>
      <c r="O49" s="87"/>
      <c r="P49" s="89"/>
      <c r="Q49" s="10" t="s">
        <v>104</v>
      </c>
      <c r="R49" s="10" t="s">
        <v>103</v>
      </c>
      <c r="S49" s="10" t="s">
        <v>103</v>
      </c>
      <c r="T49" s="89"/>
      <c r="U49" s="10"/>
      <c r="V49" s="4">
        <f t="shared" si="1"/>
        <v>7</v>
      </c>
      <c r="W49" s="4">
        <f t="shared" si="2"/>
        <v>3</v>
      </c>
    </row>
    <row r="50" spans="1:23" x14ac:dyDescent="0.25">
      <c r="A50" s="11">
        <v>22</v>
      </c>
      <c r="B50" s="6" t="s">
        <v>199</v>
      </c>
      <c r="C50" s="6" t="s">
        <v>198</v>
      </c>
      <c r="D50" s="9" t="s">
        <v>6</v>
      </c>
      <c r="E50" s="10" t="s">
        <v>104</v>
      </c>
      <c r="F50" s="10" t="s">
        <v>104</v>
      </c>
      <c r="G50" s="10" t="s">
        <v>104</v>
      </c>
      <c r="H50" s="87"/>
      <c r="I50" s="10" t="s">
        <v>104</v>
      </c>
      <c r="J50" s="89"/>
      <c r="K50" s="10" t="s">
        <v>104</v>
      </c>
      <c r="L50" s="10" t="s">
        <v>104</v>
      </c>
      <c r="M50" s="10" t="s">
        <v>104</v>
      </c>
      <c r="N50" s="89"/>
      <c r="O50" s="87"/>
      <c r="P50" s="89"/>
      <c r="Q50" s="10" t="s">
        <v>104</v>
      </c>
      <c r="R50" s="10" t="s">
        <v>104</v>
      </c>
      <c r="S50" s="10" t="s">
        <v>104</v>
      </c>
      <c r="T50" s="89"/>
      <c r="U50" s="10"/>
      <c r="V50" s="4">
        <f t="shared" si="1"/>
        <v>10</v>
      </c>
      <c r="W50" s="4">
        <f t="shared" si="2"/>
        <v>0</v>
      </c>
    </row>
    <row r="51" spans="1:23" x14ac:dyDescent="0.25">
      <c r="A51" s="11">
        <v>23</v>
      </c>
      <c r="B51" s="6" t="s">
        <v>200</v>
      </c>
      <c r="C51" s="6" t="s">
        <v>201</v>
      </c>
      <c r="D51" s="9" t="s">
        <v>6</v>
      </c>
      <c r="E51" s="10" t="s">
        <v>104</v>
      </c>
      <c r="F51" s="10" t="s">
        <v>104</v>
      </c>
      <c r="G51" s="10" t="s">
        <v>104</v>
      </c>
      <c r="H51" s="87"/>
      <c r="I51" s="10" t="s">
        <v>104</v>
      </c>
      <c r="J51" s="89"/>
      <c r="K51" s="10" t="s">
        <v>104</v>
      </c>
      <c r="L51" s="10" t="s">
        <v>104</v>
      </c>
      <c r="M51" s="10" t="s">
        <v>103</v>
      </c>
      <c r="N51" s="89"/>
      <c r="O51" s="87"/>
      <c r="P51" s="89"/>
      <c r="Q51" s="10" t="s">
        <v>104</v>
      </c>
      <c r="R51" s="10" t="s">
        <v>103</v>
      </c>
      <c r="S51" s="10" t="s">
        <v>104</v>
      </c>
      <c r="T51" s="89"/>
      <c r="U51" s="10"/>
      <c r="V51" s="4">
        <f t="shared" si="1"/>
        <v>8</v>
      </c>
      <c r="W51" s="4">
        <f t="shared" si="2"/>
        <v>2</v>
      </c>
    </row>
    <row r="52" spans="1:23" x14ac:dyDescent="0.25">
      <c r="A52" s="11">
        <v>24</v>
      </c>
      <c r="B52" s="6" t="s">
        <v>202</v>
      </c>
      <c r="C52" s="6" t="s">
        <v>79</v>
      </c>
      <c r="D52" s="9" t="s">
        <v>6</v>
      </c>
      <c r="E52" s="10" t="s">
        <v>104</v>
      </c>
      <c r="F52" s="10" t="s">
        <v>104</v>
      </c>
      <c r="G52" s="10" t="s">
        <v>104</v>
      </c>
      <c r="H52" s="87"/>
      <c r="I52" s="10" t="s">
        <v>104</v>
      </c>
      <c r="J52" s="89"/>
      <c r="K52" s="10" t="s">
        <v>104</v>
      </c>
      <c r="L52" s="10" t="s">
        <v>104</v>
      </c>
      <c r="M52" s="10" t="s">
        <v>104</v>
      </c>
      <c r="N52" s="89"/>
      <c r="O52" s="87"/>
      <c r="P52" s="89"/>
      <c r="Q52" s="10" t="s">
        <v>103</v>
      </c>
      <c r="R52" s="10" t="s">
        <v>103</v>
      </c>
      <c r="S52" s="10" t="s">
        <v>104</v>
      </c>
      <c r="T52" s="89"/>
      <c r="U52" s="10"/>
      <c r="V52" s="4">
        <f t="shared" si="1"/>
        <v>8</v>
      </c>
      <c r="W52" s="4">
        <f t="shared" si="2"/>
        <v>2</v>
      </c>
    </row>
    <row r="53" spans="1:23" x14ac:dyDescent="0.25">
      <c r="A53" s="11">
        <v>25</v>
      </c>
      <c r="B53" s="6" t="s">
        <v>203</v>
      </c>
      <c r="C53" s="6" t="s">
        <v>204</v>
      </c>
      <c r="D53" s="9" t="s">
        <v>6</v>
      </c>
      <c r="E53" s="10" t="s">
        <v>104</v>
      </c>
      <c r="F53" s="10" t="s">
        <v>104</v>
      </c>
      <c r="G53" s="10" t="s">
        <v>104</v>
      </c>
      <c r="H53" s="87"/>
      <c r="I53" s="10" t="s">
        <v>104</v>
      </c>
      <c r="J53" s="89"/>
      <c r="K53" s="10" t="s">
        <v>104</v>
      </c>
      <c r="L53" s="10" t="s">
        <v>104</v>
      </c>
      <c r="M53" s="10" t="s">
        <v>104</v>
      </c>
      <c r="N53" s="89"/>
      <c r="O53" s="87"/>
      <c r="P53" s="89"/>
      <c r="Q53" s="10" t="s">
        <v>103</v>
      </c>
      <c r="R53" s="10" t="s">
        <v>104</v>
      </c>
      <c r="S53" s="10" t="s">
        <v>104</v>
      </c>
      <c r="T53" s="89"/>
      <c r="U53" s="10"/>
      <c r="V53" s="4">
        <f t="shared" si="1"/>
        <v>9</v>
      </c>
      <c r="W53" s="4">
        <f t="shared" si="2"/>
        <v>1</v>
      </c>
    </row>
    <row r="54" spans="1:23" x14ac:dyDescent="0.25">
      <c r="A54" s="11">
        <v>26</v>
      </c>
      <c r="B54" s="6" t="s">
        <v>205</v>
      </c>
      <c r="C54" s="6" t="s">
        <v>204</v>
      </c>
      <c r="D54" s="9" t="s">
        <v>6</v>
      </c>
      <c r="E54" s="10" t="s">
        <v>104</v>
      </c>
      <c r="F54" s="10" t="s">
        <v>104</v>
      </c>
      <c r="G54" s="10" t="s">
        <v>104</v>
      </c>
      <c r="H54" s="87"/>
      <c r="I54" s="10" t="s">
        <v>103</v>
      </c>
      <c r="J54" s="89"/>
      <c r="K54" s="10" t="s">
        <v>103</v>
      </c>
      <c r="L54" s="10" t="s">
        <v>103</v>
      </c>
      <c r="M54" s="10" t="s">
        <v>104</v>
      </c>
      <c r="N54" s="89"/>
      <c r="O54" s="87"/>
      <c r="P54" s="89"/>
      <c r="Q54" s="10" t="s">
        <v>103</v>
      </c>
      <c r="R54" s="10" t="s">
        <v>104</v>
      </c>
      <c r="S54" s="10" t="s">
        <v>104</v>
      </c>
      <c r="T54" s="89"/>
      <c r="U54" s="10"/>
      <c r="V54" s="4">
        <f t="shared" si="1"/>
        <v>6</v>
      </c>
      <c r="W54" s="4">
        <f t="shared" si="2"/>
        <v>4</v>
      </c>
    </row>
    <row r="55" spans="1:23" x14ac:dyDescent="0.25">
      <c r="A55" s="11">
        <v>27</v>
      </c>
      <c r="B55" s="6" t="s">
        <v>206</v>
      </c>
      <c r="C55" s="6" t="s">
        <v>207</v>
      </c>
      <c r="D55" s="9" t="s">
        <v>6</v>
      </c>
      <c r="E55" s="10" t="s">
        <v>104</v>
      </c>
      <c r="F55" s="10" t="s">
        <v>104</v>
      </c>
      <c r="G55" s="10" t="s">
        <v>104</v>
      </c>
      <c r="H55" s="87"/>
      <c r="I55" s="10" t="s">
        <v>104</v>
      </c>
      <c r="J55" s="89"/>
      <c r="K55" s="10" t="s">
        <v>104</v>
      </c>
      <c r="L55" s="10" t="s">
        <v>104</v>
      </c>
      <c r="M55" s="10" t="s">
        <v>104</v>
      </c>
      <c r="N55" s="89"/>
      <c r="O55" s="87"/>
      <c r="P55" s="89"/>
      <c r="Q55" s="10" t="s">
        <v>104</v>
      </c>
      <c r="R55" s="10" t="s">
        <v>103</v>
      </c>
      <c r="S55" s="10" t="s">
        <v>104</v>
      </c>
      <c r="T55" s="89"/>
      <c r="U55" s="10"/>
      <c r="V55" s="4">
        <f t="shared" si="1"/>
        <v>9</v>
      </c>
      <c r="W55" s="4">
        <f t="shared" si="2"/>
        <v>1</v>
      </c>
    </row>
    <row r="56" spans="1:23" x14ac:dyDescent="0.25">
      <c r="A56" s="11">
        <v>28</v>
      </c>
      <c r="B56" s="6" t="s">
        <v>208</v>
      </c>
      <c r="C56" s="6" t="s">
        <v>207</v>
      </c>
      <c r="D56" s="9" t="s">
        <v>6</v>
      </c>
      <c r="E56" s="10" t="s">
        <v>104</v>
      </c>
      <c r="F56" s="10" t="s">
        <v>104</v>
      </c>
      <c r="G56" s="10" t="s">
        <v>104</v>
      </c>
      <c r="H56" s="87"/>
      <c r="I56" s="10" t="s">
        <v>104</v>
      </c>
      <c r="J56" s="89"/>
      <c r="K56" s="10" t="s">
        <v>104</v>
      </c>
      <c r="L56" s="10" t="s">
        <v>104</v>
      </c>
      <c r="M56" s="10" t="s">
        <v>104</v>
      </c>
      <c r="N56" s="89"/>
      <c r="O56" s="87"/>
      <c r="P56" s="89"/>
      <c r="Q56" s="10" t="s">
        <v>104</v>
      </c>
      <c r="R56" s="10" t="s">
        <v>103</v>
      </c>
      <c r="S56" s="10" t="s">
        <v>104</v>
      </c>
      <c r="T56" s="89"/>
      <c r="U56" s="10"/>
      <c r="V56" s="4">
        <f t="shared" si="1"/>
        <v>9</v>
      </c>
      <c r="W56" s="4">
        <f t="shared" si="2"/>
        <v>1</v>
      </c>
    </row>
    <row r="57" spans="1:23" x14ac:dyDescent="0.25">
      <c r="A57" s="11">
        <v>29</v>
      </c>
      <c r="B57" s="6" t="s">
        <v>209</v>
      </c>
      <c r="C57" s="6"/>
      <c r="D57" s="9" t="s">
        <v>6</v>
      </c>
      <c r="E57" s="10" t="s">
        <v>104</v>
      </c>
      <c r="F57" s="10" t="s">
        <v>104</v>
      </c>
      <c r="G57" s="10" t="s">
        <v>104</v>
      </c>
      <c r="H57" s="87"/>
      <c r="I57" s="10" t="s">
        <v>104</v>
      </c>
      <c r="J57" s="89"/>
      <c r="K57" s="10" t="s">
        <v>104</v>
      </c>
      <c r="L57" s="10" t="s">
        <v>103</v>
      </c>
      <c r="M57" s="10" t="s">
        <v>104</v>
      </c>
      <c r="N57" s="89"/>
      <c r="O57" s="87"/>
      <c r="P57" s="89"/>
      <c r="Q57" s="10" t="s">
        <v>103</v>
      </c>
      <c r="R57" s="10" t="s">
        <v>103</v>
      </c>
      <c r="S57" s="10" t="s">
        <v>103</v>
      </c>
      <c r="T57" s="89"/>
      <c r="U57" s="10"/>
      <c r="V57" s="4">
        <f t="shared" si="1"/>
        <v>6</v>
      </c>
      <c r="W57" s="4">
        <f t="shared" si="2"/>
        <v>4</v>
      </c>
    </row>
  </sheetData>
  <mergeCells count="17">
    <mergeCell ref="A1:W1"/>
    <mergeCell ref="A2:W2"/>
    <mergeCell ref="A3:A4"/>
    <mergeCell ref="B3:B4"/>
    <mergeCell ref="C3:C4"/>
    <mergeCell ref="D3:D4"/>
    <mergeCell ref="V3:V4"/>
    <mergeCell ref="W3:W4"/>
    <mergeCell ref="X21:AA21"/>
    <mergeCell ref="X3:Y3"/>
    <mergeCell ref="H5:H57"/>
    <mergeCell ref="J5:J57"/>
    <mergeCell ref="N5:N57"/>
    <mergeCell ref="O5:O57"/>
    <mergeCell ref="P5:P57"/>
    <mergeCell ref="T5:T57"/>
    <mergeCell ref="X13:AA13"/>
  </mergeCells>
  <conditionalFormatting sqref="E5:P5 T5 E4:U4">
    <cfRule type="expression" dxfId="156" priority="30">
      <formula>IF(E$4=TODAY(),TRUE,FALSE)</formula>
    </cfRule>
  </conditionalFormatting>
  <conditionalFormatting sqref="E5:P5 T5">
    <cfRule type="cellIs" dxfId="155" priority="23" operator="equal">
      <formula>"A"</formula>
    </cfRule>
    <cfRule type="cellIs" dxfId="154" priority="24" operator="equal">
      <formula>"P"</formula>
    </cfRule>
  </conditionalFormatting>
  <conditionalFormatting sqref="E3:U4 E5:P5 T5">
    <cfRule type="expression" dxfId="153" priority="31">
      <formula>E$3="Sun"</formula>
    </cfRule>
  </conditionalFormatting>
  <conditionalFormatting sqref="Q5:S57 U5:U57 E6:G57 I6:I57 K6:M57">
    <cfRule type="cellIs" dxfId="152" priority="17" operator="equal">
      <formula>"A"</formula>
    </cfRule>
    <cfRule type="cellIs" dxfId="151" priority="18" operator="equal">
      <formula>"P"</formula>
    </cfRule>
    <cfRule type="expression" dxfId="150" priority="19">
      <formula>IF(E$4=TODAY(),TRUE,FALSE)</formula>
    </cfRule>
    <cfRule type="expression" dxfId="149" priority="20">
      <formula>E$3="Sun"</formula>
    </cfRule>
  </conditionalFormatting>
  <conditionalFormatting sqref="V3:W3">
    <cfRule type="expression" dxfId="148" priority="32">
      <formula>#REF!="Sun"</formula>
    </cfRule>
  </conditionalFormatting>
  <conditionalFormatting sqref="V5:W57">
    <cfRule type="expression" dxfId="147" priority="21">
      <formula>#REF!="Sun"</formula>
    </cfRule>
  </conditionalFormatting>
  <conditionalFormatting sqref="X5:X11">
    <cfRule type="expression" dxfId="146" priority="7">
      <formula>X$3="Sun"</formula>
    </cfRule>
  </conditionalFormatting>
  <conditionalFormatting sqref="X14:X17">
    <cfRule type="expression" dxfId="145" priority="3">
      <formula>X$3="Sun"</formula>
    </cfRule>
  </conditionalFormatting>
  <conditionalFormatting sqref="X22:X25">
    <cfRule type="expression" dxfId="144" priority="2">
      <formula>X$3="Sun"</formula>
    </cfRule>
  </conditionalFormatting>
  <conditionalFormatting sqref="X4:Y4">
    <cfRule type="expression" dxfId="143" priority="8">
      <formula>X$3="Sun"</formula>
    </cfRule>
  </conditionalFormatting>
  <conditionalFormatting sqref="Y14:AA14">
    <cfRule type="expression" dxfId="142" priority="4">
      <formula>Y$3="Sun"</formula>
    </cfRule>
  </conditionalFormatting>
  <conditionalFormatting sqref="Y22:AA22">
    <cfRule type="expression" dxfId="141" priority="1">
      <formula>Y$3="Sun"</formula>
    </cfRule>
  </conditionalFormatting>
  <conditionalFormatting sqref="AA23">
    <cfRule type="expression" dxfId="140" priority="6">
      <formula>AA$3="Sun"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A4183-B30D-453D-84FF-6F8A956A3A8E}">
  <dimension ref="A1:AA60"/>
  <sheetViews>
    <sheetView topLeftCell="A9" workbookViewId="0">
      <selection activeCell="Y15" sqref="Y15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/>
    <col min="6" max="7" width="3.7109375" style="1" bestFit="1" customWidth="1"/>
    <col min="8" max="8" width="3.85546875" style="1"/>
    <col min="9" max="9" width="4.5703125" style="1" bestFit="1" customWidth="1"/>
    <col min="10" max="10" width="3.85546875" style="1"/>
    <col min="11" max="11" width="4.7109375" style="1" bestFit="1" customWidth="1"/>
    <col min="12" max="12" width="3.85546875" style="1"/>
    <col min="13" max="14" width="3.7109375" style="1" bestFit="1" customWidth="1"/>
    <col min="15" max="15" width="3.85546875" style="1"/>
    <col min="16" max="16" width="4.5703125" style="1" bestFit="1" customWidth="1"/>
    <col min="17" max="17" width="3.85546875" style="1"/>
    <col min="18" max="18" width="4.7109375" style="1" bestFit="1" customWidth="1"/>
    <col min="19" max="19" width="3.85546875" style="1"/>
    <col min="20" max="21" width="3.7109375" style="1" bestFit="1" customWidth="1"/>
    <col min="22" max="23" width="6.7109375" style="1" bestFit="1" customWidth="1"/>
    <col min="24" max="24" width="21.140625" style="1" bestFit="1" customWidth="1"/>
    <col min="25" max="25" width="5.85546875" style="1" bestFit="1" customWidth="1"/>
    <col min="26" max="26" width="12" style="1" bestFit="1" customWidth="1"/>
    <col min="27" max="27" width="6.7109375" style="1" bestFit="1" customWidth="1"/>
    <col min="28" max="16384" width="3.85546875" style="1"/>
  </cols>
  <sheetData>
    <row r="1" spans="1:27" ht="17.25" x14ac:dyDescent="0.25">
      <c r="A1" s="81" t="s">
        <v>19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</row>
    <row r="2" spans="1:27" ht="17.25" x14ac:dyDescent="0.3">
      <c r="A2" s="82" t="s">
        <v>18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</row>
    <row r="3" spans="1:27" ht="15.75" x14ac:dyDescent="0.25">
      <c r="A3" s="84" t="s">
        <v>0</v>
      </c>
      <c r="B3" s="84" t="s">
        <v>1</v>
      </c>
      <c r="C3" s="84" t="s">
        <v>2</v>
      </c>
      <c r="D3" s="84" t="s">
        <v>3</v>
      </c>
      <c r="E3" s="2" t="str">
        <f t="shared" ref="E3:U3" si="0">TEXT(E4,"ddd")</f>
        <v>Thu</v>
      </c>
      <c r="F3" s="2" t="str">
        <f t="shared" si="0"/>
        <v>Fri</v>
      </c>
      <c r="G3" s="2" t="str">
        <f t="shared" si="0"/>
        <v>Sat</v>
      </c>
      <c r="H3" s="2" t="str">
        <f t="shared" si="0"/>
        <v>Sun</v>
      </c>
      <c r="I3" s="2" t="str">
        <f t="shared" si="0"/>
        <v>Mon</v>
      </c>
      <c r="J3" s="2" t="str">
        <f t="shared" si="0"/>
        <v>Tue</v>
      </c>
      <c r="K3" s="2" t="str">
        <f t="shared" si="0"/>
        <v>Wed</v>
      </c>
      <c r="L3" s="2" t="str">
        <f t="shared" si="0"/>
        <v>Thu</v>
      </c>
      <c r="M3" s="2" t="str">
        <f t="shared" si="0"/>
        <v>Fri</v>
      </c>
      <c r="N3" s="2" t="str">
        <f t="shared" si="0"/>
        <v>Sat</v>
      </c>
      <c r="O3" s="2" t="str">
        <f t="shared" si="0"/>
        <v>Sun</v>
      </c>
      <c r="P3" s="2" t="str">
        <f t="shared" si="0"/>
        <v>Mon</v>
      </c>
      <c r="Q3" s="2" t="str">
        <f t="shared" si="0"/>
        <v>Tue</v>
      </c>
      <c r="R3" s="2" t="str">
        <f t="shared" si="0"/>
        <v>Wed</v>
      </c>
      <c r="S3" s="2" t="str">
        <f t="shared" si="0"/>
        <v>Thu</v>
      </c>
      <c r="T3" s="2" t="str">
        <f t="shared" si="0"/>
        <v>Fri</v>
      </c>
      <c r="U3" s="2" t="str">
        <f t="shared" si="0"/>
        <v>Sat</v>
      </c>
      <c r="V3" s="79" t="s">
        <v>4</v>
      </c>
      <c r="W3" s="79" t="s">
        <v>5</v>
      </c>
      <c r="X3" s="76" t="s">
        <v>210</v>
      </c>
      <c r="Y3" s="77"/>
      <c r="Z3" s="3"/>
      <c r="AA3" s="3"/>
    </row>
    <row r="4" spans="1:27" ht="36.75" x14ac:dyDescent="0.25">
      <c r="A4" s="85"/>
      <c r="B4" s="85"/>
      <c r="C4" s="85"/>
      <c r="D4" s="85"/>
      <c r="E4" s="17">
        <v>45519</v>
      </c>
      <c r="F4" s="17">
        <v>45520</v>
      </c>
      <c r="G4" s="17">
        <v>45521</v>
      </c>
      <c r="H4" s="17">
        <v>45522</v>
      </c>
      <c r="I4" s="17">
        <v>45523</v>
      </c>
      <c r="J4" s="17">
        <v>45524</v>
      </c>
      <c r="K4" s="17">
        <v>45525</v>
      </c>
      <c r="L4" s="17">
        <v>45526</v>
      </c>
      <c r="M4" s="17">
        <v>45527</v>
      </c>
      <c r="N4" s="17">
        <v>45528</v>
      </c>
      <c r="O4" s="17">
        <v>45529</v>
      </c>
      <c r="P4" s="17">
        <v>45530</v>
      </c>
      <c r="Q4" s="17">
        <v>45531</v>
      </c>
      <c r="R4" s="17">
        <v>45532</v>
      </c>
      <c r="S4" s="17">
        <v>45533</v>
      </c>
      <c r="T4" s="17">
        <v>45534</v>
      </c>
      <c r="U4" s="17">
        <v>45535</v>
      </c>
      <c r="V4" s="79"/>
      <c r="W4" s="79"/>
      <c r="X4" s="4" t="s">
        <v>315</v>
      </c>
      <c r="Y4" s="4">
        <f>SUM(Y5:Y11)</f>
        <v>31</v>
      </c>
      <c r="Z4" s="3"/>
      <c r="AA4" s="3"/>
    </row>
    <row r="5" spans="1:27" ht="15" customHeight="1" x14ac:dyDescent="0.25">
      <c r="A5" s="5">
        <v>1</v>
      </c>
      <c r="B5" s="6" t="s">
        <v>211</v>
      </c>
      <c r="C5" s="7" t="s">
        <v>212</v>
      </c>
      <c r="D5" s="8" t="s">
        <v>213</v>
      </c>
      <c r="E5" s="10" t="s">
        <v>104</v>
      </c>
      <c r="F5" s="10" t="s">
        <v>104</v>
      </c>
      <c r="G5" s="10" t="s">
        <v>104</v>
      </c>
      <c r="H5" s="86" t="s">
        <v>113</v>
      </c>
      <c r="I5" s="10" t="s">
        <v>104</v>
      </c>
      <c r="J5" s="88" t="s">
        <v>214</v>
      </c>
      <c r="K5" s="10" t="s">
        <v>104</v>
      </c>
      <c r="L5" s="10" t="s">
        <v>104</v>
      </c>
      <c r="M5" s="10" t="s">
        <v>103</v>
      </c>
      <c r="N5" s="88" t="s">
        <v>215</v>
      </c>
      <c r="O5" s="86" t="s">
        <v>113</v>
      </c>
      <c r="P5" s="88" t="s">
        <v>216</v>
      </c>
      <c r="Q5" s="10" t="s">
        <v>104</v>
      </c>
      <c r="R5" s="10" t="s">
        <v>104</v>
      </c>
      <c r="S5" s="10" t="s">
        <v>104</v>
      </c>
      <c r="T5" s="88" t="s">
        <v>106</v>
      </c>
      <c r="U5" s="10" t="s">
        <v>103</v>
      </c>
      <c r="V5" s="4">
        <f t="shared" ref="V5:V60" si="1">COUNTIF(E5:U5,"P")</f>
        <v>9</v>
      </c>
      <c r="W5" s="4">
        <f t="shared" ref="W5:W60" si="2">COUNTIF(E5:U5,"A")</f>
        <v>2</v>
      </c>
      <c r="X5" s="4" t="s">
        <v>7</v>
      </c>
      <c r="Y5" s="11">
        <v>11</v>
      </c>
      <c r="Z5" s="12"/>
      <c r="AA5" s="3"/>
    </row>
    <row r="6" spans="1:27" x14ac:dyDescent="0.25">
      <c r="A6" s="11">
        <v>2</v>
      </c>
      <c r="B6" s="13" t="s">
        <v>217</v>
      </c>
      <c r="C6" s="14" t="s">
        <v>218</v>
      </c>
      <c r="D6" s="8" t="s">
        <v>213</v>
      </c>
      <c r="E6" s="10" t="s">
        <v>104</v>
      </c>
      <c r="F6" s="10" t="s">
        <v>104</v>
      </c>
      <c r="G6" s="10" t="s">
        <v>104</v>
      </c>
      <c r="H6" s="87"/>
      <c r="I6" s="10" t="s">
        <v>104</v>
      </c>
      <c r="J6" s="89"/>
      <c r="K6" s="10" t="s">
        <v>104</v>
      </c>
      <c r="L6" s="10" t="s">
        <v>104</v>
      </c>
      <c r="M6" s="10" t="s">
        <v>103</v>
      </c>
      <c r="N6" s="89"/>
      <c r="O6" s="87"/>
      <c r="P6" s="89"/>
      <c r="Q6" s="10" t="s">
        <v>103</v>
      </c>
      <c r="R6" s="10" t="s">
        <v>103</v>
      </c>
      <c r="S6" s="10" t="s">
        <v>104</v>
      </c>
      <c r="T6" s="89"/>
      <c r="U6" s="10" t="s">
        <v>103</v>
      </c>
      <c r="V6" s="4">
        <f t="shared" si="1"/>
        <v>7</v>
      </c>
      <c r="W6" s="4">
        <f t="shared" si="2"/>
        <v>4</v>
      </c>
      <c r="X6" s="4" t="s">
        <v>8</v>
      </c>
      <c r="Y6" s="11">
        <v>4</v>
      </c>
      <c r="Z6" s="3"/>
      <c r="AA6" s="3"/>
    </row>
    <row r="7" spans="1:27" x14ac:dyDescent="0.25">
      <c r="A7" s="5">
        <v>3</v>
      </c>
      <c r="B7" s="13" t="s">
        <v>118</v>
      </c>
      <c r="C7" s="14" t="s">
        <v>219</v>
      </c>
      <c r="D7" s="8" t="s">
        <v>213</v>
      </c>
      <c r="E7" s="10" t="s">
        <v>103</v>
      </c>
      <c r="F7" s="10" t="s">
        <v>104</v>
      </c>
      <c r="G7" s="10" t="s">
        <v>103</v>
      </c>
      <c r="H7" s="87"/>
      <c r="I7" s="10" t="s">
        <v>104</v>
      </c>
      <c r="J7" s="89"/>
      <c r="K7" s="10" t="s">
        <v>104</v>
      </c>
      <c r="L7" s="10" t="s">
        <v>104</v>
      </c>
      <c r="M7" s="10" t="s">
        <v>104</v>
      </c>
      <c r="N7" s="89"/>
      <c r="O7" s="87"/>
      <c r="P7" s="89"/>
      <c r="Q7" s="10" t="s">
        <v>104</v>
      </c>
      <c r="R7" s="10" t="s">
        <v>103</v>
      </c>
      <c r="S7" s="10" t="s">
        <v>103</v>
      </c>
      <c r="T7" s="89"/>
      <c r="U7" s="10" t="s">
        <v>103</v>
      </c>
      <c r="V7" s="4">
        <f t="shared" si="1"/>
        <v>6</v>
      </c>
      <c r="W7" s="4">
        <f t="shared" si="2"/>
        <v>5</v>
      </c>
      <c r="X7" s="4" t="s">
        <v>313</v>
      </c>
      <c r="Y7" s="11">
        <v>12</v>
      </c>
      <c r="Z7" s="3"/>
      <c r="AA7" s="3"/>
    </row>
    <row r="8" spans="1:27" x14ac:dyDescent="0.25">
      <c r="A8" s="11">
        <v>4</v>
      </c>
      <c r="B8" s="13" t="s">
        <v>220</v>
      </c>
      <c r="C8" s="14" t="s">
        <v>221</v>
      </c>
      <c r="D8" s="8" t="s">
        <v>213</v>
      </c>
      <c r="E8" s="10" t="s">
        <v>112</v>
      </c>
      <c r="F8" s="10" t="s">
        <v>103</v>
      </c>
      <c r="G8" s="10" t="s">
        <v>103</v>
      </c>
      <c r="H8" s="87"/>
      <c r="I8" s="10" t="s">
        <v>104</v>
      </c>
      <c r="J8" s="89"/>
      <c r="K8" s="10" t="s">
        <v>104</v>
      </c>
      <c r="L8" s="10" t="s">
        <v>104</v>
      </c>
      <c r="M8" s="10" t="s">
        <v>104</v>
      </c>
      <c r="N8" s="89"/>
      <c r="O8" s="87"/>
      <c r="P8" s="89"/>
      <c r="Q8" s="10" t="s">
        <v>103</v>
      </c>
      <c r="R8" s="10" t="s">
        <v>104</v>
      </c>
      <c r="S8" s="10" t="s">
        <v>104</v>
      </c>
      <c r="T8" s="89"/>
      <c r="U8" s="10" t="s">
        <v>103</v>
      </c>
      <c r="V8" s="4">
        <f t="shared" si="1"/>
        <v>6</v>
      </c>
      <c r="W8" s="4">
        <f t="shared" si="2"/>
        <v>4</v>
      </c>
      <c r="X8" s="4" t="s">
        <v>310</v>
      </c>
      <c r="Y8" s="11">
        <v>1</v>
      </c>
      <c r="Z8"/>
      <c r="AA8"/>
    </row>
    <row r="9" spans="1:27" x14ac:dyDescent="0.25">
      <c r="A9" s="5">
        <v>5</v>
      </c>
      <c r="B9" s="13" t="s">
        <v>222</v>
      </c>
      <c r="C9" s="14" t="s">
        <v>223</v>
      </c>
      <c r="D9" s="8" t="s">
        <v>213</v>
      </c>
      <c r="E9" s="10" t="s">
        <v>103</v>
      </c>
      <c r="F9" s="10" t="s">
        <v>104</v>
      </c>
      <c r="G9" s="10" t="s">
        <v>104</v>
      </c>
      <c r="H9" s="87"/>
      <c r="I9" s="10" t="s">
        <v>104</v>
      </c>
      <c r="J9" s="89"/>
      <c r="K9" s="10" t="s">
        <v>104</v>
      </c>
      <c r="L9" s="10" t="s">
        <v>104</v>
      </c>
      <c r="M9" s="10" t="s">
        <v>104</v>
      </c>
      <c r="N9" s="89"/>
      <c r="O9" s="87"/>
      <c r="P9" s="89"/>
      <c r="Q9" s="10" t="s">
        <v>103</v>
      </c>
      <c r="R9" s="10" t="s">
        <v>103</v>
      </c>
      <c r="S9" s="10" t="s">
        <v>103</v>
      </c>
      <c r="T9" s="89"/>
      <c r="U9" s="10" t="s">
        <v>103</v>
      </c>
      <c r="V9" s="4">
        <f t="shared" si="1"/>
        <v>6</v>
      </c>
      <c r="W9" s="4">
        <f t="shared" si="2"/>
        <v>5</v>
      </c>
      <c r="X9" s="4" t="s">
        <v>314</v>
      </c>
      <c r="Y9" s="11">
        <v>1</v>
      </c>
      <c r="Z9"/>
      <c r="AA9"/>
    </row>
    <row r="10" spans="1:27" x14ac:dyDescent="0.25">
      <c r="A10" s="11">
        <v>6</v>
      </c>
      <c r="B10" s="13" t="s">
        <v>224</v>
      </c>
      <c r="C10" s="14" t="s">
        <v>219</v>
      </c>
      <c r="D10" s="8" t="s">
        <v>213</v>
      </c>
      <c r="E10" s="10" t="s">
        <v>104</v>
      </c>
      <c r="F10" s="10" t="s">
        <v>104</v>
      </c>
      <c r="G10" s="10" t="s">
        <v>104</v>
      </c>
      <c r="H10" s="87"/>
      <c r="I10" s="10" t="s">
        <v>104</v>
      </c>
      <c r="J10" s="89"/>
      <c r="K10" s="10" t="s">
        <v>104</v>
      </c>
      <c r="L10" s="10" t="s">
        <v>104</v>
      </c>
      <c r="M10" s="10" t="s">
        <v>103</v>
      </c>
      <c r="N10" s="89"/>
      <c r="O10" s="87"/>
      <c r="P10" s="89"/>
      <c r="Q10" s="10" t="s">
        <v>103</v>
      </c>
      <c r="R10" s="10" t="s">
        <v>103</v>
      </c>
      <c r="S10" s="10" t="s">
        <v>104</v>
      </c>
      <c r="T10" s="89"/>
      <c r="U10" s="10" t="s">
        <v>103</v>
      </c>
      <c r="V10" s="4">
        <f t="shared" si="1"/>
        <v>7</v>
      </c>
      <c r="W10" s="4">
        <f t="shared" si="2"/>
        <v>4</v>
      </c>
      <c r="X10" s="4" t="s">
        <v>311</v>
      </c>
      <c r="Y10" s="11">
        <v>1</v>
      </c>
      <c r="Z10"/>
      <c r="AA10"/>
    </row>
    <row r="11" spans="1:27" x14ac:dyDescent="0.25">
      <c r="A11" s="5">
        <v>7</v>
      </c>
      <c r="B11" s="13" t="s">
        <v>225</v>
      </c>
      <c r="C11" s="14" t="s">
        <v>226</v>
      </c>
      <c r="D11" s="8" t="s">
        <v>213</v>
      </c>
      <c r="E11" s="10" t="s">
        <v>104</v>
      </c>
      <c r="F11" s="10" t="s">
        <v>104</v>
      </c>
      <c r="G11" s="10" t="s">
        <v>104</v>
      </c>
      <c r="H11" s="87"/>
      <c r="I11" s="10" t="s">
        <v>104</v>
      </c>
      <c r="J11" s="89"/>
      <c r="K11" s="10" t="s">
        <v>104</v>
      </c>
      <c r="L11" s="10" t="s">
        <v>104</v>
      </c>
      <c r="M11" s="10" t="s">
        <v>104</v>
      </c>
      <c r="N11" s="89"/>
      <c r="O11" s="87"/>
      <c r="P11" s="89"/>
      <c r="Q11" s="10" t="s">
        <v>103</v>
      </c>
      <c r="R11" s="10" t="s">
        <v>103</v>
      </c>
      <c r="S11" s="10" t="s">
        <v>104</v>
      </c>
      <c r="T11" s="89"/>
      <c r="U11" s="10" t="s">
        <v>103</v>
      </c>
      <c r="V11" s="4">
        <f t="shared" si="1"/>
        <v>8</v>
      </c>
      <c r="W11" s="4">
        <f t="shared" si="2"/>
        <v>3</v>
      </c>
      <c r="X11" s="4" t="s">
        <v>312</v>
      </c>
      <c r="Y11" s="11">
        <v>1</v>
      </c>
      <c r="Z11"/>
      <c r="AA11"/>
    </row>
    <row r="12" spans="1:27" x14ac:dyDescent="0.25">
      <c r="A12" s="11">
        <v>8</v>
      </c>
      <c r="B12" s="13" t="s">
        <v>227</v>
      </c>
      <c r="C12" s="14" t="s">
        <v>228</v>
      </c>
      <c r="D12" s="8" t="s">
        <v>213</v>
      </c>
      <c r="E12" s="10" t="s">
        <v>103</v>
      </c>
      <c r="F12" s="10" t="s">
        <v>104</v>
      </c>
      <c r="G12" s="10" t="s">
        <v>104</v>
      </c>
      <c r="H12" s="87"/>
      <c r="I12" s="10" t="s">
        <v>104</v>
      </c>
      <c r="J12" s="89"/>
      <c r="K12" s="10" t="s">
        <v>104</v>
      </c>
      <c r="L12" s="10" t="s">
        <v>104</v>
      </c>
      <c r="M12" s="10" t="s">
        <v>104</v>
      </c>
      <c r="N12" s="89"/>
      <c r="O12" s="87"/>
      <c r="P12" s="89"/>
      <c r="Q12" s="10" t="s">
        <v>104</v>
      </c>
      <c r="R12" s="10" t="s">
        <v>103</v>
      </c>
      <c r="S12" s="10" t="s">
        <v>104</v>
      </c>
      <c r="T12" s="89"/>
      <c r="U12" s="10" t="s">
        <v>103</v>
      </c>
      <c r="V12" s="4">
        <f t="shared" si="1"/>
        <v>8</v>
      </c>
      <c r="W12" s="4">
        <f t="shared" si="2"/>
        <v>3</v>
      </c>
      <c r="X12"/>
      <c r="Y12"/>
      <c r="Z12"/>
      <c r="AA12"/>
    </row>
    <row r="13" spans="1:27" ht="15.75" x14ac:dyDescent="0.25">
      <c r="A13" s="5">
        <v>9</v>
      </c>
      <c r="B13" s="13" t="s">
        <v>229</v>
      </c>
      <c r="C13" s="14" t="s">
        <v>230</v>
      </c>
      <c r="D13" s="8" t="s">
        <v>213</v>
      </c>
      <c r="E13" s="10" t="s">
        <v>103</v>
      </c>
      <c r="F13" s="10" t="s">
        <v>104</v>
      </c>
      <c r="G13" s="10" t="s">
        <v>104</v>
      </c>
      <c r="H13" s="87"/>
      <c r="I13" s="10" t="s">
        <v>104</v>
      </c>
      <c r="J13" s="89"/>
      <c r="K13" s="10" t="s">
        <v>104</v>
      </c>
      <c r="L13" s="10" t="s">
        <v>104</v>
      </c>
      <c r="M13" s="10" t="s">
        <v>104</v>
      </c>
      <c r="N13" s="89"/>
      <c r="O13" s="87"/>
      <c r="P13" s="89"/>
      <c r="Q13" s="10" t="s">
        <v>104</v>
      </c>
      <c r="R13" s="10" t="s">
        <v>103</v>
      </c>
      <c r="S13" s="10" t="s">
        <v>104</v>
      </c>
      <c r="T13" s="89"/>
      <c r="U13" s="10" t="s">
        <v>103</v>
      </c>
      <c r="V13" s="4">
        <f t="shared" si="1"/>
        <v>8</v>
      </c>
      <c r="W13" s="4">
        <f t="shared" si="2"/>
        <v>3</v>
      </c>
      <c r="X13" s="76" t="s">
        <v>9</v>
      </c>
      <c r="Y13" s="77"/>
      <c r="Z13" s="77"/>
      <c r="AA13" s="78"/>
    </row>
    <row r="14" spans="1:27" x14ac:dyDescent="0.25">
      <c r="A14" s="11">
        <v>10</v>
      </c>
      <c r="B14" s="13" t="s">
        <v>231</v>
      </c>
      <c r="C14" s="14" t="s">
        <v>232</v>
      </c>
      <c r="D14" s="8" t="s">
        <v>213</v>
      </c>
      <c r="E14" s="10" t="s">
        <v>104</v>
      </c>
      <c r="F14" s="10" t="s">
        <v>104</v>
      </c>
      <c r="G14" s="10" t="s">
        <v>104</v>
      </c>
      <c r="H14" s="87"/>
      <c r="I14" s="10" t="s">
        <v>104</v>
      </c>
      <c r="J14" s="89"/>
      <c r="K14" s="10" t="s">
        <v>104</v>
      </c>
      <c r="L14" s="10" t="s">
        <v>104</v>
      </c>
      <c r="M14" s="10" t="s">
        <v>104</v>
      </c>
      <c r="N14" s="89"/>
      <c r="O14" s="87"/>
      <c r="P14" s="89"/>
      <c r="Q14" s="10" t="s">
        <v>104</v>
      </c>
      <c r="R14" s="10" t="s">
        <v>104</v>
      </c>
      <c r="S14" s="10" t="s">
        <v>104</v>
      </c>
      <c r="T14" s="89"/>
      <c r="U14" s="10" t="s">
        <v>103</v>
      </c>
      <c r="V14" s="4">
        <f t="shared" si="1"/>
        <v>10</v>
      </c>
      <c r="W14" s="4">
        <f t="shared" si="2"/>
        <v>1</v>
      </c>
      <c r="X14" s="4" t="s">
        <v>10</v>
      </c>
      <c r="Y14" s="4" t="s">
        <v>11</v>
      </c>
      <c r="Z14" s="4" t="s">
        <v>12</v>
      </c>
      <c r="AA14" s="4" t="s">
        <v>13</v>
      </c>
    </row>
    <row r="15" spans="1:27" x14ac:dyDescent="0.25">
      <c r="A15" s="5">
        <v>11</v>
      </c>
      <c r="B15" s="13" t="s">
        <v>233</v>
      </c>
      <c r="C15" s="14" t="s">
        <v>87</v>
      </c>
      <c r="D15" s="8" t="s">
        <v>213</v>
      </c>
      <c r="E15" s="10" t="s">
        <v>103</v>
      </c>
      <c r="F15" s="10" t="s">
        <v>104</v>
      </c>
      <c r="G15" s="10" t="s">
        <v>104</v>
      </c>
      <c r="H15" s="87"/>
      <c r="I15" s="10" t="s">
        <v>104</v>
      </c>
      <c r="J15" s="89"/>
      <c r="K15" s="10" t="s">
        <v>104</v>
      </c>
      <c r="L15" s="10" t="s">
        <v>104</v>
      </c>
      <c r="M15" s="10" t="s">
        <v>104</v>
      </c>
      <c r="N15" s="89"/>
      <c r="O15" s="87"/>
      <c r="P15" s="89"/>
      <c r="Q15" s="10" t="s">
        <v>103</v>
      </c>
      <c r="R15" s="10" t="s">
        <v>103</v>
      </c>
      <c r="S15" s="10" t="s">
        <v>103</v>
      </c>
      <c r="T15" s="89"/>
      <c r="U15" s="10" t="s">
        <v>103</v>
      </c>
      <c r="V15" s="4">
        <f t="shared" si="1"/>
        <v>6</v>
      </c>
      <c r="W15" s="4">
        <f t="shared" si="2"/>
        <v>5</v>
      </c>
      <c r="X15" s="4" t="s">
        <v>14</v>
      </c>
      <c r="Y15" s="11">
        <f>32*11</f>
        <v>352</v>
      </c>
      <c r="Z15" s="11">
        <f>24*11</f>
        <v>264</v>
      </c>
      <c r="AA15" s="11">
        <f>SUM(Y15:Z15)</f>
        <v>616</v>
      </c>
    </row>
    <row r="16" spans="1:27" x14ac:dyDescent="0.25">
      <c r="A16" s="11">
        <v>12</v>
      </c>
      <c r="B16" s="13" t="s">
        <v>234</v>
      </c>
      <c r="C16" s="14" t="s">
        <v>182</v>
      </c>
      <c r="D16" s="8" t="s">
        <v>213</v>
      </c>
      <c r="E16" s="10" t="s">
        <v>103</v>
      </c>
      <c r="F16" s="10" t="s">
        <v>104</v>
      </c>
      <c r="G16" s="10" t="s">
        <v>104</v>
      </c>
      <c r="H16" s="87"/>
      <c r="I16" s="10" t="s">
        <v>104</v>
      </c>
      <c r="J16" s="89"/>
      <c r="K16" s="10" t="s">
        <v>104</v>
      </c>
      <c r="L16" s="10" t="s">
        <v>104</v>
      </c>
      <c r="M16" s="10" t="s">
        <v>103</v>
      </c>
      <c r="N16" s="89"/>
      <c r="O16" s="87"/>
      <c r="P16" s="89"/>
      <c r="Q16" s="10" t="s">
        <v>103</v>
      </c>
      <c r="R16" s="10" t="s">
        <v>103</v>
      </c>
      <c r="S16" s="10" t="s">
        <v>104</v>
      </c>
      <c r="T16" s="89"/>
      <c r="U16" s="10" t="s">
        <v>103</v>
      </c>
      <c r="V16" s="4">
        <f t="shared" si="1"/>
        <v>6</v>
      </c>
      <c r="W16" s="4">
        <f t="shared" si="2"/>
        <v>5</v>
      </c>
      <c r="X16" s="4" t="s">
        <v>15</v>
      </c>
      <c r="Y16" s="11">
        <f>SUM(V5:V28)</f>
        <v>145</v>
      </c>
      <c r="Z16" s="11">
        <f>SUM(V29:V60)</f>
        <v>230</v>
      </c>
      <c r="AA16" s="11">
        <f>Y16+Z16</f>
        <v>375</v>
      </c>
    </row>
    <row r="17" spans="1:27" x14ac:dyDescent="0.25">
      <c r="A17" s="5">
        <v>13</v>
      </c>
      <c r="B17" s="13" t="s">
        <v>235</v>
      </c>
      <c r="C17" s="14" t="s">
        <v>236</v>
      </c>
      <c r="D17" s="8" t="s">
        <v>213</v>
      </c>
      <c r="E17" s="10" t="s">
        <v>103</v>
      </c>
      <c r="F17" s="10" t="s">
        <v>103</v>
      </c>
      <c r="G17" s="10" t="s">
        <v>103</v>
      </c>
      <c r="H17" s="87"/>
      <c r="I17" s="10" t="s">
        <v>104</v>
      </c>
      <c r="J17" s="89"/>
      <c r="K17" s="10" t="s">
        <v>103</v>
      </c>
      <c r="L17" s="10" t="s">
        <v>104</v>
      </c>
      <c r="M17" s="10" t="s">
        <v>104</v>
      </c>
      <c r="N17" s="89"/>
      <c r="O17" s="87"/>
      <c r="P17" s="89"/>
      <c r="Q17" s="10" t="s">
        <v>103</v>
      </c>
      <c r="R17" s="10" t="s">
        <v>103</v>
      </c>
      <c r="S17" s="10" t="s">
        <v>103</v>
      </c>
      <c r="T17" s="89"/>
      <c r="U17" s="10" t="s">
        <v>103</v>
      </c>
      <c r="V17" s="4">
        <f t="shared" si="1"/>
        <v>3</v>
      </c>
      <c r="W17" s="4">
        <f t="shared" si="2"/>
        <v>8</v>
      </c>
      <c r="X17" s="4" t="s">
        <v>16</v>
      </c>
      <c r="Y17" s="15">
        <f>Y16/Y15</f>
        <v>0.41193181818181818</v>
      </c>
      <c r="Z17" s="15">
        <f>Z16/Z15</f>
        <v>0.87121212121212122</v>
      </c>
      <c r="AA17" s="15">
        <f>AA16/AA15</f>
        <v>0.60876623376623373</v>
      </c>
    </row>
    <row r="18" spans="1:27" x14ac:dyDescent="0.25">
      <c r="A18" s="11">
        <v>14</v>
      </c>
      <c r="B18" s="13" t="s">
        <v>237</v>
      </c>
      <c r="C18" s="14" t="s">
        <v>238</v>
      </c>
      <c r="D18" s="8" t="s">
        <v>213</v>
      </c>
      <c r="E18" s="10" t="s">
        <v>112</v>
      </c>
      <c r="F18" s="10" t="s">
        <v>112</v>
      </c>
      <c r="G18" s="10" t="s">
        <v>112</v>
      </c>
      <c r="H18" s="87"/>
      <c r="I18" s="10" t="s">
        <v>112</v>
      </c>
      <c r="J18" s="89"/>
      <c r="K18" s="10" t="s">
        <v>112</v>
      </c>
      <c r="L18" s="10" t="s">
        <v>104</v>
      </c>
      <c r="M18" s="10" t="s">
        <v>104</v>
      </c>
      <c r="N18" s="89"/>
      <c r="O18" s="87"/>
      <c r="P18" s="89"/>
      <c r="Q18" s="10" t="s">
        <v>104</v>
      </c>
      <c r="R18" s="10" t="s">
        <v>104</v>
      </c>
      <c r="S18" s="10" t="s">
        <v>103</v>
      </c>
      <c r="T18" s="89"/>
      <c r="U18" s="10" t="s">
        <v>103</v>
      </c>
      <c r="V18" s="4">
        <f t="shared" si="1"/>
        <v>4</v>
      </c>
      <c r="W18" s="4">
        <f t="shared" si="2"/>
        <v>2</v>
      </c>
      <c r="X18"/>
      <c r="Y18"/>
      <c r="Z18"/>
      <c r="AA18"/>
    </row>
    <row r="19" spans="1:27" x14ac:dyDescent="0.25">
      <c r="A19" s="5">
        <v>15</v>
      </c>
      <c r="B19" s="13" t="s">
        <v>239</v>
      </c>
      <c r="C19" s="14" t="s">
        <v>240</v>
      </c>
      <c r="D19" s="8" t="s">
        <v>213</v>
      </c>
      <c r="E19" s="10" t="s">
        <v>112</v>
      </c>
      <c r="F19" s="10" t="s">
        <v>112</v>
      </c>
      <c r="G19" s="10" t="s">
        <v>112</v>
      </c>
      <c r="H19" s="87"/>
      <c r="I19" s="10" t="s">
        <v>112</v>
      </c>
      <c r="J19" s="89"/>
      <c r="K19" s="10" t="s">
        <v>112</v>
      </c>
      <c r="L19" s="10" t="s">
        <v>112</v>
      </c>
      <c r="M19" s="10" t="s">
        <v>104</v>
      </c>
      <c r="N19" s="89"/>
      <c r="O19" s="87"/>
      <c r="P19" s="89"/>
      <c r="Q19" s="10" t="s">
        <v>104</v>
      </c>
      <c r="R19" s="10" t="s">
        <v>104</v>
      </c>
      <c r="S19" s="10" t="s">
        <v>104</v>
      </c>
      <c r="T19" s="89"/>
      <c r="U19" s="10" t="s">
        <v>103</v>
      </c>
      <c r="V19" s="4">
        <f t="shared" si="1"/>
        <v>4</v>
      </c>
      <c r="W19" s="4">
        <f t="shared" si="2"/>
        <v>1</v>
      </c>
      <c r="X19"/>
      <c r="Y19"/>
      <c r="Z19"/>
      <c r="AA19"/>
    </row>
    <row r="20" spans="1:27" x14ac:dyDescent="0.25">
      <c r="A20" s="11">
        <v>16</v>
      </c>
      <c r="B20" s="13" t="s">
        <v>241</v>
      </c>
      <c r="C20" s="14" t="s">
        <v>242</v>
      </c>
      <c r="D20" s="8" t="s">
        <v>213</v>
      </c>
      <c r="E20" s="10" t="s">
        <v>103</v>
      </c>
      <c r="F20" s="10" t="s">
        <v>103</v>
      </c>
      <c r="G20" s="10" t="s">
        <v>103</v>
      </c>
      <c r="H20" s="87"/>
      <c r="I20" s="10" t="s">
        <v>104</v>
      </c>
      <c r="J20" s="89"/>
      <c r="K20" s="10" t="s">
        <v>104</v>
      </c>
      <c r="L20" s="10" t="s">
        <v>104</v>
      </c>
      <c r="M20" s="10" t="s">
        <v>104</v>
      </c>
      <c r="N20" s="89"/>
      <c r="O20" s="87"/>
      <c r="P20" s="89"/>
      <c r="Q20" s="10" t="s">
        <v>104</v>
      </c>
      <c r="R20" s="10" t="s">
        <v>103</v>
      </c>
      <c r="S20" s="10" t="s">
        <v>104</v>
      </c>
      <c r="T20" s="89"/>
      <c r="U20" s="10" t="s">
        <v>103</v>
      </c>
      <c r="V20" s="4">
        <f t="shared" si="1"/>
        <v>6</v>
      </c>
      <c r="W20" s="4">
        <f t="shared" si="2"/>
        <v>5</v>
      </c>
      <c r="X20"/>
      <c r="Y20"/>
      <c r="Z20"/>
      <c r="AA20"/>
    </row>
    <row r="21" spans="1:27" ht="15.75" x14ac:dyDescent="0.25">
      <c r="A21" s="5">
        <v>17</v>
      </c>
      <c r="B21" s="13" t="s">
        <v>243</v>
      </c>
      <c r="C21" s="14" t="s">
        <v>244</v>
      </c>
      <c r="D21" s="8" t="s">
        <v>213</v>
      </c>
      <c r="E21" s="10" t="s">
        <v>112</v>
      </c>
      <c r="F21" s="10" t="s">
        <v>112</v>
      </c>
      <c r="G21" s="10" t="s">
        <v>112</v>
      </c>
      <c r="H21" s="87"/>
      <c r="I21" s="10" t="s">
        <v>112</v>
      </c>
      <c r="J21" s="89"/>
      <c r="K21" s="10" t="s">
        <v>112</v>
      </c>
      <c r="L21" s="10" t="s">
        <v>112</v>
      </c>
      <c r="M21" s="10" t="s">
        <v>104</v>
      </c>
      <c r="N21" s="89"/>
      <c r="O21" s="87"/>
      <c r="P21" s="89"/>
      <c r="Q21" s="10" t="s">
        <v>103</v>
      </c>
      <c r="R21" s="10" t="s">
        <v>103</v>
      </c>
      <c r="S21" s="10" t="s">
        <v>104</v>
      </c>
      <c r="T21" s="89"/>
      <c r="U21" s="10" t="s">
        <v>103</v>
      </c>
      <c r="V21" s="4">
        <f t="shared" si="1"/>
        <v>2</v>
      </c>
      <c r="W21" s="4">
        <f t="shared" si="2"/>
        <v>3</v>
      </c>
      <c r="X21" s="76" t="s">
        <v>316</v>
      </c>
      <c r="Y21" s="77"/>
      <c r="Z21" s="77"/>
      <c r="AA21" s="78"/>
    </row>
    <row r="22" spans="1:27" x14ac:dyDescent="0.25">
      <c r="A22" s="11">
        <v>18</v>
      </c>
      <c r="B22" s="13" t="s">
        <v>245</v>
      </c>
      <c r="C22" s="14" t="s">
        <v>244</v>
      </c>
      <c r="D22" s="8" t="s">
        <v>213</v>
      </c>
      <c r="E22" s="10" t="s">
        <v>112</v>
      </c>
      <c r="F22" s="10" t="s">
        <v>112</v>
      </c>
      <c r="G22" s="10" t="s">
        <v>112</v>
      </c>
      <c r="H22" s="87"/>
      <c r="I22" s="10" t="s">
        <v>112</v>
      </c>
      <c r="J22" s="89"/>
      <c r="K22" s="10" t="s">
        <v>112</v>
      </c>
      <c r="L22" s="10" t="s">
        <v>112</v>
      </c>
      <c r="M22" s="10" t="s">
        <v>104</v>
      </c>
      <c r="N22" s="89"/>
      <c r="O22" s="87"/>
      <c r="P22" s="89"/>
      <c r="Q22" s="10" t="s">
        <v>103</v>
      </c>
      <c r="R22" s="10" t="s">
        <v>103</v>
      </c>
      <c r="S22" s="10" t="s">
        <v>104</v>
      </c>
      <c r="T22" s="89"/>
      <c r="U22" s="10" t="s">
        <v>103</v>
      </c>
      <c r="V22" s="4">
        <f t="shared" si="1"/>
        <v>2</v>
      </c>
      <c r="W22" s="4">
        <f t="shared" si="2"/>
        <v>3</v>
      </c>
      <c r="X22" s="4" t="s">
        <v>10</v>
      </c>
      <c r="Y22" s="4" t="s">
        <v>11</v>
      </c>
      <c r="Z22" s="4" t="s">
        <v>12</v>
      </c>
      <c r="AA22" s="4" t="s">
        <v>13</v>
      </c>
    </row>
    <row r="23" spans="1:27" x14ac:dyDescent="0.25">
      <c r="A23" s="5">
        <v>19</v>
      </c>
      <c r="B23" s="13" t="s">
        <v>246</v>
      </c>
      <c r="C23" s="14" t="s">
        <v>247</v>
      </c>
      <c r="D23" s="8" t="s">
        <v>213</v>
      </c>
      <c r="E23" s="10" t="s">
        <v>104</v>
      </c>
      <c r="F23" s="10" t="s">
        <v>104</v>
      </c>
      <c r="G23" s="10" t="s">
        <v>104</v>
      </c>
      <c r="H23" s="87"/>
      <c r="I23" s="10" t="s">
        <v>104</v>
      </c>
      <c r="J23" s="89"/>
      <c r="K23" s="10" t="s">
        <v>104</v>
      </c>
      <c r="L23" s="10" t="s">
        <v>104</v>
      </c>
      <c r="M23" s="10" t="s">
        <v>104</v>
      </c>
      <c r="N23" s="89"/>
      <c r="O23" s="87"/>
      <c r="P23" s="89"/>
      <c r="Q23" s="10" t="s">
        <v>104</v>
      </c>
      <c r="R23" s="10" t="s">
        <v>103</v>
      </c>
      <c r="S23" s="10" t="s">
        <v>104</v>
      </c>
      <c r="T23" s="89"/>
      <c r="U23" s="10" t="s">
        <v>103</v>
      </c>
      <c r="V23" s="4">
        <f t="shared" si="1"/>
        <v>9</v>
      </c>
      <c r="W23" s="4">
        <f t="shared" si="2"/>
        <v>2</v>
      </c>
      <c r="X23" s="4" t="s">
        <v>14</v>
      </c>
      <c r="Y23" s="11">
        <f>32*11</f>
        <v>352</v>
      </c>
      <c r="Z23" s="11">
        <f>24*11</f>
        <v>264</v>
      </c>
      <c r="AA23" s="11">
        <f>Y23+Z23</f>
        <v>616</v>
      </c>
    </row>
    <row r="24" spans="1:27" x14ac:dyDescent="0.25">
      <c r="A24" s="11">
        <v>20</v>
      </c>
      <c r="B24" s="13" t="s">
        <v>248</v>
      </c>
      <c r="C24" s="14" t="s">
        <v>249</v>
      </c>
      <c r="D24" s="8" t="s">
        <v>213</v>
      </c>
      <c r="E24" s="10" t="s">
        <v>103</v>
      </c>
      <c r="F24" s="10" t="s">
        <v>104</v>
      </c>
      <c r="G24" s="10" t="s">
        <v>104</v>
      </c>
      <c r="H24" s="87"/>
      <c r="I24" s="10" t="s">
        <v>104</v>
      </c>
      <c r="J24" s="89"/>
      <c r="K24" s="10" t="s">
        <v>104</v>
      </c>
      <c r="L24" s="10" t="s">
        <v>104</v>
      </c>
      <c r="M24" s="10" t="s">
        <v>104</v>
      </c>
      <c r="N24" s="89"/>
      <c r="O24" s="87"/>
      <c r="P24" s="89"/>
      <c r="Q24" s="10" t="s">
        <v>104</v>
      </c>
      <c r="R24" s="10" t="s">
        <v>103</v>
      </c>
      <c r="S24" s="10" t="s">
        <v>104</v>
      </c>
      <c r="T24" s="89"/>
      <c r="U24" s="10" t="s">
        <v>103</v>
      </c>
      <c r="V24" s="4">
        <f t="shared" si="1"/>
        <v>8</v>
      </c>
      <c r="W24" s="4">
        <f t="shared" si="2"/>
        <v>3</v>
      </c>
      <c r="X24" s="4" t="s">
        <v>17</v>
      </c>
      <c r="Y24" s="11">
        <f>Y23-Y16</f>
        <v>207</v>
      </c>
      <c r="Z24" s="11">
        <f>Z23-Z16</f>
        <v>34</v>
      </c>
      <c r="AA24" s="11">
        <f>Y24+Z24</f>
        <v>241</v>
      </c>
    </row>
    <row r="25" spans="1:27" x14ac:dyDescent="0.25">
      <c r="A25" s="5">
        <v>21</v>
      </c>
      <c r="B25" s="13" t="s">
        <v>248</v>
      </c>
      <c r="C25" s="14" t="s">
        <v>250</v>
      </c>
      <c r="D25" s="8" t="s">
        <v>213</v>
      </c>
      <c r="E25" s="10" t="s">
        <v>103</v>
      </c>
      <c r="F25" s="10" t="s">
        <v>104</v>
      </c>
      <c r="G25" s="10" t="s">
        <v>104</v>
      </c>
      <c r="H25" s="87"/>
      <c r="I25" s="10" t="s">
        <v>104</v>
      </c>
      <c r="J25" s="89"/>
      <c r="K25" s="10" t="s">
        <v>104</v>
      </c>
      <c r="L25" s="10" t="s">
        <v>104</v>
      </c>
      <c r="M25" s="10" t="s">
        <v>104</v>
      </c>
      <c r="N25" s="89"/>
      <c r="O25" s="87"/>
      <c r="P25" s="89"/>
      <c r="Q25" s="10" t="s">
        <v>104</v>
      </c>
      <c r="R25" s="10" t="s">
        <v>103</v>
      </c>
      <c r="S25" s="10" t="s">
        <v>104</v>
      </c>
      <c r="T25" s="89"/>
      <c r="U25" s="10" t="s">
        <v>103</v>
      </c>
      <c r="V25" s="4">
        <f t="shared" si="1"/>
        <v>8</v>
      </c>
      <c r="W25" s="4">
        <f t="shared" si="2"/>
        <v>3</v>
      </c>
      <c r="X25" s="4" t="s">
        <v>16</v>
      </c>
      <c r="Y25" s="15">
        <f>Y24/Y23</f>
        <v>0.58806818181818177</v>
      </c>
      <c r="Z25" s="15">
        <f>Z24/Z23</f>
        <v>0.12878787878787878</v>
      </c>
      <c r="AA25" s="15">
        <f>AA24/AA23</f>
        <v>0.39123376623376621</v>
      </c>
    </row>
    <row r="26" spans="1:27" x14ac:dyDescent="0.25">
      <c r="A26" s="11">
        <v>22</v>
      </c>
      <c r="B26" s="13" t="s">
        <v>251</v>
      </c>
      <c r="C26" s="14" t="s">
        <v>252</v>
      </c>
      <c r="D26" s="8" t="s">
        <v>213</v>
      </c>
      <c r="E26" s="10" t="s">
        <v>103</v>
      </c>
      <c r="F26" s="10" t="s">
        <v>103</v>
      </c>
      <c r="G26" s="10" t="s">
        <v>103</v>
      </c>
      <c r="H26" s="87"/>
      <c r="I26" s="10" t="s">
        <v>104</v>
      </c>
      <c r="J26" s="89"/>
      <c r="K26" s="10" t="s">
        <v>103</v>
      </c>
      <c r="L26" s="10" t="s">
        <v>104</v>
      </c>
      <c r="M26" s="10" t="s">
        <v>104</v>
      </c>
      <c r="N26" s="89"/>
      <c r="O26" s="87"/>
      <c r="P26" s="89"/>
      <c r="Q26" s="10" t="s">
        <v>104</v>
      </c>
      <c r="R26" s="10" t="s">
        <v>103</v>
      </c>
      <c r="S26" s="10" t="s">
        <v>103</v>
      </c>
      <c r="T26" s="89"/>
      <c r="U26" s="10" t="s">
        <v>103</v>
      </c>
      <c r="V26" s="4">
        <f t="shared" si="1"/>
        <v>4</v>
      </c>
      <c r="W26" s="4">
        <f t="shared" si="2"/>
        <v>7</v>
      </c>
    </row>
    <row r="27" spans="1:27" x14ac:dyDescent="0.25">
      <c r="A27" s="5">
        <v>23</v>
      </c>
      <c r="B27" s="13" t="s">
        <v>253</v>
      </c>
      <c r="C27" s="14" t="s">
        <v>254</v>
      </c>
      <c r="D27" s="8" t="s">
        <v>213</v>
      </c>
      <c r="E27" s="10" t="s">
        <v>104</v>
      </c>
      <c r="F27" s="10" t="s">
        <v>104</v>
      </c>
      <c r="G27" s="10" t="s">
        <v>103</v>
      </c>
      <c r="H27" s="87"/>
      <c r="I27" s="10" t="s">
        <v>104</v>
      </c>
      <c r="J27" s="89"/>
      <c r="K27" s="10" t="s">
        <v>104</v>
      </c>
      <c r="L27" s="10" t="s">
        <v>104</v>
      </c>
      <c r="M27" s="10" t="s">
        <v>104</v>
      </c>
      <c r="N27" s="89"/>
      <c r="O27" s="87"/>
      <c r="P27" s="89"/>
      <c r="Q27" s="10" t="s">
        <v>104</v>
      </c>
      <c r="R27" s="10" t="s">
        <v>104</v>
      </c>
      <c r="S27" s="10" t="s">
        <v>103</v>
      </c>
      <c r="T27" s="89"/>
      <c r="U27" s="10" t="s">
        <v>103</v>
      </c>
      <c r="V27" s="4">
        <f t="shared" si="1"/>
        <v>8</v>
      </c>
      <c r="W27" s="4">
        <f t="shared" si="2"/>
        <v>3</v>
      </c>
      <c r="X27"/>
      <c r="Y27"/>
      <c r="Z27"/>
      <c r="AA27"/>
    </row>
    <row r="28" spans="1:27" x14ac:dyDescent="0.25">
      <c r="A28" s="11">
        <v>24</v>
      </c>
      <c r="B28" s="13" t="s">
        <v>255</v>
      </c>
      <c r="C28" s="14" t="s">
        <v>256</v>
      </c>
      <c r="D28" s="8" t="s">
        <v>213</v>
      </c>
      <c r="E28" s="10" t="s">
        <v>112</v>
      </c>
      <c r="F28" s="10" t="s">
        <v>112</v>
      </c>
      <c r="G28" s="10" t="s">
        <v>112</v>
      </c>
      <c r="H28" s="87"/>
      <c r="I28" s="10" t="s">
        <v>112</v>
      </c>
      <c r="J28" s="89"/>
      <c r="K28" s="10" t="s">
        <v>112</v>
      </c>
      <c r="L28" s="10" t="s">
        <v>112</v>
      </c>
      <c r="M28" s="10" t="s">
        <v>112</v>
      </c>
      <c r="N28" s="89"/>
      <c r="O28" s="87"/>
      <c r="P28" s="89"/>
      <c r="Q28" s="10" t="s">
        <v>112</v>
      </c>
      <c r="R28" s="10" t="s">
        <v>112</v>
      </c>
      <c r="S28" s="10" t="s">
        <v>112</v>
      </c>
      <c r="T28" s="89"/>
      <c r="U28" s="10" t="s">
        <v>112</v>
      </c>
      <c r="V28" s="4">
        <f t="shared" si="1"/>
        <v>0</v>
      </c>
      <c r="W28" s="4">
        <f t="shared" si="2"/>
        <v>0</v>
      </c>
      <c r="X28"/>
      <c r="Y28"/>
      <c r="Z28"/>
      <c r="AA28"/>
    </row>
    <row r="29" spans="1:27" ht="15" customHeight="1" x14ac:dyDescent="0.25">
      <c r="A29" s="5">
        <v>1</v>
      </c>
      <c r="B29" s="13" t="s">
        <v>257</v>
      </c>
      <c r="C29" s="14" t="s">
        <v>250</v>
      </c>
      <c r="D29" s="8" t="s">
        <v>213</v>
      </c>
      <c r="E29" s="10" t="s">
        <v>103</v>
      </c>
      <c r="F29" s="10" t="s">
        <v>103</v>
      </c>
      <c r="G29" s="10" t="s">
        <v>104</v>
      </c>
      <c r="H29" s="87"/>
      <c r="I29" s="10" t="s">
        <v>104</v>
      </c>
      <c r="J29" s="89"/>
      <c r="K29" s="10" t="s">
        <v>104</v>
      </c>
      <c r="L29" s="10" t="s">
        <v>104</v>
      </c>
      <c r="M29" s="10" t="s">
        <v>104</v>
      </c>
      <c r="N29" s="89"/>
      <c r="O29" s="87"/>
      <c r="P29" s="89"/>
      <c r="Q29" s="10" t="s">
        <v>104</v>
      </c>
      <c r="R29" s="10" t="s">
        <v>103</v>
      </c>
      <c r="S29" s="10" t="s">
        <v>104</v>
      </c>
      <c r="T29" s="89"/>
      <c r="U29" s="10" t="s">
        <v>103</v>
      </c>
      <c r="V29" s="4">
        <f t="shared" si="1"/>
        <v>7</v>
      </c>
      <c r="W29" s="4">
        <f t="shared" si="2"/>
        <v>4</v>
      </c>
      <c r="X29"/>
      <c r="Y29"/>
      <c r="Z29"/>
      <c r="AA29"/>
    </row>
    <row r="30" spans="1:27" x14ac:dyDescent="0.25">
      <c r="A30" s="11">
        <v>2</v>
      </c>
      <c r="B30" s="13" t="s">
        <v>257</v>
      </c>
      <c r="C30" s="14" t="s">
        <v>258</v>
      </c>
      <c r="D30" s="8" t="s">
        <v>213</v>
      </c>
      <c r="E30" s="10" t="s">
        <v>103</v>
      </c>
      <c r="F30" s="10" t="s">
        <v>103</v>
      </c>
      <c r="G30" s="10" t="s">
        <v>104</v>
      </c>
      <c r="H30" s="87"/>
      <c r="I30" s="10" t="s">
        <v>104</v>
      </c>
      <c r="J30" s="89"/>
      <c r="K30" s="10" t="s">
        <v>104</v>
      </c>
      <c r="L30" s="10" t="s">
        <v>104</v>
      </c>
      <c r="M30" s="10" t="s">
        <v>104</v>
      </c>
      <c r="N30" s="89"/>
      <c r="O30" s="87"/>
      <c r="P30" s="89"/>
      <c r="Q30" s="10" t="s">
        <v>103</v>
      </c>
      <c r="R30" s="10" t="s">
        <v>103</v>
      </c>
      <c r="S30" s="10" t="s">
        <v>103</v>
      </c>
      <c r="T30" s="89"/>
      <c r="U30" s="10" t="s">
        <v>103</v>
      </c>
      <c r="V30" s="4">
        <f t="shared" si="1"/>
        <v>5</v>
      </c>
      <c r="W30" s="4">
        <f t="shared" si="2"/>
        <v>6</v>
      </c>
      <c r="X30"/>
      <c r="Y30"/>
      <c r="Z30"/>
      <c r="AA30"/>
    </row>
    <row r="31" spans="1:27" x14ac:dyDescent="0.25">
      <c r="A31" s="5">
        <v>3</v>
      </c>
      <c r="B31" s="13" t="s">
        <v>259</v>
      </c>
      <c r="C31" s="14" t="s">
        <v>260</v>
      </c>
      <c r="D31" s="8" t="s">
        <v>213</v>
      </c>
      <c r="E31" s="10" t="s">
        <v>103</v>
      </c>
      <c r="F31" s="10" t="s">
        <v>103</v>
      </c>
      <c r="G31" s="10" t="s">
        <v>104</v>
      </c>
      <c r="H31" s="87"/>
      <c r="I31" s="10" t="s">
        <v>104</v>
      </c>
      <c r="J31" s="89"/>
      <c r="K31" s="10" t="s">
        <v>104</v>
      </c>
      <c r="L31" s="10" t="s">
        <v>104</v>
      </c>
      <c r="M31" s="10" t="s">
        <v>104</v>
      </c>
      <c r="N31" s="89"/>
      <c r="O31" s="87"/>
      <c r="P31" s="89"/>
      <c r="Q31" s="10" t="s">
        <v>104</v>
      </c>
      <c r="R31" s="10" t="s">
        <v>103</v>
      </c>
      <c r="S31" s="10" t="s">
        <v>104</v>
      </c>
      <c r="T31" s="89"/>
      <c r="U31" s="10" t="s">
        <v>103</v>
      </c>
      <c r="V31" s="4">
        <f t="shared" si="1"/>
        <v>7</v>
      </c>
      <c r="W31" s="4">
        <f t="shared" si="2"/>
        <v>4</v>
      </c>
      <c r="X31"/>
      <c r="Y31"/>
      <c r="Z31"/>
      <c r="AA31"/>
    </row>
    <row r="32" spans="1:27" x14ac:dyDescent="0.25">
      <c r="A32" s="11">
        <v>4</v>
      </c>
      <c r="B32" s="13" t="s">
        <v>261</v>
      </c>
      <c r="C32" s="14" t="s">
        <v>262</v>
      </c>
      <c r="D32" s="8" t="s">
        <v>213</v>
      </c>
      <c r="E32" s="10" t="s">
        <v>103</v>
      </c>
      <c r="F32" s="10" t="s">
        <v>103</v>
      </c>
      <c r="G32" s="10" t="s">
        <v>104</v>
      </c>
      <c r="H32" s="87"/>
      <c r="I32" s="10" t="s">
        <v>104</v>
      </c>
      <c r="J32" s="89"/>
      <c r="K32" s="10" t="s">
        <v>104</v>
      </c>
      <c r="L32" s="10" t="s">
        <v>104</v>
      </c>
      <c r="M32" s="10" t="s">
        <v>104</v>
      </c>
      <c r="N32" s="89"/>
      <c r="O32" s="87"/>
      <c r="P32" s="89"/>
      <c r="Q32" s="10" t="s">
        <v>103</v>
      </c>
      <c r="R32" s="10" t="s">
        <v>103</v>
      </c>
      <c r="S32" s="10" t="s">
        <v>103</v>
      </c>
      <c r="T32" s="89"/>
      <c r="U32" s="10" t="s">
        <v>103</v>
      </c>
      <c r="V32" s="4">
        <f t="shared" si="1"/>
        <v>5</v>
      </c>
      <c r="W32" s="4">
        <f t="shared" si="2"/>
        <v>6</v>
      </c>
      <c r="X32"/>
      <c r="Y32"/>
      <c r="Z32"/>
      <c r="AA32"/>
    </row>
    <row r="33" spans="1:27" x14ac:dyDescent="0.25">
      <c r="A33" s="5">
        <v>5</v>
      </c>
      <c r="B33" s="13" t="s">
        <v>109</v>
      </c>
      <c r="C33" s="14" t="s">
        <v>263</v>
      </c>
      <c r="D33" s="8" t="s">
        <v>213</v>
      </c>
      <c r="E33" s="10" t="s">
        <v>104</v>
      </c>
      <c r="F33" s="10" t="s">
        <v>103</v>
      </c>
      <c r="G33" s="10" t="s">
        <v>103</v>
      </c>
      <c r="H33" s="87"/>
      <c r="I33" s="10" t="s">
        <v>104</v>
      </c>
      <c r="J33" s="89"/>
      <c r="K33" s="10" t="s">
        <v>104</v>
      </c>
      <c r="L33" s="10" t="s">
        <v>104</v>
      </c>
      <c r="M33" s="10" t="s">
        <v>104</v>
      </c>
      <c r="N33" s="89"/>
      <c r="O33" s="87"/>
      <c r="P33" s="89"/>
      <c r="Q33" s="10" t="s">
        <v>104</v>
      </c>
      <c r="R33" s="10" t="s">
        <v>104</v>
      </c>
      <c r="S33" s="10" t="s">
        <v>103</v>
      </c>
      <c r="T33" s="89"/>
      <c r="U33" s="10" t="s">
        <v>103</v>
      </c>
      <c r="V33" s="4">
        <f t="shared" si="1"/>
        <v>7</v>
      </c>
      <c r="W33" s="4">
        <f t="shared" si="2"/>
        <v>4</v>
      </c>
      <c r="X33"/>
      <c r="Y33"/>
      <c r="Z33"/>
      <c r="AA33"/>
    </row>
    <row r="34" spans="1:27" x14ac:dyDescent="0.25">
      <c r="A34" s="11">
        <v>6</v>
      </c>
      <c r="B34" s="13" t="s">
        <v>264</v>
      </c>
      <c r="C34" s="14" t="s">
        <v>265</v>
      </c>
      <c r="D34" s="8" t="s">
        <v>213</v>
      </c>
      <c r="E34" s="10" t="s">
        <v>104</v>
      </c>
      <c r="F34" s="10" t="s">
        <v>104</v>
      </c>
      <c r="G34" s="10" t="s">
        <v>104</v>
      </c>
      <c r="H34" s="87"/>
      <c r="I34" s="10" t="s">
        <v>104</v>
      </c>
      <c r="J34" s="89"/>
      <c r="K34" s="10" t="s">
        <v>104</v>
      </c>
      <c r="L34" s="10" t="s">
        <v>104</v>
      </c>
      <c r="M34" s="10" t="s">
        <v>104</v>
      </c>
      <c r="N34" s="89"/>
      <c r="O34" s="87"/>
      <c r="P34" s="89"/>
      <c r="Q34" s="10" t="s">
        <v>104</v>
      </c>
      <c r="R34" s="10" t="s">
        <v>103</v>
      </c>
      <c r="S34" s="10" t="s">
        <v>104</v>
      </c>
      <c r="T34" s="89"/>
      <c r="U34" s="10" t="s">
        <v>103</v>
      </c>
      <c r="V34" s="4">
        <f t="shared" si="1"/>
        <v>9</v>
      </c>
      <c r="W34" s="4">
        <f t="shared" si="2"/>
        <v>2</v>
      </c>
      <c r="X34"/>
      <c r="Y34"/>
      <c r="Z34"/>
      <c r="AA34"/>
    </row>
    <row r="35" spans="1:27" x14ac:dyDescent="0.25">
      <c r="A35" s="5">
        <v>7</v>
      </c>
      <c r="B35" s="13" t="s">
        <v>266</v>
      </c>
      <c r="C35" s="14" t="s">
        <v>267</v>
      </c>
      <c r="D35" s="8" t="s">
        <v>213</v>
      </c>
      <c r="E35" s="10" t="s">
        <v>104</v>
      </c>
      <c r="F35" s="10" t="s">
        <v>103</v>
      </c>
      <c r="G35" s="10" t="s">
        <v>103</v>
      </c>
      <c r="H35" s="87"/>
      <c r="I35" s="10" t="s">
        <v>103</v>
      </c>
      <c r="J35" s="89"/>
      <c r="K35" s="10" t="s">
        <v>104</v>
      </c>
      <c r="L35" s="10" t="s">
        <v>104</v>
      </c>
      <c r="M35" s="10" t="s">
        <v>104</v>
      </c>
      <c r="N35" s="89"/>
      <c r="O35" s="87"/>
      <c r="P35" s="89"/>
      <c r="Q35" s="10" t="s">
        <v>103</v>
      </c>
      <c r="R35" s="10" t="s">
        <v>103</v>
      </c>
      <c r="S35" s="10" t="s">
        <v>103</v>
      </c>
      <c r="T35" s="89"/>
      <c r="U35" s="10" t="s">
        <v>103</v>
      </c>
      <c r="V35" s="4">
        <f t="shared" si="1"/>
        <v>4</v>
      </c>
      <c r="W35" s="4">
        <f t="shared" si="2"/>
        <v>7</v>
      </c>
      <c r="X35"/>
      <c r="Y35"/>
      <c r="Z35"/>
      <c r="AA35"/>
    </row>
    <row r="36" spans="1:27" x14ac:dyDescent="0.25">
      <c r="A36" s="11">
        <v>8</v>
      </c>
      <c r="B36" s="13" t="s">
        <v>268</v>
      </c>
      <c r="C36" s="14" t="s">
        <v>269</v>
      </c>
      <c r="D36" s="8" t="s">
        <v>213</v>
      </c>
      <c r="E36" s="10" t="s">
        <v>104</v>
      </c>
      <c r="F36" s="10" t="s">
        <v>104</v>
      </c>
      <c r="G36" s="10" t="s">
        <v>104</v>
      </c>
      <c r="H36" s="87"/>
      <c r="I36" s="10" t="s">
        <v>104</v>
      </c>
      <c r="J36" s="89"/>
      <c r="K36" s="10" t="s">
        <v>104</v>
      </c>
      <c r="L36" s="10" t="s">
        <v>103</v>
      </c>
      <c r="M36" s="10" t="s">
        <v>104</v>
      </c>
      <c r="N36" s="89"/>
      <c r="O36" s="87"/>
      <c r="P36" s="89"/>
      <c r="Q36" s="10" t="s">
        <v>103</v>
      </c>
      <c r="R36" s="10" t="s">
        <v>103</v>
      </c>
      <c r="S36" s="10" t="s">
        <v>104</v>
      </c>
      <c r="T36" s="89"/>
      <c r="U36" s="10" t="s">
        <v>103</v>
      </c>
      <c r="V36" s="4">
        <f t="shared" si="1"/>
        <v>7</v>
      </c>
      <c r="W36" s="4">
        <f t="shared" si="2"/>
        <v>4</v>
      </c>
      <c r="X36"/>
      <c r="Y36"/>
      <c r="Z36"/>
      <c r="AA36"/>
    </row>
    <row r="37" spans="1:27" x14ac:dyDescent="0.25">
      <c r="A37" s="5">
        <v>9</v>
      </c>
      <c r="B37" s="13" t="s">
        <v>94</v>
      </c>
      <c r="C37" s="14" t="s">
        <v>270</v>
      </c>
      <c r="D37" s="8" t="s">
        <v>213</v>
      </c>
      <c r="E37" s="10" t="s">
        <v>104</v>
      </c>
      <c r="F37" s="10" t="s">
        <v>104</v>
      </c>
      <c r="G37" s="10" t="s">
        <v>104</v>
      </c>
      <c r="H37" s="87"/>
      <c r="I37" s="10" t="s">
        <v>104</v>
      </c>
      <c r="J37" s="89"/>
      <c r="K37" s="10" t="s">
        <v>104</v>
      </c>
      <c r="L37" s="10" t="s">
        <v>104</v>
      </c>
      <c r="M37" s="10" t="s">
        <v>104</v>
      </c>
      <c r="N37" s="89"/>
      <c r="O37" s="87"/>
      <c r="P37" s="89"/>
      <c r="Q37" s="10" t="s">
        <v>104</v>
      </c>
      <c r="R37" s="10" t="s">
        <v>103</v>
      </c>
      <c r="S37" s="10" t="s">
        <v>104</v>
      </c>
      <c r="T37" s="89"/>
      <c r="U37" s="10" t="s">
        <v>103</v>
      </c>
      <c r="V37" s="4">
        <f t="shared" si="1"/>
        <v>9</v>
      </c>
      <c r="W37" s="4">
        <f t="shared" si="2"/>
        <v>2</v>
      </c>
    </row>
    <row r="38" spans="1:27" x14ac:dyDescent="0.25">
      <c r="A38" s="11">
        <v>10</v>
      </c>
      <c r="B38" s="13" t="s">
        <v>271</v>
      </c>
      <c r="C38" s="14" t="s">
        <v>272</v>
      </c>
      <c r="D38" s="8" t="s">
        <v>213</v>
      </c>
      <c r="E38" s="10" t="s">
        <v>103</v>
      </c>
      <c r="F38" s="10" t="s">
        <v>104</v>
      </c>
      <c r="G38" s="10" t="s">
        <v>104</v>
      </c>
      <c r="H38" s="87"/>
      <c r="I38" s="10" t="s">
        <v>104</v>
      </c>
      <c r="J38" s="89"/>
      <c r="K38" s="10" t="s">
        <v>104</v>
      </c>
      <c r="L38" s="10" t="s">
        <v>104</v>
      </c>
      <c r="M38" s="10" t="s">
        <v>104</v>
      </c>
      <c r="N38" s="89"/>
      <c r="O38" s="87"/>
      <c r="P38" s="89"/>
      <c r="Q38" s="10" t="s">
        <v>104</v>
      </c>
      <c r="R38" s="10" t="s">
        <v>104</v>
      </c>
      <c r="S38" s="10" t="s">
        <v>103</v>
      </c>
      <c r="T38" s="89"/>
      <c r="U38" s="10" t="s">
        <v>103</v>
      </c>
      <c r="V38" s="4">
        <f t="shared" si="1"/>
        <v>8</v>
      </c>
      <c r="W38" s="4">
        <f t="shared" si="2"/>
        <v>3</v>
      </c>
    </row>
    <row r="39" spans="1:27" x14ac:dyDescent="0.25">
      <c r="A39" s="5">
        <v>11</v>
      </c>
      <c r="B39" s="13" t="s">
        <v>273</v>
      </c>
      <c r="C39" s="14" t="s">
        <v>274</v>
      </c>
      <c r="D39" s="8" t="s">
        <v>213</v>
      </c>
      <c r="E39" s="10" t="s">
        <v>104</v>
      </c>
      <c r="F39" s="10" t="s">
        <v>104</v>
      </c>
      <c r="G39" s="10" t="s">
        <v>103</v>
      </c>
      <c r="H39" s="87"/>
      <c r="I39" s="10" t="s">
        <v>104</v>
      </c>
      <c r="J39" s="89"/>
      <c r="K39" s="10" t="s">
        <v>104</v>
      </c>
      <c r="L39" s="10" t="s">
        <v>104</v>
      </c>
      <c r="M39" s="10" t="s">
        <v>104</v>
      </c>
      <c r="N39" s="89"/>
      <c r="O39" s="87"/>
      <c r="P39" s="89"/>
      <c r="Q39" s="10" t="s">
        <v>103</v>
      </c>
      <c r="R39" s="10" t="s">
        <v>103</v>
      </c>
      <c r="S39" s="10" t="s">
        <v>103</v>
      </c>
      <c r="T39" s="89"/>
      <c r="U39" s="10" t="s">
        <v>103</v>
      </c>
      <c r="V39" s="4">
        <f t="shared" si="1"/>
        <v>6</v>
      </c>
      <c r="W39" s="4">
        <f t="shared" si="2"/>
        <v>5</v>
      </c>
    </row>
    <row r="40" spans="1:27" x14ac:dyDescent="0.25">
      <c r="A40" s="11">
        <v>12</v>
      </c>
      <c r="B40" s="13" t="s">
        <v>275</v>
      </c>
      <c r="C40" s="14" t="s">
        <v>276</v>
      </c>
      <c r="D40" s="8" t="s">
        <v>213</v>
      </c>
      <c r="E40" s="10" t="s">
        <v>104</v>
      </c>
      <c r="F40" s="10" t="s">
        <v>104</v>
      </c>
      <c r="G40" s="10" t="s">
        <v>104</v>
      </c>
      <c r="H40" s="87"/>
      <c r="I40" s="10" t="s">
        <v>104</v>
      </c>
      <c r="J40" s="89"/>
      <c r="K40" s="10" t="s">
        <v>104</v>
      </c>
      <c r="L40" s="10" t="s">
        <v>104</v>
      </c>
      <c r="M40" s="10" t="s">
        <v>104</v>
      </c>
      <c r="N40" s="89"/>
      <c r="O40" s="87"/>
      <c r="P40" s="89"/>
      <c r="Q40" s="10" t="s">
        <v>104</v>
      </c>
      <c r="R40" s="10" t="s">
        <v>104</v>
      </c>
      <c r="S40" s="10" t="s">
        <v>104</v>
      </c>
      <c r="T40" s="89"/>
      <c r="U40" s="10" t="s">
        <v>103</v>
      </c>
      <c r="V40" s="4">
        <f t="shared" si="1"/>
        <v>10</v>
      </c>
      <c r="W40" s="4">
        <f t="shared" si="2"/>
        <v>1</v>
      </c>
    </row>
    <row r="41" spans="1:27" x14ac:dyDescent="0.25">
      <c r="A41" s="5">
        <v>13</v>
      </c>
      <c r="B41" s="13" t="s">
        <v>275</v>
      </c>
      <c r="C41" s="14" t="s">
        <v>199</v>
      </c>
      <c r="D41" s="8" t="s">
        <v>213</v>
      </c>
      <c r="E41" s="10" t="s">
        <v>103</v>
      </c>
      <c r="F41" s="10" t="s">
        <v>104</v>
      </c>
      <c r="G41" s="10" t="s">
        <v>104</v>
      </c>
      <c r="H41" s="87"/>
      <c r="I41" s="10" t="s">
        <v>104</v>
      </c>
      <c r="J41" s="89"/>
      <c r="K41" s="10" t="s">
        <v>104</v>
      </c>
      <c r="L41" s="10" t="s">
        <v>104</v>
      </c>
      <c r="M41" s="10" t="s">
        <v>104</v>
      </c>
      <c r="N41" s="89"/>
      <c r="O41" s="87"/>
      <c r="P41" s="89"/>
      <c r="Q41" s="10" t="s">
        <v>104</v>
      </c>
      <c r="R41" s="10" t="s">
        <v>103</v>
      </c>
      <c r="S41" s="10" t="s">
        <v>104</v>
      </c>
      <c r="T41" s="89"/>
      <c r="U41" s="10" t="s">
        <v>103</v>
      </c>
      <c r="V41" s="4">
        <f t="shared" si="1"/>
        <v>8</v>
      </c>
      <c r="W41" s="4">
        <f t="shared" si="2"/>
        <v>3</v>
      </c>
    </row>
    <row r="42" spans="1:27" x14ac:dyDescent="0.25">
      <c r="A42" s="11">
        <v>14</v>
      </c>
      <c r="B42" s="13" t="s">
        <v>183</v>
      </c>
      <c r="C42" s="14" t="s">
        <v>277</v>
      </c>
      <c r="D42" s="8" t="s">
        <v>213</v>
      </c>
      <c r="E42" s="10" t="s">
        <v>104</v>
      </c>
      <c r="F42" s="10" t="s">
        <v>104</v>
      </c>
      <c r="G42" s="10" t="s">
        <v>104</v>
      </c>
      <c r="H42" s="87"/>
      <c r="I42" s="10" t="s">
        <v>104</v>
      </c>
      <c r="J42" s="89"/>
      <c r="K42" s="10" t="s">
        <v>104</v>
      </c>
      <c r="L42" s="10" t="s">
        <v>104</v>
      </c>
      <c r="M42" s="10" t="s">
        <v>104</v>
      </c>
      <c r="N42" s="89"/>
      <c r="O42" s="87"/>
      <c r="P42" s="89"/>
      <c r="Q42" s="10" t="s">
        <v>104</v>
      </c>
      <c r="R42" s="10" t="s">
        <v>103</v>
      </c>
      <c r="S42" s="10" t="s">
        <v>104</v>
      </c>
      <c r="T42" s="89"/>
      <c r="U42" s="10" t="s">
        <v>103</v>
      </c>
      <c r="V42" s="4">
        <f t="shared" si="1"/>
        <v>9</v>
      </c>
      <c r="W42" s="4">
        <f t="shared" si="2"/>
        <v>2</v>
      </c>
    </row>
    <row r="43" spans="1:27" x14ac:dyDescent="0.25">
      <c r="A43" s="5">
        <v>15</v>
      </c>
      <c r="B43" s="13" t="s">
        <v>278</v>
      </c>
      <c r="C43" s="14" t="s">
        <v>279</v>
      </c>
      <c r="D43" s="8" t="s">
        <v>213</v>
      </c>
      <c r="E43" s="10" t="s">
        <v>103</v>
      </c>
      <c r="F43" s="10" t="s">
        <v>104</v>
      </c>
      <c r="G43" s="10" t="s">
        <v>103</v>
      </c>
      <c r="H43" s="87"/>
      <c r="I43" s="10" t="s">
        <v>104</v>
      </c>
      <c r="J43" s="89"/>
      <c r="K43" s="10" t="s">
        <v>104</v>
      </c>
      <c r="L43" s="10" t="s">
        <v>104</v>
      </c>
      <c r="M43" s="10" t="s">
        <v>104</v>
      </c>
      <c r="N43" s="89"/>
      <c r="O43" s="87"/>
      <c r="P43" s="89"/>
      <c r="Q43" s="10" t="s">
        <v>104</v>
      </c>
      <c r="R43" s="10" t="s">
        <v>103</v>
      </c>
      <c r="S43" s="10" t="s">
        <v>103</v>
      </c>
      <c r="T43" s="89"/>
      <c r="U43" s="10" t="s">
        <v>103</v>
      </c>
      <c r="V43" s="4">
        <f t="shared" si="1"/>
        <v>6</v>
      </c>
      <c r="W43" s="4">
        <f t="shared" si="2"/>
        <v>5</v>
      </c>
    </row>
    <row r="44" spans="1:27" x14ac:dyDescent="0.25">
      <c r="A44" s="11">
        <v>16</v>
      </c>
      <c r="B44" s="13" t="s">
        <v>280</v>
      </c>
      <c r="C44" s="14" t="s">
        <v>281</v>
      </c>
      <c r="D44" s="8" t="s">
        <v>213</v>
      </c>
      <c r="E44" s="10" t="s">
        <v>103</v>
      </c>
      <c r="F44" s="10" t="s">
        <v>103</v>
      </c>
      <c r="G44" s="10" t="s">
        <v>104</v>
      </c>
      <c r="H44" s="87"/>
      <c r="I44" s="10" t="s">
        <v>104</v>
      </c>
      <c r="J44" s="89"/>
      <c r="K44" s="10" t="s">
        <v>104</v>
      </c>
      <c r="L44" s="10" t="s">
        <v>104</v>
      </c>
      <c r="M44" s="10" t="s">
        <v>104</v>
      </c>
      <c r="N44" s="89"/>
      <c r="O44" s="87"/>
      <c r="P44" s="89"/>
      <c r="Q44" s="10" t="s">
        <v>103</v>
      </c>
      <c r="R44" s="10" t="s">
        <v>103</v>
      </c>
      <c r="S44" s="10" t="s">
        <v>103</v>
      </c>
      <c r="T44" s="89"/>
      <c r="U44" s="10" t="s">
        <v>103</v>
      </c>
      <c r="V44" s="4">
        <f t="shared" si="1"/>
        <v>5</v>
      </c>
      <c r="W44" s="4">
        <f t="shared" si="2"/>
        <v>6</v>
      </c>
    </row>
    <row r="45" spans="1:27" x14ac:dyDescent="0.25">
      <c r="A45" s="5">
        <v>17</v>
      </c>
      <c r="B45" s="13" t="s">
        <v>282</v>
      </c>
      <c r="C45" s="14" t="s">
        <v>219</v>
      </c>
      <c r="D45" s="8" t="s">
        <v>213</v>
      </c>
      <c r="E45" s="10" t="s">
        <v>104</v>
      </c>
      <c r="F45" s="10" t="s">
        <v>104</v>
      </c>
      <c r="G45" s="10" t="s">
        <v>104</v>
      </c>
      <c r="H45" s="87"/>
      <c r="I45" s="10" t="s">
        <v>104</v>
      </c>
      <c r="J45" s="89"/>
      <c r="K45" s="10" t="s">
        <v>104</v>
      </c>
      <c r="L45" s="10" t="s">
        <v>104</v>
      </c>
      <c r="M45" s="10" t="s">
        <v>103</v>
      </c>
      <c r="N45" s="89"/>
      <c r="O45" s="87"/>
      <c r="P45" s="89"/>
      <c r="Q45" s="10" t="s">
        <v>103</v>
      </c>
      <c r="R45" s="10" t="s">
        <v>103</v>
      </c>
      <c r="S45" s="10" t="s">
        <v>104</v>
      </c>
      <c r="T45" s="89"/>
      <c r="U45" s="10" t="s">
        <v>103</v>
      </c>
      <c r="V45" s="4">
        <f t="shared" si="1"/>
        <v>7</v>
      </c>
      <c r="W45" s="4">
        <f t="shared" si="2"/>
        <v>4</v>
      </c>
    </row>
    <row r="46" spans="1:27" x14ac:dyDescent="0.25">
      <c r="A46" s="11">
        <v>18</v>
      </c>
      <c r="B46" s="13" t="s">
        <v>283</v>
      </c>
      <c r="C46" s="14" t="s">
        <v>277</v>
      </c>
      <c r="D46" s="8" t="s">
        <v>213</v>
      </c>
      <c r="E46" s="10" t="s">
        <v>104</v>
      </c>
      <c r="F46" s="10" t="s">
        <v>104</v>
      </c>
      <c r="G46" s="10" t="s">
        <v>104</v>
      </c>
      <c r="H46" s="87"/>
      <c r="I46" s="10" t="s">
        <v>104</v>
      </c>
      <c r="J46" s="89"/>
      <c r="K46" s="10" t="s">
        <v>104</v>
      </c>
      <c r="L46" s="10" t="s">
        <v>104</v>
      </c>
      <c r="M46" s="10" t="s">
        <v>104</v>
      </c>
      <c r="N46" s="89"/>
      <c r="O46" s="87"/>
      <c r="P46" s="89"/>
      <c r="Q46" s="10" t="s">
        <v>104</v>
      </c>
      <c r="R46" s="10" t="s">
        <v>103</v>
      </c>
      <c r="S46" s="10" t="s">
        <v>104</v>
      </c>
      <c r="T46" s="89"/>
      <c r="U46" s="10" t="s">
        <v>103</v>
      </c>
      <c r="V46" s="4">
        <f t="shared" si="1"/>
        <v>9</v>
      </c>
      <c r="W46" s="4">
        <f t="shared" si="2"/>
        <v>2</v>
      </c>
    </row>
    <row r="47" spans="1:27" x14ac:dyDescent="0.25">
      <c r="A47" s="5">
        <v>19</v>
      </c>
      <c r="B47" s="13" t="s">
        <v>284</v>
      </c>
      <c r="C47" s="14" t="s">
        <v>285</v>
      </c>
      <c r="D47" s="8" t="s">
        <v>213</v>
      </c>
      <c r="E47" s="10" t="s">
        <v>104</v>
      </c>
      <c r="F47" s="10" t="s">
        <v>104</v>
      </c>
      <c r="G47" s="10" t="s">
        <v>104</v>
      </c>
      <c r="H47" s="87"/>
      <c r="I47" s="10" t="s">
        <v>104</v>
      </c>
      <c r="J47" s="89"/>
      <c r="K47" s="10" t="s">
        <v>104</v>
      </c>
      <c r="L47" s="10" t="s">
        <v>104</v>
      </c>
      <c r="M47" s="10" t="s">
        <v>104</v>
      </c>
      <c r="N47" s="89"/>
      <c r="O47" s="87"/>
      <c r="P47" s="89"/>
      <c r="Q47" s="10" t="s">
        <v>103</v>
      </c>
      <c r="R47" s="10" t="s">
        <v>103</v>
      </c>
      <c r="S47" s="10" t="s">
        <v>104</v>
      </c>
      <c r="T47" s="89"/>
      <c r="U47" s="10" t="s">
        <v>103</v>
      </c>
      <c r="V47" s="4">
        <f t="shared" si="1"/>
        <v>8</v>
      </c>
      <c r="W47" s="4">
        <f t="shared" si="2"/>
        <v>3</v>
      </c>
    </row>
    <row r="48" spans="1:27" x14ac:dyDescent="0.25">
      <c r="A48" s="11">
        <v>20</v>
      </c>
      <c r="B48" s="13" t="s">
        <v>286</v>
      </c>
      <c r="C48" s="14" t="s">
        <v>287</v>
      </c>
      <c r="D48" s="8" t="s">
        <v>213</v>
      </c>
      <c r="E48" s="10" t="s">
        <v>104</v>
      </c>
      <c r="F48" s="10" t="s">
        <v>104</v>
      </c>
      <c r="G48" s="10" t="s">
        <v>104</v>
      </c>
      <c r="H48" s="87"/>
      <c r="I48" s="10" t="s">
        <v>104</v>
      </c>
      <c r="J48" s="89"/>
      <c r="K48" s="10" t="s">
        <v>104</v>
      </c>
      <c r="L48" s="10" t="s">
        <v>104</v>
      </c>
      <c r="M48" s="10" t="s">
        <v>104</v>
      </c>
      <c r="N48" s="89"/>
      <c r="O48" s="87"/>
      <c r="P48" s="89"/>
      <c r="Q48" s="10" t="s">
        <v>104</v>
      </c>
      <c r="R48" s="10" t="s">
        <v>103</v>
      </c>
      <c r="S48" s="10" t="s">
        <v>103</v>
      </c>
      <c r="T48" s="89"/>
      <c r="U48" s="10" t="s">
        <v>103</v>
      </c>
      <c r="V48" s="4">
        <f t="shared" si="1"/>
        <v>8</v>
      </c>
      <c r="W48" s="4">
        <f t="shared" si="2"/>
        <v>3</v>
      </c>
    </row>
    <row r="49" spans="1:23" x14ac:dyDescent="0.25">
      <c r="A49" s="5">
        <v>21</v>
      </c>
      <c r="B49" s="13" t="s">
        <v>288</v>
      </c>
      <c r="C49" s="14" t="s">
        <v>289</v>
      </c>
      <c r="D49" s="8" t="s">
        <v>213</v>
      </c>
      <c r="E49" s="10" t="s">
        <v>104</v>
      </c>
      <c r="F49" s="10" t="s">
        <v>104</v>
      </c>
      <c r="G49" s="10" t="s">
        <v>104</v>
      </c>
      <c r="H49" s="87"/>
      <c r="I49" s="10" t="s">
        <v>104</v>
      </c>
      <c r="J49" s="89"/>
      <c r="K49" s="10" t="s">
        <v>104</v>
      </c>
      <c r="L49" s="10" t="s">
        <v>104</v>
      </c>
      <c r="M49" s="10" t="s">
        <v>104</v>
      </c>
      <c r="N49" s="89"/>
      <c r="O49" s="87"/>
      <c r="P49" s="89"/>
      <c r="Q49" s="10" t="s">
        <v>103</v>
      </c>
      <c r="R49" s="10" t="s">
        <v>103</v>
      </c>
      <c r="S49" s="10" t="s">
        <v>103</v>
      </c>
      <c r="T49" s="89"/>
      <c r="U49" s="10" t="s">
        <v>103</v>
      </c>
      <c r="V49" s="4">
        <f t="shared" si="1"/>
        <v>7</v>
      </c>
      <c r="W49" s="4">
        <f t="shared" si="2"/>
        <v>4</v>
      </c>
    </row>
    <row r="50" spans="1:23" x14ac:dyDescent="0.25">
      <c r="A50" s="11">
        <v>22</v>
      </c>
      <c r="B50" s="13" t="s">
        <v>290</v>
      </c>
      <c r="C50" s="14" t="s">
        <v>291</v>
      </c>
      <c r="D50" s="8" t="s">
        <v>213</v>
      </c>
      <c r="E50" s="10" t="s">
        <v>104</v>
      </c>
      <c r="F50" s="10" t="s">
        <v>104</v>
      </c>
      <c r="G50" s="10" t="s">
        <v>104</v>
      </c>
      <c r="H50" s="87"/>
      <c r="I50" s="10" t="s">
        <v>104</v>
      </c>
      <c r="J50" s="89"/>
      <c r="K50" s="10" t="s">
        <v>104</v>
      </c>
      <c r="L50" s="10" t="s">
        <v>104</v>
      </c>
      <c r="M50" s="10" t="s">
        <v>103</v>
      </c>
      <c r="N50" s="89"/>
      <c r="O50" s="87"/>
      <c r="P50" s="89"/>
      <c r="Q50" s="10" t="s">
        <v>104</v>
      </c>
      <c r="R50" s="10" t="s">
        <v>104</v>
      </c>
      <c r="S50" s="10" t="s">
        <v>104</v>
      </c>
      <c r="T50" s="89"/>
      <c r="U50" s="10" t="s">
        <v>103</v>
      </c>
      <c r="V50" s="4">
        <f t="shared" si="1"/>
        <v>9</v>
      </c>
      <c r="W50" s="4">
        <f t="shared" si="2"/>
        <v>2</v>
      </c>
    </row>
    <row r="51" spans="1:23" x14ac:dyDescent="0.25">
      <c r="A51" s="5">
        <v>23</v>
      </c>
      <c r="B51" s="13" t="s">
        <v>292</v>
      </c>
      <c r="C51" s="14" t="s">
        <v>293</v>
      </c>
      <c r="D51" s="8" t="s">
        <v>213</v>
      </c>
      <c r="E51" s="10" t="s">
        <v>103</v>
      </c>
      <c r="F51" s="10" t="s">
        <v>104</v>
      </c>
      <c r="G51" s="10" t="s">
        <v>104</v>
      </c>
      <c r="H51" s="87"/>
      <c r="I51" s="10" t="s">
        <v>104</v>
      </c>
      <c r="J51" s="89"/>
      <c r="K51" s="10" t="s">
        <v>104</v>
      </c>
      <c r="L51" s="10" t="s">
        <v>104</v>
      </c>
      <c r="M51" s="10" t="s">
        <v>104</v>
      </c>
      <c r="N51" s="89"/>
      <c r="O51" s="87"/>
      <c r="P51" s="89"/>
      <c r="Q51" s="10" t="s">
        <v>104</v>
      </c>
      <c r="R51" s="10" t="s">
        <v>103</v>
      </c>
      <c r="S51" s="10" t="s">
        <v>104</v>
      </c>
      <c r="T51" s="89"/>
      <c r="U51" s="10" t="s">
        <v>103</v>
      </c>
      <c r="V51" s="4">
        <f t="shared" si="1"/>
        <v>8</v>
      </c>
      <c r="W51" s="4">
        <f t="shared" si="2"/>
        <v>3</v>
      </c>
    </row>
    <row r="52" spans="1:23" x14ac:dyDescent="0.25">
      <c r="A52" s="11">
        <v>24</v>
      </c>
      <c r="B52" s="13" t="s">
        <v>294</v>
      </c>
      <c r="C52" s="14" t="s">
        <v>295</v>
      </c>
      <c r="D52" s="8" t="s">
        <v>213</v>
      </c>
      <c r="E52" s="10" t="s">
        <v>103</v>
      </c>
      <c r="F52" s="10" t="s">
        <v>104</v>
      </c>
      <c r="G52" s="10" t="s">
        <v>104</v>
      </c>
      <c r="H52" s="87"/>
      <c r="I52" s="10" t="s">
        <v>104</v>
      </c>
      <c r="J52" s="89"/>
      <c r="K52" s="10" t="s">
        <v>104</v>
      </c>
      <c r="L52" s="10" t="s">
        <v>104</v>
      </c>
      <c r="M52" s="10" t="s">
        <v>104</v>
      </c>
      <c r="N52" s="89"/>
      <c r="O52" s="87"/>
      <c r="P52" s="89"/>
      <c r="Q52" s="10" t="s">
        <v>104</v>
      </c>
      <c r="R52" s="10" t="s">
        <v>104</v>
      </c>
      <c r="S52" s="10" t="s">
        <v>104</v>
      </c>
      <c r="T52" s="89"/>
      <c r="U52" s="10" t="s">
        <v>103</v>
      </c>
      <c r="V52" s="4">
        <f t="shared" si="1"/>
        <v>9</v>
      </c>
      <c r="W52" s="4">
        <f t="shared" si="2"/>
        <v>2</v>
      </c>
    </row>
    <row r="53" spans="1:23" x14ac:dyDescent="0.25">
      <c r="A53" s="5">
        <v>25</v>
      </c>
      <c r="B53" s="13" t="s">
        <v>296</v>
      </c>
      <c r="C53" s="14" t="s">
        <v>297</v>
      </c>
      <c r="D53" s="8" t="s">
        <v>213</v>
      </c>
      <c r="E53" s="10" t="s">
        <v>104</v>
      </c>
      <c r="F53" s="10" t="s">
        <v>104</v>
      </c>
      <c r="G53" s="10" t="s">
        <v>104</v>
      </c>
      <c r="H53" s="87"/>
      <c r="I53" s="10" t="s">
        <v>104</v>
      </c>
      <c r="J53" s="89"/>
      <c r="K53" s="10" t="s">
        <v>104</v>
      </c>
      <c r="L53" s="10" t="s">
        <v>104</v>
      </c>
      <c r="M53" s="10" t="s">
        <v>104</v>
      </c>
      <c r="N53" s="89"/>
      <c r="O53" s="87"/>
      <c r="P53" s="89"/>
      <c r="Q53" s="10" t="s">
        <v>103</v>
      </c>
      <c r="R53" s="10" t="s">
        <v>103</v>
      </c>
      <c r="S53" s="10" t="s">
        <v>103</v>
      </c>
      <c r="T53" s="89"/>
      <c r="U53" s="10" t="s">
        <v>103</v>
      </c>
      <c r="V53" s="4">
        <f t="shared" si="1"/>
        <v>7</v>
      </c>
      <c r="W53" s="4">
        <f t="shared" si="2"/>
        <v>4</v>
      </c>
    </row>
    <row r="54" spans="1:23" x14ac:dyDescent="0.25">
      <c r="A54" s="11">
        <v>26</v>
      </c>
      <c r="B54" s="13" t="s">
        <v>298</v>
      </c>
      <c r="C54" s="14" t="s">
        <v>299</v>
      </c>
      <c r="D54" s="8" t="s">
        <v>213</v>
      </c>
      <c r="E54" s="10" t="s">
        <v>103</v>
      </c>
      <c r="F54" s="10" t="s">
        <v>104</v>
      </c>
      <c r="G54" s="10" t="s">
        <v>104</v>
      </c>
      <c r="H54" s="87"/>
      <c r="I54" s="10" t="s">
        <v>104</v>
      </c>
      <c r="J54" s="89"/>
      <c r="K54" s="10" t="s">
        <v>104</v>
      </c>
      <c r="L54" s="10" t="s">
        <v>104</v>
      </c>
      <c r="M54" s="10" t="s">
        <v>103</v>
      </c>
      <c r="N54" s="89"/>
      <c r="O54" s="87"/>
      <c r="P54" s="89"/>
      <c r="Q54" s="10" t="s">
        <v>103</v>
      </c>
      <c r="R54" s="10" t="s">
        <v>103</v>
      </c>
      <c r="S54" s="10" t="s">
        <v>103</v>
      </c>
      <c r="T54" s="89"/>
      <c r="U54" s="10" t="s">
        <v>103</v>
      </c>
      <c r="V54" s="4">
        <f t="shared" si="1"/>
        <v>5</v>
      </c>
      <c r="W54" s="4">
        <f t="shared" si="2"/>
        <v>6</v>
      </c>
    </row>
    <row r="55" spans="1:23" x14ac:dyDescent="0.25">
      <c r="A55" s="5">
        <v>27</v>
      </c>
      <c r="B55" s="13" t="s">
        <v>300</v>
      </c>
      <c r="C55" s="14" t="s">
        <v>301</v>
      </c>
      <c r="D55" s="8" t="s">
        <v>213</v>
      </c>
      <c r="E55" s="10" t="s">
        <v>103</v>
      </c>
      <c r="F55" s="10" t="s">
        <v>104</v>
      </c>
      <c r="G55" s="10" t="s">
        <v>104</v>
      </c>
      <c r="H55" s="87"/>
      <c r="I55" s="10" t="s">
        <v>104</v>
      </c>
      <c r="J55" s="89"/>
      <c r="K55" s="10" t="s">
        <v>104</v>
      </c>
      <c r="L55" s="10" t="s">
        <v>104</v>
      </c>
      <c r="M55" s="10" t="s">
        <v>104</v>
      </c>
      <c r="N55" s="89"/>
      <c r="O55" s="87"/>
      <c r="P55" s="89"/>
      <c r="Q55" s="10" t="s">
        <v>103</v>
      </c>
      <c r="R55" s="10" t="s">
        <v>103</v>
      </c>
      <c r="S55" s="10" t="s">
        <v>104</v>
      </c>
      <c r="T55" s="89"/>
      <c r="U55" s="10" t="s">
        <v>103</v>
      </c>
      <c r="V55" s="4">
        <f t="shared" si="1"/>
        <v>7</v>
      </c>
      <c r="W55" s="4">
        <f t="shared" si="2"/>
        <v>4</v>
      </c>
    </row>
    <row r="56" spans="1:23" x14ac:dyDescent="0.25">
      <c r="A56" s="11">
        <v>28</v>
      </c>
      <c r="B56" s="13" t="s">
        <v>302</v>
      </c>
      <c r="C56" s="14" t="s">
        <v>303</v>
      </c>
      <c r="D56" s="8" t="s">
        <v>213</v>
      </c>
      <c r="E56" s="10" t="s">
        <v>112</v>
      </c>
      <c r="F56" s="10" t="s">
        <v>112</v>
      </c>
      <c r="G56" s="10" t="s">
        <v>112</v>
      </c>
      <c r="H56" s="87"/>
      <c r="I56" s="10" t="s">
        <v>112</v>
      </c>
      <c r="J56" s="89"/>
      <c r="K56" s="10" t="s">
        <v>112</v>
      </c>
      <c r="L56" s="10" t="s">
        <v>104</v>
      </c>
      <c r="M56" s="10" t="s">
        <v>103</v>
      </c>
      <c r="N56" s="89"/>
      <c r="O56" s="87"/>
      <c r="P56" s="89"/>
      <c r="Q56" s="10" t="s">
        <v>104</v>
      </c>
      <c r="R56" s="10" t="s">
        <v>103</v>
      </c>
      <c r="S56" s="10" t="s">
        <v>103</v>
      </c>
      <c r="T56" s="89"/>
      <c r="U56" s="10" t="s">
        <v>103</v>
      </c>
      <c r="V56" s="4">
        <f t="shared" si="1"/>
        <v>2</v>
      </c>
      <c r="W56" s="4">
        <f t="shared" si="2"/>
        <v>4</v>
      </c>
    </row>
    <row r="57" spans="1:23" x14ac:dyDescent="0.25">
      <c r="A57" s="5">
        <v>29</v>
      </c>
      <c r="B57" s="13" t="s">
        <v>304</v>
      </c>
      <c r="C57" s="14" t="s">
        <v>35</v>
      </c>
      <c r="D57" s="8" t="s">
        <v>213</v>
      </c>
      <c r="E57" s="10" t="s">
        <v>104</v>
      </c>
      <c r="F57" s="10" t="s">
        <v>104</v>
      </c>
      <c r="G57" s="10" t="s">
        <v>104</v>
      </c>
      <c r="H57" s="87"/>
      <c r="I57" s="10" t="s">
        <v>104</v>
      </c>
      <c r="J57" s="89"/>
      <c r="K57" s="10" t="s">
        <v>104</v>
      </c>
      <c r="L57" s="10" t="s">
        <v>104</v>
      </c>
      <c r="M57" s="10" t="s">
        <v>104</v>
      </c>
      <c r="N57" s="89"/>
      <c r="O57" s="87"/>
      <c r="P57" s="89"/>
      <c r="Q57" s="10" t="s">
        <v>103</v>
      </c>
      <c r="R57" s="10" t="s">
        <v>104</v>
      </c>
      <c r="S57" s="10" t="s">
        <v>104</v>
      </c>
      <c r="T57" s="89"/>
      <c r="U57" s="10" t="s">
        <v>103</v>
      </c>
      <c r="V57" s="4">
        <f t="shared" si="1"/>
        <v>9</v>
      </c>
      <c r="W57" s="4">
        <f t="shared" si="2"/>
        <v>2</v>
      </c>
    </row>
    <row r="58" spans="1:23" x14ac:dyDescent="0.25">
      <c r="A58" s="11">
        <v>30</v>
      </c>
      <c r="B58" s="13" t="s">
        <v>305</v>
      </c>
      <c r="C58" s="14" t="s">
        <v>306</v>
      </c>
      <c r="D58" s="8" t="s">
        <v>213</v>
      </c>
      <c r="E58" s="10" t="s">
        <v>104</v>
      </c>
      <c r="F58" s="10" t="s">
        <v>104</v>
      </c>
      <c r="G58" s="10" t="s">
        <v>104</v>
      </c>
      <c r="H58" s="87"/>
      <c r="I58" s="10" t="s">
        <v>104</v>
      </c>
      <c r="J58" s="89"/>
      <c r="K58" s="10" t="s">
        <v>104</v>
      </c>
      <c r="L58" s="10" t="s">
        <v>104</v>
      </c>
      <c r="M58" s="10" t="s">
        <v>104</v>
      </c>
      <c r="N58" s="89"/>
      <c r="O58" s="87"/>
      <c r="P58" s="89"/>
      <c r="Q58" s="10" t="s">
        <v>104</v>
      </c>
      <c r="R58" s="10" t="s">
        <v>104</v>
      </c>
      <c r="S58" s="10" t="s">
        <v>103</v>
      </c>
      <c r="T58" s="89"/>
      <c r="U58" s="10" t="s">
        <v>103</v>
      </c>
      <c r="V58" s="4">
        <f t="shared" si="1"/>
        <v>9</v>
      </c>
      <c r="W58" s="4">
        <f t="shared" si="2"/>
        <v>2</v>
      </c>
    </row>
    <row r="59" spans="1:23" x14ac:dyDescent="0.25">
      <c r="A59" s="5">
        <v>31</v>
      </c>
      <c r="B59" s="13" t="s">
        <v>305</v>
      </c>
      <c r="C59" s="14" t="s">
        <v>307</v>
      </c>
      <c r="D59" s="8" t="s">
        <v>213</v>
      </c>
      <c r="E59" s="10" t="s">
        <v>103</v>
      </c>
      <c r="F59" s="10" t="s">
        <v>104</v>
      </c>
      <c r="G59" s="10" t="s">
        <v>104</v>
      </c>
      <c r="H59" s="87"/>
      <c r="I59" s="10" t="s">
        <v>104</v>
      </c>
      <c r="J59" s="89"/>
      <c r="K59" s="10" t="s">
        <v>104</v>
      </c>
      <c r="L59" s="10" t="s">
        <v>104</v>
      </c>
      <c r="M59" s="10" t="s">
        <v>104</v>
      </c>
      <c r="N59" s="89"/>
      <c r="O59" s="87"/>
      <c r="P59" s="89"/>
      <c r="Q59" s="10" t="s">
        <v>104</v>
      </c>
      <c r="R59" s="10" t="s">
        <v>103</v>
      </c>
      <c r="S59" s="10" t="s">
        <v>104</v>
      </c>
      <c r="T59" s="89"/>
      <c r="U59" s="10" t="s">
        <v>103</v>
      </c>
      <c r="V59" s="4">
        <f t="shared" si="1"/>
        <v>8</v>
      </c>
      <c r="W59" s="4">
        <f t="shared" si="2"/>
        <v>3</v>
      </c>
    </row>
    <row r="60" spans="1:23" x14ac:dyDescent="0.25">
      <c r="A60" s="11">
        <v>32</v>
      </c>
      <c r="B60" s="13" t="s">
        <v>308</v>
      </c>
      <c r="C60" s="14" t="s">
        <v>309</v>
      </c>
      <c r="D60" s="8" t="s">
        <v>213</v>
      </c>
      <c r="E60" s="10" t="s">
        <v>103</v>
      </c>
      <c r="F60" s="10" t="s">
        <v>104</v>
      </c>
      <c r="G60" s="10" t="s">
        <v>103</v>
      </c>
      <c r="H60" s="90"/>
      <c r="I60" s="10" t="s">
        <v>104</v>
      </c>
      <c r="J60" s="91"/>
      <c r="K60" s="10" t="s">
        <v>104</v>
      </c>
      <c r="L60" s="10" t="s">
        <v>104</v>
      </c>
      <c r="M60" s="10" t="s">
        <v>104</v>
      </c>
      <c r="N60" s="91"/>
      <c r="O60" s="90"/>
      <c r="P60" s="91"/>
      <c r="Q60" s="10" t="s">
        <v>104</v>
      </c>
      <c r="R60" s="10" t="s">
        <v>103</v>
      </c>
      <c r="S60" s="10" t="s">
        <v>103</v>
      </c>
      <c r="T60" s="91"/>
      <c r="U60" s="10" t="s">
        <v>103</v>
      </c>
      <c r="V60" s="4">
        <f t="shared" si="1"/>
        <v>6</v>
      </c>
      <c r="W60" s="4">
        <f t="shared" si="2"/>
        <v>5</v>
      </c>
    </row>
  </sheetData>
  <mergeCells count="17">
    <mergeCell ref="A1:W1"/>
    <mergeCell ref="A2:W2"/>
    <mergeCell ref="A3:A4"/>
    <mergeCell ref="B3:B4"/>
    <mergeCell ref="C3:C4"/>
    <mergeCell ref="D3:D4"/>
    <mergeCell ref="V3:V4"/>
    <mergeCell ref="W3:W4"/>
    <mergeCell ref="X21:AA21"/>
    <mergeCell ref="X13:AA13"/>
    <mergeCell ref="X3:Y3"/>
    <mergeCell ref="H5:H60"/>
    <mergeCell ref="J5:J60"/>
    <mergeCell ref="N5:N60"/>
    <mergeCell ref="O5:O60"/>
    <mergeCell ref="P5:P60"/>
    <mergeCell ref="T5:T60"/>
  </mergeCells>
  <conditionalFormatting sqref="E5:P5 T5 E4:U4">
    <cfRule type="expression" dxfId="139" priority="23">
      <formula>IF(E$4=TODAY(),TRUE,FALSE)</formula>
    </cfRule>
  </conditionalFormatting>
  <conditionalFormatting sqref="E5:P5 T5">
    <cfRule type="cellIs" dxfId="138" priority="15" operator="equal">
      <formula>"L"</formula>
    </cfRule>
    <cfRule type="cellIs" dxfId="137" priority="16" operator="equal">
      <formula>"A"</formula>
    </cfRule>
    <cfRule type="cellIs" dxfId="136" priority="17" operator="equal">
      <formula>"P"</formula>
    </cfRule>
  </conditionalFormatting>
  <conditionalFormatting sqref="E3:U4 E5:P5 T5 X4:Y4">
    <cfRule type="expression" dxfId="135" priority="24">
      <formula>E$3="Sun"</formula>
    </cfRule>
  </conditionalFormatting>
  <conditionalFormatting sqref="Q5:S60 U5:U60 E6:G60 I6:I60 K6:M60">
    <cfRule type="cellIs" dxfId="134" priority="9" operator="equal">
      <formula>"L"</formula>
    </cfRule>
    <cfRule type="cellIs" dxfId="133" priority="10" operator="equal">
      <formula>"A"</formula>
    </cfRule>
    <cfRule type="cellIs" dxfId="132" priority="11" operator="equal">
      <formula>"P"</formula>
    </cfRule>
    <cfRule type="expression" dxfId="131" priority="12">
      <formula>IF(E$4=TODAY(),TRUE,FALSE)</formula>
    </cfRule>
    <cfRule type="expression" dxfId="130" priority="13">
      <formula>E$3="Sun"</formula>
    </cfRule>
  </conditionalFormatting>
  <conditionalFormatting sqref="V3:W3">
    <cfRule type="expression" dxfId="129" priority="25">
      <formula>#REF!="Sun"</formula>
    </cfRule>
  </conditionalFormatting>
  <conditionalFormatting sqref="V5:W60">
    <cfRule type="expression" dxfId="128" priority="14">
      <formula>#REF!="Sun"</formula>
    </cfRule>
  </conditionalFormatting>
  <conditionalFormatting sqref="X5:X11">
    <cfRule type="expression" dxfId="127" priority="22">
      <formula>X$3="Sun"</formula>
    </cfRule>
  </conditionalFormatting>
  <conditionalFormatting sqref="X14:X17">
    <cfRule type="expression" dxfId="126" priority="3">
      <formula>X$3="Sun"</formula>
    </cfRule>
  </conditionalFormatting>
  <conditionalFormatting sqref="X22:X25">
    <cfRule type="expression" dxfId="125" priority="2">
      <formula>X$3="Sun"</formula>
    </cfRule>
  </conditionalFormatting>
  <conditionalFormatting sqref="Y14:AA14">
    <cfRule type="expression" dxfId="124" priority="4">
      <formula>Y$3="Sun"</formula>
    </cfRule>
  </conditionalFormatting>
  <conditionalFormatting sqref="Y22:AA22">
    <cfRule type="expression" dxfId="123" priority="1">
      <formula>Y$3="Sun"</formula>
    </cfRule>
  </conditionalFormatting>
  <conditionalFormatting sqref="AA23">
    <cfRule type="expression" dxfId="122" priority="8">
      <formula>AA$3="Sun"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A9638-9B90-49BD-B68D-294CD7FC9E2F}">
  <dimension ref="A1:AA52"/>
  <sheetViews>
    <sheetView topLeftCell="A7" workbookViewId="0">
      <selection activeCell="Z15" sqref="Z15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 bestFit="1"/>
    <col min="6" max="7" width="3.7109375" style="1" bestFit="1" customWidth="1"/>
    <col min="8" max="8" width="3.85546875" style="1" bestFit="1"/>
    <col min="9" max="9" width="4.5703125" style="1" bestFit="1" customWidth="1"/>
    <col min="10" max="10" width="3.85546875" style="1" bestFit="1"/>
    <col min="11" max="11" width="4.7109375" style="1" bestFit="1" customWidth="1"/>
    <col min="12" max="12" width="3.85546875" style="1" bestFit="1"/>
    <col min="13" max="14" width="3.7109375" style="1" bestFit="1" customWidth="1"/>
    <col min="15" max="15" width="3.85546875" style="1" bestFit="1"/>
    <col min="16" max="16" width="4.5703125" style="1" bestFit="1" customWidth="1"/>
    <col min="17" max="17" width="3.85546875" style="1" bestFit="1"/>
    <col min="18" max="18" width="4.7109375" style="1" bestFit="1" customWidth="1"/>
    <col min="19" max="19" width="3.85546875" style="1" bestFit="1"/>
    <col min="20" max="21" width="3.7109375" style="1" bestFit="1" customWidth="1"/>
    <col min="22" max="23" width="6.7109375" style="1" bestFit="1" customWidth="1"/>
    <col min="24" max="24" width="21.140625" style="1" bestFit="1" customWidth="1"/>
    <col min="25" max="26" width="5.140625" style="1" bestFit="1" customWidth="1"/>
    <col min="27" max="27" width="5.42578125" style="1" bestFit="1" customWidth="1"/>
    <col min="28" max="16384" width="3.85546875" style="1"/>
  </cols>
  <sheetData>
    <row r="1" spans="1:27" ht="17.25" x14ac:dyDescent="0.25">
      <c r="A1" s="81" t="s">
        <v>321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</row>
    <row r="2" spans="1:27" ht="17.25" x14ac:dyDescent="0.3">
      <c r="A2" s="82" t="s">
        <v>18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</row>
    <row r="3" spans="1:27" ht="15.75" x14ac:dyDescent="0.25">
      <c r="A3" s="84" t="s">
        <v>0</v>
      </c>
      <c r="B3" s="84" t="s">
        <v>1</v>
      </c>
      <c r="C3" s="84" t="s">
        <v>2</v>
      </c>
      <c r="D3" s="84" t="s">
        <v>3</v>
      </c>
      <c r="E3" s="2" t="str">
        <f t="shared" ref="E3:U3" si="0">TEXT(E4,"ddd")</f>
        <v>Thu</v>
      </c>
      <c r="F3" s="2" t="str">
        <f t="shared" si="0"/>
        <v>Fri</v>
      </c>
      <c r="G3" s="2" t="str">
        <f t="shared" si="0"/>
        <v>Sat</v>
      </c>
      <c r="H3" s="2" t="str">
        <f t="shared" si="0"/>
        <v>Sun</v>
      </c>
      <c r="I3" s="2" t="str">
        <f t="shared" si="0"/>
        <v>Mon</v>
      </c>
      <c r="J3" s="2" t="str">
        <f t="shared" si="0"/>
        <v>Tue</v>
      </c>
      <c r="K3" s="2" t="str">
        <f t="shared" si="0"/>
        <v>Wed</v>
      </c>
      <c r="L3" s="2" t="str">
        <f t="shared" si="0"/>
        <v>Thu</v>
      </c>
      <c r="M3" s="2" t="str">
        <f t="shared" si="0"/>
        <v>Fri</v>
      </c>
      <c r="N3" s="2" t="str">
        <f t="shared" si="0"/>
        <v>Sat</v>
      </c>
      <c r="O3" s="2" t="str">
        <f t="shared" si="0"/>
        <v>Sun</v>
      </c>
      <c r="P3" s="2" t="str">
        <f t="shared" si="0"/>
        <v>Mon</v>
      </c>
      <c r="Q3" s="2" t="str">
        <f t="shared" si="0"/>
        <v>Tue</v>
      </c>
      <c r="R3" s="2" t="str">
        <f t="shared" si="0"/>
        <v>Wed</v>
      </c>
      <c r="S3" s="2" t="str">
        <f t="shared" si="0"/>
        <v>Thu</v>
      </c>
      <c r="T3" s="2" t="str">
        <f t="shared" si="0"/>
        <v>Fri</v>
      </c>
      <c r="U3" s="2" t="str">
        <f t="shared" si="0"/>
        <v>Sat</v>
      </c>
      <c r="V3" s="79" t="s">
        <v>4</v>
      </c>
      <c r="W3" s="79" t="s">
        <v>5</v>
      </c>
      <c r="X3" s="76" t="s">
        <v>210</v>
      </c>
      <c r="Y3" s="77"/>
      <c r="Z3" s="3"/>
      <c r="AA3" s="3"/>
    </row>
    <row r="4" spans="1:27" ht="36.75" x14ac:dyDescent="0.25">
      <c r="A4" s="85"/>
      <c r="B4" s="85"/>
      <c r="C4" s="85"/>
      <c r="D4" s="85"/>
      <c r="E4" s="17">
        <v>45519</v>
      </c>
      <c r="F4" s="17">
        <v>45520</v>
      </c>
      <c r="G4" s="17">
        <v>45521</v>
      </c>
      <c r="H4" s="17">
        <v>45522</v>
      </c>
      <c r="I4" s="17">
        <v>45523</v>
      </c>
      <c r="J4" s="17">
        <v>45524</v>
      </c>
      <c r="K4" s="17">
        <v>45525</v>
      </c>
      <c r="L4" s="17">
        <v>45526</v>
      </c>
      <c r="M4" s="17">
        <v>45527</v>
      </c>
      <c r="N4" s="17">
        <v>45528</v>
      </c>
      <c r="O4" s="17">
        <v>45529</v>
      </c>
      <c r="P4" s="17">
        <v>45530</v>
      </c>
      <c r="Q4" s="17">
        <v>45531</v>
      </c>
      <c r="R4" s="17">
        <v>45532</v>
      </c>
      <c r="S4" s="17">
        <v>45533</v>
      </c>
      <c r="T4" s="17">
        <v>45534</v>
      </c>
      <c r="U4" s="17">
        <v>45535</v>
      </c>
      <c r="V4" s="79"/>
      <c r="W4" s="79"/>
      <c r="X4" s="4" t="s">
        <v>315</v>
      </c>
      <c r="Y4" s="4">
        <f>SUM(Y5:Y11)</f>
        <v>31</v>
      </c>
      <c r="Z4" s="3"/>
      <c r="AA4" s="3"/>
    </row>
    <row r="5" spans="1:27" ht="15" customHeight="1" x14ac:dyDescent="0.25">
      <c r="A5" s="11">
        <v>1</v>
      </c>
      <c r="B5" s="6" t="s">
        <v>322</v>
      </c>
      <c r="C5" s="6" t="s">
        <v>323</v>
      </c>
      <c r="D5" s="9" t="s">
        <v>324</v>
      </c>
      <c r="E5" s="10" t="s">
        <v>103</v>
      </c>
      <c r="F5" s="10" t="s">
        <v>103</v>
      </c>
      <c r="G5" s="10" t="s">
        <v>103</v>
      </c>
      <c r="H5" s="86" t="s">
        <v>108</v>
      </c>
      <c r="I5" s="10" t="s">
        <v>103</v>
      </c>
      <c r="J5" s="88" t="s">
        <v>325</v>
      </c>
      <c r="K5" s="10" t="s">
        <v>104</v>
      </c>
      <c r="L5" s="10" t="s">
        <v>104</v>
      </c>
      <c r="M5" s="10" t="s">
        <v>104</v>
      </c>
      <c r="N5" s="10" t="s">
        <v>104</v>
      </c>
      <c r="O5" s="86" t="s">
        <v>108</v>
      </c>
      <c r="P5" s="88" t="s">
        <v>326</v>
      </c>
      <c r="Q5" s="10" t="s">
        <v>103</v>
      </c>
      <c r="R5" s="10" t="s">
        <v>103</v>
      </c>
      <c r="S5" s="10" t="s">
        <v>103</v>
      </c>
      <c r="T5" s="88" t="s">
        <v>327</v>
      </c>
      <c r="U5" s="10"/>
      <c r="V5" s="4">
        <f t="shared" ref="V5:V52" si="1">COUNTIF(E5:U5,"P")</f>
        <v>4</v>
      </c>
      <c r="W5" s="4">
        <f t="shared" ref="W5:W52" si="2">COUNTIF(E5:U5,"A")</f>
        <v>7</v>
      </c>
      <c r="X5" s="4" t="s">
        <v>7</v>
      </c>
      <c r="Y5" s="11">
        <v>11</v>
      </c>
      <c r="Z5" s="12"/>
      <c r="AA5" s="3"/>
    </row>
    <row r="6" spans="1:27" ht="20.25" customHeight="1" x14ac:dyDescent="0.25">
      <c r="A6" s="11">
        <v>2</v>
      </c>
      <c r="B6" s="6" t="s">
        <v>328</v>
      </c>
      <c r="C6" s="6" t="s">
        <v>329</v>
      </c>
      <c r="D6" s="9" t="s">
        <v>324</v>
      </c>
      <c r="E6" s="10" t="s">
        <v>104</v>
      </c>
      <c r="F6" s="10" t="s">
        <v>104</v>
      </c>
      <c r="G6" s="10" t="s">
        <v>104</v>
      </c>
      <c r="H6" s="87"/>
      <c r="I6" s="10" t="s">
        <v>104</v>
      </c>
      <c r="J6" s="89"/>
      <c r="K6" s="10" t="s">
        <v>104</v>
      </c>
      <c r="L6" s="10" t="s">
        <v>104</v>
      </c>
      <c r="M6" s="10" t="s">
        <v>104</v>
      </c>
      <c r="N6" s="10" t="s">
        <v>104</v>
      </c>
      <c r="O6" s="87"/>
      <c r="P6" s="89"/>
      <c r="Q6" s="10" t="s">
        <v>104</v>
      </c>
      <c r="R6" s="10" t="s">
        <v>103</v>
      </c>
      <c r="S6" s="10" t="s">
        <v>104</v>
      </c>
      <c r="T6" s="89"/>
      <c r="U6" s="10"/>
      <c r="V6" s="4">
        <f t="shared" si="1"/>
        <v>10</v>
      </c>
      <c r="W6" s="4">
        <f t="shared" si="2"/>
        <v>1</v>
      </c>
      <c r="X6" s="4" t="s">
        <v>8</v>
      </c>
      <c r="Y6" s="11">
        <v>4</v>
      </c>
      <c r="Z6" s="3"/>
      <c r="AA6" s="3"/>
    </row>
    <row r="7" spans="1:27" x14ac:dyDescent="0.25">
      <c r="A7" s="11">
        <v>3</v>
      </c>
      <c r="B7" s="6" t="s">
        <v>330</v>
      </c>
      <c r="C7" s="6" t="s">
        <v>232</v>
      </c>
      <c r="D7" s="9" t="s">
        <v>324</v>
      </c>
      <c r="E7" s="10" t="s">
        <v>104</v>
      </c>
      <c r="F7" s="10" t="s">
        <v>104</v>
      </c>
      <c r="G7" s="10" t="s">
        <v>104</v>
      </c>
      <c r="H7" s="87"/>
      <c r="I7" s="10" t="s">
        <v>104</v>
      </c>
      <c r="J7" s="89"/>
      <c r="K7" s="10" t="s">
        <v>104</v>
      </c>
      <c r="L7" s="10" t="s">
        <v>104</v>
      </c>
      <c r="M7" s="10" t="s">
        <v>104</v>
      </c>
      <c r="N7" s="10" t="s">
        <v>103</v>
      </c>
      <c r="O7" s="87"/>
      <c r="P7" s="89"/>
      <c r="Q7" s="10" t="s">
        <v>103</v>
      </c>
      <c r="R7" s="10" t="s">
        <v>103</v>
      </c>
      <c r="S7" s="10" t="s">
        <v>103</v>
      </c>
      <c r="T7" s="89"/>
      <c r="U7" s="10"/>
      <c r="V7" s="4">
        <f t="shared" si="1"/>
        <v>7</v>
      </c>
      <c r="W7" s="4">
        <f t="shared" si="2"/>
        <v>4</v>
      </c>
      <c r="X7" s="4" t="s">
        <v>313</v>
      </c>
      <c r="Y7" s="11">
        <v>12</v>
      </c>
      <c r="Z7" s="3"/>
      <c r="AA7" s="3"/>
    </row>
    <row r="8" spans="1:27" x14ac:dyDescent="0.25">
      <c r="A8" s="11">
        <v>4</v>
      </c>
      <c r="B8" s="6" t="s">
        <v>331</v>
      </c>
      <c r="C8" s="6" t="s">
        <v>332</v>
      </c>
      <c r="D8" s="9" t="s">
        <v>324</v>
      </c>
      <c r="E8" s="10" t="s">
        <v>104</v>
      </c>
      <c r="F8" s="10" t="s">
        <v>104</v>
      </c>
      <c r="G8" s="10" t="s">
        <v>104</v>
      </c>
      <c r="H8" s="87"/>
      <c r="I8" s="10" t="s">
        <v>104</v>
      </c>
      <c r="J8" s="89"/>
      <c r="K8" s="10" t="s">
        <v>104</v>
      </c>
      <c r="L8" s="10" t="s">
        <v>104</v>
      </c>
      <c r="M8" s="10" t="s">
        <v>104</v>
      </c>
      <c r="N8" s="10" t="s">
        <v>103</v>
      </c>
      <c r="O8" s="87"/>
      <c r="P8" s="89"/>
      <c r="Q8" s="10" t="s">
        <v>103</v>
      </c>
      <c r="R8" s="10" t="s">
        <v>103</v>
      </c>
      <c r="S8" s="10" t="s">
        <v>104</v>
      </c>
      <c r="T8" s="89"/>
      <c r="U8" s="10"/>
      <c r="V8" s="4">
        <f t="shared" si="1"/>
        <v>8</v>
      </c>
      <c r="W8" s="4">
        <f t="shared" si="2"/>
        <v>3</v>
      </c>
      <c r="X8" s="4" t="s">
        <v>310</v>
      </c>
      <c r="Y8" s="11">
        <v>1</v>
      </c>
      <c r="Z8"/>
      <c r="AA8"/>
    </row>
    <row r="9" spans="1:27" x14ac:dyDescent="0.25">
      <c r="A9" s="11">
        <v>5</v>
      </c>
      <c r="B9" s="6" t="s">
        <v>217</v>
      </c>
      <c r="C9" s="6" t="s">
        <v>27</v>
      </c>
      <c r="D9" s="9" t="s">
        <v>324</v>
      </c>
      <c r="E9" s="10" t="s">
        <v>104</v>
      </c>
      <c r="F9" s="10" t="s">
        <v>104</v>
      </c>
      <c r="G9" s="10" t="s">
        <v>104</v>
      </c>
      <c r="H9" s="87"/>
      <c r="I9" s="10" t="s">
        <v>104</v>
      </c>
      <c r="J9" s="89"/>
      <c r="K9" s="10" t="s">
        <v>104</v>
      </c>
      <c r="L9" s="10" t="s">
        <v>104</v>
      </c>
      <c r="M9" s="10" t="s">
        <v>104</v>
      </c>
      <c r="N9" s="10" t="s">
        <v>103</v>
      </c>
      <c r="O9" s="87"/>
      <c r="P9" s="89"/>
      <c r="Q9" s="10" t="s">
        <v>104</v>
      </c>
      <c r="R9" s="10" t="s">
        <v>103</v>
      </c>
      <c r="S9" s="10" t="s">
        <v>104</v>
      </c>
      <c r="T9" s="89"/>
      <c r="U9" s="10"/>
      <c r="V9" s="4">
        <f t="shared" si="1"/>
        <v>9</v>
      </c>
      <c r="W9" s="4">
        <f t="shared" si="2"/>
        <v>2</v>
      </c>
      <c r="X9" s="4" t="s">
        <v>314</v>
      </c>
      <c r="Y9" s="11">
        <v>1</v>
      </c>
      <c r="Z9"/>
      <c r="AA9"/>
    </row>
    <row r="10" spans="1:27" x14ac:dyDescent="0.25">
      <c r="A10" s="11">
        <v>6</v>
      </c>
      <c r="B10" s="6" t="s">
        <v>255</v>
      </c>
      <c r="C10" s="6" t="s">
        <v>333</v>
      </c>
      <c r="D10" s="9" t="s">
        <v>324</v>
      </c>
      <c r="E10" s="10" t="s">
        <v>104</v>
      </c>
      <c r="F10" s="10" t="s">
        <v>104</v>
      </c>
      <c r="G10" s="10" t="s">
        <v>104</v>
      </c>
      <c r="H10" s="87"/>
      <c r="I10" s="10" t="s">
        <v>104</v>
      </c>
      <c r="J10" s="89"/>
      <c r="K10" s="10" t="s">
        <v>104</v>
      </c>
      <c r="L10" s="10" t="s">
        <v>104</v>
      </c>
      <c r="M10" s="10" t="s">
        <v>104</v>
      </c>
      <c r="N10" s="10" t="s">
        <v>103</v>
      </c>
      <c r="O10" s="87"/>
      <c r="P10" s="89"/>
      <c r="Q10" s="10" t="s">
        <v>103</v>
      </c>
      <c r="R10" s="10" t="s">
        <v>103</v>
      </c>
      <c r="S10" s="10" t="s">
        <v>103</v>
      </c>
      <c r="T10" s="89"/>
      <c r="U10" s="10"/>
      <c r="V10" s="4">
        <f t="shared" si="1"/>
        <v>7</v>
      </c>
      <c r="W10" s="4">
        <f t="shared" si="2"/>
        <v>4</v>
      </c>
      <c r="X10" s="4" t="s">
        <v>311</v>
      </c>
      <c r="Y10" s="11">
        <v>1</v>
      </c>
      <c r="Z10"/>
      <c r="AA10"/>
    </row>
    <row r="11" spans="1:27" x14ac:dyDescent="0.25">
      <c r="A11" s="11">
        <v>7</v>
      </c>
      <c r="B11" s="6" t="s">
        <v>125</v>
      </c>
      <c r="C11" s="6" t="s">
        <v>270</v>
      </c>
      <c r="D11" s="9" t="s">
        <v>324</v>
      </c>
      <c r="E11" s="10" t="s">
        <v>104</v>
      </c>
      <c r="F11" s="10" t="s">
        <v>104</v>
      </c>
      <c r="G11" s="10" t="s">
        <v>104</v>
      </c>
      <c r="H11" s="87"/>
      <c r="I11" s="10" t="s">
        <v>104</v>
      </c>
      <c r="J11" s="89"/>
      <c r="K11" s="10" t="s">
        <v>104</v>
      </c>
      <c r="L11" s="10" t="s">
        <v>104</v>
      </c>
      <c r="M11" s="10" t="s">
        <v>104</v>
      </c>
      <c r="N11" s="10" t="s">
        <v>103</v>
      </c>
      <c r="O11" s="87"/>
      <c r="P11" s="89"/>
      <c r="Q11" s="10" t="s">
        <v>104</v>
      </c>
      <c r="R11" s="10" t="s">
        <v>103</v>
      </c>
      <c r="S11" s="10" t="s">
        <v>104</v>
      </c>
      <c r="T11" s="89"/>
      <c r="U11" s="10"/>
      <c r="V11" s="4">
        <f t="shared" si="1"/>
        <v>9</v>
      </c>
      <c r="W11" s="4">
        <f t="shared" si="2"/>
        <v>2</v>
      </c>
      <c r="X11" s="4" t="s">
        <v>312</v>
      </c>
      <c r="Y11" s="11">
        <v>1</v>
      </c>
      <c r="Z11"/>
      <c r="AA11"/>
    </row>
    <row r="12" spans="1:27" x14ac:dyDescent="0.25">
      <c r="A12" s="11">
        <v>8</v>
      </c>
      <c r="B12" s="6" t="s">
        <v>89</v>
      </c>
      <c r="C12" s="6" t="s">
        <v>270</v>
      </c>
      <c r="D12" s="9" t="s">
        <v>324</v>
      </c>
      <c r="E12" s="10" t="s">
        <v>104</v>
      </c>
      <c r="F12" s="10" t="s">
        <v>104</v>
      </c>
      <c r="G12" s="10" t="s">
        <v>104</v>
      </c>
      <c r="H12" s="87"/>
      <c r="I12" s="10" t="s">
        <v>104</v>
      </c>
      <c r="J12" s="89"/>
      <c r="K12" s="10" t="s">
        <v>104</v>
      </c>
      <c r="L12" s="10" t="s">
        <v>104</v>
      </c>
      <c r="M12" s="10" t="s">
        <v>104</v>
      </c>
      <c r="N12" s="10" t="s">
        <v>103</v>
      </c>
      <c r="O12" s="87"/>
      <c r="P12" s="89"/>
      <c r="Q12" s="10" t="s">
        <v>104</v>
      </c>
      <c r="R12" s="10" t="s">
        <v>103</v>
      </c>
      <c r="S12" s="10" t="s">
        <v>104</v>
      </c>
      <c r="T12" s="89"/>
      <c r="U12" s="10"/>
      <c r="V12" s="4">
        <f t="shared" si="1"/>
        <v>9</v>
      </c>
      <c r="W12" s="4">
        <f t="shared" si="2"/>
        <v>2</v>
      </c>
      <c r="X12"/>
      <c r="Y12"/>
      <c r="Z12"/>
      <c r="AA12"/>
    </row>
    <row r="13" spans="1:27" ht="15.75" x14ac:dyDescent="0.25">
      <c r="A13" s="11">
        <v>9</v>
      </c>
      <c r="B13" s="6" t="s">
        <v>334</v>
      </c>
      <c r="C13" s="6" t="s">
        <v>250</v>
      </c>
      <c r="D13" s="9" t="s">
        <v>324</v>
      </c>
      <c r="E13" s="10" t="s">
        <v>104</v>
      </c>
      <c r="F13" s="10" t="s">
        <v>104</v>
      </c>
      <c r="G13" s="10" t="s">
        <v>104</v>
      </c>
      <c r="H13" s="87"/>
      <c r="I13" s="10" t="s">
        <v>104</v>
      </c>
      <c r="J13" s="89"/>
      <c r="K13" s="10" t="s">
        <v>104</v>
      </c>
      <c r="L13" s="10" t="s">
        <v>104</v>
      </c>
      <c r="M13" s="10" t="s">
        <v>104</v>
      </c>
      <c r="N13" s="10" t="s">
        <v>103</v>
      </c>
      <c r="O13" s="87"/>
      <c r="P13" s="89"/>
      <c r="Q13" s="10" t="s">
        <v>103</v>
      </c>
      <c r="R13" s="10" t="s">
        <v>103</v>
      </c>
      <c r="S13" s="10" t="s">
        <v>104</v>
      </c>
      <c r="T13" s="89"/>
      <c r="U13" s="10"/>
      <c r="V13" s="4">
        <f t="shared" si="1"/>
        <v>8</v>
      </c>
      <c r="W13" s="4">
        <f t="shared" si="2"/>
        <v>3</v>
      </c>
      <c r="X13" s="76" t="s">
        <v>9</v>
      </c>
      <c r="Y13" s="77"/>
      <c r="Z13" s="77"/>
      <c r="AA13" s="78"/>
    </row>
    <row r="14" spans="1:27" x14ac:dyDescent="0.25">
      <c r="A14" s="11">
        <v>10</v>
      </c>
      <c r="B14" s="6" t="s">
        <v>335</v>
      </c>
      <c r="C14" s="6" t="s">
        <v>23</v>
      </c>
      <c r="D14" s="9" t="s">
        <v>324</v>
      </c>
      <c r="E14" s="10" t="s">
        <v>103</v>
      </c>
      <c r="F14" s="10" t="s">
        <v>103</v>
      </c>
      <c r="G14" s="10" t="s">
        <v>104</v>
      </c>
      <c r="H14" s="87"/>
      <c r="I14" s="10" t="s">
        <v>104</v>
      </c>
      <c r="J14" s="89"/>
      <c r="K14" s="10" t="s">
        <v>103</v>
      </c>
      <c r="L14" s="10" t="s">
        <v>104</v>
      </c>
      <c r="M14" s="10" t="s">
        <v>104</v>
      </c>
      <c r="N14" s="10" t="s">
        <v>103</v>
      </c>
      <c r="O14" s="87"/>
      <c r="P14" s="89"/>
      <c r="Q14" s="10" t="s">
        <v>104</v>
      </c>
      <c r="R14" s="10" t="s">
        <v>103</v>
      </c>
      <c r="S14" s="10" t="s">
        <v>103</v>
      </c>
      <c r="T14" s="89"/>
      <c r="U14" s="10"/>
      <c r="V14" s="4">
        <f t="shared" si="1"/>
        <v>5</v>
      </c>
      <c r="W14" s="4">
        <f t="shared" si="2"/>
        <v>6</v>
      </c>
      <c r="X14" s="4" t="s">
        <v>10</v>
      </c>
      <c r="Y14" s="4" t="s">
        <v>11</v>
      </c>
      <c r="Z14" s="4" t="s">
        <v>12</v>
      </c>
      <c r="AA14" s="4" t="s">
        <v>13</v>
      </c>
    </row>
    <row r="15" spans="1:27" x14ac:dyDescent="0.25">
      <c r="A15" s="11">
        <v>11</v>
      </c>
      <c r="B15" s="6" t="s">
        <v>26</v>
      </c>
      <c r="C15" s="6" t="s">
        <v>281</v>
      </c>
      <c r="D15" s="9" t="s">
        <v>324</v>
      </c>
      <c r="E15" s="10" t="s">
        <v>112</v>
      </c>
      <c r="F15" s="10" t="s">
        <v>112</v>
      </c>
      <c r="G15" s="10" t="s">
        <v>112</v>
      </c>
      <c r="H15" s="87"/>
      <c r="I15" s="10" t="s">
        <v>104</v>
      </c>
      <c r="J15" s="89"/>
      <c r="K15" s="10" t="s">
        <v>104</v>
      </c>
      <c r="L15" s="10" t="s">
        <v>104</v>
      </c>
      <c r="M15" s="10" t="s">
        <v>103</v>
      </c>
      <c r="N15" s="10" t="s">
        <v>103</v>
      </c>
      <c r="O15" s="87"/>
      <c r="P15" s="89"/>
      <c r="Q15" s="10" t="s">
        <v>104</v>
      </c>
      <c r="R15" s="10" t="s">
        <v>103</v>
      </c>
      <c r="S15" s="10" t="s">
        <v>103</v>
      </c>
      <c r="T15" s="89"/>
      <c r="U15" s="10"/>
      <c r="V15" s="4">
        <f t="shared" si="1"/>
        <v>4</v>
      </c>
      <c r="W15" s="4">
        <f t="shared" si="2"/>
        <v>4</v>
      </c>
      <c r="X15" s="4" t="s">
        <v>14</v>
      </c>
      <c r="Y15" s="11">
        <f>26*11</f>
        <v>286</v>
      </c>
      <c r="Z15" s="11">
        <f>22*11</f>
        <v>242</v>
      </c>
      <c r="AA15" s="11">
        <f>SUM(Y15:Z15)</f>
        <v>528</v>
      </c>
    </row>
    <row r="16" spans="1:27" x14ac:dyDescent="0.25">
      <c r="A16" s="11">
        <v>12</v>
      </c>
      <c r="B16" s="6" t="s">
        <v>336</v>
      </c>
      <c r="C16" s="6" t="s">
        <v>337</v>
      </c>
      <c r="D16" s="9" t="s">
        <v>324</v>
      </c>
      <c r="E16" s="10" t="s">
        <v>104</v>
      </c>
      <c r="F16" s="10" t="s">
        <v>104</v>
      </c>
      <c r="G16" s="10" t="s">
        <v>104</v>
      </c>
      <c r="H16" s="87"/>
      <c r="I16" s="10" t="s">
        <v>104</v>
      </c>
      <c r="J16" s="89"/>
      <c r="K16" s="10" t="s">
        <v>103</v>
      </c>
      <c r="L16" s="10" t="s">
        <v>104</v>
      </c>
      <c r="M16" s="10" t="s">
        <v>104</v>
      </c>
      <c r="N16" s="10" t="s">
        <v>103</v>
      </c>
      <c r="O16" s="87"/>
      <c r="P16" s="89"/>
      <c r="Q16" s="10" t="s">
        <v>103</v>
      </c>
      <c r="R16" s="10" t="s">
        <v>104</v>
      </c>
      <c r="S16" s="10" t="s">
        <v>104</v>
      </c>
      <c r="T16" s="89"/>
      <c r="U16" s="10"/>
      <c r="V16" s="4">
        <f t="shared" si="1"/>
        <v>8</v>
      </c>
      <c r="W16" s="4">
        <f t="shared" si="2"/>
        <v>3</v>
      </c>
      <c r="X16" s="4" t="s">
        <v>15</v>
      </c>
      <c r="Y16" s="11">
        <f>SUM(V27:V52)</f>
        <v>220</v>
      </c>
      <c r="Z16" s="11">
        <f>SUM(V5:V26)</f>
        <v>159</v>
      </c>
      <c r="AA16" s="11">
        <f>Y16+Z16</f>
        <v>379</v>
      </c>
    </row>
    <row r="17" spans="1:27" x14ac:dyDescent="0.25">
      <c r="A17" s="11">
        <v>13</v>
      </c>
      <c r="B17" s="6" t="s">
        <v>338</v>
      </c>
      <c r="C17" s="6" t="s">
        <v>126</v>
      </c>
      <c r="D17" s="9" t="s">
        <v>324</v>
      </c>
      <c r="E17" s="10" t="s">
        <v>103</v>
      </c>
      <c r="F17" s="10" t="s">
        <v>103</v>
      </c>
      <c r="G17" s="10" t="s">
        <v>104</v>
      </c>
      <c r="H17" s="87"/>
      <c r="I17" s="10" t="s">
        <v>104</v>
      </c>
      <c r="J17" s="89"/>
      <c r="K17" s="10" t="s">
        <v>104</v>
      </c>
      <c r="L17" s="10" t="s">
        <v>104</v>
      </c>
      <c r="M17" s="10" t="s">
        <v>104</v>
      </c>
      <c r="N17" s="10" t="s">
        <v>103</v>
      </c>
      <c r="O17" s="87"/>
      <c r="P17" s="89"/>
      <c r="Q17" s="10" t="s">
        <v>103</v>
      </c>
      <c r="R17" s="10" t="s">
        <v>103</v>
      </c>
      <c r="S17" s="10" t="s">
        <v>103</v>
      </c>
      <c r="T17" s="89"/>
      <c r="U17" s="10"/>
      <c r="V17" s="4">
        <f t="shared" si="1"/>
        <v>5</v>
      </c>
      <c r="W17" s="4">
        <f t="shared" si="2"/>
        <v>6</v>
      </c>
      <c r="X17" s="4" t="s">
        <v>16</v>
      </c>
      <c r="Y17" s="15">
        <f>Y16/Y15</f>
        <v>0.76923076923076927</v>
      </c>
      <c r="Z17" s="15">
        <f>Z16/Z15</f>
        <v>0.65702479338842978</v>
      </c>
      <c r="AA17" s="15">
        <f>AA16/AA15</f>
        <v>0.71780303030303028</v>
      </c>
    </row>
    <row r="18" spans="1:27" x14ac:dyDescent="0.25">
      <c r="A18" s="11">
        <v>14</v>
      </c>
      <c r="B18" s="6" t="s">
        <v>339</v>
      </c>
      <c r="C18" s="6" t="s">
        <v>340</v>
      </c>
      <c r="D18" s="9" t="s">
        <v>324</v>
      </c>
      <c r="E18" s="10" t="s">
        <v>103</v>
      </c>
      <c r="F18" s="10" t="s">
        <v>103</v>
      </c>
      <c r="G18" s="10" t="s">
        <v>103</v>
      </c>
      <c r="H18" s="87"/>
      <c r="I18" s="10" t="s">
        <v>104</v>
      </c>
      <c r="J18" s="89"/>
      <c r="K18" s="10" t="s">
        <v>104</v>
      </c>
      <c r="L18" s="10" t="s">
        <v>104</v>
      </c>
      <c r="M18" s="10" t="s">
        <v>104</v>
      </c>
      <c r="N18" s="10" t="s">
        <v>103</v>
      </c>
      <c r="O18" s="87"/>
      <c r="P18" s="89"/>
      <c r="Q18" s="10" t="s">
        <v>103</v>
      </c>
      <c r="R18" s="10" t="s">
        <v>103</v>
      </c>
      <c r="S18" s="10" t="s">
        <v>103</v>
      </c>
      <c r="T18" s="89"/>
      <c r="U18" s="10"/>
      <c r="V18" s="4">
        <f t="shared" si="1"/>
        <v>4</v>
      </c>
      <c r="W18" s="4">
        <f t="shared" si="2"/>
        <v>7</v>
      </c>
      <c r="X18"/>
      <c r="Y18"/>
      <c r="Z18"/>
      <c r="AA18"/>
    </row>
    <row r="19" spans="1:27" x14ac:dyDescent="0.25">
      <c r="A19" s="11">
        <v>15</v>
      </c>
      <c r="B19" s="6" t="s">
        <v>341</v>
      </c>
      <c r="C19" s="6" t="s">
        <v>342</v>
      </c>
      <c r="D19" s="9" t="s">
        <v>324</v>
      </c>
      <c r="E19" s="10" t="s">
        <v>103</v>
      </c>
      <c r="F19" s="10" t="s">
        <v>103</v>
      </c>
      <c r="G19" s="10" t="s">
        <v>104</v>
      </c>
      <c r="H19" s="87"/>
      <c r="I19" s="10" t="s">
        <v>104</v>
      </c>
      <c r="J19" s="89"/>
      <c r="K19" s="10" t="s">
        <v>104</v>
      </c>
      <c r="L19" s="10" t="s">
        <v>104</v>
      </c>
      <c r="M19" s="10" t="s">
        <v>104</v>
      </c>
      <c r="N19" s="10" t="s">
        <v>104</v>
      </c>
      <c r="O19" s="87"/>
      <c r="P19" s="89"/>
      <c r="Q19" s="10" t="s">
        <v>104</v>
      </c>
      <c r="R19" s="10" t="s">
        <v>103</v>
      </c>
      <c r="S19" s="10" t="s">
        <v>104</v>
      </c>
      <c r="T19" s="89"/>
      <c r="U19" s="10"/>
      <c r="V19" s="4">
        <f t="shared" si="1"/>
        <v>8</v>
      </c>
      <c r="W19" s="4">
        <f t="shared" si="2"/>
        <v>3</v>
      </c>
      <c r="X19"/>
      <c r="Y19"/>
      <c r="Z19"/>
      <c r="AA19"/>
    </row>
    <row r="20" spans="1:27" x14ac:dyDescent="0.25">
      <c r="A20" s="11">
        <v>16</v>
      </c>
      <c r="B20" s="6" t="s">
        <v>343</v>
      </c>
      <c r="C20" s="6" t="s">
        <v>344</v>
      </c>
      <c r="D20" s="9" t="s">
        <v>324</v>
      </c>
      <c r="E20" s="10" t="s">
        <v>103</v>
      </c>
      <c r="F20" s="10" t="s">
        <v>103</v>
      </c>
      <c r="G20" s="10" t="s">
        <v>104</v>
      </c>
      <c r="H20" s="87"/>
      <c r="I20" s="10" t="s">
        <v>104</v>
      </c>
      <c r="J20" s="89"/>
      <c r="K20" s="10" t="s">
        <v>104</v>
      </c>
      <c r="L20" s="10" t="s">
        <v>104</v>
      </c>
      <c r="M20" s="10" t="s">
        <v>104</v>
      </c>
      <c r="N20" s="10" t="s">
        <v>103</v>
      </c>
      <c r="O20" s="87"/>
      <c r="P20" s="89"/>
      <c r="Q20" s="10" t="s">
        <v>103</v>
      </c>
      <c r="R20" s="10" t="s">
        <v>103</v>
      </c>
      <c r="S20" s="10" t="s">
        <v>104</v>
      </c>
      <c r="T20" s="89"/>
      <c r="U20" s="10"/>
      <c r="V20" s="4">
        <f t="shared" si="1"/>
        <v>6</v>
      </c>
      <c r="W20" s="4">
        <f t="shared" si="2"/>
        <v>5</v>
      </c>
      <c r="X20"/>
      <c r="Y20"/>
      <c r="Z20"/>
      <c r="AA20"/>
    </row>
    <row r="21" spans="1:27" ht="15.75" x14ac:dyDescent="0.25">
      <c r="A21" s="11">
        <v>17</v>
      </c>
      <c r="B21" s="6" t="s">
        <v>345</v>
      </c>
      <c r="C21" s="6" t="s">
        <v>126</v>
      </c>
      <c r="D21" s="9" t="s">
        <v>324</v>
      </c>
      <c r="E21" s="10" t="s">
        <v>103</v>
      </c>
      <c r="F21" s="10" t="s">
        <v>103</v>
      </c>
      <c r="G21" s="10" t="s">
        <v>104</v>
      </c>
      <c r="H21" s="87"/>
      <c r="I21" s="10" t="s">
        <v>104</v>
      </c>
      <c r="J21" s="89"/>
      <c r="K21" s="10" t="s">
        <v>104</v>
      </c>
      <c r="L21" s="10" t="s">
        <v>104</v>
      </c>
      <c r="M21" s="10" t="s">
        <v>104</v>
      </c>
      <c r="N21" s="10" t="s">
        <v>104</v>
      </c>
      <c r="O21" s="87"/>
      <c r="P21" s="89"/>
      <c r="Q21" s="10" t="s">
        <v>104</v>
      </c>
      <c r="R21" s="10" t="s">
        <v>103</v>
      </c>
      <c r="S21" s="10" t="s">
        <v>104</v>
      </c>
      <c r="T21" s="89"/>
      <c r="U21" s="10"/>
      <c r="V21" s="4">
        <f t="shared" si="1"/>
        <v>8</v>
      </c>
      <c r="W21" s="4">
        <f t="shared" si="2"/>
        <v>3</v>
      </c>
      <c r="X21" s="76" t="s">
        <v>316</v>
      </c>
      <c r="Y21" s="77"/>
      <c r="Z21" s="77"/>
      <c r="AA21" s="78"/>
    </row>
    <row r="22" spans="1:27" x14ac:dyDescent="0.25">
      <c r="A22" s="11">
        <v>18</v>
      </c>
      <c r="B22" s="6" t="s">
        <v>346</v>
      </c>
      <c r="C22" s="6" t="s">
        <v>122</v>
      </c>
      <c r="D22" s="9" t="s">
        <v>324</v>
      </c>
      <c r="E22" s="10" t="s">
        <v>103</v>
      </c>
      <c r="F22" s="10" t="s">
        <v>103</v>
      </c>
      <c r="G22" s="10" t="s">
        <v>104</v>
      </c>
      <c r="H22" s="87"/>
      <c r="I22" s="10" t="s">
        <v>104</v>
      </c>
      <c r="J22" s="89"/>
      <c r="K22" s="10" t="s">
        <v>104</v>
      </c>
      <c r="L22" s="10" t="s">
        <v>104</v>
      </c>
      <c r="M22" s="10" t="s">
        <v>104</v>
      </c>
      <c r="N22" s="10" t="s">
        <v>103</v>
      </c>
      <c r="O22" s="87"/>
      <c r="P22" s="89"/>
      <c r="Q22" s="10" t="s">
        <v>104</v>
      </c>
      <c r="R22" s="10" t="s">
        <v>103</v>
      </c>
      <c r="S22" s="10" t="s">
        <v>104</v>
      </c>
      <c r="T22" s="89"/>
      <c r="U22" s="10"/>
      <c r="V22" s="4">
        <f t="shared" si="1"/>
        <v>7</v>
      </c>
      <c r="W22" s="4">
        <f t="shared" si="2"/>
        <v>4</v>
      </c>
      <c r="X22" s="4" t="s">
        <v>10</v>
      </c>
      <c r="Y22" s="4" t="s">
        <v>11</v>
      </c>
      <c r="Z22" s="4" t="s">
        <v>12</v>
      </c>
      <c r="AA22" s="4" t="s">
        <v>13</v>
      </c>
    </row>
    <row r="23" spans="1:27" x14ac:dyDescent="0.25">
      <c r="A23" s="11">
        <v>19</v>
      </c>
      <c r="B23" s="6" t="s">
        <v>347</v>
      </c>
      <c r="C23" s="6" t="s">
        <v>124</v>
      </c>
      <c r="D23" s="9" t="s">
        <v>324</v>
      </c>
      <c r="E23" s="10" t="s">
        <v>103</v>
      </c>
      <c r="F23" s="10" t="s">
        <v>104</v>
      </c>
      <c r="G23" s="10" t="s">
        <v>104</v>
      </c>
      <c r="H23" s="87"/>
      <c r="I23" s="10" t="s">
        <v>104</v>
      </c>
      <c r="J23" s="89"/>
      <c r="K23" s="10" t="s">
        <v>104</v>
      </c>
      <c r="L23" s="10" t="s">
        <v>103</v>
      </c>
      <c r="M23" s="10" t="s">
        <v>104</v>
      </c>
      <c r="N23" s="10" t="s">
        <v>103</v>
      </c>
      <c r="O23" s="87"/>
      <c r="P23" s="89"/>
      <c r="Q23" s="10" t="s">
        <v>104</v>
      </c>
      <c r="R23" s="10" t="s">
        <v>103</v>
      </c>
      <c r="S23" s="10" t="s">
        <v>104</v>
      </c>
      <c r="T23" s="89"/>
      <c r="U23" s="10"/>
      <c r="V23" s="4">
        <f t="shared" si="1"/>
        <v>7</v>
      </c>
      <c r="W23" s="4">
        <f t="shared" si="2"/>
        <v>4</v>
      </c>
      <c r="X23" s="4" t="s">
        <v>14</v>
      </c>
      <c r="Y23" s="11">
        <f>26*11</f>
        <v>286</v>
      </c>
      <c r="Z23" s="11">
        <f>22*11</f>
        <v>242</v>
      </c>
      <c r="AA23" s="11">
        <f>Y23+Z23</f>
        <v>528</v>
      </c>
    </row>
    <row r="24" spans="1:27" x14ac:dyDescent="0.25">
      <c r="A24" s="11">
        <v>20</v>
      </c>
      <c r="B24" s="6" t="s">
        <v>248</v>
      </c>
      <c r="C24" s="6" t="s">
        <v>169</v>
      </c>
      <c r="D24" s="9" t="s">
        <v>324</v>
      </c>
      <c r="E24" s="10" t="s">
        <v>103</v>
      </c>
      <c r="F24" s="10" t="s">
        <v>104</v>
      </c>
      <c r="G24" s="10" t="s">
        <v>104</v>
      </c>
      <c r="H24" s="87"/>
      <c r="I24" s="10" t="s">
        <v>104</v>
      </c>
      <c r="J24" s="89"/>
      <c r="K24" s="10" t="s">
        <v>104</v>
      </c>
      <c r="L24" s="10" t="s">
        <v>104</v>
      </c>
      <c r="M24" s="10" t="s">
        <v>104</v>
      </c>
      <c r="N24" s="10" t="s">
        <v>104</v>
      </c>
      <c r="O24" s="87"/>
      <c r="P24" s="89"/>
      <c r="Q24" s="10" t="s">
        <v>104</v>
      </c>
      <c r="R24" s="10" t="s">
        <v>104</v>
      </c>
      <c r="S24" s="10" t="s">
        <v>104</v>
      </c>
      <c r="T24" s="89"/>
      <c r="U24" s="10"/>
      <c r="V24" s="4">
        <f t="shared" si="1"/>
        <v>10</v>
      </c>
      <c r="W24" s="4">
        <f t="shared" si="2"/>
        <v>1</v>
      </c>
      <c r="X24" s="4" t="s">
        <v>17</v>
      </c>
      <c r="Y24" s="11">
        <f>Y23-Y16</f>
        <v>66</v>
      </c>
      <c r="Z24" s="11">
        <f>Z23-Z16</f>
        <v>83</v>
      </c>
      <c r="AA24" s="11">
        <f>Y24+Z24</f>
        <v>149</v>
      </c>
    </row>
    <row r="25" spans="1:27" x14ac:dyDescent="0.25">
      <c r="A25" s="11">
        <v>21</v>
      </c>
      <c r="B25" s="6" t="s">
        <v>348</v>
      </c>
      <c r="C25" s="6" t="s">
        <v>349</v>
      </c>
      <c r="D25" s="9" t="s">
        <v>324</v>
      </c>
      <c r="E25" s="10" t="s">
        <v>104</v>
      </c>
      <c r="F25" s="10" t="s">
        <v>104</v>
      </c>
      <c r="G25" s="10" t="s">
        <v>104</v>
      </c>
      <c r="H25" s="87"/>
      <c r="I25" s="10" t="s">
        <v>104</v>
      </c>
      <c r="J25" s="89"/>
      <c r="K25" s="10" t="s">
        <v>104</v>
      </c>
      <c r="L25" s="10" t="s">
        <v>104</v>
      </c>
      <c r="M25" s="10" t="s">
        <v>104</v>
      </c>
      <c r="N25" s="10" t="s">
        <v>103</v>
      </c>
      <c r="O25" s="87"/>
      <c r="P25" s="89"/>
      <c r="Q25" s="10" t="s">
        <v>103</v>
      </c>
      <c r="R25" s="10" t="s">
        <v>104</v>
      </c>
      <c r="S25" s="10" t="s">
        <v>103</v>
      </c>
      <c r="T25" s="89"/>
      <c r="U25" s="10"/>
      <c r="V25" s="4">
        <f t="shared" si="1"/>
        <v>8</v>
      </c>
      <c r="W25" s="4">
        <f t="shared" si="2"/>
        <v>3</v>
      </c>
      <c r="X25" s="4" t="s">
        <v>16</v>
      </c>
      <c r="Y25" s="15">
        <f>Y24/Y23</f>
        <v>0.23076923076923078</v>
      </c>
      <c r="Z25" s="15">
        <f>Z24/Z23</f>
        <v>0.34297520661157027</v>
      </c>
      <c r="AA25" s="15">
        <f>AA24/AA23</f>
        <v>0.28219696969696972</v>
      </c>
    </row>
    <row r="26" spans="1:27" x14ac:dyDescent="0.25">
      <c r="A26" s="11">
        <v>22</v>
      </c>
      <c r="B26" s="6" t="s">
        <v>350</v>
      </c>
      <c r="C26" s="6" t="s">
        <v>351</v>
      </c>
      <c r="D26" s="9" t="s">
        <v>324</v>
      </c>
      <c r="E26" s="10" t="s">
        <v>103</v>
      </c>
      <c r="F26" s="10" t="s">
        <v>103</v>
      </c>
      <c r="G26" s="10" t="s">
        <v>104</v>
      </c>
      <c r="H26" s="87"/>
      <c r="I26" s="10" t="s">
        <v>104</v>
      </c>
      <c r="J26" s="89"/>
      <c r="K26" s="10" t="s">
        <v>104</v>
      </c>
      <c r="L26" s="10" t="s">
        <v>104</v>
      </c>
      <c r="M26" s="10" t="s">
        <v>104</v>
      </c>
      <c r="N26" s="10" t="s">
        <v>104</v>
      </c>
      <c r="O26" s="87"/>
      <c r="P26" s="89"/>
      <c r="Q26" s="10" t="s">
        <v>104</v>
      </c>
      <c r="R26" s="10" t="s">
        <v>103</v>
      </c>
      <c r="S26" s="10" t="s">
        <v>104</v>
      </c>
      <c r="T26" s="89"/>
      <c r="U26" s="10"/>
      <c r="V26" s="4">
        <f t="shared" si="1"/>
        <v>8</v>
      </c>
      <c r="W26" s="4">
        <f t="shared" si="2"/>
        <v>3</v>
      </c>
    </row>
    <row r="27" spans="1:27" ht="15" customHeight="1" x14ac:dyDescent="0.25">
      <c r="A27" s="11">
        <v>1</v>
      </c>
      <c r="B27" s="13" t="s">
        <v>352</v>
      </c>
      <c r="C27" s="14" t="s">
        <v>353</v>
      </c>
      <c r="D27" s="8" t="s">
        <v>324</v>
      </c>
      <c r="E27" s="10" t="s">
        <v>104</v>
      </c>
      <c r="F27" s="10" t="s">
        <v>104</v>
      </c>
      <c r="G27" s="10" t="s">
        <v>104</v>
      </c>
      <c r="H27" s="87"/>
      <c r="I27" s="10" t="s">
        <v>104</v>
      </c>
      <c r="J27" s="89"/>
      <c r="K27" s="10" t="s">
        <v>104</v>
      </c>
      <c r="L27" s="10" t="s">
        <v>104</v>
      </c>
      <c r="M27" s="10" t="s">
        <v>104</v>
      </c>
      <c r="N27" s="10" t="s">
        <v>104</v>
      </c>
      <c r="O27" s="87"/>
      <c r="P27" s="89"/>
      <c r="Q27" s="10" t="s">
        <v>104</v>
      </c>
      <c r="R27" s="10" t="s">
        <v>104</v>
      </c>
      <c r="S27" s="10" t="s">
        <v>104</v>
      </c>
      <c r="T27" s="89"/>
      <c r="U27" s="10"/>
      <c r="V27" s="4">
        <f t="shared" si="1"/>
        <v>11</v>
      </c>
      <c r="W27" s="4">
        <f t="shared" si="2"/>
        <v>0</v>
      </c>
    </row>
    <row r="28" spans="1:27" x14ac:dyDescent="0.25">
      <c r="A28" s="5">
        <v>2</v>
      </c>
      <c r="B28" s="13" t="s">
        <v>23</v>
      </c>
      <c r="C28" s="14" t="s">
        <v>344</v>
      </c>
      <c r="D28" s="8" t="s">
        <v>324</v>
      </c>
      <c r="E28" s="10" t="s">
        <v>104</v>
      </c>
      <c r="F28" s="10" t="s">
        <v>104</v>
      </c>
      <c r="G28" s="10" t="s">
        <v>104</v>
      </c>
      <c r="H28" s="87"/>
      <c r="I28" s="10" t="s">
        <v>104</v>
      </c>
      <c r="J28" s="89"/>
      <c r="K28" s="10" t="s">
        <v>104</v>
      </c>
      <c r="L28" s="10" t="s">
        <v>104</v>
      </c>
      <c r="M28" s="10" t="s">
        <v>104</v>
      </c>
      <c r="N28" s="10" t="s">
        <v>104</v>
      </c>
      <c r="O28" s="87"/>
      <c r="P28" s="89"/>
      <c r="Q28" s="10" t="s">
        <v>104</v>
      </c>
      <c r="R28" s="10" t="s">
        <v>103</v>
      </c>
      <c r="S28" s="10" t="s">
        <v>103</v>
      </c>
      <c r="T28" s="89"/>
      <c r="U28" s="10"/>
      <c r="V28" s="4">
        <f t="shared" si="1"/>
        <v>9</v>
      </c>
      <c r="W28" s="4">
        <f t="shared" si="2"/>
        <v>2</v>
      </c>
    </row>
    <row r="29" spans="1:27" x14ac:dyDescent="0.25">
      <c r="A29" s="11">
        <v>3</v>
      </c>
      <c r="B29" s="13" t="s">
        <v>354</v>
      </c>
      <c r="C29" s="14" t="s">
        <v>355</v>
      </c>
      <c r="D29" s="8" t="s">
        <v>324</v>
      </c>
      <c r="E29" s="10" t="s">
        <v>104</v>
      </c>
      <c r="F29" s="10" t="s">
        <v>104</v>
      </c>
      <c r="G29" s="10" t="s">
        <v>104</v>
      </c>
      <c r="H29" s="87"/>
      <c r="I29" s="10" t="s">
        <v>104</v>
      </c>
      <c r="J29" s="89"/>
      <c r="K29" s="10" t="s">
        <v>104</v>
      </c>
      <c r="L29" s="10" t="s">
        <v>103</v>
      </c>
      <c r="M29" s="10" t="s">
        <v>104</v>
      </c>
      <c r="N29" s="10" t="s">
        <v>104</v>
      </c>
      <c r="O29" s="87"/>
      <c r="P29" s="89"/>
      <c r="Q29" s="10" t="s">
        <v>104</v>
      </c>
      <c r="R29" s="10" t="s">
        <v>103</v>
      </c>
      <c r="S29" s="10" t="s">
        <v>103</v>
      </c>
      <c r="T29" s="89"/>
      <c r="U29" s="10"/>
      <c r="V29" s="4">
        <f t="shared" si="1"/>
        <v>8</v>
      </c>
      <c r="W29" s="4">
        <f t="shared" si="2"/>
        <v>3</v>
      </c>
    </row>
    <row r="30" spans="1:27" x14ac:dyDescent="0.25">
      <c r="A30" s="5">
        <v>4</v>
      </c>
      <c r="B30" s="13" t="s">
        <v>109</v>
      </c>
      <c r="C30" s="14" t="s">
        <v>356</v>
      </c>
      <c r="D30" s="8" t="s">
        <v>324</v>
      </c>
      <c r="E30" s="10" t="s">
        <v>104</v>
      </c>
      <c r="F30" s="10" t="s">
        <v>104</v>
      </c>
      <c r="G30" s="10" t="s">
        <v>104</v>
      </c>
      <c r="H30" s="87"/>
      <c r="I30" s="10" t="s">
        <v>104</v>
      </c>
      <c r="J30" s="89"/>
      <c r="K30" s="10" t="s">
        <v>104</v>
      </c>
      <c r="L30" s="10" t="s">
        <v>104</v>
      </c>
      <c r="M30" s="10" t="s">
        <v>103</v>
      </c>
      <c r="N30" s="10" t="s">
        <v>104</v>
      </c>
      <c r="O30" s="87"/>
      <c r="P30" s="89"/>
      <c r="Q30" s="10" t="s">
        <v>104</v>
      </c>
      <c r="R30" s="10" t="s">
        <v>104</v>
      </c>
      <c r="S30" s="10" t="s">
        <v>104</v>
      </c>
      <c r="T30" s="89"/>
      <c r="U30" s="10"/>
      <c r="V30" s="4">
        <f t="shared" si="1"/>
        <v>10</v>
      </c>
      <c r="W30" s="4">
        <f t="shared" si="2"/>
        <v>1</v>
      </c>
    </row>
    <row r="31" spans="1:27" x14ac:dyDescent="0.25">
      <c r="A31" s="11">
        <v>5</v>
      </c>
      <c r="B31" s="13" t="s">
        <v>357</v>
      </c>
      <c r="C31" s="14" t="s">
        <v>358</v>
      </c>
      <c r="D31" s="8" t="s">
        <v>324</v>
      </c>
      <c r="E31" s="10" t="s">
        <v>104</v>
      </c>
      <c r="F31" s="10" t="s">
        <v>104</v>
      </c>
      <c r="G31" s="10" t="s">
        <v>104</v>
      </c>
      <c r="H31" s="87"/>
      <c r="I31" s="10" t="s">
        <v>104</v>
      </c>
      <c r="J31" s="89"/>
      <c r="K31" s="10" t="s">
        <v>104</v>
      </c>
      <c r="L31" s="10" t="s">
        <v>104</v>
      </c>
      <c r="M31" s="10" t="s">
        <v>104</v>
      </c>
      <c r="N31" s="10" t="s">
        <v>103</v>
      </c>
      <c r="O31" s="87"/>
      <c r="P31" s="89"/>
      <c r="Q31" s="10" t="s">
        <v>103</v>
      </c>
      <c r="R31" s="10" t="s">
        <v>103</v>
      </c>
      <c r="S31" s="10" t="s">
        <v>103</v>
      </c>
      <c r="T31" s="89"/>
      <c r="U31" s="10"/>
      <c r="V31" s="4">
        <f t="shared" si="1"/>
        <v>7</v>
      </c>
      <c r="W31" s="4">
        <f t="shared" si="2"/>
        <v>4</v>
      </c>
    </row>
    <row r="32" spans="1:27" x14ac:dyDescent="0.25">
      <c r="A32" s="5">
        <v>6</v>
      </c>
      <c r="B32" s="13" t="s">
        <v>359</v>
      </c>
      <c r="C32" s="14" t="s">
        <v>360</v>
      </c>
      <c r="D32" s="8" t="s">
        <v>324</v>
      </c>
      <c r="E32" s="10" t="s">
        <v>104</v>
      </c>
      <c r="F32" s="10" t="s">
        <v>104</v>
      </c>
      <c r="G32" s="10" t="s">
        <v>104</v>
      </c>
      <c r="H32" s="87"/>
      <c r="I32" s="10" t="s">
        <v>104</v>
      </c>
      <c r="J32" s="89"/>
      <c r="K32" s="10" t="s">
        <v>104</v>
      </c>
      <c r="L32" s="10" t="s">
        <v>104</v>
      </c>
      <c r="M32" s="10" t="s">
        <v>104</v>
      </c>
      <c r="N32" s="10" t="s">
        <v>104</v>
      </c>
      <c r="O32" s="87"/>
      <c r="P32" s="89"/>
      <c r="Q32" s="10" t="s">
        <v>104</v>
      </c>
      <c r="R32" s="10" t="s">
        <v>103</v>
      </c>
      <c r="S32" s="10" t="s">
        <v>104</v>
      </c>
      <c r="T32" s="89"/>
      <c r="U32" s="10"/>
      <c r="V32" s="4">
        <f t="shared" si="1"/>
        <v>10</v>
      </c>
      <c r="W32" s="4">
        <f t="shared" si="2"/>
        <v>1</v>
      </c>
    </row>
    <row r="33" spans="1:23" x14ac:dyDescent="0.25">
      <c r="A33" s="11">
        <v>7</v>
      </c>
      <c r="B33" s="13" t="s">
        <v>361</v>
      </c>
      <c r="C33" s="14" t="s">
        <v>362</v>
      </c>
      <c r="D33" s="8" t="s">
        <v>324</v>
      </c>
      <c r="E33" s="10" t="s">
        <v>103</v>
      </c>
      <c r="F33" s="10" t="s">
        <v>103</v>
      </c>
      <c r="G33" s="10" t="s">
        <v>103</v>
      </c>
      <c r="H33" s="87"/>
      <c r="I33" s="10" t="s">
        <v>103</v>
      </c>
      <c r="J33" s="89"/>
      <c r="K33" s="10" t="s">
        <v>104</v>
      </c>
      <c r="L33" s="10" t="s">
        <v>104</v>
      </c>
      <c r="M33" s="10" t="s">
        <v>104</v>
      </c>
      <c r="N33" s="10" t="s">
        <v>103</v>
      </c>
      <c r="O33" s="87"/>
      <c r="P33" s="89"/>
      <c r="Q33" s="10" t="s">
        <v>103</v>
      </c>
      <c r="R33" s="10" t="s">
        <v>104</v>
      </c>
      <c r="S33" s="10" t="s">
        <v>104</v>
      </c>
      <c r="T33" s="89"/>
      <c r="U33" s="10"/>
      <c r="V33" s="4">
        <f t="shared" si="1"/>
        <v>5</v>
      </c>
      <c r="W33" s="4">
        <f t="shared" si="2"/>
        <v>6</v>
      </c>
    </row>
    <row r="34" spans="1:23" x14ac:dyDescent="0.25">
      <c r="A34" s="5">
        <v>8</v>
      </c>
      <c r="B34" s="13" t="s">
        <v>363</v>
      </c>
      <c r="C34" s="14" t="s">
        <v>63</v>
      </c>
      <c r="D34" s="8" t="s">
        <v>324</v>
      </c>
      <c r="E34" s="10" t="s">
        <v>104</v>
      </c>
      <c r="F34" s="10" t="s">
        <v>104</v>
      </c>
      <c r="G34" s="10" t="s">
        <v>104</v>
      </c>
      <c r="H34" s="87"/>
      <c r="I34" s="10" t="s">
        <v>104</v>
      </c>
      <c r="J34" s="89"/>
      <c r="K34" s="10" t="s">
        <v>104</v>
      </c>
      <c r="L34" s="10" t="s">
        <v>104</v>
      </c>
      <c r="M34" s="10" t="s">
        <v>104</v>
      </c>
      <c r="N34" s="10" t="s">
        <v>104</v>
      </c>
      <c r="O34" s="87"/>
      <c r="P34" s="89"/>
      <c r="Q34" s="10" t="s">
        <v>104</v>
      </c>
      <c r="R34" s="10" t="s">
        <v>104</v>
      </c>
      <c r="S34" s="10" t="s">
        <v>104</v>
      </c>
      <c r="T34" s="89"/>
      <c r="U34" s="10"/>
      <c r="V34" s="4">
        <f t="shared" si="1"/>
        <v>11</v>
      </c>
      <c r="W34" s="4">
        <f t="shared" si="2"/>
        <v>0</v>
      </c>
    </row>
    <row r="35" spans="1:23" x14ac:dyDescent="0.25">
      <c r="A35" s="11">
        <v>9</v>
      </c>
      <c r="B35" s="13" t="s">
        <v>102</v>
      </c>
      <c r="C35" s="14" t="s">
        <v>364</v>
      </c>
      <c r="D35" s="8" t="s">
        <v>324</v>
      </c>
      <c r="E35" s="10" t="s">
        <v>104</v>
      </c>
      <c r="F35" s="10" t="s">
        <v>104</v>
      </c>
      <c r="G35" s="10" t="s">
        <v>104</v>
      </c>
      <c r="H35" s="87"/>
      <c r="I35" s="10" t="s">
        <v>104</v>
      </c>
      <c r="J35" s="89"/>
      <c r="K35" s="10" t="s">
        <v>104</v>
      </c>
      <c r="L35" s="10" t="s">
        <v>104</v>
      </c>
      <c r="M35" s="10" t="s">
        <v>104</v>
      </c>
      <c r="N35" s="10" t="s">
        <v>103</v>
      </c>
      <c r="O35" s="87"/>
      <c r="P35" s="89"/>
      <c r="Q35" s="10" t="s">
        <v>103</v>
      </c>
      <c r="R35" s="10" t="s">
        <v>103</v>
      </c>
      <c r="S35" s="10" t="s">
        <v>104</v>
      </c>
      <c r="T35" s="89"/>
      <c r="U35" s="10"/>
      <c r="V35" s="4">
        <f t="shared" si="1"/>
        <v>8</v>
      </c>
      <c r="W35" s="4">
        <f t="shared" si="2"/>
        <v>3</v>
      </c>
    </row>
    <row r="36" spans="1:23" x14ac:dyDescent="0.25">
      <c r="A36" s="5">
        <v>10</v>
      </c>
      <c r="B36" s="13" t="s">
        <v>365</v>
      </c>
      <c r="C36" s="14" t="s">
        <v>61</v>
      </c>
      <c r="D36" s="8" t="s">
        <v>324</v>
      </c>
      <c r="E36" s="10" t="s">
        <v>103</v>
      </c>
      <c r="F36" s="10" t="s">
        <v>104</v>
      </c>
      <c r="G36" s="10" t="s">
        <v>103</v>
      </c>
      <c r="H36" s="87"/>
      <c r="I36" s="10" t="s">
        <v>104</v>
      </c>
      <c r="J36" s="89"/>
      <c r="K36" s="10" t="s">
        <v>104</v>
      </c>
      <c r="L36" s="10" t="s">
        <v>104</v>
      </c>
      <c r="M36" s="10" t="s">
        <v>104</v>
      </c>
      <c r="N36" s="10" t="s">
        <v>103</v>
      </c>
      <c r="O36" s="87"/>
      <c r="P36" s="89"/>
      <c r="Q36" s="10" t="s">
        <v>104</v>
      </c>
      <c r="R36" s="10" t="s">
        <v>103</v>
      </c>
      <c r="S36" s="10" t="s">
        <v>104</v>
      </c>
      <c r="T36" s="89"/>
      <c r="U36" s="10"/>
      <c r="V36" s="4">
        <f t="shared" si="1"/>
        <v>7</v>
      </c>
      <c r="W36" s="4">
        <f t="shared" si="2"/>
        <v>4</v>
      </c>
    </row>
    <row r="37" spans="1:23" x14ac:dyDescent="0.25">
      <c r="A37" s="11">
        <v>11</v>
      </c>
      <c r="B37" s="13" t="s">
        <v>366</v>
      </c>
      <c r="C37" s="14" t="s">
        <v>270</v>
      </c>
      <c r="D37" s="8" t="s">
        <v>324</v>
      </c>
      <c r="E37" s="10" t="s">
        <v>104</v>
      </c>
      <c r="F37" s="10" t="s">
        <v>104</v>
      </c>
      <c r="G37" s="10" t="s">
        <v>104</v>
      </c>
      <c r="H37" s="87"/>
      <c r="I37" s="10" t="s">
        <v>104</v>
      </c>
      <c r="J37" s="89"/>
      <c r="K37" s="10" t="s">
        <v>104</v>
      </c>
      <c r="L37" s="10" t="s">
        <v>104</v>
      </c>
      <c r="M37" s="10" t="s">
        <v>103</v>
      </c>
      <c r="N37" s="10" t="s">
        <v>104</v>
      </c>
      <c r="O37" s="87"/>
      <c r="P37" s="89"/>
      <c r="Q37" s="10" t="s">
        <v>104</v>
      </c>
      <c r="R37" s="10" t="s">
        <v>103</v>
      </c>
      <c r="S37" s="10" t="s">
        <v>104</v>
      </c>
      <c r="T37" s="89"/>
      <c r="U37" s="10"/>
      <c r="V37" s="4">
        <f t="shared" si="1"/>
        <v>9</v>
      </c>
      <c r="W37" s="4">
        <f t="shared" si="2"/>
        <v>2</v>
      </c>
    </row>
    <row r="38" spans="1:23" x14ac:dyDescent="0.25">
      <c r="A38" s="5">
        <v>12</v>
      </c>
      <c r="B38" s="13" t="s">
        <v>183</v>
      </c>
      <c r="C38" s="14" t="s">
        <v>232</v>
      </c>
      <c r="D38" s="8" t="s">
        <v>324</v>
      </c>
      <c r="E38" s="10" t="s">
        <v>104</v>
      </c>
      <c r="F38" s="10" t="s">
        <v>104</v>
      </c>
      <c r="G38" s="10" t="s">
        <v>104</v>
      </c>
      <c r="H38" s="87"/>
      <c r="I38" s="10" t="s">
        <v>104</v>
      </c>
      <c r="J38" s="89"/>
      <c r="K38" s="10" t="s">
        <v>104</v>
      </c>
      <c r="L38" s="10" t="s">
        <v>104</v>
      </c>
      <c r="M38" s="10" t="s">
        <v>104</v>
      </c>
      <c r="N38" s="10" t="s">
        <v>104</v>
      </c>
      <c r="O38" s="87"/>
      <c r="P38" s="89"/>
      <c r="Q38" s="10" t="s">
        <v>103</v>
      </c>
      <c r="R38" s="10" t="s">
        <v>103</v>
      </c>
      <c r="S38" s="10" t="s">
        <v>104</v>
      </c>
      <c r="T38" s="89"/>
      <c r="U38" s="10"/>
      <c r="V38" s="4">
        <f t="shared" si="1"/>
        <v>9</v>
      </c>
      <c r="W38" s="4">
        <f t="shared" si="2"/>
        <v>2</v>
      </c>
    </row>
    <row r="39" spans="1:23" x14ac:dyDescent="0.25">
      <c r="A39" s="11">
        <v>13</v>
      </c>
      <c r="B39" s="13" t="s">
        <v>367</v>
      </c>
      <c r="C39" s="14" t="s">
        <v>368</v>
      </c>
      <c r="D39" s="8" t="s">
        <v>324</v>
      </c>
      <c r="E39" s="10" t="s">
        <v>104</v>
      </c>
      <c r="F39" s="10" t="s">
        <v>104</v>
      </c>
      <c r="G39" s="10" t="s">
        <v>104</v>
      </c>
      <c r="H39" s="87"/>
      <c r="I39" s="10" t="s">
        <v>104</v>
      </c>
      <c r="J39" s="89"/>
      <c r="K39" s="10" t="s">
        <v>104</v>
      </c>
      <c r="L39" s="10" t="s">
        <v>104</v>
      </c>
      <c r="M39" s="10" t="s">
        <v>104</v>
      </c>
      <c r="N39" s="10" t="s">
        <v>104</v>
      </c>
      <c r="O39" s="87"/>
      <c r="P39" s="89"/>
      <c r="Q39" s="10" t="s">
        <v>103</v>
      </c>
      <c r="R39" s="10" t="s">
        <v>103</v>
      </c>
      <c r="S39" s="10" t="s">
        <v>104</v>
      </c>
      <c r="T39" s="89"/>
      <c r="U39" s="10"/>
      <c r="V39" s="4">
        <f t="shared" si="1"/>
        <v>9</v>
      </c>
      <c r="W39" s="4">
        <f t="shared" si="2"/>
        <v>2</v>
      </c>
    </row>
    <row r="40" spans="1:23" x14ac:dyDescent="0.25">
      <c r="A40" s="5">
        <v>14</v>
      </c>
      <c r="B40" s="13" t="s">
        <v>369</v>
      </c>
      <c r="C40" s="14" t="s">
        <v>94</v>
      </c>
      <c r="D40" s="8" t="s">
        <v>324</v>
      </c>
      <c r="E40" s="10" t="s">
        <v>104</v>
      </c>
      <c r="F40" s="10" t="s">
        <v>104</v>
      </c>
      <c r="G40" s="10" t="s">
        <v>104</v>
      </c>
      <c r="H40" s="87"/>
      <c r="I40" s="10" t="s">
        <v>104</v>
      </c>
      <c r="J40" s="89"/>
      <c r="K40" s="10" t="s">
        <v>104</v>
      </c>
      <c r="L40" s="10" t="s">
        <v>104</v>
      </c>
      <c r="M40" s="10" t="s">
        <v>104</v>
      </c>
      <c r="N40" s="10" t="s">
        <v>103</v>
      </c>
      <c r="O40" s="87"/>
      <c r="P40" s="89"/>
      <c r="Q40" s="10" t="s">
        <v>104</v>
      </c>
      <c r="R40" s="10" t="s">
        <v>103</v>
      </c>
      <c r="S40" s="10" t="s">
        <v>104</v>
      </c>
      <c r="T40" s="89"/>
      <c r="U40" s="10"/>
      <c r="V40" s="4">
        <f t="shared" si="1"/>
        <v>9</v>
      </c>
      <c r="W40" s="4">
        <f t="shared" si="2"/>
        <v>2</v>
      </c>
    </row>
    <row r="41" spans="1:23" x14ac:dyDescent="0.25">
      <c r="A41" s="11">
        <v>15</v>
      </c>
      <c r="B41" s="13" t="s">
        <v>370</v>
      </c>
      <c r="C41" s="14" t="s">
        <v>371</v>
      </c>
      <c r="D41" s="8" t="s">
        <v>324</v>
      </c>
      <c r="E41" s="10" t="s">
        <v>104</v>
      </c>
      <c r="F41" s="10" t="s">
        <v>104</v>
      </c>
      <c r="G41" s="10" t="s">
        <v>104</v>
      </c>
      <c r="H41" s="87"/>
      <c r="I41" s="10" t="s">
        <v>104</v>
      </c>
      <c r="J41" s="89"/>
      <c r="K41" s="10" t="s">
        <v>104</v>
      </c>
      <c r="L41" s="10" t="s">
        <v>104</v>
      </c>
      <c r="M41" s="10" t="s">
        <v>104</v>
      </c>
      <c r="N41" s="10" t="s">
        <v>104</v>
      </c>
      <c r="O41" s="87"/>
      <c r="P41" s="89"/>
      <c r="Q41" s="10" t="s">
        <v>104</v>
      </c>
      <c r="R41" s="10" t="s">
        <v>103</v>
      </c>
      <c r="S41" s="10" t="s">
        <v>103</v>
      </c>
      <c r="T41" s="89"/>
      <c r="U41" s="10"/>
      <c r="V41" s="4">
        <f t="shared" si="1"/>
        <v>9</v>
      </c>
      <c r="W41" s="4">
        <f t="shared" si="2"/>
        <v>2</v>
      </c>
    </row>
    <row r="42" spans="1:23" x14ac:dyDescent="0.25">
      <c r="A42" s="5">
        <v>16</v>
      </c>
      <c r="B42" s="13" t="s">
        <v>372</v>
      </c>
      <c r="C42" s="14" t="s">
        <v>165</v>
      </c>
      <c r="D42" s="8" t="s">
        <v>324</v>
      </c>
      <c r="E42" s="10" t="s">
        <v>104</v>
      </c>
      <c r="F42" s="10" t="s">
        <v>104</v>
      </c>
      <c r="G42" s="10" t="s">
        <v>104</v>
      </c>
      <c r="H42" s="87"/>
      <c r="I42" s="10" t="s">
        <v>104</v>
      </c>
      <c r="J42" s="89"/>
      <c r="K42" s="10" t="s">
        <v>104</v>
      </c>
      <c r="L42" s="10" t="s">
        <v>104</v>
      </c>
      <c r="M42" s="10" t="s">
        <v>104</v>
      </c>
      <c r="N42" s="10" t="s">
        <v>103</v>
      </c>
      <c r="O42" s="87"/>
      <c r="P42" s="89"/>
      <c r="Q42" s="10" t="s">
        <v>104</v>
      </c>
      <c r="R42" s="10" t="s">
        <v>103</v>
      </c>
      <c r="S42" s="10" t="s">
        <v>103</v>
      </c>
      <c r="T42" s="89"/>
      <c r="U42" s="10"/>
      <c r="V42" s="4">
        <f t="shared" si="1"/>
        <v>8</v>
      </c>
      <c r="W42" s="4">
        <f t="shared" si="2"/>
        <v>3</v>
      </c>
    </row>
    <row r="43" spans="1:23" x14ac:dyDescent="0.25">
      <c r="A43" s="11">
        <v>17</v>
      </c>
      <c r="B43" s="13" t="s">
        <v>373</v>
      </c>
      <c r="C43" s="14" t="s">
        <v>374</v>
      </c>
      <c r="D43" s="8" t="s">
        <v>324</v>
      </c>
      <c r="E43" s="10" t="s">
        <v>104</v>
      </c>
      <c r="F43" s="10" t="s">
        <v>104</v>
      </c>
      <c r="G43" s="10" t="s">
        <v>104</v>
      </c>
      <c r="H43" s="87"/>
      <c r="I43" s="10" t="s">
        <v>104</v>
      </c>
      <c r="J43" s="89"/>
      <c r="K43" s="10" t="s">
        <v>104</v>
      </c>
      <c r="L43" s="10" t="s">
        <v>104</v>
      </c>
      <c r="M43" s="10" t="s">
        <v>104</v>
      </c>
      <c r="N43" s="10" t="s">
        <v>104</v>
      </c>
      <c r="O43" s="87"/>
      <c r="P43" s="89"/>
      <c r="Q43" s="10" t="s">
        <v>104</v>
      </c>
      <c r="R43" s="10" t="s">
        <v>103</v>
      </c>
      <c r="S43" s="10" t="s">
        <v>104</v>
      </c>
      <c r="T43" s="89"/>
      <c r="U43" s="10"/>
      <c r="V43" s="4">
        <f t="shared" si="1"/>
        <v>10</v>
      </c>
      <c r="W43" s="4">
        <f t="shared" si="2"/>
        <v>1</v>
      </c>
    </row>
    <row r="44" spans="1:23" x14ac:dyDescent="0.25">
      <c r="A44" s="5">
        <v>18</v>
      </c>
      <c r="B44" s="13" t="s">
        <v>375</v>
      </c>
      <c r="C44" s="14" t="s">
        <v>59</v>
      </c>
      <c r="D44" s="8" t="s">
        <v>324</v>
      </c>
      <c r="E44" s="10" t="s">
        <v>104</v>
      </c>
      <c r="F44" s="10" t="s">
        <v>104</v>
      </c>
      <c r="G44" s="10" t="s">
        <v>104</v>
      </c>
      <c r="H44" s="87"/>
      <c r="I44" s="10" t="s">
        <v>104</v>
      </c>
      <c r="J44" s="89"/>
      <c r="K44" s="10" t="s">
        <v>104</v>
      </c>
      <c r="L44" s="10" t="s">
        <v>103</v>
      </c>
      <c r="M44" s="10" t="s">
        <v>104</v>
      </c>
      <c r="N44" s="10" t="s">
        <v>104</v>
      </c>
      <c r="O44" s="87"/>
      <c r="P44" s="89"/>
      <c r="Q44" s="10" t="s">
        <v>103</v>
      </c>
      <c r="R44" s="10" t="s">
        <v>103</v>
      </c>
      <c r="S44" s="10" t="s">
        <v>104</v>
      </c>
      <c r="T44" s="89"/>
      <c r="U44" s="10"/>
      <c r="V44" s="4">
        <f t="shared" si="1"/>
        <v>8</v>
      </c>
      <c r="W44" s="4">
        <f t="shared" si="2"/>
        <v>3</v>
      </c>
    </row>
    <row r="45" spans="1:23" x14ac:dyDescent="0.25">
      <c r="A45" s="11">
        <v>19</v>
      </c>
      <c r="B45" s="13" t="s">
        <v>376</v>
      </c>
      <c r="C45" s="14" t="s">
        <v>377</v>
      </c>
      <c r="D45" s="8" t="s">
        <v>324</v>
      </c>
      <c r="E45" s="10" t="s">
        <v>104</v>
      </c>
      <c r="F45" s="10" t="s">
        <v>104</v>
      </c>
      <c r="G45" s="10" t="s">
        <v>104</v>
      </c>
      <c r="H45" s="87"/>
      <c r="I45" s="10" t="s">
        <v>104</v>
      </c>
      <c r="J45" s="89"/>
      <c r="K45" s="10" t="s">
        <v>104</v>
      </c>
      <c r="L45" s="10" t="s">
        <v>104</v>
      </c>
      <c r="M45" s="10" t="s">
        <v>104</v>
      </c>
      <c r="N45" s="10" t="s">
        <v>103</v>
      </c>
      <c r="O45" s="87"/>
      <c r="P45" s="89"/>
      <c r="Q45" s="10" t="s">
        <v>103</v>
      </c>
      <c r="R45" s="10" t="s">
        <v>104</v>
      </c>
      <c r="S45" s="10" t="s">
        <v>104</v>
      </c>
      <c r="T45" s="89"/>
      <c r="U45" s="10"/>
      <c r="V45" s="4">
        <f t="shared" si="1"/>
        <v>9</v>
      </c>
      <c r="W45" s="4">
        <f t="shared" si="2"/>
        <v>2</v>
      </c>
    </row>
    <row r="46" spans="1:23" x14ac:dyDescent="0.25">
      <c r="A46" s="5">
        <v>20</v>
      </c>
      <c r="B46" s="13" t="s">
        <v>379</v>
      </c>
      <c r="C46" s="14" t="s">
        <v>380</v>
      </c>
      <c r="D46" s="8" t="s">
        <v>324</v>
      </c>
      <c r="E46" s="10" t="s">
        <v>104</v>
      </c>
      <c r="F46" s="10" t="s">
        <v>104</v>
      </c>
      <c r="G46" s="10" t="s">
        <v>104</v>
      </c>
      <c r="H46" s="87"/>
      <c r="I46" s="10" t="s">
        <v>104</v>
      </c>
      <c r="J46" s="89"/>
      <c r="K46" s="10" t="s">
        <v>103</v>
      </c>
      <c r="L46" s="10" t="s">
        <v>104</v>
      </c>
      <c r="M46" s="10" t="s">
        <v>104</v>
      </c>
      <c r="N46" s="10" t="s">
        <v>104</v>
      </c>
      <c r="O46" s="87"/>
      <c r="P46" s="89"/>
      <c r="Q46" s="10" t="s">
        <v>104</v>
      </c>
      <c r="R46" s="10" t="s">
        <v>103</v>
      </c>
      <c r="S46" s="10" t="s">
        <v>103</v>
      </c>
      <c r="T46" s="89"/>
      <c r="U46" s="10"/>
      <c r="V46" s="4">
        <f t="shared" si="1"/>
        <v>8</v>
      </c>
      <c r="W46" s="4">
        <f t="shared" si="2"/>
        <v>3</v>
      </c>
    </row>
    <row r="47" spans="1:23" x14ac:dyDescent="0.25">
      <c r="A47" s="11">
        <v>21</v>
      </c>
      <c r="B47" s="13" t="s">
        <v>381</v>
      </c>
      <c r="C47" s="14" t="s">
        <v>382</v>
      </c>
      <c r="D47" s="8" t="s">
        <v>324</v>
      </c>
      <c r="E47" s="10" t="s">
        <v>104</v>
      </c>
      <c r="F47" s="10" t="s">
        <v>104</v>
      </c>
      <c r="G47" s="10" t="s">
        <v>104</v>
      </c>
      <c r="H47" s="87"/>
      <c r="I47" s="10" t="s">
        <v>103</v>
      </c>
      <c r="J47" s="89"/>
      <c r="K47" s="10" t="s">
        <v>104</v>
      </c>
      <c r="L47" s="10" t="s">
        <v>104</v>
      </c>
      <c r="M47" s="10" t="s">
        <v>104</v>
      </c>
      <c r="N47" s="10" t="s">
        <v>104</v>
      </c>
      <c r="O47" s="87"/>
      <c r="P47" s="89"/>
      <c r="Q47" s="10" t="s">
        <v>103</v>
      </c>
      <c r="R47" s="10" t="s">
        <v>103</v>
      </c>
      <c r="S47" s="10" t="s">
        <v>103</v>
      </c>
      <c r="T47" s="89"/>
      <c r="U47" s="10"/>
      <c r="V47" s="4">
        <f t="shared" si="1"/>
        <v>7</v>
      </c>
      <c r="W47" s="4">
        <f t="shared" si="2"/>
        <v>4</v>
      </c>
    </row>
    <row r="48" spans="1:23" x14ac:dyDescent="0.25">
      <c r="A48" s="5">
        <v>22</v>
      </c>
      <c r="B48" s="13" t="s">
        <v>298</v>
      </c>
      <c r="C48" s="14" t="s">
        <v>383</v>
      </c>
      <c r="D48" s="8" t="s">
        <v>324</v>
      </c>
      <c r="E48" s="10" t="s">
        <v>104</v>
      </c>
      <c r="F48" s="10" t="s">
        <v>104</v>
      </c>
      <c r="G48" s="10" t="s">
        <v>104</v>
      </c>
      <c r="H48" s="87"/>
      <c r="I48" s="10" t="s">
        <v>104</v>
      </c>
      <c r="J48" s="89"/>
      <c r="K48" s="10" t="s">
        <v>104</v>
      </c>
      <c r="L48" s="10" t="s">
        <v>104</v>
      </c>
      <c r="M48" s="10" t="s">
        <v>104</v>
      </c>
      <c r="N48" s="10" t="s">
        <v>103</v>
      </c>
      <c r="O48" s="87"/>
      <c r="P48" s="89"/>
      <c r="Q48" s="10" t="s">
        <v>104</v>
      </c>
      <c r="R48" s="10" t="s">
        <v>103</v>
      </c>
      <c r="S48" s="10" t="s">
        <v>104</v>
      </c>
      <c r="T48" s="89"/>
      <c r="U48" s="10"/>
      <c r="V48" s="4">
        <f t="shared" si="1"/>
        <v>9</v>
      </c>
      <c r="W48" s="4">
        <f t="shared" si="2"/>
        <v>2</v>
      </c>
    </row>
    <row r="49" spans="1:23" x14ac:dyDescent="0.25">
      <c r="A49" s="11">
        <v>23</v>
      </c>
      <c r="B49" s="13" t="s">
        <v>384</v>
      </c>
      <c r="C49" s="14" t="s">
        <v>385</v>
      </c>
      <c r="D49" s="8" t="s">
        <v>324</v>
      </c>
      <c r="E49" s="10" t="s">
        <v>104</v>
      </c>
      <c r="F49" s="10" t="s">
        <v>104</v>
      </c>
      <c r="G49" s="10" t="s">
        <v>104</v>
      </c>
      <c r="H49" s="87"/>
      <c r="I49" s="10" t="s">
        <v>104</v>
      </c>
      <c r="J49" s="89"/>
      <c r="K49" s="10" t="s">
        <v>103</v>
      </c>
      <c r="L49" s="10" t="s">
        <v>104</v>
      </c>
      <c r="M49" s="10" t="s">
        <v>103</v>
      </c>
      <c r="N49" s="10" t="s">
        <v>104</v>
      </c>
      <c r="O49" s="87"/>
      <c r="P49" s="89"/>
      <c r="Q49" s="10" t="s">
        <v>104</v>
      </c>
      <c r="R49" s="10" t="s">
        <v>103</v>
      </c>
      <c r="S49" s="10" t="s">
        <v>104</v>
      </c>
      <c r="T49" s="89"/>
      <c r="U49" s="10"/>
      <c r="V49" s="4">
        <f t="shared" si="1"/>
        <v>8</v>
      </c>
      <c r="W49" s="4">
        <f t="shared" si="2"/>
        <v>3</v>
      </c>
    </row>
    <row r="50" spans="1:23" x14ac:dyDescent="0.25">
      <c r="A50" s="5">
        <v>24</v>
      </c>
      <c r="B50" s="13" t="s">
        <v>386</v>
      </c>
      <c r="C50" s="14" t="s">
        <v>380</v>
      </c>
      <c r="D50" s="8" t="s">
        <v>324</v>
      </c>
      <c r="E50" s="10" t="s">
        <v>104</v>
      </c>
      <c r="F50" s="10" t="s">
        <v>104</v>
      </c>
      <c r="G50" s="10" t="s">
        <v>104</v>
      </c>
      <c r="H50" s="87"/>
      <c r="I50" s="10" t="s">
        <v>104</v>
      </c>
      <c r="J50" s="89"/>
      <c r="K50" s="10" t="s">
        <v>104</v>
      </c>
      <c r="L50" s="10" t="s">
        <v>104</v>
      </c>
      <c r="M50" s="10" t="s">
        <v>104</v>
      </c>
      <c r="N50" s="10" t="s">
        <v>104</v>
      </c>
      <c r="O50" s="87"/>
      <c r="P50" s="89"/>
      <c r="Q50" s="10" t="s">
        <v>104</v>
      </c>
      <c r="R50" s="10" t="s">
        <v>103</v>
      </c>
      <c r="S50" s="10" t="s">
        <v>103</v>
      </c>
      <c r="T50" s="89"/>
      <c r="U50" s="10"/>
      <c r="V50" s="4">
        <f t="shared" si="1"/>
        <v>9</v>
      </c>
      <c r="W50" s="4">
        <f t="shared" si="2"/>
        <v>2</v>
      </c>
    </row>
    <row r="51" spans="1:23" x14ac:dyDescent="0.25">
      <c r="A51" s="11">
        <v>25</v>
      </c>
      <c r="B51" s="13" t="s">
        <v>387</v>
      </c>
      <c r="C51" s="14" t="s">
        <v>388</v>
      </c>
      <c r="D51" s="8" t="s">
        <v>324</v>
      </c>
      <c r="E51" s="10" t="s">
        <v>104</v>
      </c>
      <c r="F51" s="10" t="s">
        <v>104</v>
      </c>
      <c r="G51" s="10" t="s">
        <v>104</v>
      </c>
      <c r="H51" s="87"/>
      <c r="I51" s="10" t="s">
        <v>104</v>
      </c>
      <c r="J51" s="89"/>
      <c r="K51" s="10" t="s">
        <v>104</v>
      </c>
      <c r="L51" s="10" t="s">
        <v>104</v>
      </c>
      <c r="M51" s="10" t="s">
        <v>104</v>
      </c>
      <c r="N51" s="10" t="s">
        <v>104</v>
      </c>
      <c r="O51" s="87"/>
      <c r="P51" s="89"/>
      <c r="Q51" s="10" t="s">
        <v>104</v>
      </c>
      <c r="R51" s="10" t="s">
        <v>104</v>
      </c>
      <c r="S51" s="10" t="s">
        <v>103</v>
      </c>
      <c r="T51" s="89"/>
      <c r="U51" s="10"/>
      <c r="V51" s="4">
        <f t="shared" si="1"/>
        <v>10</v>
      </c>
      <c r="W51" s="4">
        <f t="shared" si="2"/>
        <v>1</v>
      </c>
    </row>
    <row r="52" spans="1:23" x14ac:dyDescent="0.25">
      <c r="A52" s="5">
        <v>26</v>
      </c>
      <c r="B52" s="13" t="s">
        <v>389</v>
      </c>
      <c r="C52" s="14" t="s">
        <v>390</v>
      </c>
      <c r="D52" s="8" t="s">
        <v>324</v>
      </c>
      <c r="E52" s="19" t="s">
        <v>112</v>
      </c>
      <c r="F52" s="10" t="s">
        <v>112</v>
      </c>
      <c r="G52" s="10" t="s">
        <v>112</v>
      </c>
      <c r="H52" s="90"/>
      <c r="I52" s="10" t="s">
        <v>112</v>
      </c>
      <c r="J52" s="91"/>
      <c r="K52" s="10" t="s">
        <v>112</v>
      </c>
      <c r="L52" s="10" t="s">
        <v>112</v>
      </c>
      <c r="M52" s="10" t="s">
        <v>104</v>
      </c>
      <c r="N52" s="10" t="s">
        <v>104</v>
      </c>
      <c r="O52" s="90"/>
      <c r="P52" s="91"/>
      <c r="Q52" s="10" t="s">
        <v>104</v>
      </c>
      <c r="R52" s="10" t="s">
        <v>103</v>
      </c>
      <c r="S52" s="10" t="s">
        <v>103</v>
      </c>
      <c r="T52" s="91"/>
      <c r="U52" s="10"/>
      <c r="V52" s="4">
        <f t="shared" si="1"/>
        <v>3</v>
      </c>
      <c r="W52" s="4">
        <f t="shared" si="2"/>
        <v>2</v>
      </c>
    </row>
  </sheetData>
  <mergeCells count="16">
    <mergeCell ref="A1:W1"/>
    <mergeCell ref="A2:W2"/>
    <mergeCell ref="A3:A4"/>
    <mergeCell ref="B3:B4"/>
    <mergeCell ref="C3:C4"/>
    <mergeCell ref="D3:D4"/>
    <mergeCell ref="V3:V4"/>
    <mergeCell ref="W3:W4"/>
    <mergeCell ref="X3:Y3"/>
    <mergeCell ref="H5:H52"/>
    <mergeCell ref="J5:J52"/>
    <mergeCell ref="O5:O52"/>
    <mergeCell ref="P5:P52"/>
    <mergeCell ref="T5:T52"/>
    <mergeCell ref="X13:AA13"/>
    <mergeCell ref="X21:AA21"/>
  </mergeCells>
  <conditionalFormatting sqref="E5:P5 T5 E4:U4">
    <cfRule type="expression" dxfId="121" priority="23">
      <formula>IF(E$4=TODAY(),TRUE,FALSE)</formula>
    </cfRule>
  </conditionalFormatting>
  <conditionalFormatting sqref="E5:P5 T5">
    <cfRule type="cellIs" dxfId="120" priority="15" operator="equal">
      <formula>"L"</formula>
    </cfRule>
    <cfRule type="cellIs" dxfId="119" priority="16" operator="equal">
      <formula>"A"</formula>
    </cfRule>
    <cfRule type="cellIs" dxfId="118" priority="17" operator="equal">
      <formula>"P"</formula>
    </cfRule>
  </conditionalFormatting>
  <conditionalFormatting sqref="E3:U4 E5:P5 T5">
    <cfRule type="expression" dxfId="117" priority="24">
      <formula>E$3="Sun"</formula>
    </cfRule>
  </conditionalFormatting>
  <conditionalFormatting sqref="Q5:S52 U5:U52 E6:G52 I6:I52 K6:N52">
    <cfRule type="cellIs" dxfId="116" priority="9" operator="equal">
      <formula>"L"</formula>
    </cfRule>
    <cfRule type="cellIs" dxfId="115" priority="10" operator="equal">
      <formula>"A"</formula>
    </cfRule>
    <cfRule type="cellIs" dxfId="114" priority="11" operator="equal">
      <formula>"P"</formula>
    </cfRule>
    <cfRule type="expression" dxfId="113" priority="12">
      <formula>IF(E$4=TODAY(),TRUE,FALSE)</formula>
    </cfRule>
    <cfRule type="expression" dxfId="112" priority="13">
      <formula>E$3="Sun"</formula>
    </cfRule>
  </conditionalFormatting>
  <conditionalFormatting sqref="V3:W3">
    <cfRule type="expression" dxfId="111" priority="25">
      <formula>#REF!="Sun"</formula>
    </cfRule>
  </conditionalFormatting>
  <conditionalFormatting sqref="V5:W52">
    <cfRule type="expression" dxfId="110" priority="14">
      <formula>#REF!="Sun"</formula>
    </cfRule>
  </conditionalFormatting>
  <conditionalFormatting sqref="X5:X11">
    <cfRule type="expression" dxfId="109" priority="7">
      <formula>X$3="Sun"</formula>
    </cfRule>
  </conditionalFormatting>
  <conditionalFormatting sqref="X14:X17">
    <cfRule type="expression" dxfId="108" priority="3">
      <formula>X$3="Sun"</formula>
    </cfRule>
  </conditionalFormatting>
  <conditionalFormatting sqref="X22:X25">
    <cfRule type="expression" dxfId="107" priority="2">
      <formula>X$3="Sun"</formula>
    </cfRule>
  </conditionalFormatting>
  <conditionalFormatting sqref="X4:Y4">
    <cfRule type="expression" dxfId="106" priority="8">
      <formula>X$3="Sun"</formula>
    </cfRule>
  </conditionalFormatting>
  <conditionalFormatting sqref="Y14:AA14">
    <cfRule type="expression" dxfId="105" priority="4">
      <formula>Y$3="Sun"</formula>
    </cfRule>
  </conditionalFormatting>
  <conditionalFormatting sqref="Y22:AA22">
    <cfRule type="expression" dxfId="104" priority="1">
      <formula>Y$3="Sun"</formula>
    </cfRule>
  </conditionalFormatting>
  <conditionalFormatting sqref="AA23">
    <cfRule type="expression" dxfId="103" priority="6">
      <formula>AA$3="Sun"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41768-0BA7-4988-B783-C416DE17A187}">
  <dimension ref="A1:AA55"/>
  <sheetViews>
    <sheetView topLeftCell="A12" workbookViewId="0">
      <selection activeCell="Z15" sqref="Z15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 bestFit="1"/>
    <col min="6" max="7" width="3.7109375" style="1" bestFit="1" customWidth="1"/>
    <col min="8" max="8" width="3.85546875" style="1" bestFit="1"/>
    <col min="9" max="9" width="4.5703125" style="1" bestFit="1" customWidth="1"/>
    <col min="10" max="10" width="3.85546875" style="1" bestFit="1"/>
    <col min="11" max="11" width="4.7109375" style="1" bestFit="1" customWidth="1"/>
    <col min="12" max="12" width="3.85546875" style="1" bestFit="1"/>
    <col min="13" max="14" width="3.7109375" style="1" bestFit="1" customWidth="1"/>
    <col min="15" max="15" width="3.85546875" style="1" bestFit="1"/>
    <col min="16" max="16" width="4.5703125" style="1" bestFit="1" customWidth="1"/>
    <col min="17" max="17" width="3.85546875" style="1" bestFit="1"/>
    <col min="18" max="18" width="4.7109375" style="1" bestFit="1" customWidth="1"/>
    <col min="19" max="19" width="3.85546875" style="1" bestFit="1"/>
    <col min="20" max="21" width="3.7109375" style="1" bestFit="1" customWidth="1"/>
    <col min="22" max="23" width="6.7109375" style="1" bestFit="1" customWidth="1"/>
    <col min="24" max="24" width="21.140625" style="1" bestFit="1" customWidth="1"/>
    <col min="25" max="25" width="5.85546875" style="1" bestFit="1" customWidth="1"/>
    <col min="26" max="26" width="5.140625" style="1" bestFit="1" customWidth="1"/>
    <col min="27" max="27" width="6.7109375" style="1" bestFit="1" customWidth="1"/>
    <col min="28" max="16384" width="3.85546875" style="1"/>
  </cols>
  <sheetData>
    <row r="1" spans="1:27" ht="17.25" x14ac:dyDescent="0.25">
      <c r="A1" s="81" t="s">
        <v>19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</row>
    <row r="2" spans="1:27" ht="17.25" x14ac:dyDescent="0.3">
      <c r="A2" s="82" t="s">
        <v>18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</row>
    <row r="3" spans="1:27" ht="15.75" x14ac:dyDescent="0.25">
      <c r="A3" s="84" t="s">
        <v>0</v>
      </c>
      <c r="B3" s="84" t="s">
        <v>1</v>
      </c>
      <c r="C3" s="84" t="s">
        <v>2</v>
      </c>
      <c r="D3" s="84" t="s">
        <v>3</v>
      </c>
      <c r="E3" s="2" t="str">
        <f t="shared" ref="E3:U3" si="0">TEXT(E4,"ddd")</f>
        <v>Thu</v>
      </c>
      <c r="F3" s="2" t="str">
        <f t="shared" si="0"/>
        <v>Fri</v>
      </c>
      <c r="G3" s="2" t="str">
        <f t="shared" si="0"/>
        <v>Sat</v>
      </c>
      <c r="H3" s="2" t="str">
        <f t="shared" si="0"/>
        <v>Sun</v>
      </c>
      <c r="I3" s="2" t="str">
        <f t="shared" si="0"/>
        <v>Mon</v>
      </c>
      <c r="J3" s="2" t="str">
        <f t="shared" si="0"/>
        <v>Tue</v>
      </c>
      <c r="K3" s="2" t="str">
        <f t="shared" si="0"/>
        <v>Wed</v>
      </c>
      <c r="L3" s="2" t="str">
        <f t="shared" si="0"/>
        <v>Thu</v>
      </c>
      <c r="M3" s="2" t="str">
        <f t="shared" si="0"/>
        <v>Fri</v>
      </c>
      <c r="N3" s="2" t="str">
        <f t="shared" si="0"/>
        <v>Sat</v>
      </c>
      <c r="O3" s="2" t="str">
        <f t="shared" si="0"/>
        <v>Sun</v>
      </c>
      <c r="P3" s="2" t="str">
        <f t="shared" si="0"/>
        <v>Mon</v>
      </c>
      <c r="Q3" s="2" t="str">
        <f t="shared" si="0"/>
        <v>Tue</v>
      </c>
      <c r="R3" s="2" t="str">
        <f t="shared" si="0"/>
        <v>Wed</v>
      </c>
      <c r="S3" s="2" t="str">
        <f t="shared" si="0"/>
        <v>Thu</v>
      </c>
      <c r="T3" s="2" t="str">
        <f t="shared" si="0"/>
        <v>Fri</v>
      </c>
      <c r="U3" s="2" t="str">
        <f t="shared" si="0"/>
        <v>Sat</v>
      </c>
      <c r="V3" s="79" t="s">
        <v>4</v>
      </c>
      <c r="W3" s="79" t="s">
        <v>5</v>
      </c>
      <c r="X3" s="76" t="s">
        <v>210</v>
      </c>
      <c r="Y3" s="77"/>
      <c r="Z3" s="3"/>
      <c r="AA3" s="3"/>
    </row>
    <row r="4" spans="1:27" ht="36.75" x14ac:dyDescent="0.25">
      <c r="A4" s="85"/>
      <c r="B4" s="85"/>
      <c r="C4" s="85"/>
      <c r="D4" s="85"/>
      <c r="E4" s="17">
        <v>45519</v>
      </c>
      <c r="F4" s="17">
        <v>45520</v>
      </c>
      <c r="G4" s="17">
        <v>45521</v>
      </c>
      <c r="H4" s="17">
        <v>45522</v>
      </c>
      <c r="I4" s="17">
        <v>45523</v>
      </c>
      <c r="J4" s="17">
        <v>45524</v>
      </c>
      <c r="K4" s="17">
        <v>45525</v>
      </c>
      <c r="L4" s="17">
        <v>45526</v>
      </c>
      <c r="M4" s="17">
        <v>45527</v>
      </c>
      <c r="N4" s="17">
        <v>45528</v>
      </c>
      <c r="O4" s="17">
        <v>45529</v>
      </c>
      <c r="P4" s="17">
        <v>45530</v>
      </c>
      <c r="Q4" s="17">
        <v>45531</v>
      </c>
      <c r="R4" s="17">
        <v>45532</v>
      </c>
      <c r="S4" s="17">
        <v>45533</v>
      </c>
      <c r="T4" s="17">
        <v>45534</v>
      </c>
      <c r="U4" s="17">
        <v>45535</v>
      </c>
      <c r="V4" s="79"/>
      <c r="W4" s="79"/>
      <c r="X4" s="4" t="s">
        <v>315</v>
      </c>
      <c r="Y4" s="4">
        <f>SUM(Y5:Y11)</f>
        <v>31</v>
      </c>
      <c r="Z4" s="3"/>
      <c r="AA4" s="3"/>
    </row>
    <row r="5" spans="1:27" ht="15" customHeight="1" x14ac:dyDescent="0.25">
      <c r="A5" s="5">
        <v>1</v>
      </c>
      <c r="B5" s="13" t="s">
        <v>391</v>
      </c>
      <c r="C5" s="14" t="s">
        <v>392</v>
      </c>
      <c r="D5" s="8" t="s">
        <v>393</v>
      </c>
      <c r="E5" s="10" t="s">
        <v>104</v>
      </c>
      <c r="F5" s="10" t="s">
        <v>104</v>
      </c>
      <c r="G5" s="10" t="s">
        <v>103</v>
      </c>
      <c r="H5" s="86" t="s">
        <v>113</v>
      </c>
      <c r="I5" s="10" t="s">
        <v>104</v>
      </c>
      <c r="J5" s="88" t="s">
        <v>394</v>
      </c>
      <c r="K5" s="10" t="s">
        <v>104</v>
      </c>
      <c r="L5" s="10" t="s">
        <v>104</v>
      </c>
      <c r="M5" s="10" t="s">
        <v>104</v>
      </c>
      <c r="N5" s="10" t="s">
        <v>104</v>
      </c>
      <c r="O5" s="86" t="s">
        <v>113</v>
      </c>
      <c r="P5" s="88" t="s">
        <v>216</v>
      </c>
      <c r="Q5" s="10" t="s">
        <v>104</v>
      </c>
      <c r="R5" s="10" t="s">
        <v>103</v>
      </c>
      <c r="S5" s="10" t="s">
        <v>104</v>
      </c>
      <c r="T5" s="88" t="s">
        <v>106</v>
      </c>
      <c r="U5" s="10"/>
      <c r="V5" s="4">
        <f t="shared" ref="V5:V55" si="1">COUNTIF(E5:U5,"P")</f>
        <v>9</v>
      </c>
      <c r="W5" s="4">
        <f t="shared" ref="W5:W55" si="2">COUNTIF(E5:U5,"A")</f>
        <v>2</v>
      </c>
      <c r="X5" s="4" t="s">
        <v>7</v>
      </c>
      <c r="Y5" s="11">
        <v>11</v>
      </c>
      <c r="Z5" s="12"/>
      <c r="AA5" s="3"/>
    </row>
    <row r="6" spans="1:27" x14ac:dyDescent="0.25">
      <c r="A6" s="11">
        <v>2</v>
      </c>
      <c r="B6" s="13" t="s">
        <v>395</v>
      </c>
      <c r="C6" s="14" t="s">
        <v>396</v>
      </c>
      <c r="D6" s="8" t="s">
        <v>393</v>
      </c>
      <c r="E6" s="10" t="s">
        <v>104</v>
      </c>
      <c r="F6" s="10" t="s">
        <v>104</v>
      </c>
      <c r="G6" s="10" t="s">
        <v>104</v>
      </c>
      <c r="H6" s="87"/>
      <c r="I6" s="10" t="s">
        <v>104</v>
      </c>
      <c r="J6" s="89"/>
      <c r="K6" s="10" t="s">
        <v>104</v>
      </c>
      <c r="L6" s="10" t="s">
        <v>104</v>
      </c>
      <c r="M6" s="10" t="s">
        <v>104</v>
      </c>
      <c r="N6" s="10" t="s">
        <v>104</v>
      </c>
      <c r="O6" s="87"/>
      <c r="P6" s="89"/>
      <c r="Q6" s="10" t="s">
        <v>104</v>
      </c>
      <c r="R6" s="10" t="s">
        <v>103</v>
      </c>
      <c r="S6" s="10" t="s">
        <v>104</v>
      </c>
      <c r="T6" s="89"/>
      <c r="U6" s="10"/>
      <c r="V6" s="4">
        <f t="shared" si="1"/>
        <v>10</v>
      </c>
      <c r="W6" s="4">
        <f t="shared" si="2"/>
        <v>1</v>
      </c>
      <c r="X6" s="4" t="s">
        <v>8</v>
      </c>
      <c r="Y6" s="11">
        <v>4</v>
      </c>
      <c r="Z6" s="3"/>
      <c r="AA6" s="3"/>
    </row>
    <row r="7" spans="1:27" x14ac:dyDescent="0.25">
      <c r="A7" s="5">
        <v>3</v>
      </c>
      <c r="B7" s="13" t="s">
        <v>397</v>
      </c>
      <c r="C7" s="14" t="s">
        <v>398</v>
      </c>
      <c r="D7" s="8" t="s">
        <v>393</v>
      </c>
      <c r="E7" s="10" t="s">
        <v>104</v>
      </c>
      <c r="F7" s="10" t="s">
        <v>104</v>
      </c>
      <c r="G7" s="10" t="s">
        <v>104</v>
      </c>
      <c r="H7" s="87"/>
      <c r="I7" s="10" t="s">
        <v>104</v>
      </c>
      <c r="J7" s="89"/>
      <c r="K7" s="10" t="s">
        <v>104</v>
      </c>
      <c r="L7" s="10" t="s">
        <v>104</v>
      </c>
      <c r="M7" s="10" t="s">
        <v>104</v>
      </c>
      <c r="N7" s="10" t="s">
        <v>104</v>
      </c>
      <c r="O7" s="87"/>
      <c r="P7" s="89"/>
      <c r="Q7" s="10" t="s">
        <v>104</v>
      </c>
      <c r="R7" s="10" t="s">
        <v>103</v>
      </c>
      <c r="S7" s="10" t="s">
        <v>103</v>
      </c>
      <c r="T7" s="89"/>
      <c r="U7" s="10"/>
      <c r="V7" s="4">
        <f t="shared" si="1"/>
        <v>9</v>
      </c>
      <c r="W7" s="4">
        <f t="shared" si="2"/>
        <v>2</v>
      </c>
      <c r="X7" s="4" t="s">
        <v>313</v>
      </c>
      <c r="Y7" s="11">
        <v>12</v>
      </c>
      <c r="Z7" s="3"/>
      <c r="AA7" s="3"/>
    </row>
    <row r="8" spans="1:27" x14ac:dyDescent="0.25">
      <c r="A8" s="11">
        <v>4</v>
      </c>
      <c r="B8" s="13" t="s">
        <v>89</v>
      </c>
      <c r="C8" s="14" t="s">
        <v>399</v>
      </c>
      <c r="D8" s="8" t="s">
        <v>393</v>
      </c>
      <c r="E8" s="10" t="s">
        <v>104</v>
      </c>
      <c r="F8" s="10" t="s">
        <v>104</v>
      </c>
      <c r="G8" s="10" t="s">
        <v>104</v>
      </c>
      <c r="H8" s="87"/>
      <c r="I8" s="10" t="s">
        <v>104</v>
      </c>
      <c r="J8" s="89"/>
      <c r="K8" s="10" t="s">
        <v>104</v>
      </c>
      <c r="L8" s="10" t="s">
        <v>104</v>
      </c>
      <c r="M8" s="10" t="s">
        <v>104</v>
      </c>
      <c r="N8" s="10" t="s">
        <v>104</v>
      </c>
      <c r="O8" s="87"/>
      <c r="P8" s="89"/>
      <c r="Q8" s="10" t="s">
        <v>104</v>
      </c>
      <c r="R8" s="10" t="s">
        <v>103</v>
      </c>
      <c r="S8" s="10" t="s">
        <v>104</v>
      </c>
      <c r="T8" s="89"/>
      <c r="U8" s="10"/>
      <c r="V8" s="4">
        <f t="shared" si="1"/>
        <v>10</v>
      </c>
      <c r="W8" s="4">
        <f t="shared" si="2"/>
        <v>1</v>
      </c>
      <c r="X8" s="4" t="s">
        <v>310</v>
      </c>
      <c r="Y8" s="11">
        <v>1</v>
      </c>
      <c r="Z8"/>
      <c r="AA8"/>
    </row>
    <row r="9" spans="1:27" x14ac:dyDescent="0.25">
      <c r="A9" s="5">
        <v>5</v>
      </c>
      <c r="B9" s="13" t="s">
        <v>400</v>
      </c>
      <c r="C9" s="14" t="s">
        <v>401</v>
      </c>
      <c r="D9" s="8" t="s">
        <v>393</v>
      </c>
      <c r="E9" s="10" t="s">
        <v>104</v>
      </c>
      <c r="F9" s="10" t="s">
        <v>104</v>
      </c>
      <c r="G9" s="10" t="s">
        <v>104</v>
      </c>
      <c r="H9" s="87"/>
      <c r="I9" s="10" t="s">
        <v>104</v>
      </c>
      <c r="J9" s="89"/>
      <c r="K9" s="10" t="s">
        <v>104</v>
      </c>
      <c r="L9" s="10" t="s">
        <v>103</v>
      </c>
      <c r="M9" s="10" t="s">
        <v>104</v>
      </c>
      <c r="N9" s="10" t="s">
        <v>104</v>
      </c>
      <c r="O9" s="87"/>
      <c r="P9" s="89"/>
      <c r="Q9" s="10" t="s">
        <v>104</v>
      </c>
      <c r="R9" s="10" t="s">
        <v>103</v>
      </c>
      <c r="S9" s="10" t="s">
        <v>104</v>
      </c>
      <c r="T9" s="89"/>
      <c r="U9" s="10"/>
      <c r="V9" s="4">
        <f t="shared" si="1"/>
        <v>9</v>
      </c>
      <c r="W9" s="4">
        <f t="shared" si="2"/>
        <v>2</v>
      </c>
      <c r="X9" s="4" t="s">
        <v>314</v>
      </c>
      <c r="Y9" s="11">
        <v>1</v>
      </c>
      <c r="Z9"/>
      <c r="AA9"/>
    </row>
    <row r="10" spans="1:27" x14ac:dyDescent="0.25">
      <c r="A10" s="11">
        <v>6</v>
      </c>
      <c r="B10" s="13" t="s">
        <v>402</v>
      </c>
      <c r="C10" s="14" t="s">
        <v>403</v>
      </c>
      <c r="D10" s="8" t="s">
        <v>393</v>
      </c>
      <c r="E10" s="10" t="s">
        <v>104</v>
      </c>
      <c r="F10" s="10" t="s">
        <v>104</v>
      </c>
      <c r="G10" s="10" t="s">
        <v>104</v>
      </c>
      <c r="H10" s="87"/>
      <c r="I10" s="10" t="s">
        <v>104</v>
      </c>
      <c r="J10" s="89"/>
      <c r="K10" s="10" t="s">
        <v>103</v>
      </c>
      <c r="L10" s="10" t="s">
        <v>104</v>
      </c>
      <c r="M10" s="10" t="s">
        <v>104</v>
      </c>
      <c r="N10" s="10" t="s">
        <v>104</v>
      </c>
      <c r="O10" s="87"/>
      <c r="P10" s="89"/>
      <c r="Q10" s="10" t="s">
        <v>103</v>
      </c>
      <c r="R10" s="10" t="s">
        <v>104</v>
      </c>
      <c r="S10" s="10" t="s">
        <v>103</v>
      </c>
      <c r="T10" s="89"/>
      <c r="U10" s="10"/>
      <c r="V10" s="4">
        <f t="shared" si="1"/>
        <v>8</v>
      </c>
      <c r="W10" s="4">
        <f t="shared" si="2"/>
        <v>3</v>
      </c>
      <c r="X10" s="4" t="s">
        <v>311</v>
      </c>
      <c r="Y10" s="11">
        <v>1</v>
      </c>
      <c r="Z10"/>
      <c r="AA10"/>
    </row>
    <row r="11" spans="1:27" x14ac:dyDescent="0.25">
      <c r="A11" s="5">
        <v>7</v>
      </c>
      <c r="B11" s="13" t="s">
        <v>404</v>
      </c>
      <c r="C11" s="14" t="s">
        <v>276</v>
      </c>
      <c r="D11" s="8" t="s">
        <v>393</v>
      </c>
      <c r="E11" s="10" t="s">
        <v>104</v>
      </c>
      <c r="F11" s="10" t="s">
        <v>104</v>
      </c>
      <c r="G11" s="10" t="s">
        <v>104</v>
      </c>
      <c r="H11" s="87"/>
      <c r="I11" s="10" t="s">
        <v>104</v>
      </c>
      <c r="J11" s="89"/>
      <c r="K11" s="10" t="s">
        <v>104</v>
      </c>
      <c r="L11" s="10" t="s">
        <v>104</v>
      </c>
      <c r="M11" s="10" t="s">
        <v>104</v>
      </c>
      <c r="N11" s="10" t="s">
        <v>104</v>
      </c>
      <c r="O11" s="87"/>
      <c r="P11" s="89"/>
      <c r="Q11" s="10" t="s">
        <v>104</v>
      </c>
      <c r="R11" s="10" t="s">
        <v>104</v>
      </c>
      <c r="S11" s="10" t="s">
        <v>104</v>
      </c>
      <c r="T11" s="89"/>
      <c r="U11" s="10"/>
      <c r="V11" s="4">
        <f t="shared" si="1"/>
        <v>11</v>
      </c>
      <c r="W11" s="4">
        <f t="shared" si="2"/>
        <v>0</v>
      </c>
      <c r="X11" s="4" t="s">
        <v>312</v>
      </c>
      <c r="Y11" s="11">
        <v>1</v>
      </c>
      <c r="Z11"/>
      <c r="AA11"/>
    </row>
    <row r="12" spans="1:27" x14ac:dyDescent="0.25">
      <c r="A12" s="11">
        <v>8</v>
      </c>
      <c r="B12" s="13" t="s">
        <v>405</v>
      </c>
      <c r="C12" s="14" t="s">
        <v>406</v>
      </c>
      <c r="D12" s="8" t="s">
        <v>393</v>
      </c>
      <c r="E12" s="10" t="s">
        <v>104</v>
      </c>
      <c r="F12" s="10" t="s">
        <v>104</v>
      </c>
      <c r="G12" s="10" t="s">
        <v>104</v>
      </c>
      <c r="H12" s="87"/>
      <c r="I12" s="10" t="s">
        <v>104</v>
      </c>
      <c r="J12" s="89"/>
      <c r="K12" s="10" t="s">
        <v>104</v>
      </c>
      <c r="L12" s="10" t="s">
        <v>104</v>
      </c>
      <c r="M12" s="10" t="s">
        <v>104</v>
      </c>
      <c r="N12" s="10" t="s">
        <v>104</v>
      </c>
      <c r="O12" s="87"/>
      <c r="P12" s="89"/>
      <c r="Q12" s="10" t="s">
        <v>104</v>
      </c>
      <c r="R12" s="10" t="s">
        <v>104</v>
      </c>
      <c r="S12" s="10" t="s">
        <v>103</v>
      </c>
      <c r="T12" s="89"/>
      <c r="U12" s="10"/>
      <c r="V12" s="4">
        <f t="shared" si="1"/>
        <v>10</v>
      </c>
      <c r="W12" s="4">
        <f t="shared" si="2"/>
        <v>1</v>
      </c>
      <c r="X12"/>
      <c r="Y12"/>
      <c r="Z12"/>
      <c r="AA12"/>
    </row>
    <row r="13" spans="1:27" ht="15.75" x14ac:dyDescent="0.25">
      <c r="A13" s="5">
        <v>9</v>
      </c>
      <c r="B13" s="13" t="s">
        <v>335</v>
      </c>
      <c r="C13" s="14" t="s">
        <v>349</v>
      </c>
      <c r="D13" s="8" t="s">
        <v>393</v>
      </c>
      <c r="E13" s="10" t="s">
        <v>104</v>
      </c>
      <c r="F13" s="10" t="s">
        <v>104</v>
      </c>
      <c r="G13" s="10" t="s">
        <v>104</v>
      </c>
      <c r="H13" s="87"/>
      <c r="I13" s="10" t="s">
        <v>104</v>
      </c>
      <c r="J13" s="89"/>
      <c r="K13" s="10" t="s">
        <v>104</v>
      </c>
      <c r="L13" s="10" t="s">
        <v>104</v>
      </c>
      <c r="M13" s="10" t="s">
        <v>104</v>
      </c>
      <c r="N13" s="10" t="s">
        <v>104</v>
      </c>
      <c r="O13" s="87"/>
      <c r="P13" s="89"/>
      <c r="Q13" s="10" t="s">
        <v>104</v>
      </c>
      <c r="R13" s="10" t="s">
        <v>103</v>
      </c>
      <c r="S13" s="10" t="s">
        <v>104</v>
      </c>
      <c r="T13" s="89"/>
      <c r="U13" s="10"/>
      <c r="V13" s="4">
        <f t="shared" si="1"/>
        <v>10</v>
      </c>
      <c r="W13" s="4">
        <f t="shared" si="2"/>
        <v>1</v>
      </c>
      <c r="X13" s="76" t="s">
        <v>9</v>
      </c>
      <c r="Y13" s="77"/>
      <c r="Z13" s="77"/>
      <c r="AA13" s="78"/>
    </row>
    <row r="14" spans="1:27" x14ac:dyDescent="0.25">
      <c r="A14" s="11">
        <v>10</v>
      </c>
      <c r="B14" s="13" t="s">
        <v>335</v>
      </c>
      <c r="C14" s="14" t="s">
        <v>407</v>
      </c>
      <c r="D14" s="8" t="s">
        <v>393</v>
      </c>
      <c r="E14" s="10" t="s">
        <v>103</v>
      </c>
      <c r="F14" s="10" t="s">
        <v>103</v>
      </c>
      <c r="G14" s="10" t="s">
        <v>103</v>
      </c>
      <c r="H14" s="87"/>
      <c r="I14" s="10" t="s">
        <v>104</v>
      </c>
      <c r="J14" s="89"/>
      <c r="K14" s="10" t="s">
        <v>104</v>
      </c>
      <c r="L14" s="10" t="s">
        <v>104</v>
      </c>
      <c r="M14" s="10" t="s">
        <v>104</v>
      </c>
      <c r="N14" s="10" t="s">
        <v>103</v>
      </c>
      <c r="O14" s="87"/>
      <c r="P14" s="89"/>
      <c r="Q14" s="10" t="s">
        <v>103</v>
      </c>
      <c r="R14" s="10" t="s">
        <v>103</v>
      </c>
      <c r="S14" s="10" t="s">
        <v>104</v>
      </c>
      <c r="T14" s="89"/>
      <c r="U14" s="10"/>
      <c r="V14" s="4">
        <f t="shared" si="1"/>
        <v>5</v>
      </c>
      <c r="W14" s="4">
        <f t="shared" si="2"/>
        <v>6</v>
      </c>
      <c r="X14" s="4" t="s">
        <v>10</v>
      </c>
      <c r="Y14" s="4" t="s">
        <v>11</v>
      </c>
      <c r="Z14" s="4" t="s">
        <v>12</v>
      </c>
      <c r="AA14" s="4" t="s">
        <v>13</v>
      </c>
    </row>
    <row r="15" spans="1:27" x14ac:dyDescent="0.25">
      <c r="A15" s="5">
        <v>11</v>
      </c>
      <c r="B15" s="13" t="s">
        <v>408</v>
      </c>
      <c r="C15" s="14" t="s">
        <v>115</v>
      </c>
      <c r="D15" s="8" t="s">
        <v>393</v>
      </c>
      <c r="E15" s="10" t="s">
        <v>103</v>
      </c>
      <c r="F15" s="10" t="s">
        <v>103</v>
      </c>
      <c r="G15" s="10" t="s">
        <v>103</v>
      </c>
      <c r="H15" s="87"/>
      <c r="I15" s="10" t="s">
        <v>103</v>
      </c>
      <c r="J15" s="89"/>
      <c r="K15" s="10" t="s">
        <v>103</v>
      </c>
      <c r="L15" s="10" t="s">
        <v>103</v>
      </c>
      <c r="M15" s="10" t="s">
        <v>103</v>
      </c>
      <c r="N15" s="10" t="s">
        <v>103</v>
      </c>
      <c r="O15" s="87"/>
      <c r="P15" s="89"/>
      <c r="Q15" s="10" t="s">
        <v>103</v>
      </c>
      <c r="R15" s="10" t="s">
        <v>103</v>
      </c>
      <c r="S15" s="10" t="s">
        <v>103</v>
      </c>
      <c r="T15" s="89"/>
      <c r="U15" s="10"/>
      <c r="V15" s="4">
        <f t="shared" si="1"/>
        <v>0</v>
      </c>
      <c r="W15" s="4">
        <f t="shared" si="2"/>
        <v>11</v>
      </c>
      <c r="X15" s="4" t="s">
        <v>14</v>
      </c>
      <c r="Y15" s="11">
        <f>28*11</f>
        <v>308</v>
      </c>
      <c r="Z15" s="11">
        <f>23*11</f>
        <v>253</v>
      </c>
      <c r="AA15" s="11">
        <f>SUM(Y15:Z15)</f>
        <v>561</v>
      </c>
    </row>
    <row r="16" spans="1:27" x14ac:dyDescent="0.25">
      <c r="A16" s="11">
        <v>12</v>
      </c>
      <c r="B16" s="13" t="s">
        <v>409</v>
      </c>
      <c r="C16" s="14" t="s">
        <v>410</v>
      </c>
      <c r="D16" s="8" t="s">
        <v>393</v>
      </c>
      <c r="E16" s="10" t="s">
        <v>104</v>
      </c>
      <c r="F16" s="10" t="s">
        <v>104</v>
      </c>
      <c r="G16" s="10" t="s">
        <v>104</v>
      </c>
      <c r="H16" s="87"/>
      <c r="I16" s="10" t="s">
        <v>104</v>
      </c>
      <c r="J16" s="89"/>
      <c r="K16" s="10" t="s">
        <v>104</v>
      </c>
      <c r="L16" s="10" t="s">
        <v>104</v>
      </c>
      <c r="M16" s="10" t="s">
        <v>104</v>
      </c>
      <c r="N16" s="10" t="s">
        <v>104</v>
      </c>
      <c r="O16" s="87"/>
      <c r="P16" s="89"/>
      <c r="Q16" s="10" t="s">
        <v>104</v>
      </c>
      <c r="R16" s="10" t="s">
        <v>104</v>
      </c>
      <c r="S16" s="10" t="s">
        <v>104</v>
      </c>
      <c r="T16" s="89"/>
      <c r="U16" s="10"/>
      <c r="V16" s="4">
        <f t="shared" si="1"/>
        <v>11</v>
      </c>
      <c r="W16" s="4">
        <f t="shared" si="2"/>
        <v>0</v>
      </c>
      <c r="X16" s="4" t="s">
        <v>15</v>
      </c>
      <c r="Y16" s="11">
        <f>SUM(V28:V55)</f>
        <v>205</v>
      </c>
      <c r="Z16" s="11">
        <f>SUM(V5:V27)</f>
        <v>182</v>
      </c>
      <c r="AA16" s="11">
        <f>Y16+Z16</f>
        <v>387</v>
      </c>
    </row>
    <row r="17" spans="1:27" x14ac:dyDescent="0.25">
      <c r="A17" s="5">
        <v>13</v>
      </c>
      <c r="B17" s="13" t="s">
        <v>411</v>
      </c>
      <c r="C17" s="14" t="s">
        <v>156</v>
      </c>
      <c r="D17" s="8" t="s">
        <v>393</v>
      </c>
      <c r="E17" s="10" t="s">
        <v>104</v>
      </c>
      <c r="F17" s="10" t="s">
        <v>104</v>
      </c>
      <c r="G17" s="10" t="s">
        <v>104</v>
      </c>
      <c r="H17" s="87"/>
      <c r="I17" s="10" t="s">
        <v>104</v>
      </c>
      <c r="J17" s="89"/>
      <c r="K17" s="10" t="s">
        <v>104</v>
      </c>
      <c r="L17" s="10" t="s">
        <v>104</v>
      </c>
      <c r="M17" s="10" t="s">
        <v>104</v>
      </c>
      <c r="N17" s="10" t="s">
        <v>104</v>
      </c>
      <c r="O17" s="87"/>
      <c r="P17" s="89"/>
      <c r="Q17" s="10" t="s">
        <v>104</v>
      </c>
      <c r="R17" s="10" t="s">
        <v>103</v>
      </c>
      <c r="S17" s="10" t="s">
        <v>103</v>
      </c>
      <c r="T17" s="89"/>
      <c r="U17" s="10"/>
      <c r="V17" s="4">
        <f t="shared" si="1"/>
        <v>9</v>
      </c>
      <c r="W17" s="4">
        <f t="shared" si="2"/>
        <v>2</v>
      </c>
      <c r="X17" s="4" t="s">
        <v>16</v>
      </c>
      <c r="Y17" s="15">
        <f>Y16/Y15</f>
        <v>0.66558441558441561</v>
      </c>
      <c r="Z17" s="15">
        <f>Z16/Z15</f>
        <v>0.71936758893280628</v>
      </c>
      <c r="AA17" s="15">
        <f>AA16/AA15</f>
        <v>0.68983957219251335</v>
      </c>
    </row>
    <row r="18" spans="1:27" x14ac:dyDescent="0.25">
      <c r="A18" s="11">
        <v>14</v>
      </c>
      <c r="B18" s="13" t="s">
        <v>412</v>
      </c>
      <c r="C18" s="14" t="s">
        <v>413</v>
      </c>
      <c r="D18" s="8" t="s">
        <v>393</v>
      </c>
      <c r="E18" s="10" t="s">
        <v>104</v>
      </c>
      <c r="F18" s="10" t="s">
        <v>104</v>
      </c>
      <c r="G18" s="10" t="s">
        <v>104</v>
      </c>
      <c r="H18" s="87"/>
      <c r="I18" s="10" t="s">
        <v>104</v>
      </c>
      <c r="J18" s="89"/>
      <c r="K18" s="10" t="s">
        <v>104</v>
      </c>
      <c r="L18" s="10" t="s">
        <v>104</v>
      </c>
      <c r="M18" s="10" t="s">
        <v>103</v>
      </c>
      <c r="N18" s="10" t="s">
        <v>103</v>
      </c>
      <c r="O18" s="87"/>
      <c r="P18" s="89"/>
      <c r="Q18" s="10" t="s">
        <v>103</v>
      </c>
      <c r="R18" s="10" t="s">
        <v>103</v>
      </c>
      <c r="S18" s="10" t="s">
        <v>103</v>
      </c>
      <c r="T18" s="89"/>
      <c r="U18" s="10"/>
      <c r="V18" s="4">
        <f t="shared" si="1"/>
        <v>6</v>
      </c>
      <c r="W18" s="4">
        <f t="shared" si="2"/>
        <v>5</v>
      </c>
      <c r="X18"/>
      <c r="Y18"/>
      <c r="Z18"/>
      <c r="AA18"/>
    </row>
    <row r="19" spans="1:27" x14ac:dyDescent="0.25">
      <c r="A19" s="5">
        <v>15</v>
      </c>
      <c r="B19" s="13" t="s">
        <v>414</v>
      </c>
      <c r="C19" s="14" t="s">
        <v>132</v>
      </c>
      <c r="D19" s="8" t="s">
        <v>393</v>
      </c>
      <c r="E19" s="10" t="s">
        <v>104</v>
      </c>
      <c r="F19" s="10" t="s">
        <v>104</v>
      </c>
      <c r="G19" s="10" t="s">
        <v>104</v>
      </c>
      <c r="H19" s="87"/>
      <c r="I19" s="10" t="s">
        <v>104</v>
      </c>
      <c r="J19" s="89"/>
      <c r="K19" s="10" t="s">
        <v>104</v>
      </c>
      <c r="L19" s="10" t="s">
        <v>104</v>
      </c>
      <c r="M19" s="10" t="s">
        <v>104</v>
      </c>
      <c r="N19" s="10" t="s">
        <v>103</v>
      </c>
      <c r="O19" s="87"/>
      <c r="P19" s="89"/>
      <c r="Q19" s="10" t="s">
        <v>103</v>
      </c>
      <c r="R19" s="10" t="s">
        <v>103</v>
      </c>
      <c r="S19" s="10" t="s">
        <v>104</v>
      </c>
      <c r="T19" s="89"/>
      <c r="U19" s="10"/>
      <c r="V19" s="4">
        <f t="shared" si="1"/>
        <v>8</v>
      </c>
      <c r="W19" s="4">
        <f t="shared" si="2"/>
        <v>3</v>
      </c>
      <c r="X19"/>
      <c r="Y19"/>
      <c r="Z19"/>
      <c r="AA19"/>
    </row>
    <row r="20" spans="1:27" x14ac:dyDescent="0.25">
      <c r="A20" s="11">
        <v>16</v>
      </c>
      <c r="B20" s="13" t="s">
        <v>415</v>
      </c>
      <c r="C20" s="14" t="s">
        <v>416</v>
      </c>
      <c r="D20" s="8" t="s">
        <v>393</v>
      </c>
      <c r="E20" s="10" t="s">
        <v>104</v>
      </c>
      <c r="F20" s="10" t="s">
        <v>104</v>
      </c>
      <c r="G20" s="10" t="s">
        <v>104</v>
      </c>
      <c r="H20" s="87"/>
      <c r="I20" s="10" t="s">
        <v>104</v>
      </c>
      <c r="J20" s="89"/>
      <c r="K20" s="10" t="s">
        <v>104</v>
      </c>
      <c r="L20" s="10" t="s">
        <v>104</v>
      </c>
      <c r="M20" s="10" t="s">
        <v>104</v>
      </c>
      <c r="N20" s="10" t="s">
        <v>104</v>
      </c>
      <c r="O20" s="87"/>
      <c r="P20" s="89"/>
      <c r="Q20" s="10" t="s">
        <v>104</v>
      </c>
      <c r="R20" s="10" t="s">
        <v>103</v>
      </c>
      <c r="S20" s="10" t="s">
        <v>104</v>
      </c>
      <c r="T20" s="89"/>
      <c r="U20" s="10"/>
      <c r="V20" s="4">
        <f t="shared" si="1"/>
        <v>10</v>
      </c>
      <c r="W20" s="4">
        <f t="shared" si="2"/>
        <v>1</v>
      </c>
      <c r="X20"/>
      <c r="Y20"/>
      <c r="Z20"/>
      <c r="AA20"/>
    </row>
    <row r="21" spans="1:27" ht="15.75" x14ac:dyDescent="0.25">
      <c r="A21" s="5">
        <v>17</v>
      </c>
      <c r="B21" s="13" t="s">
        <v>417</v>
      </c>
      <c r="C21" s="14" t="s">
        <v>418</v>
      </c>
      <c r="D21" s="8" t="s">
        <v>393</v>
      </c>
      <c r="E21" s="10" t="s">
        <v>104</v>
      </c>
      <c r="F21" s="10" t="s">
        <v>104</v>
      </c>
      <c r="G21" s="10" t="s">
        <v>104</v>
      </c>
      <c r="H21" s="87"/>
      <c r="I21" s="10" t="s">
        <v>104</v>
      </c>
      <c r="J21" s="89"/>
      <c r="K21" s="10" t="s">
        <v>104</v>
      </c>
      <c r="L21" s="10" t="s">
        <v>104</v>
      </c>
      <c r="M21" s="10" t="s">
        <v>104</v>
      </c>
      <c r="N21" s="10" t="s">
        <v>104</v>
      </c>
      <c r="O21" s="87"/>
      <c r="P21" s="89"/>
      <c r="Q21" s="10" t="s">
        <v>103</v>
      </c>
      <c r="R21" s="10" t="s">
        <v>103</v>
      </c>
      <c r="S21" s="10" t="s">
        <v>104</v>
      </c>
      <c r="T21" s="89"/>
      <c r="U21" s="10"/>
      <c r="V21" s="4">
        <f t="shared" si="1"/>
        <v>9</v>
      </c>
      <c r="W21" s="4">
        <f t="shared" si="2"/>
        <v>2</v>
      </c>
      <c r="X21" s="76" t="s">
        <v>316</v>
      </c>
      <c r="Y21" s="77"/>
      <c r="Z21" s="77"/>
      <c r="AA21" s="78"/>
    </row>
    <row r="22" spans="1:27" x14ac:dyDescent="0.25">
      <c r="A22" s="11">
        <v>18</v>
      </c>
      <c r="B22" s="13" t="s">
        <v>419</v>
      </c>
      <c r="C22" s="14" t="s">
        <v>420</v>
      </c>
      <c r="D22" s="8" t="s">
        <v>393</v>
      </c>
      <c r="E22" s="10" t="s">
        <v>104</v>
      </c>
      <c r="F22" s="10" t="s">
        <v>104</v>
      </c>
      <c r="G22" s="10" t="s">
        <v>104</v>
      </c>
      <c r="H22" s="87"/>
      <c r="I22" s="10" t="s">
        <v>104</v>
      </c>
      <c r="J22" s="89"/>
      <c r="K22" s="10" t="s">
        <v>104</v>
      </c>
      <c r="L22" s="10" t="s">
        <v>104</v>
      </c>
      <c r="M22" s="10" t="s">
        <v>104</v>
      </c>
      <c r="N22" s="10" t="s">
        <v>103</v>
      </c>
      <c r="O22" s="87"/>
      <c r="P22" s="89"/>
      <c r="Q22" s="10" t="s">
        <v>103</v>
      </c>
      <c r="R22" s="10" t="s">
        <v>103</v>
      </c>
      <c r="S22" s="10" t="s">
        <v>104</v>
      </c>
      <c r="T22" s="89"/>
      <c r="U22" s="10"/>
      <c r="V22" s="4">
        <f t="shared" si="1"/>
        <v>8</v>
      </c>
      <c r="W22" s="4">
        <f t="shared" si="2"/>
        <v>3</v>
      </c>
      <c r="X22" s="4" t="s">
        <v>10</v>
      </c>
      <c r="Y22" s="4" t="s">
        <v>11</v>
      </c>
      <c r="Z22" s="4" t="s">
        <v>12</v>
      </c>
      <c r="AA22" s="4" t="s">
        <v>13</v>
      </c>
    </row>
    <row r="23" spans="1:27" x14ac:dyDescent="0.25">
      <c r="A23" s="5">
        <v>19</v>
      </c>
      <c r="B23" s="13" t="s">
        <v>421</v>
      </c>
      <c r="C23" s="14" t="s">
        <v>422</v>
      </c>
      <c r="D23" s="8" t="s">
        <v>393</v>
      </c>
      <c r="E23" s="10" t="s">
        <v>104</v>
      </c>
      <c r="F23" s="10" t="s">
        <v>104</v>
      </c>
      <c r="G23" s="10" t="s">
        <v>104</v>
      </c>
      <c r="H23" s="87"/>
      <c r="I23" s="10" t="s">
        <v>104</v>
      </c>
      <c r="J23" s="89"/>
      <c r="K23" s="10" t="s">
        <v>104</v>
      </c>
      <c r="L23" s="10" t="s">
        <v>104</v>
      </c>
      <c r="M23" s="10" t="s">
        <v>104</v>
      </c>
      <c r="N23" s="10" t="s">
        <v>104</v>
      </c>
      <c r="O23" s="87"/>
      <c r="P23" s="89"/>
      <c r="Q23" s="10" t="s">
        <v>104</v>
      </c>
      <c r="R23" s="10" t="s">
        <v>103</v>
      </c>
      <c r="S23" s="10" t="s">
        <v>103</v>
      </c>
      <c r="T23" s="89"/>
      <c r="U23" s="10"/>
      <c r="V23" s="4">
        <f t="shared" si="1"/>
        <v>9</v>
      </c>
      <c r="W23" s="4">
        <f t="shared" si="2"/>
        <v>2</v>
      </c>
      <c r="X23" s="4" t="s">
        <v>14</v>
      </c>
      <c r="Y23" s="11">
        <f>28*11</f>
        <v>308</v>
      </c>
      <c r="Z23" s="11">
        <f>23*11</f>
        <v>253</v>
      </c>
      <c r="AA23" s="11">
        <f>Y23+Z23</f>
        <v>561</v>
      </c>
    </row>
    <row r="24" spans="1:27" x14ac:dyDescent="0.25">
      <c r="A24" s="11">
        <v>20</v>
      </c>
      <c r="B24" s="13" t="s">
        <v>131</v>
      </c>
      <c r="C24" s="14" t="s">
        <v>181</v>
      </c>
      <c r="D24" s="8" t="s">
        <v>393</v>
      </c>
      <c r="E24" s="10" t="s">
        <v>103</v>
      </c>
      <c r="F24" s="10" t="s">
        <v>103</v>
      </c>
      <c r="G24" s="10" t="s">
        <v>104</v>
      </c>
      <c r="H24" s="87"/>
      <c r="I24" s="10" t="s">
        <v>104</v>
      </c>
      <c r="J24" s="89"/>
      <c r="K24" s="10" t="s">
        <v>103</v>
      </c>
      <c r="L24" s="10" t="s">
        <v>104</v>
      </c>
      <c r="M24" s="10" t="s">
        <v>104</v>
      </c>
      <c r="N24" s="10" t="s">
        <v>104</v>
      </c>
      <c r="O24" s="87"/>
      <c r="P24" s="89"/>
      <c r="Q24" s="10" t="s">
        <v>104</v>
      </c>
      <c r="R24" s="10" t="s">
        <v>103</v>
      </c>
      <c r="S24" s="10" t="s">
        <v>103</v>
      </c>
      <c r="T24" s="89"/>
      <c r="U24" s="10"/>
      <c r="V24" s="4">
        <f t="shared" si="1"/>
        <v>6</v>
      </c>
      <c r="W24" s="4">
        <f t="shared" si="2"/>
        <v>5</v>
      </c>
      <c r="X24" s="4" t="s">
        <v>17</v>
      </c>
      <c r="Y24" s="11">
        <f>Y23-Y16</f>
        <v>103</v>
      </c>
      <c r="Z24" s="11">
        <f>Z23-Z16</f>
        <v>71</v>
      </c>
      <c r="AA24" s="11">
        <f>Y24+Z24</f>
        <v>174</v>
      </c>
    </row>
    <row r="25" spans="1:27" x14ac:dyDescent="0.25">
      <c r="A25" s="5">
        <v>21</v>
      </c>
      <c r="B25" s="13" t="s">
        <v>423</v>
      </c>
      <c r="C25" s="14" t="s">
        <v>181</v>
      </c>
      <c r="D25" s="8" t="s">
        <v>393</v>
      </c>
      <c r="E25" s="10" t="s">
        <v>103</v>
      </c>
      <c r="F25" s="10" t="s">
        <v>103</v>
      </c>
      <c r="G25" s="10" t="s">
        <v>104</v>
      </c>
      <c r="H25" s="87"/>
      <c r="I25" s="10" t="s">
        <v>104</v>
      </c>
      <c r="J25" s="89"/>
      <c r="K25" s="10" t="s">
        <v>103</v>
      </c>
      <c r="L25" s="10" t="s">
        <v>104</v>
      </c>
      <c r="M25" s="10" t="s">
        <v>104</v>
      </c>
      <c r="N25" s="10" t="s">
        <v>104</v>
      </c>
      <c r="O25" s="87"/>
      <c r="P25" s="89"/>
      <c r="Q25" s="10" t="s">
        <v>104</v>
      </c>
      <c r="R25" s="10" t="s">
        <v>103</v>
      </c>
      <c r="S25" s="10" t="s">
        <v>103</v>
      </c>
      <c r="T25" s="89"/>
      <c r="U25" s="10"/>
      <c r="V25" s="4">
        <f t="shared" si="1"/>
        <v>6</v>
      </c>
      <c r="W25" s="4">
        <f t="shared" si="2"/>
        <v>5</v>
      </c>
      <c r="X25" s="4" t="s">
        <v>16</v>
      </c>
      <c r="Y25" s="15">
        <f>Y24/Y23</f>
        <v>0.33441558441558439</v>
      </c>
      <c r="Z25" s="15">
        <f>Z24/Z23</f>
        <v>0.28063241106719367</v>
      </c>
      <c r="AA25" s="15">
        <f>AA24/AA23</f>
        <v>0.31016042780748665</v>
      </c>
    </row>
    <row r="26" spans="1:27" x14ac:dyDescent="0.25">
      <c r="A26" s="11">
        <v>22</v>
      </c>
      <c r="B26" s="13" t="s">
        <v>424</v>
      </c>
      <c r="C26" s="14" t="s">
        <v>84</v>
      </c>
      <c r="D26" s="8" t="s">
        <v>393</v>
      </c>
      <c r="E26" s="10" t="s">
        <v>107</v>
      </c>
      <c r="F26" s="10" t="s">
        <v>107</v>
      </c>
      <c r="G26" s="10" t="s">
        <v>107</v>
      </c>
      <c r="H26" s="87"/>
      <c r="I26" s="10" t="s">
        <v>107</v>
      </c>
      <c r="J26" s="89"/>
      <c r="K26" s="10" t="s">
        <v>103</v>
      </c>
      <c r="L26" s="10" t="s">
        <v>103</v>
      </c>
      <c r="M26" s="10" t="s">
        <v>103</v>
      </c>
      <c r="N26" s="10" t="s">
        <v>103</v>
      </c>
      <c r="O26" s="87"/>
      <c r="P26" s="89"/>
      <c r="Q26" s="10" t="s">
        <v>103</v>
      </c>
      <c r="R26" s="10" t="s">
        <v>104</v>
      </c>
      <c r="S26" s="10" t="s">
        <v>103</v>
      </c>
      <c r="T26" s="89"/>
      <c r="U26" s="10"/>
      <c r="V26" s="4">
        <f t="shared" si="1"/>
        <v>1</v>
      </c>
      <c r="W26" s="4">
        <f t="shared" si="2"/>
        <v>6</v>
      </c>
    </row>
    <row r="27" spans="1:27" x14ac:dyDescent="0.25">
      <c r="A27" s="5">
        <v>23</v>
      </c>
      <c r="B27" s="13" t="s">
        <v>425</v>
      </c>
      <c r="C27" s="14" t="s">
        <v>426</v>
      </c>
      <c r="D27" s="8" t="s">
        <v>393</v>
      </c>
      <c r="E27" s="10" t="s">
        <v>104</v>
      </c>
      <c r="F27" s="10" t="s">
        <v>104</v>
      </c>
      <c r="G27" s="10" t="s">
        <v>104</v>
      </c>
      <c r="H27" s="87"/>
      <c r="I27" s="10" t="s">
        <v>104</v>
      </c>
      <c r="J27" s="89"/>
      <c r="K27" s="10" t="s">
        <v>104</v>
      </c>
      <c r="L27" s="10" t="s">
        <v>104</v>
      </c>
      <c r="M27" s="10" t="s">
        <v>104</v>
      </c>
      <c r="N27" s="10" t="s">
        <v>104</v>
      </c>
      <c r="O27" s="87"/>
      <c r="P27" s="89"/>
      <c r="Q27" s="10" t="s">
        <v>103</v>
      </c>
      <c r="R27" s="10" t="s">
        <v>103</v>
      </c>
      <c r="S27" s="10" t="s">
        <v>103</v>
      </c>
      <c r="T27" s="89"/>
      <c r="U27" s="10"/>
      <c r="V27" s="4">
        <f t="shared" si="1"/>
        <v>8</v>
      </c>
      <c r="W27" s="4">
        <f t="shared" si="2"/>
        <v>3</v>
      </c>
    </row>
    <row r="28" spans="1:27" ht="15" customHeight="1" x14ac:dyDescent="0.25">
      <c r="A28" s="5">
        <v>1</v>
      </c>
      <c r="B28" s="6" t="s">
        <v>429</v>
      </c>
      <c r="C28" s="7" t="s">
        <v>430</v>
      </c>
      <c r="D28" s="8" t="s">
        <v>393</v>
      </c>
      <c r="E28" s="10" t="s">
        <v>104</v>
      </c>
      <c r="F28" s="10" t="s">
        <v>104</v>
      </c>
      <c r="G28" s="10" t="s">
        <v>104</v>
      </c>
      <c r="H28" s="87"/>
      <c r="I28" s="10" t="s">
        <v>104</v>
      </c>
      <c r="J28" s="89"/>
      <c r="K28" s="10" t="s">
        <v>104</v>
      </c>
      <c r="L28" s="10" t="s">
        <v>104</v>
      </c>
      <c r="M28" s="10" t="s">
        <v>104</v>
      </c>
      <c r="N28" s="10" t="s">
        <v>104</v>
      </c>
      <c r="O28" s="87"/>
      <c r="P28" s="89"/>
      <c r="Q28" s="10" t="s">
        <v>104</v>
      </c>
      <c r="R28" s="10" t="s">
        <v>103</v>
      </c>
      <c r="S28" s="10" t="s">
        <v>103</v>
      </c>
      <c r="T28" s="89"/>
      <c r="U28" s="10"/>
      <c r="V28" s="4">
        <f t="shared" si="1"/>
        <v>9</v>
      </c>
      <c r="W28" s="4">
        <f t="shared" si="2"/>
        <v>2</v>
      </c>
    </row>
    <row r="29" spans="1:27" x14ac:dyDescent="0.25">
      <c r="A29" s="11">
        <v>2</v>
      </c>
      <c r="B29" s="13" t="s">
        <v>431</v>
      </c>
      <c r="C29" s="14" t="s">
        <v>230</v>
      </c>
      <c r="D29" s="8" t="s">
        <v>393</v>
      </c>
      <c r="E29" s="10" t="s">
        <v>104</v>
      </c>
      <c r="F29" s="10" t="s">
        <v>104</v>
      </c>
      <c r="G29" s="10" t="s">
        <v>104</v>
      </c>
      <c r="H29" s="87"/>
      <c r="I29" s="10" t="s">
        <v>104</v>
      </c>
      <c r="J29" s="89"/>
      <c r="K29" s="10" t="s">
        <v>104</v>
      </c>
      <c r="L29" s="10" t="s">
        <v>104</v>
      </c>
      <c r="M29" s="10" t="s">
        <v>104</v>
      </c>
      <c r="N29" s="10" t="s">
        <v>104</v>
      </c>
      <c r="O29" s="87"/>
      <c r="P29" s="89"/>
      <c r="Q29" s="10" t="s">
        <v>104</v>
      </c>
      <c r="R29" s="10" t="s">
        <v>103</v>
      </c>
      <c r="S29" s="10" t="s">
        <v>104</v>
      </c>
      <c r="T29" s="89"/>
      <c r="U29" s="10"/>
      <c r="V29" s="4">
        <f t="shared" si="1"/>
        <v>10</v>
      </c>
      <c r="W29" s="4">
        <f t="shared" si="2"/>
        <v>1</v>
      </c>
    </row>
    <row r="30" spans="1:27" x14ac:dyDescent="0.25">
      <c r="A30" s="5">
        <v>3</v>
      </c>
      <c r="B30" s="13" t="s">
        <v>432</v>
      </c>
      <c r="C30" s="14" t="s">
        <v>433</v>
      </c>
      <c r="D30" s="8" t="s">
        <v>393</v>
      </c>
      <c r="E30" s="10" t="s">
        <v>104</v>
      </c>
      <c r="F30" s="10" t="s">
        <v>104</v>
      </c>
      <c r="G30" s="10" t="s">
        <v>104</v>
      </c>
      <c r="H30" s="87"/>
      <c r="I30" s="10" t="s">
        <v>104</v>
      </c>
      <c r="J30" s="89"/>
      <c r="K30" s="10" t="s">
        <v>104</v>
      </c>
      <c r="L30" s="10" t="s">
        <v>104</v>
      </c>
      <c r="M30" s="10" t="s">
        <v>104</v>
      </c>
      <c r="N30" s="10" t="s">
        <v>104</v>
      </c>
      <c r="O30" s="87"/>
      <c r="P30" s="89"/>
      <c r="Q30" s="10" t="s">
        <v>104</v>
      </c>
      <c r="R30" s="10" t="s">
        <v>104</v>
      </c>
      <c r="S30" s="10" t="s">
        <v>104</v>
      </c>
      <c r="T30" s="89"/>
      <c r="U30" s="10"/>
      <c r="V30" s="4">
        <f t="shared" si="1"/>
        <v>11</v>
      </c>
      <c r="W30" s="4">
        <f t="shared" si="2"/>
        <v>0</v>
      </c>
    </row>
    <row r="31" spans="1:27" x14ac:dyDescent="0.25">
      <c r="A31" s="11">
        <v>4</v>
      </c>
      <c r="B31" s="13" t="s">
        <v>434</v>
      </c>
      <c r="C31" s="14" t="s">
        <v>355</v>
      </c>
      <c r="D31" s="8" t="s">
        <v>393</v>
      </c>
      <c r="E31" s="10" t="s">
        <v>103</v>
      </c>
      <c r="F31" s="10" t="s">
        <v>104</v>
      </c>
      <c r="G31" s="10" t="s">
        <v>104</v>
      </c>
      <c r="H31" s="87"/>
      <c r="I31" s="10" t="s">
        <v>104</v>
      </c>
      <c r="J31" s="89"/>
      <c r="K31" s="10" t="s">
        <v>104</v>
      </c>
      <c r="L31" s="10" t="s">
        <v>104</v>
      </c>
      <c r="M31" s="10" t="s">
        <v>104</v>
      </c>
      <c r="N31" s="10" t="s">
        <v>103</v>
      </c>
      <c r="O31" s="87"/>
      <c r="P31" s="89"/>
      <c r="Q31" s="10" t="s">
        <v>104</v>
      </c>
      <c r="R31" s="10" t="s">
        <v>103</v>
      </c>
      <c r="S31" s="10" t="s">
        <v>103</v>
      </c>
      <c r="T31" s="89"/>
      <c r="U31" s="10"/>
      <c r="V31" s="4">
        <f t="shared" si="1"/>
        <v>7</v>
      </c>
      <c r="W31" s="4">
        <f t="shared" si="2"/>
        <v>4</v>
      </c>
    </row>
    <row r="32" spans="1:27" x14ac:dyDescent="0.25">
      <c r="A32" s="5">
        <v>5</v>
      </c>
      <c r="B32" s="13" t="s">
        <v>109</v>
      </c>
      <c r="C32" s="14" t="s">
        <v>435</v>
      </c>
      <c r="D32" s="8" t="s">
        <v>393</v>
      </c>
      <c r="E32" s="10" t="s">
        <v>103</v>
      </c>
      <c r="F32" s="10" t="s">
        <v>103</v>
      </c>
      <c r="G32" s="10" t="s">
        <v>104</v>
      </c>
      <c r="H32" s="87"/>
      <c r="I32" s="10" t="s">
        <v>104</v>
      </c>
      <c r="J32" s="89"/>
      <c r="K32" s="10" t="s">
        <v>104</v>
      </c>
      <c r="L32" s="10" t="s">
        <v>104</v>
      </c>
      <c r="M32" s="10" t="s">
        <v>104</v>
      </c>
      <c r="N32" s="10" t="s">
        <v>103</v>
      </c>
      <c r="O32" s="87"/>
      <c r="P32" s="89"/>
      <c r="Q32" s="10" t="s">
        <v>104</v>
      </c>
      <c r="R32" s="10" t="s">
        <v>103</v>
      </c>
      <c r="S32" s="10" t="s">
        <v>104</v>
      </c>
      <c r="T32" s="89"/>
      <c r="U32" s="10"/>
      <c r="V32" s="4">
        <f t="shared" si="1"/>
        <v>7</v>
      </c>
      <c r="W32" s="4">
        <f t="shared" si="2"/>
        <v>4</v>
      </c>
    </row>
    <row r="33" spans="1:23" x14ac:dyDescent="0.25">
      <c r="A33" s="11">
        <v>6</v>
      </c>
      <c r="B33" s="13" t="s">
        <v>436</v>
      </c>
      <c r="C33" s="14" t="s">
        <v>437</v>
      </c>
      <c r="D33" s="8" t="s">
        <v>393</v>
      </c>
      <c r="E33" s="10" t="s">
        <v>104</v>
      </c>
      <c r="F33" s="10" t="s">
        <v>104</v>
      </c>
      <c r="G33" s="10" t="s">
        <v>104</v>
      </c>
      <c r="H33" s="87"/>
      <c r="I33" s="10" t="s">
        <v>104</v>
      </c>
      <c r="J33" s="89"/>
      <c r="K33" s="10" t="s">
        <v>104</v>
      </c>
      <c r="L33" s="10" t="s">
        <v>104</v>
      </c>
      <c r="M33" s="10" t="s">
        <v>104</v>
      </c>
      <c r="N33" s="10" t="s">
        <v>104</v>
      </c>
      <c r="O33" s="87"/>
      <c r="P33" s="89"/>
      <c r="Q33" s="10" t="s">
        <v>104</v>
      </c>
      <c r="R33" s="10" t="s">
        <v>103</v>
      </c>
      <c r="S33" s="10" t="s">
        <v>104</v>
      </c>
      <c r="T33" s="89"/>
      <c r="U33" s="10"/>
      <c r="V33" s="4">
        <f t="shared" si="1"/>
        <v>10</v>
      </c>
      <c r="W33" s="4">
        <f t="shared" si="2"/>
        <v>1</v>
      </c>
    </row>
    <row r="34" spans="1:23" x14ac:dyDescent="0.25">
      <c r="A34" s="5">
        <v>7</v>
      </c>
      <c r="B34" s="13" t="s">
        <v>438</v>
      </c>
      <c r="C34" s="14" t="s">
        <v>57</v>
      </c>
      <c r="D34" s="8" t="s">
        <v>393</v>
      </c>
      <c r="E34" s="10" t="s">
        <v>104</v>
      </c>
      <c r="F34" s="10" t="s">
        <v>104</v>
      </c>
      <c r="G34" s="10" t="s">
        <v>104</v>
      </c>
      <c r="H34" s="87"/>
      <c r="I34" s="10" t="s">
        <v>104</v>
      </c>
      <c r="J34" s="89"/>
      <c r="K34" s="10" t="s">
        <v>104</v>
      </c>
      <c r="L34" s="10" t="s">
        <v>104</v>
      </c>
      <c r="M34" s="10" t="s">
        <v>104</v>
      </c>
      <c r="N34" s="10" t="s">
        <v>103</v>
      </c>
      <c r="O34" s="87"/>
      <c r="P34" s="89"/>
      <c r="Q34" s="10" t="s">
        <v>104</v>
      </c>
      <c r="R34" s="10" t="s">
        <v>103</v>
      </c>
      <c r="S34" s="10" t="s">
        <v>103</v>
      </c>
      <c r="T34" s="89"/>
      <c r="U34" s="10"/>
      <c r="V34" s="4">
        <f t="shared" si="1"/>
        <v>8</v>
      </c>
      <c r="W34" s="4">
        <f t="shared" si="2"/>
        <v>3</v>
      </c>
    </row>
    <row r="35" spans="1:23" x14ac:dyDescent="0.25">
      <c r="A35" s="11">
        <v>8</v>
      </c>
      <c r="B35" s="13" t="s">
        <v>252</v>
      </c>
      <c r="C35" s="14" t="s">
        <v>439</v>
      </c>
      <c r="D35" s="8" t="s">
        <v>393</v>
      </c>
      <c r="E35" s="10" t="s">
        <v>103</v>
      </c>
      <c r="F35" s="10" t="s">
        <v>103</v>
      </c>
      <c r="G35" s="10" t="s">
        <v>103</v>
      </c>
      <c r="H35" s="87"/>
      <c r="I35" s="10" t="s">
        <v>104</v>
      </c>
      <c r="J35" s="89"/>
      <c r="K35" s="10" t="s">
        <v>104</v>
      </c>
      <c r="L35" s="10" t="s">
        <v>104</v>
      </c>
      <c r="M35" s="10" t="s">
        <v>104</v>
      </c>
      <c r="N35" s="10" t="s">
        <v>103</v>
      </c>
      <c r="O35" s="87"/>
      <c r="P35" s="89"/>
      <c r="Q35" s="10" t="s">
        <v>103</v>
      </c>
      <c r="R35" s="10" t="s">
        <v>103</v>
      </c>
      <c r="S35" s="10" t="s">
        <v>104</v>
      </c>
      <c r="T35" s="89"/>
      <c r="U35" s="10"/>
      <c r="V35" s="4">
        <f t="shared" si="1"/>
        <v>5</v>
      </c>
      <c r="W35" s="4">
        <f t="shared" si="2"/>
        <v>6</v>
      </c>
    </row>
    <row r="36" spans="1:23" x14ac:dyDescent="0.25">
      <c r="A36" s="5">
        <v>9</v>
      </c>
      <c r="B36" s="13" t="s">
        <v>59</v>
      </c>
      <c r="C36" s="14" t="s">
        <v>236</v>
      </c>
      <c r="D36" s="8" t="s">
        <v>393</v>
      </c>
      <c r="E36" s="10" t="s">
        <v>103</v>
      </c>
      <c r="F36" s="10" t="s">
        <v>103</v>
      </c>
      <c r="G36" s="10" t="s">
        <v>104</v>
      </c>
      <c r="H36" s="87"/>
      <c r="I36" s="10" t="s">
        <v>104</v>
      </c>
      <c r="J36" s="89"/>
      <c r="K36" s="10" t="s">
        <v>104</v>
      </c>
      <c r="L36" s="10" t="s">
        <v>104</v>
      </c>
      <c r="M36" s="10" t="s">
        <v>104</v>
      </c>
      <c r="N36" s="10" t="s">
        <v>103</v>
      </c>
      <c r="O36" s="87"/>
      <c r="P36" s="89"/>
      <c r="Q36" s="10" t="s">
        <v>103</v>
      </c>
      <c r="R36" s="10" t="s">
        <v>103</v>
      </c>
      <c r="S36" s="10" t="s">
        <v>104</v>
      </c>
      <c r="T36" s="89"/>
      <c r="U36" s="10"/>
      <c r="V36" s="4">
        <f t="shared" si="1"/>
        <v>6</v>
      </c>
      <c r="W36" s="4">
        <f t="shared" si="2"/>
        <v>5</v>
      </c>
    </row>
    <row r="37" spans="1:23" x14ac:dyDescent="0.25">
      <c r="A37" s="11">
        <v>10</v>
      </c>
      <c r="B37" s="13" t="s">
        <v>440</v>
      </c>
      <c r="C37" s="14" t="s">
        <v>441</v>
      </c>
      <c r="D37" s="8" t="s">
        <v>393</v>
      </c>
      <c r="E37" s="10" t="s">
        <v>103</v>
      </c>
      <c r="F37" s="10" t="s">
        <v>103</v>
      </c>
      <c r="G37" s="10" t="s">
        <v>104</v>
      </c>
      <c r="H37" s="87"/>
      <c r="I37" s="10" t="s">
        <v>104</v>
      </c>
      <c r="J37" s="89"/>
      <c r="K37" s="10" t="s">
        <v>104</v>
      </c>
      <c r="L37" s="10" t="s">
        <v>104</v>
      </c>
      <c r="M37" s="10" t="s">
        <v>104</v>
      </c>
      <c r="N37" s="10" t="s">
        <v>104</v>
      </c>
      <c r="O37" s="87"/>
      <c r="P37" s="89"/>
      <c r="Q37" s="10" t="s">
        <v>103</v>
      </c>
      <c r="R37" s="10" t="s">
        <v>103</v>
      </c>
      <c r="S37" s="10" t="s">
        <v>104</v>
      </c>
      <c r="T37" s="89"/>
      <c r="U37" s="10"/>
      <c r="V37" s="4">
        <f t="shared" si="1"/>
        <v>7</v>
      </c>
      <c r="W37" s="4">
        <f t="shared" si="2"/>
        <v>4</v>
      </c>
    </row>
    <row r="38" spans="1:23" x14ac:dyDescent="0.25">
      <c r="A38" s="5">
        <v>11</v>
      </c>
      <c r="B38" s="13" t="s">
        <v>442</v>
      </c>
      <c r="C38" s="14" t="s">
        <v>443</v>
      </c>
      <c r="D38" s="8" t="s">
        <v>393</v>
      </c>
      <c r="E38" s="10" t="s">
        <v>103</v>
      </c>
      <c r="F38" s="10" t="s">
        <v>103</v>
      </c>
      <c r="G38" s="10" t="s">
        <v>104</v>
      </c>
      <c r="H38" s="87"/>
      <c r="I38" s="10" t="s">
        <v>104</v>
      </c>
      <c r="J38" s="89"/>
      <c r="K38" s="10" t="s">
        <v>104</v>
      </c>
      <c r="L38" s="10" t="s">
        <v>104</v>
      </c>
      <c r="M38" s="10" t="s">
        <v>104</v>
      </c>
      <c r="N38" s="10" t="s">
        <v>103</v>
      </c>
      <c r="O38" s="87"/>
      <c r="P38" s="89"/>
      <c r="Q38" s="10" t="s">
        <v>103</v>
      </c>
      <c r="R38" s="10" t="s">
        <v>103</v>
      </c>
      <c r="S38" s="10" t="s">
        <v>104</v>
      </c>
      <c r="T38" s="89"/>
      <c r="U38" s="10"/>
      <c r="V38" s="4">
        <f t="shared" si="1"/>
        <v>6</v>
      </c>
      <c r="W38" s="4">
        <f t="shared" si="2"/>
        <v>5</v>
      </c>
    </row>
    <row r="39" spans="1:23" x14ac:dyDescent="0.25">
      <c r="A39" s="11">
        <v>12</v>
      </c>
      <c r="B39" s="13" t="s">
        <v>444</v>
      </c>
      <c r="C39" s="14" t="s">
        <v>445</v>
      </c>
      <c r="D39" s="8" t="s">
        <v>393</v>
      </c>
      <c r="E39" s="10" t="s">
        <v>103</v>
      </c>
      <c r="F39" s="10" t="s">
        <v>103</v>
      </c>
      <c r="G39" s="10" t="s">
        <v>103</v>
      </c>
      <c r="H39" s="87"/>
      <c r="I39" s="10" t="s">
        <v>104</v>
      </c>
      <c r="J39" s="89"/>
      <c r="K39" s="10" t="s">
        <v>104</v>
      </c>
      <c r="L39" s="10" t="s">
        <v>104</v>
      </c>
      <c r="M39" s="10" t="s">
        <v>103</v>
      </c>
      <c r="N39" s="10" t="s">
        <v>104</v>
      </c>
      <c r="O39" s="87"/>
      <c r="P39" s="89"/>
      <c r="Q39" s="10" t="s">
        <v>103</v>
      </c>
      <c r="R39" s="10" t="s">
        <v>103</v>
      </c>
      <c r="S39" s="10" t="s">
        <v>103</v>
      </c>
      <c r="T39" s="89"/>
      <c r="U39" s="10"/>
      <c r="V39" s="4">
        <f t="shared" si="1"/>
        <v>4</v>
      </c>
      <c r="W39" s="4">
        <f t="shared" si="2"/>
        <v>7</v>
      </c>
    </row>
    <row r="40" spans="1:23" x14ac:dyDescent="0.25">
      <c r="A40" s="5">
        <v>13</v>
      </c>
      <c r="B40" s="13" t="s">
        <v>446</v>
      </c>
      <c r="C40" s="14" t="s">
        <v>111</v>
      </c>
      <c r="D40" s="8" t="s">
        <v>393</v>
      </c>
      <c r="E40" s="10" t="s">
        <v>103</v>
      </c>
      <c r="F40" s="10" t="s">
        <v>103</v>
      </c>
      <c r="G40" s="10" t="s">
        <v>104</v>
      </c>
      <c r="H40" s="87"/>
      <c r="I40" s="10" t="s">
        <v>104</v>
      </c>
      <c r="J40" s="89"/>
      <c r="K40" s="10" t="s">
        <v>104</v>
      </c>
      <c r="L40" s="10" t="s">
        <v>104</v>
      </c>
      <c r="M40" s="10" t="s">
        <v>104</v>
      </c>
      <c r="N40" s="10" t="s">
        <v>104</v>
      </c>
      <c r="O40" s="87"/>
      <c r="P40" s="89"/>
      <c r="Q40" s="10" t="s">
        <v>104</v>
      </c>
      <c r="R40" s="10" t="s">
        <v>103</v>
      </c>
      <c r="S40" s="10" t="s">
        <v>104</v>
      </c>
      <c r="T40" s="89"/>
      <c r="U40" s="10"/>
      <c r="V40" s="4">
        <f t="shared" si="1"/>
        <v>8</v>
      </c>
      <c r="W40" s="4">
        <f t="shared" si="2"/>
        <v>3</v>
      </c>
    </row>
    <row r="41" spans="1:23" x14ac:dyDescent="0.25">
      <c r="A41" s="11">
        <v>14</v>
      </c>
      <c r="B41" s="13" t="s">
        <v>447</v>
      </c>
      <c r="C41" s="14" t="s">
        <v>67</v>
      </c>
      <c r="D41" s="8" t="s">
        <v>393</v>
      </c>
      <c r="E41" s="10" t="s">
        <v>104</v>
      </c>
      <c r="F41" s="10" t="s">
        <v>104</v>
      </c>
      <c r="G41" s="10" t="s">
        <v>104</v>
      </c>
      <c r="H41" s="87"/>
      <c r="I41" s="10" t="s">
        <v>104</v>
      </c>
      <c r="J41" s="89"/>
      <c r="K41" s="10" t="s">
        <v>104</v>
      </c>
      <c r="L41" s="10" t="s">
        <v>104</v>
      </c>
      <c r="M41" s="10" t="s">
        <v>104</v>
      </c>
      <c r="N41" s="10" t="s">
        <v>104</v>
      </c>
      <c r="O41" s="87"/>
      <c r="P41" s="89"/>
      <c r="Q41" s="10" t="s">
        <v>104</v>
      </c>
      <c r="R41" s="10" t="s">
        <v>103</v>
      </c>
      <c r="S41" s="10" t="s">
        <v>104</v>
      </c>
      <c r="T41" s="89"/>
      <c r="U41" s="10"/>
      <c r="V41" s="4">
        <f t="shared" si="1"/>
        <v>10</v>
      </c>
      <c r="W41" s="4">
        <f t="shared" si="2"/>
        <v>1</v>
      </c>
    </row>
    <row r="42" spans="1:23" x14ac:dyDescent="0.25">
      <c r="A42" s="5">
        <v>15</v>
      </c>
      <c r="B42" s="13" t="s">
        <v>448</v>
      </c>
      <c r="C42" s="14" t="s">
        <v>212</v>
      </c>
      <c r="D42" s="8" t="s">
        <v>393</v>
      </c>
      <c r="E42" s="10" t="s">
        <v>104</v>
      </c>
      <c r="F42" s="10" t="s">
        <v>104</v>
      </c>
      <c r="G42" s="10" t="s">
        <v>104</v>
      </c>
      <c r="H42" s="87"/>
      <c r="I42" s="10" t="s">
        <v>104</v>
      </c>
      <c r="J42" s="89"/>
      <c r="K42" s="10" t="s">
        <v>104</v>
      </c>
      <c r="L42" s="10" t="s">
        <v>104</v>
      </c>
      <c r="M42" s="10" t="s">
        <v>103</v>
      </c>
      <c r="N42" s="10" t="s">
        <v>103</v>
      </c>
      <c r="O42" s="87"/>
      <c r="P42" s="89"/>
      <c r="Q42" s="10" t="s">
        <v>104</v>
      </c>
      <c r="R42" s="10" t="s">
        <v>103</v>
      </c>
      <c r="S42" s="10" t="s">
        <v>104</v>
      </c>
      <c r="T42" s="89"/>
      <c r="U42" s="10"/>
      <c r="V42" s="4">
        <f t="shared" si="1"/>
        <v>8</v>
      </c>
      <c r="W42" s="4">
        <f t="shared" si="2"/>
        <v>3</v>
      </c>
    </row>
    <row r="43" spans="1:23" x14ac:dyDescent="0.25">
      <c r="A43" s="11">
        <v>16</v>
      </c>
      <c r="B43" s="13" t="s">
        <v>95</v>
      </c>
      <c r="C43" s="14" t="s">
        <v>84</v>
      </c>
      <c r="D43" s="8" t="s">
        <v>393</v>
      </c>
      <c r="E43" s="10" t="s">
        <v>107</v>
      </c>
      <c r="F43" s="10" t="s">
        <v>107</v>
      </c>
      <c r="G43" s="10" t="s">
        <v>107</v>
      </c>
      <c r="H43" s="87"/>
      <c r="I43" s="10" t="s">
        <v>107</v>
      </c>
      <c r="J43" s="89"/>
      <c r="K43" s="10" t="s">
        <v>103</v>
      </c>
      <c r="L43" s="10" t="s">
        <v>103</v>
      </c>
      <c r="M43" s="10" t="s">
        <v>103</v>
      </c>
      <c r="N43" s="10" t="s">
        <v>103</v>
      </c>
      <c r="O43" s="87"/>
      <c r="P43" s="89"/>
      <c r="Q43" s="10" t="s">
        <v>103</v>
      </c>
      <c r="R43" s="10" t="s">
        <v>104</v>
      </c>
      <c r="S43" s="10" t="s">
        <v>103</v>
      </c>
      <c r="T43" s="89"/>
      <c r="U43" s="10"/>
      <c r="V43" s="4">
        <f t="shared" si="1"/>
        <v>1</v>
      </c>
      <c r="W43" s="4">
        <f t="shared" si="2"/>
        <v>6</v>
      </c>
    </row>
    <row r="44" spans="1:23" x14ac:dyDescent="0.25">
      <c r="A44" s="5">
        <v>17</v>
      </c>
      <c r="B44" s="13" t="s">
        <v>449</v>
      </c>
      <c r="C44" s="14" t="s">
        <v>450</v>
      </c>
      <c r="D44" s="8" t="s">
        <v>393</v>
      </c>
      <c r="E44" s="10" t="s">
        <v>103</v>
      </c>
      <c r="F44" s="10" t="s">
        <v>103</v>
      </c>
      <c r="G44" s="10" t="s">
        <v>103</v>
      </c>
      <c r="H44" s="87"/>
      <c r="I44" s="10" t="s">
        <v>103</v>
      </c>
      <c r="J44" s="89"/>
      <c r="K44" s="10" t="s">
        <v>103</v>
      </c>
      <c r="L44" s="10" t="s">
        <v>103</v>
      </c>
      <c r="M44" s="10" t="s">
        <v>103</v>
      </c>
      <c r="N44" s="10" t="s">
        <v>103</v>
      </c>
      <c r="O44" s="87"/>
      <c r="P44" s="89"/>
      <c r="Q44" s="10" t="s">
        <v>103</v>
      </c>
      <c r="R44" s="10" t="s">
        <v>104</v>
      </c>
      <c r="S44" s="10" t="s">
        <v>103</v>
      </c>
      <c r="T44" s="89"/>
      <c r="U44" s="10"/>
      <c r="V44" s="4">
        <f t="shared" si="1"/>
        <v>1</v>
      </c>
      <c r="W44" s="4">
        <f t="shared" si="2"/>
        <v>10</v>
      </c>
    </row>
    <row r="45" spans="1:23" x14ac:dyDescent="0.25">
      <c r="A45" s="11">
        <v>18</v>
      </c>
      <c r="B45" s="13" t="s">
        <v>451</v>
      </c>
      <c r="C45" s="14" t="s">
        <v>452</v>
      </c>
      <c r="D45" s="8" t="s">
        <v>393</v>
      </c>
      <c r="E45" s="10" t="s">
        <v>104</v>
      </c>
      <c r="F45" s="10" t="s">
        <v>104</v>
      </c>
      <c r="G45" s="10" t="s">
        <v>104</v>
      </c>
      <c r="H45" s="87"/>
      <c r="I45" s="10" t="s">
        <v>104</v>
      </c>
      <c r="J45" s="89"/>
      <c r="K45" s="10" t="s">
        <v>104</v>
      </c>
      <c r="L45" s="10" t="s">
        <v>104</v>
      </c>
      <c r="M45" s="10" t="s">
        <v>104</v>
      </c>
      <c r="N45" s="10" t="s">
        <v>104</v>
      </c>
      <c r="O45" s="87"/>
      <c r="P45" s="89"/>
      <c r="Q45" s="10" t="s">
        <v>103</v>
      </c>
      <c r="R45" s="10" t="s">
        <v>103</v>
      </c>
      <c r="S45" s="10" t="s">
        <v>104</v>
      </c>
      <c r="T45" s="89"/>
      <c r="U45" s="10"/>
      <c r="V45" s="4">
        <f t="shared" si="1"/>
        <v>9</v>
      </c>
      <c r="W45" s="4">
        <f t="shared" si="2"/>
        <v>2</v>
      </c>
    </row>
    <row r="46" spans="1:23" x14ac:dyDescent="0.25">
      <c r="A46" s="5">
        <v>19</v>
      </c>
      <c r="B46" s="13" t="s">
        <v>453</v>
      </c>
      <c r="C46" s="14" t="s">
        <v>454</v>
      </c>
      <c r="D46" s="8" t="s">
        <v>393</v>
      </c>
      <c r="E46" s="10" t="s">
        <v>104</v>
      </c>
      <c r="F46" s="10" t="s">
        <v>104</v>
      </c>
      <c r="G46" s="10" t="s">
        <v>104</v>
      </c>
      <c r="H46" s="87"/>
      <c r="I46" s="10" t="s">
        <v>104</v>
      </c>
      <c r="J46" s="89"/>
      <c r="K46" s="10" t="s">
        <v>104</v>
      </c>
      <c r="L46" s="10" t="s">
        <v>104</v>
      </c>
      <c r="M46" s="10" t="s">
        <v>104</v>
      </c>
      <c r="N46" s="10" t="s">
        <v>104</v>
      </c>
      <c r="O46" s="87"/>
      <c r="P46" s="89"/>
      <c r="Q46" s="10" t="s">
        <v>104</v>
      </c>
      <c r="R46" s="10" t="s">
        <v>103</v>
      </c>
      <c r="S46" s="10" t="s">
        <v>103</v>
      </c>
      <c r="T46" s="89"/>
      <c r="U46" s="10"/>
      <c r="V46" s="4">
        <f t="shared" si="1"/>
        <v>9</v>
      </c>
      <c r="W46" s="4">
        <f t="shared" si="2"/>
        <v>2</v>
      </c>
    </row>
    <row r="47" spans="1:23" x14ac:dyDescent="0.25">
      <c r="A47" s="11">
        <v>20</v>
      </c>
      <c r="B47" s="13" t="s">
        <v>455</v>
      </c>
      <c r="C47" s="14" t="s">
        <v>42</v>
      </c>
      <c r="D47" s="8" t="s">
        <v>393</v>
      </c>
      <c r="E47" s="10" t="s">
        <v>104</v>
      </c>
      <c r="F47" s="10" t="s">
        <v>104</v>
      </c>
      <c r="G47" s="10" t="s">
        <v>104</v>
      </c>
      <c r="H47" s="87"/>
      <c r="I47" s="10" t="s">
        <v>104</v>
      </c>
      <c r="J47" s="89"/>
      <c r="K47" s="10" t="s">
        <v>104</v>
      </c>
      <c r="L47" s="10" t="s">
        <v>104</v>
      </c>
      <c r="M47" s="10" t="s">
        <v>104</v>
      </c>
      <c r="N47" s="10" t="s">
        <v>104</v>
      </c>
      <c r="O47" s="87"/>
      <c r="P47" s="89"/>
      <c r="Q47" s="10" t="s">
        <v>104</v>
      </c>
      <c r="R47" s="10" t="s">
        <v>103</v>
      </c>
      <c r="S47" s="10" t="s">
        <v>104</v>
      </c>
      <c r="T47" s="89"/>
      <c r="U47" s="10"/>
      <c r="V47" s="4">
        <f t="shared" si="1"/>
        <v>10</v>
      </c>
      <c r="W47" s="4">
        <f t="shared" si="2"/>
        <v>1</v>
      </c>
    </row>
    <row r="48" spans="1:23" x14ac:dyDescent="0.25">
      <c r="A48" s="5">
        <v>21</v>
      </c>
      <c r="B48" s="13" t="s">
        <v>456</v>
      </c>
      <c r="C48" s="14" t="s">
        <v>457</v>
      </c>
      <c r="D48" s="8" t="s">
        <v>393</v>
      </c>
      <c r="E48" s="10" t="s">
        <v>104</v>
      </c>
      <c r="F48" s="10" t="s">
        <v>104</v>
      </c>
      <c r="G48" s="10" t="s">
        <v>104</v>
      </c>
      <c r="H48" s="87"/>
      <c r="I48" s="10" t="s">
        <v>104</v>
      </c>
      <c r="J48" s="89"/>
      <c r="K48" s="10" t="s">
        <v>104</v>
      </c>
      <c r="L48" s="10" t="s">
        <v>104</v>
      </c>
      <c r="M48" s="10" t="s">
        <v>104</v>
      </c>
      <c r="N48" s="10" t="s">
        <v>104</v>
      </c>
      <c r="O48" s="87"/>
      <c r="P48" s="89"/>
      <c r="Q48" s="10" t="s">
        <v>104</v>
      </c>
      <c r="R48" s="10" t="s">
        <v>104</v>
      </c>
      <c r="S48" s="10" t="s">
        <v>104</v>
      </c>
      <c r="T48" s="89"/>
      <c r="U48" s="10"/>
      <c r="V48" s="4">
        <f t="shared" si="1"/>
        <v>11</v>
      </c>
      <c r="W48" s="4">
        <f t="shared" si="2"/>
        <v>0</v>
      </c>
    </row>
    <row r="49" spans="1:23" x14ac:dyDescent="0.25">
      <c r="A49" s="11">
        <v>22</v>
      </c>
      <c r="B49" s="13" t="s">
        <v>458</v>
      </c>
      <c r="C49" s="14" t="s">
        <v>232</v>
      </c>
      <c r="D49" s="8" t="s">
        <v>393</v>
      </c>
      <c r="E49" s="10" t="s">
        <v>104</v>
      </c>
      <c r="F49" s="10" t="s">
        <v>104</v>
      </c>
      <c r="G49" s="10" t="s">
        <v>104</v>
      </c>
      <c r="H49" s="87"/>
      <c r="I49" s="10" t="s">
        <v>104</v>
      </c>
      <c r="J49" s="89"/>
      <c r="K49" s="10" t="s">
        <v>104</v>
      </c>
      <c r="L49" s="10" t="s">
        <v>104</v>
      </c>
      <c r="M49" s="10" t="s">
        <v>104</v>
      </c>
      <c r="N49" s="10" t="s">
        <v>103</v>
      </c>
      <c r="O49" s="87"/>
      <c r="P49" s="89"/>
      <c r="Q49" s="10" t="s">
        <v>104</v>
      </c>
      <c r="R49" s="10" t="s">
        <v>104</v>
      </c>
      <c r="S49" s="10" t="s">
        <v>104</v>
      </c>
      <c r="T49" s="89"/>
      <c r="U49" s="10"/>
      <c r="V49" s="4">
        <f t="shared" si="1"/>
        <v>10</v>
      </c>
      <c r="W49" s="4">
        <f t="shared" si="2"/>
        <v>1</v>
      </c>
    </row>
    <row r="50" spans="1:23" x14ac:dyDescent="0.25">
      <c r="A50" s="5">
        <v>23</v>
      </c>
      <c r="B50" s="13" t="s">
        <v>308</v>
      </c>
      <c r="C50" s="14" t="s">
        <v>232</v>
      </c>
      <c r="D50" s="8" t="s">
        <v>393</v>
      </c>
      <c r="E50" s="10" t="s">
        <v>104</v>
      </c>
      <c r="F50" s="10" t="s">
        <v>104</v>
      </c>
      <c r="G50" s="10" t="s">
        <v>104</v>
      </c>
      <c r="H50" s="87"/>
      <c r="I50" s="10" t="s">
        <v>104</v>
      </c>
      <c r="J50" s="89"/>
      <c r="K50" s="10" t="s">
        <v>104</v>
      </c>
      <c r="L50" s="10" t="s">
        <v>104</v>
      </c>
      <c r="M50" s="10" t="s">
        <v>104</v>
      </c>
      <c r="N50" s="10" t="s">
        <v>104</v>
      </c>
      <c r="O50" s="87"/>
      <c r="P50" s="89"/>
      <c r="Q50" s="10" t="s">
        <v>104</v>
      </c>
      <c r="R50" s="10" t="s">
        <v>104</v>
      </c>
      <c r="S50" s="10" t="s">
        <v>104</v>
      </c>
      <c r="T50" s="89"/>
      <c r="U50" s="10"/>
      <c r="V50" s="4">
        <f t="shared" si="1"/>
        <v>11</v>
      </c>
      <c r="W50" s="4">
        <f t="shared" si="2"/>
        <v>0</v>
      </c>
    </row>
    <row r="51" spans="1:23" x14ac:dyDescent="0.25">
      <c r="A51" s="11">
        <v>24</v>
      </c>
      <c r="B51" s="13" t="s">
        <v>459</v>
      </c>
      <c r="C51" s="14" t="s">
        <v>460</v>
      </c>
      <c r="D51" s="8" t="s">
        <v>393</v>
      </c>
      <c r="E51" s="10" t="s">
        <v>104</v>
      </c>
      <c r="F51" s="10" t="s">
        <v>104</v>
      </c>
      <c r="G51" s="10" t="s">
        <v>104</v>
      </c>
      <c r="H51" s="87"/>
      <c r="I51" s="10" t="s">
        <v>104</v>
      </c>
      <c r="J51" s="89"/>
      <c r="K51" s="10" t="s">
        <v>104</v>
      </c>
      <c r="L51" s="10" t="s">
        <v>104</v>
      </c>
      <c r="M51" s="10" t="s">
        <v>104</v>
      </c>
      <c r="N51" s="10" t="s">
        <v>104</v>
      </c>
      <c r="O51" s="87"/>
      <c r="P51" s="89"/>
      <c r="Q51" s="10" t="s">
        <v>104</v>
      </c>
      <c r="R51" s="10" t="s">
        <v>103</v>
      </c>
      <c r="S51" s="10" t="s">
        <v>103</v>
      </c>
      <c r="T51" s="89"/>
      <c r="U51" s="10"/>
      <c r="V51" s="4">
        <f t="shared" si="1"/>
        <v>9</v>
      </c>
      <c r="W51" s="4">
        <f t="shared" si="2"/>
        <v>2</v>
      </c>
    </row>
    <row r="52" spans="1:23" x14ac:dyDescent="0.25">
      <c r="A52" s="5">
        <v>25</v>
      </c>
      <c r="B52" s="13" t="s">
        <v>461</v>
      </c>
      <c r="C52" s="14" t="s">
        <v>453</v>
      </c>
      <c r="D52" s="8" t="s">
        <v>393</v>
      </c>
      <c r="E52" s="10" t="s">
        <v>103</v>
      </c>
      <c r="F52" s="10" t="s">
        <v>104</v>
      </c>
      <c r="G52" s="10" t="s">
        <v>104</v>
      </c>
      <c r="H52" s="87"/>
      <c r="I52" s="10" t="s">
        <v>104</v>
      </c>
      <c r="J52" s="89"/>
      <c r="K52" s="10" t="s">
        <v>104</v>
      </c>
      <c r="L52" s="10" t="s">
        <v>104</v>
      </c>
      <c r="M52" s="10" t="s">
        <v>104</v>
      </c>
      <c r="N52" s="10" t="s">
        <v>103</v>
      </c>
      <c r="O52" s="87"/>
      <c r="P52" s="89"/>
      <c r="Q52" s="10" t="s">
        <v>104</v>
      </c>
      <c r="R52" s="10" t="s">
        <v>103</v>
      </c>
      <c r="S52" s="10" t="s">
        <v>104</v>
      </c>
      <c r="T52" s="89"/>
      <c r="U52" s="10"/>
      <c r="V52" s="4">
        <f t="shared" si="1"/>
        <v>8</v>
      </c>
      <c r="W52" s="4">
        <f t="shared" si="2"/>
        <v>3</v>
      </c>
    </row>
    <row r="53" spans="1:23" x14ac:dyDescent="0.25">
      <c r="A53" s="11">
        <v>26</v>
      </c>
      <c r="B53" s="13" t="s">
        <v>461</v>
      </c>
      <c r="C53" s="14" t="s">
        <v>462</v>
      </c>
      <c r="D53" s="8" t="s">
        <v>393</v>
      </c>
      <c r="E53" s="10" t="s">
        <v>103</v>
      </c>
      <c r="F53" s="10" t="s">
        <v>103</v>
      </c>
      <c r="G53" s="10" t="s">
        <v>103</v>
      </c>
      <c r="H53" s="87"/>
      <c r="I53" s="10" t="s">
        <v>103</v>
      </c>
      <c r="J53" s="89"/>
      <c r="K53" s="10" t="s">
        <v>103</v>
      </c>
      <c r="L53" s="10" t="s">
        <v>103</v>
      </c>
      <c r="M53" s="10" t="s">
        <v>103</v>
      </c>
      <c r="N53" s="10" t="s">
        <v>103</v>
      </c>
      <c r="O53" s="87"/>
      <c r="P53" s="89"/>
      <c r="Q53" s="10" t="s">
        <v>103</v>
      </c>
      <c r="R53" s="10" t="s">
        <v>103</v>
      </c>
      <c r="S53" s="10" t="s">
        <v>103</v>
      </c>
      <c r="T53" s="89"/>
      <c r="U53" s="10"/>
      <c r="V53" s="4">
        <f t="shared" si="1"/>
        <v>0</v>
      </c>
      <c r="W53" s="4">
        <f t="shared" si="2"/>
        <v>11</v>
      </c>
    </row>
    <row r="54" spans="1:23" x14ac:dyDescent="0.25">
      <c r="A54" s="5">
        <v>27</v>
      </c>
      <c r="B54" s="13" t="s">
        <v>463</v>
      </c>
      <c r="C54" s="14" t="s">
        <v>464</v>
      </c>
      <c r="D54" s="8" t="s">
        <v>393</v>
      </c>
      <c r="E54" s="10" t="s">
        <v>112</v>
      </c>
      <c r="F54" s="10" t="s">
        <v>112</v>
      </c>
      <c r="G54" s="10" t="s">
        <v>112</v>
      </c>
      <c r="H54" s="87"/>
      <c r="I54" s="10" t="s">
        <v>104</v>
      </c>
      <c r="J54" s="89"/>
      <c r="K54" s="10" t="s">
        <v>104</v>
      </c>
      <c r="L54" s="10" t="s">
        <v>103</v>
      </c>
      <c r="M54" s="10" t="s">
        <v>104</v>
      </c>
      <c r="N54" s="10" t="s">
        <v>103</v>
      </c>
      <c r="O54" s="87"/>
      <c r="P54" s="89"/>
      <c r="Q54" s="10" t="s">
        <v>104</v>
      </c>
      <c r="R54" s="10" t="s">
        <v>103</v>
      </c>
      <c r="S54" s="10" t="s">
        <v>104</v>
      </c>
      <c r="T54" s="89"/>
      <c r="U54" s="10"/>
      <c r="V54" s="4">
        <f t="shared" si="1"/>
        <v>5</v>
      </c>
      <c r="W54" s="4">
        <f t="shared" si="2"/>
        <v>3</v>
      </c>
    </row>
    <row r="55" spans="1:23" x14ac:dyDescent="0.25">
      <c r="A55" s="11">
        <v>28</v>
      </c>
      <c r="B55" s="13" t="s">
        <v>465</v>
      </c>
      <c r="C55" s="14" t="s">
        <v>464</v>
      </c>
      <c r="D55" s="8" t="s">
        <v>393</v>
      </c>
      <c r="E55" s="10" t="s">
        <v>112</v>
      </c>
      <c r="F55" s="10" t="s">
        <v>112</v>
      </c>
      <c r="G55" s="10" t="s">
        <v>112</v>
      </c>
      <c r="H55" s="87"/>
      <c r="I55" s="10" t="s">
        <v>104</v>
      </c>
      <c r="J55" s="89"/>
      <c r="K55" s="10" t="s">
        <v>104</v>
      </c>
      <c r="L55" s="10" t="s">
        <v>103</v>
      </c>
      <c r="M55" s="10" t="s">
        <v>104</v>
      </c>
      <c r="N55" s="10" t="s">
        <v>103</v>
      </c>
      <c r="O55" s="87"/>
      <c r="P55" s="89"/>
      <c r="Q55" s="10" t="s">
        <v>104</v>
      </c>
      <c r="R55" s="10" t="s">
        <v>103</v>
      </c>
      <c r="S55" s="10" t="s">
        <v>104</v>
      </c>
      <c r="T55" s="89"/>
      <c r="U55" s="10"/>
      <c r="V55" s="4">
        <f t="shared" si="1"/>
        <v>5</v>
      </c>
      <c r="W55" s="4">
        <f t="shared" si="2"/>
        <v>3</v>
      </c>
    </row>
  </sheetData>
  <mergeCells count="16">
    <mergeCell ref="A1:W1"/>
    <mergeCell ref="A2:W2"/>
    <mergeCell ref="A3:A4"/>
    <mergeCell ref="B3:B4"/>
    <mergeCell ref="C3:C4"/>
    <mergeCell ref="D3:D4"/>
    <mergeCell ref="V3:V4"/>
    <mergeCell ref="W3:W4"/>
    <mergeCell ref="X3:Y3"/>
    <mergeCell ref="H5:H55"/>
    <mergeCell ref="J5:J55"/>
    <mergeCell ref="O5:O55"/>
    <mergeCell ref="P5:P55"/>
    <mergeCell ref="T5:T55"/>
    <mergeCell ref="X13:AA13"/>
    <mergeCell ref="X21:AA21"/>
  </mergeCells>
  <conditionalFormatting sqref="E5:G55 I6:I55 K6:N55 Q6:S55 U6:U55">
    <cfRule type="cellIs" dxfId="102" priority="9" operator="equal">
      <formula>"L"</formula>
    </cfRule>
    <cfRule type="cellIs" dxfId="101" priority="10" operator="equal">
      <formula>"A"</formula>
    </cfRule>
    <cfRule type="cellIs" dxfId="100" priority="11" operator="equal">
      <formula>"P"</formula>
    </cfRule>
    <cfRule type="expression" dxfId="99" priority="12">
      <formula>IF(E$4=TODAY(),TRUE,FALSE)</formula>
    </cfRule>
    <cfRule type="expression" dxfId="98" priority="13">
      <formula>E$3="Sun"</formula>
    </cfRule>
  </conditionalFormatting>
  <conditionalFormatting sqref="E3:U4 H5:U5">
    <cfRule type="expression" dxfId="97" priority="26">
      <formula>E$3="Sun"</formula>
    </cfRule>
  </conditionalFormatting>
  <conditionalFormatting sqref="H5:U5 E4:U4">
    <cfRule type="expression" dxfId="96" priority="25">
      <formula>IF(E$4=TODAY(),TRUE,FALSE)</formula>
    </cfRule>
  </conditionalFormatting>
  <conditionalFormatting sqref="H5:U5">
    <cfRule type="cellIs" dxfId="95" priority="22" operator="equal">
      <formula>"L"</formula>
    </cfRule>
    <cfRule type="cellIs" dxfId="94" priority="23" operator="equal">
      <formula>"A"</formula>
    </cfRule>
    <cfRule type="cellIs" dxfId="93" priority="24" operator="equal">
      <formula>"P"</formula>
    </cfRule>
  </conditionalFormatting>
  <conditionalFormatting sqref="V3:W3 V5:W27">
    <cfRule type="expression" dxfId="92" priority="27">
      <formula>#REF!="Sun"</formula>
    </cfRule>
  </conditionalFormatting>
  <conditionalFormatting sqref="V28:W55">
    <cfRule type="expression" dxfId="91" priority="14">
      <formula>#REF!="Sun"</formula>
    </cfRule>
  </conditionalFormatting>
  <conditionalFormatting sqref="X5:X11">
    <cfRule type="expression" dxfId="90" priority="7">
      <formula>X$3="Sun"</formula>
    </cfRule>
  </conditionalFormatting>
  <conditionalFormatting sqref="X14:X17">
    <cfRule type="expression" dxfId="89" priority="3">
      <formula>X$3="Sun"</formula>
    </cfRule>
  </conditionalFormatting>
  <conditionalFormatting sqref="X22:X25">
    <cfRule type="expression" dxfId="88" priority="2">
      <formula>X$3="Sun"</formula>
    </cfRule>
  </conditionalFormatting>
  <conditionalFormatting sqref="X4:Y4">
    <cfRule type="expression" dxfId="87" priority="8">
      <formula>X$3="Sun"</formula>
    </cfRule>
  </conditionalFormatting>
  <conditionalFormatting sqref="Y14:AA14">
    <cfRule type="expression" dxfId="86" priority="4">
      <formula>Y$3="Sun"</formula>
    </cfRule>
  </conditionalFormatting>
  <conditionalFormatting sqref="Y22:AA22">
    <cfRule type="expression" dxfId="85" priority="1">
      <formula>Y$3="Sun"</formula>
    </cfRule>
  </conditionalFormatting>
  <conditionalFormatting sqref="AA23">
    <cfRule type="expression" dxfId="84" priority="6">
      <formula>AA$3="Sun"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B304E-B06D-430E-A5EA-104899811D90}">
  <dimension ref="A1:AA52"/>
  <sheetViews>
    <sheetView topLeftCell="A9" workbookViewId="0">
      <selection activeCell="Z15" sqref="Z15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 bestFit="1"/>
    <col min="6" max="7" width="3.7109375" style="1" bestFit="1" customWidth="1"/>
    <col min="8" max="8" width="3.85546875" style="1" bestFit="1"/>
    <col min="9" max="9" width="4.5703125" style="1" bestFit="1" customWidth="1"/>
    <col min="10" max="10" width="3.85546875" style="1" bestFit="1"/>
    <col min="11" max="11" width="4.7109375" style="1" bestFit="1" customWidth="1"/>
    <col min="12" max="12" width="3.85546875" style="1" bestFit="1"/>
    <col min="13" max="14" width="3.7109375" style="1" bestFit="1" customWidth="1"/>
    <col min="15" max="15" width="3.85546875" style="1" bestFit="1"/>
    <col min="16" max="16" width="4.5703125" style="1" bestFit="1" customWidth="1"/>
    <col min="17" max="17" width="3.85546875" style="1" bestFit="1"/>
    <col min="18" max="18" width="4.7109375" style="1" bestFit="1" customWidth="1"/>
    <col min="19" max="19" width="3.85546875" style="1" bestFit="1"/>
    <col min="20" max="21" width="3.7109375" style="1" bestFit="1" customWidth="1"/>
    <col min="22" max="23" width="6.7109375" style="1" bestFit="1" customWidth="1"/>
    <col min="24" max="24" width="21.140625" style="1" bestFit="1" customWidth="1"/>
    <col min="25" max="25" width="5.85546875" style="1" bestFit="1" customWidth="1"/>
    <col min="26" max="26" width="5.140625" style="1" bestFit="1" customWidth="1"/>
    <col min="27" max="27" width="6.7109375" style="1" bestFit="1" customWidth="1"/>
    <col min="28" max="16384" width="3.85546875" style="1"/>
  </cols>
  <sheetData>
    <row r="1" spans="1:27" ht="17.25" x14ac:dyDescent="0.25">
      <c r="A1" s="81" t="s">
        <v>19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</row>
    <row r="2" spans="1:27" ht="17.25" x14ac:dyDescent="0.3">
      <c r="A2" s="82" t="s">
        <v>18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</row>
    <row r="3" spans="1:27" ht="15.75" x14ac:dyDescent="0.25">
      <c r="A3" s="84" t="s">
        <v>0</v>
      </c>
      <c r="B3" s="84" t="s">
        <v>1</v>
      </c>
      <c r="C3" s="84" t="s">
        <v>2</v>
      </c>
      <c r="D3" s="84" t="s">
        <v>3</v>
      </c>
      <c r="E3" s="2" t="str">
        <f t="shared" ref="E3:U3" si="0">TEXT(E4,"ddd")</f>
        <v>Thu</v>
      </c>
      <c r="F3" s="2" t="str">
        <f t="shared" si="0"/>
        <v>Fri</v>
      </c>
      <c r="G3" s="2" t="str">
        <f t="shared" si="0"/>
        <v>Sat</v>
      </c>
      <c r="H3" s="2" t="str">
        <f t="shared" si="0"/>
        <v>Sun</v>
      </c>
      <c r="I3" s="2" t="str">
        <f t="shared" si="0"/>
        <v>Mon</v>
      </c>
      <c r="J3" s="2" t="str">
        <f t="shared" si="0"/>
        <v>Tue</v>
      </c>
      <c r="K3" s="2" t="str">
        <f t="shared" si="0"/>
        <v>Wed</v>
      </c>
      <c r="L3" s="2" t="str">
        <f t="shared" si="0"/>
        <v>Thu</v>
      </c>
      <c r="M3" s="2" t="str">
        <f t="shared" si="0"/>
        <v>Fri</v>
      </c>
      <c r="N3" s="2" t="str">
        <f t="shared" si="0"/>
        <v>Sat</v>
      </c>
      <c r="O3" s="2" t="str">
        <f t="shared" si="0"/>
        <v>Sun</v>
      </c>
      <c r="P3" s="2" t="str">
        <f t="shared" si="0"/>
        <v>Mon</v>
      </c>
      <c r="Q3" s="2" t="str">
        <f t="shared" si="0"/>
        <v>Tue</v>
      </c>
      <c r="R3" s="2" t="str">
        <f t="shared" si="0"/>
        <v>Wed</v>
      </c>
      <c r="S3" s="2" t="str">
        <f t="shared" si="0"/>
        <v>Thu</v>
      </c>
      <c r="T3" s="2" t="str">
        <f t="shared" si="0"/>
        <v>Fri</v>
      </c>
      <c r="U3" s="2" t="str">
        <f t="shared" si="0"/>
        <v>Sat</v>
      </c>
      <c r="V3" s="79" t="s">
        <v>4</v>
      </c>
      <c r="W3" s="79" t="s">
        <v>5</v>
      </c>
      <c r="X3" s="76" t="s">
        <v>210</v>
      </c>
      <c r="Y3" s="77"/>
      <c r="Z3" s="3"/>
      <c r="AA3" s="3"/>
    </row>
    <row r="4" spans="1:27" ht="36.75" x14ac:dyDescent="0.25">
      <c r="A4" s="85"/>
      <c r="B4" s="85"/>
      <c r="C4" s="85"/>
      <c r="D4" s="85"/>
      <c r="E4" s="17">
        <v>45519</v>
      </c>
      <c r="F4" s="17">
        <v>45520</v>
      </c>
      <c r="G4" s="17">
        <v>45521</v>
      </c>
      <c r="H4" s="17">
        <v>45522</v>
      </c>
      <c r="I4" s="17">
        <v>45523</v>
      </c>
      <c r="J4" s="17">
        <v>45524</v>
      </c>
      <c r="K4" s="17">
        <v>45525</v>
      </c>
      <c r="L4" s="17">
        <v>45526</v>
      </c>
      <c r="M4" s="17">
        <v>45527</v>
      </c>
      <c r="N4" s="17">
        <v>45528</v>
      </c>
      <c r="O4" s="17">
        <v>45529</v>
      </c>
      <c r="P4" s="17">
        <v>45530</v>
      </c>
      <c r="Q4" s="17">
        <v>45531</v>
      </c>
      <c r="R4" s="17">
        <v>45532</v>
      </c>
      <c r="S4" s="17">
        <v>45533</v>
      </c>
      <c r="T4" s="17">
        <v>45534</v>
      </c>
      <c r="U4" s="17">
        <v>45535</v>
      </c>
      <c r="V4" s="79"/>
      <c r="W4" s="79"/>
      <c r="X4" s="4" t="s">
        <v>315</v>
      </c>
      <c r="Y4" s="4">
        <f>SUM(Y5:Y11)</f>
        <v>31</v>
      </c>
      <c r="Z4" s="3"/>
      <c r="AA4" s="3"/>
    </row>
    <row r="5" spans="1:27" ht="15" customHeight="1" x14ac:dyDescent="0.25">
      <c r="A5" s="5">
        <v>1</v>
      </c>
      <c r="B5" s="20" t="s">
        <v>466</v>
      </c>
      <c r="C5" s="21" t="s">
        <v>57</v>
      </c>
      <c r="D5" s="8" t="s">
        <v>467</v>
      </c>
      <c r="E5" s="9" t="s">
        <v>104</v>
      </c>
      <c r="F5" s="9" t="s">
        <v>103</v>
      </c>
      <c r="G5" s="9" t="s">
        <v>103</v>
      </c>
      <c r="H5" s="86" t="s">
        <v>108</v>
      </c>
      <c r="I5" s="9" t="s">
        <v>104</v>
      </c>
      <c r="J5" s="88" t="s">
        <v>468</v>
      </c>
      <c r="K5" s="9" t="s">
        <v>104</v>
      </c>
      <c r="L5" s="9" t="s">
        <v>104</v>
      </c>
      <c r="M5" s="9" t="s">
        <v>104</v>
      </c>
      <c r="N5" s="9" t="s">
        <v>104</v>
      </c>
      <c r="O5" s="86" t="s">
        <v>108</v>
      </c>
      <c r="P5" s="92" t="s">
        <v>216</v>
      </c>
      <c r="Q5" s="9" t="s">
        <v>104</v>
      </c>
      <c r="R5" s="9" t="s">
        <v>103</v>
      </c>
      <c r="S5" s="9" t="s">
        <v>104</v>
      </c>
      <c r="T5" s="88" t="s">
        <v>106</v>
      </c>
      <c r="U5" s="9" t="s">
        <v>103</v>
      </c>
      <c r="V5" s="4">
        <f t="shared" ref="V5:V52" si="1">COUNTIF(E5:U5,"P")</f>
        <v>8</v>
      </c>
      <c r="W5" s="4">
        <f t="shared" ref="W5:W52" si="2">COUNTIF(E5:U5,"A")</f>
        <v>4</v>
      </c>
      <c r="X5" s="4" t="s">
        <v>7</v>
      </c>
      <c r="Y5" s="11">
        <v>11</v>
      </c>
      <c r="Z5" s="12"/>
      <c r="AA5" s="3"/>
    </row>
    <row r="6" spans="1:27" x14ac:dyDescent="0.25">
      <c r="A6" s="11">
        <v>2</v>
      </c>
      <c r="B6" s="20" t="s">
        <v>121</v>
      </c>
      <c r="C6" s="21" t="s">
        <v>469</v>
      </c>
      <c r="D6" s="8" t="s">
        <v>467</v>
      </c>
      <c r="E6" s="9" t="s">
        <v>104</v>
      </c>
      <c r="F6" s="9" t="s">
        <v>103</v>
      </c>
      <c r="G6" s="9" t="s">
        <v>104</v>
      </c>
      <c r="H6" s="87"/>
      <c r="I6" s="9" t="s">
        <v>104</v>
      </c>
      <c r="J6" s="89"/>
      <c r="K6" s="9" t="s">
        <v>103</v>
      </c>
      <c r="L6" s="9" t="s">
        <v>104</v>
      </c>
      <c r="M6" s="9" t="s">
        <v>107</v>
      </c>
      <c r="N6" s="9" t="s">
        <v>103</v>
      </c>
      <c r="O6" s="87"/>
      <c r="P6" s="93"/>
      <c r="Q6" s="9" t="s">
        <v>104</v>
      </c>
      <c r="R6" s="9" t="s">
        <v>104</v>
      </c>
      <c r="S6" s="9" t="s">
        <v>104</v>
      </c>
      <c r="T6" s="89"/>
      <c r="U6" s="9" t="s">
        <v>104</v>
      </c>
      <c r="V6" s="4">
        <f t="shared" si="1"/>
        <v>8</v>
      </c>
      <c r="W6" s="4">
        <f t="shared" si="2"/>
        <v>3</v>
      </c>
      <c r="X6" s="4" t="s">
        <v>8</v>
      </c>
      <c r="Y6" s="11">
        <v>4</v>
      </c>
      <c r="Z6" s="3"/>
      <c r="AA6" s="3"/>
    </row>
    <row r="7" spans="1:27" x14ac:dyDescent="0.25">
      <c r="A7" s="5">
        <v>3</v>
      </c>
      <c r="B7" s="20" t="s">
        <v>470</v>
      </c>
      <c r="C7" s="21" t="s">
        <v>471</v>
      </c>
      <c r="D7" s="8" t="s">
        <v>467</v>
      </c>
      <c r="E7" s="9" t="s">
        <v>103</v>
      </c>
      <c r="F7" s="9" t="s">
        <v>103</v>
      </c>
      <c r="G7" s="9" t="s">
        <v>104</v>
      </c>
      <c r="H7" s="87"/>
      <c r="I7" s="9" t="s">
        <v>103</v>
      </c>
      <c r="J7" s="89"/>
      <c r="K7" s="9" t="s">
        <v>103</v>
      </c>
      <c r="L7" s="9" t="s">
        <v>103</v>
      </c>
      <c r="M7" s="9" t="s">
        <v>103</v>
      </c>
      <c r="N7" s="9" t="s">
        <v>104</v>
      </c>
      <c r="O7" s="87"/>
      <c r="P7" s="93"/>
      <c r="Q7" s="9" t="s">
        <v>103</v>
      </c>
      <c r="R7" s="9" t="s">
        <v>103</v>
      </c>
      <c r="S7" s="9" t="s">
        <v>104</v>
      </c>
      <c r="T7" s="89"/>
      <c r="U7" s="9" t="s">
        <v>103</v>
      </c>
      <c r="V7" s="4">
        <f t="shared" si="1"/>
        <v>3</v>
      </c>
      <c r="W7" s="4">
        <f t="shared" si="2"/>
        <v>9</v>
      </c>
      <c r="X7" s="4" t="s">
        <v>313</v>
      </c>
      <c r="Y7" s="11">
        <v>12</v>
      </c>
      <c r="Z7" s="3"/>
      <c r="AA7" s="3"/>
    </row>
    <row r="8" spans="1:27" x14ac:dyDescent="0.25">
      <c r="A8" s="5">
        <v>4</v>
      </c>
      <c r="B8" s="20" t="s">
        <v>472</v>
      </c>
      <c r="C8" s="21" t="s">
        <v>128</v>
      </c>
      <c r="D8" s="8" t="s">
        <v>467</v>
      </c>
      <c r="E8" s="9" t="s">
        <v>104</v>
      </c>
      <c r="F8" s="9" t="s">
        <v>103</v>
      </c>
      <c r="G8" s="9" t="s">
        <v>103</v>
      </c>
      <c r="H8" s="87"/>
      <c r="I8" s="9" t="s">
        <v>104</v>
      </c>
      <c r="J8" s="89"/>
      <c r="K8" s="9" t="s">
        <v>103</v>
      </c>
      <c r="L8" s="9" t="s">
        <v>104</v>
      </c>
      <c r="M8" s="9" t="s">
        <v>104</v>
      </c>
      <c r="N8" s="9" t="s">
        <v>104</v>
      </c>
      <c r="O8" s="87"/>
      <c r="P8" s="93"/>
      <c r="Q8" s="9" t="s">
        <v>103</v>
      </c>
      <c r="R8" s="9" t="s">
        <v>103</v>
      </c>
      <c r="S8" s="9" t="s">
        <v>104</v>
      </c>
      <c r="T8" s="89"/>
      <c r="U8" s="9" t="s">
        <v>103</v>
      </c>
      <c r="V8" s="4">
        <f t="shared" si="1"/>
        <v>6</v>
      </c>
      <c r="W8" s="4">
        <f t="shared" si="2"/>
        <v>6</v>
      </c>
      <c r="X8" s="4" t="s">
        <v>310</v>
      </c>
      <c r="Y8" s="11">
        <v>1</v>
      </c>
      <c r="Z8"/>
      <c r="AA8"/>
    </row>
    <row r="9" spans="1:27" x14ac:dyDescent="0.25">
      <c r="A9" s="11">
        <v>5</v>
      </c>
      <c r="B9" s="20" t="s">
        <v>427</v>
      </c>
      <c r="C9" s="21" t="s">
        <v>473</v>
      </c>
      <c r="D9" s="8" t="s">
        <v>467</v>
      </c>
      <c r="E9" s="9" t="s">
        <v>103</v>
      </c>
      <c r="F9" s="9" t="s">
        <v>104</v>
      </c>
      <c r="G9" s="9" t="s">
        <v>104</v>
      </c>
      <c r="H9" s="87"/>
      <c r="I9" s="9" t="s">
        <v>104</v>
      </c>
      <c r="J9" s="89"/>
      <c r="K9" s="9" t="s">
        <v>104</v>
      </c>
      <c r="L9" s="9" t="s">
        <v>104</v>
      </c>
      <c r="M9" s="9" t="s">
        <v>103</v>
      </c>
      <c r="N9" s="9" t="s">
        <v>104</v>
      </c>
      <c r="O9" s="87"/>
      <c r="P9" s="93"/>
      <c r="Q9" s="9" t="s">
        <v>103</v>
      </c>
      <c r="R9" s="9" t="s">
        <v>103</v>
      </c>
      <c r="S9" s="9" t="s">
        <v>104</v>
      </c>
      <c r="T9" s="89"/>
      <c r="U9" s="9" t="s">
        <v>104</v>
      </c>
      <c r="V9" s="4">
        <f t="shared" si="1"/>
        <v>8</v>
      </c>
      <c r="W9" s="4">
        <f t="shared" si="2"/>
        <v>4</v>
      </c>
      <c r="X9" s="4" t="s">
        <v>314</v>
      </c>
      <c r="Y9" s="11">
        <v>1</v>
      </c>
      <c r="Z9"/>
      <c r="AA9"/>
    </row>
    <row r="10" spans="1:27" x14ac:dyDescent="0.25">
      <c r="A10" s="5">
        <v>6</v>
      </c>
      <c r="B10" s="20" t="s">
        <v>474</v>
      </c>
      <c r="C10" s="21" t="s">
        <v>475</v>
      </c>
      <c r="D10" s="8" t="s">
        <v>467</v>
      </c>
      <c r="E10" s="9" t="s">
        <v>103</v>
      </c>
      <c r="F10" s="9" t="s">
        <v>104</v>
      </c>
      <c r="G10" s="9" t="s">
        <v>104</v>
      </c>
      <c r="H10" s="87"/>
      <c r="I10" s="9" t="s">
        <v>104</v>
      </c>
      <c r="J10" s="89"/>
      <c r="K10" s="9" t="s">
        <v>104</v>
      </c>
      <c r="L10" s="9" t="s">
        <v>104</v>
      </c>
      <c r="M10" s="9" t="s">
        <v>104</v>
      </c>
      <c r="N10" s="9" t="s">
        <v>104</v>
      </c>
      <c r="O10" s="87"/>
      <c r="P10" s="93"/>
      <c r="Q10" s="9" t="s">
        <v>103</v>
      </c>
      <c r="R10" s="9" t="s">
        <v>103</v>
      </c>
      <c r="S10" s="9" t="s">
        <v>103</v>
      </c>
      <c r="T10" s="89"/>
      <c r="U10" s="9" t="s">
        <v>378</v>
      </c>
      <c r="V10" s="4">
        <f t="shared" si="1"/>
        <v>7</v>
      </c>
      <c r="W10" s="4">
        <f t="shared" si="2"/>
        <v>4</v>
      </c>
      <c r="X10" s="4" t="s">
        <v>311</v>
      </c>
      <c r="Y10" s="11">
        <v>1</v>
      </c>
      <c r="Z10"/>
      <c r="AA10"/>
    </row>
    <row r="11" spans="1:27" x14ac:dyDescent="0.25">
      <c r="A11" s="5">
        <v>7</v>
      </c>
      <c r="B11" s="20" t="s">
        <v>476</v>
      </c>
      <c r="C11" s="21" t="s">
        <v>21</v>
      </c>
      <c r="D11" s="8" t="s">
        <v>467</v>
      </c>
      <c r="E11" s="9" t="s">
        <v>103</v>
      </c>
      <c r="F11" s="9" t="s">
        <v>104</v>
      </c>
      <c r="G11" s="9" t="s">
        <v>104</v>
      </c>
      <c r="H11" s="87"/>
      <c r="I11" s="9" t="s">
        <v>103</v>
      </c>
      <c r="J11" s="89"/>
      <c r="K11" s="9" t="s">
        <v>103</v>
      </c>
      <c r="L11" s="9" t="s">
        <v>103</v>
      </c>
      <c r="M11" s="9" t="s">
        <v>103</v>
      </c>
      <c r="N11" s="9" t="s">
        <v>104</v>
      </c>
      <c r="O11" s="87"/>
      <c r="P11" s="93"/>
      <c r="Q11" s="9" t="s">
        <v>104</v>
      </c>
      <c r="R11" s="9" t="s">
        <v>103</v>
      </c>
      <c r="S11" s="9" t="s">
        <v>104</v>
      </c>
      <c r="T11" s="89"/>
      <c r="U11" s="9" t="s">
        <v>104</v>
      </c>
      <c r="V11" s="4">
        <f t="shared" si="1"/>
        <v>6</v>
      </c>
      <c r="W11" s="4">
        <f t="shared" si="2"/>
        <v>6</v>
      </c>
      <c r="X11" s="4" t="s">
        <v>312</v>
      </c>
      <c r="Y11" s="11">
        <v>1</v>
      </c>
      <c r="Z11"/>
      <c r="AA11"/>
    </row>
    <row r="12" spans="1:27" x14ac:dyDescent="0.25">
      <c r="A12" s="11">
        <v>8</v>
      </c>
      <c r="B12" s="20" t="s">
        <v>477</v>
      </c>
      <c r="C12" s="21" t="s">
        <v>478</v>
      </c>
      <c r="D12" s="8" t="s">
        <v>467</v>
      </c>
      <c r="E12" s="9" t="s">
        <v>104</v>
      </c>
      <c r="F12" s="9" t="s">
        <v>104</v>
      </c>
      <c r="G12" s="9" t="s">
        <v>104</v>
      </c>
      <c r="H12" s="87"/>
      <c r="I12" s="9" t="s">
        <v>104</v>
      </c>
      <c r="J12" s="89"/>
      <c r="K12" s="9" t="s">
        <v>103</v>
      </c>
      <c r="L12" s="9" t="s">
        <v>104</v>
      </c>
      <c r="M12" s="9" t="s">
        <v>104</v>
      </c>
      <c r="N12" s="9" t="s">
        <v>103</v>
      </c>
      <c r="O12" s="87"/>
      <c r="P12" s="93"/>
      <c r="Q12" s="9" t="s">
        <v>104</v>
      </c>
      <c r="R12" s="9" t="s">
        <v>103</v>
      </c>
      <c r="S12" s="9" t="s">
        <v>103</v>
      </c>
      <c r="T12" s="89"/>
      <c r="U12" s="9" t="s">
        <v>103</v>
      </c>
      <c r="V12" s="4">
        <f t="shared" si="1"/>
        <v>7</v>
      </c>
      <c r="W12" s="4">
        <f t="shared" si="2"/>
        <v>5</v>
      </c>
      <c r="X12"/>
      <c r="Y12"/>
      <c r="Z12"/>
      <c r="AA12"/>
    </row>
    <row r="13" spans="1:27" ht="15.75" x14ac:dyDescent="0.25">
      <c r="A13" s="5">
        <v>9</v>
      </c>
      <c r="B13" s="20" t="s">
        <v>479</v>
      </c>
      <c r="C13" s="21" t="s">
        <v>480</v>
      </c>
      <c r="D13" s="8" t="s">
        <v>467</v>
      </c>
      <c r="E13" s="9" t="s">
        <v>103</v>
      </c>
      <c r="F13" s="9" t="s">
        <v>103</v>
      </c>
      <c r="G13" s="9" t="s">
        <v>103</v>
      </c>
      <c r="H13" s="87"/>
      <c r="I13" s="9" t="s">
        <v>103</v>
      </c>
      <c r="J13" s="89"/>
      <c r="K13" s="9" t="s">
        <v>103</v>
      </c>
      <c r="L13" s="9" t="s">
        <v>103</v>
      </c>
      <c r="M13" s="9" t="s">
        <v>103</v>
      </c>
      <c r="N13" s="9" t="s">
        <v>103</v>
      </c>
      <c r="O13" s="87"/>
      <c r="P13" s="93"/>
      <c r="Q13" s="9" t="s">
        <v>103</v>
      </c>
      <c r="R13" s="9" t="s">
        <v>103</v>
      </c>
      <c r="S13" s="9" t="s">
        <v>103</v>
      </c>
      <c r="T13" s="89"/>
      <c r="U13" s="9" t="s">
        <v>103</v>
      </c>
      <c r="V13" s="4">
        <f t="shared" si="1"/>
        <v>0</v>
      </c>
      <c r="W13" s="4">
        <f t="shared" si="2"/>
        <v>12</v>
      </c>
      <c r="X13" s="76" t="s">
        <v>9</v>
      </c>
      <c r="Y13" s="77"/>
      <c r="Z13" s="77"/>
      <c r="AA13" s="78"/>
    </row>
    <row r="14" spans="1:27" x14ac:dyDescent="0.25">
      <c r="A14" s="5">
        <v>10</v>
      </c>
      <c r="B14" s="20" t="s">
        <v>481</v>
      </c>
      <c r="C14" s="21" t="s">
        <v>482</v>
      </c>
      <c r="D14" s="8" t="s">
        <v>467</v>
      </c>
      <c r="E14" s="9" t="s">
        <v>104</v>
      </c>
      <c r="F14" s="9" t="s">
        <v>104</v>
      </c>
      <c r="G14" s="9" t="s">
        <v>104</v>
      </c>
      <c r="H14" s="87"/>
      <c r="I14" s="9" t="s">
        <v>104</v>
      </c>
      <c r="J14" s="89"/>
      <c r="K14" s="9" t="s">
        <v>104</v>
      </c>
      <c r="L14" s="9" t="s">
        <v>104</v>
      </c>
      <c r="M14" s="9" t="s">
        <v>104</v>
      </c>
      <c r="N14" s="9" t="s">
        <v>103</v>
      </c>
      <c r="O14" s="87"/>
      <c r="P14" s="93"/>
      <c r="Q14" s="9" t="s">
        <v>103</v>
      </c>
      <c r="R14" s="9" t="s">
        <v>104</v>
      </c>
      <c r="S14" s="9" t="s">
        <v>104</v>
      </c>
      <c r="T14" s="89"/>
      <c r="U14" s="9" t="s">
        <v>103</v>
      </c>
      <c r="V14" s="4">
        <f t="shared" si="1"/>
        <v>9</v>
      </c>
      <c r="W14" s="4">
        <f t="shared" si="2"/>
        <v>3</v>
      </c>
      <c r="X14" s="4" t="s">
        <v>10</v>
      </c>
      <c r="Y14" s="4" t="s">
        <v>11</v>
      </c>
      <c r="Z14" s="4" t="s">
        <v>12</v>
      </c>
      <c r="AA14" s="4" t="s">
        <v>13</v>
      </c>
    </row>
    <row r="15" spans="1:27" x14ac:dyDescent="0.25">
      <c r="A15" s="11">
        <v>11</v>
      </c>
      <c r="B15" s="20" t="s">
        <v>483</v>
      </c>
      <c r="C15" s="21" t="s">
        <v>484</v>
      </c>
      <c r="D15" s="8" t="s">
        <v>467</v>
      </c>
      <c r="E15" s="9" t="s">
        <v>104</v>
      </c>
      <c r="F15" s="9" t="s">
        <v>104</v>
      </c>
      <c r="G15" s="9" t="s">
        <v>104</v>
      </c>
      <c r="H15" s="87"/>
      <c r="I15" s="9" t="s">
        <v>104</v>
      </c>
      <c r="J15" s="89"/>
      <c r="K15" s="9" t="s">
        <v>104</v>
      </c>
      <c r="L15" s="9" t="s">
        <v>104</v>
      </c>
      <c r="M15" s="9" t="s">
        <v>104</v>
      </c>
      <c r="N15" s="9" t="s">
        <v>103</v>
      </c>
      <c r="O15" s="87"/>
      <c r="P15" s="93"/>
      <c r="Q15" s="9" t="s">
        <v>104</v>
      </c>
      <c r="R15" s="9" t="s">
        <v>104</v>
      </c>
      <c r="S15" s="9" t="s">
        <v>104</v>
      </c>
      <c r="T15" s="89"/>
      <c r="U15" s="9" t="s">
        <v>103</v>
      </c>
      <c r="V15" s="4">
        <f t="shared" si="1"/>
        <v>10</v>
      </c>
      <c r="W15" s="4">
        <f t="shared" si="2"/>
        <v>2</v>
      </c>
      <c r="X15" s="4" t="s">
        <v>14</v>
      </c>
      <c r="Y15" s="11">
        <f>17*11</f>
        <v>187</v>
      </c>
      <c r="Z15" s="11">
        <f>31*11</f>
        <v>341</v>
      </c>
      <c r="AA15" s="11">
        <f>SUM(Y15:Z15)</f>
        <v>528</v>
      </c>
    </row>
    <row r="16" spans="1:27" x14ac:dyDescent="0.25">
      <c r="A16" s="5">
        <v>12</v>
      </c>
      <c r="B16" s="20" t="s">
        <v>485</v>
      </c>
      <c r="C16" s="21" t="s">
        <v>486</v>
      </c>
      <c r="D16" s="8" t="s">
        <v>467</v>
      </c>
      <c r="E16" s="9" t="s">
        <v>103</v>
      </c>
      <c r="F16" s="9" t="s">
        <v>104</v>
      </c>
      <c r="G16" s="9" t="s">
        <v>104</v>
      </c>
      <c r="H16" s="87"/>
      <c r="I16" s="9" t="s">
        <v>104</v>
      </c>
      <c r="J16" s="89"/>
      <c r="K16" s="9" t="s">
        <v>103</v>
      </c>
      <c r="L16" s="9" t="s">
        <v>104</v>
      </c>
      <c r="M16" s="9" t="s">
        <v>103</v>
      </c>
      <c r="N16" s="9" t="s">
        <v>104</v>
      </c>
      <c r="O16" s="87"/>
      <c r="P16" s="93"/>
      <c r="Q16" s="9" t="s">
        <v>104</v>
      </c>
      <c r="R16" s="9" t="s">
        <v>103</v>
      </c>
      <c r="S16" s="9" t="s">
        <v>104</v>
      </c>
      <c r="T16" s="89"/>
      <c r="U16" s="9" t="s">
        <v>103</v>
      </c>
      <c r="V16" s="4">
        <f t="shared" si="1"/>
        <v>7</v>
      </c>
      <c r="W16" s="4">
        <f t="shared" si="2"/>
        <v>5</v>
      </c>
      <c r="X16" s="4" t="s">
        <v>15</v>
      </c>
      <c r="Y16" s="11">
        <f>SUM(V36:V52)</f>
        <v>141</v>
      </c>
      <c r="Z16" s="11">
        <f>SUM(V5:V31)</f>
        <v>175</v>
      </c>
      <c r="AA16" s="11">
        <f>Y16+Z16</f>
        <v>316</v>
      </c>
    </row>
    <row r="17" spans="1:27" x14ac:dyDescent="0.25">
      <c r="A17" s="5">
        <v>13</v>
      </c>
      <c r="B17" s="20" t="s">
        <v>487</v>
      </c>
      <c r="C17" s="21" t="s">
        <v>23</v>
      </c>
      <c r="D17" s="8" t="s">
        <v>467</v>
      </c>
      <c r="E17" s="9" t="s">
        <v>103</v>
      </c>
      <c r="F17" s="9" t="s">
        <v>104</v>
      </c>
      <c r="G17" s="9" t="s">
        <v>104</v>
      </c>
      <c r="H17" s="87"/>
      <c r="I17" s="9" t="s">
        <v>104</v>
      </c>
      <c r="J17" s="89"/>
      <c r="K17" s="9" t="s">
        <v>104</v>
      </c>
      <c r="L17" s="9" t="s">
        <v>104</v>
      </c>
      <c r="M17" s="9" t="s">
        <v>104</v>
      </c>
      <c r="N17" s="9" t="s">
        <v>104</v>
      </c>
      <c r="O17" s="87"/>
      <c r="P17" s="93"/>
      <c r="Q17" s="9" t="s">
        <v>103</v>
      </c>
      <c r="R17" s="9" t="s">
        <v>103</v>
      </c>
      <c r="S17" s="9" t="s">
        <v>104</v>
      </c>
      <c r="T17" s="89"/>
      <c r="U17" s="9" t="s">
        <v>103</v>
      </c>
      <c r="V17" s="4">
        <f t="shared" si="1"/>
        <v>8</v>
      </c>
      <c r="W17" s="4">
        <f t="shared" si="2"/>
        <v>4</v>
      </c>
      <c r="X17" s="4" t="s">
        <v>16</v>
      </c>
      <c r="Y17" s="15">
        <f>Y16/Y15</f>
        <v>0.75401069518716579</v>
      </c>
      <c r="Z17" s="15">
        <f>Z16/Z15</f>
        <v>0.51319648093841641</v>
      </c>
      <c r="AA17" s="15">
        <f>AA16/AA15</f>
        <v>0.59848484848484851</v>
      </c>
    </row>
    <row r="18" spans="1:27" x14ac:dyDescent="0.25">
      <c r="A18" s="11">
        <v>14</v>
      </c>
      <c r="B18" s="20" t="s">
        <v>488</v>
      </c>
      <c r="C18" s="21" t="s">
        <v>111</v>
      </c>
      <c r="D18" s="8" t="s">
        <v>467</v>
      </c>
      <c r="E18" s="9" t="s">
        <v>103</v>
      </c>
      <c r="F18" s="9" t="s">
        <v>103</v>
      </c>
      <c r="G18" s="9" t="s">
        <v>103</v>
      </c>
      <c r="H18" s="87"/>
      <c r="I18" s="9" t="s">
        <v>104</v>
      </c>
      <c r="J18" s="89"/>
      <c r="K18" s="9" t="s">
        <v>104</v>
      </c>
      <c r="L18" s="9" t="s">
        <v>104</v>
      </c>
      <c r="M18" s="9" t="s">
        <v>104</v>
      </c>
      <c r="N18" s="9" t="s">
        <v>104</v>
      </c>
      <c r="O18" s="87"/>
      <c r="P18" s="93"/>
      <c r="Q18" s="9" t="s">
        <v>104</v>
      </c>
      <c r="R18" s="9" t="s">
        <v>103</v>
      </c>
      <c r="S18" s="9" t="s">
        <v>104</v>
      </c>
      <c r="T18" s="89"/>
      <c r="U18" s="9" t="s">
        <v>103</v>
      </c>
      <c r="V18" s="4">
        <f t="shared" si="1"/>
        <v>7</v>
      </c>
      <c r="W18" s="4">
        <f t="shared" si="2"/>
        <v>5</v>
      </c>
      <c r="X18"/>
      <c r="Y18"/>
      <c r="Z18"/>
      <c r="AA18"/>
    </row>
    <row r="19" spans="1:27" x14ac:dyDescent="0.25">
      <c r="A19" s="5">
        <v>15</v>
      </c>
      <c r="B19" s="20" t="s">
        <v>489</v>
      </c>
      <c r="C19" s="21" t="s">
        <v>490</v>
      </c>
      <c r="D19" s="8" t="s">
        <v>467</v>
      </c>
      <c r="E19" s="9" t="s">
        <v>103</v>
      </c>
      <c r="F19" s="9" t="s">
        <v>104</v>
      </c>
      <c r="G19" s="9" t="s">
        <v>103</v>
      </c>
      <c r="H19" s="87"/>
      <c r="I19" s="9" t="s">
        <v>104</v>
      </c>
      <c r="J19" s="89"/>
      <c r="K19" s="9" t="s">
        <v>104</v>
      </c>
      <c r="L19" s="9" t="s">
        <v>104</v>
      </c>
      <c r="M19" s="9" t="s">
        <v>104</v>
      </c>
      <c r="N19" s="9" t="s">
        <v>103</v>
      </c>
      <c r="O19" s="87"/>
      <c r="P19" s="93"/>
      <c r="Q19" s="9" t="s">
        <v>104</v>
      </c>
      <c r="R19" s="9" t="s">
        <v>103</v>
      </c>
      <c r="S19" s="9" t="s">
        <v>104</v>
      </c>
      <c r="T19" s="89"/>
      <c r="U19" s="9" t="s">
        <v>103</v>
      </c>
      <c r="V19" s="4">
        <f t="shared" si="1"/>
        <v>7</v>
      </c>
      <c r="W19" s="4">
        <f t="shared" si="2"/>
        <v>5</v>
      </c>
      <c r="X19"/>
      <c r="Y19"/>
      <c r="Z19"/>
      <c r="AA19"/>
    </row>
    <row r="20" spans="1:27" x14ac:dyDescent="0.25">
      <c r="A20" s="5">
        <v>16</v>
      </c>
      <c r="B20" s="20" t="s">
        <v>408</v>
      </c>
      <c r="C20" s="21" t="s">
        <v>87</v>
      </c>
      <c r="D20" s="8" t="s">
        <v>467</v>
      </c>
      <c r="E20" s="9" t="s">
        <v>103</v>
      </c>
      <c r="F20" s="9" t="s">
        <v>104</v>
      </c>
      <c r="G20" s="9" t="s">
        <v>104</v>
      </c>
      <c r="H20" s="87"/>
      <c r="I20" s="9" t="s">
        <v>104</v>
      </c>
      <c r="J20" s="89"/>
      <c r="K20" s="9" t="s">
        <v>104</v>
      </c>
      <c r="L20" s="9" t="s">
        <v>104</v>
      </c>
      <c r="M20" s="9" t="s">
        <v>104</v>
      </c>
      <c r="N20" s="9" t="s">
        <v>104</v>
      </c>
      <c r="O20" s="87"/>
      <c r="P20" s="93"/>
      <c r="Q20" s="9" t="s">
        <v>103</v>
      </c>
      <c r="R20" s="9" t="s">
        <v>103</v>
      </c>
      <c r="S20" s="9" t="s">
        <v>104</v>
      </c>
      <c r="T20" s="89"/>
      <c r="U20" s="9" t="s">
        <v>103</v>
      </c>
      <c r="V20" s="4">
        <f t="shared" si="1"/>
        <v>8</v>
      </c>
      <c r="W20" s="4">
        <f t="shared" si="2"/>
        <v>4</v>
      </c>
      <c r="X20"/>
      <c r="Y20"/>
      <c r="Z20"/>
      <c r="AA20"/>
    </row>
    <row r="21" spans="1:27" ht="15.75" x14ac:dyDescent="0.25">
      <c r="A21" s="11">
        <v>17</v>
      </c>
      <c r="B21" s="20" t="s">
        <v>491</v>
      </c>
      <c r="C21" s="21" t="s">
        <v>426</v>
      </c>
      <c r="D21" s="8" t="s">
        <v>467</v>
      </c>
      <c r="E21" s="9" t="s">
        <v>104</v>
      </c>
      <c r="F21" s="9" t="s">
        <v>103</v>
      </c>
      <c r="G21" s="9" t="s">
        <v>104</v>
      </c>
      <c r="H21" s="87"/>
      <c r="I21" s="9" t="s">
        <v>104</v>
      </c>
      <c r="J21" s="89"/>
      <c r="K21" s="9" t="s">
        <v>103</v>
      </c>
      <c r="L21" s="9" t="s">
        <v>104</v>
      </c>
      <c r="M21" s="9" t="s">
        <v>104</v>
      </c>
      <c r="N21" s="9" t="s">
        <v>104</v>
      </c>
      <c r="O21" s="87"/>
      <c r="P21" s="93"/>
      <c r="Q21" s="9" t="s">
        <v>104</v>
      </c>
      <c r="R21" s="9" t="s">
        <v>103</v>
      </c>
      <c r="S21" s="9" t="s">
        <v>103</v>
      </c>
      <c r="T21" s="89"/>
      <c r="U21" s="9" t="s">
        <v>103</v>
      </c>
      <c r="V21" s="4">
        <f t="shared" si="1"/>
        <v>7</v>
      </c>
      <c r="W21" s="4">
        <f t="shared" si="2"/>
        <v>5</v>
      </c>
      <c r="X21" s="76" t="s">
        <v>316</v>
      </c>
      <c r="Y21" s="77"/>
      <c r="Z21" s="77"/>
      <c r="AA21" s="78"/>
    </row>
    <row r="22" spans="1:27" x14ac:dyDescent="0.25">
      <c r="A22" s="5">
        <v>18</v>
      </c>
      <c r="B22" s="20" t="s">
        <v>492</v>
      </c>
      <c r="C22" s="21" t="s">
        <v>167</v>
      </c>
      <c r="D22" s="8" t="s">
        <v>467</v>
      </c>
      <c r="E22" s="9" t="s">
        <v>104</v>
      </c>
      <c r="F22" s="9" t="s">
        <v>104</v>
      </c>
      <c r="G22" s="9" t="s">
        <v>103</v>
      </c>
      <c r="H22" s="87"/>
      <c r="I22" s="9" t="s">
        <v>104</v>
      </c>
      <c r="J22" s="89"/>
      <c r="K22" s="9" t="s">
        <v>103</v>
      </c>
      <c r="L22" s="9" t="s">
        <v>104</v>
      </c>
      <c r="M22" s="9" t="s">
        <v>104</v>
      </c>
      <c r="N22" s="9" t="s">
        <v>104</v>
      </c>
      <c r="O22" s="87"/>
      <c r="P22" s="93"/>
      <c r="Q22" s="9" t="s">
        <v>104</v>
      </c>
      <c r="R22" s="9" t="s">
        <v>103</v>
      </c>
      <c r="S22" s="9" t="s">
        <v>104</v>
      </c>
      <c r="T22" s="89"/>
      <c r="U22" s="9" t="s">
        <v>103</v>
      </c>
      <c r="V22" s="4">
        <f t="shared" si="1"/>
        <v>8</v>
      </c>
      <c r="W22" s="4">
        <f t="shared" si="2"/>
        <v>4</v>
      </c>
      <c r="X22" s="4" t="s">
        <v>10</v>
      </c>
      <c r="Y22" s="4" t="s">
        <v>11</v>
      </c>
      <c r="Z22" s="4" t="s">
        <v>12</v>
      </c>
      <c r="AA22" s="4" t="s">
        <v>13</v>
      </c>
    </row>
    <row r="23" spans="1:27" x14ac:dyDescent="0.25">
      <c r="A23" s="5">
        <v>19</v>
      </c>
      <c r="B23" s="20" t="s">
        <v>493</v>
      </c>
      <c r="C23" s="21" t="s">
        <v>65</v>
      </c>
      <c r="D23" s="8" t="s">
        <v>467</v>
      </c>
      <c r="E23" s="9" t="s">
        <v>103</v>
      </c>
      <c r="F23" s="9" t="s">
        <v>103</v>
      </c>
      <c r="G23" s="9" t="s">
        <v>103</v>
      </c>
      <c r="H23" s="87"/>
      <c r="I23" s="9" t="s">
        <v>103</v>
      </c>
      <c r="J23" s="89"/>
      <c r="K23" s="9" t="s">
        <v>103</v>
      </c>
      <c r="L23" s="9" t="s">
        <v>103</v>
      </c>
      <c r="M23" s="9" t="s">
        <v>103</v>
      </c>
      <c r="N23" s="9" t="s">
        <v>103</v>
      </c>
      <c r="O23" s="87"/>
      <c r="P23" s="93"/>
      <c r="Q23" s="9" t="s">
        <v>104</v>
      </c>
      <c r="R23" s="9" t="s">
        <v>103</v>
      </c>
      <c r="S23" s="9" t="s">
        <v>103</v>
      </c>
      <c r="T23" s="89"/>
      <c r="U23" s="9" t="s">
        <v>103</v>
      </c>
      <c r="V23" s="4">
        <f t="shared" si="1"/>
        <v>1</v>
      </c>
      <c r="W23" s="4">
        <f t="shared" si="2"/>
        <v>11</v>
      </c>
      <c r="X23" s="4" t="s">
        <v>14</v>
      </c>
      <c r="Y23" s="11">
        <f>17*11</f>
        <v>187</v>
      </c>
      <c r="Z23" s="11">
        <f>31*11</f>
        <v>341</v>
      </c>
      <c r="AA23" s="11">
        <f>Y23+Z23</f>
        <v>528</v>
      </c>
    </row>
    <row r="24" spans="1:27" x14ac:dyDescent="0.25">
      <c r="A24" s="11">
        <v>20</v>
      </c>
      <c r="B24" s="20" t="s">
        <v>494</v>
      </c>
      <c r="C24" s="21" t="s">
        <v>495</v>
      </c>
      <c r="D24" s="8" t="s">
        <v>467</v>
      </c>
      <c r="E24" s="9" t="s">
        <v>103</v>
      </c>
      <c r="F24" s="9" t="s">
        <v>103</v>
      </c>
      <c r="G24" s="9" t="s">
        <v>104</v>
      </c>
      <c r="H24" s="87"/>
      <c r="I24" s="9" t="s">
        <v>103</v>
      </c>
      <c r="J24" s="89"/>
      <c r="K24" s="9" t="s">
        <v>104</v>
      </c>
      <c r="L24" s="9" t="s">
        <v>104</v>
      </c>
      <c r="M24" s="9" t="s">
        <v>104</v>
      </c>
      <c r="N24" s="9" t="s">
        <v>104</v>
      </c>
      <c r="O24" s="87"/>
      <c r="P24" s="93"/>
      <c r="Q24" s="9" t="s">
        <v>103</v>
      </c>
      <c r="R24" s="9" t="s">
        <v>103</v>
      </c>
      <c r="S24" s="9" t="s">
        <v>104</v>
      </c>
      <c r="T24" s="89"/>
      <c r="U24" s="9" t="s">
        <v>103</v>
      </c>
      <c r="V24" s="4">
        <f t="shared" si="1"/>
        <v>6</v>
      </c>
      <c r="W24" s="4">
        <f t="shared" si="2"/>
        <v>6</v>
      </c>
      <c r="X24" s="4" t="s">
        <v>17</v>
      </c>
      <c r="Y24" s="11">
        <f>Y23-Y16</f>
        <v>46</v>
      </c>
      <c r="Z24" s="11">
        <f>Z23-Z16</f>
        <v>166</v>
      </c>
      <c r="AA24" s="11">
        <f>Y24+Z24</f>
        <v>212</v>
      </c>
    </row>
    <row r="25" spans="1:27" x14ac:dyDescent="0.25">
      <c r="A25" s="5">
        <v>21</v>
      </c>
      <c r="B25" s="20" t="s">
        <v>496</v>
      </c>
      <c r="C25" s="21" t="s">
        <v>497</v>
      </c>
      <c r="D25" s="8" t="s">
        <v>467</v>
      </c>
      <c r="E25" s="9" t="s">
        <v>103</v>
      </c>
      <c r="F25" s="9" t="s">
        <v>104</v>
      </c>
      <c r="G25" s="9" t="s">
        <v>103</v>
      </c>
      <c r="H25" s="87"/>
      <c r="I25" s="9" t="s">
        <v>104</v>
      </c>
      <c r="J25" s="89"/>
      <c r="K25" s="9" t="s">
        <v>104</v>
      </c>
      <c r="L25" s="9" t="s">
        <v>104</v>
      </c>
      <c r="M25" s="9" t="s">
        <v>104</v>
      </c>
      <c r="N25" s="9" t="s">
        <v>103</v>
      </c>
      <c r="O25" s="87"/>
      <c r="P25" s="93"/>
      <c r="Q25" s="9" t="s">
        <v>103</v>
      </c>
      <c r="R25" s="9" t="s">
        <v>103</v>
      </c>
      <c r="S25" s="9" t="s">
        <v>104</v>
      </c>
      <c r="T25" s="89"/>
      <c r="U25" s="9" t="s">
        <v>103</v>
      </c>
      <c r="V25" s="4">
        <f t="shared" si="1"/>
        <v>6</v>
      </c>
      <c r="W25" s="4">
        <f t="shared" si="2"/>
        <v>6</v>
      </c>
      <c r="X25" s="4" t="s">
        <v>16</v>
      </c>
      <c r="Y25" s="15">
        <f>Y24/Y23</f>
        <v>0.24598930481283424</v>
      </c>
      <c r="Z25" s="15">
        <f>Z24/Z23</f>
        <v>0.48680351906158359</v>
      </c>
      <c r="AA25" s="15">
        <f>AA24/AA23</f>
        <v>0.40151515151515149</v>
      </c>
    </row>
    <row r="26" spans="1:27" x14ac:dyDescent="0.25">
      <c r="A26" s="5">
        <v>22</v>
      </c>
      <c r="B26" s="20" t="s">
        <v>498</v>
      </c>
      <c r="C26" s="20" t="s">
        <v>124</v>
      </c>
      <c r="D26" s="8" t="s">
        <v>467</v>
      </c>
      <c r="E26" s="9" t="s">
        <v>103</v>
      </c>
      <c r="F26" s="9" t="s">
        <v>103</v>
      </c>
      <c r="G26" s="9" t="s">
        <v>103</v>
      </c>
      <c r="H26" s="87"/>
      <c r="I26" s="9" t="s">
        <v>103</v>
      </c>
      <c r="J26" s="89"/>
      <c r="K26" s="9" t="s">
        <v>103</v>
      </c>
      <c r="L26" s="9" t="s">
        <v>103</v>
      </c>
      <c r="M26" s="9" t="s">
        <v>103</v>
      </c>
      <c r="N26" s="9" t="s">
        <v>103</v>
      </c>
      <c r="O26" s="87"/>
      <c r="P26" s="93"/>
      <c r="Q26" s="9" t="s">
        <v>103</v>
      </c>
      <c r="R26" s="9" t="s">
        <v>103</v>
      </c>
      <c r="S26" s="9" t="s">
        <v>103</v>
      </c>
      <c r="T26" s="89"/>
      <c r="U26" s="9" t="s">
        <v>103</v>
      </c>
      <c r="V26" s="4">
        <f t="shared" si="1"/>
        <v>0</v>
      </c>
      <c r="W26" s="4">
        <f t="shared" si="2"/>
        <v>12</v>
      </c>
    </row>
    <row r="27" spans="1:27" x14ac:dyDescent="0.25">
      <c r="A27" s="11">
        <v>23</v>
      </c>
      <c r="B27" s="20" t="s">
        <v>499</v>
      </c>
      <c r="C27" s="21" t="s">
        <v>75</v>
      </c>
      <c r="D27" s="8" t="s">
        <v>467</v>
      </c>
      <c r="E27" s="9" t="s">
        <v>103</v>
      </c>
      <c r="F27" s="9" t="s">
        <v>104</v>
      </c>
      <c r="G27" s="9" t="s">
        <v>104</v>
      </c>
      <c r="H27" s="87"/>
      <c r="I27" s="9" t="s">
        <v>104</v>
      </c>
      <c r="J27" s="89"/>
      <c r="K27" s="9" t="s">
        <v>103</v>
      </c>
      <c r="L27" s="9" t="s">
        <v>103</v>
      </c>
      <c r="M27" s="9" t="s">
        <v>104</v>
      </c>
      <c r="N27" s="9" t="s">
        <v>104</v>
      </c>
      <c r="O27" s="87"/>
      <c r="P27" s="93"/>
      <c r="Q27" s="9" t="s">
        <v>104</v>
      </c>
      <c r="R27" s="9" t="s">
        <v>103</v>
      </c>
      <c r="S27" s="9" t="s">
        <v>103</v>
      </c>
      <c r="T27" s="89"/>
      <c r="U27" s="9" t="s">
        <v>103</v>
      </c>
      <c r="V27" s="4">
        <f t="shared" si="1"/>
        <v>6</v>
      </c>
      <c r="W27" s="4">
        <f t="shared" si="2"/>
        <v>6</v>
      </c>
    </row>
    <row r="28" spans="1:27" x14ac:dyDescent="0.25">
      <c r="A28" s="5">
        <v>24</v>
      </c>
      <c r="B28" s="22" t="s">
        <v>500</v>
      </c>
      <c r="C28" s="23" t="s">
        <v>501</v>
      </c>
      <c r="D28" s="8" t="s">
        <v>467</v>
      </c>
      <c r="E28" s="9" t="s">
        <v>103</v>
      </c>
      <c r="F28" s="9" t="s">
        <v>104</v>
      </c>
      <c r="G28" s="9" t="s">
        <v>104</v>
      </c>
      <c r="H28" s="87"/>
      <c r="I28" s="9" t="s">
        <v>104</v>
      </c>
      <c r="J28" s="89"/>
      <c r="K28" s="9" t="s">
        <v>104</v>
      </c>
      <c r="L28" s="9" t="s">
        <v>104</v>
      </c>
      <c r="M28" s="9" t="s">
        <v>103</v>
      </c>
      <c r="N28" s="9" t="s">
        <v>103</v>
      </c>
      <c r="O28" s="87"/>
      <c r="P28" s="93"/>
      <c r="Q28" s="9" t="s">
        <v>104</v>
      </c>
      <c r="R28" s="9" t="s">
        <v>103</v>
      </c>
      <c r="S28" s="9" t="s">
        <v>103</v>
      </c>
      <c r="T28" s="89"/>
      <c r="U28" s="9" t="s">
        <v>103</v>
      </c>
      <c r="V28" s="4">
        <f t="shared" si="1"/>
        <v>6</v>
      </c>
      <c r="W28" s="4">
        <f t="shared" si="2"/>
        <v>6</v>
      </c>
    </row>
    <row r="29" spans="1:27" x14ac:dyDescent="0.25">
      <c r="A29" s="5">
        <v>25</v>
      </c>
      <c r="B29" s="24" t="s">
        <v>502</v>
      </c>
      <c r="C29" s="24" t="s">
        <v>503</v>
      </c>
      <c r="D29" s="8" t="s">
        <v>467</v>
      </c>
      <c r="E29" s="9" t="s">
        <v>104</v>
      </c>
      <c r="F29" s="9" t="s">
        <v>104</v>
      </c>
      <c r="G29" s="9" t="s">
        <v>103</v>
      </c>
      <c r="H29" s="87"/>
      <c r="I29" s="9" t="s">
        <v>104</v>
      </c>
      <c r="J29" s="89"/>
      <c r="K29" s="9" t="s">
        <v>103</v>
      </c>
      <c r="L29" s="9" t="s">
        <v>104</v>
      </c>
      <c r="M29" s="9" t="s">
        <v>104</v>
      </c>
      <c r="N29" s="9" t="s">
        <v>104</v>
      </c>
      <c r="O29" s="87"/>
      <c r="P29" s="93"/>
      <c r="Q29" s="9" t="s">
        <v>104</v>
      </c>
      <c r="R29" s="9" t="s">
        <v>103</v>
      </c>
      <c r="S29" s="9" t="s">
        <v>104</v>
      </c>
      <c r="T29" s="89"/>
      <c r="U29" s="9" t="s">
        <v>103</v>
      </c>
      <c r="V29" s="4">
        <f t="shared" si="1"/>
        <v>8</v>
      </c>
      <c r="W29" s="4">
        <f t="shared" si="2"/>
        <v>4</v>
      </c>
    </row>
    <row r="30" spans="1:27" x14ac:dyDescent="0.25">
      <c r="A30" s="11">
        <v>26</v>
      </c>
      <c r="B30" s="24" t="s">
        <v>504</v>
      </c>
      <c r="C30" s="24" t="s">
        <v>388</v>
      </c>
      <c r="D30" s="8" t="s">
        <v>467</v>
      </c>
      <c r="E30" s="9" t="s">
        <v>104</v>
      </c>
      <c r="F30" s="9" t="s">
        <v>104</v>
      </c>
      <c r="G30" s="9" t="s">
        <v>104</v>
      </c>
      <c r="H30" s="87"/>
      <c r="I30" s="9" t="s">
        <v>103</v>
      </c>
      <c r="J30" s="89"/>
      <c r="K30" s="9" t="s">
        <v>104</v>
      </c>
      <c r="L30" s="9" t="s">
        <v>104</v>
      </c>
      <c r="M30" s="9" t="s">
        <v>104</v>
      </c>
      <c r="N30" s="9" t="s">
        <v>104</v>
      </c>
      <c r="O30" s="87"/>
      <c r="P30" s="93"/>
      <c r="Q30" s="9" t="s">
        <v>104</v>
      </c>
      <c r="R30" s="9" t="s">
        <v>104</v>
      </c>
      <c r="S30" s="9" t="s">
        <v>103</v>
      </c>
      <c r="T30" s="89"/>
      <c r="U30" s="9" t="s">
        <v>103</v>
      </c>
      <c r="V30" s="4">
        <f t="shared" si="1"/>
        <v>9</v>
      </c>
      <c r="W30" s="4">
        <f t="shared" si="2"/>
        <v>3</v>
      </c>
    </row>
    <row r="31" spans="1:27" x14ac:dyDescent="0.25">
      <c r="A31" s="5">
        <v>27</v>
      </c>
      <c r="B31" s="24" t="s">
        <v>505</v>
      </c>
      <c r="C31" s="24" t="s">
        <v>441</v>
      </c>
      <c r="D31" s="8" t="s">
        <v>467</v>
      </c>
      <c r="E31" s="9" t="s">
        <v>104</v>
      </c>
      <c r="F31" s="9" t="s">
        <v>103</v>
      </c>
      <c r="G31" s="9" t="s">
        <v>104</v>
      </c>
      <c r="H31" s="87"/>
      <c r="I31" s="9" t="s">
        <v>103</v>
      </c>
      <c r="J31" s="89"/>
      <c r="K31" s="9" t="s">
        <v>104</v>
      </c>
      <c r="L31" s="9" t="s">
        <v>104</v>
      </c>
      <c r="M31" s="9" t="s">
        <v>104</v>
      </c>
      <c r="N31" s="9" t="s">
        <v>104</v>
      </c>
      <c r="O31" s="87"/>
      <c r="P31" s="93"/>
      <c r="Q31" s="9" t="s">
        <v>104</v>
      </c>
      <c r="R31" s="9" t="s">
        <v>103</v>
      </c>
      <c r="S31" s="9" t="s">
        <v>104</v>
      </c>
      <c r="T31" s="89"/>
      <c r="U31" s="9" t="s">
        <v>104</v>
      </c>
      <c r="V31" s="4">
        <f t="shared" si="1"/>
        <v>9</v>
      </c>
      <c r="W31" s="4">
        <f t="shared" si="2"/>
        <v>3</v>
      </c>
    </row>
    <row r="32" spans="1:27" x14ac:dyDescent="0.25">
      <c r="A32" s="5">
        <v>28</v>
      </c>
      <c r="B32" s="24" t="s">
        <v>506</v>
      </c>
      <c r="C32" s="25" t="s">
        <v>51</v>
      </c>
      <c r="D32" s="8" t="s">
        <v>467</v>
      </c>
      <c r="E32" s="9" t="s">
        <v>103</v>
      </c>
      <c r="F32" s="9" t="s">
        <v>103</v>
      </c>
      <c r="G32" s="9" t="s">
        <v>103</v>
      </c>
      <c r="H32" s="87"/>
      <c r="I32" s="9" t="s">
        <v>103</v>
      </c>
      <c r="J32" s="89"/>
      <c r="K32" s="9" t="s">
        <v>103</v>
      </c>
      <c r="L32" s="9" t="s">
        <v>103</v>
      </c>
      <c r="M32" s="9" t="s">
        <v>103</v>
      </c>
      <c r="N32" s="9" t="s">
        <v>103</v>
      </c>
      <c r="O32" s="87"/>
      <c r="P32" s="93"/>
      <c r="Q32" s="9" t="s">
        <v>104</v>
      </c>
      <c r="R32" s="9" t="s">
        <v>103</v>
      </c>
      <c r="S32" s="9" t="s">
        <v>103</v>
      </c>
      <c r="T32" s="89"/>
      <c r="U32" s="9" t="s">
        <v>103</v>
      </c>
      <c r="V32" s="4">
        <f t="shared" si="1"/>
        <v>1</v>
      </c>
      <c r="W32" s="4">
        <f t="shared" si="2"/>
        <v>11</v>
      </c>
    </row>
    <row r="33" spans="1:23" x14ac:dyDescent="0.25">
      <c r="A33" s="11">
        <v>29</v>
      </c>
      <c r="B33" s="26" t="s">
        <v>507</v>
      </c>
      <c r="C33" s="27" t="s">
        <v>508</v>
      </c>
      <c r="D33" s="8" t="s">
        <v>467</v>
      </c>
      <c r="E33" s="9" t="s">
        <v>104</v>
      </c>
      <c r="F33" s="9" t="s">
        <v>104</v>
      </c>
      <c r="G33" s="9" t="s">
        <v>104</v>
      </c>
      <c r="H33" s="87"/>
      <c r="I33" s="9" t="s">
        <v>104</v>
      </c>
      <c r="J33" s="89"/>
      <c r="K33" s="9" t="s">
        <v>103</v>
      </c>
      <c r="L33" s="9" t="s">
        <v>104</v>
      </c>
      <c r="M33" s="9" t="s">
        <v>104</v>
      </c>
      <c r="N33" s="9" t="s">
        <v>104</v>
      </c>
      <c r="O33" s="87"/>
      <c r="P33" s="93"/>
      <c r="Q33" s="9" t="s">
        <v>104</v>
      </c>
      <c r="R33" s="9" t="s">
        <v>103</v>
      </c>
      <c r="S33" s="9" t="s">
        <v>103</v>
      </c>
      <c r="T33" s="89"/>
      <c r="U33" s="9" t="s">
        <v>103</v>
      </c>
      <c r="V33" s="4">
        <f t="shared" si="1"/>
        <v>8</v>
      </c>
      <c r="W33" s="4">
        <f t="shared" si="2"/>
        <v>4</v>
      </c>
    </row>
    <row r="34" spans="1:23" x14ac:dyDescent="0.25">
      <c r="A34" s="5">
        <v>30</v>
      </c>
      <c r="B34" s="20" t="s">
        <v>509</v>
      </c>
      <c r="C34" s="21" t="s">
        <v>510</v>
      </c>
      <c r="D34" s="8" t="s">
        <v>467</v>
      </c>
      <c r="E34" s="9" t="s">
        <v>104</v>
      </c>
      <c r="F34" s="9" t="s">
        <v>104</v>
      </c>
      <c r="G34" s="9" t="s">
        <v>104</v>
      </c>
      <c r="H34" s="87"/>
      <c r="I34" s="9" t="s">
        <v>103</v>
      </c>
      <c r="J34" s="89"/>
      <c r="K34" s="9" t="s">
        <v>104</v>
      </c>
      <c r="L34" s="9" t="s">
        <v>104</v>
      </c>
      <c r="M34" s="9" t="s">
        <v>104</v>
      </c>
      <c r="N34" s="9" t="s">
        <v>103</v>
      </c>
      <c r="O34" s="87"/>
      <c r="P34" s="93"/>
      <c r="Q34" s="9" t="s">
        <v>104</v>
      </c>
      <c r="R34" s="9" t="s">
        <v>103</v>
      </c>
      <c r="S34" s="9" t="s">
        <v>103</v>
      </c>
      <c r="T34" s="89"/>
      <c r="U34" s="9" t="s">
        <v>104</v>
      </c>
      <c r="V34" s="4">
        <f t="shared" si="1"/>
        <v>8</v>
      </c>
      <c r="W34" s="4">
        <f t="shared" si="2"/>
        <v>4</v>
      </c>
    </row>
    <row r="35" spans="1:23" x14ac:dyDescent="0.25">
      <c r="A35" s="5">
        <v>31</v>
      </c>
      <c r="B35" s="20" t="s">
        <v>511</v>
      </c>
      <c r="C35" s="21" t="s">
        <v>110</v>
      </c>
      <c r="D35" s="8" t="s">
        <v>467</v>
      </c>
      <c r="E35" s="9" t="s">
        <v>112</v>
      </c>
      <c r="F35" s="9" t="s">
        <v>112</v>
      </c>
      <c r="G35" s="9" t="s">
        <v>112</v>
      </c>
      <c r="H35" s="87"/>
      <c r="I35" s="9" t="s">
        <v>112</v>
      </c>
      <c r="J35" s="89"/>
      <c r="K35" s="9" t="s">
        <v>112</v>
      </c>
      <c r="L35" s="9" t="s">
        <v>112</v>
      </c>
      <c r="M35" s="9" t="s">
        <v>112</v>
      </c>
      <c r="N35" s="9" t="s">
        <v>112</v>
      </c>
      <c r="O35" s="87"/>
      <c r="P35" s="93"/>
      <c r="Q35" s="9" t="s">
        <v>104</v>
      </c>
      <c r="R35" s="9" t="s">
        <v>104</v>
      </c>
      <c r="S35" s="9" t="s">
        <v>103</v>
      </c>
      <c r="T35" s="89"/>
      <c r="U35" s="9" t="s">
        <v>104</v>
      </c>
      <c r="V35" s="4">
        <f t="shared" si="1"/>
        <v>3</v>
      </c>
      <c r="W35" s="4">
        <f t="shared" si="2"/>
        <v>1</v>
      </c>
    </row>
    <row r="36" spans="1:23" ht="15" customHeight="1" x14ac:dyDescent="0.25">
      <c r="A36" s="5">
        <v>1</v>
      </c>
      <c r="B36" s="26" t="s">
        <v>512</v>
      </c>
      <c r="C36" s="21" t="s">
        <v>513</v>
      </c>
      <c r="D36" s="8" t="s">
        <v>467</v>
      </c>
      <c r="E36" s="10" t="s">
        <v>104</v>
      </c>
      <c r="F36" s="10" t="s">
        <v>104</v>
      </c>
      <c r="G36" s="10" t="s">
        <v>104</v>
      </c>
      <c r="H36" s="87"/>
      <c r="I36" s="10" t="s">
        <v>103</v>
      </c>
      <c r="J36" s="10" t="s">
        <v>103</v>
      </c>
      <c r="K36" s="10" t="s">
        <v>104</v>
      </c>
      <c r="L36" s="10" t="s">
        <v>104</v>
      </c>
      <c r="M36" s="10" t="s">
        <v>104</v>
      </c>
      <c r="N36" s="10" t="s">
        <v>104</v>
      </c>
      <c r="O36" s="87"/>
      <c r="P36" s="93"/>
      <c r="Q36" s="10" t="s">
        <v>104</v>
      </c>
      <c r="R36" s="10" t="s">
        <v>103</v>
      </c>
      <c r="S36" s="10" t="s">
        <v>104</v>
      </c>
      <c r="T36" s="89"/>
      <c r="U36" s="10" t="s">
        <v>103</v>
      </c>
      <c r="V36" s="4">
        <f t="shared" si="1"/>
        <v>9</v>
      </c>
      <c r="W36" s="4">
        <f t="shared" si="2"/>
        <v>4</v>
      </c>
    </row>
    <row r="37" spans="1:23" x14ac:dyDescent="0.25">
      <c r="A37" s="11">
        <v>2</v>
      </c>
      <c r="B37" s="20" t="s">
        <v>514</v>
      </c>
      <c r="C37" s="21" t="s">
        <v>515</v>
      </c>
      <c r="D37" s="8" t="s">
        <v>467</v>
      </c>
      <c r="E37" s="10" t="s">
        <v>103</v>
      </c>
      <c r="F37" s="10" t="s">
        <v>104</v>
      </c>
      <c r="G37" s="10" t="s">
        <v>104</v>
      </c>
      <c r="H37" s="87"/>
      <c r="I37" s="10" t="s">
        <v>104</v>
      </c>
      <c r="J37" s="10" t="s">
        <v>104</v>
      </c>
      <c r="K37" s="10" t="s">
        <v>104</v>
      </c>
      <c r="L37" s="10" t="s">
        <v>104</v>
      </c>
      <c r="M37" s="10" t="s">
        <v>104</v>
      </c>
      <c r="N37" s="10" t="s">
        <v>104</v>
      </c>
      <c r="O37" s="87"/>
      <c r="P37" s="93"/>
      <c r="Q37" s="10" t="s">
        <v>103</v>
      </c>
      <c r="R37" s="10" t="s">
        <v>103</v>
      </c>
      <c r="S37" s="10" t="s">
        <v>103</v>
      </c>
      <c r="T37" s="89"/>
      <c r="U37" s="10" t="s">
        <v>103</v>
      </c>
      <c r="V37" s="4">
        <f t="shared" si="1"/>
        <v>8</v>
      </c>
      <c r="W37" s="4">
        <f t="shared" si="2"/>
        <v>5</v>
      </c>
    </row>
    <row r="38" spans="1:23" x14ac:dyDescent="0.25">
      <c r="A38" s="5">
        <v>3</v>
      </c>
      <c r="B38" s="20" t="s">
        <v>516</v>
      </c>
      <c r="C38" s="21" t="s">
        <v>517</v>
      </c>
      <c r="D38" s="8" t="s">
        <v>467</v>
      </c>
      <c r="E38" s="10" t="s">
        <v>103</v>
      </c>
      <c r="F38" s="10" t="s">
        <v>104</v>
      </c>
      <c r="G38" s="10" t="s">
        <v>104</v>
      </c>
      <c r="H38" s="87"/>
      <c r="I38" s="10" t="s">
        <v>104</v>
      </c>
      <c r="J38" s="10" t="s">
        <v>104</v>
      </c>
      <c r="K38" s="10" t="s">
        <v>104</v>
      </c>
      <c r="L38" s="10" t="s">
        <v>104</v>
      </c>
      <c r="M38" s="10" t="s">
        <v>104</v>
      </c>
      <c r="N38" s="10" t="s">
        <v>104</v>
      </c>
      <c r="O38" s="87"/>
      <c r="P38" s="93"/>
      <c r="Q38" s="10" t="s">
        <v>104</v>
      </c>
      <c r="R38" s="10" t="s">
        <v>103</v>
      </c>
      <c r="S38" s="10" t="s">
        <v>103</v>
      </c>
      <c r="T38" s="89"/>
      <c r="U38" s="10" t="s">
        <v>103</v>
      </c>
      <c r="V38" s="4">
        <f t="shared" si="1"/>
        <v>9</v>
      </c>
      <c r="W38" s="4">
        <f t="shared" si="2"/>
        <v>4</v>
      </c>
    </row>
    <row r="39" spans="1:23" x14ac:dyDescent="0.25">
      <c r="A39" s="11">
        <v>4</v>
      </c>
      <c r="B39" s="20" t="s">
        <v>181</v>
      </c>
      <c r="C39" s="21" t="s">
        <v>518</v>
      </c>
      <c r="D39" s="8" t="s">
        <v>467</v>
      </c>
      <c r="E39" s="10" t="s">
        <v>104</v>
      </c>
      <c r="F39" s="10" t="s">
        <v>104</v>
      </c>
      <c r="G39" s="10" t="s">
        <v>104</v>
      </c>
      <c r="H39" s="87"/>
      <c r="I39" s="10" t="s">
        <v>104</v>
      </c>
      <c r="J39" s="10" t="s">
        <v>104</v>
      </c>
      <c r="K39" s="10" t="s">
        <v>104</v>
      </c>
      <c r="L39" s="10" t="s">
        <v>104</v>
      </c>
      <c r="M39" s="10" t="s">
        <v>104</v>
      </c>
      <c r="N39" s="10" t="s">
        <v>104</v>
      </c>
      <c r="O39" s="87"/>
      <c r="P39" s="93"/>
      <c r="Q39" s="10" t="s">
        <v>103</v>
      </c>
      <c r="R39" s="10" t="s">
        <v>104</v>
      </c>
      <c r="S39" s="10" t="s">
        <v>104</v>
      </c>
      <c r="T39" s="89"/>
      <c r="U39" s="10" t="s">
        <v>103</v>
      </c>
      <c r="V39" s="4">
        <f t="shared" si="1"/>
        <v>11</v>
      </c>
      <c r="W39" s="4">
        <f t="shared" si="2"/>
        <v>2</v>
      </c>
    </row>
    <row r="40" spans="1:23" x14ac:dyDescent="0.25">
      <c r="A40" s="5">
        <v>5</v>
      </c>
      <c r="B40" s="20" t="s">
        <v>519</v>
      </c>
      <c r="C40" s="21" t="s">
        <v>399</v>
      </c>
      <c r="D40" s="8" t="s">
        <v>467</v>
      </c>
      <c r="E40" s="10" t="s">
        <v>104</v>
      </c>
      <c r="F40" s="10" t="s">
        <v>104</v>
      </c>
      <c r="G40" s="10" t="s">
        <v>104</v>
      </c>
      <c r="H40" s="87"/>
      <c r="I40" s="10" t="s">
        <v>104</v>
      </c>
      <c r="J40" s="10" t="s">
        <v>104</v>
      </c>
      <c r="K40" s="10" t="s">
        <v>104</v>
      </c>
      <c r="L40" s="10" t="s">
        <v>104</v>
      </c>
      <c r="M40" s="10" t="s">
        <v>104</v>
      </c>
      <c r="N40" s="10" t="s">
        <v>104</v>
      </c>
      <c r="O40" s="87"/>
      <c r="P40" s="93"/>
      <c r="Q40" s="10" t="s">
        <v>104</v>
      </c>
      <c r="R40" s="10" t="s">
        <v>103</v>
      </c>
      <c r="S40" s="10" t="s">
        <v>104</v>
      </c>
      <c r="T40" s="89"/>
      <c r="U40" s="10" t="s">
        <v>103</v>
      </c>
      <c r="V40" s="4">
        <f t="shared" si="1"/>
        <v>11</v>
      </c>
      <c r="W40" s="4">
        <f t="shared" si="2"/>
        <v>2</v>
      </c>
    </row>
    <row r="41" spans="1:23" x14ac:dyDescent="0.25">
      <c r="A41" s="11">
        <v>6</v>
      </c>
      <c r="B41" s="20" t="s">
        <v>520</v>
      </c>
      <c r="C41" s="21" t="s">
        <v>517</v>
      </c>
      <c r="D41" s="8" t="s">
        <v>467</v>
      </c>
      <c r="E41" s="10" t="s">
        <v>104</v>
      </c>
      <c r="F41" s="10" t="s">
        <v>103</v>
      </c>
      <c r="G41" s="10" t="s">
        <v>104</v>
      </c>
      <c r="H41" s="87"/>
      <c r="I41" s="10" t="s">
        <v>104</v>
      </c>
      <c r="J41" s="10" t="s">
        <v>104</v>
      </c>
      <c r="K41" s="10" t="s">
        <v>104</v>
      </c>
      <c r="L41" s="10" t="s">
        <v>104</v>
      </c>
      <c r="M41" s="10" t="s">
        <v>104</v>
      </c>
      <c r="N41" s="10" t="s">
        <v>104</v>
      </c>
      <c r="O41" s="87"/>
      <c r="P41" s="93"/>
      <c r="Q41" s="10" t="s">
        <v>104</v>
      </c>
      <c r="R41" s="10" t="s">
        <v>103</v>
      </c>
      <c r="S41" s="10" t="s">
        <v>104</v>
      </c>
      <c r="T41" s="89"/>
      <c r="U41" s="10" t="s">
        <v>103</v>
      </c>
      <c r="V41" s="4">
        <f t="shared" si="1"/>
        <v>10</v>
      </c>
      <c r="W41" s="4">
        <f t="shared" si="2"/>
        <v>3</v>
      </c>
    </row>
    <row r="42" spans="1:23" x14ac:dyDescent="0.25">
      <c r="A42" s="5">
        <v>7</v>
      </c>
      <c r="B42" s="20" t="s">
        <v>521</v>
      </c>
      <c r="C42" s="21" t="s">
        <v>522</v>
      </c>
      <c r="D42" s="8" t="s">
        <v>467</v>
      </c>
      <c r="E42" s="10" t="s">
        <v>104</v>
      </c>
      <c r="F42" s="10" t="s">
        <v>104</v>
      </c>
      <c r="G42" s="10" t="s">
        <v>103</v>
      </c>
      <c r="H42" s="87"/>
      <c r="I42" s="10" t="s">
        <v>103</v>
      </c>
      <c r="J42" s="10" t="s">
        <v>103</v>
      </c>
      <c r="K42" s="10" t="s">
        <v>104</v>
      </c>
      <c r="L42" s="10" t="s">
        <v>104</v>
      </c>
      <c r="M42" s="10" t="s">
        <v>104</v>
      </c>
      <c r="N42" s="10" t="s">
        <v>104</v>
      </c>
      <c r="O42" s="87"/>
      <c r="P42" s="93"/>
      <c r="Q42" s="10" t="s">
        <v>104</v>
      </c>
      <c r="R42" s="10" t="s">
        <v>103</v>
      </c>
      <c r="S42" s="10" t="s">
        <v>104</v>
      </c>
      <c r="T42" s="89"/>
      <c r="U42" s="10" t="s">
        <v>103</v>
      </c>
      <c r="V42" s="4">
        <f t="shared" si="1"/>
        <v>8</v>
      </c>
      <c r="W42" s="4">
        <f t="shared" si="2"/>
        <v>5</v>
      </c>
    </row>
    <row r="43" spans="1:23" x14ac:dyDescent="0.25">
      <c r="A43" s="11">
        <v>8</v>
      </c>
      <c r="B43" s="20" t="s">
        <v>298</v>
      </c>
      <c r="C43" s="21" t="s">
        <v>230</v>
      </c>
      <c r="D43" s="8" t="s">
        <v>467</v>
      </c>
      <c r="E43" s="10" t="s">
        <v>104</v>
      </c>
      <c r="F43" s="10" t="s">
        <v>104</v>
      </c>
      <c r="G43" s="10" t="s">
        <v>104</v>
      </c>
      <c r="H43" s="87"/>
      <c r="I43" s="10" t="s">
        <v>104</v>
      </c>
      <c r="J43" s="10" t="s">
        <v>104</v>
      </c>
      <c r="K43" s="10" t="s">
        <v>104</v>
      </c>
      <c r="L43" s="10" t="s">
        <v>104</v>
      </c>
      <c r="M43" s="10" t="s">
        <v>103</v>
      </c>
      <c r="N43" s="10" t="s">
        <v>104</v>
      </c>
      <c r="O43" s="87"/>
      <c r="P43" s="93"/>
      <c r="Q43" s="10" t="s">
        <v>103</v>
      </c>
      <c r="R43" s="10" t="s">
        <v>104</v>
      </c>
      <c r="S43" s="10" t="s">
        <v>104</v>
      </c>
      <c r="T43" s="89"/>
      <c r="U43" s="10" t="s">
        <v>103</v>
      </c>
      <c r="V43" s="4">
        <f t="shared" si="1"/>
        <v>10</v>
      </c>
      <c r="W43" s="4">
        <f t="shared" si="2"/>
        <v>3</v>
      </c>
    </row>
    <row r="44" spans="1:23" x14ac:dyDescent="0.25">
      <c r="A44" s="5">
        <v>9</v>
      </c>
      <c r="B44" s="20" t="s">
        <v>523</v>
      </c>
      <c r="C44" s="21" t="s">
        <v>524</v>
      </c>
      <c r="D44" s="8" t="s">
        <v>467</v>
      </c>
      <c r="E44" s="10" t="s">
        <v>104</v>
      </c>
      <c r="F44" s="10" t="s">
        <v>104</v>
      </c>
      <c r="G44" s="10" t="s">
        <v>104</v>
      </c>
      <c r="H44" s="87"/>
      <c r="I44" s="10" t="s">
        <v>104</v>
      </c>
      <c r="J44" s="10" t="s">
        <v>104</v>
      </c>
      <c r="K44" s="10" t="s">
        <v>104</v>
      </c>
      <c r="L44" s="10" t="s">
        <v>104</v>
      </c>
      <c r="M44" s="10" t="s">
        <v>104</v>
      </c>
      <c r="N44" s="10" t="s">
        <v>104</v>
      </c>
      <c r="O44" s="87"/>
      <c r="P44" s="93"/>
      <c r="Q44" s="10" t="s">
        <v>104</v>
      </c>
      <c r="R44" s="10" t="s">
        <v>103</v>
      </c>
      <c r="S44" s="10" t="s">
        <v>104</v>
      </c>
      <c r="T44" s="89"/>
      <c r="U44" s="10" t="s">
        <v>103</v>
      </c>
      <c r="V44" s="4">
        <f t="shared" si="1"/>
        <v>11</v>
      </c>
      <c r="W44" s="4">
        <f t="shared" si="2"/>
        <v>2</v>
      </c>
    </row>
    <row r="45" spans="1:23" x14ac:dyDescent="0.25">
      <c r="A45" s="11">
        <v>10</v>
      </c>
      <c r="B45" s="20" t="s">
        <v>387</v>
      </c>
      <c r="C45" s="21" t="s">
        <v>525</v>
      </c>
      <c r="D45" s="8" t="s">
        <v>467</v>
      </c>
      <c r="E45" s="10" t="s">
        <v>104</v>
      </c>
      <c r="F45" s="10" t="s">
        <v>103</v>
      </c>
      <c r="G45" s="10" t="s">
        <v>103</v>
      </c>
      <c r="H45" s="87"/>
      <c r="I45" s="10" t="s">
        <v>104</v>
      </c>
      <c r="J45" s="10" t="s">
        <v>104</v>
      </c>
      <c r="K45" s="10" t="s">
        <v>104</v>
      </c>
      <c r="L45" s="10" t="s">
        <v>104</v>
      </c>
      <c r="M45" s="10" t="s">
        <v>104</v>
      </c>
      <c r="N45" s="10" t="s">
        <v>104</v>
      </c>
      <c r="O45" s="87"/>
      <c r="P45" s="93"/>
      <c r="Q45" s="10" t="s">
        <v>104</v>
      </c>
      <c r="R45" s="10" t="s">
        <v>104</v>
      </c>
      <c r="S45" s="10" t="s">
        <v>104</v>
      </c>
      <c r="T45" s="89"/>
      <c r="U45" s="10" t="s">
        <v>103</v>
      </c>
      <c r="V45" s="4">
        <f t="shared" si="1"/>
        <v>10</v>
      </c>
      <c r="W45" s="4">
        <f t="shared" si="2"/>
        <v>3</v>
      </c>
    </row>
    <row r="46" spans="1:23" x14ac:dyDescent="0.25">
      <c r="A46" s="5">
        <v>11</v>
      </c>
      <c r="B46" s="20" t="s">
        <v>111</v>
      </c>
      <c r="C46" s="21" t="s">
        <v>526</v>
      </c>
      <c r="D46" s="8" t="s">
        <v>467</v>
      </c>
      <c r="E46" s="10" t="s">
        <v>103</v>
      </c>
      <c r="F46" s="10" t="s">
        <v>104</v>
      </c>
      <c r="G46" s="10" t="s">
        <v>103</v>
      </c>
      <c r="H46" s="87"/>
      <c r="I46" s="10" t="s">
        <v>104</v>
      </c>
      <c r="J46" s="10" t="s">
        <v>104</v>
      </c>
      <c r="K46" s="10" t="s">
        <v>104</v>
      </c>
      <c r="L46" s="10" t="s">
        <v>103</v>
      </c>
      <c r="M46" s="10" t="s">
        <v>103</v>
      </c>
      <c r="N46" s="10" t="s">
        <v>103</v>
      </c>
      <c r="O46" s="87"/>
      <c r="P46" s="93"/>
      <c r="Q46" s="10" t="s">
        <v>103</v>
      </c>
      <c r="R46" s="10" t="s">
        <v>103</v>
      </c>
      <c r="S46" s="10" t="s">
        <v>103</v>
      </c>
      <c r="T46" s="89"/>
      <c r="U46" s="10" t="s">
        <v>103</v>
      </c>
      <c r="V46" s="4">
        <f t="shared" si="1"/>
        <v>4</v>
      </c>
      <c r="W46" s="4">
        <f t="shared" si="2"/>
        <v>9</v>
      </c>
    </row>
    <row r="47" spans="1:23" x14ac:dyDescent="0.25">
      <c r="A47" s="11">
        <v>12</v>
      </c>
      <c r="B47" s="20" t="s">
        <v>527</v>
      </c>
      <c r="C47" s="21" t="s">
        <v>51</v>
      </c>
      <c r="D47" s="8" t="s">
        <v>467</v>
      </c>
      <c r="E47" s="10" t="s">
        <v>103</v>
      </c>
      <c r="F47" s="10" t="s">
        <v>104</v>
      </c>
      <c r="G47" s="10" t="s">
        <v>103</v>
      </c>
      <c r="H47" s="87"/>
      <c r="I47" s="10" t="s">
        <v>104</v>
      </c>
      <c r="J47" s="10" t="s">
        <v>104</v>
      </c>
      <c r="K47" s="10" t="s">
        <v>103</v>
      </c>
      <c r="L47" s="10" t="s">
        <v>103</v>
      </c>
      <c r="M47" s="10" t="s">
        <v>104</v>
      </c>
      <c r="N47" s="10" t="s">
        <v>103</v>
      </c>
      <c r="O47" s="87"/>
      <c r="P47" s="93"/>
      <c r="Q47" s="10" t="s">
        <v>103</v>
      </c>
      <c r="R47" s="10" t="s">
        <v>103</v>
      </c>
      <c r="S47" s="10" t="s">
        <v>104</v>
      </c>
      <c r="T47" s="89"/>
      <c r="U47" s="10" t="s">
        <v>103</v>
      </c>
      <c r="V47" s="4">
        <f t="shared" si="1"/>
        <v>5</v>
      </c>
      <c r="W47" s="4">
        <f t="shared" si="2"/>
        <v>8</v>
      </c>
    </row>
    <row r="48" spans="1:23" x14ac:dyDescent="0.25">
      <c r="A48" s="5">
        <v>13</v>
      </c>
      <c r="B48" s="20" t="s">
        <v>528</v>
      </c>
      <c r="C48" s="21" t="s">
        <v>67</v>
      </c>
      <c r="D48" s="8" t="s">
        <v>467</v>
      </c>
      <c r="E48" s="10" t="s">
        <v>103</v>
      </c>
      <c r="F48" s="10" t="s">
        <v>104</v>
      </c>
      <c r="G48" s="10" t="s">
        <v>103</v>
      </c>
      <c r="H48" s="87"/>
      <c r="I48" s="10" t="s">
        <v>104</v>
      </c>
      <c r="J48" s="10" t="s">
        <v>104</v>
      </c>
      <c r="K48" s="10" t="s">
        <v>104</v>
      </c>
      <c r="L48" s="10" t="s">
        <v>104</v>
      </c>
      <c r="M48" s="10" t="s">
        <v>104</v>
      </c>
      <c r="N48" s="10" t="s">
        <v>104</v>
      </c>
      <c r="O48" s="87"/>
      <c r="P48" s="93"/>
      <c r="Q48" s="10" t="s">
        <v>104</v>
      </c>
      <c r="R48" s="10" t="s">
        <v>104</v>
      </c>
      <c r="S48" s="10" t="s">
        <v>104</v>
      </c>
      <c r="T48" s="89"/>
      <c r="U48" s="10" t="s">
        <v>103</v>
      </c>
      <c r="V48" s="4">
        <f t="shared" si="1"/>
        <v>10</v>
      </c>
      <c r="W48" s="4">
        <f t="shared" si="2"/>
        <v>3</v>
      </c>
    </row>
    <row r="49" spans="1:23" x14ac:dyDescent="0.25">
      <c r="A49" s="11">
        <v>14</v>
      </c>
      <c r="B49" s="20" t="s">
        <v>529</v>
      </c>
      <c r="C49" s="21" t="s">
        <v>503</v>
      </c>
      <c r="D49" s="8" t="s">
        <v>467</v>
      </c>
      <c r="E49" s="10" t="s">
        <v>104</v>
      </c>
      <c r="F49" s="10" t="s">
        <v>104</v>
      </c>
      <c r="G49" s="10" t="s">
        <v>103</v>
      </c>
      <c r="H49" s="87"/>
      <c r="I49" s="10" t="s">
        <v>104</v>
      </c>
      <c r="J49" s="10" t="s">
        <v>104</v>
      </c>
      <c r="K49" s="10" t="s">
        <v>104</v>
      </c>
      <c r="L49" s="10" t="s">
        <v>104</v>
      </c>
      <c r="M49" s="10" t="s">
        <v>104</v>
      </c>
      <c r="N49" s="10" t="s">
        <v>104</v>
      </c>
      <c r="O49" s="87"/>
      <c r="P49" s="93"/>
      <c r="Q49" s="10" t="s">
        <v>104</v>
      </c>
      <c r="R49" s="10" t="s">
        <v>103</v>
      </c>
      <c r="S49" s="10" t="s">
        <v>104</v>
      </c>
      <c r="T49" s="89"/>
      <c r="U49" s="10" t="s">
        <v>103</v>
      </c>
      <c r="V49" s="4">
        <f t="shared" si="1"/>
        <v>10</v>
      </c>
      <c r="W49" s="4">
        <f t="shared" si="2"/>
        <v>3</v>
      </c>
    </row>
    <row r="50" spans="1:23" x14ac:dyDescent="0.25">
      <c r="A50" s="5">
        <v>15</v>
      </c>
      <c r="B50" s="20" t="s">
        <v>530</v>
      </c>
      <c r="C50" s="21" t="s">
        <v>531</v>
      </c>
      <c r="D50" s="8" t="s">
        <v>467</v>
      </c>
      <c r="E50" s="10" t="s">
        <v>104</v>
      </c>
      <c r="F50" s="10" t="s">
        <v>104</v>
      </c>
      <c r="G50" s="10" t="s">
        <v>104</v>
      </c>
      <c r="H50" s="87"/>
      <c r="I50" s="10" t="s">
        <v>104</v>
      </c>
      <c r="J50" s="10" t="s">
        <v>104</v>
      </c>
      <c r="K50" s="10" t="s">
        <v>104</v>
      </c>
      <c r="L50" s="10" t="s">
        <v>104</v>
      </c>
      <c r="M50" s="10" t="s">
        <v>104</v>
      </c>
      <c r="N50" s="10" t="s">
        <v>103</v>
      </c>
      <c r="O50" s="87"/>
      <c r="P50" s="93"/>
      <c r="Q50" s="10" t="s">
        <v>104</v>
      </c>
      <c r="R50" s="10" t="s">
        <v>104</v>
      </c>
      <c r="S50" s="10" t="s">
        <v>103</v>
      </c>
      <c r="T50" s="89"/>
      <c r="U50" s="10" t="s">
        <v>103</v>
      </c>
      <c r="V50" s="4">
        <f t="shared" si="1"/>
        <v>10</v>
      </c>
      <c r="W50" s="4">
        <f t="shared" si="2"/>
        <v>3</v>
      </c>
    </row>
    <row r="51" spans="1:23" x14ac:dyDescent="0.25">
      <c r="A51" s="11">
        <v>16</v>
      </c>
      <c r="B51" s="20" t="s">
        <v>532</v>
      </c>
      <c r="C51" s="21" t="s">
        <v>533</v>
      </c>
      <c r="D51" s="8" t="s">
        <v>467</v>
      </c>
      <c r="E51" s="10" t="s">
        <v>112</v>
      </c>
      <c r="F51" s="10" t="s">
        <v>112</v>
      </c>
      <c r="G51" s="10" t="s">
        <v>112</v>
      </c>
      <c r="H51" s="87"/>
      <c r="I51" s="10" t="s">
        <v>112</v>
      </c>
      <c r="J51" s="10" t="s">
        <v>112</v>
      </c>
      <c r="K51" s="10" t="s">
        <v>112</v>
      </c>
      <c r="L51" s="10" t="s">
        <v>112</v>
      </c>
      <c r="M51" s="10" t="s">
        <v>112</v>
      </c>
      <c r="N51" s="10" t="s">
        <v>103</v>
      </c>
      <c r="O51" s="87"/>
      <c r="P51" s="93"/>
      <c r="Q51" s="10" t="s">
        <v>104</v>
      </c>
      <c r="R51" s="10" t="s">
        <v>103</v>
      </c>
      <c r="S51" s="10" t="s">
        <v>104</v>
      </c>
      <c r="T51" s="89"/>
      <c r="U51" s="10" t="s">
        <v>103</v>
      </c>
      <c r="V51" s="4">
        <f t="shared" si="1"/>
        <v>2</v>
      </c>
      <c r="W51" s="4">
        <f t="shared" si="2"/>
        <v>3</v>
      </c>
    </row>
    <row r="52" spans="1:23" x14ac:dyDescent="0.25">
      <c r="A52" s="5">
        <v>17</v>
      </c>
      <c r="B52" s="20" t="s">
        <v>534</v>
      </c>
      <c r="C52" s="21" t="s">
        <v>535</v>
      </c>
      <c r="D52" s="8" t="s">
        <v>467</v>
      </c>
      <c r="E52" s="10" t="s">
        <v>112</v>
      </c>
      <c r="F52" s="10" t="s">
        <v>112</v>
      </c>
      <c r="G52" s="10" t="s">
        <v>112</v>
      </c>
      <c r="H52" s="87"/>
      <c r="I52" s="10" t="s">
        <v>112</v>
      </c>
      <c r="J52" s="10" t="s">
        <v>112</v>
      </c>
      <c r="K52" s="10" t="s">
        <v>112</v>
      </c>
      <c r="L52" s="10" t="s">
        <v>112</v>
      </c>
      <c r="M52" s="10" t="s">
        <v>112</v>
      </c>
      <c r="N52" s="10" t="s">
        <v>104</v>
      </c>
      <c r="O52" s="87"/>
      <c r="P52" s="93"/>
      <c r="Q52" s="10" t="s">
        <v>104</v>
      </c>
      <c r="R52" s="10" t="s">
        <v>104</v>
      </c>
      <c r="S52" s="10" t="s">
        <v>103</v>
      </c>
      <c r="T52" s="89"/>
      <c r="U52" s="10" t="s">
        <v>103</v>
      </c>
      <c r="V52" s="4">
        <f t="shared" si="1"/>
        <v>3</v>
      </c>
      <c r="W52" s="4">
        <f t="shared" si="2"/>
        <v>2</v>
      </c>
    </row>
  </sheetData>
  <mergeCells count="16">
    <mergeCell ref="A1:W1"/>
    <mergeCell ref="A2:W2"/>
    <mergeCell ref="A3:A4"/>
    <mergeCell ref="B3:B4"/>
    <mergeCell ref="C3:C4"/>
    <mergeCell ref="D3:D4"/>
    <mergeCell ref="V3:V4"/>
    <mergeCell ref="W3:W4"/>
    <mergeCell ref="X3:Y3"/>
    <mergeCell ref="H5:H52"/>
    <mergeCell ref="J5:J35"/>
    <mergeCell ref="O5:O52"/>
    <mergeCell ref="P5:P52"/>
    <mergeCell ref="T5:T52"/>
    <mergeCell ref="X13:AA13"/>
    <mergeCell ref="X21:AA21"/>
  </mergeCells>
  <conditionalFormatting sqref="E5:G52 Q6:S52 U6:U52 I36:N52">
    <cfRule type="cellIs" dxfId="83" priority="9" operator="equal">
      <formula>"L"</formula>
    </cfRule>
    <cfRule type="cellIs" dxfId="82" priority="10" operator="equal">
      <formula>"A"</formula>
    </cfRule>
    <cfRule type="cellIs" dxfId="81" priority="11" operator="equal">
      <formula>"P"</formula>
    </cfRule>
    <cfRule type="expression" dxfId="80" priority="12">
      <formula>IF(E$4=TODAY(),TRUE,FALSE)</formula>
    </cfRule>
    <cfRule type="expression" dxfId="79" priority="13">
      <formula>E$3="Sun"</formula>
    </cfRule>
  </conditionalFormatting>
  <conditionalFormatting sqref="E3:U4 H5:U5 I6:I35 K6:N35">
    <cfRule type="expression" dxfId="78" priority="26">
      <formula>E$3="Sun"</formula>
    </cfRule>
  </conditionalFormatting>
  <conditionalFormatting sqref="H5:U5 I6:I35 K6:N35 E4:U4">
    <cfRule type="expression" dxfId="77" priority="25">
      <formula>IF(E$4=TODAY(),TRUE,FALSE)</formula>
    </cfRule>
  </conditionalFormatting>
  <conditionalFormatting sqref="H5:U5 I6:I35 K6:N35">
    <cfRule type="cellIs" dxfId="76" priority="22" operator="equal">
      <formula>"L"</formula>
    </cfRule>
    <cfRule type="cellIs" dxfId="75" priority="23" operator="equal">
      <formula>"A"</formula>
    </cfRule>
    <cfRule type="cellIs" dxfId="74" priority="24" operator="equal">
      <formula>"P"</formula>
    </cfRule>
  </conditionalFormatting>
  <conditionalFormatting sqref="V3:W3 V5:W35">
    <cfRule type="expression" dxfId="73" priority="27">
      <formula>#REF!="Sun"</formula>
    </cfRule>
  </conditionalFormatting>
  <conditionalFormatting sqref="V36:W52">
    <cfRule type="expression" dxfId="72" priority="14">
      <formula>#REF!="Sun"</formula>
    </cfRule>
  </conditionalFormatting>
  <conditionalFormatting sqref="X5:X11">
    <cfRule type="expression" dxfId="71" priority="7">
      <formula>X$3="Sun"</formula>
    </cfRule>
  </conditionalFormatting>
  <conditionalFormatting sqref="X14:X17">
    <cfRule type="expression" dxfId="70" priority="3">
      <formula>X$3="Sun"</formula>
    </cfRule>
  </conditionalFormatting>
  <conditionalFormatting sqref="X22:X25">
    <cfRule type="expression" dxfId="69" priority="2">
      <formula>X$3="Sun"</formula>
    </cfRule>
  </conditionalFormatting>
  <conditionalFormatting sqref="X4:Y4">
    <cfRule type="expression" dxfId="68" priority="8">
      <formula>X$3="Sun"</formula>
    </cfRule>
  </conditionalFormatting>
  <conditionalFormatting sqref="Y14:AA14">
    <cfRule type="expression" dxfId="67" priority="4">
      <formula>Y$3="Sun"</formula>
    </cfRule>
  </conditionalFormatting>
  <conditionalFormatting sqref="Y22:AA22">
    <cfRule type="expression" dxfId="66" priority="1">
      <formula>Y$3="Sun"</formula>
    </cfRule>
  </conditionalFormatting>
  <conditionalFormatting sqref="AA23">
    <cfRule type="expression" dxfId="65" priority="6">
      <formula>AA$3="Sun"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C41A1-4D61-463C-8A7B-A116976A09D7}">
  <dimension ref="A1:AA53"/>
  <sheetViews>
    <sheetView topLeftCell="A13" workbookViewId="0">
      <selection activeCell="Z15" sqref="Z15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 bestFit="1"/>
    <col min="6" max="7" width="3.7109375" style="1" bestFit="1" customWidth="1"/>
    <col min="8" max="8" width="3.85546875" style="1" bestFit="1"/>
    <col min="9" max="9" width="4.5703125" style="1" bestFit="1" customWidth="1"/>
    <col min="10" max="10" width="3.85546875" style="1" bestFit="1"/>
    <col min="11" max="11" width="4.7109375" style="1" bestFit="1" customWidth="1"/>
    <col min="12" max="12" width="3.85546875" style="1" bestFit="1"/>
    <col min="13" max="14" width="3.7109375" style="1" bestFit="1" customWidth="1"/>
    <col min="15" max="15" width="3.85546875" style="1" bestFit="1"/>
    <col min="16" max="16" width="4.5703125" style="1" bestFit="1" customWidth="1"/>
    <col min="17" max="17" width="3.85546875" style="1" bestFit="1"/>
    <col min="18" max="18" width="4.7109375" style="1" bestFit="1" customWidth="1"/>
    <col min="19" max="19" width="3.85546875" style="1" bestFit="1"/>
    <col min="20" max="21" width="3.7109375" style="1" customWidth="1"/>
    <col min="22" max="23" width="6.7109375" style="1" bestFit="1" customWidth="1"/>
    <col min="24" max="24" width="18.5703125" style="1" bestFit="1" customWidth="1"/>
    <col min="25" max="25" width="5.85546875" style="1" bestFit="1" customWidth="1"/>
    <col min="26" max="26" width="14.28515625" style="1" bestFit="1" customWidth="1"/>
    <col min="27" max="27" width="6.7109375" style="1" bestFit="1" customWidth="1"/>
    <col min="28" max="16384" width="3.85546875" style="1"/>
  </cols>
  <sheetData>
    <row r="1" spans="1:27" ht="17.25" x14ac:dyDescent="0.25">
      <c r="A1" s="81" t="s">
        <v>19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</row>
    <row r="2" spans="1:27" ht="17.25" x14ac:dyDescent="0.3">
      <c r="A2" s="82" t="s">
        <v>18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</row>
    <row r="3" spans="1:27" ht="15.75" x14ac:dyDescent="0.25">
      <c r="A3" s="84" t="s">
        <v>0</v>
      </c>
      <c r="B3" s="84" t="s">
        <v>1</v>
      </c>
      <c r="C3" s="84" t="s">
        <v>2</v>
      </c>
      <c r="D3" s="84" t="s">
        <v>3</v>
      </c>
      <c r="E3" s="2" t="str">
        <f t="shared" ref="E3:U3" si="0">TEXT(E4,"ddd")</f>
        <v>Thu</v>
      </c>
      <c r="F3" s="2" t="str">
        <f t="shared" si="0"/>
        <v>Fri</v>
      </c>
      <c r="G3" s="2" t="str">
        <f t="shared" si="0"/>
        <v>Sat</v>
      </c>
      <c r="H3" s="2" t="str">
        <f t="shared" si="0"/>
        <v>Sun</v>
      </c>
      <c r="I3" s="2" t="str">
        <f t="shared" si="0"/>
        <v>Mon</v>
      </c>
      <c r="J3" s="2" t="str">
        <f t="shared" si="0"/>
        <v>Tue</v>
      </c>
      <c r="K3" s="2" t="str">
        <f t="shared" si="0"/>
        <v>Wed</v>
      </c>
      <c r="L3" s="2" t="str">
        <f t="shared" si="0"/>
        <v>Thu</v>
      </c>
      <c r="M3" s="2" t="str">
        <f t="shared" si="0"/>
        <v>Fri</v>
      </c>
      <c r="N3" s="2" t="str">
        <f t="shared" si="0"/>
        <v>Sat</v>
      </c>
      <c r="O3" s="2" t="str">
        <f t="shared" si="0"/>
        <v>Sun</v>
      </c>
      <c r="P3" s="2" t="str">
        <f t="shared" si="0"/>
        <v>Mon</v>
      </c>
      <c r="Q3" s="2" t="str">
        <f t="shared" si="0"/>
        <v>Tue</v>
      </c>
      <c r="R3" s="2" t="str">
        <f t="shared" si="0"/>
        <v>Wed</v>
      </c>
      <c r="S3" s="2" t="str">
        <f t="shared" si="0"/>
        <v>Thu</v>
      </c>
      <c r="T3" s="2" t="str">
        <f t="shared" si="0"/>
        <v>Fri</v>
      </c>
      <c r="U3" s="2" t="str">
        <f t="shared" si="0"/>
        <v>Sat</v>
      </c>
      <c r="V3" s="79" t="s">
        <v>4</v>
      </c>
      <c r="W3" s="79" t="s">
        <v>5</v>
      </c>
      <c r="X3" s="76" t="s">
        <v>210</v>
      </c>
      <c r="Y3" s="77"/>
      <c r="Z3" s="3"/>
      <c r="AA3" s="3"/>
    </row>
    <row r="4" spans="1:27" ht="36.75" x14ac:dyDescent="0.25">
      <c r="A4" s="85"/>
      <c r="B4" s="85"/>
      <c r="C4" s="85"/>
      <c r="D4" s="85"/>
      <c r="E4" s="17">
        <v>45519</v>
      </c>
      <c r="F4" s="17">
        <v>45520</v>
      </c>
      <c r="G4" s="17">
        <v>45521</v>
      </c>
      <c r="H4" s="17">
        <v>45522</v>
      </c>
      <c r="I4" s="17">
        <v>45523</v>
      </c>
      <c r="J4" s="17">
        <v>45524</v>
      </c>
      <c r="K4" s="17">
        <v>45525</v>
      </c>
      <c r="L4" s="17">
        <v>45526</v>
      </c>
      <c r="M4" s="17">
        <v>45527</v>
      </c>
      <c r="N4" s="17">
        <v>45528</v>
      </c>
      <c r="O4" s="17">
        <v>45529</v>
      </c>
      <c r="P4" s="17">
        <v>45530</v>
      </c>
      <c r="Q4" s="17">
        <v>45531</v>
      </c>
      <c r="R4" s="17">
        <v>45532</v>
      </c>
      <c r="S4" s="17">
        <v>45533</v>
      </c>
      <c r="T4" s="17">
        <v>45534</v>
      </c>
      <c r="U4" s="17">
        <v>45535</v>
      </c>
      <c r="V4" s="79"/>
      <c r="W4" s="79"/>
      <c r="X4" s="4" t="s">
        <v>315</v>
      </c>
      <c r="Y4" s="4">
        <f>SUM(Y5:Y11)</f>
        <v>31</v>
      </c>
      <c r="Z4" s="3"/>
      <c r="AA4" s="3"/>
    </row>
    <row r="5" spans="1:27" ht="15" customHeight="1" x14ac:dyDescent="0.25">
      <c r="A5" s="5">
        <v>1</v>
      </c>
      <c r="B5" s="26" t="s">
        <v>536</v>
      </c>
      <c r="C5" s="26" t="s">
        <v>537</v>
      </c>
      <c r="D5" s="9" t="s">
        <v>538</v>
      </c>
      <c r="E5" s="9" t="s">
        <v>104</v>
      </c>
      <c r="F5" s="9" t="s">
        <v>104</v>
      </c>
      <c r="G5" s="9" t="s">
        <v>103</v>
      </c>
      <c r="H5" s="86" t="s">
        <v>108</v>
      </c>
      <c r="I5" s="9"/>
      <c r="J5" s="88" t="s">
        <v>539</v>
      </c>
      <c r="K5" s="9"/>
      <c r="L5" s="9"/>
      <c r="M5" s="9"/>
      <c r="N5" s="9"/>
      <c r="O5" s="86" t="s">
        <v>108</v>
      </c>
      <c r="P5" s="88" t="s">
        <v>216</v>
      </c>
      <c r="Q5" s="9"/>
      <c r="R5" s="9"/>
      <c r="S5" s="9"/>
      <c r="T5" s="88" t="s">
        <v>106</v>
      </c>
      <c r="U5" s="9"/>
      <c r="V5" s="4">
        <f t="shared" ref="V5:V53" si="1">COUNTIF(E5:U5,"P")</f>
        <v>2</v>
      </c>
      <c r="W5" s="4">
        <f t="shared" ref="W5:W53" si="2">COUNTIF(E5:T5,"A")</f>
        <v>1</v>
      </c>
      <c r="X5" s="4" t="s">
        <v>7</v>
      </c>
      <c r="Y5" s="11">
        <v>11</v>
      </c>
      <c r="Z5" s="12"/>
      <c r="AA5" s="3"/>
    </row>
    <row r="6" spans="1:27" x14ac:dyDescent="0.25">
      <c r="A6" s="11">
        <v>2</v>
      </c>
      <c r="B6" s="26" t="s">
        <v>47</v>
      </c>
      <c r="C6" s="26" t="s">
        <v>430</v>
      </c>
      <c r="D6" s="9" t="s">
        <v>538</v>
      </c>
      <c r="E6" s="9" t="s">
        <v>103</v>
      </c>
      <c r="F6" s="9" t="s">
        <v>104</v>
      </c>
      <c r="G6" s="9" t="s">
        <v>104</v>
      </c>
      <c r="H6" s="87"/>
      <c r="I6" s="9" t="s">
        <v>103</v>
      </c>
      <c r="J6" s="89"/>
      <c r="K6" s="9" t="s">
        <v>103</v>
      </c>
      <c r="L6" s="9" t="s">
        <v>104</v>
      </c>
      <c r="M6" s="9" t="s">
        <v>104</v>
      </c>
      <c r="N6" s="9" t="s">
        <v>104</v>
      </c>
      <c r="O6" s="87"/>
      <c r="P6" s="89"/>
      <c r="Q6" s="9" t="s">
        <v>104</v>
      </c>
      <c r="R6" s="9" t="s">
        <v>104</v>
      </c>
      <c r="S6" s="9" t="s">
        <v>103</v>
      </c>
      <c r="T6" s="89"/>
      <c r="U6" s="9"/>
      <c r="V6" s="4">
        <f t="shared" si="1"/>
        <v>7</v>
      </c>
      <c r="W6" s="4">
        <f t="shared" si="2"/>
        <v>4</v>
      </c>
      <c r="X6" s="4" t="s">
        <v>8</v>
      </c>
      <c r="Y6" s="11">
        <v>4</v>
      </c>
      <c r="Z6" s="3"/>
      <c r="AA6" s="3"/>
    </row>
    <row r="7" spans="1:27" x14ac:dyDescent="0.25">
      <c r="A7" s="5">
        <v>3</v>
      </c>
      <c r="B7" s="26" t="s">
        <v>540</v>
      </c>
      <c r="C7" s="26" t="s">
        <v>541</v>
      </c>
      <c r="D7" s="9" t="s">
        <v>538</v>
      </c>
      <c r="E7" s="9" t="s">
        <v>103</v>
      </c>
      <c r="F7" s="9" t="s">
        <v>104</v>
      </c>
      <c r="G7" s="9" t="s">
        <v>103</v>
      </c>
      <c r="H7" s="87"/>
      <c r="I7" s="9" t="s">
        <v>104</v>
      </c>
      <c r="J7" s="89"/>
      <c r="K7" s="9" t="s">
        <v>104</v>
      </c>
      <c r="L7" s="9" t="s">
        <v>104</v>
      </c>
      <c r="M7" s="9" t="s">
        <v>104</v>
      </c>
      <c r="N7" s="9" t="s">
        <v>104</v>
      </c>
      <c r="O7" s="87"/>
      <c r="P7" s="89"/>
      <c r="Q7" s="9" t="s">
        <v>104</v>
      </c>
      <c r="R7" s="9" t="s">
        <v>104</v>
      </c>
      <c r="S7" s="9" t="s">
        <v>378</v>
      </c>
      <c r="T7" s="89"/>
      <c r="U7" s="9"/>
      <c r="V7" s="4">
        <f t="shared" si="1"/>
        <v>8</v>
      </c>
      <c r="W7" s="4">
        <f t="shared" si="2"/>
        <v>2</v>
      </c>
      <c r="X7" s="4" t="s">
        <v>313</v>
      </c>
      <c r="Y7" s="11">
        <v>12</v>
      </c>
      <c r="Z7" s="3"/>
      <c r="AA7" s="3"/>
    </row>
    <row r="8" spans="1:27" x14ac:dyDescent="0.25">
      <c r="A8" s="11">
        <v>4</v>
      </c>
      <c r="B8" s="26" t="s">
        <v>542</v>
      </c>
      <c r="C8" s="26" t="s">
        <v>134</v>
      </c>
      <c r="D8" s="9" t="s">
        <v>538</v>
      </c>
      <c r="E8" s="9" t="s">
        <v>103</v>
      </c>
      <c r="F8" s="9" t="s">
        <v>104</v>
      </c>
      <c r="G8" s="9" t="s">
        <v>103</v>
      </c>
      <c r="H8" s="87"/>
      <c r="I8" s="9" t="s">
        <v>103</v>
      </c>
      <c r="J8" s="89"/>
      <c r="K8" s="9" t="s">
        <v>104</v>
      </c>
      <c r="L8" s="9" t="s">
        <v>104</v>
      </c>
      <c r="M8" s="9" t="s">
        <v>104</v>
      </c>
      <c r="N8" s="9" t="s">
        <v>103</v>
      </c>
      <c r="O8" s="87"/>
      <c r="P8" s="89"/>
      <c r="Q8" s="9" t="s">
        <v>103</v>
      </c>
      <c r="R8" s="9" t="s">
        <v>103</v>
      </c>
      <c r="S8" s="9" t="s">
        <v>104</v>
      </c>
      <c r="T8" s="89"/>
      <c r="U8" s="9"/>
      <c r="V8" s="4">
        <f t="shared" si="1"/>
        <v>5</v>
      </c>
      <c r="W8" s="4">
        <f t="shared" si="2"/>
        <v>6</v>
      </c>
      <c r="X8" s="4" t="s">
        <v>310</v>
      </c>
      <c r="Y8" s="11">
        <v>1</v>
      </c>
      <c r="Z8"/>
      <c r="AA8"/>
    </row>
    <row r="9" spans="1:27" x14ac:dyDescent="0.25">
      <c r="A9" s="5">
        <v>5</v>
      </c>
      <c r="B9" s="26" t="s">
        <v>543</v>
      </c>
      <c r="C9" s="26" t="s">
        <v>87</v>
      </c>
      <c r="D9" s="9" t="s">
        <v>538</v>
      </c>
      <c r="E9" s="9" t="s">
        <v>104</v>
      </c>
      <c r="F9" s="9" t="s">
        <v>103</v>
      </c>
      <c r="G9" s="9" t="s">
        <v>103</v>
      </c>
      <c r="H9" s="87"/>
      <c r="I9" s="9" t="s">
        <v>104</v>
      </c>
      <c r="J9" s="89"/>
      <c r="K9" s="9" t="s">
        <v>104</v>
      </c>
      <c r="L9" s="9" t="s">
        <v>104</v>
      </c>
      <c r="M9" s="9" t="s">
        <v>103</v>
      </c>
      <c r="N9" s="9" t="s">
        <v>104</v>
      </c>
      <c r="O9" s="87"/>
      <c r="P9" s="89"/>
      <c r="Q9" s="9" t="s">
        <v>104</v>
      </c>
      <c r="R9" s="9" t="s">
        <v>103</v>
      </c>
      <c r="S9" s="9" t="s">
        <v>103</v>
      </c>
      <c r="T9" s="89"/>
      <c r="U9" s="9"/>
      <c r="V9" s="4">
        <f t="shared" si="1"/>
        <v>6</v>
      </c>
      <c r="W9" s="4">
        <f t="shared" si="2"/>
        <v>5</v>
      </c>
      <c r="X9" s="4" t="s">
        <v>314</v>
      </c>
      <c r="Y9" s="11">
        <v>1</v>
      </c>
      <c r="Z9"/>
      <c r="AA9"/>
    </row>
    <row r="10" spans="1:27" x14ac:dyDescent="0.25">
      <c r="A10" s="11">
        <v>6</v>
      </c>
      <c r="B10" s="26" t="s">
        <v>544</v>
      </c>
      <c r="C10" s="26" t="s">
        <v>545</v>
      </c>
      <c r="D10" s="9" t="s">
        <v>538</v>
      </c>
      <c r="E10" s="9" t="s">
        <v>104</v>
      </c>
      <c r="F10" s="9" t="s">
        <v>103</v>
      </c>
      <c r="G10" s="9" t="s">
        <v>103</v>
      </c>
      <c r="H10" s="87"/>
      <c r="I10" s="9" t="s">
        <v>104</v>
      </c>
      <c r="J10" s="89"/>
      <c r="K10" s="9" t="s">
        <v>103</v>
      </c>
      <c r="L10" s="9" t="s">
        <v>103</v>
      </c>
      <c r="M10" s="9" t="s">
        <v>103</v>
      </c>
      <c r="N10" s="9" t="s">
        <v>103</v>
      </c>
      <c r="O10" s="87"/>
      <c r="P10" s="89"/>
      <c r="Q10" s="9" t="s">
        <v>103</v>
      </c>
      <c r="R10" s="9" t="s">
        <v>103</v>
      </c>
      <c r="S10" s="9" t="s">
        <v>104</v>
      </c>
      <c r="T10" s="89"/>
      <c r="U10" s="9"/>
      <c r="V10" s="4">
        <f t="shared" si="1"/>
        <v>3</v>
      </c>
      <c r="W10" s="4">
        <f t="shared" si="2"/>
        <v>8</v>
      </c>
      <c r="X10" s="4" t="s">
        <v>311</v>
      </c>
      <c r="Y10" s="11">
        <v>1</v>
      </c>
      <c r="Z10"/>
      <c r="AA10"/>
    </row>
    <row r="11" spans="1:27" x14ac:dyDescent="0.25">
      <c r="A11" s="5">
        <v>7</v>
      </c>
      <c r="B11" s="26" t="s">
        <v>546</v>
      </c>
      <c r="C11" s="26" t="s">
        <v>547</v>
      </c>
      <c r="D11" s="9" t="s">
        <v>538</v>
      </c>
      <c r="E11" s="9" t="s">
        <v>104</v>
      </c>
      <c r="F11" s="9" t="s">
        <v>103</v>
      </c>
      <c r="G11" s="9" t="s">
        <v>104</v>
      </c>
      <c r="H11" s="87"/>
      <c r="I11" s="9" t="s">
        <v>103</v>
      </c>
      <c r="J11" s="89"/>
      <c r="K11" s="9" t="s">
        <v>104</v>
      </c>
      <c r="L11" s="9" t="s">
        <v>104</v>
      </c>
      <c r="M11" s="9" t="s">
        <v>103</v>
      </c>
      <c r="N11" s="9" t="s">
        <v>104</v>
      </c>
      <c r="O11" s="87"/>
      <c r="P11" s="89"/>
      <c r="Q11" s="9" t="s">
        <v>104</v>
      </c>
      <c r="R11" s="9" t="s">
        <v>103</v>
      </c>
      <c r="S11" s="9" t="s">
        <v>103</v>
      </c>
      <c r="T11" s="89"/>
      <c r="U11" s="9"/>
      <c r="V11" s="4">
        <f t="shared" si="1"/>
        <v>6</v>
      </c>
      <c r="W11" s="4">
        <f t="shared" si="2"/>
        <v>5</v>
      </c>
      <c r="X11" s="4" t="s">
        <v>312</v>
      </c>
      <c r="Y11" s="11">
        <v>1</v>
      </c>
      <c r="Z11"/>
      <c r="AA11"/>
    </row>
    <row r="12" spans="1:27" x14ac:dyDescent="0.25">
      <c r="A12" s="11">
        <v>8</v>
      </c>
      <c r="B12" s="26" t="s">
        <v>548</v>
      </c>
      <c r="C12" s="26" t="s">
        <v>51</v>
      </c>
      <c r="D12" s="9" t="s">
        <v>538</v>
      </c>
      <c r="E12" s="9" t="s">
        <v>104</v>
      </c>
      <c r="F12" s="9" t="s">
        <v>104</v>
      </c>
      <c r="G12" s="9" t="s">
        <v>103</v>
      </c>
      <c r="H12" s="87"/>
      <c r="I12" s="9" t="s">
        <v>104</v>
      </c>
      <c r="J12" s="89"/>
      <c r="K12" s="9" t="s">
        <v>104</v>
      </c>
      <c r="L12" s="9" t="s">
        <v>103</v>
      </c>
      <c r="M12" s="9" t="s">
        <v>104</v>
      </c>
      <c r="N12" s="9" t="s">
        <v>103</v>
      </c>
      <c r="O12" s="87"/>
      <c r="P12" s="89"/>
      <c r="Q12" s="9" t="s">
        <v>103</v>
      </c>
      <c r="R12" s="9" t="s">
        <v>103</v>
      </c>
      <c r="S12" s="9" t="s">
        <v>104</v>
      </c>
      <c r="T12" s="89"/>
      <c r="U12" s="9"/>
      <c r="V12" s="4">
        <f t="shared" si="1"/>
        <v>6</v>
      </c>
      <c r="W12" s="4">
        <f t="shared" si="2"/>
        <v>5</v>
      </c>
      <c r="X12"/>
      <c r="Y12"/>
      <c r="Z12"/>
      <c r="AA12"/>
    </row>
    <row r="13" spans="1:27" ht="15.75" x14ac:dyDescent="0.25">
      <c r="A13" s="5">
        <v>9</v>
      </c>
      <c r="B13" s="26" t="s">
        <v>549</v>
      </c>
      <c r="C13" s="26" t="s">
        <v>480</v>
      </c>
      <c r="D13" s="9" t="s">
        <v>538</v>
      </c>
      <c r="E13" s="9" t="s">
        <v>104</v>
      </c>
      <c r="F13" s="9" t="s">
        <v>104</v>
      </c>
      <c r="G13" s="9" t="s">
        <v>104</v>
      </c>
      <c r="H13" s="87"/>
      <c r="I13" s="9" t="s">
        <v>103</v>
      </c>
      <c r="J13" s="89"/>
      <c r="K13" s="9" t="s">
        <v>103</v>
      </c>
      <c r="L13" s="9" t="s">
        <v>103</v>
      </c>
      <c r="M13" s="9" t="s">
        <v>103</v>
      </c>
      <c r="N13" s="9" t="s">
        <v>104</v>
      </c>
      <c r="O13" s="87"/>
      <c r="P13" s="89"/>
      <c r="Q13" s="9" t="s">
        <v>104</v>
      </c>
      <c r="R13" s="9" t="s">
        <v>103</v>
      </c>
      <c r="S13" s="9" t="s">
        <v>104</v>
      </c>
      <c r="T13" s="89"/>
      <c r="U13" s="9"/>
      <c r="V13" s="4">
        <f t="shared" si="1"/>
        <v>6</v>
      </c>
      <c r="W13" s="4">
        <f t="shared" si="2"/>
        <v>5</v>
      </c>
      <c r="X13" s="76" t="s">
        <v>9</v>
      </c>
      <c r="Y13" s="77"/>
      <c r="Z13" s="77"/>
      <c r="AA13" s="78"/>
    </row>
    <row r="14" spans="1:27" x14ac:dyDescent="0.25">
      <c r="A14" s="11">
        <v>10</v>
      </c>
      <c r="B14" s="26" t="s">
        <v>550</v>
      </c>
      <c r="C14" s="26" t="s">
        <v>551</v>
      </c>
      <c r="D14" s="9" t="s">
        <v>538</v>
      </c>
      <c r="E14" s="9" t="s">
        <v>103</v>
      </c>
      <c r="F14" s="9" t="s">
        <v>104</v>
      </c>
      <c r="G14" s="9" t="s">
        <v>103</v>
      </c>
      <c r="H14" s="87"/>
      <c r="I14" s="9" t="s">
        <v>104</v>
      </c>
      <c r="J14" s="89"/>
      <c r="K14" s="9" t="s">
        <v>104</v>
      </c>
      <c r="L14" s="9" t="s">
        <v>104</v>
      </c>
      <c r="M14" s="9" t="s">
        <v>104</v>
      </c>
      <c r="N14" s="9" t="s">
        <v>104</v>
      </c>
      <c r="O14" s="87"/>
      <c r="P14" s="89"/>
      <c r="Q14" s="9" t="s">
        <v>103</v>
      </c>
      <c r="R14" s="9" t="s">
        <v>103</v>
      </c>
      <c r="S14" s="9" t="s">
        <v>104</v>
      </c>
      <c r="T14" s="89"/>
      <c r="U14" s="9"/>
      <c r="V14" s="4">
        <f t="shared" si="1"/>
        <v>7</v>
      </c>
      <c r="W14" s="4">
        <f t="shared" si="2"/>
        <v>4</v>
      </c>
      <c r="X14" s="4" t="s">
        <v>10</v>
      </c>
      <c r="Y14" s="4" t="s">
        <v>11</v>
      </c>
      <c r="Z14" s="4" t="s">
        <v>12</v>
      </c>
      <c r="AA14" s="4" t="s">
        <v>13</v>
      </c>
    </row>
    <row r="15" spans="1:27" x14ac:dyDescent="0.25">
      <c r="A15" s="5">
        <v>11</v>
      </c>
      <c r="B15" s="26" t="s">
        <v>552</v>
      </c>
      <c r="C15" s="26" t="s">
        <v>553</v>
      </c>
      <c r="D15" s="9" t="s">
        <v>538</v>
      </c>
      <c r="E15" s="9" t="s">
        <v>103</v>
      </c>
      <c r="F15" s="9" t="s">
        <v>104</v>
      </c>
      <c r="G15" s="9" t="s">
        <v>103</v>
      </c>
      <c r="H15" s="87"/>
      <c r="I15" s="9" t="s">
        <v>104</v>
      </c>
      <c r="J15" s="89"/>
      <c r="K15" s="9" t="s">
        <v>104</v>
      </c>
      <c r="L15" s="9" t="s">
        <v>103</v>
      </c>
      <c r="M15" s="9" t="s">
        <v>104</v>
      </c>
      <c r="N15" s="9" t="s">
        <v>104</v>
      </c>
      <c r="O15" s="87"/>
      <c r="P15" s="89"/>
      <c r="Q15" s="9" t="s">
        <v>103</v>
      </c>
      <c r="R15" s="9" t="s">
        <v>103</v>
      </c>
      <c r="S15" s="9" t="s">
        <v>104</v>
      </c>
      <c r="T15" s="89"/>
      <c r="U15" s="9"/>
      <c r="V15" s="4">
        <f t="shared" si="1"/>
        <v>6</v>
      </c>
      <c r="W15" s="4">
        <f t="shared" si="2"/>
        <v>5</v>
      </c>
      <c r="X15" s="4" t="s">
        <v>14</v>
      </c>
      <c r="Y15" s="11">
        <f>27*11</f>
        <v>297</v>
      </c>
      <c r="Z15" s="11">
        <f>22*11</f>
        <v>242</v>
      </c>
      <c r="AA15" s="11">
        <f>SUM(Y15:Z15)</f>
        <v>539</v>
      </c>
    </row>
    <row r="16" spans="1:27" x14ac:dyDescent="0.25">
      <c r="A16" s="11">
        <v>12</v>
      </c>
      <c r="B16" s="26" t="s">
        <v>554</v>
      </c>
      <c r="C16" s="26" t="s">
        <v>128</v>
      </c>
      <c r="D16" s="9" t="s">
        <v>538</v>
      </c>
      <c r="E16" s="9" t="s">
        <v>103</v>
      </c>
      <c r="F16" s="9" t="s">
        <v>104</v>
      </c>
      <c r="G16" s="9" t="s">
        <v>103</v>
      </c>
      <c r="H16" s="87"/>
      <c r="I16" s="9" t="s">
        <v>104</v>
      </c>
      <c r="J16" s="89"/>
      <c r="K16" s="9" t="s">
        <v>104</v>
      </c>
      <c r="L16" s="9" t="s">
        <v>104</v>
      </c>
      <c r="M16" s="9" t="s">
        <v>104</v>
      </c>
      <c r="N16" s="9" t="s">
        <v>104</v>
      </c>
      <c r="O16" s="87"/>
      <c r="P16" s="89"/>
      <c r="Q16" s="9" t="s">
        <v>104</v>
      </c>
      <c r="R16" s="9" t="s">
        <v>103</v>
      </c>
      <c r="S16" s="9" t="s">
        <v>104</v>
      </c>
      <c r="T16" s="89"/>
      <c r="U16" s="9"/>
      <c r="V16" s="4">
        <f t="shared" si="1"/>
        <v>8</v>
      </c>
      <c r="W16" s="4">
        <f t="shared" si="2"/>
        <v>3</v>
      </c>
      <c r="X16" s="4" t="s">
        <v>15</v>
      </c>
      <c r="Y16" s="11">
        <f>SUM(V5:V29)+V52+V53</f>
        <v>160</v>
      </c>
      <c r="Z16" s="11">
        <f>SUM(V30:V51)</f>
        <v>189</v>
      </c>
      <c r="AA16" s="11">
        <f>Y16+Z16</f>
        <v>349</v>
      </c>
    </row>
    <row r="17" spans="1:27" x14ac:dyDescent="0.25">
      <c r="A17" s="5">
        <v>13</v>
      </c>
      <c r="B17" s="26" t="s">
        <v>555</v>
      </c>
      <c r="C17" s="26" t="s">
        <v>556</v>
      </c>
      <c r="D17" s="9" t="s">
        <v>538</v>
      </c>
      <c r="E17" s="9" t="s">
        <v>103</v>
      </c>
      <c r="F17" s="9" t="s">
        <v>104</v>
      </c>
      <c r="G17" s="9" t="s">
        <v>104</v>
      </c>
      <c r="H17" s="87"/>
      <c r="I17" s="9" t="s">
        <v>104</v>
      </c>
      <c r="J17" s="89"/>
      <c r="K17" s="9" t="s">
        <v>104</v>
      </c>
      <c r="L17" s="9" t="s">
        <v>104</v>
      </c>
      <c r="M17" s="9" t="s">
        <v>104</v>
      </c>
      <c r="N17" s="9" t="s">
        <v>104</v>
      </c>
      <c r="O17" s="87"/>
      <c r="P17" s="89"/>
      <c r="Q17" s="9" t="s">
        <v>103</v>
      </c>
      <c r="R17" s="9" t="s">
        <v>103</v>
      </c>
      <c r="S17" s="9" t="s">
        <v>104</v>
      </c>
      <c r="T17" s="89"/>
      <c r="U17" s="9"/>
      <c r="V17" s="4">
        <f t="shared" si="1"/>
        <v>8</v>
      </c>
      <c r="W17" s="4">
        <f t="shared" si="2"/>
        <v>3</v>
      </c>
      <c r="X17" s="4" t="s">
        <v>16</v>
      </c>
      <c r="Y17" s="15">
        <f>Y16/Y15</f>
        <v>0.53872053872053871</v>
      </c>
      <c r="Z17" s="15">
        <f>Z16/Z15</f>
        <v>0.78099173553719003</v>
      </c>
      <c r="AA17" s="15">
        <f>AA16/AA15</f>
        <v>0.64749536178107603</v>
      </c>
    </row>
    <row r="18" spans="1:27" x14ac:dyDescent="0.25">
      <c r="A18" s="11">
        <v>14</v>
      </c>
      <c r="B18" s="26" t="s">
        <v>557</v>
      </c>
      <c r="C18" s="26" t="s">
        <v>558</v>
      </c>
      <c r="D18" s="9" t="s">
        <v>538</v>
      </c>
      <c r="E18" s="9" t="s">
        <v>103</v>
      </c>
      <c r="F18" s="9" t="s">
        <v>104</v>
      </c>
      <c r="G18" s="9" t="s">
        <v>104</v>
      </c>
      <c r="H18" s="87"/>
      <c r="I18" s="9" t="s">
        <v>104</v>
      </c>
      <c r="J18" s="89"/>
      <c r="K18" s="9" t="s">
        <v>104</v>
      </c>
      <c r="L18" s="9" t="s">
        <v>104</v>
      </c>
      <c r="M18" s="9" t="s">
        <v>104</v>
      </c>
      <c r="N18" s="9" t="s">
        <v>104</v>
      </c>
      <c r="O18" s="87"/>
      <c r="P18" s="89"/>
      <c r="Q18" s="9" t="s">
        <v>103</v>
      </c>
      <c r="R18" s="9" t="s">
        <v>103</v>
      </c>
      <c r="S18" s="9" t="s">
        <v>104</v>
      </c>
      <c r="T18" s="89"/>
      <c r="U18" s="9"/>
      <c r="V18" s="4">
        <f t="shared" si="1"/>
        <v>8</v>
      </c>
      <c r="W18" s="4">
        <f t="shared" si="2"/>
        <v>3</v>
      </c>
      <c r="X18"/>
      <c r="Y18"/>
      <c r="Z18"/>
      <c r="AA18"/>
    </row>
    <row r="19" spans="1:27" x14ac:dyDescent="0.25">
      <c r="A19" s="5">
        <v>15</v>
      </c>
      <c r="B19" s="26" t="s">
        <v>559</v>
      </c>
      <c r="C19" s="26" t="s">
        <v>482</v>
      </c>
      <c r="D19" s="9" t="s">
        <v>538</v>
      </c>
      <c r="E19" s="9" t="s">
        <v>104</v>
      </c>
      <c r="F19" s="9" t="s">
        <v>103</v>
      </c>
      <c r="G19" s="9" t="s">
        <v>103</v>
      </c>
      <c r="H19" s="87"/>
      <c r="I19" s="9" t="s">
        <v>103</v>
      </c>
      <c r="J19" s="89"/>
      <c r="K19" s="9" t="s">
        <v>103</v>
      </c>
      <c r="L19" s="9" t="s">
        <v>104</v>
      </c>
      <c r="M19" s="9" t="s">
        <v>104</v>
      </c>
      <c r="N19" s="9" t="s">
        <v>103</v>
      </c>
      <c r="O19" s="87"/>
      <c r="P19" s="89"/>
      <c r="Q19" s="9" t="s">
        <v>104</v>
      </c>
      <c r="R19" s="9" t="s">
        <v>103</v>
      </c>
      <c r="S19" s="9" t="s">
        <v>103</v>
      </c>
      <c r="T19" s="89"/>
      <c r="U19" s="9"/>
      <c r="V19" s="4">
        <f t="shared" si="1"/>
        <v>4</v>
      </c>
      <c r="W19" s="4">
        <f t="shared" si="2"/>
        <v>7</v>
      </c>
      <c r="X19"/>
      <c r="Y19"/>
      <c r="Z19"/>
      <c r="AA19"/>
    </row>
    <row r="20" spans="1:27" x14ac:dyDescent="0.25">
      <c r="A20" s="11">
        <v>16</v>
      </c>
      <c r="B20" s="26" t="s">
        <v>84</v>
      </c>
      <c r="C20" s="26" t="s">
        <v>560</v>
      </c>
      <c r="D20" s="9" t="s">
        <v>538</v>
      </c>
      <c r="E20" s="9" t="s">
        <v>104</v>
      </c>
      <c r="F20" s="9" t="s">
        <v>104</v>
      </c>
      <c r="G20" s="9" t="s">
        <v>104</v>
      </c>
      <c r="H20" s="87"/>
      <c r="I20" s="9" t="s">
        <v>103</v>
      </c>
      <c r="J20" s="89"/>
      <c r="K20" s="9" t="s">
        <v>104</v>
      </c>
      <c r="L20" s="9" t="s">
        <v>104</v>
      </c>
      <c r="M20" s="9" t="s">
        <v>104</v>
      </c>
      <c r="N20" s="9" t="s">
        <v>104</v>
      </c>
      <c r="O20" s="87"/>
      <c r="P20" s="89"/>
      <c r="Q20" s="9" t="s">
        <v>104</v>
      </c>
      <c r="R20" s="9" t="s">
        <v>104</v>
      </c>
      <c r="S20" s="9" t="s">
        <v>104</v>
      </c>
      <c r="T20" s="89"/>
      <c r="U20" s="9"/>
      <c r="V20" s="4">
        <f t="shared" si="1"/>
        <v>10</v>
      </c>
      <c r="W20" s="4">
        <f t="shared" si="2"/>
        <v>1</v>
      </c>
      <c r="X20"/>
      <c r="Y20"/>
      <c r="Z20"/>
      <c r="AA20"/>
    </row>
    <row r="21" spans="1:27" ht="15.75" x14ac:dyDescent="0.25">
      <c r="A21" s="5">
        <v>17</v>
      </c>
      <c r="B21" s="26" t="s">
        <v>561</v>
      </c>
      <c r="C21" s="26" t="s">
        <v>531</v>
      </c>
      <c r="D21" s="9" t="s">
        <v>538</v>
      </c>
      <c r="E21" s="9" t="s">
        <v>104</v>
      </c>
      <c r="F21" s="9" t="s">
        <v>104</v>
      </c>
      <c r="G21" s="9" t="s">
        <v>103</v>
      </c>
      <c r="H21" s="87"/>
      <c r="I21" s="9" t="s">
        <v>104</v>
      </c>
      <c r="J21" s="89"/>
      <c r="K21" s="9" t="s">
        <v>104</v>
      </c>
      <c r="L21" s="9" t="s">
        <v>103</v>
      </c>
      <c r="M21" s="9" t="s">
        <v>103</v>
      </c>
      <c r="N21" s="9" t="s">
        <v>103</v>
      </c>
      <c r="O21" s="87"/>
      <c r="P21" s="89"/>
      <c r="Q21" s="9" t="s">
        <v>103</v>
      </c>
      <c r="R21" s="9" t="s">
        <v>104</v>
      </c>
      <c r="S21" s="9" t="s">
        <v>104</v>
      </c>
      <c r="T21" s="89"/>
      <c r="U21" s="9"/>
      <c r="V21" s="4">
        <f t="shared" si="1"/>
        <v>6</v>
      </c>
      <c r="W21" s="4">
        <f t="shared" si="2"/>
        <v>5</v>
      </c>
      <c r="X21" s="76" t="s">
        <v>316</v>
      </c>
      <c r="Y21" s="77"/>
      <c r="Z21" s="77"/>
      <c r="AA21" s="78"/>
    </row>
    <row r="22" spans="1:27" x14ac:dyDescent="0.25">
      <c r="A22" s="11">
        <v>18</v>
      </c>
      <c r="B22" s="26" t="s">
        <v>562</v>
      </c>
      <c r="C22" s="26" t="s">
        <v>563</v>
      </c>
      <c r="D22" s="9" t="s">
        <v>538</v>
      </c>
      <c r="E22" s="9" t="s">
        <v>103</v>
      </c>
      <c r="F22" s="9" t="s">
        <v>104</v>
      </c>
      <c r="G22" s="9" t="s">
        <v>103</v>
      </c>
      <c r="H22" s="87"/>
      <c r="I22" s="9" t="s">
        <v>104</v>
      </c>
      <c r="J22" s="89"/>
      <c r="K22" s="9" t="s">
        <v>104</v>
      </c>
      <c r="L22" s="9" t="s">
        <v>104</v>
      </c>
      <c r="M22" s="9" t="s">
        <v>104</v>
      </c>
      <c r="N22" s="9" t="s">
        <v>104</v>
      </c>
      <c r="O22" s="87"/>
      <c r="P22" s="89"/>
      <c r="Q22" s="9" t="s">
        <v>104</v>
      </c>
      <c r="R22" s="9" t="s">
        <v>103</v>
      </c>
      <c r="S22" s="9" t="s">
        <v>104</v>
      </c>
      <c r="T22" s="89"/>
      <c r="U22" s="9"/>
      <c r="V22" s="4">
        <f t="shared" si="1"/>
        <v>8</v>
      </c>
      <c r="W22" s="4">
        <f t="shared" si="2"/>
        <v>3</v>
      </c>
      <c r="X22" s="4" t="s">
        <v>10</v>
      </c>
      <c r="Y22" s="4" t="s">
        <v>11</v>
      </c>
      <c r="Z22" s="4" t="s">
        <v>12</v>
      </c>
      <c r="AA22" s="4" t="s">
        <v>13</v>
      </c>
    </row>
    <row r="23" spans="1:27" x14ac:dyDescent="0.25">
      <c r="A23" s="5">
        <v>19</v>
      </c>
      <c r="B23" s="26" t="s">
        <v>564</v>
      </c>
      <c r="C23" s="26" t="s">
        <v>23</v>
      </c>
      <c r="D23" s="9" t="s">
        <v>538</v>
      </c>
      <c r="E23" s="9" t="s">
        <v>103</v>
      </c>
      <c r="F23" s="9" t="s">
        <v>104</v>
      </c>
      <c r="G23" s="9" t="s">
        <v>104</v>
      </c>
      <c r="H23" s="87"/>
      <c r="I23" s="9" t="s">
        <v>104</v>
      </c>
      <c r="J23" s="89"/>
      <c r="K23" s="9" t="s">
        <v>104</v>
      </c>
      <c r="L23" s="9" t="s">
        <v>104</v>
      </c>
      <c r="M23" s="9" t="s">
        <v>104</v>
      </c>
      <c r="N23" s="9" t="s">
        <v>104</v>
      </c>
      <c r="O23" s="87"/>
      <c r="P23" s="89"/>
      <c r="Q23" s="9" t="s">
        <v>103</v>
      </c>
      <c r="R23" s="9" t="s">
        <v>103</v>
      </c>
      <c r="S23" s="9" t="s">
        <v>103</v>
      </c>
      <c r="T23" s="89"/>
      <c r="U23" s="9"/>
      <c r="V23" s="4">
        <f t="shared" si="1"/>
        <v>7</v>
      </c>
      <c r="W23" s="4">
        <f t="shared" si="2"/>
        <v>4</v>
      </c>
      <c r="X23" s="4" t="s">
        <v>14</v>
      </c>
      <c r="Y23" s="11">
        <f>27*11</f>
        <v>297</v>
      </c>
      <c r="Z23" s="11">
        <f>22*11</f>
        <v>242</v>
      </c>
      <c r="AA23" s="11">
        <f>Y23+Z23</f>
        <v>539</v>
      </c>
    </row>
    <row r="24" spans="1:27" x14ac:dyDescent="0.25">
      <c r="A24" s="11">
        <v>20</v>
      </c>
      <c r="B24" s="26" t="s">
        <v>565</v>
      </c>
      <c r="C24" s="26" t="s">
        <v>566</v>
      </c>
      <c r="D24" s="9" t="s">
        <v>538</v>
      </c>
      <c r="E24" s="9" t="s">
        <v>103</v>
      </c>
      <c r="F24" s="9" t="s">
        <v>104</v>
      </c>
      <c r="G24" s="9" t="s">
        <v>104</v>
      </c>
      <c r="H24" s="87"/>
      <c r="I24" s="9" t="s">
        <v>104</v>
      </c>
      <c r="J24" s="89"/>
      <c r="K24" s="9" t="s">
        <v>104</v>
      </c>
      <c r="L24" s="9" t="s">
        <v>104</v>
      </c>
      <c r="M24" s="9" t="s">
        <v>104</v>
      </c>
      <c r="N24" s="9" t="s">
        <v>104</v>
      </c>
      <c r="O24" s="87"/>
      <c r="P24" s="89"/>
      <c r="Q24" s="9" t="s">
        <v>104</v>
      </c>
      <c r="R24" s="9" t="s">
        <v>104</v>
      </c>
      <c r="S24" s="9" t="s">
        <v>104</v>
      </c>
      <c r="T24" s="89"/>
      <c r="U24" s="9"/>
      <c r="V24" s="4">
        <f t="shared" si="1"/>
        <v>10</v>
      </c>
      <c r="W24" s="4">
        <f t="shared" si="2"/>
        <v>1</v>
      </c>
      <c r="X24" s="4" t="s">
        <v>17</v>
      </c>
      <c r="Y24" s="11">
        <f>Y23-Y16</f>
        <v>137</v>
      </c>
      <c r="Z24" s="11">
        <f>Z23-Z16</f>
        <v>53</v>
      </c>
      <c r="AA24" s="11">
        <f>Y24+Z24</f>
        <v>190</v>
      </c>
    </row>
    <row r="25" spans="1:27" x14ac:dyDescent="0.25">
      <c r="A25" s="5">
        <v>21</v>
      </c>
      <c r="B25" s="26" t="s">
        <v>529</v>
      </c>
      <c r="C25" s="26" t="s">
        <v>503</v>
      </c>
      <c r="D25" s="9" t="s">
        <v>538</v>
      </c>
      <c r="E25" s="9" t="s">
        <v>104</v>
      </c>
      <c r="F25" s="9" t="s">
        <v>103</v>
      </c>
      <c r="G25" s="9" t="s">
        <v>103</v>
      </c>
      <c r="H25" s="87"/>
      <c r="I25" s="9" t="s">
        <v>103</v>
      </c>
      <c r="J25" s="89"/>
      <c r="K25" s="9" t="s">
        <v>103</v>
      </c>
      <c r="L25" s="9" t="s">
        <v>103</v>
      </c>
      <c r="M25" s="9" t="s">
        <v>103</v>
      </c>
      <c r="N25" s="9" t="s">
        <v>103</v>
      </c>
      <c r="O25" s="87"/>
      <c r="P25" s="89"/>
      <c r="Q25" s="9" t="s">
        <v>103</v>
      </c>
      <c r="R25" s="9" t="s">
        <v>104</v>
      </c>
      <c r="S25" s="9" t="s">
        <v>104</v>
      </c>
      <c r="T25" s="89"/>
      <c r="U25" s="9"/>
      <c r="V25" s="4">
        <f t="shared" si="1"/>
        <v>3</v>
      </c>
      <c r="W25" s="4">
        <f t="shared" si="2"/>
        <v>8</v>
      </c>
      <c r="X25" s="4" t="s">
        <v>16</v>
      </c>
      <c r="Y25" s="15">
        <f>Y24/Y23</f>
        <v>0.46127946127946129</v>
      </c>
      <c r="Z25" s="15">
        <f>Z24/Z23</f>
        <v>0.21900826446280991</v>
      </c>
      <c r="AA25" s="15">
        <f>AA24/AA23</f>
        <v>0.35250463821892392</v>
      </c>
    </row>
    <row r="26" spans="1:27" x14ac:dyDescent="0.25">
      <c r="A26" s="11">
        <v>22</v>
      </c>
      <c r="B26" s="26" t="s">
        <v>567</v>
      </c>
      <c r="C26" s="26" t="s">
        <v>132</v>
      </c>
      <c r="D26" s="9" t="s">
        <v>538</v>
      </c>
      <c r="E26" s="9" t="s">
        <v>104</v>
      </c>
      <c r="F26" s="9" t="s">
        <v>103</v>
      </c>
      <c r="G26" s="9" t="s">
        <v>103</v>
      </c>
      <c r="H26" s="87"/>
      <c r="I26" s="9" t="s">
        <v>103</v>
      </c>
      <c r="J26" s="89"/>
      <c r="K26" s="9" t="s">
        <v>103</v>
      </c>
      <c r="L26" s="9" t="s">
        <v>103</v>
      </c>
      <c r="M26" s="9" t="s">
        <v>104</v>
      </c>
      <c r="N26" s="9" t="s">
        <v>103</v>
      </c>
      <c r="O26" s="87"/>
      <c r="P26" s="89"/>
      <c r="Q26" s="9" t="s">
        <v>104</v>
      </c>
      <c r="R26" s="9" t="s">
        <v>104</v>
      </c>
      <c r="S26" s="9" t="s">
        <v>104</v>
      </c>
      <c r="T26" s="89"/>
      <c r="U26" s="9"/>
      <c r="V26" s="4">
        <f t="shared" si="1"/>
        <v>5</v>
      </c>
      <c r="W26" s="4">
        <f t="shared" si="2"/>
        <v>6</v>
      </c>
    </row>
    <row r="27" spans="1:27" x14ac:dyDescent="0.25">
      <c r="A27" s="5">
        <v>23</v>
      </c>
      <c r="B27" s="26" t="s">
        <v>568</v>
      </c>
      <c r="C27" s="26" t="s">
        <v>94</v>
      </c>
      <c r="D27" s="9" t="s">
        <v>538</v>
      </c>
      <c r="E27" s="9" t="s">
        <v>104</v>
      </c>
      <c r="F27" s="9" t="s">
        <v>103</v>
      </c>
      <c r="G27" s="9" t="s">
        <v>103</v>
      </c>
      <c r="H27" s="87"/>
      <c r="I27" s="9" t="s">
        <v>104</v>
      </c>
      <c r="J27" s="89"/>
      <c r="K27" s="9" t="s">
        <v>104</v>
      </c>
      <c r="L27" s="9" t="s">
        <v>104</v>
      </c>
      <c r="M27" s="9" t="s">
        <v>104</v>
      </c>
      <c r="N27" s="9" t="s">
        <v>104</v>
      </c>
      <c r="O27" s="87"/>
      <c r="P27" s="89"/>
      <c r="Q27" s="9" t="s">
        <v>103</v>
      </c>
      <c r="R27" s="9" t="s">
        <v>103</v>
      </c>
      <c r="S27" s="9" t="s">
        <v>103</v>
      </c>
      <c r="T27" s="89"/>
      <c r="U27" s="9"/>
      <c r="V27" s="4">
        <f t="shared" si="1"/>
        <v>6</v>
      </c>
      <c r="W27" s="4">
        <f t="shared" si="2"/>
        <v>5</v>
      </c>
    </row>
    <row r="28" spans="1:27" x14ac:dyDescent="0.25">
      <c r="A28" s="11">
        <v>24</v>
      </c>
      <c r="B28" s="26" t="s">
        <v>569</v>
      </c>
      <c r="C28" s="26" t="s">
        <v>570</v>
      </c>
      <c r="D28" s="9" t="s">
        <v>538</v>
      </c>
      <c r="E28" s="9" t="s">
        <v>103</v>
      </c>
      <c r="F28" s="9" t="s">
        <v>103</v>
      </c>
      <c r="G28" s="9" t="s">
        <v>103</v>
      </c>
      <c r="H28" s="87"/>
      <c r="I28" s="9" t="s">
        <v>103</v>
      </c>
      <c r="J28" s="89"/>
      <c r="K28" s="9" t="s">
        <v>103</v>
      </c>
      <c r="L28" s="9" t="s">
        <v>103</v>
      </c>
      <c r="M28" s="9" t="s">
        <v>104</v>
      </c>
      <c r="N28" s="9" t="s">
        <v>104</v>
      </c>
      <c r="O28" s="87"/>
      <c r="P28" s="89"/>
      <c r="Q28" s="9" t="s">
        <v>104</v>
      </c>
      <c r="R28" s="9" t="s">
        <v>103</v>
      </c>
      <c r="S28" s="9" t="s">
        <v>104</v>
      </c>
      <c r="T28" s="89"/>
      <c r="U28" s="9"/>
      <c r="V28" s="4">
        <f t="shared" si="1"/>
        <v>4</v>
      </c>
      <c r="W28" s="4">
        <f t="shared" si="2"/>
        <v>7</v>
      </c>
    </row>
    <row r="29" spans="1:27" x14ac:dyDescent="0.25">
      <c r="A29" s="5">
        <v>25</v>
      </c>
      <c r="B29" s="26" t="s">
        <v>571</v>
      </c>
      <c r="C29" s="26" t="s">
        <v>111</v>
      </c>
      <c r="D29" s="9" t="s">
        <v>538</v>
      </c>
      <c r="E29" s="9" t="s">
        <v>103</v>
      </c>
      <c r="F29" s="9" t="s">
        <v>103</v>
      </c>
      <c r="G29" s="9" t="s">
        <v>103</v>
      </c>
      <c r="H29" s="87"/>
      <c r="I29" s="9" t="s">
        <v>103</v>
      </c>
      <c r="J29" s="89"/>
      <c r="K29" s="9" t="s">
        <v>103</v>
      </c>
      <c r="L29" s="9" t="s">
        <v>103</v>
      </c>
      <c r="M29" s="9" t="s">
        <v>104</v>
      </c>
      <c r="N29" s="9" t="s">
        <v>104</v>
      </c>
      <c r="O29" s="87"/>
      <c r="P29" s="89"/>
      <c r="Q29" s="9" t="s">
        <v>104</v>
      </c>
      <c r="R29" s="9" t="s">
        <v>104</v>
      </c>
      <c r="S29" s="9" t="s">
        <v>104</v>
      </c>
      <c r="T29" s="89"/>
      <c r="U29" s="9"/>
      <c r="V29" s="4">
        <f t="shared" si="1"/>
        <v>5</v>
      </c>
      <c r="W29" s="4">
        <f t="shared" si="2"/>
        <v>6</v>
      </c>
    </row>
    <row r="30" spans="1:27" x14ac:dyDescent="0.25">
      <c r="A30" s="11">
        <v>1</v>
      </c>
      <c r="B30" s="26" t="s">
        <v>572</v>
      </c>
      <c r="C30" s="26" t="s">
        <v>573</v>
      </c>
      <c r="D30" s="9" t="s">
        <v>538</v>
      </c>
      <c r="E30" s="9" t="s">
        <v>104</v>
      </c>
      <c r="F30" s="9" t="s">
        <v>104</v>
      </c>
      <c r="G30" s="9" t="s">
        <v>103</v>
      </c>
      <c r="H30" s="87"/>
      <c r="I30" s="9" t="s">
        <v>103</v>
      </c>
      <c r="J30" s="89"/>
      <c r="K30" s="9" t="s">
        <v>103</v>
      </c>
      <c r="L30" s="9" t="s">
        <v>103</v>
      </c>
      <c r="M30" s="9" t="s">
        <v>103</v>
      </c>
      <c r="N30" s="9" t="s">
        <v>103</v>
      </c>
      <c r="O30" s="87"/>
      <c r="P30" s="89"/>
      <c r="Q30" s="9" t="s">
        <v>103</v>
      </c>
      <c r="R30" s="9" t="s">
        <v>103</v>
      </c>
      <c r="S30" s="9" t="s">
        <v>103</v>
      </c>
      <c r="T30" s="89"/>
      <c r="U30" s="9"/>
      <c r="V30" s="4">
        <f t="shared" si="1"/>
        <v>2</v>
      </c>
      <c r="W30" s="4">
        <f t="shared" si="2"/>
        <v>9</v>
      </c>
    </row>
    <row r="31" spans="1:27" x14ac:dyDescent="0.25">
      <c r="A31" s="5">
        <v>2</v>
      </c>
      <c r="B31" s="26" t="s">
        <v>574</v>
      </c>
      <c r="C31" s="26" t="s">
        <v>480</v>
      </c>
      <c r="D31" s="9" t="s">
        <v>538</v>
      </c>
      <c r="E31" s="9" t="s">
        <v>104</v>
      </c>
      <c r="F31" s="9" t="s">
        <v>104</v>
      </c>
      <c r="G31" s="9" t="s">
        <v>103</v>
      </c>
      <c r="H31" s="87"/>
      <c r="I31" s="9" t="s">
        <v>104</v>
      </c>
      <c r="J31" s="89"/>
      <c r="K31" s="9" t="s">
        <v>104</v>
      </c>
      <c r="L31" s="9" t="s">
        <v>104</v>
      </c>
      <c r="M31" s="9" t="s">
        <v>104</v>
      </c>
      <c r="N31" s="9" t="s">
        <v>104</v>
      </c>
      <c r="O31" s="87"/>
      <c r="P31" s="89"/>
      <c r="Q31" s="9" t="s">
        <v>104</v>
      </c>
      <c r="R31" s="9" t="s">
        <v>104</v>
      </c>
      <c r="S31" s="9" t="s">
        <v>104</v>
      </c>
      <c r="T31" s="89"/>
      <c r="U31" s="9"/>
      <c r="V31" s="4">
        <f t="shared" si="1"/>
        <v>10</v>
      </c>
      <c r="W31" s="4">
        <f t="shared" si="2"/>
        <v>1</v>
      </c>
    </row>
    <row r="32" spans="1:27" x14ac:dyDescent="0.25">
      <c r="A32" s="11">
        <v>3</v>
      </c>
      <c r="B32" s="26" t="s">
        <v>575</v>
      </c>
      <c r="C32" s="26" t="s">
        <v>301</v>
      </c>
      <c r="D32" s="9" t="s">
        <v>538</v>
      </c>
      <c r="E32" s="9" t="s">
        <v>104</v>
      </c>
      <c r="F32" s="9" t="s">
        <v>103</v>
      </c>
      <c r="G32" s="9" t="s">
        <v>104</v>
      </c>
      <c r="H32" s="87"/>
      <c r="I32" s="9" t="s">
        <v>104</v>
      </c>
      <c r="J32" s="89"/>
      <c r="K32" s="9" t="s">
        <v>104</v>
      </c>
      <c r="L32" s="9" t="s">
        <v>104</v>
      </c>
      <c r="M32" s="9" t="s">
        <v>104</v>
      </c>
      <c r="N32" s="9" t="s">
        <v>104</v>
      </c>
      <c r="O32" s="87"/>
      <c r="P32" s="89"/>
      <c r="Q32" s="9" t="s">
        <v>107</v>
      </c>
      <c r="R32" s="9" t="s">
        <v>103</v>
      </c>
      <c r="S32" s="9" t="s">
        <v>104</v>
      </c>
      <c r="T32" s="89"/>
      <c r="U32" s="9"/>
      <c r="V32" s="4">
        <f t="shared" si="1"/>
        <v>8</v>
      </c>
      <c r="W32" s="4">
        <f t="shared" si="2"/>
        <v>2</v>
      </c>
    </row>
    <row r="33" spans="1:23" x14ac:dyDescent="0.25">
      <c r="A33" s="5">
        <v>4</v>
      </c>
      <c r="B33" s="26" t="s">
        <v>576</v>
      </c>
      <c r="C33" s="26" t="s">
        <v>122</v>
      </c>
      <c r="D33" s="9" t="s">
        <v>538</v>
      </c>
      <c r="E33" s="9" t="s">
        <v>104</v>
      </c>
      <c r="F33" s="9" t="s">
        <v>104</v>
      </c>
      <c r="G33" s="9" t="s">
        <v>104</v>
      </c>
      <c r="H33" s="87"/>
      <c r="I33" s="9" t="s">
        <v>104</v>
      </c>
      <c r="J33" s="89"/>
      <c r="K33" s="9" t="s">
        <v>104</v>
      </c>
      <c r="L33" s="9" t="s">
        <v>104</v>
      </c>
      <c r="M33" s="9" t="s">
        <v>104</v>
      </c>
      <c r="N33" s="9" t="s">
        <v>104</v>
      </c>
      <c r="O33" s="87"/>
      <c r="P33" s="89"/>
      <c r="Q33" s="9" t="s">
        <v>104</v>
      </c>
      <c r="R33" s="9" t="s">
        <v>104</v>
      </c>
      <c r="S33" s="9" t="s">
        <v>104</v>
      </c>
      <c r="T33" s="89"/>
      <c r="U33" s="9"/>
      <c r="V33" s="4">
        <f t="shared" si="1"/>
        <v>11</v>
      </c>
      <c r="W33" s="4">
        <f t="shared" si="2"/>
        <v>0</v>
      </c>
    </row>
    <row r="34" spans="1:23" x14ac:dyDescent="0.25">
      <c r="A34" s="11">
        <v>5</v>
      </c>
      <c r="B34" s="26" t="s">
        <v>397</v>
      </c>
      <c r="C34" s="26" t="s">
        <v>27</v>
      </c>
      <c r="D34" s="9" t="s">
        <v>538</v>
      </c>
      <c r="E34" s="9" t="s">
        <v>104</v>
      </c>
      <c r="F34" s="9" t="s">
        <v>104</v>
      </c>
      <c r="G34" s="9" t="s">
        <v>104</v>
      </c>
      <c r="H34" s="87"/>
      <c r="I34" s="9" t="s">
        <v>103</v>
      </c>
      <c r="J34" s="89"/>
      <c r="K34" s="9" t="s">
        <v>104</v>
      </c>
      <c r="L34" s="9" t="s">
        <v>104</v>
      </c>
      <c r="M34" s="9" t="s">
        <v>104</v>
      </c>
      <c r="N34" s="9" t="s">
        <v>104</v>
      </c>
      <c r="O34" s="87"/>
      <c r="P34" s="89"/>
      <c r="Q34" s="9" t="s">
        <v>103</v>
      </c>
      <c r="R34" s="9" t="s">
        <v>103</v>
      </c>
      <c r="S34" s="9" t="s">
        <v>103</v>
      </c>
      <c r="T34" s="89"/>
      <c r="U34" s="9"/>
      <c r="V34" s="4">
        <f t="shared" si="1"/>
        <v>7</v>
      </c>
      <c r="W34" s="4">
        <f t="shared" si="2"/>
        <v>4</v>
      </c>
    </row>
    <row r="35" spans="1:23" x14ac:dyDescent="0.25">
      <c r="A35" s="5">
        <v>6</v>
      </c>
      <c r="B35" s="26" t="s">
        <v>577</v>
      </c>
      <c r="C35" s="26" t="s">
        <v>566</v>
      </c>
      <c r="D35" s="9" t="s">
        <v>538</v>
      </c>
      <c r="E35" s="9" t="s">
        <v>104</v>
      </c>
      <c r="F35" s="9" t="s">
        <v>104</v>
      </c>
      <c r="G35" s="9" t="s">
        <v>104</v>
      </c>
      <c r="H35" s="87"/>
      <c r="I35" s="9" t="s">
        <v>104</v>
      </c>
      <c r="J35" s="89"/>
      <c r="K35" s="9" t="s">
        <v>104</v>
      </c>
      <c r="L35" s="9" t="s">
        <v>104</v>
      </c>
      <c r="M35" s="9" t="s">
        <v>104</v>
      </c>
      <c r="N35" s="9" t="s">
        <v>104</v>
      </c>
      <c r="O35" s="87"/>
      <c r="P35" s="89"/>
      <c r="Q35" s="9" t="s">
        <v>104</v>
      </c>
      <c r="R35" s="9" t="s">
        <v>103</v>
      </c>
      <c r="S35" s="9" t="s">
        <v>104</v>
      </c>
      <c r="T35" s="89"/>
      <c r="U35" s="9"/>
      <c r="V35" s="4">
        <f t="shared" si="1"/>
        <v>10</v>
      </c>
      <c r="W35" s="4">
        <f t="shared" si="2"/>
        <v>1</v>
      </c>
    </row>
    <row r="36" spans="1:23" x14ac:dyDescent="0.25">
      <c r="A36" s="11">
        <v>7</v>
      </c>
      <c r="B36" s="26" t="s">
        <v>578</v>
      </c>
      <c r="C36" s="26"/>
      <c r="D36" s="9" t="s">
        <v>538</v>
      </c>
      <c r="E36" s="9" t="s">
        <v>104</v>
      </c>
      <c r="F36" s="9" t="s">
        <v>103</v>
      </c>
      <c r="G36" s="9" t="s">
        <v>104</v>
      </c>
      <c r="H36" s="87"/>
      <c r="I36" s="9" t="s">
        <v>104</v>
      </c>
      <c r="J36" s="89"/>
      <c r="K36" s="9" t="s">
        <v>104</v>
      </c>
      <c r="L36" s="9" t="s">
        <v>104</v>
      </c>
      <c r="M36" s="9" t="s">
        <v>104</v>
      </c>
      <c r="N36" s="9" t="s">
        <v>104</v>
      </c>
      <c r="O36" s="87"/>
      <c r="P36" s="89"/>
      <c r="Q36" s="9" t="s">
        <v>104</v>
      </c>
      <c r="R36" s="9" t="s">
        <v>103</v>
      </c>
      <c r="S36" s="9" t="s">
        <v>104</v>
      </c>
      <c r="T36" s="89"/>
      <c r="U36" s="9"/>
      <c r="V36" s="4">
        <f t="shared" si="1"/>
        <v>9</v>
      </c>
      <c r="W36" s="4">
        <f t="shared" si="2"/>
        <v>2</v>
      </c>
    </row>
    <row r="37" spans="1:23" x14ac:dyDescent="0.25">
      <c r="A37" s="5">
        <v>8</v>
      </c>
      <c r="B37" s="26" t="s">
        <v>579</v>
      </c>
      <c r="C37" s="26" t="s">
        <v>435</v>
      </c>
      <c r="D37" s="9" t="s">
        <v>538</v>
      </c>
      <c r="E37" s="9" t="s">
        <v>103</v>
      </c>
      <c r="F37" s="9" t="s">
        <v>103</v>
      </c>
      <c r="G37" s="9" t="s">
        <v>103</v>
      </c>
      <c r="H37" s="87"/>
      <c r="I37" s="9" t="s">
        <v>103</v>
      </c>
      <c r="J37" s="89"/>
      <c r="K37" s="9" t="s">
        <v>104</v>
      </c>
      <c r="L37" s="9" t="s">
        <v>104</v>
      </c>
      <c r="M37" s="9" t="s">
        <v>104</v>
      </c>
      <c r="N37" s="9" t="s">
        <v>104</v>
      </c>
      <c r="O37" s="87"/>
      <c r="P37" s="89"/>
      <c r="Q37" s="9" t="s">
        <v>103</v>
      </c>
      <c r="R37" s="9" t="s">
        <v>103</v>
      </c>
      <c r="S37" s="9" t="s">
        <v>103</v>
      </c>
      <c r="T37" s="89"/>
      <c r="U37" s="9"/>
      <c r="V37" s="4">
        <f t="shared" si="1"/>
        <v>4</v>
      </c>
      <c r="W37" s="4">
        <f t="shared" si="2"/>
        <v>7</v>
      </c>
    </row>
    <row r="38" spans="1:23" x14ac:dyDescent="0.25">
      <c r="A38" s="11">
        <v>9</v>
      </c>
      <c r="B38" s="26" t="s">
        <v>580</v>
      </c>
      <c r="C38" s="26" t="s">
        <v>445</v>
      </c>
      <c r="D38" s="9" t="s">
        <v>538</v>
      </c>
      <c r="E38" s="9" t="s">
        <v>104</v>
      </c>
      <c r="F38" s="9" t="s">
        <v>103</v>
      </c>
      <c r="G38" s="9" t="s">
        <v>104</v>
      </c>
      <c r="H38" s="87"/>
      <c r="I38" s="9" t="s">
        <v>104</v>
      </c>
      <c r="J38" s="89"/>
      <c r="K38" s="9" t="s">
        <v>104</v>
      </c>
      <c r="L38" s="9" t="s">
        <v>104</v>
      </c>
      <c r="M38" s="9" t="s">
        <v>104</v>
      </c>
      <c r="N38" s="9" t="s">
        <v>104</v>
      </c>
      <c r="O38" s="87"/>
      <c r="P38" s="89"/>
      <c r="Q38" s="9" t="s">
        <v>104</v>
      </c>
      <c r="R38" s="9" t="s">
        <v>103</v>
      </c>
      <c r="S38" s="9" t="s">
        <v>103</v>
      </c>
      <c r="T38" s="89"/>
      <c r="U38" s="9"/>
      <c r="V38" s="4">
        <f t="shared" si="1"/>
        <v>8</v>
      </c>
      <c r="W38" s="4">
        <f t="shared" si="2"/>
        <v>3</v>
      </c>
    </row>
    <row r="39" spans="1:23" x14ac:dyDescent="0.25">
      <c r="A39" s="5">
        <v>10</v>
      </c>
      <c r="B39" s="26" t="s">
        <v>581</v>
      </c>
      <c r="C39" s="26" t="s">
        <v>582</v>
      </c>
      <c r="D39" s="9" t="s">
        <v>538</v>
      </c>
      <c r="E39" s="9" t="s">
        <v>104</v>
      </c>
      <c r="F39" s="9" t="s">
        <v>104</v>
      </c>
      <c r="G39" s="9" t="s">
        <v>104</v>
      </c>
      <c r="H39" s="87"/>
      <c r="I39" s="9" t="s">
        <v>104</v>
      </c>
      <c r="J39" s="89"/>
      <c r="K39" s="9" t="s">
        <v>104</v>
      </c>
      <c r="L39" s="9" t="s">
        <v>104</v>
      </c>
      <c r="M39" s="9" t="s">
        <v>104</v>
      </c>
      <c r="N39" s="9" t="s">
        <v>104</v>
      </c>
      <c r="O39" s="87"/>
      <c r="P39" s="89"/>
      <c r="Q39" s="9" t="s">
        <v>104</v>
      </c>
      <c r="R39" s="9" t="s">
        <v>104</v>
      </c>
      <c r="S39" s="9" t="s">
        <v>104</v>
      </c>
      <c r="T39" s="89"/>
      <c r="U39" s="9"/>
      <c r="V39" s="4">
        <f t="shared" si="1"/>
        <v>11</v>
      </c>
      <c r="W39" s="4">
        <f t="shared" si="2"/>
        <v>0</v>
      </c>
    </row>
    <row r="40" spans="1:23" x14ac:dyDescent="0.25">
      <c r="A40" s="11">
        <v>11</v>
      </c>
      <c r="B40" s="26" t="s">
        <v>583</v>
      </c>
      <c r="C40" s="26" t="s">
        <v>122</v>
      </c>
      <c r="D40" s="9" t="s">
        <v>538</v>
      </c>
      <c r="E40" s="9" t="s">
        <v>104</v>
      </c>
      <c r="F40" s="9" t="s">
        <v>104</v>
      </c>
      <c r="G40" s="9" t="s">
        <v>104</v>
      </c>
      <c r="H40" s="87"/>
      <c r="I40" s="9" t="s">
        <v>104</v>
      </c>
      <c r="J40" s="89"/>
      <c r="K40" s="9" t="s">
        <v>104</v>
      </c>
      <c r="L40" s="9" t="s">
        <v>104</v>
      </c>
      <c r="M40" s="9" t="s">
        <v>104</v>
      </c>
      <c r="N40" s="9" t="s">
        <v>104</v>
      </c>
      <c r="O40" s="87"/>
      <c r="P40" s="89"/>
      <c r="Q40" s="9" t="s">
        <v>104</v>
      </c>
      <c r="R40" s="9" t="s">
        <v>104</v>
      </c>
      <c r="S40" s="9" t="s">
        <v>104</v>
      </c>
      <c r="T40" s="89"/>
      <c r="U40" s="9"/>
      <c r="V40" s="4">
        <f t="shared" si="1"/>
        <v>11</v>
      </c>
      <c r="W40" s="4">
        <f t="shared" si="2"/>
        <v>0</v>
      </c>
    </row>
    <row r="41" spans="1:23" x14ac:dyDescent="0.25">
      <c r="A41" s="5">
        <v>12</v>
      </c>
      <c r="B41" s="26" t="s">
        <v>584</v>
      </c>
      <c r="C41" s="26" t="s">
        <v>585</v>
      </c>
      <c r="D41" s="9" t="s">
        <v>538</v>
      </c>
      <c r="E41" s="9" t="s">
        <v>104</v>
      </c>
      <c r="F41" s="9" t="s">
        <v>104</v>
      </c>
      <c r="G41" s="9" t="s">
        <v>104</v>
      </c>
      <c r="H41" s="87"/>
      <c r="I41" s="9" t="s">
        <v>104</v>
      </c>
      <c r="J41" s="89"/>
      <c r="K41" s="9" t="s">
        <v>104</v>
      </c>
      <c r="L41" s="9" t="s">
        <v>104</v>
      </c>
      <c r="M41" s="9" t="s">
        <v>104</v>
      </c>
      <c r="N41" s="9" t="s">
        <v>104</v>
      </c>
      <c r="O41" s="87"/>
      <c r="P41" s="89"/>
      <c r="Q41" s="9" t="s">
        <v>104</v>
      </c>
      <c r="R41" s="9" t="s">
        <v>104</v>
      </c>
      <c r="S41" s="9" t="s">
        <v>104</v>
      </c>
      <c r="T41" s="89"/>
      <c r="U41" s="9"/>
      <c r="V41" s="4">
        <f t="shared" si="1"/>
        <v>11</v>
      </c>
      <c r="W41" s="4">
        <f t="shared" si="2"/>
        <v>0</v>
      </c>
    </row>
    <row r="42" spans="1:23" x14ac:dyDescent="0.25">
      <c r="A42" s="11">
        <v>13</v>
      </c>
      <c r="B42" s="26" t="s">
        <v>586</v>
      </c>
      <c r="C42" s="26" t="s">
        <v>182</v>
      </c>
      <c r="D42" s="9" t="s">
        <v>538</v>
      </c>
      <c r="E42" s="9" t="s">
        <v>104</v>
      </c>
      <c r="F42" s="9" t="s">
        <v>104</v>
      </c>
      <c r="G42" s="9" t="s">
        <v>104</v>
      </c>
      <c r="H42" s="87"/>
      <c r="I42" s="9" t="s">
        <v>104</v>
      </c>
      <c r="J42" s="89"/>
      <c r="K42" s="9" t="s">
        <v>104</v>
      </c>
      <c r="L42" s="9" t="s">
        <v>104</v>
      </c>
      <c r="M42" s="9" t="s">
        <v>104</v>
      </c>
      <c r="N42" s="9" t="s">
        <v>104</v>
      </c>
      <c r="O42" s="87"/>
      <c r="P42" s="89"/>
      <c r="Q42" s="9" t="s">
        <v>104</v>
      </c>
      <c r="R42" s="9" t="s">
        <v>104</v>
      </c>
      <c r="S42" s="9" t="s">
        <v>104</v>
      </c>
      <c r="T42" s="89"/>
      <c r="U42" s="9"/>
      <c r="V42" s="4">
        <f t="shared" si="1"/>
        <v>11</v>
      </c>
      <c r="W42" s="4">
        <f t="shared" si="2"/>
        <v>0</v>
      </c>
    </row>
    <row r="43" spans="1:23" x14ac:dyDescent="0.25">
      <c r="A43" s="5">
        <v>14</v>
      </c>
      <c r="B43" s="26" t="s">
        <v>587</v>
      </c>
      <c r="C43" s="26" t="s">
        <v>122</v>
      </c>
      <c r="D43" s="9" t="s">
        <v>538</v>
      </c>
      <c r="E43" s="9" t="s">
        <v>104</v>
      </c>
      <c r="F43" s="9" t="s">
        <v>104</v>
      </c>
      <c r="G43" s="9" t="s">
        <v>104</v>
      </c>
      <c r="H43" s="87"/>
      <c r="I43" s="9" t="s">
        <v>104</v>
      </c>
      <c r="J43" s="89"/>
      <c r="K43" s="9" t="s">
        <v>104</v>
      </c>
      <c r="L43" s="9" t="s">
        <v>104</v>
      </c>
      <c r="M43" s="9" t="s">
        <v>104</v>
      </c>
      <c r="N43" s="9" t="s">
        <v>104</v>
      </c>
      <c r="O43" s="87"/>
      <c r="P43" s="89"/>
      <c r="Q43" s="9" t="s">
        <v>104</v>
      </c>
      <c r="R43" s="9" t="s">
        <v>104</v>
      </c>
      <c r="S43" s="9" t="s">
        <v>104</v>
      </c>
      <c r="T43" s="89"/>
      <c r="U43" s="9"/>
      <c r="V43" s="4">
        <f t="shared" si="1"/>
        <v>11</v>
      </c>
      <c r="W43" s="4">
        <f t="shared" si="2"/>
        <v>0</v>
      </c>
    </row>
    <row r="44" spans="1:23" x14ac:dyDescent="0.25">
      <c r="A44" s="11">
        <v>15</v>
      </c>
      <c r="B44" s="26" t="s">
        <v>588</v>
      </c>
      <c r="C44" s="26" t="s">
        <v>51</v>
      </c>
      <c r="D44" s="9" t="s">
        <v>538</v>
      </c>
      <c r="E44" s="9" t="s">
        <v>103</v>
      </c>
      <c r="F44" s="9" t="s">
        <v>104</v>
      </c>
      <c r="G44" s="9" t="s">
        <v>104</v>
      </c>
      <c r="H44" s="87"/>
      <c r="I44" s="9" t="s">
        <v>104</v>
      </c>
      <c r="J44" s="89"/>
      <c r="K44" s="9" t="s">
        <v>104</v>
      </c>
      <c r="L44" s="9" t="s">
        <v>104</v>
      </c>
      <c r="M44" s="9" t="s">
        <v>104</v>
      </c>
      <c r="N44" s="9" t="s">
        <v>104</v>
      </c>
      <c r="O44" s="87"/>
      <c r="P44" s="89"/>
      <c r="Q44" s="9" t="s">
        <v>104</v>
      </c>
      <c r="R44" s="9" t="s">
        <v>103</v>
      </c>
      <c r="S44" s="9" t="s">
        <v>104</v>
      </c>
      <c r="T44" s="89"/>
      <c r="U44" s="9"/>
      <c r="V44" s="4">
        <f t="shared" si="1"/>
        <v>9</v>
      </c>
      <c r="W44" s="4">
        <f t="shared" si="2"/>
        <v>2</v>
      </c>
    </row>
    <row r="45" spans="1:23" x14ac:dyDescent="0.25">
      <c r="A45" s="5">
        <v>16</v>
      </c>
      <c r="B45" s="26" t="s">
        <v>589</v>
      </c>
      <c r="C45" s="26" t="s">
        <v>582</v>
      </c>
      <c r="D45" s="9" t="s">
        <v>538</v>
      </c>
      <c r="E45" s="9" t="s">
        <v>103</v>
      </c>
      <c r="F45" s="9" t="s">
        <v>103</v>
      </c>
      <c r="G45" s="9" t="s">
        <v>103</v>
      </c>
      <c r="H45" s="87"/>
      <c r="I45" s="9" t="s">
        <v>103</v>
      </c>
      <c r="J45" s="89"/>
      <c r="K45" s="9" t="s">
        <v>104</v>
      </c>
      <c r="L45" s="9" t="s">
        <v>104</v>
      </c>
      <c r="M45" s="9" t="s">
        <v>104</v>
      </c>
      <c r="N45" s="9" t="s">
        <v>104</v>
      </c>
      <c r="O45" s="87"/>
      <c r="P45" s="89"/>
      <c r="Q45" s="9" t="s">
        <v>103</v>
      </c>
      <c r="R45" s="9" t="s">
        <v>103</v>
      </c>
      <c r="S45" s="9" t="s">
        <v>103</v>
      </c>
      <c r="T45" s="89"/>
      <c r="U45" s="9"/>
      <c r="V45" s="4">
        <f t="shared" si="1"/>
        <v>4</v>
      </c>
      <c r="W45" s="4">
        <f t="shared" si="2"/>
        <v>7</v>
      </c>
    </row>
    <row r="46" spans="1:23" x14ac:dyDescent="0.25">
      <c r="A46" s="11">
        <v>17</v>
      </c>
      <c r="B46" s="26" t="s">
        <v>590</v>
      </c>
      <c r="C46" s="26" t="s">
        <v>65</v>
      </c>
      <c r="D46" s="9" t="s">
        <v>538</v>
      </c>
      <c r="E46" s="9" t="s">
        <v>104</v>
      </c>
      <c r="F46" s="9" t="s">
        <v>104</v>
      </c>
      <c r="G46" s="9" t="s">
        <v>104</v>
      </c>
      <c r="H46" s="87"/>
      <c r="I46" s="9" t="s">
        <v>104</v>
      </c>
      <c r="J46" s="89"/>
      <c r="K46" s="9" t="s">
        <v>104</v>
      </c>
      <c r="L46" s="9" t="s">
        <v>104</v>
      </c>
      <c r="M46" s="9" t="s">
        <v>104</v>
      </c>
      <c r="N46" s="9" t="s">
        <v>104</v>
      </c>
      <c r="O46" s="87"/>
      <c r="P46" s="89"/>
      <c r="Q46" s="9" t="s">
        <v>103</v>
      </c>
      <c r="R46" s="9" t="s">
        <v>103</v>
      </c>
      <c r="S46" s="9" t="s">
        <v>104</v>
      </c>
      <c r="T46" s="89"/>
      <c r="U46" s="9"/>
      <c r="V46" s="4">
        <f t="shared" si="1"/>
        <v>9</v>
      </c>
      <c r="W46" s="4">
        <f t="shared" si="2"/>
        <v>2</v>
      </c>
    </row>
    <row r="47" spans="1:23" x14ac:dyDescent="0.25">
      <c r="A47" s="5">
        <v>18</v>
      </c>
      <c r="B47" s="26" t="s">
        <v>591</v>
      </c>
      <c r="C47" s="26" t="s">
        <v>592</v>
      </c>
      <c r="D47" s="9" t="s">
        <v>538</v>
      </c>
      <c r="E47" s="9" t="s">
        <v>104</v>
      </c>
      <c r="F47" s="9" t="s">
        <v>104</v>
      </c>
      <c r="G47" s="9" t="s">
        <v>103</v>
      </c>
      <c r="H47" s="87"/>
      <c r="I47" s="9" t="s">
        <v>103</v>
      </c>
      <c r="J47" s="89"/>
      <c r="K47" s="9" t="s">
        <v>104</v>
      </c>
      <c r="L47" s="9" t="s">
        <v>104</v>
      </c>
      <c r="M47" s="9" t="s">
        <v>104</v>
      </c>
      <c r="N47" s="9" t="s">
        <v>104</v>
      </c>
      <c r="O47" s="87"/>
      <c r="P47" s="89"/>
      <c r="Q47" s="9" t="s">
        <v>104</v>
      </c>
      <c r="R47" s="9" t="s">
        <v>103</v>
      </c>
      <c r="S47" s="9" t="s">
        <v>104</v>
      </c>
      <c r="T47" s="89"/>
      <c r="U47" s="9"/>
      <c r="V47" s="4">
        <f t="shared" si="1"/>
        <v>8</v>
      </c>
      <c r="W47" s="4">
        <f t="shared" si="2"/>
        <v>3</v>
      </c>
    </row>
    <row r="48" spans="1:23" x14ac:dyDescent="0.25">
      <c r="A48" s="11">
        <v>19</v>
      </c>
      <c r="B48" s="26" t="s">
        <v>593</v>
      </c>
      <c r="C48" s="26" t="s">
        <v>122</v>
      </c>
      <c r="D48" s="9" t="s">
        <v>538</v>
      </c>
      <c r="E48" s="9" t="s">
        <v>104</v>
      </c>
      <c r="F48" s="9" t="s">
        <v>104</v>
      </c>
      <c r="G48" s="9" t="s">
        <v>104</v>
      </c>
      <c r="H48" s="87"/>
      <c r="I48" s="9" t="s">
        <v>103</v>
      </c>
      <c r="J48" s="89"/>
      <c r="K48" s="9" t="s">
        <v>104</v>
      </c>
      <c r="L48" s="9" t="s">
        <v>104</v>
      </c>
      <c r="M48" s="9" t="s">
        <v>104</v>
      </c>
      <c r="N48" s="9" t="s">
        <v>104</v>
      </c>
      <c r="O48" s="87"/>
      <c r="P48" s="89"/>
      <c r="Q48" s="9" t="s">
        <v>104</v>
      </c>
      <c r="R48" s="9" t="s">
        <v>103</v>
      </c>
      <c r="S48" s="9" t="s">
        <v>104</v>
      </c>
      <c r="T48" s="89"/>
      <c r="U48" s="9"/>
      <c r="V48" s="4">
        <f t="shared" si="1"/>
        <v>9</v>
      </c>
      <c r="W48" s="4">
        <f t="shared" si="2"/>
        <v>2</v>
      </c>
    </row>
    <row r="49" spans="1:23" x14ac:dyDescent="0.25">
      <c r="A49" s="5">
        <v>20</v>
      </c>
      <c r="B49" s="26" t="s">
        <v>594</v>
      </c>
      <c r="C49" s="26" t="s">
        <v>595</v>
      </c>
      <c r="D49" s="9" t="s">
        <v>538</v>
      </c>
      <c r="E49" s="9" t="s">
        <v>104</v>
      </c>
      <c r="F49" s="9" t="s">
        <v>104</v>
      </c>
      <c r="G49" s="9" t="s">
        <v>103</v>
      </c>
      <c r="H49" s="87"/>
      <c r="I49" s="9" t="s">
        <v>103</v>
      </c>
      <c r="J49" s="89"/>
      <c r="K49" s="9" t="s">
        <v>104</v>
      </c>
      <c r="L49" s="9" t="s">
        <v>104</v>
      </c>
      <c r="M49" s="9" t="s">
        <v>104</v>
      </c>
      <c r="N49" s="9" t="s">
        <v>104</v>
      </c>
      <c r="O49" s="87"/>
      <c r="P49" s="89"/>
      <c r="Q49" s="9" t="s">
        <v>104</v>
      </c>
      <c r="R49" s="9" t="s">
        <v>103</v>
      </c>
      <c r="S49" s="9" t="s">
        <v>104</v>
      </c>
      <c r="T49" s="89"/>
      <c r="U49" s="9"/>
      <c r="V49" s="4">
        <f t="shared" si="1"/>
        <v>8</v>
      </c>
      <c r="W49" s="4">
        <f t="shared" si="2"/>
        <v>3</v>
      </c>
    </row>
    <row r="50" spans="1:23" x14ac:dyDescent="0.25">
      <c r="A50" s="11">
        <v>21</v>
      </c>
      <c r="B50" s="26" t="s">
        <v>596</v>
      </c>
      <c r="C50" s="26" t="s">
        <v>566</v>
      </c>
      <c r="D50" s="9" t="s">
        <v>538</v>
      </c>
      <c r="E50" s="9" t="s">
        <v>104</v>
      </c>
      <c r="F50" s="9" t="s">
        <v>104</v>
      </c>
      <c r="G50" s="9" t="s">
        <v>104</v>
      </c>
      <c r="H50" s="87"/>
      <c r="I50" s="9" t="s">
        <v>103</v>
      </c>
      <c r="J50" s="89"/>
      <c r="K50" s="9" t="s">
        <v>104</v>
      </c>
      <c r="L50" s="9" t="s">
        <v>104</v>
      </c>
      <c r="M50" s="9" t="s">
        <v>104</v>
      </c>
      <c r="N50" s="9" t="s">
        <v>104</v>
      </c>
      <c r="O50" s="87"/>
      <c r="P50" s="89"/>
      <c r="Q50" s="9" t="s">
        <v>104</v>
      </c>
      <c r="R50" s="9" t="s">
        <v>103</v>
      </c>
      <c r="S50" s="9" t="s">
        <v>104</v>
      </c>
      <c r="T50" s="89"/>
      <c r="U50" s="9"/>
      <c r="V50" s="4">
        <f t="shared" si="1"/>
        <v>9</v>
      </c>
      <c r="W50" s="4">
        <f t="shared" si="2"/>
        <v>2</v>
      </c>
    </row>
    <row r="51" spans="1:23" x14ac:dyDescent="0.25">
      <c r="A51" s="5">
        <v>22</v>
      </c>
      <c r="B51" s="26" t="s">
        <v>597</v>
      </c>
      <c r="C51" s="26" t="s">
        <v>598</v>
      </c>
      <c r="D51" s="9" t="s">
        <v>538</v>
      </c>
      <c r="E51" s="9" t="s">
        <v>104</v>
      </c>
      <c r="F51" s="9" t="s">
        <v>104</v>
      </c>
      <c r="G51" s="9" t="s">
        <v>104</v>
      </c>
      <c r="H51" s="87"/>
      <c r="I51" s="9" t="s">
        <v>103</v>
      </c>
      <c r="J51" s="89"/>
      <c r="K51" s="9" t="s">
        <v>104</v>
      </c>
      <c r="L51" s="9" t="s">
        <v>104</v>
      </c>
      <c r="M51" s="9" t="s">
        <v>104</v>
      </c>
      <c r="N51" s="9" t="s">
        <v>104</v>
      </c>
      <c r="O51" s="87"/>
      <c r="P51" s="89"/>
      <c r="Q51" s="9" t="s">
        <v>104</v>
      </c>
      <c r="R51" s="9" t="s">
        <v>104</v>
      </c>
      <c r="S51" s="9" t="s">
        <v>103</v>
      </c>
      <c r="T51" s="89"/>
      <c r="U51" s="9"/>
      <c r="V51" s="4">
        <f t="shared" si="1"/>
        <v>9</v>
      </c>
      <c r="W51" s="4">
        <f t="shared" si="2"/>
        <v>2</v>
      </c>
    </row>
    <row r="52" spans="1:23" x14ac:dyDescent="0.25">
      <c r="A52" s="11">
        <v>23</v>
      </c>
      <c r="B52" s="26" t="s">
        <v>258</v>
      </c>
      <c r="C52" s="26" t="s">
        <v>344</v>
      </c>
      <c r="D52" s="9" t="s">
        <v>538</v>
      </c>
      <c r="E52" s="9" t="s">
        <v>112</v>
      </c>
      <c r="F52" s="9" t="s">
        <v>112</v>
      </c>
      <c r="G52" s="9" t="s">
        <v>112</v>
      </c>
      <c r="H52" s="87"/>
      <c r="I52" s="9" t="s">
        <v>112</v>
      </c>
      <c r="J52" s="89"/>
      <c r="K52" s="9" t="s">
        <v>112</v>
      </c>
      <c r="L52" s="9" t="s">
        <v>112</v>
      </c>
      <c r="M52" s="9" t="s">
        <v>112</v>
      </c>
      <c r="N52" s="9" t="s">
        <v>104</v>
      </c>
      <c r="O52" s="87"/>
      <c r="P52" s="89"/>
      <c r="Q52" s="9" t="s">
        <v>104</v>
      </c>
      <c r="R52" s="9" t="s">
        <v>104</v>
      </c>
      <c r="S52" s="9" t="s">
        <v>104</v>
      </c>
      <c r="T52" s="89"/>
      <c r="U52" s="9"/>
      <c r="V52" s="4">
        <f t="shared" si="1"/>
        <v>4</v>
      </c>
      <c r="W52" s="4">
        <f t="shared" si="2"/>
        <v>0</v>
      </c>
    </row>
    <row r="53" spans="1:23" x14ac:dyDescent="0.25">
      <c r="A53" s="5">
        <v>24</v>
      </c>
      <c r="B53" s="26" t="s">
        <v>599</v>
      </c>
      <c r="C53" s="26" t="s">
        <v>428</v>
      </c>
      <c r="D53" s="9" t="s">
        <v>538</v>
      </c>
      <c r="E53" s="9" t="s">
        <v>112</v>
      </c>
      <c r="F53" s="9" t="s">
        <v>112</v>
      </c>
      <c r="G53" s="9" t="s">
        <v>112</v>
      </c>
      <c r="H53" s="90"/>
      <c r="I53" s="9" t="s">
        <v>112</v>
      </c>
      <c r="J53" s="91"/>
      <c r="K53" s="9" t="s">
        <v>112</v>
      </c>
      <c r="L53" s="9" t="s">
        <v>112</v>
      </c>
      <c r="M53" s="9" t="s">
        <v>112</v>
      </c>
      <c r="N53" s="9" t="s">
        <v>112</v>
      </c>
      <c r="O53" s="90"/>
      <c r="P53" s="91"/>
      <c r="Q53" s="9" t="s">
        <v>112</v>
      </c>
      <c r="R53" s="9" t="s">
        <v>104</v>
      </c>
      <c r="S53" s="9" t="s">
        <v>104</v>
      </c>
      <c r="T53" s="91"/>
      <c r="U53" s="9"/>
      <c r="V53" s="4">
        <f t="shared" si="1"/>
        <v>2</v>
      </c>
      <c r="W53" s="4">
        <f t="shared" si="2"/>
        <v>0</v>
      </c>
    </row>
  </sheetData>
  <mergeCells count="16">
    <mergeCell ref="A1:W1"/>
    <mergeCell ref="A2:W2"/>
    <mergeCell ref="A3:A4"/>
    <mergeCell ref="B3:B4"/>
    <mergeCell ref="C3:C4"/>
    <mergeCell ref="D3:D4"/>
    <mergeCell ref="V3:V4"/>
    <mergeCell ref="W3:W4"/>
    <mergeCell ref="X3:Y3"/>
    <mergeCell ref="H5:H53"/>
    <mergeCell ref="J5:J53"/>
    <mergeCell ref="O5:O53"/>
    <mergeCell ref="P5:P53"/>
    <mergeCell ref="T5:T53"/>
    <mergeCell ref="X13:AA13"/>
    <mergeCell ref="X21:AA21"/>
  </mergeCells>
  <conditionalFormatting sqref="E5:P5 T5 Q5:S53 U5:U53 E6:G53 I6:I53 K6:N53 E4:U4">
    <cfRule type="expression" dxfId="64" priority="19">
      <formula>IF(E$4=TODAY(),TRUE,FALSE)</formula>
    </cfRule>
  </conditionalFormatting>
  <conditionalFormatting sqref="E5:P5 T5 Q5:S53 U5:U53 E6:G53 I6:I53 K6:N53">
    <cfRule type="cellIs" dxfId="63" priority="16" operator="equal">
      <formula>"L"</formula>
    </cfRule>
    <cfRule type="cellIs" dxfId="62" priority="17" operator="equal">
      <formula>"A"</formula>
    </cfRule>
    <cfRule type="cellIs" dxfId="61" priority="18" operator="equal">
      <formula>"P"</formula>
    </cfRule>
  </conditionalFormatting>
  <conditionalFormatting sqref="E3:U4 E5:P5 T5 Q5:S53 U5:U53 E6:G53 I6:I53 K6:N53">
    <cfRule type="expression" dxfId="60" priority="20">
      <formula>E$3="Sun"</formula>
    </cfRule>
  </conditionalFormatting>
  <conditionalFormatting sqref="V3:W3 V5:W53">
    <cfRule type="expression" dxfId="59" priority="21">
      <formula>#REF!="Sun"</formula>
    </cfRule>
  </conditionalFormatting>
  <conditionalFormatting sqref="X5:X11">
    <cfRule type="expression" dxfId="58" priority="7">
      <formula>X$3="Sun"</formula>
    </cfRule>
  </conditionalFormatting>
  <conditionalFormatting sqref="X14:X17">
    <cfRule type="expression" dxfId="57" priority="3">
      <formula>X$3="Sun"</formula>
    </cfRule>
  </conditionalFormatting>
  <conditionalFormatting sqref="X22:X25">
    <cfRule type="expression" dxfId="56" priority="2">
      <formula>X$3="Sun"</formula>
    </cfRule>
  </conditionalFormatting>
  <conditionalFormatting sqref="X4:Y4">
    <cfRule type="expression" dxfId="55" priority="8">
      <formula>X$3="Sun"</formula>
    </cfRule>
  </conditionalFormatting>
  <conditionalFormatting sqref="Y14:AA14">
    <cfRule type="expression" dxfId="54" priority="4">
      <formula>Y$3="Sun"</formula>
    </cfRule>
  </conditionalFormatting>
  <conditionalFormatting sqref="Y22:AA22">
    <cfRule type="expression" dxfId="53" priority="1">
      <formula>Y$3="Sun"</formula>
    </cfRule>
  </conditionalFormatting>
  <conditionalFormatting sqref="AA23">
    <cfRule type="expression" dxfId="52" priority="6">
      <formula>AA$3="Sun"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7A862-D063-488C-B5EE-574880A5B908}">
  <dimension ref="A1:AA47"/>
  <sheetViews>
    <sheetView topLeftCell="A11" workbookViewId="0">
      <selection activeCell="Z15" sqref="Z15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7" width="4.5703125" style="1" customWidth="1"/>
    <col min="8" max="8" width="3.85546875" style="1" bestFit="1"/>
    <col min="9" max="9" width="4.7109375" style="1" bestFit="1" customWidth="1"/>
    <col min="10" max="10" width="3.85546875" style="1" bestFit="1"/>
    <col min="11" max="12" width="3.7109375" style="1" bestFit="1" customWidth="1"/>
    <col min="13" max="13" width="3.85546875" style="1" bestFit="1"/>
    <col min="14" max="14" width="4.5703125" style="1" bestFit="1" customWidth="1"/>
    <col min="15" max="15" width="3.85546875" style="1" bestFit="1"/>
    <col min="16" max="16" width="4.7109375" style="1" bestFit="1" customWidth="1"/>
    <col min="17" max="17" width="3.85546875" style="1" bestFit="1"/>
    <col min="18" max="18" width="3.7109375" style="1" bestFit="1" customWidth="1"/>
    <col min="19" max="21" width="3.7109375" style="1" customWidth="1"/>
    <col min="22" max="23" width="6.7109375" style="1" bestFit="1" customWidth="1"/>
    <col min="24" max="24" width="21.140625" style="1" bestFit="1" customWidth="1"/>
    <col min="25" max="25" width="5.85546875" style="1" bestFit="1" customWidth="1"/>
    <col min="26" max="26" width="5.140625" style="1" bestFit="1" customWidth="1"/>
    <col min="27" max="27" width="6.7109375" style="1" bestFit="1" customWidth="1"/>
    <col min="28" max="16384" width="3.85546875" style="1"/>
  </cols>
  <sheetData>
    <row r="1" spans="1:27" ht="17.25" x14ac:dyDescent="0.25">
      <c r="A1" s="81" t="s">
        <v>19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</row>
    <row r="2" spans="1:27" ht="17.25" x14ac:dyDescent="0.3">
      <c r="A2" s="82" t="s">
        <v>18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</row>
    <row r="3" spans="1:27" ht="15.75" x14ac:dyDescent="0.25">
      <c r="A3" s="84" t="s">
        <v>0</v>
      </c>
      <c r="B3" s="84" t="s">
        <v>1</v>
      </c>
      <c r="C3" s="84" t="s">
        <v>2</v>
      </c>
      <c r="D3" s="84" t="s">
        <v>3</v>
      </c>
      <c r="E3" s="2" t="str">
        <f t="shared" ref="E3:U3" si="0">TEXT(E4,"ddd")</f>
        <v>Thu</v>
      </c>
      <c r="F3" s="2" t="str">
        <f t="shared" si="0"/>
        <v>Fri</v>
      </c>
      <c r="G3" s="2" t="str">
        <f t="shared" si="0"/>
        <v>Sat</v>
      </c>
      <c r="H3" s="2" t="str">
        <f t="shared" si="0"/>
        <v>Sun</v>
      </c>
      <c r="I3" s="2" t="str">
        <f t="shared" si="0"/>
        <v>Mon</v>
      </c>
      <c r="J3" s="2" t="str">
        <f t="shared" si="0"/>
        <v>Tue</v>
      </c>
      <c r="K3" s="2" t="str">
        <f t="shared" si="0"/>
        <v>Wed</v>
      </c>
      <c r="L3" s="2" t="str">
        <f t="shared" si="0"/>
        <v>Thu</v>
      </c>
      <c r="M3" s="2" t="str">
        <f t="shared" si="0"/>
        <v>Fri</v>
      </c>
      <c r="N3" s="2" t="str">
        <f t="shared" si="0"/>
        <v>Sat</v>
      </c>
      <c r="O3" s="2" t="str">
        <f t="shared" si="0"/>
        <v>Sun</v>
      </c>
      <c r="P3" s="2" t="str">
        <f t="shared" si="0"/>
        <v>Mon</v>
      </c>
      <c r="Q3" s="2" t="str">
        <f t="shared" si="0"/>
        <v>Tue</v>
      </c>
      <c r="R3" s="2" t="str">
        <f t="shared" si="0"/>
        <v>Wed</v>
      </c>
      <c r="S3" s="2" t="str">
        <f t="shared" si="0"/>
        <v>Thu</v>
      </c>
      <c r="T3" s="2" t="str">
        <f t="shared" si="0"/>
        <v>Fri</v>
      </c>
      <c r="U3" s="2" t="str">
        <f t="shared" si="0"/>
        <v>Sat</v>
      </c>
      <c r="V3" s="79" t="s">
        <v>4</v>
      </c>
      <c r="W3" s="79" t="s">
        <v>5</v>
      </c>
      <c r="X3" s="76" t="s">
        <v>210</v>
      </c>
      <c r="Y3" s="77"/>
      <c r="Z3" s="3"/>
      <c r="AA3" s="3"/>
    </row>
    <row r="4" spans="1:27" ht="36.75" x14ac:dyDescent="0.25">
      <c r="A4" s="85"/>
      <c r="B4" s="85"/>
      <c r="C4" s="85"/>
      <c r="D4" s="85"/>
      <c r="E4" s="17">
        <v>45519</v>
      </c>
      <c r="F4" s="17">
        <v>45520</v>
      </c>
      <c r="G4" s="17">
        <v>45521</v>
      </c>
      <c r="H4" s="17">
        <v>45522</v>
      </c>
      <c r="I4" s="17">
        <v>45523</v>
      </c>
      <c r="J4" s="17">
        <v>45524</v>
      </c>
      <c r="K4" s="17">
        <v>45525</v>
      </c>
      <c r="L4" s="17">
        <v>45526</v>
      </c>
      <c r="M4" s="17">
        <v>45527</v>
      </c>
      <c r="N4" s="17">
        <v>45528</v>
      </c>
      <c r="O4" s="17">
        <v>45529</v>
      </c>
      <c r="P4" s="17">
        <v>45530</v>
      </c>
      <c r="Q4" s="17">
        <v>45531</v>
      </c>
      <c r="R4" s="17">
        <v>45532</v>
      </c>
      <c r="S4" s="17">
        <v>45533</v>
      </c>
      <c r="T4" s="17">
        <v>45534</v>
      </c>
      <c r="U4" s="17">
        <v>45535</v>
      </c>
      <c r="V4" s="79"/>
      <c r="W4" s="79"/>
      <c r="X4" s="4" t="s">
        <v>315</v>
      </c>
      <c r="Y4" s="4">
        <f>SUM(Y5:Y11)</f>
        <v>31</v>
      </c>
      <c r="Z4" s="3"/>
      <c r="AA4" s="3"/>
    </row>
    <row r="5" spans="1:27" ht="15" customHeight="1" x14ac:dyDescent="0.25">
      <c r="A5" s="5">
        <v>1</v>
      </c>
      <c r="B5" s="20" t="s">
        <v>23</v>
      </c>
      <c r="C5" s="21" t="s">
        <v>93</v>
      </c>
      <c r="D5" s="8" t="s">
        <v>600</v>
      </c>
      <c r="E5" s="9" t="s">
        <v>103</v>
      </c>
      <c r="F5" s="9" t="s">
        <v>104</v>
      </c>
      <c r="G5" s="9" t="s">
        <v>104</v>
      </c>
      <c r="H5" s="86" t="s">
        <v>317</v>
      </c>
      <c r="I5" s="9" t="s">
        <v>103</v>
      </c>
      <c r="J5" s="88" t="s">
        <v>601</v>
      </c>
      <c r="K5" s="9" t="s">
        <v>104</v>
      </c>
      <c r="L5" s="9" t="s">
        <v>104</v>
      </c>
      <c r="M5" s="9" t="s">
        <v>104</v>
      </c>
      <c r="N5" s="9" t="s">
        <v>104</v>
      </c>
      <c r="O5" s="86" t="s">
        <v>317</v>
      </c>
      <c r="P5" s="88" t="s">
        <v>326</v>
      </c>
      <c r="Q5" s="9" t="s">
        <v>104</v>
      </c>
      <c r="R5" s="9" t="s">
        <v>104</v>
      </c>
      <c r="S5" s="9" t="s">
        <v>103</v>
      </c>
      <c r="T5" s="88" t="s">
        <v>602</v>
      </c>
      <c r="U5" s="9" t="s">
        <v>103</v>
      </c>
      <c r="V5" s="4">
        <f t="shared" ref="V5:V47" si="1">COUNTIF(E5:U5,"P")</f>
        <v>8</v>
      </c>
      <c r="W5" s="4">
        <f t="shared" ref="W5:W47" si="2">COUNTIF(E5:T5,"A")</f>
        <v>3</v>
      </c>
      <c r="X5" s="4" t="s">
        <v>7</v>
      </c>
      <c r="Y5" s="11">
        <v>11</v>
      </c>
      <c r="Z5" s="12"/>
      <c r="AA5" s="3"/>
    </row>
    <row r="6" spans="1:27" x14ac:dyDescent="0.25">
      <c r="A6" s="11">
        <v>2</v>
      </c>
      <c r="B6" s="20" t="s">
        <v>603</v>
      </c>
      <c r="C6" s="21" t="s">
        <v>276</v>
      </c>
      <c r="D6" s="8" t="s">
        <v>600</v>
      </c>
      <c r="E6" s="9" t="s">
        <v>103</v>
      </c>
      <c r="F6" s="9" t="s">
        <v>104</v>
      </c>
      <c r="G6" s="9" t="s">
        <v>104</v>
      </c>
      <c r="H6" s="87"/>
      <c r="I6" s="9" t="s">
        <v>104</v>
      </c>
      <c r="J6" s="89"/>
      <c r="K6" s="9" t="s">
        <v>104</v>
      </c>
      <c r="L6" s="9" t="s">
        <v>104</v>
      </c>
      <c r="M6" s="9" t="s">
        <v>104</v>
      </c>
      <c r="N6" s="9" t="s">
        <v>104</v>
      </c>
      <c r="O6" s="87"/>
      <c r="P6" s="89"/>
      <c r="Q6" s="9" t="s">
        <v>104</v>
      </c>
      <c r="R6" s="9" t="s">
        <v>104</v>
      </c>
      <c r="S6" s="9" t="s">
        <v>104</v>
      </c>
      <c r="T6" s="89"/>
      <c r="U6" s="9" t="s">
        <v>103</v>
      </c>
      <c r="V6" s="4">
        <f t="shared" si="1"/>
        <v>10</v>
      </c>
      <c r="W6" s="4">
        <f t="shared" si="2"/>
        <v>1</v>
      </c>
      <c r="X6" s="4" t="s">
        <v>8</v>
      </c>
      <c r="Y6" s="11">
        <v>4</v>
      </c>
      <c r="Z6" s="3"/>
      <c r="AA6" s="3"/>
    </row>
    <row r="7" spans="1:27" x14ac:dyDescent="0.25">
      <c r="A7" s="5">
        <v>3</v>
      </c>
      <c r="B7" s="20" t="s">
        <v>604</v>
      </c>
      <c r="C7" s="21" t="s">
        <v>605</v>
      </c>
      <c r="D7" s="8" t="s">
        <v>600</v>
      </c>
      <c r="E7" s="9" t="s">
        <v>103</v>
      </c>
      <c r="F7" s="9" t="s">
        <v>103</v>
      </c>
      <c r="G7" s="9" t="s">
        <v>103</v>
      </c>
      <c r="H7" s="87"/>
      <c r="I7" s="9" t="s">
        <v>104</v>
      </c>
      <c r="J7" s="89"/>
      <c r="K7" s="9" t="s">
        <v>103</v>
      </c>
      <c r="L7" s="9" t="s">
        <v>104</v>
      </c>
      <c r="M7" s="9" t="s">
        <v>104</v>
      </c>
      <c r="N7" s="9" t="s">
        <v>103</v>
      </c>
      <c r="O7" s="87"/>
      <c r="P7" s="89"/>
      <c r="Q7" s="9" t="s">
        <v>103</v>
      </c>
      <c r="R7" s="9" t="s">
        <v>103</v>
      </c>
      <c r="S7" s="9" t="s">
        <v>103</v>
      </c>
      <c r="T7" s="89"/>
      <c r="U7" s="9" t="s">
        <v>103</v>
      </c>
      <c r="V7" s="4">
        <f t="shared" si="1"/>
        <v>3</v>
      </c>
      <c r="W7" s="4">
        <f t="shared" si="2"/>
        <v>8</v>
      </c>
      <c r="X7" s="4" t="s">
        <v>313</v>
      </c>
      <c r="Y7" s="11">
        <v>12</v>
      </c>
      <c r="Z7" s="3"/>
      <c r="AA7" s="3"/>
    </row>
    <row r="8" spans="1:27" x14ac:dyDescent="0.25">
      <c r="A8" s="11">
        <v>4</v>
      </c>
      <c r="B8" s="20" t="s">
        <v>606</v>
      </c>
      <c r="C8" s="21" t="s">
        <v>93</v>
      </c>
      <c r="D8" s="8" t="s">
        <v>600</v>
      </c>
      <c r="E8" s="9" t="s">
        <v>103</v>
      </c>
      <c r="F8" s="9" t="s">
        <v>104</v>
      </c>
      <c r="G8" s="9" t="s">
        <v>104</v>
      </c>
      <c r="H8" s="87"/>
      <c r="I8" s="9" t="s">
        <v>104</v>
      </c>
      <c r="J8" s="89"/>
      <c r="K8" s="9" t="s">
        <v>104</v>
      </c>
      <c r="L8" s="9" t="s">
        <v>104</v>
      </c>
      <c r="M8" s="9" t="s">
        <v>104</v>
      </c>
      <c r="N8" s="9" t="s">
        <v>104</v>
      </c>
      <c r="O8" s="87"/>
      <c r="P8" s="89"/>
      <c r="Q8" s="9" t="s">
        <v>104</v>
      </c>
      <c r="R8" s="9" t="s">
        <v>104</v>
      </c>
      <c r="S8" s="9" t="s">
        <v>104</v>
      </c>
      <c r="T8" s="89"/>
      <c r="U8" s="9" t="s">
        <v>103</v>
      </c>
      <c r="V8" s="4">
        <f t="shared" si="1"/>
        <v>10</v>
      </c>
      <c r="W8" s="4">
        <f t="shared" si="2"/>
        <v>1</v>
      </c>
      <c r="X8" s="4" t="s">
        <v>310</v>
      </c>
      <c r="Y8" s="11">
        <v>1</v>
      </c>
      <c r="Z8"/>
      <c r="AA8"/>
    </row>
    <row r="9" spans="1:27" x14ac:dyDescent="0.25">
      <c r="A9" s="5">
        <v>5</v>
      </c>
      <c r="B9" s="20" t="s">
        <v>58</v>
      </c>
      <c r="C9" s="21" t="s">
        <v>519</v>
      </c>
      <c r="D9" s="8" t="s">
        <v>600</v>
      </c>
      <c r="E9" s="9" t="s">
        <v>103</v>
      </c>
      <c r="F9" s="9" t="s">
        <v>103</v>
      </c>
      <c r="G9" s="9" t="s">
        <v>104</v>
      </c>
      <c r="H9" s="87"/>
      <c r="I9" s="9" t="s">
        <v>104</v>
      </c>
      <c r="J9" s="89"/>
      <c r="K9" s="9" t="s">
        <v>103</v>
      </c>
      <c r="L9" s="9" t="s">
        <v>103</v>
      </c>
      <c r="M9" s="9" t="s">
        <v>104</v>
      </c>
      <c r="N9" s="9" t="s">
        <v>104</v>
      </c>
      <c r="O9" s="87"/>
      <c r="P9" s="89"/>
      <c r="Q9" s="9" t="s">
        <v>104</v>
      </c>
      <c r="R9" s="9" t="s">
        <v>104</v>
      </c>
      <c r="S9" s="9" t="s">
        <v>104</v>
      </c>
      <c r="T9" s="89"/>
      <c r="U9" s="9" t="s">
        <v>103</v>
      </c>
      <c r="V9" s="4">
        <f t="shared" si="1"/>
        <v>7</v>
      </c>
      <c r="W9" s="4">
        <f t="shared" si="2"/>
        <v>4</v>
      </c>
      <c r="X9" s="4" t="s">
        <v>314</v>
      </c>
      <c r="Y9" s="11">
        <v>1</v>
      </c>
      <c r="Z9"/>
      <c r="AA9"/>
    </row>
    <row r="10" spans="1:27" x14ac:dyDescent="0.25">
      <c r="A10" s="11">
        <v>6</v>
      </c>
      <c r="B10" s="20" t="s">
        <v>607</v>
      </c>
      <c r="C10" s="21" t="s">
        <v>401</v>
      </c>
      <c r="D10" s="8" t="s">
        <v>600</v>
      </c>
      <c r="E10" s="9" t="s">
        <v>103</v>
      </c>
      <c r="F10" s="9" t="s">
        <v>104</v>
      </c>
      <c r="G10" s="9" t="s">
        <v>104</v>
      </c>
      <c r="H10" s="87"/>
      <c r="I10" s="9" t="s">
        <v>104</v>
      </c>
      <c r="J10" s="89"/>
      <c r="K10" s="9" t="s">
        <v>103</v>
      </c>
      <c r="L10" s="9" t="s">
        <v>103</v>
      </c>
      <c r="M10" s="9" t="s">
        <v>104</v>
      </c>
      <c r="N10" s="9" t="s">
        <v>104</v>
      </c>
      <c r="O10" s="87"/>
      <c r="P10" s="89"/>
      <c r="Q10" s="9" t="s">
        <v>104</v>
      </c>
      <c r="R10" s="9" t="s">
        <v>103</v>
      </c>
      <c r="S10" s="9" t="s">
        <v>104</v>
      </c>
      <c r="T10" s="89"/>
      <c r="U10" s="9" t="s">
        <v>103</v>
      </c>
      <c r="V10" s="4">
        <f t="shared" si="1"/>
        <v>7</v>
      </c>
      <c r="W10" s="4">
        <f t="shared" si="2"/>
        <v>4</v>
      </c>
      <c r="X10" s="4" t="s">
        <v>311</v>
      </c>
      <c r="Y10" s="11">
        <v>1</v>
      </c>
      <c r="Z10"/>
      <c r="AA10"/>
    </row>
    <row r="11" spans="1:27" x14ac:dyDescent="0.25">
      <c r="A11" s="5">
        <v>7</v>
      </c>
      <c r="B11" s="20" t="s">
        <v>608</v>
      </c>
      <c r="C11" s="21" t="s">
        <v>445</v>
      </c>
      <c r="D11" s="8" t="s">
        <v>600</v>
      </c>
      <c r="E11" s="9" t="s">
        <v>103</v>
      </c>
      <c r="F11" s="9" t="s">
        <v>104</v>
      </c>
      <c r="G11" s="9" t="s">
        <v>104</v>
      </c>
      <c r="H11" s="87"/>
      <c r="I11" s="9" t="s">
        <v>104</v>
      </c>
      <c r="J11" s="89"/>
      <c r="K11" s="9" t="s">
        <v>103</v>
      </c>
      <c r="L11" s="9" t="s">
        <v>104</v>
      </c>
      <c r="M11" s="9" t="s">
        <v>104</v>
      </c>
      <c r="N11" s="9" t="s">
        <v>104</v>
      </c>
      <c r="O11" s="87"/>
      <c r="P11" s="89"/>
      <c r="Q11" s="9" t="s">
        <v>104</v>
      </c>
      <c r="R11" s="9" t="s">
        <v>103</v>
      </c>
      <c r="S11" s="9" t="s">
        <v>103</v>
      </c>
      <c r="T11" s="89"/>
      <c r="U11" s="9" t="s">
        <v>103</v>
      </c>
      <c r="V11" s="4">
        <f t="shared" si="1"/>
        <v>7</v>
      </c>
      <c r="W11" s="4">
        <f t="shared" si="2"/>
        <v>4</v>
      </c>
      <c r="X11" s="4" t="s">
        <v>312</v>
      </c>
      <c r="Y11" s="11">
        <v>1</v>
      </c>
      <c r="Z11"/>
      <c r="AA11"/>
    </row>
    <row r="12" spans="1:27" x14ac:dyDescent="0.25">
      <c r="A12" s="11">
        <v>8</v>
      </c>
      <c r="B12" s="20" t="s">
        <v>609</v>
      </c>
      <c r="C12" s="21" t="s">
        <v>93</v>
      </c>
      <c r="D12" s="8" t="s">
        <v>600</v>
      </c>
      <c r="E12" s="9" t="s">
        <v>103</v>
      </c>
      <c r="F12" s="9" t="s">
        <v>104</v>
      </c>
      <c r="G12" s="9" t="s">
        <v>104</v>
      </c>
      <c r="H12" s="87"/>
      <c r="I12" s="9" t="s">
        <v>104</v>
      </c>
      <c r="J12" s="89"/>
      <c r="K12" s="9" t="s">
        <v>104</v>
      </c>
      <c r="L12" s="9" t="s">
        <v>104</v>
      </c>
      <c r="M12" s="9" t="s">
        <v>104</v>
      </c>
      <c r="N12" s="9" t="s">
        <v>104</v>
      </c>
      <c r="O12" s="87"/>
      <c r="P12" s="89"/>
      <c r="Q12" s="9" t="s">
        <v>104</v>
      </c>
      <c r="R12" s="9" t="s">
        <v>104</v>
      </c>
      <c r="S12" s="9" t="s">
        <v>104</v>
      </c>
      <c r="T12" s="89"/>
      <c r="U12" s="9" t="s">
        <v>103</v>
      </c>
      <c r="V12" s="4">
        <f t="shared" si="1"/>
        <v>10</v>
      </c>
      <c r="W12" s="4">
        <f t="shared" si="2"/>
        <v>1</v>
      </c>
      <c r="X12"/>
      <c r="Y12"/>
      <c r="Z12"/>
      <c r="AA12"/>
    </row>
    <row r="13" spans="1:27" ht="15.75" x14ac:dyDescent="0.25">
      <c r="A13" s="5">
        <v>9</v>
      </c>
      <c r="B13" s="20" t="s">
        <v>610</v>
      </c>
      <c r="C13" s="21" t="s">
        <v>484</v>
      </c>
      <c r="D13" s="8" t="s">
        <v>600</v>
      </c>
      <c r="E13" s="9" t="s">
        <v>104</v>
      </c>
      <c r="F13" s="9" t="s">
        <v>104</v>
      </c>
      <c r="G13" s="9" t="s">
        <v>104</v>
      </c>
      <c r="H13" s="87"/>
      <c r="I13" s="9" t="s">
        <v>104</v>
      </c>
      <c r="J13" s="89"/>
      <c r="K13" s="9" t="s">
        <v>104</v>
      </c>
      <c r="L13" s="9" t="s">
        <v>104</v>
      </c>
      <c r="M13" s="9" t="s">
        <v>104</v>
      </c>
      <c r="N13" s="9" t="s">
        <v>104</v>
      </c>
      <c r="O13" s="87"/>
      <c r="P13" s="89"/>
      <c r="Q13" s="9" t="s">
        <v>104</v>
      </c>
      <c r="R13" s="9" t="s">
        <v>104</v>
      </c>
      <c r="S13" s="9" t="s">
        <v>104</v>
      </c>
      <c r="T13" s="89"/>
      <c r="U13" s="9" t="s">
        <v>103</v>
      </c>
      <c r="V13" s="4">
        <f t="shared" si="1"/>
        <v>11</v>
      </c>
      <c r="W13" s="4">
        <f t="shared" si="2"/>
        <v>0</v>
      </c>
      <c r="X13" s="76" t="s">
        <v>9</v>
      </c>
      <c r="Y13" s="77"/>
      <c r="Z13" s="77"/>
      <c r="AA13" s="78"/>
    </row>
    <row r="14" spans="1:27" x14ac:dyDescent="0.25">
      <c r="A14" s="11">
        <v>10</v>
      </c>
      <c r="B14" s="20" t="s">
        <v>611</v>
      </c>
      <c r="C14" s="21" t="s">
        <v>612</v>
      </c>
      <c r="D14" s="8" t="s">
        <v>600</v>
      </c>
      <c r="E14" s="9" t="s">
        <v>103</v>
      </c>
      <c r="F14" s="9" t="s">
        <v>103</v>
      </c>
      <c r="G14" s="9" t="s">
        <v>103</v>
      </c>
      <c r="H14" s="87"/>
      <c r="I14" s="9" t="s">
        <v>104</v>
      </c>
      <c r="J14" s="89"/>
      <c r="K14" s="9" t="s">
        <v>104</v>
      </c>
      <c r="L14" s="9" t="s">
        <v>104</v>
      </c>
      <c r="M14" s="9" t="s">
        <v>104</v>
      </c>
      <c r="N14" s="9" t="s">
        <v>103</v>
      </c>
      <c r="O14" s="87"/>
      <c r="P14" s="89"/>
      <c r="Q14" s="9" t="s">
        <v>104</v>
      </c>
      <c r="R14" s="9" t="s">
        <v>103</v>
      </c>
      <c r="S14" s="9" t="s">
        <v>104</v>
      </c>
      <c r="T14" s="89"/>
      <c r="U14" s="9" t="s">
        <v>103</v>
      </c>
      <c r="V14" s="4">
        <f t="shared" si="1"/>
        <v>6</v>
      </c>
      <c r="W14" s="4">
        <f t="shared" si="2"/>
        <v>5</v>
      </c>
      <c r="X14" s="4" t="s">
        <v>10</v>
      </c>
      <c r="Y14" s="4" t="s">
        <v>11</v>
      </c>
      <c r="Z14" s="4" t="s">
        <v>12</v>
      </c>
      <c r="AA14" s="4" t="s">
        <v>13</v>
      </c>
    </row>
    <row r="15" spans="1:27" x14ac:dyDescent="0.25">
      <c r="A15" s="5">
        <v>11</v>
      </c>
      <c r="B15" s="20" t="s">
        <v>613</v>
      </c>
      <c r="C15" s="21" t="s">
        <v>551</v>
      </c>
      <c r="D15" s="8" t="s">
        <v>600</v>
      </c>
      <c r="E15" s="9" t="s">
        <v>103</v>
      </c>
      <c r="F15" s="9" t="s">
        <v>104</v>
      </c>
      <c r="G15" s="9" t="s">
        <v>103</v>
      </c>
      <c r="H15" s="87"/>
      <c r="I15" s="9" t="s">
        <v>104</v>
      </c>
      <c r="J15" s="89"/>
      <c r="K15" s="9" t="s">
        <v>104</v>
      </c>
      <c r="L15" s="9" t="s">
        <v>104</v>
      </c>
      <c r="M15" s="9" t="s">
        <v>104</v>
      </c>
      <c r="N15" s="9" t="s">
        <v>104</v>
      </c>
      <c r="O15" s="87"/>
      <c r="P15" s="89"/>
      <c r="Q15" s="9" t="s">
        <v>104</v>
      </c>
      <c r="R15" s="9" t="s">
        <v>103</v>
      </c>
      <c r="S15" s="9" t="s">
        <v>104</v>
      </c>
      <c r="T15" s="89"/>
      <c r="U15" s="9" t="s">
        <v>103</v>
      </c>
      <c r="V15" s="4">
        <f t="shared" si="1"/>
        <v>8</v>
      </c>
      <c r="W15" s="4">
        <f t="shared" si="2"/>
        <v>3</v>
      </c>
      <c r="X15" s="4" t="s">
        <v>14</v>
      </c>
      <c r="Y15" s="11">
        <f>17*11</f>
        <v>187</v>
      </c>
      <c r="Z15" s="11">
        <f>26*11</f>
        <v>286</v>
      </c>
      <c r="AA15" s="11">
        <f>SUM(Y15:Z15)</f>
        <v>473</v>
      </c>
    </row>
    <row r="16" spans="1:27" x14ac:dyDescent="0.25">
      <c r="A16" s="11">
        <v>12</v>
      </c>
      <c r="B16" s="20" t="s">
        <v>614</v>
      </c>
      <c r="C16" s="21" t="s">
        <v>332</v>
      </c>
      <c r="D16" s="8" t="s">
        <v>600</v>
      </c>
      <c r="E16" s="9" t="s">
        <v>103</v>
      </c>
      <c r="F16" s="9" t="s">
        <v>104</v>
      </c>
      <c r="G16" s="9" t="s">
        <v>103</v>
      </c>
      <c r="H16" s="87"/>
      <c r="I16" s="9" t="s">
        <v>104</v>
      </c>
      <c r="J16" s="89"/>
      <c r="K16" s="9" t="s">
        <v>104</v>
      </c>
      <c r="L16" s="9" t="s">
        <v>104</v>
      </c>
      <c r="M16" s="9" t="s">
        <v>104</v>
      </c>
      <c r="N16" s="9" t="s">
        <v>104</v>
      </c>
      <c r="O16" s="87"/>
      <c r="P16" s="89"/>
      <c r="Q16" s="9" t="s">
        <v>103</v>
      </c>
      <c r="R16" s="9" t="s">
        <v>103</v>
      </c>
      <c r="S16" s="9" t="s">
        <v>104</v>
      </c>
      <c r="T16" s="89"/>
      <c r="U16" s="9" t="s">
        <v>103</v>
      </c>
      <c r="V16" s="4">
        <f t="shared" si="1"/>
        <v>7</v>
      </c>
      <c r="W16" s="4">
        <f t="shared" si="2"/>
        <v>4</v>
      </c>
      <c r="X16" s="4" t="s">
        <v>15</v>
      </c>
      <c r="Y16" s="11">
        <f>SUM(V5:V21)</f>
        <v>130</v>
      </c>
      <c r="Z16" s="11">
        <f>SUM(V22:V47)</f>
        <v>206</v>
      </c>
      <c r="AA16" s="11">
        <f>Y16+Z16</f>
        <v>336</v>
      </c>
    </row>
    <row r="17" spans="1:27" x14ac:dyDescent="0.25">
      <c r="A17" s="5">
        <v>13</v>
      </c>
      <c r="B17" s="20" t="s">
        <v>615</v>
      </c>
      <c r="C17" s="21" t="s">
        <v>522</v>
      </c>
      <c r="D17" s="8" t="s">
        <v>600</v>
      </c>
      <c r="E17" s="9" t="s">
        <v>104</v>
      </c>
      <c r="F17" s="9" t="s">
        <v>104</v>
      </c>
      <c r="G17" s="9" t="s">
        <v>104</v>
      </c>
      <c r="H17" s="87"/>
      <c r="I17" s="9" t="s">
        <v>104</v>
      </c>
      <c r="J17" s="89"/>
      <c r="K17" s="9" t="s">
        <v>104</v>
      </c>
      <c r="L17" s="9" t="s">
        <v>104</v>
      </c>
      <c r="M17" s="9" t="s">
        <v>104</v>
      </c>
      <c r="N17" s="9" t="s">
        <v>104</v>
      </c>
      <c r="O17" s="87"/>
      <c r="P17" s="89"/>
      <c r="Q17" s="9" t="s">
        <v>103</v>
      </c>
      <c r="R17" s="9" t="s">
        <v>104</v>
      </c>
      <c r="S17" s="9" t="s">
        <v>103</v>
      </c>
      <c r="T17" s="89"/>
      <c r="U17" s="9" t="s">
        <v>103</v>
      </c>
      <c r="V17" s="4">
        <f t="shared" si="1"/>
        <v>9</v>
      </c>
      <c r="W17" s="4">
        <f t="shared" si="2"/>
        <v>2</v>
      </c>
      <c r="X17" s="4" t="s">
        <v>16</v>
      </c>
      <c r="Y17" s="15">
        <f>Y16/Y15</f>
        <v>0.69518716577540107</v>
      </c>
      <c r="Z17" s="15">
        <f>Z16/Z15</f>
        <v>0.72027972027972031</v>
      </c>
      <c r="AA17" s="15">
        <f>AA16/AA15</f>
        <v>0.71035940803382669</v>
      </c>
    </row>
    <row r="18" spans="1:27" x14ac:dyDescent="0.25">
      <c r="A18" s="11">
        <v>14</v>
      </c>
      <c r="B18" s="20" t="s">
        <v>616</v>
      </c>
      <c r="C18" s="21" t="s">
        <v>617</v>
      </c>
      <c r="D18" s="8" t="s">
        <v>600</v>
      </c>
      <c r="E18" s="9" t="s">
        <v>104</v>
      </c>
      <c r="F18" s="9" t="s">
        <v>104</v>
      </c>
      <c r="G18" s="9" t="s">
        <v>104</v>
      </c>
      <c r="H18" s="87"/>
      <c r="I18" s="9" t="s">
        <v>104</v>
      </c>
      <c r="J18" s="89"/>
      <c r="K18" s="9" t="s">
        <v>104</v>
      </c>
      <c r="L18" s="9" t="s">
        <v>104</v>
      </c>
      <c r="M18" s="9" t="s">
        <v>104</v>
      </c>
      <c r="N18" s="9" t="s">
        <v>104</v>
      </c>
      <c r="O18" s="87"/>
      <c r="P18" s="89"/>
      <c r="Q18" s="9" t="s">
        <v>104</v>
      </c>
      <c r="R18" s="9" t="s">
        <v>103</v>
      </c>
      <c r="S18" s="9" t="s">
        <v>104</v>
      </c>
      <c r="T18" s="89"/>
      <c r="U18" s="9" t="s">
        <v>104</v>
      </c>
      <c r="V18" s="4">
        <f t="shared" si="1"/>
        <v>11</v>
      </c>
      <c r="W18" s="4">
        <f t="shared" si="2"/>
        <v>1</v>
      </c>
      <c r="X18"/>
      <c r="Y18"/>
      <c r="Z18"/>
      <c r="AA18"/>
    </row>
    <row r="19" spans="1:27" x14ac:dyDescent="0.25">
      <c r="A19" s="5">
        <v>15</v>
      </c>
      <c r="B19" s="20" t="s">
        <v>618</v>
      </c>
      <c r="C19" s="21" t="s">
        <v>167</v>
      </c>
      <c r="D19" s="8" t="s">
        <v>600</v>
      </c>
      <c r="E19" s="9" t="s">
        <v>103</v>
      </c>
      <c r="F19" s="9" t="s">
        <v>104</v>
      </c>
      <c r="G19" s="9" t="s">
        <v>104</v>
      </c>
      <c r="H19" s="87"/>
      <c r="I19" s="9" t="s">
        <v>104</v>
      </c>
      <c r="J19" s="89"/>
      <c r="K19" s="9" t="s">
        <v>104</v>
      </c>
      <c r="L19" s="9" t="s">
        <v>104</v>
      </c>
      <c r="M19" s="9" t="s">
        <v>104</v>
      </c>
      <c r="N19" s="9" t="s">
        <v>104</v>
      </c>
      <c r="O19" s="87"/>
      <c r="P19" s="89"/>
      <c r="Q19" s="9" t="s">
        <v>104</v>
      </c>
      <c r="R19" s="9" t="s">
        <v>103</v>
      </c>
      <c r="S19" s="9" t="s">
        <v>104</v>
      </c>
      <c r="T19" s="89"/>
      <c r="U19" s="9" t="s">
        <v>103</v>
      </c>
      <c r="V19" s="4">
        <f t="shared" si="1"/>
        <v>9</v>
      </c>
      <c r="W19" s="4">
        <f t="shared" si="2"/>
        <v>2</v>
      </c>
      <c r="X19"/>
      <c r="Y19"/>
      <c r="Z19"/>
      <c r="AA19"/>
    </row>
    <row r="20" spans="1:27" x14ac:dyDescent="0.25">
      <c r="A20" s="11">
        <v>16</v>
      </c>
      <c r="B20" s="20" t="s">
        <v>619</v>
      </c>
      <c r="C20" s="21" t="s">
        <v>620</v>
      </c>
      <c r="D20" s="8" t="s">
        <v>600</v>
      </c>
      <c r="E20" s="9" t="s">
        <v>103</v>
      </c>
      <c r="F20" s="9" t="s">
        <v>104</v>
      </c>
      <c r="G20" s="9" t="s">
        <v>104</v>
      </c>
      <c r="H20" s="87"/>
      <c r="I20" s="9" t="s">
        <v>104</v>
      </c>
      <c r="J20" s="89"/>
      <c r="K20" s="9" t="s">
        <v>103</v>
      </c>
      <c r="L20" s="9" t="s">
        <v>103</v>
      </c>
      <c r="M20" s="9" t="s">
        <v>103</v>
      </c>
      <c r="N20" s="9" t="s">
        <v>103</v>
      </c>
      <c r="O20" s="87"/>
      <c r="P20" s="89"/>
      <c r="Q20" s="9" t="s">
        <v>103</v>
      </c>
      <c r="R20" s="9" t="s">
        <v>103</v>
      </c>
      <c r="S20" s="9" t="s">
        <v>104</v>
      </c>
      <c r="T20" s="89"/>
      <c r="U20" s="9" t="s">
        <v>103</v>
      </c>
      <c r="V20" s="4">
        <f t="shared" si="1"/>
        <v>4</v>
      </c>
      <c r="W20" s="4">
        <f t="shared" si="2"/>
        <v>7</v>
      </c>
      <c r="X20"/>
      <c r="Y20"/>
      <c r="Z20"/>
      <c r="AA20"/>
    </row>
    <row r="21" spans="1:27" ht="15.75" x14ac:dyDescent="0.25">
      <c r="A21" s="5">
        <v>17</v>
      </c>
      <c r="B21" s="20" t="s">
        <v>621</v>
      </c>
      <c r="C21" s="21" t="s">
        <v>622</v>
      </c>
      <c r="D21" s="8" t="s">
        <v>600</v>
      </c>
      <c r="E21" s="9" t="s">
        <v>103</v>
      </c>
      <c r="F21" s="9" t="s">
        <v>103</v>
      </c>
      <c r="G21" s="9" t="s">
        <v>103</v>
      </c>
      <c r="H21" s="87"/>
      <c r="I21" s="9" t="s">
        <v>103</v>
      </c>
      <c r="J21" s="89"/>
      <c r="K21" s="9" t="s">
        <v>103</v>
      </c>
      <c r="L21" s="9" t="s">
        <v>103</v>
      </c>
      <c r="M21" s="9" t="s">
        <v>103</v>
      </c>
      <c r="N21" s="9" t="s">
        <v>103</v>
      </c>
      <c r="O21" s="87"/>
      <c r="P21" s="89"/>
      <c r="Q21" s="9" t="s">
        <v>104</v>
      </c>
      <c r="R21" s="9" t="s">
        <v>104</v>
      </c>
      <c r="S21" s="9" t="s">
        <v>104</v>
      </c>
      <c r="T21" s="89"/>
      <c r="U21" s="9" t="s">
        <v>103</v>
      </c>
      <c r="V21" s="4">
        <f t="shared" si="1"/>
        <v>3</v>
      </c>
      <c r="W21" s="4">
        <f t="shared" si="2"/>
        <v>8</v>
      </c>
      <c r="X21" s="76" t="s">
        <v>316</v>
      </c>
      <c r="Y21" s="77"/>
      <c r="Z21" s="77"/>
      <c r="AA21" s="78"/>
    </row>
    <row r="22" spans="1:27" x14ac:dyDescent="0.25">
      <c r="A22" s="11">
        <v>1</v>
      </c>
      <c r="B22" s="20" t="s">
        <v>118</v>
      </c>
      <c r="C22" s="21" t="s">
        <v>94</v>
      </c>
      <c r="D22" s="8" t="s">
        <v>600</v>
      </c>
      <c r="E22" s="9" t="s">
        <v>104</v>
      </c>
      <c r="F22" s="9" t="s">
        <v>104</v>
      </c>
      <c r="G22" s="9" t="s">
        <v>104</v>
      </c>
      <c r="H22" s="87"/>
      <c r="I22" s="9" t="s">
        <v>104</v>
      </c>
      <c r="J22" s="89"/>
      <c r="K22" s="9" t="s">
        <v>104</v>
      </c>
      <c r="L22" s="9" t="s">
        <v>104</v>
      </c>
      <c r="M22" s="9" t="s">
        <v>104</v>
      </c>
      <c r="N22" s="9" t="s">
        <v>104</v>
      </c>
      <c r="O22" s="87"/>
      <c r="P22" s="89"/>
      <c r="Q22" s="9" t="s">
        <v>104</v>
      </c>
      <c r="R22" s="9" t="s">
        <v>104</v>
      </c>
      <c r="S22" s="9" t="s">
        <v>104</v>
      </c>
      <c r="T22" s="89"/>
      <c r="U22" s="9" t="s">
        <v>103</v>
      </c>
      <c r="V22" s="4">
        <f t="shared" si="1"/>
        <v>11</v>
      </c>
      <c r="W22" s="4">
        <f t="shared" si="2"/>
        <v>0</v>
      </c>
      <c r="X22" s="4" t="s">
        <v>10</v>
      </c>
      <c r="Y22" s="4" t="s">
        <v>11</v>
      </c>
      <c r="Z22" s="4" t="s">
        <v>12</v>
      </c>
      <c r="AA22" s="4" t="s">
        <v>13</v>
      </c>
    </row>
    <row r="23" spans="1:27" x14ac:dyDescent="0.25">
      <c r="A23" s="5">
        <v>2</v>
      </c>
      <c r="B23" s="20" t="s">
        <v>123</v>
      </c>
      <c r="C23" s="21" t="s">
        <v>344</v>
      </c>
      <c r="D23" s="8" t="s">
        <v>600</v>
      </c>
      <c r="E23" s="9" t="s">
        <v>104</v>
      </c>
      <c r="F23" s="9" t="s">
        <v>104</v>
      </c>
      <c r="G23" s="9" t="s">
        <v>103</v>
      </c>
      <c r="H23" s="87"/>
      <c r="I23" s="9" t="s">
        <v>103</v>
      </c>
      <c r="J23" s="89"/>
      <c r="K23" s="9" t="s">
        <v>104</v>
      </c>
      <c r="L23" s="9" t="s">
        <v>104</v>
      </c>
      <c r="M23" s="9" t="s">
        <v>104</v>
      </c>
      <c r="N23" s="9" t="s">
        <v>104</v>
      </c>
      <c r="O23" s="87"/>
      <c r="P23" s="89"/>
      <c r="Q23" s="9" t="s">
        <v>104</v>
      </c>
      <c r="R23" s="9" t="s">
        <v>103</v>
      </c>
      <c r="S23" s="9" t="s">
        <v>104</v>
      </c>
      <c r="T23" s="89"/>
      <c r="U23" s="9" t="s">
        <v>103</v>
      </c>
      <c r="V23" s="4">
        <f t="shared" si="1"/>
        <v>8</v>
      </c>
      <c r="W23" s="4">
        <f t="shared" si="2"/>
        <v>3</v>
      </c>
      <c r="X23" s="4" t="s">
        <v>14</v>
      </c>
      <c r="Y23" s="11">
        <f>17*11</f>
        <v>187</v>
      </c>
      <c r="Z23" s="11">
        <f>26*11</f>
        <v>286</v>
      </c>
      <c r="AA23" s="11">
        <f>Y23+Z23</f>
        <v>473</v>
      </c>
    </row>
    <row r="24" spans="1:27" x14ac:dyDescent="0.25">
      <c r="A24" s="11">
        <v>3</v>
      </c>
      <c r="B24" s="20" t="s">
        <v>623</v>
      </c>
      <c r="C24" s="21" t="s">
        <v>401</v>
      </c>
      <c r="D24" s="8" t="s">
        <v>600</v>
      </c>
      <c r="E24" s="9" t="s">
        <v>103</v>
      </c>
      <c r="F24" s="9" t="s">
        <v>104</v>
      </c>
      <c r="G24" s="9" t="s">
        <v>104</v>
      </c>
      <c r="H24" s="87"/>
      <c r="I24" s="9" t="s">
        <v>104</v>
      </c>
      <c r="J24" s="89"/>
      <c r="K24" s="9" t="s">
        <v>104</v>
      </c>
      <c r="L24" s="9" t="s">
        <v>104</v>
      </c>
      <c r="M24" s="9" t="s">
        <v>104</v>
      </c>
      <c r="N24" s="9" t="s">
        <v>104</v>
      </c>
      <c r="O24" s="87"/>
      <c r="P24" s="89"/>
      <c r="Q24" s="9" t="s">
        <v>104</v>
      </c>
      <c r="R24" s="9" t="s">
        <v>104</v>
      </c>
      <c r="S24" s="9" t="s">
        <v>104</v>
      </c>
      <c r="T24" s="89"/>
      <c r="U24" s="9" t="s">
        <v>103</v>
      </c>
      <c r="V24" s="4">
        <f t="shared" si="1"/>
        <v>10</v>
      </c>
      <c r="W24" s="4">
        <f t="shared" si="2"/>
        <v>1</v>
      </c>
      <c r="X24" s="4" t="s">
        <v>17</v>
      </c>
      <c r="Y24" s="11">
        <f>Y23-Y16</f>
        <v>57</v>
      </c>
      <c r="Z24" s="11">
        <f>Z23-Z16</f>
        <v>80</v>
      </c>
      <c r="AA24" s="11">
        <f>Y24+Z24</f>
        <v>137</v>
      </c>
    </row>
    <row r="25" spans="1:27" x14ac:dyDescent="0.25">
      <c r="A25" s="5">
        <v>4</v>
      </c>
      <c r="B25" s="20" t="s">
        <v>127</v>
      </c>
      <c r="C25" s="21" t="s">
        <v>523</v>
      </c>
      <c r="D25" s="8" t="s">
        <v>600</v>
      </c>
      <c r="E25" s="9" t="s">
        <v>103</v>
      </c>
      <c r="F25" s="9" t="s">
        <v>103</v>
      </c>
      <c r="G25" s="9" t="s">
        <v>103</v>
      </c>
      <c r="H25" s="87"/>
      <c r="I25" s="9" t="s">
        <v>104</v>
      </c>
      <c r="J25" s="89"/>
      <c r="K25" s="9" t="s">
        <v>104</v>
      </c>
      <c r="L25" s="9" t="s">
        <v>104</v>
      </c>
      <c r="M25" s="9" t="s">
        <v>104</v>
      </c>
      <c r="N25" s="9" t="s">
        <v>104</v>
      </c>
      <c r="O25" s="87"/>
      <c r="P25" s="89"/>
      <c r="Q25" s="9" t="s">
        <v>104</v>
      </c>
      <c r="R25" s="9" t="s">
        <v>103</v>
      </c>
      <c r="S25" s="9" t="s">
        <v>103</v>
      </c>
      <c r="T25" s="89"/>
      <c r="U25" s="9" t="s">
        <v>103</v>
      </c>
      <c r="V25" s="4">
        <f t="shared" si="1"/>
        <v>6</v>
      </c>
      <c r="W25" s="4">
        <f t="shared" si="2"/>
        <v>5</v>
      </c>
      <c r="X25" s="4" t="s">
        <v>16</v>
      </c>
      <c r="Y25" s="15">
        <f>Y24/Y23</f>
        <v>0.30481283422459893</v>
      </c>
      <c r="Z25" s="15">
        <f>Z24/Z23</f>
        <v>0.27972027972027974</v>
      </c>
      <c r="AA25" s="15">
        <f>AA24/AA23</f>
        <v>0.28964059196617337</v>
      </c>
    </row>
    <row r="26" spans="1:27" x14ac:dyDescent="0.25">
      <c r="A26" s="11">
        <v>5</v>
      </c>
      <c r="B26" s="20" t="s">
        <v>129</v>
      </c>
      <c r="C26" s="20" t="s">
        <v>566</v>
      </c>
      <c r="D26" s="8" t="s">
        <v>600</v>
      </c>
      <c r="E26" s="9" t="s">
        <v>104</v>
      </c>
      <c r="F26" s="9" t="s">
        <v>104</v>
      </c>
      <c r="G26" s="9" t="s">
        <v>104</v>
      </c>
      <c r="H26" s="87"/>
      <c r="I26" s="9" t="s">
        <v>104</v>
      </c>
      <c r="J26" s="89"/>
      <c r="K26" s="9" t="s">
        <v>104</v>
      </c>
      <c r="L26" s="9" t="s">
        <v>104</v>
      </c>
      <c r="M26" s="9" t="s">
        <v>104</v>
      </c>
      <c r="N26" s="9" t="s">
        <v>104</v>
      </c>
      <c r="O26" s="87"/>
      <c r="P26" s="89"/>
      <c r="Q26" s="9" t="s">
        <v>104</v>
      </c>
      <c r="R26" s="9" t="s">
        <v>103</v>
      </c>
      <c r="S26" s="9" t="s">
        <v>104</v>
      </c>
      <c r="T26" s="89"/>
      <c r="U26" s="9" t="s">
        <v>103</v>
      </c>
      <c r="V26" s="4">
        <f t="shared" si="1"/>
        <v>10</v>
      </c>
      <c r="W26" s="4">
        <f t="shared" si="2"/>
        <v>1</v>
      </c>
    </row>
    <row r="27" spans="1:27" x14ac:dyDescent="0.25">
      <c r="A27" s="5">
        <v>6</v>
      </c>
      <c r="B27" s="20" t="s">
        <v>579</v>
      </c>
      <c r="C27" s="21" t="s">
        <v>624</v>
      </c>
      <c r="D27" s="8" t="s">
        <v>600</v>
      </c>
      <c r="E27" s="9" t="s">
        <v>103</v>
      </c>
      <c r="F27" s="9" t="s">
        <v>103</v>
      </c>
      <c r="G27" s="9" t="s">
        <v>103</v>
      </c>
      <c r="H27" s="87"/>
      <c r="I27" s="9" t="s">
        <v>104</v>
      </c>
      <c r="J27" s="89"/>
      <c r="K27" s="9" t="s">
        <v>104</v>
      </c>
      <c r="L27" s="9" t="s">
        <v>104</v>
      </c>
      <c r="M27" s="9" t="s">
        <v>103</v>
      </c>
      <c r="N27" s="9" t="s">
        <v>104</v>
      </c>
      <c r="O27" s="87"/>
      <c r="P27" s="89"/>
      <c r="Q27" s="9" t="s">
        <v>104</v>
      </c>
      <c r="R27" s="9" t="s">
        <v>104</v>
      </c>
      <c r="S27" s="9" t="s">
        <v>103</v>
      </c>
      <c r="T27" s="89"/>
      <c r="U27" s="9" t="s">
        <v>103</v>
      </c>
      <c r="V27" s="4">
        <f t="shared" si="1"/>
        <v>6</v>
      </c>
      <c r="W27" s="4">
        <f t="shared" si="2"/>
        <v>5</v>
      </c>
    </row>
    <row r="28" spans="1:27" x14ac:dyDescent="0.25">
      <c r="A28" s="11">
        <v>7</v>
      </c>
      <c r="B28" s="22" t="s">
        <v>625</v>
      </c>
      <c r="C28" s="23" t="s">
        <v>626</v>
      </c>
      <c r="D28" s="8" t="s">
        <v>600</v>
      </c>
      <c r="E28" s="9" t="s">
        <v>104</v>
      </c>
      <c r="F28" s="9" t="s">
        <v>104</v>
      </c>
      <c r="G28" s="9" t="s">
        <v>103</v>
      </c>
      <c r="H28" s="87"/>
      <c r="I28" s="9" t="s">
        <v>104</v>
      </c>
      <c r="J28" s="89"/>
      <c r="K28" s="9" t="s">
        <v>104</v>
      </c>
      <c r="L28" s="9" t="s">
        <v>104</v>
      </c>
      <c r="M28" s="9" t="s">
        <v>104</v>
      </c>
      <c r="N28" s="9" t="s">
        <v>104</v>
      </c>
      <c r="O28" s="87"/>
      <c r="P28" s="89"/>
      <c r="Q28" s="9" t="s">
        <v>103</v>
      </c>
      <c r="R28" s="9" t="s">
        <v>103</v>
      </c>
      <c r="S28" s="9" t="s">
        <v>104</v>
      </c>
      <c r="T28" s="89"/>
      <c r="U28" s="9" t="s">
        <v>103</v>
      </c>
      <c r="V28" s="4">
        <f t="shared" si="1"/>
        <v>8</v>
      </c>
      <c r="W28" s="4">
        <f t="shared" si="2"/>
        <v>3</v>
      </c>
    </row>
    <row r="29" spans="1:27" x14ac:dyDescent="0.25">
      <c r="A29" s="5">
        <v>8</v>
      </c>
      <c r="B29" s="24" t="s">
        <v>627</v>
      </c>
      <c r="C29" s="24" t="s">
        <v>628</v>
      </c>
      <c r="D29" s="8" t="s">
        <v>600</v>
      </c>
      <c r="E29" s="9" t="s">
        <v>104</v>
      </c>
      <c r="F29" s="9" t="s">
        <v>104</v>
      </c>
      <c r="G29" s="9" t="s">
        <v>104</v>
      </c>
      <c r="H29" s="87"/>
      <c r="I29" s="9" t="s">
        <v>104</v>
      </c>
      <c r="J29" s="89"/>
      <c r="K29" s="9" t="s">
        <v>104</v>
      </c>
      <c r="L29" s="9" t="s">
        <v>104</v>
      </c>
      <c r="M29" s="9" t="s">
        <v>104</v>
      </c>
      <c r="N29" s="9" t="s">
        <v>104</v>
      </c>
      <c r="O29" s="87"/>
      <c r="P29" s="89"/>
      <c r="Q29" s="9" t="s">
        <v>104</v>
      </c>
      <c r="R29" s="9" t="s">
        <v>103</v>
      </c>
      <c r="S29" s="9" t="s">
        <v>104</v>
      </c>
      <c r="T29" s="89"/>
      <c r="U29" s="9" t="s">
        <v>103</v>
      </c>
      <c r="V29" s="4">
        <f t="shared" si="1"/>
        <v>10</v>
      </c>
      <c r="W29" s="4">
        <f t="shared" si="2"/>
        <v>1</v>
      </c>
    </row>
    <row r="30" spans="1:27" x14ac:dyDescent="0.25">
      <c r="A30" s="11">
        <v>9</v>
      </c>
      <c r="B30" s="24" t="s">
        <v>408</v>
      </c>
      <c r="C30" s="24" t="s">
        <v>276</v>
      </c>
      <c r="D30" s="8" t="s">
        <v>600</v>
      </c>
      <c r="E30" s="9" t="s">
        <v>104</v>
      </c>
      <c r="F30" s="9" t="s">
        <v>104</v>
      </c>
      <c r="G30" s="9" t="s">
        <v>104</v>
      </c>
      <c r="H30" s="87"/>
      <c r="I30" s="9" t="s">
        <v>104</v>
      </c>
      <c r="J30" s="89"/>
      <c r="K30" s="9" t="s">
        <v>104</v>
      </c>
      <c r="L30" s="9" t="s">
        <v>104</v>
      </c>
      <c r="M30" s="9" t="s">
        <v>104</v>
      </c>
      <c r="N30" s="9" t="s">
        <v>104</v>
      </c>
      <c r="O30" s="87"/>
      <c r="P30" s="89"/>
      <c r="Q30" s="9" t="s">
        <v>104</v>
      </c>
      <c r="R30" s="9" t="s">
        <v>104</v>
      </c>
      <c r="S30" s="9" t="s">
        <v>104</v>
      </c>
      <c r="T30" s="89"/>
      <c r="U30" s="9" t="s">
        <v>103</v>
      </c>
      <c r="V30" s="4">
        <f t="shared" si="1"/>
        <v>11</v>
      </c>
      <c r="W30" s="4">
        <f t="shared" si="2"/>
        <v>0</v>
      </c>
    </row>
    <row r="31" spans="1:27" x14ac:dyDescent="0.25">
      <c r="A31" s="5">
        <v>10</v>
      </c>
      <c r="B31" s="24" t="s">
        <v>408</v>
      </c>
      <c r="C31" s="24" t="s">
        <v>629</v>
      </c>
      <c r="D31" s="8" t="s">
        <v>600</v>
      </c>
      <c r="E31" s="9" t="s">
        <v>103</v>
      </c>
      <c r="F31" s="9" t="s">
        <v>104</v>
      </c>
      <c r="G31" s="9" t="s">
        <v>104</v>
      </c>
      <c r="H31" s="87"/>
      <c r="I31" s="9" t="s">
        <v>104</v>
      </c>
      <c r="J31" s="89"/>
      <c r="K31" s="9" t="s">
        <v>104</v>
      </c>
      <c r="L31" s="9" t="s">
        <v>104</v>
      </c>
      <c r="M31" s="9" t="s">
        <v>104</v>
      </c>
      <c r="N31" s="9" t="s">
        <v>104</v>
      </c>
      <c r="O31" s="87"/>
      <c r="P31" s="89"/>
      <c r="Q31" s="9" t="s">
        <v>107</v>
      </c>
      <c r="R31" s="9" t="s">
        <v>103</v>
      </c>
      <c r="S31" s="9" t="s">
        <v>104</v>
      </c>
      <c r="T31" s="89"/>
      <c r="U31" s="9" t="s">
        <v>103</v>
      </c>
      <c r="V31" s="4">
        <f t="shared" si="1"/>
        <v>8</v>
      </c>
      <c r="W31" s="4">
        <f t="shared" si="2"/>
        <v>2</v>
      </c>
    </row>
    <row r="32" spans="1:27" x14ac:dyDescent="0.25">
      <c r="A32" s="11">
        <v>11</v>
      </c>
      <c r="B32" s="24" t="s">
        <v>630</v>
      </c>
      <c r="C32" s="25" t="s">
        <v>531</v>
      </c>
      <c r="D32" s="8" t="s">
        <v>600</v>
      </c>
      <c r="E32" s="9" t="s">
        <v>104</v>
      </c>
      <c r="F32" s="9" t="s">
        <v>104</v>
      </c>
      <c r="G32" s="9" t="s">
        <v>104</v>
      </c>
      <c r="H32" s="87"/>
      <c r="I32" s="9" t="s">
        <v>104</v>
      </c>
      <c r="J32" s="89"/>
      <c r="K32" s="9" t="s">
        <v>104</v>
      </c>
      <c r="L32" s="9" t="s">
        <v>104</v>
      </c>
      <c r="M32" s="9" t="s">
        <v>104</v>
      </c>
      <c r="N32" s="9" t="s">
        <v>103</v>
      </c>
      <c r="O32" s="87"/>
      <c r="P32" s="89"/>
      <c r="Q32" s="9" t="s">
        <v>104</v>
      </c>
      <c r="R32" s="9" t="s">
        <v>104</v>
      </c>
      <c r="S32" s="9" t="s">
        <v>104</v>
      </c>
      <c r="T32" s="89"/>
      <c r="U32" s="9" t="s">
        <v>103</v>
      </c>
      <c r="V32" s="4">
        <f t="shared" si="1"/>
        <v>10</v>
      </c>
      <c r="W32" s="4">
        <f t="shared" si="2"/>
        <v>1</v>
      </c>
    </row>
    <row r="33" spans="1:23" x14ac:dyDescent="0.25">
      <c r="A33" s="5">
        <v>12</v>
      </c>
      <c r="B33" s="26" t="s">
        <v>631</v>
      </c>
      <c r="C33" s="27" t="s">
        <v>87</v>
      </c>
      <c r="D33" s="8" t="s">
        <v>600</v>
      </c>
      <c r="E33" s="9" t="s">
        <v>103</v>
      </c>
      <c r="F33" s="9" t="s">
        <v>103</v>
      </c>
      <c r="G33" s="9" t="s">
        <v>103</v>
      </c>
      <c r="H33" s="87"/>
      <c r="I33" s="9" t="s">
        <v>103</v>
      </c>
      <c r="J33" s="89"/>
      <c r="K33" s="9" t="s">
        <v>104</v>
      </c>
      <c r="L33" s="9" t="s">
        <v>104</v>
      </c>
      <c r="M33" s="9" t="s">
        <v>103</v>
      </c>
      <c r="N33" s="9" t="s">
        <v>104</v>
      </c>
      <c r="O33" s="87"/>
      <c r="P33" s="89"/>
      <c r="Q33" s="9" t="s">
        <v>103</v>
      </c>
      <c r="R33" s="9" t="s">
        <v>103</v>
      </c>
      <c r="S33" s="9" t="s">
        <v>103</v>
      </c>
      <c r="T33" s="89"/>
      <c r="U33" s="9" t="s">
        <v>103</v>
      </c>
      <c r="V33" s="4">
        <f t="shared" si="1"/>
        <v>3</v>
      </c>
      <c r="W33" s="4">
        <f t="shared" si="2"/>
        <v>8</v>
      </c>
    </row>
    <row r="34" spans="1:23" x14ac:dyDescent="0.25">
      <c r="A34" s="11">
        <v>13</v>
      </c>
      <c r="B34" s="20" t="s">
        <v>632</v>
      </c>
      <c r="C34" s="21" t="s">
        <v>633</v>
      </c>
      <c r="D34" s="8" t="s">
        <v>600</v>
      </c>
      <c r="E34" s="9" t="s">
        <v>104</v>
      </c>
      <c r="F34" s="9" t="s">
        <v>104</v>
      </c>
      <c r="G34" s="9" t="s">
        <v>104</v>
      </c>
      <c r="H34" s="87"/>
      <c r="I34" s="9" t="s">
        <v>104</v>
      </c>
      <c r="J34" s="89"/>
      <c r="K34" s="9" t="s">
        <v>104</v>
      </c>
      <c r="L34" s="9" t="s">
        <v>104</v>
      </c>
      <c r="M34" s="9" t="s">
        <v>104</v>
      </c>
      <c r="N34" s="9" t="s">
        <v>104</v>
      </c>
      <c r="O34" s="87"/>
      <c r="P34" s="89"/>
      <c r="Q34" s="9" t="s">
        <v>104</v>
      </c>
      <c r="R34" s="9" t="s">
        <v>103</v>
      </c>
      <c r="S34" s="9" t="s">
        <v>104</v>
      </c>
      <c r="T34" s="89"/>
      <c r="U34" s="9" t="s">
        <v>103</v>
      </c>
      <c r="V34" s="4">
        <f t="shared" si="1"/>
        <v>10</v>
      </c>
      <c r="W34" s="4">
        <f t="shared" si="2"/>
        <v>1</v>
      </c>
    </row>
    <row r="35" spans="1:23" x14ac:dyDescent="0.25">
      <c r="A35" s="5">
        <v>14</v>
      </c>
      <c r="B35" s="20" t="s">
        <v>634</v>
      </c>
      <c r="C35" s="21" t="s">
        <v>629</v>
      </c>
      <c r="D35" s="8" t="s">
        <v>600</v>
      </c>
      <c r="E35" s="9" t="s">
        <v>103</v>
      </c>
      <c r="F35" s="9" t="s">
        <v>104</v>
      </c>
      <c r="G35" s="9" t="s">
        <v>104</v>
      </c>
      <c r="H35" s="87"/>
      <c r="I35" s="9" t="s">
        <v>104</v>
      </c>
      <c r="J35" s="89"/>
      <c r="K35" s="9" t="s">
        <v>104</v>
      </c>
      <c r="L35" s="9" t="s">
        <v>104</v>
      </c>
      <c r="M35" s="9" t="s">
        <v>104</v>
      </c>
      <c r="N35" s="9" t="s">
        <v>104</v>
      </c>
      <c r="O35" s="87"/>
      <c r="P35" s="89"/>
      <c r="Q35" s="9" t="s">
        <v>104</v>
      </c>
      <c r="R35" s="9" t="s">
        <v>103</v>
      </c>
      <c r="S35" s="9" t="s">
        <v>104</v>
      </c>
      <c r="T35" s="89"/>
      <c r="U35" s="9" t="s">
        <v>103</v>
      </c>
      <c r="V35" s="4">
        <f t="shared" si="1"/>
        <v>9</v>
      </c>
      <c r="W35" s="4">
        <f t="shared" si="2"/>
        <v>2</v>
      </c>
    </row>
    <row r="36" spans="1:23" x14ac:dyDescent="0.25">
      <c r="A36" s="11">
        <v>15</v>
      </c>
      <c r="B36" s="18" t="s">
        <v>635</v>
      </c>
      <c r="C36" s="18" t="s">
        <v>636</v>
      </c>
      <c r="D36" s="8" t="s">
        <v>600</v>
      </c>
      <c r="E36" s="9" t="s">
        <v>103</v>
      </c>
      <c r="F36" s="9" t="s">
        <v>103</v>
      </c>
      <c r="G36" s="9" t="s">
        <v>103</v>
      </c>
      <c r="H36" s="87"/>
      <c r="I36" s="9" t="s">
        <v>103</v>
      </c>
      <c r="J36" s="89"/>
      <c r="K36" s="9" t="s">
        <v>103</v>
      </c>
      <c r="L36" s="9" t="s">
        <v>103</v>
      </c>
      <c r="M36" s="9" t="s">
        <v>103</v>
      </c>
      <c r="N36" s="9" t="s">
        <v>103</v>
      </c>
      <c r="O36" s="87"/>
      <c r="P36" s="89"/>
      <c r="Q36" s="9" t="s">
        <v>103</v>
      </c>
      <c r="R36" s="9" t="s">
        <v>103</v>
      </c>
      <c r="S36" s="9" t="s">
        <v>103</v>
      </c>
      <c r="T36" s="89"/>
      <c r="U36" s="9" t="s">
        <v>103</v>
      </c>
      <c r="V36" s="4">
        <f t="shared" si="1"/>
        <v>0</v>
      </c>
      <c r="W36" s="4">
        <f t="shared" si="2"/>
        <v>11</v>
      </c>
    </row>
    <row r="37" spans="1:23" x14ac:dyDescent="0.25">
      <c r="A37" s="5">
        <v>16</v>
      </c>
      <c r="B37" s="18" t="s">
        <v>637</v>
      </c>
      <c r="C37" s="18" t="s">
        <v>490</v>
      </c>
      <c r="D37" s="8" t="s">
        <v>600</v>
      </c>
      <c r="E37" s="9" t="s">
        <v>103</v>
      </c>
      <c r="F37" s="9" t="s">
        <v>103</v>
      </c>
      <c r="G37" s="9" t="s">
        <v>104</v>
      </c>
      <c r="H37" s="87"/>
      <c r="I37" s="9" t="s">
        <v>104</v>
      </c>
      <c r="J37" s="89"/>
      <c r="K37" s="9" t="s">
        <v>104</v>
      </c>
      <c r="L37" s="9" t="s">
        <v>104</v>
      </c>
      <c r="M37" s="9" t="s">
        <v>104</v>
      </c>
      <c r="N37" s="9" t="s">
        <v>103</v>
      </c>
      <c r="O37" s="87"/>
      <c r="P37" s="89"/>
      <c r="Q37" s="9" t="s">
        <v>104</v>
      </c>
      <c r="R37" s="9" t="s">
        <v>103</v>
      </c>
      <c r="S37" s="9" t="s">
        <v>103</v>
      </c>
      <c r="T37" s="89"/>
      <c r="U37" s="9" t="s">
        <v>103</v>
      </c>
      <c r="V37" s="4">
        <f t="shared" si="1"/>
        <v>6</v>
      </c>
      <c r="W37" s="4">
        <f t="shared" si="2"/>
        <v>5</v>
      </c>
    </row>
    <row r="38" spans="1:23" x14ac:dyDescent="0.25">
      <c r="A38" s="11">
        <v>17</v>
      </c>
      <c r="B38" s="18" t="s">
        <v>638</v>
      </c>
      <c r="C38" s="18" t="s">
        <v>276</v>
      </c>
      <c r="D38" s="8" t="s">
        <v>600</v>
      </c>
      <c r="E38" s="9" t="s">
        <v>104</v>
      </c>
      <c r="F38" s="9" t="s">
        <v>104</v>
      </c>
      <c r="G38" s="9" t="s">
        <v>104</v>
      </c>
      <c r="H38" s="87"/>
      <c r="I38" s="9" t="s">
        <v>104</v>
      </c>
      <c r="J38" s="89"/>
      <c r="K38" s="9" t="s">
        <v>104</v>
      </c>
      <c r="L38" s="9" t="s">
        <v>104</v>
      </c>
      <c r="M38" s="9" t="s">
        <v>104</v>
      </c>
      <c r="N38" s="9" t="s">
        <v>104</v>
      </c>
      <c r="O38" s="87"/>
      <c r="P38" s="89"/>
      <c r="Q38" s="9" t="s">
        <v>104</v>
      </c>
      <c r="R38" s="9" t="s">
        <v>104</v>
      </c>
      <c r="S38" s="9" t="s">
        <v>104</v>
      </c>
      <c r="T38" s="89"/>
      <c r="U38" s="9" t="s">
        <v>103</v>
      </c>
      <c r="V38" s="4">
        <f t="shared" si="1"/>
        <v>11</v>
      </c>
      <c r="W38" s="4">
        <f t="shared" si="2"/>
        <v>0</v>
      </c>
    </row>
    <row r="39" spans="1:23" x14ac:dyDescent="0.25">
      <c r="A39" s="5">
        <v>18</v>
      </c>
      <c r="B39" s="18" t="s">
        <v>639</v>
      </c>
      <c r="C39" s="18" t="s">
        <v>640</v>
      </c>
      <c r="D39" s="8" t="s">
        <v>600</v>
      </c>
      <c r="E39" s="9" t="s">
        <v>104</v>
      </c>
      <c r="F39" s="9" t="s">
        <v>104</v>
      </c>
      <c r="G39" s="9" t="s">
        <v>104</v>
      </c>
      <c r="H39" s="87"/>
      <c r="I39" s="9" t="s">
        <v>104</v>
      </c>
      <c r="J39" s="89"/>
      <c r="K39" s="9" t="s">
        <v>104</v>
      </c>
      <c r="L39" s="9" t="s">
        <v>104</v>
      </c>
      <c r="M39" s="9" t="s">
        <v>104</v>
      </c>
      <c r="N39" s="9" t="s">
        <v>104</v>
      </c>
      <c r="O39" s="87"/>
      <c r="P39" s="89"/>
      <c r="Q39" s="9" t="s">
        <v>104</v>
      </c>
      <c r="R39" s="9" t="s">
        <v>104</v>
      </c>
      <c r="S39" s="9" t="s">
        <v>104</v>
      </c>
      <c r="T39" s="89"/>
      <c r="U39" s="9" t="s">
        <v>103</v>
      </c>
      <c r="V39" s="4">
        <f t="shared" si="1"/>
        <v>11</v>
      </c>
      <c r="W39" s="4">
        <f t="shared" si="2"/>
        <v>0</v>
      </c>
    </row>
    <row r="40" spans="1:23" x14ac:dyDescent="0.25">
      <c r="A40" s="11">
        <v>19</v>
      </c>
      <c r="B40" s="18" t="s">
        <v>641</v>
      </c>
      <c r="C40" s="18" t="s">
        <v>96</v>
      </c>
      <c r="D40" s="8" t="s">
        <v>600</v>
      </c>
      <c r="E40" s="9" t="s">
        <v>104</v>
      </c>
      <c r="F40" s="9" t="s">
        <v>104</v>
      </c>
      <c r="G40" s="9" t="s">
        <v>104</v>
      </c>
      <c r="H40" s="87"/>
      <c r="I40" s="9" t="s">
        <v>104</v>
      </c>
      <c r="J40" s="89"/>
      <c r="K40" s="9" t="s">
        <v>104</v>
      </c>
      <c r="L40" s="9" t="s">
        <v>104</v>
      </c>
      <c r="M40" s="9" t="s">
        <v>104</v>
      </c>
      <c r="N40" s="9" t="s">
        <v>104</v>
      </c>
      <c r="O40" s="87"/>
      <c r="P40" s="89"/>
      <c r="Q40" s="9" t="s">
        <v>104</v>
      </c>
      <c r="R40" s="9" t="s">
        <v>104</v>
      </c>
      <c r="S40" s="9" t="s">
        <v>104</v>
      </c>
      <c r="T40" s="89"/>
      <c r="U40" s="9" t="s">
        <v>103</v>
      </c>
      <c r="V40" s="4">
        <f t="shared" si="1"/>
        <v>11</v>
      </c>
      <c r="W40" s="4">
        <f t="shared" si="2"/>
        <v>0</v>
      </c>
    </row>
    <row r="41" spans="1:23" x14ac:dyDescent="0.25">
      <c r="A41" s="5">
        <v>20</v>
      </c>
      <c r="B41" s="18" t="s">
        <v>642</v>
      </c>
      <c r="C41" s="18" t="s">
        <v>643</v>
      </c>
      <c r="D41" s="8" t="s">
        <v>600</v>
      </c>
      <c r="E41" s="9" t="s">
        <v>104</v>
      </c>
      <c r="F41" s="9" t="s">
        <v>104</v>
      </c>
      <c r="G41" s="9" t="s">
        <v>104</v>
      </c>
      <c r="H41" s="87"/>
      <c r="I41" s="9" t="s">
        <v>104</v>
      </c>
      <c r="J41" s="89"/>
      <c r="K41" s="9" t="s">
        <v>104</v>
      </c>
      <c r="L41" s="9" t="s">
        <v>104</v>
      </c>
      <c r="M41" s="9" t="s">
        <v>104</v>
      </c>
      <c r="N41" s="9" t="s">
        <v>104</v>
      </c>
      <c r="O41" s="87"/>
      <c r="P41" s="89"/>
      <c r="Q41" s="9" t="s">
        <v>104</v>
      </c>
      <c r="R41" s="9" t="s">
        <v>104</v>
      </c>
      <c r="S41" s="9" t="s">
        <v>104</v>
      </c>
      <c r="T41" s="89"/>
      <c r="U41" s="9" t="s">
        <v>103</v>
      </c>
      <c r="V41" s="4">
        <f t="shared" si="1"/>
        <v>11</v>
      </c>
      <c r="W41" s="4">
        <f t="shared" si="2"/>
        <v>0</v>
      </c>
    </row>
    <row r="42" spans="1:23" x14ac:dyDescent="0.25">
      <c r="A42" s="11">
        <v>21</v>
      </c>
      <c r="B42" s="18" t="s">
        <v>644</v>
      </c>
      <c r="C42" s="18" t="s">
        <v>525</v>
      </c>
      <c r="D42" s="8" t="s">
        <v>600</v>
      </c>
      <c r="E42" s="9" t="s">
        <v>104</v>
      </c>
      <c r="F42" s="9" t="s">
        <v>104</v>
      </c>
      <c r="G42" s="9" t="s">
        <v>104</v>
      </c>
      <c r="H42" s="87"/>
      <c r="I42" s="9" t="s">
        <v>104</v>
      </c>
      <c r="J42" s="89"/>
      <c r="K42" s="9" t="s">
        <v>104</v>
      </c>
      <c r="L42" s="9" t="s">
        <v>104</v>
      </c>
      <c r="M42" s="9" t="s">
        <v>104</v>
      </c>
      <c r="N42" s="9" t="s">
        <v>104</v>
      </c>
      <c r="O42" s="87"/>
      <c r="P42" s="89"/>
      <c r="Q42" s="9" t="s">
        <v>104</v>
      </c>
      <c r="R42" s="9" t="s">
        <v>104</v>
      </c>
      <c r="S42" s="9" t="s">
        <v>104</v>
      </c>
      <c r="T42" s="89"/>
      <c r="U42" s="9" t="s">
        <v>103</v>
      </c>
      <c r="V42" s="4">
        <f t="shared" si="1"/>
        <v>11</v>
      </c>
      <c r="W42" s="4">
        <f t="shared" si="2"/>
        <v>0</v>
      </c>
    </row>
    <row r="43" spans="1:23" x14ac:dyDescent="0.25">
      <c r="A43" s="5">
        <v>22</v>
      </c>
      <c r="B43" s="18" t="s">
        <v>645</v>
      </c>
      <c r="C43" s="18" t="s">
        <v>646</v>
      </c>
      <c r="D43" s="8" t="s">
        <v>600</v>
      </c>
      <c r="E43" s="9" t="s">
        <v>103</v>
      </c>
      <c r="F43" s="9" t="s">
        <v>104</v>
      </c>
      <c r="G43" s="9" t="s">
        <v>104</v>
      </c>
      <c r="H43" s="87"/>
      <c r="I43" s="9" t="s">
        <v>104</v>
      </c>
      <c r="J43" s="89"/>
      <c r="K43" s="9" t="s">
        <v>104</v>
      </c>
      <c r="L43" s="9" t="s">
        <v>104</v>
      </c>
      <c r="M43" s="9" t="s">
        <v>104</v>
      </c>
      <c r="N43" s="9" t="s">
        <v>104</v>
      </c>
      <c r="O43" s="87"/>
      <c r="P43" s="89"/>
      <c r="Q43" s="9" t="s">
        <v>104</v>
      </c>
      <c r="R43" s="9" t="s">
        <v>103</v>
      </c>
      <c r="S43" s="9" t="s">
        <v>104</v>
      </c>
      <c r="T43" s="89"/>
      <c r="U43" s="9" t="s">
        <v>103</v>
      </c>
      <c r="V43" s="4">
        <f t="shared" si="1"/>
        <v>9</v>
      </c>
      <c r="W43" s="4">
        <f t="shared" si="2"/>
        <v>2</v>
      </c>
    </row>
    <row r="44" spans="1:23" x14ac:dyDescent="0.25">
      <c r="A44" s="11">
        <v>23</v>
      </c>
      <c r="B44" s="18" t="s">
        <v>647</v>
      </c>
      <c r="C44" s="18" t="s">
        <v>648</v>
      </c>
      <c r="D44" s="8" t="s">
        <v>600</v>
      </c>
      <c r="E44" s="9" t="s">
        <v>103</v>
      </c>
      <c r="F44" s="9" t="s">
        <v>103</v>
      </c>
      <c r="G44" s="9" t="s">
        <v>103</v>
      </c>
      <c r="H44" s="87"/>
      <c r="I44" s="9" t="s">
        <v>103</v>
      </c>
      <c r="J44" s="89"/>
      <c r="K44" s="9" t="s">
        <v>103</v>
      </c>
      <c r="L44" s="9" t="s">
        <v>103</v>
      </c>
      <c r="M44" s="9" t="s">
        <v>103</v>
      </c>
      <c r="N44" s="9" t="s">
        <v>103</v>
      </c>
      <c r="O44" s="87"/>
      <c r="P44" s="89"/>
      <c r="Q44" s="9" t="s">
        <v>103</v>
      </c>
      <c r="R44" s="9" t="s">
        <v>103</v>
      </c>
      <c r="S44" s="9" t="s">
        <v>103</v>
      </c>
      <c r="T44" s="89"/>
      <c r="U44" s="9" t="s">
        <v>103</v>
      </c>
      <c r="V44" s="4">
        <f t="shared" si="1"/>
        <v>0</v>
      </c>
      <c r="W44" s="4">
        <f t="shared" si="2"/>
        <v>11</v>
      </c>
    </row>
    <row r="45" spans="1:23" x14ac:dyDescent="0.25">
      <c r="A45" s="5">
        <v>24</v>
      </c>
      <c r="B45" s="18" t="s">
        <v>649</v>
      </c>
      <c r="C45" s="18" t="s">
        <v>555</v>
      </c>
      <c r="D45" s="8" t="s">
        <v>600</v>
      </c>
      <c r="E45" s="9" t="s">
        <v>104</v>
      </c>
      <c r="F45" s="9" t="s">
        <v>104</v>
      </c>
      <c r="G45" s="9" t="s">
        <v>104</v>
      </c>
      <c r="H45" s="87"/>
      <c r="I45" s="9" t="s">
        <v>104</v>
      </c>
      <c r="J45" s="89"/>
      <c r="K45" s="9" t="s">
        <v>103</v>
      </c>
      <c r="L45" s="9" t="s">
        <v>103</v>
      </c>
      <c r="M45" s="9" t="s">
        <v>104</v>
      </c>
      <c r="N45" s="9" t="s">
        <v>104</v>
      </c>
      <c r="O45" s="87"/>
      <c r="P45" s="89"/>
      <c r="Q45" s="9" t="s">
        <v>103</v>
      </c>
      <c r="R45" s="9" t="s">
        <v>103</v>
      </c>
      <c r="S45" s="9" t="s">
        <v>104</v>
      </c>
      <c r="T45" s="89"/>
      <c r="U45" s="9" t="s">
        <v>103</v>
      </c>
      <c r="V45" s="4">
        <f t="shared" si="1"/>
        <v>7</v>
      </c>
      <c r="W45" s="4">
        <f t="shared" si="2"/>
        <v>4</v>
      </c>
    </row>
    <row r="46" spans="1:23" x14ac:dyDescent="0.25">
      <c r="A46" s="11">
        <v>25</v>
      </c>
      <c r="B46" s="18" t="s">
        <v>650</v>
      </c>
      <c r="C46" s="18" t="s">
        <v>651</v>
      </c>
      <c r="D46" s="8" t="s">
        <v>600</v>
      </c>
      <c r="E46" s="9" t="s">
        <v>103</v>
      </c>
      <c r="F46" s="9" t="s">
        <v>103</v>
      </c>
      <c r="G46" s="9" t="s">
        <v>103</v>
      </c>
      <c r="H46" s="87"/>
      <c r="I46" s="9" t="s">
        <v>103</v>
      </c>
      <c r="J46" s="89"/>
      <c r="K46" s="9" t="s">
        <v>103</v>
      </c>
      <c r="L46" s="9" t="s">
        <v>103</v>
      </c>
      <c r="M46" s="9" t="s">
        <v>104</v>
      </c>
      <c r="N46" s="9" t="s">
        <v>104</v>
      </c>
      <c r="O46" s="87"/>
      <c r="P46" s="89"/>
      <c r="Q46" s="9" t="s">
        <v>104</v>
      </c>
      <c r="R46" s="9" t="s">
        <v>104</v>
      </c>
      <c r="S46" s="9" t="s">
        <v>104</v>
      </c>
      <c r="T46" s="89"/>
      <c r="U46" s="9" t="s">
        <v>103</v>
      </c>
      <c r="V46" s="4">
        <f t="shared" si="1"/>
        <v>5</v>
      </c>
      <c r="W46" s="4">
        <f t="shared" si="2"/>
        <v>6</v>
      </c>
    </row>
    <row r="47" spans="1:23" x14ac:dyDescent="0.25">
      <c r="A47" s="5">
        <v>26</v>
      </c>
      <c r="B47" s="18" t="s">
        <v>652</v>
      </c>
      <c r="C47" s="18" t="s">
        <v>653</v>
      </c>
      <c r="D47" s="8" t="s">
        <v>600</v>
      </c>
      <c r="E47" s="9" t="s">
        <v>103</v>
      </c>
      <c r="F47" s="9" t="s">
        <v>103</v>
      </c>
      <c r="G47" s="9" t="s">
        <v>103</v>
      </c>
      <c r="H47" s="90"/>
      <c r="I47" s="9" t="s">
        <v>103</v>
      </c>
      <c r="J47" s="91"/>
      <c r="K47" s="9" t="s">
        <v>103</v>
      </c>
      <c r="L47" s="9" t="s">
        <v>103</v>
      </c>
      <c r="M47" s="9" t="s">
        <v>104</v>
      </c>
      <c r="N47" s="9" t="s">
        <v>104</v>
      </c>
      <c r="O47" s="90"/>
      <c r="P47" s="91"/>
      <c r="Q47" s="9" t="s">
        <v>104</v>
      </c>
      <c r="R47" s="9" t="s">
        <v>104</v>
      </c>
      <c r="S47" s="9" t="s">
        <v>103</v>
      </c>
      <c r="T47" s="91"/>
      <c r="U47" s="9" t="s">
        <v>103</v>
      </c>
      <c r="V47" s="4">
        <f t="shared" si="1"/>
        <v>4</v>
      </c>
      <c r="W47" s="4">
        <f t="shared" si="2"/>
        <v>7</v>
      </c>
    </row>
  </sheetData>
  <mergeCells count="16">
    <mergeCell ref="A1:W1"/>
    <mergeCell ref="A2:W2"/>
    <mergeCell ref="A3:A4"/>
    <mergeCell ref="B3:B4"/>
    <mergeCell ref="C3:C4"/>
    <mergeCell ref="D3:D4"/>
    <mergeCell ref="V3:V4"/>
    <mergeCell ref="W3:W4"/>
    <mergeCell ref="X3:Y3"/>
    <mergeCell ref="H5:H47"/>
    <mergeCell ref="J5:J47"/>
    <mergeCell ref="O5:O47"/>
    <mergeCell ref="P5:P47"/>
    <mergeCell ref="T5:T47"/>
    <mergeCell ref="X13:AA13"/>
    <mergeCell ref="X21:AA21"/>
  </mergeCells>
  <conditionalFormatting sqref="E5:P5 T5 Q5:S47 U5:U47 E6:G47 I6:I47 K6:N47 E4:U4">
    <cfRule type="expression" dxfId="51" priority="18">
      <formula>IF(E$4=TODAY(),TRUE,FALSE)</formula>
    </cfRule>
  </conditionalFormatting>
  <conditionalFormatting sqref="E5:P5 T5 Q5:S47 U5:U47 E6:G47 I6:I47 K6:N47">
    <cfRule type="cellIs" dxfId="50" priority="15" operator="equal">
      <formula>"L"</formula>
    </cfRule>
    <cfRule type="cellIs" dxfId="49" priority="16" operator="equal">
      <formula>"A"</formula>
    </cfRule>
    <cfRule type="cellIs" dxfId="48" priority="17" operator="equal">
      <formula>"P"</formula>
    </cfRule>
  </conditionalFormatting>
  <conditionalFormatting sqref="E3:U4 E5:P5 T5 Q5:S47 U5:U47 E6:G47 I6:I47 K6:N47">
    <cfRule type="expression" dxfId="47" priority="19">
      <formula>E$3="Sun"</formula>
    </cfRule>
  </conditionalFormatting>
  <conditionalFormatting sqref="V3:W3 V5:W47">
    <cfRule type="expression" dxfId="46" priority="20">
      <formula>#REF!="Sun"</formula>
    </cfRule>
  </conditionalFormatting>
  <conditionalFormatting sqref="X5:X11">
    <cfRule type="expression" dxfId="45" priority="7">
      <formula>X$3="Sun"</formula>
    </cfRule>
  </conditionalFormatting>
  <conditionalFormatting sqref="X14:X17">
    <cfRule type="expression" dxfId="44" priority="3">
      <formula>X$3="Sun"</formula>
    </cfRule>
  </conditionalFormatting>
  <conditionalFormatting sqref="X22:X25">
    <cfRule type="expression" dxfId="43" priority="2">
      <formula>X$3="Sun"</formula>
    </cfRule>
  </conditionalFormatting>
  <conditionalFormatting sqref="X4:Y4">
    <cfRule type="expression" dxfId="42" priority="8">
      <formula>X$3="Sun"</formula>
    </cfRule>
  </conditionalFormatting>
  <conditionalFormatting sqref="Y14:AA14">
    <cfRule type="expression" dxfId="41" priority="4">
      <formula>Y$3="Sun"</formula>
    </cfRule>
  </conditionalFormatting>
  <conditionalFormatting sqref="Y22:AA22">
    <cfRule type="expression" dxfId="40" priority="1">
      <formula>Y$3="Sun"</formula>
    </cfRule>
  </conditionalFormatting>
  <conditionalFormatting sqref="AA23">
    <cfRule type="expression" dxfId="39" priority="6">
      <formula>AA$3="Sun"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772DE-E173-4AAE-B08A-4797813CFF79}">
  <dimension ref="A1:Z50"/>
  <sheetViews>
    <sheetView topLeftCell="A2" workbookViewId="0">
      <selection activeCell="Y15" sqref="Y15"/>
    </sheetView>
  </sheetViews>
  <sheetFormatPr defaultColWidth="3.85546875" defaultRowHeight="15" x14ac:dyDescent="0.25"/>
  <cols>
    <col min="1" max="1" width="5.140625" style="1" bestFit="1" customWidth="1"/>
    <col min="2" max="2" width="18.42578125" style="1" bestFit="1" customWidth="1"/>
    <col min="3" max="3" width="5" style="1" bestFit="1" customWidth="1"/>
    <col min="4" max="6" width="4.5703125" style="1" customWidth="1"/>
    <col min="7" max="7" width="3.85546875" style="1" bestFit="1"/>
    <col min="8" max="8" width="4.7109375" style="1" bestFit="1" customWidth="1"/>
    <col min="9" max="9" width="3.85546875" style="1" bestFit="1"/>
    <col min="10" max="11" width="3.7109375" style="1" bestFit="1" customWidth="1"/>
    <col min="12" max="12" width="3.85546875" style="1" bestFit="1"/>
    <col min="13" max="13" width="4.5703125" style="1" bestFit="1" customWidth="1"/>
    <col min="14" max="14" width="3.85546875" style="1" bestFit="1"/>
    <col min="15" max="15" width="4.7109375" style="1" bestFit="1" customWidth="1"/>
    <col min="16" max="16" width="3.85546875" style="1" bestFit="1"/>
    <col min="17" max="17" width="3.7109375" style="1" bestFit="1" customWidth="1"/>
    <col min="18" max="20" width="3.7109375" style="1" customWidth="1"/>
    <col min="21" max="22" width="6.7109375" style="1" bestFit="1" customWidth="1"/>
    <col min="23" max="23" width="21.140625" style="1" bestFit="1" customWidth="1"/>
    <col min="24" max="24" width="5.85546875" style="1" bestFit="1" customWidth="1"/>
    <col min="25" max="25" width="14.28515625" style="1" bestFit="1" customWidth="1"/>
    <col min="26" max="26" width="6.7109375" style="1" bestFit="1" customWidth="1"/>
    <col min="27" max="16384" width="3.85546875" style="1"/>
  </cols>
  <sheetData>
    <row r="1" spans="1:26" ht="17.25" x14ac:dyDescent="0.25">
      <c r="A1" s="81" t="s">
        <v>19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</row>
    <row r="2" spans="1:26" ht="17.25" x14ac:dyDescent="0.3">
      <c r="A2" s="82" t="s">
        <v>18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</row>
    <row r="3" spans="1:26" ht="15.75" x14ac:dyDescent="0.25">
      <c r="A3" s="84" t="s">
        <v>0</v>
      </c>
      <c r="B3" s="84" t="s">
        <v>1</v>
      </c>
      <c r="C3" s="84" t="s">
        <v>3</v>
      </c>
      <c r="D3" s="2" t="str">
        <f t="shared" ref="D3:T3" si="0">TEXT(D4,"ddd")</f>
        <v>Thu</v>
      </c>
      <c r="E3" s="2" t="str">
        <f t="shared" si="0"/>
        <v>Fri</v>
      </c>
      <c r="F3" s="2" t="str">
        <f t="shared" si="0"/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79" t="s">
        <v>4</v>
      </c>
      <c r="V3" s="79" t="s">
        <v>5</v>
      </c>
      <c r="W3" s="76" t="s">
        <v>210</v>
      </c>
      <c r="X3" s="77"/>
      <c r="Y3" s="3"/>
      <c r="Z3" s="3"/>
    </row>
    <row r="4" spans="1:26" ht="36.75" x14ac:dyDescent="0.25">
      <c r="A4" s="85"/>
      <c r="B4" s="85"/>
      <c r="C4" s="85"/>
      <c r="D4" s="17">
        <v>45519</v>
      </c>
      <c r="E4" s="17">
        <v>45520</v>
      </c>
      <c r="F4" s="17">
        <v>45521</v>
      </c>
      <c r="G4" s="17">
        <v>45522</v>
      </c>
      <c r="H4" s="17">
        <v>45523</v>
      </c>
      <c r="I4" s="17">
        <v>45524</v>
      </c>
      <c r="J4" s="17">
        <v>45525</v>
      </c>
      <c r="K4" s="17">
        <v>45526</v>
      </c>
      <c r="L4" s="17">
        <v>45527</v>
      </c>
      <c r="M4" s="17">
        <v>45528</v>
      </c>
      <c r="N4" s="17">
        <v>45529</v>
      </c>
      <c r="O4" s="17">
        <v>45530</v>
      </c>
      <c r="P4" s="17">
        <v>45531</v>
      </c>
      <c r="Q4" s="17">
        <v>45532</v>
      </c>
      <c r="R4" s="17">
        <v>45533</v>
      </c>
      <c r="S4" s="17">
        <v>45534</v>
      </c>
      <c r="T4" s="17">
        <v>45535</v>
      </c>
      <c r="U4" s="79"/>
      <c r="V4" s="79"/>
      <c r="W4" s="4" t="s">
        <v>315</v>
      </c>
      <c r="X4" s="4">
        <f>SUM(X5:X11)</f>
        <v>31</v>
      </c>
      <c r="Y4" s="3"/>
      <c r="Z4" s="3"/>
    </row>
    <row r="5" spans="1:26" ht="15" customHeight="1" x14ac:dyDescent="0.25">
      <c r="A5" s="5">
        <v>1</v>
      </c>
      <c r="B5" s="20" t="s">
        <v>654</v>
      </c>
      <c r="C5" s="8" t="s">
        <v>655</v>
      </c>
      <c r="D5" s="9" t="s">
        <v>656</v>
      </c>
      <c r="E5" s="9" t="s">
        <v>656</v>
      </c>
      <c r="F5" s="9" t="s">
        <v>104</v>
      </c>
      <c r="G5" s="86" t="s">
        <v>108</v>
      </c>
      <c r="H5" s="9" t="s">
        <v>104</v>
      </c>
      <c r="I5" s="88" t="s">
        <v>657</v>
      </c>
      <c r="J5" s="9" t="s">
        <v>104</v>
      </c>
      <c r="K5" s="9" t="s">
        <v>103</v>
      </c>
      <c r="L5" s="9" t="s">
        <v>104</v>
      </c>
      <c r="M5" s="9" t="s">
        <v>104</v>
      </c>
      <c r="N5" s="86" t="s">
        <v>108</v>
      </c>
      <c r="O5" s="88" t="s">
        <v>326</v>
      </c>
      <c r="P5" s="9" t="s">
        <v>104</v>
      </c>
      <c r="Q5" s="9" t="s">
        <v>104</v>
      </c>
      <c r="R5" s="9" t="s">
        <v>104</v>
      </c>
      <c r="S5" s="88" t="s">
        <v>602</v>
      </c>
      <c r="T5" s="9" t="s">
        <v>103</v>
      </c>
      <c r="U5" s="4">
        <f t="shared" ref="U5:U50" si="1">COUNTIF(D5:T5,"P")</f>
        <v>10</v>
      </c>
      <c r="V5" s="4">
        <f t="shared" ref="V5:V50" si="2">COUNTIF(D5:S5,"A")</f>
        <v>1</v>
      </c>
      <c r="W5" s="4" t="s">
        <v>7</v>
      </c>
      <c r="X5" s="11">
        <v>11</v>
      </c>
      <c r="Y5" s="12"/>
      <c r="Z5" s="3"/>
    </row>
    <row r="6" spans="1:26" x14ac:dyDescent="0.25">
      <c r="A6" s="11">
        <v>2</v>
      </c>
      <c r="B6" s="20" t="s">
        <v>658</v>
      </c>
      <c r="C6" s="8" t="s">
        <v>655</v>
      </c>
      <c r="D6" s="9" t="s">
        <v>656</v>
      </c>
      <c r="E6" s="9" t="s">
        <v>656</v>
      </c>
      <c r="F6" s="9" t="s">
        <v>104</v>
      </c>
      <c r="G6" s="87"/>
      <c r="H6" s="9" t="s">
        <v>104</v>
      </c>
      <c r="I6" s="89"/>
      <c r="J6" s="9" t="s">
        <v>104</v>
      </c>
      <c r="K6" s="9" t="s">
        <v>104</v>
      </c>
      <c r="L6" s="9" t="s">
        <v>104</v>
      </c>
      <c r="M6" s="9" t="s">
        <v>104</v>
      </c>
      <c r="N6" s="87"/>
      <c r="O6" s="89"/>
      <c r="P6" s="9" t="s">
        <v>104</v>
      </c>
      <c r="Q6" s="9" t="s">
        <v>103</v>
      </c>
      <c r="R6" s="9" t="s">
        <v>104</v>
      </c>
      <c r="S6" s="89"/>
      <c r="T6" s="9" t="s">
        <v>103</v>
      </c>
      <c r="U6" s="4">
        <f t="shared" si="1"/>
        <v>10</v>
      </c>
      <c r="V6" s="4">
        <f t="shared" si="2"/>
        <v>1</v>
      </c>
      <c r="W6" s="4" t="s">
        <v>8</v>
      </c>
      <c r="X6" s="11">
        <v>4</v>
      </c>
      <c r="Y6" s="3"/>
      <c r="Z6" s="3"/>
    </row>
    <row r="7" spans="1:26" x14ac:dyDescent="0.25">
      <c r="A7" s="5">
        <v>3</v>
      </c>
      <c r="B7" s="20" t="s">
        <v>659</v>
      </c>
      <c r="C7" s="8" t="s">
        <v>655</v>
      </c>
      <c r="D7" s="9" t="s">
        <v>656</v>
      </c>
      <c r="E7" s="9" t="s">
        <v>656</v>
      </c>
      <c r="F7" s="9" t="s">
        <v>104</v>
      </c>
      <c r="G7" s="87"/>
      <c r="H7" s="9" t="s">
        <v>104</v>
      </c>
      <c r="I7" s="89"/>
      <c r="J7" s="9" t="s">
        <v>104</v>
      </c>
      <c r="K7" s="9" t="s">
        <v>104</v>
      </c>
      <c r="L7" s="9" t="s">
        <v>104</v>
      </c>
      <c r="M7" s="9" t="s">
        <v>104</v>
      </c>
      <c r="N7" s="87"/>
      <c r="O7" s="89"/>
      <c r="P7" s="9" t="s">
        <v>103</v>
      </c>
      <c r="Q7" s="9" t="s">
        <v>103</v>
      </c>
      <c r="R7" s="9" t="s">
        <v>103</v>
      </c>
      <c r="S7" s="89"/>
      <c r="T7" s="9" t="s">
        <v>103</v>
      </c>
      <c r="U7" s="4">
        <f t="shared" si="1"/>
        <v>8</v>
      </c>
      <c r="V7" s="4">
        <f t="shared" si="2"/>
        <v>3</v>
      </c>
      <c r="W7" s="4" t="s">
        <v>313</v>
      </c>
      <c r="X7" s="11">
        <v>12</v>
      </c>
      <c r="Y7" s="3"/>
      <c r="Z7" s="3"/>
    </row>
    <row r="8" spans="1:26" x14ac:dyDescent="0.25">
      <c r="A8" s="11">
        <v>4</v>
      </c>
      <c r="B8" s="20" t="s">
        <v>660</v>
      </c>
      <c r="C8" s="8" t="s">
        <v>655</v>
      </c>
      <c r="D8" s="9" t="s">
        <v>656</v>
      </c>
      <c r="E8" s="9" t="s">
        <v>656</v>
      </c>
      <c r="F8" s="9" t="s">
        <v>103</v>
      </c>
      <c r="G8" s="87"/>
      <c r="H8" s="9" t="s">
        <v>104</v>
      </c>
      <c r="I8" s="89"/>
      <c r="J8" s="9" t="s">
        <v>104</v>
      </c>
      <c r="K8" s="9" t="s">
        <v>104</v>
      </c>
      <c r="L8" s="9" t="s">
        <v>104</v>
      </c>
      <c r="M8" s="9" t="s">
        <v>103</v>
      </c>
      <c r="N8" s="87"/>
      <c r="O8" s="89"/>
      <c r="P8" s="9" t="s">
        <v>103</v>
      </c>
      <c r="Q8" s="9" t="s">
        <v>103</v>
      </c>
      <c r="R8" s="9" t="s">
        <v>104</v>
      </c>
      <c r="S8" s="89"/>
      <c r="T8" s="9" t="s">
        <v>103</v>
      </c>
      <c r="U8" s="4">
        <f t="shared" si="1"/>
        <v>7</v>
      </c>
      <c r="V8" s="4">
        <f t="shared" si="2"/>
        <v>4</v>
      </c>
      <c r="W8" s="4" t="s">
        <v>310</v>
      </c>
      <c r="X8" s="11">
        <v>1</v>
      </c>
      <c r="Y8"/>
      <c r="Z8"/>
    </row>
    <row r="9" spans="1:26" x14ac:dyDescent="0.25">
      <c r="A9" s="5">
        <v>5</v>
      </c>
      <c r="B9" s="20" t="s">
        <v>661</v>
      </c>
      <c r="C9" s="8" t="s">
        <v>655</v>
      </c>
      <c r="D9" s="9" t="s">
        <v>656</v>
      </c>
      <c r="E9" s="9" t="s">
        <v>656</v>
      </c>
      <c r="F9" s="9" t="s">
        <v>104</v>
      </c>
      <c r="G9" s="87"/>
      <c r="H9" s="9" t="s">
        <v>104</v>
      </c>
      <c r="I9" s="89"/>
      <c r="J9" s="9" t="s">
        <v>104</v>
      </c>
      <c r="K9" s="9" t="s">
        <v>104</v>
      </c>
      <c r="L9" s="9" t="s">
        <v>104</v>
      </c>
      <c r="M9" s="9" t="s">
        <v>104</v>
      </c>
      <c r="N9" s="87"/>
      <c r="O9" s="89"/>
      <c r="P9" s="9" t="s">
        <v>104</v>
      </c>
      <c r="Q9" s="9" t="s">
        <v>103</v>
      </c>
      <c r="R9" s="9" t="s">
        <v>104</v>
      </c>
      <c r="S9" s="89"/>
      <c r="T9" s="9" t="s">
        <v>104</v>
      </c>
      <c r="U9" s="4">
        <f t="shared" si="1"/>
        <v>11</v>
      </c>
      <c r="V9" s="4">
        <f t="shared" si="2"/>
        <v>1</v>
      </c>
      <c r="W9" s="4" t="s">
        <v>314</v>
      </c>
      <c r="X9" s="11">
        <v>1</v>
      </c>
      <c r="Y9"/>
      <c r="Z9"/>
    </row>
    <row r="10" spans="1:26" x14ac:dyDescent="0.25">
      <c r="A10" s="11">
        <v>6</v>
      </c>
      <c r="B10" s="20" t="s">
        <v>662</v>
      </c>
      <c r="C10" s="8" t="s">
        <v>655</v>
      </c>
      <c r="D10" s="9" t="s">
        <v>656</v>
      </c>
      <c r="E10" s="9" t="s">
        <v>656</v>
      </c>
      <c r="F10" s="9" t="s">
        <v>104</v>
      </c>
      <c r="G10" s="87"/>
      <c r="H10" s="9" t="s">
        <v>104</v>
      </c>
      <c r="I10" s="89"/>
      <c r="J10" s="9" t="s">
        <v>104</v>
      </c>
      <c r="K10" s="9" t="s">
        <v>103</v>
      </c>
      <c r="L10" s="9" t="s">
        <v>103</v>
      </c>
      <c r="M10" s="9" t="s">
        <v>104</v>
      </c>
      <c r="N10" s="87"/>
      <c r="O10" s="89"/>
      <c r="P10" s="9" t="s">
        <v>104</v>
      </c>
      <c r="Q10" s="9" t="s">
        <v>103</v>
      </c>
      <c r="R10" s="9" t="s">
        <v>104</v>
      </c>
      <c r="S10" s="89"/>
      <c r="T10" s="9" t="s">
        <v>103</v>
      </c>
      <c r="U10" s="4">
        <f t="shared" si="1"/>
        <v>8</v>
      </c>
      <c r="V10" s="4">
        <f t="shared" si="2"/>
        <v>3</v>
      </c>
      <c r="W10" s="4" t="s">
        <v>311</v>
      </c>
      <c r="X10" s="11">
        <v>1</v>
      </c>
      <c r="Y10"/>
      <c r="Z10"/>
    </row>
    <row r="11" spans="1:26" x14ac:dyDescent="0.25">
      <c r="A11" s="5">
        <v>7</v>
      </c>
      <c r="B11" s="20" t="s">
        <v>58</v>
      </c>
      <c r="C11" s="8" t="s">
        <v>655</v>
      </c>
      <c r="D11" s="9" t="s">
        <v>656</v>
      </c>
      <c r="E11" s="9" t="s">
        <v>656</v>
      </c>
      <c r="F11" s="9" t="s">
        <v>103</v>
      </c>
      <c r="G11" s="87"/>
      <c r="H11" s="9" t="s">
        <v>104</v>
      </c>
      <c r="I11" s="89"/>
      <c r="J11" s="9" t="s">
        <v>104</v>
      </c>
      <c r="K11" s="9" t="s">
        <v>104</v>
      </c>
      <c r="L11" s="9" t="s">
        <v>104</v>
      </c>
      <c r="M11" s="9" t="s">
        <v>104</v>
      </c>
      <c r="N11" s="87"/>
      <c r="O11" s="89"/>
      <c r="P11" s="9" t="s">
        <v>104</v>
      </c>
      <c r="Q11" s="9" t="s">
        <v>103</v>
      </c>
      <c r="R11" s="9" t="s">
        <v>104</v>
      </c>
      <c r="S11" s="89"/>
      <c r="T11" s="9" t="s">
        <v>103</v>
      </c>
      <c r="U11" s="4">
        <f t="shared" si="1"/>
        <v>9</v>
      </c>
      <c r="V11" s="4">
        <f t="shared" si="2"/>
        <v>2</v>
      </c>
      <c r="W11" s="4" t="s">
        <v>312</v>
      </c>
      <c r="X11" s="11">
        <v>1</v>
      </c>
      <c r="Y11"/>
      <c r="Z11"/>
    </row>
    <row r="12" spans="1:26" x14ac:dyDescent="0.25">
      <c r="A12" s="11">
        <v>8</v>
      </c>
      <c r="B12" s="20" t="s">
        <v>663</v>
      </c>
      <c r="C12" s="8" t="s">
        <v>655</v>
      </c>
      <c r="D12" s="9" t="s">
        <v>656</v>
      </c>
      <c r="E12" s="9" t="s">
        <v>103</v>
      </c>
      <c r="F12" s="9" t="s">
        <v>104</v>
      </c>
      <c r="G12" s="87"/>
      <c r="H12" s="9" t="s">
        <v>104</v>
      </c>
      <c r="I12" s="89"/>
      <c r="J12" s="9" t="s">
        <v>104</v>
      </c>
      <c r="K12" s="9" t="s">
        <v>103</v>
      </c>
      <c r="L12" s="9" t="s">
        <v>104</v>
      </c>
      <c r="M12" s="9" t="s">
        <v>103</v>
      </c>
      <c r="N12" s="87"/>
      <c r="O12" s="89"/>
      <c r="P12" s="9" t="s">
        <v>104</v>
      </c>
      <c r="Q12" s="9" t="s">
        <v>104</v>
      </c>
      <c r="R12" s="9" t="s">
        <v>104</v>
      </c>
      <c r="S12" s="89"/>
      <c r="T12" s="9" t="s">
        <v>103</v>
      </c>
      <c r="U12" s="4">
        <f t="shared" si="1"/>
        <v>8</v>
      </c>
      <c r="V12" s="4">
        <f t="shared" si="2"/>
        <v>3</v>
      </c>
      <c r="W12"/>
      <c r="X12"/>
      <c r="Y12"/>
      <c r="Z12"/>
    </row>
    <row r="13" spans="1:26" ht="15.75" x14ac:dyDescent="0.25">
      <c r="A13" s="5">
        <v>9</v>
      </c>
      <c r="B13" s="20" t="s">
        <v>664</v>
      </c>
      <c r="C13" s="8" t="s">
        <v>655</v>
      </c>
      <c r="D13" s="9" t="s">
        <v>656</v>
      </c>
      <c r="E13" s="9" t="s">
        <v>656</v>
      </c>
      <c r="F13" s="9" t="s">
        <v>104</v>
      </c>
      <c r="G13" s="87"/>
      <c r="H13" s="9" t="s">
        <v>104</v>
      </c>
      <c r="I13" s="89"/>
      <c r="J13" s="9" t="s">
        <v>104</v>
      </c>
      <c r="K13" s="9" t="s">
        <v>104</v>
      </c>
      <c r="L13" s="9" t="s">
        <v>104</v>
      </c>
      <c r="M13" s="9" t="s">
        <v>104</v>
      </c>
      <c r="N13" s="87"/>
      <c r="O13" s="89"/>
      <c r="P13" s="9" t="s">
        <v>104</v>
      </c>
      <c r="Q13" s="9" t="s">
        <v>104</v>
      </c>
      <c r="R13" s="9" t="s">
        <v>104</v>
      </c>
      <c r="S13" s="89"/>
      <c r="T13" s="9" t="s">
        <v>103</v>
      </c>
      <c r="U13" s="4">
        <f t="shared" si="1"/>
        <v>11</v>
      </c>
      <c r="V13" s="4">
        <f t="shared" si="2"/>
        <v>0</v>
      </c>
      <c r="W13" s="76" t="s">
        <v>9</v>
      </c>
      <c r="X13" s="77"/>
      <c r="Y13" s="77"/>
      <c r="Z13" s="78"/>
    </row>
    <row r="14" spans="1:26" x14ac:dyDescent="0.25">
      <c r="A14" s="11">
        <v>10</v>
      </c>
      <c r="B14" s="20" t="s">
        <v>89</v>
      </c>
      <c r="C14" s="8" t="s">
        <v>655</v>
      </c>
      <c r="D14" s="9" t="s">
        <v>656</v>
      </c>
      <c r="E14" s="9" t="s">
        <v>656</v>
      </c>
      <c r="F14" s="9" t="s">
        <v>104</v>
      </c>
      <c r="G14" s="87"/>
      <c r="H14" s="9" t="s">
        <v>104</v>
      </c>
      <c r="I14" s="89"/>
      <c r="J14" s="9" t="s">
        <v>104</v>
      </c>
      <c r="K14" s="9" t="s">
        <v>104</v>
      </c>
      <c r="L14" s="9" t="s">
        <v>104</v>
      </c>
      <c r="M14" s="9" t="s">
        <v>104</v>
      </c>
      <c r="N14" s="87"/>
      <c r="O14" s="89"/>
      <c r="P14" s="9" t="s">
        <v>103</v>
      </c>
      <c r="Q14" s="9" t="s">
        <v>103</v>
      </c>
      <c r="R14" s="9" t="s">
        <v>103</v>
      </c>
      <c r="S14" s="89"/>
      <c r="T14" s="9" t="s">
        <v>103</v>
      </c>
      <c r="U14" s="4">
        <f t="shared" si="1"/>
        <v>8</v>
      </c>
      <c r="V14" s="4">
        <f t="shared" si="2"/>
        <v>3</v>
      </c>
      <c r="W14" s="4" t="s">
        <v>10</v>
      </c>
      <c r="X14" s="4" t="s">
        <v>11</v>
      </c>
      <c r="Y14" s="4" t="s">
        <v>12</v>
      </c>
      <c r="Z14" s="4" t="s">
        <v>13</v>
      </c>
    </row>
    <row r="15" spans="1:26" x14ac:dyDescent="0.25">
      <c r="A15" s="5">
        <v>11</v>
      </c>
      <c r="B15" s="20" t="s">
        <v>665</v>
      </c>
      <c r="C15" s="8" t="s">
        <v>655</v>
      </c>
      <c r="D15" s="9" t="s">
        <v>656</v>
      </c>
      <c r="E15" s="9" t="s">
        <v>656</v>
      </c>
      <c r="F15" s="9" t="s">
        <v>103</v>
      </c>
      <c r="G15" s="87"/>
      <c r="H15" s="9" t="s">
        <v>103</v>
      </c>
      <c r="I15" s="89"/>
      <c r="J15" s="9" t="s">
        <v>103</v>
      </c>
      <c r="K15" s="9" t="s">
        <v>104</v>
      </c>
      <c r="L15" s="9" t="s">
        <v>103</v>
      </c>
      <c r="M15" s="9" t="s">
        <v>104</v>
      </c>
      <c r="N15" s="87"/>
      <c r="O15" s="89"/>
      <c r="P15" s="9" t="s">
        <v>103</v>
      </c>
      <c r="Q15" s="9" t="s">
        <v>104</v>
      </c>
      <c r="R15" s="9" t="s">
        <v>103</v>
      </c>
      <c r="S15" s="89"/>
      <c r="T15" s="9" t="s">
        <v>103</v>
      </c>
      <c r="U15" s="4">
        <f t="shared" si="1"/>
        <v>5</v>
      </c>
      <c r="V15" s="4">
        <f t="shared" si="2"/>
        <v>6</v>
      </c>
      <c r="W15" s="4" t="s">
        <v>14</v>
      </c>
      <c r="X15" s="11">
        <f>29*11</f>
        <v>319</v>
      </c>
      <c r="Y15" s="11">
        <f>17*11</f>
        <v>187</v>
      </c>
      <c r="Z15" s="11">
        <f>SUM(X15:Y15)</f>
        <v>506</v>
      </c>
    </row>
    <row r="16" spans="1:26" x14ac:dyDescent="0.25">
      <c r="A16" s="11">
        <v>12</v>
      </c>
      <c r="B16" s="20" t="s">
        <v>666</v>
      </c>
      <c r="C16" s="8" t="s">
        <v>655</v>
      </c>
      <c r="D16" s="9" t="s">
        <v>656</v>
      </c>
      <c r="E16" s="9" t="s">
        <v>656</v>
      </c>
      <c r="F16" s="9" t="s">
        <v>103</v>
      </c>
      <c r="G16" s="87"/>
      <c r="H16" s="9" t="s">
        <v>104</v>
      </c>
      <c r="I16" s="89"/>
      <c r="J16" s="9" t="s">
        <v>104</v>
      </c>
      <c r="K16" s="9" t="s">
        <v>104</v>
      </c>
      <c r="L16" s="9" t="s">
        <v>104</v>
      </c>
      <c r="M16" s="9" t="s">
        <v>104</v>
      </c>
      <c r="N16" s="87"/>
      <c r="O16" s="89"/>
      <c r="P16" s="9" t="s">
        <v>104</v>
      </c>
      <c r="Q16" s="9" t="s">
        <v>104</v>
      </c>
      <c r="R16" s="9" t="s">
        <v>104</v>
      </c>
      <c r="S16" s="89"/>
      <c r="T16" s="9" t="s">
        <v>103</v>
      </c>
      <c r="U16" s="4">
        <f t="shared" si="1"/>
        <v>10</v>
      </c>
      <c r="V16" s="4">
        <f t="shared" si="2"/>
        <v>1</v>
      </c>
      <c r="W16" s="4" t="s">
        <v>15</v>
      </c>
      <c r="X16" s="11">
        <f>U5+U6+U7+U10+U11+U12+U15+U16+U17+U18+U19+U20+U22+U25+U26+U27+U28+U29+U30+U31+U33+U34+U36+U37+U41+U42+U43+U48+U49</f>
        <v>248</v>
      </c>
      <c r="Y16" s="11">
        <f>U8+U9+U14+U21+U23+U24+U32+U35+U38+U39+U40+U44+U45+U46+U47+U50</f>
        <v>134</v>
      </c>
      <c r="Z16" s="11">
        <f>X16+Y16</f>
        <v>382</v>
      </c>
    </row>
    <row r="17" spans="1:26" x14ac:dyDescent="0.25">
      <c r="A17" s="5">
        <v>13</v>
      </c>
      <c r="B17" s="20" t="s">
        <v>667</v>
      </c>
      <c r="C17" s="8" t="s">
        <v>655</v>
      </c>
      <c r="D17" s="9" t="s">
        <v>656</v>
      </c>
      <c r="E17" s="9" t="s">
        <v>656</v>
      </c>
      <c r="F17" s="9" t="s">
        <v>104</v>
      </c>
      <c r="G17" s="87"/>
      <c r="H17" s="9" t="s">
        <v>104</v>
      </c>
      <c r="I17" s="89"/>
      <c r="J17" s="9" t="s">
        <v>104</v>
      </c>
      <c r="K17" s="9" t="s">
        <v>104</v>
      </c>
      <c r="L17" s="9" t="s">
        <v>104</v>
      </c>
      <c r="M17" s="9" t="s">
        <v>104</v>
      </c>
      <c r="N17" s="87"/>
      <c r="O17" s="89"/>
      <c r="P17" s="9" t="s">
        <v>104</v>
      </c>
      <c r="Q17" s="9" t="s">
        <v>104</v>
      </c>
      <c r="R17" s="9" t="s">
        <v>104</v>
      </c>
      <c r="S17" s="89"/>
      <c r="T17" s="9" t="s">
        <v>103</v>
      </c>
      <c r="U17" s="4">
        <f t="shared" si="1"/>
        <v>11</v>
      </c>
      <c r="V17" s="4">
        <f t="shared" si="2"/>
        <v>0</v>
      </c>
      <c r="W17" s="4" t="s">
        <v>16</v>
      </c>
      <c r="X17" s="15">
        <f>X16/X15</f>
        <v>0.77742946708463945</v>
      </c>
      <c r="Y17" s="15">
        <f>Y16/Y15</f>
        <v>0.71657754010695185</v>
      </c>
      <c r="Z17" s="15">
        <f>Z16/Z15</f>
        <v>0.75494071146245056</v>
      </c>
    </row>
    <row r="18" spans="1:26" x14ac:dyDescent="0.25">
      <c r="A18" s="11">
        <v>14</v>
      </c>
      <c r="B18" s="20" t="s">
        <v>668</v>
      </c>
      <c r="C18" s="8" t="s">
        <v>655</v>
      </c>
      <c r="D18" s="9" t="s">
        <v>656</v>
      </c>
      <c r="E18" s="9" t="s">
        <v>656</v>
      </c>
      <c r="F18" s="9" t="s">
        <v>104</v>
      </c>
      <c r="G18" s="87"/>
      <c r="H18" s="9" t="s">
        <v>104</v>
      </c>
      <c r="I18" s="89"/>
      <c r="J18" s="9" t="s">
        <v>104</v>
      </c>
      <c r="K18" s="9" t="s">
        <v>103</v>
      </c>
      <c r="L18" s="9" t="s">
        <v>103</v>
      </c>
      <c r="M18" s="9" t="s">
        <v>103</v>
      </c>
      <c r="N18" s="87"/>
      <c r="O18" s="89"/>
      <c r="P18" s="9" t="s">
        <v>103</v>
      </c>
      <c r="Q18" s="9" t="s">
        <v>103</v>
      </c>
      <c r="R18" s="9" t="s">
        <v>104</v>
      </c>
      <c r="S18" s="89"/>
      <c r="T18" s="9" t="s">
        <v>103</v>
      </c>
      <c r="U18" s="4">
        <f t="shared" si="1"/>
        <v>6</v>
      </c>
      <c r="V18" s="4">
        <f t="shared" si="2"/>
        <v>5</v>
      </c>
      <c r="W18"/>
      <c r="X18"/>
      <c r="Y18"/>
      <c r="Z18"/>
    </row>
    <row r="19" spans="1:26" x14ac:dyDescent="0.25">
      <c r="A19" s="5">
        <v>15</v>
      </c>
      <c r="B19" s="20" t="s">
        <v>669</v>
      </c>
      <c r="C19" s="8" t="s">
        <v>655</v>
      </c>
      <c r="D19" s="9" t="s">
        <v>656</v>
      </c>
      <c r="E19" s="9" t="s">
        <v>656</v>
      </c>
      <c r="F19" s="9" t="s">
        <v>103</v>
      </c>
      <c r="G19" s="87"/>
      <c r="H19" s="9" t="s">
        <v>104</v>
      </c>
      <c r="I19" s="89"/>
      <c r="J19" s="9" t="s">
        <v>104</v>
      </c>
      <c r="K19" s="9" t="s">
        <v>104</v>
      </c>
      <c r="L19" s="9" t="s">
        <v>104</v>
      </c>
      <c r="M19" s="9" t="s">
        <v>104</v>
      </c>
      <c r="N19" s="87"/>
      <c r="O19" s="89"/>
      <c r="P19" s="9" t="s">
        <v>104</v>
      </c>
      <c r="Q19" s="9" t="s">
        <v>104</v>
      </c>
      <c r="R19" s="9" t="s">
        <v>104</v>
      </c>
      <c r="S19" s="89"/>
      <c r="T19" s="9" t="s">
        <v>103</v>
      </c>
      <c r="U19" s="4">
        <f t="shared" si="1"/>
        <v>10</v>
      </c>
      <c r="V19" s="4">
        <f t="shared" si="2"/>
        <v>1</v>
      </c>
      <c r="W19"/>
      <c r="X19"/>
      <c r="Y19"/>
      <c r="Z19"/>
    </row>
    <row r="20" spans="1:26" x14ac:dyDescent="0.25">
      <c r="A20" s="11">
        <v>16</v>
      </c>
      <c r="B20" s="20" t="s">
        <v>670</v>
      </c>
      <c r="C20" s="8" t="s">
        <v>655</v>
      </c>
      <c r="D20" s="9" t="s">
        <v>656</v>
      </c>
      <c r="E20" s="9" t="s">
        <v>656</v>
      </c>
      <c r="F20" s="9" t="s">
        <v>104</v>
      </c>
      <c r="G20" s="87"/>
      <c r="H20" s="9" t="s">
        <v>104</v>
      </c>
      <c r="I20" s="89"/>
      <c r="J20" s="9" t="s">
        <v>104</v>
      </c>
      <c r="K20" s="9" t="s">
        <v>104</v>
      </c>
      <c r="L20" s="9" t="s">
        <v>104</v>
      </c>
      <c r="M20" s="9" t="s">
        <v>104</v>
      </c>
      <c r="N20" s="87"/>
      <c r="O20" s="89"/>
      <c r="P20" s="9" t="s">
        <v>104</v>
      </c>
      <c r="Q20" s="9" t="s">
        <v>104</v>
      </c>
      <c r="R20" s="9" t="s">
        <v>104</v>
      </c>
      <c r="S20" s="89"/>
      <c r="T20" s="9" t="s">
        <v>103</v>
      </c>
      <c r="U20" s="4">
        <f t="shared" si="1"/>
        <v>11</v>
      </c>
      <c r="V20" s="4">
        <f t="shared" si="2"/>
        <v>0</v>
      </c>
      <c r="W20"/>
      <c r="X20"/>
      <c r="Y20"/>
      <c r="Z20"/>
    </row>
    <row r="21" spans="1:26" ht="15.75" x14ac:dyDescent="0.25">
      <c r="A21" s="5">
        <v>17</v>
      </c>
      <c r="B21" s="20" t="s">
        <v>671</v>
      </c>
      <c r="C21" s="8" t="s">
        <v>655</v>
      </c>
      <c r="D21" s="9" t="s">
        <v>656</v>
      </c>
      <c r="E21" s="9" t="s">
        <v>656</v>
      </c>
      <c r="F21" s="9" t="s">
        <v>104</v>
      </c>
      <c r="G21" s="87"/>
      <c r="H21" s="9" t="s">
        <v>104</v>
      </c>
      <c r="I21" s="89"/>
      <c r="J21" s="9" t="s">
        <v>104</v>
      </c>
      <c r="K21" s="9" t="s">
        <v>104</v>
      </c>
      <c r="L21" s="9" t="s">
        <v>104</v>
      </c>
      <c r="M21" s="9" t="s">
        <v>104</v>
      </c>
      <c r="N21" s="87"/>
      <c r="O21" s="89"/>
      <c r="P21" s="9" t="s">
        <v>104</v>
      </c>
      <c r="Q21" s="9" t="s">
        <v>104</v>
      </c>
      <c r="R21" s="9" t="s">
        <v>103</v>
      </c>
      <c r="S21" s="89"/>
      <c r="T21" s="9" t="s">
        <v>103</v>
      </c>
      <c r="U21" s="4">
        <f t="shared" si="1"/>
        <v>10</v>
      </c>
      <c r="V21" s="4">
        <f t="shared" si="2"/>
        <v>1</v>
      </c>
      <c r="W21" s="76" t="s">
        <v>316</v>
      </c>
      <c r="X21" s="77"/>
      <c r="Y21" s="77"/>
      <c r="Z21" s="78"/>
    </row>
    <row r="22" spans="1:26" x14ac:dyDescent="0.25">
      <c r="A22" s="11">
        <v>18</v>
      </c>
      <c r="B22" s="20" t="s">
        <v>115</v>
      </c>
      <c r="C22" s="8" t="s">
        <v>655</v>
      </c>
      <c r="D22" s="9" t="s">
        <v>656</v>
      </c>
      <c r="E22" s="9" t="s">
        <v>656</v>
      </c>
      <c r="F22" s="9" t="s">
        <v>103</v>
      </c>
      <c r="G22" s="87"/>
      <c r="H22" s="9" t="s">
        <v>104</v>
      </c>
      <c r="I22" s="89"/>
      <c r="J22" s="9" t="s">
        <v>104</v>
      </c>
      <c r="K22" s="9" t="s">
        <v>104</v>
      </c>
      <c r="L22" s="9" t="s">
        <v>104</v>
      </c>
      <c r="M22" s="9" t="s">
        <v>103</v>
      </c>
      <c r="N22" s="87"/>
      <c r="O22" s="89"/>
      <c r="P22" s="9" t="s">
        <v>104</v>
      </c>
      <c r="Q22" s="9" t="s">
        <v>103</v>
      </c>
      <c r="R22" s="9" t="s">
        <v>104</v>
      </c>
      <c r="S22" s="89"/>
      <c r="T22" s="9" t="s">
        <v>103</v>
      </c>
      <c r="U22" s="4">
        <f t="shared" si="1"/>
        <v>8</v>
      </c>
      <c r="V22" s="4">
        <f t="shared" si="2"/>
        <v>3</v>
      </c>
      <c r="W22" s="4" t="s">
        <v>10</v>
      </c>
      <c r="X22" s="4" t="s">
        <v>11</v>
      </c>
      <c r="Y22" s="4" t="s">
        <v>12</v>
      </c>
      <c r="Z22" s="4" t="s">
        <v>13</v>
      </c>
    </row>
    <row r="23" spans="1:26" x14ac:dyDescent="0.25">
      <c r="A23" s="5">
        <v>19</v>
      </c>
      <c r="B23" s="20" t="s">
        <v>691</v>
      </c>
      <c r="C23" s="8" t="s">
        <v>655</v>
      </c>
      <c r="D23" s="9" t="s">
        <v>656</v>
      </c>
      <c r="E23" s="9" t="s">
        <v>656</v>
      </c>
      <c r="F23" s="9" t="s">
        <v>104</v>
      </c>
      <c r="G23" s="87"/>
      <c r="H23" s="9" t="s">
        <v>104</v>
      </c>
      <c r="I23" s="89"/>
      <c r="J23" s="9" t="s">
        <v>104</v>
      </c>
      <c r="K23" s="9" t="s">
        <v>104</v>
      </c>
      <c r="L23" s="9" t="s">
        <v>104</v>
      </c>
      <c r="M23" s="9" t="s">
        <v>104</v>
      </c>
      <c r="N23" s="87"/>
      <c r="O23" s="89"/>
      <c r="P23" s="9" t="s">
        <v>103</v>
      </c>
      <c r="Q23" s="9" t="s">
        <v>104</v>
      </c>
      <c r="R23" s="9" t="s">
        <v>104</v>
      </c>
      <c r="S23" s="89"/>
      <c r="T23" s="9" t="s">
        <v>103</v>
      </c>
      <c r="U23" s="4">
        <f t="shared" si="1"/>
        <v>10</v>
      </c>
      <c r="V23" s="4">
        <f t="shared" si="2"/>
        <v>1</v>
      </c>
      <c r="W23" s="4" t="s">
        <v>14</v>
      </c>
      <c r="X23" s="11">
        <f>29*11</f>
        <v>319</v>
      </c>
      <c r="Y23" s="11">
        <f>17*11</f>
        <v>187</v>
      </c>
      <c r="Z23" s="11">
        <f>X23+Y23</f>
        <v>506</v>
      </c>
    </row>
    <row r="24" spans="1:26" x14ac:dyDescent="0.25">
      <c r="A24" s="11">
        <v>20</v>
      </c>
      <c r="B24" s="20" t="s">
        <v>489</v>
      </c>
      <c r="C24" s="8" t="s">
        <v>655</v>
      </c>
      <c r="D24" s="9" t="s">
        <v>656</v>
      </c>
      <c r="E24" s="9" t="s">
        <v>656</v>
      </c>
      <c r="F24" s="9" t="s">
        <v>103</v>
      </c>
      <c r="G24" s="87"/>
      <c r="H24" s="9" t="s">
        <v>103</v>
      </c>
      <c r="I24" s="89"/>
      <c r="J24" s="9" t="s">
        <v>104</v>
      </c>
      <c r="K24" s="9" t="s">
        <v>104</v>
      </c>
      <c r="L24" s="9" t="s">
        <v>103</v>
      </c>
      <c r="M24" s="9" t="s">
        <v>104</v>
      </c>
      <c r="N24" s="87"/>
      <c r="O24" s="89"/>
      <c r="P24" s="9" t="s">
        <v>104</v>
      </c>
      <c r="Q24" s="9" t="s">
        <v>103</v>
      </c>
      <c r="R24" s="9" t="s">
        <v>104</v>
      </c>
      <c r="S24" s="89"/>
      <c r="T24" s="9" t="s">
        <v>103</v>
      </c>
      <c r="U24" s="4">
        <f t="shared" si="1"/>
        <v>7</v>
      </c>
      <c r="V24" s="4">
        <f t="shared" si="2"/>
        <v>4</v>
      </c>
      <c r="W24" s="4" t="s">
        <v>17</v>
      </c>
      <c r="X24" s="11">
        <f>X23-X16</f>
        <v>71</v>
      </c>
      <c r="Y24" s="11">
        <f>Y23-Y16</f>
        <v>53</v>
      </c>
      <c r="Z24" s="11">
        <f>X24+Y24</f>
        <v>124</v>
      </c>
    </row>
    <row r="25" spans="1:26" x14ac:dyDescent="0.25">
      <c r="A25" s="5">
        <v>21</v>
      </c>
      <c r="B25" s="20" t="s">
        <v>292</v>
      </c>
      <c r="C25" s="8" t="s">
        <v>655</v>
      </c>
      <c r="D25" s="9" t="s">
        <v>656</v>
      </c>
      <c r="E25" s="9" t="s">
        <v>656</v>
      </c>
      <c r="F25" s="9" t="s">
        <v>104</v>
      </c>
      <c r="G25" s="87"/>
      <c r="H25" s="9" t="s">
        <v>103</v>
      </c>
      <c r="I25" s="89"/>
      <c r="J25" s="9" t="s">
        <v>104</v>
      </c>
      <c r="K25" s="9" t="s">
        <v>104</v>
      </c>
      <c r="L25" s="9" t="s">
        <v>104</v>
      </c>
      <c r="M25" s="9" t="s">
        <v>104</v>
      </c>
      <c r="N25" s="87"/>
      <c r="O25" s="89"/>
      <c r="P25" s="9" t="s">
        <v>104</v>
      </c>
      <c r="Q25" s="9" t="s">
        <v>103</v>
      </c>
      <c r="R25" s="9" t="s">
        <v>104</v>
      </c>
      <c r="S25" s="89"/>
      <c r="T25" s="9" t="s">
        <v>103</v>
      </c>
      <c r="U25" s="4">
        <f t="shared" si="1"/>
        <v>9</v>
      </c>
      <c r="V25" s="4">
        <f t="shared" si="2"/>
        <v>2</v>
      </c>
      <c r="W25" s="4" t="s">
        <v>16</v>
      </c>
      <c r="X25" s="15">
        <f>X24/X23</f>
        <v>0.2225705329153605</v>
      </c>
      <c r="Y25" s="15">
        <f>Y24/Y23</f>
        <v>0.28342245989304815</v>
      </c>
      <c r="Z25" s="15">
        <f>Z24/Z23</f>
        <v>0.24505928853754941</v>
      </c>
    </row>
    <row r="26" spans="1:26" x14ac:dyDescent="0.25">
      <c r="A26" s="11">
        <v>22</v>
      </c>
      <c r="B26" s="20" t="s">
        <v>672</v>
      </c>
      <c r="C26" s="8" t="s">
        <v>655</v>
      </c>
      <c r="D26" s="9" t="s">
        <v>656</v>
      </c>
      <c r="E26" s="9" t="s">
        <v>656</v>
      </c>
      <c r="F26" s="9" t="s">
        <v>104</v>
      </c>
      <c r="G26" s="87"/>
      <c r="H26" s="9" t="s">
        <v>104</v>
      </c>
      <c r="I26" s="89"/>
      <c r="J26" s="9" t="s">
        <v>104</v>
      </c>
      <c r="K26" s="9" t="s">
        <v>104</v>
      </c>
      <c r="L26" s="9" t="s">
        <v>104</v>
      </c>
      <c r="M26" s="9" t="s">
        <v>104</v>
      </c>
      <c r="N26" s="87"/>
      <c r="O26" s="89"/>
      <c r="P26" s="9" t="s">
        <v>104</v>
      </c>
      <c r="Q26" s="9" t="s">
        <v>103</v>
      </c>
      <c r="R26" s="9" t="s">
        <v>104</v>
      </c>
      <c r="S26" s="89"/>
      <c r="T26" s="9" t="s">
        <v>103</v>
      </c>
      <c r="U26" s="4">
        <f t="shared" si="1"/>
        <v>10</v>
      </c>
      <c r="V26" s="4">
        <f t="shared" si="2"/>
        <v>1</v>
      </c>
    </row>
    <row r="27" spans="1:26" x14ac:dyDescent="0.25">
      <c r="A27" s="5">
        <v>23</v>
      </c>
      <c r="B27" s="20" t="s">
        <v>673</v>
      </c>
      <c r="C27" s="8" t="s">
        <v>655</v>
      </c>
      <c r="D27" s="9" t="s">
        <v>656</v>
      </c>
      <c r="E27" s="9" t="s">
        <v>656</v>
      </c>
      <c r="F27" s="9" t="s">
        <v>104</v>
      </c>
      <c r="G27" s="87"/>
      <c r="H27" s="9" t="s">
        <v>104</v>
      </c>
      <c r="I27" s="89"/>
      <c r="J27" s="9" t="s">
        <v>104</v>
      </c>
      <c r="K27" s="9" t="s">
        <v>104</v>
      </c>
      <c r="L27" s="9" t="s">
        <v>104</v>
      </c>
      <c r="M27" s="9" t="s">
        <v>104</v>
      </c>
      <c r="N27" s="87"/>
      <c r="O27" s="89"/>
      <c r="P27" s="9" t="s">
        <v>104</v>
      </c>
      <c r="Q27" s="9" t="s">
        <v>103</v>
      </c>
      <c r="R27" s="9" t="s">
        <v>104</v>
      </c>
      <c r="S27" s="89"/>
      <c r="T27" s="9" t="s">
        <v>103</v>
      </c>
      <c r="U27" s="4">
        <f t="shared" si="1"/>
        <v>10</v>
      </c>
      <c r="V27" s="4">
        <f t="shared" si="2"/>
        <v>1</v>
      </c>
    </row>
    <row r="28" spans="1:26" x14ac:dyDescent="0.25">
      <c r="A28" s="11">
        <v>24</v>
      </c>
      <c r="B28" s="22" t="s">
        <v>674</v>
      </c>
      <c r="C28" s="8" t="s">
        <v>655</v>
      </c>
      <c r="D28" s="9" t="s">
        <v>656</v>
      </c>
      <c r="E28" s="9" t="s">
        <v>656</v>
      </c>
      <c r="F28" s="9" t="s">
        <v>104</v>
      </c>
      <c r="G28" s="87"/>
      <c r="H28" s="9" t="s">
        <v>104</v>
      </c>
      <c r="I28" s="89"/>
      <c r="J28" s="9" t="s">
        <v>104</v>
      </c>
      <c r="K28" s="9" t="s">
        <v>104</v>
      </c>
      <c r="L28" s="9" t="s">
        <v>103</v>
      </c>
      <c r="M28" s="9" t="s">
        <v>104</v>
      </c>
      <c r="N28" s="87"/>
      <c r="O28" s="89"/>
      <c r="P28" s="9" t="s">
        <v>104</v>
      </c>
      <c r="Q28" s="9" t="s">
        <v>104</v>
      </c>
      <c r="R28" s="9" t="s">
        <v>104</v>
      </c>
      <c r="S28" s="89"/>
      <c r="T28" s="9" t="s">
        <v>103</v>
      </c>
      <c r="U28" s="4">
        <f t="shared" si="1"/>
        <v>10</v>
      </c>
      <c r="V28" s="4">
        <f t="shared" si="2"/>
        <v>1</v>
      </c>
    </row>
    <row r="29" spans="1:26" x14ac:dyDescent="0.25">
      <c r="A29" s="5">
        <v>25</v>
      </c>
      <c r="B29" s="24" t="s">
        <v>288</v>
      </c>
      <c r="C29" s="8" t="s">
        <v>655</v>
      </c>
      <c r="D29" s="9" t="s">
        <v>656</v>
      </c>
      <c r="E29" s="9" t="s">
        <v>656</v>
      </c>
      <c r="F29" s="9" t="s">
        <v>104</v>
      </c>
      <c r="G29" s="87"/>
      <c r="H29" s="9" t="s">
        <v>104</v>
      </c>
      <c r="I29" s="89"/>
      <c r="J29" s="9" t="s">
        <v>104</v>
      </c>
      <c r="K29" s="9" t="s">
        <v>104</v>
      </c>
      <c r="L29" s="9" t="s">
        <v>104</v>
      </c>
      <c r="M29" s="9" t="s">
        <v>104</v>
      </c>
      <c r="N29" s="87"/>
      <c r="O29" s="89"/>
      <c r="P29" s="9" t="s">
        <v>104</v>
      </c>
      <c r="Q29" s="9" t="s">
        <v>104</v>
      </c>
      <c r="R29" s="9" t="s">
        <v>104</v>
      </c>
      <c r="S29" s="89"/>
      <c r="T29" s="9" t="s">
        <v>103</v>
      </c>
      <c r="U29" s="4">
        <f t="shared" si="1"/>
        <v>11</v>
      </c>
      <c r="V29" s="4">
        <f t="shared" si="2"/>
        <v>0</v>
      </c>
    </row>
    <row r="30" spans="1:26" x14ac:dyDescent="0.25">
      <c r="A30" s="11">
        <v>26</v>
      </c>
      <c r="B30" s="24" t="s">
        <v>675</v>
      </c>
      <c r="C30" s="8" t="s">
        <v>655</v>
      </c>
      <c r="D30" s="9" t="s">
        <v>656</v>
      </c>
      <c r="E30" s="9" t="s">
        <v>656</v>
      </c>
      <c r="F30" s="9" t="s">
        <v>104</v>
      </c>
      <c r="G30" s="87"/>
      <c r="H30" s="9" t="s">
        <v>104</v>
      </c>
      <c r="I30" s="89"/>
      <c r="J30" s="9" t="s">
        <v>104</v>
      </c>
      <c r="K30" s="9" t="s">
        <v>104</v>
      </c>
      <c r="L30" s="9" t="s">
        <v>104</v>
      </c>
      <c r="M30" s="9" t="s">
        <v>104</v>
      </c>
      <c r="N30" s="87"/>
      <c r="O30" s="89"/>
      <c r="P30" s="9" t="s">
        <v>104</v>
      </c>
      <c r="Q30" s="9" t="s">
        <v>104</v>
      </c>
      <c r="R30" s="9" t="s">
        <v>104</v>
      </c>
      <c r="S30" s="89"/>
      <c r="T30" s="9" t="s">
        <v>104</v>
      </c>
      <c r="U30" s="4">
        <f t="shared" si="1"/>
        <v>12</v>
      </c>
      <c r="V30" s="4">
        <f t="shared" si="2"/>
        <v>0</v>
      </c>
    </row>
    <row r="31" spans="1:26" x14ac:dyDescent="0.25">
      <c r="A31" s="5">
        <v>27</v>
      </c>
      <c r="B31" s="24" t="s">
        <v>676</v>
      </c>
      <c r="C31" s="8" t="s">
        <v>655</v>
      </c>
      <c r="D31" s="9" t="s">
        <v>656</v>
      </c>
      <c r="E31" s="9" t="s">
        <v>656</v>
      </c>
      <c r="F31" s="9" t="s">
        <v>104</v>
      </c>
      <c r="G31" s="87"/>
      <c r="H31" s="9" t="s">
        <v>104</v>
      </c>
      <c r="I31" s="89"/>
      <c r="J31" s="9" t="s">
        <v>104</v>
      </c>
      <c r="K31" s="9" t="s">
        <v>104</v>
      </c>
      <c r="L31" s="9" t="s">
        <v>104</v>
      </c>
      <c r="M31" s="9" t="s">
        <v>103</v>
      </c>
      <c r="N31" s="87"/>
      <c r="O31" s="89"/>
      <c r="P31" s="9" t="s">
        <v>104</v>
      </c>
      <c r="Q31" s="9" t="s">
        <v>103</v>
      </c>
      <c r="R31" s="9" t="s">
        <v>104</v>
      </c>
      <c r="S31" s="89"/>
      <c r="T31" s="9" t="s">
        <v>103</v>
      </c>
      <c r="U31" s="4">
        <f t="shared" si="1"/>
        <v>9</v>
      </c>
      <c r="V31" s="4">
        <f t="shared" si="2"/>
        <v>2</v>
      </c>
    </row>
    <row r="32" spans="1:26" x14ac:dyDescent="0.25">
      <c r="A32" s="11">
        <v>28</v>
      </c>
      <c r="B32" s="24" t="s">
        <v>677</v>
      </c>
      <c r="C32" s="8" t="s">
        <v>655</v>
      </c>
      <c r="D32" s="9" t="s">
        <v>656</v>
      </c>
      <c r="E32" s="9" t="s">
        <v>656</v>
      </c>
      <c r="F32" s="9" t="s">
        <v>104</v>
      </c>
      <c r="G32" s="87"/>
      <c r="H32" s="9" t="s">
        <v>103</v>
      </c>
      <c r="I32" s="89"/>
      <c r="J32" s="9" t="s">
        <v>103</v>
      </c>
      <c r="K32" s="9" t="s">
        <v>104</v>
      </c>
      <c r="L32" s="9" t="s">
        <v>104</v>
      </c>
      <c r="M32" s="9" t="s">
        <v>104</v>
      </c>
      <c r="N32" s="87"/>
      <c r="O32" s="89"/>
      <c r="P32" s="9" t="s">
        <v>104</v>
      </c>
      <c r="Q32" s="9" t="s">
        <v>103</v>
      </c>
      <c r="R32" s="9" t="s">
        <v>104</v>
      </c>
      <c r="S32" s="89"/>
      <c r="T32" s="9" t="s">
        <v>103</v>
      </c>
      <c r="U32" s="4">
        <f t="shared" si="1"/>
        <v>8</v>
      </c>
      <c r="V32" s="4">
        <f t="shared" si="2"/>
        <v>3</v>
      </c>
    </row>
    <row r="33" spans="1:22" x14ac:dyDescent="0.25">
      <c r="A33" s="5">
        <v>29</v>
      </c>
      <c r="B33" s="26" t="s">
        <v>298</v>
      </c>
      <c r="C33" s="8" t="s">
        <v>655</v>
      </c>
      <c r="D33" s="9" t="s">
        <v>656</v>
      </c>
      <c r="E33" s="9" t="s">
        <v>656</v>
      </c>
      <c r="F33" s="9" t="s">
        <v>103</v>
      </c>
      <c r="G33" s="87"/>
      <c r="H33" s="9" t="s">
        <v>104</v>
      </c>
      <c r="I33" s="89"/>
      <c r="J33" s="9" t="s">
        <v>103</v>
      </c>
      <c r="K33" s="9" t="s">
        <v>103</v>
      </c>
      <c r="L33" s="9" t="s">
        <v>103</v>
      </c>
      <c r="M33" s="9" t="s">
        <v>103</v>
      </c>
      <c r="N33" s="87"/>
      <c r="O33" s="89"/>
      <c r="P33" s="9" t="s">
        <v>104</v>
      </c>
      <c r="Q33" s="9" t="s">
        <v>104</v>
      </c>
      <c r="R33" s="9" t="s">
        <v>104</v>
      </c>
      <c r="S33" s="89"/>
      <c r="T33" s="9" t="s">
        <v>103</v>
      </c>
      <c r="U33" s="4">
        <f t="shared" si="1"/>
        <v>6</v>
      </c>
      <c r="V33" s="4">
        <f t="shared" si="2"/>
        <v>5</v>
      </c>
    </row>
    <row r="34" spans="1:22" x14ac:dyDescent="0.25">
      <c r="A34" s="11">
        <v>30</v>
      </c>
      <c r="B34" s="20" t="s">
        <v>678</v>
      </c>
      <c r="C34" s="8" t="s">
        <v>655</v>
      </c>
      <c r="D34" s="9" t="s">
        <v>656</v>
      </c>
      <c r="E34" s="9" t="s">
        <v>656</v>
      </c>
      <c r="F34" s="9" t="s">
        <v>104</v>
      </c>
      <c r="G34" s="87"/>
      <c r="H34" s="9" t="s">
        <v>103</v>
      </c>
      <c r="I34" s="89"/>
      <c r="J34" s="9" t="s">
        <v>104</v>
      </c>
      <c r="K34" s="9" t="s">
        <v>104</v>
      </c>
      <c r="L34" s="9" t="s">
        <v>104</v>
      </c>
      <c r="M34" s="9" t="s">
        <v>104</v>
      </c>
      <c r="N34" s="87"/>
      <c r="O34" s="89"/>
      <c r="P34" s="9" t="s">
        <v>104</v>
      </c>
      <c r="Q34" s="9" t="s">
        <v>104</v>
      </c>
      <c r="R34" s="9" t="s">
        <v>104</v>
      </c>
      <c r="S34" s="89"/>
      <c r="T34" s="9" t="s">
        <v>103</v>
      </c>
      <c r="U34" s="4">
        <f t="shared" si="1"/>
        <v>10</v>
      </c>
      <c r="V34" s="4">
        <f t="shared" si="2"/>
        <v>1</v>
      </c>
    </row>
    <row r="35" spans="1:22" x14ac:dyDescent="0.25">
      <c r="A35" s="5">
        <v>31</v>
      </c>
      <c r="B35" s="20" t="s">
        <v>679</v>
      </c>
      <c r="C35" s="8" t="s">
        <v>655</v>
      </c>
      <c r="D35" s="9" t="s">
        <v>656</v>
      </c>
      <c r="E35" s="9" t="s">
        <v>656</v>
      </c>
      <c r="F35" s="9" t="s">
        <v>103</v>
      </c>
      <c r="G35" s="87"/>
      <c r="H35" s="9" t="s">
        <v>104</v>
      </c>
      <c r="I35" s="89"/>
      <c r="J35" s="9" t="s">
        <v>104</v>
      </c>
      <c r="K35" s="9" t="s">
        <v>104</v>
      </c>
      <c r="L35" s="9" t="s">
        <v>104</v>
      </c>
      <c r="M35" s="9" t="s">
        <v>104</v>
      </c>
      <c r="N35" s="87"/>
      <c r="O35" s="89"/>
      <c r="P35" s="9" t="s">
        <v>104</v>
      </c>
      <c r="Q35" s="9" t="s">
        <v>103</v>
      </c>
      <c r="R35" s="9" t="s">
        <v>104</v>
      </c>
      <c r="S35" s="89"/>
      <c r="T35" s="9" t="s">
        <v>103</v>
      </c>
      <c r="U35" s="4">
        <f t="shared" si="1"/>
        <v>9</v>
      </c>
      <c r="V35" s="4">
        <f t="shared" si="2"/>
        <v>2</v>
      </c>
    </row>
    <row r="36" spans="1:22" x14ac:dyDescent="0.25">
      <c r="A36" s="11">
        <v>32</v>
      </c>
      <c r="B36" s="18" t="s">
        <v>680</v>
      </c>
      <c r="C36" s="8" t="s">
        <v>655</v>
      </c>
      <c r="D36" s="9" t="s">
        <v>656</v>
      </c>
      <c r="E36" s="9" t="s">
        <v>656</v>
      </c>
      <c r="F36" s="9" t="s">
        <v>104</v>
      </c>
      <c r="G36" s="87"/>
      <c r="H36" s="9" t="s">
        <v>103</v>
      </c>
      <c r="I36" s="89"/>
      <c r="J36" s="9" t="s">
        <v>104</v>
      </c>
      <c r="K36" s="9" t="s">
        <v>104</v>
      </c>
      <c r="L36" s="9" t="s">
        <v>104</v>
      </c>
      <c r="M36" s="9" t="s">
        <v>104</v>
      </c>
      <c r="N36" s="87"/>
      <c r="O36" s="89"/>
      <c r="P36" s="9" t="s">
        <v>104</v>
      </c>
      <c r="Q36" s="9" t="s">
        <v>104</v>
      </c>
      <c r="R36" s="9" t="s">
        <v>104</v>
      </c>
      <c r="S36" s="89"/>
      <c r="T36" s="9" t="s">
        <v>103</v>
      </c>
      <c r="U36" s="4">
        <f t="shared" si="1"/>
        <v>10</v>
      </c>
      <c r="V36" s="4">
        <f t="shared" si="2"/>
        <v>1</v>
      </c>
    </row>
    <row r="37" spans="1:22" x14ac:dyDescent="0.25">
      <c r="A37" s="5">
        <v>33</v>
      </c>
      <c r="B37" s="18" t="s">
        <v>681</v>
      </c>
      <c r="C37" s="8" t="s">
        <v>655</v>
      </c>
      <c r="D37" s="9" t="s">
        <v>656</v>
      </c>
      <c r="E37" s="9" t="s">
        <v>656</v>
      </c>
      <c r="F37" s="9" t="s">
        <v>103</v>
      </c>
      <c r="G37" s="87"/>
      <c r="H37" s="9" t="s">
        <v>103</v>
      </c>
      <c r="I37" s="89"/>
      <c r="J37" s="9" t="s">
        <v>104</v>
      </c>
      <c r="K37" s="9" t="s">
        <v>104</v>
      </c>
      <c r="L37" s="9" t="s">
        <v>104</v>
      </c>
      <c r="M37" s="9" t="s">
        <v>104</v>
      </c>
      <c r="N37" s="87"/>
      <c r="O37" s="89"/>
      <c r="P37" s="9" t="s">
        <v>104</v>
      </c>
      <c r="Q37" s="9" t="s">
        <v>104</v>
      </c>
      <c r="R37" s="9" t="s">
        <v>104</v>
      </c>
      <c r="S37" s="89"/>
      <c r="T37" s="9" t="s">
        <v>103</v>
      </c>
      <c r="U37" s="4">
        <f t="shared" si="1"/>
        <v>9</v>
      </c>
      <c r="V37" s="4">
        <f t="shared" si="2"/>
        <v>2</v>
      </c>
    </row>
    <row r="38" spans="1:22" x14ac:dyDescent="0.25">
      <c r="A38" s="11">
        <v>34</v>
      </c>
      <c r="B38" s="18" t="s">
        <v>682</v>
      </c>
      <c r="C38" s="8" t="s">
        <v>655</v>
      </c>
      <c r="D38" s="9" t="s">
        <v>656</v>
      </c>
      <c r="E38" s="9" t="s">
        <v>656</v>
      </c>
      <c r="F38" s="9" t="s">
        <v>104</v>
      </c>
      <c r="G38" s="87"/>
      <c r="H38" s="9" t="s">
        <v>104</v>
      </c>
      <c r="I38" s="89"/>
      <c r="J38" s="9" t="s">
        <v>104</v>
      </c>
      <c r="K38" s="9" t="s">
        <v>104</v>
      </c>
      <c r="L38" s="9" t="s">
        <v>104</v>
      </c>
      <c r="M38" s="9" t="s">
        <v>104</v>
      </c>
      <c r="N38" s="87"/>
      <c r="O38" s="89"/>
      <c r="P38" s="9" t="s">
        <v>104</v>
      </c>
      <c r="Q38" s="9" t="s">
        <v>104</v>
      </c>
      <c r="R38" s="9" t="s">
        <v>104</v>
      </c>
      <c r="S38" s="89"/>
      <c r="T38" s="9" t="s">
        <v>103</v>
      </c>
      <c r="U38" s="4">
        <f t="shared" si="1"/>
        <v>11</v>
      </c>
      <c r="V38" s="4">
        <f t="shared" si="2"/>
        <v>0</v>
      </c>
    </row>
    <row r="39" spans="1:22" x14ac:dyDescent="0.25">
      <c r="A39" s="5">
        <v>35</v>
      </c>
      <c r="B39" s="18" t="s">
        <v>683</v>
      </c>
      <c r="C39" s="8" t="s">
        <v>655</v>
      </c>
      <c r="D39" s="9" t="s">
        <v>656</v>
      </c>
      <c r="E39" s="9" t="s">
        <v>656</v>
      </c>
      <c r="F39" s="9" t="s">
        <v>104</v>
      </c>
      <c r="G39" s="87"/>
      <c r="H39" s="9" t="s">
        <v>104</v>
      </c>
      <c r="I39" s="89"/>
      <c r="J39" s="9" t="s">
        <v>104</v>
      </c>
      <c r="K39" s="9" t="s">
        <v>104</v>
      </c>
      <c r="L39" s="9" t="s">
        <v>104</v>
      </c>
      <c r="M39" s="9" t="s">
        <v>104</v>
      </c>
      <c r="N39" s="87"/>
      <c r="O39" s="89"/>
      <c r="P39" s="9" t="s">
        <v>104</v>
      </c>
      <c r="Q39" s="9" t="s">
        <v>104</v>
      </c>
      <c r="R39" s="9" t="s">
        <v>104</v>
      </c>
      <c r="S39" s="89"/>
      <c r="T39" s="9" t="s">
        <v>103</v>
      </c>
      <c r="U39" s="4">
        <f t="shared" si="1"/>
        <v>11</v>
      </c>
      <c r="V39" s="4">
        <f t="shared" si="2"/>
        <v>0</v>
      </c>
    </row>
    <row r="40" spans="1:22" x14ac:dyDescent="0.25">
      <c r="A40" s="11">
        <v>36</v>
      </c>
      <c r="B40" s="18" t="s">
        <v>684</v>
      </c>
      <c r="C40" s="8" t="s">
        <v>655</v>
      </c>
      <c r="D40" s="9" t="s">
        <v>656</v>
      </c>
      <c r="E40" s="9" t="s">
        <v>656</v>
      </c>
      <c r="F40" s="9" t="s">
        <v>104</v>
      </c>
      <c r="G40" s="87"/>
      <c r="H40" s="9" t="s">
        <v>104</v>
      </c>
      <c r="I40" s="89"/>
      <c r="J40" s="9" t="s">
        <v>104</v>
      </c>
      <c r="K40" s="9" t="s">
        <v>104</v>
      </c>
      <c r="L40" s="9" t="s">
        <v>104</v>
      </c>
      <c r="M40" s="9" t="s">
        <v>104</v>
      </c>
      <c r="N40" s="87"/>
      <c r="O40" s="89"/>
      <c r="P40" s="9" t="s">
        <v>104</v>
      </c>
      <c r="Q40" s="9" t="s">
        <v>103</v>
      </c>
      <c r="R40" s="9" t="s">
        <v>104</v>
      </c>
      <c r="S40" s="89"/>
      <c r="T40" s="9" t="s">
        <v>103</v>
      </c>
      <c r="U40" s="4">
        <f t="shared" si="1"/>
        <v>10</v>
      </c>
      <c r="V40" s="4">
        <f t="shared" si="2"/>
        <v>1</v>
      </c>
    </row>
    <row r="41" spans="1:22" x14ac:dyDescent="0.25">
      <c r="A41" s="5">
        <v>37</v>
      </c>
      <c r="B41" s="18" t="s">
        <v>685</v>
      </c>
      <c r="C41" s="8" t="s">
        <v>655</v>
      </c>
      <c r="D41" s="9" t="s">
        <v>656</v>
      </c>
      <c r="E41" s="9" t="s">
        <v>656</v>
      </c>
      <c r="F41" s="9" t="s">
        <v>103</v>
      </c>
      <c r="G41" s="87"/>
      <c r="H41" s="9" t="s">
        <v>103</v>
      </c>
      <c r="I41" s="89"/>
      <c r="J41" s="9" t="s">
        <v>103</v>
      </c>
      <c r="K41" s="9" t="s">
        <v>103</v>
      </c>
      <c r="L41" s="9" t="s">
        <v>103</v>
      </c>
      <c r="M41" s="9" t="s">
        <v>103</v>
      </c>
      <c r="N41" s="87"/>
      <c r="O41" s="89"/>
      <c r="P41" s="9" t="s">
        <v>103</v>
      </c>
      <c r="Q41" s="9" t="s">
        <v>103</v>
      </c>
      <c r="R41" s="9" t="s">
        <v>103</v>
      </c>
      <c r="S41" s="89"/>
      <c r="T41" s="9" t="s">
        <v>103</v>
      </c>
      <c r="U41" s="4">
        <f t="shared" si="1"/>
        <v>2</v>
      </c>
      <c r="V41" s="4">
        <f t="shared" si="2"/>
        <v>9</v>
      </c>
    </row>
    <row r="42" spans="1:22" x14ac:dyDescent="0.25">
      <c r="A42" s="11">
        <v>38</v>
      </c>
      <c r="B42" s="18" t="s">
        <v>490</v>
      </c>
      <c r="C42" s="8" t="s">
        <v>655</v>
      </c>
      <c r="D42" s="9" t="s">
        <v>656</v>
      </c>
      <c r="E42" s="9" t="s">
        <v>656</v>
      </c>
      <c r="F42" s="9" t="s">
        <v>104</v>
      </c>
      <c r="G42" s="87"/>
      <c r="H42" s="9" t="s">
        <v>104</v>
      </c>
      <c r="I42" s="89"/>
      <c r="J42" s="9" t="s">
        <v>104</v>
      </c>
      <c r="K42" s="9" t="s">
        <v>104</v>
      </c>
      <c r="L42" s="9" t="s">
        <v>104</v>
      </c>
      <c r="M42" s="9" t="s">
        <v>104</v>
      </c>
      <c r="N42" s="87"/>
      <c r="O42" s="89"/>
      <c r="P42" s="9" t="s">
        <v>104</v>
      </c>
      <c r="Q42" s="9" t="s">
        <v>103</v>
      </c>
      <c r="R42" s="9" t="s">
        <v>103</v>
      </c>
      <c r="S42" s="89"/>
      <c r="T42" s="9" t="s">
        <v>103</v>
      </c>
      <c r="U42" s="4">
        <f t="shared" si="1"/>
        <v>9</v>
      </c>
      <c r="V42" s="4">
        <f t="shared" si="2"/>
        <v>2</v>
      </c>
    </row>
    <row r="43" spans="1:22" x14ac:dyDescent="0.25">
      <c r="A43" s="11">
        <v>39</v>
      </c>
      <c r="B43" s="18" t="s">
        <v>566</v>
      </c>
      <c r="C43" s="9" t="s">
        <v>655</v>
      </c>
      <c r="D43" s="9" t="s">
        <v>656</v>
      </c>
      <c r="E43" s="9" t="s">
        <v>656</v>
      </c>
      <c r="F43" s="9" t="s">
        <v>103</v>
      </c>
      <c r="G43" s="87"/>
      <c r="H43" s="9" t="s">
        <v>103</v>
      </c>
      <c r="I43" s="89"/>
      <c r="J43" s="9" t="s">
        <v>104</v>
      </c>
      <c r="K43" s="9" t="s">
        <v>104</v>
      </c>
      <c r="L43" s="9" t="s">
        <v>104</v>
      </c>
      <c r="M43" s="9" t="s">
        <v>104</v>
      </c>
      <c r="N43" s="87"/>
      <c r="O43" s="89"/>
      <c r="P43" s="9" t="s">
        <v>103</v>
      </c>
      <c r="Q43" s="9" t="s">
        <v>104</v>
      </c>
      <c r="R43" s="9" t="s">
        <v>104</v>
      </c>
      <c r="S43" s="89"/>
      <c r="T43" s="9" t="s">
        <v>103</v>
      </c>
      <c r="U43" s="4">
        <f t="shared" si="1"/>
        <v>8</v>
      </c>
      <c r="V43" s="4">
        <f t="shared" si="2"/>
        <v>3</v>
      </c>
    </row>
    <row r="44" spans="1:22" x14ac:dyDescent="0.25">
      <c r="A44" s="11">
        <v>40</v>
      </c>
      <c r="B44" s="18" t="s">
        <v>255</v>
      </c>
      <c r="C44" s="9" t="s">
        <v>655</v>
      </c>
      <c r="D44" s="9" t="s">
        <v>656</v>
      </c>
      <c r="E44" s="9" t="s">
        <v>656</v>
      </c>
      <c r="F44" s="9" t="s">
        <v>104</v>
      </c>
      <c r="G44" s="87"/>
      <c r="H44" s="9" t="s">
        <v>104</v>
      </c>
      <c r="I44" s="89"/>
      <c r="J44" s="9" t="s">
        <v>104</v>
      </c>
      <c r="K44" s="9" t="s">
        <v>104</v>
      </c>
      <c r="L44" s="9" t="s">
        <v>104</v>
      </c>
      <c r="M44" s="9" t="s">
        <v>104</v>
      </c>
      <c r="N44" s="87"/>
      <c r="O44" s="89"/>
      <c r="P44" s="9" t="s">
        <v>104</v>
      </c>
      <c r="Q44" s="9" t="s">
        <v>103</v>
      </c>
      <c r="R44" s="9" t="s">
        <v>104</v>
      </c>
      <c r="S44" s="89"/>
      <c r="T44" s="9" t="s">
        <v>103</v>
      </c>
      <c r="U44" s="4">
        <f t="shared" si="1"/>
        <v>10</v>
      </c>
      <c r="V44" s="4">
        <f t="shared" si="2"/>
        <v>1</v>
      </c>
    </row>
    <row r="45" spans="1:22" x14ac:dyDescent="0.25">
      <c r="A45" s="11">
        <v>41</v>
      </c>
      <c r="B45" s="18" t="s">
        <v>686</v>
      </c>
      <c r="C45" s="9" t="s">
        <v>655</v>
      </c>
      <c r="D45" s="9" t="s">
        <v>656</v>
      </c>
      <c r="E45" s="9" t="s">
        <v>656</v>
      </c>
      <c r="F45" s="9" t="s">
        <v>103</v>
      </c>
      <c r="G45" s="87"/>
      <c r="H45" s="9" t="s">
        <v>103</v>
      </c>
      <c r="I45" s="89"/>
      <c r="J45" s="9" t="s">
        <v>103</v>
      </c>
      <c r="K45" s="9" t="s">
        <v>103</v>
      </c>
      <c r="L45" s="9" t="s">
        <v>104</v>
      </c>
      <c r="M45" s="9" t="s">
        <v>104</v>
      </c>
      <c r="N45" s="87"/>
      <c r="O45" s="89"/>
      <c r="P45" s="9" t="s">
        <v>103</v>
      </c>
      <c r="Q45" s="9" t="s">
        <v>103</v>
      </c>
      <c r="R45" s="9" t="s">
        <v>104</v>
      </c>
      <c r="S45" s="89"/>
      <c r="T45" s="9" t="s">
        <v>103</v>
      </c>
      <c r="U45" s="4">
        <f t="shared" si="1"/>
        <v>5</v>
      </c>
      <c r="V45" s="4">
        <f t="shared" si="2"/>
        <v>6</v>
      </c>
    </row>
    <row r="46" spans="1:22" x14ac:dyDescent="0.25">
      <c r="A46" s="11">
        <v>42</v>
      </c>
      <c r="B46" s="18" t="s">
        <v>687</v>
      </c>
      <c r="C46" s="9" t="s">
        <v>655</v>
      </c>
      <c r="D46" s="9" t="s">
        <v>656</v>
      </c>
      <c r="E46" s="9" t="s">
        <v>656</v>
      </c>
      <c r="F46" s="9" t="s">
        <v>103</v>
      </c>
      <c r="G46" s="87"/>
      <c r="H46" s="9" t="s">
        <v>104</v>
      </c>
      <c r="I46" s="89"/>
      <c r="J46" s="9" t="s">
        <v>103</v>
      </c>
      <c r="K46" s="9" t="s">
        <v>103</v>
      </c>
      <c r="L46" s="9" t="s">
        <v>104</v>
      </c>
      <c r="M46" s="9" t="s">
        <v>104</v>
      </c>
      <c r="N46" s="87"/>
      <c r="O46" s="89"/>
      <c r="P46" s="9" t="s">
        <v>104</v>
      </c>
      <c r="Q46" s="9" t="s">
        <v>104</v>
      </c>
      <c r="R46" s="9" t="s">
        <v>104</v>
      </c>
      <c r="S46" s="89"/>
      <c r="T46" s="9" t="s">
        <v>103</v>
      </c>
      <c r="U46" s="4">
        <f t="shared" si="1"/>
        <v>8</v>
      </c>
      <c r="V46" s="4">
        <f t="shared" si="2"/>
        <v>3</v>
      </c>
    </row>
    <row r="47" spans="1:22" x14ac:dyDescent="0.25">
      <c r="A47" s="11">
        <v>43</v>
      </c>
      <c r="B47" s="18" t="s">
        <v>688</v>
      </c>
      <c r="C47" s="9" t="s">
        <v>655</v>
      </c>
      <c r="D47" s="9" t="s">
        <v>656</v>
      </c>
      <c r="E47" s="9" t="s">
        <v>656</v>
      </c>
      <c r="F47" s="9" t="s">
        <v>103</v>
      </c>
      <c r="G47" s="87"/>
      <c r="H47" s="9" t="s">
        <v>103</v>
      </c>
      <c r="I47" s="89"/>
      <c r="J47" s="9" t="s">
        <v>103</v>
      </c>
      <c r="K47" s="9" t="s">
        <v>103</v>
      </c>
      <c r="L47" s="9" t="s">
        <v>104</v>
      </c>
      <c r="M47" s="9" t="s">
        <v>104</v>
      </c>
      <c r="N47" s="87"/>
      <c r="O47" s="89"/>
      <c r="P47" s="9" t="s">
        <v>104</v>
      </c>
      <c r="Q47" s="9" t="s">
        <v>103</v>
      </c>
      <c r="R47" s="9" t="s">
        <v>104</v>
      </c>
      <c r="S47" s="89"/>
      <c r="T47" s="9" t="s">
        <v>103</v>
      </c>
      <c r="U47" s="4">
        <f t="shared" si="1"/>
        <v>6</v>
      </c>
      <c r="V47" s="4">
        <f t="shared" si="2"/>
        <v>5</v>
      </c>
    </row>
    <row r="48" spans="1:22" x14ac:dyDescent="0.25">
      <c r="A48" s="11">
        <v>44</v>
      </c>
      <c r="B48" s="18" t="s">
        <v>689</v>
      </c>
      <c r="C48" s="9" t="s">
        <v>655</v>
      </c>
      <c r="D48" s="9" t="s">
        <v>656</v>
      </c>
      <c r="E48" s="9" t="s">
        <v>656</v>
      </c>
      <c r="F48" s="9" t="s">
        <v>103</v>
      </c>
      <c r="G48" s="87"/>
      <c r="H48" s="9" t="s">
        <v>103</v>
      </c>
      <c r="I48" s="89"/>
      <c r="J48" s="9" t="s">
        <v>103</v>
      </c>
      <c r="K48" s="9" t="s">
        <v>103</v>
      </c>
      <c r="L48" s="9" t="s">
        <v>104</v>
      </c>
      <c r="M48" s="9" t="s">
        <v>104</v>
      </c>
      <c r="N48" s="87"/>
      <c r="O48" s="89"/>
      <c r="P48" s="9" t="s">
        <v>104</v>
      </c>
      <c r="Q48" s="9" t="s">
        <v>103</v>
      </c>
      <c r="R48" s="9" t="s">
        <v>103</v>
      </c>
      <c r="S48" s="89"/>
      <c r="T48" s="9" t="s">
        <v>103</v>
      </c>
      <c r="U48" s="4">
        <f t="shared" si="1"/>
        <v>5</v>
      </c>
      <c r="V48" s="4">
        <f t="shared" si="2"/>
        <v>6</v>
      </c>
    </row>
    <row r="49" spans="1:22" x14ac:dyDescent="0.25">
      <c r="A49" s="11">
        <v>45</v>
      </c>
      <c r="B49" s="18" t="s">
        <v>109</v>
      </c>
      <c r="C49" s="9" t="s">
        <v>655</v>
      </c>
      <c r="D49" s="9" t="s">
        <v>656</v>
      </c>
      <c r="E49" s="9" t="s">
        <v>656</v>
      </c>
      <c r="F49" s="9" t="s">
        <v>103</v>
      </c>
      <c r="G49" s="87"/>
      <c r="H49" s="9" t="s">
        <v>103</v>
      </c>
      <c r="I49" s="89"/>
      <c r="J49" s="9" t="s">
        <v>103</v>
      </c>
      <c r="K49" s="9" t="s">
        <v>103</v>
      </c>
      <c r="L49" s="9" t="s">
        <v>104</v>
      </c>
      <c r="M49" s="9" t="s">
        <v>104</v>
      </c>
      <c r="N49" s="87"/>
      <c r="O49" s="89"/>
      <c r="P49" s="9" t="s">
        <v>103</v>
      </c>
      <c r="Q49" s="9" t="s">
        <v>103</v>
      </c>
      <c r="R49" s="9" t="s">
        <v>103</v>
      </c>
      <c r="S49" s="89"/>
      <c r="T49" s="9" t="s">
        <v>103</v>
      </c>
      <c r="U49" s="4">
        <f t="shared" si="1"/>
        <v>4</v>
      </c>
      <c r="V49" s="4">
        <f t="shared" si="2"/>
        <v>7</v>
      </c>
    </row>
    <row r="50" spans="1:22" x14ac:dyDescent="0.25">
      <c r="A50" s="11">
        <v>46</v>
      </c>
      <c r="B50" s="18" t="s">
        <v>690</v>
      </c>
      <c r="C50" s="9" t="s">
        <v>655</v>
      </c>
      <c r="D50" s="9" t="s">
        <v>656</v>
      </c>
      <c r="E50" s="9" t="s">
        <v>656</v>
      </c>
      <c r="F50" s="9" t="s">
        <v>103</v>
      </c>
      <c r="G50" s="90"/>
      <c r="H50" s="9" t="s">
        <v>103</v>
      </c>
      <c r="I50" s="91"/>
      <c r="J50" s="9" t="s">
        <v>103</v>
      </c>
      <c r="K50" s="9" t="s">
        <v>103</v>
      </c>
      <c r="L50" s="9" t="s">
        <v>103</v>
      </c>
      <c r="M50" s="9" t="s">
        <v>104</v>
      </c>
      <c r="N50" s="90"/>
      <c r="O50" s="91"/>
      <c r="P50" s="9" t="s">
        <v>103</v>
      </c>
      <c r="Q50" s="9" t="s">
        <v>103</v>
      </c>
      <c r="R50" s="9" t="s">
        <v>103</v>
      </c>
      <c r="S50" s="91"/>
      <c r="T50" s="9" t="s">
        <v>103</v>
      </c>
      <c r="U50" s="4">
        <f t="shared" si="1"/>
        <v>3</v>
      </c>
      <c r="V50" s="4">
        <f t="shared" si="2"/>
        <v>8</v>
      </c>
    </row>
  </sheetData>
  <mergeCells count="15">
    <mergeCell ref="A1:V1"/>
    <mergeCell ref="A2:V2"/>
    <mergeCell ref="A3:A4"/>
    <mergeCell ref="B3:B4"/>
    <mergeCell ref="C3:C4"/>
    <mergeCell ref="U3:U4"/>
    <mergeCell ref="V3:V4"/>
    <mergeCell ref="W3:X3"/>
    <mergeCell ref="G5:G50"/>
    <mergeCell ref="I5:I50"/>
    <mergeCell ref="N5:N50"/>
    <mergeCell ref="O5:O50"/>
    <mergeCell ref="S5:S50"/>
    <mergeCell ref="W13:Z13"/>
    <mergeCell ref="W21:Z21"/>
  </mergeCells>
  <conditionalFormatting sqref="D5:O5 S5 P5:R50 T5:T50 D6:F50 H6:H50 J6:M50 D4:T4">
    <cfRule type="expression" dxfId="38" priority="18">
      <formula>IF(D$4=TODAY(),TRUE,FALSE)</formula>
    </cfRule>
  </conditionalFormatting>
  <conditionalFormatting sqref="D5:O5 S5 P5:R50 T5:T50 D6:F50 H6:H50 J6:M50">
    <cfRule type="cellIs" dxfId="37" priority="15" operator="equal">
      <formula>"L"</formula>
    </cfRule>
    <cfRule type="cellIs" dxfId="36" priority="16" operator="equal">
      <formula>"A"</formula>
    </cfRule>
    <cfRule type="cellIs" dxfId="35" priority="17" operator="equal">
      <formula>"P"</formula>
    </cfRule>
  </conditionalFormatting>
  <conditionalFormatting sqref="D3:T4 D5:O5 S5 P5:R50 T5:T50 D6:F50 H6:H50 J6:M50">
    <cfRule type="expression" dxfId="34" priority="19">
      <formula>D$3="Sun"</formula>
    </cfRule>
  </conditionalFormatting>
  <conditionalFormatting sqref="U3:V3 U5:V50">
    <cfRule type="expression" dxfId="33" priority="20">
      <formula>#REF!="Sun"</formula>
    </cfRule>
  </conditionalFormatting>
  <conditionalFormatting sqref="W5:W11">
    <cfRule type="expression" dxfId="32" priority="7">
      <formula>W$3="Sun"</formula>
    </cfRule>
  </conditionalFormatting>
  <conditionalFormatting sqref="W14:W17">
    <cfRule type="expression" dxfId="31" priority="3">
      <formula>W$3="Sun"</formula>
    </cfRule>
  </conditionalFormatting>
  <conditionalFormatting sqref="W22:W25">
    <cfRule type="expression" dxfId="30" priority="2">
      <formula>W$3="Sun"</formula>
    </cfRule>
  </conditionalFormatting>
  <conditionalFormatting sqref="W4:X4">
    <cfRule type="expression" dxfId="29" priority="8">
      <formula>W$3="Sun"</formula>
    </cfRule>
  </conditionalFormatting>
  <conditionalFormatting sqref="X14:Z14">
    <cfRule type="expression" dxfId="28" priority="4">
      <formula>X$3="Sun"</formula>
    </cfRule>
  </conditionalFormatting>
  <conditionalFormatting sqref="X22:Z22">
    <cfRule type="expression" dxfId="27" priority="1">
      <formula>X$3="Sun"</formula>
    </cfRule>
  </conditionalFormatting>
  <conditionalFormatting sqref="Z23">
    <cfRule type="expression" dxfId="26" priority="6">
      <formula>Z$3="Sun"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30463-4816-45C7-A655-0A88DE46C51D}">
  <dimension ref="A1:AA38"/>
  <sheetViews>
    <sheetView topLeftCell="A7" workbookViewId="0">
      <selection activeCell="Z15" sqref="Z15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 bestFit="1"/>
    <col min="6" max="7" width="3.7109375" style="1" bestFit="1" customWidth="1"/>
    <col min="8" max="8" width="3.85546875" style="1" bestFit="1"/>
    <col min="9" max="9" width="4.5703125" style="1" bestFit="1" customWidth="1"/>
    <col min="10" max="10" width="3.85546875" style="1" bestFit="1"/>
    <col min="11" max="11" width="4.7109375" style="1" bestFit="1" customWidth="1"/>
    <col min="12" max="12" width="3.85546875" style="1" bestFit="1"/>
    <col min="13" max="14" width="3.7109375" style="1" bestFit="1" customWidth="1"/>
    <col min="15" max="15" width="3.85546875" style="1" bestFit="1"/>
    <col min="16" max="16" width="4.5703125" style="1" bestFit="1" customWidth="1"/>
    <col min="17" max="17" width="3.85546875" style="1" bestFit="1"/>
    <col min="18" max="18" width="4.7109375" style="1" bestFit="1" customWidth="1"/>
    <col min="19" max="19" width="3.85546875" style="1" bestFit="1"/>
    <col min="20" max="21" width="3.7109375" style="1" customWidth="1"/>
    <col min="22" max="23" width="6.7109375" style="1" bestFit="1" customWidth="1"/>
    <col min="24" max="24" width="21.140625" style="1" bestFit="1" customWidth="1"/>
    <col min="25" max="25" width="5.85546875" style="1" bestFit="1" customWidth="1"/>
    <col min="26" max="26" width="14.28515625" style="1" bestFit="1" customWidth="1"/>
    <col min="27" max="27" width="6.7109375" style="1" bestFit="1" customWidth="1"/>
    <col min="28" max="16384" width="3.85546875" style="1"/>
  </cols>
  <sheetData>
    <row r="1" spans="1:27" ht="17.25" x14ac:dyDescent="0.25">
      <c r="A1" s="81" t="s">
        <v>19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</row>
    <row r="2" spans="1:27" ht="17.25" x14ac:dyDescent="0.3">
      <c r="A2" s="82" t="s">
        <v>18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</row>
    <row r="3" spans="1:27" ht="15.75" x14ac:dyDescent="0.25">
      <c r="A3" s="84" t="s">
        <v>0</v>
      </c>
      <c r="B3" s="84" t="s">
        <v>1</v>
      </c>
      <c r="C3" s="84" t="s">
        <v>2</v>
      </c>
      <c r="D3" s="84" t="s">
        <v>3</v>
      </c>
      <c r="E3" s="2" t="str">
        <f t="shared" ref="E3:U3" si="0">TEXT(E4,"ddd")</f>
        <v>Thu</v>
      </c>
      <c r="F3" s="2" t="str">
        <f t="shared" si="0"/>
        <v>Fri</v>
      </c>
      <c r="G3" s="2" t="str">
        <f t="shared" si="0"/>
        <v>Sat</v>
      </c>
      <c r="H3" s="2" t="str">
        <f t="shared" si="0"/>
        <v>Sun</v>
      </c>
      <c r="I3" s="2" t="str">
        <f t="shared" si="0"/>
        <v>Mon</v>
      </c>
      <c r="J3" s="2" t="str">
        <f t="shared" si="0"/>
        <v>Tue</v>
      </c>
      <c r="K3" s="2" t="str">
        <f t="shared" si="0"/>
        <v>Wed</v>
      </c>
      <c r="L3" s="2" t="str">
        <f t="shared" si="0"/>
        <v>Thu</v>
      </c>
      <c r="M3" s="2" t="str">
        <f t="shared" si="0"/>
        <v>Fri</v>
      </c>
      <c r="N3" s="2" t="str">
        <f t="shared" si="0"/>
        <v>Sat</v>
      </c>
      <c r="O3" s="2" t="str">
        <f t="shared" si="0"/>
        <v>Sun</v>
      </c>
      <c r="P3" s="2" t="str">
        <f t="shared" si="0"/>
        <v>Mon</v>
      </c>
      <c r="Q3" s="2" t="str">
        <f t="shared" si="0"/>
        <v>Tue</v>
      </c>
      <c r="R3" s="2" t="str">
        <f t="shared" si="0"/>
        <v>Wed</v>
      </c>
      <c r="S3" s="2" t="str">
        <f t="shared" si="0"/>
        <v>Thu</v>
      </c>
      <c r="T3" s="2" t="str">
        <f t="shared" si="0"/>
        <v>Fri</v>
      </c>
      <c r="U3" s="2" t="str">
        <f t="shared" si="0"/>
        <v>Sat</v>
      </c>
      <c r="V3" s="79" t="s">
        <v>4</v>
      </c>
      <c r="W3" s="79" t="s">
        <v>5</v>
      </c>
      <c r="X3" s="76" t="s">
        <v>210</v>
      </c>
      <c r="Y3" s="77"/>
      <c r="Z3" s="3"/>
      <c r="AA3" s="3"/>
    </row>
    <row r="4" spans="1:27" ht="36.75" x14ac:dyDescent="0.25">
      <c r="A4" s="85"/>
      <c r="B4" s="85"/>
      <c r="C4" s="85"/>
      <c r="D4" s="85"/>
      <c r="E4" s="17">
        <v>45519</v>
      </c>
      <c r="F4" s="17">
        <v>45520</v>
      </c>
      <c r="G4" s="17">
        <v>45521</v>
      </c>
      <c r="H4" s="17">
        <v>45522</v>
      </c>
      <c r="I4" s="17">
        <v>45523</v>
      </c>
      <c r="J4" s="17">
        <v>45524</v>
      </c>
      <c r="K4" s="17">
        <v>45525</v>
      </c>
      <c r="L4" s="17">
        <v>45526</v>
      </c>
      <c r="M4" s="17">
        <v>45527</v>
      </c>
      <c r="N4" s="17">
        <v>45528</v>
      </c>
      <c r="O4" s="17">
        <v>45529</v>
      </c>
      <c r="P4" s="17">
        <v>45530</v>
      </c>
      <c r="Q4" s="17">
        <v>45531</v>
      </c>
      <c r="R4" s="17">
        <v>45532</v>
      </c>
      <c r="S4" s="17">
        <v>45533</v>
      </c>
      <c r="T4" s="17">
        <v>45534</v>
      </c>
      <c r="U4" s="17">
        <v>45535</v>
      </c>
      <c r="V4" s="79"/>
      <c r="W4" s="79"/>
      <c r="X4" s="4" t="s">
        <v>315</v>
      </c>
      <c r="Y4" s="4">
        <f>SUM(Y5:Y11)</f>
        <v>31</v>
      </c>
      <c r="Z4" s="3"/>
      <c r="AA4" s="3"/>
    </row>
    <row r="5" spans="1:27" ht="15" customHeight="1" x14ac:dyDescent="0.25">
      <c r="A5" s="5">
        <v>1</v>
      </c>
      <c r="B5" s="20" t="s">
        <v>692</v>
      </c>
      <c r="C5" s="21" t="s">
        <v>517</v>
      </c>
      <c r="D5" s="8" t="s">
        <v>693</v>
      </c>
      <c r="E5" s="9" t="s">
        <v>104</v>
      </c>
      <c r="F5" s="9" t="s">
        <v>104</v>
      </c>
      <c r="G5" s="9" t="s">
        <v>103</v>
      </c>
      <c r="H5" s="86" t="s">
        <v>317</v>
      </c>
      <c r="I5" s="9" t="s">
        <v>104</v>
      </c>
      <c r="J5" s="94" t="s">
        <v>657</v>
      </c>
      <c r="K5" s="9" t="s">
        <v>104</v>
      </c>
      <c r="L5" s="9" t="s">
        <v>104</v>
      </c>
      <c r="M5" s="9" t="s">
        <v>104</v>
      </c>
      <c r="N5" s="9" t="s">
        <v>104</v>
      </c>
      <c r="O5" s="86" t="s">
        <v>317</v>
      </c>
      <c r="P5" s="88" t="s">
        <v>694</v>
      </c>
      <c r="Q5" s="9" t="s">
        <v>104</v>
      </c>
      <c r="R5" s="9" t="s">
        <v>103</v>
      </c>
      <c r="S5" s="9" t="s">
        <v>104</v>
      </c>
      <c r="T5" s="88" t="s">
        <v>602</v>
      </c>
      <c r="U5" s="9" t="s">
        <v>103</v>
      </c>
      <c r="V5" s="4">
        <f t="shared" ref="V5:V38" si="1">COUNTIF(E5:U5,"P")</f>
        <v>9</v>
      </c>
      <c r="W5" s="4">
        <f t="shared" ref="W5:W38" si="2">COUNTIF(E5:T5,"A")</f>
        <v>2</v>
      </c>
      <c r="X5" s="4" t="s">
        <v>7</v>
      </c>
      <c r="Y5" s="11">
        <v>11</v>
      </c>
      <c r="Z5" s="12"/>
      <c r="AA5" s="3"/>
    </row>
    <row r="6" spans="1:27" x14ac:dyDescent="0.25">
      <c r="A6" s="11">
        <v>2</v>
      </c>
      <c r="B6" s="20" t="s">
        <v>507</v>
      </c>
      <c r="C6" s="21" t="s">
        <v>441</v>
      </c>
      <c r="D6" s="8" t="s">
        <v>693</v>
      </c>
      <c r="E6" s="9" t="s">
        <v>104</v>
      </c>
      <c r="F6" s="9" t="s">
        <v>104</v>
      </c>
      <c r="G6" s="9" t="s">
        <v>104</v>
      </c>
      <c r="H6" s="87"/>
      <c r="I6" s="9" t="s">
        <v>104</v>
      </c>
      <c r="J6" s="95"/>
      <c r="K6" s="9" t="s">
        <v>104</v>
      </c>
      <c r="L6" s="9" t="s">
        <v>104</v>
      </c>
      <c r="M6" s="9" t="s">
        <v>104</v>
      </c>
      <c r="N6" s="9" t="s">
        <v>104</v>
      </c>
      <c r="O6" s="87"/>
      <c r="P6" s="89"/>
      <c r="Q6" s="9" t="s">
        <v>103</v>
      </c>
      <c r="R6" s="9" t="s">
        <v>103</v>
      </c>
      <c r="S6" s="9" t="s">
        <v>104</v>
      </c>
      <c r="T6" s="89"/>
      <c r="U6" s="9" t="s">
        <v>103</v>
      </c>
      <c r="V6" s="4">
        <f t="shared" si="1"/>
        <v>9</v>
      </c>
      <c r="W6" s="4">
        <f t="shared" si="2"/>
        <v>2</v>
      </c>
      <c r="X6" s="4" t="s">
        <v>8</v>
      </c>
      <c r="Y6" s="11">
        <v>4</v>
      </c>
      <c r="Z6" s="3"/>
      <c r="AA6" s="3"/>
    </row>
    <row r="7" spans="1:27" x14ac:dyDescent="0.25">
      <c r="A7" s="5">
        <v>3</v>
      </c>
      <c r="B7" s="20" t="s">
        <v>118</v>
      </c>
      <c r="C7" s="21" t="s">
        <v>445</v>
      </c>
      <c r="D7" s="8" t="s">
        <v>693</v>
      </c>
      <c r="E7" s="9" t="s">
        <v>104</v>
      </c>
      <c r="F7" s="9" t="s">
        <v>104</v>
      </c>
      <c r="G7" s="9" t="s">
        <v>104</v>
      </c>
      <c r="H7" s="87"/>
      <c r="I7" s="9" t="s">
        <v>104</v>
      </c>
      <c r="J7" s="95"/>
      <c r="K7" s="9" t="s">
        <v>104</v>
      </c>
      <c r="L7" s="9" t="s">
        <v>104</v>
      </c>
      <c r="M7" s="9" t="s">
        <v>104</v>
      </c>
      <c r="N7" s="9" t="s">
        <v>104</v>
      </c>
      <c r="O7" s="87"/>
      <c r="P7" s="89"/>
      <c r="Q7" s="9" t="s">
        <v>104</v>
      </c>
      <c r="R7" s="9" t="s">
        <v>104</v>
      </c>
      <c r="S7" s="9" t="s">
        <v>104</v>
      </c>
      <c r="T7" s="89"/>
      <c r="U7" s="9" t="s">
        <v>103</v>
      </c>
      <c r="V7" s="4">
        <f t="shared" si="1"/>
        <v>11</v>
      </c>
      <c r="W7" s="4">
        <f t="shared" si="2"/>
        <v>0</v>
      </c>
      <c r="X7" s="4" t="s">
        <v>313</v>
      </c>
      <c r="Y7" s="11">
        <v>12</v>
      </c>
      <c r="Z7" s="3"/>
      <c r="AA7" s="3"/>
    </row>
    <row r="8" spans="1:27" x14ac:dyDescent="0.25">
      <c r="A8" s="11">
        <v>4</v>
      </c>
      <c r="B8" s="20" t="s">
        <v>695</v>
      </c>
      <c r="C8" s="21" t="s">
        <v>99</v>
      </c>
      <c r="D8" s="8" t="s">
        <v>693</v>
      </c>
      <c r="E8" s="9" t="s">
        <v>103</v>
      </c>
      <c r="F8" s="9" t="s">
        <v>104</v>
      </c>
      <c r="G8" s="9" t="s">
        <v>104</v>
      </c>
      <c r="H8" s="87"/>
      <c r="I8" s="9" t="s">
        <v>104</v>
      </c>
      <c r="J8" s="95"/>
      <c r="K8" s="9" t="s">
        <v>104</v>
      </c>
      <c r="L8" s="9" t="s">
        <v>104</v>
      </c>
      <c r="M8" s="9" t="s">
        <v>104</v>
      </c>
      <c r="N8" s="9" t="s">
        <v>104</v>
      </c>
      <c r="O8" s="87"/>
      <c r="P8" s="89"/>
      <c r="Q8" s="9" t="s">
        <v>104</v>
      </c>
      <c r="R8" s="9" t="s">
        <v>104</v>
      </c>
      <c r="S8" s="9" t="s">
        <v>104</v>
      </c>
      <c r="T8" s="89"/>
      <c r="U8" s="9" t="s">
        <v>103</v>
      </c>
      <c r="V8" s="4">
        <f t="shared" si="1"/>
        <v>10</v>
      </c>
      <c r="W8" s="4">
        <f t="shared" si="2"/>
        <v>1</v>
      </c>
      <c r="X8" s="4" t="s">
        <v>310</v>
      </c>
      <c r="Y8" s="11">
        <v>1</v>
      </c>
      <c r="Z8"/>
      <c r="AA8"/>
    </row>
    <row r="9" spans="1:27" x14ac:dyDescent="0.25">
      <c r="A9" s="5">
        <v>5</v>
      </c>
      <c r="B9" s="20" t="s">
        <v>579</v>
      </c>
      <c r="C9" s="21" t="s">
        <v>167</v>
      </c>
      <c r="D9" s="8" t="s">
        <v>693</v>
      </c>
      <c r="E9" s="9" t="s">
        <v>103</v>
      </c>
      <c r="F9" s="9" t="s">
        <v>104</v>
      </c>
      <c r="G9" s="9" t="s">
        <v>104</v>
      </c>
      <c r="H9" s="87"/>
      <c r="I9" s="9" t="s">
        <v>104</v>
      </c>
      <c r="J9" s="95"/>
      <c r="K9" s="9" t="s">
        <v>104</v>
      </c>
      <c r="L9" s="9" t="s">
        <v>104</v>
      </c>
      <c r="M9" s="9" t="s">
        <v>104</v>
      </c>
      <c r="N9" s="9" t="s">
        <v>104</v>
      </c>
      <c r="O9" s="87"/>
      <c r="P9" s="89"/>
      <c r="Q9" s="9" t="s">
        <v>104</v>
      </c>
      <c r="R9" s="9" t="s">
        <v>103</v>
      </c>
      <c r="S9" s="9" t="s">
        <v>104</v>
      </c>
      <c r="T9" s="89"/>
      <c r="U9" s="9" t="s">
        <v>103</v>
      </c>
      <c r="V9" s="4">
        <f t="shared" si="1"/>
        <v>9</v>
      </c>
      <c r="W9" s="4">
        <f t="shared" si="2"/>
        <v>2</v>
      </c>
      <c r="X9" s="4" t="s">
        <v>314</v>
      </c>
      <c r="Y9" s="11">
        <v>1</v>
      </c>
      <c r="Z9"/>
      <c r="AA9"/>
    </row>
    <row r="10" spans="1:27" x14ac:dyDescent="0.25">
      <c r="A10" s="11">
        <v>6</v>
      </c>
      <c r="B10" s="20" t="s">
        <v>696</v>
      </c>
      <c r="C10" s="21" t="s">
        <v>517</v>
      </c>
      <c r="D10" s="8" t="s">
        <v>693</v>
      </c>
      <c r="E10" s="9" t="s">
        <v>104</v>
      </c>
      <c r="F10" s="9" t="s">
        <v>104</v>
      </c>
      <c r="G10" s="9" t="s">
        <v>103</v>
      </c>
      <c r="H10" s="87"/>
      <c r="I10" s="9" t="s">
        <v>104</v>
      </c>
      <c r="J10" s="95"/>
      <c r="K10" s="9" t="s">
        <v>104</v>
      </c>
      <c r="L10" s="9" t="s">
        <v>104</v>
      </c>
      <c r="M10" s="9" t="s">
        <v>104</v>
      </c>
      <c r="N10" s="9" t="s">
        <v>104</v>
      </c>
      <c r="O10" s="87"/>
      <c r="P10" s="89"/>
      <c r="Q10" s="9" t="s">
        <v>104</v>
      </c>
      <c r="R10" s="9" t="s">
        <v>103</v>
      </c>
      <c r="S10" s="9" t="s">
        <v>104</v>
      </c>
      <c r="T10" s="89"/>
      <c r="U10" s="9" t="s">
        <v>103</v>
      </c>
      <c r="V10" s="4">
        <f t="shared" si="1"/>
        <v>9</v>
      </c>
      <c r="W10" s="4">
        <f t="shared" si="2"/>
        <v>2</v>
      </c>
      <c r="X10" s="4" t="s">
        <v>311</v>
      </c>
      <c r="Y10" s="11">
        <v>1</v>
      </c>
      <c r="Z10"/>
      <c r="AA10"/>
    </row>
    <row r="11" spans="1:27" x14ac:dyDescent="0.25">
      <c r="A11" s="5">
        <v>7</v>
      </c>
      <c r="B11" s="20" t="s">
        <v>697</v>
      </c>
      <c r="C11" s="21" t="s">
        <v>566</v>
      </c>
      <c r="D11" s="8" t="s">
        <v>693</v>
      </c>
      <c r="E11" s="9" t="s">
        <v>104</v>
      </c>
      <c r="F11" s="9" t="s">
        <v>104</v>
      </c>
      <c r="G11" s="9" t="s">
        <v>104</v>
      </c>
      <c r="H11" s="87"/>
      <c r="I11" s="9" t="s">
        <v>104</v>
      </c>
      <c r="J11" s="95"/>
      <c r="K11" s="9" t="s">
        <v>104</v>
      </c>
      <c r="L11" s="9" t="s">
        <v>104</v>
      </c>
      <c r="M11" s="9" t="s">
        <v>104</v>
      </c>
      <c r="N11" s="9" t="s">
        <v>104</v>
      </c>
      <c r="O11" s="87"/>
      <c r="P11" s="89"/>
      <c r="Q11" s="9" t="s">
        <v>104</v>
      </c>
      <c r="R11" s="9" t="s">
        <v>104</v>
      </c>
      <c r="S11" s="9" t="s">
        <v>104</v>
      </c>
      <c r="T11" s="89"/>
      <c r="U11" s="9" t="s">
        <v>103</v>
      </c>
      <c r="V11" s="4">
        <f t="shared" si="1"/>
        <v>11</v>
      </c>
      <c r="W11" s="4">
        <f t="shared" si="2"/>
        <v>0</v>
      </c>
      <c r="X11" s="4" t="s">
        <v>312</v>
      </c>
      <c r="Y11" s="11">
        <v>1</v>
      </c>
      <c r="Z11"/>
      <c r="AA11"/>
    </row>
    <row r="12" spans="1:27" x14ac:dyDescent="0.25">
      <c r="A12" s="11">
        <v>8</v>
      </c>
      <c r="B12" s="20" t="s">
        <v>233</v>
      </c>
      <c r="C12" s="21" t="s">
        <v>698</v>
      </c>
      <c r="D12" s="8" t="s">
        <v>693</v>
      </c>
      <c r="E12" s="9" t="s">
        <v>104</v>
      </c>
      <c r="F12" s="9" t="s">
        <v>104</v>
      </c>
      <c r="G12" s="9" t="s">
        <v>104</v>
      </c>
      <c r="H12" s="87"/>
      <c r="I12" s="9" t="s">
        <v>104</v>
      </c>
      <c r="J12" s="95"/>
      <c r="K12" s="9" t="s">
        <v>104</v>
      </c>
      <c r="L12" s="9" t="s">
        <v>104</v>
      </c>
      <c r="M12" s="9" t="s">
        <v>104</v>
      </c>
      <c r="N12" s="9" t="s">
        <v>104</v>
      </c>
      <c r="O12" s="87"/>
      <c r="P12" s="89"/>
      <c r="Q12" s="9" t="s">
        <v>104</v>
      </c>
      <c r="R12" s="9" t="s">
        <v>103</v>
      </c>
      <c r="S12" s="9" t="s">
        <v>104</v>
      </c>
      <c r="T12" s="89"/>
      <c r="U12" s="9" t="s">
        <v>103</v>
      </c>
      <c r="V12" s="4">
        <f t="shared" si="1"/>
        <v>10</v>
      </c>
      <c r="W12" s="4">
        <f t="shared" si="2"/>
        <v>1</v>
      </c>
      <c r="X12"/>
      <c r="Y12"/>
      <c r="Z12"/>
      <c r="AA12"/>
    </row>
    <row r="13" spans="1:27" ht="15.75" x14ac:dyDescent="0.25">
      <c r="A13" s="5">
        <v>9</v>
      </c>
      <c r="B13" s="20" t="s">
        <v>699</v>
      </c>
      <c r="C13" s="21" t="s">
        <v>299</v>
      </c>
      <c r="D13" s="8" t="s">
        <v>693</v>
      </c>
      <c r="E13" s="9" t="s">
        <v>104</v>
      </c>
      <c r="F13" s="9" t="s">
        <v>104</v>
      </c>
      <c r="G13" s="9" t="s">
        <v>104</v>
      </c>
      <c r="H13" s="87"/>
      <c r="I13" s="9" t="s">
        <v>104</v>
      </c>
      <c r="J13" s="95"/>
      <c r="K13" s="9" t="s">
        <v>104</v>
      </c>
      <c r="L13" s="9" t="s">
        <v>104</v>
      </c>
      <c r="M13" s="9" t="s">
        <v>104</v>
      </c>
      <c r="N13" s="9" t="s">
        <v>104</v>
      </c>
      <c r="O13" s="87"/>
      <c r="P13" s="89"/>
      <c r="Q13" s="9" t="s">
        <v>103</v>
      </c>
      <c r="R13" s="9" t="s">
        <v>103</v>
      </c>
      <c r="S13" s="9" t="s">
        <v>104</v>
      </c>
      <c r="T13" s="89"/>
      <c r="U13" s="9" t="s">
        <v>103</v>
      </c>
      <c r="V13" s="4">
        <f t="shared" si="1"/>
        <v>9</v>
      </c>
      <c r="W13" s="4">
        <f t="shared" si="2"/>
        <v>2</v>
      </c>
      <c r="X13" s="76" t="s">
        <v>9</v>
      </c>
      <c r="Y13" s="77"/>
      <c r="Z13" s="77"/>
      <c r="AA13" s="78"/>
    </row>
    <row r="14" spans="1:27" x14ac:dyDescent="0.25">
      <c r="A14" s="11">
        <v>10</v>
      </c>
      <c r="B14" s="20" t="s">
        <v>700</v>
      </c>
      <c r="C14" s="21" t="s">
        <v>95</v>
      </c>
      <c r="D14" s="8" t="s">
        <v>693</v>
      </c>
      <c r="E14" s="9" t="s">
        <v>103</v>
      </c>
      <c r="F14" s="9" t="s">
        <v>104</v>
      </c>
      <c r="G14" s="9" t="s">
        <v>104</v>
      </c>
      <c r="H14" s="87"/>
      <c r="I14" s="9" t="s">
        <v>103</v>
      </c>
      <c r="J14" s="95"/>
      <c r="K14" s="9" t="s">
        <v>104</v>
      </c>
      <c r="L14" s="9" t="s">
        <v>104</v>
      </c>
      <c r="M14" s="9" t="s">
        <v>104</v>
      </c>
      <c r="N14" s="9" t="s">
        <v>104</v>
      </c>
      <c r="O14" s="87"/>
      <c r="P14" s="89"/>
      <c r="Q14" s="9" t="s">
        <v>104</v>
      </c>
      <c r="R14" s="9" t="s">
        <v>103</v>
      </c>
      <c r="S14" s="9" t="s">
        <v>104</v>
      </c>
      <c r="T14" s="89"/>
      <c r="U14" s="9" t="s">
        <v>104</v>
      </c>
      <c r="V14" s="4">
        <f t="shared" si="1"/>
        <v>9</v>
      </c>
      <c r="W14" s="4">
        <f t="shared" si="2"/>
        <v>3</v>
      </c>
      <c r="X14" s="4" t="s">
        <v>10</v>
      </c>
      <c r="Y14" s="4" t="s">
        <v>11</v>
      </c>
      <c r="Z14" s="4" t="s">
        <v>12</v>
      </c>
      <c r="AA14" s="4" t="s">
        <v>13</v>
      </c>
    </row>
    <row r="15" spans="1:27" x14ac:dyDescent="0.25">
      <c r="A15" s="5">
        <v>11</v>
      </c>
      <c r="B15" s="20" t="s">
        <v>701</v>
      </c>
      <c r="C15" s="21" t="s">
        <v>342</v>
      </c>
      <c r="D15" s="8" t="s">
        <v>693</v>
      </c>
      <c r="E15" s="9" t="s">
        <v>103</v>
      </c>
      <c r="F15" s="9" t="s">
        <v>104</v>
      </c>
      <c r="G15" s="9" t="s">
        <v>104</v>
      </c>
      <c r="H15" s="87"/>
      <c r="I15" s="9" t="s">
        <v>104</v>
      </c>
      <c r="J15" s="95"/>
      <c r="K15" s="9" t="s">
        <v>104</v>
      </c>
      <c r="L15" s="9" t="s">
        <v>104</v>
      </c>
      <c r="M15" s="9" t="s">
        <v>104</v>
      </c>
      <c r="N15" s="9" t="s">
        <v>104</v>
      </c>
      <c r="O15" s="87"/>
      <c r="P15" s="89"/>
      <c r="Q15" s="9" t="s">
        <v>104</v>
      </c>
      <c r="R15" s="9" t="s">
        <v>104</v>
      </c>
      <c r="S15" s="9" t="s">
        <v>104</v>
      </c>
      <c r="T15" s="89"/>
      <c r="U15" s="9" t="s">
        <v>103</v>
      </c>
      <c r="V15" s="4">
        <f t="shared" si="1"/>
        <v>10</v>
      </c>
      <c r="W15" s="4">
        <f t="shared" si="2"/>
        <v>1</v>
      </c>
      <c r="X15" s="4" t="s">
        <v>14</v>
      </c>
      <c r="Y15" s="11">
        <f>16*11</f>
        <v>176</v>
      </c>
      <c r="Z15" s="11">
        <f>18*11</f>
        <v>198</v>
      </c>
      <c r="AA15" s="11">
        <f>SUM(Y15:Z15)</f>
        <v>374</v>
      </c>
    </row>
    <row r="16" spans="1:27" x14ac:dyDescent="0.25">
      <c r="A16" s="11">
        <v>12</v>
      </c>
      <c r="B16" s="20" t="s">
        <v>642</v>
      </c>
      <c r="C16" s="21" t="s">
        <v>702</v>
      </c>
      <c r="D16" s="8" t="s">
        <v>693</v>
      </c>
      <c r="E16" s="9" t="s">
        <v>103</v>
      </c>
      <c r="F16" s="9" t="s">
        <v>103</v>
      </c>
      <c r="G16" s="9" t="s">
        <v>103</v>
      </c>
      <c r="H16" s="87"/>
      <c r="I16" s="9" t="s">
        <v>104</v>
      </c>
      <c r="J16" s="95"/>
      <c r="K16" s="9" t="s">
        <v>104</v>
      </c>
      <c r="L16" s="9" t="s">
        <v>104</v>
      </c>
      <c r="M16" s="9" t="s">
        <v>104</v>
      </c>
      <c r="N16" s="9" t="s">
        <v>104</v>
      </c>
      <c r="O16" s="87"/>
      <c r="P16" s="89"/>
      <c r="Q16" s="9" t="s">
        <v>103</v>
      </c>
      <c r="R16" s="9" t="s">
        <v>103</v>
      </c>
      <c r="S16" s="9" t="s">
        <v>104</v>
      </c>
      <c r="T16" s="89"/>
      <c r="U16" s="9" t="s">
        <v>103</v>
      </c>
      <c r="V16" s="4">
        <f t="shared" si="1"/>
        <v>6</v>
      </c>
      <c r="W16" s="4">
        <f t="shared" si="2"/>
        <v>5</v>
      </c>
      <c r="X16" s="4" t="s">
        <v>15</v>
      </c>
      <c r="Y16" s="11">
        <f>SUM(V23:V38)</f>
        <v>90</v>
      </c>
      <c r="Z16" s="11">
        <f>SUM(V5:V22)</f>
        <v>171</v>
      </c>
      <c r="AA16" s="11">
        <f>Y16+Z16</f>
        <v>261</v>
      </c>
    </row>
    <row r="17" spans="1:27" x14ac:dyDescent="0.25">
      <c r="A17" s="5">
        <v>13</v>
      </c>
      <c r="B17" s="20" t="s">
        <v>703</v>
      </c>
      <c r="C17" s="21" t="s">
        <v>704</v>
      </c>
      <c r="D17" s="8" t="s">
        <v>693</v>
      </c>
      <c r="E17" s="9" t="s">
        <v>103</v>
      </c>
      <c r="F17" s="9" t="s">
        <v>104</v>
      </c>
      <c r="G17" s="9" t="s">
        <v>104</v>
      </c>
      <c r="H17" s="87"/>
      <c r="I17" s="9" t="s">
        <v>104</v>
      </c>
      <c r="J17" s="95"/>
      <c r="K17" s="9" t="s">
        <v>104</v>
      </c>
      <c r="L17" s="9" t="s">
        <v>104</v>
      </c>
      <c r="M17" s="9" t="s">
        <v>104</v>
      </c>
      <c r="N17" s="9" t="s">
        <v>104</v>
      </c>
      <c r="O17" s="87"/>
      <c r="P17" s="89"/>
      <c r="Q17" s="9" t="s">
        <v>104</v>
      </c>
      <c r="R17" s="9" t="s">
        <v>104</v>
      </c>
      <c r="S17" s="9" t="s">
        <v>104</v>
      </c>
      <c r="T17" s="89"/>
      <c r="U17" s="9" t="s">
        <v>103</v>
      </c>
      <c r="V17" s="4">
        <f t="shared" si="1"/>
        <v>10</v>
      </c>
      <c r="W17" s="4">
        <f t="shared" si="2"/>
        <v>1</v>
      </c>
      <c r="X17" s="4" t="s">
        <v>16</v>
      </c>
      <c r="Y17" s="15">
        <f>Y16/Y15</f>
        <v>0.51136363636363635</v>
      </c>
      <c r="Z17" s="15">
        <f>Z16/Z15</f>
        <v>0.86363636363636365</v>
      </c>
      <c r="AA17" s="15">
        <f>AA16/AA15</f>
        <v>0.69786096256684493</v>
      </c>
    </row>
    <row r="18" spans="1:27" x14ac:dyDescent="0.25">
      <c r="A18" s="11">
        <v>14</v>
      </c>
      <c r="B18" s="20" t="s">
        <v>705</v>
      </c>
      <c r="C18" s="21" t="s">
        <v>704</v>
      </c>
      <c r="D18" s="8" t="s">
        <v>693</v>
      </c>
      <c r="E18" s="9" t="s">
        <v>103</v>
      </c>
      <c r="F18" s="9" t="s">
        <v>104</v>
      </c>
      <c r="G18" s="9" t="s">
        <v>104</v>
      </c>
      <c r="H18" s="87"/>
      <c r="I18" s="9" t="s">
        <v>104</v>
      </c>
      <c r="J18" s="95"/>
      <c r="K18" s="9" t="s">
        <v>104</v>
      </c>
      <c r="L18" s="9" t="s">
        <v>104</v>
      </c>
      <c r="M18" s="9" t="s">
        <v>104</v>
      </c>
      <c r="N18" s="9" t="s">
        <v>104</v>
      </c>
      <c r="O18" s="87"/>
      <c r="P18" s="89"/>
      <c r="Q18" s="9" t="s">
        <v>104</v>
      </c>
      <c r="R18" s="9" t="s">
        <v>103</v>
      </c>
      <c r="S18" s="9" t="s">
        <v>104</v>
      </c>
      <c r="T18" s="89"/>
      <c r="U18" s="9" t="s">
        <v>103</v>
      </c>
      <c r="V18" s="4">
        <f t="shared" si="1"/>
        <v>9</v>
      </c>
      <c r="W18" s="4">
        <f t="shared" si="2"/>
        <v>2</v>
      </c>
      <c r="X18"/>
      <c r="Y18"/>
      <c r="Z18"/>
      <c r="AA18"/>
    </row>
    <row r="19" spans="1:27" x14ac:dyDescent="0.25">
      <c r="A19" s="5">
        <v>15</v>
      </c>
      <c r="B19" s="20" t="s">
        <v>706</v>
      </c>
      <c r="C19" s="21" t="s">
        <v>707</v>
      </c>
      <c r="D19" s="8" t="s">
        <v>693</v>
      </c>
      <c r="E19" s="9" t="s">
        <v>104</v>
      </c>
      <c r="F19" s="9" t="s">
        <v>104</v>
      </c>
      <c r="G19" s="9" t="s">
        <v>104</v>
      </c>
      <c r="H19" s="87"/>
      <c r="I19" s="9" t="s">
        <v>104</v>
      </c>
      <c r="J19" s="95"/>
      <c r="K19" s="9" t="s">
        <v>104</v>
      </c>
      <c r="L19" s="9" t="s">
        <v>104</v>
      </c>
      <c r="M19" s="9" t="s">
        <v>104</v>
      </c>
      <c r="N19" s="9" t="s">
        <v>104</v>
      </c>
      <c r="O19" s="87"/>
      <c r="P19" s="89"/>
      <c r="Q19" s="9" t="s">
        <v>103</v>
      </c>
      <c r="R19" s="9" t="s">
        <v>103</v>
      </c>
      <c r="S19" s="9" t="s">
        <v>104</v>
      </c>
      <c r="T19" s="89"/>
      <c r="U19" s="9" t="s">
        <v>103</v>
      </c>
      <c r="V19" s="4">
        <f t="shared" si="1"/>
        <v>9</v>
      </c>
      <c r="W19" s="4">
        <f t="shared" si="2"/>
        <v>2</v>
      </c>
      <c r="X19"/>
      <c r="Y19"/>
      <c r="Z19"/>
      <c r="AA19"/>
    </row>
    <row r="20" spans="1:27" x14ac:dyDescent="0.25">
      <c r="A20" s="11">
        <v>16</v>
      </c>
      <c r="B20" s="20" t="s">
        <v>708</v>
      </c>
      <c r="C20" s="21" t="s">
        <v>358</v>
      </c>
      <c r="D20" s="8" t="s">
        <v>693</v>
      </c>
      <c r="E20" s="9" t="s">
        <v>104</v>
      </c>
      <c r="F20" s="9" t="s">
        <v>104</v>
      </c>
      <c r="G20" s="9" t="s">
        <v>104</v>
      </c>
      <c r="H20" s="87"/>
      <c r="I20" s="9" t="s">
        <v>104</v>
      </c>
      <c r="J20" s="95"/>
      <c r="K20" s="9" t="s">
        <v>104</v>
      </c>
      <c r="L20" s="9" t="s">
        <v>104</v>
      </c>
      <c r="M20" s="9" t="s">
        <v>104</v>
      </c>
      <c r="N20" s="9" t="s">
        <v>104</v>
      </c>
      <c r="O20" s="87"/>
      <c r="P20" s="89"/>
      <c r="Q20" s="9" t="s">
        <v>103</v>
      </c>
      <c r="R20" s="9" t="s">
        <v>104</v>
      </c>
      <c r="S20" s="9" t="s">
        <v>104</v>
      </c>
      <c r="T20" s="89"/>
      <c r="U20" s="9" t="s">
        <v>104</v>
      </c>
      <c r="V20" s="4">
        <f t="shared" si="1"/>
        <v>11</v>
      </c>
      <c r="W20" s="4">
        <f t="shared" si="2"/>
        <v>1</v>
      </c>
      <c r="X20"/>
      <c r="Y20"/>
      <c r="Z20"/>
      <c r="AA20"/>
    </row>
    <row r="21" spans="1:27" ht="15.75" x14ac:dyDescent="0.25">
      <c r="A21" s="5">
        <v>17</v>
      </c>
      <c r="B21" s="20" t="s">
        <v>709</v>
      </c>
      <c r="C21" s="21" t="s">
        <v>358</v>
      </c>
      <c r="D21" s="8" t="s">
        <v>693</v>
      </c>
      <c r="E21" s="9" t="s">
        <v>104</v>
      </c>
      <c r="F21" s="9" t="s">
        <v>104</v>
      </c>
      <c r="G21" s="9" t="s">
        <v>104</v>
      </c>
      <c r="H21" s="87"/>
      <c r="I21" s="9" t="s">
        <v>104</v>
      </c>
      <c r="J21" s="95"/>
      <c r="K21" s="9" t="s">
        <v>104</v>
      </c>
      <c r="L21" s="9" t="s">
        <v>104</v>
      </c>
      <c r="M21" s="9" t="s">
        <v>104</v>
      </c>
      <c r="N21" s="9" t="s">
        <v>104</v>
      </c>
      <c r="O21" s="87"/>
      <c r="P21" s="89"/>
      <c r="Q21" s="9" t="s">
        <v>103</v>
      </c>
      <c r="R21" s="9" t="s">
        <v>104</v>
      </c>
      <c r="S21" s="9" t="s">
        <v>104</v>
      </c>
      <c r="T21" s="89"/>
      <c r="U21" s="9" t="s">
        <v>104</v>
      </c>
      <c r="V21" s="4">
        <f t="shared" si="1"/>
        <v>11</v>
      </c>
      <c r="W21" s="4">
        <f t="shared" si="2"/>
        <v>1</v>
      </c>
      <c r="X21" s="76" t="s">
        <v>316</v>
      </c>
      <c r="Y21" s="77"/>
      <c r="Z21" s="77"/>
      <c r="AA21" s="78"/>
    </row>
    <row r="22" spans="1:27" x14ac:dyDescent="0.25">
      <c r="A22" s="11">
        <v>18</v>
      </c>
      <c r="B22" s="20" t="s">
        <v>579</v>
      </c>
      <c r="C22" s="21" t="s">
        <v>710</v>
      </c>
      <c r="D22" s="8" t="s">
        <v>693</v>
      </c>
      <c r="E22" s="9" t="s">
        <v>103</v>
      </c>
      <c r="F22" s="9" t="s">
        <v>104</v>
      </c>
      <c r="G22" s="9" t="s">
        <v>103</v>
      </c>
      <c r="H22" s="87"/>
      <c r="I22" s="9" t="s">
        <v>104</v>
      </c>
      <c r="J22" s="95"/>
      <c r="K22" s="9" t="s">
        <v>104</v>
      </c>
      <c r="L22" s="9" t="s">
        <v>104</v>
      </c>
      <c r="M22" s="9" t="s">
        <v>104</v>
      </c>
      <c r="N22" s="9" t="s">
        <v>104</v>
      </c>
      <c r="O22" s="87"/>
      <c r="P22" s="89"/>
      <c r="Q22" s="9" t="s">
        <v>104</v>
      </c>
      <c r="R22" s="9" t="s">
        <v>104</v>
      </c>
      <c r="S22" s="9" t="s">
        <v>104</v>
      </c>
      <c r="T22" s="89"/>
      <c r="U22" s="9" t="s">
        <v>103</v>
      </c>
      <c r="V22" s="4">
        <f t="shared" si="1"/>
        <v>9</v>
      </c>
      <c r="W22" s="4">
        <f t="shared" si="2"/>
        <v>2</v>
      </c>
      <c r="X22" s="4" t="s">
        <v>10</v>
      </c>
      <c r="Y22" s="4" t="s">
        <v>11</v>
      </c>
      <c r="Z22" s="4" t="s">
        <v>12</v>
      </c>
      <c r="AA22" s="4" t="s">
        <v>13</v>
      </c>
    </row>
    <row r="23" spans="1:27" x14ac:dyDescent="0.25">
      <c r="A23" s="5">
        <v>1</v>
      </c>
      <c r="B23" s="20" t="s">
        <v>711</v>
      </c>
      <c r="C23" s="21" t="s">
        <v>23</v>
      </c>
      <c r="D23" s="8" t="s">
        <v>693</v>
      </c>
      <c r="E23" s="9" t="s">
        <v>103</v>
      </c>
      <c r="F23" s="9" t="s">
        <v>104</v>
      </c>
      <c r="G23" s="9" t="s">
        <v>104</v>
      </c>
      <c r="H23" s="87"/>
      <c r="I23" s="9" t="s">
        <v>104</v>
      </c>
      <c r="J23" s="95"/>
      <c r="K23" s="9" t="s">
        <v>104</v>
      </c>
      <c r="L23" s="9" t="s">
        <v>104</v>
      </c>
      <c r="M23" s="9" t="s">
        <v>104</v>
      </c>
      <c r="N23" s="9" t="s">
        <v>104</v>
      </c>
      <c r="O23" s="87"/>
      <c r="P23" s="89"/>
      <c r="Q23" s="9" t="s">
        <v>103</v>
      </c>
      <c r="R23" s="9" t="s">
        <v>103</v>
      </c>
      <c r="S23" s="9" t="s">
        <v>104</v>
      </c>
      <c r="T23" s="89"/>
      <c r="U23" s="9" t="s">
        <v>103</v>
      </c>
      <c r="V23" s="4">
        <f t="shared" si="1"/>
        <v>8</v>
      </c>
      <c r="W23" s="4">
        <f t="shared" si="2"/>
        <v>3</v>
      </c>
      <c r="X23" s="4" t="s">
        <v>14</v>
      </c>
      <c r="Y23" s="11">
        <f>16*11</f>
        <v>176</v>
      </c>
      <c r="Z23" s="11">
        <f>18*11</f>
        <v>198</v>
      </c>
      <c r="AA23" s="11">
        <f>Y23+Z23</f>
        <v>374</v>
      </c>
    </row>
    <row r="24" spans="1:27" x14ac:dyDescent="0.25">
      <c r="A24" s="11">
        <v>2</v>
      </c>
      <c r="B24" s="20" t="s">
        <v>712</v>
      </c>
      <c r="C24" s="21" t="s">
        <v>503</v>
      </c>
      <c r="D24" s="8" t="s">
        <v>693</v>
      </c>
      <c r="E24" s="9" t="s">
        <v>103</v>
      </c>
      <c r="F24" s="9" t="s">
        <v>104</v>
      </c>
      <c r="G24" s="9" t="s">
        <v>104</v>
      </c>
      <c r="H24" s="87"/>
      <c r="I24" s="9" t="s">
        <v>104</v>
      </c>
      <c r="J24" s="95"/>
      <c r="K24" s="9" t="s">
        <v>104</v>
      </c>
      <c r="L24" s="9" t="s">
        <v>104</v>
      </c>
      <c r="M24" s="9" t="s">
        <v>104</v>
      </c>
      <c r="N24" s="9" t="s">
        <v>104</v>
      </c>
      <c r="O24" s="87"/>
      <c r="P24" s="89"/>
      <c r="Q24" s="9" t="s">
        <v>104</v>
      </c>
      <c r="R24" s="9" t="s">
        <v>103</v>
      </c>
      <c r="S24" s="9" t="s">
        <v>104</v>
      </c>
      <c r="T24" s="89"/>
      <c r="U24" s="9" t="s">
        <v>103</v>
      </c>
      <c r="V24" s="4">
        <f t="shared" si="1"/>
        <v>9</v>
      </c>
      <c r="W24" s="4">
        <f t="shared" si="2"/>
        <v>2</v>
      </c>
      <c r="X24" s="4" t="s">
        <v>17</v>
      </c>
      <c r="Y24" s="11">
        <f>Y23-Y16</f>
        <v>86</v>
      </c>
      <c r="Z24" s="11">
        <f>Z23-Z16</f>
        <v>27</v>
      </c>
      <c r="AA24" s="11">
        <f>Y24+Z24</f>
        <v>113</v>
      </c>
    </row>
    <row r="25" spans="1:27" x14ac:dyDescent="0.25">
      <c r="A25" s="5">
        <v>3</v>
      </c>
      <c r="B25" s="20" t="s">
        <v>544</v>
      </c>
      <c r="C25" s="21" t="s">
        <v>490</v>
      </c>
      <c r="D25" s="8" t="s">
        <v>693</v>
      </c>
      <c r="E25" s="9" t="s">
        <v>103</v>
      </c>
      <c r="F25" s="9" t="s">
        <v>104</v>
      </c>
      <c r="G25" s="9" t="s">
        <v>104</v>
      </c>
      <c r="H25" s="87"/>
      <c r="I25" s="9" t="s">
        <v>104</v>
      </c>
      <c r="J25" s="95"/>
      <c r="K25" s="9" t="s">
        <v>104</v>
      </c>
      <c r="L25" s="9" t="s">
        <v>103</v>
      </c>
      <c r="M25" s="9" t="s">
        <v>104</v>
      </c>
      <c r="N25" s="9" t="s">
        <v>104</v>
      </c>
      <c r="O25" s="87"/>
      <c r="P25" s="89"/>
      <c r="Q25" s="9" t="s">
        <v>104</v>
      </c>
      <c r="R25" s="9" t="s">
        <v>103</v>
      </c>
      <c r="S25" s="9" t="s">
        <v>104</v>
      </c>
      <c r="T25" s="89"/>
      <c r="U25" s="9" t="s">
        <v>103</v>
      </c>
      <c r="V25" s="4">
        <f t="shared" si="1"/>
        <v>8</v>
      </c>
      <c r="W25" s="4">
        <f t="shared" si="2"/>
        <v>3</v>
      </c>
      <c r="X25" s="4" t="s">
        <v>16</v>
      </c>
      <c r="Y25" s="15">
        <f>Y24/Y23</f>
        <v>0.48863636363636365</v>
      </c>
      <c r="Z25" s="15">
        <f>Z24/Z23</f>
        <v>0.13636363636363635</v>
      </c>
      <c r="AA25" s="15">
        <f>AA24/AA23</f>
        <v>0.30213903743315507</v>
      </c>
    </row>
    <row r="26" spans="1:27" x14ac:dyDescent="0.25">
      <c r="A26" s="11">
        <v>4</v>
      </c>
      <c r="B26" s="20" t="s">
        <v>713</v>
      </c>
      <c r="C26" s="20" t="s">
        <v>522</v>
      </c>
      <c r="D26" s="8" t="s">
        <v>693</v>
      </c>
      <c r="E26" s="9" t="s">
        <v>103</v>
      </c>
      <c r="F26" s="9" t="s">
        <v>104</v>
      </c>
      <c r="G26" s="9" t="s">
        <v>104</v>
      </c>
      <c r="H26" s="87"/>
      <c r="I26" s="9" t="s">
        <v>104</v>
      </c>
      <c r="J26" s="95"/>
      <c r="K26" s="9" t="s">
        <v>104</v>
      </c>
      <c r="L26" s="9" t="s">
        <v>104</v>
      </c>
      <c r="M26" s="9" t="s">
        <v>104</v>
      </c>
      <c r="N26" s="9" t="s">
        <v>104</v>
      </c>
      <c r="O26" s="87"/>
      <c r="P26" s="89"/>
      <c r="Q26" s="9" t="s">
        <v>103</v>
      </c>
      <c r="R26" s="9" t="s">
        <v>103</v>
      </c>
      <c r="S26" s="9" t="s">
        <v>103</v>
      </c>
      <c r="T26" s="89"/>
      <c r="U26" s="9" t="s">
        <v>103</v>
      </c>
      <c r="V26" s="4">
        <f t="shared" si="1"/>
        <v>7</v>
      </c>
      <c r="W26" s="4">
        <f t="shared" si="2"/>
        <v>4</v>
      </c>
    </row>
    <row r="27" spans="1:27" x14ac:dyDescent="0.25">
      <c r="A27" s="5">
        <v>5</v>
      </c>
      <c r="B27" s="20" t="s">
        <v>714</v>
      </c>
      <c r="C27" s="21" t="s">
        <v>715</v>
      </c>
      <c r="D27" s="8" t="s">
        <v>693</v>
      </c>
      <c r="E27" s="9" t="s">
        <v>103</v>
      </c>
      <c r="F27" s="9" t="s">
        <v>103</v>
      </c>
      <c r="G27" s="9" t="s">
        <v>103</v>
      </c>
      <c r="H27" s="87"/>
      <c r="I27" s="9" t="s">
        <v>104</v>
      </c>
      <c r="J27" s="95"/>
      <c r="K27" s="9" t="s">
        <v>104</v>
      </c>
      <c r="L27" s="9" t="s">
        <v>103</v>
      </c>
      <c r="M27" s="9" t="s">
        <v>104</v>
      </c>
      <c r="N27" s="9" t="s">
        <v>104</v>
      </c>
      <c r="O27" s="87"/>
      <c r="P27" s="89"/>
      <c r="Q27" s="9" t="s">
        <v>103</v>
      </c>
      <c r="R27" s="9" t="s">
        <v>103</v>
      </c>
      <c r="S27" s="9" t="s">
        <v>104</v>
      </c>
      <c r="T27" s="89"/>
      <c r="U27" s="9" t="s">
        <v>103</v>
      </c>
      <c r="V27" s="4">
        <f t="shared" si="1"/>
        <v>5</v>
      </c>
      <c r="W27" s="4">
        <f t="shared" si="2"/>
        <v>6</v>
      </c>
    </row>
    <row r="28" spans="1:27" x14ac:dyDescent="0.25">
      <c r="A28" s="11">
        <v>6</v>
      </c>
      <c r="B28" s="22" t="s">
        <v>716</v>
      </c>
      <c r="C28" s="23" t="s">
        <v>717</v>
      </c>
      <c r="D28" s="8" t="s">
        <v>693</v>
      </c>
      <c r="E28" s="9" t="s">
        <v>103</v>
      </c>
      <c r="F28" s="9" t="s">
        <v>103</v>
      </c>
      <c r="G28" s="9" t="s">
        <v>103</v>
      </c>
      <c r="H28" s="87"/>
      <c r="I28" s="9" t="s">
        <v>104</v>
      </c>
      <c r="J28" s="95"/>
      <c r="K28" s="9" t="s">
        <v>104</v>
      </c>
      <c r="L28" s="9" t="s">
        <v>104</v>
      </c>
      <c r="M28" s="9" t="s">
        <v>103</v>
      </c>
      <c r="N28" s="9" t="s">
        <v>104</v>
      </c>
      <c r="O28" s="87"/>
      <c r="P28" s="89"/>
      <c r="Q28" s="9" t="s">
        <v>103</v>
      </c>
      <c r="R28" s="9" t="s">
        <v>103</v>
      </c>
      <c r="S28" s="9" t="s">
        <v>104</v>
      </c>
      <c r="T28" s="89"/>
      <c r="U28" s="9" t="s">
        <v>103</v>
      </c>
      <c r="V28" s="4">
        <f t="shared" si="1"/>
        <v>5</v>
      </c>
      <c r="W28" s="4">
        <f t="shared" si="2"/>
        <v>6</v>
      </c>
    </row>
    <row r="29" spans="1:27" x14ac:dyDescent="0.25">
      <c r="A29" s="5">
        <v>7</v>
      </c>
      <c r="B29" s="24" t="s">
        <v>718</v>
      </c>
      <c r="C29" s="24" t="s">
        <v>126</v>
      </c>
      <c r="D29" s="8" t="s">
        <v>693</v>
      </c>
      <c r="E29" s="9" t="s">
        <v>103</v>
      </c>
      <c r="F29" s="9" t="s">
        <v>103</v>
      </c>
      <c r="G29" s="9" t="s">
        <v>104</v>
      </c>
      <c r="H29" s="87"/>
      <c r="I29" s="9" t="s">
        <v>104</v>
      </c>
      <c r="J29" s="95"/>
      <c r="K29" s="9" t="s">
        <v>104</v>
      </c>
      <c r="L29" s="9" t="s">
        <v>104</v>
      </c>
      <c r="M29" s="9" t="s">
        <v>104</v>
      </c>
      <c r="N29" s="9" t="s">
        <v>104</v>
      </c>
      <c r="O29" s="87"/>
      <c r="P29" s="89"/>
      <c r="Q29" s="9" t="s">
        <v>103</v>
      </c>
      <c r="R29" s="9" t="s">
        <v>103</v>
      </c>
      <c r="S29" s="9" t="s">
        <v>103</v>
      </c>
      <c r="T29" s="89"/>
      <c r="U29" s="9" t="s">
        <v>103</v>
      </c>
      <c r="V29" s="4">
        <f t="shared" si="1"/>
        <v>6</v>
      </c>
      <c r="W29" s="4">
        <f t="shared" si="2"/>
        <v>5</v>
      </c>
    </row>
    <row r="30" spans="1:27" x14ac:dyDescent="0.25">
      <c r="A30" s="11">
        <v>8</v>
      </c>
      <c r="B30" s="24" t="s">
        <v>719</v>
      </c>
      <c r="C30" s="24" t="s">
        <v>720</v>
      </c>
      <c r="D30" s="8" t="s">
        <v>693</v>
      </c>
      <c r="E30" s="9" t="s">
        <v>103</v>
      </c>
      <c r="F30" s="9" t="s">
        <v>103</v>
      </c>
      <c r="G30" s="9" t="s">
        <v>103</v>
      </c>
      <c r="H30" s="87"/>
      <c r="I30" s="9" t="s">
        <v>103</v>
      </c>
      <c r="J30" s="95"/>
      <c r="K30" s="9" t="s">
        <v>103</v>
      </c>
      <c r="L30" s="9" t="s">
        <v>103</v>
      </c>
      <c r="M30" s="9" t="s">
        <v>104</v>
      </c>
      <c r="N30" s="9" t="s">
        <v>103</v>
      </c>
      <c r="O30" s="87"/>
      <c r="P30" s="89"/>
      <c r="Q30" s="9" t="s">
        <v>103</v>
      </c>
      <c r="R30" s="9" t="s">
        <v>103</v>
      </c>
      <c r="S30" s="9" t="s">
        <v>103</v>
      </c>
      <c r="T30" s="89"/>
      <c r="U30" s="9" t="s">
        <v>103</v>
      </c>
      <c r="V30" s="4">
        <f t="shared" si="1"/>
        <v>1</v>
      </c>
      <c r="W30" s="4">
        <f t="shared" si="2"/>
        <v>10</v>
      </c>
    </row>
    <row r="31" spans="1:27" x14ac:dyDescent="0.25">
      <c r="A31" s="5">
        <v>9</v>
      </c>
      <c r="B31" s="24" t="s">
        <v>84</v>
      </c>
      <c r="C31" s="24" t="s">
        <v>37</v>
      </c>
      <c r="D31" s="8" t="s">
        <v>693</v>
      </c>
      <c r="E31" s="9" t="s">
        <v>103</v>
      </c>
      <c r="F31" s="9" t="s">
        <v>104</v>
      </c>
      <c r="G31" s="9" t="s">
        <v>104</v>
      </c>
      <c r="H31" s="87"/>
      <c r="I31" s="9" t="s">
        <v>104</v>
      </c>
      <c r="J31" s="95"/>
      <c r="K31" s="9" t="s">
        <v>104</v>
      </c>
      <c r="L31" s="9" t="s">
        <v>104</v>
      </c>
      <c r="M31" s="9" t="s">
        <v>103</v>
      </c>
      <c r="N31" s="9" t="s">
        <v>104</v>
      </c>
      <c r="O31" s="87"/>
      <c r="P31" s="89"/>
      <c r="Q31" s="9" t="s">
        <v>103</v>
      </c>
      <c r="R31" s="9" t="s">
        <v>103</v>
      </c>
      <c r="S31" s="9" t="s">
        <v>104</v>
      </c>
      <c r="T31" s="89"/>
      <c r="U31" s="9" t="s">
        <v>103</v>
      </c>
      <c r="V31" s="4">
        <f t="shared" si="1"/>
        <v>7</v>
      </c>
      <c r="W31" s="4">
        <f t="shared" si="2"/>
        <v>4</v>
      </c>
    </row>
    <row r="32" spans="1:27" x14ac:dyDescent="0.25">
      <c r="A32" s="11">
        <v>10</v>
      </c>
      <c r="B32" s="24" t="s">
        <v>721</v>
      </c>
      <c r="C32" s="25" t="s">
        <v>413</v>
      </c>
      <c r="D32" s="8" t="s">
        <v>693</v>
      </c>
      <c r="E32" s="9" t="s">
        <v>103</v>
      </c>
      <c r="F32" s="9" t="s">
        <v>103</v>
      </c>
      <c r="G32" s="9" t="s">
        <v>103</v>
      </c>
      <c r="H32" s="87"/>
      <c r="I32" s="9" t="s">
        <v>103</v>
      </c>
      <c r="J32" s="95"/>
      <c r="K32" s="9" t="s">
        <v>103</v>
      </c>
      <c r="L32" s="9" t="s">
        <v>103</v>
      </c>
      <c r="M32" s="9" t="s">
        <v>103</v>
      </c>
      <c r="N32" s="9" t="s">
        <v>103</v>
      </c>
      <c r="O32" s="87"/>
      <c r="P32" s="89"/>
      <c r="Q32" s="9" t="s">
        <v>103</v>
      </c>
      <c r="R32" s="9" t="s">
        <v>103</v>
      </c>
      <c r="S32" s="9" t="s">
        <v>103</v>
      </c>
      <c r="T32" s="89"/>
      <c r="U32" s="9" t="s">
        <v>103</v>
      </c>
      <c r="V32" s="4">
        <f t="shared" si="1"/>
        <v>0</v>
      </c>
      <c r="W32" s="4">
        <f t="shared" si="2"/>
        <v>11</v>
      </c>
    </row>
    <row r="33" spans="1:23" x14ac:dyDescent="0.25">
      <c r="A33" s="5">
        <v>11</v>
      </c>
      <c r="B33" s="26" t="s">
        <v>722</v>
      </c>
      <c r="C33" s="27" t="s">
        <v>723</v>
      </c>
      <c r="D33" s="8" t="s">
        <v>693</v>
      </c>
      <c r="E33" s="9" t="s">
        <v>104</v>
      </c>
      <c r="F33" s="9" t="s">
        <v>104</v>
      </c>
      <c r="G33" s="9" t="s">
        <v>104</v>
      </c>
      <c r="H33" s="87"/>
      <c r="I33" s="9" t="s">
        <v>104</v>
      </c>
      <c r="J33" s="95"/>
      <c r="K33" s="9" t="s">
        <v>104</v>
      </c>
      <c r="L33" s="9" t="s">
        <v>104</v>
      </c>
      <c r="M33" s="9" t="s">
        <v>104</v>
      </c>
      <c r="N33" s="9" t="s">
        <v>104</v>
      </c>
      <c r="O33" s="87"/>
      <c r="P33" s="89"/>
      <c r="Q33" s="9" t="s">
        <v>104</v>
      </c>
      <c r="R33" s="9" t="s">
        <v>104</v>
      </c>
      <c r="S33" s="9" t="s">
        <v>104</v>
      </c>
      <c r="T33" s="89"/>
      <c r="U33" s="9" t="s">
        <v>104</v>
      </c>
      <c r="V33" s="4">
        <f t="shared" si="1"/>
        <v>12</v>
      </c>
      <c r="W33" s="4">
        <f t="shared" si="2"/>
        <v>0</v>
      </c>
    </row>
    <row r="34" spans="1:23" x14ac:dyDescent="0.25">
      <c r="A34" s="11">
        <v>12</v>
      </c>
      <c r="B34" s="20" t="s">
        <v>724</v>
      </c>
      <c r="C34" s="21" t="s">
        <v>725</v>
      </c>
      <c r="D34" s="8" t="s">
        <v>693</v>
      </c>
      <c r="E34" s="9" t="s">
        <v>103</v>
      </c>
      <c r="F34" s="9" t="s">
        <v>103</v>
      </c>
      <c r="G34" s="9" t="s">
        <v>103</v>
      </c>
      <c r="H34" s="87"/>
      <c r="I34" s="9" t="s">
        <v>103</v>
      </c>
      <c r="J34" s="95"/>
      <c r="K34" s="9" t="s">
        <v>103</v>
      </c>
      <c r="L34" s="9" t="s">
        <v>103</v>
      </c>
      <c r="M34" s="9" t="s">
        <v>103</v>
      </c>
      <c r="N34" s="9" t="s">
        <v>103</v>
      </c>
      <c r="O34" s="87"/>
      <c r="P34" s="89"/>
      <c r="Q34" s="9" t="s">
        <v>103</v>
      </c>
      <c r="R34" s="9" t="s">
        <v>103</v>
      </c>
      <c r="S34" s="9" t="s">
        <v>103</v>
      </c>
      <c r="T34" s="89"/>
      <c r="U34" s="9" t="s">
        <v>103</v>
      </c>
      <c r="V34" s="4">
        <f t="shared" si="1"/>
        <v>0</v>
      </c>
      <c r="W34" s="4">
        <f t="shared" si="2"/>
        <v>11</v>
      </c>
    </row>
    <row r="35" spans="1:23" x14ac:dyDescent="0.25">
      <c r="A35" s="5">
        <v>13</v>
      </c>
      <c r="B35" s="20" t="s">
        <v>726</v>
      </c>
      <c r="C35" s="21" t="s">
        <v>727</v>
      </c>
      <c r="D35" s="8" t="s">
        <v>693</v>
      </c>
      <c r="E35" s="9" t="s">
        <v>103</v>
      </c>
      <c r="F35" s="9" t="s">
        <v>104</v>
      </c>
      <c r="G35" s="9" t="s">
        <v>104</v>
      </c>
      <c r="H35" s="87"/>
      <c r="I35" s="9" t="s">
        <v>104</v>
      </c>
      <c r="J35" s="95"/>
      <c r="K35" s="9" t="s">
        <v>104</v>
      </c>
      <c r="L35" s="9" t="s">
        <v>104</v>
      </c>
      <c r="M35" s="9" t="s">
        <v>103</v>
      </c>
      <c r="N35" s="9" t="s">
        <v>104</v>
      </c>
      <c r="O35" s="87"/>
      <c r="P35" s="89"/>
      <c r="Q35" s="9" t="s">
        <v>103</v>
      </c>
      <c r="R35" s="9" t="s">
        <v>104</v>
      </c>
      <c r="S35" s="9" t="s">
        <v>104</v>
      </c>
      <c r="T35" s="89"/>
      <c r="U35" s="9" t="s">
        <v>103</v>
      </c>
      <c r="V35" s="4">
        <f t="shared" si="1"/>
        <v>8</v>
      </c>
      <c r="W35" s="4">
        <f t="shared" si="2"/>
        <v>3</v>
      </c>
    </row>
    <row r="36" spans="1:23" x14ac:dyDescent="0.25">
      <c r="A36" s="11">
        <v>14</v>
      </c>
      <c r="B36" s="18" t="s">
        <v>728</v>
      </c>
      <c r="C36" s="18"/>
      <c r="D36" s="8" t="s">
        <v>693</v>
      </c>
      <c r="E36" s="9" t="s">
        <v>112</v>
      </c>
      <c r="F36" s="9" t="s">
        <v>112</v>
      </c>
      <c r="G36" s="9" t="s">
        <v>112</v>
      </c>
      <c r="H36" s="87"/>
      <c r="I36" s="9" t="s">
        <v>112</v>
      </c>
      <c r="J36" s="95"/>
      <c r="K36" s="9" t="s">
        <v>112</v>
      </c>
      <c r="L36" s="9" t="s">
        <v>104</v>
      </c>
      <c r="M36" s="9" t="s">
        <v>104</v>
      </c>
      <c r="N36" s="9" t="s">
        <v>104</v>
      </c>
      <c r="O36" s="87"/>
      <c r="P36" s="89"/>
      <c r="Q36" s="9" t="s">
        <v>103</v>
      </c>
      <c r="R36" s="9" t="s">
        <v>103</v>
      </c>
      <c r="S36" s="9" t="s">
        <v>104</v>
      </c>
      <c r="T36" s="89"/>
      <c r="U36" s="9" t="s">
        <v>103</v>
      </c>
      <c r="V36" s="4">
        <f t="shared" si="1"/>
        <v>4</v>
      </c>
      <c r="W36" s="4">
        <f t="shared" si="2"/>
        <v>2</v>
      </c>
    </row>
    <row r="37" spans="1:23" x14ac:dyDescent="0.25">
      <c r="A37" s="5">
        <v>15</v>
      </c>
      <c r="B37" s="18" t="s">
        <v>729</v>
      </c>
      <c r="C37" s="18" t="s">
        <v>730</v>
      </c>
      <c r="D37" s="8" t="s">
        <v>693</v>
      </c>
      <c r="E37" s="9" t="s">
        <v>112</v>
      </c>
      <c r="F37" s="9" t="s">
        <v>112</v>
      </c>
      <c r="G37" s="9" t="s">
        <v>112</v>
      </c>
      <c r="H37" s="87"/>
      <c r="I37" s="9" t="s">
        <v>112</v>
      </c>
      <c r="J37" s="95"/>
      <c r="K37" s="9" t="s">
        <v>112</v>
      </c>
      <c r="L37" s="9" t="s">
        <v>104</v>
      </c>
      <c r="M37" s="9" t="s">
        <v>104</v>
      </c>
      <c r="N37" s="9" t="s">
        <v>104</v>
      </c>
      <c r="O37" s="87"/>
      <c r="P37" s="89"/>
      <c r="Q37" s="9" t="s">
        <v>104</v>
      </c>
      <c r="R37" s="9" t="s">
        <v>103</v>
      </c>
      <c r="S37" s="9" t="s">
        <v>104</v>
      </c>
      <c r="T37" s="89"/>
      <c r="U37" s="9" t="s">
        <v>103</v>
      </c>
      <c r="V37" s="4">
        <f t="shared" si="1"/>
        <v>5</v>
      </c>
      <c r="W37" s="4">
        <f t="shared" si="2"/>
        <v>1</v>
      </c>
    </row>
    <row r="38" spans="1:23" x14ac:dyDescent="0.25">
      <c r="A38" s="11">
        <v>16</v>
      </c>
      <c r="B38" s="18" t="s">
        <v>731</v>
      </c>
      <c r="C38" s="18"/>
      <c r="D38" s="8" t="s">
        <v>693</v>
      </c>
      <c r="E38" s="9" t="s">
        <v>112</v>
      </c>
      <c r="F38" s="9" t="s">
        <v>112</v>
      </c>
      <c r="G38" s="9" t="s">
        <v>112</v>
      </c>
      <c r="H38" s="90"/>
      <c r="I38" s="9" t="s">
        <v>112</v>
      </c>
      <c r="J38" s="96"/>
      <c r="K38" s="9" t="s">
        <v>112</v>
      </c>
      <c r="L38" s="9" t="s">
        <v>104</v>
      </c>
      <c r="M38" s="9" t="s">
        <v>104</v>
      </c>
      <c r="N38" s="9" t="s">
        <v>104</v>
      </c>
      <c r="O38" s="90"/>
      <c r="P38" s="91"/>
      <c r="Q38" s="9" t="s">
        <v>104</v>
      </c>
      <c r="R38" s="9" t="s">
        <v>103</v>
      </c>
      <c r="S38" s="9" t="s">
        <v>104</v>
      </c>
      <c r="T38" s="91"/>
      <c r="U38" s="9" t="s">
        <v>103</v>
      </c>
      <c r="V38" s="4">
        <f t="shared" si="1"/>
        <v>5</v>
      </c>
      <c r="W38" s="4">
        <f t="shared" si="2"/>
        <v>1</v>
      </c>
    </row>
  </sheetData>
  <mergeCells count="16">
    <mergeCell ref="A1:W1"/>
    <mergeCell ref="A2:W2"/>
    <mergeCell ref="A3:A4"/>
    <mergeCell ref="B3:B4"/>
    <mergeCell ref="C3:C4"/>
    <mergeCell ref="D3:D4"/>
    <mergeCell ref="V3:V4"/>
    <mergeCell ref="W3:W4"/>
    <mergeCell ref="X3:Y3"/>
    <mergeCell ref="H5:H38"/>
    <mergeCell ref="J5:J38"/>
    <mergeCell ref="O5:O38"/>
    <mergeCell ref="P5:P38"/>
    <mergeCell ref="T5:T38"/>
    <mergeCell ref="X13:AA13"/>
    <mergeCell ref="X21:AA21"/>
  </mergeCells>
  <conditionalFormatting sqref="E5:T5 U5:U38 E6:G38 I6:I38 K6:N38 Q6:S38 E4:U4">
    <cfRule type="expression" dxfId="25" priority="19">
      <formula>IF(E$4=TODAY(),TRUE,FALSE)</formula>
    </cfRule>
  </conditionalFormatting>
  <conditionalFormatting sqref="E5:T5 U5:U38 E6:G38 I6:I38 K6:N38 Q6:S38">
    <cfRule type="cellIs" dxfId="24" priority="16" operator="equal">
      <formula>"L"</formula>
    </cfRule>
    <cfRule type="cellIs" dxfId="23" priority="17" operator="equal">
      <formula>"A"</formula>
    </cfRule>
    <cfRule type="cellIs" dxfId="22" priority="18" operator="equal">
      <formula>"P"</formula>
    </cfRule>
  </conditionalFormatting>
  <conditionalFormatting sqref="E3:U4 E5:T5 U5:U38 E6:G38 I6:I38 K6:N38 Q6:S38">
    <cfRule type="expression" dxfId="21" priority="20">
      <formula>E$3="Sun"</formula>
    </cfRule>
  </conditionalFormatting>
  <conditionalFormatting sqref="V3:W3 V5:W38">
    <cfRule type="expression" dxfId="20" priority="21">
      <formula>#REF!="Sun"</formula>
    </cfRule>
  </conditionalFormatting>
  <conditionalFormatting sqref="X5:X11">
    <cfRule type="expression" dxfId="19" priority="7">
      <formula>X$3="Sun"</formula>
    </cfRule>
  </conditionalFormatting>
  <conditionalFormatting sqref="X14:X17">
    <cfRule type="expression" dxfId="18" priority="3">
      <formula>X$3="Sun"</formula>
    </cfRule>
  </conditionalFormatting>
  <conditionalFormatting sqref="X22:X25">
    <cfRule type="expression" dxfId="17" priority="2">
      <formula>X$3="Sun"</formula>
    </cfRule>
  </conditionalFormatting>
  <conditionalFormatting sqref="X4:Y4">
    <cfRule type="expression" dxfId="16" priority="8">
      <formula>X$3="Sun"</formula>
    </cfRule>
  </conditionalFormatting>
  <conditionalFormatting sqref="Y14:AA14">
    <cfRule type="expression" dxfId="15" priority="4">
      <formula>Y$3="Sun"</formula>
    </cfRule>
  </conditionalFormatting>
  <conditionalFormatting sqref="Y22:AA22">
    <cfRule type="expression" dxfId="14" priority="1">
      <formula>Y$3="Sun"</formula>
    </cfRule>
  </conditionalFormatting>
  <conditionalFormatting sqref="AA23">
    <cfRule type="expression" dxfId="13" priority="6">
      <formula>AA$3="Sun"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4B7B4-2EED-4515-988C-6975095EE533}">
  <dimension ref="A1:AA47"/>
  <sheetViews>
    <sheetView topLeftCell="A15" workbookViewId="0">
      <selection activeCell="Z15" sqref="Z15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7" width="4.5703125" style="1" customWidth="1"/>
    <col min="8" max="8" width="3.85546875" style="1" bestFit="1"/>
    <col min="9" max="9" width="4.7109375" style="1" bestFit="1" customWidth="1"/>
    <col min="10" max="10" width="3.85546875" style="1" bestFit="1"/>
    <col min="11" max="12" width="3.7109375" style="1" bestFit="1" customWidth="1"/>
    <col min="13" max="13" width="3.85546875" style="1" bestFit="1"/>
    <col min="14" max="14" width="4.5703125" style="1" bestFit="1" customWidth="1"/>
    <col min="15" max="15" width="3.85546875" style="1" bestFit="1"/>
    <col min="16" max="16" width="4.7109375" style="1" bestFit="1" customWidth="1"/>
    <col min="17" max="17" width="3.85546875" style="1" bestFit="1"/>
    <col min="18" max="18" width="3.7109375" style="1" bestFit="1" customWidth="1"/>
    <col min="19" max="21" width="3.7109375" style="1" customWidth="1"/>
    <col min="22" max="23" width="6.7109375" style="1" bestFit="1" customWidth="1"/>
    <col min="24" max="24" width="18.5703125" style="1" bestFit="1" customWidth="1"/>
    <col min="25" max="25" width="5.85546875" style="1" bestFit="1" customWidth="1"/>
    <col min="26" max="26" width="5.140625" style="1" bestFit="1" customWidth="1"/>
    <col min="27" max="27" width="6.7109375" style="1" bestFit="1" customWidth="1"/>
    <col min="28" max="16384" width="3.85546875" style="1"/>
  </cols>
  <sheetData>
    <row r="1" spans="1:27" ht="17.25" x14ac:dyDescent="0.25">
      <c r="A1" s="81" t="s">
        <v>19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</row>
    <row r="2" spans="1:27" ht="17.25" x14ac:dyDescent="0.3">
      <c r="A2" s="82" t="s">
        <v>18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</row>
    <row r="3" spans="1:27" ht="15.75" x14ac:dyDescent="0.25">
      <c r="A3" s="84" t="s">
        <v>0</v>
      </c>
      <c r="B3" s="84" t="s">
        <v>1</v>
      </c>
      <c r="C3" s="84" t="s">
        <v>2</v>
      </c>
      <c r="D3" s="84" t="s">
        <v>3</v>
      </c>
      <c r="E3" s="2" t="str">
        <f t="shared" ref="E3:U3" si="0">TEXT(E4,"ddd")</f>
        <v>Thu</v>
      </c>
      <c r="F3" s="2" t="str">
        <f t="shared" si="0"/>
        <v>Fri</v>
      </c>
      <c r="G3" s="2" t="str">
        <f t="shared" si="0"/>
        <v>Sat</v>
      </c>
      <c r="H3" s="2" t="str">
        <f t="shared" si="0"/>
        <v>Sun</v>
      </c>
      <c r="I3" s="2" t="str">
        <f t="shared" si="0"/>
        <v>Mon</v>
      </c>
      <c r="J3" s="2" t="str">
        <f t="shared" si="0"/>
        <v>Tue</v>
      </c>
      <c r="K3" s="2" t="str">
        <f t="shared" si="0"/>
        <v>Wed</v>
      </c>
      <c r="L3" s="2" t="str">
        <f t="shared" si="0"/>
        <v>Thu</v>
      </c>
      <c r="M3" s="2" t="str">
        <f t="shared" si="0"/>
        <v>Fri</v>
      </c>
      <c r="N3" s="2" t="str">
        <f t="shared" si="0"/>
        <v>Sat</v>
      </c>
      <c r="O3" s="2" t="str">
        <f t="shared" si="0"/>
        <v>Sun</v>
      </c>
      <c r="P3" s="2" t="str">
        <f t="shared" si="0"/>
        <v>Mon</v>
      </c>
      <c r="Q3" s="2" t="str">
        <f t="shared" si="0"/>
        <v>Tue</v>
      </c>
      <c r="R3" s="2" t="str">
        <f t="shared" si="0"/>
        <v>Wed</v>
      </c>
      <c r="S3" s="2" t="str">
        <f t="shared" si="0"/>
        <v>Thu</v>
      </c>
      <c r="T3" s="2" t="str">
        <f t="shared" si="0"/>
        <v>Fri</v>
      </c>
      <c r="U3" s="2" t="str">
        <f t="shared" si="0"/>
        <v>Sat</v>
      </c>
      <c r="V3" s="79" t="s">
        <v>4</v>
      </c>
      <c r="W3" s="79" t="s">
        <v>5</v>
      </c>
      <c r="X3" s="76" t="s">
        <v>210</v>
      </c>
      <c r="Y3" s="77"/>
      <c r="Z3" s="3"/>
      <c r="AA3" s="3"/>
    </row>
    <row r="4" spans="1:27" ht="36.75" x14ac:dyDescent="0.25">
      <c r="A4" s="85"/>
      <c r="B4" s="85"/>
      <c r="C4" s="85"/>
      <c r="D4" s="85"/>
      <c r="E4" s="17">
        <v>45519</v>
      </c>
      <c r="F4" s="17">
        <v>45520</v>
      </c>
      <c r="G4" s="17">
        <v>45521</v>
      </c>
      <c r="H4" s="17">
        <v>45522</v>
      </c>
      <c r="I4" s="17">
        <v>45523</v>
      </c>
      <c r="J4" s="17">
        <v>45524</v>
      </c>
      <c r="K4" s="17">
        <v>45525</v>
      </c>
      <c r="L4" s="17">
        <v>45526</v>
      </c>
      <c r="M4" s="17">
        <v>45527</v>
      </c>
      <c r="N4" s="17">
        <v>45528</v>
      </c>
      <c r="O4" s="17">
        <v>45529</v>
      </c>
      <c r="P4" s="17">
        <v>45530</v>
      </c>
      <c r="Q4" s="17">
        <v>45531</v>
      </c>
      <c r="R4" s="17">
        <v>45532</v>
      </c>
      <c r="S4" s="17">
        <v>45533</v>
      </c>
      <c r="T4" s="17">
        <v>45534</v>
      </c>
      <c r="U4" s="17">
        <v>45535</v>
      </c>
      <c r="V4" s="79"/>
      <c r="W4" s="79"/>
      <c r="X4" s="4" t="s">
        <v>315</v>
      </c>
      <c r="Y4" s="4">
        <f>SUM(Y5:Y11)</f>
        <v>31</v>
      </c>
      <c r="Z4" s="3"/>
      <c r="AA4" s="3"/>
    </row>
    <row r="5" spans="1:27" ht="15" customHeight="1" x14ac:dyDescent="0.25">
      <c r="A5" s="5">
        <v>1</v>
      </c>
      <c r="B5" s="20" t="s">
        <v>732</v>
      </c>
      <c r="C5" s="21" t="s">
        <v>733</v>
      </c>
      <c r="D5" s="8" t="s">
        <v>734</v>
      </c>
      <c r="E5" s="9" t="s">
        <v>104</v>
      </c>
      <c r="F5" s="9" t="s">
        <v>103</v>
      </c>
      <c r="G5" s="9" t="s">
        <v>104</v>
      </c>
      <c r="H5" s="86" t="s">
        <v>735</v>
      </c>
      <c r="I5" s="9" t="s">
        <v>104</v>
      </c>
      <c r="J5" s="88" t="s">
        <v>657</v>
      </c>
      <c r="K5" s="9" t="s">
        <v>104</v>
      </c>
      <c r="L5" s="9" t="s">
        <v>103</v>
      </c>
      <c r="M5" s="9" t="s">
        <v>104</v>
      </c>
      <c r="N5" s="9" t="s">
        <v>104</v>
      </c>
      <c r="O5" s="86" t="s">
        <v>735</v>
      </c>
      <c r="P5" s="88" t="s">
        <v>694</v>
      </c>
      <c r="Q5" s="9" t="s">
        <v>104</v>
      </c>
      <c r="R5" s="9" t="s">
        <v>103</v>
      </c>
      <c r="S5" s="9" t="s">
        <v>104</v>
      </c>
      <c r="T5" s="88" t="s">
        <v>602</v>
      </c>
      <c r="U5" s="9"/>
      <c r="V5" s="4">
        <f t="shared" ref="V5:V34" si="1">COUNTIF(E5:U5,"P")</f>
        <v>8</v>
      </c>
      <c r="W5" s="4">
        <f t="shared" ref="W5:W34" si="2">COUNTIF(E5:T5,"A")</f>
        <v>3</v>
      </c>
      <c r="X5" s="4" t="s">
        <v>7</v>
      </c>
      <c r="Y5" s="11">
        <v>11</v>
      </c>
      <c r="Z5" s="12"/>
      <c r="AA5" s="3"/>
    </row>
    <row r="6" spans="1:27" x14ac:dyDescent="0.25">
      <c r="A6" s="11">
        <v>2</v>
      </c>
      <c r="B6" s="20" t="s">
        <v>736</v>
      </c>
      <c r="C6" s="21" t="s">
        <v>737</v>
      </c>
      <c r="D6" s="8" t="s">
        <v>734</v>
      </c>
      <c r="E6" s="9" t="s">
        <v>103</v>
      </c>
      <c r="F6" s="9" t="s">
        <v>103</v>
      </c>
      <c r="G6" s="9" t="s">
        <v>104</v>
      </c>
      <c r="H6" s="87"/>
      <c r="I6" s="9" t="s">
        <v>104</v>
      </c>
      <c r="J6" s="89"/>
      <c r="K6" s="9" t="s">
        <v>104</v>
      </c>
      <c r="L6" s="9" t="s">
        <v>104</v>
      </c>
      <c r="M6" s="9" t="s">
        <v>104</v>
      </c>
      <c r="N6" s="9" t="s">
        <v>104</v>
      </c>
      <c r="O6" s="87"/>
      <c r="P6" s="89"/>
      <c r="Q6" s="9" t="s">
        <v>103</v>
      </c>
      <c r="R6" s="9" t="s">
        <v>103</v>
      </c>
      <c r="S6" s="9" t="s">
        <v>104</v>
      </c>
      <c r="T6" s="89"/>
      <c r="U6" s="9"/>
      <c r="V6" s="4">
        <f t="shared" si="1"/>
        <v>7</v>
      </c>
      <c r="W6" s="4">
        <f t="shared" si="2"/>
        <v>4</v>
      </c>
      <c r="X6" s="4" t="s">
        <v>8</v>
      </c>
      <c r="Y6" s="11">
        <v>4</v>
      </c>
      <c r="Z6" s="3"/>
      <c r="AA6" s="3"/>
    </row>
    <row r="7" spans="1:27" x14ac:dyDescent="0.25">
      <c r="A7" s="5">
        <v>3</v>
      </c>
      <c r="B7" s="20" t="s">
        <v>738</v>
      </c>
      <c r="C7" s="21" t="s">
        <v>739</v>
      </c>
      <c r="D7" s="8" t="s">
        <v>734</v>
      </c>
      <c r="E7" s="9" t="s">
        <v>104</v>
      </c>
      <c r="F7" s="9" t="s">
        <v>103</v>
      </c>
      <c r="G7" s="9" t="s">
        <v>103</v>
      </c>
      <c r="H7" s="87"/>
      <c r="I7" s="9" t="s">
        <v>104</v>
      </c>
      <c r="J7" s="89"/>
      <c r="K7" s="9" t="s">
        <v>104</v>
      </c>
      <c r="L7" s="9" t="s">
        <v>104</v>
      </c>
      <c r="M7" s="9" t="s">
        <v>104</v>
      </c>
      <c r="N7" s="9" t="s">
        <v>104</v>
      </c>
      <c r="O7" s="87"/>
      <c r="P7" s="89"/>
      <c r="Q7" s="9" t="s">
        <v>104</v>
      </c>
      <c r="R7" s="9" t="s">
        <v>103</v>
      </c>
      <c r="S7" s="9" t="s">
        <v>104</v>
      </c>
      <c r="T7" s="89"/>
      <c r="U7" s="9"/>
      <c r="V7" s="4">
        <f t="shared" si="1"/>
        <v>8</v>
      </c>
      <c r="W7" s="4">
        <f t="shared" si="2"/>
        <v>3</v>
      </c>
      <c r="X7" s="4" t="s">
        <v>313</v>
      </c>
      <c r="Y7" s="11">
        <v>12</v>
      </c>
      <c r="Z7" s="3"/>
      <c r="AA7" s="3"/>
    </row>
    <row r="8" spans="1:27" x14ac:dyDescent="0.25">
      <c r="A8" s="11">
        <v>4</v>
      </c>
      <c r="B8" s="20" t="s">
        <v>740</v>
      </c>
      <c r="C8" s="21" t="s">
        <v>723</v>
      </c>
      <c r="D8" s="8" t="s">
        <v>734</v>
      </c>
      <c r="E8" s="9" t="s">
        <v>104</v>
      </c>
      <c r="F8" s="9" t="s">
        <v>104</v>
      </c>
      <c r="G8" s="9" t="s">
        <v>104</v>
      </c>
      <c r="H8" s="87"/>
      <c r="I8" s="9" t="s">
        <v>104</v>
      </c>
      <c r="J8" s="89"/>
      <c r="K8" s="9" t="s">
        <v>104</v>
      </c>
      <c r="L8" s="9" t="s">
        <v>104</v>
      </c>
      <c r="M8" s="9" t="s">
        <v>104</v>
      </c>
      <c r="N8" s="9" t="s">
        <v>104</v>
      </c>
      <c r="O8" s="87"/>
      <c r="P8" s="89"/>
      <c r="Q8" s="9" t="s">
        <v>104</v>
      </c>
      <c r="R8" s="9" t="s">
        <v>104</v>
      </c>
      <c r="S8" s="9" t="s">
        <v>104</v>
      </c>
      <c r="T8" s="89"/>
      <c r="U8" s="9"/>
      <c r="V8" s="4">
        <f t="shared" si="1"/>
        <v>11</v>
      </c>
      <c r="W8" s="4">
        <f t="shared" si="2"/>
        <v>0</v>
      </c>
      <c r="X8" s="4" t="s">
        <v>310</v>
      </c>
      <c r="Y8" s="11">
        <v>1</v>
      </c>
      <c r="Z8"/>
      <c r="AA8"/>
    </row>
    <row r="9" spans="1:27" x14ac:dyDescent="0.25">
      <c r="A9" s="5">
        <v>5</v>
      </c>
      <c r="B9" s="20" t="s">
        <v>741</v>
      </c>
      <c r="C9" s="21" t="s">
        <v>742</v>
      </c>
      <c r="D9" s="8" t="s">
        <v>734</v>
      </c>
      <c r="E9" s="9" t="s">
        <v>103</v>
      </c>
      <c r="F9" s="9" t="s">
        <v>103</v>
      </c>
      <c r="G9" s="9" t="s">
        <v>103</v>
      </c>
      <c r="H9" s="87"/>
      <c r="I9" s="9" t="s">
        <v>103</v>
      </c>
      <c r="J9" s="89"/>
      <c r="K9" s="9" t="s">
        <v>103</v>
      </c>
      <c r="L9" s="9" t="s">
        <v>103</v>
      </c>
      <c r="M9" s="9" t="s">
        <v>103</v>
      </c>
      <c r="N9" s="9" t="s">
        <v>103</v>
      </c>
      <c r="O9" s="87"/>
      <c r="P9" s="89"/>
      <c r="Q9" s="9" t="s">
        <v>103</v>
      </c>
      <c r="R9" s="9" t="s">
        <v>103</v>
      </c>
      <c r="S9" s="9" t="s">
        <v>103</v>
      </c>
      <c r="T9" s="89"/>
      <c r="U9" s="9"/>
      <c r="V9" s="4">
        <f t="shared" si="1"/>
        <v>0</v>
      </c>
      <c r="W9" s="4">
        <f t="shared" si="2"/>
        <v>11</v>
      </c>
      <c r="X9" s="4" t="s">
        <v>314</v>
      </c>
      <c r="Y9" s="11">
        <v>1</v>
      </c>
      <c r="Z9"/>
      <c r="AA9"/>
    </row>
    <row r="10" spans="1:27" x14ac:dyDescent="0.25">
      <c r="A10" s="11">
        <v>6</v>
      </c>
      <c r="B10" s="20" t="s">
        <v>206</v>
      </c>
      <c r="C10" s="21" t="s">
        <v>441</v>
      </c>
      <c r="D10" s="8" t="s">
        <v>734</v>
      </c>
      <c r="E10" s="9" t="s">
        <v>104</v>
      </c>
      <c r="F10" s="9" t="s">
        <v>104</v>
      </c>
      <c r="G10" s="9" t="s">
        <v>104</v>
      </c>
      <c r="H10" s="87"/>
      <c r="I10" s="9" t="s">
        <v>104</v>
      </c>
      <c r="J10" s="89"/>
      <c r="K10" s="9" t="s">
        <v>104</v>
      </c>
      <c r="L10" s="9" t="s">
        <v>103</v>
      </c>
      <c r="M10" s="9" t="s">
        <v>104</v>
      </c>
      <c r="N10" s="9" t="s">
        <v>104</v>
      </c>
      <c r="O10" s="87"/>
      <c r="P10" s="89"/>
      <c r="Q10" s="9" t="s">
        <v>103</v>
      </c>
      <c r="R10" s="9" t="s">
        <v>103</v>
      </c>
      <c r="S10" s="9" t="s">
        <v>104</v>
      </c>
      <c r="T10" s="89"/>
      <c r="U10" s="9"/>
      <c r="V10" s="4">
        <f t="shared" si="1"/>
        <v>8</v>
      </c>
      <c r="W10" s="4">
        <f t="shared" si="2"/>
        <v>3</v>
      </c>
      <c r="X10" s="4" t="s">
        <v>311</v>
      </c>
      <c r="Y10" s="11">
        <v>1</v>
      </c>
      <c r="Z10"/>
      <c r="AA10"/>
    </row>
    <row r="11" spans="1:27" x14ac:dyDescent="0.25">
      <c r="A11" s="5">
        <v>7</v>
      </c>
      <c r="B11" s="20" t="s">
        <v>743</v>
      </c>
      <c r="C11" s="21" t="s">
        <v>744</v>
      </c>
      <c r="D11" s="8" t="s">
        <v>734</v>
      </c>
      <c r="E11" s="9" t="s">
        <v>103</v>
      </c>
      <c r="F11" s="9" t="s">
        <v>103</v>
      </c>
      <c r="G11" s="9" t="s">
        <v>103</v>
      </c>
      <c r="H11" s="87"/>
      <c r="I11" s="9" t="s">
        <v>104</v>
      </c>
      <c r="J11" s="89"/>
      <c r="K11" s="9" t="s">
        <v>104</v>
      </c>
      <c r="L11" s="9" t="s">
        <v>103</v>
      </c>
      <c r="M11" s="9" t="s">
        <v>104</v>
      </c>
      <c r="N11" s="9" t="s">
        <v>104</v>
      </c>
      <c r="O11" s="87"/>
      <c r="P11" s="89"/>
      <c r="Q11" s="9" t="s">
        <v>104</v>
      </c>
      <c r="R11" s="9" t="s">
        <v>103</v>
      </c>
      <c r="S11" s="9" t="s">
        <v>104</v>
      </c>
      <c r="T11" s="89"/>
      <c r="U11" s="9"/>
      <c r="V11" s="4">
        <f t="shared" si="1"/>
        <v>6</v>
      </c>
      <c r="W11" s="4">
        <f t="shared" si="2"/>
        <v>5</v>
      </c>
      <c r="X11" s="4" t="s">
        <v>312</v>
      </c>
      <c r="Y11" s="11">
        <v>1</v>
      </c>
      <c r="Z11"/>
      <c r="AA11"/>
    </row>
    <row r="12" spans="1:27" x14ac:dyDescent="0.25">
      <c r="A12" s="11">
        <v>8</v>
      </c>
      <c r="B12" s="20" t="s">
        <v>745</v>
      </c>
      <c r="C12" s="21" t="s">
        <v>146</v>
      </c>
      <c r="D12" s="8" t="s">
        <v>734</v>
      </c>
      <c r="E12" s="9" t="s">
        <v>104</v>
      </c>
      <c r="F12" s="9" t="s">
        <v>104</v>
      </c>
      <c r="G12" s="9" t="s">
        <v>104</v>
      </c>
      <c r="H12" s="87"/>
      <c r="I12" s="9" t="s">
        <v>104</v>
      </c>
      <c r="J12" s="89"/>
      <c r="K12" s="9" t="s">
        <v>103</v>
      </c>
      <c r="L12" s="9" t="s">
        <v>103</v>
      </c>
      <c r="M12" s="9" t="s">
        <v>104</v>
      </c>
      <c r="N12" s="9" t="s">
        <v>104</v>
      </c>
      <c r="O12" s="87"/>
      <c r="P12" s="89"/>
      <c r="Q12" s="9" t="s">
        <v>103</v>
      </c>
      <c r="R12" s="9" t="s">
        <v>103</v>
      </c>
      <c r="S12" s="9" t="s">
        <v>104</v>
      </c>
      <c r="T12" s="89"/>
      <c r="U12" s="9"/>
      <c r="V12" s="4">
        <f t="shared" si="1"/>
        <v>7</v>
      </c>
      <c r="W12" s="4">
        <f t="shared" si="2"/>
        <v>4</v>
      </c>
      <c r="X12"/>
      <c r="Y12"/>
      <c r="Z12"/>
      <c r="AA12"/>
    </row>
    <row r="13" spans="1:27" ht="15.75" x14ac:dyDescent="0.25">
      <c r="A13" s="5">
        <v>9</v>
      </c>
      <c r="B13" s="20" t="s">
        <v>746</v>
      </c>
      <c r="C13" s="21" t="s">
        <v>747</v>
      </c>
      <c r="D13" s="8" t="s">
        <v>734</v>
      </c>
      <c r="E13" s="9" t="s">
        <v>104</v>
      </c>
      <c r="F13" s="9" t="s">
        <v>104</v>
      </c>
      <c r="G13" s="9" t="s">
        <v>104</v>
      </c>
      <c r="H13" s="87"/>
      <c r="I13" s="9" t="s">
        <v>104</v>
      </c>
      <c r="J13" s="89"/>
      <c r="K13" s="9" t="s">
        <v>103</v>
      </c>
      <c r="L13" s="9" t="s">
        <v>103</v>
      </c>
      <c r="M13" s="9" t="s">
        <v>103</v>
      </c>
      <c r="N13" s="9" t="s">
        <v>104</v>
      </c>
      <c r="O13" s="87"/>
      <c r="P13" s="89"/>
      <c r="Q13" s="9" t="s">
        <v>104</v>
      </c>
      <c r="R13" s="9" t="s">
        <v>104</v>
      </c>
      <c r="S13" s="9" t="s">
        <v>104</v>
      </c>
      <c r="T13" s="89"/>
      <c r="U13" s="9"/>
      <c r="V13" s="4">
        <f t="shared" si="1"/>
        <v>8</v>
      </c>
      <c r="W13" s="4">
        <f t="shared" si="2"/>
        <v>3</v>
      </c>
      <c r="X13" s="76" t="s">
        <v>9</v>
      </c>
      <c r="Y13" s="77"/>
      <c r="Z13" s="77"/>
      <c r="AA13" s="78"/>
    </row>
    <row r="14" spans="1:27" x14ac:dyDescent="0.25">
      <c r="A14" s="11">
        <v>10</v>
      </c>
      <c r="B14" s="20" t="s">
        <v>748</v>
      </c>
      <c r="C14" s="21" t="s">
        <v>65</v>
      </c>
      <c r="D14" s="8" t="s">
        <v>734</v>
      </c>
      <c r="E14" s="9" t="s">
        <v>104</v>
      </c>
      <c r="F14" s="9" t="s">
        <v>104</v>
      </c>
      <c r="G14" s="9" t="s">
        <v>104</v>
      </c>
      <c r="H14" s="87"/>
      <c r="I14" s="9" t="s">
        <v>104</v>
      </c>
      <c r="J14" s="89"/>
      <c r="K14" s="9" t="s">
        <v>103</v>
      </c>
      <c r="L14" s="9" t="s">
        <v>103</v>
      </c>
      <c r="M14" s="9" t="s">
        <v>103</v>
      </c>
      <c r="N14" s="9" t="s">
        <v>104</v>
      </c>
      <c r="O14" s="87"/>
      <c r="P14" s="89"/>
      <c r="Q14" s="9" t="s">
        <v>104</v>
      </c>
      <c r="R14" s="9" t="s">
        <v>103</v>
      </c>
      <c r="S14" s="9" t="s">
        <v>103</v>
      </c>
      <c r="T14" s="89"/>
      <c r="U14" s="9"/>
      <c r="V14" s="4">
        <f t="shared" si="1"/>
        <v>6</v>
      </c>
      <c r="W14" s="4">
        <f t="shared" si="2"/>
        <v>5</v>
      </c>
      <c r="X14" s="4" t="s">
        <v>10</v>
      </c>
      <c r="Y14" s="4" t="s">
        <v>11</v>
      </c>
      <c r="Z14" s="4" t="s">
        <v>12</v>
      </c>
      <c r="AA14" s="4" t="s">
        <v>13</v>
      </c>
    </row>
    <row r="15" spans="1:27" x14ac:dyDescent="0.25">
      <c r="A15" s="5">
        <v>11</v>
      </c>
      <c r="B15" s="20" t="s">
        <v>749</v>
      </c>
      <c r="C15" s="21" t="s">
        <v>750</v>
      </c>
      <c r="D15" s="8" t="s">
        <v>734</v>
      </c>
      <c r="E15" s="9" t="s">
        <v>103</v>
      </c>
      <c r="F15" s="9" t="s">
        <v>103</v>
      </c>
      <c r="G15" s="9" t="s">
        <v>103</v>
      </c>
      <c r="H15" s="87"/>
      <c r="I15" s="9" t="s">
        <v>104</v>
      </c>
      <c r="J15" s="89"/>
      <c r="K15" s="9" t="s">
        <v>104</v>
      </c>
      <c r="L15" s="9" t="s">
        <v>104</v>
      </c>
      <c r="M15" s="9" t="s">
        <v>104</v>
      </c>
      <c r="N15" s="9" t="s">
        <v>104</v>
      </c>
      <c r="O15" s="87"/>
      <c r="P15" s="89"/>
      <c r="Q15" s="9" t="s">
        <v>103</v>
      </c>
      <c r="R15" s="9" t="s">
        <v>103</v>
      </c>
      <c r="S15" s="9" t="s">
        <v>103</v>
      </c>
      <c r="T15" s="89"/>
      <c r="U15" s="9"/>
      <c r="V15" s="4">
        <f t="shared" si="1"/>
        <v>5</v>
      </c>
      <c r="W15" s="4">
        <f t="shared" si="2"/>
        <v>6</v>
      </c>
      <c r="X15" s="4" t="s">
        <v>14</v>
      </c>
      <c r="Y15" s="11">
        <f>13*11</f>
        <v>143</v>
      </c>
      <c r="Z15" s="11">
        <f>17*11</f>
        <v>187</v>
      </c>
      <c r="AA15" s="11">
        <f>SUM(Y15:Z15)</f>
        <v>330</v>
      </c>
    </row>
    <row r="16" spans="1:27" x14ac:dyDescent="0.25">
      <c r="A16" s="11">
        <v>12</v>
      </c>
      <c r="B16" s="20" t="s">
        <v>751</v>
      </c>
      <c r="C16" s="21" t="s">
        <v>752</v>
      </c>
      <c r="D16" s="8" t="s">
        <v>734</v>
      </c>
      <c r="E16" s="9" t="s">
        <v>103</v>
      </c>
      <c r="F16" s="9" t="s">
        <v>103</v>
      </c>
      <c r="G16" s="9" t="s">
        <v>103</v>
      </c>
      <c r="H16" s="87"/>
      <c r="I16" s="9" t="s">
        <v>103</v>
      </c>
      <c r="J16" s="89"/>
      <c r="K16" s="9" t="s">
        <v>103</v>
      </c>
      <c r="L16" s="9" t="s">
        <v>103</v>
      </c>
      <c r="M16" s="9" t="s">
        <v>103</v>
      </c>
      <c r="N16" s="9" t="s">
        <v>103</v>
      </c>
      <c r="O16" s="87"/>
      <c r="P16" s="89"/>
      <c r="Q16" s="9" t="s">
        <v>103</v>
      </c>
      <c r="R16" s="9" t="s">
        <v>103</v>
      </c>
      <c r="S16" s="9" t="s">
        <v>103</v>
      </c>
      <c r="T16" s="89"/>
      <c r="U16" s="9"/>
      <c r="V16" s="4">
        <f t="shared" si="1"/>
        <v>0</v>
      </c>
      <c r="W16" s="4">
        <f t="shared" si="2"/>
        <v>11</v>
      </c>
      <c r="X16" s="4" t="s">
        <v>15</v>
      </c>
      <c r="Y16" s="11">
        <f>SUM(V5:V14)+V32+V33+V34</f>
        <v>77</v>
      </c>
      <c r="Z16" s="11">
        <f>SUM(V15:V31)</f>
        <v>61</v>
      </c>
      <c r="AA16" s="11">
        <f>Y16+Z16</f>
        <v>138</v>
      </c>
    </row>
    <row r="17" spans="1:27" x14ac:dyDescent="0.25">
      <c r="A17" s="5">
        <v>13</v>
      </c>
      <c r="B17" s="20" t="s">
        <v>753</v>
      </c>
      <c r="C17" s="21" t="s">
        <v>111</v>
      </c>
      <c r="D17" s="8" t="s">
        <v>734</v>
      </c>
      <c r="E17" s="9" t="s">
        <v>103</v>
      </c>
      <c r="F17" s="9" t="s">
        <v>104</v>
      </c>
      <c r="G17" s="9" t="s">
        <v>103</v>
      </c>
      <c r="H17" s="87"/>
      <c r="I17" s="9" t="s">
        <v>104</v>
      </c>
      <c r="J17" s="89"/>
      <c r="K17" s="9" t="s">
        <v>104</v>
      </c>
      <c r="L17" s="9" t="s">
        <v>104</v>
      </c>
      <c r="M17" s="9" t="s">
        <v>104</v>
      </c>
      <c r="N17" s="9" t="s">
        <v>104</v>
      </c>
      <c r="O17" s="87"/>
      <c r="P17" s="89"/>
      <c r="Q17" s="9" t="s">
        <v>103</v>
      </c>
      <c r="R17" s="9" t="s">
        <v>103</v>
      </c>
      <c r="S17" s="9" t="s">
        <v>104</v>
      </c>
      <c r="T17" s="89"/>
      <c r="U17" s="9"/>
      <c r="V17" s="4">
        <f t="shared" si="1"/>
        <v>7</v>
      </c>
      <c r="W17" s="4">
        <f t="shared" si="2"/>
        <v>4</v>
      </c>
      <c r="X17" s="4" t="s">
        <v>16</v>
      </c>
      <c r="Y17" s="15">
        <f>Y16/Y15</f>
        <v>0.53846153846153844</v>
      </c>
      <c r="Z17" s="15">
        <f>Z16/Z15</f>
        <v>0.32620320855614976</v>
      </c>
      <c r="AA17" s="15">
        <f>AA16/AA15</f>
        <v>0.41818181818181815</v>
      </c>
    </row>
    <row r="18" spans="1:27" x14ac:dyDescent="0.25">
      <c r="A18" s="11">
        <v>14</v>
      </c>
      <c r="B18" s="20" t="s">
        <v>754</v>
      </c>
      <c r="C18" s="21" t="s">
        <v>755</v>
      </c>
      <c r="D18" s="8" t="s">
        <v>734</v>
      </c>
      <c r="E18" s="9" t="s">
        <v>103</v>
      </c>
      <c r="F18" s="9" t="s">
        <v>103</v>
      </c>
      <c r="G18" s="9" t="s">
        <v>103</v>
      </c>
      <c r="H18" s="87"/>
      <c r="I18" s="9" t="s">
        <v>103</v>
      </c>
      <c r="J18" s="89"/>
      <c r="K18" s="9" t="s">
        <v>103</v>
      </c>
      <c r="L18" s="9" t="s">
        <v>103</v>
      </c>
      <c r="M18" s="9" t="s">
        <v>103</v>
      </c>
      <c r="N18" s="9" t="s">
        <v>103</v>
      </c>
      <c r="O18" s="87"/>
      <c r="P18" s="89"/>
      <c r="Q18" s="9" t="s">
        <v>103</v>
      </c>
      <c r="R18" s="9" t="s">
        <v>103</v>
      </c>
      <c r="S18" s="9" t="s">
        <v>103</v>
      </c>
      <c r="T18" s="89"/>
      <c r="U18" s="9"/>
      <c r="V18" s="4">
        <f t="shared" si="1"/>
        <v>0</v>
      </c>
      <c r="W18" s="4">
        <f t="shared" si="2"/>
        <v>11</v>
      </c>
      <c r="X18"/>
      <c r="Y18"/>
      <c r="Z18"/>
      <c r="AA18"/>
    </row>
    <row r="19" spans="1:27" x14ac:dyDescent="0.25">
      <c r="A19" s="5">
        <v>15</v>
      </c>
      <c r="B19" s="20" t="s">
        <v>756</v>
      </c>
      <c r="C19" s="21" t="s">
        <v>757</v>
      </c>
      <c r="D19" s="8" t="s">
        <v>734</v>
      </c>
      <c r="E19" s="9" t="s">
        <v>103</v>
      </c>
      <c r="F19" s="9" t="s">
        <v>104</v>
      </c>
      <c r="G19" s="9" t="s">
        <v>104</v>
      </c>
      <c r="H19" s="87"/>
      <c r="I19" s="9" t="s">
        <v>104</v>
      </c>
      <c r="J19" s="89"/>
      <c r="K19" s="9" t="s">
        <v>104</v>
      </c>
      <c r="L19" s="9" t="s">
        <v>104</v>
      </c>
      <c r="M19" s="9" t="s">
        <v>104</v>
      </c>
      <c r="N19" s="9" t="s">
        <v>104</v>
      </c>
      <c r="O19" s="87"/>
      <c r="P19" s="89"/>
      <c r="Q19" s="9" t="s">
        <v>104</v>
      </c>
      <c r="R19" s="9" t="s">
        <v>104</v>
      </c>
      <c r="S19" s="9" t="s">
        <v>104</v>
      </c>
      <c r="T19" s="89"/>
      <c r="U19" s="9"/>
      <c r="V19" s="4">
        <f t="shared" si="1"/>
        <v>10</v>
      </c>
      <c r="W19" s="4">
        <f t="shared" si="2"/>
        <v>1</v>
      </c>
      <c r="X19"/>
      <c r="Y19"/>
      <c r="Z19"/>
      <c r="AA19"/>
    </row>
    <row r="20" spans="1:27" x14ac:dyDescent="0.25">
      <c r="A20" s="11">
        <v>16</v>
      </c>
      <c r="B20" s="20" t="s">
        <v>758</v>
      </c>
      <c r="C20" s="21" t="s">
        <v>403</v>
      </c>
      <c r="D20" s="8" t="s">
        <v>734</v>
      </c>
      <c r="E20" s="9" t="s">
        <v>103</v>
      </c>
      <c r="F20" s="9" t="s">
        <v>103</v>
      </c>
      <c r="G20" s="9" t="s">
        <v>103</v>
      </c>
      <c r="H20" s="87"/>
      <c r="I20" s="9" t="s">
        <v>103</v>
      </c>
      <c r="J20" s="89"/>
      <c r="K20" s="9" t="s">
        <v>103</v>
      </c>
      <c r="L20" s="9" t="s">
        <v>103</v>
      </c>
      <c r="M20" s="9" t="s">
        <v>103</v>
      </c>
      <c r="N20" s="9" t="s">
        <v>103</v>
      </c>
      <c r="O20" s="87"/>
      <c r="P20" s="89"/>
      <c r="Q20" s="9" t="s">
        <v>103</v>
      </c>
      <c r="R20" s="9" t="s">
        <v>103</v>
      </c>
      <c r="S20" s="9" t="s">
        <v>103</v>
      </c>
      <c r="T20" s="89"/>
      <c r="U20" s="9"/>
      <c r="V20" s="4">
        <f t="shared" si="1"/>
        <v>0</v>
      </c>
      <c r="W20" s="4">
        <f t="shared" si="2"/>
        <v>11</v>
      </c>
      <c r="X20"/>
      <c r="Y20"/>
      <c r="Z20"/>
      <c r="AA20"/>
    </row>
    <row r="21" spans="1:27" ht="15.75" x14ac:dyDescent="0.25">
      <c r="A21" s="5">
        <v>17</v>
      </c>
      <c r="B21" s="20" t="s">
        <v>248</v>
      </c>
      <c r="C21" s="21" t="s">
        <v>759</v>
      </c>
      <c r="D21" s="8" t="s">
        <v>734</v>
      </c>
      <c r="E21" s="9" t="s">
        <v>103</v>
      </c>
      <c r="F21" s="9" t="s">
        <v>103</v>
      </c>
      <c r="G21" s="9" t="s">
        <v>104</v>
      </c>
      <c r="H21" s="87"/>
      <c r="I21" s="9" t="s">
        <v>104</v>
      </c>
      <c r="J21" s="89"/>
      <c r="K21" s="9" t="s">
        <v>104</v>
      </c>
      <c r="L21" s="9" t="s">
        <v>104</v>
      </c>
      <c r="M21" s="9" t="s">
        <v>103</v>
      </c>
      <c r="N21" s="9" t="s">
        <v>104</v>
      </c>
      <c r="O21" s="87"/>
      <c r="P21" s="89"/>
      <c r="Q21" s="9" t="s">
        <v>104</v>
      </c>
      <c r="R21" s="9" t="s">
        <v>104</v>
      </c>
      <c r="S21" s="9" t="s">
        <v>104</v>
      </c>
      <c r="T21" s="89"/>
      <c r="U21" s="9"/>
      <c r="V21" s="4">
        <f t="shared" si="1"/>
        <v>8</v>
      </c>
      <c r="W21" s="4">
        <f t="shared" si="2"/>
        <v>3</v>
      </c>
      <c r="X21" s="76" t="s">
        <v>316</v>
      </c>
      <c r="Y21" s="77"/>
      <c r="Z21" s="77"/>
      <c r="AA21" s="78"/>
    </row>
    <row r="22" spans="1:27" x14ac:dyDescent="0.25">
      <c r="A22" s="11">
        <v>18</v>
      </c>
      <c r="B22" s="20" t="s">
        <v>760</v>
      </c>
      <c r="C22" s="21" t="s">
        <v>146</v>
      </c>
      <c r="D22" s="8" t="s">
        <v>734</v>
      </c>
      <c r="E22" s="9" t="s">
        <v>112</v>
      </c>
      <c r="F22" s="9" t="s">
        <v>112</v>
      </c>
      <c r="G22" s="9" t="s">
        <v>112</v>
      </c>
      <c r="H22" s="87"/>
      <c r="I22" s="9" t="s">
        <v>112</v>
      </c>
      <c r="J22" s="89"/>
      <c r="K22" s="9" t="s">
        <v>112</v>
      </c>
      <c r="L22" s="9" t="s">
        <v>112</v>
      </c>
      <c r="M22" s="9" t="s">
        <v>104</v>
      </c>
      <c r="N22" s="9" t="s">
        <v>104</v>
      </c>
      <c r="O22" s="87"/>
      <c r="P22" s="89"/>
      <c r="Q22" s="9" t="s">
        <v>103</v>
      </c>
      <c r="R22" s="9" t="s">
        <v>103</v>
      </c>
      <c r="S22" s="9" t="s">
        <v>104</v>
      </c>
      <c r="T22" s="89"/>
      <c r="U22" s="9"/>
      <c r="V22" s="4">
        <f t="shared" si="1"/>
        <v>3</v>
      </c>
      <c r="W22" s="4">
        <f t="shared" si="2"/>
        <v>2</v>
      </c>
      <c r="X22" s="4" t="s">
        <v>10</v>
      </c>
      <c r="Y22" s="4" t="s">
        <v>11</v>
      </c>
      <c r="Z22" s="4" t="s">
        <v>12</v>
      </c>
      <c r="AA22" s="4" t="s">
        <v>13</v>
      </c>
    </row>
    <row r="23" spans="1:27" x14ac:dyDescent="0.25">
      <c r="A23" s="5">
        <v>19</v>
      </c>
      <c r="B23" s="20" t="s">
        <v>761</v>
      </c>
      <c r="C23" s="21" t="s">
        <v>238</v>
      </c>
      <c r="D23" s="8" t="s">
        <v>734</v>
      </c>
      <c r="E23" s="9" t="s">
        <v>112</v>
      </c>
      <c r="F23" s="9" t="s">
        <v>112</v>
      </c>
      <c r="G23" s="9" t="s">
        <v>112</v>
      </c>
      <c r="H23" s="87"/>
      <c r="I23" s="9" t="s">
        <v>112</v>
      </c>
      <c r="J23" s="89"/>
      <c r="K23" s="9" t="s">
        <v>112</v>
      </c>
      <c r="L23" s="9" t="s">
        <v>112</v>
      </c>
      <c r="M23" s="9" t="s">
        <v>104</v>
      </c>
      <c r="N23" s="9" t="s">
        <v>103</v>
      </c>
      <c r="O23" s="87"/>
      <c r="P23" s="89"/>
      <c r="Q23" s="9" t="s">
        <v>104</v>
      </c>
      <c r="R23" s="9" t="s">
        <v>104</v>
      </c>
      <c r="S23" s="9" t="s">
        <v>104</v>
      </c>
      <c r="T23" s="89"/>
      <c r="U23" s="9"/>
      <c r="V23" s="4">
        <f t="shared" si="1"/>
        <v>4</v>
      </c>
      <c r="W23" s="4">
        <f t="shared" si="2"/>
        <v>1</v>
      </c>
      <c r="X23" s="4" t="s">
        <v>14</v>
      </c>
      <c r="Y23" s="11">
        <f>16*11</f>
        <v>176</v>
      </c>
      <c r="Z23" s="11">
        <f>18*11</f>
        <v>198</v>
      </c>
      <c r="AA23" s="11">
        <f>Y23+Z23</f>
        <v>374</v>
      </c>
    </row>
    <row r="24" spans="1:27" x14ac:dyDescent="0.25">
      <c r="A24" s="11">
        <v>20</v>
      </c>
      <c r="B24" s="20" t="s">
        <v>762</v>
      </c>
      <c r="C24" s="21" t="s">
        <v>428</v>
      </c>
      <c r="D24" s="8" t="s">
        <v>734</v>
      </c>
      <c r="E24" s="9" t="s">
        <v>112</v>
      </c>
      <c r="F24" s="9" t="s">
        <v>112</v>
      </c>
      <c r="G24" s="9" t="s">
        <v>112</v>
      </c>
      <c r="H24" s="87"/>
      <c r="I24" s="9" t="s">
        <v>112</v>
      </c>
      <c r="J24" s="89"/>
      <c r="K24" s="9" t="s">
        <v>112</v>
      </c>
      <c r="L24" s="9" t="s">
        <v>112</v>
      </c>
      <c r="M24" s="9" t="s">
        <v>104</v>
      </c>
      <c r="N24" s="9" t="s">
        <v>104</v>
      </c>
      <c r="O24" s="87"/>
      <c r="P24" s="89"/>
      <c r="Q24" s="9" t="s">
        <v>104</v>
      </c>
      <c r="R24" s="9" t="s">
        <v>104</v>
      </c>
      <c r="S24" s="9" t="s">
        <v>104</v>
      </c>
      <c r="T24" s="89"/>
      <c r="U24" s="9"/>
      <c r="V24" s="4">
        <f t="shared" si="1"/>
        <v>5</v>
      </c>
      <c r="W24" s="4">
        <f t="shared" si="2"/>
        <v>0</v>
      </c>
      <c r="X24" s="4" t="s">
        <v>17</v>
      </c>
      <c r="Y24" s="11">
        <f>Y23-Y16</f>
        <v>99</v>
      </c>
      <c r="Z24" s="11">
        <f>Z23-Z16</f>
        <v>137</v>
      </c>
      <c r="AA24" s="11">
        <f>Y24+Z24</f>
        <v>236</v>
      </c>
    </row>
    <row r="25" spans="1:27" x14ac:dyDescent="0.25">
      <c r="A25" s="5">
        <v>21</v>
      </c>
      <c r="B25" s="20" t="s">
        <v>763</v>
      </c>
      <c r="C25" s="21" t="s">
        <v>428</v>
      </c>
      <c r="D25" s="8" t="s">
        <v>734</v>
      </c>
      <c r="E25" s="9" t="s">
        <v>112</v>
      </c>
      <c r="F25" s="9" t="s">
        <v>112</v>
      </c>
      <c r="G25" s="9" t="s">
        <v>112</v>
      </c>
      <c r="H25" s="87"/>
      <c r="I25" s="9" t="s">
        <v>112</v>
      </c>
      <c r="J25" s="89"/>
      <c r="K25" s="9" t="s">
        <v>112</v>
      </c>
      <c r="L25" s="9" t="s">
        <v>112</v>
      </c>
      <c r="M25" s="9" t="s">
        <v>104</v>
      </c>
      <c r="N25" s="9" t="s">
        <v>104</v>
      </c>
      <c r="O25" s="87"/>
      <c r="P25" s="89"/>
      <c r="Q25" s="9" t="s">
        <v>104</v>
      </c>
      <c r="R25" s="9" t="s">
        <v>104</v>
      </c>
      <c r="S25" s="9" t="s">
        <v>103</v>
      </c>
      <c r="T25" s="89"/>
      <c r="U25" s="9"/>
      <c r="V25" s="4">
        <f t="shared" si="1"/>
        <v>4</v>
      </c>
      <c r="W25" s="4">
        <f t="shared" si="2"/>
        <v>1</v>
      </c>
      <c r="X25" s="4" t="s">
        <v>16</v>
      </c>
      <c r="Y25" s="15">
        <f>Y24/Y23</f>
        <v>0.5625</v>
      </c>
      <c r="Z25" s="15">
        <f>Z24/Z23</f>
        <v>0.69191919191919193</v>
      </c>
      <c r="AA25" s="15">
        <f>AA24/AA23</f>
        <v>0.63101604278074863</v>
      </c>
    </row>
    <row r="26" spans="1:27" x14ac:dyDescent="0.25">
      <c r="A26" s="11">
        <v>22</v>
      </c>
      <c r="B26" s="20" t="s">
        <v>125</v>
      </c>
      <c r="C26" s="20" t="s">
        <v>764</v>
      </c>
      <c r="D26" s="8" t="s">
        <v>734</v>
      </c>
      <c r="E26" s="9" t="s">
        <v>112</v>
      </c>
      <c r="F26" s="9" t="s">
        <v>112</v>
      </c>
      <c r="G26" s="9" t="s">
        <v>112</v>
      </c>
      <c r="H26" s="87"/>
      <c r="I26" s="9" t="s">
        <v>112</v>
      </c>
      <c r="J26" s="89"/>
      <c r="K26" s="9" t="s">
        <v>112</v>
      </c>
      <c r="L26" s="9" t="s">
        <v>112</v>
      </c>
      <c r="M26" s="9" t="s">
        <v>104</v>
      </c>
      <c r="N26" s="9" t="s">
        <v>104</v>
      </c>
      <c r="O26" s="87"/>
      <c r="P26" s="89"/>
      <c r="Q26" s="9" t="s">
        <v>103</v>
      </c>
      <c r="R26" s="9" t="s">
        <v>103</v>
      </c>
      <c r="S26" s="9" t="s">
        <v>103</v>
      </c>
      <c r="T26" s="89"/>
      <c r="U26" s="9"/>
      <c r="V26" s="4">
        <f t="shared" si="1"/>
        <v>2</v>
      </c>
      <c r="W26" s="4">
        <f t="shared" si="2"/>
        <v>3</v>
      </c>
    </row>
    <row r="27" spans="1:27" x14ac:dyDescent="0.25">
      <c r="A27" s="5">
        <v>23</v>
      </c>
      <c r="B27" s="20" t="s">
        <v>765</v>
      </c>
      <c r="C27" s="21" t="s">
        <v>766</v>
      </c>
      <c r="D27" s="8" t="s">
        <v>734</v>
      </c>
      <c r="E27" s="9" t="s">
        <v>112</v>
      </c>
      <c r="F27" s="9" t="s">
        <v>112</v>
      </c>
      <c r="G27" s="9" t="s">
        <v>112</v>
      </c>
      <c r="H27" s="87"/>
      <c r="I27" s="9" t="s">
        <v>112</v>
      </c>
      <c r="J27" s="89"/>
      <c r="K27" s="9" t="s">
        <v>112</v>
      </c>
      <c r="L27" s="9" t="s">
        <v>112</v>
      </c>
      <c r="M27" s="9" t="s">
        <v>104</v>
      </c>
      <c r="N27" s="9" t="s">
        <v>104</v>
      </c>
      <c r="O27" s="87"/>
      <c r="P27" s="89"/>
      <c r="Q27" s="9" t="s">
        <v>104</v>
      </c>
      <c r="R27" s="9" t="s">
        <v>104</v>
      </c>
      <c r="S27" s="9" t="s">
        <v>104</v>
      </c>
      <c r="T27" s="89"/>
      <c r="U27" s="9"/>
      <c r="V27" s="4">
        <f t="shared" si="1"/>
        <v>5</v>
      </c>
      <c r="W27" s="4">
        <f t="shared" si="2"/>
        <v>0</v>
      </c>
    </row>
    <row r="28" spans="1:27" x14ac:dyDescent="0.25">
      <c r="A28" s="11">
        <v>24</v>
      </c>
      <c r="B28" s="26" t="s">
        <v>408</v>
      </c>
      <c r="C28" s="26" t="s">
        <v>358</v>
      </c>
      <c r="D28" s="9" t="s">
        <v>734</v>
      </c>
      <c r="E28" s="9" t="s">
        <v>112</v>
      </c>
      <c r="F28" s="9" t="s">
        <v>112</v>
      </c>
      <c r="G28" s="9" t="s">
        <v>112</v>
      </c>
      <c r="H28" s="87"/>
      <c r="I28" s="9" t="s">
        <v>112</v>
      </c>
      <c r="J28" s="89"/>
      <c r="K28" s="9" t="s">
        <v>112</v>
      </c>
      <c r="L28" s="9" t="s">
        <v>112</v>
      </c>
      <c r="M28" s="9" t="s">
        <v>112</v>
      </c>
      <c r="N28" s="9" t="s">
        <v>104</v>
      </c>
      <c r="O28" s="87"/>
      <c r="P28" s="89"/>
      <c r="Q28" s="9" t="s">
        <v>104</v>
      </c>
      <c r="R28" s="9" t="s">
        <v>103</v>
      </c>
      <c r="S28" s="9" t="s">
        <v>104</v>
      </c>
      <c r="T28" s="89"/>
      <c r="U28" s="9"/>
      <c r="V28" s="4">
        <f t="shared" si="1"/>
        <v>3</v>
      </c>
      <c r="W28" s="4">
        <f t="shared" si="2"/>
        <v>1</v>
      </c>
    </row>
    <row r="29" spans="1:27" x14ac:dyDescent="0.25">
      <c r="A29" s="5">
        <v>25</v>
      </c>
      <c r="B29" s="24" t="s">
        <v>767</v>
      </c>
      <c r="C29" s="24" t="s">
        <v>768</v>
      </c>
      <c r="D29" s="9" t="s">
        <v>734</v>
      </c>
      <c r="E29" s="9" t="s">
        <v>112</v>
      </c>
      <c r="F29" s="9" t="s">
        <v>112</v>
      </c>
      <c r="G29" s="9" t="s">
        <v>112</v>
      </c>
      <c r="H29" s="87"/>
      <c r="I29" s="9" t="s">
        <v>112</v>
      </c>
      <c r="J29" s="89"/>
      <c r="K29" s="9" t="s">
        <v>112</v>
      </c>
      <c r="L29" s="9" t="s">
        <v>112</v>
      </c>
      <c r="M29" s="9" t="s">
        <v>112</v>
      </c>
      <c r="N29" s="9" t="s">
        <v>112</v>
      </c>
      <c r="O29" s="87"/>
      <c r="P29" s="89"/>
      <c r="Q29" s="9" t="s">
        <v>104</v>
      </c>
      <c r="R29" s="9" t="s">
        <v>103</v>
      </c>
      <c r="S29" s="9" t="s">
        <v>104</v>
      </c>
      <c r="T29" s="89"/>
      <c r="U29" s="9"/>
      <c r="V29" s="4">
        <f t="shared" si="1"/>
        <v>2</v>
      </c>
      <c r="W29" s="4">
        <f t="shared" si="2"/>
        <v>1</v>
      </c>
    </row>
    <row r="30" spans="1:27" x14ac:dyDescent="0.25">
      <c r="A30" s="11">
        <v>26</v>
      </c>
      <c r="B30" s="24" t="s">
        <v>769</v>
      </c>
      <c r="C30" s="24" t="s">
        <v>770</v>
      </c>
      <c r="D30" s="9" t="s">
        <v>734</v>
      </c>
      <c r="E30" s="9" t="s">
        <v>112</v>
      </c>
      <c r="F30" s="9" t="s">
        <v>112</v>
      </c>
      <c r="G30" s="9" t="s">
        <v>112</v>
      </c>
      <c r="H30" s="87"/>
      <c r="I30" s="9" t="s">
        <v>112</v>
      </c>
      <c r="J30" s="89"/>
      <c r="K30" s="9" t="s">
        <v>112</v>
      </c>
      <c r="L30" s="9" t="s">
        <v>112</v>
      </c>
      <c r="M30" s="9" t="s">
        <v>112</v>
      </c>
      <c r="N30" s="9" t="s">
        <v>112</v>
      </c>
      <c r="O30" s="87"/>
      <c r="P30" s="89"/>
      <c r="Q30" s="9" t="s">
        <v>104</v>
      </c>
      <c r="R30" s="9" t="s">
        <v>103</v>
      </c>
      <c r="S30" s="9" t="s">
        <v>104</v>
      </c>
      <c r="T30" s="89"/>
      <c r="U30" s="9"/>
      <c r="V30" s="4">
        <f t="shared" si="1"/>
        <v>2</v>
      </c>
      <c r="W30" s="4">
        <f t="shared" si="2"/>
        <v>1</v>
      </c>
    </row>
    <row r="31" spans="1:27" x14ac:dyDescent="0.25">
      <c r="A31" s="5">
        <v>27</v>
      </c>
      <c r="B31" s="24" t="s">
        <v>771</v>
      </c>
      <c r="C31" s="24" t="s">
        <v>772</v>
      </c>
      <c r="D31" s="9" t="s">
        <v>734</v>
      </c>
      <c r="E31" s="9" t="s">
        <v>112</v>
      </c>
      <c r="F31" s="9" t="s">
        <v>112</v>
      </c>
      <c r="G31" s="9" t="s">
        <v>112</v>
      </c>
      <c r="H31" s="87"/>
      <c r="I31" s="9" t="s">
        <v>112</v>
      </c>
      <c r="J31" s="89"/>
      <c r="K31" s="9" t="s">
        <v>112</v>
      </c>
      <c r="L31" s="9" t="s">
        <v>112</v>
      </c>
      <c r="M31" s="9" t="s">
        <v>112</v>
      </c>
      <c r="N31" s="9" t="s">
        <v>112</v>
      </c>
      <c r="O31" s="87"/>
      <c r="P31" s="89"/>
      <c r="Q31" s="9" t="s">
        <v>112</v>
      </c>
      <c r="R31" s="9" t="s">
        <v>112</v>
      </c>
      <c r="S31" s="9" t="s">
        <v>104</v>
      </c>
      <c r="T31" s="89"/>
      <c r="U31" s="9"/>
      <c r="V31" s="4">
        <f t="shared" si="1"/>
        <v>1</v>
      </c>
      <c r="W31" s="4">
        <f t="shared" si="2"/>
        <v>0</v>
      </c>
    </row>
    <row r="32" spans="1:27" x14ac:dyDescent="0.25">
      <c r="A32" s="11">
        <v>28</v>
      </c>
      <c r="B32" s="24" t="s">
        <v>773</v>
      </c>
      <c r="C32" s="24" t="s">
        <v>774</v>
      </c>
      <c r="D32" s="9" t="s">
        <v>734</v>
      </c>
      <c r="E32" s="9" t="s">
        <v>112</v>
      </c>
      <c r="F32" s="9" t="s">
        <v>112</v>
      </c>
      <c r="G32" s="9" t="s">
        <v>112</v>
      </c>
      <c r="H32" s="87"/>
      <c r="I32" s="9" t="s">
        <v>112</v>
      </c>
      <c r="J32" s="89"/>
      <c r="K32" s="9" t="s">
        <v>112</v>
      </c>
      <c r="L32" s="9" t="s">
        <v>112</v>
      </c>
      <c r="M32" s="9" t="s">
        <v>112</v>
      </c>
      <c r="N32" s="9" t="s">
        <v>112</v>
      </c>
      <c r="O32" s="87"/>
      <c r="P32" s="89"/>
      <c r="Q32" s="9" t="s">
        <v>104</v>
      </c>
      <c r="R32" s="9" t="s">
        <v>104</v>
      </c>
      <c r="S32" s="9" t="s">
        <v>104</v>
      </c>
      <c r="T32" s="89"/>
      <c r="U32" s="9"/>
      <c r="V32" s="4">
        <f t="shared" si="1"/>
        <v>3</v>
      </c>
      <c r="W32" s="4">
        <f t="shared" si="2"/>
        <v>0</v>
      </c>
    </row>
    <row r="33" spans="1:23" x14ac:dyDescent="0.25">
      <c r="A33" s="5">
        <v>29</v>
      </c>
      <c r="B33" s="26" t="s">
        <v>775</v>
      </c>
      <c r="C33" s="26" t="s">
        <v>768</v>
      </c>
      <c r="D33" s="9" t="s">
        <v>734</v>
      </c>
      <c r="E33" s="9" t="s">
        <v>112</v>
      </c>
      <c r="F33" s="9" t="s">
        <v>112</v>
      </c>
      <c r="G33" s="9" t="s">
        <v>112</v>
      </c>
      <c r="H33" s="87"/>
      <c r="I33" s="9" t="s">
        <v>112</v>
      </c>
      <c r="J33" s="89"/>
      <c r="K33" s="9" t="s">
        <v>112</v>
      </c>
      <c r="L33" s="9" t="s">
        <v>112</v>
      </c>
      <c r="M33" s="9" t="s">
        <v>112</v>
      </c>
      <c r="N33" s="9" t="s">
        <v>112</v>
      </c>
      <c r="O33" s="87"/>
      <c r="P33" s="89"/>
      <c r="Q33" s="9" t="s">
        <v>104</v>
      </c>
      <c r="R33" s="9" t="s">
        <v>103</v>
      </c>
      <c r="S33" s="9" t="s">
        <v>104</v>
      </c>
      <c r="T33" s="89"/>
      <c r="U33" s="9"/>
      <c r="V33" s="4">
        <f t="shared" si="1"/>
        <v>2</v>
      </c>
      <c r="W33" s="4">
        <f t="shared" si="2"/>
        <v>1</v>
      </c>
    </row>
    <row r="34" spans="1:23" x14ac:dyDescent="0.25">
      <c r="A34" s="11">
        <v>30</v>
      </c>
      <c r="B34" s="26" t="s">
        <v>776</v>
      </c>
      <c r="C34" s="26" t="s">
        <v>777</v>
      </c>
      <c r="D34" s="9" t="s">
        <v>734</v>
      </c>
      <c r="E34" s="9" t="s">
        <v>112</v>
      </c>
      <c r="F34" s="9" t="s">
        <v>112</v>
      </c>
      <c r="G34" s="9" t="s">
        <v>112</v>
      </c>
      <c r="H34" s="90"/>
      <c r="I34" s="9" t="s">
        <v>112</v>
      </c>
      <c r="J34" s="91"/>
      <c r="K34" s="9" t="s">
        <v>112</v>
      </c>
      <c r="L34" s="9" t="s">
        <v>112</v>
      </c>
      <c r="M34" s="9" t="s">
        <v>112</v>
      </c>
      <c r="N34" s="9" t="s">
        <v>112</v>
      </c>
      <c r="O34" s="90"/>
      <c r="P34" s="91"/>
      <c r="Q34" s="9" t="s">
        <v>104</v>
      </c>
      <c r="R34" s="9" t="s">
        <v>104</v>
      </c>
      <c r="S34" s="9" t="s">
        <v>104</v>
      </c>
      <c r="T34" s="91"/>
      <c r="U34" s="9"/>
      <c r="V34" s="4">
        <f t="shared" si="1"/>
        <v>3</v>
      </c>
      <c r="W34" s="4">
        <f t="shared" si="2"/>
        <v>0</v>
      </c>
    </row>
    <row r="35" spans="1:23" x14ac:dyDescent="0.25">
      <c r="A35" s="16"/>
      <c r="B35" s="28"/>
      <c r="C35" s="28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30"/>
      <c r="W35" s="30"/>
    </row>
    <row r="36" spans="1:23" x14ac:dyDescent="0.25">
      <c r="A36" s="16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U36" s="29"/>
      <c r="V36" s="30"/>
      <c r="W36" s="30"/>
    </row>
    <row r="37" spans="1:23" x14ac:dyDescent="0.25">
      <c r="A37" s="16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U37" s="29"/>
      <c r="V37" s="30"/>
      <c r="W37" s="30"/>
    </row>
    <row r="38" spans="1:23" x14ac:dyDescent="0.25">
      <c r="A38" s="16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U38" s="29"/>
      <c r="V38" s="30"/>
      <c r="W38" s="30"/>
    </row>
    <row r="39" spans="1:23" x14ac:dyDescent="0.25">
      <c r="A39" s="16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U39" s="29"/>
      <c r="V39" s="30"/>
      <c r="W39" s="30"/>
    </row>
    <row r="40" spans="1:23" x14ac:dyDescent="0.25">
      <c r="A40" s="16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U40" s="29"/>
      <c r="V40" s="30"/>
      <c r="W40" s="30"/>
    </row>
    <row r="41" spans="1:23" x14ac:dyDescent="0.25">
      <c r="A41" s="16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U41" s="29"/>
      <c r="V41" s="30"/>
      <c r="W41" s="30"/>
    </row>
    <row r="42" spans="1:23" x14ac:dyDescent="0.25">
      <c r="A42" s="16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U42" s="29"/>
      <c r="V42" s="30"/>
      <c r="W42" s="30"/>
    </row>
    <row r="43" spans="1:23" x14ac:dyDescent="0.25">
      <c r="A43" s="16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U43" s="29"/>
      <c r="V43" s="30"/>
      <c r="W43" s="30"/>
    </row>
    <row r="44" spans="1:23" x14ac:dyDescent="0.25">
      <c r="A44" s="16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U44" s="29"/>
      <c r="V44" s="30"/>
      <c r="W44" s="30"/>
    </row>
    <row r="45" spans="1:23" x14ac:dyDescent="0.25">
      <c r="A45" s="16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U45" s="29"/>
      <c r="V45" s="30"/>
      <c r="W45" s="30"/>
    </row>
    <row r="46" spans="1:23" x14ac:dyDescent="0.25">
      <c r="A46" s="16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U46" s="29"/>
      <c r="V46" s="30"/>
      <c r="W46" s="30"/>
    </row>
    <row r="47" spans="1:23" x14ac:dyDescent="0.25">
      <c r="A47" s="16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U47" s="29"/>
      <c r="V47" s="30"/>
      <c r="W47" s="30"/>
    </row>
  </sheetData>
  <mergeCells count="16">
    <mergeCell ref="A1:W1"/>
    <mergeCell ref="A2:W2"/>
    <mergeCell ref="A3:A4"/>
    <mergeCell ref="B3:B4"/>
    <mergeCell ref="C3:C4"/>
    <mergeCell ref="D3:D4"/>
    <mergeCell ref="V3:V4"/>
    <mergeCell ref="W3:W4"/>
    <mergeCell ref="X3:Y3"/>
    <mergeCell ref="H5:H34"/>
    <mergeCell ref="J5:J34"/>
    <mergeCell ref="O5:O34"/>
    <mergeCell ref="P5:P34"/>
    <mergeCell ref="T5:T34"/>
    <mergeCell ref="X13:AA13"/>
    <mergeCell ref="X21:AA21"/>
  </mergeCells>
  <conditionalFormatting sqref="E5:T5 U5:U47 I6:I34 K6:N34 E6:G47 Q6:S47 T35 E4:U4">
    <cfRule type="expression" dxfId="12" priority="21">
      <formula>IF(E$4=TODAY(),TRUE,FALSE)</formula>
    </cfRule>
  </conditionalFormatting>
  <conditionalFormatting sqref="E5:T5 U5:U47 I6:I34 K6:N34 E6:G47 Q6:S47 T35">
    <cfRule type="cellIs" dxfId="11" priority="18" operator="equal">
      <formula>"L"</formula>
    </cfRule>
    <cfRule type="cellIs" dxfId="10" priority="19" operator="equal">
      <formula>"A"</formula>
    </cfRule>
    <cfRule type="cellIs" dxfId="9" priority="20" operator="equal">
      <formula>"P"</formula>
    </cfRule>
  </conditionalFormatting>
  <conditionalFormatting sqref="E3:U4 E5:T5 U5:U47 I6:I34 K6:N34 E6:G47 Q6:S47 T35">
    <cfRule type="expression" dxfId="8" priority="22">
      <formula>E$3="Sun"</formula>
    </cfRule>
  </conditionalFormatting>
  <conditionalFormatting sqref="V3:W3 V5:W47">
    <cfRule type="expression" dxfId="7" priority="23">
      <formula>#REF!="Sun"</formula>
    </cfRule>
  </conditionalFormatting>
  <conditionalFormatting sqref="X5:X11">
    <cfRule type="expression" dxfId="6" priority="7">
      <formula>X$3="Sun"</formula>
    </cfRule>
  </conditionalFormatting>
  <conditionalFormatting sqref="X14:X17">
    <cfRule type="expression" dxfId="5" priority="3">
      <formula>X$3="Sun"</formula>
    </cfRule>
  </conditionalFormatting>
  <conditionalFormatting sqref="X22:X25">
    <cfRule type="expression" dxfId="4" priority="2">
      <formula>X$3="Sun"</formula>
    </cfRule>
  </conditionalFormatting>
  <conditionalFormatting sqref="X4:Y4">
    <cfRule type="expression" dxfId="3" priority="8">
      <formula>X$3="Sun"</formula>
    </cfRule>
  </conditionalFormatting>
  <conditionalFormatting sqref="Y14:AA14">
    <cfRule type="expression" dxfId="2" priority="4">
      <formula>Y$3="Sun"</formula>
    </cfRule>
  </conditionalFormatting>
  <conditionalFormatting sqref="Y22:AA22">
    <cfRule type="expression" dxfId="1" priority="1">
      <formula>Y$3="Sun"</formula>
    </cfRule>
  </conditionalFormatting>
  <conditionalFormatting sqref="AA23">
    <cfRule type="expression" dxfId="0" priority="6">
      <formula>AA$3="Sun"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Compile Sheet-August-2024</vt:lpstr>
      <vt:lpstr>ECE (ROSE)</vt:lpstr>
      <vt:lpstr>ECE (DAFFODILS)</vt:lpstr>
      <vt:lpstr>Class-I</vt:lpstr>
      <vt:lpstr>Class-II</vt:lpstr>
      <vt:lpstr>Class-III</vt:lpstr>
      <vt:lpstr>Class-IV</vt:lpstr>
      <vt:lpstr>Class-V</vt:lpstr>
      <vt:lpstr>Class-VI</vt:lpstr>
      <vt:lpstr>Class-VII</vt:lpstr>
      <vt:lpstr>Class-VIII</vt:lpstr>
      <vt:lpstr>Class-IX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Shah</dc:creator>
  <cp:lastModifiedBy>Fayyaz Mohammad</cp:lastModifiedBy>
  <dcterms:created xsi:type="dcterms:W3CDTF">2015-06-05T18:17:20Z</dcterms:created>
  <dcterms:modified xsi:type="dcterms:W3CDTF">2025-01-22T05:43:41Z</dcterms:modified>
</cp:coreProperties>
</file>