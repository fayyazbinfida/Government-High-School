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Deffodils)\"/>
    </mc:Choice>
  </mc:AlternateContent>
  <xr:revisionPtr revIDLastSave="0" documentId="13_ncr:1_{35CB67C9-4EA5-48AE-A036-2DCCEA0AE9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Daffodil) (Girls)" sheetId="17" r:id="rId1"/>
    <sheet name="ECE (Daffodil)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8" i="18" l="1"/>
  <c r="AM18" i="18"/>
  <c r="AO18" i="18" s="1"/>
  <c r="AN10" i="18"/>
  <c r="AM10" i="18"/>
  <c r="AO10" i="18" s="1"/>
  <c r="AK29" i="18"/>
  <c r="AJ29" i="18"/>
  <c r="AJ35" i="18"/>
  <c r="AK35" i="18"/>
  <c r="AK34" i="18"/>
  <c r="AJ34" i="18"/>
  <c r="AK29" i="17"/>
  <c r="AJ29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5" i="18"/>
  <c r="AK5" i="18"/>
  <c r="AK33" i="18"/>
  <c r="AJ33" i="18"/>
  <c r="AK32" i="18"/>
  <c r="AJ32" i="18"/>
  <c r="AK31" i="18"/>
  <c r="AJ31" i="18"/>
  <c r="AK30" i="18"/>
  <c r="AJ30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F3" i="18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N18" i="17"/>
  <c r="AM18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N10" i="17"/>
  <c r="AM10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F3" i="17"/>
  <c r="AN11" i="18" l="1"/>
  <c r="AN12" i="18" s="1"/>
  <c r="AM11" i="18"/>
  <c r="AM12" i="18" s="1"/>
  <c r="AO18" i="17"/>
  <c r="AN11" i="17"/>
  <c r="AN12" i="17" s="1"/>
  <c r="AM11" i="17"/>
  <c r="AM12" i="17" s="1"/>
  <c r="AO10" i="17"/>
  <c r="AM19" i="18" l="1"/>
  <c r="AM20" i="18" s="1"/>
  <c r="AN19" i="18"/>
  <c r="AN20" i="18" s="1"/>
  <c r="AO11" i="18"/>
  <c r="AO12" i="18" s="1"/>
  <c r="AM19" i="17"/>
  <c r="AM20" i="17" s="1"/>
  <c r="AN19" i="17"/>
  <c r="AN20" i="17" s="1"/>
  <c r="AO11" i="17"/>
  <c r="AO12" i="17" s="1"/>
  <c r="AO19" i="18" l="1"/>
  <c r="AO20" i="18" s="1"/>
  <c r="AO19" i="17"/>
  <c r="AO20" i="17" s="1"/>
</calcChain>
</file>

<file path=xl/sharedStrings.xml><?xml version="1.0" encoding="utf-8"?>
<sst xmlns="http://schemas.openxmlformats.org/spreadsheetml/2006/main" count="798" uniqueCount="136">
  <si>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</si>
  <si>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</si>
  <si>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</si>
  <si>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</si>
  <si>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</si>
  <si>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</si>
  <si>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</si>
  <si>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</si>
  <si>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</si>
  <si>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</si>
  <si>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</si>
  <si>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</si>
  <si>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</si>
  <si>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</si>
  <si>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</si>
  <si>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</si>
  <si>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</si>
  <si>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</si>
  <si>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</si>
  <si>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</si>
  <si>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</si>
  <si>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</si>
  <si>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</si>
  <si>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</si>
  <si>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</si>
  <si>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</si>
  <si>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</si>
  <si>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</si>
  <si>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</si>
  <si>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</si>
  <si>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</si>
  <si>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</si>
  <si>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</si>
  <si>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</si>
  <si>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</si>
  <si>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</si>
  <si>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</si>
  <si>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</si>
  <si>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</si>
  <si>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</si>
  <si>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</si>
  <si>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</si>
  <si>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</si>
  <si>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</si>
  <si>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</si>
  <si>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</si>
  <si>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</si>
  <si>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</si>
  <si>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</si>
  <si>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</si>
  <si>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</si>
  <si>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</si>
  <si>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</si>
  <si>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</si>
  <si>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</si>
  <si>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</si>
  <si>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</si>
  <si>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</si>
  <si>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</si>
  <si>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</si>
  <si>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</si>
  <si>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</si>
  <si>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</si>
  <si>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</si>
  <si>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</si>
  <si>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</si>
  <si>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</si>
  <si>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</si>
  <si>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</si>
  <si>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</si>
  <si>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</si>
  <si>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</si>
  <si>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</si>
  <si>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</si>
  <si>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</si>
  <si>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</si>
  <si>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</si>
  <si>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</si>
  <si>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</si>
  <si>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</si>
  <si>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</si>
  <si>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</si>
  <si>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</si>
  <si>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</si>
  <si>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</si>
  <si>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</si>
  <si>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</si>
  <si>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</si>
  <si>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</si>
  <si>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</si>
  <si>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</si>
  <si>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</si>
  <si>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</si>
  <si>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</si>
  <si>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</si>
  <si>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</si>
  <si>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</si>
  <si>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</si>
  <si>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</si>
  <si>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</si>
  <si>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</si>
  <si>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</si>
  <si>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</si>
  <si>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</si>
  <si>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</si>
  <si>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</si>
  <si>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</si>
  <si>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</si>
  <si>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</si>
  <si>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</si>
  <si>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</si>
  <si>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</si>
  <si>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</si>
  <si>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</si>
  <si>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</si>
  <si>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M Fahad</t>
  </si>
  <si>
    <t>Ab. Hadi</t>
  </si>
  <si>
    <t>Monthly Attendence Month of October-2024</t>
  </si>
  <si>
    <t>SUNDAY - SUNDAY - SUNDAY</t>
  </si>
  <si>
    <t>P</t>
  </si>
  <si>
    <t>A</t>
  </si>
  <si>
    <t>L</t>
  </si>
  <si>
    <t>Immadullah</t>
  </si>
  <si>
    <t>Bilal Faheem</t>
  </si>
  <si>
    <t>Ab. Barri</t>
  </si>
  <si>
    <t>M. Ahad</t>
  </si>
  <si>
    <t>Hasnain Naeem</t>
  </si>
  <si>
    <t>M. Faheem</t>
  </si>
  <si>
    <t>Naeem Ahmed</t>
  </si>
  <si>
    <t>Ghulam Mustafa</t>
  </si>
  <si>
    <t>Sajid Ali</t>
  </si>
  <si>
    <t>SUNDAY - SUNDAY - SUNDAY - SUNDAY</t>
  </si>
  <si>
    <t>IQBAL DAY- IQBAL DAY- IQBAL DAY</t>
  </si>
  <si>
    <t>Muhammad Khan</t>
  </si>
  <si>
    <t>Imran Ali</t>
  </si>
  <si>
    <t>IQBAL DAY - IQBAL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</si>
</sst>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textRotation="255"/>
    </xf>
    <xf numFmtId="0" fontId="3" fillId="0" borderId="0" xfId="0" applyFont="1" applyAlignment="1">
      <alignment horizontal="center"/>
    </xf>
    <xf numFmtId="0" fontId="3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9" fontId="5" fillId="0" borderId="3" xfId="1" applyFont="1" applyBorder="1"/>
    <xf numFmtId="0" fontId="5" fillId="2" borderId="3" xfId="0" applyFont="1" applyFill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 textRotation="90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horizontal="center" textRotation="255"/>
    </xf>
    <xf numFmtId="0" fontId="2" fillId="0" borderId="7" xfId="0" applyFont="1" applyBorder="1" applyAlignment="1">
      <alignment horizontal="center" textRotation="255"/>
    </xf>
    <xf numFmtId="0" fontId="2" fillId="0" borderId="5" xfId="0" applyFont="1" applyBorder="1" applyAlignment="1">
      <alignment horizontal="center" textRotation="255"/>
    </xf>
    <xf numFmtId="0" fontId="7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textRotation="255"/>
    </xf>
    <xf numFmtId="0" fontId="2" fillId="4" borderId="2" xfId="0" applyFont="1" applyFill="1" applyBorder="1" applyAlignment="1">
      <alignment horizontal="center" textRotation="255"/>
    </xf>
    <xf numFmtId="0" fontId="2" fillId="4" borderId="7" xfId="0" applyFont="1" applyFill="1" applyBorder="1" applyAlignment="1">
      <alignment horizontal="center" textRotation="255"/>
    </xf>
    <xf numFmtId="0" fontId="2" fillId="4" borderId="5" xfId="0" applyFont="1" applyFill="1" applyBorder="1" applyAlignment="1">
      <alignment horizontal="center" textRotation="255"/>
    </xf>
    <xf numFmtId="0" fontId="2" fillId="0" borderId="3" xfId="0" applyFont="1" applyBorder="1" applyAlignment="1">
      <alignment vertical="center" textRotation="255"/>
    </xf>
  </cellXfs>
  <cellStyles count="2">
    <cellStyle name="Normal" xfId="0" builtinId="0"/>
    <cellStyle name="Percent" xfId="1" builtinId="5"/>
  </cellStyles>
  <dxfs count="3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O29"/>
  <sheetViews>
    <sheetView tabSelected="1" workbookViewId="0">
      <selection activeCell="AC5" sqref="AC5:AC2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16"/>
      <c r="AK1" s="16"/>
      <c r="AL1" s="16"/>
      <c r="AM1" s="16"/>
      <c r="AN1" s="16"/>
      <c r="AO1" s="16"/>
    </row>
    <row r="2" spans="1:41" ht="17.25" x14ac:dyDescent="0.3">
      <c r="A2" s="34" t="s">
        <v>117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16"/>
      <c r="AK2" s="16"/>
      <c r="AL2" s="16"/>
      <c r="AM2" s="16"/>
      <c r="AN2" s="16"/>
      <c r="AO2" s="16"/>
    </row>
    <row r="3" spans="1:41" ht="15.75" x14ac:dyDescent="0.25">
      <c r="A3" s="36" t="s">
        <v>0</v>
      </c>
      <c r="B3" s="36" t="s">
        <v>1</v>
      </c>
      <c r="C3" s="36" t="s">
        <v>2</v>
      </c>
      <c r="D3" s="36" t="s">
        <v>3</v>
      </c>
      <c r="E3" s="36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5" t="s">
        <v>5</v>
      </c>
      <c r="AK3" s="35" t="s">
        <v>6</v>
      </c>
      <c r="AL3" s="29" t="s">
        <v>21</v>
      </c>
      <c r="AM3" s="29"/>
      <c r="AN3" s="17"/>
      <c r="AO3" s="17"/>
    </row>
    <row r="4" spans="1:41" ht="37.5" x14ac:dyDescent="0.25">
      <c r="A4" s="36"/>
      <c r="B4" s="36"/>
      <c r="C4" s="36"/>
      <c r="D4" s="36"/>
      <c r="E4" s="36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35"/>
      <c r="AK4" s="35"/>
      <c r="AL4" s="3" t="s">
        <v>7</v>
      </c>
      <c r="AM4" s="4">
        <v>31</v>
      </c>
      <c r="AN4" s="17"/>
      <c r="AO4" s="17"/>
    </row>
    <row r="5" spans="1:41" ht="1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14" t="s">
        <v>119</v>
      </c>
      <c r="G5" s="14" t="s">
        <v>119</v>
      </c>
      <c r="H5" s="30" t="s">
        <v>118</v>
      </c>
      <c r="I5" s="14" t="s">
        <v>119</v>
      </c>
      <c r="J5" s="14" t="s">
        <v>119</v>
      </c>
      <c r="K5" s="14" t="s">
        <v>119</v>
      </c>
      <c r="L5" s="14" t="s">
        <v>119</v>
      </c>
      <c r="M5" s="14" t="s">
        <v>119</v>
      </c>
      <c r="N5" s="46" t="s">
        <v>135</v>
      </c>
      <c r="O5" s="30" t="s">
        <v>118</v>
      </c>
      <c r="P5" s="8" t="s">
        <v>119</v>
      </c>
      <c r="Q5" s="8" t="s">
        <v>119</v>
      </c>
      <c r="R5" s="8" t="s">
        <v>119</v>
      </c>
      <c r="S5" s="8"/>
      <c r="T5" s="8"/>
      <c r="U5" s="8"/>
      <c r="V5" s="30" t="s">
        <v>118</v>
      </c>
      <c r="W5" s="8"/>
      <c r="X5" s="8"/>
      <c r="Y5" s="49"/>
      <c r="Z5" s="8"/>
      <c r="AA5" s="8"/>
      <c r="AB5" s="8"/>
      <c r="AC5" s="30" t="s">
        <v>118</v>
      </c>
      <c r="AD5" s="8"/>
      <c r="AE5" s="8"/>
      <c r="AF5" s="49"/>
      <c r="AG5" s="8"/>
      <c r="AH5" s="8"/>
      <c r="AI5" s="8"/>
      <c r="AJ5" s="4">
        <f>COUNTIF(F5:AI5,"P")</f>
        <v>10</v>
      </c>
      <c r="AK5" s="4">
        <f>COUNTIF(F5:AI5,"A")</f>
        <v>0</v>
      </c>
      <c r="AL5" s="4" t="s">
        <v>9</v>
      </c>
      <c r="AM5" s="9">
        <v>26</v>
      </c>
      <c r="AN5" s="18" t="s">
        <v>10</v>
      </c>
      <c r="AO5" s="17"/>
    </row>
    <row r="6" spans="1:41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14" t="s">
        <v>119</v>
      </c>
      <c r="G6" s="14" t="s">
        <v>119</v>
      </c>
      <c r="H6" s="31"/>
      <c r="I6" s="14" t="s">
        <v>119</v>
      </c>
      <c r="J6" s="14" t="s">
        <v>119</v>
      </c>
      <c r="K6" s="14" t="s">
        <v>119</v>
      </c>
      <c r="L6" s="14" t="s">
        <v>119</v>
      </c>
      <c r="M6" s="14" t="s">
        <v>119</v>
      </c>
      <c r="N6" s="47"/>
      <c r="O6" s="31"/>
      <c r="P6" s="8" t="s">
        <v>119</v>
      </c>
      <c r="Q6" s="8" t="s">
        <v>120</v>
      </c>
      <c r="R6" s="8" t="s">
        <v>119</v>
      </c>
      <c r="S6" s="8"/>
      <c r="T6" s="8"/>
      <c r="U6" s="8"/>
      <c r="V6" s="31"/>
      <c r="W6" s="8"/>
      <c r="X6" s="8"/>
      <c r="Y6" s="49"/>
      <c r="Z6" s="8"/>
      <c r="AA6" s="8"/>
      <c r="AB6" s="8"/>
      <c r="AC6" s="31"/>
      <c r="AD6" s="8"/>
      <c r="AE6" s="8"/>
      <c r="AF6" s="49"/>
      <c r="AG6" s="8"/>
      <c r="AH6" s="8"/>
      <c r="AI6" s="8"/>
      <c r="AJ6" s="4">
        <f>COUNTIF(F6:AI6,"P")</f>
        <v>9</v>
      </c>
      <c r="AK6" s="4">
        <f>COUNTIF(F6:AI6,"A")</f>
        <v>1</v>
      </c>
      <c r="AL6" s="4" t="s">
        <v>11</v>
      </c>
      <c r="AM6" s="9">
        <v>4</v>
      </c>
      <c r="AN6" s="17"/>
      <c r="AO6" s="17"/>
    </row>
    <row r="7" spans="1:41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14" t="s">
        <v>120</v>
      </c>
      <c r="G7" s="14" t="s">
        <v>119</v>
      </c>
      <c r="H7" s="31"/>
      <c r="I7" s="14" t="s">
        <v>120</v>
      </c>
      <c r="J7" s="14" t="s">
        <v>119</v>
      </c>
      <c r="K7" s="14" t="s">
        <v>119</v>
      </c>
      <c r="L7" s="14" t="s">
        <v>119</v>
      </c>
      <c r="M7" s="14" t="s">
        <v>119</v>
      </c>
      <c r="N7" s="47"/>
      <c r="O7" s="31"/>
      <c r="P7" s="8" t="s">
        <v>119</v>
      </c>
      <c r="Q7" s="8" t="s">
        <v>119</v>
      </c>
      <c r="R7" s="8" t="s">
        <v>119</v>
      </c>
      <c r="S7" s="8"/>
      <c r="T7" s="8"/>
      <c r="U7" s="8"/>
      <c r="V7" s="31"/>
      <c r="W7" s="8"/>
      <c r="X7" s="8"/>
      <c r="Y7" s="49"/>
      <c r="Z7" s="8"/>
      <c r="AA7" s="8"/>
      <c r="AB7" s="8"/>
      <c r="AC7" s="31"/>
      <c r="AD7" s="8"/>
      <c r="AE7" s="8"/>
      <c r="AF7" s="49"/>
      <c r="AG7" s="8"/>
      <c r="AH7" s="8"/>
      <c r="AI7" s="8"/>
      <c r="AJ7" s="4">
        <f>COUNTIF(F7:AI7,"P")</f>
        <v>8</v>
      </c>
      <c r="AK7" s="4">
        <f>COUNTIF(F7:AI7,"A")</f>
        <v>2</v>
      </c>
      <c r="AL7" s="17"/>
      <c r="AM7" s="17"/>
      <c r="AN7" s="17"/>
      <c r="AO7" s="17"/>
    </row>
    <row r="8" spans="1:41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14" t="s">
        <v>120</v>
      </c>
      <c r="G8" s="14" t="s">
        <v>119</v>
      </c>
      <c r="H8" s="31"/>
      <c r="I8" s="14" t="s">
        <v>119</v>
      </c>
      <c r="J8" s="14" t="s">
        <v>119</v>
      </c>
      <c r="K8" s="14" t="s">
        <v>119</v>
      </c>
      <c r="L8" s="14" t="s">
        <v>119</v>
      </c>
      <c r="M8" s="14" t="s">
        <v>120</v>
      </c>
      <c r="N8" s="47"/>
      <c r="O8" s="31"/>
      <c r="P8" s="8" t="s">
        <v>119</v>
      </c>
      <c r="Q8" s="8" t="s">
        <v>119</v>
      </c>
      <c r="R8" s="8" t="s">
        <v>119</v>
      </c>
      <c r="S8" s="8"/>
      <c r="T8" s="8"/>
      <c r="U8" s="8"/>
      <c r="V8" s="31"/>
      <c r="W8" s="8"/>
      <c r="X8" s="8"/>
      <c r="Y8" s="49"/>
      <c r="Z8" s="8"/>
      <c r="AA8" s="8"/>
      <c r="AB8" s="8"/>
      <c r="AC8" s="31"/>
      <c r="AD8" s="8"/>
      <c r="AE8" s="8"/>
      <c r="AF8" s="49"/>
      <c r="AG8" s="8"/>
      <c r="AH8" s="8"/>
      <c r="AI8" s="8"/>
      <c r="AJ8" s="4">
        <f>COUNTIF(F8:AI8,"P")</f>
        <v>8</v>
      </c>
      <c r="AK8" s="4">
        <f>COUNTIF(F8:AI8,"A")</f>
        <v>2</v>
      </c>
      <c r="AL8" s="29" t="s">
        <v>12</v>
      </c>
      <c r="AM8" s="29"/>
      <c r="AN8" s="29"/>
      <c r="AO8" s="29"/>
    </row>
    <row r="9" spans="1:41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14" t="s">
        <v>121</v>
      </c>
      <c r="G9" s="14" t="s">
        <v>120</v>
      </c>
      <c r="H9" s="31"/>
      <c r="I9" s="14" t="s">
        <v>119</v>
      </c>
      <c r="J9" s="14" t="s">
        <v>119</v>
      </c>
      <c r="K9" s="14" t="s">
        <v>119</v>
      </c>
      <c r="L9" s="14" t="s">
        <v>119</v>
      </c>
      <c r="M9" s="14" t="s">
        <v>119</v>
      </c>
      <c r="N9" s="47"/>
      <c r="O9" s="31"/>
      <c r="P9" s="8" t="s">
        <v>119</v>
      </c>
      <c r="Q9" s="8" t="s">
        <v>119</v>
      </c>
      <c r="R9" s="8" t="s">
        <v>119</v>
      </c>
      <c r="S9" s="8"/>
      <c r="T9" s="8"/>
      <c r="U9" s="8"/>
      <c r="V9" s="31"/>
      <c r="W9" s="8"/>
      <c r="X9" s="8"/>
      <c r="Y9" s="49"/>
      <c r="Z9" s="8"/>
      <c r="AA9" s="8"/>
      <c r="AB9" s="8"/>
      <c r="AC9" s="31"/>
      <c r="AD9" s="8"/>
      <c r="AE9" s="8"/>
      <c r="AF9" s="49"/>
      <c r="AG9" s="8"/>
      <c r="AH9" s="8"/>
      <c r="AI9" s="8"/>
      <c r="AJ9" s="4">
        <f>COUNTIF(F9:AI9,"P")</f>
        <v>8</v>
      </c>
      <c r="AK9" s="4">
        <f>COUNTIF(F9:AI9,"A")</f>
        <v>1</v>
      </c>
      <c r="AL9" s="4" t="s">
        <v>13</v>
      </c>
      <c r="AM9" s="4" t="s">
        <v>14</v>
      </c>
      <c r="AN9" s="4" t="s">
        <v>15</v>
      </c>
      <c r="AO9" s="4" t="s">
        <v>16</v>
      </c>
    </row>
    <row r="10" spans="1:41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14" t="s">
        <v>119</v>
      </c>
      <c r="G10" s="14" t="s">
        <v>119</v>
      </c>
      <c r="H10" s="31"/>
      <c r="I10" s="14" t="s">
        <v>119</v>
      </c>
      <c r="J10" s="14" t="s">
        <v>119</v>
      </c>
      <c r="K10" s="14" t="s">
        <v>119</v>
      </c>
      <c r="L10" s="14" t="s">
        <v>119</v>
      </c>
      <c r="M10" s="14" t="s">
        <v>119</v>
      </c>
      <c r="N10" s="47"/>
      <c r="O10" s="31"/>
      <c r="P10" s="8" t="s">
        <v>119</v>
      </c>
      <c r="Q10" s="8" t="s">
        <v>119</v>
      </c>
      <c r="R10" s="8" t="s">
        <v>119</v>
      </c>
      <c r="S10" s="8"/>
      <c r="T10" s="8"/>
      <c r="U10" s="8"/>
      <c r="V10" s="31"/>
      <c r="W10" s="8"/>
      <c r="X10" s="8"/>
      <c r="Y10" s="49"/>
      <c r="Z10" s="8"/>
      <c r="AA10" s="8"/>
      <c r="AB10" s="8"/>
      <c r="AC10" s="31"/>
      <c r="AD10" s="8"/>
      <c r="AE10" s="8"/>
      <c r="AF10" s="49"/>
      <c r="AG10" s="8"/>
      <c r="AH10" s="8"/>
      <c r="AI10" s="8"/>
      <c r="AJ10" s="4">
        <f>COUNTIF(F10:AI10,"P")</f>
        <v>10</v>
      </c>
      <c r="AK10" s="4">
        <f>COUNTIF(F10:AI10,"A")</f>
        <v>0</v>
      </c>
      <c r="AL10" s="4" t="s">
        <v>17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14" t="s">
        <v>119</v>
      </c>
      <c r="G11" s="14" t="s">
        <v>119</v>
      </c>
      <c r="H11" s="31"/>
      <c r="I11" s="14" t="s">
        <v>119</v>
      </c>
      <c r="J11" s="14" t="s">
        <v>119</v>
      </c>
      <c r="K11" s="14" t="s">
        <v>119</v>
      </c>
      <c r="L11" s="14" t="s">
        <v>119</v>
      </c>
      <c r="M11" s="14" t="s">
        <v>119</v>
      </c>
      <c r="N11" s="47"/>
      <c r="O11" s="31"/>
      <c r="P11" s="8" t="s">
        <v>119</v>
      </c>
      <c r="Q11" s="8" t="s">
        <v>119</v>
      </c>
      <c r="R11" s="8" t="s">
        <v>119</v>
      </c>
      <c r="S11" s="8"/>
      <c r="T11" s="8"/>
      <c r="U11" s="8"/>
      <c r="V11" s="31"/>
      <c r="W11" s="8"/>
      <c r="X11" s="8"/>
      <c r="Y11" s="49"/>
      <c r="Z11" s="8"/>
      <c r="AA11" s="8"/>
      <c r="AB11" s="8"/>
      <c r="AC11" s="31"/>
      <c r="AD11" s="8"/>
      <c r="AE11" s="8"/>
      <c r="AF11" s="49"/>
      <c r="AG11" s="8"/>
      <c r="AH11" s="8"/>
      <c r="AI11" s="8"/>
      <c r="AJ11" s="4">
        <f>COUNTIF(F11:AI11,"P")</f>
        <v>10</v>
      </c>
      <c r="AK11" s="4">
        <f>COUNTIF(F11:AI11,"A")</f>
        <v>0</v>
      </c>
      <c r="AL11" s="4" t="s">
        <v>18</v>
      </c>
      <c r="AM11" s="9">
        <f>AJ6+AJ7+AJ8+AJ11+AJ12+AJ13+AJ15+AJ19+AJ20+AJ21+AJ22+AJ23+AJ24+AJ25+AJ26+AJ28</f>
        <v>142</v>
      </c>
      <c r="AN11" s="9">
        <f>AJ5+AJ9+AJ10+AJ14+AJ16+AJ17+AJ18+AJ27</f>
        <v>73</v>
      </c>
      <c r="AO11" s="9">
        <f>AM11+AN11</f>
        <v>215</v>
      </c>
    </row>
    <row r="12" spans="1:41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14" t="s">
        <v>119</v>
      </c>
      <c r="G12" s="14" t="s">
        <v>120</v>
      </c>
      <c r="H12" s="31"/>
      <c r="I12" s="14" t="s">
        <v>119</v>
      </c>
      <c r="J12" s="14" t="s">
        <v>119</v>
      </c>
      <c r="K12" s="14" t="s">
        <v>119</v>
      </c>
      <c r="L12" s="14" t="s">
        <v>119</v>
      </c>
      <c r="M12" s="14" t="s">
        <v>119</v>
      </c>
      <c r="N12" s="47"/>
      <c r="O12" s="31"/>
      <c r="P12" s="8" t="s">
        <v>119</v>
      </c>
      <c r="Q12" s="8" t="s">
        <v>119</v>
      </c>
      <c r="R12" s="8" t="s">
        <v>119</v>
      </c>
      <c r="S12" s="8"/>
      <c r="T12" s="8"/>
      <c r="U12" s="8"/>
      <c r="V12" s="31"/>
      <c r="W12" s="8"/>
      <c r="X12" s="8"/>
      <c r="Y12" s="49"/>
      <c r="Z12" s="8"/>
      <c r="AA12" s="8"/>
      <c r="AB12" s="8"/>
      <c r="AC12" s="31"/>
      <c r="AD12" s="8"/>
      <c r="AE12" s="8"/>
      <c r="AF12" s="49"/>
      <c r="AG12" s="8"/>
      <c r="AH12" s="8"/>
      <c r="AI12" s="8"/>
      <c r="AJ12" s="4">
        <f>COUNTIF(F12:AI12,"P")</f>
        <v>9</v>
      </c>
      <c r="AK12" s="4">
        <f>COUNTIF(F12:AI12,"A")</f>
        <v>1</v>
      </c>
      <c r="AL12" s="4" t="s">
        <v>19</v>
      </c>
      <c r="AM12" s="9">
        <f>AM11/AM10</f>
        <v>0.2874493927125506</v>
      </c>
      <c r="AN12" s="9">
        <f>AN11/AN10</f>
        <v>0.1336996336996337</v>
      </c>
      <c r="AO12" s="9">
        <f>AO11/AO10</f>
        <v>0.20673076923076922</v>
      </c>
    </row>
    <row r="13" spans="1:41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14" t="s">
        <v>119</v>
      </c>
      <c r="G13" s="14" t="s">
        <v>119</v>
      </c>
      <c r="H13" s="31"/>
      <c r="I13" s="14" t="s">
        <v>119</v>
      </c>
      <c r="J13" s="14" t="s">
        <v>119</v>
      </c>
      <c r="K13" s="14" t="s">
        <v>119</v>
      </c>
      <c r="L13" s="14" t="s">
        <v>119</v>
      </c>
      <c r="M13" s="14" t="s">
        <v>119</v>
      </c>
      <c r="N13" s="47"/>
      <c r="O13" s="31"/>
      <c r="P13" s="8" t="s">
        <v>119</v>
      </c>
      <c r="Q13" s="8" t="s">
        <v>119</v>
      </c>
      <c r="R13" s="8" t="s">
        <v>119</v>
      </c>
      <c r="S13" s="8"/>
      <c r="T13" s="8"/>
      <c r="U13" s="8"/>
      <c r="V13" s="31"/>
      <c r="W13" s="8"/>
      <c r="X13" s="8"/>
      <c r="Y13" s="49"/>
      <c r="Z13" s="8"/>
      <c r="AA13" s="8"/>
      <c r="AB13" s="8"/>
      <c r="AC13" s="31"/>
      <c r="AD13" s="8"/>
      <c r="AE13" s="8"/>
      <c r="AF13" s="49"/>
      <c r="AG13" s="8"/>
      <c r="AH13" s="8"/>
      <c r="AI13" s="8"/>
      <c r="AJ13" s="4">
        <f>COUNTIF(F13:AI13,"P")</f>
        <v>10</v>
      </c>
      <c r="AK13" s="4">
        <f>COUNTIF(F13:AI13,"A")</f>
        <v>0</v>
      </c>
      <c r="AL13" s="17"/>
      <c r="AM13" s="19"/>
      <c r="AN13" s="19"/>
      <c r="AO13" s="19"/>
    </row>
    <row r="14" spans="1:41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14" t="s">
        <v>119</v>
      </c>
      <c r="G14" s="14" t="s">
        <v>119</v>
      </c>
      <c r="H14" s="31"/>
      <c r="I14" s="14" t="s">
        <v>119</v>
      </c>
      <c r="J14" s="14" t="s">
        <v>119</v>
      </c>
      <c r="K14" s="14" t="s">
        <v>119</v>
      </c>
      <c r="L14" s="14" t="s">
        <v>119</v>
      </c>
      <c r="M14" s="14" t="s">
        <v>119</v>
      </c>
      <c r="N14" s="47"/>
      <c r="O14" s="31"/>
      <c r="P14" s="8" t="s">
        <v>119</v>
      </c>
      <c r="Q14" s="8" t="s">
        <v>119</v>
      </c>
      <c r="R14" s="8" t="s">
        <v>120</v>
      </c>
      <c r="S14" s="8"/>
      <c r="T14" s="8"/>
      <c r="U14" s="8"/>
      <c r="V14" s="31"/>
      <c r="W14" s="8"/>
      <c r="X14" s="8"/>
      <c r="Y14" s="49"/>
      <c r="Z14" s="8"/>
      <c r="AA14" s="8"/>
      <c r="AB14" s="8"/>
      <c r="AC14" s="31"/>
      <c r="AD14" s="8"/>
      <c r="AE14" s="8"/>
      <c r="AF14" s="49"/>
      <c r="AG14" s="8"/>
      <c r="AH14" s="8"/>
      <c r="AI14" s="8"/>
      <c r="AJ14" s="4">
        <f>COUNTIF(F14:AI14,"P")</f>
        <v>9</v>
      </c>
      <c r="AK14" s="4">
        <f>COUNTIF(F14:AI14,"A")</f>
        <v>1</v>
      </c>
      <c r="AL14" s="20"/>
      <c r="AM14" s="20"/>
      <c r="AN14" s="20"/>
      <c r="AO14" s="20"/>
    </row>
    <row r="15" spans="1:41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14" t="s">
        <v>119</v>
      </c>
      <c r="G15" s="14" t="s">
        <v>119</v>
      </c>
      <c r="H15" s="31"/>
      <c r="I15" s="14" t="s">
        <v>120</v>
      </c>
      <c r="J15" s="14" t="s">
        <v>120</v>
      </c>
      <c r="K15" s="14" t="s">
        <v>119</v>
      </c>
      <c r="L15" s="14" t="s">
        <v>119</v>
      </c>
      <c r="M15" s="14" t="s">
        <v>119</v>
      </c>
      <c r="N15" s="47"/>
      <c r="O15" s="31"/>
      <c r="P15" s="8" t="s">
        <v>119</v>
      </c>
      <c r="Q15" s="8" t="s">
        <v>119</v>
      </c>
      <c r="R15" s="8" t="s">
        <v>119</v>
      </c>
      <c r="S15" s="8"/>
      <c r="T15" s="8"/>
      <c r="U15" s="8"/>
      <c r="V15" s="31"/>
      <c r="W15" s="8"/>
      <c r="X15" s="8"/>
      <c r="Y15" s="49"/>
      <c r="Z15" s="8"/>
      <c r="AA15" s="8"/>
      <c r="AB15" s="8"/>
      <c r="AC15" s="31"/>
      <c r="AD15" s="8"/>
      <c r="AE15" s="8"/>
      <c r="AF15" s="49"/>
      <c r="AG15" s="8"/>
      <c r="AH15" s="8"/>
      <c r="AI15" s="8"/>
      <c r="AJ15" s="4">
        <f>COUNTIF(F15:AI15,"P")</f>
        <v>8</v>
      </c>
      <c r="AK15" s="4">
        <f>COUNTIF(F15:AI15,"A")</f>
        <v>2</v>
      </c>
      <c r="AL15" s="17"/>
      <c r="AM15" s="17"/>
      <c r="AN15" s="17"/>
      <c r="AO15" s="17"/>
    </row>
    <row r="16" spans="1:41" ht="16.5" x14ac:dyDescent="0.25">
      <c r="A16" s="9">
        <v>12</v>
      </c>
      <c r="B16" s="11">
        <v>107</v>
      </c>
      <c r="C16" s="6" t="s">
        <v>50</v>
      </c>
      <c r="D16" s="6" t="s">
        <v>23</v>
      </c>
      <c r="E16" s="7" t="s">
        <v>8</v>
      </c>
      <c r="F16" s="14" t="s">
        <v>119</v>
      </c>
      <c r="G16" s="14" t="s">
        <v>119</v>
      </c>
      <c r="H16" s="31"/>
      <c r="I16" s="14" t="s">
        <v>119</v>
      </c>
      <c r="J16" s="14" t="s">
        <v>119</v>
      </c>
      <c r="K16" s="14" t="s">
        <v>119</v>
      </c>
      <c r="L16" s="14" t="s">
        <v>119</v>
      </c>
      <c r="M16" s="14" t="s">
        <v>119</v>
      </c>
      <c r="N16" s="47"/>
      <c r="O16" s="31"/>
      <c r="P16" s="8" t="s">
        <v>119</v>
      </c>
      <c r="Q16" s="8" t="s">
        <v>119</v>
      </c>
      <c r="R16" s="8" t="s">
        <v>119</v>
      </c>
      <c r="S16" s="8"/>
      <c r="T16" s="8"/>
      <c r="U16" s="8"/>
      <c r="V16" s="31"/>
      <c r="W16" s="8"/>
      <c r="X16" s="8"/>
      <c r="Y16" s="49"/>
      <c r="Z16" s="8"/>
      <c r="AA16" s="8"/>
      <c r="AB16" s="8"/>
      <c r="AC16" s="31"/>
      <c r="AD16" s="8"/>
      <c r="AE16" s="8"/>
      <c r="AF16" s="49"/>
      <c r="AG16" s="8"/>
      <c r="AH16" s="8"/>
      <c r="AI16" s="8"/>
      <c r="AJ16" s="4">
        <f>COUNTIF(F16:AI16,"P")</f>
        <v>10</v>
      </c>
      <c r="AK16" s="4">
        <f>COUNTIF(F16:AI16,"A")</f>
        <v>0</v>
      </c>
      <c r="AL16" s="29" t="s">
        <v>6</v>
      </c>
      <c r="AM16" s="29"/>
      <c r="AN16" s="29"/>
      <c r="AO16" s="29"/>
    </row>
    <row r="17" spans="1:41" ht="16.5" x14ac:dyDescent="0.25">
      <c r="A17" s="9">
        <v>13</v>
      </c>
      <c r="B17" s="11">
        <v>84</v>
      </c>
      <c r="C17" s="6" t="s">
        <v>51</v>
      </c>
      <c r="D17" s="6" t="s">
        <v>52</v>
      </c>
      <c r="E17" s="7" t="s">
        <v>8</v>
      </c>
      <c r="F17" s="14" t="s">
        <v>119</v>
      </c>
      <c r="G17" s="14" t="s">
        <v>120</v>
      </c>
      <c r="H17" s="31"/>
      <c r="I17" s="14" t="s">
        <v>119</v>
      </c>
      <c r="J17" s="14" t="s">
        <v>119</v>
      </c>
      <c r="K17" s="14" t="s">
        <v>119</v>
      </c>
      <c r="L17" s="14" t="s">
        <v>119</v>
      </c>
      <c r="M17" s="14" t="s">
        <v>119</v>
      </c>
      <c r="N17" s="47"/>
      <c r="O17" s="31"/>
      <c r="P17" s="8" t="s">
        <v>119</v>
      </c>
      <c r="Q17" s="8" t="s">
        <v>119</v>
      </c>
      <c r="R17" s="8" t="s">
        <v>119</v>
      </c>
      <c r="S17" s="8"/>
      <c r="T17" s="8"/>
      <c r="U17" s="8"/>
      <c r="V17" s="31"/>
      <c r="W17" s="8"/>
      <c r="X17" s="8"/>
      <c r="Y17" s="49"/>
      <c r="Z17" s="8"/>
      <c r="AA17" s="8"/>
      <c r="AB17" s="8"/>
      <c r="AC17" s="31"/>
      <c r="AD17" s="8"/>
      <c r="AE17" s="8"/>
      <c r="AF17" s="49"/>
      <c r="AG17" s="8"/>
      <c r="AH17" s="8"/>
      <c r="AI17" s="8"/>
      <c r="AJ17" s="4">
        <f>COUNTIF(F17:AI17,"P")</f>
        <v>9</v>
      </c>
      <c r="AK17" s="4">
        <f>COUNTIF(F17:AI17,"A")</f>
        <v>1</v>
      </c>
      <c r="AL17" s="4" t="s">
        <v>13</v>
      </c>
      <c r="AM17" s="4" t="s">
        <v>14</v>
      </c>
      <c r="AN17" s="4" t="s">
        <v>15</v>
      </c>
      <c r="AO17" s="4" t="s">
        <v>16</v>
      </c>
    </row>
    <row r="18" spans="1:41" ht="16.5" x14ac:dyDescent="0.25">
      <c r="A18" s="9">
        <v>14</v>
      </c>
      <c r="B18" s="11">
        <v>85</v>
      </c>
      <c r="C18" s="6" t="s">
        <v>53</v>
      </c>
      <c r="D18" s="6" t="s">
        <v>54</v>
      </c>
      <c r="E18" s="7" t="s">
        <v>8</v>
      </c>
      <c r="F18" s="14" t="s">
        <v>120</v>
      </c>
      <c r="G18" s="14" t="s">
        <v>119</v>
      </c>
      <c r="H18" s="31"/>
      <c r="I18" s="14" t="s">
        <v>119</v>
      </c>
      <c r="J18" s="14" t="s">
        <v>119</v>
      </c>
      <c r="K18" s="14" t="s">
        <v>119</v>
      </c>
      <c r="L18" s="14" t="s">
        <v>119</v>
      </c>
      <c r="M18" s="14" t="s">
        <v>119</v>
      </c>
      <c r="N18" s="47"/>
      <c r="O18" s="31"/>
      <c r="P18" s="8" t="s">
        <v>119</v>
      </c>
      <c r="Q18" s="8" t="s">
        <v>119</v>
      </c>
      <c r="R18" s="8" t="s">
        <v>119</v>
      </c>
      <c r="S18" s="8"/>
      <c r="T18" s="8"/>
      <c r="U18" s="8"/>
      <c r="V18" s="31"/>
      <c r="W18" s="8"/>
      <c r="X18" s="8"/>
      <c r="Y18" s="49"/>
      <c r="Z18" s="8"/>
      <c r="AA18" s="8"/>
      <c r="AB18" s="8"/>
      <c r="AC18" s="31"/>
      <c r="AD18" s="8"/>
      <c r="AE18" s="8"/>
      <c r="AF18" s="49"/>
      <c r="AG18" s="8"/>
      <c r="AH18" s="8"/>
      <c r="AI18" s="8"/>
      <c r="AJ18" s="4">
        <f>COUNTIF(F18:AI18,"P")</f>
        <v>9</v>
      </c>
      <c r="AK18" s="4">
        <f>COUNTIF(F18:AI18,"A")</f>
        <v>1</v>
      </c>
      <c r="AL18" s="4" t="s">
        <v>17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ht="16.5" x14ac:dyDescent="0.25">
      <c r="A19" s="9">
        <v>15</v>
      </c>
      <c r="B19" s="11">
        <v>102</v>
      </c>
      <c r="C19" s="6" t="s">
        <v>55</v>
      </c>
      <c r="D19" s="6" t="s">
        <v>56</v>
      </c>
      <c r="E19" s="7" t="s">
        <v>8</v>
      </c>
      <c r="F19" s="14" t="s">
        <v>120</v>
      </c>
      <c r="G19" s="14" t="s">
        <v>119</v>
      </c>
      <c r="H19" s="31"/>
      <c r="I19" s="14" t="s">
        <v>119</v>
      </c>
      <c r="J19" s="14" t="s">
        <v>119</v>
      </c>
      <c r="K19" s="14" t="s">
        <v>119</v>
      </c>
      <c r="L19" s="14" t="s">
        <v>119</v>
      </c>
      <c r="M19" s="14" t="s">
        <v>119</v>
      </c>
      <c r="N19" s="47"/>
      <c r="O19" s="31"/>
      <c r="P19" s="8" t="s">
        <v>119</v>
      </c>
      <c r="Q19" s="8" t="s">
        <v>119</v>
      </c>
      <c r="R19" s="8" t="s">
        <v>119</v>
      </c>
      <c r="S19" s="8"/>
      <c r="T19" s="8"/>
      <c r="U19" s="8"/>
      <c r="V19" s="31"/>
      <c r="W19" s="8"/>
      <c r="X19" s="8"/>
      <c r="Y19" s="49"/>
      <c r="Z19" s="8"/>
      <c r="AA19" s="8"/>
      <c r="AB19" s="8"/>
      <c r="AC19" s="31"/>
      <c r="AD19" s="8"/>
      <c r="AE19" s="8"/>
      <c r="AF19" s="49"/>
      <c r="AG19" s="8"/>
      <c r="AH19" s="8"/>
      <c r="AI19" s="8"/>
      <c r="AJ19" s="4">
        <f>COUNTIF(F19:AI19,"P")</f>
        <v>9</v>
      </c>
      <c r="AK19" s="4">
        <f>COUNTIF(F19:AI19,"A")</f>
        <v>1</v>
      </c>
      <c r="AL19" s="4" t="s">
        <v>20</v>
      </c>
      <c r="AM19" s="9">
        <f>AM18-AM11</f>
        <v>352</v>
      </c>
      <c r="AN19" s="9">
        <f>AN18-AN11</f>
        <v>473</v>
      </c>
      <c r="AO19" s="9">
        <f>AM19+AN19</f>
        <v>825</v>
      </c>
    </row>
    <row r="20" spans="1:41" ht="16.5" x14ac:dyDescent="0.25">
      <c r="A20" s="9">
        <v>16</v>
      </c>
      <c r="B20" s="11">
        <v>87</v>
      </c>
      <c r="C20" s="6" t="s">
        <v>58</v>
      </c>
      <c r="D20" s="6" t="s">
        <v>133</v>
      </c>
      <c r="E20" s="7" t="s">
        <v>8</v>
      </c>
      <c r="F20" s="14" t="s">
        <v>119</v>
      </c>
      <c r="G20" s="14" t="s">
        <v>119</v>
      </c>
      <c r="H20" s="31"/>
      <c r="I20" s="14" t="s">
        <v>119</v>
      </c>
      <c r="J20" s="14" t="s">
        <v>119</v>
      </c>
      <c r="K20" s="14" t="s">
        <v>119</v>
      </c>
      <c r="L20" s="14" t="s">
        <v>119</v>
      </c>
      <c r="M20" s="14" t="s">
        <v>119</v>
      </c>
      <c r="N20" s="47"/>
      <c r="O20" s="31"/>
      <c r="P20" s="8" t="s">
        <v>119</v>
      </c>
      <c r="Q20" s="8" t="s">
        <v>119</v>
      </c>
      <c r="R20" s="8" t="s">
        <v>119</v>
      </c>
      <c r="S20" s="8"/>
      <c r="T20" s="8"/>
      <c r="U20" s="8"/>
      <c r="V20" s="31"/>
      <c r="W20" s="8"/>
      <c r="X20" s="8"/>
      <c r="Y20" s="49"/>
      <c r="Z20" s="8"/>
      <c r="AA20" s="8"/>
      <c r="AB20" s="8"/>
      <c r="AC20" s="31"/>
      <c r="AD20" s="8"/>
      <c r="AE20" s="8"/>
      <c r="AF20" s="49"/>
      <c r="AG20" s="8"/>
      <c r="AH20" s="8"/>
      <c r="AI20" s="8"/>
      <c r="AJ20" s="4">
        <f>COUNTIF(F20:AI20,"P")</f>
        <v>10</v>
      </c>
      <c r="AK20" s="4">
        <f>COUNTIF(F20:AI20,"A")</f>
        <v>0</v>
      </c>
      <c r="AL20" s="4" t="s">
        <v>16</v>
      </c>
      <c r="AM20" s="12">
        <f>AM19/AM18</f>
        <v>0.71255060728744934</v>
      </c>
      <c r="AN20" s="12">
        <f>AN19/AN18</f>
        <v>0.86630036630036633</v>
      </c>
      <c r="AO20" s="12">
        <f>AO19/AO18</f>
        <v>0.79326923076923073</v>
      </c>
    </row>
    <row r="21" spans="1:41" ht="16.5" x14ac:dyDescent="0.25">
      <c r="A21" s="9">
        <v>17</v>
      </c>
      <c r="B21" s="11">
        <v>71</v>
      </c>
      <c r="C21" s="6" t="s">
        <v>57</v>
      </c>
      <c r="D21" s="6" t="s">
        <v>39</v>
      </c>
      <c r="E21" s="7" t="s">
        <v>8</v>
      </c>
      <c r="F21" s="14" t="s">
        <v>119</v>
      </c>
      <c r="G21" s="14" t="s">
        <v>119</v>
      </c>
      <c r="H21" s="31"/>
      <c r="I21" s="14" t="s">
        <v>119</v>
      </c>
      <c r="J21" s="14" t="s">
        <v>119</v>
      </c>
      <c r="K21" s="14" t="s">
        <v>119</v>
      </c>
      <c r="L21" s="14" t="s">
        <v>119</v>
      </c>
      <c r="M21" s="14" t="s">
        <v>119</v>
      </c>
      <c r="N21" s="47"/>
      <c r="O21" s="31"/>
      <c r="P21" s="8" t="s">
        <v>119</v>
      </c>
      <c r="Q21" s="8" t="s">
        <v>119</v>
      </c>
      <c r="R21" s="8" t="s">
        <v>119</v>
      </c>
      <c r="S21" s="8"/>
      <c r="T21" s="8"/>
      <c r="U21" s="8"/>
      <c r="V21" s="31"/>
      <c r="W21" s="8"/>
      <c r="X21" s="8"/>
      <c r="Y21" s="49"/>
      <c r="Z21" s="8"/>
      <c r="AA21" s="8"/>
      <c r="AB21" s="8"/>
      <c r="AC21" s="31"/>
      <c r="AD21" s="8"/>
      <c r="AE21" s="8"/>
      <c r="AF21" s="49"/>
      <c r="AG21" s="8"/>
      <c r="AH21" s="8"/>
      <c r="AI21" s="8"/>
      <c r="AJ21" s="4">
        <f>COUNTIF(F21:AI21,"P")</f>
        <v>10</v>
      </c>
      <c r="AK21" s="4">
        <f>COUNTIF(F21:AI21,"A")</f>
        <v>0</v>
      </c>
      <c r="AL21" s="16"/>
      <c r="AM21" s="16"/>
      <c r="AN21" s="16"/>
      <c r="AO21" s="16"/>
    </row>
    <row r="22" spans="1:41" ht="16.5" x14ac:dyDescent="0.25">
      <c r="A22" s="9">
        <v>18</v>
      </c>
      <c r="B22" s="11">
        <v>81</v>
      </c>
      <c r="C22" s="6" t="s">
        <v>59</v>
      </c>
      <c r="D22" s="6" t="s">
        <v>60</v>
      </c>
      <c r="E22" s="7" t="s">
        <v>8</v>
      </c>
      <c r="F22" s="14" t="s">
        <v>119</v>
      </c>
      <c r="G22" s="14" t="s">
        <v>119</v>
      </c>
      <c r="H22" s="31"/>
      <c r="I22" s="14" t="s">
        <v>119</v>
      </c>
      <c r="J22" s="14" t="s">
        <v>119</v>
      </c>
      <c r="K22" s="14" t="s">
        <v>119</v>
      </c>
      <c r="L22" s="14" t="s">
        <v>119</v>
      </c>
      <c r="M22" s="14" t="s">
        <v>120</v>
      </c>
      <c r="N22" s="47"/>
      <c r="O22" s="31"/>
      <c r="P22" s="8" t="s">
        <v>119</v>
      </c>
      <c r="Q22" s="8" t="s">
        <v>119</v>
      </c>
      <c r="R22" s="8" t="s">
        <v>119</v>
      </c>
      <c r="S22" s="8"/>
      <c r="T22" s="8"/>
      <c r="U22" s="8"/>
      <c r="V22" s="31"/>
      <c r="W22" s="8"/>
      <c r="X22" s="8"/>
      <c r="Y22" s="49"/>
      <c r="Z22" s="8"/>
      <c r="AA22" s="8"/>
      <c r="AB22" s="8"/>
      <c r="AC22" s="31"/>
      <c r="AD22" s="8"/>
      <c r="AE22" s="8"/>
      <c r="AF22" s="49"/>
      <c r="AG22" s="8"/>
      <c r="AH22" s="8"/>
      <c r="AI22" s="8"/>
      <c r="AJ22" s="4">
        <f>COUNTIF(F22:AI22,"P")</f>
        <v>9</v>
      </c>
      <c r="AK22" s="4">
        <f>COUNTIF(F22:AI22,"A")</f>
        <v>1</v>
      </c>
      <c r="AL22" s="16"/>
      <c r="AM22" s="16"/>
      <c r="AN22" s="16"/>
      <c r="AO22" s="16"/>
    </row>
    <row r="23" spans="1:41" ht="16.5" x14ac:dyDescent="0.25">
      <c r="A23" s="9">
        <v>19</v>
      </c>
      <c r="B23" s="11">
        <v>82</v>
      </c>
      <c r="C23" s="6" t="s">
        <v>61</v>
      </c>
      <c r="D23" s="6" t="s">
        <v>62</v>
      </c>
      <c r="E23" s="7" t="s">
        <v>8</v>
      </c>
      <c r="F23" s="14" t="s">
        <v>119</v>
      </c>
      <c r="G23" s="14" t="s">
        <v>119</v>
      </c>
      <c r="H23" s="31"/>
      <c r="I23" s="14" t="s">
        <v>119</v>
      </c>
      <c r="J23" s="14" t="s">
        <v>120</v>
      </c>
      <c r="K23" s="14" t="s">
        <v>119</v>
      </c>
      <c r="L23" s="14" t="s">
        <v>119</v>
      </c>
      <c r="M23" s="14" t="s">
        <v>119</v>
      </c>
      <c r="N23" s="47"/>
      <c r="O23" s="31"/>
      <c r="P23" s="8" t="s">
        <v>119</v>
      </c>
      <c r="Q23" s="8" t="s">
        <v>119</v>
      </c>
      <c r="R23" s="8" t="s">
        <v>119</v>
      </c>
      <c r="S23" s="8"/>
      <c r="T23" s="8"/>
      <c r="U23" s="8"/>
      <c r="V23" s="31"/>
      <c r="W23" s="8"/>
      <c r="X23" s="8"/>
      <c r="Y23" s="49"/>
      <c r="Z23" s="8"/>
      <c r="AA23" s="8"/>
      <c r="AB23" s="8"/>
      <c r="AC23" s="31"/>
      <c r="AD23" s="8"/>
      <c r="AE23" s="8"/>
      <c r="AF23" s="49"/>
      <c r="AG23" s="8"/>
      <c r="AH23" s="8"/>
      <c r="AI23" s="8"/>
      <c r="AJ23" s="4">
        <f>COUNTIF(F23:AI23,"P")</f>
        <v>9</v>
      </c>
      <c r="AK23" s="4">
        <f>COUNTIF(F23:AI23,"A")</f>
        <v>1</v>
      </c>
      <c r="AL23" s="16"/>
      <c r="AM23" s="16"/>
      <c r="AN23" s="16"/>
      <c r="AO23" s="16"/>
    </row>
    <row r="24" spans="1:41" ht="16.5" x14ac:dyDescent="0.25">
      <c r="A24" s="9">
        <v>20</v>
      </c>
      <c r="B24" s="11">
        <v>68</v>
      </c>
      <c r="C24" s="6" t="s">
        <v>28</v>
      </c>
      <c r="D24" s="6" t="s">
        <v>63</v>
      </c>
      <c r="E24" s="7" t="s">
        <v>8</v>
      </c>
      <c r="F24" s="14" t="s">
        <v>119</v>
      </c>
      <c r="G24" s="14" t="s">
        <v>119</v>
      </c>
      <c r="H24" s="31"/>
      <c r="I24" s="14" t="s">
        <v>119</v>
      </c>
      <c r="J24" s="14" t="s">
        <v>120</v>
      </c>
      <c r="K24" s="14" t="s">
        <v>119</v>
      </c>
      <c r="L24" s="14" t="s">
        <v>119</v>
      </c>
      <c r="M24" s="14" t="s">
        <v>119</v>
      </c>
      <c r="N24" s="47"/>
      <c r="O24" s="31"/>
      <c r="P24" s="8" t="s">
        <v>119</v>
      </c>
      <c r="Q24" s="8" t="s">
        <v>119</v>
      </c>
      <c r="R24" s="8" t="s">
        <v>119</v>
      </c>
      <c r="S24" s="8"/>
      <c r="T24" s="8"/>
      <c r="U24" s="8"/>
      <c r="V24" s="31"/>
      <c r="W24" s="8"/>
      <c r="X24" s="8"/>
      <c r="Y24" s="49"/>
      <c r="Z24" s="8"/>
      <c r="AA24" s="8"/>
      <c r="AB24" s="8"/>
      <c r="AC24" s="31"/>
      <c r="AD24" s="8"/>
      <c r="AE24" s="8"/>
      <c r="AF24" s="49"/>
      <c r="AG24" s="8"/>
      <c r="AH24" s="8"/>
      <c r="AI24" s="8"/>
      <c r="AJ24" s="4">
        <f>COUNTIF(F24:AI24,"P")</f>
        <v>9</v>
      </c>
      <c r="AK24" s="4">
        <f>COUNTIF(F24:AI24,"A")</f>
        <v>1</v>
      </c>
      <c r="AL24" s="16"/>
      <c r="AM24" s="16"/>
      <c r="AN24" s="16"/>
      <c r="AO24" s="16"/>
    </row>
    <row r="25" spans="1:41" ht="16.5" x14ac:dyDescent="0.25">
      <c r="A25" s="9">
        <v>21</v>
      </c>
      <c r="B25" s="11">
        <v>69</v>
      </c>
      <c r="C25" s="6" t="s">
        <v>64</v>
      </c>
      <c r="D25" s="6" t="s">
        <v>65</v>
      </c>
      <c r="E25" s="7" t="s">
        <v>8</v>
      </c>
      <c r="F25" s="14" t="s">
        <v>119</v>
      </c>
      <c r="G25" s="14" t="s">
        <v>119</v>
      </c>
      <c r="H25" s="31"/>
      <c r="I25" s="14" t="s">
        <v>119</v>
      </c>
      <c r="J25" s="14" t="s">
        <v>119</v>
      </c>
      <c r="K25" s="14" t="s">
        <v>119</v>
      </c>
      <c r="L25" s="14" t="s">
        <v>119</v>
      </c>
      <c r="M25" s="14" t="s">
        <v>119</v>
      </c>
      <c r="N25" s="47"/>
      <c r="O25" s="31"/>
      <c r="P25" s="8" t="s">
        <v>119</v>
      </c>
      <c r="Q25" s="8" t="s">
        <v>119</v>
      </c>
      <c r="R25" s="8" t="s">
        <v>119</v>
      </c>
      <c r="S25" s="8"/>
      <c r="T25" s="8"/>
      <c r="U25" s="8"/>
      <c r="V25" s="31"/>
      <c r="W25" s="8"/>
      <c r="X25" s="8"/>
      <c r="Y25" s="49"/>
      <c r="Z25" s="8"/>
      <c r="AA25" s="8"/>
      <c r="AB25" s="8"/>
      <c r="AC25" s="31"/>
      <c r="AD25" s="8"/>
      <c r="AE25" s="8"/>
      <c r="AF25" s="49"/>
      <c r="AG25" s="8"/>
      <c r="AH25" s="8"/>
      <c r="AI25" s="8"/>
      <c r="AJ25" s="4">
        <f>COUNTIF(F25:AI25,"P")</f>
        <v>10</v>
      </c>
      <c r="AK25" s="4">
        <f>COUNTIF(F25:AI25,"A")</f>
        <v>0</v>
      </c>
      <c r="AL25" s="16"/>
      <c r="AM25" s="16"/>
      <c r="AN25" s="16"/>
      <c r="AO25" s="16"/>
    </row>
    <row r="26" spans="1:41" ht="16.5" x14ac:dyDescent="0.25">
      <c r="A26" s="9">
        <v>22</v>
      </c>
      <c r="B26" s="11">
        <v>70</v>
      </c>
      <c r="C26" s="6" t="s">
        <v>66</v>
      </c>
      <c r="D26" s="6" t="s">
        <v>67</v>
      </c>
      <c r="E26" s="7" t="s">
        <v>8</v>
      </c>
      <c r="F26" s="14" t="s">
        <v>119</v>
      </c>
      <c r="G26" s="14" t="s">
        <v>119</v>
      </c>
      <c r="H26" s="31"/>
      <c r="I26" s="14" t="s">
        <v>119</v>
      </c>
      <c r="J26" s="14" t="s">
        <v>119</v>
      </c>
      <c r="K26" s="14" t="s">
        <v>119</v>
      </c>
      <c r="L26" s="14" t="s">
        <v>119</v>
      </c>
      <c r="M26" s="14" t="s">
        <v>120</v>
      </c>
      <c r="N26" s="47"/>
      <c r="O26" s="31"/>
      <c r="P26" s="8" t="s">
        <v>119</v>
      </c>
      <c r="Q26" s="8" t="s">
        <v>119</v>
      </c>
      <c r="R26" s="8" t="s">
        <v>119</v>
      </c>
      <c r="S26" s="8"/>
      <c r="T26" s="8"/>
      <c r="U26" s="8"/>
      <c r="V26" s="31"/>
      <c r="W26" s="8"/>
      <c r="X26" s="8"/>
      <c r="Y26" s="49"/>
      <c r="Z26" s="8"/>
      <c r="AA26" s="8"/>
      <c r="AB26" s="8"/>
      <c r="AC26" s="31"/>
      <c r="AD26" s="8"/>
      <c r="AE26" s="8"/>
      <c r="AF26" s="49"/>
      <c r="AG26" s="8"/>
      <c r="AH26" s="8"/>
      <c r="AI26" s="8"/>
      <c r="AJ26" s="4">
        <f>COUNTIF(F26:AI26,"P")</f>
        <v>9</v>
      </c>
      <c r="AK26" s="4">
        <f>COUNTIF(F26:AI26,"A")</f>
        <v>1</v>
      </c>
      <c r="AL26" s="16"/>
      <c r="AM26" s="16"/>
      <c r="AN26" s="16"/>
      <c r="AO26" s="16"/>
    </row>
    <row r="27" spans="1:41" ht="16.5" x14ac:dyDescent="0.25">
      <c r="A27" s="9">
        <v>23</v>
      </c>
      <c r="B27" s="11">
        <v>103</v>
      </c>
      <c r="C27" s="6" t="s">
        <v>68</v>
      </c>
      <c r="D27" s="6" t="s">
        <v>38</v>
      </c>
      <c r="E27" s="7" t="s">
        <v>8</v>
      </c>
      <c r="F27" s="14" t="s">
        <v>121</v>
      </c>
      <c r="G27" s="14" t="s">
        <v>120</v>
      </c>
      <c r="H27" s="31"/>
      <c r="I27" s="14" t="s">
        <v>119</v>
      </c>
      <c r="J27" s="14" t="s">
        <v>119</v>
      </c>
      <c r="K27" s="14" t="s">
        <v>119</v>
      </c>
      <c r="L27" s="14" t="s">
        <v>119</v>
      </c>
      <c r="M27" s="14" t="s">
        <v>119</v>
      </c>
      <c r="N27" s="47"/>
      <c r="O27" s="31"/>
      <c r="P27" s="8" t="s">
        <v>119</v>
      </c>
      <c r="Q27" s="8" t="s">
        <v>119</v>
      </c>
      <c r="R27" s="8" t="s">
        <v>119</v>
      </c>
      <c r="S27" s="8"/>
      <c r="T27" s="8"/>
      <c r="U27" s="8"/>
      <c r="V27" s="31"/>
      <c r="W27" s="8"/>
      <c r="X27" s="8"/>
      <c r="Y27" s="49"/>
      <c r="Z27" s="8"/>
      <c r="AA27" s="8"/>
      <c r="AB27" s="8"/>
      <c r="AC27" s="31"/>
      <c r="AD27" s="8"/>
      <c r="AE27" s="8"/>
      <c r="AF27" s="49"/>
      <c r="AG27" s="8"/>
      <c r="AH27" s="8"/>
      <c r="AI27" s="8"/>
      <c r="AJ27" s="4">
        <f>COUNTIF(F27:AI27,"P")</f>
        <v>8</v>
      </c>
      <c r="AK27" s="4">
        <f>COUNTIF(F27:AI27,"A")</f>
        <v>1</v>
      </c>
      <c r="AL27" s="16"/>
      <c r="AM27" s="16"/>
      <c r="AN27" s="16"/>
      <c r="AO27" s="16"/>
    </row>
    <row r="28" spans="1:41" ht="16.5" x14ac:dyDescent="0.25">
      <c r="A28" s="9">
        <v>24</v>
      </c>
      <c r="B28" s="10">
        <v>149</v>
      </c>
      <c r="C28" s="6" t="s">
        <v>69</v>
      </c>
      <c r="D28" s="6" t="s">
        <v>70</v>
      </c>
      <c r="E28" s="7" t="s">
        <v>8</v>
      </c>
      <c r="F28" s="14" t="s">
        <v>120</v>
      </c>
      <c r="G28" s="14" t="s">
        <v>120</v>
      </c>
      <c r="H28" s="31"/>
      <c r="I28" s="14" t="s">
        <v>120</v>
      </c>
      <c r="J28" s="14" t="s">
        <v>119</v>
      </c>
      <c r="K28" s="14" t="s">
        <v>119</v>
      </c>
      <c r="L28" s="14" t="s">
        <v>120</v>
      </c>
      <c r="M28" s="14" t="s">
        <v>119</v>
      </c>
      <c r="N28" s="47"/>
      <c r="O28" s="31"/>
      <c r="P28" s="8" t="s">
        <v>119</v>
      </c>
      <c r="Q28" s="8" t="s">
        <v>120</v>
      </c>
      <c r="R28" s="8" t="s">
        <v>119</v>
      </c>
      <c r="S28" s="8"/>
      <c r="T28" s="8"/>
      <c r="U28" s="8"/>
      <c r="V28" s="31"/>
      <c r="W28" s="8"/>
      <c r="X28" s="8"/>
      <c r="Y28" s="49"/>
      <c r="Z28" s="8"/>
      <c r="AA28" s="8"/>
      <c r="AB28" s="8"/>
      <c r="AC28" s="31"/>
      <c r="AD28" s="8"/>
      <c r="AE28" s="8"/>
      <c r="AF28" s="49"/>
      <c r="AG28" s="8"/>
      <c r="AH28" s="8"/>
      <c r="AI28" s="8"/>
      <c r="AJ28" s="4">
        <f>COUNTIF(F28:AI28,"P")</f>
        <v>5</v>
      </c>
      <c r="AK28" s="4">
        <f>COUNTIF(F28:AI28,"A")</f>
        <v>5</v>
      </c>
      <c r="AL28" s="16"/>
      <c r="AM28" s="16"/>
      <c r="AN28" s="16"/>
      <c r="AO28" s="16"/>
    </row>
    <row r="29" spans="1:41" ht="16.5" x14ac:dyDescent="0.25">
      <c r="A29" s="9">
        <v>25</v>
      </c>
      <c r="B29" s="10"/>
      <c r="C29" s="6" t="s">
        <v>27</v>
      </c>
      <c r="D29" s="6" t="s">
        <v>134</v>
      </c>
      <c r="E29" s="7" t="s">
        <v>8</v>
      </c>
      <c r="F29" s="14" t="s">
        <v>119</v>
      </c>
      <c r="G29" s="14" t="s">
        <v>120</v>
      </c>
      <c r="H29" s="32"/>
      <c r="I29" s="14" t="s">
        <v>119</v>
      </c>
      <c r="J29" s="14" t="s">
        <v>119</v>
      </c>
      <c r="K29" s="14" t="s">
        <v>119</v>
      </c>
      <c r="L29" s="14" t="s">
        <v>119</v>
      </c>
      <c r="M29" s="14" t="s">
        <v>120</v>
      </c>
      <c r="N29" s="48"/>
      <c r="O29" s="32"/>
      <c r="P29" s="8" t="s">
        <v>119</v>
      </c>
      <c r="Q29" s="8" t="s">
        <v>119</v>
      </c>
      <c r="R29" s="8" t="s">
        <v>119</v>
      </c>
      <c r="S29" s="8"/>
      <c r="T29" s="8"/>
      <c r="U29" s="8"/>
      <c r="V29" s="32"/>
      <c r="W29" s="8"/>
      <c r="X29" s="8"/>
      <c r="Y29" s="49"/>
      <c r="Z29" s="8"/>
      <c r="AA29" s="8"/>
      <c r="AB29" s="8"/>
      <c r="AC29" s="32"/>
      <c r="AD29" s="8"/>
      <c r="AE29" s="8"/>
      <c r="AF29" s="49"/>
      <c r="AG29" s="8"/>
      <c r="AH29" s="8"/>
      <c r="AI29" s="8"/>
      <c r="AJ29" s="4">
        <f>COUNTIF(F29:AI29,"P")</f>
        <v>8</v>
      </c>
      <c r="AK29" s="4">
        <f>COUNTIF(F29:AI29,"A")</f>
        <v>2</v>
      </c>
      <c r="AL29" s="16"/>
      <c r="AM29" s="16"/>
      <c r="AN29" s="16"/>
      <c r="AO29" s="16"/>
    </row>
  </sheetData>
  <mergeCells count="17">
    <mergeCell ref="H5:H29"/>
    <mergeCell ref="N5:N29"/>
    <mergeCell ref="O5:O29"/>
    <mergeCell ref="V5:V29"/>
    <mergeCell ref="AC5:AC29"/>
    <mergeCell ref="A1:AI1"/>
    <mergeCell ref="A2:AI2"/>
    <mergeCell ref="AJ3:AJ4"/>
    <mergeCell ref="AK3:AK4"/>
    <mergeCell ref="AL3:AM3"/>
    <mergeCell ref="A3:A4"/>
    <mergeCell ref="B3:B4"/>
    <mergeCell ref="C3:C4"/>
    <mergeCell ref="D3:D4"/>
    <mergeCell ref="E3:E4"/>
    <mergeCell ref="AL8:AO8"/>
    <mergeCell ref="AL16:AO16"/>
  </mergeCells>
  <conditionalFormatting sqref="B5:B29">
    <cfRule type="duplicateValues" dxfId="23" priority="22"/>
  </conditionalFormatting>
  <conditionalFormatting sqref="Z6:AB29 AL4:AM4 AG6:AI29 F6:G29 I6:M29 P6:U29 W6:X29 AD6:AE29 F3:AI5">
    <cfRule type="expression" dxfId="22" priority="12">
      <formula>F$3="Sun"</formula>
    </cfRule>
  </conditionalFormatting>
  <conditionalFormatting sqref="Z6:AB29 AG6:AI29 F6:G29 I6:M29 P6:U29 W6:X29 AD6:AE29 F5:AI5">
    <cfRule type="cellIs" dxfId="21" priority="4" operator="equal">
      <formula>"A"</formula>
    </cfRule>
    <cfRule type="cellIs" dxfId="20" priority="5" operator="equal">
      <formula>"P"</formula>
    </cfRule>
  </conditionalFormatting>
  <conditionalFormatting sqref="AG6:AI29 F6:G29 I6:M29 P6:U29 W6:AB29 AD6:AE29 F5:AI5">
    <cfRule type="cellIs" dxfId="19" priority="2" operator="equal">
      <formula>"L"</formula>
    </cfRule>
  </conditionalFormatting>
  <conditionalFormatting sqref="AJ3:AK3 AJ5:AK29">
    <cfRule type="expression" dxfId="18" priority="13">
      <formula>#REF!="Sun"</formula>
    </cfRule>
  </conditionalFormatting>
  <conditionalFormatting sqref="AL5:AL6">
    <cfRule type="expression" dxfId="17" priority="10">
      <formula>AL$3="Sun"</formula>
    </cfRule>
  </conditionalFormatting>
  <conditionalFormatting sqref="AL9:AL12">
    <cfRule type="expression" dxfId="16" priority="8">
      <formula>AL$3="Sun"</formula>
    </cfRule>
  </conditionalFormatting>
  <conditionalFormatting sqref="AL17:AL20">
    <cfRule type="expression" dxfId="15" priority="7">
      <formula>AL$3="Sun"</formula>
    </cfRule>
  </conditionalFormatting>
  <conditionalFormatting sqref="AM9:AO9">
    <cfRule type="expression" dxfId="14" priority="9">
      <formula>AM$3="Sun"</formula>
    </cfRule>
  </conditionalFormatting>
  <conditionalFormatting sqref="AM17:AO17">
    <cfRule type="expression" dxfId="13" priority="6">
      <formula>AM$3="Sun"</formula>
    </cfRule>
  </conditionalFormatting>
  <conditionalFormatting sqref="F3:AI4 F6:G29 I6:M29 P5:U29 F5:O5 W5:AB29 V5 AD5:AI29 AC5">
    <cfRule type="expression" dxfId="12" priority="1">
      <formula>F$4=TODAY()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3FC0-4FC0-4631-9C80-D5D780BF6DD6}">
  <sheetPr>
    <tabColor rgb="FFC00000"/>
  </sheetPr>
  <dimension ref="A1:AO35"/>
  <sheetViews>
    <sheetView workbookViewId="0">
      <selection activeCell="AJ3" sqref="AJ1:AJ1048576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3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15"/>
      <c r="AK1" s="15"/>
      <c r="AL1" s="15"/>
      <c r="AM1" s="15"/>
      <c r="AN1" s="15"/>
      <c r="AO1" s="15"/>
    </row>
    <row r="2" spans="1:41" ht="17.25" x14ac:dyDescent="0.3">
      <c r="A2" s="37" t="s">
        <v>117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15"/>
      <c r="AK2" s="15"/>
      <c r="AL2" s="15"/>
      <c r="AM2" s="15"/>
      <c r="AN2" s="15"/>
      <c r="AO2" s="15"/>
    </row>
    <row r="3" spans="1:41" ht="15.75" x14ac:dyDescent="0.25">
      <c r="A3" s="42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44" t="s">
        <v>5</v>
      </c>
      <c r="AK3" s="44" t="s">
        <v>6</v>
      </c>
      <c r="AL3" s="29" t="s">
        <v>21</v>
      </c>
      <c r="AM3" s="29"/>
      <c r="AN3" s="17"/>
      <c r="AO3" s="17"/>
    </row>
    <row r="4" spans="1:41" ht="37.5" x14ac:dyDescent="0.25">
      <c r="A4" s="43"/>
      <c r="B4" s="43"/>
      <c r="C4" s="43"/>
      <c r="D4" s="43"/>
      <c r="E4" s="43"/>
      <c r="F4" s="26">
        <v>45597</v>
      </c>
      <c r="G4" s="26">
        <v>45598</v>
      </c>
      <c r="H4" s="26">
        <v>45599</v>
      </c>
      <c r="I4" s="26">
        <v>45600</v>
      </c>
      <c r="J4" s="26">
        <v>45601</v>
      </c>
      <c r="K4" s="26">
        <v>45602</v>
      </c>
      <c r="L4" s="26">
        <v>45603</v>
      </c>
      <c r="M4" s="26">
        <v>45604</v>
      </c>
      <c r="N4" s="26">
        <v>45605</v>
      </c>
      <c r="O4" s="26">
        <v>45606</v>
      </c>
      <c r="P4" s="26">
        <v>45607</v>
      </c>
      <c r="Q4" s="26">
        <v>45608</v>
      </c>
      <c r="R4" s="26">
        <v>45609</v>
      </c>
      <c r="S4" s="26">
        <v>45610</v>
      </c>
      <c r="T4" s="26">
        <v>45611</v>
      </c>
      <c r="U4" s="26">
        <v>45612</v>
      </c>
      <c r="V4" s="26">
        <v>45613</v>
      </c>
      <c r="W4" s="26">
        <v>45614</v>
      </c>
      <c r="X4" s="26">
        <v>45615</v>
      </c>
      <c r="Y4" s="26">
        <v>45616</v>
      </c>
      <c r="Z4" s="26">
        <v>45617</v>
      </c>
      <c r="AA4" s="26">
        <v>45618</v>
      </c>
      <c r="AB4" s="26">
        <v>45619</v>
      </c>
      <c r="AC4" s="26">
        <v>45620</v>
      </c>
      <c r="AD4" s="26">
        <v>45621</v>
      </c>
      <c r="AE4" s="26">
        <v>45622</v>
      </c>
      <c r="AF4" s="26">
        <v>45623</v>
      </c>
      <c r="AG4" s="26">
        <v>45624</v>
      </c>
      <c r="AH4" s="26">
        <v>45625</v>
      </c>
      <c r="AI4" s="26">
        <v>45626</v>
      </c>
      <c r="AJ4" s="44"/>
      <c r="AK4" s="44"/>
      <c r="AL4" s="3" t="s">
        <v>7</v>
      </c>
      <c r="AM4" s="4">
        <v>31</v>
      </c>
      <c r="AN4" s="17"/>
      <c r="AO4" s="17"/>
    </row>
    <row r="5" spans="1:41" ht="15" customHeight="1" x14ac:dyDescent="0.25">
      <c r="A5" s="5">
        <v>1</v>
      </c>
      <c r="B5" s="5">
        <v>61</v>
      </c>
      <c r="C5" s="21" t="s">
        <v>71</v>
      </c>
      <c r="D5" s="22" t="s">
        <v>72</v>
      </c>
      <c r="E5" s="27" t="s">
        <v>8</v>
      </c>
      <c r="F5" s="28" t="s">
        <v>119</v>
      </c>
      <c r="G5" s="28" t="s">
        <v>119</v>
      </c>
      <c r="H5" s="39" t="s">
        <v>131</v>
      </c>
      <c r="I5" s="28" t="s">
        <v>119</v>
      </c>
      <c r="J5" s="28" t="s">
        <v>119</v>
      </c>
      <c r="K5" s="28" t="s">
        <v>119</v>
      </c>
      <c r="L5" s="28" t="s">
        <v>119</v>
      </c>
      <c r="M5" s="28" t="s">
        <v>119</v>
      </c>
      <c r="N5" s="46" t="s">
        <v>132</v>
      </c>
      <c r="O5" s="39" t="s">
        <v>131</v>
      </c>
      <c r="P5" s="23" t="s">
        <v>119</v>
      </c>
      <c r="Q5" s="23" t="s">
        <v>119</v>
      </c>
      <c r="R5" s="23" t="s">
        <v>119</v>
      </c>
      <c r="S5" s="23"/>
      <c r="T5" s="23"/>
      <c r="U5" s="23"/>
      <c r="V5" s="39" t="s">
        <v>131</v>
      </c>
      <c r="W5" s="23"/>
      <c r="X5" s="23"/>
      <c r="Y5" s="45"/>
      <c r="Z5" s="23"/>
      <c r="AA5" s="23"/>
      <c r="AB5" s="23"/>
      <c r="AC5" s="39" t="s">
        <v>131</v>
      </c>
      <c r="AD5" s="23"/>
      <c r="AE5" s="23"/>
      <c r="AF5" s="45"/>
      <c r="AG5" s="23"/>
      <c r="AH5" s="23"/>
      <c r="AI5" s="23"/>
      <c r="AJ5" s="3">
        <f>COUNTIF(F5:AI5,"P")</f>
        <v>10</v>
      </c>
      <c r="AK5" s="3">
        <f>COUNTIF(F5:AI5,"A")</f>
        <v>0</v>
      </c>
      <c r="AL5" s="4" t="s">
        <v>9</v>
      </c>
      <c r="AM5" s="9">
        <v>26</v>
      </c>
      <c r="AN5" s="18" t="s">
        <v>10</v>
      </c>
      <c r="AO5" s="17"/>
    </row>
    <row r="6" spans="1:41" ht="16.5" x14ac:dyDescent="0.25">
      <c r="A6" s="10">
        <v>2</v>
      </c>
      <c r="B6" s="10">
        <v>79</v>
      </c>
      <c r="C6" s="24" t="s">
        <v>73</v>
      </c>
      <c r="D6" s="25" t="s">
        <v>74</v>
      </c>
      <c r="E6" s="23" t="s">
        <v>8</v>
      </c>
      <c r="F6" s="28" t="s">
        <v>119</v>
      </c>
      <c r="G6" s="28" t="s">
        <v>119</v>
      </c>
      <c r="H6" s="40"/>
      <c r="I6" s="28" t="s">
        <v>119</v>
      </c>
      <c r="J6" s="28" t="s">
        <v>119</v>
      </c>
      <c r="K6" s="28" t="s">
        <v>119</v>
      </c>
      <c r="L6" s="28" t="s">
        <v>119</v>
      </c>
      <c r="M6" s="28" t="s">
        <v>119</v>
      </c>
      <c r="N6" s="47"/>
      <c r="O6" s="40"/>
      <c r="P6" s="23" t="s">
        <v>119</v>
      </c>
      <c r="Q6" s="23" t="s">
        <v>119</v>
      </c>
      <c r="R6" s="23" t="s">
        <v>119</v>
      </c>
      <c r="S6" s="23"/>
      <c r="T6" s="23"/>
      <c r="U6" s="23"/>
      <c r="V6" s="40"/>
      <c r="W6" s="23"/>
      <c r="X6" s="23"/>
      <c r="Y6" s="45"/>
      <c r="Z6" s="23"/>
      <c r="AA6" s="23"/>
      <c r="AB6" s="23"/>
      <c r="AC6" s="40"/>
      <c r="AD6" s="23"/>
      <c r="AE6" s="23"/>
      <c r="AF6" s="45"/>
      <c r="AG6" s="23"/>
      <c r="AH6" s="23"/>
      <c r="AI6" s="23"/>
      <c r="AJ6" s="3">
        <f>COUNTIF(F6:AI6,"P")</f>
        <v>10</v>
      </c>
      <c r="AK6" s="3">
        <f>COUNTIF(F6:AI6,"A")</f>
        <v>0</v>
      </c>
      <c r="AL6" s="4" t="s">
        <v>11</v>
      </c>
      <c r="AM6" s="9">
        <v>4</v>
      </c>
      <c r="AN6" s="17"/>
      <c r="AO6" s="17"/>
    </row>
    <row r="7" spans="1:41" ht="16.5" x14ac:dyDescent="0.25">
      <c r="A7" s="5">
        <v>3</v>
      </c>
      <c r="B7" s="10">
        <v>16</v>
      </c>
      <c r="C7" s="24" t="s">
        <v>75</v>
      </c>
      <c r="D7" s="25" t="s">
        <v>76</v>
      </c>
      <c r="E7" s="23" t="s">
        <v>8</v>
      </c>
      <c r="F7" s="28" t="s">
        <v>119</v>
      </c>
      <c r="G7" s="28" t="s">
        <v>119</v>
      </c>
      <c r="H7" s="40"/>
      <c r="I7" s="28" t="s">
        <v>119</v>
      </c>
      <c r="J7" s="28" t="s">
        <v>119</v>
      </c>
      <c r="K7" s="28" t="s">
        <v>119</v>
      </c>
      <c r="L7" s="28" t="s">
        <v>119</v>
      </c>
      <c r="M7" s="28" t="s">
        <v>119</v>
      </c>
      <c r="N7" s="47"/>
      <c r="O7" s="40"/>
      <c r="P7" s="23" t="s">
        <v>119</v>
      </c>
      <c r="Q7" s="23" t="s">
        <v>119</v>
      </c>
      <c r="R7" s="23" t="s">
        <v>119</v>
      </c>
      <c r="S7" s="23"/>
      <c r="T7" s="23"/>
      <c r="U7" s="23"/>
      <c r="V7" s="40"/>
      <c r="W7" s="23"/>
      <c r="X7" s="23"/>
      <c r="Y7" s="45"/>
      <c r="Z7" s="23"/>
      <c r="AA7" s="23"/>
      <c r="AB7" s="23"/>
      <c r="AC7" s="40"/>
      <c r="AD7" s="23"/>
      <c r="AE7" s="23"/>
      <c r="AF7" s="45"/>
      <c r="AG7" s="23"/>
      <c r="AH7" s="23"/>
      <c r="AI7" s="23"/>
      <c r="AJ7" s="3">
        <f>COUNTIF(F7:AI7,"P")</f>
        <v>10</v>
      </c>
      <c r="AK7" s="3">
        <f>COUNTIF(F7:AI7,"A")</f>
        <v>0</v>
      </c>
      <c r="AL7" s="17"/>
      <c r="AM7" s="17"/>
      <c r="AN7" s="17"/>
      <c r="AO7" s="17"/>
    </row>
    <row r="8" spans="1:41" ht="16.5" x14ac:dyDescent="0.25">
      <c r="A8" s="10">
        <v>4</v>
      </c>
      <c r="B8" s="10">
        <v>78</v>
      </c>
      <c r="C8" s="24" t="s">
        <v>77</v>
      </c>
      <c r="D8" s="25" t="s">
        <v>78</v>
      </c>
      <c r="E8" s="23" t="s">
        <v>8</v>
      </c>
      <c r="F8" s="28" t="s">
        <v>119</v>
      </c>
      <c r="G8" s="28" t="s">
        <v>120</v>
      </c>
      <c r="H8" s="40"/>
      <c r="I8" s="28" t="s">
        <v>119</v>
      </c>
      <c r="J8" s="28" t="s">
        <v>119</v>
      </c>
      <c r="K8" s="28" t="s">
        <v>119</v>
      </c>
      <c r="L8" s="28" t="s">
        <v>119</v>
      </c>
      <c r="M8" s="28" t="s">
        <v>119</v>
      </c>
      <c r="N8" s="47"/>
      <c r="O8" s="40"/>
      <c r="P8" s="23" t="s">
        <v>119</v>
      </c>
      <c r="Q8" s="23" t="s">
        <v>120</v>
      </c>
      <c r="R8" s="23" t="s">
        <v>119</v>
      </c>
      <c r="S8" s="23"/>
      <c r="T8" s="23"/>
      <c r="U8" s="23"/>
      <c r="V8" s="40"/>
      <c r="W8" s="23"/>
      <c r="X8" s="23"/>
      <c r="Y8" s="45"/>
      <c r="Z8" s="23"/>
      <c r="AA8" s="23"/>
      <c r="AB8" s="23"/>
      <c r="AC8" s="40"/>
      <c r="AD8" s="23"/>
      <c r="AE8" s="23"/>
      <c r="AF8" s="45"/>
      <c r="AG8" s="23"/>
      <c r="AH8" s="23"/>
      <c r="AI8" s="23"/>
      <c r="AJ8" s="3">
        <f>COUNTIF(F8:AI8,"P")</f>
        <v>8</v>
      </c>
      <c r="AK8" s="3">
        <f>COUNTIF(F8:AI8,"A")</f>
        <v>2</v>
      </c>
      <c r="AL8" s="29" t="s">
        <v>12</v>
      </c>
      <c r="AM8" s="29"/>
      <c r="AN8" s="29"/>
      <c r="AO8" s="29"/>
    </row>
    <row r="9" spans="1:41" ht="16.5" x14ac:dyDescent="0.25">
      <c r="A9" s="5">
        <v>5</v>
      </c>
      <c r="B9" s="10">
        <v>76</v>
      </c>
      <c r="C9" s="24" t="s">
        <v>79</v>
      </c>
      <c r="D9" s="25" t="s">
        <v>80</v>
      </c>
      <c r="E9" s="23" t="s">
        <v>8</v>
      </c>
      <c r="F9" s="28" t="s">
        <v>119</v>
      </c>
      <c r="G9" s="28" t="s">
        <v>119</v>
      </c>
      <c r="H9" s="40"/>
      <c r="I9" s="28" t="s">
        <v>119</v>
      </c>
      <c r="J9" s="28" t="s">
        <v>119</v>
      </c>
      <c r="K9" s="28" t="s">
        <v>119</v>
      </c>
      <c r="L9" s="28" t="s">
        <v>119</v>
      </c>
      <c r="M9" s="28" t="s">
        <v>119</v>
      </c>
      <c r="N9" s="47"/>
      <c r="O9" s="40"/>
      <c r="P9" s="23" t="s">
        <v>121</v>
      </c>
      <c r="Q9" s="23" t="s">
        <v>121</v>
      </c>
      <c r="R9" s="23" t="s">
        <v>121</v>
      </c>
      <c r="S9" s="23"/>
      <c r="T9" s="23"/>
      <c r="U9" s="23"/>
      <c r="V9" s="40"/>
      <c r="W9" s="23"/>
      <c r="X9" s="23"/>
      <c r="Y9" s="45"/>
      <c r="Z9" s="23"/>
      <c r="AA9" s="23"/>
      <c r="AB9" s="23"/>
      <c r="AC9" s="40"/>
      <c r="AD9" s="23"/>
      <c r="AE9" s="23"/>
      <c r="AF9" s="45"/>
      <c r="AG9" s="23"/>
      <c r="AH9" s="23"/>
      <c r="AI9" s="23"/>
      <c r="AJ9" s="3">
        <f>COUNTIF(F9:AI9,"P")</f>
        <v>7</v>
      </c>
      <c r="AK9" s="3">
        <f>COUNTIF(F9:AI9,"A")</f>
        <v>0</v>
      </c>
      <c r="AL9" s="4" t="s">
        <v>13</v>
      </c>
      <c r="AM9" s="4" t="s">
        <v>14</v>
      </c>
      <c r="AN9" s="4" t="s">
        <v>15</v>
      </c>
      <c r="AO9" s="4" t="s">
        <v>16</v>
      </c>
    </row>
    <row r="10" spans="1:41" ht="16.5" x14ac:dyDescent="0.25">
      <c r="A10" s="10">
        <v>6</v>
      </c>
      <c r="B10" s="10">
        <v>95</v>
      </c>
      <c r="C10" s="24" t="s">
        <v>81</v>
      </c>
      <c r="D10" s="25" t="s">
        <v>82</v>
      </c>
      <c r="E10" s="23" t="s">
        <v>8</v>
      </c>
      <c r="F10" s="28" t="s">
        <v>120</v>
      </c>
      <c r="G10" s="28" t="s">
        <v>119</v>
      </c>
      <c r="H10" s="40"/>
      <c r="I10" s="28" t="s">
        <v>119</v>
      </c>
      <c r="J10" s="28" t="s">
        <v>119</v>
      </c>
      <c r="K10" s="28" t="s">
        <v>120</v>
      </c>
      <c r="L10" s="28" t="s">
        <v>120</v>
      </c>
      <c r="M10" s="28" t="s">
        <v>119</v>
      </c>
      <c r="N10" s="47"/>
      <c r="O10" s="40"/>
      <c r="P10" s="23" t="s">
        <v>119</v>
      </c>
      <c r="Q10" s="23" t="s">
        <v>119</v>
      </c>
      <c r="R10" s="23" t="s">
        <v>119</v>
      </c>
      <c r="S10" s="23"/>
      <c r="T10" s="23"/>
      <c r="U10" s="23"/>
      <c r="V10" s="40"/>
      <c r="W10" s="23"/>
      <c r="X10" s="23"/>
      <c r="Y10" s="45"/>
      <c r="Z10" s="23"/>
      <c r="AA10" s="23"/>
      <c r="AB10" s="23"/>
      <c r="AC10" s="40"/>
      <c r="AD10" s="23"/>
      <c r="AE10" s="23"/>
      <c r="AF10" s="45"/>
      <c r="AG10" s="23"/>
      <c r="AH10" s="23"/>
      <c r="AI10" s="23"/>
      <c r="AJ10" s="3">
        <f>COUNTIF(F10:AI10,"P")</f>
        <v>7</v>
      </c>
      <c r="AK10" s="3">
        <f>COUNTIF(F10:AI10,"A")</f>
        <v>3</v>
      </c>
      <c r="AL10" s="4" t="s">
        <v>17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ht="16.5" x14ac:dyDescent="0.25">
      <c r="A11" s="5">
        <v>7</v>
      </c>
      <c r="B11" s="10">
        <v>108</v>
      </c>
      <c r="C11" s="24" t="s">
        <v>85</v>
      </c>
      <c r="D11" s="25" t="s">
        <v>86</v>
      </c>
      <c r="E11" s="23" t="s">
        <v>8</v>
      </c>
      <c r="F11" s="28" t="s">
        <v>120</v>
      </c>
      <c r="G11" s="28" t="s">
        <v>119</v>
      </c>
      <c r="H11" s="40"/>
      <c r="I11" s="28" t="s">
        <v>120</v>
      </c>
      <c r="J11" s="28" t="s">
        <v>119</v>
      </c>
      <c r="K11" s="28" t="s">
        <v>119</v>
      </c>
      <c r="L11" s="28" t="s">
        <v>119</v>
      </c>
      <c r="M11" s="28" t="s">
        <v>119</v>
      </c>
      <c r="N11" s="47"/>
      <c r="O11" s="40"/>
      <c r="P11" s="23" t="s">
        <v>119</v>
      </c>
      <c r="Q11" s="23" t="s">
        <v>119</v>
      </c>
      <c r="R11" s="23" t="s">
        <v>119</v>
      </c>
      <c r="S11" s="23"/>
      <c r="T11" s="23"/>
      <c r="U11" s="23"/>
      <c r="V11" s="40"/>
      <c r="W11" s="23"/>
      <c r="X11" s="23"/>
      <c r="Y11" s="45"/>
      <c r="Z11" s="23"/>
      <c r="AA11" s="23"/>
      <c r="AB11" s="23"/>
      <c r="AC11" s="40"/>
      <c r="AD11" s="23"/>
      <c r="AE11" s="23"/>
      <c r="AF11" s="45"/>
      <c r="AG11" s="23"/>
      <c r="AH11" s="23"/>
      <c r="AI11" s="23"/>
      <c r="AJ11" s="3">
        <f>COUNTIF(F11:AI11,"P")</f>
        <v>8</v>
      </c>
      <c r="AK11" s="3">
        <f>COUNTIF(F11:AI11,"A")</f>
        <v>2</v>
      </c>
      <c r="AL11" s="4" t="s">
        <v>18</v>
      </c>
      <c r="AM11" s="9">
        <f>AJ6+AJ7+AJ8+AJ11+AJ12+AJ13+AJ15+AJ19+AJ20+AJ21+AJ22+AJ23+AJ24+AJ25+AJ26+AJ28</f>
        <v>133</v>
      </c>
      <c r="AN11" s="9">
        <f>AJ5+AJ9+AJ10+AJ14+AJ16+AJ17+AJ18+AJ27</f>
        <v>63</v>
      </c>
      <c r="AO11" s="9">
        <f>AM11+AN11</f>
        <v>196</v>
      </c>
    </row>
    <row r="12" spans="1:41" ht="16.5" x14ac:dyDescent="0.25">
      <c r="A12" s="10">
        <v>8</v>
      </c>
      <c r="B12" s="10">
        <v>131</v>
      </c>
      <c r="C12" s="24" t="s">
        <v>87</v>
      </c>
      <c r="D12" s="25" t="s">
        <v>88</v>
      </c>
      <c r="E12" s="23" t="s">
        <v>8</v>
      </c>
      <c r="F12" s="28" t="s">
        <v>119</v>
      </c>
      <c r="G12" s="28" t="s">
        <v>119</v>
      </c>
      <c r="H12" s="40"/>
      <c r="I12" s="28" t="s">
        <v>119</v>
      </c>
      <c r="J12" s="28" t="s">
        <v>119</v>
      </c>
      <c r="K12" s="28" t="s">
        <v>119</v>
      </c>
      <c r="L12" s="28" t="s">
        <v>119</v>
      </c>
      <c r="M12" s="28" t="s">
        <v>119</v>
      </c>
      <c r="N12" s="47"/>
      <c r="O12" s="40"/>
      <c r="P12" s="23" t="s">
        <v>119</v>
      </c>
      <c r="Q12" s="23" t="s">
        <v>119</v>
      </c>
      <c r="R12" s="23" t="s">
        <v>119</v>
      </c>
      <c r="S12" s="23"/>
      <c r="T12" s="23"/>
      <c r="U12" s="23"/>
      <c r="V12" s="40"/>
      <c r="W12" s="23"/>
      <c r="X12" s="23"/>
      <c r="Y12" s="45"/>
      <c r="Z12" s="23"/>
      <c r="AA12" s="23"/>
      <c r="AB12" s="23"/>
      <c r="AC12" s="40"/>
      <c r="AD12" s="23"/>
      <c r="AE12" s="23"/>
      <c r="AF12" s="45"/>
      <c r="AG12" s="23"/>
      <c r="AH12" s="23"/>
      <c r="AI12" s="23"/>
      <c r="AJ12" s="3">
        <f>COUNTIF(F12:AI12,"P")</f>
        <v>10</v>
      </c>
      <c r="AK12" s="3">
        <f>COUNTIF(F12:AI12,"A")</f>
        <v>0</v>
      </c>
      <c r="AL12" s="4" t="s">
        <v>19</v>
      </c>
      <c r="AM12" s="9">
        <f>AM11/AM10</f>
        <v>0.26923076923076922</v>
      </c>
      <c r="AN12" s="9">
        <f>AN11/AN10</f>
        <v>0.11538461538461539</v>
      </c>
      <c r="AO12" s="9">
        <f>AO11/AO10</f>
        <v>0.18846153846153846</v>
      </c>
    </row>
    <row r="13" spans="1:41" ht="16.5" x14ac:dyDescent="0.25">
      <c r="A13" s="5">
        <v>9</v>
      </c>
      <c r="B13" s="10">
        <v>101</v>
      </c>
      <c r="C13" s="24" t="s">
        <v>89</v>
      </c>
      <c r="D13" s="25" t="s">
        <v>90</v>
      </c>
      <c r="E13" s="23" t="s">
        <v>8</v>
      </c>
      <c r="F13" s="28" t="s">
        <v>119</v>
      </c>
      <c r="G13" s="28" t="s">
        <v>119</v>
      </c>
      <c r="H13" s="40"/>
      <c r="I13" s="28" t="s">
        <v>119</v>
      </c>
      <c r="J13" s="28" t="s">
        <v>119</v>
      </c>
      <c r="K13" s="28" t="s">
        <v>120</v>
      </c>
      <c r="L13" s="28" t="s">
        <v>120</v>
      </c>
      <c r="M13" s="28" t="s">
        <v>119</v>
      </c>
      <c r="N13" s="47"/>
      <c r="O13" s="40"/>
      <c r="P13" s="23" t="s">
        <v>119</v>
      </c>
      <c r="Q13" s="23" t="s">
        <v>119</v>
      </c>
      <c r="R13" s="23" t="s">
        <v>119</v>
      </c>
      <c r="S13" s="23"/>
      <c r="T13" s="23"/>
      <c r="U13" s="23"/>
      <c r="V13" s="40"/>
      <c r="W13" s="23"/>
      <c r="X13" s="23"/>
      <c r="Y13" s="45"/>
      <c r="Z13" s="23"/>
      <c r="AA13" s="23"/>
      <c r="AB13" s="23"/>
      <c r="AC13" s="40"/>
      <c r="AD13" s="23"/>
      <c r="AE13" s="23"/>
      <c r="AF13" s="45"/>
      <c r="AG13" s="23"/>
      <c r="AH13" s="23"/>
      <c r="AI13" s="23"/>
      <c r="AJ13" s="3">
        <f>COUNTIF(F13:AI13,"P")</f>
        <v>8</v>
      </c>
      <c r="AK13" s="3">
        <f>COUNTIF(F13:AI13,"A")</f>
        <v>2</v>
      </c>
      <c r="AL13" s="17"/>
      <c r="AM13" s="19"/>
      <c r="AN13" s="19"/>
      <c r="AO13" s="19"/>
    </row>
    <row r="14" spans="1:41" ht="16.5" x14ac:dyDescent="0.25">
      <c r="A14" s="10">
        <v>10</v>
      </c>
      <c r="B14" s="10">
        <v>100</v>
      </c>
      <c r="C14" s="24" t="s">
        <v>91</v>
      </c>
      <c r="D14" s="25" t="s">
        <v>92</v>
      </c>
      <c r="E14" s="23" t="s">
        <v>8</v>
      </c>
      <c r="F14" s="28" t="s">
        <v>119</v>
      </c>
      <c r="G14" s="28" t="s">
        <v>119</v>
      </c>
      <c r="H14" s="40"/>
      <c r="I14" s="28" t="s">
        <v>119</v>
      </c>
      <c r="J14" s="28" t="s">
        <v>119</v>
      </c>
      <c r="K14" s="28" t="s">
        <v>119</v>
      </c>
      <c r="L14" s="28" t="s">
        <v>119</v>
      </c>
      <c r="M14" s="28" t="s">
        <v>119</v>
      </c>
      <c r="N14" s="47"/>
      <c r="O14" s="40"/>
      <c r="P14" s="23" t="s">
        <v>119</v>
      </c>
      <c r="Q14" s="23" t="s">
        <v>120</v>
      </c>
      <c r="R14" s="23" t="s">
        <v>119</v>
      </c>
      <c r="S14" s="23"/>
      <c r="T14" s="23"/>
      <c r="U14" s="23"/>
      <c r="V14" s="40"/>
      <c r="W14" s="23"/>
      <c r="X14" s="23"/>
      <c r="Y14" s="45"/>
      <c r="Z14" s="23"/>
      <c r="AA14" s="23"/>
      <c r="AB14" s="23"/>
      <c r="AC14" s="40"/>
      <c r="AD14" s="23"/>
      <c r="AE14" s="23"/>
      <c r="AF14" s="45"/>
      <c r="AG14" s="23"/>
      <c r="AH14" s="23"/>
      <c r="AI14" s="23"/>
      <c r="AJ14" s="3">
        <f>COUNTIF(F14:AI14,"P")</f>
        <v>9</v>
      </c>
      <c r="AK14" s="3">
        <f>COUNTIF(F14:AI14,"A")</f>
        <v>1</v>
      </c>
      <c r="AL14" s="20"/>
      <c r="AM14" s="20"/>
      <c r="AN14" s="20"/>
      <c r="AO14" s="20"/>
    </row>
    <row r="15" spans="1:41" ht="16.5" x14ac:dyDescent="0.25">
      <c r="A15" s="5">
        <v>11</v>
      </c>
      <c r="B15" s="10">
        <v>90</v>
      </c>
      <c r="C15" s="24" t="s">
        <v>93</v>
      </c>
      <c r="D15" s="25" t="s">
        <v>45</v>
      </c>
      <c r="E15" s="23" t="s">
        <v>8</v>
      </c>
      <c r="F15" s="28" t="s">
        <v>119</v>
      </c>
      <c r="G15" s="28" t="s">
        <v>119</v>
      </c>
      <c r="H15" s="40"/>
      <c r="I15" s="28" t="s">
        <v>119</v>
      </c>
      <c r="J15" s="28" t="s">
        <v>119</v>
      </c>
      <c r="K15" s="28" t="s">
        <v>119</v>
      </c>
      <c r="L15" s="28" t="s">
        <v>119</v>
      </c>
      <c r="M15" s="28" t="s">
        <v>119</v>
      </c>
      <c r="N15" s="47"/>
      <c r="O15" s="40"/>
      <c r="P15" s="23" t="s">
        <v>119</v>
      </c>
      <c r="Q15" s="23" t="s">
        <v>119</v>
      </c>
      <c r="R15" s="23" t="s">
        <v>120</v>
      </c>
      <c r="S15" s="23"/>
      <c r="T15" s="23"/>
      <c r="U15" s="23"/>
      <c r="V15" s="40"/>
      <c r="W15" s="23"/>
      <c r="X15" s="23"/>
      <c r="Y15" s="45"/>
      <c r="Z15" s="23"/>
      <c r="AA15" s="23"/>
      <c r="AB15" s="23"/>
      <c r="AC15" s="40"/>
      <c r="AD15" s="23"/>
      <c r="AE15" s="23"/>
      <c r="AF15" s="45"/>
      <c r="AG15" s="23"/>
      <c r="AH15" s="23"/>
      <c r="AI15" s="23"/>
      <c r="AJ15" s="3">
        <f>COUNTIF(F15:AI15,"P")</f>
        <v>9</v>
      </c>
      <c r="AK15" s="3">
        <f>COUNTIF(F15:AI15,"A")</f>
        <v>1</v>
      </c>
      <c r="AL15" s="17"/>
      <c r="AM15" s="17"/>
      <c r="AN15" s="17"/>
      <c r="AO15" s="17"/>
    </row>
    <row r="16" spans="1:41" ht="16.5" x14ac:dyDescent="0.25">
      <c r="A16" s="10">
        <v>12</v>
      </c>
      <c r="B16" s="10">
        <v>73</v>
      </c>
      <c r="C16" s="24" t="s">
        <v>94</v>
      </c>
      <c r="D16" s="25" t="s">
        <v>95</v>
      </c>
      <c r="E16" s="23" t="s">
        <v>8</v>
      </c>
      <c r="F16" s="28" t="s">
        <v>119</v>
      </c>
      <c r="G16" s="28" t="s">
        <v>120</v>
      </c>
      <c r="H16" s="40"/>
      <c r="I16" s="28" t="s">
        <v>119</v>
      </c>
      <c r="J16" s="28" t="s">
        <v>119</v>
      </c>
      <c r="K16" s="28" t="s">
        <v>119</v>
      </c>
      <c r="L16" s="28" t="s">
        <v>119</v>
      </c>
      <c r="M16" s="28" t="s">
        <v>119</v>
      </c>
      <c r="N16" s="47"/>
      <c r="O16" s="40"/>
      <c r="P16" s="23" t="s">
        <v>119</v>
      </c>
      <c r="Q16" s="23" t="s">
        <v>119</v>
      </c>
      <c r="R16" s="23" t="s">
        <v>119</v>
      </c>
      <c r="S16" s="23"/>
      <c r="T16" s="23"/>
      <c r="U16" s="23"/>
      <c r="V16" s="40"/>
      <c r="W16" s="23"/>
      <c r="X16" s="23"/>
      <c r="Y16" s="45"/>
      <c r="Z16" s="23"/>
      <c r="AA16" s="23"/>
      <c r="AB16" s="23"/>
      <c r="AC16" s="40"/>
      <c r="AD16" s="23"/>
      <c r="AE16" s="23"/>
      <c r="AF16" s="45"/>
      <c r="AG16" s="23"/>
      <c r="AH16" s="23"/>
      <c r="AI16" s="23"/>
      <c r="AJ16" s="3">
        <f>COUNTIF(F16:AI16,"P")</f>
        <v>9</v>
      </c>
      <c r="AK16" s="3">
        <f>COUNTIF(F16:AI16,"A")</f>
        <v>1</v>
      </c>
      <c r="AL16" s="29" t="s">
        <v>6</v>
      </c>
      <c r="AM16" s="29"/>
      <c r="AN16" s="29"/>
      <c r="AO16" s="29"/>
    </row>
    <row r="17" spans="1:41" ht="16.5" x14ac:dyDescent="0.25">
      <c r="A17" s="5">
        <v>13</v>
      </c>
      <c r="B17" s="10">
        <v>74</v>
      </c>
      <c r="C17" s="24" t="s">
        <v>96</v>
      </c>
      <c r="D17" s="25" t="s">
        <v>97</v>
      </c>
      <c r="E17" s="23" t="s">
        <v>8</v>
      </c>
      <c r="F17" s="28" t="s">
        <v>119</v>
      </c>
      <c r="G17" s="28" t="s">
        <v>119</v>
      </c>
      <c r="H17" s="40"/>
      <c r="I17" s="28" t="s">
        <v>119</v>
      </c>
      <c r="J17" s="28" t="s">
        <v>120</v>
      </c>
      <c r="K17" s="28" t="s">
        <v>120</v>
      </c>
      <c r="L17" s="28" t="s">
        <v>120</v>
      </c>
      <c r="M17" s="28" t="s">
        <v>120</v>
      </c>
      <c r="N17" s="47"/>
      <c r="O17" s="40"/>
      <c r="P17" s="23" t="s">
        <v>120</v>
      </c>
      <c r="Q17" s="23" t="s">
        <v>120</v>
      </c>
      <c r="R17" s="23" t="s">
        <v>120</v>
      </c>
      <c r="S17" s="23"/>
      <c r="T17" s="23"/>
      <c r="U17" s="23"/>
      <c r="V17" s="40"/>
      <c r="W17" s="23"/>
      <c r="X17" s="23"/>
      <c r="Y17" s="45"/>
      <c r="Z17" s="23"/>
      <c r="AA17" s="23"/>
      <c r="AB17" s="23"/>
      <c r="AC17" s="40"/>
      <c r="AD17" s="23"/>
      <c r="AE17" s="23"/>
      <c r="AF17" s="45"/>
      <c r="AG17" s="23"/>
      <c r="AH17" s="23"/>
      <c r="AI17" s="23"/>
      <c r="AJ17" s="3">
        <f>COUNTIF(F17:AI17,"P")</f>
        <v>3</v>
      </c>
      <c r="AK17" s="3">
        <f>COUNTIF(F17:AI17,"A")</f>
        <v>7</v>
      </c>
      <c r="AL17" s="4" t="s">
        <v>13</v>
      </c>
      <c r="AM17" s="4" t="s">
        <v>14</v>
      </c>
      <c r="AN17" s="4" t="s">
        <v>15</v>
      </c>
      <c r="AO17" s="4" t="s">
        <v>16</v>
      </c>
    </row>
    <row r="18" spans="1:41" ht="16.5" x14ac:dyDescent="0.25">
      <c r="A18" s="10">
        <v>14</v>
      </c>
      <c r="B18" s="10">
        <v>77</v>
      </c>
      <c r="C18" s="24" t="s">
        <v>98</v>
      </c>
      <c r="D18" s="25" t="s">
        <v>99</v>
      </c>
      <c r="E18" s="23" t="s">
        <v>8</v>
      </c>
      <c r="F18" s="28" t="s">
        <v>119</v>
      </c>
      <c r="G18" s="28" t="s">
        <v>119</v>
      </c>
      <c r="H18" s="40"/>
      <c r="I18" s="28" t="s">
        <v>119</v>
      </c>
      <c r="J18" s="28" t="s">
        <v>119</v>
      </c>
      <c r="K18" s="28" t="s">
        <v>119</v>
      </c>
      <c r="L18" s="28" t="s">
        <v>119</v>
      </c>
      <c r="M18" s="28" t="s">
        <v>119</v>
      </c>
      <c r="N18" s="47"/>
      <c r="O18" s="40"/>
      <c r="P18" s="23" t="s">
        <v>119</v>
      </c>
      <c r="Q18" s="23" t="s">
        <v>119</v>
      </c>
      <c r="R18" s="23" t="s">
        <v>119</v>
      </c>
      <c r="S18" s="23"/>
      <c r="T18" s="23"/>
      <c r="U18" s="23"/>
      <c r="V18" s="40"/>
      <c r="W18" s="23"/>
      <c r="X18" s="23"/>
      <c r="Y18" s="45"/>
      <c r="Z18" s="23"/>
      <c r="AA18" s="23"/>
      <c r="AB18" s="23"/>
      <c r="AC18" s="40"/>
      <c r="AD18" s="23"/>
      <c r="AE18" s="23"/>
      <c r="AF18" s="45"/>
      <c r="AG18" s="23"/>
      <c r="AH18" s="23"/>
      <c r="AI18" s="23"/>
      <c r="AJ18" s="3">
        <f>COUNTIF(F18:AI18,"P")</f>
        <v>10</v>
      </c>
      <c r="AK18" s="3">
        <f>COUNTIF(F18:AI18,"A")</f>
        <v>0</v>
      </c>
      <c r="AL18" s="4" t="s">
        <v>17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ht="16.5" x14ac:dyDescent="0.25">
      <c r="A19" s="5">
        <v>15</v>
      </c>
      <c r="B19" s="10">
        <v>80</v>
      </c>
      <c r="C19" s="24" t="s">
        <v>100</v>
      </c>
      <c r="D19" s="25" t="s">
        <v>101</v>
      </c>
      <c r="E19" s="23" t="s">
        <v>8</v>
      </c>
      <c r="F19" s="28" t="s">
        <v>119</v>
      </c>
      <c r="G19" s="28" t="s">
        <v>120</v>
      </c>
      <c r="H19" s="40"/>
      <c r="I19" s="28" t="s">
        <v>119</v>
      </c>
      <c r="J19" s="28" t="s">
        <v>119</v>
      </c>
      <c r="K19" s="28" t="s">
        <v>119</v>
      </c>
      <c r="L19" s="28" t="s">
        <v>119</v>
      </c>
      <c r="M19" s="28" t="s">
        <v>119</v>
      </c>
      <c r="N19" s="47"/>
      <c r="O19" s="40"/>
      <c r="P19" s="23" t="s">
        <v>119</v>
      </c>
      <c r="Q19" s="23" t="s">
        <v>119</v>
      </c>
      <c r="R19" s="23" t="s">
        <v>119</v>
      </c>
      <c r="S19" s="23"/>
      <c r="T19" s="23"/>
      <c r="U19" s="23"/>
      <c r="V19" s="40"/>
      <c r="W19" s="23"/>
      <c r="X19" s="23"/>
      <c r="Y19" s="45"/>
      <c r="Z19" s="23"/>
      <c r="AA19" s="23"/>
      <c r="AB19" s="23"/>
      <c r="AC19" s="40"/>
      <c r="AD19" s="23"/>
      <c r="AE19" s="23"/>
      <c r="AF19" s="45"/>
      <c r="AG19" s="23"/>
      <c r="AH19" s="23"/>
      <c r="AI19" s="23"/>
      <c r="AJ19" s="3">
        <f>COUNTIF(F19:AI19,"P")</f>
        <v>9</v>
      </c>
      <c r="AK19" s="3">
        <f>COUNTIF(F19:AI19,"A")</f>
        <v>1</v>
      </c>
      <c r="AL19" s="4" t="s">
        <v>20</v>
      </c>
      <c r="AM19" s="9">
        <f>AM18-AM11</f>
        <v>361</v>
      </c>
      <c r="AN19" s="9">
        <f>AN18-AN11</f>
        <v>483</v>
      </c>
      <c r="AO19" s="9">
        <f>AM19+AN19</f>
        <v>844</v>
      </c>
    </row>
    <row r="20" spans="1:41" ht="16.5" x14ac:dyDescent="0.25">
      <c r="A20" s="10">
        <v>16</v>
      </c>
      <c r="B20" s="10">
        <v>93</v>
      </c>
      <c r="C20" s="24" t="s">
        <v>103</v>
      </c>
      <c r="D20" s="25" t="s">
        <v>24</v>
      </c>
      <c r="E20" s="23" t="s">
        <v>8</v>
      </c>
      <c r="F20" s="28" t="s">
        <v>119</v>
      </c>
      <c r="G20" s="28" t="s">
        <v>119</v>
      </c>
      <c r="H20" s="40"/>
      <c r="I20" s="28" t="s">
        <v>119</v>
      </c>
      <c r="J20" s="28" t="s">
        <v>119</v>
      </c>
      <c r="K20" s="28" t="s">
        <v>119</v>
      </c>
      <c r="L20" s="28" t="s">
        <v>119</v>
      </c>
      <c r="M20" s="28" t="s">
        <v>119</v>
      </c>
      <c r="N20" s="47"/>
      <c r="O20" s="40"/>
      <c r="P20" s="23" t="s">
        <v>119</v>
      </c>
      <c r="Q20" s="23" t="s">
        <v>119</v>
      </c>
      <c r="R20" s="23" t="s">
        <v>119</v>
      </c>
      <c r="S20" s="23"/>
      <c r="T20" s="23"/>
      <c r="U20" s="23"/>
      <c r="V20" s="40"/>
      <c r="W20" s="23"/>
      <c r="X20" s="23"/>
      <c r="Y20" s="45"/>
      <c r="Z20" s="23"/>
      <c r="AA20" s="23"/>
      <c r="AB20" s="23"/>
      <c r="AC20" s="40"/>
      <c r="AD20" s="23"/>
      <c r="AE20" s="23"/>
      <c r="AF20" s="45"/>
      <c r="AG20" s="23"/>
      <c r="AH20" s="23"/>
      <c r="AI20" s="23"/>
      <c r="AJ20" s="3">
        <f>COUNTIF(F20:AI20,"P")</f>
        <v>10</v>
      </c>
      <c r="AK20" s="3">
        <f>COUNTIF(F20:AI20,"A")</f>
        <v>0</v>
      </c>
      <c r="AL20" s="4" t="s">
        <v>16</v>
      </c>
      <c r="AM20" s="12">
        <f>AM19/AM18</f>
        <v>0.73076923076923073</v>
      </c>
      <c r="AN20" s="12">
        <f>AN19/AN18</f>
        <v>0.88461538461538458</v>
      </c>
      <c r="AO20" s="12">
        <f>AO19/AO18</f>
        <v>0.81153846153846154</v>
      </c>
    </row>
    <row r="21" spans="1:41" ht="16.5" x14ac:dyDescent="0.25">
      <c r="A21" s="5">
        <v>17</v>
      </c>
      <c r="B21" s="10">
        <v>14</v>
      </c>
      <c r="C21" s="24" t="s">
        <v>104</v>
      </c>
      <c r="D21" s="25" t="s">
        <v>105</v>
      </c>
      <c r="E21" s="23" t="s">
        <v>8</v>
      </c>
      <c r="F21" s="28" t="s">
        <v>119</v>
      </c>
      <c r="G21" s="28" t="s">
        <v>119</v>
      </c>
      <c r="H21" s="40"/>
      <c r="I21" s="28" t="s">
        <v>119</v>
      </c>
      <c r="J21" s="28" t="s">
        <v>119</v>
      </c>
      <c r="K21" s="28" t="s">
        <v>119</v>
      </c>
      <c r="L21" s="28" t="s">
        <v>119</v>
      </c>
      <c r="M21" s="28" t="s">
        <v>119</v>
      </c>
      <c r="N21" s="47"/>
      <c r="O21" s="40"/>
      <c r="P21" s="23" t="s">
        <v>119</v>
      </c>
      <c r="Q21" s="23" t="s">
        <v>119</v>
      </c>
      <c r="R21" s="23" t="s">
        <v>119</v>
      </c>
      <c r="S21" s="23"/>
      <c r="T21" s="23"/>
      <c r="U21" s="23"/>
      <c r="V21" s="40"/>
      <c r="W21" s="23"/>
      <c r="X21" s="23"/>
      <c r="Y21" s="45"/>
      <c r="Z21" s="23"/>
      <c r="AA21" s="23"/>
      <c r="AB21" s="23"/>
      <c r="AC21" s="40"/>
      <c r="AD21" s="23"/>
      <c r="AE21" s="23"/>
      <c r="AF21" s="45"/>
      <c r="AG21" s="23"/>
      <c r="AH21" s="23"/>
      <c r="AI21" s="23"/>
      <c r="AJ21" s="3">
        <f>COUNTIF(F21:AI21,"P")</f>
        <v>10</v>
      </c>
      <c r="AK21" s="3">
        <f>COUNTIF(F21:AI21,"A")</f>
        <v>0</v>
      </c>
      <c r="AL21" s="15"/>
      <c r="AM21" s="15"/>
      <c r="AN21" s="15"/>
      <c r="AO21" s="15"/>
    </row>
    <row r="22" spans="1:41" ht="16.5" x14ac:dyDescent="0.25">
      <c r="A22" s="10">
        <v>18</v>
      </c>
      <c r="B22" s="10">
        <v>94</v>
      </c>
      <c r="C22" s="24" t="s">
        <v>106</v>
      </c>
      <c r="D22" s="25" t="s">
        <v>105</v>
      </c>
      <c r="E22" s="23" t="s">
        <v>8</v>
      </c>
      <c r="F22" s="28" t="s">
        <v>119</v>
      </c>
      <c r="G22" s="28" t="s">
        <v>119</v>
      </c>
      <c r="H22" s="40"/>
      <c r="I22" s="28" t="s">
        <v>119</v>
      </c>
      <c r="J22" s="28" t="s">
        <v>119</v>
      </c>
      <c r="K22" s="28" t="s">
        <v>119</v>
      </c>
      <c r="L22" s="28" t="s">
        <v>119</v>
      </c>
      <c r="M22" s="28" t="s">
        <v>119</v>
      </c>
      <c r="N22" s="47"/>
      <c r="O22" s="40"/>
      <c r="P22" s="23" t="s">
        <v>119</v>
      </c>
      <c r="Q22" s="23" t="s">
        <v>119</v>
      </c>
      <c r="R22" s="23" t="s">
        <v>119</v>
      </c>
      <c r="S22" s="23"/>
      <c r="T22" s="23"/>
      <c r="U22" s="23"/>
      <c r="V22" s="40"/>
      <c r="W22" s="23"/>
      <c r="X22" s="23"/>
      <c r="Y22" s="45"/>
      <c r="Z22" s="23"/>
      <c r="AA22" s="23"/>
      <c r="AB22" s="23"/>
      <c r="AC22" s="40"/>
      <c r="AD22" s="23"/>
      <c r="AE22" s="23"/>
      <c r="AF22" s="45"/>
      <c r="AG22" s="23"/>
      <c r="AH22" s="23"/>
      <c r="AI22" s="23"/>
      <c r="AJ22" s="3">
        <f>COUNTIF(F22:AI22,"P")</f>
        <v>10</v>
      </c>
      <c r="AK22" s="3">
        <f>COUNTIF(F22:AI22,"A")</f>
        <v>0</v>
      </c>
      <c r="AL22" s="15"/>
      <c r="AM22" s="15"/>
      <c r="AN22" s="15"/>
      <c r="AO22" s="15"/>
    </row>
    <row r="23" spans="1:41" ht="16.5" x14ac:dyDescent="0.25">
      <c r="A23" s="5">
        <v>19</v>
      </c>
      <c r="B23" s="10">
        <v>111</v>
      </c>
      <c r="C23" s="24" t="s">
        <v>107</v>
      </c>
      <c r="D23" s="25" t="s">
        <v>108</v>
      </c>
      <c r="E23" s="23" t="s">
        <v>8</v>
      </c>
      <c r="F23" s="28" t="s">
        <v>120</v>
      </c>
      <c r="G23" s="28" t="s">
        <v>119</v>
      </c>
      <c r="H23" s="40"/>
      <c r="I23" s="28" t="s">
        <v>120</v>
      </c>
      <c r="J23" s="28" t="s">
        <v>120</v>
      </c>
      <c r="K23" s="28" t="s">
        <v>120</v>
      </c>
      <c r="L23" s="28" t="s">
        <v>119</v>
      </c>
      <c r="M23" s="28" t="s">
        <v>119</v>
      </c>
      <c r="N23" s="47"/>
      <c r="O23" s="40"/>
      <c r="P23" s="23" t="s">
        <v>119</v>
      </c>
      <c r="Q23" s="23" t="s">
        <v>119</v>
      </c>
      <c r="R23" s="23" t="s">
        <v>119</v>
      </c>
      <c r="S23" s="23"/>
      <c r="T23" s="23"/>
      <c r="U23" s="23"/>
      <c r="V23" s="40"/>
      <c r="W23" s="23"/>
      <c r="X23" s="23"/>
      <c r="Y23" s="45"/>
      <c r="Z23" s="23"/>
      <c r="AA23" s="23"/>
      <c r="AB23" s="23"/>
      <c r="AC23" s="40"/>
      <c r="AD23" s="23"/>
      <c r="AE23" s="23"/>
      <c r="AF23" s="45"/>
      <c r="AG23" s="23"/>
      <c r="AH23" s="23"/>
      <c r="AI23" s="23"/>
      <c r="AJ23" s="3">
        <f>COUNTIF(F23:AI23,"P")</f>
        <v>6</v>
      </c>
      <c r="AK23" s="3">
        <f>COUNTIF(F23:AI23,"A")</f>
        <v>4</v>
      </c>
      <c r="AL23" s="15"/>
      <c r="AM23" s="15"/>
      <c r="AN23" s="15"/>
      <c r="AO23" s="15"/>
    </row>
    <row r="24" spans="1:41" ht="16.5" x14ac:dyDescent="0.25">
      <c r="A24" s="10">
        <v>20</v>
      </c>
      <c r="B24" s="10">
        <v>113</v>
      </c>
      <c r="C24" s="24" t="s">
        <v>109</v>
      </c>
      <c r="D24" s="25" t="s">
        <v>26</v>
      </c>
      <c r="E24" s="23" t="s">
        <v>8</v>
      </c>
      <c r="F24" s="28" t="s">
        <v>119</v>
      </c>
      <c r="G24" s="28" t="s">
        <v>119</v>
      </c>
      <c r="H24" s="40"/>
      <c r="I24" s="28" t="s">
        <v>119</v>
      </c>
      <c r="J24" s="28" t="s">
        <v>119</v>
      </c>
      <c r="K24" s="28" t="s">
        <v>119</v>
      </c>
      <c r="L24" s="28" t="s">
        <v>119</v>
      </c>
      <c r="M24" s="28" t="s">
        <v>119</v>
      </c>
      <c r="N24" s="47"/>
      <c r="O24" s="40"/>
      <c r="P24" s="23" t="s">
        <v>119</v>
      </c>
      <c r="Q24" s="23" t="s">
        <v>119</v>
      </c>
      <c r="R24" s="23" t="s">
        <v>119</v>
      </c>
      <c r="S24" s="23"/>
      <c r="T24" s="23"/>
      <c r="U24" s="23"/>
      <c r="V24" s="40"/>
      <c r="W24" s="23"/>
      <c r="X24" s="23"/>
      <c r="Y24" s="45"/>
      <c r="Z24" s="23"/>
      <c r="AA24" s="23"/>
      <c r="AB24" s="23"/>
      <c r="AC24" s="40"/>
      <c r="AD24" s="23"/>
      <c r="AE24" s="23"/>
      <c r="AF24" s="45"/>
      <c r="AG24" s="23"/>
      <c r="AH24" s="23"/>
      <c r="AI24" s="23"/>
      <c r="AJ24" s="3">
        <f>COUNTIF(F24:AI24,"P")</f>
        <v>10</v>
      </c>
      <c r="AK24" s="3">
        <f>COUNTIF(F24:AI24,"A")</f>
        <v>0</v>
      </c>
      <c r="AL24" s="15"/>
      <c r="AM24" s="15"/>
      <c r="AN24" s="15"/>
      <c r="AO24" s="15"/>
    </row>
    <row r="25" spans="1:41" ht="16.5" x14ac:dyDescent="0.25">
      <c r="A25" s="5">
        <v>21</v>
      </c>
      <c r="B25" s="10">
        <v>115</v>
      </c>
      <c r="C25" s="24" t="s">
        <v>110</v>
      </c>
      <c r="D25" s="25" t="s">
        <v>111</v>
      </c>
      <c r="E25" s="23" t="s">
        <v>8</v>
      </c>
      <c r="F25" s="28" t="s">
        <v>120</v>
      </c>
      <c r="G25" s="28" t="s">
        <v>120</v>
      </c>
      <c r="H25" s="40"/>
      <c r="I25" s="28" t="s">
        <v>120</v>
      </c>
      <c r="J25" s="28" t="s">
        <v>120</v>
      </c>
      <c r="K25" s="28" t="s">
        <v>120</v>
      </c>
      <c r="L25" s="28" t="s">
        <v>119</v>
      </c>
      <c r="M25" s="28" t="s">
        <v>120</v>
      </c>
      <c r="N25" s="47"/>
      <c r="O25" s="40"/>
      <c r="P25" s="23" t="s">
        <v>119</v>
      </c>
      <c r="Q25" s="23" t="s">
        <v>119</v>
      </c>
      <c r="R25" s="23" t="s">
        <v>119</v>
      </c>
      <c r="S25" s="23"/>
      <c r="T25" s="23"/>
      <c r="U25" s="23"/>
      <c r="V25" s="40"/>
      <c r="W25" s="23"/>
      <c r="X25" s="23"/>
      <c r="Y25" s="45"/>
      <c r="Z25" s="23"/>
      <c r="AA25" s="23"/>
      <c r="AB25" s="23"/>
      <c r="AC25" s="40"/>
      <c r="AD25" s="23"/>
      <c r="AE25" s="23"/>
      <c r="AF25" s="45"/>
      <c r="AG25" s="23"/>
      <c r="AH25" s="23"/>
      <c r="AI25" s="23"/>
      <c r="AJ25" s="3">
        <f>COUNTIF(F25:AI25,"P")</f>
        <v>4</v>
      </c>
      <c r="AK25" s="3">
        <f>COUNTIF(F25:AI25,"A")</f>
        <v>6</v>
      </c>
      <c r="AL25" s="15"/>
      <c r="AM25" s="15"/>
      <c r="AN25" s="15"/>
      <c r="AO25" s="15"/>
    </row>
    <row r="26" spans="1:41" ht="16.5" x14ac:dyDescent="0.25">
      <c r="A26" s="10">
        <v>22</v>
      </c>
      <c r="B26" s="10">
        <v>114</v>
      </c>
      <c r="C26" s="24" t="s">
        <v>112</v>
      </c>
      <c r="D26" s="25" t="s">
        <v>111</v>
      </c>
      <c r="E26" s="23" t="s">
        <v>8</v>
      </c>
      <c r="F26" s="28" t="s">
        <v>120</v>
      </c>
      <c r="G26" s="28" t="s">
        <v>120</v>
      </c>
      <c r="H26" s="40"/>
      <c r="I26" s="28" t="s">
        <v>120</v>
      </c>
      <c r="J26" s="28" t="s">
        <v>120</v>
      </c>
      <c r="K26" s="28" t="s">
        <v>120</v>
      </c>
      <c r="L26" s="28" t="s">
        <v>120</v>
      </c>
      <c r="M26" s="28" t="s">
        <v>120</v>
      </c>
      <c r="N26" s="47"/>
      <c r="O26" s="40"/>
      <c r="P26" s="23" t="s">
        <v>119</v>
      </c>
      <c r="Q26" s="23" t="s">
        <v>119</v>
      </c>
      <c r="R26" s="23" t="s">
        <v>119</v>
      </c>
      <c r="S26" s="23"/>
      <c r="T26" s="23"/>
      <c r="U26" s="23"/>
      <c r="V26" s="40"/>
      <c r="W26" s="23"/>
      <c r="X26" s="23"/>
      <c r="Y26" s="45"/>
      <c r="Z26" s="23"/>
      <c r="AA26" s="23"/>
      <c r="AB26" s="23"/>
      <c r="AC26" s="40"/>
      <c r="AD26" s="23"/>
      <c r="AE26" s="23"/>
      <c r="AF26" s="45"/>
      <c r="AG26" s="23"/>
      <c r="AH26" s="23"/>
      <c r="AI26" s="23"/>
      <c r="AJ26" s="3">
        <f>COUNTIF(F26:AI26,"P")</f>
        <v>3</v>
      </c>
      <c r="AK26" s="3">
        <f>COUNTIF(F26:AI26,"A")</f>
        <v>7</v>
      </c>
      <c r="AL26" s="15"/>
      <c r="AM26" s="15"/>
      <c r="AN26" s="15"/>
      <c r="AO26" s="15"/>
    </row>
    <row r="27" spans="1:41" ht="16.5" x14ac:dyDescent="0.25">
      <c r="A27" s="5">
        <v>23</v>
      </c>
      <c r="B27" s="10">
        <v>141</v>
      </c>
      <c r="C27" s="24" t="s">
        <v>113</v>
      </c>
      <c r="D27" s="25" t="s">
        <v>114</v>
      </c>
      <c r="E27" s="23" t="s">
        <v>8</v>
      </c>
      <c r="F27" s="28" t="s">
        <v>119</v>
      </c>
      <c r="G27" s="28" t="s">
        <v>120</v>
      </c>
      <c r="H27" s="40"/>
      <c r="I27" s="28" t="s">
        <v>119</v>
      </c>
      <c r="J27" s="28" t="s">
        <v>119</v>
      </c>
      <c r="K27" s="28" t="s">
        <v>119</v>
      </c>
      <c r="L27" s="28" t="s">
        <v>119</v>
      </c>
      <c r="M27" s="28" t="s">
        <v>120</v>
      </c>
      <c r="N27" s="47"/>
      <c r="O27" s="40"/>
      <c r="P27" s="23" t="s">
        <v>119</v>
      </c>
      <c r="Q27" s="23" t="s">
        <v>119</v>
      </c>
      <c r="R27" s="23" t="s">
        <v>119</v>
      </c>
      <c r="S27" s="23"/>
      <c r="T27" s="23"/>
      <c r="U27" s="23"/>
      <c r="V27" s="40"/>
      <c r="W27" s="23"/>
      <c r="X27" s="23"/>
      <c r="Y27" s="45"/>
      <c r="Z27" s="23"/>
      <c r="AA27" s="23"/>
      <c r="AB27" s="23"/>
      <c r="AC27" s="40"/>
      <c r="AD27" s="23"/>
      <c r="AE27" s="23"/>
      <c r="AF27" s="45"/>
      <c r="AG27" s="23"/>
      <c r="AH27" s="23"/>
      <c r="AI27" s="23"/>
      <c r="AJ27" s="3">
        <f>COUNTIF(F27:AI27,"P")</f>
        <v>8</v>
      </c>
      <c r="AK27" s="3">
        <f>COUNTIF(F27:AI27,"A")</f>
        <v>2</v>
      </c>
      <c r="AL27" s="15"/>
      <c r="AM27" s="15"/>
      <c r="AN27" s="15"/>
      <c r="AO27" s="15"/>
    </row>
    <row r="28" spans="1:41" ht="16.5" x14ac:dyDescent="0.25">
      <c r="A28" s="10">
        <v>24</v>
      </c>
      <c r="B28" s="10">
        <v>140</v>
      </c>
      <c r="C28" s="24" t="s">
        <v>122</v>
      </c>
      <c r="D28" s="25" t="s">
        <v>114</v>
      </c>
      <c r="E28" s="23" t="s">
        <v>8</v>
      </c>
      <c r="F28" s="28" t="s">
        <v>119</v>
      </c>
      <c r="G28" s="28" t="s">
        <v>120</v>
      </c>
      <c r="H28" s="40"/>
      <c r="I28" s="28" t="s">
        <v>119</v>
      </c>
      <c r="J28" s="28" t="s">
        <v>119</v>
      </c>
      <c r="K28" s="28" t="s">
        <v>119</v>
      </c>
      <c r="L28" s="28" t="s">
        <v>119</v>
      </c>
      <c r="M28" s="28" t="s">
        <v>120</v>
      </c>
      <c r="N28" s="47"/>
      <c r="O28" s="40"/>
      <c r="P28" s="23" t="s">
        <v>119</v>
      </c>
      <c r="Q28" s="23" t="s">
        <v>119</v>
      </c>
      <c r="R28" s="23" t="s">
        <v>119</v>
      </c>
      <c r="S28" s="23"/>
      <c r="T28" s="23"/>
      <c r="U28" s="23"/>
      <c r="V28" s="40"/>
      <c r="W28" s="23"/>
      <c r="X28" s="23"/>
      <c r="Y28" s="45"/>
      <c r="Z28" s="23"/>
      <c r="AA28" s="23"/>
      <c r="AB28" s="23"/>
      <c r="AC28" s="40"/>
      <c r="AD28" s="23"/>
      <c r="AE28" s="23"/>
      <c r="AF28" s="45"/>
      <c r="AG28" s="23"/>
      <c r="AH28" s="23"/>
      <c r="AI28" s="23"/>
      <c r="AJ28" s="3">
        <f>COUNTIF(F28:AI28,"P")</f>
        <v>8</v>
      </c>
      <c r="AK28" s="3">
        <f>COUNTIF(F28:AI28,"A")</f>
        <v>2</v>
      </c>
      <c r="AL28" s="15"/>
      <c r="AM28" s="15"/>
      <c r="AN28" s="15"/>
      <c r="AO28" s="15"/>
    </row>
    <row r="29" spans="1:41" ht="16.5" x14ac:dyDescent="0.25">
      <c r="A29" s="5">
        <v>25</v>
      </c>
      <c r="B29" s="10">
        <v>96</v>
      </c>
      <c r="C29" s="24" t="s">
        <v>83</v>
      </c>
      <c r="D29" s="25" t="s">
        <v>84</v>
      </c>
      <c r="E29" s="23" t="s">
        <v>8</v>
      </c>
      <c r="F29" s="28" t="s">
        <v>119</v>
      </c>
      <c r="G29" s="28" t="s">
        <v>119</v>
      </c>
      <c r="H29" s="40"/>
      <c r="I29" s="28" t="s">
        <v>119</v>
      </c>
      <c r="J29" s="28" t="s">
        <v>119</v>
      </c>
      <c r="K29" s="28" t="s">
        <v>120</v>
      </c>
      <c r="L29" s="28" t="s">
        <v>119</v>
      </c>
      <c r="M29" s="28" t="s">
        <v>119</v>
      </c>
      <c r="N29" s="47"/>
      <c r="O29" s="40"/>
      <c r="P29" s="23" t="s">
        <v>120</v>
      </c>
      <c r="Q29" s="23" t="s">
        <v>119</v>
      </c>
      <c r="R29" s="23" t="s">
        <v>120</v>
      </c>
      <c r="S29" s="23"/>
      <c r="T29" s="23"/>
      <c r="U29" s="23"/>
      <c r="V29" s="40"/>
      <c r="W29" s="23"/>
      <c r="X29" s="23"/>
      <c r="Y29" s="45"/>
      <c r="Z29" s="23"/>
      <c r="AA29" s="23"/>
      <c r="AB29" s="23"/>
      <c r="AC29" s="40"/>
      <c r="AD29" s="23"/>
      <c r="AE29" s="23"/>
      <c r="AF29" s="45"/>
      <c r="AG29" s="23"/>
      <c r="AH29" s="23"/>
      <c r="AI29" s="23"/>
      <c r="AJ29" s="3">
        <f>COUNTIF(F29:AI29,"P")</f>
        <v>7</v>
      </c>
      <c r="AK29" s="3">
        <f>COUNTIF(F29:AI29,"A")</f>
        <v>3</v>
      </c>
      <c r="AL29" s="15"/>
      <c r="AM29" s="15"/>
      <c r="AN29" s="15"/>
      <c r="AO29" s="15"/>
    </row>
    <row r="30" spans="1:41" ht="16.5" x14ac:dyDescent="0.25">
      <c r="A30" s="5">
        <v>26</v>
      </c>
      <c r="B30" s="10"/>
      <c r="C30" s="24" t="s">
        <v>115</v>
      </c>
      <c r="D30" s="25" t="s">
        <v>39</v>
      </c>
      <c r="E30" s="23" t="s">
        <v>8</v>
      </c>
      <c r="F30" s="28" t="s">
        <v>119</v>
      </c>
      <c r="G30" s="28" t="s">
        <v>119</v>
      </c>
      <c r="H30" s="40"/>
      <c r="I30" s="28" t="s">
        <v>120</v>
      </c>
      <c r="J30" s="28" t="s">
        <v>119</v>
      </c>
      <c r="K30" s="28" t="s">
        <v>120</v>
      </c>
      <c r="L30" s="28" t="s">
        <v>120</v>
      </c>
      <c r="M30" s="28" t="s">
        <v>119</v>
      </c>
      <c r="N30" s="47"/>
      <c r="O30" s="40"/>
      <c r="P30" s="23" t="s">
        <v>119</v>
      </c>
      <c r="Q30" s="23" t="s">
        <v>119</v>
      </c>
      <c r="R30" s="23" t="s">
        <v>119</v>
      </c>
      <c r="S30" s="23"/>
      <c r="T30" s="23"/>
      <c r="U30" s="23"/>
      <c r="V30" s="40"/>
      <c r="W30" s="23"/>
      <c r="X30" s="23"/>
      <c r="Y30" s="45"/>
      <c r="Z30" s="23"/>
      <c r="AA30" s="23"/>
      <c r="AB30" s="23"/>
      <c r="AC30" s="40"/>
      <c r="AD30" s="23"/>
      <c r="AE30" s="23"/>
      <c r="AF30" s="45"/>
      <c r="AG30" s="23"/>
      <c r="AH30" s="23"/>
      <c r="AI30" s="23"/>
      <c r="AJ30" s="3">
        <f>COUNTIF(F30:AI30,"P")</f>
        <v>7</v>
      </c>
      <c r="AK30" s="3">
        <f>COUNTIF(F30:AI30,"A")</f>
        <v>3</v>
      </c>
      <c r="AL30" s="15"/>
      <c r="AM30" s="15"/>
      <c r="AN30" s="15"/>
      <c r="AO30" s="15"/>
    </row>
    <row r="31" spans="1:41" ht="16.5" x14ac:dyDescent="0.25">
      <c r="A31" s="10">
        <v>27</v>
      </c>
      <c r="B31" s="10"/>
      <c r="C31" s="24" t="s">
        <v>123</v>
      </c>
      <c r="D31" s="25" t="s">
        <v>127</v>
      </c>
      <c r="E31" s="23" t="s">
        <v>8</v>
      </c>
      <c r="F31" s="28" t="s">
        <v>119</v>
      </c>
      <c r="G31" s="28" t="s">
        <v>119</v>
      </c>
      <c r="H31" s="40"/>
      <c r="I31" s="28" t="s">
        <v>119</v>
      </c>
      <c r="J31" s="28" t="s">
        <v>119</v>
      </c>
      <c r="K31" s="28" t="s">
        <v>119</v>
      </c>
      <c r="L31" s="28" t="s">
        <v>119</v>
      </c>
      <c r="M31" s="28" t="s">
        <v>119</v>
      </c>
      <c r="N31" s="47"/>
      <c r="O31" s="40"/>
      <c r="P31" s="23" t="s">
        <v>119</v>
      </c>
      <c r="Q31" s="23" t="s">
        <v>119</v>
      </c>
      <c r="R31" s="23" t="s">
        <v>119</v>
      </c>
      <c r="S31" s="23"/>
      <c r="T31" s="23"/>
      <c r="U31" s="23"/>
      <c r="V31" s="40"/>
      <c r="W31" s="23"/>
      <c r="X31" s="23"/>
      <c r="Y31" s="45"/>
      <c r="Z31" s="23"/>
      <c r="AA31" s="23"/>
      <c r="AB31" s="23"/>
      <c r="AC31" s="40"/>
      <c r="AD31" s="23"/>
      <c r="AE31" s="23"/>
      <c r="AF31" s="45"/>
      <c r="AG31" s="23"/>
      <c r="AH31" s="23"/>
      <c r="AI31" s="23"/>
      <c r="AJ31" s="3">
        <f>COUNTIF(F31:AI31,"P")</f>
        <v>10</v>
      </c>
      <c r="AK31" s="3">
        <f>COUNTIF(F31:AI31,"A")</f>
        <v>0</v>
      </c>
      <c r="AL31" s="15"/>
      <c r="AM31" s="15"/>
      <c r="AN31" s="15"/>
      <c r="AO31" s="15"/>
    </row>
    <row r="32" spans="1:41" ht="16.5" x14ac:dyDescent="0.25">
      <c r="A32" s="5">
        <v>28</v>
      </c>
      <c r="B32" s="10"/>
      <c r="C32" s="24" t="s">
        <v>124</v>
      </c>
      <c r="D32" s="25" t="s">
        <v>129</v>
      </c>
      <c r="E32" s="23" t="s">
        <v>8</v>
      </c>
      <c r="F32" s="28" t="s">
        <v>119</v>
      </c>
      <c r="G32" s="28" t="s">
        <v>119</v>
      </c>
      <c r="H32" s="40"/>
      <c r="I32" s="28" t="s">
        <v>119</v>
      </c>
      <c r="J32" s="28" t="s">
        <v>119</v>
      </c>
      <c r="K32" s="28" t="s">
        <v>119</v>
      </c>
      <c r="L32" s="28" t="s">
        <v>119</v>
      </c>
      <c r="M32" s="28" t="s">
        <v>119</v>
      </c>
      <c r="N32" s="47"/>
      <c r="O32" s="40"/>
      <c r="P32" s="23" t="s">
        <v>120</v>
      </c>
      <c r="Q32" s="23" t="s">
        <v>119</v>
      </c>
      <c r="R32" s="23" t="s">
        <v>119</v>
      </c>
      <c r="S32" s="23"/>
      <c r="T32" s="23"/>
      <c r="U32" s="23"/>
      <c r="V32" s="40"/>
      <c r="W32" s="23"/>
      <c r="X32" s="23"/>
      <c r="Y32" s="45"/>
      <c r="Z32" s="23"/>
      <c r="AA32" s="23"/>
      <c r="AB32" s="23"/>
      <c r="AC32" s="40"/>
      <c r="AD32" s="23"/>
      <c r="AE32" s="23"/>
      <c r="AF32" s="45"/>
      <c r="AG32" s="23"/>
      <c r="AH32" s="23"/>
      <c r="AI32" s="23"/>
      <c r="AJ32" s="3">
        <f>COUNTIF(F32:AI32,"P")</f>
        <v>9</v>
      </c>
      <c r="AK32" s="3">
        <f>COUNTIF(F32:AI32,"A")</f>
        <v>1</v>
      </c>
      <c r="AL32" s="15"/>
      <c r="AM32" s="15"/>
      <c r="AN32" s="15"/>
      <c r="AO32" s="15"/>
    </row>
    <row r="33" spans="1:41" ht="16.5" x14ac:dyDescent="0.25">
      <c r="A33" s="5">
        <v>29</v>
      </c>
      <c r="B33" s="10">
        <v>72</v>
      </c>
      <c r="C33" s="24" t="s">
        <v>126</v>
      </c>
      <c r="D33" s="25" t="s">
        <v>128</v>
      </c>
      <c r="E33" s="23" t="s">
        <v>8</v>
      </c>
      <c r="F33" s="28" t="s">
        <v>119</v>
      </c>
      <c r="G33" s="28" t="s">
        <v>120</v>
      </c>
      <c r="H33" s="40"/>
      <c r="I33" s="28" t="s">
        <v>119</v>
      </c>
      <c r="J33" s="28" t="s">
        <v>119</v>
      </c>
      <c r="K33" s="28" t="s">
        <v>119</v>
      </c>
      <c r="L33" s="28" t="s">
        <v>120</v>
      </c>
      <c r="M33" s="28" t="s">
        <v>119</v>
      </c>
      <c r="N33" s="47"/>
      <c r="O33" s="40"/>
      <c r="P33" s="23" t="s">
        <v>119</v>
      </c>
      <c r="Q33" s="23" t="s">
        <v>119</v>
      </c>
      <c r="R33" s="23" t="s">
        <v>119</v>
      </c>
      <c r="S33" s="23"/>
      <c r="T33" s="23"/>
      <c r="U33" s="23"/>
      <c r="V33" s="40"/>
      <c r="W33" s="23"/>
      <c r="X33" s="23"/>
      <c r="Y33" s="45"/>
      <c r="Z33" s="23"/>
      <c r="AA33" s="23"/>
      <c r="AB33" s="23"/>
      <c r="AC33" s="40"/>
      <c r="AD33" s="23"/>
      <c r="AE33" s="23"/>
      <c r="AF33" s="45"/>
      <c r="AG33" s="23"/>
      <c r="AH33" s="23"/>
      <c r="AI33" s="23"/>
      <c r="AJ33" s="3">
        <f>COUNTIF(F33:AI33,"P")</f>
        <v>8</v>
      </c>
      <c r="AK33" s="3">
        <f>COUNTIF(F33:AI33,"A")</f>
        <v>2</v>
      </c>
      <c r="AL33" s="15"/>
      <c r="AM33" s="15"/>
      <c r="AN33" s="15"/>
      <c r="AO33" s="15"/>
    </row>
    <row r="34" spans="1:41" ht="16.5" x14ac:dyDescent="0.25">
      <c r="A34" s="10">
        <v>30</v>
      </c>
      <c r="B34" s="10">
        <v>92</v>
      </c>
      <c r="C34" s="10" t="s">
        <v>125</v>
      </c>
      <c r="D34" s="10" t="s">
        <v>102</v>
      </c>
      <c r="E34" s="23" t="s">
        <v>8</v>
      </c>
      <c r="F34" s="28" t="s">
        <v>119</v>
      </c>
      <c r="G34" s="28" t="s">
        <v>119</v>
      </c>
      <c r="H34" s="40"/>
      <c r="I34" s="28" t="s">
        <v>119</v>
      </c>
      <c r="J34" s="28" t="s">
        <v>119</v>
      </c>
      <c r="K34" s="28" t="s">
        <v>119</v>
      </c>
      <c r="L34" s="28" t="s">
        <v>119</v>
      </c>
      <c r="M34" s="28" t="s">
        <v>120</v>
      </c>
      <c r="N34" s="47"/>
      <c r="O34" s="40"/>
      <c r="P34" s="23" t="s">
        <v>119</v>
      </c>
      <c r="Q34" s="23" t="s">
        <v>119</v>
      </c>
      <c r="R34" s="23" t="s">
        <v>119</v>
      </c>
      <c r="S34" s="23"/>
      <c r="T34" s="23"/>
      <c r="U34" s="23"/>
      <c r="V34" s="40"/>
      <c r="W34" s="23"/>
      <c r="X34" s="23"/>
      <c r="Y34" s="45"/>
      <c r="Z34" s="23"/>
      <c r="AA34" s="23"/>
      <c r="AB34" s="23"/>
      <c r="AC34" s="40"/>
      <c r="AD34" s="23"/>
      <c r="AE34" s="23"/>
      <c r="AF34" s="45"/>
      <c r="AG34" s="23"/>
      <c r="AH34" s="23"/>
      <c r="AI34" s="23"/>
      <c r="AJ34" s="3">
        <f>COUNTIF(F34:AI34,"P")</f>
        <v>9</v>
      </c>
      <c r="AK34" s="3">
        <f>COUNTIF(F34:AI34,"A")</f>
        <v>1</v>
      </c>
      <c r="AL34" s="15"/>
      <c r="AM34" s="15"/>
      <c r="AN34" s="15"/>
      <c r="AO34" s="15"/>
    </row>
    <row r="35" spans="1:41" ht="16.5" x14ac:dyDescent="0.25">
      <c r="A35" s="5">
        <v>31</v>
      </c>
      <c r="B35" s="10"/>
      <c r="C35" s="10" t="s">
        <v>116</v>
      </c>
      <c r="D35" s="10" t="s">
        <v>130</v>
      </c>
      <c r="E35" s="23" t="s">
        <v>8</v>
      </c>
      <c r="F35" s="28" t="s">
        <v>119</v>
      </c>
      <c r="G35" s="28" t="s">
        <v>119</v>
      </c>
      <c r="H35" s="41"/>
      <c r="I35" s="28" t="s">
        <v>119</v>
      </c>
      <c r="J35" s="28" t="s">
        <v>119</v>
      </c>
      <c r="K35" s="28" t="s">
        <v>119</v>
      </c>
      <c r="L35" s="28" t="s">
        <v>119</v>
      </c>
      <c r="M35" s="28" t="s">
        <v>119</v>
      </c>
      <c r="N35" s="48"/>
      <c r="O35" s="41"/>
      <c r="P35" s="23" t="s">
        <v>119</v>
      </c>
      <c r="Q35" s="23" t="s">
        <v>119</v>
      </c>
      <c r="R35" s="23" t="s">
        <v>119</v>
      </c>
      <c r="S35" s="23"/>
      <c r="T35" s="23"/>
      <c r="U35" s="23"/>
      <c r="V35" s="41"/>
      <c r="W35" s="23"/>
      <c r="X35" s="23"/>
      <c r="Y35" s="45"/>
      <c r="Z35" s="23"/>
      <c r="AA35" s="23"/>
      <c r="AB35" s="23"/>
      <c r="AC35" s="41"/>
      <c r="AD35" s="23"/>
      <c r="AE35" s="23"/>
      <c r="AF35" s="45"/>
      <c r="AG35" s="23"/>
      <c r="AH35" s="23"/>
      <c r="AI35" s="23"/>
      <c r="AJ35" s="3">
        <f>COUNTIF(F35:AI35,"P")</f>
        <v>10</v>
      </c>
      <c r="AK35" s="3">
        <f>COUNTIF(F35:AI35,"A")</f>
        <v>0</v>
      </c>
      <c r="AL35" s="15"/>
      <c r="AM35" s="15"/>
      <c r="AN35" s="15"/>
      <c r="AO35" s="15"/>
    </row>
  </sheetData>
  <mergeCells count="17">
    <mergeCell ref="AL8:AO8"/>
    <mergeCell ref="AL16:AO16"/>
    <mergeCell ref="H5:H35"/>
    <mergeCell ref="N5:N35"/>
    <mergeCell ref="O5:O35"/>
    <mergeCell ref="V5:V35"/>
    <mergeCell ref="AC5:AC35"/>
    <mergeCell ref="AJ3:AJ4"/>
    <mergeCell ref="AK3:AK4"/>
    <mergeCell ref="AL3:AM3"/>
    <mergeCell ref="A2:AI2"/>
    <mergeCell ref="A1:AI1"/>
    <mergeCell ref="A3:A4"/>
    <mergeCell ref="B3:B4"/>
    <mergeCell ref="C3:C4"/>
    <mergeCell ref="D3:D4"/>
    <mergeCell ref="E3:E4"/>
  </mergeCells>
  <conditionalFormatting sqref="Z6:AB35 AG6:AI35 F6:G35 I6:M35 P6:U35 W6:X35 AD6:AE35 F3:AI5">
    <cfRule type="expression" dxfId="36" priority="17">
      <formula>F$3="Sun"</formula>
    </cfRule>
  </conditionalFormatting>
  <conditionalFormatting sqref="Z6:AB35 AG6:AI35 F6:G35 I6:M35 P6:U35 W6:X35 AD6:AE35 F5:AI5">
    <cfRule type="cellIs" dxfId="35" priority="9" operator="equal">
      <formula>"A"</formula>
    </cfRule>
    <cfRule type="cellIs" dxfId="34" priority="10" operator="equal">
      <formula>"P"</formula>
    </cfRule>
  </conditionalFormatting>
  <conditionalFormatting sqref="F6:G35 I6:M35 P5:U35 F5:O5 W5:AB35 V5 AD5:AI35 AC5">
    <cfRule type="cellIs" dxfId="33" priority="8" operator="equal">
      <formula>"L"</formula>
    </cfRule>
  </conditionalFormatting>
  <conditionalFormatting sqref="AJ3:AK3 AJ5:AK35">
    <cfRule type="expression" dxfId="32" priority="18">
      <formula>#REF!="Sun"</formula>
    </cfRule>
  </conditionalFormatting>
  <conditionalFormatting sqref="F6:G35 I6:M35 P5:U35 F5:O5 W5:AB35 V5 AD5:AI35 AC5 F3:AI4">
    <cfRule type="expression" dxfId="31" priority="7">
      <formula>F$4=TODAY()</formula>
    </cfRule>
  </conditionalFormatting>
  <conditionalFormatting sqref="B5:B33">
    <cfRule type="duplicateValues" dxfId="30" priority="301"/>
  </conditionalFormatting>
  <conditionalFormatting sqref="AL4:AM4">
    <cfRule type="expression" dxfId="29" priority="6">
      <formula>AL$3="Sun"</formula>
    </cfRule>
  </conditionalFormatting>
  <conditionalFormatting sqref="AL5:AL6">
    <cfRule type="expression" dxfId="28" priority="5">
      <formula>AL$3="Sun"</formula>
    </cfRule>
  </conditionalFormatting>
  <conditionalFormatting sqref="AL9:AL12">
    <cfRule type="expression" dxfId="27" priority="3">
      <formula>AL$3="Sun"</formula>
    </cfRule>
  </conditionalFormatting>
  <conditionalFormatting sqref="AL17:AL20">
    <cfRule type="expression" dxfId="26" priority="2">
      <formula>AL$3="Sun"</formula>
    </cfRule>
  </conditionalFormatting>
  <conditionalFormatting sqref="AM9:AO9">
    <cfRule type="expression" dxfId="25" priority="4">
      <formula>AM$3="Sun"</formula>
    </cfRule>
  </conditionalFormatting>
  <conditionalFormatting sqref="AM17:AO17">
    <cfRule type="expression" dxfId="24" priority="1">
      <formula>AM$3="Sun"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(Daffodil) (Girls)</vt:lpstr>
      <vt:lpstr>ECE (Daffodil)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2024-11-13T05:30:39Z</dcterms:modified>
</cp:coreProperties>
</file>