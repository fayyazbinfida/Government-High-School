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7\"/>
    </mc:Choice>
  </mc:AlternateContent>
  <xr:revisionPtr revIDLastSave="0" documentId="13_ncr:1_{A9BA6827-38E9-40D5-9C79-9CEAB17D0F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7" l="1"/>
  <c r="AJ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K50" i="7"/>
  <c r="AL50" i="7"/>
  <c r="AK51" i="7"/>
  <c r="AL51" i="7"/>
  <c r="AK52" i="7"/>
  <c r="AL52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F3" i="7"/>
  <c r="AN11" i="7" l="1"/>
  <c r="AN19" i="7" s="1"/>
  <c r="AO11" i="7"/>
  <c r="AO12" i="7" s="1"/>
  <c r="AP10" i="7"/>
  <c r="AP18" i="7"/>
  <c r="AN12" i="7" l="1"/>
  <c r="AO19" i="7"/>
  <c r="AO20" i="7" s="1"/>
  <c r="AN20" i="7"/>
  <c r="AP11" i="7"/>
  <c r="AP12" i="7" s="1"/>
  <c r="AP19" i="7" l="1"/>
  <c r="AP20" i="7" s="1"/>
</calcChain>
</file>

<file path=xl/sharedStrings.xml><?xml version="1.0" encoding="utf-8"?>
<sst xmlns="http://schemas.openxmlformats.org/spreadsheetml/2006/main" count="1374" uniqueCount="73">
  <si>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</si>
  <si>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</si>
  <si>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</si>
  <si>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</si>
  <si>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</si>
  <si>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</si>
  <si>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</si>
  <si>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</si>
  <si>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</si>
  <si>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</si>
  <si>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</si>
  <si>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</si>
  <si>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</si>
  <si>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</si>
  <si>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</si>
  <si>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</si>
  <si>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</si>
  <si>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</si>
  <si>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</si>
  <si>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</si>
  <si>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</si>
  <si>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</si>
  <si>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</si>
  <si>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</si>
  <si>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Laraib</t>
  </si>
  <si>
    <t>Maheen</t>
  </si>
  <si>
    <t>Sohail Ahmed</t>
  </si>
  <si>
    <t>Abdullah</t>
  </si>
  <si>
    <t>Adil</t>
  </si>
  <si>
    <t>Ali Khan</t>
  </si>
  <si>
    <t>Ameer Hamza</t>
  </si>
  <si>
    <t>Bismillah Khan</t>
  </si>
  <si>
    <t>Danish</t>
  </si>
  <si>
    <t>Daniyal</t>
  </si>
  <si>
    <t>Hamza Nisar</t>
  </si>
  <si>
    <t>Haseeeb Haidar</t>
  </si>
  <si>
    <t>Hasnain G. Nabi</t>
  </si>
  <si>
    <t>Hasnain Ali Soomro</t>
  </si>
  <si>
    <t>Hasnain Raza</t>
  </si>
  <si>
    <t>Hasnain Yasir</t>
  </si>
  <si>
    <t>Hassan Mumtaz Ali</t>
  </si>
  <si>
    <t>Irfan Ali</t>
  </si>
  <si>
    <t>Mubashir Qadri</t>
  </si>
  <si>
    <t xml:space="preserve">Muzamil </t>
  </si>
  <si>
    <t>M. Anwar</t>
  </si>
  <si>
    <t>M. Hassan</t>
  </si>
  <si>
    <t>M. Mairaj</t>
  </si>
  <si>
    <t>M. Mudasir</t>
  </si>
  <si>
    <t>M. Raza</t>
  </si>
  <si>
    <t>M. Usman</t>
  </si>
  <si>
    <t>Nisar Ali</t>
  </si>
  <si>
    <t>Rizwan Arbab</t>
  </si>
  <si>
    <t>Rizwan Razique</t>
  </si>
  <si>
    <t>Safiullah Hafeez</t>
  </si>
  <si>
    <t>Zahid Hussain</t>
  </si>
  <si>
    <t>Asma</t>
  </si>
  <si>
    <t>Aiman Khan</t>
  </si>
  <si>
    <t>Aiman Safdar Ali</t>
  </si>
  <si>
    <t>Aqsa</t>
  </si>
  <si>
    <t>Ayesha</t>
  </si>
  <si>
    <t>Bushra Ubaid</t>
  </si>
  <si>
    <t>Erum</t>
  </si>
  <si>
    <t>Fatima Zahra</t>
  </si>
  <si>
    <t>Fiza</t>
  </si>
  <si>
    <t>Hira Abroo</t>
  </si>
  <si>
    <t>Muskan</t>
  </si>
  <si>
    <t>Muniza Ali Sher</t>
  </si>
  <si>
    <t>Rimsha Khatoon</t>
  </si>
  <si>
    <t>Sadaf</t>
  </si>
  <si>
    <t>Sania</t>
  </si>
  <si>
    <t>Seema Zulfiqaar</t>
  </si>
  <si>
    <t>Tamanna</t>
  </si>
  <si>
    <t>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</si>
</sst>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52"/>
  <sheetViews>
    <sheetView tabSelected="1" topLeftCell="A32" workbookViewId="0">
      <selection activeCell="B5" sqref="B5:C5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3.7109375" style="1" bestFit="1" customWidth="1"/>
    <col min="8" max="22" width="3.7109375" style="1" customWidth="1"/>
    <col min="23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4.7109375" style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42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J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" t="str">
        <f t="shared" si="0"/>
        <v>Sun</v>
      </c>
      <c r="AK3" s="23" t="s">
        <v>5</v>
      </c>
      <c r="AL3" s="23" t="s">
        <v>6</v>
      </c>
      <c r="AM3" s="18" t="s">
        <v>20</v>
      </c>
      <c r="AN3" s="19"/>
      <c r="AO3" s="3"/>
      <c r="AP3" s="3"/>
    </row>
    <row r="4" spans="1:42" ht="37.5" x14ac:dyDescent="0.25">
      <c r="A4" s="25"/>
      <c r="B4" s="25"/>
      <c r="C4" s="25"/>
      <c r="D4" s="25"/>
      <c r="E4" s="25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14">
        <v>45627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8">
        <v>604</v>
      </c>
      <c r="C5" s="17" t="s">
        <v>27</v>
      </c>
      <c r="D5" s="16"/>
      <c r="E5" s="7" t="s">
        <v>72</v>
      </c>
      <c r="F5" s="8" t="s">
        <v>23</v>
      </c>
      <c r="G5" s="8" t="s">
        <v>23</v>
      </c>
      <c r="H5" s="8"/>
      <c r="I5" s="8" t="s">
        <v>23</v>
      </c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8"/>
      <c r="P5" s="8" t="s">
        <v>23</v>
      </c>
      <c r="Q5" s="8" t="s">
        <v>23</v>
      </c>
      <c r="R5" s="8" t="s">
        <v>23</v>
      </c>
      <c r="S5" s="8" t="s">
        <v>23</v>
      </c>
      <c r="T5" s="8" t="s">
        <v>23</v>
      </c>
      <c r="U5" s="8" t="s">
        <v>23</v>
      </c>
      <c r="V5" s="8"/>
      <c r="W5" s="8" t="s">
        <v>23</v>
      </c>
      <c r="X5" s="8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/>
      <c r="AD5" s="8" t="s">
        <v>23</v>
      </c>
      <c r="AE5" s="8" t="s">
        <v>23</v>
      </c>
      <c r="AF5" s="8" t="s">
        <v>23</v>
      </c>
      <c r="AG5" s="8" t="s">
        <v>23</v>
      </c>
      <c r="AH5" s="8" t="s">
        <v>23</v>
      </c>
      <c r="AI5" s="8" t="s">
        <v>23</v>
      </c>
      <c r="AJ5" s="8"/>
      <c r="AK5" s="5">
        <f t="shared" ref="AK5:AK52" si="1">COUNTIF(F5:AJ5,"P")</f>
        <v>26</v>
      </c>
      <c r="AL5" s="5">
        <f t="shared" ref="AL5:AL52" si="2">COUNTIF(F5:AJ5,"A")</f>
        <v>0</v>
      </c>
      <c r="AM5" s="5" t="s">
        <v>8</v>
      </c>
      <c r="AN5" s="9">
        <v>26</v>
      </c>
      <c r="AO5" s="10" t="s">
        <v>9</v>
      </c>
      <c r="AP5" s="3"/>
    </row>
    <row r="6" spans="1:42" x14ac:dyDescent="0.25">
      <c r="A6" s="9">
        <v>2</v>
      </c>
      <c r="B6" s="8">
        <v>605</v>
      </c>
      <c r="C6" s="17" t="s">
        <v>28</v>
      </c>
      <c r="D6" s="16"/>
      <c r="E6" s="7" t="s">
        <v>72</v>
      </c>
      <c r="F6" s="8" t="s">
        <v>23</v>
      </c>
      <c r="G6" s="8" t="s">
        <v>23</v>
      </c>
      <c r="H6" s="8"/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s="8"/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8"/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/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8" t="s">
        <v>23</v>
      </c>
      <c r="AJ6" s="8"/>
      <c r="AK6" s="5">
        <f t="shared" si="1"/>
        <v>26</v>
      </c>
      <c r="AL6" s="5">
        <f t="shared" si="2"/>
        <v>0</v>
      </c>
      <c r="AM6" s="5" t="s">
        <v>10</v>
      </c>
      <c r="AN6" s="9">
        <v>4</v>
      </c>
      <c r="AO6" s="3"/>
      <c r="AP6" s="3"/>
    </row>
    <row r="7" spans="1:42" x14ac:dyDescent="0.25">
      <c r="A7" s="6">
        <v>3</v>
      </c>
      <c r="B7" s="8">
        <v>606</v>
      </c>
      <c r="C7" s="17" t="s">
        <v>29</v>
      </c>
      <c r="D7" s="16"/>
      <c r="E7" s="7" t="s">
        <v>72</v>
      </c>
      <c r="F7" s="8" t="s">
        <v>23</v>
      </c>
      <c r="G7" s="8" t="s">
        <v>23</v>
      </c>
      <c r="H7" s="8"/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/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/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/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8" t="s">
        <v>23</v>
      </c>
      <c r="AJ7" s="8"/>
      <c r="AK7" s="5">
        <f t="shared" si="1"/>
        <v>26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9">
        <v>4</v>
      </c>
      <c r="B8" s="8">
        <v>607</v>
      </c>
      <c r="C8" s="17" t="s">
        <v>30</v>
      </c>
      <c r="D8" s="16"/>
      <c r="E8" s="7" t="s">
        <v>72</v>
      </c>
      <c r="F8" s="8" t="s">
        <v>23</v>
      </c>
      <c r="G8" s="8" t="s">
        <v>23</v>
      </c>
      <c r="H8" s="8"/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s="8"/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8" t="s">
        <v>23</v>
      </c>
      <c r="V8" s="8"/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/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8" t="s">
        <v>23</v>
      </c>
      <c r="AJ8" s="8"/>
      <c r="AK8" s="5">
        <f t="shared" si="1"/>
        <v>26</v>
      </c>
      <c r="AL8" s="5">
        <f t="shared" si="2"/>
        <v>0</v>
      </c>
      <c r="AM8" s="18" t="s">
        <v>11</v>
      </c>
      <c r="AN8" s="19"/>
      <c r="AO8" s="19"/>
      <c r="AP8" s="20"/>
    </row>
    <row r="9" spans="1:42" x14ac:dyDescent="0.25">
      <c r="A9" s="6">
        <v>5</v>
      </c>
      <c r="B9" s="8">
        <v>608</v>
      </c>
      <c r="C9" s="15" t="s">
        <v>31</v>
      </c>
      <c r="D9" s="16"/>
      <c r="E9" s="7" t="s">
        <v>72</v>
      </c>
      <c r="F9" s="8" t="s">
        <v>23</v>
      </c>
      <c r="G9" s="8" t="s">
        <v>23</v>
      </c>
      <c r="H9" s="8"/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/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8" t="s">
        <v>23</v>
      </c>
      <c r="V9" s="8"/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/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8" t="s">
        <v>23</v>
      </c>
      <c r="AJ9" s="8"/>
      <c r="AK9" s="5">
        <f t="shared" si="1"/>
        <v>26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9">
        <v>6</v>
      </c>
      <c r="B10" s="8">
        <v>609</v>
      </c>
      <c r="C10" s="17" t="s">
        <v>32</v>
      </c>
      <c r="D10" s="16"/>
      <c r="E10" s="7" t="s">
        <v>72</v>
      </c>
      <c r="F10" s="8" t="s">
        <v>23</v>
      </c>
      <c r="G10" s="8" t="s">
        <v>23</v>
      </c>
      <c r="H10" s="8"/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/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  <c r="V10" s="8"/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/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8" t="s">
        <v>23</v>
      </c>
      <c r="AJ10" s="8"/>
      <c r="AK10" s="5">
        <f t="shared" si="1"/>
        <v>26</v>
      </c>
      <c r="AL10" s="5">
        <f t="shared" si="2"/>
        <v>0</v>
      </c>
      <c r="AM10" s="5" t="s">
        <v>16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x14ac:dyDescent="0.25">
      <c r="A11" s="6">
        <v>7</v>
      </c>
      <c r="B11" s="8">
        <v>610</v>
      </c>
      <c r="C11" s="17" t="s">
        <v>33</v>
      </c>
      <c r="D11" s="16"/>
      <c r="E11" s="7" t="s">
        <v>72</v>
      </c>
      <c r="F11" s="8" t="s">
        <v>23</v>
      </c>
      <c r="G11" s="8" t="s">
        <v>23</v>
      </c>
      <c r="H11" s="8"/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/>
      <c r="P11" s="8" t="s">
        <v>23</v>
      </c>
      <c r="Q11" s="8" t="s">
        <v>23</v>
      </c>
      <c r="R11" s="8" t="s">
        <v>23</v>
      </c>
      <c r="S11" s="8" t="s">
        <v>23</v>
      </c>
      <c r="T11" s="8" t="s">
        <v>23</v>
      </c>
      <c r="U11" s="8" t="s">
        <v>23</v>
      </c>
      <c r="V11" s="8"/>
      <c r="W11" s="8" t="s">
        <v>23</v>
      </c>
      <c r="X11" s="8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/>
      <c r="AD11" s="8" t="s">
        <v>23</v>
      </c>
      <c r="AE11" s="8" t="s">
        <v>23</v>
      </c>
      <c r="AF11" s="8" t="s">
        <v>23</v>
      </c>
      <c r="AG11" s="8" t="s">
        <v>23</v>
      </c>
      <c r="AH11" s="8" t="s">
        <v>23</v>
      </c>
      <c r="AI11" s="8" t="s">
        <v>23</v>
      </c>
      <c r="AJ11" s="8"/>
      <c r="AK11" s="5">
        <f t="shared" si="1"/>
        <v>26</v>
      </c>
      <c r="AL11" s="5">
        <f t="shared" si="2"/>
        <v>0</v>
      </c>
      <c r="AM11" s="5" t="s">
        <v>17</v>
      </c>
      <c r="AN11" s="9">
        <f>AK6+AK7+AK8+AK11+AK12+AK13+AK15+AK19+AK20+AK21+AK2</f>
        <v>260</v>
      </c>
      <c r="AO11" s="9">
        <f>AK5+AK9+AK10+AK14+AK16+AK17+AK18</f>
        <v>182</v>
      </c>
      <c r="AP11" s="9">
        <f>AN11+AO11</f>
        <v>442</v>
      </c>
    </row>
    <row r="12" spans="1:42" x14ac:dyDescent="0.25">
      <c r="A12" s="9">
        <v>8</v>
      </c>
      <c r="B12" s="8">
        <v>611</v>
      </c>
      <c r="C12" s="17" t="s">
        <v>34</v>
      </c>
      <c r="D12" s="16"/>
      <c r="E12" s="7" t="s">
        <v>72</v>
      </c>
      <c r="F12" s="8" t="s">
        <v>23</v>
      </c>
      <c r="G12" s="8" t="s">
        <v>23</v>
      </c>
      <c r="H12" s="8"/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8" t="s">
        <v>23</v>
      </c>
      <c r="O12" s="8"/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8" t="s">
        <v>23</v>
      </c>
      <c r="V12" s="8"/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/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8" t="s">
        <v>23</v>
      </c>
      <c r="AJ12" s="8"/>
      <c r="AK12" s="5">
        <f t="shared" si="1"/>
        <v>26</v>
      </c>
      <c r="AL12" s="5">
        <f t="shared" si="2"/>
        <v>0</v>
      </c>
      <c r="AM12" s="5" t="s">
        <v>18</v>
      </c>
      <c r="AN12" s="9">
        <f>AN11/AN10</f>
        <v>0.52631578947368418</v>
      </c>
      <c r="AO12" s="9">
        <f>AO11/AO10</f>
        <v>0.33333333333333331</v>
      </c>
      <c r="AP12" s="9">
        <f>AP11/AP10</f>
        <v>0.42499999999999999</v>
      </c>
    </row>
    <row r="13" spans="1:42" x14ac:dyDescent="0.25">
      <c r="A13" s="6">
        <v>9</v>
      </c>
      <c r="B13" s="8">
        <v>612</v>
      </c>
      <c r="C13" s="17" t="s">
        <v>35</v>
      </c>
      <c r="D13" s="16"/>
      <c r="E13" s="7" t="s">
        <v>72</v>
      </c>
      <c r="F13" s="8" t="s">
        <v>23</v>
      </c>
      <c r="G13" s="8" t="s">
        <v>23</v>
      </c>
      <c r="H13" s="8"/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/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8" t="s">
        <v>23</v>
      </c>
      <c r="V13" s="8"/>
      <c r="W13" s="8" t="s">
        <v>23</v>
      </c>
      <c r="X13" s="8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/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8" t="s">
        <v>23</v>
      </c>
      <c r="AJ13" s="8"/>
      <c r="AK13" s="5">
        <f t="shared" si="1"/>
        <v>26</v>
      </c>
      <c r="AL13" s="5">
        <f t="shared" si="2"/>
        <v>0</v>
      </c>
      <c r="AM13" s="3"/>
      <c r="AN13" s="11"/>
      <c r="AO13" s="11"/>
      <c r="AP13" s="11"/>
    </row>
    <row r="14" spans="1:42" x14ac:dyDescent="0.25">
      <c r="A14" s="9">
        <v>10</v>
      </c>
      <c r="B14" s="8">
        <v>613</v>
      </c>
      <c r="C14" s="17" t="s">
        <v>36</v>
      </c>
      <c r="D14" s="16"/>
      <c r="E14" s="7" t="s">
        <v>72</v>
      </c>
      <c r="F14" s="8" t="s">
        <v>23</v>
      </c>
      <c r="G14" s="8" t="s">
        <v>23</v>
      </c>
      <c r="H14" s="8"/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8" t="s">
        <v>23</v>
      </c>
      <c r="O14" s="8"/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8" t="s">
        <v>23</v>
      </c>
      <c r="V14" s="8"/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/>
      <c r="AD14" s="8" t="s">
        <v>23</v>
      </c>
      <c r="AE14" s="8" t="s">
        <v>23</v>
      </c>
      <c r="AF14" s="8" t="s">
        <v>23</v>
      </c>
      <c r="AG14" s="8" t="s">
        <v>23</v>
      </c>
      <c r="AH14" s="8" t="s">
        <v>23</v>
      </c>
      <c r="AI14" s="8" t="s">
        <v>23</v>
      </c>
      <c r="AJ14" s="8"/>
      <c r="AK14" s="5">
        <f t="shared" si="1"/>
        <v>26</v>
      </c>
      <c r="AL14" s="5">
        <f t="shared" si="2"/>
        <v>0</v>
      </c>
      <c r="AM14" s="12"/>
      <c r="AN14" s="12"/>
      <c r="AO14" s="12"/>
      <c r="AP14" s="12"/>
    </row>
    <row r="15" spans="1:42" x14ac:dyDescent="0.25">
      <c r="A15" s="6">
        <v>11</v>
      </c>
      <c r="B15" s="8">
        <v>614</v>
      </c>
      <c r="C15" s="17" t="s">
        <v>37</v>
      </c>
      <c r="D15" s="16"/>
      <c r="E15" s="7" t="s">
        <v>72</v>
      </c>
      <c r="F15" s="8" t="s">
        <v>23</v>
      </c>
      <c r="G15" s="8" t="s">
        <v>23</v>
      </c>
      <c r="H15" s="8"/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/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8" t="s">
        <v>23</v>
      </c>
      <c r="V15" s="8"/>
      <c r="W15" s="8" t="s">
        <v>23</v>
      </c>
      <c r="X15" s="8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/>
      <c r="AD15" s="8" t="s">
        <v>23</v>
      </c>
      <c r="AE15" s="8" t="s">
        <v>23</v>
      </c>
      <c r="AF15" s="8" t="s">
        <v>23</v>
      </c>
      <c r="AG15" s="8" t="s">
        <v>23</v>
      </c>
      <c r="AH15" s="8" t="s">
        <v>23</v>
      </c>
      <c r="AI15" s="8" t="s">
        <v>23</v>
      </c>
      <c r="AJ15" s="8"/>
      <c r="AK15" s="5">
        <f t="shared" si="1"/>
        <v>26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9">
        <v>12</v>
      </c>
      <c r="B16" s="8">
        <v>615</v>
      </c>
      <c r="C16" s="17" t="s">
        <v>38</v>
      </c>
      <c r="D16" s="16"/>
      <c r="E16" s="7" t="s">
        <v>72</v>
      </c>
      <c r="F16" s="8" t="s">
        <v>23</v>
      </c>
      <c r="G16" s="8" t="s">
        <v>23</v>
      </c>
      <c r="H16" s="8"/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8" t="s">
        <v>23</v>
      </c>
      <c r="O16" s="8"/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8" t="s">
        <v>23</v>
      </c>
      <c r="V16" s="8"/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/>
      <c r="AD16" s="8" t="s">
        <v>23</v>
      </c>
      <c r="AE16" s="8" t="s">
        <v>23</v>
      </c>
      <c r="AF16" s="8" t="s">
        <v>23</v>
      </c>
      <c r="AG16" s="8" t="s">
        <v>23</v>
      </c>
      <c r="AH16" s="8" t="s">
        <v>23</v>
      </c>
      <c r="AI16" s="8" t="s">
        <v>23</v>
      </c>
      <c r="AJ16" s="8"/>
      <c r="AK16" s="5">
        <f t="shared" si="1"/>
        <v>26</v>
      </c>
      <c r="AL16" s="5">
        <f t="shared" si="2"/>
        <v>0</v>
      </c>
      <c r="AM16" s="18" t="s">
        <v>6</v>
      </c>
      <c r="AN16" s="19"/>
      <c r="AO16" s="19"/>
      <c r="AP16" s="20"/>
    </row>
    <row r="17" spans="1:42" x14ac:dyDescent="0.25">
      <c r="A17" s="6">
        <v>13</v>
      </c>
      <c r="B17" s="8">
        <v>616</v>
      </c>
      <c r="C17" s="17" t="s">
        <v>39</v>
      </c>
      <c r="D17" s="16"/>
      <c r="E17" s="7" t="s">
        <v>72</v>
      </c>
      <c r="F17" s="8" t="s">
        <v>23</v>
      </c>
      <c r="G17" s="8" t="s">
        <v>23</v>
      </c>
      <c r="H17" s="8"/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/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8" t="s">
        <v>23</v>
      </c>
      <c r="V17" s="8"/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/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8" t="s">
        <v>23</v>
      </c>
      <c r="AJ17" s="8"/>
      <c r="AK17" s="5">
        <f t="shared" si="1"/>
        <v>26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9">
        <v>14</v>
      </c>
      <c r="B18" s="8">
        <v>617</v>
      </c>
      <c r="C18" s="17" t="s">
        <v>40</v>
      </c>
      <c r="D18" s="16"/>
      <c r="E18" s="7" t="s">
        <v>72</v>
      </c>
      <c r="F18" s="8" t="s">
        <v>23</v>
      </c>
      <c r="G18" s="8" t="s">
        <v>23</v>
      </c>
      <c r="H18" s="8"/>
      <c r="I18" s="8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8" t="s">
        <v>23</v>
      </c>
      <c r="O18" s="8"/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8" t="s">
        <v>23</v>
      </c>
      <c r="V18" s="8"/>
      <c r="W18" s="8" t="s">
        <v>23</v>
      </c>
      <c r="X18" s="8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/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8" t="s">
        <v>23</v>
      </c>
      <c r="AJ18" s="8"/>
      <c r="AK18" s="5">
        <f t="shared" si="1"/>
        <v>26</v>
      </c>
      <c r="AL18" s="5">
        <f t="shared" si="2"/>
        <v>0</v>
      </c>
      <c r="AM18" s="5" t="s">
        <v>16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x14ac:dyDescent="0.25">
      <c r="A19" s="6">
        <v>15</v>
      </c>
      <c r="B19" s="8">
        <v>618</v>
      </c>
      <c r="C19" s="17" t="s">
        <v>41</v>
      </c>
      <c r="D19" s="16"/>
      <c r="E19" s="7" t="s">
        <v>72</v>
      </c>
      <c r="F19" s="8" t="s">
        <v>23</v>
      </c>
      <c r="G19" s="8" t="s">
        <v>23</v>
      </c>
      <c r="H19" s="8"/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8" t="s">
        <v>23</v>
      </c>
      <c r="O19" s="8"/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8" t="s">
        <v>23</v>
      </c>
      <c r="V19" s="8"/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/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8" t="s">
        <v>23</v>
      </c>
      <c r="AJ19" s="8"/>
      <c r="AK19" s="5">
        <f t="shared" si="1"/>
        <v>26</v>
      </c>
      <c r="AL19" s="5">
        <f t="shared" si="2"/>
        <v>0</v>
      </c>
      <c r="AM19" s="5" t="s">
        <v>19</v>
      </c>
      <c r="AN19" s="9">
        <f>AN18-AN11</f>
        <v>234</v>
      </c>
      <c r="AO19" s="9">
        <f>AO18-AO11</f>
        <v>364</v>
      </c>
      <c r="AP19" s="9">
        <f>AN19+AO19</f>
        <v>598</v>
      </c>
    </row>
    <row r="20" spans="1:42" x14ac:dyDescent="0.25">
      <c r="A20" s="9">
        <v>16</v>
      </c>
      <c r="B20" s="8">
        <v>619</v>
      </c>
      <c r="C20" s="17" t="s">
        <v>42</v>
      </c>
      <c r="D20" s="16"/>
      <c r="E20" s="7" t="s">
        <v>72</v>
      </c>
      <c r="F20" s="8" t="s">
        <v>23</v>
      </c>
      <c r="G20" s="8" t="s">
        <v>23</v>
      </c>
      <c r="H20" s="8"/>
      <c r="I20" s="8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8" t="s">
        <v>23</v>
      </c>
      <c r="O20" s="8"/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8" t="s">
        <v>23</v>
      </c>
      <c r="V20" s="8"/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/>
      <c r="AD20" s="8" t="s">
        <v>23</v>
      </c>
      <c r="AE20" s="8" t="s">
        <v>23</v>
      </c>
      <c r="AF20" s="8" t="s">
        <v>23</v>
      </c>
      <c r="AG20" s="8" t="s">
        <v>23</v>
      </c>
      <c r="AH20" s="8" t="s">
        <v>23</v>
      </c>
      <c r="AI20" s="8" t="s">
        <v>23</v>
      </c>
      <c r="AJ20" s="8"/>
      <c r="AK20" s="5">
        <f t="shared" si="1"/>
        <v>26</v>
      </c>
      <c r="AL20" s="5">
        <f t="shared" si="2"/>
        <v>0</v>
      </c>
      <c r="AM20" s="5" t="s">
        <v>15</v>
      </c>
      <c r="AN20" s="13">
        <f>AN19/AN18</f>
        <v>0.47368421052631576</v>
      </c>
      <c r="AO20" s="13">
        <f>AO19/AO18</f>
        <v>0.66666666666666663</v>
      </c>
      <c r="AP20" s="13">
        <f>AP19/AP18</f>
        <v>0.57499999999999996</v>
      </c>
    </row>
    <row r="21" spans="1:42" x14ac:dyDescent="0.25">
      <c r="A21" s="6">
        <v>17</v>
      </c>
      <c r="B21" s="8">
        <v>620</v>
      </c>
      <c r="C21" s="17" t="s">
        <v>43</v>
      </c>
      <c r="D21" s="16"/>
      <c r="E21" s="7" t="s">
        <v>72</v>
      </c>
      <c r="F21" s="8" t="s">
        <v>23</v>
      </c>
      <c r="G21" s="8" t="s">
        <v>23</v>
      </c>
      <c r="H21" s="8"/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8" t="s">
        <v>23</v>
      </c>
      <c r="O21" s="8"/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8" t="s">
        <v>23</v>
      </c>
      <c r="V21" s="8"/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/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8" t="s">
        <v>23</v>
      </c>
      <c r="AJ21" s="8"/>
      <c r="AK21" s="5">
        <f t="shared" si="1"/>
        <v>26</v>
      </c>
      <c r="AL21" s="5">
        <f t="shared" si="2"/>
        <v>0</v>
      </c>
    </row>
    <row r="22" spans="1:42" x14ac:dyDescent="0.25">
      <c r="A22" s="9">
        <v>18</v>
      </c>
      <c r="B22" s="8">
        <v>621</v>
      </c>
      <c r="C22" s="17" t="s">
        <v>44</v>
      </c>
      <c r="D22" s="16"/>
      <c r="E22" s="7" t="s">
        <v>72</v>
      </c>
      <c r="F22" s="8" t="s">
        <v>23</v>
      </c>
      <c r="G22" s="8" t="s">
        <v>23</v>
      </c>
      <c r="H22" s="8"/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8" t="s">
        <v>23</v>
      </c>
      <c r="O22" s="8"/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8" t="s">
        <v>23</v>
      </c>
      <c r="V22" s="8"/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/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8" t="s">
        <v>23</v>
      </c>
      <c r="AJ22" s="8"/>
      <c r="AK22" s="5">
        <f t="shared" si="1"/>
        <v>26</v>
      </c>
      <c r="AL22" s="5">
        <f t="shared" si="2"/>
        <v>0</v>
      </c>
    </row>
    <row r="23" spans="1:42" x14ac:dyDescent="0.25">
      <c r="A23" s="6">
        <v>19</v>
      </c>
      <c r="B23" s="8">
        <v>622</v>
      </c>
      <c r="C23" s="17" t="s">
        <v>45</v>
      </c>
      <c r="D23" s="16"/>
      <c r="E23" s="7" t="s">
        <v>72</v>
      </c>
      <c r="F23" s="8" t="s">
        <v>23</v>
      </c>
      <c r="G23" s="8" t="s">
        <v>23</v>
      </c>
      <c r="H23" s="8"/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8" t="s">
        <v>23</v>
      </c>
      <c r="O23" s="8"/>
      <c r="P23" s="8" t="s">
        <v>23</v>
      </c>
      <c r="Q23" s="8" t="s">
        <v>23</v>
      </c>
      <c r="R23" s="8" t="s">
        <v>23</v>
      </c>
      <c r="S23" s="8" t="s">
        <v>23</v>
      </c>
      <c r="T23" s="8" t="s">
        <v>23</v>
      </c>
      <c r="U23" s="8" t="s">
        <v>23</v>
      </c>
      <c r="V23" s="8"/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/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8" t="s">
        <v>23</v>
      </c>
      <c r="AJ23" s="8"/>
      <c r="AK23" s="5">
        <f t="shared" si="1"/>
        <v>26</v>
      </c>
      <c r="AL23" s="5">
        <f t="shared" si="2"/>
        <v>0</v>
      </c>
    </row>
    <row r="24" spans="1:42" x14ac:dyDescent="0.25">
      <c r="A24" s="9">
        <v>20</v>
      </c>
      <c r="B24" s="8">
        <v>623</v>
      </c>
      <c r="C24" s="17" t="s">
        <v>46</v>
      </c>
      <c r="D24" s="16"/>
      <c r="E24" s="7" t="s">
        <v>72</v>
      </c>
      <c r="F24" s="8" t="s">
        <v>23</v>
      </c>
      <c r="G24" s="8" t="s">
        <v>23</v>
      </c>
      <c r="H24" s="8"/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8" t="s">
        <v>23</v>
      </c>
      <c r="O24" s="8"/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8" t="s">
        <v>23</v>
      </c>
      <c r="V24" s="8"/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/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8" t="s">
        <v>23</v>
      </c>
      <c r="AJ24" s="8"/>
      <c r="AK24" s="5">
        <f t="shared" si="1"/>
        <v>26</v>
      </c>
      <c r="AL24" s="5">
        <f t="shared" si="2"/>
        <v>0</v>
      </c>
    </row>
    <row r="25" spans="1:42" x14ac:dyDescent="0.25">
      <c r="A25" s="6">
        <v>21</v>
      </c>
      <c r="B25" s="8">
        <v>624</v>
      </c>
      <c r="C25" s="17" t="s">
        <v>47</v>
      </c>
      <c r="D25" s="16"/>
      <c r="E25" s="7" t="s">
        <v>72</v>
      </c>
      <c r="F25" s="8" t="s">
        <v>23</v>
      </c>
      <c r="G25" s="8" t="s">
        <v>23</v>
      </c>
      <c r="H25" s="8"/>
      <c r="I25" s="8" t="s">
        <v>23</v>
      </c>
      <c r="J25" s="8" t="s">
        <v>23</v>
      </c>
      <c r="K25" s="8" t="s">
        <v>23</v>
      </c>
      <c r="L25" s="8" t="s">
        <v>23</v>
      </c>
      <c r="M25" s="8" t="s">
        <v>23</v>
      </c>
      <c r="N25" s="8" t="s">
        <v>23</v>
      </c>
      <c r="O25" s="8"/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8" t="s">
        <v>23</v>
      </c>
      <c r="V25" s="8"/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/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8" t="s">
        <v>23</v>
      </c>
      <c r="AJ25" s="8"/>
      <c r="AK25" s="5">
        <f t="shared" si="1"/>
        <v>26</v>
      </c>
      <c r="AL25" s="5">
        <f t="shared" si="2"/>
        <v>0</v>
      </c>
    </row>
    <row r="26" spans="1:42" x14ac:dyDescent="0.25">
      <c r="A26" s="9">
        <v>22</v>
      </c>
      <c r="B26" s="8">
        <v>625</v>
      </c>
      <c r="C26" s="17" t="s">
        <v>48</v>
      </c>
      <c r="D26" s="16"/>
      <c r="E26" s="7" t="s">
        <v>72</v>
      </c>
      <c r="F26" s="8" t="s">
        <v>23</v>
      </c>
      <c r="G26" s="8" t="s">
        <v>23</v>
      </c>
      <c r="H26" s="8"/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8" t="s">
        <v>23</v>
      </c>
      <c r="O26" s="8"/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8" t="s">
        <v>23</v>
      </c>
      <c r="V26" s="8"/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/>
      <c r="AD26" s="8" t="s">
        <v>23</v>
      </c>
      <c r="AE26" s="8" t="s">
        <v>23</v>
      </c>
      <c r="AF26" s="8" t="s">
        <v>23</v>
      </c>
      <c r="AG26" s="8" t="s">
        <v>23</v>
      </c>
      <c r="AH26" s="8" t="s">
        <v>23</v>
      </c>
      <c r="AI26" s="8" t="s">
        <v>23</v>
      </c>
      <c r="AJ26" s="8"/>
      <c r="AK26" s="5">
        <f t="shared" si="1"/>
        <v>26</v>
      </c>
      <c r="AL26" s="5">
        <f t="shared" si="2"/>
        <v>0</v>
      </c>
    </row>
    <row r="27" spans="1:42" x14ac:dyDescent="0.25">
      <c r="A27" s="6">
        <v>23</v>
      </c>
      <c r="B27" s="8">
        <v>626</v>
      </c>
      <c r="C27" s="17" t="s">
        <v>49</v>
      </c>
      <c r="D27" s="16"/>
      <c r="E27" s="7" t="s">
        <v>72</v>
      </c>
      <c r="F27" s="8" t="s">
        <v>23</v>
      </c>
      <c r="G27" s="8" t="s">
        <v>23</v>
      </c>
      <c r="H27" s="8"/>
      <c r="I27" s="8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8" t="s">
        <v>23</v>
      </c>
      <c r="O27" s="8"/>
      <c r="P27" s="8" t="s">
        <v>23</v>
      </c>
      <c r="Q27" s="8" t="s">
        <v>23</v>
      </c>
      <c r="R27" s="8" t="s">
        <v>23</v>
      </c>
      <c r="S27" s="8" t="s">
        <v>23</v>
      </c>
      <c r="T27" s="8" t="s">
        <v>23</v>
      </c>
      <c r="U27" s="8" t="s">
        <v>23</v>
      </c>
      <c r="V27" s="8"/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/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8" t="s">
        <v>23</v>
      </c>
      <c r="AJ27" s="8"/>
      <c r="AK27" s="5">
        <f t="shared" si="1"/>
        <v>26</v>
      </c>
      <c r="AL27" s="5">
        <f t="shared" si="2"/>
        <v>0</v>
      </c>
    </row>
    <row r="28" spans="1:42" x14ac:dyDescent="0.25">
      <c r="A28" s="9">
        <v>24</v>
      </c>
      <c r="B28" s="8">
        <v>627</v>
      </c>
      <c r="C28" s="17" t="s">
        <v>50</v>
      </c>
      <c r="D28" s="16"/>
      <c r="E28" s="7" t="s">
        <v>72</v>
      </c>
      <c r="F28" s="8" t="s">
        <v>23</v>
      </c>
      <c r="G28" s="8" t="s">
        <v>23</v>
      </c>
      <c r="H28" s="8"/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8" t="s">
        <v>23</v>
      </c>
      <c r="O28" s="8"/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8" t="s">
        <v>23</v>
      </c>
      <c r="V28" s="8"/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/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8" t="s">
        <v>23</v>
      </c>
      <c r="AJ28" s="8"/>
      <c r="AK28" s="5">
        <f t="shared" si="1"/>
        <v>26</v>
      </c>
      <c r="AL28" s="5">
        <f t="shared" si="2"/>
        <v>0</v>
      </c>
    </row>
    <row r="29" spans="1:42" x14ac:dyDescent="0.25">
      <c r="A29" s="6">
        <v>25</v>
      </c>
      <c r="B29" s="8">
        <v>628</v>
      </c>
      <c r="C29" s="17" t="s">
        <v>51</v>
      </c>
      <c r="D29" s="16"/>
      <c r="E29" s="7" t="s">
        <v>72</v>
      </c>
      <c r="F29" s="8" t="s">
        <v>23</v>
      </c>
      <c r="G29" s="8" t="s">
        <v>23</v>
      </c>
      <c r="H29" s="8"/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8" t="s">
        <v>23</v>
      </c>
      <c r="O29" s="8"/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8" t="s">
        <v>23</v>
      </c>
      <c r="V29" s="8"/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/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8" t="s">
        <v>23</v>
      </c>
      <c r="AJ29" s="8"/>
      <c r="AK29" s="5">
        <f t="shared" si="1"/>
        <v>26</v>
      </c>
      <c r="AL29" s="5">
        <f t="shared" si="2"/>
        <v>0</v>
      </c>
    </row>
    <row r="30" spans="1:42" x14ac:dyDescent="0.25">
      <c r="A30" s="9">
        <v>26</v>
      </c>
      <c r="B30" s="8">
        <v>629</v>
      </c>
      <c r="C30" s="17" t="s">
        <v>52</v>
      </c>
      <c r="D30" s="16"/>
      <c r="E30" s="7" t="s">
        <v>72</v>
      </c>
      <c r="F30" s="8" t="s">
        <v>23</v>
      </c>
      <c r="G30" s="8" t="s">
        <v>23</v>
      </c>
      <c r="H30" s="8"/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8" t="s">
        <v>23</v>
      </c>
      <c r="O30" s="8"/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8" t="s">
        <v>23</v>
      </c>
      <c r="V30" s="8"/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/>
      <c r="AD30" s="8" t="s">
        <v>23</v>
      </c>
      <c r="AE30" s="8" t="s">
        <v>23</v>
      </c>
      <c r="AF30" s="8" t="s">
        <v>23</v>
      </c>
      <c r="AG30" s="8" t="s">
        <v>23</v>
      </c>
      <c r="AH30" s="8" t="s">
        <v>23</v>
      </c>
      <c r="AI30" s="8" t="s">
        <v>23</v>
      </c>
      <c r="AJ30" s="8"/>
      <c r="AK30" s="5">
        <f t="shared" si="1"/>
        <v>26</v>
      </c>
      <c r="AL30" s="5">
        <f t="shared" si="2"/>
        <v>0</v>
      </c>
    </row>
    <row r="31" spans="1:42" x14ac:dyDescent="0.25">
      <c r="A31" s="6">
        <v>27</v>
      </c>
      <c r="B31" s="8">
        <v>630</v>
      </c>
      <c r="C31" s="17" t="s">
        <v>53</v>
      </c>
      <c r="D31" s="16"/>
      <c r="E31" s="7" t="s">
        <v>72</v>
      </c>
      <c r="F31" s="8" t="s">
        <v>23</v>
      </c>
      <c r="G31" s="8" t="s">
        <v>23</v>
      </c>
      <c r="H31" s="8"/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8" t="s">
        <v>23</v>
      </c>
      <c r="O31" s="8"/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8" t="s">
        <v>23</v>
      </c>
      <c r="V31" s="8"/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/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8" t="s">
        <v>23</v>
      </c>
      <c r="AJ31" s="8"/>
      <c r="AK31" s="5">
        <f t="shared" si="1"/>
        <v>26</v>
      </c>
      <c r="AL31" s="5">
        <f t="shared" si="2"/>
        <v>0</v>
      </c>
    </row>
    <row r="32" spans="1:42" x14ac:dyDescent="0.25">
      <c r="A32" s="9">
        <v>28</v>
      </c>
      <c r="B32" s="8">
        <v>631</v>
      </c>
      <c r="C32" s="17" t="s">
        <v>26</v>
      </c>
      <c r="D32" s="16"/>
      <c r="E32" s="7" t="s">
        <v>72</v>
      </c>
      <c r="F32" s="8" t="s">
        <v>23</v>
      </c>
      <c r="G32" s="8" t="s">
        <v>23</v>
      </c>
      <c r="H32" s="8"/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8" t="s">
        <v>23</v>
      </c>
      <c r="O32" s="8"/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8" t="s">
        <v>23</v>
      </c>
      <c r="V32" s="8"/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/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8" t="s">
        <v>23</v>
      </c>
      <c r="AJ32" s="8"/>
      <c r="AK32" s="5">
        <f t="shared" si="1"/>
        <v>26</v>
      </c>
      <c r="AL32" s="5">
        <f t="shared" si="2"/>
        <v>0</v>
      </c>
    </row>
    <row r="33" spans="1:38" x14ac:dyDescent="0.25">
      <c r="A33" s="6">
        <v>29</v>
      </c>
      <c r="B33" s="8">
        <v>632</v>
      </c>
      <c r="C33" s="17" t="s">
        <v>54</v>
      </c>
      <c r="D33" s="16"/>
      <c r="E33" s="7" t="s">
        <v>72</v>
      </c>
      <c r="F33" s="8" t="s">
        <v>23</v>
      </c>
      <c r="G33" s="8" t="s">
        <v>23</v>
      </c>
      <c r="H33" s="8"/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8" t="s">
        <v>23</v>
      </c>
      <c r="O33" s="8"/>
      <c r="P33" s="8" t="s">
        <v>23</v>
      </c>
      <c r="Q33" s="8" t="s">
        <v>23</v>
      </c>
      <c r="R33" s="8" t="s">
        <v>23</v>
      </c>
      <c r="S33" s="8" t="s">
        <v>23</v>
      </c>
      <c r="T33" s="8" t="s">
        <v>23</v>
      </c>
      <c r="U33" s="8" t="s">
        <v>23</v>
      </c>
      <c r="V33" s="8"/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/>
      <c r="AD33" s="8" t="s">
        <v>23</v>
      </c>
      <c r="AE33" s="8" t="s">
        <v>23</v>
      </c>
      <c r="AF33" s="8" t="s">
        <v>23</v>
      </c>
      <c r="AG33" s="8" t="s">
        <v>23</v>
      </c>
      <c r="AH33" s="8" t="s">
        <v>23</v>
      </c>
      <c r="AI33" s="8" t="s">
        <v>23</v>
      </c>
      <c r="AJ33" s="8"/>
      <c r="AK33" s="5">
        <f t="shared" si="1"/>
        <v>26</v>
      </c>
      <c r="AL33" s="5">
        <f t="shared" si="2"/>
        <v>0</v>
      </c>
    </row>
    <row r="34" spans="1:38" x14ac:dyDescent="0.25">
      <c r="A34" s="9">
        <v>30</v>
      </c>
      <c r="B34" s="8">
        <v>481</v>
      </c>
      <c r="C34" s="15" t="s">
        <v>55</v>
      </c>
      <c r="D34" s="16"/>
      <c r="E34" s="7" t="s">
        <v>72</v>
      </c>
      <c r="F34" s="8" t="s">
        <v>23</v>
      </c>
      <c r="G34" s="8" t="s">
        <v>23</v>
      </c>
      <c r="H34" s="8"/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8" t="s">
        <v>23</v>
      </c>
      <c r="O34" s="8"/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8" t="s">
        <v>23</v>
      </c>
      <c r="V34" s="8"/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/>
      <c r="AD34" s="8" t="s">
        <v>23</v>
      </c>
      <c r="AE34" s="8" t="s">
        <v>23</v>
      </c>
      <c r="AF34" s="8" t="s">
        <v>23</v>
      </c>
      <c r="AG34" s="8" t="s">
        <v>23</v>
      </c>
      <c r="AH34" s="8" t="s">
        <v>23</v>
      </c>
      <c r="AI34" s="8" t="s">
        <v>23</v>
      </c>
      <c r="AJ34" s="8"/>
      <c r="AK34" s="5">
        <f t="shared" si="1"/>
        <v>26</v>
      </c>
      <c r="AL34" s="5">
        <f t="shared" si="2"/>
        <v>0</v>
      </c>
    </row>
    <row r="35" spans="1:38" x14ac:dyDescent="0.25">
      <c r="A35" s="6">
        <v>31</v>
      </c>
      <c r="B35" s="8">
        <v>482</v>
      </c>
      <c r="C35" s="17" t="s">
        <v>56</v>
      </c>
      <c r="D35" s="16"/>
      <c r="E35" s="7" t="s">
        <v>72</v>
      </c>
      <c r="F35" s="8" t="s">
        <v>23</v>
      </c>
      <c r="G35" s="8" t="s">
        <v>23</v>
      </c>
      <c r="H35" s="8"/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8" t="s">
        <v>23</v>
      </c>
      <c r="O35" s="8"/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8" t="s">
        <v>23</v>
      </c>
      <c r="V35" s="8"/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/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8" t="s">
        <v>23</v>
      </c>
      <c r="AJ35" s="8"/>
      <c r="AK35" s="5">
        <f t="shared" si="1"/>
        <v>26</v>
      </c>
      <c r="AL35" s="5">
        <f t="shared" si="2"/>
        <v>0</v>
      </c>
    </row>
    <row r="36" spans="1:38" x14ac:dyDescent="0.25">
      <c r="A36" s="9">
        <v>32</v>
      </c>
      <c r="B36" s="8">
        <v>483</v>
      </c>
      <c r="C36" s="17" t="s">
        <v>57</v>
      </c>
      <c r="D36" s="16"/>
      <c r="E36" s="7" t="s">
        <v>72</v>
      </c>
      <c r="F36" s="8" t="s">
        <v>23</v>
      </c>
      <c r="G36" s="8" t="s">
        <v>23</v>
      </c>
      <c r="H36" s="8"/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8" t="s">
        <v>23</v>
      </c>
      <c r="O36" s="8"/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8" t="s">
        <v>23</v>
      </c>
      <c r="V36" s="8"/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/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8" t="s">
        <v>23</v>
      </c>
      <c r="AJ36" s="8"/>
      <c r="AK36" s="5">
        <f t="shared" si="1"/>
        <v>26</v>
      </c>
      <c r="AL36" s="5">
        <f t="shared" si="2"/>
        <v>0</v>
      </c>
    </row>
    <row r="37" spans="1:38" x14ac:dyDescent="0.25">
      <c r="A37" s="6">
        <v>33</v>
      </c>
      <c r="B37" s="8">
        <v>484</v>
      </c>
      <c r="C37" s="17" t="s">
        <v>58</v>
      </c>
      <c r="D37" s="16"/>
      <c r="E37" s="7" t="s">
        <v>72</v>
      </c>
      <c r="F37" s="8" t="s">
        <v>23</v>
      </c>
      <c r="G37" s="8" t="s">
        <v>23</v>
      </c>
      <c r="H37" s="8"/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8" t="s">
        <v>23</v>
      </c>
      <c r="O37" s="8"/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8" t="s">
        <v>23</v>
      </c>
      <c r="V37" s="8"/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/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8" t="s">
        <v>23</v>
      </c>
      <c r="AJ37" s="8"/>
      <c r="AK37" s="5">
        <f t="shared" si="1"/>
        <v>26</v>
      </c>
      <c r="AL37" s="5">
        <f t="shared" si="2"/>
        <v>0</v>
      </c>
    </row>
    <row r="38" spans="1:38" x14ac:dyDescent="0.25">
      <c r="A38" s="9">
        <v>34</v>
      </c>
      <c r="B38" s="8">
        <v>485</v>
      </c>
      <c r="C38" s="17" t="s">
        <v>59</v>
      </c>
      <c r="D38" s="16"/>
      <c r="E38" s="7" t="s">
        <v>72</v>
      </c>
      <c r="F38" s="8" t="s">
        <v>23</v>
      </c>
      <c r="G38" s="8" t="s">
        <v>23</v>
      </c>
      <c r="H38" s="8"/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8" t="s">
        <v>23</v>
      </c>
      <c r="O38" s="8"/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8" t="s">
        <v>23</v>
      </c>
      <c r="V38" s="8"/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/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8" t="s">
        <v>23</v>
      </c>
      <c r="AJ38" s="8"/>
      <c r="AK38" s="5">
        <f t="shared" si="1"/>
        <v>26</v>
      </c>
      <c r="AL38" s="5">
        <f t="shared" si="2"/>
        <v>0</v>
      </c>
    </row>
    <row r="39" spans="1:38" x14ac:dyDescent="0.25">
      <c r="A39" s="6">
        <v>35</v>
      </c>
      <c r="B39" s="8">
        <v>486</v>
      </c>
      <c r="C39" s="17" t="s">
        <v>60</v>
      </c>
      <c r="D39" s="16"/>
      <c r="E39" s="7" t="s">
        <v>72</v>
      </c>
      <c r="F39" s="8" t="s">
        <v>23</v>
      </c>
      <c r="G39" s="8" t="s">
        <v>23</v>
      </c>
      <c r="H39" s="8"/>
      <c r="I39" s="8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8" t="s">
        <v>23</v>
      </c>
      <c r="O39" s="8"/>
      <c r="P39" s="8" t="s">
        <v>23</v>
      </c>
      <c r="Q39" s="8" t="s">
        <v>23</v>
      </c>
      <c r="R39" s="8" t="s">
        <v>23</v>
      </c>
      <c r="S39" s="8" t="s">
        <v>23</v>
      </c>
      <c r="T39" s="8" t="s">
        <v>23</v>
      </c>
      <c r="U39" s="8" t="s">
        <v>23</v>
      </c>
      <c r="V39" s="8"/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/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8" t="s">
        <v>23</v>
      </c>
      <c r="AJ39" s="8"/>
      <c r="AK39" s="5">
        <f t="shared" si="1"/>
        <v>26</v>
      </c>
      <c r="AL39" s="5">
        <f t="shared" si="2"/>
        <v>0</v>
      </c>
    </row>
    <row r="40" spans="1:38" x14ac:dyDescent="0.25">
      <c r="A40" s="9">
        <v>36</v>
      </c>
      <c r="B40" s="8">
        <v>487</v>
      </c>
      <c r="C40" s="17" t="s">
        <v>61</v>
      </c>
      <c r="D40" s="16"/>
      <c r="E40" s="7" t="s">
        <v>72</v>
      </c>
      <c r="F40" s="8" t="s">
        <v>23</v>
      </c>
      <c r="G40" s="8" t="s">
        <v>23</v>
      </c>
      <c r="H40" s="8"/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8" t="s">
        <v>23</v>
      </c>
      <c r="O40" s="8"/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8" t="s">
        <v>23</v>
      </c>
      <c r="V40" s="8"/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/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8" t="s">
        <v>23</v>
      </c>
      <c r="AJ40" s="8"/>
      <c r="AK40" s="5">
        <f t="shared" si="1"/>
        <v>26</v>
      </c>
      <c r="AL40" s="5">
        <f t="shared" si="2"/>
        <v>0</v>
      </c>
    </row>
    <row r="41" spans="1:38" x14ac:dyDescent="0.25">
      <c r="A41" s="6">
        <v>37</v>
      </c>
      <c r="B41" s="8">
        <v>488</v>
      </c>
      <c r="C41" s="17" t="s">
        <v>62</v>
      </c>
      <c r="D41" s="16"/>
      <c r="E41" s="7" t="s">
        <v>72</v>
      </c>
      <c r="F41" s="8" t="s">
        <v>23</v>
      </c>
      <c r="G41" s="8" t="s">
        <v>23</v>
      </c>
      <c r="H41" s="8"/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8" t="s">
        <v>23</v>
      </c>
      <c r="O41" s="8"/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8" t="s">
        <v>23</v>
      </c>
      <c r="V41" s="8"/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/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8" t="s">
        <v>23</v>
      </c>
      <c r="AJ41" s="8"/>
      <c r="AK41" s="5">
        <f t="shared" si="1"/>
        <v>26</v>
      </c>
      <c r="AL41" s="5">
        <f t="shared" si="2"/>
        <v>0</v>
      </c>
    </row>
    <row r="42" spans="1:38" x14ac:dyDescent="0.25">
      <c r="A42" s="9">
        <v>38</v>
      </c>
      <c r="B42" s="8">
        <v>489</v>
      </c>
      <c r="C42" s="17" t="s">
        <v>63</v>
      </c>
      <c r="D42" s="16"/>
      <c r="E42" s="7" t="s">
        <v>72</v>
      </c>
      <c r="F42" s="8" t="s">
        <v>23</v>
      </c>
      <c r="G42" s="8" t="s">
        <v>23</v>
      </c>
      <c r="H42" s="8"/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8" t="s">
        <v>23</v>
      </c>
      <c r="O42" s="8"/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8" t="s">
        <v>23</v>
      </c>
      <c r="V42" s="8"/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/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8" t="s">
        <v>23</v>
      </c>
      <c r="AJ42" s="8"/>
      <c r="AK42" s="5">
        <f t="shared" si="1"/>
        <v>26</v>
      </c>
      <c r="AL42" s="5">
        <f t="shared" si="2"/>
        <v>0</v>
      </c>
    </row>
    <row r="43" spans="1:38" x14ac:dyDescent="0.25">
      <c r="A43" s="6">
        <v>39</v>
      </c>
      <c r="B43" s="8">
        <v>490</v>
      </c>
      <c r="C43" s="15" t="s">
        <v>64</v>
      </c>
      <c r="D43" s="16"/>
      <c r="E43" s="7" t="s">
        <v>72</v>
      </c>
      <c r="F43" s="8" t="s">
        <v>23</v>
      </c>
      <c r="G43" s="8" t="s">
        <v>23</v>
      </c>
      <c r="H43" s="8"/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8" t="s">
        <v>23</v>
      </c>
      <c r="O43" s="8"/>
      <c r="P43" s="8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8"/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/>
      <c r="AD43" s="8" t="s">
        <v>23</v>
      </c>
      <c r="AE43" s="8" t="s">
        <v>23</v>
      </c>
      <c r="AF43" s="8" t="s">
        <v>23</v>
      </c>
      <c r="AG43" s="8" t="s">
        <v>23</v>
      </c>
      <c r="AH43" s="8" t="s">
        <v>23</v>
      </c>
      <c r="AI43" s="8" t="s">
        <v>23</v>
      </c>
      <c r="AJ43" s="8"/>
      <c r="AK43" s="5">
        <f t="shared" si="1"/>
        <v>26</v>
      </c>
      <c r="AL43" s="5">
        <f t="shared" si="2"/>
        <v>0</v>
      </c>
    </row>
    <row r="44" spans="1:38" x14ac:dyDescent="0.25">
      <c r="A44" s="9">
        <v>40</v>
      </c>
      <c r="B44" s="8">
        <v>491</v>
      </c>
      <c r="C44" s="15" t="s">
        <v>24</v>
      </c>
      <c r="D44" s="16"/>
      <c r="E44" s="7" t="s">
        <v>72</v>
      </c>
      <c r="F44" s="8" t="s">
        <v>23</v>
      </c>
      <c r="G44" s="8" t="s">
        <v>23</v>
      </c>
      <c r="H44" s="8"/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8" t="s">
        <v>23</v>
      </c>
      <c r="O44" s="8"/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8"/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/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8" t="s">
        <v>23</v>
      </c>
      <c r="AJ44" s="8"/>
      <c r="AK44" s="5">
        <f t="shared" si="1"/>
        <v>26</v>
      </c>
      <c r="AL44" s="5">
        <f t="shared" si="2"/>
        <v>0</v>
      </c>
    </row>
    <row r="45" spans="1:38" x14ac:dyDescent="0.25">
      <c r="A45" s="6">
        <v>41</v>
      </c>
      <c r="B45" s="8">
        <v>492</v>
      </c>
      <c r="C45" s="15" t="s">
        <v>25</v>
      </c>
      <c r="D45" s="16"/>
      <c r="E45" s="7" t="s">
        <v>72</v>
      </c>
      <c r="F45" s="8" t="s">
        <v>23</v>
      </c>
      <c r="G45" s="8" t="s">
        <v>23</v>
      </c>
      <c r="H45" s="8"/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8" t="s">
        <v>23</v>
      </c>
      <c r="O45" s="8"/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8" t="s">
        <v>23</v>
      </c>
      <c r="V45" s="8"/>
      <c r="W45" s="8" t="s">
        <v>23</v>
      </c>
      <c r="X45" s="8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/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8" t="s">
        <v>23</v>
      </c>
      <c r="AJ45" s="8"/>
      <c r="AK45" s="5">
        <f t="shared" si="1"/>
        <v>26</v>
      </c>
      <c r="AL45" s="5">
        <f t="shared" si="2"/>
        <v>0</v>
      </c>
    </row>
    <row r="46" spans="1:38" x14ac:dyDescent="0.25">
      <c r="A46" s="9">
        <v>42</v>
      </c>
      <c r="B46" s="8">
        <v>493</v>
      </c>
      <c r="C46" s="15" t="s">
        <v>65</v>
      </c>
      <c r="D46" s="16"/>
      <c r="E46" s="7" t="s">
        <v>72</v>
      </c>
      <c r="F46" s="8" t="s">
        <v>23</v>
      </c>
      <c r="G46" s="8" t="s">
        <v>23</v>
      </c>
      <c r="H46" s="8"/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8" t="s">
        <v>23</v>
      </c>
      <c r="O46" s="8"/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8" t="s">
        <v>23</v>
      </c>
      <c r="V46" s="8"/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/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8" t="s">
        <v>23</v>
      </c>
      <c r="AJ46" s="8"/>
      <c r="AK46" s="5">
        <f t="shared" si="1"/>
        <v>26</v>
      </c>
      <c r="AL46" s="5">
        <f t="shared" si="2"/>
        <v>0</v>
      </c>
    </row>
    <row r="47" spans="1:38" x14ac:dyDescent="0.25">
      <c r="A47" s="6">
        <v>43</v>
      </c>
      <c r="B47" s="8">
        <v>494</v>
      </c>
      <c r="C47" s="15" t="s">
        <v>66</v>
      </c>
      <c r="D47" s="16"/>
      <c r="E47" s="7" t="s">
        <v>72</v>
      </c>
      <c r="F47" s="8" t="s">
        <v>23</v>
      </c>
      <c r="G47" s="8" t="s">
        <v>23</v>
      </c>
      <c r="H47" s="8"/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8" t="s">
        <v>23</v>
      </c>
      <c r="O47" s="8"/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8" t="s">
        <v>23</v>
      </c>
      <c r="V47" s="8"/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8" t="s">
        <v>23</v>
      </c>
      <c r="AC47" s="8"/>
      <c r="AD47" s="8" t="s">
        <v>23</v>
      </c>
      <c r="AE47" s="8" t="s">
        <v>23</v>
      </c>
      <c r="AF47" s="8" t="s">
        <v>23</v>
      </c>
      <c r="AG47" s="8" t="s">
        <v>23</v>
      </c>
      <c r="AH47" s="8" t="s">
        <v>23</v>
      </c>
      <c r="AI47" s="8" t="s">
        <v>23</v>
      </c>
      <c r="AJ47" s="8"/>
      <c r="AK47" s="5">
        <f t="shared" si="1"/>
        <v>26</v>
      </c>
      <c r="AL47" s="5">
        <f t="shared" si="2"/>
        <v>0</v>
      </c>
    </row>
    <row r="48" spans="1:38" x14ac:dyDescent="0.25">
      <c r="A48" s="9">
        <v>44</v>
      </c>
      <c r="B48" s="8">
        <v>495</v>
      </c>
      <c r="C48" s="15" t="s">
        <v>67</v>
      </c>
      <c r="D48" s="16"/>
      <c r="E48" s="7" t="s">
        <v>72</v>
      </c>
      <c r="F48" s="8" t="s">
        <v>23</v>
      </c>
      <c r="G48" s="8" t="s">
        <v>23</v>
      </c>
      <c r="H48" s="8"/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8" t="s">
        <v>23</v>
      </c>
      <c r="O48" s="8"/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8" t="s">
        <v>23</v>
      </c>
      <c r="V48" s="8"/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8" t="s">
        <v>23</v>
      </c>
      <c r="AC48" s="8"/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8" t="s">
        <v>23</v>
      </c>
      <c r="AJ48" s="8"/>
      <c r="AK48" s="5">
        <f t="shared" si="1"/>
        <v>26</v>
      </c>
      <c r="AL48" s="5">
        <f t="shared" si="2"/>
        <v>0</v>
      </c>
    </row>
    <row r="49" spans="1:38" x14ac:dyDescent="0.25">
      <c r="A49" s="6">
        <v>45</v>
      </c>
      <c r="B49" s="8">
        <v>496</v>
      </c>
      <c r="C49" s="15" t="s">
        <v>68</v>
      </c>
      <c r="D49" s="16"/>
      <c r="E49" s="7" t="s">
        <v>72</v>
      </c>
      <c r="F49" s="8" t="s">
        <v>23</v>
      </c>
      <c r="G49" s="8" t="s">
        <v>23</v>
      </c>
      <c r="H49" s="8"/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8" t="s">
        <v>23</v>
      </c>
      <c r="O49" s="8"/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8" t="s">
        <v>23</v>
      </c>
      <c r="V49" s="8"/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8" t="s">
        <v>23</v>
      </c>
      <c r="AC49" s="8"/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8" t="s">
        <v>23</v>
      </c>
      <c r="AJ49" s="8"/>
      <c r="AK49" s="5">
        <f t="shared" si="1"/>
        <v>26</v>
      </c>
      <c r="AL49" s="5">
        <f t="shared" si="2"/>
        <v>0</v>
      </c>
    </row>
    <row r="50" spans="1:38" x14ac:dyDescent="0.25">
      <c r="A50" s="9">
        <v>46</v>
      </c>
      <c r="B50" s="8">
        <v>497</v>
      </c>
      <c r="C50" s="15" t="s">
        <v>69</v>
      </c>
      <c r="D50" s="16"/>
      <c r="E50" s="7" t="s">
        <v>72</v>
      </c>
      <c r="F50" s="8" t="s">
        <v>23</v>
      </c>
      <c r="G50" s="8" t="s">
        <v>23</v>
      </c>
      <c r="H50" s="8"/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8" t="s">
        <v>23</v>
      </c>
      <c r="O50" s="8"/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8" t="s">
        <v>23</v>
      </c>
      <c r="V50" s="8"/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8" t="s">
        <v>23</v>
      </c>
      <c r="AC50" s="8"/>
      <c r="AD50" s="8" t="s">
        <v>23</v>
      </c>
      <c r="AE50" s="8" t="s">
        <v>23</v>
      </c>
      <c r="AF50" s="8" t="s">
        <v>23</v>
      </c>
      <c r="AG50" s="8" t="s">
        <v>23</v>
      </c>
      <c r="AH50" s="8" t="s">
        <v>23</v>
      </c>
      <c r="AI50" s="8" t="s">
        <v>23</v>
      </c>
      <c r="AJ50" s="8"/>
      <c r="AK50" s="5">
        <f t="shared" si="1"/>
        <v>26</v>
      </c>
      <c r="AL50" s="5">
        <f t="shared" si="2"/>
        <v>0</v>
      </c>
    </row>
    <row r="51" spans="1:38" x14ac:dyDescent="0.25">
      <c r="A51" s="6">
        <v>47</v>
      </c>
      <c r="B51" s="8">
        <v>498</v>
      </c>
      <c r="C51" s="15" t="s">
        <v>70</v>
      </c>
      <c r="D51" s="16"/>
      <c r="E51" s="7" t="s">
        <v>72</v>
      </c>
      <c r="F51" s="8" t="s">
        <v>23</v>
      </c>
      <c r="G51" s="8" t="s">
        <v>23</v>
      </c>
      <c r="H51" s="8"/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8" t="s">
        <v>23</v>
      </c>
      <c r="O51" s="8"/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8" t="s">
        <v>23</v>
      </c>
      <c r="V51" s="8"/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8" t="s">
        <v>23</v>
      </c>
      <c r="AC51" s="8"/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8" t="s">
        <v>23</v>
      </c>
      <c r="AJ51" s="8"/>
      <c r="AK51" s="5">
        <f t="shared" si="1"/>
        <v>26</v>
      </c>
      <c r="AL51" s="5">
        <f t="shared" si="2"/>
        <v>0</v>
      </c>
    </row>
    <row r="52" spans="1:38" x14ac:dyDescent="0.25">
      <c r="A52" s="9">
        <v>48</v>
      </c>
      <c r="B52" s="8">
        <v>499</v>
      </c>
      <c r="C52" s="15" t="s">
        <v>71</v>
      </c>
      <c r="D52" s="16"/>
      <c r="E52" s="7" t="s">
        <v>72</v>
      </c>
      <c r="F52" s="8" t="s">
        <v>23</v>
      </c>
      <c r="G52" s="8" t="s">
        <v>23</v>
      </c>
      <c r="H52" s="8"/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8" t="s">
        <v>23</v>
      </c>
      <c r="O52" s="8"/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8" t="s">
        <v>23</v>
      </c>
      <c r="V52" s="8"/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8" t="s">
        <v>23</v>
      </c>
      <c r="AC52" s="8"/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8" t="s">
        <v>23</v>
      </c>
      <c r="AJ52" s="8"/>
      <c r="AK52" s="5">
        <f t="shared" si="1"/>
        <v>26</v>
      </c>
      <c r="AL52" s="5">
        <f t="shared" si="2"/>
        <v>0</v>
      </c>
    </row>
  </sheetData>
  <mergeCells count="12">
    <mergeCell ref="AM8:AP8"/>
    <mergeCell ref="AM16:AP16"/>
    <mergeCell ref="A2:AL2"/>
    <mergeCell ref="A1:AL1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21">
    <cfRule type="duplicateValues" dxfId="11" priority="28"/>
  </conditionalFormatting>
  <conditionalFormatting sqref="F3:AJ52 AM4:AN4">
    <cfRule type="expression" dxfId="10" priority="16">
      <formula>F$3="Sun"</formula>
    </cfRule>
  </conditionalFormatting>
  <conditionalFormatting sqref="F4:AJ52">
    <cfRule type="expression" dxfId="9" priority="15">
      <formula>IF(F$4=TODAY(),TRUE,FALSE)</formula>
    </cfRule>
  </conditionalFormatting>
  <conditionalFormatting sqref="F5:AJ52">
    <cfRule type="cellIs" dxfId="8" priority="1" operator="equal">
      <formula>"L"</formula>
    </cfRule>
    <cfRule type="cellIs" dxfId="7" priority="2" operator="equal">
      <formula>"A"</formula>
    </cfRule>
    <cfRule type="cellIs" dxfId="6" priority="3" operator="equal">
      <formula>"P"</formula>
    </cfRule>
  </conditionalFormatting>
  <conditionalFormatting sqref="AK3:AL3 AK5:AL52">
    <cfRule type="expression" dxfId="5" priority="17">
      <formula>#REF!="Sun"</formula>
    </cfRule>
  </conditionalFormatting>
  <conditionalFormatting sqref="AM5:AM6">
    <cfRule type="expression" dxfId="4" priority="13">
      <formula>AM$3="Sun"</formula>
    </cfRule>
  </conditionalFormatting>
  <conditionalFormatting sqref="AM9:AM12">
    <cfRule type="expression" dxfId="3" priority="7">
      <formula>AM$3="Sun"</formula>
    </cfRule>
  </conditionalFormatting>
  <conditionalFormatting sqref="AM17:AM20">
    <cfRule type="expression" dxfId="2" priority="6">
      <formula>AM$3="Sun"</formula>
    </cfRule>
  </conditionalFormatting>
  <conditionalFormatting sqref="AN9:AP9">
    <cfRule type="expression" dxfId="1" priority="8">
      <formula>AN$3="Sun"</formula>
    </cfRule>
  </conditionalFormatting>
  <conditionalFormatting sqref="AN17:AP17">
    <cfRule type="expression" dxfId="0" priority="5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2024-12-13T07:36:52Z</dcterms:modified>
</cp:coreProperties>
</file>