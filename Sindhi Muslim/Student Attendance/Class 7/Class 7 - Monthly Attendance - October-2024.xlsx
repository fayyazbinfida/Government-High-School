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7\"/>
    </mc:Choice>
  </mc:AlternateContent>
  <xr:revisionPtr revIDLastSave="0" documentId="13_ncr:1_{373DCB00-7B9F-4335-ADD2-7B1329523A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-IV (Boys)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7" l="1"/>
  <c r="AJ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K50" i="7"/>
  <c r="AL50" i="7"/>
  <c r="AK51" i="7"/>
  <c r="AL51" i="7"/>
  <c r="AK52" i="7"/>
  <c r="AL52" i="7"/>
  <c r="AL21" i="7"/>
  <c r="AK21" i="7"/>
  <c r="AL20" i="7"/>
  <c r="AK20" i="7"/>
  <c r="AL19" i="7"/>
  <c r="AK19" i="7"/>
  <c r="AO18" i="7"/>
  <c r="AN18" i="7"/>
  <c r="AL18" i="7"/>
  <c r="AK18" i="7"/>
  <c r="AL17" i="7"/>
  <c r="AK17" i="7"/>
  <c r="AL16" i="7"/>
  <c r="AK16" i="7"/>
  <c r="AL15" i="7"/>
  <c r="AK15" i="7"/>
  <c r="AL14" i="7"/>
  <c r="AK14" i="7"/>
  <c r="AL13" i="7"/>
  <c r="AK13" i="7"/>
  <c r="AL12" i="7"/>
  <c r="AK12" i="7"/>
  <c r="AL11" i="7"/>
  <c r="AK11" i="7"/>
  <c r="AO10" i="7"/>
  <c r="AN10" i="7"/>
  <c r="AL10" i="7"/>
  <c r="AK10" i="7"/>
  <c r="AL9" i="7"/>
  <c r="AK9" i="7"/>
  <c r="AL8" i="7"/>
  <c r="AK8" i="7"/>
  <c r="AL7" i="7"/>
  <c r="AK7" i="7"/>
  <c r="AL6" i="7"/>
  <c r="AK6" i="7"/>
  <c r="AL5" i="7"/>
  <c r="AK5" i="7"/>
  <c r="F3" i="7"/>
  <c r="AN11" i="7" l="1"/>
  <c r="AN19" i="7" s="1"/>
  <c r="AO11" i="7"/>
  <c r="AO12" i="7" s="1"/>
  <c r="AP10" i="7"/>
  <c r="AP18" i="7"/>
  <c r="AN12" i="7" l="1"/>
  <c r="AO19" i="7"/>
  <c r="AO20" i="7" s="1"/>
  <c r="AN20" i="7"/>
  <c r="AP11" i="7"/>
  <c r="AP12" i="7" s="1"/>
  <c r="AP19" i="7" l="1"/>
  <c r="AP20" i="7" s="1"/>
</calcChain>
</file>

<file path=xl/sharedStrings.xml><?xml version="1.0" encoding="utf-8"?>
<sst xmlns="http://schemas.openxmlformats.org/spreadsheetml/2006/main" count="1422" uniqueCount="73">
  <si>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</si>
  <si>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</si>
  <si>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</si>
  <si>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</si>
  <si>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</si>
  <si>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</si>
  <si>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</si>
  <si>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</si>
  <si>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</si>
  <si>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</si>
  <si>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</si>
  <si>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</si>
  <si>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</si>
  <si>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</si>
  <si>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</si>
  <si>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</si>
  <si>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</si>
  <si>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</si>
  <si>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</si>
  <si>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</si>
  <si>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</si>
  <si>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</si>
  <si>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</si>
  <si>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</si>
  <si>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Laraib</t>
  </si>
  <si>
    <t>Maheen</t>
  </si>
  <si>
    <t>Sohail Ahmed</t>
  </si>
  <si>
    <t>Abdullah</t>
  </si>
  <si>
    <t>Adil</t>
  </si>
  <si>
    <t>Ali Khan</t>
  </si>
  <si>
    <t>Ameer Hamza</t>
  </si>
  <si>
    <t>Bismillah Khan</t>
  </si>
  <si>
    <t>Danish</t>
  </si>
  <si>
    <t>Daniyal</t>
  </si>
  <si>
    <t>Hamza Nisar</t>
  </si>
  <si>
    <t>Haseeeb Haidar</t>
  </si>
  <si>
    <t>Hasnain G. Nabi</t>
  </si>
  <si>
    <t>Hasnain Ali Soomro</t>
  </si>
  <si>
    <t>Hasnain Raza</t>
  </si>
  <si>
    <t>Hasnain Yasir</t>
  </si>
  <si>
    <t>Hassan Mumtaz Ali</t>
  </si>
  <si>
    <t>Irfan Ali</t>
  </si>
  <si>
    <t>Mubashir Qadri</t>
  </si>
  <si>
    <t xml:space="preserve">Muzamil </t>
  </si>
  <si>
    <t>M. Anwar</t>
  </si>
  <si>
    <t>M. Hassan</t>
  </si>
  <si>
    <t>M. Mairaj</t>
  </si>
  <si>
    <t>M. Mudasir</t>
  </si>
  <si>
    <t>M. Raza</t>
  </si>
  <si>
    <t>M. Usman</t>
  </si>
  <si>
    <t>Nisar Ali</t>
  </si>
  <si>
    <t>Rizwan Arbab</t>
  </si>
  <si>
    <t>Rizwan Razique</t>
  </si>
  <si>
    <t>Safiullah Hafeez</t>
  </si>
  <si>
    <t>Zahid Hussain</t>
  </si>
  <si>
    <t>Asma</t>
  </si>
  <si>
    <t>Aiman Khan</t>
  </si>
  <si>
    <t>Aiman Safdar Ali</t>
  </si>
  <si>
    <t>Aqsa</t>
  </si>
  <si>
    <t>Ayesha</t>
  </si>
  <si>
    <t>Bushra Ubaid</t>
  </si>
  <si>
    <t>Erum</t>
  </si>
  <si>
    <t>Fatima Zahra</t>
  </si>
  <si>
    <t>Fiza</t>
  </si>
  <si>
    <t>Hira Abroo</t>
  </si>
  <si>
    <t>Muskan</t>
  </si>
  <si>
    <t>Muniza Ali Sher</t>
  </si>
  <si>
    <t>Rimsha Khatoon</t>
  </si>
  <si>
    <t>Sadaf</t>
  </si>
  <si>
    <t>Sania</t>
  </si>
  <si>
    <t>Seema Zulfiqaar</t>
  </si>
  <si>
    <t>Tamanna</t>
  </si>
  <si>
    <t>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</si>
</sst>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P52"/>
  <sheetViews>
    <sheetView tabSelected="1" workbookViewId="0">
      <selection activeCell="AF5" sqref="AF5:AF5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3.7109375" style="1" bestFit="1" customWidth="1"/>
    <col min="8" max="22" width="3.7109375" style="1" customWidth="1"/>
    <col min="23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 customWidth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4.7109375" style="1" customWidth="1"/>
    <col min="36" max="36" width="3.855468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ht="17.25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42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3" t="s">
        <v>5</v>
      </c>
      <c r="AL3" s="23" t="s">
        <v>6</v>
      </c>
      <c r="AM3" s="18" t="s">
        <v>20</v>
      </c>
      <c r="AN3" s="19"/>
      <c r="AO3" s="3"/>
      <c r="AP3" s="3"/>
    </row>
    <row r="4" spans="1:42" ht="34.5" x14ac:dyDescent="0.25">
      <c r="A4" s="25"/>
      <c r="B4" s="25"/>
      <c r="C4" s="25"/>
      <c r="D4" s="25"/>
      <c r="E4" s="25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23"/>
      <c r="AL4" s="23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8">
        <v>604</v>
      </c>
      <c r="C5" s="17" t="s">
        <v>27</v>
      </c>
      <c r="D5" s="16"/>
      <c r="E5" s="7" t="s">
        <v>72</v>
      </c>
      <c r="F5" s="8" t="s">
        <v>23</v>
      </c>
      <c r="G5" s="8" t="s">
        <v>23</v>
      </c>
      <c r="H5" s="8" t="s">
        <v>23</v>
      </c>
      <c r="I5" s="8" t="s">
        <v>23</v>
      </c>
      <c r="J5" s="8" t="s">
        <v>23</v>
      </c>
      <c r="K5" s="8"/>
      <c r="L5" s="8" t="s">
        <v>23</v>
      </c>
      <c r="M5" s="8" t="s">
        <v>23</v>
      </c>
      <c r="N5" s="8" t="s">
        <v>23</v>
      </c>
      <c r="O5" s="8" t="s">
        <v>23</v>
      </c>
      <c r="P5" s="8" t="s">
        <v>23</v>
      </c>
      <c r="Q5" s="8" t="s">
        <v>23</v>
      </c>
      <c r="R5" s="8"/>
      <c r="S5" s="8" t="s">
        <v>23</v>
      </c>
      <c r="T5" s="8" t="s">
        <v>23</v>
      </c>
      <c r="U5" s="8" t="s">
        <v>23</v>
      </c>
      <c r="V5" s="8" t="s">
        <v>23</v>
      </c>
      <c r="W5" s="8" t="s">
        <v>23</v>
      </c>
      <c r="X5" s="8" t="s">
        <v>23</v>
      </c>
      <c r="Y5" s="8"/>
      <c r="Z5" s="8" t="s">
        <v>23</v>
      </c>
      <c r="AA5" s="8" t="s">
        <v>23</v>
      </c>
      <c r="AB5" s="8" t="s">
        <v>23</v>
      </c>
      <c r="AC5" s="8" t="s">
        <v>23</v>
      </c>
      <c r="AD5" s="8" t="s">
        <v>23</v>
      </c>
      <c r="AE5" s="8" t="s">
        <v>23</v>
      </c>
      <c r="AF5" s="8"/>
      <c r="AG5" s="8" t="s">
        <v>23</v>
      </c>
      <c r="AH5" s="8" t="s">
        <v>23</v>
      </c>
      <c r="AI5" s="8" t="s">
        <v>23</v>
      </c>
      <c r="AJ5" s="8" t="s">
        <v>23</v>
      </c>
      <c r="AK5" s="5">
        <f>COUNTIF(F5:AJ5,"P")</f>
        <v>27</v>
      </c>
      <c r="AL5" s="5">
        <f>COUNTIF(F5:AJ5,"A")</f>
        <v>0</v>
      </c>
      <c r="AM5" s="5" t="s">
        <v>8</v>
      </c>
      <c r="AN5" s="9">
        <v>26</v>
      </c>
      <c r="AO5" s="10" t="s">
        <v>9</v>
      </c>
      <c r="AP5" s="3"/>
    </row>
    <row r="6" spans="1:42" x14ac:dyDescent="0.25">
      <c r="A6" s="9">
        <v>2</v>
      </c>
      <c r="B6" s="8">
        <v>605</v>
      </c>
      <c r="C6" s="17" t="s">
        <v>28</v>
      </c>
      <c r="D6" s="16"/>
      <c r="E6" s="7" t="s">
        <v>72</v>
      </c>
      <c r="F6" s="8" t="s">
        <v>23</v>
      </c>
      <c r="G6" s="8" t="s">
        <v>23</v>
      </c>
      <c r="H6" s="8" t="s">
        <v>23</v>
      </c>
      <c r="I6" s="8" t="s">
        <v>23</v>
      </c>
      <c r="J6" s="8" t="s">
        <v>23</v>
      </c>
      <c r="K6" s="8"/>
      <c r="L6" s="8" t="s">
        <v>23</v>
      </c>
      <c r="M6" s="8" t="s">
        <v>23</v>
      </c>
      <c r="N6" s="8" t="s">
        <v>23</v>
      </c>
      <c r="O6" s="8" t="s">
        <v>23</v>
      </c>
      <c r="P6" s="8" t="s">
        <v>23</v>
      </c>
      <c r="Q6" s="8" t="s">
        <v>23</v>
      </c>
      <c r="R6" s="8"/>
      <c r="S6" s="8" t="s">
        <v>23</v>
      </c>
      <c r="T6" s="8" t="s">
        <v>23</v>
      </c>
      <c r="U6" s="8" t="s">
        <v>23</v>
      </c>
      <c r="V6" s="8" t="s">
        <v>23</v>
      </c>
      <c r="W6" s="8" t="s">
        <v>23</v>
      </c>
      <c r="X6" s="8" t="s">
        <v>23</v>
      </c>
      <c r="Y6" s="8"/>
      <c r="Z6" s="8" t="s">
        <v>23</v>
      </c>
      <c r="AA6" s="8" t="s">
        <v>23</v>
      </c>
      <c r="AB6" s="8" t="s">
        <v>23</v>
      </c>
      <c r="AC6" s="8" t="s">
        <v>23</v>
      </c>
      <c r="AD6" s="8" t="s">
        <v>23</v>
      </c>
      <c r="AE6" s="8" t="s">
        <v>23</v>
      </c>
      <c r="AF6" s="8"/>
      <c r="AG6" s="8" t="s">
        <v>23</v>
      </c>
      <c r="AH6" s="8" t="s">
        <v>23</v>
      </c>
      <c r="AI6" s="8" t="s">
        <v>23</v>
      </c>
      <c r="AJ6" s="8" t="s">
        <v>23</v>
      </c>
      <c r="AK6" s="5">
        <f>COUNTIF(F6:AJ6,"P")</f>
        <v>27</v>
      </c>
      <c r="AL6" s="5">
        <f>COUNTIF(F6:AJ6,"A")</f>
        <v>0</v>
      </c>
      <c r="AM6" s="5" t="s">
        <v>10</v>
      </c>
      <c r="AN6" s="9">
        <v>4</v>
      </c>
      <c r="AO6" s="3"/>
      <c r="AP6" s="3"/>
    </row>
    <row r="7" spans="1:42" x14ac:dyDescent="0.25">
      <c r="A7" s="6">
        <v>3</v>
      </c>
      <c r="B7" s="8">
        <v>606</v>
      </c>
      <c r="C7" s="17" t="s">
        <v>29</v>
      </c>
      <c r="D7" s="16"/>
      <c r="E7" s="7" t="s">
        <v>72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23</v>
      </c>
      <c r="K7" s="8"/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/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/>
      <c r="Z7" s="8" t="s">
        <v>23</v>
      </c>
      <c r="AA7" s="8" t="s">
        <v>23</v>
      </c>
      <c r="AB7" s="8" t="s">
        <v>23</v>
      </c>
      <c r="AC7" s="8" t="s">
        <v>23</v>
      </c>
      <c r="AD7" s="8" t="s">
        <v>23</v>
      </c>
      <c r="AE7" s="8" t="s">
        <v>23</v>
      </c>
      <c r="AF7" s="8"/>
      <c r="AG7" s="8" t="s">
        <v>23</v>
      </c>
      <c r="AH7" s="8" t="s">
        <v>23</v>
      </c>
      <c r="AI7" s="8" t="s">
        <v>23</v>
      </c>
      <c r="AJ7" s="8" t="s">
        <v>23</v>
      </c>
      <c r="AK7" s="5">
        <f>COUNTIF(F7:AJ7,"P")</f>
        <v>27</v>
      </c>
      <c r="AL7" s="5">
        <f>COUNTIF(F7:AJ7,"A")</f>
        <v>0</v>
      </c>
      <c r="AM7" s="3"/>
      <c r="AN7" s="3"/>
      <c r="AO7" s="3"/>
      <c r="AP7" s="3"/>
    </row>
    <row r="8" spans="1:42" ht="15.75" x14ac:dyDescent="0.25">
      <c r="A8" s="9">
        <v>4</v>
      </c>
      <c r="B8" s="8">
        <v>607</v>
      </c>
      <c r="C8" s="17" t="s">
        <v>30</v>
      </c>
      <c r="D8" s="16"/>
      <c r="E8" s="7" t="s">
        <v>72</v>
      </c>
      <c r="F8" s="8" t="s">
        <v>23</v>
      </c>
      <c r="G8" s="8" t="s">
        <v>23</v>
      </c>
      <c r="H8" s="8" t="s">
        <v>23</v>
      </c>
      <c r="I8" s="8" t="s">
        <v>23</v>
      </c>
      <c r="J8" s="8" t="s">
        <v>23</v>
      </c>
      <c r="K8" s="8"/>
      <c r="L8" s="8" t="s">
        <v>23</v>
      </c>
      <c r="M8" s="8" t="s">
        <v>23</v>
      </c>
      <c r="N8" s="8" t="s">
        <v>23</v>
      </c>
      <c r="O8" s="8" t="s">
        <v>23</v>
      </c>
      <c r="P8" s="8" t="s">
        <v>23</v>
      </c>
      <c r="Q8" s="8" t="s">
        <v>23</v>
      </c>
      <c r="R8" s="8"/>
      <c r="S8" s="8" t="s">
        <v>23</v>
      </c>
      <c r="T8" s="8" t="s">
        <v>23</v>
      </c>
      <c r="U8" s="8" t="s">
        <v>23</v>
      </c>
      <c r="V8" s="8" t="s">
        <v>23</v>
      </c>
      <c r="W8" s="8" t="s">
        <v>23</v>
      </c>
      <c r="X8" s="8" t="s">
        <v>23</v>
      </c>
      <c r="Y8" s="8"/>
      <c r="Z8" s="8" t="s">
        <v>23</v>
      </c>
      <c r="AA8" s="8" t="s">
        <v>23</v>
      </c>
      <c r="AB8" s="8" t="s">
        <v>23</v>
      </c>
      <c r="AC8" s="8" t="s">
        <v>23</v>
      </c>
      <c r="AD8" s="8" t="s">
        <v>23</v>
      </c>
      <c r="AE8" s="8" t="s">
        <v>23</v>
      </c>
      <c r="AF8" s="8"/>
      <c r="AG8" s="8" t="s">
        <v>23</v>
      </c>
      <c r="AH8" s="8" t="s">
        <v>23</v>
      </c>
      <c r="AI8" s="8" t="s">
        <v>23</v>
      </c>
      <c r="AJ8" s="8" t="s">
        <v>23</v>
      </c>
      <c r="AK8" s="5">
        <f>COUNTIF(F8:AJ8,"P")</f>
        <v>27</v>
      </c>
      <c r="AL8" s="5">
        <f>COUNTIF(F8:AJ8,"A")</f>
        <v>0</v>
      </c>
      <c r="AM8" s="18" t="s">
        <v>11</v>
      </c>
      <c r="AN8" s="19"/>
      <c r="AO8" s="19"/>
      <c r="AP8" s="20"/>
    </row>
    <row r="9" spans="1:42" x14ac:dyDescent="0.25">
      <c r="A9" s="6">
        <v>5</v>
      </c>
      <c r="B9" s="8">
        <v>608</v>
      </c>
      <c r="C9" s="15" t="s">
        <v>31</v>
      </c>
      <c r="D9" s="16"/>
      <c r="E9" s="7" t="s">
        <v>72</v>
      </c>
      <c r="F9" s="8" t="s">
        <v>23</v>
      </c>
      <c r="G9" s="8" t="s">
        <v>23</v>
      </c>
      <c r="H9" s="8" t="s">
        <v>23</v>
      </c>
      <c r="I9" s="8" t="s">
        <v>23</v>
      </c>
      <c r="J9" s="8" t="s">
        <v>23</v>
      </c>
      <c r="K9" s="8"/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R9" s="8"/>
      <c r="S9" s="8" t="s">
        <v>23</v>
      </c>
      <c r="T9" s="8" t="s">
        <v>23</v>
      </c>
      <c r="U9" s="8" t="s">
        <v>23</v>
      </c>
      <c r="V9" s="8" t="s">
        <v>23</v>
      </c>
      <c r="W9" s="8" t="s">
        <v>23</v>
      </c>
      <c r="X9" s="8" t="s">
        <v>23</v>
      </c>
      <c r="Y9" s="8"/>
      <c r="Z9" s="8" t="s">
        <v>23</v>
      </c>
      <c r="AA9" s="8" t="s">
        <v>23</v>
      </c>
      <c r="AB9" s="8" t="s">
        <v>23</v>
      </c>
      <c r="AC9" s="8" t="s">
        <v>23</v>
      </c>
      <c r="AD9" s="8" t="s">
        <v>23</v>
      </c>
      <c r="AE9" s="8" t="s">
        <v>23</v>
      </c>
      <c r="AF9" s="8"/>
      <c r="AG9" s="8" t="s">
        <v>23</v>
      </c>
      <c r="AH9" s="8" t="s">
        <v>23</v>
      </c>
      <c r="AI9" s="8" t="s">
        <v>23</v>
      </c>
      <c r="AJ9" s="8" t="s">
        <v>23</v>
      </c>
      <c r="AK9" s="5">
        <f>COUNTIF(F9:AJ9,"P")</f>
        <v>27</v>
      </c>
      <c r="AL9" s="5">
        <f>COUNTIF(F9:AJ9,"A")</f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9">
        <v>6</v>
      </c>
      <c r="B10" s="8">
        <v>609</v>
      </c>
      <c r="C10" s="17" t="s">
        <v>32</v>
      </c>
      <c r="D10" s="16"/>
      <c r="E10" s="7" t="s">
        <v>72</v>
      </c>
      <c r="F10" s="8" t="s">
        <v>23</v>
      </c>
      <c r="G10" s="8" t="s">
        <v>23</v>
      </c>
      <c r="H10" s="8" t="s">
        <v>23</v>
      </c>
      <c r="I10" s="8" t="s">
        <v>23</v>
      </c>
      <c r="J10" s="8" t="s">
        <v>23</v>
      </c>
      <c r="K10" s="8"/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/>
      <c r="S10" s="8" t="s">
        <v>23</v>
      </c>
      <c r="T10" s="8" t="s">
        <v>23</v>
      </c>
      <c r="U10" s="8" t="s">
        <v>23</v>
      </c>
      <c r="V10" s="8" t="s">
        <v>23</v>
      </c>
      <c r="W10" s="8" t="s">
        <v>23</v>
      </c>
      <c r="X10" s="8" t="s">
        <v>23</v>
      </c>
      <c r="Y10" s="8"/>
      <c r="Z10" s="8" t="s">
        <v>23</v>
      </c>
      <c r="AA10" s="8" t="s">
        <v>23</v>
      </c>
      <c r="AB10" s="8" t="s">
        <v>23</v>
      </c>
      <c r="AC10" s="8" t="s">
        <v>23</v>
      </c>
      <c r="AD10" s="8" t="s">
        <v>23</v>
      </c>
      <c r="AE10" s="8" t="s">
        <v>23</v>
      </c>
      <c r="AF10" s="8"/>
      <c r="AG10" s="8" t="s">
        <v>23</v>
      </c>
      <c r="AH10" s="8" t="s">
        <v>23</v>
      </c>
      <c r="AI10" s="8" t="s">
        <v>23</v>
      </c>
      <c r="AJ10" s="8" t="s">
        <v>23</v>
      </c>
      <c r="AK10" s="5">
        <f>COUNTIF(F10:AJ10,"P")</f>
        <v>27</v>
      </c>
      <c r="AL10" s="5">
        <f>COUNTIF(F10:AJ10,"A")</f>
        <v>0</v>
      </c>
      <c r="AM10" s="5" t="s">
        <v>16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x14ac:dyDescent="0.25">
      <c r="A11" s="6">
        <v>7</v>
      </c>
      <c r="B11" s="8">
        <v>610</v>
      </c>
      <c r="C11" s="17" t="s">
        <v>33</v>
      </c>
      <c r="D11" s="16"/>
      <c r="E11" s="7" t="s">
        <v>72</v>
      </c>
      <c r="F11" s="8" t="s">
        <v>23</v>
      </c>
      <c r="G11" s="8" t="s">
        <v>23</v>
      </c>
      <c r="H11" s="8" t="s">
        <v>23</v>
      </c>
      <c r="I11" s="8" t="s">
        <v>23</v>
      </c>
      <c r="J11" s="8" t="s">
        <v>23</v>
      </c>
      <c r="K11" s="8"/>
      <c r="L11" s="8" t="s">
        <v>23</v>
      </c>
      <c r="M11" s="8" t="s">
        <v>23</v>
      </c>
      <c r="N11" s="8" t="s">
        <v>23</v>
      </c>
      <c r="O11" s="8" t="s">
        <v>23</v>
      </c>
      <c r="P11" s="8" t="s">
        <v>23</v>
      </c>
      <c r="Q11" s="8" t="s">
        <v>23</v>
      </c>
      <c r="R11" s="8"/>
      <c r="S11" s="8" t="s">
        <v>23</v>
      </c>
      <c r="T11" s="8" t="s">
        <v>23</v>
      </c>
      <c r="U11" s="8" t="s">
        <v>23</v>
      </c>
      <c r="V11" s="8" t="s">
        <v>23</v>
      </c>
      <c r="W11" s="8" t="s">
        <v>23</v>
      </c>
      <c r="X11" s="8" t="s">
        <v>23</v>
      </c>
      <c r="Y11" s="8"/>
      <c r="Z11" s="8" t="s">
        <v>23</v>
      </c>
      <c r="AA11" s="8" t="s">
        <v>23</v>
      </c>
      <c r="AB11" s="8" t="s">
        <v>23</v>
      </c>
      <c r="AC11" s="8" t="s">
        <v>23</v>
      </c>
      <c r="AD11" s="8" t="s">
        <v>23</v>
      </c>
      <c r="AE11" s="8" t="s">
        <v>23</v>
      </c>
      <c r="AF11" s="8"/>
      <c r="AG11" s="8" t="s">
        <v>23</v>
      </c>
      <c r="AH11" s="8" t="s">
        <v>23</v>
      </c>
      <c r="AI11" s="8" t="s">
        <v>23</v>
      </c>
      <c r="AJ11" s="8" t="s">
        <v>23</v>
      </c>
      <c r="AK11" s="5">
        <f>COUNTIF(F11:AJ11,"P")</f>
        <v>27</v>
      </c>
      <c r="AL11" s="5">
        <f>COUNTIF(F11:AJ11,"A")</f>
        <v>0</v>
      </c>
      <c r="AM11" s="5" t="s">
        <v>17</v>
      </c>
      <c r="AN11" s="9">
        <f>AK6+AK7+AK8+AK11+AK12+AK13+AK15+AK19+AK20+AK21+AK2</f>
        <v>270</v>
      </c>
      <c r="AO11" s="9">
        <f>AK5+AK9+AK10+AK14+AK16+AK17+AK18</f>
        <v>189</v>
      </c>
      <c r="AP11" s="9">
        <f>AN11+AO11</f>
        <v>459</v>
      </c>
    </row>
    <row r="12" spans="1:42" x14ac:dyDescent="0.25">
      <c r="A12" s="9">
        <v>8</v>
      </c>
      <c r="B12" s="8">
        <v>611</v>
      </c>
      <c r="C12" s="17" t="s">
        <v>34</v>
      </c>
      <c r="D12" s="16"/>
      <c r="E12" s="7" t="s">
        <v>72</v>
      </c>
      <c r="F12" s="8" t="s">
        <v>23</v>
      </c>
      <c r="G12" s="8" t="s">
        <v>23</v>
      </c>
      <c r="H12" s="8" t="s">
        <v>23</v>
      </c>
      <c r="I12" s="8" t="s">
        <v>23</v>
      </c>
      <c r="J12" s="8" t="s">
        <v>23</v>
      </c>
      <c r="K12" s="8"/>
      <c r="L12" s="8" t="s">
        <v>23</v>
      </c>
      <c r="M12" s="8" t="s">
        <v>23</v>
      </c>
      <c r="N12" s="8" t="s">
        <v>23</v>
      </c>
      <c r="O12" s="8" t="s">
        <v>23</v>
      </c>
      <c r="P12" s="8" t="s">
        <v>23</v>
      </c>
      <c r="Q12" s="8" t="s">
        <v>23</v>
      </c>
      <c r="R12" s="8"/>
      <c r="S12" s="8" t="s">
        <v>23</v>
      </c>
      <c r="T12" s="8" t="s">
        <v>23</v>
      </c>
      <c r="U12" s="8" t="s">
        <v>23</v>
      </c>
      <c r="V12" s="8" t="s">
        <v>23</v>
      </c>
      <c r="W12" s="8" t="s">
        <v>23</v>
      </c>
      <c r="X12" s="8" t="s">
        <v>23</v>
      </c>
      <c r="Y12" s="8"/>
      <c r="Z12" s="8" t="s">
        <v>23</v>
      </c>
      <c r="AA12" s="8" t="s">
        <v>23</v>
      </c>
      <c r="AB12" s="8" t="s">
        <v>23</v>
      </c>
      <c r="AC12" s="8" t="s">
        <v>23</v>
      </c>
      <c r="AD12" s="8" t="s">
        <v>23</v>
      </c>
      <c r="AE12" s="8" t="s">
        <v>23</v>
      </c>
      <c r="AF12" s="8"/>
      <c r="AG12" s="8" t="s">
        <v>23</v>
      </c>
      <c r="AH12" s="8" t="s">
        <v>23</v>
      </c>
      <c r="AI12" s="8" t="s">
        <v>23</v>
      </c>
      <c r="AJ12" s="8" t="s">
        <v>23</v>
      </c>
      <c r="AK12" s="5">
        <f>COUNTIF(F12:AJ12,"P")</f>
        <v>27</v>
      </c>
      <c r="AL12" s="5">
        <f>COUNTIF(F12:AJ12,"A")</f>
        <v>0</v>
      </c>
      <c r="AM12" s="5" t="s">
        <v>18</v>
      </c>
      <c r="AN12" s="9">
        <f>AN11/AN10</f>
        <v>0.54655870445344135</v>
      </c>
      <c r="AO12" s="9">
        <f>AO11/AO10</f>
        <v>0.34615384615384615</v>
      </c>
      <c r="AP12" s="9">
        <f>AP11/AP10</f>
        <v>0.44134615384615383</v>
      </c>
    </row>
    <row r="13" spans="1:42" x14ac:dyDescent="0.25">
      <c r="A13" s="6">
        <v>9</v>
      </c>
      <c r="B13" s="8">
        <v>612</v>
      </c>
      <c r="C13" s="17" t="s">
        <v>35</v>
      </c>
      <c r="D13" s="16"/>
      <c r="E13" s="7" t="s">
        <v>72</v>
      </c>
      <c r="F13" s="8" t="s">
        <v>23</v>
      </c>
      <c r="G13" s="8" t="s">
        <v>23</v>
      </c>
      <c r="H13" s="8" t="s">
        <v>23</v>
      </c>
      <c r="I13" s="8" t="s">
        <v>23</v>
      </c>
      <c r="J13" s="8" t="s">
        <v>23</v>
      </c>
      <c r="K13" s="8"/>
      <c r="L13" s="8" t="s">
        <v>23</v>
      </c>
      <c r="M13" s="8" t="s">
        <v>23</v>
      </c>
      <c r="N13" s="8" t="s">
        <v>23</v>
      </c>
      <c r="O13" s="8" t="s">
        <v>23</v>
      </c>
      <c r="P13" s="8" t="s">
        <v>23</v>
      </c>
      <c r="Q13" s="8" t="s">
        <v>23</v>
      </c>
      <c r="R13" s="8"/>
      <c r="S13" s="8" t="s">
        <v>23</v>
      </c>
      <c r="T13" s="8" t="s">
        <v>23</v>
      </c>
      <c r="U13" s="8" t="s">
        <v>23</v>
      </c>
      <c r="V13" s="8" t="s">
        <v>23</v>
      </c>
      <c r="W13" s="8" t="s">
        <v>23</v>
      </c>
      <c r="X13" s="8" t="s">
        <v>23</v>
      </c>
      <c r="Y13" s="8"/>
      <c r="Z13" s="8" t="s">
        <v>23</v>
      </c>
      <c r="AA13" s="8" t="s">
        <v>23</v>
      </c>
      <c r="AB13" s="8" t="s">
        <v>23</v>
      </c>
      <c r="AC13" s="8" t="s">
        <v>23</v>
      </c>
      <c r="AD13" s="8" t="s">
        <v>23</v>
      </c>
      <c r="AE13" s="8" t="s">
        <v>23</v>
      </c>
      <c r="AF13" s="8"/>
      <c r="AG13" s="8" t="s">
        <v>23</v>
      </c>
      <c r="AH13" s="8" t="s">
        <v>23</v>
      </c>
      <c r="AI13" s="8" t="s">
        <v>23</v>
      </c>
      <c r="AJ13" s="8" t="s">
        <v>23</v>
      </c>
      <c r="AK13" s="5">
        <f>COUNTIF(F13:AJ13,"P")</f>
        <v>27</v>
      </c>
      <c r="AL13" s="5">
        <f>COUNTIF(F13:AJ13,"A")</f>
        <v>0</v>
      </c>
      <c r="AM13" s="3"/>
      <c r="AN13" s="11"/>
      <c r="AO13" s="11"/>
      <c r="AP13" s="11"/>
    </row>
    <row r="14" spans="1:42" x14ac:dyDescent="0.25">
      <c r="A14" s="9">
        <v>10</v>
      </c>
      <c r="B14" s="8">
        <v>613</v>
      </c>
      <c r="C14" s="17" t="s">
        <v>36</v>
      </c>
      <c r="D14" s="16"/>
      <c r="E14" s="7" t="s">
        <v>72</v>
      </c>
      <c r="F14" s="8" t="s">
        <v>23</v>
      </c>
      <c r="G14" s="8" t="s">
        <v>23</v>
      </c>
      <c r="H14" s="8" t="s">
        <v>23</v>
      </c>
      <c r="I14" s="8" t="s">
        <v>23</v>
      </c>
      <c r="J14" s="8" t="s">
        <v>23</v>
      </c>
      <c r="K14" s="8"/>
      <c r="L14" s="8" t="s">
        <v>23</v>
      </c>
      <c r="M14" s="8" t="s">
        <v>23</v>
      </c>
      <c r="N14" s="8" t="s">
        <v>23</v>
      </c>
      <c r="O14" s="8" t="s">
        <v>23</v>
      </c>
      <c r="P14" s="8" t="s">
        <v>23</v>
      </c>
      <c r="Q14" s="8" t="s">
        <v>23</v>
      </c>
      <c r="R14" s="8"/>
      <c r="S14" s="8" t="s">
        <v>23</v>
      </c>
      <c r="T14" s="8" t="s">
        <v>23</v>
      </c>
      <c r="U14" s="8" t="s">
        <v>23</v>
      </c>
      <c r="V14" s="8" t="s">
        <v>23</v>
      </c>
      <c r="W14" s="8" t="s">
        <v>23</v>
      </c>
      <c r="X14" s="8" t="s">
        <v>23</v>
      </c>
      <c r="Y14" s="8"/>
      <c r="Z14" s="8" t="s">
        <v>23</v>
      </c>
      <c r="AA14" s="8" t="s">
        <v>23</v>
      </c>
      <c r="AB14" s="8" t="s">
        <v>23</v>
      </c>
      <c r="AC14" s="8" t="s">
        <v>23</v>
      </c>
      <c r="AD14" s="8" t="s">
        <v>23</v>
      </c>
      <c r="AE14" s="8" t="s">
        <v>23</v>
      </c>
      <c r="AF14" s="8"/>
      <c r="AG14" s="8" t="s">
        <v>23</v>
      </c>
      <c r="AH14" s="8" t="s">
        <v>23</v>
      </c>
      <c r="AI14" s="8" t="s">
        <v>23</v>
      </c>
      <c r="AJ14" s="8" t="s">
        <v>23</v>
      </c>
      <c r="AK14" s="5">
        <f>COUNTIF(F14:AJ14,"P")</f>
        <v>27</v>
      </c>
      <c r="AL14" s="5">
        <f>COUNTIF(F14:AJ14,"A")</f>
        <v>0</v>
      </c>
      <c r="AM14" s="12"/>
      <c r="AN14" s="12"/>
      <c r="AO14" s="12"/>
      <c r="AP14" s="12"/>
    </row>
    <row r="15" spans="1:42" x14ac:dyDescent="0.25">
      <c r="A15" s="6">
        <v>11</v>
      </c>
      <c r="B15" s="8">
        <v>614</v>
      </c>
      <c r="C15" s="17" t="s">
        <v>37</v>
      </c>
      <c r="D15" s="16"/>
      <c r="E15" s="7" t="s">
        <v>72</v>
      </c>
      <c r="F15" s="8" t="s">
        <v>23</v>
      </c>
      <c r="G15" s="8" t="s">
        <v>23</v>
      </c>
      <c r="H15" s="8" t="s">
        <v>23</v>
      </c>
      <c r="I15" s="8" t="s">
        <v>23</v>
      </c>
      <c r="J15" s="8" t="s">
        <v>23</v>
      </c>
      <c r="K15" s="8"/>
      <c r="L15" s="8" t="s">
        <v>23</v>
      </c>
      <c r="M15" s="8" t="s">
        <v>23</v>
      </c>
      <c r="N15" s="8" t="s">
        <v>23</v>
      </c>
      <c r="O15" s="8" t="s">
        <v>23</v>
      </c>
      <c r="P15" s="8" t="s">
        <v>23</v>
      </c>
      <c r="Q15" s="8" t="s">
        <v>23</v>
      </c>
      <c r="R15" s="8"/>
      <c r="S15" s="8" t="s">
        <v>23</v>
      </c>
      <c r="T15" s="8" t="s">
        <v>23</v>
      </c>
      <c r="U15" s="8" t="s">
        <v>23</v>
      </c>
      <c r="V15" s="8" t="s">
        <v>23</v>
      </c>
      <c r="W15" s="8" t="s">
        <v>23</v>
      </c>
      <c r="X15" s="8" t="s">
        <v>23</v>
      </c>
      <c r="Y15" s="8"/>
      <c r="Z15" s="8" t="s">
        <v>23</v>
      </c>
      <c r="AA15" s="8" t="s">
        <v>23</v>
      </c>
      <c r="AB15" s="8" t="s">
        <v>23</v>
      </c>
      <c r="AC15" s="8" t="s">
        <v>23</v>
      </c>
      <c r="AD15" s="8" t="s">
        <v>23</v>
      </c>
      <c r="AE15" s="8" t="s">
        <v>23</v>
      </c>
      <c r="AF15" s="8"/>
      <c r="AG15" s="8" t="s">
        <v>23</v>
      </c>
      <c r="AH15" s="8" t="s">
        <v>23</v>
      </c>
      <c r="AI15" s="8" t="s">
        <v>23</v>
      </c>
      <c r="AJ15" s="8" t="s">
        <v>23</v>
      </c>
      <c r="AK15" s="5">
        <f>COUNTIF(F15:AJ15,"P")</f>
        <v>27</v>
      </c>
      <c r="AL15" s="5">
        <f>COUNTIF(F15:AJ15,"A")</f>
        <v>0</v>
      </c>
      <c r="AM15" s="3"/>
      <c r="AN15" s="3"/>
      <c r="AO15" s="3"/>
      <c r="AP15" s="3"/>
    </row>
    <row r="16" spans="1:42" ht="15.75" x14ac:dyDescent="0.25">
      <c r="A16" s="9">
        <v>12</v>
      </c>
      <c r="B16" s="8">
        <v>615</v>
      </c>
      <c r="C16" s="17" t="s">
        <v>38</v>
      </c>
      <c r="D16" s="16"/>
      <c r="E16" s="7" t="s">
        <v>72</v>
      </c>
      <c r="F16" s="8" t="s">
        <v>23</v>
      </c>
      <c r="G16" s="8" t="s">
        <v>23</v>
      </c>
      <c r="H16" s="8" t="s">
        <v>23</v>
      </c>
      <c r="I16" s="8" t="s">
        <v>23</v>
      </c>
      <c r="J16" s="8" t="s">
        <v>23</v>
      </c>
      <c r="K16" s="8"/>
      <c r="L16" s="8" t="s">
        <v>23</v>
      </c>
      <c r="M16" s="8" t="s">
        <v>23</v>
      </c>
      <c r="N16" s="8" t="s">
        <v>23</v>
      </c>
      <c r="O16" s="8" t="s">
        <v>23</v>
      </c>
      <c r="P16" s="8" t="s">
        <v>23</v>
      </c>
      <c r="Q16" s="8" t="s">
        <v>23</v>
      </c>
      <c r="R16" s="8"/>
      <c r="S16" s="8" t="s">
        <v>23</v>
      </c>
      <c r="T16" s="8" t="s">
        <v>23</v>
      </c>
      <c r="U16" s="8" t="s">
        <v>23</v>
      </c>
      <c r="V16" s="8" t="s">
        <v>23</v>
      </c>
      <c r="W16" s="8" t="s">
        <v>23</v>
      </c>
      <c r="X16" s="8" t="s">
        <v>23</v>
      </c>
      <c r="Y16" s="8"/>
      <c r="Z16" s="8" t="s">
        <v>23</v>
      </c>
      <c r="AA16" s="8" t="s">
        <v>23</v>
      </c>
      <c r="AB16" s="8" t="s">
        <v>23</v>
      </c>
      <c r="AC16" s="8" t="s">
        <v>23</v>
      </c>
      <c r="AD16" s="8" t="s">
        <v>23</v>
      </c>
      <c r="AE16" s="8" t="s">
        <v>23</v>
      </c>
      <c r="AF16" s="8"/>
      <c r="AG16" s="8" t="s">
        <v>23</v>
      </c>
      <c r="AH16" s="8" t="s">
        <v>23</v>
      </c>
      <c r="AI16" s="8" t="s">
        <v>23</v>
      </c>
      <c r="AJ16" s="8" t="s">
        <v>23</v>
      </c>
      <c r="AK16" s="5">
        <f>COUNTIF(F16:AJ16,"P")</f>
        <v>27</v>
      </c>
      <c r="AL16" s="5">
        <f>COUNTIF(F16:AJ16,"A")</f>
        <v>0</v>
      </c>
      <c r="AM16" s="18" t="s">
        <v>6</v>
      </c>
      <c r="AN16" s="19"/>
      <c r="AO16" s="19"/>
      <c r="AP16" s="20"/>
    </row>
    <row r="17" spans="1:42" x14ac:dyDescent="0.25">
      <c r="A17" s="6">
        <v>13</v>
      </c>
      <c r="B17" s="8">
        <v>616</v>
      </c>
      <c r="C17" s="17" t="s">
        <v>39</v>
      </c>
      <c r="D17" s="16"/>
      <c r="E17" s="7" t="s">
        <v>72</v>
      </c>
      <c r="F17" s="8" t="s">
        <v>23</v>
      </c>
      <c r="G17" s="8" t="s">
        <v>23</v>
      </c>
      <c r="H17" s="8" t="s">
        <v>23</v>
      </c>
      <c r="I17" s="8" t="s">
        <v>23</v>
      </c>
      <c r="J17" s="8" t="s">
        <v>23</v>
      </c>
      <c r="K17" s="8"/>
      <c r="L17" s="8" t="s">
        <v>23</v>
      </c>
      <c r="M17" s="8" t="s">
        <v>23</v>
      </c>
      <c r="N17" s="8" t="s">
        <v>23</v>
      </c>
      <c r="O17" s="8" t="s">
        <v>23</v>
      </c>
      <c r="P17" s="8" t="s">
        <v>23</v>
      </c>
      <c r="Q17" s="8" t="s">
        <v>23</v>
      </c>
      <c r="R17" s="8"/>
      <c r="S17" s="8" t="s">
        <v>23</v>
      </c>
      <c r="T17" s="8" t="s">
        <v>23</v>
      </c>
      <c r="U17" s="8" t="s">
        <v>23</v>
      </c>
      <c r="V17" s="8" t="s">
        <v>23</v>
      </c>
      <c r="W17" s="8" t="s">
        <v>23</v>
      </c>
      <c r="X17" s="8" t="s">
        <v>23</v>
      </c>
      <c r="Y17" s="8"/>
      <c r="Z17" s="8" t="s">
        <v>23</v>
      </c>
      <c r="AA17" s="8" t="s">
        <v>23</v>
      </c>
      <c r="AB17" s="8" t="s">
        <v>23</v>
      </c>
      <c r="AC17" s="8" t="s">
        <v>23</v>
      </c>
      <c r="AD17" s="8" t="s">
        <v>23</v>
      </c>
      <c r="AE17" s="8" t="s">
        <v>23</v>
      </c>
      <c r="AF17" s="8"/>
      <c r="AG17" s="8" t="s">
        <v>23</v>
      </c>
      <c r="AH17" s="8" t="s">
        <v>23</v>
      </c>
      <c r="AI17" s="8" t="s">
        <v>23</v>
      </c>
      <c r="AJ17" s="8" t="s">
        <v>23</v>
      </c>
      <c r="AK17" s="5">
        <f>COUNTIF(F17:AJ17,"P")</f>
        <v>27</v>
      </c>
      <c r="AL17" s="5">
        <f>COUNTIF(F17:AJ17,"A")</f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9">
        <v>14</v>
      </c>
      <c r="B18" s="8">
        <v>617</v>
      </c>
      <c r="C18" s="17" t="s">
        <v>40</v>
      </c>
      <c r="D18" s="16"/>
      <c r="E18" s="7" t="s">
        <v>72</v>
      </c>
      <c r="F18" s="8" t="s">
        <v>23</v>
      </c>
      <c r="G18" s="8" t="s">
        <v>23</v>
      </c>
      <c r="H18" s="8" t="s">
        <v>23</v>
      </c>
      <c r="I18" s="8" t="s">
        <v>23</v>
      </c>
      <c r="J18" s="8" t="s">
        <v>23</v>
      </c>
      <c r="K18" s="8"/>
      <c r="L18" s="8" t="s">
        <v>23</v>
      </c>
      <c r="M18" s="8" t="s">
        <v>23</v>
      </c>
      <c r="N18" s="8" t="s">
        <v>23</v>
      </c>
      <c r="O18" s="8" t="s">
        <v>23</v>
      </c>
      <c r="P18" s="8" t="s">
        <v>23</v>
      </c>
      <c r="Q18" s="8" t="s">
        <v>23</v>
      </c>
      <c r="R18" s="8"/>
      <c r="S18" s="8" t="s">
        <v>23</v>
      </c>
      <c r="T18" s="8" t="s">
        <v>23</v>
      </c>
      <c r="U18" s="8" t="s">
        <v>23</v>
      </c>
      <c r="V18" s="8" t="s">
        <v>23</v>
      </c>
      <c r="W18" s="8" t="s">
        <v>23</v>
      </c>
      <c r="X18" s="8" t="s">
        <v>23</v>
      </c>
      <c r="Y18" s="8"/>
      <c r="Z18" s="8" t="s">
        <v>23</v>
      </c>
      <c r="AA18" s="8" t="s">
        <v>23</v>
      </c>
      <c r="AB18" s="8" t="s">
        <v>23</v>
      </c>
      <c r="AC18" s="8" t="s">
        <v>23</v>
      </c>
      <c r="AD18" s="8" t="s">
        <v>23</v>
      </c>
      <c r="AE18" s="8" t="s">
        <v>23</v>
      </c>
      <c r="AF18" s="8"/>
      <c r="AG18" s="8" t="s">
        <v>23</v>
      </c>
      <c r="AH18" s="8" t="s">
        <v>23</v>
      </c>
      <c r="AI18" s="8" t="s">
        <v>23</v>
      </c>
      <c r="AJ18" s="8" t="s">
        <v>23</v>
      </c>
      <c r="AK18" s="5">
        <f>COUNTIF(F18:AJ18,"P")</f>
        <v>27</v>
      </c>
      <c r="AL18" s="5">
        <f>COUNTIF(F18:AJ18,"A")</f>
        <v>0</v>
      </c>
      <c r="AM18" s="5" t="s">
        <v>16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x14ac:dyDescent="0.25">
      <c r="A19" s="6">
        <v>15</v>
      </c>
      <c r="B19" s="8">
        <v>618</v>
      </c>
      <c r="C19" s="17" t="s">
        <v>41</v>
      </c>
      <c r="D19" s="16"/>
      <c r="E19" s="7" t="s">
        <v>72</v>
      </c>
      <c r="F19" s="8" t="s">
        <v>23</v>
      </c>
      <c r="G19" s="8" t="s">
        <v>23</v>
      </c>
      <c r="H19" s="8" t="s">
        <v>23</v>
      </c>
      <c r="I19" s="8" t="s">
        <v>23</v>
      </c>
      <c r="J19" s="8" t="s">
        <v>23</v>
      </c>
      <c r="K19" s="8"/>
      <c r="L19" s="8" t="s">
        <v>23</v>
      </c>
      <c r="M19" s="8" t="s">
        <v>23</v>
      </c>
      <c r="N19" s="8" t="s">
        <v>23</v>
      </c>
      <c r="O19" s="8" t="s">
        <v>23</v>
      </c>
      <c r="P19" s="8" t="s">
        <v>23</v>
      </c>
      <c r="Q19" s="8" t="s">
        <v>23</v>
      </c>
      <c r="R19" s="8"/>
      <c r="S19" s="8" t="s">
        <v>23</v>
      </c>
      <c r="T19" s="8" t="s">
        <v>23</v>
      </c>
      <c r="U19" s="8" t="s">
        <v>23</v>
      </c>
      <c r="V19" s="8" t="s">
        <v>23</v>
      </c>
      <c r="W19" s="8" t="s">
        <v>23</v>
      </c>
      <c r="X19" s="8" t="s">
        <v>23</v>
      </c>
      <c r="Y19" s="8"/>
      <c r="Z19" s="8" t="s">
        <v>23</v>
      </c>
      <c r="AA19" s="8" t="s">
        <v>23</v>
      </c>
      <c r="AB19" s="8" t="s">
        <v>23</v>
      </c>
      <c r="AC19" s="8" t="s">
        <v>23</v>
      </c>
      <c r="AD19" s="8" t="s">
        <v>23</v>
      </c>
      <c r="AE19" s="8" t="s">
        <v>23</v>
      </c>
      <c r="AF19" s="8"/>
      <c r="AG19" s="8" t="s">
        <v>23</v>
      </c>
      <c r="AH19" s="8" t="s">
        <v>23</v>
      </c>
      <c r="AI19" s="8" t="s">
        <v>23</v>
      </c>
      <c r="AJ19" s="8" t="s">
        <v>23</v>
      </c>
      <c r="AK19" s="5">
        <f>COUNTIF(F19:AJ19,"P")</f>
        <v>27</v>
      </c>
      <c r="AL19" s="5">
        <f>COUNTIF(F19:AJ19,"A")</f>
        <v>0</v>
      </c>
      <c r="AM19" s="5" t="s">
        <v>19</v>
      </c>
      <c r="AN19" s="9">
        <f>AN18-AN11</f>
        <v>224</v>
      </c>
      <c r="AO19" s="9">
        <f>AO18-AO11</f>
        <v>357</v>
      </c>
      <c r="AP19" s="9">
        <f>AN19+AO19</f>
        <v>581</v>
      </c>
    </row>
    <row r="20" spans="1:42" x14ac:dyDescent="0.25">
      <c r="A20" s="9">
        <v>16</v>
      </c>
      <c r="B20" s="8">
        <v>619</v>
      </c>
      <c r="C20" s="17" t="s">
        <v>42</v>
      </c>
      <c r="D20" s="16"/>
      <c r="E20" s="7" t="s">
        <v>72</v>
      </c>
      <c r="F20" s="8" t="s">
        <v>23</v>
      </c>
      <c r="G20" s="8" t="s">
        <v>23</v>
      </c>
      <c r="H20" s="8" t="s">
        <v>23</v>
      </c>
      <c r="I20" s="8" t="s">
        <v>23</v>
      </c>
      <c r="J20" s="8" t="s">
        <v>23</v>
      </c>
      <c r="K20" s="8"/>
      <c r="L20" s="8" t="s">
        <v>23</v>
      </c>
      <c r="M20" s="8" t="s">
        <v>23</v>
      </c>
      <c r="N20" s="8" t="s">
        <v>23</v>
      </c>
      <c r="O20" s="8" t="s">
        <v>23</v>
      </c>
      <c r="P20" s="8" t="s">
        <v>23</v>
      </c>
      <c r="Q20" s="8" t="s">
        <v>23</v>
      </c>
      <c r="R20" s="8"/>
      <c r="S20" s="8" t="s">
        <v>23</v>
      </c>
      <c r="T20" s="8" t="s">
        <v>23</v>
      </c>
      <c r="U20" s="8" t="s">
        <v>23</v>
      </c>
      <c r="V20" s="8" t="s">
        <v>23</v>
      </c>
      <c r="W20" s="8" t="s">
        <v>23</v>
      </c>
      <c r="X20" s="8" t="s">
        <v>23</v>
      </c>
      <c r="Y20" s="8"/>
      <c r="Z20" s="8" t="s">
        <v>23</v>
      </c>
      <c r="AA20" s="8" t="s">
        <v>23</v>
      </c>
      <c r="AB20" s="8" t="s">
        <v>23</v>
      </c>
      <c r="AC20" s="8" t="s">
        <v>23</v>
      </c>
      <c r="AD20" s="8" t="s">
        <v>23</v>
      </c>
      <c r="AE20" s="8" t="s">
        <v>23</v>
      </c>
      <c r="AF20" s="8"/>
      <c r="AG20" s="8" t="s">
        <v>23</v>
      </c>
      <c r="AH20" s="8" t="s">
        <v>23</v>
      </c>
      <c r="AI20" s="8" t="s">
        <v>23</v>
      </c>
      <c r="AJ20" s="8" t="s">
        <v>23</v>
      </c>
      <c r="AK20" s="5">
        <f>COUNTIF(F20:AJ20,"P")</f>
        <v>27</v>
      </c>
      <c r="AL20" s="5">
        <f>COUNTIF(F20:AJ20,"A")</f>
        <v>0</v>
      </c>
      <c r="AM20" s="5" t="s">
        <v>15</v>
      </c>
      <c r="AN20" s="13">
        <f>AN19/AN18</f>
        <v>0.45344129554655871</v>
      </c>
      <c r="AO20" s="13">
        <f>AO19/AO18</f>
        <v>0.65384615384615385</v>
      </c>
      <c r="AP20" s="13">
        <f>AP19/AP18</f>
        <v>0.55865384615384617</v>
      </c>
    </row>
    <row r="21" spans="1:42" x14ac:dyDescent="0.25">
      <c r="A21" s="6">
        <v>17</v>
      </c>
      <c r="B21" s="8">
        <v>620</v>
      </c>
      <c r="C21" s="17" t="s">
        <v>43</v>
      </c>
      <c r="D21" s="16"/>
      <c r="E21" s="7" t="s">
        <v>72</v>
      </c>
      <c r="F21" s="8" t="s">
        <v>23</v>
      </c>
      <c r="G21" s="8" t="s">
        <v>23</v>
      </c>
      <c r="H21" s="8" t="s">
        <v>23</v>
      </c>
      <c r="I21" s="8" t="s">
        <v>23</v>
      </c>
      <c r="J21" s="8" t="s">
        <v>23</v>
      </c>
      <c r="K21" s="8"/>
      <c r="L21" s="8" t="s">
        <v>23</v>
      </c>
      <c r="M21" s="8" t="s">
        <v>23</v>
      </c>
      <c r="N21" s="8" t="s">
        <v>23</v>
      </c>
      <c r="O21" s="8" t="s">
        <v>23</v>
      </c>
      <c r="P21" s="8" t="s">
        <v>23</v>
      </c>
      <c r="Q21" s="8" t="s">
        <v>23</v>
      </c>
      <c r="R21" s="8"/>
      <c r="S21" s="8" t="s">
        <v>23</v>
      </c>
      <c r="T21" s="8" t="s">
        <v>23</v>
      </c>
      <c r="U21" s="8" t="s">
        <v>23</v>
      </c>
      <c r="V21" s="8" t="s">
        <v>23</v>
      </c>
      <c r="W21" s="8" t="s">
        <v>23</v>
      </c>
      <c r="X21" s="8" t="s">
        <v>23</v>
      </c>
      <c r="Y21" s="8"/>
      <c r="Z21" s="8" t="s">
        <v>23</v>
      </c>
      <c r="AA21" s="8" t="s">
        <v>23</v>
      </c>
      <c r="AB21" s="8" t="s">
        <v>23</v>
      </c>
      <c r="AC21" s="8" t="s">
        <v>23</v>
      </c>
      <c r="AD21" s="8" t="s">
        <v>23</v>
      </c>
      <c r="AE21" s="8" t="s">
        <v>23</v>
      </c>
      <c r="AF21" s="8"/>
      <c r="AG21" s="8" t="s">
        <v>23</v>
      </c>
      <c r="AH21" s="8" t="s">
        <v>23</v>
      </c>
      <c r="AI21" s="8" t="s">
        <v>23</v>
      </c>
      <c r="AJ21" s="8" t="s">
        <v>23</v>
      </c>
      <c r="AK21" s="5">
        <f>COUNTIF(F21:AJ21,"P")</f>
        <v>27</v>
      </c>
      <c r="AL21" s="5">
        <f>COUNTIF(F21:AJ21,"A")</f>
        <v>0</v>
      </c>
    </row>
    <row r="22" spans="1:42" x14ac:dyDescent="0.25">
      <c r="A22" s="9">
        <v>18</v>
      </c>
      <c r="B22" s="8">
        <v>621</v>
      </c>
      <c r="C22" s="17" t="s">
        <v>44</v>
      </c>
      <c r="D22" s="16"/>
      <c r="E22" s="7" t="s">
        <v>72</v>
      </c>
      <c r="F22" s="8" t="s">
        <v>23</v>
      </c>
      <c r="G22" s="8" t="s">
        <v>23</v>
      </c>
      <c r="H22" s="8" t="s">
        <v>23</v>
      </c>
      <c r="I22" s="8" t="s">
        <v>23</v>
      </c>
      <c r="J22" s="8" t="s">
        <v>23</v>
      </c>
      <c r="K22" s="8"/>
      <c r="L22" s="8" t="s">
        <v>23</v>
      </c>
      <c r="M22" s="8" t="s">
        <v>23</v>
      </c>
      <c r="N22" s="8" t="s">
        <v>23</v>
      </c>
      <c r="O22" s="8" t="s">
        <v>23</v>
      </c>
      <c r="P22" s="8" t="s">
        <v>23</v>
      </c>
      <c r="Q22" s="8" t="s">
        <v>23</v>
      </c>
      <c r="R22" s="8"/>
      <c r="S22" s="8" t="s">
        <v>23</v>
      </c>
      <c r="T22" s="8" t="s">
        <v>23</v>
      </c>
      <c r="U22" s="8" t="s">
        <v>23</v>
      </c>
      <c r="V22" s="8" t="s">
        <v>23</v>
      </c>
      <c r="W22" s="8" t="s">
        <v>23</v>
      </c>
      <c r="X22" s="8" t="s">
        <v>23</v>
      </c>
      <c r="Y22" s="8"/>
      <c r="Z22" s="8" t="s">
        <v>23</v>
      </c>
      <c r="AA22" s="8" t="s">
        <v>23</v>
      </c>
      <c r="AB22" s="8" t="s">
        <v>23</v>
      </c>
      <c r="AC22" s="8" t="s">
        <v>23</v>
      </c>
      <c r="AD22" s="8" t="s">
        <v>23</v>
      </c>
      <c r="AE22" s="8" t="s">
        <v>23</v>
      </c>
      <c r="AF22" s="8"/>
      <c r="AG22" s="8" t="s">
        <v>23</v>
      </c>
      <c r="AH22" s="8" t="s">
        <v>23</v>
      </c>
      <c r="AI22" s="8" t="s">
        <v>23</v>
      </c>
      <c r="AJ22" s="8" t="s">
        <v>23</v>
      </c>
      <c r="AK22" s="5">
        <f>COUNTIF(F22:AJ22,"P")</f>
        <v>27</v>
      </c>
      <c r="AL22" s="5">
        <f>COUNTIF(F22:AJ22,"A")</f>
        <v>0</v>
      </c>
    </row>
    <row r="23" spans="1:42" x14ac:dyDescent="0.25">
      <c r="A23" s="6">
        <v>19</v>
      </c>
      <c r="B23" s="8">
        <v>622</v>
      </c>
      <c r="C23" s="17" t="s">
        <v>45</v>
      </c>
      <c r="D23" s="16"/>
      <c r="E23" s="7" t="s">
        <v>72</v>
      </c>
      <c r="F23" s="8" t="s">
        <v>23</v>
      </c>
      <c r="G23" s="8" t="s">
        <v>23</v>
      </c>
      <c r="H23" s="8" t="s">
        <v>23</v>
      </c>
      <c r="I23" s="8" t="s">
        <v>23</v>
      </c>
      <c r="J23" s="8" t="s">
        <v>23</v>
      </c>
      <c r="K23" s="8"/>
      <c r="L23" s="8" t="s">
        <v>23</v>
      </c>
      <c r="M23" s="8" t="s">
        <v>23</v>
      </c>
      <c r="N23" s="8" t="s">
        <v>23</v>
      </c>
      <c r="O23" s="8" t="s">
        <v>23</v>
      </c>
      <c r="P23" s="8" t="s">
        <v>23</v>
      </c>
      <c r="Q23" s="8" t="s">
        <v>23</v>
      </c>
      <c r="R23" s="8"/>
      <c r="S23" s="8" t="s">
        <v>23</v>
      </c>
      <c r="T23" s="8" t="s">
        <v>23</v>
      </c>
      <c r="U23" s="8" t="s">
        <v>23</v>
      </c>
      <c r="V23" s="8" t="s">
        <v>23</v>
      </c>
      <c r="W23" s="8" t="s">
        <v>23</v>
      </c>
      <c r="X23" s="8" t="s">
        <v>23</v>
      </c>
      <c r="Y23" s="8"/>
      <c r="Z23" s="8" t="s">
        <v>23</v>
      </c>
      <c r="AA23" s="8" t="s">
        <v>23</v>
      </c>
      <c r="AB23" s="8" t="s">
        <v>23</v>
      </c>
      <c r="AC23" s="8" t="s">
        <v>23</v>
      </c>
      <c r="AD23" s="8" t="s">
        <v>23</v>
      </c>
      <c r="AE23" s="8" t="s">
        <v>23</v>
      </c>
      <c r="AF23" s="8"/>
      <c r="AG23" s="8" t="s">
        <v>23</v>
      </c>
      <c r="AH23" s="8" t="s">
        <v>23</v>
      </c>
      <c r="AI23" s="8" t="s">
        <v>23</v>
      </c>
      <c r="AJ23" s="8" t="s">
        <v>23</v>
      </c>
      <c r="AK23" s="5">
        <f>COUNTIF(F23:AJ23,"P")</f>
        <v>27</v>
      </c>
      <c r="AL23" s="5">
        <f>COUNTIF(F23:AJ23,"A")</f>
        <v>0</v>
      </c>
    </row>
    <row r="24" spans="1:42" x14ac:dyDescent="0.25">
      <c r="A24" s="9">
        <v>20</v>
      </c>
      <c r="B24" s="8">
        <v>623</v>
      </c>
      <c r="C24" s="17" t="s">
        <v>46</v>
      </c>
      <c r="D24" s="16"/>
      <c r="E24" s="7" t="s">
        <v>72</v>
      </c>
      <c r="F24" s="8" t="s">
        <v>23</v>
      </c>
      <c r="G24" s="8" t="s">
        <v>23</v>
      </c>
      <c r="H24" s="8" t="s">
        <v>23</v>
      </c>
      <c r="I24" s="8" t="s">
        <v>23</v>
      </c>
      <c r="J24" s="8" t="s">
        <v>23</v>
      </c>
      <c r="K24" s="8"/>
      <c r="L24" s="8" t="s">
        <v>23</v>
      </c>
      <c r="M24" s="8" t="s">
        <v>23</v>
      </c>
      <c r="N24" s="8" t="s">
        <v>23</v>
      </c>
      <c r="O24" s="8" t="s">
        <v>23</v>
      </c>
      <c r="P24" s="8" t="s">
        <v>23</v>
      </c>
      <c r="Q24" s="8" t="s">
        <v>23</v>
      </c>
      <c r="R24" s="8"/>
      <c r="S24" s="8" t="s">
        <v>23</v>
      </c>
      <c r="T24" s="8" t="s">
        <v>23</v>
      </c>
      <c r="U24" s="8" t="s">
        <v>23</v>
      </c>
      <c r="V24" s="8" t="s">
        <v>23</v>
      </c>
      <c r="W24" s="8" t="s">
        <v>23</v>
      </c>
      <c r="X24" s="8" t="s">
        <v>23</v>
      </c>
      <c r="Y24" s="8"/>
      <c r="Z24" s="8" t="s">
        <v>23</v>
      </c>
      <c r="AA24" s="8" t="s">
        <v>23</v>
      </c>
      <c r="AB24" s="8" t="s">
        <v>23</v>
      </c>
      <c r="AC24" s="8" t="s">
        <v>23</v>
      </c>
      <c r="AD24" s="8" t="s">
        <v>23</v>
      </c>
      <c r="AE24" s="8" t="s">
        <v>23</v>
      </c>
      <c r="AF24" s="8"/>
      <c r="AG24" s="8" t="s">
        <v>23</v>
      </c>
      <c r="AH24" s="8" t="s">
        <v>23</v>
      </c>
      <c r="AI24" s="8" t="s">
        <v>23</v>
      </c>
      <c r="AJ24" s="8" t="s">
        <v>23</v>
      </c>
      <c r="AK24" s="5">
        <f>COUNTIF(F24:AJ24,"P")</f>
        <v>27</v>
      </c>
      <c r="AL24" s="5">
        <f>COUNTIF(F24:AJ24,"A")</f>
        <v>0</v>
      </c>
    </row>
    <row r="25" spans="1:42" x14ac:dyDescent="0.25">
      <c r="A25" s="6">
        <v>21</v>
      </c>
      <c r="B25" s="8">
        <v>624</v>
      </c>
      <c r="C25" s="17" t="s">
        <v>47</v>
      </c>
      <c r="D25" s="16"/>
      <c r="E25" s="7" t="s">
        <v>72</v>
      </c>
      <c r="F25" s="8" t="s">
        <v>23</v>
      </c>
      <c r="G25" s="8" t="s">
        <v>23</v>
      </c>
      <c r="H25" s="8" t="s">
        <v>23</v>
      </c>
      <c r="I25" s="8" t="s">
        <v>23</v>
      </c>
      <c r="J25" s="8" t="s">
        <v>23</v>
      </c>
      <c r="K25" s="8"/>
      <c r="L25" s="8" t="s">
        <v>23</v>
      </c>
      <c r="M25" s="8" t="s">
        <v>23</v>
      </c>
      <c r="N25" s="8" t="s">
        <v>23</v>
      </c>
      <c r="O25" s="8" t="s">
        <v>23</v>
      </c>
      <c r="P25" s="8" t="s">
        <v>23</v>
      </c>
      <c r="Q25" s="8" t="s">
        <v>23</v>
      </c>
      <c r="R25" s="8"/>
      <c r="S25" s="8" t="s">
        <v>23</v>
      </c>
      <c r="T25" s="8" t="s">
        <v>23</v>
      </c>
      <c r="U25" s="8" t="s">
        <v>23</v>
      </c>
      <c r="V25" s="8" t="s">
        <v>23</v>
      </c>
      <c r="W25" s="8" t="s">
        <v>23</v>
      </c>
      <c r="X25" s="8" t="s">
        <v>23</v>
      </c>
      <c r="Y25" s="8"/>
      <c r="Z25" s="8" t="s">
        <v>23</v>
      </c>
      <c r="AA25" s="8" t="s">
        <v>23</v>
      </c>
      <c r="AB25" s="8" t="s">
        <v>23</v>
      </c>
      <c r="AC25" s="8" t="s">
        <v>23</v>
      </c>
      <c r="AD25" s="8" t="s">
        <v>23</v>
      </c>
      <c r="AE25" s="8" t="s">
        <v>23</v>
      </c>
      <c r="AF25" s="8"/>
      <c r="AG25" s="8" t="s">
        <v>23</v>
      </c>
      <c r="AH25" s="8" t="s">
        <v>23</v>
      </c>
      <c r="AI25" s="8" t="s">
        <v>23</v>
      </c>
      <c r="AJ25" s="8" t="s">
        <v>23</v>
      </c>
      <c r="AK25" s="5">
        <f>COUNTIF(F25:AJ25,"P")</f>
        <v>27</v>
      </c>
      <c r="AL25" s="5">
        <f>COUNTIF(F25:AJ25,"A")</f>
        <v>0</v>
      </c>
    </row>
    <row r="26" spans="1:42" x14ac:dyDescent="0.25">
      <c r="A26" s="9">
        <v>22</v>
      </c>
      <c r="B26" s="8">
        <v>625</v>
      </c>
      <c r="C26" s="17" t="s">
        <v>48</v>
      </c>
      <c r="D26" s="16"/>
      <c r="E26" s="7" t="s">
        <v>72</v>
      </c>
      <c r="F26" s="8" t="s">
        <v>23</v>
      </c>
      <c r="G26" s="8" t="s">
        <v>23</v>
      </c>
      <c r="H26" s="8" t="s">
        <v>23</v>
      </c>
      <c r="I26" s="8" t="s">
        <v>23</v>
      </c>
      <c r="J26" s="8" t="s">
        <v>23</v>
      </c>
      <c r="K26" s="8"/>
      <c r="L26" s="8" t="s">
        <v>23</v>
      </c>
      <c r="M26" s="8" t="s">
        <v>23</v>
      </c>
      <c r="N26" s="8" t="s">
        <v>23</v>
      </c>
      <c r="O26" s="8" t="s">
        <v>23</v>
      </c>
      <c r="P26" s="8" t="s">
        <v>23</v>
      </c>
      <c r="Q26" s="8" t="s">
        <v>23</v>
      </c>
      <c r="R26" s="8"/>
      <c r="S26" s="8" t="s">
        <v>23</v>
      </c>
      <c r="T26" s="8" t="s">
        <v>23</v>
      </c>
      <c r="U26" s="8" t="s">
        <v>23</v>
      </c>
      <c r="V26" s="8" t="s">
        <v>23</v>
      </c>
      <c r="W26" s="8" t="s">
        <v>23</v>
      </c>
      <c r="X26" s="8" t="s">
        <v>23</v>
      </c>
      <c r="Y26" s="8"/>
      <c r="Z26" s="8" t="s">
        <v>23</v>
      </c>
      <c r="AA26" s="8" t="s">
        <v>23</v>
      </c>
      <c r="AB26" s="8" t="s">
        <v>23</v>
      </c>
      <c r="AC26" s="8" t="s">
        <v>23</v>
      </c>
      <c r="AD26" s="8" t="s">
        <v>23</v>
      </c>
      <c r="AE26" s="8" t="s">
        <v>23</v>
      </c>
      <c r="AF26" s="8"/>
      <c r="AG26" s="8" t="s">
        <v>23</v>
      </c>
      <c r="AH26" s="8" t="s">
        <v>23</v>
      </c>
      <c r="AI26" s="8" t="s">
        <v>23</v>
      </c>
      <c r="AJ26" s="8" t="s">
        <v>23</v>
      </c>
      <c r="AK26" s="5">
        <f>COUNTIF(F26:AJ26,"P")</f>
        <v>27</v>
      </c>
      <c r="AL26" s="5">
        <f>COUNTIF(F26:AJ26,"A")</f>
        <v>0</v>
      </c>
    </row>
    <row r="27" spans="1:42" x14ac:dyDescent="0.25">
      <c r="A27" s="6">
        <v>23</v>
      </c>
      <c r="B27" s="8">
        <v>626</v>
      </c>
      <c r="C27" s="17" t="s">
        <v>49</v>
      </c>
      <c r="D27" s="16"/>
      <c r="E27" s="7" t="s">
        <v>72</v>
      </c>
      <c r="F27" s="8" t="s">
        <v>23</v>
      </c>
      <c r="G27" s="8" t="s">
        <v>23</v>
      </c>
      <c r="H27" s="8" t="s">
        <v>23</v>
      </c>
      <c r="I27" s="8" t="s">
        <v>23</v>
      </c>
      <c r="J27" s="8" t="s">
        <v>23</v>
      </c>
      <c r="K27" s="8"/>
      <c r="L27" s="8" t="s">
        <v>23</v>
      </c>
      <c r="M27" s="8" t="s">
        <v>23</v>
      </c>
      <c r="N27" s="8" t="s">
        <v>23</v>
      </c>
      <c r="O27" s="8" t="s">
        <v>23</v>
      </c>
      <c r="P27" s="8" t="s">
        <v>23</v>
      </c>
      <c r="Q27" s="8" t="s">
        <v>23</v>
      </c>
      <c r="R27" s="8"/>
      <c r="S27" s="8" t="s">
        <v>23</v>
      </c>
      <c r="T27" s="8" t="s">
        <v>23</v>
      </c>
      <c r="U27" s="8" t="s">
        <v>23</v>
      </c>
      <c r="V27" s="8" t="s">
        <v>23</v>
      </c>
      <c r="W27" s="8" t="s">
        <v>23</v>
      </c>
      <c r="X27" s="8" t="s">
        <v>23</v>
      </c>
      <c r="Y27" s="8"/>
      <c r="Z27" s="8" t="s">
        <v>23</v>
      </c>
      <c r="AA27" s="8" t="s">
        <v>23</v>
      </c>
      <c r="AB27" s="8" t="s">
        <v>23</v>
      </c>
      <c r="AC27" s="8" t="s">
        <v>23</v>
      </c>
      <c r="AD27" s="8" t="s">
        <v>23</v>
      </c>
      <c r="AE27" s="8" t="s">
        <v>23</v>
      </c>
      <c r="AF27" s="8"/>
      <c r="AG27" s="8" t="s">
        <v>23</v>
      </c>
      <c r="AH27" s="8" t="s">
        <v>23</v>
      </c>
      <c r="AI27" s="8" t="s">
        <v>23</v>
      </c>
      <c r="AJ27" s="8" t="s">
        <v>23</v>
      </c>
      <c r="AK27" s="5">
        <f>COUNTIF(F27:AJ27,"P")</f>
        <v>27</v>
      </c>
      <c r="AL27" s="5">
        <f>COUNTIF(F27:AJ27,"A")</f>
        <v>0</v>
      </c>
    </row>
    <row r="28" spans="1:42" x14ac:dyDescent="0.25">
      <c r="A28" s="9">
        <v>24</v>
      </c>
      <c r="B28" s="8">
        <v>627</v>
      </c>
      <c r="C28" s="17" t="s">
        <v>50</v>
      </c>
      <c r="D28" s="16"/>
      <c r="E28" s="7" t="s">
        <v>72</v>
      </c>
      <c r="F28" s="8" t="s">
        <v>23</v>
      </c>
      <c r="G28" s="8" t="s">
        <v>23</v>
      </c>
      <c r="H28" s="8" t="s">
        <v>23</v>
      </c>
      <c r="I28" s="8" t="s">
        <v>23</v>
      </c>
      <c r="J28" s="8" t="s">
        <v>23</v>
      </c>
      <c r="K28" s="8"/>
      <c r="L28" s="8" t="s">
        <v>23</v>
      </c>
      <c r="M28" s="8" t="s">
        <v>23</v>
      </c>
      <c r="N28" s="8" t="s">
        <v>23</v>
      </c>
      <c r="O28" s="8" t="s">
        <v>23</v>
      </c>
      <c r="P28" s="8" t="s">
        <v>23</v>
      </c>
      <c r="Q28" s="8" t="s">
        <v>23</v>
      </c>
      <c r="R28" s="8"/>
      <c r="S28" s="8" t="s">
        <v>23</v>
      </c>
      <c r="T28" s="8" t="s">
        <v>23</v>
      </c>
      <c r="U28" s="8" t="s">
        <v>23</v>
      </c>
      <c r="V28" s="8" t="s">
        <v>23</v>
      </c>
      <c r="W28" s="8" t="s">
        <v>23</v>
      </c>
      <c r="X28" s="8" t="s">
        <v>23</v>
      </c>
      <c r="Y28" s="8"/>
      <c r="Z28" s="8" t="s">
        <v>23</v>
      </c>
      <c r="AA28" s="8" t="s">
        <v>23</v>
      </c>
      <c r="AB28" s="8" t="s">
        <v>23</v>
      </c>
      <c r="AC28" s="8" t="s">
        <v>23</v>
      </c>
      <c r="AD28" s="8" t="s">
        <v>23</v>
      </c>
      <c r="AE28" s="8" t="s">
        <v>23</v>
      </c>
      <c r="AF28" s="8"/>
      <c r="AG28" s="8" t="s">
        <v>23</v>
      </c>
      <c r="AH28" s="8" t="s">
        <v>23</v>
      </c>
      <c r="AI28" s="8" t="s">
        <v>23</v>
      </c>
      <c r="AJ28" s="8" t="s">
        <v>23</v>
      </c>
      <c r="AK28" s="5">
        <f>COUNTIF(F28:AJ28,"P")</f>
        <v>27</v>
      </c>
      <c r="AL28" s="5">
        <f>COUNTIF(F28:AJ28,"A")</f>
        <v>0</v>
      </c>
    </row>
    <row r="29" spans="1:42" x14ac:dyDescent="0.25">
      <c r="A29" s="6">
        <v>25</v>
      </c>
      <c r="B29" s="8">
        <v>628</v>
      </c>
      <c r="C29" s="17" t="s">
        <v>51</v>
      </c>
      <c r="D29" s="16"/>
      <c r="E29" s="7" t="s">
        <v>72</v>
      </c>
      <c r="F29" s="8" t="s">
        <v>23</v>
      </c>
      <c r="G29" s="8" t="s">
        <v>23</v>
      </c>
      <c r="H29" s="8" t="s">
        <v>23</v>
      </c>
      <c r="I29" s="8" t="s">
        <v>23</v>
      </c>
      <c r="J29" s="8" t="s">
        <v>23</v>
      </c>
      <c r="K29" s="8"/>
      <c r="L29" s="8" t="s">
        <v>23</v>
      </c>
      <c r="M29" s="8" t="s">
        <v>23</v>
      </c>
      <c r="N29" s="8" t="s">
        <v>23</v>
      </c>
      <c r="O29" s="8" t="s">
        <v>23</v>
      </c>
      <c r="P29" s="8" t="s">
        <v>23</v>
      </c>
      <c r="Q29" s="8" t="s">
        <v>23</v>
      </c>
      <c r="R29" s="8"/>
      <c r="S29" s="8" t="s">
        <v>23</v>
      </c>
      <c r="T29" s="8" t="s">
        <v>23</v>
      </c>
      <c r="U29" s="8" t="s">
        <v>23</v>
      </c>
      <c r="V29" s="8" t="s">
        <v>23</v>
      </c>
      <c r="W29" s="8" t="s">
        <v>23</v>
      </c>
      <c r="X29" s="8" t="s">
        <v>23</v>
      </c>
      <c r="Y29" s="8"/>
      <c r="Z29" s="8" t="s">
        <v>23</v>
      </c>
      <c r="AA29" s="8" t="s">
        <v>23</v>
      </c>
      <c r="AB29" s="8" t="s">
        <v>23</v>
      </c>
      <c r="AC29" s="8" t="s">
        <v>23</v>
      </c>
      <c r="AD29" s="8" t="s">
        <v>23</v>
      </c>
      <c r="AE29" s="8" t="s">
        <v>23</v>
      </c>
      <c r="AF29" s="8"/>
      <c r="AG29" s="8" t="s">
        <v>23</v>
      </c>
      <c r="AH29" s="8" t="s">
        <v>23</v>
      </c>
      <c r="AI29" s="8" t="s">
        <v>23</v>
      </c>
      <c r="AJ29" s="8" t="s">
        <v>23</v>
      </c>
      <c r="AK29" s="5">
        <f>COUNTIF(F29:AJ29,"P")</f>
        <v>27</v>
      </c>
      <c r="AL29" s="5">
        <f>COUNTIF(F29:AJ29,"A")</f>
        <v>0</v>
      </c>
    </row>
    <row r="30" spans="1:42" x14ac:dyDescent="0.25">
      <c r="A30" s="9">
        <v>26</v>
      </c>
      <c r="B30" s="8">
        <v>629</v>
      </c>
      <c r="C30" s="17" t="s">
        <v>52</v>
      </c>
      <c r="D30" s="16"/>
      <c r="E30" s="7" t="s">
        <v>72</v>
      </c>
      <c r="F30" s="8" t="s">
        <v>23</v>
      </c>
      <c r="G30" s="8" t="s">
        <v>23</v>
      </c>
      <c r="H30" s="8" t="s">
        <v>23</v>
      </c>
      <c r="I30" s="8" t="s">
        <v>23</v>
      </c>
      <c r="J30" s="8" t="s">
        <v>23</v>
      </c>
      <c r="K30" s="8"/>
      <c r="L30" s="8" t="s">
        <v>23</v>
      </c>
      <c r="M30" s="8" t="s">
        <v>23</v>
      </c>
      <c r="N30" s="8" t="s">
        <v>23</v>
      </c>
      <c r="O30" s="8" t="s">
        <v>23</v>
      </c>
      <c r="P30" s="8" t="s">
        <v>23</v>
      </c>
      <c r="Q30" s="8" t="s">
        <v>23</v>
      </c>
      <c r="R30" s="8"/>
      <c r="S30" s="8" t="s">
        <v>23</v>
      </c>
      <c r="T30" s="8" t="s">
        <v>23</v>
      </c>
      <c r="U30" s="8" t="s">
        <v>23</v>
      </c>
      <c r="V30" s="8" t="s">
        <v>23</v>
      </c>
      <c r="W30" s="8" t="s">
        <v>23</v>
      </c>
      <c r="X30" s="8" t="s">
        <v>23</v>
      </c>
      <c r="Y30" s="8"/>
      <c r="Z30" s="8" t="s">
        <v>23</v>
      </c>
      <c r="AA30" s="8" t="s">
        <v>23</v>
      </c>
      <c r="AB30" s="8" t="s">
        <v>23</v>
      </c>
      <c r="AC30" s="8" t="s">
        <v>23</v>
      </c>
      <c r="AD30" s="8" t="s">
        <v>23</v>
      </c>
      <c r="AE30" s="8" t="s">
        <v>23</v>
      </c>
      <c r="AF30" s="8"/>
      <c r="AG30" s="8" t="s">
        <v>23</v>
      </c>
      <c r="AH30" s="8" t="s">
        <v>23</v>
      </c>
      <c r="AI30" s="8" t="s">
        <v>23</v>
      </c>
      <c r="AJ30" s="8" t="s">
        <v>23</v>
      </c>
      <c r="AK30" s="5">
        <f>COUNTIF(F30:AJ30,"P")</f>
        <v>27</v>
      </c>
      <c r="AL30" s="5">
        <f>COUNTIF(F30:AJ30,"A")</f>
        <v>0</v>
      </c>
    </row>
    <row r="31" spans="1:42" x14ac:dyDescent="0.25">
      <c r="A31" s="6">
        <v>27</v>
      </c>
      <c r="B31" s="8">
        <v>630</v>
      </c>
      <c r="C31" s="17" t="s">
        <v>53</v>
      </c>
      <c r="D31" s="16"/>
      <c r="E31" s="7" t="s">
        <v>72</v>
      </c>
      <c r="F31" s="8" t="s">
        <v>23</v>
      </c>
      <c r="G31" s="8" t="s">
        <v>23</v>
      </c>
      <c r="H31" s="8" t="s">
        <v>23</v>
      </c>
      <c r="I31" s="8" t="s">
        <v>23</v>
      </c>
      <c r="J31" s="8" t="s">
        <v>23</v>
      </c>
      <c r="K31" s="8"/>
      <c r="L31" s="8" t="s">
        <v>23</v>
      </c>
      <c r="M31" s="8" t="s">
        <v>23</v>
      </c>
      <c r="N31" s="8" t="s">
        <v>23</v>
      </c>
      <c r="O31" s="8" t="s">
        <v>23</v>
      </c>
      <c r="P31" s="8" t="s">
        <v>23</v>
      </c>
      <c r="Q31" s="8" t="s">
        <v>23</v>
      </c>
      <c r="R31" s="8"/>
      <c r="S31" s="8" t="s">
        <v>23</v>
      </c>
      <c r="T31" s="8" t="s">
        <v>23</v>
      </c>
      <c r="U31" s="8" t="s">
        <v>23</v>
      </c>
      <c r="V31" s="8" t="s">
        <v>23</v>
      </c>
      <c r="W31" s="8" t="s">
        <v>23</v>
      </c>
      <c r="X31" s="8" t="s">
        <v>23</v>
      </c>
      <c r="Y31" s="8"/>
      <c r="Z31" s="8" t="s">
        <v>23</v>
      </c>
      <c r="AA31" s="8" t="s">
        <v>23</v>
      </c>
      <c r="AB31" s="8" t="s">
        <v>23</v>
      </c>
      <c r="AC31" s="8" t="s">
        <v>23</v>
      </c>
      <c r="AD31" s="8" t="s">
        <v>23</v>
      </c>
      <c r="AE31" s="8" t="s">
        <v>23</v>
      </c>
      <c r="AF31" s="8"/>
      <c r="AG31" s="8" t="s">
        <v>23</v>
      </c>
      <c r="AH31" s="8" t="s">
        <v>23</v>
      </c>
      <c r="AI31" s="8" t="s">
        <v>23</v>
      </c>
      <c r="AJ31" s="8" t="s">
        <v>23</v>
      </c>
      <c r="AK31" s="5">
        <f>COUNTIF(F31:AJ31,"P")</f>
        <v>27</v>
      </c>
      <c r="AL31" s="5">
        <f>COUNTIF(F31:AJ31,"A")</f>
        <v>0</v>
      </c>
    </row>
    <row r="32" spans="1:42" x14ac:dyDescent="0.25">
      <c r="A32" s="9">
        <v>28</v>
      </c>
      <c r="B32" s="8">
        <v>631</v>
      </c>
      <c r="C32" s="17" t="s">
        <v>26</v>
      </c>
      <c r="D32" s="16"/>
      <c r="E32" s="7" t="s">
        <v>72</v>
      </c>
      <c r="F32" s="8" t="s">
        <v>23</v>
      </c>
      <c r="G32" s="8" t="s">
        <v>23</v>
      </c>
      <c r="H32" s="8" t="s">
        <v>23</v>
      </c>
      <c r="I32" s="8" t="s">
        <v>23</v>
      </c>
      <c r="J32" s="8" t="s">
        <v>23</v>
      </c>
      <c r="K32" s="8"/>
      <c r="L32" s="8" t="s">
        <v>23</v>
      </c>
      <c r="M32" s="8" t="s">
        <v>23</v>
      </c>
      <c r="N32" s="8" t="s">
        <v>23</v>
      </c>
      <c r="O32" s="8" t="s">
        <v>23</v>
      </c>
      <c r="P32" s="8" t="s">
        <v>23</v>
      </c>
      <c r="Q32" s="8" t="s">
        <v>23</v>
      </c>
      <c r="R32" s="8"/>
      <c r="S32" s="8" t="s">
        <v>23</v>
      </c>
      <c r="T32" s="8" t="s">
        <v>23</v>
      </c>
      <c r="U32" s="8" t="s">
        <v>23</v>
      </c>
      <c r="V32" s="8" t="s">
        <v>23</v>
      </c>
      <c r="W32" s="8" t="s">
        <v>23</v>
      </c>
      <c r="X32" s="8" t="s">
        <v>23</v>
      </c>
      <c r="Y32" s="8"/>
      <c r="Z32" s="8" t="s">
        <v>23</v>
      </c>
      <c r="AA32" s="8" t="s">
        <v>23</v>
      </c>
      <c r="AB32" s="8" t="s">
        <v>23</v>
      </c>
      <c r="AC32" s="8" t="s">
        <v>23</v>
      </c>
      <c r="AD32" s="8" t="s">
        <v>23</v>
      </c>
      <c r="AE32" s="8" t="s">
        <v>23</v>
      </c>
      <c r="AF32" s="8"/>
      <c r="AG32" s="8" t="s">
        <v>23</v>
      </c>
      <c r="AH32" s="8" t="s">
        <v>23</v>
      </c>
      <c r="AI32" s="8" t="s">
        <v>23</v>
      </c>
      <c r="AJ32" s="8" t="s">
        <v>23</v>
      </c>
      <c r="AK32" s="5">
        <f>COUNTIF(F32:AJ32,"P")</f>
        <v>27</v>
      </c>
      <c r="AL32" s="5">
        <f>COUNTIF(F32:AJ32,"A")</f>
        <v>0</v>
      </c>
    </row>
    <row r="33" spans="1:38" x14ac:dyDescent="0.25">
      <c r="A33" s="6">
        <v>29</v>
      </c>
      <c r="B33" s="8">
        <v>632</v>
      </c>
      <c r="C33" s="17" t="s">
        <v>54</v>
      </c>
      <c r="D33" s="16"/>
      <c r="E33" s="7" t="s">
        <v>72</v>
      </c>
      <c r="F33" s="8" t="s">
        <v>23</v>
      </c>
      <c r="G33" s="8" t="s">
        <v>23</v>
      </c>
      <c r="H33" s="8" t="s">
        <v>23</v>
      </c>
      <c r="I33" s="8" t="s">
        <v>23</v>
      </c>
      <c r="J33" s="8" t="s">
        <v>23</v>
      </c>
      <c r="K33" s="8"/>
      <c r="L33" s="8" t="s">
        <v>23</v>
      </c>
      <c r="M33" s="8" t="s">
        <v>23</v>
      </c>
      <c r="N33" s="8" t="s">
        <v>23</v>
      </c>
      <c r="O33" s="8" t="s">
        <v>23</v>
      </c>
      <c r="P33" s="8" t="s">
        <v>23</v>
      </c>
      <c r="Q33" s="8" t="s">
        <v>23</v>
      </c>
      <c r="R33" s="8"/>
      <c r="S33" s="8" t="s">
        <v>23</v>
      </c>
      <c r="T33" s="8" t="s">
        <v>23</v>
      </c>
      <c r="U33" s="8" t="s">
        <v>23</v>
      </c>
      <c r="V33" s="8" t="s">
        <v>23</v>
      </c>
      <c r="W33" s="8" t="s">
        <v>23</v>
      </c>
      <c r="X33" s="8" t="s">
        <v>23</v>
      </c>
      <c r="Y33" s="8"/>
      <c r="Z33" s="8" t="s">
        <v>23</v>
      </c>
      <c r="AA33" s="8" t="s">
        <v>23</v>
      </c>
      <c r="AB33" s="8" t="s">
        <v>23</v>
      </c>
      <c r="AC33" s="8" t="s">
        <v>23</v>
      </c>
      <c r="AD33" s="8" t="s">
        <v>23</v>
      </c>
      <c r="AE33" s="8" t="s">
        <v>23</v>
      </c>
      <c r="AF33" s="8"/>
      <c r="AG33" s="8" t="s">
        <v>23</v>
      </c>
      <c r="AH33" s="8" t="s">
        <v>23</v>
      </c>
      <c r="AI33" s="8" t="s">
        <v>23</v>
      </c>
      <c r="AJ33" s="8" t="s">
        <v>23</v>
      </c>
      <c r="AK33" s="5">
        <f>COUNTIF(F33:AJ33,"P")</f>
        <v>27</v>
      </c>
      <c r="AL33" s="5">
        <f>COUNTIF(F33:AJ33,"A")</f>
        <v>0</v>
      </c>
    </row>
    <row r="34" spans="1:38" x14ac:dyDescent="0.25">
      <c r="A34" s="9">
        <v>30</v>
      </c>
      <c r="B34" s="8">
        <v>481</v>
      </c>
      <c r="C34" s="15" t="s">
        <v>55</v>
      </c>
      <c r="D34" s="16"/>
      <c r="E34" s="7" t="s">
        <v>72</v>
      </c>
      <c r="F34" s="8" t="s">
        <v>23</v>
      </c>
      <c r="G34" s="8" t="s">
        <v>23</v>
      </c>
      <c r="H34" s="8" t="s">
        <v>23</v>
      </c>
      <c r="I34" s="8" t="s">
        <v>23</v>
      </c>
      <c r="J34" s="8" t="s">
        <v>23</v>
      </c>
      <c r="K34" s="8"/>
      <c r="L34" s="8" t="s">
        <v>23</v>
      </c>
      <c r="M34" s="8" t="s">
        <v>23</v>
      </c>
      <c r="N34" s="8" t="s">
        <v>23</v>
      </c>
      <c r="O34" s="8" t="s">
        <v>23</v>
      </c>
      <c r="P34" s="8" t="s">
        <v>23</v>
      </c>
      <c r="Q34" s="8" t="s">
        <v>23</v>
      </c>
      <c r="R34" s="8"/>
      <c r="S34" s="8" t="s">
        <v>23</v>
      </c>
      <c r="T34" s="8" t="s">
        <v>23</v>
      </c>
      <c r="U34" s="8" t="s">
        <v>23</v>
      </c>
      <c r="V34" s="8" t="s">
        <v>23</v>
      </c>
      <c r="W34" s="8" t="s">
        <v>23</v>
      </c>
      <c r="X34" s="8" t="s">
        <v>23</v>
      </c>
      <c r="Y34" s="8"/>
      <c r="Z34" s="8" t="s">
        <v>23</v>
      </c>
      <c r="AA34" s="8" t="s">
        <v>23</v>
      </c>
      <c r="AB34" s="8" t="s">
        <v>23</v>
      </c>
      <c r="AC34" s="8" t="s">
        <v>23</v>
      </c>
      <c r="AD34" s="8" t="s">
        <v>23</v>
      </c>
      <c r="AE34" s="8" t="s">
        <v>23</v>
      </c>
      <c r="AF34" s="8"/>
      <c r="AG34" s="8" t="s">
        <v>23</v>
      </c>
      <c r="AH34" s="8" t="s">
        <v>23</v>
      </c>
      <c r="AI34" s="8" t="s">
        <v>23</v>
      </c>
      <c r="AJ34" s="8" t="s">
        <v>23</v>
      </c>
      <c r="AK34" s="5">
        <f>COUNTIF(F34:AJ34,"P")</f>
        <v>27</v>
      </c>
      <c r="AL34" s="5">
        <f>COUNTIF(F34:AJ34,"A")</f>
        <v>0</v>
      </c>
    </row>
    <row r="35" spans="1:38" x14ac:dyDescent="0.25">
      <c r="A35" s="6">
        <v>31</v>
      </c>
      <c r="B35" s="8">
        <v>482</v>
      </c>
      <c r="C35" s="17" t="s">
        <v>56</v>
      </c>
      <c r="D35" s="16"/>
      <c r="E35" s="7" t="s">
        <v>72</v>
      </c>
      <c r="F35" s="8" t="s">
        <v>23</v>
      </c>
      <c r="G35" s="8" t="s">
        <v>23</v>
      </c>
      <c r="H35" s="8" t="s">
        <v>23</v>
      </c>
      <c r="I35" s="8" t="s">
        <v>23</v>
      </c>
      <c r="J35" s="8" t="s">
        <v>23</v>
      </c>
      <c r="K35" s="8"/>
      <c r="L35" s="8" t="s">
        <v>23</v>
      </c>
      <c r="M35" s="8" t="s">
        <v>23</v>
      </c>
      <c r="N35" s="8" t="s">
        <v>23</v>
      </c>
      <c r="O35" s="8" t="s">
        <v>23</v>
      </c>
      <c r="P35" s="8" t="s">
        <v>23</v>
      </c>
      <c r="Q35" s="8" t="s">
        <v>23</v>
      </c>
      <c r="R35" s="8"/>
      <c r="S35" s="8" t="s">
        <v>23</v>
      </c>
      <c r="T35" s="8" t="s">
        <v>23</v>
      </c>
      <c r="U35" s="8" t="s">
        <v>23</v>
      </c>
      <c r="V35" s="8" t="s">
        <v>23</v>
      </c>
      <c r="W35" s="8" t="s">
        <v>23</v>
      </c>
      <c r="X35" s="8" t="s">
        <v>23</v>
      </c>
      <c r="Y35" s="8"/>
      <c r="Z35" s="8" t="s">
        <v>23</v>
      </c>
      <c r="AA35" s="8" t="s">
        <v>23</v>
      </c>
      <c r="AB35" s="8" t="s">
        <v>23</v>
      </c>
      <c r="AC35" s="8" t="s">
        <v>23</v>
      </c>
      <c r="AD35" s="8" t="s">
        <v>23</v>
      </c>
      <c r="AE35" s="8" t="s">
        <v>23</v>
      </c>
      <c r="AF35" s="8"/>
      <c r="AG35" s="8" t="s">
        <v>23</v>
      </c>
      <c r="AH35" s="8" t="s">
        <v>23</v>
      </c>
      <c r="AI35" s="8" t="s">
        <v>23</v>
      </c>
      <c r="AJ35" s="8" t="s">
        <v>23</v>
      </c>
      <c r="AK35" s="5">
        <f>COUNTIF(F35:AJ35,"P")</f>
        <v>27</v>
      </c>
      <c r="AL35" s="5">
        <f>COUNTIF(F35:AJ35,"A")</f>
        <v>0</v>
      </c>
    </row>
    <row r="36" spans="1:38" x14ac:dyDescent="0.25">
      <c r="A36" s="9">
        <v>32</v>
      </c>
      <c r="B36" s="8">
        <v>483</v>
      </c>
      <c r="C36" s="17" t="s">
        <v>57</v>
      </c>
      <c r="D36" s="16"/>
      <c r="E36" s="7" t="s">
        <v>72</v>
      </c>
      <c r="F36" s="8" t="s">
        <v>23</v>
      </c>
      <c r="G36" s="8" t="s">
        <v>23</v>
      </c>
      <c r="H36" s="8" t="s">
        <v>23</v>
      </c>
      <c r="I36" s="8" t="s">
        <v>23</v>
      </c>
      <c r="J36" s="8" t="s">
        <v>23</v>
      </c>
      <c r="K36" s="8"/>
      <c r="L36" s="8" t="s">
        <v>23</v>
      </c>
      <c r="M36" s="8" t="s">
        <v>23</v>
      </c>
      <c r="N36" s="8" t="s">
        <v>23</v>
      </c>
      <c r="O36" s="8" t="s">
        <v>23</v>
      </c>
      <c r="P36" s="8" t="s">
        <v>23</v>
      </c>
      <c r="Q36" s="8" t="s">
        <v>23</v>
      </c>
      <c r="R36" s="8"/>
      <c r="S36" s="8" t="s">
        <v>23</v>
      </c>
      <c r="T36" s="8" t="s">
        <v>23</v>
      </c>
      <c r="U36" s="8" t="s">
        <v>23</v>
      </c>
      <c r="V36" s="8" t="s">
        <v>23</v>
      </c>
      <c r="W36" s="8" t="s">
        <v>23</v>
      </c>
      <c r="X36" s="8" t="s">
        <v>23</v>
      </c>
      <c r="Y36" s="8"/>
      <c r="Z36" s="8" t="s">
        <v>23</v>
      </c>
      <c r="AA36" s="8" t="s">
        <v>23</v>
      </c>
      <c r="AB36" s="8" t="s">
        <v>23</v>
      </c>
      <c r="AC36" s="8" t="s">
        <v>23</v>
      </c>
      <c r="AD36" s="8" t="s">
        <v>23</v>
      </c>
      <c r="AE36" s="8" t="s">
        <v>23</v>
      </c>
      <c r="AF36" s="8"/>
      <c r="AG36" s="8" t="s">
        <v>23</v>
      </c>
      <c r="AH36" s="8" t="s">
        <v>23</v>
      </c>
      <c r="AI36" s="8" t="s">
        <v>23</v>
      </c>
      <c r="AJ36" s="8" t="s">
        <v>23</v>
      </c>
      <c r="AK36" s="5">
        <f>COUNTIF(F36:AJ36,"P")</f>
        <v>27</v>
      </c>
      <c r="AL36" s="5">
        <f>COUNTIF(F36:AJ36,"A")</f>
        <v>0</v>
      </c>
    </row>
    <row r="37" spans="1:38" x14ac:dyDescent="0.25">
      <c r="A37" s="6">
        <v>33</v>
      </c>
      <c r="B37" s="8">
        <v>484</v>
      </c>
      <c r="C37" s="17" t="s">
        <v>58</v>
      </c>
      <c r="D37" s="16"/>
      <c r="E37" s="7" t="s">
        <v>72</v>
      </c>
      <c r="F37" s="8" t="s">
        <v>23</v>
      </c>
      <c r="G37" s="8" t="s">
        <v>23</v>
      </c>
      <c r="H37" s="8" t="s">
        <v>23</v>
      </c>
      <c r="I37" s="8" t="s">
        <v>23</v>
      </c>
      <c r="J37" s="8" t="s">
        <v>23</v>
      </c>
      <c r="K37" s="8"/>
      <c r="L37" s="8" t="s">
        <v>23</v>
      </c>
      <c r="M37" s="8" t="s">
        <v>23</v>
      </c>
      <c r="N37" s="8" t="s">
        <v>23</v>
      </c>
      <c r="O37" s="8" t="s">
        <v>23</v>
      </c>
      <c r="P37" s="8" t="s">
        <v>23</v>
      </c>
      <c r="Q37" s="8" t="s">
        <v>23</v>
      </c>
      <c r="R37" s="8"/>
      <c r="S37" s="8" t="s">
        <v>23</v>
      </c>
      <c r="T37" s="8" t="s">
        <v>23</v>
      </c>
      <c r="U37" s="8" t="s">
        <v>23</v>
      </c>
      <c r="V37" s="8" t="s">
        <v>23</v>
      </c>
      <c r="W37" s="8" t="s">
        <v>23</v>
      </c>
      <c r="X37" s="8" t="s">
        <v>23</v>
      </c>
      <c r="Y37" s="8"/>
      <c r="Z37" s="8" t="s">
        <v>23</v>
      </c>
      <c r="AA37" s="8" t="s">
        <v>23</v>
      </c>
      <c r="AB37" s="8" t="s">
        <v>23</v>
      </c>
      <c r="AC37" s="8" t="s">
        <v>23</v>
      </c>
      <c r="AD37" s="8" t="s">
        <v>23</v>
      </c>
      <c r="AE37" s="8" t="s">
        <v>23</v>
      </c>
      <c r="AF37" s="8"/>
      <c r="AG37" s="8" t="s">
        <v>23</v>
      </c>
      <c r="AH37" s="8" t="s">
        <v>23</v>
      </c>
      <c r="AI37" s="8" t="s">
        <v>23</v>
      </c>
      <c r="AJ37" s="8" t="s">
        <v>23</v>
      </c>
      <c r="AK37" s="5">
        <f>COUNTIF(F37:AJ37,"P")</f>
        <v>27</v>
      </c>
      <c r="AL37" s="5">
        <f>COUNTIF(F37:AJ37,"A")</f>
        <v>0</v>
      </c>
    </row>
    <row r="38" spans="1:38" x14ac:dyDescent="0.25">
      <c r="A38" s="9">
        <v>34</v>
      </c>
      <c r="B38" s="8">
        <v>485</v>
      </c>
      <c r="C38" s="17" t="s">
        <v>59</v>
      </c>
      <c r="D38" s="16"/>
      <c r="E38" s="7" t="s">
        <v>72</v>
      </c>
      <c r="F38" s="8" t="s">
        <v>23</v>
      </c>
      <c r="G38" s="8" t="s">
        <v>23</v>
      </c>
      <c r="H38" s="8" t="s">
        <v>23</v>
      </c>
      <c r="I38" s="8" t="s">
        <v>23</v>
      </c>
      <c r="J38" s="8" t="s">
        <v>23</v>
      </c>
      <c r="K38" s="8"/>
      <c r="L38" s="8" t="s">
        <v>23</v>
      </c>
      <c r="M38" s="8" t="s">
        <v>23</v>
      </c>
      <c r="N38" s="8" t="s">
        <v>23</v>
      </c>
      <c r="O38" s="8" t="s">
        <v>23</v>
      </c>
      <c r="P38" s="8" t="s">
        <v>23</v>
      </c>
      <c r="Q38" s="8" t="s">
        <v>23</v>
      </c>
      <c r="R38" s="8"/>
      <c r="S38" s="8" t="s">
        <v>23</v>
      </c>
      <c r="T38" s="8" t="s">
        <v>23</v>
      </c>
      <c r="U38" s="8" t="s">
        <v>23</v>
      </c>
      <c r="V38" s="8" t="s">
        <v>23</v>
      </c>
      <c r="W38" s="8" t="s">
        <v>23</v>
      </c>
      <c r="X38" s="8" t="s">
        <v>23</v>
      </c>
      <c r="Y38" s="8"/>
      <c r="Z38" s="8" t="s">
        <v>23</v>
      </c>
      <c r="AA38" s="8" t="s">
        <v>23</v>
      </c>
      <c r="AB38" s="8" t="s">
        <v>23</v>
      </c>
      <c r="AC38" s="8" t="s">
        <v>23</v>
      </c>
      <c r="AD38" s="8" t="s">
        <v>23</v>
      </c>
      <c r="AE38" s="8" t="s">
        <v>23</v>
      </c>
      <c r="AF38" s="8"/>
      <c r="AG38" s="8" t="s">
        <v>23</v>
      </c>
      <c r="AH38" s="8" t="s">
        <v>23</v>
      </c>
      <c r="AI38" s="8" t="s">
        <v>23</v>
      </c>
      <c r="AJ38" s="8" t="s">
        <v>23</v>
      </c>
      <c r="AK38" s="5">
        <f>COUNTIF(F38:AJ38,"P")</f>
        <v>27</v>
      </c>
      <c r="AL38" s="5">
        <f>COUNTIF(F38:AJ38,"A")</f>
        <v>0</v>
      </c>
    </row>
    <row r="39" spans="1:38" x14ac:dyDescent="0.25">
      <c r="A39" s="6">
        <v>35</v>
      </c>
      <c r="B39" s="8">
        <v>486</v>
      </c>
      <c r="C39" s="17" t="s">
        <v>60</v>
      </c>
      <c r="D39" s="16"/>
      <c r="E39" s="7" t="s">
        <v>72</v>
      </c>
      <c r="F39" s="8" t="s">
        <v>23</v>
      </c>
      <c r="G39" s="8" t="s">
        <v>23</v>
      </c>
      <c r="H39" s="8" t="s">
        <v>23</v>
      </c>
      <c r="I39" s="8" t="s">
        <v>23</v>
      </c>
      <c r="J39" s="8" t="s">
        <v>23</v>
      </c>
      <c r="K39" s="8"/>
      <c r="L39" s="8" t="s">
        <v>23</v>
      </c>
      <c r="M39" s="8" t="s">
        <v>23</v>
      </c>
      <c r="N39" s="8" t="s">
        <v>23</v>
      </c>
      <c r="O39" s="8" t="s">
        <v>23</v>
      </c>
      <c r="P39" s="8" t="s">
        <v>23</v>
      </c>
      <c r="Q39" s="8" t="s">
        <v>23</v>
      </c>
      <c r="R39" s="8"/>
      <c r="S39" s="8" t="s">
        <v>23</v>
      </c>
      <c r="T39" s="8" t="s">
        <v>23</v>
      </c>
      <c r="U39" s="8" t="s">
        <v>23</v>
      </c>
      <c r="V39" s="8" t="s">
        <v>23</v>
      </c>
      <c r="W39" s="8" t="s">
        <v>23</v>
      </c>
      <c r="X39" s="8" t="s">
        <v>23</v>
      </c>
      <c r="Y39" s="8"/>
      <c r="Z39" s="8" t="s">
        <v>23</v>
      </c>
      <c r="AA39" s="8" t="s">
        <v>23</v>
      </c>
      <c r="AB39" s="8" t="s">
        <v>23</v>
      </c>
      <c r="AC39" s="8" t="s">
        <v>23</v>
      </c>
      <c r="AD39" s="8" t="s">
        <v>23</v>
      </c>
      <c r="AE39" s="8" t="s">
        <v>23</v>
      </c>
      <c r="AF39" s="8"/>
      <c r="AG39" s="8" t="s">
        <v>23</v>
      </c>
      <c r="AH39" s="8" t="s">
        <v>23</v>
      </c>
      <c r="AI39" s="8" t="s">
        <v>23</v>
      </c>
      <c r="AJ39" s="8" t="s">
        <v>23</v>
      </c>
      <c r="AK39" s="5">
        <f>COUNTIF(F39:AJ39,"P")</f>
        <v>27</v>
      </c>
      <c r="AL39" s="5">
        <f>COUNTIF(F39:AJ39,"A")</f>
        <v>0</v>
      </c>
    </row>
    <row r="40" spans="1:38" x14ac:dyDescent="0.25">
      <c r="A40" s="9">
        <v>36</v>
      </c>
      <c r="B40" s="8">
        <v>487</v>
      </c>
      <c r="C40" s="17" t="s">
        <v>61</v>
      </c>
      <c r="D40" s="16"/>
      <c r="E40" s="7" t="s">
        <v>72</v>
      </c>
      <c r="F40" s="8" t="s">
        <v>23</v>
      </c>
      <c r="G40" s="8" t="s">
        <v>23</v>
      </c>
      <c r="H40" s="8" t="s">
        <v>23</v>
      </c>
      <c r="I40" s="8" t="s">
        <v>23</v>
      </c>
      <c r="J40" s="8" t="s">
        <v>23</v>
      </c>
      <c r="K40" s="8"/>
      <c r="L40" s="8" t="s">
        <v>23</v>
      </c>
      <c r="M40" s="8" t="s">
        <v>23</v>
      </c>
      <c r="N40" s="8" t="s">
        <v>23</v>
      </c>
      <c r="O40" s="8" t="s">
        <v>23</v>
      </c>
      <c r="P40" s="8" t="s">
        <v>23</v>
      </c>
      <c r="Q40" s="8" t="s">
        <v>23</v>
      </c>
      <c r="R40" s="8"/>
      <c r="S40" s="8" t="s">
        <v>23</v>
      </c>
      <c r="T40" s="8" t="s">
        <v>23</v>
      </c>
      <c r="U40" s="8" t="s">
        <v>23</v>
      </c>
      <c r="V40" s="8" t="s">
        <v>23</v>
      </c>
      <c r="W40" s="8" t="s">
        <v>23</v>
      </c>
      <c r="X40" s="8" t="s">
        <v>23</v>
      </c>
      <c r="Y40" s="8"/>
      <c r="Z40" s="8" t="s">
        <v>23</v>
      </c>
      <c r="AA40" s="8" t="s">
        <v>23</v>
      </c>
      <c r="AB40" s="8" t="s">
        <v>23</v>
      </c>
      <c r="AC40" s="8" t="s">
        <v>23</v>
      </c>
      <c r="AD40" s="8" t="s">
        <v>23</v>
      </c>
      <c r="AE40" s="8" t="s">
        <v>23</v>
      </c>
      <c r="AF40" s="8"/>
      <c r="AG40" s="8" t="s">
        <v>23</v>
      </c>
      <c r="AH40" s="8" t="s">
        <v>23</v>
      </c>
      <c r="AI40" s="8" t="s">
        <v>23</v>
      </c>
      <c r="AJ40" s="8" t="s">
        <v>23</v>
      </c>
      <c r="AK40" s="5">
        <f>COUNTIF(F40:AJ40,"P")</f>
        <v>27</v>
      </c>
      <c r="AL40" s="5">
        <f>COUNTIF(F40:AJ40,"A")</f>
        <v>0</v>
      </c>
    </row>
    <row r="41" spans="1:38" x14ac:dyDescent="0.25">
      <c r="A41" s="6">
        <v>37</v>
      </c>
      <c r="B41" s="8">
        <v>488</v>
      </c>
      <c r="C41" s="17" t="s">
        <v>62</v>
      </c>
      <c r="D41" s="16"/>
      <c r="E41" s="7" t="s">
        <v>72</v>
      </c>
      <c r="F41" s="8" t="s">
        <v>23</v>
      </c>
      <c r="G41" s="8" t="s">
        <v>23</v>
      </c>
      <c r="H41" s="8" t="s">
        <v>23</v>
      </c>
      <c r="I41" s="8" t="s">
        <v>23</v>
      </c>
      <c r="J41" s="8" t="s">
        <v>23</v>
      </c>
      <c r="K41" s="8"/>
      <c r="L41" s="8" t="s">
        <v>23</v>
      </c>
      <c r="M41" s="8" t="s">
        <v>23</v>
      </c>
      <c r="N41" s="8" t="s">
        <v>23</v>
      </c>
      <c r="O41" s="8" t="s">
        <v>23</v>
      </c>
      <c r="P41" s="8" t="s">
        <v>23</v>
      </c>
      <c r="Q41" s="8" t="s">
        <v>23</v>
      </c>
      <c r="R41" s="8"/>
      <c r="S41" s="8" t="s">
        <v>23</v>
      </c>
      <c r="T41" s="8" t="s">
        <v>23</v>
      </c>
      <c r="U41" s="8" t="s">
        <v>23</v>
      </c>
      <c r="V41" s="8" t="s">
        <v>23</v>
      </c>
      <c r="W41" s="8" t="s">
        <v>23</v>
      </c>
      <c r="X41" s="8" t="s">
        <v>23</v>
      </c>
      <c r="Y41" s="8"/>
      <c r="Z41" s="8" t="s">
        <v>23</v>
      </c>
      <c r="AA41" s="8" t="s">
        <v>23</v>
      </c>
      <c r="AB41" s="8" t="s">
        <v>23</v>
      </c>
      <c r="AC41" s="8" t="s">
        <v>23</v>
      </c>
      <c r="AD41" s="8" t="s">
        <v>23</v>
      </c>
      <c r="AE41" s="8" t="s">
        <v>23</v>
      </c>
      <c r="AF41" s="8"/>
      <c r="AG41" s="8" t="s">
        <v>23</v>
      </c>
      <c r="AH41" s="8" t="s">
        <v>23</v>
      </c>
      <c r="AI41" s="8" t="s">
        <v>23</v>
      </c>
      <c r="AJ41" s="8" t="s">
        <v>23</v>
      </c>
      <c r="AK41" s="5">
        <f>COUNTIF(F41:AJ41,"P")</f>
        <v>27</v>
      </c>
      <c r="AL41" s="5">
        <f>COUNTIF(F41:AJ41,"A")</f>
        <v>0</v>
      </c>
    </row>
    <row r="42" spans="1:38" x14ac:dyDescent="0.25">
      <c r="A42" s="9">
        <v>38</v>
      </c>
      <c r="B42" s="8">
        <v>489</v>
      </c>
      <c r="C42" s="17" t="s">
        <v>63</v>
      </c>
      <c r="D42" s="16"/>
      <c r="E42" s="7" t="s">
        <v>72</v>
      </c>
      <c r="F42" s="8" t="s">
        <v>23</v>
      </c>
      <c r="G42" s="8" t="s">
        <v>23</v>
      </c>
      <c r="H42" s="8" t="s">
        <v>23</v>
      </c>
      <c r="I42" s="8" t="s">
        <v>23</v>
      </c>
      <c r="J42" s="8" t="s">
        <v>23</v>
      </c>
      <c r="K42" s="8"/>
      <c r="L42" s="8" t="s">
        <v>23</v>
      </c>
      <c r="M42" s="8" t="s">
        <v>23</v>
      </c>
      <c r="N42" s="8" t="s">
        <v>23</v>
      </c>
      <c r="O42" s="8" t="s">
        <v>23</v>
      </c>
      <c r="P42" s="8" t="s">
        <v>23</v>
      </c>
      <c r="Q42" s="8" t="s">
        <v>23</v>
      </c>
      <c r="R42" s="8"/>
      <c r="S42" s="8" t="s">
        <v>23</v>
      </c>
      <c r="T42" s="8" t="s">
        <v>23</v>
      </c>
      <c r="U42" s="8" t="s">
        <v>23</v>
      </c>
      <c r="V42" s="8" t="s">
        <v>23</v>
      </c>
      <c r="W42" s="8" t="s">
        <v>23</v>
      </c>
      <c r="X42" s="8" t="s">
        <v>23</v>
      </c>
      <c r="Y42" s="8"/>
      <c r="Z42" s="8" t="s">
        <v>23</v>
      </c>
      <c r="AA42" s="8" t="s">
        <v>23</v>
      </c>
      <c r="AB42" s="8" t="s">
        <v>23</v>
      </c>
      <c r="AC42" s="8" t="s">
        <v>23</v>
      </c>
      <c r="AD42" s="8" t="s">
        <v>23</v>
      </c>
      <c r="AE42" s="8" t="s">
        <v>23</v>
      </c>
      <c r="AF42" s="8"/>
      <c r="AG42" s="8" t="s">
        <v>23</v>
      </c>
      <c r="AH42" s="8" t="s">
        <v>23</v>
      </c>
      <c r="AI42" s="8" t="s">
        <v>23</v>
      </c>
      <c r="AJ42" s="8" t="s">
        <v>23</v>
      </c>
      <c r="AK42" s="5">
        <f>COUNTIF(F42:AJ42,"P")</f>
        <v>27</v>
      </c>
      <c r="AL42" s="5">
        <f>COUNTIF(F42:AJ42,"A")</f>
        <v>0</v>
      </c>
    </row>
    <row r="43" spans="1:38" x14ac:dyDescent="0.25">
      <c r="A43" s="6">
        <v>39</v>
      </c>
      <c r="B43" s="8">
        <v>490</v>
      </c>
      <c r="C43" s="15" t="s">
        <v>64</v>
      </c>
      <c r="D43" s="16"/>
      <c r="E43" s="7" t="s">
        <v>72</v>
      </c>
      <c r="F43" s="8" t="s">
        <v>23</v>
      </c>
      <c r="G43" s="8" t="s">
        <v>23</v>
      </c>
      <c r="H43" s="8" t="s">
        <v>23</v>
      </c>
      <c r="I43" s="8" t="s">
        <v>23</v>
      </c>
      <c r="J43" s="8" t="s">
        <v>23</v>
      </c>
      <c r="K43" s="8"/>
      <c r="L43" s="8" t="s">
        <v>23</v>
      </c>
      <c r="M43" s="8" t="s">
        <v>23</v>
      </c>
      <c r="N43" s="8" t="s">
        <v>23</v>
      </c>
      <c r="O43" s="8" t="s">
        <v>23</v>
      </c>
      <c r="P43" s="8" t="s">
        <v>23</v>
      </c>
      <c r="Q43" s="8" t="s">
        <v>23</v>
      </c>
      <c r="R43" s="8"/>
      <c r="S43" s="8" t="s">
        <v>23</v>
      </c>
      <c r="T43" s="8" t="s">
        <v>23</v>
      </c>
      <c r="U43" s="8" t="s">
        <v>23</v>
      </c>
      <c r="V43" s="8" t="s">
        <v>23</v>
      </c>
      <c r="W43" s="8" t="s">
        <v>23</v>
      </c>
      <c r="X43" s="8" t="s">
        <v>23</v>
      </c>
      <c r="Y43" s="8"/>
      <c r="Z43" s="8" t="s">
        <v>23</v>
      </c>
      <c r="AA43" s="8" t="s">
        <v>23</v>
      </c>
      <c r="AB43" s="8" t="s">
        <v>23</v>
      </c>
      <c r="AC43" s="8" t="s">
        <v>23</v>
      </c>
      <c r="AD43" s="8" t="s">
        <v>23</v>
      </c>
      <c r="AE43" s="8" t="s">
        <v>23</v>
      </c>
      <c r="AF43" s="8"/>
      <c r="AG43" s="8" t="s">
        <v>23</v>
      </c>
      <c r="AH43" s="8" t="s">
        <v>23</v>
      </c>
      <c r="AI43" s="8" t="s">
        <v>23</v>
      </c>
      <c r="AJ43" s="8" t="s">
        <v>23</v>
      </c>
      <c r="AK43" s="5">
        <f>COUNTIF(F43:AJ43,"P")</f>
        <v>27</v>
      </c>
      <c r="AL43" s="5">
        <f>COUNTIF(F43:AJ43,"A")</f>
        <v>0</v>
      </c>
    </row>
    <row r="44" spans="1:38" x14ac:dyDescent="0.25">
      <c r="A44" s="9">
        <v>40</v>
      </c>
      <c r="B44" s="8">
        <v>491</v>
      </c>
      <c r="C44" s="15" t="s">
        <v>24</v>
      </c>
      <c r="D44" s="16"/>
      <c r="E44" s="7" t="s">
        <v>72</v>
      </c>
      <c r="F44" s="8" t="s">
        <v>23</v>
      </c>
      <c r="G44" s="8" t="s">
        <v>23</v>
      </c>
      <c r="H44" s="8" t="s">
        <v>23</v>
      </c>
      <c r="I44" s="8" t="s">
        <v>23</v>
      </c>
      <c r="J44" s="8" t="s">
        <v>23</v>
      </c>
      <c r="K44" s="8"/>
      <c r="L44" s="8" t="s">
        <v>23</v>
      </c>
      <c r="M44" s="8" t="s">
        <v>23</v>
      </c>
      <c r="N44" s="8" t="s">
        <v>23</v>
      </c>
      <c r="O44" s="8" t="s">
        <v>23</v>
      </c>
      <c r="P44" s="8" t="s">
        <v>23</v>
      </c>
      <c r="Q44" s="8" t="s">
        <v>23</v>
      </c>
      <c r="R44" s="8"/>
      <c r="S44" s="8" t="s">
        <v>23</v>
      </c>
      <c r="T44" s="8" t="s">
        <v>23</v>
      </c>
      <c r="U44" s="8" t="s">
        <v>23</v>
      </c>
      <c r="V44" s="8" t="s">
        <v>23</v>
      </c>
      <c r="W44" s="8" t="s">
        <v>23</v>
      </c>
      <c r="X44" s="8" t="s">
        <v>23</v>
      </c>
      <c r="Y44" s="8"/>
      <c r="Z44" s="8" t="s">
        <v>23</v>
      </c>
      <c r="AA44" s="8" t="s">
        <v>23</v>
      </c>
      <c r="AB44" s="8" t="s">
        <v>23</v>
      </c>
      <c r="AC44" s="8" t="s">
        <v>23</v>
      </c>
      <c r="AD44" s="8" t="s">
        <v>23</v>
      </c>
      <c r="AE44" s="8" t="s">
        <v>23</v>
      </c>
      <c r="AF44" s="8"/>
      <c r="AG44" s="8" t="s">
        <v>23</v>
      </c>
      <c r="AH44" s="8" t="s">
        <v>23</v>
      </c>
      <c r="AI44" s="8" t="s">
        <v>23</v>
      </c>
      <c r="AJ44" s="8" t="s">
        <v>23</v>
      </c>
      <c r="AK44" s="5">
        <f>COUNTIF(F44:AJ44,"P")</f>
        <v>27</v>
      </c>
      <c r="AL44" s="5">
        <f>COUNTIF(F44:AJ44,"A")</f>
        <v>0</v>
      </c>
    </row>
    <row r="45" spans="1:38" x14ac:dyDescent="0.25">
      <c r="A45" s="6">
        <v>41</v>
      </c>
      <c r="B45" s="8">
        <v>492</v>
      </c>
      <c r="C45" s="15" t="s">
        <v>25</v>
      </c>
      <c r="D45" s="16"/>
      <c r="E45" s="7" t="s">
        <v>72</v>
      </c>
      <c r="F45" s="8" t="s">
        <v>23</v>
      </c>
      <c r="G45" s="8" t="s">
        <v>23</v>
      </c>
      <c r="H45" s="8" t="s">
        <v>23</v>
      </c>
      <c r="I45" s="8" t="s">
        <v>23</v>
      </c>
      <c r="J45" s="8" t="s">
        <v>23</v>
      </c>
      <c r="K45" s="8"/>
      <c r="L45" s="8" t="s">
        <v>23</v>
      </c>
      <c r="M45" s="8" t="s">
        <v>23</v>
      </c>
      <c r="N45" s="8" t="s">
        <v>23</v>
      </c>
      <c r="O45" s="8" t="s">
        <v>23</v>
      </c>
      <c r="P45" s="8" t="s">
        <v>23</v>
      </c>
      <c r="Q45" s="8" t="s">
        <v>23</v>
      </c>
      <c r="R45" s="8"/>
      <c r="S45" s="8" t="s">
        <v>23</v>
      </c>
      <c r="T45" s="8" t="s">
        <v>23</v>
      </c>
      <c r="U45" s="8" t="s">
        <v>23</v>
      </c>
      <c r="V45" s="8" t="s">
        <v>23</v>
      </c>
      <c r="W45" s="8" t="s">
        <v>23</v>
      </c>
      <c r="X45" s="8" t="s">
        <v>23</v>
      </c>
      <c r="Y45" s="8"/>
      <c r="Z45" s="8" t="s">
        <v>23</v>
      </c>
      <c r="AA45" s="8" t="s">
        <v>23</v>
      </c>
      <c r="AB45" s="8" t="s">
        <v>23</v>
      </c>
      <c r="AC45" s="8" t="s">
        <v>23</v>
      </c>
      <c r="AD45" s="8" t="s">
        <v>23</v>
      </c>
      <c r="AE45" s="8" t="s">
        <v>23</v>
      </c>
      <c r="AF45" s="8"/>
      <c r="AG45" s="8" t="s">
        <v>23</v>
      </c>
      <c r="AH45" s="8" t="s">
        <v>23</v>
      </c>
      <c r="AI45" s="8" t="s">
        <v>23</v>
      </c>
      <c r="AJ45" s="8" t="s">
        <v>23</v>
      </c>
      <c r="AK45" s="5">
        <f>COUNTIF(F45:AJ45,"P")</f>
        <v>27</v>
      </c>
      <c r="AL45" s="5">
        <f>COUNTIF(F45:AJ45,"A")</f>
        <v>0</v>
      </c>
    </row>
    <row r="46" spans="1:38" x14ac:dyDescent="0.25">
      <c r="A46" s="9">
        <v>42</v>
      </c>
      <c r="B46" s="8">
        <v>493</v>
      </c>
      <c r="C46" s="15" t="s">
        <v>65</v>
      </c>
      <c r="D46" s="16"/>
      <c r="E46" s="7" t="s">
        <v>72</v>
      </c>
      <c r="F46" s="8" t="s">
        <v>23</v>
      </c>
      <c r="G46" s="8" t="s">
        <v>23</v>
      </c>
      <c r="H46" s="8" t="s">
        <v>23</v>
      </c>
      <c r="I46" s="8" t="s">
        <v>23</v>
      </c>
      <c r="J46" s="8" t="s">
        <v>23</v>
      </c>
      <c r="K46" s="8"/>
      <c r="L46" s="8" t="s">
        <v>23</v>
      </c>
      <c r="M46" s="8" t="s">
        <v>23</v>
      </c>
      <c r="N46" s="8" t="s">
        <v>23</v>
      </c>
      <c r="O46" s="8" t="s">
        <v>23</v>
      </c>
      <c r="P46" s="8" t="s">
        <v>23</v>
      </c>
      <c r="Q46" s="8" t="s">
        <v>23</v>
      </c>
      <c r="R46" s="8"/>
      <c r="S46" s="8" t="s">
        <v>23</v>
      </c>
      <c r="T46" s="8" t="s">
        <v>23</v>
      </c>
      <c r="U46" s="8" t="s">
        <v>23</v>
      </c>
      <c r="V46" s="8" t="s">
        <v>23</v>
      </c>
      <c r="W46" s="8" t="s">
        <v>23</v>
      </c>
      <c r="X46" s="8" t="s">
        <v>23</v>
      </c>
      <c r="Y46" s="8"/>
      <c r="Z46" s="8" t="s">
        <v>23</v>
      </c>
      <c r="AA46" s="8" t="s">
        <v>23</v>
      </c>
      <c r="AB46" s="8" t="s">
        <v>23</v>
      </c>
      <c r="AC46" s="8" t="s">
        <v>23</v>
      </c>
      <c r="AD46" s="8" t="s">
        <v>23</v>
      </c>
      <c r="AE46" s="8" t="s">
        <v>23</v>
      </c>
      <c r="AF46" s="8"/>
      <c r="AG46" s="8" t="s">
        <v>23</v>
      </c>
      <c r="AH46" s="8" t="s">
        <v>23</v>
      </c>
      <c r="AI46" s="8" t="s">
        <v>23</v>
      </c>
      <c r="AJ46" s="8" t="s">
        <v>23</v>
      </c>
      <c r="AK46" s="5">
        <f>COUNTIF(F46:AJ46,"P")</f>
        <v>27</v>
      </c>
      <c r="AL46" s="5">
        <f>COUNTIF(F46:AJ46,"A")</f>
        <v>0</v>
      </c>
    </row>
    <row r="47" spans="1:38" x14ac:dyDescent="0.25">
      <c r="A47" s="6">
        <v>43</v>
      </c>
      <c r="B47" s="8">
        <v>494</v>
      </c>
      <c r="C47" s="15" t="s">
        <v>66</v>
      </c>
      <c r="D47" s="16"/>
      <c r="E47" s="7" t="s">
        <v>72</v>
      </c>
      <c r="F47" s="8" t="s">
        <v>23</v>
      </c>
      <c r="G47" s="8" t="s">
        <v>23</v>
      </c>
      <c r="H47" s="8" t="s">
        <v>23</v>
      </c>
      <c r="I47" s="8" t="s">
        <v>23</v>
      </c>
      <c r="J47" s="8" t="s">
        <v>23</v>
      </c>
      <c r="K47" s="8"/>
      <c r="L47" s="8" t="s">
        <v>23</v>
      </c>
      <c r="M47" s="8" t="s">
        <v>23</v>
      </c>
      <c r="N47" s="8" t="s">
        <v>23</v>
      </c>
      <c r="O47" s="8" t="s">
        <v>23</v>
      </c>
      <c r="P47" s="8" t="s">
        <v>23</v>
      </c>
      <c r="Q47" s="8" t="s">
        <v>23</v>
      </c>
      <c r="R47" s="8"/>
      <c r="S47" s="8" t="s">
        <v>23</v>
      </c>
      <c r="T47" s="8" t="s">
        <v>23</v>
      </c>
      <c r="U47" s="8" t="s">
        <v>23</v>
      </c>
      <c r="V47" s="8" t="s">
        <v>23</v>
      </c>
      <c r="W47" s="8" t="s">
        <v>23</v>
      </c>
      <c r="X47" s="8" t="s">
        <v>23</v>
      </c>
      <c r="Y47" s="8"/>
      <c r="Z47" s="8" t="s">
        <v>23</v>
      </c>
      <c r="AA47" s="8" t="s">
        <v>23</v>
      </c>
      <c r="AB47" s="8" t="s">
        <v>23</v>
      </c>
      <c r="AC47" s="8" t="s">
        <v>23</v>
      </c>
      <c r="AD47" s="8" t="s">
        <v>23</v>
      </c>
      <c r="AE47" s="8" t="s">
        <v>23</v>
      </c>
      <c r="AF47" s="8"/>
      <c r="AG47" s="8" t="s">
        <v>23</v>
      </c>
      <c r="AH47" s="8" t="s">
        <v>23</v>
      </c>
      <c r="AI47" s="8" t="s">
        <v>23</v>
      </c>
      <c r="AJ47" s="8" t="s">
        <v>23</v>
      </c>
      <c r="AK47" s="5">
        <f>COUNTIF(F47:AJ47,"P")</f>
        <v>27</v>
      </c>
      <c r="AL47" s="5">
        <f>COUNTIF(F47:AJ47,"A")</f>
        <v>0</v>
      </c>
    </row>
    <row r="48" spans="1:38" x14ac:dyDescent="0.25">
      <c r="A48" s="9">
        <v>44</v>
      </c>
      <c r="B48" s="8">
        <v>495</v>
      </c>
      <c r="C48" s="15" t="s">
        <v>67</v>
      </c>
      <c r="D48" s="16"/>
      <c r="E48" s="7" t="s">
        <v>72</v>
      </c>
      <c r="F48" s="8" t="s">
        <v>23</v>
      </c>
      <c r="G48" s="8" t="s">
        <v>23</v>
      </c>
      <c r="H48" s="8" t="s">
        <v>23</v>
      </c>
      <c r="I48" s="8" t="s">
        <v>23</v>
      </c>
      <c r="J48" s="8" t="s">
        <v>23</v>
      </c>
      <c r="K48" s="8"/>
      <c r="L48" s="8" t="s">
        <v>23</v>
      </c>
      <c r="M48" s="8" t="s">
        <v>23</v>
      </c>
      <c r="N48" s="8" t="s">
        <v>23</v>
      </c>
      <c r="O48" s="8" t="s">
        <v>23</v>
      </c>
      <c r="P48" s="8" t="s">
        <v>23</v>
      </c>
      <c r="Q48" s="8" t="s">
        <v>23</v>
      </c>
      <c r="R48" s="8"/>
      <c r="S48" s="8" t="s">
        <v>23</v>
      </c>
      <c r="T48" s="8" t="s">
        <v>23</v>
      </c>
      <c r="U48" s="8" t="s">
        <v>23</v>
      </c>
      <c r="V48" s="8" t="s">
        <v>23</v>
      </c>
      <c r="W48" s="8" t="s">
        <v>23</v>
      </c>
      <c r="X48" s="8" t="s">
        <v>23</v>
      </c>
      <c r="Y48" s="8"/>
      <c r="Z48" s="8" t="s">
        <v>23</v>
      </c>
      <c r="AA48" s="8" t="s">
        <v>23</v>
      </c>
      <c r="AB48" s="8" t="s">
        <v>23</v>
      </c>
      <c r="AC48" s="8" t="s">
        <v>23</v>
      </c>
      <c r="AD48" s="8" t="s">
        <v>23</v>
      </c>
      <c r="AE48" s="8" t="s">
        <v>23</v>
      </c>
      <c r="AF48" s="8"/>
      <c r="AG48" s="8" t="s">
        <v>23</v>
      </c>
      <c r="AH48" s="8" t="s">
        <v>23</v>
      </c>
      <c r="AI48" s="8" t="s">
        <v>23</v>
      </c>
      <c r="AJ48" s="8" t="s">
        <v>23</v>
      </c>
      <c r="AK48" s="5">
        <f>COUNTIF(F48:AJ48,"P")</f>
        <v>27</v>
      </c>
      <c r="AL48" s="5">
        <f>COUNTIF(F48:AJ48,"A")</f>
        <v>0</v>
      </c>
    </row>
    <row r="49" spans="1:38" x14ac:dyDescent="0.25">
      <c r="A49" s="6">
        <v>45</v>
      </c>
      <c r="B49" s="8">
        <v>496</v>
      </c>
      <c r="C49" s="15" t="s">
        <v>68</v>
      </c>
      <c r="D49" s="16"/>
      <c r="E49" s="7" t="s">
        <v>72</v>
      </c>
      <c r="F49" s="8" t="s">
        <v>23</v>
      </c>
      <c r="G49" s="8" t="s">
        <v>23</v>
      </c>
      <c r="H49" s="8" t="s">
        <v>23</v>
      </c>
      <c r="I49" s="8" t="s">
        <v>23</v>
      </c>
      <c r="J49" s="8" t="s">
        <v>23</v>
      </c>
      <c r="K49" s="8"/>
      <c r="L49" s="8" t="s">
        <v>23</v>
      </c>
      <c r="M49" s="8" t="s">
        <v>23</v>
      </c>
      <c r="N49" s="8" t="s">
        <v>23</v>
      </c>
      <c r="O49" s="8" t="s">
        <v>23</v>
      </c>
      <c r="P49" s="8" t="s">
        <v>23</v>
      </c>
      <c r="Q49" s="8" t="s">
        <v>23</v>
      </c>
      <c r="R49" s="8"/>
      <c r="S49" s="8" t="s">
        <v>23</v>
      </c>
      <c r="T49" s="8" t="s">
        <v>23</v>
      </c>
      <c r="U49" s="8" t="s">
        <v>23</v>
      </c>
      <c r="V49" s="8" t="s">
        <v>23</v>
      </c>
      <c r="W49" s="8" t="s">
        <v>23</v>
      </c>
      <c r="X49" s="8" t="s">
        <v>23</v>
      </c>
      <c r="Y49" s="8"/>
      <c r="Z49" s="8" t="s">
        <v>23</v>
      </c>
      <c r="AA49" s="8" t="s">
        <v>23</v>
      </c>
      <c r="AB49" s="8" t="s">
        <v>23</v>
      </c>
      <c r="AC49" s="8" t="s">
        <v>23</v>
      </c>
      <c r="AD49" s="8" t="s">
        <v>23</v>
      </c>
      <c r="AE49" s="8" t="s">
        <v>23</v>
      </c>
      <c r="AF49" s="8"/>
      <c r="AG49" s="8" t="s">
        <v>23</v>
      </c>
      <c r="AH49" s="8" t="s">
        <v>23</v>
      </c>
      <c r="AI49" s="8" t="s">
        <v>23</v>
      </c>
      <c r="AJ49" s="8" t="s">
        <v>23</v>
      </c>
      <c r="AK49" s="5">
        <f>COUNTIF(F49:AJ49,"P")</f>
        <v>27</v>
      </c>
      <c r="AL49" s="5">
        <f>COUNTIF(F49:AJ49,"A")</f>
        <v>0</v>
      </c>
    </row>
    <row r="50" spans="1:38" x14ac:dyDescent="0.25">
      <c r="A50" s="9">
        <v>46</v>
      </c>
      <c r="B50" s="8">
        <v>497</v>
      </c>
      <c r="C50" s="15" t="s">
        <v>69</v>
      </c>
      <c r="D50" s="16"/>
      <c r="E50" s="7" t="s">
        <v>72</v>
      </c>
      <c r="F50" s="8" t="s">
        <v>23</v>
      </c>
      <c r="G50" s="8" t="s">
        <v>23</v>
      </c>
      <c r="H50" s="8" t="s">
        <v>23</v>
      </c>
      <c r="I50" s="8" t="s">
        <v>23</v>
      </c>
      <c r="J50" s="8" t="s">
        <v>23</v>
      </c>
      <c r="K50" s="8"/>
      <c r="L50" s="8" t="s">
        <v>23</v>
      </c>
      <c r="M50" s="8" t="s">
        <v>23</v>
      </c>
      <c r="N50" s="8" t="s">
        <v>23</v>
      </c>
      <c r="O50" s="8" t="s">
        <v>23</v>
      </c>
      <c r="P50" s="8" t="s">
        <v>23</v>
      </c>
      <c r="Q50" s="8" t="s">
        <v>23</v>
      </c>
      <c r="R50" s="8"/>
      <c r="S50" s="8" t="s">
        <v>23</v>
      </c>
      <c r="T50" s="8" t="s">
        <v>23</v>
      </c>
      <c r="U50" s="8" t="s">
        <v>23</v>
      </c>
      <c r="V50" s="8" t="s">
        <v>23</v>
      </c>
      <c r="W50" s="8" t="s">
        <v>23</v>
      </c>
      <c r="X50" s="8" t="s">
        <v>23</v>
      </c>
      <c r="Y50" s="8"/>
      <c r="Z50" s="8" t="s">
        <v>23</v>
      </c>
      <c r="AA50" s="8" t="s">
        <v>23</v>
      </c>
      <c r="AB50" s="8" t="s">
        <v>23</v>
      </c>
      <c r="AC50" s="8" t="s">
        <v>23</v>
      </c>
      <c r="AD50" s="8" t="s">
        <v>23</v>
      </c>
      <c r="AE50" s="8" t="s">
        <v>23</v>
      </c>
      <c r="AF50" s="8"/>
      <c r="AG50" s="8" t="s">
        <v>23</v>
      </c>
      <c r="AH50" s="8" t="s">
        <v>23</v>
      </c>
      <c r="AI50" s="8" t="s">
        <v>23</v>
      </c>
      <c r="AJ50" s="8" t="s">
        <v>23</v>
      </c>
      <c r="AK50" s="5">
        <f>COUNTIF(F50:AJ50,"P")</f>
        <v>27</v>
      </c>
      <c r="AL50" s="5">
        <f>COUNTIF(F50:AJ50,"A")</f>
        <v>0</v>
      </c>
    </row>
    <row r="51" spans="1:38" x14ac:dyDescent="0.25">
      <c r="A51" s="6">
        <v>47</v>
      </c>
      <c r="B51" s="8">
        <v>498</v>
      </c>
      <c r="C51" s="15" t="s">
        <v>70</v>
      </c>
      <c r="D51" s="16"/>
      <c r="E51" s="7" t="s">
        <v>72</v>
      </c>
      <c r="F51" s="8" t="s">
        <v>23</v>
      </c>
      <c r="G51" s="8" t="s">
        <v>23</v>
      </c>
      <c r="H51" s="8" t="s">
        <v>23</v>
      </c>
      <c r="I51" s="8" t="s">
        <v>23</v>
      </c>
      <c r="J51" s="8" t="s">
        <v>23</v>
      </c>
      <c r="K51" s="8"/>
      <c r="L51" s="8" t="s">
        <v>23</v>
      </c>
      <c r="M51" s="8" t="s">
        <v>23</v>
      </c>
      <c r="N51" s="8" t="s">
        <v>23</v>
      </c>
      <c r="O51" s="8" t="s">
        <v>23</v>
      </c>
      <c r="P51" s="8" t="s">
        <v>23</v>
      </c>
      <c r="Q51" s="8" t="s">
        <v>23</v>
      </c>
      <c r="R51" s="8"/>
      <c r="S51" s="8" t="s">
        <v>23</v>
      </c>
      <c r="T51" s="8" t="s">
        <v>23</v>
      </c>
      <c r="U51" s="8" t="s">
        <v>23</v>
      </c>
      <c r="V51" s="8" t="s">
        <v>23</v>
      </c>
      <c r="W51" s="8" t="s">
        <v>23</v>
      </c>
      <c r="X51" s="8" t="s">
        <v>23</v>
      </c>
      <c r="Y51" s="8"/>
      <c r="Z51" s="8" t="s">
        <v>23</v>
      </c>
      <c r="AA51" s="8" t="s">
        <v>23</v>
      </c>
      <c r="AB51" s="8" t="s">
        <v>23</v>
      </c>
      <c r="AC51" s="8" t="s">
        <v>23</v>
      </c>
      <c r="AD51" s="8" t="s">
        <v>23</v>
      </c>
      <c r="AE51" s="8" t="s">
        <v>23</v>
      </c>
      <c r="AF51" s="8"/>
      <c r="AG51" s="8" t="s">
        <v>23</v>
      </c>
      <c r="AH51" s="8" t="s">
        <v>23</v>
      </c>
      <c r="AI51" s="8" t="s">
        <v>23</v>
      </c>
      <c r="AJ51" s="8" t="s">
        <v>23</v>
      </c>
      <c r="AK51" s="5">
        <f>COUNTIF(F51:AJ51,"P")</f>
        <v>27</v>
      </c>
      <c r="AL51" s="5">
        <f>COUNTIF(F51:AJ51,"A")</f>
        <v>0</v>
      </c>
    </row>
    <row r="52" spans="1:38" x14ac:dyDescent="0.25">
      <c r="A52" s="9">
        <v>48</v>
      </c>
      <c r="B52" s="8">
        <v>499</v>
      </c>
      <c r="C52" s="15" t="s">
        <v>71</v>
      </c>
      <c r="D52" s="16"/>
      <c r="E52" s="7" t="s">
        <v>72</v>
      </c>
      <c r="F52" s="8" t="s">
        <v>23</v>
      </c>
      <c r="G52" s="8" t="s">
        <v>23</v>
      </c>
      <c r="H52" s="8" t="s">
        <v>23</v>
      </c>
      <c r="I52" s="8" t="s">
        <v>23</v>
      </c>
      <c r="J52" s="8" t="s">
        <v>23</v>
      </c>
      <c r="K52" s="8"/>
      <c r="L52" s="8" t="s">
        <v>23</v>
      </c>
      <c r="M52" s="8" t="s">
        <v>23</v>
      </c>
      <c r="N52" s="8" t="s">
        <v>23</v>
      </c>
      <c r="O52" s="8" t="s">
        <v>23</v>
      </c>
      <c r="P52" s="8" t="s">
        <v>23</v>
      </c>
      <c r="Q52" s="8" t="s">
        <v>23</v>
      </c>
      <c r="R52" s="8"/>
      <c r="S52" s="8" t="s">
        <v>23</v>
      </c>
      <c r="T52" s="8" t="s">
        <v>23</v>
      </c>
      <c r="U52" s="8" t="s">
        <v>23</v>
      </c>
      <c r="V52" s="8" t="s">
        <v>23</v>
      </c>
      <c r="W52" s="8" t="s">
        <v>23</v>
      </c>
      <c r="X52" s="8" t="s">
        <v>23</v>
      </c>
      <c r="Y52" s="8"/>
      <c r="Z52" s="8" t="s">
        <v>23</v>
      </c>
      <c r="AA52" s="8" t="s">
        <v>23</v>
      </c>
      <c r="AB52" s="8" t="s">
        <v>23</v>
      </c>
      <c r="AC52" s="8" t="s">
        <v>23</v>
      </c>
      <c r="AD52" s="8" t="s">
        <v>23</v>
      </c>
      <c r="AE52" s="8" t="s">
        <v>23</v>
      </c>
      <c r="AF52" s="8"/>
      <c r="AG52" s="8" t="s">
        <v>23</v>
      </c>
      <c r="AH52" s="8" t="s">
        <v>23</v>
      </c>
      <c r="AI52" s="8" t="s">
        <v>23</v>
      </c>
      <c r="AJ52" s="8" t="s">
        <v>23</v>
      </c>
      <c r="AK52" s="5">
        <f>COUNTIF(F52:AJ52,"P")</f>
        <v>27</v>
      </c>
      <c r="AL52" s="5">
        <f>COUNTIF(F52:AJ52,"A")</f>
        <v>0</v>
      </c>
    </row>
  </sheetData>
  <mergeCells count="12">
    <mergeCell ref="AM8:AP8"/>
    <mergeCell ref="AM16:AP16"/>
    <mergeCell ref="A2:AL2"/>
    <mergeCell ref="A1:AL1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B5:B21">
    <cfRule type="duplicateValues" dxfId="11" priority="28"/>
  </conditionalFormatting>
  <conditionalFormatting sqref="F4:AJ52">
    <cfRule type="expression" dxfId="10" priority="15">
      <formula>IF(F$4=TODAY(),TRUE,FALSE)</formula>
    </cfRule>
  </conditionalFormatting>
  <conditionalFormatting sqref="F5:AJ52">
    <cfRule type="cellIs" dxfId="9" priority="1" operator="equal">
      <formula>"L"</formula>
    </cfRule>
    <cfRule type="cellIs" dxfId="8" priority="2" operator="equal">
      <formula>"A"</formula>
    </cfRule>
    <cfRule type="cellIs" dxfId="7" priority="3" operator="equal">
      <formula>"P"</formula>
    </cfRule>
  </conditionalFormatting>
  <conditionalFormatting sqref="AM4:AN4 F3:AJ52">
    <cfRule type="expression" dxfId="6" priority="16">
      <formula>F$3="Sun"</formula>
    </cfRule>
  </conditionalFormatting>
  <conditionalFormatting sqref="AK3:AL3 AK5:AL52">
    <cfRule type="expression" dxfId="5" priority="17">
      <formula>#REF!="Sun"</formula>
    </cfRule>
  </conditionalFormatting>
  <conditionalFormatting sqref="AM5:AM6">
    <cfRule type="expression" dxfId="4" priority="13">
      <formula>AM$3="Sun"</formula>
    </cfRule>
  </conditionalFormatting>
  <conditionalFormatting sqref="AM9:AM12">
    <cfRule type="expression" dxfId="3" priority="7">
      <formula>AM$3="Sun"</formula>
    </cfRule>
  </conditionalFormatting>
  <conditionalFormatting sqref="AM17:AM20">
    <cfRule type="expression" dxfId="2" priority="6">
      <formula>AM$3="Sun"</formula>
    </cfRule>
  </conditionalFormatting>
  <conditionalFormatting sqref="AN9:AP9">
    <cfRule type="expression" dxfId="1" priority="8">
      <formula>AN$3="Sun"</formula>
    </cfRule>
  </conditionalFormatting>
  <conditionalFormatting sqref="AN17:AP17">
    <cfRule type="expression" dxfId="0" priority="5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Class-IV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2024-12-13T07:31:28Z</dcterms:modified>
</cp:coreProperties>
</file>