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3\"/>
    </mc:Choice>
  </mc:AlternateContent>
  <xr:revisionPtr revIDLastSave="0" documentId="13_ncr:1_{63A32271-6224-413F-9050-CC0F1C66FAAC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August-2024" sheetId="18" r:id="rId1"/>
    <sheet name="September-2024" sheetId="19" r:id="rId2"/>
    <sheet name="October-2024" sheetId="20" r:id="rId3"/>
    <sheet name="November-2024" sheetId="21" r:id="rId4"/>
    <sheet name="December-2024" sheetId="22" r:id="rId5"/>
    <sheet name="January-2025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4" i="23" l="1"/>
  <c r="AO15" i="23" s="1"/>
  <c r="AN14" i="23"/>
  <c r="AN15" i="23" s="1"/>
  <c r="AO21" i="23"/>
  <c r="AP21" i="23" s="1"/>
  <c r="AN21" i="23"/>
  <c r="AO13" i="23"/>
  <c r="AN13" i="23"/>
  <c r="AN4" i="23"/>
  <c r="AP14" i="23" l="1"/>
  <c r="AO22" i="23"/>
  <c r="AO23" i="23" s="1"/>
  <c r="AP13" i="23"/>
  <c r="AP15" i="23"/>
  <c r="AN22" i="23"/>
  <c r="AN23" i="23" l="1"/>
  <c r="AP22" i="23"/>
  <c r="AP23" i="23" s="1"/>
  <c r="AI3" i="23" l="1"/>
  <c r="AJ3" i="23"/>
  <c r="AL56" i="23"/>
  <c r="AK56" i="23"/>
  <c r="AL55" i="23"/>
  <c r="AK55" i="23"/>
  <c r="AL54" i="23"/>
  <c r="AK54" i="23"/>
  <c r="AL53" i="23"/>
  <c r="AK53" i="23"/>
  <c r="AL52" i="23"/>
  <c r="AK52" i="23"/>
  <c r="AL51" i="23"/>
  <c r="AK51" i="23"/>
  <c r="AL50" i="23"/>
  <c r="AK50" i="23"/>
  <c r="AL49" i="23"/>
  <c r="AK49" i="23"/>
  <c r="AL48" i="23"/>
  <c r="AK48" i="23"/>
  <c r="AL47" i="23"/>
  <c r="AK47" i="23"/>
  <c r="AL46" i="23"/>
  <c r="AK46" i="23"/>
  <c r="AL45" i="23"/>
  <c r="AK45" i="23"/>
  <c r="AL44" i="23"/>
  <c r="AK44" i="23"/>
  <c r="AL43" i="23"/>
  <c r="AK43" i="23"/>
  <c r="AL42" i="23"/>
  <c r="AK42" i="23"/>
  <c r="AL41" i="23"/>
  <c r="AK41" i="23"/>
  <c r="AL40" i="23"/>
  <c r="AK40" i="23"/>
  <c r="AL39" i="23"/>
  <c r="AK39" i="23"/>
  <c r="AL38" i="23"/>
  <c r="AK38" i="23"/>
  <c r="AL37" i="23"/>
  <c r="AK37" i="23"/>
  <c r="AL36" i="23"/>
  <c r="AK36" i="23"/>
  <c r="AL35" i="23"/>
  <c r="AK35" i="23"/>
  <c r="AL34" i="23"/>
  <c r="AK34" i="23"/>
  <c r="AL33" i="23"/>
  <c r="AK33" i="23"/>
  <c r="AL32" i="23"/>
  <c r="AK32" i="23"/>
  <c r="AL31" i="23"/>
  <c r="AK31" i="23"/>
  <c r="AL30" i="23"/>
  <c r="AK30" i="23"/>
  <c r="AL29" i="23"/>
  <c r="AK29" i="23"/>
  <c r="AL28" i="23"/>
  <c r="AK28" i="23"/>
  <c r="AL27" i="23"/>
  <c r="AK27" i="23"/>
  <c r="AL26" i="23"/>
  <c r="AK26" i="23"/>
  <c r="AL25" i="23"/>
  <c r="AK25" i="23"/>
  <c r="AL24" i="23"/>
  <c r="AK24" i="23"/>
  <c r="AL23" i="23"/>
  <c r="AK23" i="23"/>
  <c r="AL22" i="23"/>
  <c r="AK22" i="23"/>
  <c r="AL21" i="23"/>
  <c r="AK21" i="23"/>
  <c r="AL20" i="23"/>
  <c r="AK20" i="23"/>
  <c r="AL19" i="23"/>
  <c r="AK19" i="23"/>
  <c r="AL18" i="23"/>
  <c r="AK18" i="23"/>
  <c r="AL17" i="23"/>
  <c r="AK17" i="23"/>
  <c r="AL16" i="23"/>
  <c r="AK16" i="23"/>
  <c r="AL15" i="23"/>
  <c r="AK15" i="23"/>
  <c r="AL14" i="23"/>
  <c r="AK14" i="23"/>
  <c r="AL13" i="23"/>
  <c r="AK13" i="23"/>
  <c r="AL12" i="23"/>
  <c r="AK12" i="23"/>
  <c r="AL11" i="23"/>
  <c r="AK11" i="23"/>
  <c r="AL10" i="23"/>
  <c r="AK10" i="23"/>
  <c r="AL9" i="23"/>
  <c r="AK9" i="23"/>
  <c r="AL8" i="23"/>
  <c r="AK8" i="23"/>
  <c r="AL7" i="23"/>
  <c r="AK7" i="23"/>
  <c r="AL6" i="23"/>
  <c r="AK6" i="23"/>
  <c r="AL5" i="23"/>
  <c r="AK5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AK56" i="22"/>
  <c r="AJ56" i="22"/>
  <c r="AK55" i="22"/>
  <c r="AJ55" i="22"/>
  <c r="AK54" i="22"/>
  <c r="AJ54" i="22"/>
  <c r="AK53" i="22"/>
  <c r="AJ53" i="22"/>
  <c r="AK52" i="22"/>
  <c r="AJ52" i="22"/>
  <c r="AK51" i="22"/>
  <c r="AJ51" i="22"/>
  <c r="AK50" i="22"/>
  <c r="AJ50" i="22"/>
  <c r="AK49" i="22"/>
  <c r="AJ49" i="22"/>
  <c r="AK48" i="22"/>
  <c r="AJ48" i="22"/>
  <c r="AK47" i="22"/>
  <c r="AJ47" i="22"/>
  <c r="AK46" i="22"/>
  <c r="AJ46" i="22"/>
  <c r="AK45" i="22"/>
  <c r="AJ45" i="22"/>
  <c r="AK44" i="22"/>
  <c r="AJ44" i="22"/>
  <c r="AK43" i="22"/>
  <c r="AJ43" i="22"/>
  <c r="AK42" i="22"/>
  <c r="AJ42" i="22"/>
  <c r="AK41" i="22"/>
  <c r="AJ41" i="22"/>
  <c r="AK40" i="22"/>
  <c r="AJ40" i="22"/>
  <c r="AK39" i="22"/>
  <c r="AJ39" i="22"/>
  <c r="AK38" i="22"/>
  <c r="AJ38" i="22"/>
  <c r="AK37" i="22"/>
  <c r="AJ37" i="22"/>
  <c r="AK36" i="22"/>
  <c r="AJ36" i="22"/>
  <c r="AK35" i="22"/>
  <c r="AJ35" i="22"/>
  <c r="AK34" i="22"/>
  <c r="AJ34" i="22"/>
  <c r="AK33" i="22"/>
  <c r="AJ33" i="22"/>
  <c r="AK32" i="22"/>
  <c r="AJ32" i="22"/>
  <c r="AK31" i="22"/>
  <c r="AJ31" i="22"/>
  <c r="AK30" i="22"/>
  <c r="AJ30" i="22"/>
  <c r="AK29" i="22"/>
  <c r="AJ29" i="22"/>
  <c r="AK28" i="22"/>
  <c r="AJ28" i="22"/>
  <c r="AK27" i="22"/>
  <c r="AJ27" i="22"/>
  <c r="AK26" i="22"/>
  <c r="AJ26" i="22"/>
  <c r="AK25" i="22"/>
  <c r="AJ25" i="22"/>
  <c r="AK24" i="22"/>
  <c r="AJ24" i="22"/>
  <c r="AK23" i="22"/>
  <c r="AJ23" i="22"/>
  <c r="AK22" i="22"/>
  <c r="AJ22" i="22"/>
  <c r="AK21" i="22"/>
  <c r="AJ21" i="22"/>
  <c r="AK20" i="22"/>
  <c r="AJ20" i="22"/>
  <c r="AK19" i="22"/>
  <c r="AJ19" i="22"/>
  <c r="AN18" i="22"/>
  <c r="AM18" i="22"/>
  <c r="AO18" i="22" s="1"/>
  <c r="AK18" i="22"/>
  <c r="AJ18" i="22"/>
  <c r="AK17" i="22"/>
  <c r="AJ17" i="22"/>
  <c r="AK16" i="22"/>
  <c r="AJ16" i="22"/>
  <c r="AK15" i="22"/>
  <c r="AJ15" i="22"/>
  <c r="AK14" i="22"/>
  <c r="AJ14" i="22"/>
  <c r="AK13" i="22"/>
  <c r="AJ13" i="22"/>
  <c r="AK12" i="22"/>
  <c r="AJ12" i="22"/>
  <c r="AK11" i="22"/>
  <c r="AJ11" i="22"/>
  <c r="AO10" i="22"/>
  <c r="AN10" i="22"/>
  <c r="AM10" i="22"/>
  <c r="AK10" i="22"/>
  <c r="AJ10" i="22"/>
  <c r="AK9" i="22"/>
  <c r="AJ9" i="22"/>
  <c r="AK8" i="22"/>
  <c r="AJ8" i="22"/>
  <c r="AK7" i="22"/>
  <c r="AJ7" i="22"/>
  <c r="AK6" i="22"/>
  <c r="AJ6" i="22"/>
  <c r="AK5" i="22"/>
  <c r="AJ5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N18" i="21"/>
  <c r="AM18" i="21"/>
  <c r="AO18" i="21" s="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O10" i="21"/>
  <c r="AN10" i="21"/>
  <c r="AM10" i="21"/>
  <c r="AK10" i="21"/>
  <c r="AJ10" i="21"/>
  <c r="AK9" i="21"/>
  <c r="AJ9" i="21"/>
  <c r="AK8" i="21"/>
  <c r="AJ8" i="21"/>
  <c r="AK7" i="21"/>
  <c r="AJ7" i="21"/>
  <c r="AK6" i="21"/>
  <c r="AJ6" i="21"/>
  <c r="AN11" i="21" s="1"/>
  <c r="AN12" i="21" s="1"/>
  <c r="AK5" i="21"/>
  <c r="AJ5" i="21"/>
  <c r="AM11" i="21" s="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M11" i="22" l="1"/>
  <c r="AM19" i="22" s="1"/>
  <c r="AN11" i="22"/>
  <c r="AN12" i="22" s="1"/>
  <c r="AM19" i="21"/>
  <c r="AM12" i="21"/>
  <c r="AO11" i="21"/>
  <c r="AO12" i="21" s="1"/>
  <c r="AN19" i="21"/>
  <c r="AN20" i="21" s="1"/>
  <c r="AN19" i="22" l="1"/>
  <c r="AN20" i="22" s="1"/>
  <c r="AM12" i="22"/>
  <c r="AO11" i="22"/>
  <c r="AO12" i="22" s="1"/>
  <c r="AM20" i="22"/>
  <c r="AO19" i="21"/>
  <c r="AO20" i="21" s="1"/>
  <c r="AM20" i="21"/>
  <c r="AO19" i="22" l="1"/>
  <c r="AO20" i="22" s="1"/>
  <c r="AL60" i="20"/>
  <c r="AK60" i="20"/>
  <c r="AL59" i="20"/>
  <c r="AK59" i="20"/>
  <c r="AL58" i="20"/>
  <c r="AK58" i="20"/>
  <c r="AL57" i="20"/>
  <c r="AK57" i="20"/>
  <c r="AL56" i="20"/>
  <c r="AK56" i="20"/>
  <c r="AL55" i="20"/>
  <c r="AK55" i="20"/>
  <c r="AL54" i="20"/>
  <c r="AK54" i="20"/>
  <c r="AL53" i="20"/>
  <c r="AK53" i="20"/>
  <c r="AL52" i="20"/>
  <c r="AK52" i="20"/>
  <c r="AL51" i="20"/>
  <c r="AK51" i="20"/>
  <c r="AL50" i="20"/>
  <c r="AK50" i="20"/>
  <c r="AL49" i="20"/>
  <c r="AK49" i="20"/>
  <c r="AL48" i="20"/>
  <c r="AK48" i="20"/>
  <c r="AL47" i="20"/>
  <c r="AK47" i="20"/>
  <c r="AL46" i="20"/>
  <c r="AK46" i="20"/>
  <c r="AL45" i="20"/>
  <c r="AK45" i="20"/>
  <c r="AL44" i="20"/>
  <c r="AK44" i="20"/>
  <c r="AL43" i="20"/>
  <c r="AK43" i="20"/>
  <c r="AL42" i="20"/>
  <c r="AK42" i="20"/>
  <c r="AL41" i="20"/>
  <c r="AK41" i="20"/>
  <c r="AL40" i="20"/>
  <c r="AK40" i="20"/>
  <c r="AL39" i="20"/>
  <c r="AK39" i="20"/>
  <c r="AL38" i="20"/>
  <c r="AK38" i="20"/>
  <c r="AL37" i="20"/>
  <c r="AK37" i="20"/>
  <c r="AL36" i="20"/>
  <c r="AK36" i="20"/>
  <c r="AL35" i="20"/>
  <c r="AK35" i="20"/>
  <c r="AL34" i="20"/>
  <c r="AK34" i="20"/>
  <c r="AL33" i="20"/>
  <c r="AK33" i="20"/>
  <c r="AL32" i="20"/>
  <c r="AK32" i="20"/>
  <c r="AL31" i="20"/>
  <c r="AK31" i="20"/>
  <c r="AL30" i="20"/>
  <c r="AK30" i="20"/>
  <c r="AL29" i="20"/>
  <c r="AK29" i="20"/>
  <c r="AL28" i="20"/>
  <c r="AK28" i="20"/>
  <c r="AL27" i="20"/>
  <c r="AK27" i="20"/>
  <c r="AL26" i="20"/>
  <c r="AK26" i="20"/>
  <c r="AL25" i="20"/>
  <c r="AK25" i="20"/>
  <c r="AL24" i="20"/>
  <c r="AK24" i="20"/>
  <c r="AL23" i="20"/>
  <c r="AK23" i="20"/>
  <c r="AL22" i="20"/>
  <c r="AK22" i="20"/>
  <c r="AL21" i="20"/>
  <c r="AK21" i="20"/>
  <c r="AL20" i="20"/>
  <c r="AK20" i="20"/>
  <c r="AL19" i="20"/>
  <c r="AK19" i="20"/>
  <c r="AO18" i="20"/>
  <c r="AN18" i="20"/>
  <c r="AL18" i="20"/>
  <c r="AK18" i="20"/>
  <c r="AL17" i="20"/>
  <c r="AK17" i="20"/>
  <c r="AL16" i="20"/>
  <c r="AK16" i="20"/>
  <c r="AL15" i="20"/>
  <c r="AK15" i="20"/>
  <c r="AL14" i="20"/>
  <c r="AK14" i="20"/>
  <c r="AL13" i="20"/>
  <c r="AK13" i="20"/>
  <c r="AL12" i="20"/>
  <c r="AK12" i="20"/>
  <c r="AL11" i="20"/>
  <c r="AK11" i="20"/>
  <c r="AP10" i="20"/>
  <c r="AO10" i="20"/>
  <c r="AN10" i="20"/>
  <c r="AL10" i="20"/>
  <c r="AK10" i="20"/>
  <c r="AL9" i="20"/>
  <c r="AK9" i="20"/>
  <c r="AL8" i="20"/>
  <c r="AK8" i="20"/>
  <c r="AL7" i="20"/>
  <c r="AK7" i="20"/>
  <c r="AL6" i="20"/>
  <c r="AK6" i="20"/>
  <c r="AO11" i="20" s="1"/>
  <c r="AO12" i="20" s="1"/>
  <c r="AL5" i="20"/>
  <c r="AK5" i="20"/>
  <c r="AN11" i="20" s="1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P11" i="20" l="1"/>
  <c r="AP12" i="20" s="1"/>
  <c r="AN12" i="20"/>
  <c r="AN19" i="20"/>
  <c r="AO19" i="20"/>
  <c r="AO20" i="20" s="1"/>
  <c r="AP18" i="20"/>
  <c r="AP19" i="20" l="1"/>
  <c r="AP20" i="20" s="1"/>
  <c r="AN20" i="20"/>
  <c r="AK59" i="19" l="1"/>
  <c r="AJ59" i="19"/>
  <c r="AK58" i="19"/>
  <c r="AJ58" i="19"/>
  <c r="AK57" i="19"/>
  <c r="AJ57" i="19"/>
  <c r="AK56" i="19"/>
  <c r="AJ56" i="19"/>
  <c r="AK55" i="19"/>
  <c r="AJ55" i="19"/>
  <c r="AK54" i="19"/>
  <c r="AJ54" i="19"/>
  <c r="AK53" i="19"/>
  <c r="AJ53" i="19"/>
  <c r="AK52" i="19"/>
  <c r="AJ52" i="19"/>
  <c r="AK51" i="19"/>
  <c r="AJ51" i="19"/>
  <c r="AK50" i="19"/>
  <c r="AJ50" i="19"/>
  <c r="AK49" i="19"/>
  <c r="AJ49" i="19"/>
  <c r="AK48" i="19"/>
  <c r="AJ48" i="19"/>
  <c r="AK47" i="19"/>
  <c r="AJ47" i="19"/>
  <c r="AK46" i="19"/>
  <c r="AJ46" i="19"/>
  <c r="AK45" i="19"/>
  <c r="AJ45" i="19"/>
  <c r="AK44" i="19"/>
  <c r="AJ44" i="19"/>
  <c r="AK43" i="19"/>
  <c r="AJ43" i="19"/>
  <c r="AK42" i="19"/>
  <c r="AJ42" i="19"/>
  <c r="AK41" i="19"/>
  <c r="AJ41" i="19"/>
  <c r="AK40" i="19"/>
  <c r="AJ40" i="19"/>
  <c r="AK39" i="19"/>
  <c r="AJ39" i="19"/>
  <c r="AK38" i="19"/>
  <c r="AJ38" i="19"/>
  <c r="AK37" i="19"/>
  <c r="AJ37" i="19"/>
  <c r="AK36" i="19"/>
  <c r="AJ36" i="19"/>
  <c r="AK35" i="19"/>
  <c r="AJ35" i="19"/>
  <c r="AK34" i="19"/>
  <c r="AJ34" i="19"/>
  <c r="AK33" i="19"/>
  <c r="AJ33" i="19"/>
  <c r="AK32" i="19"/>
  <c r="AJ32" i="19"/>
  <c r="AK31" i="19"/>
  <c r="AJ31" i="19"/>
  <c r="AK30" i="19"/>
  <c r="AJ30" i="19"/>
  <c r="AK29" i="19"/>
  <c r="AJ29" i="19"/>
  <c r="AK28" i="19"/>
  <c r="AJ28" i="19"/>
  <c r="AK27" i="19"/>
  <c r="AJ27" i="19"/>
  <c r="AK26" i="19"/>
  <c r="AJ26" i="19"/>
  <c r="AK25" i="19"/>
  <c r="AJ25" i="19"/>
  <c r="AK24" i="19"/>
  <c r="AJ24" i="19"/>
  <c r="AK23" i="19"/>
  <c r="AJ23" i="19"/>
  <c r="AK22" i="19"/>
  <c r="AJ22" i="19"/>
  <c r="AK21" i="19"/>
  <c r="AJ21" i="19"/>
  <c r="AK20" i="19"/>
  <c r="AJ20" i="19"/>
  <c r="AK19" i="19"/>
  <c r="AJ19" i="19"/>
  <c r="AO18" i="19"/>
  <c r="AN18" i="19"/>
  <c r="AM18" i="19"/>
  <c r="AK18" i="19"/>
  <c r="AJ18" i="19"/>
  <c r="AK17" i="19"/>
  <c r="AJ17" i="19"/>
  <c r="AK16" i="19"/>
  <c r="AJ16" i="19"/>
  <c r="AK15" i="19"/>
  <c r="AJ15" i="19"/>
  <c r="AK14" i="19"/>
  <c r="AJ14" i="19"/>
  <c r="AK13" i="19"/>
  <c r="AJ13" i="19"/>
  <c r="AK12" i="19"/>
  <c r="AJ12" i="19"/>
  <c r="AK11" i="19"/>
  <c r="AJ11" i="19"/>
  <c r="AN10" i="19"/>
  <c r="AM10" i="19"/>
  <c r="AO10" i="19" s="1"/>
  <c r="AK10" i="19"/>
  <c r="AJ10" i="19"/>
  <c r="AK9" i="19"/>
  <c r="AJ9" i="19"/>
  <c r="AK8" i="19"/>
  <c r="AJ8" i="19"/>
  <c r="AK7" i="19"/>
  <c r="AJ7" i="19"/>
  <c r="AK6" i="19"/>
  <c r="AJ6" i="19"/>
  <c r="AK5" i="19"/>
  <c r="AJ5" i="19"/>
  <c r="AN11" i="19" s="1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N19" i="19" l="1"/>
  <c r="AN20" i="19" s="1"/>
  <c r="AN12" i="19"/>
  <c r="AM11" i="19"/>
  <c r="AO11" i="19" l="1"/>
  <c r="AO12" i="19" s="1"/>
  <c r="AM12" i="19"/>
  <c r="AM19" i="19"/>
  <c r="AM20" i="19" l="1"/>
  <c r="AO19" i="19"/>
  <c r="AO20" i="19" s="1"/>
  <c r="X59" i="18"/>
  <c r="W59" i="18"/>
  <c r="X58" i="18"/>
  <c r="W58" i="18"/>
  <c r="X57" i="18"/>
  <c r="W57" i="18"/>
  <c r="X56" i="18"/>
  <c r="W56" i="18"/>
  <c r="X55" i="18"/>
  <c r="W55" i="18"/>
  <c r="X54" i="18"/>
  <c r="W54" i="18"/>
  <c r="X53" i="18"/>
  <c r="W53" i="18"/>
  <c r="X52" i="18"/>
  <c r="W52" i="18"/>
  <c r="X51" i="18"/>
  <c r="W51" i="18"/>
  <c r="X50" i="18"/>
  <c r="W50" i="18"/>
  <c r="X49" i="18"/>
  <c r="W49" i="18"/>
  <c r="X48" i="18"/>
  <c r="W48" i="18"/>
  <c r="X47" i="18"/>
  <c r="W47" i="18"/>
  <c r="X46" i="18"/>
  <c r="W46" i="18"/>
  <c r="X45" i="18"/>
  <c r="W45" i="18"/>
  <c r="X44" i="18"/>
  <c r="W44" i="18"/>
  <c r="X43" i="18"/>
  <c r="W43" i="18"/>
  <c r="X42" i="18"/>
  <c r="W42" i="18"/>
  <c r="X41" i="18"/>
  <c r="W41" i="18"/>
  <c r="X40" i="18"/>
  <c r="W40" i="18"/>
  <c r="X39" i="18"/>
  <c r="W39" i="18"/>
  <c r="X38" i="18"/>
  <c r="W38" i="18"/>
  <c r="X37" i="18"/>
  <c r="W37" i="18"/>
  <c r="X36" i="18"/>
  <c r="W36" i="18"/>
  <c r="X35" i="18"/>
  <c r="W35" i="18"/>
  <c r="X34" i="18"/>
  <c r="W34" i="18"/>
  <c r="X33" i="18"/>
  <c r="W33" i="18"/>
  <c r="X32" i="18"/>
  <c r="W32" i="18"/>
  <c r="X31" i="18"/>
  <c r="W31" i="18"/>
  <c r="AA18" i="18"/>
  <c r="Z18" i="18"/>
  <c r="AA10" i="18"/>
  <c r="Z10" i="18"/>
  <c r="AB10" i="18" s="1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X5" i="18"/>
  <c r="W5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Z11" i="18" l="1"/>
  <c r="Z12" i="18" s="1"/>
  <c r="AA11" i="18"/>
  <c r="AA12" i="18" s="1"/>
  <c r="AB18" i="18"/>
  <c r="AA19" i="18" l="1"/>
  <c r="AA20" i="18" s="1"/>
  <c r="AB11" i="18"/>
  <c r="AB12" i="18" s="1"/>
  <c r="Z19" i="18"/>
  <c r="Z20" i="18" s="1"/>
  <c r="AB19" i="18"/>
  <c r="AB20" i="18" s="1"/>
</calcChain>
</file>

<file path=xl/sharedStrings.xml><?xml version="1.0" encoding="utf-8"?>
<sst xmlns="http://schemas.openxmlformats.org/spreadsheetml/2006/main" count="7977" uniqueCount="149">
  <si>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</si>
  <si>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</si>
  <si>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</si>
  <si>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</si>
  <si>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</si>
  <si>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</si>
  <si>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</si>
  <si>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</si>
  <si>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</si>
  <si>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</si>
  <si>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</si>
  <si>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</si>
  <si>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</si>
  <si>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</si>
  <si>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</si>
  <si>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</si>
  <si>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</si>
  <si>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</si>
  <si>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</si>
  <si>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</si>
  <si>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Three</t>
  </si>
  <si>
    <t>Year 2024</t>
  </si>
  <si>
    <t>Monthly Attendence Month of August-2024</t>
  </si>
  <si>
    <t>Goverment high school (SJCHS)</t>
  </si>
  <si>
    <t>M. Ibrahim</t>
  </si>
  <si>
    <t>Abdul Ghaffar</t>
  </si>
  <si>
    <t>Ayaz Ali</t>
  </si>
  <si>
    <t>Muneer Ahmed</t>
  </si>
  <si>
    <t>Dil Murad</t>
  </si>
  <si>
    <t>Mohsin Ali</t>
  </si>
  <si>
    <t>Imran Ali</t>
  </si>
  <si>
    <t>Fiza</t>
  </si>
  <si>
    <t>M. Qasim</t>
  </si>
  <si>
    <t>A</t>
  </si>
  <si>
    <t>P</t>
  </si>
  <si>
    <t>L</t>
  </si>
  <si>
    <t>Irfan Ali</t>
  </si>
  <si>
    <t>Hafsa</t>
  </si>
  <si>
    <t>Hafeezullah</t>
  </si>
  <si>
    <t>Shah Ali</t>
  </si>
  <si>
    <t>Fahad</t>
  </si>
  <si>
    <t>M. Arif</t>
  </si>
  <si>
    <t>Zaheer Abbas</t>
  </si>
  <si>
    <t>Deedar Ali</t>
  </si>
  <si>
    <t>Arbab Ali</t>
  </si>
  <si>
    <t>Asad Ali</t>
  </si>
  <si>
    <t>Abdullah</t>
  </si>
  <si>
    <t>Rehmatullah</t>
  </si>
  <si>
    <t>Zain Ali</t>
  </si>
  <si>
    <t>.</t>
  </si>
  <si>
    <t>Kashaf</t>
  </si>
  <si>
    <t>M. Noman</t>
  </si>
  <si>
    <t>Abdul Hafeez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</si>
  <si>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</si>
  <si>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</si>
  <si>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</si>
  <si>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</si>
  <si>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</si>
  <si>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</si>
  <si>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</si>
  <si>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</si>
  <si>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</si>
  <si>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</si>
  <si>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</si>
  <si>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Azan</t>
  </si>
  <si>
    <t>Nisar Ahmed</t>
  </si>
  <si>
    <t>Faizan Ahmed</t>
  </si>
  <si>
    <t>Riaz Ahmed</t>
  </si>
  <si>
    <t>Haider Ali</t>
  </si>
  <si>
    <t>M. Shayan</t>
  </si>
  <si>
    <t>Zulfiqar Ali</t>
  </si>
  <si>
    <t>Meer Alam</t>
  </si>
  <si>
    <t>M. Ahsan</t>
  </si>
  <si>
    <t>M. Yasin</t>
  </si>
  <si>
    <t>Shah Nawaz Khan</t>
  </si>
  <si>
    <t>M. Zawiyar</t>
  </si>
  <si>
    <t>Zulfiqar Ali Mangi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</si>
  <si>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</si>
  <si>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</si>
  <si>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</si>
  <si>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</si>
  <si>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</si>
  <si>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</si>
  <si>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</si>
  <si>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</si>
  <si>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</si>
  <si>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</si>
  <si>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</si>
  <si>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</si>
  <si>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</si>
  <si>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</si>
  <si>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</si>
  <si>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</si>
  <si>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</si>
  <si>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</si>
  <si>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</si>
  <si>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</si>
  <si>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</si>
  <si>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</si>
  <si>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</si>
  <si>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</si>
  <si>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</si>
  <si>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</si>
  <si>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</si>
  <si>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Maryam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</si>
  <si>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</si>
  <si>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</si>
  <si>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</si>
  <si>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</si>
  <si>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</si>
  <si>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</si>
  <si>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</si>
  <si>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</si>
  <si>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</si>
  <si>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</si>
  <si>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</si>
  <si>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</si>
  <si>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</si>
  <si>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</si>
  <si>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</si>
  <si>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</si>
  <si>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</si>
  <si>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</si>
  <si>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Atteeque ur Rehman</t>
  </si>
  <si>
    <t>Raffique Ahmed</t>
  </si>
  <si>
    <t>Bushra</t>
  </si>
  <si>
    <t>Farhan</t>
  </si>
  <si>
    <t>Alisha</t>
  </si>
  <si>
    <t>Ghulam Asghar</t>
  </si>
  <si>
    <t>Mubashira</t>
  </si>
  <si>
    <t>Ubaidullah</t>
  </si>
  <si>
    <t>SUNDAY - SUNDAY - SUNDAY - SUNDAY - SUNDAY - SUNDAY</t>
  </si>
  <si>
    <t>(URS) SHAH ABDUL LATIF BHITTAI (URS)</t>
  </si>
  <si>
    <t>CHEHLUM - CHEHLUM - CHEHLUM - CHEHLUM - CHEHLUM</t>
  </si>
  <si>
    <t>OFF DUE TO HEAVY RAIN - OFF DUE TO HEAVY RAIN</t>
  </si>
  <si>
    <t>Monthly Attendence Month of September-2024</t>
  </si>
  <si>
    <t>12 RABI UL AWWAL - 12 RABI UL AWWAL - 12 RABI UL AWWAL</t>
  </si>
  <si>
    <t>Monthly Attendence Month of October-2024</t>
  </si>
  <si>
    <t>PTM - PTM - PTM - PTM - PTM - PTM - PTM - PTM - PTM - PTM</t>
  </si>
  <si>
    <t>SUNDAY - SUNDAY - SUNDAY - SUNDAY - SUNDAY - SUNDAY - SUNDAY</t>
  </si>
  <si>
    <t>Muhammad Essa</t>
  </si>
  <si>
    <t>-</t>
  </si>
  <si>
    <t>Monthly Attendence Month of November-2024</t>
  </si>
  <si>
    <t>IQBAL DAY- IQBAL DAY - IQBAL DAY- IQBAL DAY - IQBAL DAY</t>
  </si>
  <si>
    <t>WINTER VICATIONS - WINTER VICATIONS - WINTER VICATIONS</t>
  </si>
  <si>
    <t>SHAB-E-MAIRAJ - SHAB-E-MAIRAJ - SHAB-E-MAIRAJ</t>
  </si>
  <si>
    <t>Total days</t>
  </si>
  <si>
    <t>Absent Days Details</t>
  </si>
  <si>
    <t>Shab-E-Mairaj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</si>
</sst>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5" borderId="1" xfId="0" applyFont="1" applyFill="1" applyBorder="1" applyAlignment="1">
      <alignment horizontal="center" vertical="center" textRotation="255"/>
    </xf>
    <xf numFmtId="0" fontId="2" fillId="5" borderId="8" xfId="0" applyFont="1" applyFill="1" applyBorder="1" applyAlignment="1">
      <alignment horizontal="center" vertical="center" textRotation="255"/>
    </xf>
    <xf numFmtId="0" fontId="2" fillId="5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1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sheetPr>
    <tabColor rgb="FFC00000"/>
  </sheetPr>
  <dimension ref="A1:AB59"/>
  <sheetViews>
    <sheetView workbookViewId="0">
      <selection activeCell="U60" sqref="U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8" ht="17.25" x14ac:dyDescent="0.3">
      <c r="A2" s="25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8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30" t="s">
        <v>5</v>
      </c>
      <c r="X3" s="30" t="s">
        <v>6</v>
      </c>
      <c r="Y3" s="27" t="s">
        <v>21</v>
      </c>
      <c r="Z3" s="28"/>
      <c r="AA3" s="3"/>
      <c r="AB3" s="3"/>
    </row>
    <row r="4" spans="1:28" ht="36.75" x14ac:dyDescent="0.25">
      <c r="A4" s="24"/>
      <c r="B4" s="24"/>
      <c r="C4" s="24"/>
      <c r="D4" s="24"/>
      <c r="E4" s="24"/>
      <c r="F4" s="21">
        <v>45519</v>
      </c>
      <c r="G4" s="21">
        <v>45520</v>
      </c>
      <c r="H4" s="21">
        <v>45521</v>
      </c>
      <c r="I4" s="21">
        <v>45522</v>
      </c>
      <c r="J4" s="21">
        <v>45523</v>
      </c>
      <c r="K4" s="21">
        <v>45524</v>
      </c>
      <c r="L4" s="21">
        <v>45525</v>
      </c>
      <c r="M4" s="21">
        <v>45526</v>
      </c>
      <c r="N4" s="21">
        <v>45527</v>
      </c>
      <c r="O4" s="21">
        <v>45528</v>
      </c>
      <c r="P4" s="21">
        <v>45529</v>
      </c>
      <c r="Q4" s="21">
        <v>45530</v>
      </c>
      <c r="R4" s="21">
        <v>45531</v>
      </c>
      <c r="S4" s="21">
        <v>45532</v>
      </c>
      <c r="T4" s="21">
        <v>45533</v>
      </c>
      <c r="U4" s="21">
        <v>45534</v>
      </c>
      <c r="V4" s="21">
        <v>45535</v>
      </c>
      <c r="W4" s="30"/>
      <c r="X4" s="30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11" t="s">
        <v>34</v>
      </c>
      <c r="G5" s="11" t="s">
        <v>34</v>
      </c>
      <c r="H5" s="11" t="s">
        <v>33</v>
      </c>
      <c r="I5" s="31" t="s">
        <v>131</v>
      </c>
      <c r="J5" s="11" t="s">
        <v>34</v>
      </c>
      <c r="K5" s="34" t="s">
        <v>132</v>
      </c>
      <c r="L5" s="11" t="s">
        <v>34</v>
      </c>
      <c r="M5" s="11" t="s">
        <v>34</v>
      </c>
      <c r="N5" s="11" t="s">
        <v>34</v>
      </c>
      <c r="O5" s="11" t="s">
        <v>34</v>
      </c>
      <c r="P5" s="31" t="s">
        <v>131</v>
      </c>
      <c r="Q5" s="34" t="s">
        <v>133</v>
      </c>
      <c r="R5" s="11" t="s">
        <v>34</v>
      </c>
      <c r="S5" s="11" t="s">
        <v>33</v>
      </c>
      <c r="T5" s="11" t="s">
        <v>34</v>
      </c>
      <c r="U5" s="34" t="s">
        <v>134</v>
      </c>
      <c r="V5" s="11"/>
      <c r="W5" s="5">
        <f t="shared" ref="W5:W59" si="1">COUNTIF(F5:V5,"P")</f>
        <v>9</v>
      </c>
      <c r="X5" s="5">
        <f t="shared" ref="X5:X59" si="2">COUNTIF(F5:V5,"A")</f>
        <v>2</v>
      </c>
      <c r="Y5" s="5" t="s">
        <v>8</v>
      </c>
      <c r="Z5" s="12">
        <v>26</v>
      </c>
      <c r="AA5" s="13" t="s">
        <v>9</v>
      </c>
      <c r="AB5" s="3"/>
    </row>
    <row r="6" spans="1:28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11" t="s">
        <v>34</v>
      </c>
      <c r="G6" s="11" t="s">
        <v>34</v>
      </c>
      <c r="H6" s="11" t="s">
        <v>34</v>
      </c>
      <c r="I6" s="32"/>
      <c r="J6" s="11" t="s">
        <v>34</v>
      </c>
      <c r="K6" s="35"/>
      <c r="L6" s="11" t="s">
        <v>34</v>
      </c>
      <c r="M6" s="11" t="s">
        <v>34</v>
      </c>
      <c r="N6" s="11" t="s">
        <v>34</v>
      </c>
      <c r="O6" s="11" t="s">
        <v>34</v>
      </c>
      <c r="P6" s="32"/>
      <c r="Q6" s="35"/>
      <c r="R6" s="11" t="s">
        <v>34</v>
      </c>
      <c r="S6" s="11" t="s">
        <v>33</v>
      </c>
      <c r="T6" s="11" t="s">
        <v>34</v>
      </c>
      <c r="U6" s="35"/>
      <c r="V6" s="11"/>
      <c r="W6" s="5">
        <f t="shared" si="1"/>
        <v>10</v>
      </c>
      <c r="X6" s="5">
        <f t="shared" si="2"/>
        <v>1</v>
      </c>
      <c r="Y6" s="5" t="s">
        <v>10</v>
      </c>
      <c r="Z6" s="12">
        <v>4</v>
      </c>
      <c r="AA6" s="3"/>
      <c r="AB6" s="3"/>
    </row>
    <row r="7" spans="1:28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11" t="s">
        <v>34</v>
      </c>
      <c r="G7" s="11" t="s">
        <v>34</v>
      </c>
      <c r="H7" s="11" t="s">
        <v>34</v>
      </c>
      <c r="I7" s="32"/>
      <c r="J7" s="11" t="s">
        <v>34</v>
      </c>
      <c r="K7" s="35"/>
      <c r="L7" s="11" t="s">
        <v>34</v>
      </c>
      <c r="M7" s="11" t="s">
        <v>34</v>
      </c>
      <c r="N7" s="11" t="s">
        <v>34</v>
      </c>
      <c r="O7" s="11" t="s">
        <v>34</v>
      </c>
      <c r="P7" s="32"/>
      <c r="Q7" s="35"/>
      <c r="R7" s="11" t="s">
        <v>34</v>
      </c>
      <c r="S7" s="11" t="s">
        <v>33</v>
      </c>
      <c r="T7" s="11" t="s">
        <v>33</v>
      </c>
      <c r="U7" s="35"/>
      <c r="V7" s="11"/>
      <c r="W7" s="5">
        <f t="shared" si="1"/>
        <v>9</v>
      </c>
      <c r="X7" s="5">
        <f t="shared" si="2"/>
        <v>2</v>
      </c>
      <c r="Y7" s="3"/>
      <c r="Z7" s="3"/>
      <c r="AA7" s="3"/>
      <c r="AB7" s="3"/>
    </row>
    <row r="8" spans="1:28" ht="15.7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11" t="s">
        <v>34</v>
      </c>
      <c r="G8" s="11" t="s">
        <v>34</v>
      </c>
      <c r="H8" s="11" t="s">
        <v>34</v>
      </c>
      <c r="I8" s="32"/>
      <c r="J8" s="11" t="s">
        <v>34</v>
      </c>
      <c r="K8" s="35"/>
      <c r="L8" s="11" t="s">
        <v>34</v>
      </c>
      <c r="M8" s="11" t="s">
        <v>34</v>
      </c>
      <c r="N8" s="11" t="s">
        <v>34</v>
      </c>
      <c r="O8" s="11" t="s">
        <v>34</v>
      </c>
      <c r="P8" s="32"/>
      <c r="Q8" s="35"/>
      <c r="R8" s="11" t="s">
        <v>34</v>
      </c>
      <c r="S8" s="11" t="s">
        <v>33</v>
      </c>
      <c r="T8" s="11" t="s">
        <v>34</v>
      </c>
      <c r="U8" s="35"/>
      <c r="V8" s="11"/>
      <c r="W8" s="5">
        <f t="shared" si="1"/>
        <v>10</v>
      </c>
      <c r="X8" s="5">
        <f t="shared" si="2"/>
        <v>1</v>
      </c>
      <c r="Y8" s="27" t="s">
        <v>11</v>
      </c>
      <c r="Z8" s="28"/>
      <c r="AA8" s="28"/>
      <c r="AB8" s="29"/>
    </row>
    <row r="9" spans="1:28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11" t="s">
        <v>34</v>
      </c>
      <c r="G9" s="11" t="s">
        <v>34</v>
      </c>
      <c r="H9" s="11" t="s">
        <v>34</v>
      </c>
      <c r="I9" s="32"/>
      <c r="J9" s="11" t="s">
        <v>34</v>
      </c>
      <c r="K9" s="35"/>
      <c r="L9" s="11" t="s">
        <v>34</v>
      </c>
      <c r="M9" s="11" t="s">
        <v>33</v>
      </c>
      <c r="N9" s="11" t="s">
        <v>34</v>
      </c>
      <c r="O9" s="11" t="s">
        <v>34</v>
      </c>
      <c r="P9" s="32"/>
      <c r="Q9" s="35"/>
      <c r="R9" s="11" t="s">
        <v>34</v>
      </c>
      <c r="S9" s="11" t="s">
        <v>33</v>
      </c>
      <c r="T9" s="11" t="s">
        <v>34</v>
      </c>
      <c r="U9" s="35"/>
      <c r="V9" s="11"/>
      <c r="W9" s="5">
        <f t="shared" si="1"/>
        <v>9</v>
      </c>
      <c r="X9" s="5">
        <f t="shared" si="2"/>
        <v>2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11" t="s">
        <v>34</v>
      </c>
      <c r="G10" s="11" t="s">
        <v>34</v>
      </c>
      <c r="H10" s="11" t="s">
        <v>34</v>
      </c>
      <c r="I10" s="32"/>
      <c r="J10" s="11" t="s">
        <v>34</v>
      </c>
      <c r="K10" s="35"/>
      <c r="L10" s="11" t="s">
        <v>33</v>
      </c>
      <c r="M10" s="11" t="s">
        <v>34</v>
      </c>
      <c r="N10" s="11" t="s">
        <v>34</v>
      </c>
      <c r="O10" s="11" t="s">
        <v>34</v>
      </c>
      <c r="P10" s="32"/>
      <c r="Q10" s="35"/>
      <c r="R10" s="11" t="s">
        <v>33</v>
      </c>
      <c r="S10" s="11" t="s">
        <v>34</v>
      </c>
      <c r="T10" s="11" t="s">
        <v>33</v>
      </c>
      <c r="U10" s="35"/>
      <c r="V10" s="11"/>
      <c r="W10" s="5">
        <f t="shared" si="1"/>
        <v>8</v>
      </c>
      <c r="X10" s="5">
        <f t="shared" si="2"/>
        <v>3</v>
      </c>
      <c r="Y10" s="5" t="s">
        <v>16</v>
      </c>
      <c r="Z10" s="12">
        <f>19*26</f>
        <v>494</v>
      </c>
      <c r="AA10" s="12">
        <f>21*26</f>
        <v>546</v>
      </c>
      <c r="AB10" s="12">
        <f>SUM(Z10:AA10)</f>
        <v>1040</v>
      </c>
    </row>
    <row r="11" spans="1:28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11" t="s">
        <v>34</v>
      </c>
      <c r="G11" s="11" t="s">
        <v>34</v>
      </c>
      <c r="H11" s="11" t="s">
        <v>34</v>
      </c>
      <c r="I11" s="32"/>
      <c r="J11" s="11" t="s">
        <v>34</v>
      </c>
      <c r="K11" s="35"/>
      <c r="L11" s="11" t="s">
        <v>34</v>
      </c>
      <c r="M11" s="11" t="s">
        <v>34</v>
      </c>
      <c r="N11" s="11" t="s">
        <v>34</v>
      </c>
      <c r="O11" s="11" t="s">
        <v>34</v>
      </c>
      <c r="P11" s="32"/>
      <c r="Q11" s="35"/>
      <c r="R11" s="11" t="s">
        <v>34</v>
      </c>
      <c r="S11" s="11" t="s">
        <v>34</v>
      </c>
      <c r="T11" s="11" t="s">
        <v>34</v>
      </c>
      <c r="U11" s="35"/>
      <c r="V11" s="11"/>
      <c r="W11" s="5">
        <f t="shared" si="1"/>
        <v>11</v>
      </c>
      <c r="X11" s="5">
        <f t="shared" si="2"/>
        <v>0</v>
      </c>
      <c r="Y11" s="5" t="s">
        <v>17</v>
      </c>
      <c r="Z11" s="12">
        <f>W31+W32+W35+W36+W37+W39+W43+W44+W45+W46+W47+W48+W49+W50+W52+W53+W55+W66</f>
        <v>135</v>
      </c>
      <c r="AA11" s="12">
        <f>W30+W33+W34+W38+W40+W41+W42+W51+W54+W56+W57+W58+W59+W60+W61+W62+W63+W64+W65+W67+W68</f>
        <v>70</v>
      </c>
      <c r="AB11" s="12">
        <f>Z11+AA11</f>
        <v>205</v>
      </c>
    </row>
    <row r="12" spans="1:28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11" t="s">
        <v>34</v>
      </c>
      <c r="G12" s="11" t="s">
        <v>34</v>
      </c>
      <c r="H12" s="11" t="s">
        <v>34</v>
      </c>
      <c r="I12" s="32"/>
      <c r="J12" s="11" t="s">
        <v>34</v>
      </c>
      <c r="K12" s="35"/>
      <c r="L12" s="11" t="s">
        <v>34</v>
      </c>
      <c r="M12" s="11" t="s">
        <v>34</v>
      </c>
      <c r="N12" s="11" t="s">
        <v>34</v>
      </c>
      <c r="O12" s="11" t="s">
        <v>34</v>
      </c>
      <c r="P12" s="32"/>
      <c r="Q12" s="35"/>
      <c r="R12" s="11" t="s">
        <v>34</v>
      </c>
      <c r="S12" s="11" t="s">
        <v>34</v>
      </c>
      <c r="T12" s="11" t="s">
        <v>33</v>
      </c>
      <c r="U12" s="35"/>
      <c r="V12" s="11"/>
      <c r="W12" s="5">
        <f t="shared" si="1"/>
        <v>10</v>
      </c>
      <c r="X12" s="5">
        <f t="shared" si="2"/>
        <v>1</v>
      </c>
      <c r="Y12" s="5" t="s">
        <v>18</v>
      </c>
      <c r="Z12" s="12">
        <f>Z11/Z10</f>
        <v>0.27327935222672067</v>
      </c>
      <c r="AA12" s="12">
        <f>AA11/AA10</f>
        <v>0.12820512820512819</v>
      </c>
      <c r="AB12" s="12">
        <f>AB11/AB10</f>
        <v>0.19711538461538461</v>
      </c>
    </row>
    <row r="13" spans="1:28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11" t="s">
        <v>34</v>
      </c>
      <c r="G13" s="11" t="s">
        <v>34</v>
      </c>
      <c r="H13" s="11" t="s">
        <v>34</v>
      </c>
      <c r="I13" s="32"/>
      <c r="J13" s="11" t="s">
        <v>34</v>
      </c>
      <c r="K13" s="35"/>
      <c r="L13" s="11" t="s">
        <v>34</v>
      </c>
      <c r="M13" s="11" t="s">
        <v>34</v>
      </c>
      <c r="N13" s="11" t="s">
        <v>34</v>
      </c>
      <c r="O13" s="11" t="s">
        <v>34</v>
      </c>
      <c r="P13" s="32"/>
      <c r="Q13" s="35"/>
      <c r="R13" s="11" t="s">
        <v>34</v>
      </c>
      <c r="S13" s="11" t="s">
        <v>33</v>
      </c>
      <c r="T13" s="11" t="s">
        <v>34</v>
      </c>
      <c r="U13" s="35"/>
      <c r="V13" s="11"/>
      <c r="W13" s="5">
        <f t="shared" si="1"/>
        <v>10</v>
      </c>
      <c r="X13" s="5">
        <f t="shared" si="2"/>
        <v>1</v>
      </c>
      <c r="Y13" s="3"/>
      <c r="Z13" s="17"/>
      <c r="AA13" s="17"/>
      <c r="AB13" s="17"/>
    </row>
    <row r="14" spans="1:28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11" t="s">
        <v>33</v>
      </c>
      <c r="G14" s="11" t="s">
        <v>33</v>
      </c>
      <c r="H14" s="11" t="s">
        <v>33</v>
      </c>
      <c r="I14" s="32"/>
      <c r="J14" s="11" t="s">
        <v>34</v>
      </c>
      <c r="K14" s="35"/>
      <c r="L14" s="11" t="s">
        <v>34</v>
      </c>
      <c r="M14" s="11" t="s">
        <v>34</v>
      </c>
      <c r="N14" s="11" t="s">
        <v>34</v>
      </c>
      <c r="O14" s="11" t="s">
        <v>33</v>
      </c>
      <c r="P14" s="32"/>
      <c r="Q14" s="35"/>
      <c r="R14" s="11" t="s">
        <v>33</v>
      </c>
      <c r="S14" s="11" t="s">
        <v>33</v>
      </c>
      <c r="T14" s="11" t="s">
        <v>34</v>
      </c>
      <c r="U14" s="35"/>
      <c r="V14" s="11"/>
      <c r="W14" s="5">
        <f t="shared" si="1"/>
        <v>5</v>
      </c>
      <c r="X14" s="5">
        <f t="shared" si="2"/>
        <v>6</v>
      </c>
      <c r="Y14" s="19"/>
      <c r="Z14" s="19"/>
      <c r="AA14" s="19"/>
      <c r="AB14" s="19"/>
    </row>
    <row r="15" spans="1:28" x14ac:dyDescent="0.25">
      <c r="A15" s="6">
        <v>11</v>
      </c>
      <c r="B15" s="14">
        <v>570</v>
      </c>
      <c r="C15" s="15" t="s">
        <v>104</v>
      </c>
      <c r="D15" s="16" t="s">
        <v>36</v>
      </c>
      <c r="E15" s="10" t="s">
        <v>20</v>
      </c>
      <c r="F15" s="11" t="s">
        <v>33</v>
      </c>
      <c r="G15" s="11" t="s">
        <v>33</v>
      </c>
      <c r="H15" s="11" t="s">
        <v>33</v>
      </c>
      <c r="I15" s="32"/>
      <c r="J15" s="11" t="s">
        <v>33</v>
      </c>
      <c r="K15" s="35"/>
      <c r="L15" s="11" t="s">
        <v>33</v>
      </c>
      <c r="M15" s="11" t="s">
        <v>33</v>
      </c>
      <c r="N15" s="11" t="s">
        <v>33</v>
      </c>
      <c r="O15" s="11" t="s">
        <v>33</v>
      </c>
      <c r="P15" s="32"/>
      <c r="Q15" s="35"/>
      <c r="R15" s="11" t="s">
        <v>33</v>
      </c>
      <c r="S15" s="11" t="s">
        <v>33</v>
      </c>
      <c r="T15" s="11" t="s">
        <v>33</v>
      </c>
      <c r="U15" s="35"/>
      <c r="V15" s="11"/>
      <c r="W15" s="5">
        <f t="shared" si="1"/>
        <v>0</v>
      </c>
      <c r="X15" s="5">
        <f t="shared" si="2"/>
        <v>11</v>
      </c>
      <c r="Y15" s="3"/>
      <c r="Z15" s="3"/>
      <c r="AA15" s="3"/>
      <c r="AB15" s="3"/>
    </row>
    <row r="16" spans="1:28" ht="15.75" x14ac:dyDescent="0.25">
      <c r="A16" s="12">
        <v>12</v>
      </c>
      <c r="B16" s="14">
        <v>687</v>
      </c>
      <c r="C16" s="15" t="s">
        <v>105</v>
      </c>
      <c r="D16" s="16" t="s">
        <v>106</v>
      </c>
      <c r="E16" s="10" t="s">
        <v>20</v>
      </c>
      <c r="F16" s="11" t="s">
        <v>34</v>
      </c>
      <c r="G16" s="11" t="s">
        <v>34</v>
      </c>
      <c r="H16" s="11" t="s">
        <v>34</v>
      </c>
      <c r="I16" s="32"/>
      <c r="J16" s="11" t="s">
        <v>34</v>
      </c>
      <c r="K16" s="35"/>
      <c r="L16" s="11" t="s">
        <v>34</v>
      </c>
      <c r="M16" s="11" t="s">
        <v>34</v>
      </c>
      <c r="N16" s="11" t="s">
        <v>34</v>
      </c>
      <c r="O16" s="11" t="s">
        <v>34</v>
      </c>
      <c r="P16" s="32"/>
      <c r="Q16" s="35"/>
      <c r="R16" s="11" t="s">
        <v>34</v>
      </c>
      <c r="S16" s="11" t="s">
        <v>34</v>
      </c>
      <c r="T16" s="11" t="s">
        <v>34</v>
      </c>
      <c r="U16" s="35"/>
      <c r="V16" s="11"/>
      <c r="W16" s="5">
        <f t="shared" si="1"/>
        <v>11</v>
      </c>
      <c r="X16" s="5">
        <f t="shared" si="2"/>
        <v>0</v>
      </c>
      <c r="Y16" s="27" t="s">
        <v>6</v>
      </c>
      <c r="Z16" s="28"/>
      <c r="AA16" s="28"/>
      <c r="AB16" s="29"/>
    </row>
    <row r="17" spans="1:28" x14ac:dyDescent="0.25">
      <c r="A17" s="6">
        <v>13</v>
      </c>
      <c r="B17" s="14">
        <v>581</v>
      </c>
      <c r="C17" s="15" t="s">
        <v>107</v>
      </c>
      <c r="D17" s="16" t="s">
        <v>39</v>
      </c>
      <c r="E17" s="10" t="s">
        <v>20</v>
      </c>
      <c r="F17" s="11" t="s">
        <v>34</v>
      </c>
      <c r="G17" s="11" t="s">
        <v>34</v>
      </c>
      <c r="H17" s="11" t="s">
        <v>34</v>
      </c>
      <c r="I17" s="32"/>
      <c r="J17" s="11" t="s">
        <v>34</v>
      </c>
      <c r="K17" s="35"/>
      <c r="L17" s="11" t="s">
        <v>34</v>
      </c>
      <c r="M17" s="11" t="s">
        <v>34</v>
      </c>
      <c r="N17" s="11" t="s">
        <v>34</v>
      </c>
      <c r="O17" s="11" t="s">
        <v>34</v>
      </c>
      <c r="P17" s="32"/>
      <c r="Q17" s="35"/>
      <c r="R17" s="11" t="s">
        <v>34</v>
      </c>
      <c r="S17" s="11" t="s">
        <v>33</v>
      </c>
      <c r="T17" s="11" t="s">
        <v>33</v>
      </c>
      <c r="U17" s="35"/>
      <c r="V17" s="11"/>
      <c r="W17" s="5">
        <f t="shared" si="1"/>
        <v>9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2">
        <v>14</v>
      </c>
      <c r="B18" s="14">
        <v>588</v>
      </c>
      <c r="C18" s="15" t="s">
        <v>108</v>
      </c>
      <c r="D18" s="16" t="s">
        <v>109</v>
      </c>
      <c r="E18" s="10" t="s">
        <v>20</v>
      </c>
      <c r="F18" s="11" t="s">
        <v>34</v>
      </c>
      <c r="G18" s="11" t="s">
        <v>34</v>
      </c>
      <c r="H18" s="11" t="s">
        <v>34</v>
      </c>
      <c r="I18" s="32"/>
      <c r="J18" s="11" t="s">
        <v>34</v>
      </c>
      <c r="K18" s="35"/>
      <c r="L18" s="11" t="s">
        <v>34</v>
      </c>
      <c r="M18" s="11" t="s">
        <v>34</v>
      </c>
      <c r="N18" s="11" t="s">
        <v>33</v>
      </c>
      <c r="O18" s="11" t="s">
        <v>33</v>
      </c>
      <c r="P18" s="32"/>
      <c r="Q18" s="35"/>
      <c r="R18" s="11" t="s">
        <v>33</v>
      </c>
      <c r="S18" s="11" t="s">
        <v>33</v>
      </c>
      <c r="T18" s="11" t="s">
        <v>33</v>
      </c>
      <c r="U18" s="35"/>
      <c r="V18" s="11"/>
      <c r="W18" s="5">
        <f t="shared" si="1"/>
        <v>6</v>
      </c>
      <c r="X18" s="5">
        <f t="shared" si="2"/>
        <v>5</v>
      </c>
      <c r="Y18" s="5" t="s">
        <v>16</v>
      </c>
      <c r="Z18" s="12">
        <f>19*26</f>
        <v>494</v>
      </c>
      <c r="AA18" s="12">
        <f>21*26</f>
        <v>546</v>
      </c>
      <c r="AB18" s="12">
        <f>Z18+AA18</f>
        <v>1040</v>
      </c>
    </row>
    <row r="19" spans="1:28" x14ac:dyDescent="0.25">
      <c r="A19" s="6">
        <v>15</v>
      </c>
      <c r="B19" s="14">
        <v>686</v>
      </c>
      <c r="C19" s="15" t="s">
        <v>110</v>
      </c>
      <c r="D19" s="16" t="s">
        <v>38</v>
      </c>
      <c r="E19" s="10" t="s">
        <v>20</v>
      </c>
      <c r="F19" s="11" t="s">
        <v>34</v>
      </c>
      <c r="G19" s="11" t="s">
        <v>34</v>
      </c>
      <c r="H19" s="11" t="s">
        <v>34</v>
      </c>
      <c r="I19" s="32"/>
      <c r="J19" s="11" t="s">
        <v>34</v>
      </c>
      <c r="K19" s="35"/>
      <c r="L19" s="11" t="s">
        <v>34</v>
      </c>
      <c r="M19" s="11" t="s">
        <v>34</v>
      </c>
      <c r="N19" s="11" t="s">
        <v>34</v>
      </c>
      <c r="O19" s="11" t="s">
        <v>33</v>
      </c>
      <c r="P19" s="32"/>
      <c r="Q19" s="35"/>
      <c r="R19" s="11" t="s">
        <v>33</v>
      </c>
      <c r="S19" s="11" t="s">
        <v>33</v>
      </c>
      <c r="T19" s="11" t="s">
        <v>34</v>
      </c>
      <c r="U19" s="35"/>
      <c r="V19" s="11"/>
      <c r="W19" s="5">
        <f t="shared" si="1"/>
        <v>8</v>
      </c>
      <c r="X19" s="5">
        <f t="shared" si="2"/>
        <v>3</v>
      </c>
      <c r="Y19" s="5" t="s">
        <v>19</v>
      </c>
      <c r="Z19" s="12">
        <f>Z18-Z11</f>
        <v>359</v>
      </c>
      <c r="AA19" s="12">
        <f>AA18-AA11</f>
        <v>476</v>
      </c>
      <c r="AB19" s="12">
        <f>Z19+AA19</f>
        <v>835</v>
      </c>
    </row>
    <row r="20" spans="1:28" x14ac:dyDescent="0.25">
      <c r="A20" s="12">
        <v>16</v>
      </c>
      <c r="B20" s="14">
        <v>525</v>
      </c>
      <c r="C20" s="15" t="s">
        <v>111</v>
      </c>
      <c r="D20" s="16" t="s">
        <v>112</v>
      </c>
      <c r="E20" s="10" t="s">
        <v>20</v>
      </c>
      <c r="F20" s="11" t="s">
        <v>34</v>
      </c>
      <c r="G20" s="11" t="s">
        <v>34</v>
      </c>
      <c r="H20" s="11" t="s">
        <v>34</v>
      </c>
      <c r="I20" s="32"/>
      <c r="J20" s="11" t="s">
        <v>34</v>
      </c>
      <c r="K20" s="35"/>
      <c r="L20" s="11" t="s">
        <v>34</v>
      </c>
      <c r="M20" s="11" t="s">
        <v>34</v>
      </c>
      <c r="N20" s="11" t="s">
        <v>34</v>
      </c>
      <c r="O20" s="11" t="s">
        <v>34</v>
      </c>
      <c r="P20" s="32"/>
      <c r="Q20" s="35"/>
      <c r="R20" s="11" t="s">
        <v>34</v>
      </c>
      <c r="S20" s="11" t="s">
        <v>33</v>
      </c>
      <c r="T20" s="11" t="s">
        <v>34</v>
      </c>
      <c r="U20" s="35"/>
      <c r="V20" s="11"/>
      <c r="W20" s="5">
        <f t="shared" si="1"/>
        <v>10</v>
      </c>
      <c r="X20" s="5">
        <f t="shared" si="2"/>
        <v>1</v>
      </c>
      <c r="Y20" s="5" t="s">
        <v>15</v>
      </c>
      <c r="Z20" s="20">
        <f>Z19/Z18</f>
        <v>0.72672064777327938</v>
      </c>
      <c r="AA20" s="20">
        <f>AA19/AA18</f>
        <v>0.87179487179487181</v>
      </c>
      <c r="AB20" s="20">
        <f>AB19/AB18</f>
        <v>0.80288461538461542</v>
      </c>
    </row>
    <row r="21" spans="1:28" x14ac:dyDescent="0.25">
      <c r="A21" s="6">
        <v>17</v>
      </c>
      <c r="B21" s="14">
        <v>577</v>
      </c>
      <c r="C21" s="15" t="s">
        <v>113</v>
      </c>
      <c r="D21" s="16" t="s">
        <v>114</v>
      </c>
      <c r="E21" s="10" t="s">
        <v>20</v>
      </c>
      <c r="F21" s="11" t="s">
        <v>34</v>
      </c>
      <c r="G21" s="11" t="s">
        <v>34</v>
      </c>
      <c r="H21" s="11" t="s">
        <v>34</v>
      </c>
      <c r="I21" s="32"/>
      <c r="J21" s="11" t="s">
        <v>34</v>
      </c>
      <c r="K21" s="35"/>
      <c r="L21" s="11" t="s">
        <v>34</v>
      </c>
      <c r="M21" s="11" t="s">
        <v>34</v>
      </c>
      <c r="N21" s="11" t="s">
        <v>34</v>
      </c>
      <c r="O21" s="11" t="s">
        <v>34</v>
      </c>
      <c r="P21" s="32"/>
      <c r="Q21" s="35"/>
      <c r="R21" s="11" t="s">
        <v>33</v>
      </c>
      <c r="S21" s="11" t="s">
        <v>33</v>
      </c>
      <c r="T21" s="11" t="s">
        <v>34</v>
      </c>
      <c r="U21" s="35"/>
      <c r="V21" s="11"/>
      <c r="W21" s="5">
        <f t="shared" si="1"/>
        <v>9</v>
      </c>
      <c r="X21" s="5">
        <f t="shared" si="2"/>
        <v>2</v>
      </c>
    </row>
    <row r="22" spans="1:28" x14ac:dyDescent="0.25">
      <c r="A22" s="12">
        <v>18</v>
      </c>
      <c r="B22" s="14">
        <v>589</v>
      </c>
      <c r="C22" s="15" t="s">
        <v>115</v>
      </c>
      <c r="D22" s="16" t="s">
        <v>116</v>
      </c>
      <c r="E22" s="10" t="s">
        <v>20</v>
      </c>
      <c r="F22" s="11" t="s">
        <v>34</v>
      </c>
      <c r="G22" s="11" t="s">
        <v>34</v>
      </c>
      <c r="H22" s="11" t="s">
        <v>34</v>
      </c>
      <c r="I22" s="32"/>
      <c r="J22" s="11" t="s">
        <v>34</v>
      </c>
      <c r="K22" s="35"/>
      <c r="L22" s="11" t="s">
        <v>34</v>
      </c>
      <c r="M22" s="11" t="s">
        <v>34</v>
      </c>
      <c r="N22" s="11" t="s">
        <v>34</v>
      </c>
      <c r="O22" s="11" t="s">
        <v>33</v>
      </c>
      <c r="P22" s="32"/>
      <c r="Q22" s="35"/>
      <c r="R22" s="11" t="s">
        <v>33</v>
      </c>
      <c r="S22" s="11" t="s">
        <v>33</v>
      </c>
      <c r="T22" s="11" t="s">
        <v>34</v>
      </c>
      <c r="U22" s="35"/>
      <c r="V22" s="11"/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4"/>
      <c r="C23" s="15" t="s">
        <v>117</v>
      </c>
      <c r="D23" s="16" t="s">
        <v>118</v>
      </c>
      <c r="E23" s="10" t="s">
        <v>20</v>
      </c>
      <c r="F23" s="11" t="s">
        <v>34</v>
      </c>
      <c r="G23" s="11" t="s">
        <v>34</v>
      </c>
      <c r="H23" s="11" t="s">
        <v>34</v>
      </c>
      <c r="I23" s="32"/>
      <c r="J23" s="11" t="s">
        <v>34</v>
      </c>
      <c r="K23" s="35"/>
      <c r="L23" s="11" t="s">
        <v>34</v>
      </c>
      <c r="M23" s="11" t="s">
        <v>34</v>
      </c>
      <c r="N23" s="11" t="s">
        <v>34</v>
      </c>
      <c r="O23" s="11" t="s">
        <v>34</v>
      </c>
      <c r="P23" s="32"/>
      <c r="Q23" s="35"/>
      <c r="R23" s="11" t="s">
        <v>34</v>
      </c>
      <c r="S23" s="11" t="s">
        <v>33</v>
      </c>
      <c r="T23" s="11" t="s">
        <v>33</v>
      </c>
      <c r="U23" s="35"/>
      <c r="V23" s="11"/>
      <c r="W23" s="5">
        <f t="shared" si="1"/>
        <v>9</v>
      </c>
      <c r="X23" s="5">
        <f t="shared" si="2"/>
        <v>2</v>
      </c>
    </row>
    <row r="24" spans="1:28" x14ac:dyDescent="0.25">
      <c r="A24" s="12">
        <v>20</v>
      </c>
      <c r="B24" s="14"/>
      <c r="C24" s="15" t="s">
        <v>37</v>
      </c>
      <c r="D24" s="16" t="s">
        <v>40</v>
      </c>
      <c r="E24" s="10" t="s">
        <v>20</v>
      </c>
      <c r="F24" s="11" t="s">
        <v>49</v>
      </c>
      <c r="G24" s="11" t="s">
        <v>49</v>
      </c>
      <c r="H24" s="11" t="s">
        <v>34</v>
      </c>
      <c r="I24" s="32"/>
      <c r="J24" s="11" t="s">
        <v>34</v>
      </c>
      <c r="K24" s="35"/>
      <c r="L24" s="11" t="s">
        <v>33</v>
      </c>
      <c r="M24" s="11" t="s">
        <v>34</v>
      </c>
      <c r="N24" s="11" t="s">
        <v>34</v>
      </c>
      <c r="O24" s="11" t="s">
        <v>34</v>
      </c>
      <c r="P24" s="32"/>
      <c r="Q24" s="35"/>
      <c r="R24" s="11" t="s">
        <v>34</v>
      </c>
      <c r="S24" s="11" t="s">
        <v>33</v>
      </c>
      <c r="T24" s="11" t="s">
        <v>33</v>
      </c>
      <c r="U24" s="35"/>
      <c r="V24" s="11"/>
      <c r="W24" s="5">
        <f t="shared" si="1"/>
        <v>6</v>
      </c>
      <c r="X24" s="5">
        <f t="shared" si="2"/>
        <v>3</v>
      </c>
    </row>
    <row r="25" spans="1:28" x14ac:dyDescent="0.25">
      <c r="A25" s="6">
        <v>21</v>
      </c>
      <c r="B25" s="14"/>
      <c r="C25" s="15" t="s">
        <v>119</v>
      </c>
      <c r="D25" s="16" t="s">
        <v>40</v>
      </c>
      <c r="E25" s="10" t="s">
        <v>20</v>
      </c>
      <c r="F25" s="11" t="s">
        <v>49</v>
      </c>
      <c r="G25" s="11" t="s">
        <v>49</v>
      </c>
      <c r="H25" s="11" t="s">
        <v>34</v>
      </c>
      <c r="I25" s="32"/>
      <c r="J25" s="11" t="s">
        <v>34</v>
      </c>
      <c r="K25" s="35"/>
      <c r="L25" s="11" t="s">
        <v>33</v>
      </c>
      <c r="M25" s="11" t="s">
        <v>34</v>
      </c>
      <c r="N25" s="11" t="s">
        <v>34</v>
      </c>
      <c r="O25" s="11" t="s">
        <v>34</v>
      </c>
      <c r="P25" s="32"/>
      <c r="Q25" s="35"/>
      <c r="R25" s="11" t="s">
        <v>34</v>
      </c>
      <c r="S25" s="11" t="s">
        <v>33</v>
      </c>
      <c r="T25" s="11" t="s">
        <v>33</v>
      </c>
      <c r="U25" s="35"/>
      <c r="V25" s="11"/>
      <c r="W25" s="5">
        <f t="shared" si="1"/>
        <v>6</v>
      </c>
      <c r="X25" s="5">
        <f t="shared" si="2"/>
        <v>3</v>
      </c>
    </row>
    <row r="26" spans="1:28" x14ac:dyDescent="0.25">
      <c r="A26" s="12">
        <v>22</v>
      </c>
      <c r="B26" s="14">
        <v>572</v>
      </c>
      <c r="C26" s="15" t="s">
        <v>120</v>
      </c>
      <c r="D26" s="16" t="s">
        <v>29</v>
      </c>
      <c r="E26" s="10" t="s">
        <v>20</v>
      </c>
      <c r="F26" s="11" t="s">
        <v>35</v>
      </c>
      <c r="G26" s="11" t="s">
        <v>35</v>
      </c>
      <c r="H26" s="11" t="s">
        <v>35</v>
      </c>
      <c r="I26" s="32"/>
      <c r="J26" s="11" t="s">
        <v>35</v>
      </c>
      <c r="K26" s="35"/>
      <c r="L26" s="11" t="s">
        <v>33</v>
      </c>
      <c r="M26" s="11" t="s">
        <v>33</v>
      </c>
      <c r="N26" s="11" t="s">
        <v>33</v>
      </c>
      <c r="O26" s="11" t="s">
        <v>33</v>
      </c>
      <c r="P26" s="32"/>
      <c r="Q26" s="35"/>
      <c r="R26" s="11" t="s">
        <v>33</v>
      </c>
      <c r="S26" s="11" t="s">
        <v>34</v>
      </c>
      <c r="T26" s="11" t="s">
        <v>33</v>
      </c>
      <c r="U26" s="35"/>
      <c r="V26" s="11"/>
      <c r="W26" s="5">
        <f t="shared" si="1"/>
        <v>1</v>
      </c>
      <c r="X26" s="5">
        <f t="shared" si="2"/>
        <v>6</v>
      </c>
    </row>
    <row r="27" spans="1:28" x14ac:dyDescent="0.25">
      <c r="A27" s="6">
        <v>23</v>
      </c>
      <c r="B27" s="14">
        <v>649</v>
      </c>
      <c r="C27" s="15" t="s">
        <v>121</v>
      </c>
      <c r="D27" s="16" t="s">
        <v>122</v>
      </c>
      <c r="E27" s="10" t="s">
        <v>20</v>
      </c>
      <c r="F27" s="11" t="s">
        <v>34</v>
      </c>
      <c r="G27" s="11" t="s">
        <v>34</v>
      </c>
      <c r="H27" s="11" t="s">
        <v>34</v>
      </c>
      <c r="I27" s="32"/>
      <c r="J27" s="11" t="s">
        <v>34</v>
      </c>
      <c r="K27" s="35"/>
      <c r="L27" s="11" t="s">
        <v>34</v>
      </c>
      <c r="M27" s="11" t="s">
        <v>34</v>
      </c>
      <c r="N27" s="11" t="s">
        <v>34</v>
      </c>
      <c r="O27" s="11" t="s">
        <v>34</v>
      </c>
      <c r="P27" s="32"/>
      <c r="Q27" s="35"/>
      <c r="R27" s="11" t="s">
        <v>33</v>
      </c>
      <c r="S27" s="11" t="s">
        <v>33</v>
      </c>
      <c r="T27" s="11" t="s">
        <v>33</v>
      </c>
      <c r="U27" s="35"/>
      <c r="V27" s="11"/>
      <c r="W27" s="5">
        <f t="shared" si="1"/>
        <v>8</v>
      </c>
      <c r="X27" s="5">
        <f t="shared" si="2"/>
        <v>3</v>
      </c>
    </row>
    <row r="28" spans="1:28" x14ac:dyDescent="0.25">
      <c r="A28" s="12">
        <v>24</v>
      </c>
      <c r="B28" s="14"/>
      <c r="C28" s="15" t="s">
        <v>125</v>
      </c>
      <c r="D28" s="16" t="s">
        <v>126</v>
      </c>
      <c r="E28" s="10" t="s">
        <v>20</v>
      </c>
      <c r="F28" s="11"/>
      <c r="G28" s="11"/>
      <c r="H28" s="11"/>
      <c r="I28" s="32"/>
      <c r="J28" s="11"/>
      <c r="K28" s="35"/>
      <c r="L28" s="11"/>
      <c r="M28" s="11"/>
      <c r="N28" s="11"/>
      <c r="O28" s="11"/>
      <c r="P28" s="32"/>
      <c r="Q28" s="35"/>
      <c r="R28" s="11"/>
      <c r="S28" s="11"/>
      <c r="T28" s="11"/>
      <c r="U28" s="35"/>
      <c r="V28" s="11"/>
      <c r="W28" s="5">
        <f t="shared" si="1"/>
        <v>0</v>
      </c>
      <c r="X28" s="5">
        <f t="shared" si="2"/>
        <v>0</v>
      </c>
    </row>
    <row r="29" spans="1:28" x14ac:dyDescent="0.25">
      <c r="A29" s="6">
        <v>25</v>
      </c>
      <c r="B29" s="14"/>
      <c r="C29" s="15" t="s">
        <v>127</v>
      </c>
      <c r="D29" s="16" t="s">
        <v>128</v>
      </c>
      <c r="E29" s="10" t="s">
        <v>20</v>
      </c>
      <c r="F29" s="11"/>
      <c r="G29" s="11"/>
      <c r="H29" s="11"/>
      <c r="I29" s="32"/>
      <c r="J29" s="11"/>
      <c r="K29" s="35"/>
      <c r="L29" s="11"/>
      <c r="M29" s="11"/>
      <c r="N29" s="11"/>
      <c r="O29" s="11"/>
      <c r="P29" s="32"/>
      <c r="Q29" s="35"/>
      <c r="R29" s="11"/>
      <c r="S29" s="11"/>
      <c r="T29" s="11"/>
      <c r="U29" s="35"/>
      <c r="V29" s="11"/>
      <c r="W29" s="5">
        <f t="shared" si="1"/>
        <v>0</v>
      </c>
      <c r="X29" s="5">
        <f t="shared" si="2"/>
        <v>0</v>
      </c>
    </row>
    <row r="30" spans="1:28" x14ac:dyDescent="0.25">
      <c r="A30" s="12">
        <v>26</v>
      </c>
      <c r="B30" s="14"/>
      <c r="C30" s="15" t="s">
        <v>129</v>
      </c>
      <c r="D30" s="16" t="s">
        <v>130</v>
      </c>
      <c r="E30" s="10" t="s">
        <v>20</v>
      </c>
      <c r="F30" s="11"/>
      <c r="G30" s="11"/>
      <c r="H30" s="11"/>
      <c r="I30" s="32"/>
      <c r="J30" s="11"/>
      <c r="K30" s="35"/>
      <c r="L30" s="11"/>
      <c r="M30" s="11"/>
      <c r="N30" s="11"/>
      <c r="O30" s="11"/>
      <c r="P30" s="32"/>
      <c r="Q30" s="35"/>
      <c r="R30" s="11"/>
      <c r="S30" s="11"/>
      <c r="T30" s="11"/>
      <c r="U30" s="35"/>
      <c r="V30" s="11"/>
      <c r="W30" s="5">
        <f t="shared" si="1"/>
        <v>0</v>
      </c>
      <c r="X30" s="5">
        <f t="shared" si="2"/>
        <v>0</v>
      </c>
    </row>
    <row r="31" spans="1:28" ht="15" customHeight="1" x14ac:dyDescent="0.25">
      <c r="A31" s="6">
        <v>1</v>
      </c>
      <c r="B31" s="7">
        <v>490</v>
      </c>
      <c r="C31" s="8" t="s">
        <v>53</v>
      </c>
      <c r="D31" s="9" t="s">
        <v>54</v>
      </c>
      <c r="E31" s="10" t="s">
        <v>20</v>
      </c>
      <c r="F31" s="11" t="s">
        <v>34</v>
      </c>
      <c r="G31" s="11" t="s">
        <v>34</v>
      </c>
      <c r="H31" s="11" t="s">
        <v>34</v>
      </c>
      <c r="I31" s="32"/>
      <c r="J31" s="11" t="s">
        <v>34</v>
      </c>
      <c r="K31" s="35"/>
      <c r="L31" s="11" t="s">
        <v>34</v>
      </c>
      <c r="M31" s="11" t="s">
        <v>34</v>
      </c>
      <c r="N31" s="11" t="s">
        <v>34</v>
      </c>
      <c r="O31" s="11" t="s">
        <v>34</v>
      </c>
      <c r="P31" s="32"/>
      <c r="Q31" s="35"/>
      <c r="R31" s="11" t="s">
        <v>34</v>
      </c>
      <c r="S31" s="11" t="s">
        <v>33</v>
      </c>
      <c r="T31" s="11" t="s">
        <v>33</v>
      </c>
      <c r="U31" s="35"/>
      <c r="V31" s="11"/>
      <c r="W31" s="5">
        <f t="shared" si="1"/>
        <v>9</v>
      </c>
      <c r="X31" s="5">
        <f t="shared" si="2"/>
        <v>2</v>
      </c>
    </row>
    <row r="32" spans="1:28" x14ac:dyDescent="0.25">
      <c r="A32" s="12">
        <v>2</v>
      </c>
      <c r="B32" s="14">
        <v>646</v>
      </c>
      <c r="C32" s="15" t="s">
        <v>55</v>
      </c>
      <c r="D32" s="16" t="s">
        <v>43</v>
      </c>
      <c r="E32" s="10" t="s">
        <v>20</v>
      </c>
      <c r="F32" s="11" t="s">
        <v>34</v>
      </c>
      <c r="G32" s="11" t="s">
        <v>34</v>
      </c>
      <c r="H32" s="11" t="s">
        <v>34</v>
      </c>
      <c r="I32" s="32"/>
      <c r="J32" s="11" t="s">
        <v>34</v>
      </c>
      <c r="K32" s="35"/>
      <c r="L32" s="11" t="s">
        <v>34</v>
      </c>
      <c r="M32" s="11" t="s">
        <v>34</v>
      </c>
      <c r="N32" s="11" t="s">
        <v>34</v>
      </c>
      <c r="O32" s="11" t="s">
        <v>34</v>
      </c>
      <c r="P32" s="32"/>
      <c r="Q32" s="35"/>
      <c r="R32" s="11" t="s">
        <v>34</v>
      </c>
      <c r="S32" s="11" t="s">
        <v>33</v>
      </c>
      <c r="T32" s="11" t="s">
        <v>34</v>
      </c>
      <c r="U32" s="35"/>
      <c r="V32" s="11"/>
      <c r="W32" s="5">
        <f t="shared" si="1"/>
        <v>10</v>
      </c>
      <c r="X32" s="5">
        <f t="shared" si="2"/>
        <v>1</v>
      </c>
    </row>
    <row r="33" spans="1:24" x14ac:dyDescent="0.25">
      <c r="A33" s="6">
        <v>3</v>
      </c>
      <c r="B33" s="14">
        <v>690</v>
      </c>
      <c r="C33" s="15" t="s">
        <v>56</v>
      </c>
      <c r="D33" s="16" t="s">
        <v>57</v>
      </c>
      <c r="E33" s="10" t="s">
        <v>20</v>
      </c>
      <c r="F33" s="11" t="s">
        <v>34</v>
      </c>
      <c r="G33" s="11" t="s">
        <v>34</v>
      </c>
      <c r="H33" s="11" t="s">
        <v>34</v>
      </c>
      <c r="I33" s="32"/>
      <c r="J33" s="11" t="s">
        <v>34</v>
      </c>
      <c r="K33" s="35"/>
      <c r="L33" s="11" t="s">
        <v>34</v>
      </c>
      <c r="M33" s="11" t="s">
        <v>34</v>
      </c>
      <c r="N33" s="11" t="s">
        <v>34</v>
      </c>
      <c r="O33" s="11" t="s">
        <v>34</v>
      </c>
      <c r="P33" s="32"/>
      <c r="Q33" s="35"/>
      <c r="R33" s="11" t="s">
        <v>34</v>
      </c>
      <c r="S33" s="11" t="s">
        <v>34</v>
      </c>
      <c r="T33" s="11" t="s">
        <v>34</v>
      </c>
      <c r="U33" s="35"/>
      <c r="V33" s="11"/>
      <c r="W33" s="5">
        <f t="shared" si="1"/>
        <v>11</v>
      </c>
      <c r="X33" s="5">
        <f t="shared" si="2"/>
        <v>0</v>
      </c>
    </row>
    <row r="34" spans="1:24" x14ac:dyDescent="0.25">
      <c r="A34" s="12">
        <v>4</v>
      </c>
      <c r="B34" s="14">
        <v>684</v>
      </c>
      <c r="C34" s="15" t="s">
        <v>58</v>
      </c>
      <c r="D34" s="16" t="s">
        <v>52</v>
      </c>
      <c r="E34" s="10" t="s">
        <v>20</v>
      </c>
      <c r="F34" s="11" t="s">
        <v>33</v>
      </c>
      <c r="G34" s="11" t="s">
        <v>34</v>
      </c>
      <c r="H34" s="11" t="s">
        <v>34</v>
      </c>
      <c r="I34" s="32"/>
      <c r="J34" s="11" t="s">
        <v>34</v>
      </c>
      <c r="K34" s="35"/>
      <c r="L34" s="11" t="s">
        <v>34</v>
      </c>
      <c r="M34" s="11" t="s">
        <v>34</v>
      </c>
      <c r="N34" s="11" t="s">
        <v>34</v>
      </c>
      <c r="O34" s="11" t="s">
        <v>33</v>
      </c>
      <c r="P34" s="32"/>
      <c r="Q34" s="35"/>
      <c r="R34" s="11" t="s">
        <v>34</v>
      </c>
      <c r="S34" s="11" t="s">
        <v>33</v>
      </c>
      <c r="T34" s="11" t="s">
        <v>33</v>
      </c>
      <c r="U34" s="35"/>
      <c r="V34" s="11"/>
      <c r="W34" s="5">
        <f t="shared" si="1"/>
        <v>7</v>
      </c>
      <c r="X34" s="5">
        <f t="shared" si="2"/>
        <v>4</v>
      </c>
    </row>
    <row r="35" spans="1:24" x14ac:dyDescent="0.25">
      <c r="A35" s="6">
        <v>5</v>
      </c>
      <c r="B35" s="14">
        <v>551</v>
      </c>
      <c r="C35" s="15" t="s">
        <v>46</v>
      </c>
      <c r="D35" s="16" t="s">
        <v>59</v>
      </c>
      <c r="E35" s="10" t="s">
        <v>20</v>
      </c>
      <c r="F35" s="11" t="s">
        <v>33</v>
      </c>
      <c r="G35" s="11" t="s">
        <v>33</v>
      </c>
      <c r="H35" s="11" t="s">
        <v>34</v>
      </c>
      <c r="I35" s="32"/>
      <c r="J35" s="11" t="s">
        <v>34</v>
      </c>
      <c r="K35" s="35"/>
      <c r="L35" s="11" t="s">
        <v>34</v>
      </c>
      <c r="M35" s="11" t="s">
        <v>34</v>
      </c>
      <c r="N35" s="11" t="s">
        <v>34</v>
      </c>
      <c r="O35" s="11" t="s">
        <v>33</v>
      </c>
      <c r="P35" s="32"/>
      <c r="Q35" s="35"/>
      <c r="R35" s="11" t="s">
        <v>34</v>
      </c>
      <c r="S35" s="11" t="s">
        <v>33</v>
      </c>
      <c r="T35" s="11" t="s">
        <v>34</v>
      </c>
      <c r="U35" s="35"/>
      <c r="V35" s="11"/>
      <c r="W35" s="5">
        <f t="shared" si="1"/>
        <v>7</v>
      </c>
      <c r="X35" s="5">
        <f t="shared" si="2"/>
        <v>4</v>
      </c>
    </row>
    <row r="36" spans="1:24" x14ac:dyDescent="0.25">
      <c r="A36" s="12">
        <v>6</v>
      </c>
      <c r="B36" s="14">
        <v>647</v>
      </c>
      <c r="C36" s="15" t="s">
        <v>60</v>
      </c>
      <c r="D36" s="16" t="s">
        <v>61</v>
      </c>
      <c r="E36" s="10" t="s">
        <v>20</v>
      </c>
      <c r="F36" s="11" t="s">
        <v>34</v>
      </c>
      <c r="G36" s="11" t="s">
        <v>34</v>
      </c>
      <c r="H36" s="11" t="s">
        <v>34</v>
      </c>
      <c r="I36" s="32"/>
      <c r="J36" s="11" t="s">
        <v>34</v>
      </c>
      <c r="K36" s="35"/>
      <c r="L36" s="11" t="s">
        <v>34</v>
      </c>
      <c r="M36" s="11" t="s">
        <v>34</v>
      </c>
      <c r="N36" s="11" t="s">
        <v>34</v>
      </c>
      <c r="O36" s="11" t="s">
        <v>34</v>
      </c>
      <c r="P36" s="32"/>
      <c r="Q36" s="35"/>
      <c r="R36" s="11" t="s">
        <v>34</v>
      </c>
      <c r="S36" s="11" t="s">
        <v>33</v>
      </c>
      <c r="T36" s="11" t="s">
        <v>34</v>
      </c>
      <c r="U36" s="35"/>
      <c r="V36" s="11"/>
      <c r="W36" s="5">
        <f t="shared" si="1"/>
        <v>10</v>
      </c>
      <c r="X36" s="5">
        <f t="shared" si="2"/>
        <v>1</v>
      </c>
    </row>
    <row r="37" spans="1:24" x14ac:dyDescent="0.25">
      <c r="A37" s="6">
        <v>7</v>
      </c>
      <c r="B37" s="14">
        <v>585</v>
      </c>
      <c r="C37" s="15" t="s">
        <v>62</v>
      </c>
      <c r="D37" s="16" t="s">
        <v>25</v>
      </c>
      <c r="E37" s="10" t="s">
        <v>20</v>
      </c>
      <c r="F37" s="11" t="s">
        <v>34</v>
      </c>
      <c r="G37" s="11" t="s">
        <v>34</v>
      </c>
      <c r="H37" s="11" t="s">
        <v>34</v>
      </c>
      <c r="I37" s="32"/>
      <c r="J37" s="11" t="s">
        <v>34</v>
      </c>
      <c r="K37" s="35"/>
      <c r="L37" s="11" t="s">
        <v>34</v>
      </c>
      <c r="M37" s="11" t="s">
        <v>34</v>
      </c>
      <c r="N37" s="11" t="s">
        <v>34</v>
      </c>
      <c r="O37" s="11" t="s">
        <v>33</v>
      </c>
      <c r="P37" s="32"/>
      <c r="Q37" s="35"/>
      <c r="R37" s="11" t="s">
        <v>34</v>
      </c>
      <c r="S37" s="11" t="s">
        <v>33</v>
      </c>
      <c r="T37" s="11" t="s">
        <v>33</v>
      </c>
      <c r="U37" s="35"/>
      <c r="V37" s="11"/>
      <c r="W37" s="5">
        <f t="shared" si="1"/>
        <v>8</v>
      </c>
      <c r="X37" s="5">
        <f t="shared" si="2"/>
        <v>3</v>
      </c>
    </row>
    <row r="38" spans="1:24" x14ac:dyDescent="0.25">
      <c r="A38" s="12">
        <v>8</v>
      </c>
      <c r="B38" s="14">
        <v>579</v>
      </c>
      <c r="C38" s="15" t="s">
        <v>45</v>
      </c>
      <c r="D38" s="16" t="s">
        <v>63</v>
      </c>
      <c r="E38" s="10" t="s">
        <v>20</v>
      </c>
      <c r="F38" s="11" t="s">
        <v>33</v>
      </c>
      <c r="G38" s="11" t="s">
        <v>33</v>
      </c>
      <c r="H38" s="11" t="s">
        <v>33</v>
      </c>
      <c r="I38" s="32"/>
      <c r="J38" s="11" t="s">
        <v>34</v>
      </c>
      <c r="K38" s="35"/>
      <c r="L38" s="11" t="s">
        <v>34</v>
      </c>
      <c r="M38" s="11" t="s">
        <v>34</v>
      </c>
      <c r="N38" s="11" t="s">
        <v>34</v>
      </c>
      <c r="O38" s="11" t="s">
        <v>33</v>
      </c>
      <c r="P38" s="32"/>
      <c r="Q38" s="35"/>
      <c r="R38" s="11" t="s">
        <v>33</v>
      </c>
      <c r="S38" s="11" t="s">
        <v>33</v>
      </c>
      <c r="T38" s="11" t="s">
        <v>34</v>
      </c>
      <c r="U38" s="35"/>
      <c r="V38" s="11"/>
      <c r="W38" s="5">
        <f t="shared" si="1"/>
        <v>5</v>
      </c>
      <c r="X38" s="5">
        <f t="shared" si="2"/>
        <v>6</v>
      </c>
    </row>
    <row r="39" spans="1:24" x14ac:dyDescent="0.25">
      <c r="A39" s="6">
        <v>9</v>
      </c>
      <c r="B39" s="14">
        <v>555</v>
      </c>
      <c r="C39" s="15" t="s">
        <v>26</v>
      </c>
      <c r="D39" s="16" t="s">
        <v>44</v>
      </c>
      <c r="E39" s="10" t="s">
        <v>20</v>
      </c>
      <c r="F39" s="11" t="s">
        <v>33</v>
      </c>
      <c r="G39" s="11" t="s">
        <v>33</v>
      </c>
      <c r="H39" s="11" t="s">
        <v>34</v>
      </c>
      <c r="I39" s="32"/>
      <c r="J39" s="11" t="s">
        <v>34</v>
      </c>
      <c r="K39" s="35"/>
      <c r="L39" s="11" t="s">
        <v>34</v>
      </c>
      <c r="M39" s="11" t="s">
        <v>34</v>
      </c>
      <c r="N39" s="11" t="s">
        <v>34</v>
      </c>
      <c r="O39" s="11" t="s">
        <v>33</v>
      </c>
      <c r="P39" s="32"/>
      <c r="Q39" s="35"/>
      <c r="R39" s="11" t="s">
        <v>33</v>
      </c>
      <c r="S39" s="11" t="s">
        <v>33</v>
      </c>
      <c r="T39" s="11" t="s">
        <v>34</v>
      </c>
      <c r="U39" s="35"/>
      <c r="V39" s="11"/>
      <c r="W39" s="5">
        <f t="shared" si="1"/>
        <v>6</v>
      </c>
      <c r="X39" s="5">
        <f t="shared" si="2"/>
        <v>5</v>
      </c>
    </row>
    <row r="40" spans="1:24" x14ac:dyDescent="0.25">
      <c r="A40" s="12">
        <v>10</v>
      </c>
      <c r="B40" s="18">
        <v>691</v>
      </c>
      <c r="C40" s="15" t="s">
        <v>64</v>
      </c>
      <c r="D40" s="16" t="s">
        <v>65</v>
      </c>
      <c r="E40" s="10" t="s">
        <v>20</v>
      </c>
      <c r="F40" s="11" t="s">
        <v>33</v>
      </c>
      <c r="G40" s="11" t="s">
        <v>33</v>
      </c>
      <c r="H40" s="11" t="s">
        <v>34</v>
      </c>
      <c r="I40" s="32"/>
      <c r="J40" s="11" t="s">
        <v>34</v>
      </c>
      <c r="K40" s="35"/>
      <c r="L40" s="11" t="s">
        <v>34</v>
      </c>
      <c r="M40" s="11" t="s">
        <v>34</v>
      </c>
      <c r="N40" s="11" t="s">
        <v>34</v>
      </c>
      <c r="O40" s="11" t="s">
        <v>34</v>
      </c>
      <c r="P40" s="32"/>
      <c r="Q40" s="35"/>
      <c r="R40" s="11" t="s">
        <v>33</v>
      </c>
      <c r="S40" s="11" t="s">
        <v>33</v>
      </c>
      <c r="T40" s="11" t="s">
        <v>34</v>
      </c>
      <c r="U40" s="35"/>
      <c r="V40" s="11"/>
      <c r="W40" s="5">
        <f t="shared" si="1"/>
        <v>7</v>
      </c>
      <c r="X40" s="5">
        <f t="shared" si="2"/>
        <v>4</v>
      </c>
    </row>
    <row r="41" spans="1:24" x14ac:dyDescent="0.25">
      <c r="A41" s="6">
        <v>11</v>
      </c>
      <c r="B41" s="14">
        <v>528</v>
      </c>
      <c r="C41" s="15" t="s">
        <v>66</v>
      </c>
      <c r="D41" s="16" t="s">
        <v>67</v>
      </c>
      <c r="E41" s="10" t="s">
        <v>20</v>
      </c>
      <c r="F41" s="11" t="s">
        <v>33</v>
      </c>
      <c r="G41" s="11" t="s">
        <v>33</v>
      </c>
      <c r="H41" s="11" t="s">
        <v>34</v>
      </c>
      <c r="I41" s="32"/>
      <c r="J41" s="11" t="s">
        <v>34</v>
      </c>
      <c r="K41" s="35"/>
      <c r="L41" s="11" t="s">
        <v>34</v>
      </c>
      <c r="M41" s="11" t="s">
        <v>34</v>
      </c>
      <c r="N41" s="11" t="s">
        <v>34</v>
      </c>
      <c r="O41" s="11" t="s">
        <v>33</v>
      </c>
      <c r="P41" s="32"/>
      <c r="Q41" s="35"/>
      <c r="R41" s="11" t="s">
        <v>33</v>
      </c>
      <c r="S41" s="11" t="s">
        <v>33</v>
      </c>
      <c r="T41" s="11" t="s">
        <v>34</v>
      </c>
      <c r="U41" s="35"/>
      <c r="V41" s="11"/>
      <c r="W41" s="5">
        <f t="shared" si="1"/>
        <v>6</v>
      </c>
      <c r="X41" s="5">
        <f t="shared" si="2"/>
        <v>5</v>
      </c>
    </row>
    <row r="42" spans="1:24" x14ac:dyDescent="0.25">
      <c r="A42" s="12">
        <v>12</v>
      </c>
      <c r="B42" s="14">
        <v>689</v>
      </c>
      <c r="C42" s="15" t="s">
        <v>68</v>
      </c>
      <c r="D42" s="16" t="s">
        <v>30</v>
      </c>
      <c r="E42" s="10" t="s">
        <v>20</v>
      </c>
      <c r="F42" s="11" t="s">
        <v>33</v>
      </c>
      <c r="G42" s="11" t="s">
        <v>33</v>
      </c>
      <c r="H42" s="11" t="s">
        <v>33</v>
      </c>
      <c r="I42" s="32"/>
      <c r="J42" s="11" t="s">
        <v>34</v>
      </c>
      <c r="K42" s="35"/>
      <c r="L42" s="11" t="s">
        <v>34</v>
      </c>
      <c r="M42" s="11" t="s">
        <v>34</v>
      </c>
      <c r="N42" s="11" t="s">
        <v>33</v>
      </c>
      <c r="O42" s="11" t="s">
        <v>34</v>
      </c>
      <c r="P42" s="32"/>
      <c r="Q42" s="35"/>
      <c r="R42" s="11" t="s">
        <v>33</v>
      </c>
      <c r="S42" s="11" t="s">
        <v>33</v>
      </c>
      <c r="T42" s="11" t="s">
        <v>33</v>
      </c>
      <c r="U42" s="35"/>
      <c r="V42" s="11"/>
      <c r="W42" s="5">
        <f t="shared" si="1"/>
        <v>4</v>
      </c>
      <c r="X42" s="5">
        <f t="shared" si="2"/>
        <v>7</v>
      </c>
    </row>
    <row r="43" spans="1:24" x14ac:dyDescent="0.25">
      <c r="A43" s="6">
        <v>13</v>
      </c>
      <c r="B43" s="14">
        <v>479</v>
      </c>
      <c r="C43" s="15" t="s">
        <v>69</v>
      </c>
      <c r="D43" s="16" t="s">
        <v>70</v>
      </c>
      <c r="E43" s="10" t="s">
        <v>20</v>
      </c>
      <c r="F43" s="11" t="s">
        <v>33</v>
      </c>
      <c r="G43" s="11" t="s">
        <v>33</v>
      </c>
      <c r="H43" s="11" t="s">
        <v>34</v>
      </c>
      <c r="I43" s="32"/>
      <c r="J43" s="11" t="s">
        <v>34</v>
      </c>
      <c r="K43" s="35"/>
      <c r="L43" s="11" t="s">
        <v>34</v>
      </c>
      <c r="M43" s="11" t="s">
        <v>34</v>
      </c>
      <c r="N43" s="11" t="s">
        <v>34</v>
      </c>
      <c r="O43" s="11" t="s">
        <v>34</v>
      </c>
      <c r="P43" s="32"/>
      <c r="Q43" s="35"/>
      <c r="R43" s="11" t="s">
        <v>34</v>
      </c>
      <c r="S43" s="11" t="s">
        <v>33</v>
      </c>
      <c r="T43" s="11" t="s">
        <v>34</v>
      </c>
      <c r="U43" s="35"/>
      <c r="V43" s="11"/>
      <c r="W43" s="5">
        <f t="shared" si="1"/>
        <v>8</v>
      </c>
      <c r="X43" s="5">
        <f t="shared" si="2"/>
        <v>3</v>
      </c>
    </row>
    <row r="44" spans="1:24" x14ac:dyDescent="0.25">
      <c r="A44" s="12">
        <v>14</v>
      </c>
      <c r="B44" s="14">
        <v>648</v>
      </c>
      <c r="C44" s="15" t="s">
        <v>71</v>
      </c>
      <c r="D44" s="16" t="s">
        <v>28</v>
      </c>
      <c r="E44" s="10" t="s">
        <v>20</v>
      </c>
      <c r="F44" s="11" t="s">
        <v>34</v>
      </c>
      <c r="G44" s="11" t="s">
        <v>34</v>
      </c>
      <c r="H44" s="11" t="s">
        <v>34</v>
      </c>
      <c r="I44" s="32"/>
      <c r="J44" s="11" t="s">
        <v>34</v>
      </c>
      <c r="K44" s="35"/>
      <c r="L44" s="11" t="s">
        <v>34</v>
      </c>
      <c r="M44" s="11" t="s">
        <v>34</v>
      </c>
      <c r="N44" s="11" t="s">
        <v>34</v>
      </c>
      <c r="O44" s="11" t="s">
        <v>34</v>
      </c>
      <c r="P44" s="32"/>
      <c r="Q44" s="35"/>
      <c r="R44" s="11" t="s">
        <v>34</v>
      </c>
      <c r="S44" s="11" t="s">
        <v>33</v>
      </c>
      <c r="T44" s="11" t="s">
        <v>34</v>
      </c>
      <c r="U44" s="35"/>
      <c r="V44" s="11"/>
      <c r="W44" s="5">
        <f t="shared" si="1"/>
        <v>10</v>
      </c>
      <c r="X44" s="5">
        <f t="shared" si="2"/>
        <v>1</v>
      </c>
    </row>
    <row r="45" spans="1:24" x14ac:dyDescent="0.25">
      <c r="A45" s="6">
        <v>15</v>
      </c>
      <c r="B45" s="14">
        <v>578</v>
      </c>
      <c r="C45" s="15" t="s">
        <v>72</v>
      </c>
      <c r="D45" s="16" t="s">
        <v>41</v>
      </c>
      <c r="E45" s="10" t="s">
        <v>20</v>
      </c>
      <c r="F45" s="11" t="s">
        <v>34</v>
      </c>
      <c r="G45" s="11" t="s">
        <v>34</v>
      </c>
      <c r="H45" s="11" t="s">
        <v>34</v>
      </c>
      <c r="I45" s="32"/>
      <c r="J45" s="11" t="s">
        <v>34</v>
      </c>
      <c r="K45" s="35"/>
      <c r="L45" s="11" t="s">
        <v>34</v>
      </c>
      <c r="M45" s="11" t="s">
        <v>34</v>
      </c>
      <c r="N45" s="11" t="s">
        <v>33</v>
      </c>
      <c r="O45" s="11" t="s">
        <v>33</v>
      </c>
      <c r="P45" s="32"/>
      <c r="Q45" s="35"/>
      <c r="R45" s="11" t="s">
        <v>34</v>
      </c>
      <c r="S45" s="11" t="s">
        <v>33</v>
      </c>
      <c r="T45" s="11" t="s">
        <v>34</v>
      </c>
      <c r="U45" s="35"/>
      <c r="V45" s="11"/>
      <c r="W45" s="5">
        <f t="shared" si="1"/>
        <v>8</v>
      </c>
      <c r="X45" s="5">
        <f t="shared" si="2"/>
        <v>3</v>
      </c>
    </row>
    <row r="46" spans="1:24" x14ac:dyDescent="0.25">
      <c r="A46" s="12">
        <v>16</v>
      </c>
      <c r="B46" s="14">
        <v>573</v>
      </c>
      <c r="C46" s="15" t="s">
        <v>32</v>
      </c>
      <c r="D46" s="16" t="s">
        <v>29</v>
      </c>
      <c r="E46" s="10" t="s">
        <v>20</v>
      </c>
      <c r="F46" s="11" t="s">
        <v>35</v>
      </c>
      <c r="G46" s="11" t="s">
        <v>35</v>
      </c>
      <c r="H46" s="11" t="s">
        <v>35</v>
      </c>
      <c r="I46" s="32"/>
      <c r="J46" s="11" t="s">
        <v>35</v>
      </c>
      <c r="K46" s="35"/>
      <c r="L46" s="11" t="s">
        <v>33</v>
      </c>
      <c r="M46" s="11" t="s">
        <v>33</v>
      </c>
      <c r="N46" s="11" t="s">
        <v>33</v>
      </c>
      <c r="O46" s="11"/>
      <c r="P46" s="32"/>
      <c r="Q46" s="35"/>
      <c r="R46" s="11" t="s">
        <v>33</v>
      </c>
      <c r="S46" s="11" t="s">
        <v>34</v>
      </c>
      <c r="T46" s="11" t="s">
        <v>33</v>
      </c>
      <c r="U46" s="35"/>
      <c r="V46" s="11"/>
      <c r="W46" s="5">
        <f t="shared" si="1"/>
        <v>1</v>
      </c>
      <c r="X46" s="5">
        <f t="shared" si="2"/>
        <v>5</v>
      </c>
    </row>
    <row r="47" spans="1:24" x14ac:dyDescent="0.25">
      <c r="A47" s="6">
        <v>17</v>
      </c>
      <c r="B47" s="14">
        <v>587</v>
      </c>
      <c r="C47" s="15" t="s">
        <v>73</v>
      </c>
      <c r="D47" s="16" t="s">
        <v>74</v>
      </c>
      <c r="E47" s="10" t="s">
        <v>20</v>
      </c>
      <c r="F47" s="11" t="s">
        <v>33</v>
      </c>
      <c r="G47" s="11" t="s">
        <v>33</v>
      </c>
      <c r="H47" s="11" t="s">
        <v>33</v>
      </c>
      <c r="I47" s="32"/>
      <c r="J47" s="11" t="s">
        <v>33</v>
      </c>
      <c r="K47" s="35"/>
      <c r="L47" s="11" t="s">
        <v>33</v>
      </c>
      <c r="M47" s="11" t="s">
        <v>33</v>
      </c>
      <c r="N47" s="11" t="s">
        <v>33</v>
      </c>
      <c r="O47" s="11"/>
      <c r="P47" s="32"/>
      <c r="Q47" s="35"/>
      <c r="R47" s="11" t="s">
        <v>33</v>
      </c>
      <c r="S47" s="11" t="s">
        <v>34</v>
      </c>
      <c r="T47" s="11" t="s">
        <v>33</v>
      </c>
      <c r="U47" s="35"/>
      <c r="V47" s="11"/>
      <c r="W47" s="5">
        <f t="shared" si="1"/>
        <v>1</v>
      </c>
      <c r="X47" s="5">
        <f t="shared" si="2"/>
        <v>9</v>
      </c>
    </row>
    <row r="48" spans="1:24" x14ac:dyDescent="0.25">
      <c r="A48" s="12">
        <v>18</v>
      </c>
      <c r="B48" s="14">
        <v>575</v>
      </c>
      <c r="C48" s="15" t="s">
        <v>75</v>
      </c>
      <c r="D48" s="16" t="s">
        <v>76</v>
      </c>
      <c r="E48" s="10" t="s">
        <v>20</v>
      </c>
      <c r="F48" s="11" t="s">
        <v>34</v>
      </c>
      <c r="G48" s="11" t="s">
        <v>34</v>
      </c>
      <c r="H48" s="11" t="s">
        <v>34</v>
      </c>
      <c r="I48" s="32"/>
      <c r="J48" s="11" t="s">
        <v>34</v>
      </c>
      <c r="K48" s="35"/>
      <c r="L48" s="11" t="s">
        <v>34</v>
      </c>
      <c r="M48" s="11" t="s">
        <v>34</v>
      </c>
      <c r="N48" s="11" t="s">
        <v>34</v>
      </c>
      <c r="O48" s="11" t="s">
        <v>34</v>
      </c>
      <c r="P48" s="32"/>
      <c r="Q48" s="35"/>
      <c r="R48" s="11" t="s">
        <v>33</v>
      </c>
      <c r="S48" s="11" t="s">
        <v>33</v>
      </c>
      <c r="T48" s="11" t="s">
        <v>34</v>
      </c>
      <c r="U48" s="35"/>
      <c r="V48" s="11"/>
      <c r="W48" s="5">
        <f t="shared" si="1"/>
        <v>9</v>
      </c>
      <c r="X48" s="5">
        <f t="shared" si="2"/>
        <v>2</v>
      </c>
    </row>
    <row r="49" spans="1:24" x14ac:dyDescent="0.25">
      <c r="A49" s="6">
        <v>19</v>
      </c>
      <c r="B49" s="14">
        <v>586</v>
      </c>
      <c r="C49" s="15" t="s">
        <v>27</v>
      </c>
      <c r="D49" s="16" t="s">
        <v>77</v>
      </c>
      <c r="E49" s="10" t="s">
        <v>20</v>
      </c>
      <c r="F49" s="11" t="s">
        <v>34</v>
      </c>
      <c r="G49" s="11" t="s">
        <v>34</v>
      </c>
      <c r="H49" s="11" t="s">
        <v>34</v>
      </c>
      <c r="I49" s="32"/>
      <c r="J49" s="11" t="s">
        <v>34</v>
      </c>
      <c r="K49" s="35"/>
      <c r="L49" s="11" t="s">
        <v>34</v>
      </c>
      <c r="M49" s="11" t="s">
        <v>34</v>
      </c>
      <c r="N49" s="11" t="s">
        <v>34</v>
      </c>
      <c r="O49" s="11" t="s">
        <v>34</v>
      </c>
      <c r="P49" s="32"/>
      <c r="Q49" s="35"/>
      <c r="R49" s="11" t="s">
        <v>34</v>
      </c>
      <c r="S49" s="11" t="s">
        <v>33</v>
      </c>
      <c r="T49" s="11" t="s">
        <v>33</v>
      </c>
      <c r="U49" s="35"/>
      <c r="V49" s="11"/>
      <c r="W49" s="5">
        <f t="shared" si="1"/>
        <v>9</v>
      </c>
      <c r="X49" s="5">
        <f t="shared" si="2"/>
        <v>2</v>
      </c>
    </row>
    <row r="50" spans="1:24" x14ac:dyDescent="0.25">
      <c r="A50" s="12">
        <v>20</v>
      </c>
      <c r="B50" s="14">
        <v>583</v>
      </c>
      <c r="C50" s="15" t="s">
        <v>78</v>
      </c>
      <c r="D50" s="16" t="s">
        <v>24</v>
      </c>
      <c r="E50" s="10" t="s">
        <v>20</v>
      </c>
      <c r="F50" s="11" t="s">
        <v>34</v>
      </c>
      <c r="G50" s="11" t="s">
        <v>34</v>
      </c>
      <c r="H50" s="11" t="s">
        <v>34</v>
      </c>
      <c r="I50" s="32"/>
      <c r="J50" s="11" t="s">
        <v>34</v>
      </c>
      <c r="K50" s="35"/>
      <c r="L50" s="11" t="s">
        <v>34</v>
      </c>
      <c r="M50" s="11" t="s">
        <v>34</v>
      </c>
      <c r="N50" s="11" t="s">
        <v>34</v>
      </c>
      <c r="O50" s="11" t="s">
        <v>34</v>
      </c>
      <c r="P50" s="32"/>
      <c r="Q50" s="35"/>
      <c r="R50" s="11" t="s">
        <v>34</v>
      </c>
      <c r="S50" s="11" t="s">
        <v>33</v>
      </c>
      <c r="T50" s="11" t="s">
        <v>34</v>
      </c>
      <c r="U50" s="35"/>
      <c r="V50" s="11"/>
      <c r="W50" s="5">
        <f t="shared" si="1"/>
        <v>10</v>
      </c>
      <c r="X50" s="5">
        <f t="shared" si="2"/>
        <v>1</v>
      </c>
    </row>
    <row r="51" spans="1:24" x14ac:dyDescent="0.25">
      <c r="A51" s="6">
        <v>21</v>
      </c>
      <c r="B51" s="14">
        <v>580</v>
      </c>
      <c r="C51" s="15" t="s">
        <v>79</v>
      </c>
      <c r="D51" s="16" t="s">
        <v>80</v>
      </c>
      <c r="E51" s="10" t="s">
        <v>20</v>
      </c>
      <c r="F51" s="11" t="s">
        <v>34</v>
      </c>
      <c r="G51" s="11" t="s">
        <v>34</v>
      </c>
      <c r="H51" s="11" t="s">
        <v>34</v>
      </c>
      <c r="I51" s="32"/>
      <c r="J51" s="11" t="s">
        <v>34</v>
      </c>
      <c r="K51" s="35"/>
      <c r="L51" s="11" t="s">
        <v>34</v>
      </c>
      <c r="M51" s="11" t="s">
        <v>34</v>
      </c>
      <c r="N51" s="11" t="s">
        <v>34</v>
      </c>
      <c r="O51" s="11" t="s">
        <v>34</v>
      </c>
      <c r="P51" s="32"/>
      <c r="Q51" s="35"/>
      <c r="R51" s="11" t="s">
        <v>34</v>
      </c>
      <c r="S51" s="11" t="s">
        <v>34</v>
      </c>
      <c r="T51" s="11" t="s">
        <v>34</v>
      </c>
      <c r="U51" s="35"/>
      <c r="V51" s="11"/>
      <c r="W51" s="5">
        <f t="shared" si="1"/>
        <v>11</v>
      </c>
      <c r="X51" s="5">
        <f t="shared" si="2"/>
        <v>0</v>
      </c>
    </row>
    <row r="52" spans="1:24" x14ac:dyDescent="0.25">
      <c r="A52" s="12">
        <v>22</v>
      </c>
      <c r="B52" s="14">
        <v>480</v>
      </c>
      <c r="C52" s="15" t="s">
        <v>81</v>
      </c>
      <c r="D52" s="16" t="s">
        <v>42</v>
      </c>
      <c r="E52" s="10" t="s">
        <v>20</v>
      </c>
      <c r="F52" s="11" t="s">
        <v>34</v>
      </c>
      <c r="G52" s="11" t="s">
        <v>34</v>
      </c>
      <c r="H52" s="11" t="s">
        <v>34</v>
      </c>
      <c r="I52" s="32"/>
      <c r="J52" s="11" t="s">
        <v>34</v>
      </c>
      <c r="K52" s="35"/>
      <c r="L52" s="11" t="s">
        <v>34</v>
      </c>
      <c r="M52" s="11" t="s">
        <v>34</v>
      </c>
      <c r="N52" s="11" t="s">
        <v>34</v>
      </c>
      <c r="O52" s="11" t="s">
        <v>33</v>
      </c>
      <c r="P52" s="32"/>
      <c r="Q52" s="35"/>
      <c r="R52" s="11" t="s">
        <v>34</v>
      </c>
      <c r="S52" s="11" t="s">
        <v>34</v>
      </c>
      <c r="T52" s="11" t="s">
        <v>34</v>
      </c>
      <c r="U52" s="35"/>
      <c r="V52" s="11"/>
      <c r="W52" s="5">
        <f t="shared" si="1"/>
        <v>10</v>
      </c>
      <c r="X52" s="5">
        <f t="shared" si="2"/>
        <v>1</v>
      </c>
    </row>
    <row r="53" spans="1:24" x14ac:dyDescent="0.25">
      <c r="A53" s="6">
        <v>23</v>
      </c>
      <c r="B53" s="14">
        <v>576</v>
      </c>
      <c r="C53" s="15" t="s">
        <v>48</v>
      </c>
      <c r="D53" s="16" t="s">
        <v>42</v>
      </c>
      <c r="E53" s="10" t="s">
        <v>20</v>
      </c>
      <c r="F53" s="11" t="s">
        <v>34</v>
      </c>
      <c r="G53" s="11" t="s">
        <v>34</v>
      </c>
      <c r="H53" s="11" t="s">
        <v>34</v>
      </c>
      <c r="I53" s="32"/>
      <c r="J53" s="11" t="s">
        <v>34</v>
      </c>
      <c r="K53" s="35"/>
      <c r="L53" s="11" t="s">
        <v>34</v>
      </c>
      <c r="M53" s="11" t="s">
        <v>34</v>
      </c>
      <c r="N53" s="11" t="s">
        <v>34</v>
      </c>
      <c r="O53" s="11" t="s">
        <v>34</v>
      </c>
      <c r="P53" s="32"/>
      <c r="Q53" s="35"/>
      <c r="R53" s="11" t="s">
        <v>34</v>
      </c>
      <c r="S53" s="11" t="s">
        <v>34</v>
      </c>
      <c r="T53" s="11" t="s">
        <v>34</v>
      </c>
      <c r="U53" s="35"/>
      <c r="V53" s="11"/>
      <c r="W53" s="5">
        <f t="shared" si="1"/>
        <v>11</v>
      </c>
      <c r="X53" s="5">
        <f t="shared" si="2"/>
        <v>0</v>
      </c>
    </row>
    <row r="54" spans="1:24" x14ac:dyDescent="0.25">
      <c r="A54" s="12">
        <v>24</v>
      </c>
      <c r="B54" s="14">
        <v>685</v>
      </c>
      <c r="C54" s="15" t="s">
        <v>82</v>
      </c>
      <c r="D54" s="16" t="s">
        <v>83</v>
      </c>
      <c r="E54" s="10" t="s">
        <v>20</v>
      </c>
      <c r="F54" s="11" t="s">
        <v>34</v>
      </c>
      <c r="G54" s="11" t="s">
        <v>34</v>
      </c>
      <c r="H54" s="11" t="s">
        <v>34</v>
      </c>
      <c r="I54" s="32"/>
      <c r="J54" s="11" t="s">
        <v>34</v>
      </c>
      <c r="K54" s="35"/>
      <c r="L54" s="11" t="s">
        <v>34</v>
      </c>
      <c r="M54" s="11" t="s">
        <v>34</v>
      </c>
      <c r="N54" s="11" t="s">
        <v>34</v>
      </c>
      <c r="O54" s="11" t="s">
        <v>34</v>
      </c>
      <c r="P54" s="32"/>
      <c r="Q54" s="35"/>
      <c r="R54" s="11" t="s">
        <v>34</v>
      </c>
      <c r="S54" s="11" t="s">
        <v>33</v>
      </c>
      <c r="T54" s="11" t="s">
        <v>33</v>
      </c>
      <c r="U54" s="35"/>
      <c r="V54" s="11"/>
      <c r="W54" s="5">
        <f t="shared" si="1"/>
        <v>9</v>
      </c>
      <c r="X54" s="5">
        <f t="shared" si="2"/>
        <v>2</v>
      </c>
    </row>
    <row r="55" spans="1:24" x14ac:dyDescent="0.25">
      <c r="A55" s="6">
        <v>25</v>
      </c>
      <c r="B55" s="14">
        <v>688</v>
      </c>
      <c r="C55" s="15" t="s">
        <v>84</v>
      </c>
      <c r="D55" s="16" t="s">
        <v>27</v>
      </c>
      <c r="E55" s="10" t="s">
        <v>20</v>
      </c>
      <c r="F55" s="11" t="s">
        <v>33</v>
      </c>
      <c r="G55" s="11" t="s">
        <v>34</v>
      </c>
      <c r="H55" s="11" t="s">
        <v>34</v>
      </c>
      <c r="I55" s="32"/>
      <c r="J55" s="11" t="s">
        <v>34</v>
      </c>
      <c r="K55" s="35"/>
      <c r="L55" s="11" t="s">
        <v>34</v>
      </c>
      <c r="M55" s="11" t="s">
        <v>34</v>
      </c>
      <c r="N55" s="11" t="s">
        <v>34</v>
      </c>
      <c r="O55" s="11" t="s">
        <v>33</v>
      </c>
      <c r="P55" s="32"/>
      <c r="Q55" s="35"/>
      <c r="R55" s="11" t="s">
        <v>34</v>
      </c>
      <c r="S55" s="11" t="s">
        <v>33</v>
      </c>
      <c r="T55" s="11" t="s">
        <v>34</v>
      </c>
      <c r="U55" s="35"/>
      <c r="V55" s="11"/>
      <c r="W55" s="5">
        <f t="shared" si="1"/>
        <v>8</v>
      </c>
      <c r="X55" s="5">
        <f t="shared" si="2"/>
        <v>3</v>
      </c>
    </row>
    <row r="56" spans="1:24" x14ac:dyDescent="0.25">
      <c r="A56" s="12">
        <v>26</v>
      </c>
      <c r="B56" s="14">
        <v>546</v>
      </c>
      <c r="C56" s="15" t="s">
        <v>84</v>
      </c>
      <c r="D56" s="16" t="s">
        <v>85</v>
      </c>
      <c r="E56" s="10" t="s">
        <v>20</v>
      </c>
      <c r="F56" s="11" t="s">
        <v>33</v>
      </c>
      <c r="G56" s="11" t="s">
        <v>33</v>
      </c>
      <c r="H56" s="11" t="s">
        <v>33</v>
      </c>
      <c r="I56" s="32"/>
      <c r="J56" s="11" t="s">
        <v>33</v>
      </c>
      <c r="K56" s="35"/>
      <c r="L56" s="11" t="s">
        <v>33</v>
      </c>
      <c r="M56" s="11" t="s">
        <v>33</v>
      </c>
      <c r="N56" s="11" t="s">
        <v>33</v>
      </c>
      <c r="O56" s="11" t="s">
        <v>33</v>
      </c>
      <c r="P56" s="32"/>
      <c r="Q56" s="35"/>
      <c r="R56" s="11" t="s">
        <v>33</v>
      </c>
      <c r="S56" s="11" t="s">
        <v>33</v>
      </c>
      <c r="T56" s="11" t="s">
        <v>33</v>
      </c>
      <c r="U56" s="35"/>
      <c r="V56" s="11"/>
      <c r="W56" s="5">
        <f t="shared" si="1"/>
        <v>0</v>
      </c>
      <c r="X56" s="5">
        <f t="shared" si="2"/>
        <v>11</v>
      </c>
    </row>
    <row r="57" spans="1:24" x14ac:dyDescent="0.25">
      <c r="A57" s="6">
        <v>27</v>
      </c>
      <c r="B57" s="14"/>
      <c r="C57" s="15" t="s">
        <v>86</v>
      </c>
      <c r="D57" s="16" t="s">
        <v>87</v>
      </c>
      <c r="E57" s="10" t="s">
        <v>20</v>
      </c>
      <c r="F57" s="11"/>
      <c r="G57" s="11"/>
      <c r="H57" s="11"/>
      <c r="I57" s="32"/>
      <c r="J57" s="11" t="s">
        <v>34</v>
      </c>
      <c r="K57" s="35"/>
      <c r="L57" s="11" t="s">
        <v>34</v>
      </c>
      <c r="M57" s="11" t="s">
        <v>33</v>
      </c>
      <c r="N57" s="11" t="s">
        <v>34</v>
      </c>
      <c r="O57" s="11" t="s">
        <v>33</v>
      </c>
      <c r="P57" s="32"/>
      <c r="Q57" s="35"/>
      <c r="R57" s="11" t="s">
        <v>34</v>
      </c>
      <c r="S57" s="11" t="s">
        <v>33</v>
      </c>
      <c r="T57" s="11" t="s">
        <v>34</v>
      </c>
      <c r="U57" s="35"/>
      <c r="V57" s="11"/>
      <c r="W57" s="5">
        <f t="shared" si="1"/>
        <v>5</v>
      </c>
      <c r="X57" s="5">
        <f t="shared" si="2"/>
        <v>3</v>
      </c>
    </row>
    <row r="58" spans="1:24" x14ac:dyDescent="0.25">
      <c r="A58" s="12">
        <v>28</v>
      </c>
      <c r="B58" s="14"/>
      <c r="C58" s="15" t="s">
        <v>88</v>
      </c>
      <c r="D58" s="16" t="s">
        <v>87</v>
      </c>
      <c r="E58" s="10" t="s">
        <v>20</v>
      </c>
      <c r="F58" s="11"/>
      <c r="G58" s="11"/>
      <c r="H58" s="11"/>
      <c r="I58" s="32"/>
      <c r="J58" s="11" t="s">
        <v>34</v>
      </c>
      <c r="K58" s="35"/>
      <c r="L58" s="11" t="s">
        <v>34</v>
      </c>
      <c r="M58" s="11" t="s">
        <v>33</v>
      </c>
      <c r="N58" s="11" t="s">
        <v>34</v>
      </c>
      <c r="O58" s="11" t="s">
        <v>33</v>
      </c>
      <c r="P58" s="32"/>
      <c r="Q58" s="35"/>
      <c r="R58" s="11" t="s">
        <v>34</v>
      </c>
      <c r="S58" s="11" t="s">
        <v>33</v>
      </c>
      <c r="T58" s="11" t="s">
        <v>34</v>
      </c>
      <c r="U58" s="35"/>
      <c r="V58" s="11"/>
      <c r="W58" s="5">
        <f t="shared" si="1"/>
        <v>5</v>
      </c>
      <c r="X58" s="5">
        <f t="shared" si="2"/>
        <v>3</v>
      </c>
    </row>
    <row r="59" spans="1:24" x14ac:dyDescent="0.25">
      <c r="A59" s="12">
        <v>29</v>
      </c>
      <c r="B59" s="14"/>
      <c r="C59" s="15" t="s">
        <v>123</v>
      </c>
      <c r="D59" s="16" t="s">
        <v>124</v>
      </c>
      <c r="E59" s="10" t="s">
        <v>20</v>
      </c>
      <c r="F59" s="11"/>
      <c r="G59" s="11"/>
      <c r="H59" s="11"/>
      <c r="I59" s="33"/>
      <c r="J59" s="11"/>
      <c r="K59" s="36"/>
      <c r="L59" s="11"/>
      <c r="M59" s="11"/>
      <c r="N59" s="11"/>
      <c r="O59" s="11"/>
      <c r="P59" s="33"/>
      <c r="Q59" s="36"/>
      <c r="R59" s="11"/>
      <c r="S59" s="11"/>
      <c r="T59" s="11"/>
      <c r="U59" s="36"/>
      <c r="V59" s="11"/>
      <c r="W59" s="5">
        <f t="shared" si="1"/>
        <v>0</v>
      </c>
      <c r="X59" s="5">
        <f t="shared" si="2"/>
        <v>0</v>
      </c>
    </row>
  </sheetData>
  <mergeCells count="17">
    <mergeCell ref="U5:U59"/>
    <mergeCell ref="E3:E4"/>
    <mergeCell ref="A2:X2"/>
    <mergeCell ref="A1:X1"/>
    <mergeCell ref="Y8:AB8"/>
    <mergeCell ref="Y16:AB16"/>
    <mergeCell ref="W3:W4"/>
    <mergeCell ref="X3:X4"/>
    <mergeCell ref="Y3:Z3"/>
    <mergeCell ref="A3:A4"/>
    <mergeCell ref="B3:B4"/>
    <mergeCell ref="C3:C4"/>
    <mergeCell ref="D3:D4"/>
    <mergeCell ref="I5:I59"/>
    <mergeCell ref="K5:K59"/>
    <mergeCell ref="P5:P59"/>
    <mergeCell ref="Q5:Q59"/>
  </mergeCells>
  <conditionalFormatting sqref="B5:B30">
    <cfRule type="duplicateValues" dxfId="115" priority="32"/>
  </conditionalFormatting>
  <conditionalFormatting sqref="B31:B59">
    <cfRule type="duplicateValues" dxfId="114" priority="7"/>
  </conditionalFormatting>
  <conditionalFormatting sqref="F5:H59 J6:J59 L6:O59 R6:T59 V6:V59">
    <cfRule type="cellIs" dxfId="113" priority="1" operator="equal">
      <formula>"L"</formula>
    </cfRule>
    <cfRule type="cellIs" dxfId="112" priority="2" operator="equal">
      <formula>"A"</formula>
    </cfRule>
    <cfRule type="cellIs" dxfId="111" priority="3" operator="equal">
      <formula>"P"</formula>
    </cfRule>
    <cfRule type="expression" dxfId="110" priority="4">
      <formula>IF(F$4=TODAY(),TRUE,FALSE)</formula>
    </cfRule>
    <cfRule type="expression" dxfId="109" priority="5">
      <formula>F$3="Sun"</formula>
    </cfRule>
  </conditionalFormatting>
  <conditionalFormatting sqref="F3:V4 I5:V5">
    <cfRule type="expression" dxfId="108" priority="23">
      <formula>F$3="Sun"</formula>
    </cfRule>
  </conditionalFormatting>
  <conditionalFormatting sqref="I5:V5 F4:V4">
    <cfRule type="expression" dxfId="107" priority="22">
      <formula>IF(F$4=TODAY(),TRUE,FALSE)</formula>
    </cfRule>
  </conditionalFormatting>
  <conditionalFormatting sqref="I5:V5">
    <cfRule type="cellIs" dxfId="106" priority="14" operator="equal">
      <formula>"L"</formula>
    </cfRule>
    <cfRule type="cellIs" dxfId="105" priority="15" operator="equal">
      <formula>"A"</formula>
    </cfRule>
    <cfRule type="cellIs" dxfId="104" priority="16" operator="equal">
      <formula>"P"</formula>
    </cfRule>
  </conditionalFormatting>
  <conditionalFormatting sqref="W3:X3 W5:X30">
    <cfRule type="expression" dxfId="103" priority="24">
      <formula>#REF!="Sun"</formula>
    </cfRule>
  </conditionalFormatting>
  <conditionalFormatting sqref="W31:X59">
    <cfRule type="expression" dxfId="102" priority="6">
      <formula>#REF!="Sun"</formula>
    </cfRule>
  </conditionalFormatting>
  <conditionalFormatting sqref="Y5:Y6">
    <cfRule type="expression" dxfId="101" priority="12">
      <formula>#REF!="Sun"</formula>
    </cfRule>
  </conditionalFormatting>
  <conditionalFormatting sqref="Y9:Y12">
    <cfRule type="expression" dxfId="100" priority="10">
      <formula>#REF!="Sun"</formula>
    </cfRule>
  </conditionalFormatting>
  <conditionalFormatting sqref="Y17:Y20">
    <cfRule type="expression" dxfId="99" priority="9">
      <formula>#REF!="Sun"</formula>
    </cfRule>
  </conditionalFormatting>
  <conditionalFormatting sqref="Y4:Z4">
    <cfRule type="expression" dxfId="98" priority="13">
      <formula>#REF!="Sun"</formula>
    </cfRule>
  </conditionalFormatting>
  <conditionalFormatting sqref="Z9:AB9">
    <cfRule type="expression" dxfId="97" priority="11">
      <formula>#REF!="Sun"</formula>
    </cfRule>
  </conditionalFormatting>
  <conditionalFormatting sqref="Z17:AB17">
    <cfRule type="expression" dxfId="96" priority="8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260C-002A-4004-B1EE-2B29696709C6}">
  <sheetPr>
    <tabColor rgb="FFC00000"/>
  </sheetPr>
  <dimension ref="A1:AO59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41" ht="17.25" x14ac:dyDescent="0.3">
      <c r="A2" s="25" t="s">
        <v>135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41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0" t="s">
        <v>5</v>
      </c>
      <c r="AK3" s="30" t="s">
        <v>6</v>
      </c>
      <c r="AL3" s="27" t="s">
        <v>21</v>
      </c>
      <c r="AM3" s="28"/>
      <c r="AN3" s="3"/>
      <c r="AO3" s="3"/>
    </row>
    <row r="4" spans="1:41" ht="36" x14ac:dyDescent="0.25">
      <c r="A4" s="24"/>
      <c r="B4" s="24"/>
      <c r="C4" s="24"/>
      <c r="D4" s="24"/>
      <c r="E4" s="24"/>
      <c r="F4" s="21">
        <v>45536</v>
      </c>
      <c r="G4" s="21">
        <v>45537</v>
      </c>
      <c r="H4" s="21">
        <v>45538</v>
      </c>
      <c r="I4" s="21">
        <v>45539</v>
      </c>
      <c r="J4" s="21">
        <v>45540</v>
      </c>
      <c r="K4" s="21">
        <v>45541</v>
      </c>
      <c r="L4" s="21">
        <v>45542</v>
      </c>
      <c r="M4" s="21">
        <v>45543</v>
      </c>
      <c r="N4" s="21">
        <v>45544</v>
      </c>
      <c r="O4" s="21">
        <v>45545</v>
      </c>
      <c r="P4" s="21">
        <v>45546</v>
      </c>
      <c r="Q4" s="21">
        <v>45547</v>
      </c>
      <c r="R4" s="21">
        <v>45548</v>
      </c>
      <c r="S4" s="21">
        <v>45549</v>
      </c>
      <c r="T4" s="21">
        <v>45550</v>
      </c>
      <c r="U4" s="21">
        <v>45551</v>
      </c>
      <c r="V4" s="21">
        <v>45552</v>
      </c>
      <c r="W4" s="21">
        <v>45553</v>
      </c>
      <c r="X4" s="21">
        <v>45554</v>
      </c>
      <c r="Y4" s="21">
        <v>45555</v>
      </c>
      <c r="Z4" s="21">
        <v>45556</v>
      </c>
      <c r="AA4" s="21">
        <v>45557</v>
      </c>
      <c r="AB4" s="21">
        <v>45558</v>
      </c>
      <c r="AC4" s="21">
        <v>45559</v>
      </c>
      <c r="AD4" s="21">
        <v>45560</v>
      </c>
      <c r="AE4" s="21">
        <v>45561</v>
      </c>
      <c r="AF4" s="21">
        <v>45562</v>
      </c>
      <c r="AG4" s="21">
        <v>45563</v>
      </c>
      <c r="AH4" s="21">
        <v>45564</v>
      </c>
      <c r="AI4" s="21">
        <v>45565</v>
      </c>
      <c r="AJ4" s="30"/>
      <c r="AK4" s="30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31" t="s">
        <v>131</v>
      </c>
      <c r="G5" s="11" t="s">
        <v>34</v>
      </c>
      <c r="H5" s="11" t="s">
        <v>34</v>
      </c>
      <c r="I5" s="11" t="s">
        <v>33</v>
      </c>
      <c r="J5" s="11" t="s">
        <v>34</v>
      </c>
      <c r="K5" s="11" t="s">
        <v>34</v>
      </c>
      <c r="L5" s="11" t="s">
        <v>34</v>
      </c>
      <c r="M5" s="31" t="s">
        <v>131</v>
      </c>
      <c r="N5" s="11" t="s">
        <v>34</v>
      </c>
      <c r="O5" s="11" t="s">
        <v>34</v>
      </c>
      <c r="P5" s="11" t="s">
        <v>34</v>
      </c>
      <c r="Q5" s="11" t="s">
        <v>34</v>
      </c>
      <c r="R5" s="11" t="s">
        <v>34</v>
      </c>
      <c r="S5" s="11" t="s">
        <v>34</v>
      </c>
      <c r="T5" s="31" t="s">
        <v>131</v>
      </c>
      <c r="U5" s="11" t="s">
        <v>34</v>
      </c>
      <c r="V5" s="34" t="s">
        <v>136</v>
      </c>
      <c r="W5" s="11" t="s">
        <v>33</v>
      </c>
      <c r="X5" s="11" t="s">
        <v>34</v>
      </c>
      <c r="Y5" s="11" t="s">
        <v>34</v>
      </c>
      <c r="Z5" s="11" t="s">
        <v>34</v>
      </c>
      <c r="AA5" s="31" t="s">
        <v>131</v>
      </c>
      <c r="AB5" s="11" t="s">
        <v>34</v>
      </c>
      <c r="AC5" s="11" t="s">
        <v>34</v>
      </c>
      <c r="AD5" s="11" t="s">
        <v>34</v>
      </c>
      <c r="AE5" s="11" t="s">
        <v>33</v>
      </c>
      <c r="AF5" s="11" t="s">
        <v>34</v>
      </c>
      <c r="AG5" s="11" t="s">
        <v>34</v>
      </c>
      <c r="AH5" s="31" t="s">
        <v>131</v>
      </c>
      <c r="AI5" s="11" t="s">
        <v>34</v>
      </c>
      <c r="AJ5" s="5">
        <f t="shared" ref="AJ5:AJ59" si="1">COUNTIF(F5:AI5,"P")</f>
        <v>21</v>
      </c>
      <c r="AK5" s="5">
        <f t="shared" ref="AK5:AK59" si="2">COUNTIF(F5:AI5,"A")</f>
        <v>3</v>
      </c>
      <c r="AL5" s="5" t="s">
        <v>8</v>
      </c>
      <c r="AM5" s="12">
        <v>26</v>
      </c>
      <c r="AN5" s="13" t="s">
        <v>9</v>
      </c>
      <c r="AO5" s="3"/>
    </row>
    <row r="6" spans="1:41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32"/>
      <c r="G6" s="11" t="s">
        <v>34</v>
      </c>
      <c r="H6" s="11" t="s">
        <v>34</v>
      </c>
      <c r="I6" s="11" t="s">
        <v>34</v>
      </c>
      <c r="J6" s="11" t="s">
        <v>34</v>
      </c>
      <c r="K6" s="11" t="s">
        <v>34</v>
      </c>
      <c r="L6" s="11" t="s">
        <v>34</v>
      </c>
      <c r="M6" s="32"/>
      <c r="N6" s="11" t="s">
        <v>34</v>
      </c>
      <c r="O6" s="11" t="s">
        <v>34</v>
      </c>
      <c r="P6" s="11" t="s">
        <v>34</v>
      </c>
      <c r="Q6" s="11" t="s">
        <v>34</v>
      </c>
      <c r="R6" s="11" t="s">
        <v>34</v>
      </c>
      <c r="S6" s="11" t="s">
        <v>34</v>
      </c>
      <c r="T6" s="32"/>
      <c r="U6" s="11" t="s">
        <v>34</v>
      </c>
      <c r="V6" s="35"/>
      <c r="W6" s="11" t="s">
        <v>34</v>
      </c>
      <c r="X6" s="11" t="s">
        <v>34</v>
      </c>
      <c r="Y6" s="11" t="s">
        <v>34</v>
      </c>
      <c r="Z6" s="11" t="s">
        <v>34</v>
      </c>
      <c r="AA6" s="32"/>
      <c r="AB6" s="11" t="s">
        <v>34</v>
      </c>
      <c r="AC6" s="11" t="s">
        <v>34</v>
      </c>
      <c r="AD6" s="11" t="s">
        <v>34</v>
      </c>
      <c r="AE6" s="11" t="s">
        <v>34</v>
      </c>
      <c r="AF6" s="11" t="s">
        <v>33</v>
      </c>
      <c r="AG6" s="11" t="s">
        <v>34</v>
      </c>
      <c r="AH6" s="32"/>
      <c r="AI6" s="11" t="s">
        <v>34</v>
      </c>
      <c r="AJ6" s="5">
        <f t="shared" si="1"/>
        <v>23</v>
      </c>
      <c r="AK6" s="5">
        <f t="shared" si="2"/>
        <v>1</v>
      </c>
      <c r="AL6" s="5" t="s">
        <v>10</v>
      </c>
      <c r="AM6" s="12">
        <v>4</v>
      </c>
      <c r="AN6" s="3"/>
      <c r="AO6" s="3"/>
    </row>
    <row r="7" spans="1:41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32"/>
      <c r="G7" s="11" t="s">
        <v>34</v>
      </c>
      <c r="H7" s="11" t="s">
        <v>34</v>
      </c>
      <c r="I7" s="11" t="s">
        <v>34</v>
      </c>
      <c r="J7" s="11" t="s">
        <v>34</v>
      </c>
      <c r="K7" s="11" t="s">
        <v>34</v>
      </c>
      <c r="L7" s="11" t="s">
        <v>34</v>
      </c>
      <c r="M7" s="32"/>
      <c r="N7" s="11" t="s">
        <v>34</v>
      </c>
      <c r="O7" s="11" t="s">
        <v>34</v>
      </c>
      <c r="P7" s="11" t="s">
        <v>34</v>
      </c>
      <c r="Q7" s="11" t="s">
        <v>34</v>
      </c>
      <c r="R7" s="11" t="s">
        <v>34</v>
      </c>
      <c r="S7" s="11" t="s">
        <v>34</v>
      </c>
      <c r="T7" s="32"/>
      <c r="U7" s="11" t="s">
        <v>34</v>
      </c>
      <c r="V7" s="35"/>
      <c r="W7" s="11" t="s">
        <v>34</v>
      </c>
      <c r="X7" s="11" t="s">
        <v>34</v>
      </c>
      <c r="Y7" s="11" t="s">
        <v>34</v>
      </c>
      <c r="Z7" s="11" t="s">
        <v>34</v>
      </c>
      <c r="AA7" s="32"/>
      <c r="AB7" s="11" t="s">
        <v>34</v>
      </c>
      <c r="AC7" s="11" t="s">
        <v>34</v>
      </c>
      <c r="AD7" s="11" t="s">
        <v>34</v>
      </c>
      <c r="AE7" s="11" t="s">
        <v>34</v>
      </c>
      <c r="AF7" s="11" t="s">
        <v>34</v>
      </c>
      <c r="AG7" s="11" t="s">
        <v>34</v>
      </c>
      <c r="AH7" s="32"/>
      <c r="AI7" s="11" t="s">
        <v>34</v>
      </c>
      <c r="AJ7" s="5">
        <f t="shared" si="1"/>
        <v>24</v>
      </c>
      <c r="AK7" s="5">
        <f t="shared" si="2"/>
        <v>0</v>
      </c>
      <c r="AL7" s="3"/>
      <c r="AM7" s="3"/>
      <c r="AN7" s="3"/>
      <c r="AO7" s="3"/>
    </row>
    <row r="8" spans="1:41" ht="15.7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32"/>
      <c r="G8" s="11" t="s">
        <v>34</v>
      </c>
      <c r="H8" s="11" t="s">
        <v>34</v>
      </c>
      <c r="I8" s="11" t="s">
        <v>34</v>
      </c>
      <c r="J8" s="11" t="s">
        <v>34</v>
      </c>
      <c r="K8" s="11" t="s">
        <v>34</v>
      </c>
      <c r="L8" s="11" t="s">
        <v>34</v>
      </c>
      <c r="M8" s="32"/>
      <c r="N8" s="11" t="s">
        <v>34</v>
      </c>
      <c r="O8" s="11" t="s">
        <v>34</v>
      </c>
      <c r="P8" s="11" t="s">
        <v>34</v>
      </c>
      <c r="Q8" s="11" t="s">
        <v>34</v>
      </c>
      <c r="R8" s="11" t="s">
        <v>34</v>
      </c>
      <c r="S8" s="11" t="s">
        <v>34</v>
      </c>
      <c r="T8" s="32"/>
      <c r="U8" s="11" t="s">
        <v>33</v>
      </c>
      <c r="V8" s="35"/>
      <c r="W8" s="11" t="s">
        <v>34</v>
      </c>
      <c r="X8" s="11" t="s">
        <v>34</v>
      </c>
      <c r="Y8" s="11" t="s">
        <v>34</v>
      </c>
      <c r="Z8" s="11" t="s">
        <v>34</v>
      </c>
      <c r="AA8" s="32"/>
      <c r="AB8" s="11" t="s">
        <v>34</v>
      </c>
      <c r="AC8" s="11" t="s">
        <v>33</v>
      </c>
      <c r="AD8" s="11" t="s">
        <v>34</v>
      </c>
      <c r="AE8" s="11" t="s">
        <v>34</v>
      </c>
      <c r="AF8" s="11" t="s">
        <v>34</v>
      </c>
      <c r="AG8" s="11" t="s">
        <v>33</v>
      </c>
      <c r="AH8" s="32"/>
      <c r="AI8" s="11" t="s">
        <v>34</v>
      </c>
      <c r="AJ8" s="5">
        <f t="shared" si="1"/>
        <v>21</v>
      </c>
      <c r="AK8" s="5">
        <f t="shared" si="2"/>
        <v>3</v>
      </c>
      <c r="AL8" s="27" t="s">
        <v>11</v>
      </c>
      <c r="AM8" s="28"/>
      <c r="AN8" s="28"/>
      <c r="AO8" s="29"/>
    </row>
    <row r="9" spans="1:41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32"/>
      <c r="G9" s="11" t="s">
        <v>34</v>
      </c>
      <c r="H9" s="11" t="s">
        <v>34</v>
      </c>
      <c r="I9" s="11" t="s">
        <v>34</v>
      </c>
      <c r="J9" s="11" t="s">
        <v>34</v>
      </c>
      <c r="K9" s="11" t="s">
        <v>34</v>
      </c>
      <c r="L9" s="11" t="s">
        <v>34</v>
      </c>
      <c r="M9" s="32"/>
      <c r="N9" s="11" t="s">
        <v>34</v>
      </c>
      <c r="O9" s="11" t="s">
        <v>33</v>
      </c>
      <c r="P9" s="11" t="s">
        <v>34</v>
      </c>
      <c r="Q9" s="11" t="s">
        <v>34</v>
      </c>
      <c r="R9" s="11" t="s">
        <v>34</v>
      </c>
      <c r="S9" s="11" t="s">
        <v>34</v>
      </c>
      <c r="T9" s="32"/>
      <c r="U9" s="11" t="s">
        <v>33</v>
      </c>
      <c r="V9" s="35"/>
      <c r="W9" s="11" t="s">
        <v>34</v>
      </c>
      <c r="X9" s="11" t="s">
        <v>34</v>
      </c>
      <c r="Y9" s="11" t="s">
        <v>34</v>
      </c>
      <c r="Z9" s="11" t="s">
        <v>34</v>
      </c>
      <c r="AA9" s="32"/>
      <c r="AB9" s="11" t="s">
        <v>34</v>
      </c>
      <c r="AC9" s="11" t="s">
        <v>34</v>
      </c>
      <c r="AD9" s="11" t="s">
        <v>34</v>
      </c>
      <c r="AE9" s="11" t="s">
        <v>34</v>
      </c>
      <c r="AF9" s="11" t="s">
        <v>34</v>
      </c>
      <c r="AG9" s="11" t="s">
        <v>34</v>
      </c>
      <c r="AH9" s="32"/>
      <c r="AI9" s="11" t="s">
        <v>34</v>
      </c>
      <c r="AJ9" s="5">
        <f t="shared" si="1"/>
        <v>22</v>
      </c>
      <c r="AK9" s="5">
        <f t="shared" si="2"/>
        <v>2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32"/>
      <c r="G10" s="11" t="s">
        <v>34</v>
      </c>
      <c r="H10" s="11" t="s">
        <v>34</v>
      </c>
      <c r="I10" s="11" t="s">
        <v>34</v>
      </c>
      <c r="J10" s="11" t="s">
        <v>34</v>
      </c>
      <c r="K10" s="11" t="s">
        <v>34</v>
      </c>
      <c r="L10" s="11" t="s">
        <v>34</v>
      </c>
      <c r="M10" s="32"/>
      <c r="N10" s="11" t="s">
        <v>34</v>
      </c>
      <c r="O10" s="11" t="s">
        <v>34</v>
      </c>
      <c r="P10" s="11" t="s">
        <v>33</v>
      </c>
      <c r="Q10" s="11" t="s">
        <v>34</v>
      </c>
      <c r="R10" s="11" t="s">
        <v>34</v>
      </c>
      <c r="S10" s="11" t="s">
        <v>34</v>
      </c>
      <c r="T10" s="32"/>
      <c r="U10" s="11" t="s">
        <v>33</v>
      </c>
      <c r="V10" s="35"/>
      <c r="W10" s="11" t="s">
        <v>34</v>
      </c>
      <c r="X10" s="11" t="s">
        <v>34</v>
      </c>
      <c r="Y10" s="11" t="s">
        <v>34</v>
      </c>
      <c r="Z10" s="11" t="s">
        <v>34</v>
      </c>
      <c r="AA10" s="32"/>
      <c r="AB10" s="11" t="s">
        <v>34</v>
      </c>
      <c r="AC10" s="11" t="s">
        <v>34</v>
      </c>
      <c r="AD10" s="11" t="s">
        <v>34</v>
      </c>
      <c r="AE10" s="11" t="s">
        <v>34</v>
      </c>
      <c r="AF10" s="11" t="s">
        <v>34</v>
      </c>
      <c r="AG10" s="11" t="s">
        <v>34</v>
      </c>
      <c r="AH10" s="32"/>
      <c r="AI10" s="11" t="s">
        <v>34</v>
      </c>
      <c r="AJ10" s="5">
        <f t="shared" si="1"/>
        <v>22</v>
      </c>
      <c r="AK10" s="5">
        <f t="shared" si="2"/>
        <v>2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32"/>
      <c r="G11" s="11" t="s">
        <v>34</v>
      </c>
      <c r="H11" s="11" t="s">
        <v>34</v>
      </c>
      <c r="I11" s="11" t="s">
        <v>34</v>
      </c>
      <c r="J11" s="11" t="s">
        <v>34</v>
      </c>
      <c r="K11" s="11" t="s">
        <v>34</v>
      </c>
      <c r="L11" s="11" t="s">
        <v>34</v>
      </c>
      <c r="M11" s="32"/>
      <c r="N11" s="11" t="s">
        <v>34</v>
      </c>
      <c r="O11" s="11" t="s">
        <v>34</v>
      </c>
      <c r="P11" s="11" t="s">
        <v>34</v>
      </c>
      <c r="Q11" s="11" t="s">
        <v>34</v>
      </c>
      <c r="R11" s="11" t="s">
        <v>34</v>
      </c>
      <c r="S11" s="11" t="s">
        <v>34</v>
      </c>
      <c r="T11" s="32"/>
      <c r="U11" s="11" t="s">
        <v>34</v>
      </c>
      <c r="V11" s="35"/>
      <c r="W11" s="11" t="s">
        <v>34</v>
      </c>
      <c r="X11" s="11" t="s">
        <v>34</v>
      </c>
      <c r="Y11" s="11" t="s">
        <v>35</v>
      </c>
      <c r="Z11" s="11" t="s">
        <v>34</v>
      </c>
      <c r="AA11" s="32"/>
      <c r="AB11" s="11" t="s">
        <v>34</v>
      </c>
      <c r="AC11" s="11" t="s">
        <v>34</v>
      </c>
      <c r="AD11" s="11" t="s">
        <v>34</v>
      </c>
      <c r="AE11" s="11" t="s">
        <v>34</v>
      </c>
      <c r="AF11" s="11" t="s">
        <v>34</v>
      </c>
      <c r="AG11" s="11" t="s">
        <v>34</v>
      </c>
      <c r="AH11" s="32"/>
      <c r="AI11" s="11" t="s">
        <v>34</v>
      </c>
      <c r="AJ11" s="5">
        <f t="shared" si="1"/>
        <v>23</v>
      </c>
      <c r="AK11" s="5">
        <f t="shared" si="2"/>
        <v>0</v>
      </c>
      <c r="AL11" s="5" t="s">
        <v>17</v>
      </c>
      <c r="AM11" s="12">
        <f>SUM(AJ5:AJ30)</f>
        <v>476</v>
      </c>
      <c r="AN11" s="12">
        <f>SUM(AJ5:AJ30)</f>
        <v>476</v>
      </c>
      <c r="AO11" s="12">
        <f>AM11+AN11</f>
        <v>952</v>
      </c>
    </row>
    <row r="12" spans="1:41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32"/>
      <c r="G12" s="11" t="s">
        <v>34</v>
      </c>
      <c r="H12" s="11" t="s">
        <v>34</v>
      </c>
      <c r="I12" s="11" t="s">
        <v>34</v>
      </c>
      <c r="J12" s="11" t="s">
        <v>33</v>
      </c>
      <c r="K12" s="11" t="s">
        <v>34</v>
      </c>
      <c r="L12" s="11" t="s">
        <v>34</v>
      </c>
      <c r="M12" s="32"/>
      <c r="N12" s="11" t="s">
        <v>34</v>
      </c>
      <c r="O12" s="11" t="s">
        <v>34</v>
      </c>
      <c r="P12" s="11" t="s">
        <v>34</v>
      </c>
      <c r="Q12" s="11" t="s">
        <v>34</v>
      </c>
      <c r="R12" s="11" t="s">
        <v>34</v>
      </c>
      <c r="S12" s="11" t="s">
        <v>34</v>
      </c>
      <c r="T12" s="32"/>
      <c r="U12" s="11" t="s">
        <v>33</v>
      </c>
      <c r="V12" s="35"/>
      <c r="W12" s="11" t="s">
        <v>34</v>
      </c>
      <c r="X12" s="11" t="s">
        <v>34</v>
      </c>
      <c r="Y12" s="11" t="s">
        <v>34</v>
      </c>
      <c r="Z12" s="11" t="s">
        <v>34</v>
      </c>
      <c r="AA12" s="32"/>
      <c r="AB12" s="11" t="s">
        <v>34</v>
      </c>
      <c r="AC12" s="11" t="s">
        <v>34</v>
      </c>
      <c r="AD12" s="11" t="s">
        <v>34</v>
      </c>
      <c r="AE12" s="11" t="s">
        <v>34</v>
      </c>
      <c r="AF12" s="11" t="s">
        <v>34</v>
      </c>
      <c r="AG12" s="11" t="s">
        <v>34</v>
      </c>
      <c r="AH12" s="32"/>
      <c r="AI12" s="11" t="s">
        <v>34</v>
      </c>
      <c r="AJ12" s="5">
        <f t="shared" si="1"/>
        <v>22</v>
      </c>
      <c r="AK12" s="5">
        <f t="shared" si="2"/>
        <v>2</v>
      </c>
      <c r="AL12" s="5" t="s">
        <v>18</v>
      </c>
      <c r="AM12" s="12">
        <f>AM11/AM10</f>
        <v>0.96356275303643724</v>
      </c>
      <c r="AN12" s="12">
        <f>AN11/AN10</f>
        <v>0.87179487179487181</v>
      </c>
      <c r="AO12" s="12">
        <f>AO11/AO10</f>
        <v>0.91538461538461535</v>
      </c>
    </row>
    <row r="13" spans="1:41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32"/>
      <c r="G13" s="11" t="s">
        <v>34</v>
      </c>
      <c r="H13" s="11" t="s">
        <v>34</v>
      </c>
      <c r="I13" s="11" t="s">
        <v>34</v>
      </c>
      <c r="J13" s="11" t="s">
        <v>34</v>
      </c>
      <c r="K13" s="11" t="s">
        <v>34</v>
      </c>
      <c r="L13" s="11" t="s">
        <v>34</v>
      </c>
      <c r="M13" s="32"/>
      <c r="N13" s="11" t="s">
        <v>34</v>
      </c>
      <c r="O13" s="11" t="s">
        <v>34</v>
      </c>
      <c r="P13" s="11" t="s">
        <v>34</v>
      </c>
      <c r="Q13" s="11" t="s">
        <v>34</v>
      </c>
      <c r="R13" s="11" t="s">
        <v>34</v>
      </c>
      <c r="S13" s="11" t="s">
        <v>34</v>
      </c>
      <c r="T13" s="32"/>
      <c r="U13" s="11" t="s">
        <v>34</v>
      </c>
      <c r="V13" s="35"/>
      <c r="W13" s="11" t="s">
        <v>33</v>
      </c>
      <c r="X13" s="11" t="s">
        <v>34</v>
      </c>
      <c r="Y13" s="11" t="s">
        <v>34</v>
      </c>
      <c r="Z13" s="11" t="s">
        <v>33</v>
      </c>
      <c r="AA13" s="32"/>
      <c r="AB13" s="11" t="s">
        <v>34</v>
      </c>
      <c r="AC13" s="11" t="s">
        <v>34</v>
      </c>
      <c r="AD13" s="11" t="s">
        <v>34</v>
      </c>
      <c r="AE13" s="11" t="s">
        <v>34</v>
      </c>
      <c r="AF13" s="11" t="s">
        <v>34</v>
      </c>
      <c r="AG13" s="11" t="s">
        <v>34</v>
      </c>
      <c r="AH13" s="32"/>
      <c r="AI13" s="11" t="s">
        <v>34</v>
      </c>
      <c r="AJ13" s="5">
        <f t="shared" si="1"/>
        <v>22</v>
      </c>
      <c r="AK13" s="5">
        <f t="shared" si="2"/>
        <v>2</v>
      </c>
      <c r="AL13" s="3"/>
      <c r="AM13" s="17"/>
      <c r="AN13" s="17"/>
      <c r="AO13" s="17"/>
    </row>
    <row r="14" spans="1:41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32"/>
      <c r="G14" s="11" t="s">
        <v>34</v>
      </c>
      <c r="H14" s="11" t="s">
        <v>33</v>
      </c>
      <c r="I14" s="11" t="s">
        <v>34</v>
      </c>
      <c r="J14" s="11" t="s">
        <v>34</v>
      </c>
      <c r="K14" s="11" t="s">
        <v>34</v>
      </c>
      <c r="L14" s="11" t="s">
        <v>34</v>
      </c>
      <c r="M14" s="32"/>
      <c r="N14" s="11" t="s">
        <v>34</v>
      </c>
      <c r="O14" s="11" t="s">
        <v>34</v>
      </c>
      <c r="P14" s="11" t="s">
        <v>34</v>
      </c>
      <c r="Q14" s="11" t="s">
        <v>34</v>
      </c>
      <c r="R14" s="11" t="s">
        <v>34</v>
      </c>
      <c r="S14" s="11" t="s">
        <v>33</v>
      </c>
      <c r="T14" s="32"/>
      <c r="U14" s="11" t="s">
        <v>34</v>
      </c>
      <c r="V14" s="35"/>
      <c r="W14" s="11" t="s">
        <v>33</v>
      </c>
      <c r="X14" s="11" t="s">
        <v>34</v>
      </c>
      <c r="Y14" s="11" t="s">
        <v>34</v>
      </c>
      <c r="Z14" s="11" t="s">
        <v>33</v>
      </c>
      <c r="AA14" s="32"/>
      <c r="AB14" s="11" t="s">
        <v>34</v>
      </c>
      <c r="AC14" s="11" t="s">
        <v>34</v>
      </c>
      <c r="AD14" s="11" t="s">
        <v>34</v>
      </c>
      <c r="AE14" s="11" t="s">
        <v>33</v>
      </c>
      <c r="AF14" s="11" t="s">
        <v>34</v>
      </c>
      <c r="AG14" s="11" t="s">
        <v>34</v>
      </c>
      <c r="AH14" s="32"/>
      <c r="AI14" s="11" t="s">
        <v>34</v>
      </c>
      <c r="AJ14" s="5">
        <f t="shared" si="1"/>
        <v>19</v>
      </c>
      <c r="AK14" s="5">
        <f t="shared" si="2"/>
        <v>5</v>
      </c>
      <c r="AL14" s="19"/>
      <c r="AM14" s="19"/>
      <c r="AN14" s="19"/>
      <c r="AO14" s="19"/>
    </row>
    <row r="15" spans="1:41" x14ac:dyDescent="0.25">
      <c r="A15" s="6">
        <v>11</v>
      </c>
      <c r="B15" s="14">
        <v>570</v>
      </c>
      <c r="C15" s="15" t="s">
        <v>104</v>
      </c>
      <c r="D15" s="16" t="s">
        <v>36</v>
      </c>
      <c r="E15" s="10" t="s">
        <v>20</v>
      </c>
      <c r="F15" s="32"/>
      <c r="G15" s="11" t="s">
        <v>33</v>
      </c>
      <c r="H15" s="11" t="s">
        <v>33</v>
      </c>
      <c r="I15" s="11" t="s">
        <v>33</v>
      </c>
      <c r="J15" s="11" t="s">
        <v>33</v>
      </c>
      <c r="K15" s="11" t="s">
        <v>33</v>
      </c>
      <c r="L15" s="11" t="s">
        <v>33</v>
      </c>
      <c r="M15" s="32"/>
      <c r="N15" s="11" t="s">
        <v>33</v>
      </c>
      <c r="O15" s="11" t="s">
        <v>33</v>
      </c>
      <c r="P15" s="11" t="s">
        <v>33</v>
      </c>
      <c r="Q15" s="11" t="s">
        <v>33</v>
      </c>
      <c r="R15" s="11" t="s">
        <v>33</v>
      </c>
      <c r="S15" s="11" t="s">
        <v>33</v>
      </c>
      <c r="T15" s="32"/>
      <c r="U15" s="11" t="s">
        <v>33</v>
      </c>
      <c r="V15" s="35"/>
      <c r="W15" s="11" t="s">
        <v>33</v>
      </c>
      <c r="X15" s="11" t="s">
        <v>33</v>
      </c>
      <c r="Y15" s="11" t="s">
        <v>33</v>
      </c>
      <c r="Z15" s="11" t="s">
        <v>33</v>
      </c>
      <c r="AA15" s="32"/>
      <c r="AB15" s="11" t="s">
        <v>33</v>
      </c>
      <c r="AC15" s="11" t="s">
        <v>33</v>
      </c>
      <c r="AD15" s="11" t="s">
        <v>33</v>
      </c>
      <c r="AE15" s="11" t="s">
        <v>33</v>
      </c>
      <c r="AF15" s="11" t="s">
        <v>33</v>
      </c>
      <c r="AG15" s="11" t="s">
        <v>33</v>
      </c>
      <c r="AH15" s="32"/>
      <c r="AI15" s="11" t="s">
        <v>34</v>
      </c>
      <c r="AJ15" s="5">
        <f t="shared" si="1"/>
        <v>1</v>
      </c>
      <c r="AK15" s="5">
        <f t="shared" si="2"/>
        <v>23</v>
      </c>
      <c r="AL15" s="3"/>
      <c r="AM15" s="3"/>
      <c r="AN15" s="3"/>
      <c r="AO15" s="3"/>
    </row>
    <row r="16" spans="1:41" ht="15.75" x14ac:dyDescent="0.25">
      <c r="A16" s="12">
        <v>12</v>
      </c>
      <c r="B16" s="14">
        <v>687</v>
      </c>
      <c r="C16" s="15" t="s">
        <v>105</v>
      </c>
      <c r="D16" s="16" t="s">
        <v>106</v>
      </c>
      <c r="E16" s="10" t="s">
        <v>20</v>
      </c>
      <c r="F16" s="32"/>
      <c r="G16" s="11" t="s">
        <v>34</v>
      </c>
      <c r="H16" s="11" t="s">
        <v>34</v>
      </c>
      <c r="I16" s="11" t="s">
        <v>34</v>
      </c>
      <c r="J16" s="11" t="s">
        <v>34</v>
      </c>
      <c r="K16" s="11" t="s">
        <v>34</v>
      </c>
      <c r="L16" s="11" t="s">
        <v>34</v>
      </c>
      <c r="M16" s="32"/>
      <c r="N16" s="11" t="s">
        <v>34</v>
      </c>
      <c r="O16" s="11" t="s">
        <v>34</v>
      </c>
      <c r="P16" s="11" t="s">
        <v>34</v>
      </c>
      <c r="Q16" s="11" t="s">
        <v>34</v>
      </c>
      <c r="R16" s="11" t="s">
        <v>34</v>
      </c>
      <c r="S16" s="11" t="s">
        <v>34</v>
      </c>
      <c r="T16" s="32"/>
      <c r="U16" s="11" t="s">
        <v>34</v>
      </c>
      <c r="V16" s="35"/>
      <c r="W16" s="11" t="s">
        <v>34</v>
      </c>
      <c r="X16" s="11" t="s">
        <v>34</v>
      </c>
      <c r="Y16" s="11" t="s">
        <v>34</v>
      </c>
      <c r="Z16" s="11" t="s">
        <v>34</v>
      </c>
      <c r="AA16" s="32"/>
      <c r="AB16" s="11" t="s">
        <v>34</v>
      </c>
      <c r="AC16" s="11" t="s">
        <v>34</v>
      </c>
      <c r="AD16" s="11" t="s">
        <v>34</v>
      </c>
      <c r="AE16" s="11" t="s">
        <v>34</v>
      </c>
      <c r="AF16" s="11" t="s">
        <v>34</v>
      </c>
      <c r="AG16" s="11" t="s">
        <v>33</v>
      </c>
      <c r="AH16" s="32"/>
      <c r="AI16" s="11" t="s">
        <v>34</v>
      </c>
      <c r="AJ16" s="5">
        <f t="shared" si="1"/>
        <v>23</v>
      </c>
      <c r="AK16" s="5">
        <f t="shared" si="2"/>
        <v>1</v>
      </c>
      <c r="AL16" s="27" t="s">
        <v>6</v>
      </c>
      <c r="AM16" s="28"/>
      <c r="AN16" s="28"/>
      <c r="AO16" s="29"/>
    </row>
    <row r="17" spans="1:41" x14ac:dyDescent="0.25">
      <c r="A17" s="6">
        <v>13</v>
      </c>
      <c r="B17" s="14">
        <v>581</v>
      </c>
      <c r="C17" s="15" t="s">
        <v>107</v>
      </c>
      <c r="D17" s="16" t="s">
        <v>39</v>
      </c>
      <c r="E17" s="10" t="s">
        <v>20</v>
      </c>
      <c r="F17" s="32"/>
      <c r="G17" s="11" t="s">
        <v>34</v>
      </c>
      <c r="H17" s="11" t="s">
        <v>34</v>
      </c>
      <c r="I17" s="11" t="s">
        <v>34</v>
      </c>
      <c r="J17" s="11" t="s">
        <v>33</v>
      </c>
      <c r="K17" s="11" t="s">
        <v>34</v>
      </c>
      <c r="L17" s="11" t="s">
        <v>34</v>
      </c>
      <c r="M17" s="32"/>
      <c r="N17" s="11" t="s">
        <v>34</v>
      </c>
      <c r="O17" s="11" t="s">
        <v>34</v>
      </c>
      <c r="P17" s="11" t="s">
        <v>34</v>
      </c>
      <c r="Q17" s="11" t="s">
        <v>34</v>
      </c>
      <c r="R17" s="11" t="s">
        <v>34</v>
      </c>
      <c r="S17" s="11" t="s">
        <v>34</v>
      </c>
      <c r="T17" s="32"/>
      <c r="U17" s="11" t="s">
        <v>33</v>
      </c>
      <c r="V17" s="35"/>
      <c r="W17" s="11" t="s">
        <v>34</v>
      </c>
      <c r="X17" s="11" t="s">
        <v>34</v>
      </c>
      <c r="Y17" s="11" t="s">
        <v>34</v>
      </c>
      <c r="Z17" s="11" t="s">
        <v>34</v>
      </c>
      <c r="AA17" s="32"/>
      <c r="AB17" s="11" t="s">
        <v>33</v>
      </c>
      <c r="AC17" s="11" t="s">
        <v>34</v>
      </c>
      <c r="AD17" s="11" t="s">
        <v>34</v>
      </c>
      <c r="AE17" s="11" t="s">
        <v>34</v>
      </c>
      <c r="AF17" s="11" t="s">
        <v>34</v>
      </c>
      <c r="AG17" s="11" t="s">
        <v>34</v>
      </c>
      <c r="AH17" s="32"/>
      <c r="AI17" s="11" t="s">
        <v>34</v>
      </c>
      <c r="AJ17" s="5">
        <f t="shared" si="1"/>
        <v>21</v>
      </c>
      <c r="AK17" s="5">
        <f t="shared" si="2"/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x14ac:dyDescent="0.25">
      <c r="A18" s="12">
        <v>14</v>
      </c>
      <c r="B18" s="14">
        <v>588</v>
      </c>
      <c r="C18" s="15" t="s">
        <v>108</v>
      </c>
      <c r="D18" s="16" t="s">
        <v>109</v>
      </c>
      <c r="E18" s="10" t="s">
        <v>20</v>
      </c>
      <c r="F18" s="32"/>
      <c r="G18" s="11" t="s">
        <v>33</v>
      </c>
      <c r="H18" s="11" t="s">
        <v>33</v>
      </c>
      <c r="I18" s="11" t="s">
        <v>33</v>
      </c>
      <c r="J18" s="11" t="s">
        <v>33</v>
      </c>
      <c r="K18" s="11" t="s">
        <v>33</v>
      </c>
      <c r="L18" s="11" t="s">
        <v>33</v>
      </c>
      <c r="M18" s="32"/>
      <c r="N18" s="11" t="s">
        <v>33</v>
      </c>
      <c r="O18" s="11" t="s">
        <v>33</v>
      </c>
      <c r="P18" s="11" t="s">
        <v>33</v>
      </c>
      <c r="Q18" s="11" t="s">
        <v>33</v>
      </c>
      <c r="R18" s="11" t="s">
        <v>33</v>
      </c>
      <c r="S18" s="11" t="s">
        <v>33</v>
      </c>
      <c r="T18" s="32"/>
      <c r="U18" s="11" t="s">
        <v>33</v>
      </c>
      <c r="V18" s="35"/>
      <c r="W18" s="11" t="s">
        <v>34</v>
      </c>
      <c r="X18" s="11" t="s">
        <v>34</v>
      </c>
      <c r="Y18" s="11" t="s">
        <v>34</v>
      </c>
      <c r="Z18" s="11" t="s">
        <v>34</v>
      </c>
      <c r="AA18" s="32"/>
      <c r="AB18" s="11" t="s">
        <v>34</v>
      </c>
      <c r="AC18" s="11" t="s">
        <v>34</v>
      </c>
      <c r="AD18" s="11" t="s">
        <v>34</v>
      </c>
      <c r="AE18" s="11" t="s">
        <v>34</v>
      </c>
      <c r="AF18" s="11" t="s">
        <v>33</v>
      </c>
      <c r="AG18" s="11" t="s">
        <v>34</v>
      </c>
      <c r="AH18" s="32"/>
      <c r="AI18" s="11" t="s">
        <v>34</v>
      </c>
      <c r="AJ18" s="5">
        <f t="shared" si="1"/>
        <v>10</v>
      </c>
      <c r="AK18" s="5">
        <f t="shared" si="2"/>
        <v>14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x14ac:dyDescent="0.25">
      <c r="A19" s="6">
        <v>15</v>
      </c>
      <c r="B19" s="14">
        <v>686</v>
      </c>
      <c r="C19" s="15" t="s">
        <v>110</v>
      </c>
      <c r="D19" s="16" t="s">
        <v>38</v>
      </c>
      <c r="E19" s="10" t="s">
        <v>20</v>
      </c>
      <c r="F19" s="32"/>
      <c r="G19" s="11" t="s">
        <v>34</v>
      </c>
      <c r="H19" s="11" t="s">
        <v>34</v>
      </c>
      <c r="I19" s="11" t="s">
        <v>34</v>
      </c>
      <c r="J19" s="11" t="s">
        <v>34</v>
      </c>
      <c r="K19" s="11" t="s">
        <v>34</v>
      </c>
      <c r="L19" s="11" t="s">
        <v>34</v>
      </c>
      <c r="M19" s="32"/>
      <c r="N19" s="11" t="s">
        <v>34</v>
      </c>
      <c r="O19" s="11" t="s">
        <v>34</v>
      </c>
      <c r="P19" s="11" t="s">
        <v>34</v>
      </c>
      <c r="Q19" s="11" t="s">
        <v>34</v>
      </c>
      <c r="R19" s="11" t="s">
        <v>34</v>
      </c>
      <c r="S19" s="11" t="s">
        <v>34</v>
      </c>
      <c r="T19" s="32"/>
      <c r="U19" s="11" t="s">
        <v>34</v>
      </c>
      <c r="V19" s="35"/>
      <c r="W19" s="11" t="s">
        <v>34</v>
      </c>
      <c r="X19" s="11" t="s">
        <v>34</v>
      </c>
      <c r="Y19" s="11" t="s">
        <v>34</v>
      </c>
      <c r="Z19" s="11" t="s">
        <v>34</v>
      </c>
      <c r="AA19" s="32"/>
      <c r="AB19" s="11" t="s">
        <v>34</v>
      </c>
      <c r="AC19" s="11" t="s">
        <v>34</v>
      </c>
      <c r="AD19" s="11" t="s">
        <v>34</v>
      </c>
      <c r="AE19" s="11" t="s">
        <v>34</v>
      </c>
      <c r="AF19" s="11" t="s">
        <v>33</v>
      </c>
      <c r="AG19" s="11" t="s">
        <v>34</v>
      </c>
      <c r="AH19" s="32"/>
      <c r="AI19" s="11" t="s">
        <v>34</v>
      </c>
      <c r="AJ19" s="5">
        <f t="shared" si="1"/>
        <v>23</v>
      </c>
      <c r="AK19" s="5">
        <f t="shared" si="2"/>
        <v>1</v>
      </c>
      <c r="AL19" s="5" t="s">
        <v>19</v>
      </c>
      <c r="AM19" s="12">
        <f>AM18-AM11</f>
        <v>18</v>
      </c>
      <c r="AN19" s="12">
        <f>AN18-AN11</f>
        <v>70</v>
      </c>
      <c r="AO19" s="12">
        <f>AM19+AN19</f>
        <v>88</v>
      </c>
    </row>
    <row r="20" spans="1:41" x14ac:dyDescent="0.25">
      <c r="A20" s="12">
        <v>16</v>
      </c>
      <c r="B20" s="14">
        <v>525</v>
      </c>
      <c r="C20" s="15" t="s">
        <v>111</v>
      </c>
      <c r="D20" s="16" t="s">
        <v>112</v>
      </c>
      <c r="E20" s="10" t="s">
        <v>20</v>
      </c>
      <c r="F20" s="32"/>
      <c r="G20" s="11" t="s">
        <v>34</v>
      </c>
      <c r="H20" s="11" t="s">
        <v>34</v>
      </c>
      <c r="I20" s="11" t="s">
        <v>34</v>
      </c>
      <c r="J20" s="11" t="s">
        <v>34</v>
      </c>
      <c r="K20" s="11" t="s">
        <v>34</v>
      </c>
      <c r="L20" s="11" t="s">
        <v>34</v>
      </c>
      <c r="M20" s="32"/>
      <c r="N20" s="11" t="s">
        <v>34</v>
      </c>
      <c r="O20" s="11" t="s">
        <v>34</v>
      </c>
      <c r="P20" s="11" t="s">
        <v>34</v>
      </c>
      <c r="Q20" s="11" t="s">
        <v>34</v>
      </c>
      <c r="R20" s="11" t="s">
        <v>34</v>
      </c>
      <c r="S20" s="11" t="s">
        <v>34</v>
      </c>
      <c r="T20" s="32"/>
      <c r="U20" s="11" t="s">
        <v>33</v>
      </c>
      <c r="V20" s="35"/>
      <c r="W20" s="11" t="s">
        <v>34</v>
      </c>
      <c r="X20" s="11" t="s">
        <v>34</v>
      </c>
      <c r="Y20" s="11" t="s">
        <v>34</v>
      </c>
      <c r="Z20" s="11" t="s">
        <v>33</v>
      </c>
      <c r="AA20" s="32"/>
      <c r="AB20" s="11" t="s">
        <v>34</v>
      </c>
      <c r="AC20" s="11" t="s">
        <v>34</v>
      </c>
      <c r="AD20" s="11" t="s">
        <v>34</v>
      </c>
      <c r="AE20" s="11" t="s">
        <v>34</v>
      </c>
      <c r="AF20" s="11" t="s">
        <v>34</v>
      </c>
      <c r="AG20" s="11" t="s">
        <v>34</v>
      </c>
      <c r="AH20" s="32"/>
      <c r="AI20" s="11" t="s">
        <v>34</v>
      </c>
      <c r="AJ20" s="5">
        <f t="shared" si="1"/>
        <v>22</v>
      </c>
      <c r="AK20" s="5">
        <f t="shared" si="2"/>
        <v>2</v>
      </c>
      <c r="AL20" s="5" t="s">
        <v>15</v>
      </c>
      <c r="AM20" s="20">
        <f>AM19/AM18</f>
        <v>3.643724696356275E-2</v>
      </c>
      <c r="AN20" s="20">
        <f>AN19/AN18</f>
        <v>0.12820512820512819</v>
      </c>
      <c r="AO20" s="20">
        <f>AO19/AO18</f>
        <v>8.461538461538462E-2</v>
      </c>
    </row>
    <row r="21" spans="1:41" x14ac:dyDescent="0.25">
      <c r="A21" s="6">
        <v>17</v>
      </c>
      <c r="B21" s="14">
        <v>577</v>
      </c>
      <c r="C21" s="15" t="s">
        <v>113</v>
      </c>
      <c r="D21" s="16" t="s">
        <v>114</v>
      </c>
      <c r="E21" s="10" t="s">
        <v>20</v>
      </c>
      <c r="F21" s="32"/>
      <c r="G21" s="11" t="s">
        <v>34</v>
      </c>
      <c r="H21" s="11" t="s">
        <v>34</v>
      </c>
      <c r="I21" s="11" t="s">
        <v>33</v>
      </c>
      <c r="J21" s="11" t="s">
        <v>34</v>
      </c>
      <c r="K21" s="11" t="s">
        <v>34</v>
      </c>
      <c r="L21" s="11" t="s">
        <v>34</v>
      </c>
      <c r="M21" s="32"/>
      <c r="N21" s="11" t="s">
        <v>34</v>
      </c>
      <c r="O21" s="11" t="s">
        <v>34</v>
      </c>
      <c r="P21" s="11" t="s">
        <v>34</v>
      </c>
      <c r="Q21" s="11" t="s">
        <v>33</v>
      </c>
      <c r="R21" s="11" t="s">
        <v>34</v>
      </c>
      <c r="S21" s="11" t="s">
        <v>33</v>
      </c>
      <c r="T21" s="32"/>
      <c r="U21" s="11" t="s">
        <v>34</v>
      </c>
      <c r="V21" s="35"/>
      <c r="W21" s="11" t="s">
        <v>34</v>
      </c>
      <c r="X21" s="11" t="s">
        <v>34</v>
      </c>
      <c r="Y21" s="11" t="s">
        <v>34</v>
      </c>
      <c r="Z21" s="11" t="s">
        <v>34</v>
      </c>
      <c r="AA21" s="32"/>
      <c r="AB21" s="11" t="s">
        <v>34</v>
      </c>
      <c r="AC21" s="11" t="s">
        <v>34</v>
      </c>
      <c r="AD21" s="11" t="s">
        <v>34</v>
      </c>
      <c r="AE21" s="11" t="s">
        <v>34</v>
      </c>
      <c r="AF21" s="11" t="s">
        <v>34</v>
      </c>
      <c r="AG21" s="11" t="s">
        <v>34</v>
      </c>
      <c r="AH21" s="32"/>
      <c r="AI21" s="11" t="s">
        <v>34</v>
      </c>
      <c r="AJ21" s="5">
        <f t="shared" si="1"/>
        <v>21</v>
      </c>
      <c r="AK21" s="5">
        <f t="shared" si="2"/>
        <v>3</v>
      </c>
    </row>
    <row r="22" spans="1:41" x14ac:dyDescent="0.25">
      <c r="A22" s="12">
        <v>18</v>
      </c>
      <c r="B22" s="14">
        <v>589</v>
      </c>
      <c r="C22" s="15" t="s">
        <v>115</v>
      </c>
      <c r="D22" s="16" t="s">
        <v>116</v>
      </c>
      <c r="E22" s="10" t="s">
        <v>20</v>
      </c>
      <c r="F22" s="32"/>
      <c r="G22" s="11" t="s">
        <v>34</v>
      </c>
      <c r="H22" s="11" t="s">
        <v>35</v>
      </c>
      <c r="I22" s="11" t="s">
        <v>35</v>
      </c>
      <c r="J22" s="11" t="s">
        <v>34</v>
      </c>
      <c r="K22" s="11" t="s">
        <v>34</v>
      </c>
      <c r="L22" s="11" t="s">
        <v>34</v>
      </c>
      <c r="M22" s="32"/>
      <c r="N22" s="11" t="s">
        <v>34</v>
      </c>
      <c r="O22" s="11" t="s">
        <v>34</v>
      </c>
      <c r="P22" s="11" t="s">
        <v>34</v>
      </c>
      <c r="Q22" s="11" t="s">
        <v>33</v>
      </c>
      <c r="R22" s="11" t="s">
        <v>34</v>
      </c>
      <c r="S22" s="11" t="s">
        <v>34</v>
      </c>
      <c r="T22" s="32"/>
      <c r="U22" s="11" t="s">
        <v>34</v>
      </c>
      <c r="V22" s="35"/>
      <c r="W22" s="11" t="s">
        <v>34</v>
      </c>
      <c r="X22" s="11" t="s">
        <v>33</v>
      </c>
      <c r="Y22" s="11" t="s">
        <v>34</v>
      </c>
      <c r="Z22" s="11" t="s">
        <v>34</v>
      </c>
      <c r="AA22" s="32"/>
      <c r="AB22" s="11" t="s">
        <v>34</v>
      </c>
      <c r="AC22" s="11" t="s">
        <v>34</v>
      </c>
      <c r="AD22" s="11" t="s">
        <v>33</v>
      </c>
      <c r="AE22" s="11" t="s">
        <v>34</v>
      </c>
      <c r="AF22" s="11" t="s">
        <v>34</v>
      </c>
      <c r="AG22" s="11" t="s">
        <v>34</v>
      </c>
      <c r="AH22" s="32"/>
      <c r="AI22" s="11" t="s">
        <v>34</v>
      </c>
      <c r="AJ22" s="5">
        <f t="shared" si="1"/>
        <v>19</v>
      </c>
      <c r="AK22" s="5">
        <f t="shared" si="2"/>
        <v>3</v>
      </c>
    </row>
    <row r="23" spans="1:41" x14ac:dyDescent="0.25">
      <c r="A23" s="6">
        <v>19</v>
      </c>
      <c r="B23" s="14"/>
      <c r="C23" s="15" t="s">
        <v>117</v>
      </c>
      <c r="D23" s="16" t="s">
        <v>118</v>
      </c>
      <c r="E23" s="10" t="s">
        <v>20</v>
      </c>
      <c r="F23" s="32"/>
      <c r="G23" s="11" t="s">
        <v>34</v>
      </c>
      <c r="H23" s="11" t="s">
        <v>33</v>
      </c>
      <c r="I23" s="11" t="s">
        <v>34</v>
      </c>
      <c r="J23" s="11" t="s">
        <v>33</v>
      </c>
      <c r="K23" s="11" t="s">
        <v>34</v>
      </c>
      <c r="L23" s="11" t="s">
        <v>33</v>
      </c>
      <c r="M23" s="32"/>
      <c r="N23" s="11" t="s">
        <v>34</v>
      </c>
      <c r="O23" s="11" t="s">
        <v>34</v>
      </c>
      <c r="P23" s="11" t="s">
        <v>33</v>
      </c>
      <c r="Q23" s="11" t="s">
        <v>34</v>
      </c>
      <c r="R23" s="11" t="s">
        <v>34</v>
      </c>
      <c r="S23" s="11" t="s">
        <v>34</v>
      </c>
      <c r="T23" s="32"/>
      <c r="U23" s="11" t="s">
        <v>33</v>
      </c>
      <c r="V23" s="35"/>
      <c r="W23" s="11" t="s">
        <v>34</v>
      </c>
      <c r="X23" s="11" t="s">
        <v>34</v>
      </c>
      <c r="Y23" s="11" t="s">
        <v>34</v>
      </c>
      <c r="Z23" s="11" t="s">
        <v>33</v>
      </c>
      <c r="AA23" s="32"/>
      <c r="AB23" s="11" t="s">
        <v>34</v>
      </c>
      <c r="AC23" s="11" t="s">
        <v>34</v>
      </c>
      <c r="AD23" s="11" t="s">
        <v>34</v>
      </c>
      <c r="AE23" s="11" t="s">
        <v>34</v>
      </c>
      <c r="AF23" s="11" t="s">
        <v>34</v>
      </c>
      <c r="AG23" s="11" t="s">
        <v>34</v>
      </c>
      <c r="AH23" s="32"/>
      <c r="AI23" s="11" t="s">
        <v>34</v>
      </c>
      <c r="AJ23" s="5">
        <f t="shared" si="1"/>
        <v>18</v>
      </c>
      <c r="AK23" s="5">
        <f t="shared" si="2"/>
        <v>6</v>
      </c>
    </row>
    <row r="24" spans="1:41" x14ac:dyDescent="0.25">
      <c r="A24" s="12">
        <v>20</v>
      </c>
      <c r="B24" s="14"/>
      <c r="C24" s="15" t="s">
        <v>37</v>
      </c>
      <c r="D24" s="16" t="s">
        <v>40</v>
      </c>
      <c r="E24" s="10" t="s">
        <v>20</v>
      </c>
      <c r="F24" s="32"/>
      <c r="G24" s="11" t="s">
        <v>34</v>
      </c>
      <c r="H24" s="11" t="s">
        <v>34</v>
      </c>
      <c r="I24" s="11" t="s">
        <v>34</v>
      </c>
      <c r="J24" s="11" t="s">
        <v>34</v>
      </c>
      <c r="K24" s="11" t="s">
        <v>34</v>
      </c>
      <c r="L24" s="11" t="s">
        <v>34</v>
      </c>
      <c r="M24" s="32"/>
      <c r="N24" s="11" t="s">
        <v>34</v>
      </c>
      <c r="O24" s="11" t="s">
        <v>34</v>
      </c>
      <c r="P24" s="11" t="s">
        <v>34</v>
      </c>
      <c r="Q24" s="11" t="s">
        <v>34</v>
      </c>
      <c r="R24" s="11" t="s">
        <v>34</v>
      </c>
      <c r="S24" s="11" t="s">
        <v>34</v>
      </c>
      <c r="T24" s="32"/>
      <c r="U24" s="11" t="s">
        <v>34</v>
      </c>
      <c r="V24" s="35"/>
      <c r="W24" s="11" t="s">
        <v>34</v>
      </c>
      <c r="X24" s="11" t="s">
        <v>34</v>
      </c>
      <c r="Y24" s="11" t="s">
        <v>34</v>
      </c>
      <c r="Z24" s="11" t="s">
        <v>34</v>
      </c>
      <c r="AA24" s="32"/>
      <c r="AB24" s="11" t="s">
        <v>34</v>
      </c>
      <c r="AC24" s="11" t="s">
        <v>34</v>
      </c>
      <c r="AD24" s="11" t="s">
        <v>34</v>
      </c>
      <c r="AE24" s="11" t="s">
        <v>34</v>
      </c>
      <c r="AF24" s="11" t="s">
        <v>33</v>
      </c>
      <c r="AG24" s="11" t="s">
        <v>33</v>
      </c>
      <c r="AH24" s="32"/>
      <c r="AI24" s="11" t="s">
        <v>34</v>
      </c>
      <c r="AJ24" s="5">
        <f t="shared" si="1"/>
        <v>22</v>
      </c>
      <c r="AK24" s="5">
        <f t="shared" si="2"/>
        <v>2</v>
      </c>
    </row>
    <row r="25" spans="1:41" x14ac:dyDescent="0.25">
      <c r="A25" s="6">
        <v>21</v>
      </c>
      <c r="B25" s="14"/>
      <c r="C25" s="15" t="s">
        <v>119</v>
      </c>
      <c r="D25" s="16" t="s">
        <v>40</v>
      </c>
      <c r="E25" s="10" t="s">
        <v>20</v>
      </c>
      <c r="F25" s="32"/>
      <c r="G25" s="11" t="s">
        <v>34</v>
      </c>
      <c r="H25" s="11" t="s">
        <v>34</v>
      </c>
      <c r="I25" s="11" t="s">
        <v>34</v>
      </c>
      <c r="J25" s="11" t="s">
        <v>34</v>
      </c>
      <c r="K25" s="11" t="s">
        <v>33</v>
      </c>
      <c r="L25" s="11" t="s">
        <v>34</v>
      </c>
      <c r="M25" s="32"/>
      <c r="N25" s="11" t="s">
        <v>34</v>
      </c>
      <c r="O25" s="11" t="s">
        <v>34</v>
      </c>
      <c r="P25" s="11" t="s">
        <v>34</v>
      </c>
      <c r="Q25" s="11" t="s">
        <v>34</v>
      </c>
      <c r="R25" s="11" t="s">
        <v>34</v>
      </c>
      <c r="S25" s="11" t="s">
        <v>34</v>
      </c>
      <c r="T25" s="32"/>
      <c r="U25" s="11" t="s">
        <v>34</v>
      </c>
      <c r="V25" s="35"/>
      <c r="W25" s="11" t="s">
        <v>34</v>
      </c>
      <c r="X25" s="11" t="s">
        <v>34</v>
      </c>
      <c r="Y25" s="11" t="s">
        <v>34</v>
      </c>
      <c r="Z25" s="11" t="s">
        <v>34</v>
      </c>
      <c r="AA25" s="32"/>
      <c r="AB25" s="11" t="s">
        <v>34</v>
      </c>
      <c r="AC25" s="11" t="s">
        <v>34</v>
      </c>
      <c r="AD25" s="11" t="s">
        <v>34</v>
      </c>
      <c r="AE25" s="11" t="s">
        <v>34</v>
      </c>
      <c r="AF25" s="11" t="s">
        <v>33</v>
      </c>
      <c r="AG25" s="11" t="s">
        <v>33</v>
      </c>
      <c r="AH25" s="32"/>
      <c r="AI25" s="11" t="s">
        <v>34</v>
      </c>
      <c r="AJ25" s="5">
        <f t="shared" si="1"/>
        <v>21</v>
      </c>
      <c r="AK25" s="5">
        <f t="shared" si="2"/>
        <v>3</v>
      </c>
    </row>
    <row r="26" spans="1:41" x14ac:dyDescent="0.25">
      <c r="A26" s="12">
        <v>22</v>
      </c>
      <c r="B26" s="14">
        <v>572</v>
      </c>
      <c r="C26" s="15" t="s">
        <v>120</v>
      </c>
      <c r="D26" s="16" t="s">
        <v>29</v>
      </c>
      <c r="E26" s="10" t="s">
        <v>20</v>
      </c>
      <c r="F26" s="32"/>
      <c r="G26" s="11" t="s">
        <v>34</v>
      </c>
      <c r="H26" s="11" t="s">
        <v>34</v>
      </c>
      <c r="I26" s="11" t="s">
        <v>34</v>
      </c>
      <c r="J26" s="11" t="s">
        <v>34</v>
      </c>
      <c r="K26" s="11" t="s">
        <v>33</v>
      </c>
      <c r="L26" s="11" t="s">
        <v>34</v>
      </c>
      <c r="M26" s="32"/>
      <c r="N26" s="11" t="s">
        <v>34</v>
      </c>
      <c r="O26" s="11" t="s">
        <v>34</v>
      </c>
      <c r="P26" s="11" t="s">
        <v>34</v>
      </c>
      <c r="Q26" s="11" t="s">
        <v>34</v>
      </c>
      <c r="R26" s="11" t="s">
        <v>34</v>
      </c>
      <c r="S26" s="11" t="s">
        <v>34</v>
      </c>
      <c r="T26" s="32"/>
      <c r="U26" s="11" t="s">
        <v>33</v>
      </c>
      <c r="V26" s="35"/>
      <c r="W26" s="11" t="s">
        <v>34</v>
      </c>
      <c r="X26" s="11" t="s">
        <v>34</v>
      </c>
      <c r="Y26" s="11" t="s">
        <v>34</v>
      </c>
      <c r="Z26" s="11" t="s">
        <v>34</v>
      </c>
      <c r="AA26" s="32"/>
      <c r="AB26" s="11" t="s">
        <v>34</v>
      </c>
      <c r="AC26" s="11" t="s">
        <v>34</v>
      </c>
      <c r="AD26" s="11" t="s">
        <v>34</v>
      </c>
      <c r="AE26" s="11" t="s">
        <v>33</v>
      </c>
      <c r="AF26" s="11" t="s">
        <v>33</v>
      </c>
      <c r="AG26" s="11" t="s">
        <v>34</v>
      </c>
      <c r="AH26" s="32"/>
      <c r="AI26" s="11" t="s">
        <v>34</v>
      </c>
      <c r="AJ26" s="5">
        <f t="shared" si="1"/>
        <v>20</v>
      </c>
      <c r="AK26" s="5">
        <f t="shared" si="2"/>
        <v>4</v>
      </c>
    </row>
    <row r="27" spans="1:41" x14ac:dyDescent="0.25">
      <c r="A27" s="6">
        <v>23</v>
      </c>
      <c r="B27" s="14">
        <v>649</v>
      </c>
      <c r="C27" s="15" t="s">
        <v>121</v>
      </c>
      <c r="D27" s="16" t="s">
        <v>122</v>
      </c>
      <c r="E27" s="10" t="s">
        <v>20</v>
      </c>
      <c r="F27" s="32"/>
      <c r="G27" s="11" t="s">
        <v>34</v>
      </c>
      <c r="H27" s="11" t="s">
        <v>34</v>
      </c>
      <c r="I27" s="11" t="s">
        <v>34</v>
      </c>
      <c r="J27" s="11" t="s">
        <v>34</v>
      </c>
      <c r="K27" s="11" t="s">
        <v>33</v>
      </c>
      <c r="L27" s="11" t="s">
        <v>34</v>
      </c>
      <c r="M27" s="32"/>
      <c r="N27" s="11" t="s">
        <v>33</v>
      </c>
      <c r="O27" s="11" t="s">
        <v>34</v>
      </c>
      <c r="P27" s="11" t="s">
        <v>34</v>
      </c>
      <c r="Q27" s="11" t="s">
        <v>34</v>
      </c>
      <c r="R27" s="11" t="s">
        <v>34</v>
      </c>
      <c r="S27" s="11" t="s">
        <v>34</v>
      </c>
      <c r="T27" s="32"/>
      <c r="U27" s="11" t="s">
        <v>33</v>
      </c>
      <c r="V27" s="35"/>
      <c r="W27" s="11" t="s">
        <v>34</v>
      </c>
      <c r="X27" s="11" t="s">
        <v>34</v>
      </c>
      <c r="Y27" s="11" t="s">
        <v>34</v>
      </c>
      <c r="Z27" s="11" t="s">
        <v>34</v>
      </c>
      <c r="AA27" s="32"/>
      <c r="AB27" s="11" t="s">
        <v>34</v>
      </c>
      <c r="AC27" s="11" t="s">
        <v>34</v>
      </c>
      <c r="AD27" s="11" t="s">
        <v>34</v>
      </c>
      <c r="AE27" s="11" t="s">
        <v>34</v>
      </c>
      <c r="AF27" s="11" t="s">
        <v>34</v>
      </c>
      <c r="AG27" s="11" t="s">
        <v>34</v>
      </c>
      <c r="AH27" s="32"/>
      <c r="AI27" s="11" t="s">
        <v>34</v>
      </c>
      <c r="AJ27" s="5">
        <f t="shared" si="1"/>
        <v>21</v>
      </c>
      <c r="AK27" s="5">
        <f t="shared" si="2"/>
        <v>3</v>
      </c>
    </row>
    <row r="28" spans="1:41" x14ac:dyDescent="0.25">
      <c r="A28" s="12">
        <v>24</v>
      </c>
      <c r="B28" s="14"/>
      <c r="C28" s="15" t="s">
        <v>125</v>
      </c>
      <c r="D28" s="16" t="s">
        <v>126</v>
      </c>
      <c r="E28" s="10" t="s">
        <v>20</v>
      </c>
      <c r="F28" s="32"/>
      <c r="G28" s="11"/>
      <c r="H28" s="11"/>
      <c r="I28" s="11"/>
      <c r="J28" s="11"/>
      <c r="K28" s="11"/>
      <c r="L28" s="11"/>
      <c r="M28" s="32"/>
      <c r="N28" s="11"/>
      <c r="O28" s="11"/>
      <c r="P28" s="11"/>
      <c r="Q28" s="11"/>
      <c r="R28" s="11"/>
      <c r="S28" s="11"/>
      <c r="T28" s="32"/>
      <c r="U28" s="11" t="s">
        <v>34</v>
      </c>
      <c r="V28" s="35"/>
      <c r="W28" s="11" t="s">
        <v>33</v>
      </c>
      <c r="X28" s="11" t="s">
        <v>33</v>
      </c>
      <c r="Y28" s="11" t="s">
        <v>33</v>
      </c>
      <c r="Z28" s="11" t="s">
        <v>33</v>
      </c>
      <c r="AA28" s="32"/>
      <c r="AB28" s="11" t="s">
        <v>34</v>
      </c>
      <c r="AC28" s="11" t="s">
        <v>34</v>
      </c>
      <c r="AD28" s="11" t="s">
        <v>34</v>
      </c>
      <c r="AE28" s="11" t="s">
        <v>34</v>
      </c>
      <c r="AF28" s="11" t="s">
        <v>34</v>
      </c>
      <c r="AG28" s="11" t="s">
        <v>33</v>
      </c>
      <c r="AH28" s="32"/>
      <c r="AI28" s="11" t="s">
        <v>34</v>
      </c>
      <c r="AJ28" s="5">
        <f t="shared" si="1"/>
        <v>7</v>
      </c>
      <c r="AK28" s="5">
        <f t="shared" si="2"/>
        <v>5</v>
      </c>
    </row>
    <row r="29" spans="1:41" x14ac:dyDescent="0.25">
      <c r="A29" s="6">
        <v>25</v>
      </c>
      <c r="B29" s="14"/>
      <c r="C29" s="15" t="s">
        <v>127</v>
      </c>
      <c r="D29" s="16" t="s">
        <v>128</v>
      </c>
      <c r="E29" s="10" t="s">
        <v>20</v>
      </c>
      <c r="F29" s="32"/>
      <c r="G29" s="11"/>
      <c r="H29" s="11"/>
      <c r="I29" s="11"/>
      <c r="J29" s="11"/>
      <c r="K29" s="11"/>
      <c r="L29" s="11"/>
      <c r="M29" s="32"/>
      <c r="N29" s="11"/>
      <c r="O29" s="11"/>
      <c r="P29" s="11"/>
      <c r="Q29" s="11"/>
      <c r="R29" s="11"/>
      <c r="S29" s="11"/>
      <c r="T29" s="32"/>
      <c r="U29" s="11"/>
      <c r="V29" s="35"/>
      <c r="W29" s="11"/>
      <c r="X29" s="11"/>
      <c r="Y29" s="11"/>
      <c r="Z29" s="11"/>
      <c r="AA29" s="32"/>
      <c r="AB29" s="11"/>
      <c r="AC29" s="11"/>
      <c r="AD29" s="11" t="s">
        <v>34</v>
      </c>
      <c r="AE29" s="11" t="s">
        <v>34</v>
      </c>
      <c r="AF29" s="11" t="s">
        <v>34</v>
      </c>
      <c r="AG29" s="11" t="s">
        <v>33</v>
      </c>
      <c r="AH29" s="32"/>
      <c r="AI29" s="11" t="s">
        <v>34</v>
      </c>
      <c r="AJ29" s="5">
        <f t="shared" si="1"/>
        <v>4</v>
      </c>
      <c r="AK29" s="5">
        <f t="shared" si="2"/>
        <v>1</v>
      </c>
    </row>
    <row r="30" spans="1:41" x14ac:dyDescent="0.25">
      <c r="A30" s="12">
        <v>26</v>
      </c>
      <c r="B30" s="14"/>
      <c r="C30" s="15" t="s">
        <v>129</v>
      </c>
      <c r="D30" s="16" t="s">
        <v>130</v>
      </c>
      <c r="E30" s="10" t="s">
        <v>20</v>
      </c>
      <c r="F30" s="32"/>
      <c r="G30" s="11"/>
      <c r="H30" s="11"/>
      <c r="I30" s="11"/>
      <c r="J30" s="11"/>
      <c r="K30" s="11"/>
      <c r="L30" s="11"/>
      <c r="M30" s="32"/>
      <c r="N30" s="11"/>
      <c r="O30" s="11"/>
      <c r="P30" s="11"/>
      <c r="Q30" s="11"/>
      <c r="R30" s="11"/>
      <c r="S30" s="11"/>
      <c r="T30" s="32"/>
      <c r="U30" s="11"/>
      <c r="V30" s="35"/>
      <c r="W30" s="11"/>
      <c r="X30" s="11"/>
      <c r="Y30" s="11"/>
      <c r="Z30" s="11"/>
      <c r="AA30" s="32"/>
      <c r="AB30" s="11"/>
      <c r="AC30" s="11"/>
      <c r="AD30" s="11"/>
      <c r="AE30" s="11" t="s">
        <v>34</v>
      </c>
      <c r="AF30" s="11" t="s">
        <v>34</v>
      </c>
      <c r="AG30" s="11" t="s">
        <v>34</v>
      </c>
      <c r="AH30" s="32"/>
      <c r="AI30" s="11" t="s">
        <v>34</v>
      </c>
      <c r="AJ30" s="5">
        <f t="shared" si="1"/>
        <v>4</v>
      </c>
      <c r="AK30" s="5">
        <f t="shared" si="2"/>
        <v>0</v>
      </c>
    </row>
    <row r="31" spans="1:41" ht="15" customHeight="1" x14ac:dyDescent="0.25">
      <c r="A31" s="6">
        <v>1</v>
      </c>
      <c r="B31" s="7">
        <v>490</v>
      </c>
      <c r="C31" s="8" t="s">
        <v>53</v>
      </c>
      <c r="D31" s="9" t="s">
        <v>54</v>
      </c>
      <c r="E31" s="10" t="s">
        <v>20</v>
      </c>
      <c r="F31" s="32"/>
      <c r="G31" s="11" t="s">
        <v>34</v>
      </c>
      <c r="H31" s="11" t="s">
        <v>34</v>
      </c>
      <c r="I31" s="11" t="s">
        <v>34</v>
      </c>
      <c r="J31" s="11" t="s">
        <v>34</v>
      </c>
      <c r="K31" s="11" t="s">
        <v>34</v>
      </c>
      <c r="L31" s="11" t="s">
        <v>34</v>
      </c>
      <c r="M31" s="32"/>
      <c r="N31" s="11" t="s">
        <v>34</v>
      </c>
      <c r="O31" s="11" t="s">
        <v>34</v>
      </c>
      <c r="P31" s="11" t="s">
        <v>34</v>
      </c>
      <c r="Q31" s="11" t="s">
        <v>33</v>
      </c>
      <c r="R31" s="11" t="s">
        <v>34</v>
      </c>
      <c r="S31" s="11" t="s">
        <v>34</v>
      </c>
      <c r="T31" s="32"/>
      <c r="U31" s="11" t="s">
        <v>34</v>
      </c>
      <c r="V31" s="35"/>
      <c r="W31" s="11" t="s">
        <v>34</v>
      </c>
      <c r="X31" s="11" t="s">
        <v>34</v>
      </c>
      <c r="Y31" s="11" t="s">
        <v>34</v>
      </c>
      <c r="Z31" s="11" t="s">
        <v>34</v>
      </c>
      <c r="AA31" s="32"/>
      <c r="AB31" s="11" t="s">
        <v>34</v>
      </c>
      <c r="AC31" s="11" t="s">
        <v>34</v>
      </c>
      <c r="AD31" s="11" t="s">
        <v>34</v>
      </c>
      <c r="AE31" s="11" t="s">
        <v>34</v>
      </c>
      <c r="AF31" s="11" t="s">
        <v>34</v>
      </c>
      <c r="AG31" s="11" t="s">
        <v>34</v>
      </c>
      <c r="AH31" s="32"/>
      <c r="AI31" s="11" t="s">
        <v>34</v>
      </c>
      <c r="AJ31" s="5">
        <f t="shared" si="1"/>
        <v>23</v>
      </c>
      <c r="AK31" s="5">
        <f t="shared" si="2"/>
        <v>1</v>
      </c>
    </row>
    <row r="32" spans="1:41" x14ac:dyDescent="0.25">
      <c r="A32" s="12">
        <v>2</v>
      </c>
      <c r="B32" s="14">
        <v>646</v>
      </c>
      <c r="C32" s="15" t="s">
        <v>55</v>
      </c>
      <c r="D32" s="16" t="s">
        <v>43</v>
      </c>
      <c r="E32" s="10" t="s">
        <v>20</v>
      </c>
      <c r="F32" s="32"/>
      <c r="G32" s="11" t="s">
        <v>34</v>
      </c>
      <c r="H32" s="11" t="s">
        <v>34</v>
      </c>
      <c r="I32" s="11" t="s">
        <v>34</v>
      </c>
      <c r="J32" s="11" t="s">
        <v>34</v>
      </c>
      <c r="K32" s="11" t="s">
        <v>34</v>
      </c>
      <c r="L32" s="11" t="s">
        <v>34</v>
      </c>
      <c r="M32" s="32"/>
      <c r="N32" s="11" t="s">
        <v>34</v>
      </c>
      <c r="O32" s="11" t="s">
        <v>34</v>
      </c>
      <c r="P32" s="11" t="s">
        <v>34</v>
      </c>
      <c r="Q32" s="11" t="s">
        <v>34</v>
      </c>
      <c r="R32" s="11" t="s">
        <v>34</v>
      </c>
      <c r="S32" s="11" t="s">
        <v>34</v>
      </c>
      <c r="T32" s="32"/>
      <c r="U32" s="11" t="s">
        <v>33</v>
      </c>
      <c r="V32" s="35"/>
      <c r="W32" s="11" t="s">
        <v>34</v>
      </c>
      <c r="X32" s="11" t="s">
        <v>34</v>
      </c>
      <c r="Y32" s="11" t="s">
        <v>34</v>
      </c>
      <c r="Z32" s="11" t="s">
        <v>34</v>
      </c>
      <c r="AA32" s="32"/>
      <c r="AB32" s="11" t="s">
        <v>34</v>
      </c>
      <c r="AC32" s="11" t="s">
        <v>34</v>
      </c>
      <c r="AD32" s="11" t="s">
        <v>34</v>
      </c>
      <c r="AE32" s="11" t="s">
        <v>34</v>
      </c>
      <c r="AF32" s="11" t="s">
        <v>34</v>
      </c>
      <c r="AG32" s="11" t="s">
        <v>34</v>
      </c>
      <c r="AH32" s="32"/>
      <c r="AI32" s="11" t="s">
        <v>34</v>
      </c>
      <c r="AJ32" s="5">
        <f t="shared" si="1"/>
        <v>23</v>
      </c>
      <c r="AK32" s="5">
        <f t="shared" si="2"/>
        <v>1</v>
      </c>
    </row>
    <row r="33" spans="1:37" x14ac:dyDescent="0.25">
      <c r="A33" s="6">
        <v>3</v>
      </c>
      <c r="B33" s="14">
        <v>690</v>
      </c>
      <c r="C33" s="15" t="s">
        <v>56</v>
      </c>
      <c r="D33" s="16" t="s">
        <v>57</v>
      </c>
      <c r="E33" s="10" t="s">
        <v>20</v>
      </c>
      <c r="F33" s="32"/>
      <c r="G33" s="11" t="s">
        <v>34</v>
      </c>
      <c r="H33" s="11" t="s">
        <v>34</v>
      </c>
      <c r="I33" s="11" t="s">
        <v>34</v>
      </c>
      <c r="J33" s="11" t="s">
        <v>34</v>
      </c>
      <c r="K33" s="11" t="s">
        <v>34</v>
      </c>
      <c r="L33" s="11" t="s">
        <v>34</v>
      </c>
      <c r="M33" s="32"/>
      <c r="N33" s="11" t="s">
        <v>34</v>
      </c>
      <c r="O33" s="11" t="s">
        <v>34</v>
      </c>
      <c r="P33" s="11" t="s">
        <v>34</v>
      </c>
      <c r="Q33" s="11" t="s">
        <v>34</v>
      </c>
      <c r="R33" s="11" t="s">
        <v>34</v>
      </c>
      <c r="S33" s="11" t="s">
        <v>34</v>
      </c>
      <c r="T33" s="32"/>
      <c r="U33" s="11" t="s">
        <v>34</v>
      </c>
      <c r="V33" s="35"/>
      <c r="W33" s="11" t="s">
        <v>34</v>
      </c>
      <c r="X33" s="11" t="s">
        <v>34</v>
      </c>
      <c r="Y33" s="11" t="s">
        <v>34</v>
      </c>
      <c r="Z33" s="11" t="s">
        <v>34</v>
      </c>
      <c r="AA33" s="32"/>
      <c r="AB33" s="11" t="s">
        <v>34</v>
      </c>
      <c r="AC33" s="11" t="s">
        <v>34</v>
      </c>
      <c r="AD33" s="11" t="s">
        <v>34</v>
      </c>
      <c r="AE33" s="11" t="s">
        <v>34</v>
      </c>
      <c r="AF33" s="11" t="s">
        <v>34</v>
      </c>
      <c r="AG33" s="11" t="s">
        <v>34</v>
      </c>
      <c r="AH33" s="32"/>
      <c r="AI33" s="11" t="s">
        <v>34</v>
      </c>
      <c r="AJ33" s="5">
        <f t="shared" si="1"/>
        <v>24</v>
      </c>
      <c r="AK33" s="5">
        <f t="shared" si="2"/>
        <v>0</v>
      </c>
    </row>
    <row r="34" spans="1:37" x14ac:dyDescent="0.25">
      <c r="A34" s="12">
        <v>4</v>
      </c>
      <c r="B34" s="14">
        <v>684</v>
      </c>
      <c r="C34" s="15" t="s">
        <v>58</v>
      </c>
      <c r="D34" s="16" t="s">
        <v>52</v>
      </c>
      <c r="E34" s="10" t="s">
        <v>20</v>
      </c>
      <c r="F34" s="32"/>
      <c r="G34" s="11" t="s">
        <v>34</v>
      </c>
      <c r="H34" s="11" t="s">
        <v>34</v>
      </c>
      <c r="I34" s="11" t="s">
        <v>34</v>
      </c>
      <c r="J34" s="11" t="s">
        <v>34</v>
      </c>
      <c r="K34" s="11" t="s">
        <v>34</v>
      </c>
      <c r="L34" s="11" t="s">
        <v>33</v>
      </c>
      <c r="M34" s="32"/>
      <c r="N34" s="11" t="s">
        <v>33</v>
      </c>
      <c r="O34" s="11" t="s">
        <v>34</v>
      </c>
      <c r="P34" s="11" t="s">
        <v>34</v>
      </c>
      <c r="Q34" s="11" t="s">
        <v>34</v>
      </c>
      <c r="R34" s="11" t="s">
        <v>34</v>
      </c>
      <c r="S34" s="11" t="s">
        <v>34</v>
      </c>
      <c r="T34" s="32"/>
      <c r="U34" s="11" t="s">
        <v>33</v>
      </c>
      <c r="V34" s="35"/>
      <c r="W34" s="11" t="s">
        <v>34</v>
      </c>
      <c r="X34" s="11" t="s">
        <v>34</v>
      </c>
      <c r="Y34" s="11" t="s">
        <v>34</v>
      </c>
      <c r="Z34" s="11" t="s">
        <v>33</v>
      </c>
      <c r="AA34" s="32"/>
      <c r="AB34" s="11" t="s">
        <v>34</v>
      </c>
      <c r="AC34" s="11" t="s">
        <v>34</v>
      </c>
      <c r="AD34" s="11" t="s">
        <v>34</v>
      </c>
      <c r="AE34" s="11" t="s">
        <v>34</v>
      </c>
      <c r="AF34" s="11" t="s">
        <v>34</v>
      </c>
      <c r="AG34" s="11" t="s">
        <v>34</v>
      </c>
      <c r="AH34" s="32"/>
      <c r="AI34" s="11" t="s">
        <v>34</v>
      </c>
      <c r="AJ34" s="5">
        <f t="shared" si="1"/>
        <v>20</v>
      </c>
      <c r="AK34" s="5">
        <f t="shared" si="2"/>
        <v>4</v>
      </c>
    </row>
    <row r="35" spans="1:37" x14ac:dyDescent="0.25">
      <c r="A35" s="6">
        <v>5</v>
      </c>
      <c r="B35" s="14">
        <v>551</v>
      </c>
      <c r="C35" s="15" t="s">
        <v>46</v>
      </c>
      <c r="D35" s="16" t="s">
        <v>59</v>
      </c>
      <c r="E35" s="10" t="s">
        <v>20</v>
      </c>
      <c r="F35" s="32"/>
      <c r="G35" s="11" t="s">
        <v>34</v>
      </c>
      <c r="H35" s="11" t="s">
        <v>34</v>
      </c>
      <c r="I35" s="11" t="s">
        <v>34</v>
      </c>
      <c r="J35" s="11" t="s">
        <v>34</v>
      </c>
      <c r="K35" s="11" t="s">
        <v>34</v>
      </c>
      <c r="L35" s="11" t="s">
        <v>34</v>
      </c>
      <c r="M35" s="32"/>
      <c r="N35" s="11" t="s">
        <v>34</v>
      </c>
      <c r="O35" s="11" t="s">
        <v>34</v>
      </c>
      <c r="P35" s="11" t="s">
        <v>34</v>
      </c>
      <c r="Q35" s="11" t="s">
        <v>34</v>
      </c>
      <c r="R35" s="11" t="s">
        <v>34</v>
      </c>
      <c r="S35" s="11" t="s">
        <v>34</v>
      </c>
      <c r="T35" s="32"/>
      <c r="U35" s="11" t="s">
        <v>34</v>
      </c>
      <c r="V35" s="35"/>
      <c r="W35" s="11" t="s">
        <v>34</v>
      </c>
      <c r="X35" s="11" t="s">
        <v>34</v>
      </c>
      <c r="Y35" s="11" t="s">
        <v>34</v>
      </c>
      <c r="Z35" s="11" t="s">
        <v>34</v>
      </c>
      <c r="AA35" s="32"/>
      <c r="AB35" s="11" t="s">
        <v>34</v>
      </c>
      <c r="AC35" s="11" t="s">
        <v>34</v>
      </c>
      <c r="AD35" s="11" t="s">
        <v>34</v>
      </c>
      <c r="AE35" s="11" t="s">
        <v>34</v>
      </c>
      <c r="AF35" s="11" t="s">
        <v>34</v>
      </c>
      <c r="AG35" s="11" t="s">
        <v>34</v>
      </c>
      <c r="AH35" s="32"/>
      <c r="AI35" s="11" t="s">
        <v>34</v>
      </c>
      <c r="AJ35" s="5">
        <f t="shared" si="1"/>
        <v>24</v>
      </c>
      <c r="AK35" s="5">
        <f t="shared" si="2"/>
        <v>0</v>
      </c>
    </row>
    <row r="36" spans="1:37" x14ac:dyDescent="0.25">
      <c r="A36" s="12">
        <v>6</v>
      </c>
      <c r="B36" s="14">
        <v>647</v>
      </c>
      <c r="C36" s="15" t="s">
        <v>60</v>
      </c>
      <c r="D36" s="16" t="s">
        <v>61</v>
      </c>
      <c r="E36" s="10" t="s">
        <v>20</v>
      </c>
      <c r="F36" s="32"/>
      <c r="G36" s="11" t="s">
        <v>34</v>
      </c>
      <c r="H36" s="11" t="s">
        <v>34</v>
      </c>
      <c r="I36" s="11" t="s">
        <v>34</v>
      </c>
      <c r="J36" s="11" t="s">
        <v>34</v>
      </c>
      <c r="K36" s="11" t="s">
        <v>34</v>
      </c>
      <c r="L36" s="11" t="s">
        <v>34</v>
      </c>
      <c r="M36" s="32"/>
      <c r="N36" s="11" t="s">
        <v>34</v>
      </c>
      <c r="O36" s="11" t="s">
        <v>34</v>
      </c>
      <c r="P36" s="11" t="s">
        <v>34</v>
      </c>
      <c r="Q36" s="11" t="s">
        <v>34</v>
      </c>
      <c r="R36" s="11" t="s">
        <v>34</v>
      </c>
      <c r="S36" s="11" t="s">
        <v>34</v>
      </c>
      <c r="T36" s="32"/>
      <c r="U36" s="11" t="s">
        <v>34</v>
      </c>
      <c r="V36" s="35"/>
      <c r="W36" s="11" t="s">
        <v>34</v>
      </c>
      <c r="X36" s="11" t="s">
        <v>34</v>
      </c>
      <c r="Y36" s="11" t="s">
        <v>34</v>
      </c>
      <c r="Z36" s="11" t="s">
        <v>34</v>
      </c>
      <c r="AA36" s="32"/>
      <c r="AB36" s="11" t="s">
        <v>34</v>
      </c>
      <c r="AC36" s="11" t="s">
        <v>34</v>
      </c>
      <c r="AD36" s="11" t="s">
        <v>34</v>
      </c>
      <c r="AE36" s="11" t="s">
        <v>34</v>
      </c>
      <c r="AF36" s="11" t="s">
        <v>34</v>
      </c>
      <c r="AG36" s="11" t="s">
        <v>34</v>
      </c>
      <c r="AH36" s="32"/>
      <c r="AI36" s="11" t="s">
        <v>34</v>
      </c>
      <c r="AJ36" s="5">
        <f t="shared" si="1"/>
        <v>24</v>
      </c>
      <c r="AK36" s="5">
        <f t="shared" si="2"/>
        <v>0</v>
      </c>
    </row>
    <row r="37" spans="1:37" x14ac:dyDescent="0.25">
      <c r="A37" s="6">
        <v>7</v>
      </c>
      <c r="B37" s="14">
        <v>585</v>
      </c>
      <c r="C37" s="15" t="s">
        <v>62</v>
      </c>
      <c r="D37" s="16" t="s">
        <v>25</v>
      </c>
      <c r="E37" s="10" t="s">
        <v>20</v>
      </c>
      <c r="F37" s="32"/>
      <c r="G37" s="11" t="s">
        <v>34</v>
      </c>
      <c r="H37" s="11" t="s">
        <v>34</v>
      </c>
      <c r="I37" s="11" t="s">
        <v>33</v>
      </c>
      <c r="J37" s="11" t="s">
        <v>34</v>
      </c>
      <c r="K37" s="11" t="s">
        <v>34</v>
      </c>
      <c r="L37" s="11" t="s">
        <v>34</v>
      </c>
      <c r="M37" s="32"/>
      <c r="N37" s="11" t="s">
        <v>34</v>
      </c>
      <c r="O37" s="11" t="s">
        <v>34</v>
      </c>
      <c r="P37" s="11" t="s">
        <v>34</v>
      </c>
      <c r="Q37" s="11" t="s">
        <v>34</v>
      </c>
      <c r="R37" s="11" t="s">
        <v>34</v>
      </c>
      <c r="S37" s="11" t="s">
        <v>34</v>
      </c>
      <c r="T37" s="32"/>
      <c r="U37" s="11" t="s">
        <v>34</v>
      </c>
      <c r="V37" s="35"/>
      <c r="W37" s="11" t="s">
        <v>33</v>
      </c>
      <c r="X37" s="11" t="s">
        <v>34</v>
      </c>
      <c r="Y37" s="11" t="s">
        <v>34</v>
      </c>
      <c r="Z37" s="11" t="s">
        <v>34</v>
      </c>
      <c r="AA37" s="32"/>
      <c r="AB37" s="11" t="s">
        <v>34</v>
      </c>
      <c r="AC37" s="11" t="s">
        <v>34</v>
      </c>
      <c r="AD37" s="11" t="s">
        <v>34</v>
      </c>
      <c r="AE37" s="11" t="s">
        <v>34</v>
      </c>
      <c r="AF37" s="11" t="s">
        <v>34</v>
      </c>
      <c r="AG37" s="11" t="s">
        <v>34</v>
      </c>
      <c r="AH37" s="32"/>
      <c r="AI37" s="11" t="s">
        <v>34</v>
      </c>
      <c r="AJ37" s="5">
        <f t="shared" si="1"/>
        <v>22</v>
      </c>
      <c r="AK37" s="5">
        <f t="shared" si="2"/>
        <v>2</v>
      </c>
    </row>
    <row r="38" spans="1:37" x14ac:dyDescent="0.25">
      <c r="A38" s="12">
        <v>8</v>
      </c>
      <c r="B38" s="14">
        <v>579</v>
      </c>
      <c r="C38" s="15" t="s">
        <v>45</v>
      </c>
      <c r="D38" s="16" t="s">
        <v>63</v>
      </c>
      <c r="E38" s="10" t="s">
        <v>20</v>
      </c>
      <c r="F38" s="32"/>
      <c r="G38" s="11" t="s">
        <v>33</v>
      </c>
      <c r="H38" s="11" t="s">
        <v>33</v>
      </c>
      <c r="I38" s="11" t="s">
        <v>33</v>
      </c>
      <c r="J38" s="11" t="s">
        <v>33</v>
      </c>
      <c r="K38" s="11"/>
      <c r="L38" s="11" t="s">
        <v>33</v>
      </c>
      <c r="M38" s="32"/>
      <c r="N38" s="11" t="s">
        <v>33</v>
      </c>
      <c r="O38" s="11" t="s">
        <v>33</v>
      </c>
      <c r="P38" s="11" t="s">
        <v>33</v>
      </c>
      <c r="Q38" s="11" t="s">
        <v>33</v>
      </c>
      <c r="R38" s="11" t="s">
        <v>33</v>
      </c>
      <c r="S38" s="11" t="s">
        <v>33</v>
      </c>
      <c r="T38" s="32"/>
      <c r="U38" s="11" t="s">
        <v>33</v>
      </c>
      <c r="V38" s="35"/>
      <c r="W38" s="11" t="s">
        <v>33</v>
      </c>
      <c r="X38" s="11" t="s">
        <v>33</v>
      </c>
      <c r="Y38" s="11" t="s">
        <v>33</v>
      </c>
      <c r="Z38" s="11" t="s">
        <v>33</v>
      </c>
      <c r="AA38" s="32"/>
      <c r="AB38" s="11" t="s">
        <v>33</v>
      </c>
      <c r="AC38" s="11" t="s">
        <v>33</v>
      </c>
      <c r="AD38" s="11" t="s">
        <v>33</v>
      </c>
      <c r="AE38" s="11" t="s">
        <v>33</v>
      </c>
      <c r="AF38" s="11" t="s">
        <v>33</v>
      </c>
      <c r="AG38" s="11" t="s">
        <v>33</v>
      </c>
      <c r="AH38" s="32"/>
      <c r="AI38" s="11" t="s">
        <v>33</v>
      </c>
      <c r="AJ38" s="5">
        <f t="shared" si="1"/>
        <v>0</v>
      </c>
      <c r="AK38" s="5">
        <f t="shared" si="2"/>
        <v>23</v>
      </c>
    </row>
    <row r="39" spans="1:37" x14ac:dyDescent="0.25">
      <c r="A39" s="6">
        <v>9</v>
      </c>
      <c r="B39" s="14">
        <v>555</v>
      </c>
      <c r="C39" s="15" t="s">
        <v>26</v>
      </c>
      <c r="D39" s="16" t="s">
        <v>44</v>
      </c>
      <c r="E39" s="10" t="s">
        <v>20</v>
      </c>
      <c r="F39" s="32"/>
      <c r="G39" s="11" t="s">
        <v>34</v>
      </c>
      <c r="H39" s="11" t="s">
        <v>34</v>
      </c>
      <c r="I39" s="11" t="s">
        <v>33</v>
      </c>
      <c r="J39" s="11" t="s">
        <v>34</v>
      </c>
      <c r="K39" s="11" t="s">
        <v>34</v>
      </c>
      <c r="L39" s="11" t="s">
        <v>33</v>
      </c>
      <c r="M39" s="32"/>
      <c r="N39" s="11" t="s">
        <v>34</v>
      </c>
      <c r="O39" s="11" t="s">
        <v>34</v>
      </c>
      <c r="P39" s="11" t="s">
        <v>34</v>
      </c>
      <c r="Q39" s="11" t="s">
        <v>34</v>
      </c>
      <c r="R39" s="11" t="s">
        <v>34</v>
      </c>
      <c r="S39" s="11" t="s">
        <v>34</v>
      </c>
      <c r="T39" s="32"/>
      <c r="U39" s="11" t="s">
        <v>34</v>
      </c>
      <c r="V39" s="35"/>
      <c r="W39" s="11" t="s">
        <v>34</v>
      </c>
      <c r="X39" s="11" t="s">
        <v>34</v>
      </c>
      <c r="Y39" s="11" t="s">
        <v>33</v>
      </c>
      <c r="Z39" s="11" t="s">
        <v>33</v>
      </c>
      <c r="AA39" s="32"/>
      <c r="AB39" s="11" t="s">
        <v>34</v>
      </c>
      <c r="AC39" s="11" t="s">
        <v>34</v>
      </c>
      <c r="AD39" s="11" t="s">
        <v>33</v>
      </c>
      <c r="AE39" s="11" t="s">
        <v>33</v>
      </c>
      <c r="AF39" s="11" t="s">
        <v>34</v>
      </c>
      <c r="AG39" s="11" t="s">
        <v>33</v>
      </c>
      <c r="AH39" s="32"/>
      <c r="AI39" s="11" t="s">
        <v>34</v>
      </c>
      <c r="AJ39" s="5">
        <f t="shared" si="1"/>
        <v>17</v>
      </c>
      <c r="AK39" s="5">
        <f t="shared" si="2"/>
        <v>7</v>
      </c>
    </row>
    <row r="40" spans="1:37" x14ac:dyDescent="0.25">
      <c r="A40" s="12">
        <v>10</v>
      </c>
      <c r="B40" s="18">
        <v>691</v>
      </c>
      <c r="C40" s="15" t="s">
        <v>64</v>
      </c>
      <c r="D40" s="16" t="s">
        <v>65</v>
      </c>
      <c r="E40" s="10" t="s">
        <v>20</v>
      </c>
      <c r="F40" s="32"/>
      <c r="G40" s="11" t="s">
        <v>34</v>
      </c>
      <c r="H40" s="11" t="s">
        <v>34</v>
      </c>
      <c r="I40" s="11" t="s">
        <v>34</v>
      </c>
      <c r="J40" s="11" t="s">
        <v>34</v>
      </c>
      <c r="K40" s="11" t="s">
        <v>34</v>
      </c>
      <c r="L40" s="11" t="s">
        <v>34</v>
      </c>
      <c r="M40" s="32"/>
      <c r="N40" s="11" t="s">
        <v>34</v>
      </c>
      <c r="O40" s="11" t="s">
        <v>34</v>
      </c>
      <c r="P40" s="11" t="s">
        <v>33</v>
      </c>
      <c r="Q40" s="11" t="s">
        <v>34</v>
      </c>
      <c r="R40" s="11" t="s">
        <v>34</v>
      </c>
      <c r="S40" s="11" t="s">
        <v>34</v>
      </c>
      <c r="T40" s="32"/>
      <c r="U40" s="11" t="s">
        <v>33</v>
      </c>
      <c r="V40" s="35"/>
      <c r="W40" s="11" t="s">
        <v>34</v>
      </c>
      <c r="X40" s="11" t="s">
        <v>34</v>
      </c>
      <c r="Y40" s="11" t="s">
        <v>34</v>
      </c>
      <c r="Z40" s="11" t="s">
        <v>33</v>
      </c>
      <c r="AA40" s="32"/>
      <c r="AB40" s="11" t="s">
        <v>34</v>
      </c>
      <c r="AC40" s="11" t="s">
        <v>34</v>
      </c>
      <c r="AD40" s="11" t="s">
        <v>34</v>
      </c>
      <c r="AE40" s="11" t="s">
        <v>34</v>
      </c>
      <c r="AF40" s="11" t="s">
        <v>33</v>
      </c>
      <c r="AG40" s="11" t="s">
        <v>33</v>
      </c>
      <c r="AH40" s="32"/>
      <c r="AI40" s="11" t="s">
        <v>34</v>
      </c>
      <c r="AJ40" s="5">
        <f t="shared" si="1"/>
        <v>19</v>
      </c>
      <c r="AK40" s="5">
        <f t="shared" si="2"/>
        <v>5</v>
      </c>
    </row>
    <row r="41" spans="1:37" x14ac:dyDescent="0.25">
      <c r="A41" s="6">
        <v>11</v>
      </c>
      <c r="B41" s="14">
        <v>528</v>
      </c>
      <c r="C41" s="15" t="s">
        <v>66</v>
      </c>
      <c r="D41" s="16" t="s">
        <v>67</v>
      </c>
      <c r="E41" s="10" t="s">
        <v>20</v>
      </c>
      <c r="F41" s="32"/>
      <c r="G41" s="11" t="s">
        <v>34</v>
      </c>
      <c r="H41" s="11" t="s">
        <v>34</v>
      </c>
      <c r="I41" s="11" t="s">
        <v>34</v>
      </c>
      <c r="J41" s="11" t="s">
        <v>33</v>
      </c>
      <c r="K41" s="11" t="s">
        <v>34</v>
      </c>
      <c r="L41" s="11" t="s">
        <v>33</v>
      </c>
      <c r="M41" s="32"/>
      <c r="N41" s="11" t="s">
        <v>34</v>
      </c>
      <c r="O41" s="11" t="s">
        <v>33</v>
      </c>
      <c r="P41" s="11" t="s">
        <v>33</v>
      </c>
      <c r="Q41" s="11" t="s">
        <v>33</v>
      </c>
      <c r="R41" s="11" t="s">
        <v>33</v>
      </c>
      <c r="S41" s="11" t="s">
        <v>33</v>
      </c>
      <c r="T41" s="32"/>
      <c r="U41" s="11" t="s">
        <v>33</v>
      </c>
      <c r="V41" s="35"/>
      <c r="W41" s="11" t="s">
        <v>34</v>
      </c>
      <c r="X41" s="11" t="s">
        <v>33</v>
      </c>
      <c r="Y41" s="11" t="s">
        <v>34</v>
      </c>
      <c r="Z41" s="11" t="s">
        <v>33</v>
      </c>
      <c r="AA41" s="32"/>
      <c r="AB41" s="11" t="s">
        <v>34</v>
      </c>
      <c r="AC41" s="11" t="s">
        <v>34</v>
      </c>
      <c r="AD41" s="11" t="s">
        <v>34</v>
      </c>
      <c r="AE41" s="11" t="s">
        <v>34</v>
      </c>
      <c r="AF41" s="11" t="s">
        <v>33</v>
      </c>
      <c r="AG41" s="11" t="s">
        <v>33</v>
      </c>
      <c r="AH41" s="32"/>
      <c r="AI41" s="11" t="s">
        <v>34</v>
      </c>
      <c r="AJ41" s="5">
        <f t="shared" si="1"/>
        <v>12</v>
      </c>
      <c r="AK41" s="5">
        <f t="shared" si="2"/>
        <v>12</v>
      </c>
    </row>
    <row r="42" spans="1:37" x14ac:dyDescent="0.25">
      <c r="A42" s="12">
        <v>12</v>
      </c>
      <c r="B42" s="14">
        <v>689</v>
      </c>
      <c r="C42" s="15" t="s">
        <v>68</v>
      </c>
      <c r="D42" s="16" t="s">
        <v>30</v>
      </c>
      <c r="E42" s="10" t="s">
        <v>20</v>
      </c>
      <c r="F42" s="32"/>
      <c r="G42" s="11" t="s">
        <v>34</v>
      </c>
      <c r="H42" s="11" t="s">
        <v>34</v>
      </c>
      <c r="I42" s="11" t="s">
        <v>34</v>
      </c>
      <c r="J42" s="11" t="s">
        <v>34</v>
      </c>
      <c r="K42" s="11" t="s">
        <v>34</v>
      </c>
      <c r="L42" s="11" t="s">
        <v>34</v>
      </c>
      <c r="M42" s="32"/>
      <c r="N42" s="11" t="s">
        <v>34</v>
      </c>
      <c r="O42" s="11" t="s">
        <v>34</v>
      </c>
      <c r="P42" s="11" t="s">
        <v>34</v>
      </c>
      <c r="Q42" s="11" t="s">
        <v>34</v>
      </c>
      <c r="R42" s="11" t="s">
        <v>33</v>
      </c>
      <c r="S42" s="11" t="s">
        <v>33</v>
      </c>
      <c r="T42" s="32"/>
      <c r="U42" s="11" t="s">
        <v>33</v>
      </c>
      <c r="V42" s="35"/>
      <c r="W42" s="11" t="s">
        <v>34</v>
      </c>
      <c r="X42" s="11" t="s">
        <v>34</v>
      </c>
      <c r="Y42" s="11" t="s">
        <v>34</v>
      </c>
      <c r="Z42" s="11" t="s">
        <v>33</v>
      </c>
      <c r="AA42" s="32"/>
      <c r="AB42" s="11" t="s">
        <v>34</v>
      </c>
      <c r="AC42" s="11" t="s">
        <v>34</v>
      </c>
      <c r="AD42" s="11" t="s">
        <v>34</v>
      </c>
      <c r="AE42" s="11" t="s">
        <v>34</v>
      </c>
      <c r="AF42" s="11" t="s">
        <v>34</v>
      </c>
      <c r="AG42" s="11" t="s">
        <v>34</v>
      </c>
      <c r="AH42" s="32"/>
      <c r="AI42" s="11" t="s">
        <v>34</v>
      </c>
      <c r="AJ42" s="5">
        <f t="shared" si="1"/>
        <v>20</v>
      </c>
      <c r="AK42" s="5">
        <f t="shared" si="2"/>
        <v>4</v>
      </c>
    </row>
    <row r="43" spans="1:37" x14ac:dyDescent="0.25">
      <c r="A43" s="6">
        <v>13</v>
      </c>
      <c r="B43" s="14">
        <v>479</v>
      </c>
      <c r="C43" s="15" t="s">
        <v>69</v>
      </c>
      <c r="D43" s="16" t="s">
        <v>70</v>
      </c>
      <c r="E43" s="10" t="s">
        <v>20</v>
      </c>
      <c r="F43" s="32"/>
      <c r="G43" s="11" t="s">
        <v>34</v>
      </c>
      <c r="H43" s="11" t="s">
        <v>34</v>
      </c>
      <c r="I43" s="11" t="s">
        <v>34</v>
      </c>
      <c r="J43" s="11" t="s">
        <v>33</v>
      </c>
      <c r="K43" s="11" t="s">
        <v>34</v>
      </c>
      <c r="L43" s="11" t="s">
        <v>34</v>
      </c>
      <c r="M43" s="32"/>
      <c r="N43" s="11" t="s">
        <v>34</v>
      </c>
      <c r="O43" s="11" t="s">
        <v>33</v>
      </c>
      <c r="P43" s="11" t="s">
        <v>34</v>
      </c>
      <c r="Q43" s="11" t="s">
        <v>34</v>
      </c>
      <c r="R43" s="11" t="s">
        <v>34</v>
      </c>
      <c r="S43" s="11" t="s">
        <v>34</v>
      </c>
      <c r="T43" s="32"/>
      <c r="U43" s="11" t="s">
        <v>34</v>
      </c>
      <c r="V43" s="35"/>
      <c r="W43" s="11" t="s">
        <v>34</v>
      </c>
      <c r="X43" s="11" t="s">
        <v>34</v>
      </c>
      <c r="Y43" s="11" t="s">
        <v>34</v>
      </c>
      <c r="Z43" s="11" t="s">
        <v>33</v>
      </c>
      <c r="AA43" s="32"/>
      <c r="AB43" s="11" t="s">
        <v>34</v>
      </c>
      <c r="AC43" s="11" t="s">
        <v>34</v>
      </c>
      <c r="AD43" s="11" t="s">
        <v>34</v>
      </c>
      <c r="AE43" s="11" t="s">
        <v>34</v>
      </c>
      <c r="AF43" s="11" t="s">
        <v>34</v>
      </c>
      <c r="AG43" s="11" t="s">
        <v>33</v>
      </c>
      <c r="AH43" s="32"/>
      <c r="AI43" s="11" t="s">
        <v>34</v>
      </c>
      <c r="AJ43" s="5">
        <f t="shared" si="1"/>
        <v>20</v>
      </c>
      <c r="AK43" s="5">
        <f t="shared" si="2"/>
        <v>4</v>
      </c>
    </row>
    <row r="44" spans="1:37" x14ac:dyDescent="0.25">
      <c r="A44" s="12">
        <v>14</v>
      </c>
      <c r="B44" s="14">
        <v>648</v>
      </c>
      <c r="C44" s="15" t="s">
        <v>71</v>
      </c>
      <c r="D44" s="16" t="s">
        <v>28</v>
      </c>
      <c r="E44" s="10" t="s">
        <v>20</v>
      </c>
      <c r="F44" s="32"/>
      <c r="G44" s="11" t="s">
        <v>34</v>
      </c>
      <c r="H44" s="11" t="s">
        <v>34</v>
      </c>
      <c r="I44" s="11" t="s">
        <v>34</v>
      </c>
      <c r="J44" s="11" t="s">
        <v>34</v>
      </c>
      <c r="K44" s="11" t="s">
        <v>34</v>
      </c>
      <c r="L44" s="11" t="s">
        <v>33</v>
      </c>
      <c r="M44" s="32"/>
      <c r="N44" s="11" t="s">
        <v>34</v>
      </c>
      <c r="O44" s="11" t="s">
        <v>34</v>
      </c>
      <c r="P44" s="11" t="s">
        <v>34</v>
      </c>
      <c r="Q44" s="11" t="s">
        <v>34</v>
      </c>
      <c r="R44" s="11" t="s">
        <v>34</v>
      </c>
      <c r="S44" s="11" t="s">
        <v>34</v>
      </c>
      <c r="T44" s="32"/>
      <c r="U44" s="11" t="s">
        <v>34</v>
      </c>
      <c r="V44" s="35"/>
      <c r="W44" s="11" t="s">
        <v>34</v>
      </c>
      <c r="X44" s="11" t="s">
        <v>34</v>
      </c>
      <c r="Y44" s="11" t="s">
        <v>34</v>
      </c>
      <c r="Z44" s="11" t="s">
        <v>34</v>
      </c>
      <c r="AA44" s="32"/>
      <c r="AB44" s="11" t="s">
        <v>34</v>
      </c>
      <c r="AC44" s="11" t="s">
        <v>34</v>
      </c>
      <c r="AD44" s="11" t="s">
        <v>34</v>
      </c>
      <c r="AE44" s="11" t="s">
        <v>34</v>
      </c>
      <c r="AF44" s="11" t="s">
        <v>34</v>
      </c>
      <c r="AG44" s="11" t="s">
        <v>34</v>
      </c>
      <c r="AH44" s="32"/>
      <c r="AI44" s="11" t="s">
        <v>34</v>
      </c>
      <c r="AJ44" s="5">
        <f t="shared" si="1"/>
        <v>23</v>
      </c>
      <c r="AK44" s="5">
        <f t="shared" si="2"/>
        <v>1</v>
      </c>
    </row>
    <row r="45" spans="1:37" x14ac:dyDescent="0.25">
      <c r="A45" s="6">
        <v>15</v>
      </c>
      <c r="B45" s="14">
        <v>578</v>
      </c>
      <c r="C45" s="15" t="s">
        <v>72</v>
      </c>
      <c r="D45" s="16" t="s">
        <v>41</v>
      </c>
      <c r="E45" s="10" t="s">
        <v>20</v>
      </c>
      <c r="F45" s="32"/>
      <c r="G45" s="11" t="s">
        <v>34</v>
      </c>
      <c r="H45" s="11" t="s">
        <v>34</v>
      </c>
      <c r="I45" s="11" t="s">
        <v>34</v>
      </c>
      <c r="J45" s="11" t="s">
        <v>34</v>
      </c>
      <c r="K45" s="11" t="s">
        <v>34</v>
      </c>
      <c r="L45" s="11" t="s">
        <v>34</v>
      </c>
      <c r="M45" s="32"/>
      <c r="N45" s="11" t="s">
        <v>34</v>
      </c>
      <c r="O45" s="11" t="s">
        <v>34</v>
      </c>
      <c r="P45" s="11" t="s">
        <v>34</v>
      </c>
      <c r="Q45" s="11" t="s">
        <v>34</v>
      </c>
      <c r="R45" s="11" t="s">
        <v>34</v>
      </c>
      <c r="S45" s="11" t="s">
        <v>34</v>
      </c>
      <c r="T45" s="32"/>
      <c r="U45" s="11" t="s">
        <v>34</v>
      </c>
      <c r="V45" s="35"/>
      <c r="W45" s="11" t="s">
        <v>34</v>
      </c>
      <c r="X45" s="11" t="s">
        <v>34</v>
      </c>
      <c r="Y45" s="11" t="s">
        <v>34</v>
      </c>
      <c r="Z45" s="11" t="s">
        <v>33</v>
      </c>
      <c r="AA45" s="32"/>
      <c r="AB45" s="11" t="s">
        <v>34</v>
      </c>
      <c r="AC45" s="11" t="s">
        <v>34</v>
      </c>
      <c r="AD45" s="11" t="s">
        <v>34</v>
      </c>
      <c r="AE45" s="11" t="s">
        <v>34</v>
      </c>
      <c r="AF45" s="11" t="s">
        <v>34</v>
      </c>
      <c r="AG45" s="11" t="s">
        <v>34</v>
      </c>
      <c r="AH45" s="32"/>
      <c r="AI45" s="11" t="s">
        <v>34</v>
      </c>
      <c r="AJ45" s="5">
        <f t="shared" si="1"/>
        <v>23</v>
      </c>
      <c r="AK45" s="5">
        <f t="shared" si="2"/>
        <v>1</v>
      </c>
    </row>
    <row r="46" spans="1:37" x14ac:dyDescent="0.25">
      <c r="A46" s="12">
        <v>16</v>
      </c>
      <c r="B46" s="14">
        <v>573</v>
      </c>
      <c r="C46" s="15" t="s">
        <v>32</v>
      </c>
      <c r="D46" s="16" t="s">
        <v>29</v>
      </c>
      <c r="E46" s="10" t="s">
        <v>20</v>
      </c>
      <c r="F46" s="32"/>
      <c r="G46" s="11" t="s">
        <v>34</v>
      </c>
      <c r="H46" s="11" t="s">
        <v>34</v>
      </c>
      <c r="I46" s="11" t="s">
        <v>34</v>
      </c>
      <c r="J46" s="11" t="s">
        <v>34</v>
      </c>
      <c r="K46" s="11" t="s">
        <v>34</v>
      </c>
      <c r="L46" s="11" t="s">
        <v>34</v>
      </c>
      <c r="M46" s="32"/>
      <c r="N46" s="11" t="s">
        <v>34</v>
      </c>
      <c r="O46" s="11" t="s">
        <v>34</v>
      </c>
      <c r="P46" s="11" t="s">
        <v>34</v>
      </c>
      <c r="Q46" s="11" t="s">
        <v>34</v>
      </c>
      <c r="R46" s="11" t="s">
        <v>34</v>
      </c>
      <c r="S46" s="11" t="s">
        <v>34</v>
      </c>
      <c r="T46" s="32"/>
      <c r="U46" s="11" t="s">
        <v>33</v>
      </c>
      <c r="V46" s="35"/>
      <c r="W46" s="11" t="s">
        <v>34</v>
      </c>
      <c r="X46" s="11" t="s">
        <v>34</v>
      </c>
      <c r="Y46" s="11" t="s">
        <v>34</v>
      </c>
      <c r="Z46" s="11" t="s">
        <v>34</v>
      </c>
      <c r="AA46" s="32"/>
      <c r="AB46" s="11" t="s">
        <v>34</v>
      </c>
      <c r="AC46" s="11" t="s">
        <v>34</v>
      </c>
      <c r="AD46" s="11" t="s">
        <v>34</v>
      </c>
      <c r="AE46" s="11" t="s">
        <v>33</v>
      </c>
      <c r="AF46" s="11" t="s">
        <v>33</v>
      </c>
      <c r="AG46" s="11" t="s">
        <v>34</v>
      </c>
      <c r="AH46" s="32"/>
      <c r="AI46" s="11" t="s">
        <v>34</v>
      </c>
      <c r="AJ46" s="5">
        <f t="shared" si="1"/>
        <v>21</v>
      </c>
      <c r="AK46" s="5">
        <f t="shared" si="2"/>
        <v>3</v>
      </c>
    </row>
    <row r="47" spans="1:37" x14ac:dyDescent="0.25">
      <c r="A47" s="6">
        <v>17</v>
      </c>
      <c r="B47" s="14">
        <v>587</v>
      </c>
      <c r="C47" s="15" t="s">
        <v>73</v>
      </c>
      <c r="D47" s="16" t="s">
        <v>74</v>
      </c>
      <c r="E47" s="10" t="s">
        <v>20</v>
      </c>
      <c r="F47" s="32"/>
      <c r="G47" s="11" t="s">
        <v>33</v>
      </c>
      <c r="H47" s="11" t="s">
        <v>33</v>
      </c>
      <c r="I47" s="11" t="s">
        <v>33</v>
      </c>
      <c r="J47" s="11" t="s">
        <v>33</v>
      </c>
      <c r="K47" s="11" t="s">
        <v>34</v>
      </c>
      <c r="L47" s="11" t="s">
        <v>33</v>
      </c>
      <c r="M47" s="32"/>
      <c r="N47" s="11" t="s">
        <v>33</v>
      </c>
      <c r="O47" s="11" t="s">
        <v>33</v>
      </c>
      <c r="P47" s="11" t="s">
        <v>33</v>
      </c>
      <c r="Q47" s="11" t="s">
        <v>33</v>
      </c>
      <c r="R47" s="11" t="s">
        <v>33</v>
      </c>
      <c r="S47" s="11" t="s">
        <v>33</v>
      </c>
      <c r="T47" s="32"/>
      <c r="U47" s="11" t="s">
        <v>33</v>
      </c>
      <c r="V47" s="35"/>
      <c r="W47" s="11" t="s">
        <v>33</v>
      </c>
      <c r="X47" s="11" t="s">
        <v>33</v>
      </c>
      <c r="Y47" s="11" t="s">
        <v>33</v>
      </c>
      <c r="Z47" s="11" t="s">
        <v>33</v>
      </c>
      <c r="AA47" s="32"/>
      <c r="AB47" s="11" t="s">
        <v>33</v>
      </c>
      <c r="AC47" s="11" t="s">
        <v>33</v>
      </c>
      <c r="AD47" s="11" t="s">
        <v>33</v>
      </c>
      <c r="AE47" s="11" t="s">
        <v>33</v>
      </c>
      <c r="AF47" s="11" t="s">
        <v>33</v>
      </c>
      <c r="AG47" s="11" t="s">
        <v>33</v>
      </c>
      <c r="AH47" s="32"/>
      <c r="AI47" s="11" t="s">
        <v>33</v>
      </c>
      <c r="AJ47" s="5">
        <f t="shared" si="1"/>
        <v>1</v>
      </c>
      <c r="AK47" s="5">
        <f t="shared" si="2"/>
        <v>23</v>
      </c>
    </row>
    <row r="48" spans="1:37" x14ac:dyDescent="0.25">
      <c r="A48" s="12">
        <v>18</v>
      </c>
      <c r="B48" s="14">
        <v>575</v>
      </c>
      <c r="C48" s="15" t="s">
        <v>75</v>
      </c>
      <c r="D48" s="16" t="s">
        <v>76</v>
      </c>
      <c r="E48" s="10" t="s">
        <v>20</v>
      </c>
      <c r="F48" s="32"/>
      <c r="G48" s="11" t="s">
        <v>34</v>
      </c>
      <c r="H48" s="11" t="s">
        <v>34</v>
      </c>
      <c r="I48" s="11" t="s">
        <v>34</v>
      </c>
      <c r="J48" s="11" t="s">
        <v>34</v>
      </c>
      <c r="K48" s="11" t="s">
        <v>34</v>
      </c>
      <c r="L48" s="11" t="s">
        <v>34</v>
      </c>
      <c r="M48" s="32"/>
      <c r="N48" s="11" t="s">
        <v>34</v>
      </c>
      <c r="O48" s="11" t="s">
        <v>34</v>
      </c>
      <c r="P48" s="11" t="s">
        <v>33</v>
      </c>
      <c r="Q48" s="11" t="s">
        <v>34</v>
      </c>
      <c r="R48" s="11" t="s">
        <v>34</v>
      </c>
      <c r="S48" s="11" t="s">
        <v>34</v>
      </c>
      <c r="T48" s="32"/>
      <c r="U48" s="11" t="s">
        <v>34</v>
      </c>
      <c r="V48" s="35"/>
      <c r="W48" s="11" t="s">
        <v>34</v>
      </c>
      <c r="X48" s="11" t="s">
        <v>34</v>
      </c>
      <c r="Y48" s="11" t="s">
        <v>34</v>
      </c>
      <c r="Z48" s="11" t="s">
        <v>34</v>
      </c>
      <c r="AA48" s="32"/>
      <c r="AB48" s="11" t="s">
        <v>34</v>
      </c>
      <c r="AC48" s="11" t="s">
        <v>34</v>
      </c>
      <c r="AD48" s="11" t="s">
        <v>34</v>
      </c>
      <c r="AE48" s="11" t="s">
        <v>33</v>
      </c>
      <c r="AF48" s="11" t="s">
        <v>34</v>
      </c>
      <c r="AG48" s="11" t="s">
        <v>34</v>
      </c>
      <c r="AH48" s="32"/>
      <c r="AI48" s="11" t="s">
        <v>34</v>
      </c>
      <c r="AJ48" s="5">
        <f t="shared" si="1"/>
        <v>22</v>
      </c>
      <c r="AK48" s="5">
        <f t="shared" si="2"/>
        <v>2</v>
      </c>
    </row>
    <row r="49" spans="1:37" x14ac:dyDescent="0.25">
      <c r="A49" s="6">
        <v>19</v>
      </c>
      <c r="B49" s="14">
        <v>586</v>
      </c>
      <c r="C49" s="15" t="s">
        <v>27</v>
      </c>
      <c r="D49" s="16" t="s">
        <v>77</v>
      </c>
      <c r="E49" s="10" t="s">
        <v>20</v>
      </c>
      <c r="F49" s="32"/>
      <c r="G49" s="11" t="s">
        <v>34</v>
      </c>
      <c r="H49" s="11" t="s">
        <v>34</v>
      </c>
      <c r="I49" s="11" t="s">
        <v>34</v>
      </c>
      <c r="J49" s="11" t="s">
        <v>34</v>
      </c>
      <c r="K49" s="11" t="s">
        <v>34</v>
      </c>
      <c r="L49" s="11" t="s">
        <v>33</v>
      </c>
      <c r="M49" s="32"/>
      <c r="N49" s="11" t="s">
        <v>34</v>
      </c>
      <c r="O49" s="11" t="s">
        <v>34</v>
      </c>
      <c r="P49" s="11" t="s">
        <v>34</v>
      </c>
      <c r="Q49" s="11" t="s">
        <v>34</v>
      </c>
      <c r="R49" s="11" t="s">
        <v>34</v>
      </c>
      <c r="S49" s="11" t="s">
        <v>34</v>
      </c>
      <c r="T49" s="32"/>
      <c r="U49" s="11" t="s">
        <v>34</v>
      </c>
      <c r="V49" s="35"/>
      <c r="W49" s="11" t="s">
        <v>34</v>
      </c>
      <c r="X49" s="11" t="s">
        <v>34</v>
      </c>
      <c r="Y49" s="11" t="s">
        <v>34</v>
      </c>
      <c r="Z49" s="11" t="s">
        <v>34</v>
      </c>
      <c r="AA49" s="32"/>
      <c r="AB49" s="11" t="s">
        <v>34</v>
      </c>
      <c r="AC49" s="11" t="s">
        <v>34</v>
      </c>
      <c r="AD49" s="11" t="s">
        <v>34</v>
      </c>
      <c r="AE49" s="11" t="s">
        <v>34</v>
      </c>
      <c r="AF49" s="11" t="s">
        <v>34</v>
      </c>
      <c r="AG49" s="11" t="s">
        <v>34</v>
      </c>
      <c r="AH49" s="32"/>
      <c r="AI49" s="11" t="s">
        <v>34</v>
      </c>
      <c r="AJ49" s="5">
        <f t="shared" si="1"/>
        <v>23</v>
      </c>
      <c r="AK49" s="5">
        <f t="shared" si="2"/>
        <v>1</v>
      </c>
    </row>
    <row r="50" spans="1:37" x14ac:dyDescent="0.25">
      <c r="A50" s="12">
        <v>20</v>
      </c>
      <c r="B50" s="14">
        <v>583</v>
      </c>
      <c r="C50" s="15" t="s">
        <v>78</v>
      </c>
      <c r="D50" s="16" t="s">
        <v>24</v>
      </c>
      <c r="E50" s="10" t="s">
        <v>20</v>
      </c>
      <c r="F50" s="32"/>
      <c r="G50" s="11" t="s">
        <v>34</v>
      </c>
      <c r="H50" s="11" t="s">
        <v>34</v>
      </c>
      <c r="I50" s="11" t="s">
        <v>34</v>
      </c>
      <c r="J50" s="11" t="s">
        <v>34</v>
      </c>
      <c r="K50" s="11" t="s">
        <v>34</v>
      </c>
      <c r="L50" s="11" t="s">
        <v>33</v>
      </c>
      <c r="M50" s="32"/>
      <c r="N50" s="11" t="s">
        <v>34</v>
      </c>
      <c r="O50" s="11" t="s">
        <v>34</v>
      </c>
      <c r="P50" s="11" t="s">
        <v>34</v>
      </c>
      <c r="Q50" s="11" t="s">
        <v>34</v>
      </c>
      <c r="R50" s="11" t="s">
        <v>34</v>
      </c>
      <c r="S50" s="11" t="s">
        <v>33</v>
      </c>
      <c r="T50" s="32"/>
      <c r="U50" s="11" t="s">
        <v>34</v>
      </c>
      <c r="V50" s="35"/>
      <c r="W50" s="11" t="s">
        <v>34</v>
      </c>
      <c r="X50" s="11" t="s">
        <v>34</v>
      </c>
      <c r="Y50" s="11" t="s">
        <v>34</v>
      </c>
      <c r="Z50" s="11" t="s">
        <v>34</v>
      </c>
      <c r="AA50" s="32"/>
      <c r="AB50" s="11" t="s">
        <v>34</v>
      </c>
      <c r="AC50" s="11" t="s">
        <v>34</v>
      </c>
      <c r="AD50" s="11" t="s">
        <v>34</v>
      </c>
      <c r="AE50" s="11" t="s">
        <v>34</v>
      </c>
      <c r="AF50" s="11" t="s">
        <v>34</v>
      </c>
      <c r="AG50" s="11" t="s">
        <v>34</v>
      </c>
      <c r="AH50" s="32"/>
      <c r="AI50" s="11" t="s">
        <v>34</v>
      </c>
      <c r="AJ50" s="5">
        <f t="shared" si="1"/>
        <v>22</v>
      </c>
      <c r="AK50" s="5">
        <f t="shared" si="2"/>
        <v>2</v>
      </c>
    </row>
    <row r="51" spans="1:37" x14ac:dyDescent="0.25">
      <c r="A51" s="6">
        <v>21</v>
      </c>
      <c r="B51" s="14">
        <v>580</v>
      </c>
      <c r="C51" s="15" t="s">
        <v>79</v>
      </c>
      <c r="D51" s="16" t="s">
        <v>80</v>
      </c>
      <c r="E51" s="10" t="s">
        <v>20</v>
      </c>
      <c r="F51" s="32"/>
      <c r="G51" s="11" t="s">
        <v>34</v>
      </c>
      <c r="H51" s="11" t="s">
        <v>34</v>
      </c>
      <c r="I51" s="11" t="s">
        <v>34</v>
      </c>
      <c r="J51" s="11" t="s">
        <v>34</v>
      </c>
      <c r="K51" s="11" t="s">
        <v>34</v>
      </c>
      <c r="L51" s="11" t="s">
        <v>34</v>
      </c>
      <c r="M51" s="32"/>
      <c r="N51" s="11" t="s">
        <v>34</v>
      </c>
      <c r="O51" s="11" t="s">
        <v>34</v>
      </c>
      <c r="P51" s="11" t="s">
        <v>34</v>
      </c>
      <c r="Q51" s="11" t="s">
        <v>34</v>
      </c>
      <c r="R51" s="11" t="s">
        <v>34</v>
      </c>
      <c r="S51" s="11" t="s">
        <v>34</v>
      </c>
      <c r="T51" s="32"/>
      <c r="U51" s="11" t="s">
        <v>34</v>
      </c>
      <c r="V51" s="35"/>
      <c r="W51" s="11" t="s">
        <v>34</v>
      </c>
      <c r="X51" s="11" t="s">
        <v>34</v>
      </c>
      <c r="Y51" s="11" t="s">
        <v>34</v>
      </c>
      <c r="Z51" s="11" t="s">
        <v>34</v>
      </c>
      <c r="AA51" s="32"/>
      <c r="AB51" s="11" t="s">
        <v>34</v>
      </c>
      <c r="AC51" s="11" t="s">
        <v>34</v>
      </c>
      <c r="AD51" s="11" t="s">
        <v>34</v>
      </c>
      <c r="AE51" s="11" t="s">
        <v>34</v>
      </c>
      <c r="AF51" s="11" t="s">
        <v>34</v>
      </c>
      <c r="AG51" s="11" t="s">
        <v>35</v>
      </c>
      <c r="AH51" s="32"/>
      <c r="AI51" s="11" t="s">
        <v>34</v>
      </c>
      <c r="AJ51" s="5">
        <f t="shared" si="1"/>
        <v>23</v>
      </c>
      <c r="AK51" s="5">
        <f t="shared" si="2"/>
        <v>0</v>
      </c>
    </row>
    <row r="52" spans="1:37" x14ac:dyDescent="0.25">
      <c r="A52" s="12">
        <v>22</v>
      </c>
      <c r="B52" s="14">
        <v>480</v>
      </c>
      <c r="C52" s="15" t="s">
        <v>81</v>
      </c>
      <c r="D52" s="16" t="s">
        <v>42</v>
      </c>
      <c r="E52" s="10" t="s">
        <v>20</v>
      </c>
      <c r="F52" s="32"/>
      <c r="G52" s="11" t="s">
        <v>34</v>
      </c>
      <c r="H52" s="11" t="s">
        <v>34</v>
      </c>
      <c r="I52" s="11" t="s">
        <v>34</v>
      </c>
      <c r="J52" s="11" t="s">
        <v>34</v>
      </c>
      <c r="K52" s="11" t="s">
        <v>34</v>
      </c>
      <c r="L52" s="11" t="s">
        <v>33</v>
      </c>
      <c r="M52" s="32"/>
      <c r="N52" s="11" t="s">
        <v>33</v>
      </c>
      <c r="O52" s="11" t="s">
        <v>33</v>
      </c>
      <c r="P52" s="11" t="s">
        <v>33</v>
      </c>
      <c r="Q52" s="11" t="s">
        <v>33</v>
      </c>
      <c r="R52" s="11" t="s">
        <v>34</v>
      </c>
      <c r="S52" s="11" t="s">
        <v>34</v>
      </c>
      <c r="T52" s="32"/>
      <c r="U52" s="11" t="s">
        <v>34</v>
      </c>
      <c r="V52" s="35"/>
      <c r="W52" s="11" t="s">
        <v>34</v>
      </c>
      <c r="X52" s="11" t="s">
        <v>34</v>
      </c>
      <c r="Y52" s="11" t="s">
        <v>34</v>
      </c>
      <c r="Z52" s="11" t="s">
        <v>34</v>
      </c>
      <c r="AA52" s="32"/>
      <c r="AB52" s="11" t="s">
        <v>34</v>
      </c>
      <c r="AC52" s="11" t="s">
        <v>34</v>
      </c>
      <c r="AD52" s="11" t="s">
        <v>34</v>
      </c>
      <c r="AE52" s="11" t="s">
        <v>34</v>
      </c>
      <c r="AF52" s="11" t="s">
        <v>34</v>
      </c>
      <c r="AG52" s="11" t="s">
        <v>34</v>
      </c>
      <c r="AH52" s="32"/>
      <c r="AI52" s="11" t="s">
        <v>34</v>
      </c>
      <c r="AJ52" s="5">
        <f t="shared" si="1"/>
        <v>19</v>
      </c>
      <c r="AK52" s="5">
        <f t="shared" si="2"/>
        <v>5</v>
      </c>
    </row>
    <row r="53" spans="1:37" x14ac:dyDescent="0.25">
      <c r="A53" s="6">
        <v>23</v>
      </c>
      <c r="B53" s="14">
        <v>576</v>
      </c>
      <c r="C53" s="15" t="s">
        <v>48</v>
      </c>
      <c r="D53" s="16" t="s">
        <v>42</v>
      </c>
      <c r="E53" s="10" t="s">
        <v>20</v>
      </c>
      <c r="F53" s="32"/>
      <c r="G53" s="11" t="s">
        <v>34</v>
      </c>
      <c r="H53" s="11" t="s">
        <v>34</v>
      </c>
      <c r="I53" s="11" t="s">
        <v>34</v>
      </c>
      <c r="J53" s="11" t="s">
        <v>34</v>
      </c>
      <c r="K53" s="11" t="s">
        <v>34</v>
      </c>
      <c r="L53" s="11" t="s">
        <v>34</v>
      </c>
      <c r="M53" s="32"/>
      <c r="N53" s="11" t="s">
        <v>34</v>
      </c>
      <c r="O53" s="11" t="s">
        <v>34</v>
      </c>
      <c r="P53" s="11" t="s">
        <v>34</v>
      </c>
      <c r="Q53" s="11" t="s">
        <v>34</v>
      </c>
      <c r="R53" s="11" t="s">
        <v>34</v>
      </c>
      <c r="S53" s="11" t="s">
        <v>34</v>
      </c>
      <c r="T53" s="32"/>
      <c r="U53" s="11" t="s">
        <v>34</v>
      </c>
      <c r="V53" s="35"/>
      <c r="W53" s="11" t="s">
        <v>34</v>
      </c>
      <c r="X53" s="11" t="s">
        <v>34</v>
      </c>
      <c r="Y53" s="11" t="s">
        <v>34</v>
      </c>
      <c r="Z53" s="11" t="s">
        <v>34</v>
      </c>
      <c r="AA53" s="32"/>
      <c r="AB53" s="11" t="s">
        <v>34</v>
      </c>
      <c r="AC53" s="11" t="s">
        <v>34</v>
      </c>
      <c r="AD53" s="11" t="s">
        <v>34</v>
      </c>
      <c r="AE53" s="11" t="s">
        <v>34</v>
      </c>
      <c r="AF53" s="11" t="s">
        <v>34</v>
      </c>
      <c r="AG53" s="11" t="s">
        <v>34</v>
      </c>
      <c r="AH53" s="32"/>
      <c r="AI53" s="11" t="s">
        <v>34</v>
      </c>
      <c r="AJ53" s="5">
        <f t="shared" si="1"/>
        <v>24</v>
      </c>
      <c r="AK53" s="5">
        <f t="shared" si="2"/>
        <v>0</v>
      </c>
    </row>
    <row r="54" spans="1:37" x14ac:dyDescent="0.25">
      <c r="A54" s="12">
        <v>24</v>
      </c>
      <c r="B54" s="14">
        <v>685</v>
      </c>
      <c r="C54" s="15" t="s">
        <v>82</v>
      </c>
      <c r="D54" s="16" t="s">
        <v>83</v>
      </c>
      <c r="E54" s="10" t="s">
        <v>20</v>
      </c>
      <c r="F54" s="32"/>
      <c r="G54" s="11" t="s">
        <v>34</v>
      </c>
      <c r="H54" s="11" t="s">
        <v>34</v>
      </c>
      <c r="I54" s="11" t="s">
        <v>34</v>
      </c>
      <c r="J54" s="11" t="s">
        <v>34</v>
      </c>
      <c r="K54" s="11" t="s">
        <v>34</v>
      </c>
      <c r="L54" s="11" t="s">
        <v>33</v>
      </c>
      <c r="M54" s="32"/>
      <c r="N54" s="11" t="s">
        <v>34</v>
      </c>
      <c r="O54" s="11" t="s">
        <v>34</v>
      </c>
      <c r="P54" s="11" t="s">
        <v>33</v>
      </c>
      <c r="Q54" s="11" t="s">
        <v>34</v>
      </c>
      <c r="R54" s="11" t="s">
        <v>33</v>
      </c>
      <c r="S54" s="11" t="s">
        <v>33</v>
      </c>
      <c r="T54" s="32"/>
      <c r="U54" s="11" t="s">
        <v>34</v>
      </c>
      <c r="V54" s="35"/>
      <c r="W54" s="11" t="s">
        <v>33</v>
      </c>
      <c r="X54" s="11" t="s">
        <v>34</v>
      </c>
      <c r="Y54" s="11" t="s">
        <v>34</v>
      </c>
      <c r="Z54" s="11" t="s">
        <v>33</v>
      </c>
      <c r="AA54" s="32"/>
      <c r="AB54" s="11" t="s">
        <v>33</v>
      </c>
      <c r="AC54" s="11" t="s">
        <v>33</v>
      </c>
      <c r="AD54" s="11" t="s">
        <v>34</v>
      </c>
      <c r="AE54" s="11" t="s">
        <v>34</v>
      </c>
      <c r="AF54" s="11" t="s">
        <v>34</v>
      </c>
      <c r="AG54" s="11" t="s">
        <v>34</v>
      </c>
      <c r="AH54" s="32"/>
      <c r="AI54" s="11" t="s">
        <v>34</v>
      </c>
      <c r="AJ54" s="5">
        <f t="shared" si="1"/>
        <v>16</v>
      </c>
      <c r="AK54" s="5">
        <f t="shared" si="2"/>
        <v>8</v>
      </c>
    </row>
    <row r="55" spans="1:37" x14ac:dyDescent="0.25">
      <c r="A55" s="6">
        <v>25</v>
      </c>
      <c r="B55" s="14">
        <v>688</v>
      </c>
      <c r="C55" s="15" t="s">
        <v>84</v>
      </c>
      <c r="D55" s="16" t="s">
        <v>27</v>
      </c>
      <c r="E55" s="10" t="s">
        <v>20</v>
      </c>
      <c r="F55" s="32"/>
      <c r="G55" s="11" t="s">
        <v>34</v>
      </c>
      <c r="H55" s="11" t="s">
        <v>34</v>
      </c>
      <c r="I55" s="11" t="s">
        <v>33</v>
      </c>
      <c r="J55" s="11" t="s">
        <v>34</v>
      </c>
      <c r="K55" s="11" t="s">
        <v>34</v>
      </c>
      <c r="L55" s="11" t="s">
        <v>34</v>
      </c>
      <c r="M55" s="32"/>
      <c r="N55" s="11" t="s">
        <v>34</v>
      </c>
      <c r="O55" s="11" t="s">
        <v>33</v>
      </c>
      <c r="P55" s="11" t="s">
        <v>34</v>
      </c>
      <c r="Q55" s="11" t="s">
        <v>34</v>
      </c>
      <c r="R55" s="11" t="s">
        <v>33</v>
      </c>
      <c r="S55" s="11" t="s">
        <v>33</v>
      </c>
      <c r="T55" s="32"/>
      <c r="U55" s="11" t="s">
        <v>34</v>
      </c>
      <c r="V55" s="35"/>
      <c r="W55" s="11" t="s">
        <v>34</v>
      </c>
      <c r="X55" s="11" t="s">
        <v>34</v>
      </c>
      <c r="Y55" s="11" t="s">
        <v>34</v>
      </c>
      <c r="Z55" s="11" t="s">
        <v>33</v>
      </c>
      <c r="AA55" s="32"/>
      <c r="AB55" s="11" t="s">
        <v>34</v>
      </c>
      <c r="AC55" s="11" t="s">
        <v>34</v>
      </c>
      <c r="AD55" s="11" t="s">
        <v>34</v>
      </c>
      <c r="AE55" s="11" t="s">
        <v>34</v>
      </c>
      <c r="AF55" s="11" t="s">
        <v>33</v>
      </c>
      <c r="AG55" s="11" t="s">
        <v>34</v>
      </c>
      <c r="AH55" s="32"/>
      <c r="AI55" s="11" t="s">
        <v>33</v>
      </c>
      <c r="AJ55" s="5">
        <f t="shared" si="1"/>
        <v>17</v>
      </c>
      <c r="AK55" s="5">
        <f t="shared" si="2"/>
        <v>7</v>
      </c>
    </row>
    <row r="56" spans="1:37" x14ac:dyDescent="0.25">
      <c r="A56" s="12">
        <v>26</v>
      </c>
      <c r="B56" s="14">
        <v>546</v>
      </c>
      <c r="C56" s="15" t="s">
        <v>84</v>
      </c>
      <c r="D56" s="16" t="s">
        <v>85</v>
      </c>
      <c r="E56" s="10" t="s">
        <v>20</v>
      </c>
      <c r="F56" s="32"/>
      <c r="G56" s="11" t="s">
        <v>33</v>
      </c>
      <c r="H56" s="11" t="s">
        <v>33</v>
      </c>
      <c r="I56" s="11" t="s">
        <v>33</v>
      </c>
      <c r="J56" s="11" t="s">
        <v>33</v>
      </c>
      <c r="K56" s="11" t="s">
        <v>33</v>
      </c>
      <c r="L56" s="11" t="s">
        <v>33</v>
      </c>
      <c r="M56" s="32"/>
      <c r="N56" s="11" t="s">
        <v>33</v>
      </c>
      <c r="O56" s="11" t="s">
        <v>33</v>
      </c>
      <c r="P56" s="11" t="s">
        <v>33</v>
      </c>
      <c r="Q56" s="11" t="s">
        <v>33</v>
      </c>
      <c r="R56" s="11" t="s">
        <v>33</v>
      </c>
      <c r="S56" s="11" t="s">
        <v>33</v>
      </c>
      <c r="T56" s="32"/>
      <c r="U56" s="11" t="s">
        <v>33</v>
      </c>
      <c r="V56" s="35"/>
      <c r="W56" s="11" t="s">
        <v>33</v>
      </c>
      <c r="X56" s="11" t="s">
        <v>33</v>
      </c>
      <c r="Y56" s="11" t="s">
        <v>33</v>
      </c>
      <c r="Z56" s="11" t="s">
        <v>33</v>
      </c>
      <c r="AA56" s="32"/>
      <c r="AB56" s="11" t="s">
        <v>33</v>
      </c>
      <c r="AC56" s="11" t="s">
        <v>34</v>
      </c>
      <c r="AD56" s="11" t="s">
        <v>34</v>
      </c>
      <c r="AE56" s="11" t="s">
        <v>34</v>
      </c>
      <c r="AF56" s="11" t="s">
        <v>34</v>
      </c>
      <c r="AG56" s="11" t="s">
        <v>34</v>
      </c>
      <c r="AH56" s="32"/>
      <c r="AI56" s="11" t="s">
        <v>34</v>
      </c>
      <c r="AJ56" s="5">
        <f t="shared" si="1"/>
        <v>6</v>
      </c>
      <c r="AK56" s="5">
        <f t="shared" si="2"/>
        <v>18</v>
      </c>
    </row>
    <row r="57" spans="1:37" x14ac:dyDescent="0.25">
      <c r="A57" s="6">
        <v>27</v>
      </c>
      <c r="B57" s="14"/>
      <c r="C57" s="15" t="s">
        <v>86</v>
      </c>
      <c r="D57" s="16" t="s">
        <v>87</v>
      </c>
      <c r="E57" s="10" t="s">
        <v>20</v>
      </c>
      <c r="F57" s="32"/>
      <c r="G57" s="11" t="s">
        <v>34</v>
      </c>
      <c r="H57" s="11" t="s">
        <v>34</v>
      </c>
      <c r="I57" s="11" t="s">
        <v>34</v>
      </c>
      <c r="J57" s="11" t="s">
        <v>34</v>
      </c>
      <c r="K57" s="11" t="s">
        <v>34</v>
      </c>
      <c r="L57" s="11" t="s">
        <v>34</v>
      </c>
      <c r="M57" s="32"/>
      <c r="N57" s="11" t="s">
        <v>34</v>
      </c>
      <c r="O57" s="11" t="s">
        <v>34</v>
      </c>
      <c r="P57" s="11" t="s">
        <v>34</v>
      </c>
      <c r="Q57" s="11" t="s">
        <v>34</v>
      </c>
      <c r="R57" s="11" t="s">
        <v>34</v>
      </c>
      <c r="S57" s="11" t="s">
        <v>34</v>
      </c>
      <c r="T57" s="32"/>
      <c r="U57" s="11" t="s">
        <v>33</v>
      </c>
      <c r="V57" s="35"/>
      <c r="W57" s="11" t="s">
        <v>34</v>
      </c>
      <c r="X57" s="11" t="s">
        <v>34</v>
      </c>
      <c r="Y57" s="11" t="s">
        <v>34</v>
      </c>
      <c r="Z57" s="11" t="s">
        <v>34</v>
      </c>
      <c r="AA57" s="32"/>
      <c r="AB57" s="11" t="s">
        <v>34</v>
      </c>
      <c r="AC57" s="11" t="s">
        <v>34</v>
      </c>
      <c r="AD57" s="11" t="s">
        <v>34</v>
      </c>
      <c r="AE57" s="11" t="s">
        <v>34</v>
      </c>
      <c r="AF57" s="11" t="s">
        <v>34</v>
      </c>
      <c r="AG57" s="11" t="s">
        <v>34</v>
      </c>
      <c r="AH57" s="32"/>
      <c r="AI57" s="11" t="s">
        <v>34</v>
      </c>
      <c r="AJ57" s="5">
        <f t="shared" si="1"/>
        <v>23</v>
      </c>
      <c r="AK57" s="5">
        <f t="shared" si="2"/>
        <v>1</v>
      </c>
    </row>
    <row r="58" spans="1:37" x14ac:dyDescent="0.25">
      <c r="A58" s="12">
        <v>28</v>
      </c>
      <c r="B58" s="14"/>
      <c r="C58" s="15" t="s">
        <v>88</v>
      </c>
      <c r="D58" s="16" t="s">
        <v>87</v>
      </c>
      <c r="E58" s="10" t="s">
        <v>20</v>
      </c>
      <c r="F58" s="32"/>
      <c r="G58" s="11" t="s">
        <v>34</v>
      </c>
      <c r="H58" s="11" t="s">
        <v>34</v>
      </c>
      <c r="I58" s="11" t="s">
        <v>34</v>
      </c>
      <c r="J58" s="11" t="s">
        <v>34</v>
      </c>
      <c r="K58" s="11" t="s">
        <v>34</v>
      </c>
      <c r="L58" s="11" t="s">
        <v>34</v>
      </c>
      <c r="M58" s="32"/>
      <c r="N58" s="11" t="s">
        <v>34</v>
      </c>
      <c r="O58" s="11" t="s">
        <v>34</v>
      </c>
      <c r="P58" s="11" t="s">
        <v>34</v>
      </c>
      <c r="Q58" s="11" t="s">
        <v>34</v>
      </c>
      <c r="R58" s="11" t="s">
        <v>34</v>
      </c>
      <c r="S58" s="11" t="s">
        <v>34</v>
      </c>
      <c r="T58" s="32"/>
      <c r="U58" s="11" t="s">
        <v>33</v>
      </c>
      <c r="V58" s="35"/>
      <c r="W58" s="11" t="s">
        <v>34</v>
      </c>
      <c r="X58" s="11" t="s">
        <v>34</v>
      </c>
      <c r="Y58" s="11" t="s">
        <v>34</v>
      </c>
      <c r="Z58" s="11" t="s">
        <v>34</v>
      </c>
      <c r="AA58" s="32"/>
      <c r="AB58" s="11" t="s">
        <v>34</v>
      </c>
      <c r="AC58" s="11" t="s">
        <v>34</v>
      </c>
      <c r="AD58" s="11" t="s">
        <v>34</v>
      </c>
      <c r="AE58" s="11" t="s">
        <v>34</v>
      </c>
      <c r="AF58" s="11" t="s">
        <v>34</v>
      </c>
      <c r="AG58" s="11" t="s">
        <v>34</v>
      </c>
      <c r="AH58" s="32"/>
      <c r="AI58" s="11" t="s">
        <v>34</v>
      </c>
      <c r="AJ58" s="5">
        <f t="shared" si="1"/>
        <v>23</v>
      </c>
      <c r="AK58" s="5">
        <f t="shared" si="2"/>
        <v>1</v>
      </c>
    </row>
    <row r="59" spans="1:37" x14ac:dyDescent="0.25">
      <c r="A59" s="12">
        <v>29</v>
      </c>
      <c r="B59" s="14"/>
      <c r="C59" s="15" t="s">
        <v>123</v>
      </c>
      <c r="D59" s="16" t="s">
        <v>124</v>
      </c>
      <c r="E59" s="10" t="s">
        <v>20</v>
      </c>
      <c r="F59" s="33"/>
      <c r="G59" s="11"/>
      <c r="H59" s="11"/>
      <c r="I59" s="11"/>
      <c r="J59" s="11"/>
      <c r="K59" s="11"/>
      <c r="L59" s="11"/>
      <c r="M59" s="33"/>
      <c r="N59" s="11"/>
      <c r="O59" s="11"/>
      <c r="P59" s="11"/>
      <c r="Q59" s="11"/>
      <c r="R59" s="11"/>
      <c r="S59" s="11"/>
      <c r="T59" s="33"/>
      <c r="U59" s="11"/>
      <c r="V59" s="36"/>
      <c r="W59" s="11"/>
      <c r="X59" s="11"/>
      <c r="Y59" s="11"/>
      <c r="Z59" s="11"/>
      <c r="AA59" s="33"/>
      <c r="AB59" s="11" t="s">
        <v>34</v>
      </c>
      <c r="AC59" s="11" t="s">
        <v>34</v>
      </c>
      <c r="AD59" s="11" t="s">
        <v>34</v>
      </c>
      <c r="AE59" s="11" t="s">
        <v>34</v>
      </c>
      <c r="AF59" s="11" t="s">
        <v>34</v>
      </c>
      <c r="AG59" s="11" t="s">
        <v>34</v>
      </c>
      <c r="AH59" s="33"/>
      <c r="AI59" s="11" t="s">
        <v>34</v>
      </c>
      <c r="AJ59" s="5">
        <f t="shared" si="1"/>
        <v>7</v>
      </c>
      <c r="AK59" s="5">
        <f t="shared" si="2"/>
        <v>0</v>
      </c>
    </row>
  </sheetData>
  <mergeCells count="18">
    <mergeCell ref="AL8:AO8"/>
    <mergeCell ref="AL16:AO16"/>
    <mergeCell ref="F5:F59"/>
    <mergeCell ref="M5:M59"/>
    <mergeCell ref="T5:T59"/>
    <mergeCell ref="V5:V59"/>
    <mergeCell ref="AA5:AA59"/>
    <mergeCell ref="AH5:AH59"/>
    <mergeCell ref="AL3:AM3"/>
    <mergeCell ref="A1:AI1"/>
    <mergeCell ref="A2:AI2"/>
    <mergeCell ref="A3:A4"/>
    <mergeCell ref="B3:B4"/>
    <mergeCell ref="C3:C4"/>
    <mergeCell ref="D3:D4"/>
    <mergeCell ref="E3:E4"/>
    <mergeCell ref="AJ3:AJ4"/>
    <mergeCell ref="AK3:AK4"/>
  </mergeCells>
  <conditionalFormatting sqref="B5:B30">
    <cfRule type="duplicateValues" dxfId="95" priority="20"/>
  </conditionalFormatting>
  <conditionalFormatting sqref="B31:B59">
    <cfRule type="duplicateValues" dxfId="94" priority="7"/>
  </conditionalFormatting>
  <conditionalFormatting sqref="F5:M5 T5 V5 AA5 AH5 F4:AI4">
    <cfRule type="expression" dxfId="93" priority="17">
      <formula>IF(F$4=TODAY(),TRUE,FALSE)</formula>
    </cfRule>
  </conditionalFormatting>
  <conditionalFormatting sqref="F5:M5 T5 V5 AA5 AH5">
    <cfRule type="cellIs" dxfId="92" priority="14" operator="equal">
      <formula>"L"</formula>
    </cfRule>
    <cfRule type="cellIs" dxfId="91" priority="15" operator="equal">
      <formula>"A"</formula>
    </cfRule>
    <cfRule type="cellIs" dxfId="90" priority="16" operator="equal">
      <formula>"P"</formula>
    </cfRule>
  </conditionalFormatting>
  <conditionalFormatting sqref="F3:AI4 F5:M5 T5 V5 AA5 AH5">
    <cfRule type="expression" dxfId="89" priority="18">
      <formula>F$3="Sun"</formula>
    </cfRule>
  </conditionalFormatting>
  <conditionalFormatting sqref="N5:S59 U5:U59 W5:Z59 AB5:AG59 AI5:AI59 G6:L59">
    <cfRule type="cellIs" dxfId="88" priority="1" operator="equal">
      <formula>"L"</formula>
    </cfRule>
    <cfRule type="cellIs" dxfId="87" priority="2" operator="equal">
      <formula>"A"</formula>
    </cfRule>
    <cfRule type="cellIs" dxfId="86" priority="3" operator="equal">
      <formula>"P"</formula>
    </cfRule>
    <cfRule type="expression" dxfId="85" priority="4">
      <formula>IF(G$4=TODAY(),TRUE,FALSE)</formula>
    </cfRule>
    <cfRule type="expression" dxfId="84" priority="5">
      <formula>G$3="Sun"</formula>
    </cfRule>
  </conditionalFormatting>
  <conditionalFormatting sqref="AJ3:AK3">
    <cfRule type="expression" dxfId="83" priority="19">
      <formula>#REF!="Sun"</formula>
    </cfRule>
  </conditionalFormatting>
  <conditionalFormatting sqref="AJ5:AK59">
    <cfRule type="expression" dxfId="82" priority="6">
      <formula>#REF!="Sun"</formula>
    </cfRule>
  </conditionalFormatting>
  <conditionalFormatting sqref="AL5:AL6">
    <cfRule type="expression" dxfId="81" priority="12">
      <formula>#REF!="Sun"</formula>
    </cfRule>
  </conditionalFormatting>
  <conditionalFormatting sqref="AL9:AL12">
    <cfRule type="expression" dxfId="80" priority="10">
      <formula>#REF!="Sun"</formula>
    </cfRule>
  </conditionalFormatting>
  <conditionalFormatting sqref="AL17:AL20">
    <cfRule type="expression" dxfId="79" priority="9">
      <formula>#REF!="Sun"</formula>
    </cfRule>
  </conditionalFormatting>
  <conditionalFormatting sqref="AL4:AM4">
    <cfRule type="expression" dxfId="78" priority="13">
      <formula>#REF!="Sun"</formula>
    </cfRule>
  </conditionalFormatting>
  <conditionalFormatting sqref="AM9:AO9">
    <cfRule type="expression" dxfId="77" priority="11">
      <formula>#REF!="Sun"</formula>
    </cfRule>
  </conditionalFormatting>
  <conditionalFormatting sqref="AM17:AO17">
    <cfRule type="expression" dxfId="76" priority="8">
      <formula>#REF!="Sun"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8E4AC-3A89-433D-A552-549561EC4DA7}">
  <sheetPr>
    <tabColor rgb="FFC00000"/>
  </sheetPr>
  <dimension ref="A1:AP60"/>
  <sheetViews>
    <sheetView workbookViewId="0">
      <selection sqref="A1:XFD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42" ht="17.25" x14ac:dyDescent="0.3">
      <c r="A2" s="25" t="s">
        <v>137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42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30" t="s">
        <v>5</v>
      </c>
      <c r="AL3" s="30" t="s">
        <v>6</v>
      </c>
      <c r="AM3" s="27" t="s">
        <v>21</v>
      </c>
      <c r="AN3" s="28"/>
      <c r="AO3" s="3"/>
      <c r="AP3" s="3"/>
    </row>
    <row r="4" spans="1:42" ht="34.5" x14ac:dyDescent="0.25">
      <c r="A4" s="24"/>
      <c r="B4" s="24"/>
      <c r="C4" s="24"/>
      <c r="D4" s="24"/>
      <c r="E4" s="24"/>
      <c r="F4" s="21">
        <v>45566</v>
      </c>
      <c r="G4" s="21">
        <v>45567</v>
      </c>
      <c r="H4" s="21">
        <v>45568</v>
      </c>
      <c r="I4" s="21">
        <v>45569</v>
      </c>
      <c r="J4" s="21">
        <v>45570</v>
      </c>
      <c r="K4" s="21">
        <v>45571</v>
      </c>
      <c r="L4" s="21">
        <v>45572</v>
      </c>
      <c r="M4" s="21">
        <v>45573</v>
      </c>
      <c r="N4" s="21">
        <v>45574</v>
      </c>
      <c r="O4" s="21">
        <v>45575</v>
      </c>
      <c r="P4" s="21">
        <v>45576</v>
      </c>
      <c r="Q4" s="21">
        <v>45577</v>
      </c>
      <c r="R4" s="21">
        <v>45578</v>
      </c>
      <c r="S4" s="21">
        <v>45579</v>
      </c>
      <c r="T4" s="21">
        <v>45580</v>
      </c>
      <c r="U4" s="21">
        <v>45581</v>
      </c>
      <c r="V4" s="21">
        <v>45582</v>
      </c>
      <c r="W4" s="21">
        <v>45583</v>
      </c>
      <c r="X4" s="21">
        <v>45584</v>
      </c>
      <c r="Y4" s="21">
        <v>45585</v>
      </c>
      <c r="Z4" s="21">
        <v>45586</v>
      </c>
      <c r="AA4" s="21">
        <v>45587</v>
      </c>
      <c r="AB4" s="21">
        <v>45588</v>
      </c>
      <c r="AC4" s="21">
        <v>45589</v>
      </c>
      <c r="AD4" s="21">
        <v>45590</v>
      </c>
      <c r="AE4" s="21">
        <v>45591</v>
      </c>
      <c r="AF4" s="21">
        <v>45592</v>
      </c>
      <c r="AG4" s="21">
        <v>45593</v>
      </c>
      <c r="AH4" s="21">
        <v>45594</v>
      </c>
      <c r="AI4" s="21">
        <v>45595</v>
      </c>
      <c r="AJ4" s="21">
        <v>45596</v>
      </c>
      <c r="AK4" s="30"/>
      <c r="AL4" s="30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22" t="s">
        <v>34</v>
      </c>
      <c r="G5" s="22" t="s">
        <v>34</v>
      </c>
      <c r="H5" s="22" t="s">
        <v>34</v>
      </c>
      <c r="I5" s="22" t="s">
        <v>34</v>
      </c>
      <c r="J5" s="37" t="s">
        <v>138</v>
      </c>
      <c r="K5" s="31" t="s">
        <v>139</v>
      </c>
      <c r="L5" s="11" t="s">
        <v>34</v>
      </c>
      <c r="M5" s="11" t="s">
        <v>34</v>
      </c>
      <c r="N5" s="11" t="s">
        <v>34</v>
      </c>
      <c r="O5" s="11" t="s">
        <v>34</v>
      </c>
      <c r="P5" s="11" t="s">
        <v>34</v>
      </c>
      <c r="Q5" s="11" t="s">
        <v>34</v>
      </c>
      <c r="R5" s="31" t="s">
        <v>139</v>
      </c>
      <c r="S5" s="11" t="s">
        <v>34</v>
      </c>
      <c r="T5" s="11" t="s">
        <v>34</v>
      </c>
      <c r="U5" s="11" t="s">
        <v>34</v>
      </c>
      <c r="V5" s="11" t="s">
        <v>34</v>
      </c>
      <c r="W5" s="11" t="s">
        <v>34</v>
      </c>
      <c r="X5" s="11" t="s">
        <v>34</v>
      </c>
      <c r="Y5" s="31" t="s">
        <v>139</v>
      </c>
      <c r="Z5" s="11" t="s">
        <v>33</v>
      </c>
      <c r="AA5" s="11" t="s">
        <v>34</v>
      </c>
      <c r="AB5" s="11" t="s">
        <v>34</v>
      </c>
      <c r="AC5" s="11" t="s">
        <v>34</v>
      </c>
      <c r="AD5" s="11" t="s">
        <v>34</v>
      </c>
      <c r="AE5" s="11" t="s">
        <v>33</v>
      </c>
      <c r="AF5" s="31" t="s">
        <v>139</v>
      </c>
      <c r="AG5" s="11" t="s">
        <v>34</v>
      </c>
      <c r="AH5" s="11" t="s">
        <v>34</v>
      </c>
      <c r="AI5" s="11" t="s">
        <v>34</v>
      </c>
      <c r="AJ5" s="11" t="s">
        <v>34</v>
      </c>
      <c r="AK5" s="5">
        <f t="shared" ref="AK5:AK60" si="1">COUNTIF(F5:AJ5,"P")</f>
        <v>24</v>
      </c>
      <c r="AL5" s="5">
        <f t="shared" ref="AL5:AL60" si="2">COUNTIF(F5:AJ5,"A")</f>
        <v>2</v>
      </c>
      <c r="AM5" s="5" t="s">
        <v>8</v>
      </c>
      <c r="AN5" s="12">
        <v>26</v>
      </c>
      <c r="AO5" s="13" t="s">
        <v>9</v>
      </c>
      <c r="AP5" s="3"/>
    </row>
    <row r="6" spans="1:42" ht="16.5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22" t="s">
        <v>34</v>
      </c>
      <c r="G6" s="22" t="s">
        <v>34</v>
      </c>
      <c r="H6" s="22" t="s">
        <v>34</v>
      </c>
      <c r="I6" s="22" t="s">
        <v>34</v>
      </c>
      <c r="J6" s="38"/>
      <c r="K6" s="32"/>
      <c r="L6" s="11" t="s">
        <v>34</v>
      </c>
      <c r="M6" s="11" t="s">
        <v>34</v>
      </c>
      <c r="N6" s="11" t="s">
        <v>34</v>
      </c>
      <c r="O6" s="11" t="s">
        <v>34</v>
      </c>
      <c r="P6" s="11" t="s">
        <v>34</v>
      </c>
      <c r="Q6" s="11" t="s">
        <v>34</v>
      </c>
      <c r="R6" s="32"/>
      <c r="S6" s="11" t="s">
        <v>34</v>
      </c>
      <c r="T6" s="11" t="s">
        <v>34</v>
      </c>
      <c r="U6" s="11" t="s">
        <v>34</v>
      </c>
      <c r="V6" s="11" t="s">
        <v>34</v>
      </c>
      <c r="W6" s="11" t="s">
        <v>34</v>
      </c>
      <c r="X6" s="11" t="s">
        <v>34</v>
      </c>
      <c r="Y6" s="32"/>
      <c r="Z6" s="11" t="s">
        <v>34</v>
      </c>
      <c r="AA6" s="11" t="s">
        <v>34</v>
      </c>
      <c r="AB6" s="11" t="s">
        <v>34</v>
      </c>
      <c r="AC6" s="11" t="s">
        <v>34</v>
      </c>
      <c r="AD6" s="11" t="s">
        <v>34</v>
      </c>
      <c r="AE6" s="11" t="s">
        <v>34</v>
      </c>
      <c r="AF6" s="32"/>
      <c r="AG6" s="11" t="s">
        <v>34</v>
      </c>
      <c r="AH6" s="11" t="s">
        <v>34</v>
      </c>
      <c r="AI6" s="11" t="s">
        <v>34</v>
      </c>
      <c r="AJ6" s="11" t="s">
        <v>34</v>
      </c>
      <c r="AK6" s="5">
        <f t="shared" si="1"/>
        <v>26</v>
      </c>
      <c r="AL6" s="5">
        <f t="shared" si="2"/>
        <v>0</v>
      </c>
      <c r="AM6" s="5" t="s">
        <v>10</v>
      </c>
      <c r="AN6" s="12">
        <v>4</v>
      </c>
      <c r="AO6" s="3"/>
      <c r="AP6" s="3"/>
    </row>
    <row r="7" spans="1:42" ht="16.5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22" t="s">
        <v>34</v>
      </c>
      <c r="G7" s="22" t="s">
        <v>34</v>
      </c>
      <c r="H7" s="22" t="s">
        <v>34</v>
      </c>
      <c r="I7" s="22" t="s">
        <v>34</v>
      </c>
      <c r="J7" s="38"/>
      <c r="K7" s="32"/>
      <c r="L7" s="11" t="s">
        <v>34</v>
      </c>
      <c r="M7" s="11" t="s">
        <v>34</v>
      </c>
      <c r="N7" s="11" t="s">
        <v>33</v>
      </c>
      <c r="O7" s="11" t="s">
        <v>34</v>
      </c>
      <c r="P7" s="11" t="s">
        <v>34</v>
      </c>
      <c r="Q7" s="11" t="s">
        <v>34</v>
      </c>
      <c r="R7" s="32"/>
      <c r="S7" s="11" t="s">
        <v>34</v>
      </c>
      <c r="T7" s="11" t="s">
        <v>34</v>
      </c>
      <c r="U7" s="11" t="s">
        <v>34</v>
      </c>
      <c r="V7" s="11" t="s">
        <v>33</v>
      </c>
      <c r="W7" s="11" t="s">
        <v>34</v>
      </c>
      <c r="X7" s="11" t="s">
        <v>34</v>
      </c>
      <c r="Y7" s="32"/>
      <c r="Z7" s="11" t="s">
        <v>34</v>
      </c>
      <c r="AA7" s="11" t="s">
        <v>34</v>
      </c>
      <c r="AB7" s="11" t="s">
        <v>34</v>
      </c>
      <c r="AC7" s="11" t="s">
        <v>34</v>
      </c>
      <c r="AD7" s="11" t="s">
        <v>34</v>
      </c>
      <c r="AE7" s="11" t="s">
        <v>34</v>
      </c>
      <c r="AF7" s="32"/>
      <c r="AG7" s="11" t="s">
        <v>34</v>
      </c>
      <c r="AH7" s="11" t="s">
        <v>34</v>
      </c>
      <c r="AI7" s="11" t="s">
        <v>34</v>
      </c>
      <c r="AJ7" s="11" t="s">
        <v>34</v>
      </c>
      <c r="AK7" s="5">
        <f t="shared" si="1"/>
        <v>24</v>
      </c>
      <c r="AL7" s="5">
        <f t="shared" si="2"/>
        <v>2</v>
      </c>
      <c r="AM7" s="3"/>
      <c r="AN7" s="3"/>
      <c r="AO7" s="3"/>
      <c r="AP7" s="3"/>
    </row>
    <row r="8" spans="1:42" ht="16.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22" t="s">
        <v>34</v>
      </c>
      <c r="G8" s="22" t="s">
        <v>34</v>
      </c>
      <c r="H8" s="22" t="s">
        <v>34</v>
      </c>
      <c r="I8" s="22" t="s">
        <v>34</v>
      </c>
      <c r="J8" s="38"/>
      <c r="K8" s="32"/>
      <c r="L8" s="11" t="s">
        <v>34</v>
      </c>
      <c r="M8" s="11" t="s">
        <v>33</v>
      </c>
      <c r="N8" s="11" t="s">
        <v>34</v>
      </c>
      <c r="O8" s="11" t="s">
        <v>34</v>
      </c>
      <c r="P8" s="11" t="s">
        <v>34</v>
      </c>
      <c r="Q8" s="11" t="s">
        <v>33</v>
      </c>
      <c r="R8" s="32"/>
      <c r="S8" s="11" t="s">
        <v>34</v>
      </c>
      <c r="T8" s="11" t="s">
        <v>34</v>
      </c>
      <c r="U8" s="11" t="s">
        <v>34</v>
      </c>
      <c r="V8" s="11" t="s">
        <v>33</v>
      </c>
      <c r="W8" s="11" t="s">
        <v>34</v>
      </c>
      <c r="X8" s="11" t="s">
        <v>33</v>
      </c>
      <c r="Y8" s="32"/>
      <c r="Z8" s="11" t="s">
        <v>34</v>
      </c>
      <c r="AA8" s="11" t="s">
        <v>34</v>
      </c>
      <c r="AB8" s="11" t="s">
        <v>33</v>
      </c>
      <c r="AC8" s="11" t="s">
        <v>34</v>
      </c>
      <c r="AD8" s="11" t="s">
        <v>33</v>
      </c>
      <c r="AE8" s="11" t="s">
        <v>33</v>
      </c>
      <c r="AF8" s="32"/>
      <c r="AG8" s="11" t="s">
        <v>33</v>
      </c>
      <c r="AH8" s="11" t="s">
        <v>34</v>
      </c>
      <c r="AI8" s="11" t="s">
        <v>34</v>
      </c>
      <c r="AJ8" s="11" t="s">
        <v>34</v>
      </c>
      <c r="AK8" s="5">
        <f t="shared" si="1"/>
        <v>18</v>
      </c>
      <c r="AL8" s="5">
        <f t="shared" si="2"/>
        <v>8</v>
      </c>
      <c r="AM8" s="27" t="s">
        <v>11</v>
      </c>
      <c r="AN8" s="28"/>
      <c r="AO8" s="28"/>
      <c r="AP8" s="29"/>
    </row>
    <row r="9" spans="1:42" ht="16.5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22" t="s">
        <v>34</v>
      </c>
      <c r="G9" s="22" t="s">
        <v>34</v>
      </c>
      <c r="H9" s="22" t="s">
        <v>34</v>
      </c>
      <c r="I9" s="22" t="s">
        <v>34</v>
      </c>
      <c r="J9" s="38"/>
      <c r="K9" s="32"/>
      <c r="L9" s="11" t="s">
        <v>33</v>
      </c>
      <c r="M9" s="11" t="s">
        <v>34</v>
      </c>
      <c r="N9" s="11" t="s">
        <v>34</v>
      </c>
      <c r="O9" s="11" t="s">
        <v>33</v>
      </c>
      <c r="P9" s="11" t="s">
        <v>34</v>
      </c>
      <c r="Q9" s="11" t="s">
        <v>34</v>
      </c>
      <c r="R9" s="32"/>
      <c r="S9" s="11" t="s">
        <v>34</v>
      </c>
      <c r="T9" s="11" t="s">
        <v>34</v>
      </c>
      <c r="U9" s="11" t="s">
        <v>34</v>
      </c>
      <c r="V9" s="11" t="s">
        <v>33</v>
      </c>
      <c r="W9" s="11" t="s">
        <v>34</v>
      </c>
      <c r="X9" s="11" t="s">
        <v>34</v>
      </c>
      <c r="Y9" s="32"/>
      <c r="Z9" s="11" t="s">
        <v>34</v>
      </c>
      <c r="AA9" s="11" t="s">
        <v>34</v>
      </c>
      <c r="AB9" s="11" t="s">
        <v>34</v>
      </c>
      <c r="AC9" s="11" t="s">
        <v>33</v>
      </c>
      <c r="AD9" s="11" t="s">
        <v>34</v>
      </c>
      <c r="AE9" s="11" t="s">
        <v>34</v>
      </c>
      <c r="AF9" s="32"/>
      <c r="AG9" s="11" t="s">
        <v>33</v>
      </c>
      <c r="AH9" s="11" t="s">
        <v>34</v>
      </c>
      <c r="AI9" s="11" t="s">
        <v>34</v>
      </c>
      <c r="AJ9" s="11" t="s">
        <v>34</v>
      </c>
      <c r="AK9" s="5">
        <f t="shared" si="1"/>
        <v>21</v>
      </c>
      <c r="AL9" s="5">
        <f t="shared" si="2"/>
        <v>5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ht="16.5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22" t="s">
        <v>34</v>
      </c>
      <c r="G10" s="22" t="s">
        <v>34</v>
      </c>
      <c r="H10" s="22" t="s">
        <v>34</v>
      </c>
      <c r="I10" s="22" t="s">
        <v>34</v>
      </c>
      <c r="J10" s="38"/>
      <c r="K10" s="32"/>
      <c r="L10" s="11" t="s">
        <v>34</v>
      </c>
      <c r="M10" s="11" t="s">
        <v>34</v>
      </c>
      <c r="N10" s="11" t="s">
        <v>34</v>
      </c>
      <c r="O10" s="11" t="s">
        <v>34</v>
      </c>
      <c r="P10" s="11" t="s">
        <v>34</v>
      </c>
      <c r="Q10" s="11" t="s">
        <v>33</v>
      </c>
      <c r="R10" s="32"/>
      <c r="S10" s="11" t="s">
        <v>34</v>
      </c>
      <c r="T10" s="11" t="s">
        <v>34</v>
      </c>
      <c r="U10" s="11" t="s">
        <v>34</v>
      </c>
      <c r="V10" s="11" t="s">
        <v>34</v>
      </c>
      <c r="W10" s="11" t="s">
        <v>34</v>
      </c>
      <c r="X10" s="11" t="s">
        <v>34</v>
      </c>
      <c r="Y10" s="32"/>
      <c r="Z10" s="11" t="s">
        <v>34</v>
      </c>
      <c r="AA10" s="11" t="s">
        <v>34</v>
      </c>
      <c r="AB10" s="11" t="s">
        <v>34</v>
      </c>
      <c r="AC10" s="11" t="s">
        <v>34</v>
      </c>
      <c r="AD10" s="11" t="s">
        <v>34</v>
      </c>
      <c r="AE10" s="11" t="s">
        <v>34</v>
      </c>
      <c r="AF10" s="32"/>
      <c r="AG10" s="11" t="s">
        <v>34</v>
      </c>
      <c r="AH10" s="11" t="s">
        <v>34</v>
      </c>
      <c r="AI10" s="11" t="s">
        <v>34</v>
      </c>
      <c r="AJ10" s="11" t="s">
        <v>34</v>
      </c>
      <c r="AK10" s="5">
        <f t="shared" si="1"/>
        <v>25</v>
      </c>
      <c r="AL10" s="5">
        <f t="shared" si="2"/>
        <v>1</v>
      </c>
      <c r="AM10" s="5" t="s">
        <v>16</v>
      </c>
      <c r="AN10" s="12">
        <f>19*26</f>
        <v>494</v>
      </c>
      <c r="AO10" s="12">
        <f>21*26</f>
        <v>546</v>
      </c>
      <c r="AP10" s="12">
        <f>SUM(AN10:AO10)</f>
        <v>1040</v>
      </c>
    </row>
    <row r="11" spans="1:42" ht="16.5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22" t="s">
        <v>34</v>
      </c>
      <c r="G11" s="22" t="s">
        <v>34</v>
      </c>
      <c r="H11" s="22" t="s">
        <v>34</v>
      </c>
      <c r="I11" s="22" t="s">
        <v>34</v>
      </c>
      <c r="J11" s="38"/>
      <c r="K11" s="32"/>
      <c r="L11" s="11" t="s">
        <v>34</v>
      </c>
      <c r="M11" s="11" t="s">
        <v>34</v>
      </c>
      <c r="N11" s="11" t="s">
        <v>34</v>
      </c>
      <c r="O11" s="11" t="s">
        <v>34</v>
      </c>
      <c r="P11" s="11" t="s">
        <v>34</v>
      </c>
      <c r="Q11" s="11" t="s">
        <v>34</v>
      </c>
      <c r="R11" s="32"/>
      <c r="S11" s="11" t="s">
        <v>34</v>
      </c>
      <c r="T11" s="11" t="s">
        <v>34</v>
      </c>
      <c r="U11" s="11" t="s">
        <v>34</v>
      </c>
      <c r="V11" s="11" t="s">
        <v>34</v>
      </c>
      <c r="W11" s="11" t="s">
        <v>34</v>
      </c>
      <c r="X11" s="11" t="s">
        <v>34</v>
      </c>
      <c r="Y11" s="32"/>
      <c r="Z11" s="11" t="s">
        <v>34</v>
      </c>
      <c r="AA11" s="11" t="s">
        <v>34</v>
      </c>
      <c r="AB11" s="11" t="s">
        <v>34</v>
      </c>
      <c r="AC11" s="11" t="s">
        <v>34</v>
      </c>
      <c r="AD11" s="11" t="s">
        <v>34</v>
      </c>
      <c r="AE11" s="11" t="s">
        <v>34</v>
      </c>
      <c r="AF11" s="32"/>
      <c r="AG11" s="11" t="s">
        <v>34</v>
      </c>
      <c r="AH11" s="11" t="s">
        <v>33</v>
      </c>
      <c r="AI11" s="11" t="s">
        <v>33</v>
      </c>
      <c r="AJ11" s="11" t="s">
        <v>34</v>
      </c>
      <c r="AK11" s="5">
        <f t="shared" si="1"/>
        <v>24</v>
      </c>
      <c r="AL11" s="5">
        <f t="shared" si="2"/>
        <v>2</v>
      </c>
      <c r="AM11" s="5" t="s">
        <v>17</v>
      </c>
      <c r="AN11" s="12">
        <f>SUM(AK5:AK30)</f>
        <v>567</v>
      </c>
      <c r="AO11" s="12">
        <f>SUM(AK5:AK30)</f>
        <v>567</v>
      </c>
      <c r="AP11" s="12">
        <f>AN11+AO11</f>
        <v>1134</v>
      </c>
    </row>
    <row r="12" spans="1:42" ht="16.5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22" t="s">
        <v>34</v>
      </c>
      <c r="G12" s="22" t="s">
        <v>34</v>
      </c>
      <c r="H12" s="22" t="s">
        <v>34</v>
      </c>
      <c r="I12" s="22" t="s">
        <v>34</v>
      </c>
      <c r="J12" s="38"/>
      <c r="K12" s="32"/>
      <c r="L12" s="11" t="s">
        <v>34</v>
      </c>
      <c r="M12" s="11" t="s">
        <v>34</v>
      </c>
      <c r="N12" s="11" t="s">
        <v>34</v>
      </c>
      <c r="O12" s="11" t="s">
        <v>34</v>
      </c>
      <c r="P12" s="11" t="s">
        <v>34</v>
      </c>
      <c r="Q12" s="11" t="s">
        <v>34</v>
      </c>
      <c r="R12" s="32"/>
      <c r="S12" s="11" t="s">
        <v>34</v>
      </c>
      <c r="T12" s="11" t="s">
        <v>34</v>
      </c>
      <c r="U12" s="11" t="s">
        <v>34</v>
      </c>
      <c r="V12" s="11" t="s">
        <v>34</v>
      </c>
      <c r="W12" s="11" t="s">
        <v>34</v>
      </c>
      <c r="X12" s="11" t="s">
        <v>34</v>
      </c>
      <c r="Y12" s="32"/>
      <c r="Z12" s="11" t="s">
        <v>34</v>
      </c>
      <c r="AA12" s="11" t="s">
        <v>34</v>
      </c>
      <c r="AB12" s="11" t="s">
        <v>34</v>
      </c>
      <c r="AC12" s="11" t="s">
        <v>34</v>
      </c>
      <c r="AD12" s="11" t="s">
        <v>34</v>
      </c>
      <c r="AE12" s="11" t="s">
        <v>34</v>
      </c>
      <c r="AF12" s="32"/>
      <c r="AG12" s="11" t="s">
        <v>34</v>
      </c>
      <c r="AH12" s="11" t="s">
        <v>34</v>
      </c>
      <c r="AI12" s="11" t="s">
        <v>33</v>
      </c>
      <c r="AJ12" s="11" t="s">
        <v>34</v>
      </c>
      <c r="AK12" s="5">
        <f t="shared" si="1"/>
        <v>25</v>
      </c>
      <c r="AL12" s="5">
        <f t="shared" si="2"/>
        <v>1</v>
      </c>
      <c r="AM12" s="5" t="s">
        <v>18</v>
      </c>
      <c r="AN12" s="12">
        <f>AN11/AN10</f>
        <v>1.1477732793522266</v>
      </c>
      <c r="AO12" s="12">
        <f>AO11/AO10</f>
        <v>1.0384615384615385</v>
      </c>
      <c r="AP12" s="12">
        <f>AP11/AP10</f>
        <v>1.0903846153846153</v>
      </c>
    </row>
    <row r="13" spans="1:42" ht="16.5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22" t="s">
        <v>34</v>
      </c>
      <c r="G13" s="22" t="s">
        <v>34</v>
      </c>
      <c r="H13" s="22" t="s">
        <v>34</v>
      </c>
      <c r="I13" s="22" t="s">
        <v>34</v>
      </c>
      <c r="J13" s="38"/>
      <c r="K13" s="32"/>
      <c r="L13" s="11" t="s">
        <v>34</v>
      </c>
      <c r="M13" s="11" t="s">
        <v>34</v>
      </c>
      <c r="N13" s="11" t="s">
        <v>34</v>
      </c>
      <c r="O13" s="11" t="s">
        <v>34</v>
      </c>
      <c r="P13" s="11" t="s">
        <v>34</v>
      </c>
      <c r="Q13" s="11" t="s">
        <v>34</v>
      </c>
      <c r="R13" s="32"/>
      <c r="S13" s="11" t="s">
        <v>34</v>
      </c>
      <c r="T13" s="11" t="s">
        <v>34</v>
      </c>
      <c r="U13" s="11" t="s">
        <v>34</v>
      </c>
      <c r="V13" s="11" t="s">
        <v>34</v>
      </c>
      <c r="W13" s="11" t="s">
        <v>34</v>
      </c>
      <c r="X13" s="11" t="s">
        <v>34</v>
      </c>
      <c r="Y13" s="32"/>
      <c r="Z13" s="11" t="s">
        <v>34</v>
      </c>
      <c r="AA13" s="11" t="s">
        <v>34</v>
      </c>
      <c r="AB13" s="11" t="s">
        <v>34</v>
      </c>
      <c r="AC13" s="11" t="s">
        <v>34</v>
      </c>
      <c r="AD13" s="11" t="s">
        <v>34</v>
      </c>
      <c r="AE13" s="11" t="s">
        <v>34</v>
      </c>
      <c r="AF13" s="32"/>
      <c r="AG13" s="11" t="s">
        <v>34</v>
      </c>
      <c r="AH13" s="11" t="s">
        <v>34</v>
      </c>
      <c r="AI13" s="11" t="s">
        <v>34</v>
      </c>
      <c r="AJ13" s="11" t="s">
        <v>34</v>
      </c>
      <c r="AK13" s="5">
        <f t="shared" si="1"/>
        <v>26</v>
      </c>
      <c r="AL13" s="5">
        <f t="shared" si="2"/>
        <v>0</v>
      </c>
      <c r="AM13" s="3"/>
      <c r="AN13" s="17"/>
      <c r="AO13" s="17"/>
      <c r="AP13" s="17"/>
    </row>
    <row r="14" spans="1:42" ht="16.5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22" t="s">
        <v>34</v>
      </c>
      <c r="G14" s="22" t="s">
        <v>34</v>
      </c>
      <c r="H14" s="22" t="s">
        <v>34</v>
      </c>
      <c r="I14" s="22" t="s">
        <v>34</v>
      </c>
      <c r="J14" s="38"/>
      <c r="K14" s="32"/>
      <c r="L14" s="11" t="s">
        <v>33</v>
      </c>
      <c r="M14" s="11" t="s">
        <v>34</v>
      </c>
      <c r="N14" s="11" t="s">
        <v>33</v>
      </c>
      <c r="O14" s="11" t="s">
        <v>34</v>
      </c>
      <c r="P14" s="11" t="s">
        <v>34</v>
      </c>
      <c r="Q14" s="11" t="s">
        <v>34</v>
      </c>
      <c r="R14" s="32"/>
      <c r="S14" s="11" t="s">
        <v>34</v>
      </c>
      <c r="T14" s="11" t="s">
        <v>34</v>
      </c>
      <c r="U14" s="11" t="s">
        <v>34</v>
      </c>
      <c r="V14" s="11" t="s">
        <v>34</v>
      </c>
      <c r="W14" s="11" t="s">
        <v>34</v>
      </c>
      <c r="X14" s="11" t="s">
        <v>34</v>
      </c>
      <c r="Y14" s="32"/>
      <c r="Z14" s="11" t="s">
        <v>34</v>
      </c>
      <c r="AA14" s="11" t="s">
        <v>34</v>
      </c>
      <c r="AB14" s="11" t="s">
        <v>34</v>
      </c>
      <c r="AC14" s="11" t="s">
        <v>34</v>
      </c>
      <c r="AD14" s="11" t="s">
        <v>34</v>
      </c>
      <c r="AE14" s="11" t="s">
        <v>33</v>
      </c>
      <c r="AF14" s="32"/>
      <c r="AG14" s="11" t="s">
        <v>34</v>
      </c>
      <c r="AH14" s="11" t="s">
        <v>34</v>
      </c>
      <c r="AI14" s="11" t="s">
        <v>34</v>
      </c>
      <c r="AJ14" s="11" t="s">
        <v>34</v>
      </c>
      <c r="AK14" s="5">
        <f t="shared" si="1"/>
        <v>23</v>
      </c>
      <c r="AL14" s="5">
        <f t="shared" si="2"/>
        <v>3</v>
      </c>
      <c r="AM14" s="19"/>
      <c r="AN14" s="19"/>
      <c r="AO14" s="19"/>
      <c r="AP14" s="19"/>
    </row>
    <row r="15" spans="1:42" ht="16.5" x14ac:dyDescent="0.25">
      <c r="A15" s="6">
        <v>11</v>
      </c>
      <c r="B15" s="14">
        <v>570</v>
      </c>
      <c r="C15" s="15" t="s">
        <v>104</v>
      </c>
      <c r="D15" s="16" t="s">
        <v>36</v>
      </c>
      <c r="E15" s="10" t="s">
        <v>20</v>
      </c>
      <c r="F15" s="22" t="s">
        <v>33</v>
      </c>
      <c r="G15" s="22" t="s">
        <v>33</v>
      </c>
      <c r="H15" s="22" t="s">
        <v>33</v>
      </c>
      <c r="I15" s="22" t="s">
        <v>33</v>
      </c>
      <c r="J15" s="38"/>
      <c r="K15" s="32"/>
      <c r="L15" s="11" t="s">
        <v>33</v>
      </c>
      <c r="M15" s="11" t="s">
        <v>33</v>
      </c>
      <c r="N15" s="11" t="s">
        <v>33</v>
      </c>
      <c r="O15" s="11" t="s">
        <v>33</v>
      </c>
      <c r="P15" s="11" t="s">
        <v>33</v>
      </c>
      <c r="Q15" s="11" t="s">
        <v>33</v>
      </c>
      <c r="R15" s="32"/>
      <c r="S15" s="11" t="s">
        <v>33</v>
      </c>
      <c r="T15" s="11" t="s">
        <v>33</v>
      </c>
      <c r="U15" s="11" t="s">
        <v>33</v>
      </c>
      <c r="V15" s="11" t="s">
        <v>33</v>
      </c>
      <c r="W15" s="11" t="s">
        <v>33</v>
      </c>
      <c r="X15" s="11" t="s">
        <v>33</v>
      </c>
      <c r="Y15" s="32"/>
      <c r="Z15" s="11" t="s">
        <v>33</v>
      </c>
      <c r="AA15" s="11" t="s">
        <v>33</v>
      </c>
      <c r="AB15" s="11" t="s">
        <v>33</v>
      </c>
      <c r="AC15" s="11" t="s">
        <v>33</v>
      </c>
      <c r="AD15" s="11" t="s">
        <v>33</v>
      </c>
      <c r="AE15" s="11" t="s">
        <v>33</v>
      </c>
      <c r="AF15" s="32"/>
      <c r="AG15" s="11" t="s">
        <v>33</v>
      </c>
      <c r="AH15" s="11" t="s">
        <v>33</v>
      </c>
      <c r="AI15" s="11" t="s">
        <v>33</v>
      </c>
      <c r="AJ15" s="11" t="s">
        <v>33</v>
      </c>
      <c r="AK15" s="5">
        <f t="shared" si="1"/>
        <v>0</v>
      </c>
      <c r="AL15" s="5">
        <f t="shared" si="2"/>
        <v>26</v>
      </c>
      <c r="AM15" s="3"/>
      <c r="AN15" s="3"/>
      <c r="AO15" s="3"/>
      <c r="AP15" s="3"/>
    </row>
    <row r="16" spans="1:42" ht="16.5" x14ac:dyDescent="0.25">
      <c r="A16" s="12">
        <v>12</v>
      </c>
      <c r="B16" s="14">
        <v>687</v>
      </c>
      <c r="C16" s="15" t="s">
        <v>105</v>
      </c>
      <c r="D16" s="16" t="s">
        <v>106</v>
      </c>
      <c r="E16" s="10" t="s">
        <v>20</v>
      </c>
      <c r="F16" s="22" t="s">
        <v>35</v>
      </c>
      <c r="G16" s="22" t="s">
        <v>35</v>
      </c>
      <c r="H16" s="22" t="s">
        <v>35</v>
      </c>
      <c r="I16" s="22" t="s">
        <v>34</v>
      </c>
      <c r="J16" s="38"/>
      <c r="K16" s="32"/>
      <c r="L16" s="11" t="s">
        <v>34</v>
      </c>
      <c r="M16" s="11" t="s">
        <v>34</v>
      </c>
      <c r="N16" s="11" t="s">
        <v>34</v>
      </c>
      <c r="O16" s="11" t="s">
        <v>34</v>
      </c>
      <c r="P16" s="11" t="s">
        <v>34</v>
      </c>
      <c r="Q16" s="11" t="s">
        <v>34</v>
      </c>
      <c r="R16" s="32"/>
      <c r="S16" s="11" t="s">
        <v>34</v>
      </c>
      <c r="T16" s="11" t="s">
        <v>34</v>
      </c>
      <c r="U16" s="11" t="s">
        <v>34</v>
      </c>
      <c r="V16" s="11" t="s">
        <v>34</v>
      </c>
      <c r="W16" s="11" t="s">
        <v>34</v>
      </c>
      <c r="X16" s="11" t="s">
        <v>34</v>
      </c>
      <c r="Y16" s="32"/>
      <c r="Z16" s="11" t="s">
        <v>34</v>
      </c>
      <c r="AA16" s="11" t="s">
        <v>34</v>
      </c>
      <c r="AB16" s="11" t="s">
        <v>34</v>
      </c>
      <c r="AC16" s="11" t="s">
        <v>34</v>
      </c>
      <c r="AD16" s="11" t="s">
        <v>33</v>
      </c>
      <c r="AE16" s="11" t="s">
        <v>34</v>
      </c>
      <c r="AF16" s="32"/>
      <c r="AG16" s="11" t="s">
        <v>34</v>
      </c>
      <c r="AH16" s="11" t="s">
        <v>34</v>
      </c>
      <c r="AI16" s="11" t="s">
        <v>34</v>
      </c>
      <c r="AJ16" s="11" t="s">
        <v>34</v>
      </c>
      <c r="AK16" s="5">
        <f t="shared" si="1"/>
        <v>22</v>
      </c>
      <c r="AL16" s="5">
        <f t="shared" si="2"/>
        <v>1</v>
      </c>
      <c r="AM16" s="27" t="s">
        <v>6</v>
      </c>
      <c r="AN16" s="28"/>
      <c r="AO16" s="28"/>
      <c r="AP16" s="29"/>
    </row>
    <row r="17" spans="1:42" ht="16.5" x14ac:dyDescent="0.25">
      <c r="A17" s="6">
        <v>13</v>
      </c>
      <c r="B17" s="14">
        <v>581</v>
      </c>
      <c r="C17" s="15" t="s">
        <v>107</v>
      </c>
      <c r="D17" s="16" t="s">
        <v>39</v>
      </c>
      <c r="E17" s="10" t="s">
        <v>20</v>
      </c>
      <c r="F17" s="22" t="s">
        <v>34</v>
      </c>
      <c r="G17" s="22" t="s">
        <v>34</v>
      </c>
      <c r="H17" s="22" t="s">
        <v>34</v>
      </c>
      <c r="I17" s="22" t="s">
        <v>34</v>
      </c>
      <c r="J17" s="38"/>
      <c r="K17" s="32"/>
      <c r="L17" s="11" t="s">
        <v>34</v>
      </c>
      <c r="M17" s="11" t="s">
        <v>34</v>
      </c>
      <c r="N17" s="11" t="s">
        <v>34</v>
      </c>
      <c r="O17" s="11" t="s">
        <v>34</v>
      </c>
      <c r="P17" s="11" t="s">
        <v>33</v>
      </c>
      <c r="Q17" s="11" t="s">
        <v>34</v>
      </c>
      <c r="R17" s="32"/>
      <c r="S17" s="11" t="s">
        <v>34</v>
      </c>
      <c r="T17" s="11" t="s">
        <v>34</v>
      </c>
      <c r="U17" s="11" t="s">
        <v>34</v>
      </c>
      <c r="V17" s="11" t="s">
        <v>34</v>
      </c>
      <c r="W17" s="11" t="s">
        <v>34</v>
      </c>
      <c r="X17" s="11" t="s">
        <v>34</v>
      </c>
      <c r="Y17" s="32"/>
      <c r="Z17" s="11" t="s">
        <v>33</v>
      </c>
      <c r="AA17" s="11" t="s">
        <v>34</v>
      </c>
      <c r="AB17" s="11" t="s">
        <v>34</v>
      </c>
      <c r="AC17" s="11" t="s">
        <v>34</v>
      </c>
      <c r="AD17" s="11" t="s">
        <v>34</v>
      </c>
      <c r="AE17" s="11" t="s">
        <v>34</v>
      </c>
      <c r="AF17" s="32"/>
      <c r="AG17" s="11" t="s">
        <v>34</v>
      </c>
      <c r="AH17" s="11" t="s">
        <v>34</v>
      </c>
      <c r="AI17" s="11" t="s">
        <v>34</v>
      </c>
      <c r="AJ17" s="11" t="s">
        <v>34</v>
      </c>
      <c r="AK17" s="5">
        <f t="shared" si="1"/>
        <v>24</v>
      </c>
      <c r="AL17" s="5">
        <f t="shared" si="2"/>
        <v>2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ht="16.5" x14ac:dyDescent="0.25">
      <c r="A18" s="12">
        <v>14</v>
      </c>
      <c r="B18" s="14">
        <v>588</v>
      </c>
      <c r="C18" s="15" t="s">
        <v>108</v>
      </c>
      <c r="D18" s="16" t="s">
        <v>109</v>
      </c>
      <c r="E18" s="10" t="s">
        <v>20</v>
      </c>
      <c r="F18" s="22" t="s">
        <v>34</v>
      </c>
      <c r="G18" s="22" t="s">
        <v>34</v>
      </c>
      <c r="H18" s="22" t="s">
        <v>34</v>
      </c>
      <c r="I18" s="22" t="s">
        <v>34</v>
      </c>
      <c r="J18" s="38"/>
      <c r="K18" s="32"/>
      <c r="L18" s="11" t="s">
        <v>33</v>
      </c>
      <c r="M18" s="11" t="s">
        <v>34</v>
      </c>
      <c r="N18" s="11" t="s">
        <v>34</v>
      </c>
      <c r="O18" s="11" t="s">
        <v>34</v>
      </c>
      <c r="P18" s="11" t="s">
        <v>34</v>
      </c>
      <c r="Q18" s="11" t="s">
        <v>34</v>
      </c>
      <c r="R18" s="32"/>
      <c r="S18" s="11" t="s">
        <v>34</v>
      </c>
      <c r="T18" s="11" t="s">
        <v>34</v>
      </c>
      <c r="U18" s="11" t="s">
        <v>34</v>
      </c>
      <c r="V18" s="11" t="s">
        <v>34</v>
      </c>
      <c r="W18" s="11" t="s">
        <v>34</v>
      </c>
      <c r="X18" s="11" t="s">
        <v>33</v>
      </c>
      <c r="Y18" s="32"/>
      <c r="Z18" s="11" t="s">
        <v>34</v>
      </c>
      <c r="AA18" s="11" t="s">
        <v>34</v>
      </c>
      <c r="AB18" s="11" t="s">
        <v>34</v>
      </c>
      <c r="AC18" s="11" t="s">
        <v>35</v>
      </c>
      <c r="AD18" s="11" t="s">
        <v>35</v>
      </c>
      <c r="AE18" s="11" t="s">
        <v>35</v>
      </c>
      <c r="AF18" s="32"/>
      <c r="AG18" s="11" t="s">
        <v>35</v>
      </c>
      <c r="AH18" s="11" t="s">
        <v>35</v>
      </c>
      <c r="AI18" s="11" t="s">
        <v>35</v>
      </c>
      <c r="AJ18" s="11" t="s">
        <v>35</v>
      </c>
      <c r="AK18" s="5">
        <f t="shared" si="1"/>
        <v>17</v>
      </c>
      <c r="AL18" s="5">
        <f t="shared" si="2"/>
        <v>2</v>
      </c>
      <c r="AM18" s="5" t="s">
        <v>16</v>
      </c>
      <c r="AN18" s="12">
        <f>19*26</f>
        <v>494</v>
      </c>
      <c r="AO18" s="12">
        <f>21*26</f>
        <v>546</v>
      </c>
      <c r="AP18" s="12">
        <f>AN18+AO18</f>
        <v>1040</v>
      </c>
    </row>
    <row r="19" spans="1:42" ht="16.5" x14ac:dyDescent="0.25">
      <c r="A19" s="6">
        <v>15</v>
      </c>
      <c r="B19" s="14">
        <v>686</v>
      </c>
      <c r="C19" s="15" t="s">
        <v>110</v>
      </c>
      <c r="D19" s="16" t="s">
        <v>38</v>
      </c>
      <c r="E19" s="10" t="s">
        <v>20</v>
      </c>
      <c r="F19" s="22" t="s">
        <v>34</v>
      </c>
      <c r="G19" s="22" t="s">
        <v>34</v>
      </c>
      <c r="H19" s="22" t="s">
        <v>34</v>
      </c>
      <c r="I19" s="22" t="s">
        <v>34</v>
      </c>
      <c r="J19" s="38"/>
      <c r="K19" s="32"/>
      <c r="L19" s="11" t="s">
        <v>34</v>
      </c>
      <c r="M19" s="11" t="s">
        <v>34</v>
      </c>
      <c r="N19" s="11" t="s">
        <v>34</v>
      </c>
      <c r="O19" s="11" t="s">
        <v>34</v>
      </c>
      <c r="P19" s="11" t="s">
        <v>34</v>
      </c>
      <c r="Q19" s="11" t="s">
        <v>34</v>
      </c>
      <c r="R19" s="32"/>
      <c r="S19" s="11" t="s">
        <v>34</v>
      </c>
      <c r="T19" s="11" t="s">
        <v>34</v>
      </c>
      <c r="U19" s="11" t="s">
        <v>34</v>
      </c>
      <c r="V19" s="11" t="s">
        <v>34</v>
      </c>
      <c r="W19" s="11" t="s">
        <v>34</v>
      </c>
      <c r="X19" s="11" t="s">
        <v>34</v>
      </c>
      <c r="Y19" s="32"/>
      <c r="Z19" s="11" t="s">
        <v>34</v>
      </c>
      <c r="AA19" s="11" t="s">
        <v>34</v>
      </c>
      <c r="AB19" s="11" t="s">
        <v>34</v>
      </c>
      <c r="AC19" s="11" t="s">
        <v>34</v>
      </c>
      <c r="AD19" s="11" t="s">
        <v>34</v>
      </c>
      <c r="AE19" s="11" t="s">
        <v>34</v>
      </c>
      <c r="AF19" s="32"/>
      <c r="AG19" s="11" t="s">
        <v>33</v>
      </c>
      <c r="AH19" s="11" t="s">
        <v>34</v>
      </c>
      <c r="AI19" s="11" t="s">
        <v>34</v>
      </c>
      <c r="AJ19" s="11" t="s">
        <v>34</v>
      </c>
      <c r="AK19" s="5">
        <f t="shared" si="1"/>
        <v>25</v>
      </c>
      <c r="AL19" s="5">
        <f t="shared" si="2"/>
        <v>1</v>
      </c>
      <c r="AM19" s="5" t="s">
        <v>19</v>
      </c>
      <c r="AN19" s="12">
        <f>AN18-AN11</f>
        <v>-73</v>
      </c>
      <c r="AO19" s="12">
        <f>AO18-AO11</f>
        <v>-21</v>
      </c>
      <c r="AP19" s="12">
        <f>AN19+AO19</f>
        <v>-94</v>
      </c>
    </row>
    <row r="20" spans="1:42" ht="16.5" x14ac:dyDescent="0.25">
      <c r="A20" s="12">
        <v>16</v>
      </c>
      <c r="B20" s="14">
        <v>525</v>
      </c>
      <c r="C20" s="15" t="s">
        <v>111</v>
      </c>
      <c r="D20" s="16" t="s">
        <v>112</v>
      </c>
      <c r="E20" s="10" t="s">
        <v>20</v>
      </c>
      <c r="F20" s="22" t="s">
        <v>34</v>
      </c>
      <c r="G20" s="22" t="s">
        <v>34</v>
      </c>
      <c r="H20" s="22" t="s">
        <v>34</v>
      </c>
      <c r="I20" s="22" t="s">
        <v>34</v>
      </c>
      <c r="J20" s="38"/>
      <c r="K20" s="32"/>
      <c r="L20" s="11" t="s">
        <v>34</v>
      </c>
      <c r="M20" s="11" t="s">
        <v>34</v>
      </c>
      <c r="N20" s="11" t="s">
        <v>34</v>
      </c>
      <c r="O20" s="11" t="s">
        <v>34</v>
      </c>
      <c r="P20" s="11" t="s">
        <v>34</v>
      </c>
      <c r="Q20" s="11" t="s">
        <v>34</v>
      </c>
      <c r="R20" s="32"/>
      <c r="S20" s="11" t="s">
        <v>34</v>
      </c>
      <c r="T20" s="11" t="s">
        <v>34</v>
      </c>
      <c r="U20" s="11" t="s">
        <v>34</v>
      </c>
      <c r="V20" s="11" t="s">
        <v>34</v>
      </c>
      <c r="W20" s="11" t="s">
        <v>34</v>
      </c>
      <c r="X20" s="11" t="s">
        <v>34</v>
      </c>
      <c r="Y20" s="32"/>
      <c r="Z20" s="11" t="s">
        <v>34</v>
      </c>
      <c r="AA20" s="11" t="s">
        <v>34</v>
      </c>
      <c r="AB20" s="11" t="s">
        <v>34</v>
      </c>
      <c r="AC20" s="11" t="s">
        <v>34</v>
      </c>
      <c r="AD20" s="11" t="s">
        <v>34</v>
      </c>
      <c r="AE20" s="11" t="s">
        <v>34</v>
      </c>
      <c r="AF20" s="32"/>
      <c r="AG20" s="11" t="s">
        <v>34</v>
      </c>
      <c r="AH20" s="11" t="s">
        <v>34</v>
      </c>
      <c r="AI20" s="11" t="s">
        <v>34</v>
      </c>
      <c r="AJ20" s="11" t="s">
        <v>34</v>
      </c>
      <c r="AK20" s="5">
        <f t="shared" si="1"/>
        <v>26</v>
      </c>
      <c r="AL20" s="5">
        <f t="shared" si="2"/>
        <v>0</v>
      </c>
      <c r="AM20" s="5" t="s">
        <v>15</v>
      </c>
      <c r="AN20" s="20">
        <f>AN19/AN18</f>
        <v>-0.14777327935222673</v>
      </c>
      <c r="AO20" s="20">
        <f>AO19/AO18</f>
        <v>-3.8461538461538464E-2</v>
      </c>
      <c r="AP20" s="20">
        <f>AP19/AP18</f>
        <v>-9.0384615384615383E-2</v>
      </c>
    </row>
    <row r="21" spans="1:42" ht="16.5" x14ac:dyDescent="0.25">
      <c r="A21" s="6">
        <v>17</v>
      </c>
      <c r="B21" s="14">
        <v>577</v>
      </c>
      <c r="C21" s="15" t="s">
        <v>113</v>
      </c>
      <c r="D21" s="16" t="s">
        <v>114</v>
      </c>
      <c r="E21" s="10" t="s">
        <v>20</v>
      </c>
      <c r="F21" s="22" t="s">
        <v>34</v>
      </c>
      <c r="G21" s="22" t="s">
        <v>34</v>
      </c>
      <c r="H21" s="22" t="s">
        <v>34</v>
      </c>
      <c r="I21" s="22" t="s">
        <v>34</v>
      </c>
      <c r="J21" s="38"/>
      <c r="K21" s="32"/>
      <c r="L21" s="11" t="s">
        <v>33</v>
      </c>
      <c r="M21" s="11" t="s">
        <v>34</v>
      </c>
      <c r="N21" s="11" t="s">
        <v>34</v>
      </c>
      <c r="O21" s="11" t="s">
        <v>34</v>
      </c>
      <c r="P21" s="11" t="s">
        <v>34</v>
      </c>
      <c r="Q21" s="11" t="s">
        <v>33</v>
      </c>
      <c r="R21" s="32"/>
      <c r="S21" s="11" t="s">
        <v>34</v>
      </c>
      <c r="T21" s="11" t="s">
        <v>34</v>
      </c>
      <c r="U21" s="11" t="s">
        <v>34</v>
      </c>
      <c r="V21" s="11" t="s">
        <v>34</v>
      </c>
      <c r="W21" s="11" t="s">
        <v>34</v>
      </c>
      <c r="X21" s="11" t="s">
        <v>33</v>
      </c>
      <c r="Y21" s="32"/>
      <c r="Z21" s="11" t="s">
        <v>33</v>
      </c>
      <c r="AA21" s="11" t="s">
        <v>34</v>
      </c>
      <c r="AB21" s="11" t="s">
        <v>34</v>
      </c>
      <c r="AC21" s="11" t="s">
        <v>34</v>
      </c>
      <c r="AD21" s="11" t="s">
        <v>34</v>
      </c>
      <c r="AE21" s="11" t="s">
        <v>34</v>
      </c>
      <c r="AF21" s="32"/>
      <c r="AG21" s="11" t="s">
        <v>34</v>
      </c>
      <c r="AH21" s="11" t="s">
        <v>33</v>
      </c>
      <c r="AI21" s="11" t="s">
        <v>34</v>
      </c>
      <c r="AJ21" s="11" t="s">
        <v>34</v>
      </c>
      <c r="AK21" s="5">
        <f t="shared" si="1"/>
        <v>21</v>
      </c>
      <c r="AL21" s="5">
        <f t="shared" si="2"/>
        <v>5</v>
      </c>
    </row>
    <row r="22" spans="1:42" ht="16.5" x14ac:dyDescent="0.25">
      <c r="A22" s="12">
        <v>18</v>
      </c>
      <c r="B22" s="14">
        <v>589</v>
      </c>
      <c r="C22" s="15" t="s">
        <v>115</v>
      </c>
      <c r="D22" s="16" t="s">
        <v>116</v>
      </c>
      <c r="E22" s="10" t="s">
        <v>20</v>
      </c>
      <c r="F22" s="22" t="s">
        <v>34</v>
      </c>
      <c r="G22" s="22" t="s">
        <v>34</v>
      </c>
      <c r="H22" s="22" t="s">
        <v>34</v>
      </c>
      <c r="I22" s="22" t="s">
        <v>34</v>
      </c>
      <c r="J22" s="38"/>
      <c r="K22" s="32"/>
      <c r="L22" s="11" t="s">
        <v>34</v>
      </c>
      <c r="M22" s="11" t="s">
        <v>34</v>
      </c>
      <c r="N22" s="11" t="s">
        <v>33</v>
      </c>
      <c r="O22" s="11" t="s">
        <v>34</v>
      </c>
      <c r="P22" s="11" t="s">
        <v>34</v>
      </c>
      <c r="Q22" s="11" t="s">
        <v>34</v>
      </c>
      <c r="R22" s="32"/>
      <c r="S22" s="11" t="s">
        <v>34</v>
      </c>
      <c r="T22" s="11" t="s">
        <v>34</v>
      </c>
      <c r="U22" s="11" t="s">
        <v>34</v>
      </c>
      <c r="V22" s="11" t="s">
        <v>33</v>
      </c>
      <c r="W22" s="11" t="s">
        <v>34</v>
      </c>
      <c r="X22" s="11" t="s">
        <v>34</v>
      </c>
      <c r="Y22" s="32"/>
      <c r="Z22" s="11" t="s">
        <v>33</v>
      </c>
      <c r="AA22" s="11" t="s">
        <v>33</v>
      </c>
      <c r="AB22" s="11" t="s">
        <v>34</v>
      </c>
      <c r="AC22" s="11" t="s">
        <v>34</v>
      </c>
      <c r="AD22" s="11" t="s">
        <v>34</v>
      </c>
      <c r="AE22" s="11" t="s">
        <v>33</v>
      </c>
      <c r="AF22" s="32"/>
      <c r="AG22" s="11" t="s">
        <v>34</v>
      </c>
      <c r="AH22" s="11" t="s">
        <v>34</v>
      </c>
      <c r="AI22" s="11" t="s">
        <v>34</v>
      </c>
      <c r="AJ22" s="11" t="s">
        <v>34</v>
      </c>
      <c r="AK22" s="5">
        <f t="shared" si="1"/>
        <v>21</v>
      </c>
      <c r="AL22" s="5">
        <f t="shared" si="2"/>
        <v>5</v>
      </c>
    </row>
    <row r="23" spans="1:42" ht="16.5" x14ac:dyDescent="0.25">
      <c r="A23" s="6">
        <v>19</v>
      </c>
      <c r="B23" s="14"/>
      <c r="C23" s="15" t="s">
        <v>117</v>
      </c>
      <c r="D23" s="16" t="s">
        <v>118</v>
      </c>
      <c r="E23" s="10" t="s">
        <v>20</v>
      </c>
      <c r="F23" s="22" t="s">
        <v>34</v>
      </c>
      <c r="G23" s="22" t="s">
        <v>34</v>
      </c>
      <c r="H23" s="22" t="s">
        <v>34</v>
      </c>
      <c r="I23" s="22" t="s">
        <v>34</v>
      </c>
      <c r="J23" s="38"/>
      <c r="K23" s="32"/>
      <c r="L23" s="11" t="s">
        <v>34</v>
      </c>
      <c r="M23" s="11" t="s">
        <v>34</v>
      </c>
      <c r="N23" s="11" t="s">
        <v>34</v>
      </c>
      <c r="O23" s="11" t="s">
        <v>34</v>
      </c>
      <c r="P23" s="11" t="s">
        <v>33</v>
      </c>
      <c r="Q23" s="11" t="s">
        <v>33</v>
      </c>
      <c r="R23" s="32"/>
      <c r="S23" s="11" t="s">
        <v>34</v>
      </c>
      <c r="T23" s="11" t="s">
        <v>34</v>
      </c>
      <c r="U23" s="11" t="s">
        <v>34</v>
      </c>
      <c r="V23" s="11" t="s">
        <v>34</v>
      </c>
      <c r="W23" s="11" t="s">
        <v>34</v>
      </c>
      <c r="X23" s="11" t="s">
        <v>33</v>
      </c>
      <c r="Y23" s="32"/>
      <c r="Z23" s="11" t="s">
        <v>34</v>
      </c>
      <c r="AA23" s="11" t="s">
        <v>34</v>
      </c>
      <c r="AB23" s="11" t="s">
        <v>34</v>
      </c>
      <c r="AC23" s="11" t="s">
        <v>34</v>
      </c>
      <c r="AD23" s="11" t="s">
        <v>34</v>
      </c>
      <c r="AE23" s="11" t="s">
        <v>34</v>
      </c>
      <c r="AF23" s="32"/>
      <c r="AG23" s="11" t="s">
        <v>34</v>
      </c>
      <c r="AH23" s="11" t="s">
        <v>34</v>
      </c>
      <c r="AI23" s="11" t="s">
        <v>34</v>
      </c>
      <c r="AJ23" s="11" t="s">
        <v>34</v>
      </c>
      <c r="AK23" s="5">
        <f t="shared" si="1"/>
        <v>23</v>
      </c>
      <c r="AL23" s="5">
        <f t="shared" si="2"/>
        <v>3</v>
      </c>
    </row>
    <row r="24" spans="1:42" ht="16.5" x14ac:dyDescent="0.25">
      <c r="A24" s="12">
        <v>20</v>
      </c>
      <c r="B24" s="14"/>
      <c r="C24" s="15" t="s">
        <v>37</v>
      </c>
      <c r="D24" s="16" t="s">
        <v>40</v>
      </c>
      <c r="E24" s="10" t="s">
        <v>20</v>
      </c>
      <c r="F24" s="22" t="s">
        <v>34</v>
      </c>
      <c r="G24" s="22" t="s">
        <v>34</v>
      </c>
      <c r="H24" s="22" t="s">
        <v>34</v>
      </c>
      <c r="I24" s="22" t="s">
        <v>34</v>
      </c>
      <c r="J24" s="38"/>
      <c r="K24" s="32"/>
      <c r="L24" s="11" t="s">
        <v>34</v>
      </c>
      <c r="M24" s="11" t="s">
        <v>34</v>
      </c>
      <c r="N24" s="11" t="s">
        <v>34</v>
      </c>
      <c r="O24" s="11" t="s">
        <v>34</v>
      </c>
      <c r="P24" s="11" t="s">
        <v>34</v>
      </c>
      <c r="Q24" s="11" t="s">
        <v>34</v>
      </c>
      <c r="R24" s="32"/>
      <c r="S24" s="11" t="s">
        <v>34</v>
      </c>
      <c r="T24" s="11" t="s">
        <v>34</v>
      </c>
      <c r="U24" s="11" t="s">
        <v>34</v>
      </c>
      <c r="V24" s="11" t="s">
        <v>34</v>
      </c>
      <c r="W24" s="11" t="s">
        <v>34</v>
      </c>
      <c r="X24" s="11" t="s">
        <v>34</v>
      </c>
      <c r="Y24" s="32"/>
      <c r="Z24" s="11" t="s">
        <v>34</v>
      </c>
      <c r="AA24" s="11" t="s">
        <v>34</v>
      </c>
      <c r="AB24" s="11" t="s">
        <v>34</v>
      </c>
      <c r="AC24" s="11" t="s">
        <v>34</v>
      </c>
      <c r="AD24" s="11" t="s">
        <v>34</v>
      </c>
      <c r="AE24" s="11" t="s">
        <v>33</v>
      </c>
      <c r="AF24" s="32"/>
      <c r="AG24" s="11" t="s">
        <v>34</v>
      </c>
      <c r="AH24" s="11" t="s">
        <v>34</v>
      </c>
      <c r="AI24" s="11" t="s">
        <v>34</v>
      </c>
      <c r="AJ24" s="11" t="s">
        <v>34</v>
      </c>
      <c r="AK24" s="5">
        <f t="shared" si="1"/>
        <v>25</v>
      </c>
      <c r="AL24" s="5">
        <f t="shared" si="2"/>
        <v>1</v>
      </c>
    </row>
    <row r="25" spans="1:42" ht="16.5" x14ac:dyDescent="0.25">
      <c r="A25" s="6">
        <v>21</v>
      </c>
      <c r="B25" s="14"/>
      <c r="C25" s="15" t="s">
        <v>119</v>
      </c>
      <c r="D25" s="16" t="s">
        <v>40</v>
      </c>
      <c r="E25" s="10" t="s">
        <v>20</v>
      </c>
      <c r="F25" s="22" t="s">
        <v>34</v>
      </c>
      <c r="G25" s="22" t="s">
        <v>34</v>
      </c>
      <c r="H25" s="22" t="s">
        <v>34</v>
      </c>
      <c r="I25" s="22" t="s">
        <v>34</v>
      </c>
      <c r="J25" s="38"/>
      <c r="K25" s="32"/>
      <c r="L25" s="11" t="s">
        <v>34</v>
      </c>
      <c r="M25" s="11" t="s">
        <v>34</v>
      </c>
      <c r="N25" s="11" t="s">
        <v>34</v>
      </c>
      <c r="O25" s="11" t="s">
        <v>34</v>
      </c>
      <c r="P25" s="11" t="s">
        <v>34</v>
      </c>
      <c r="Q25" s="11" t="s">
        <v>34</v>
      </c>
      <c r="R25" s="32"/>
      <c r="S25" s="11" t="s">
        <v>34</v>
      </c>
      <c r="T25" s="11" t="s">
        <v>34</v>
      </c>
      <c r="U25" s="11" t="s">
        <v>34</v>
      </c>
      <c r="V25" s="11" t="s">
        <v>34</v>
      </c>
      <c r="W25" s="11" t="s">
        <v>34</v>
      </c>
      <c r="X25" s="11" t="s">
        <v>34</v>
      </c>
      <c r="Y25" s="32"/>
      <c r="Z25" s="11" t="s">
        <v>34</v>
      </c>
      <c r="AA25" s="11" t="s">
        <v>34</v>
      </c>
      <c r="AB25" s="11" t="s">
        <v>34</v>
      </c>
      <c r="AC25" s="11" t="s">
        <v>34</v>
      </c>
      <c r="AD25" s="11" t="s">
        <v>34</v>
      </c>
      <c r="AE25" s="11" t="s">
        <v>33</v>
      </c>
      <c r="AF25" s="32"/>
      <c r="AG25" s="11" t="s">
        <v>34</v>
      </c>
      <c r="AH25" s="11" t="s">
        <v>34</v>
      </c>
      <c r="AI25" s="11" t="s">
        <v>34</v>
      </c>
      <c r="AJ25" s="11" t="s">
        <v>34</v>
      </c>
      <c r="AK25" s="5">
        <f t="shared" si="1"/>
        <v>25</v>
      </c>
      <c r="AL25" s="5">
        <f t="shared" si="2"/>
        <v>1</v>
      </c>
    </row>
    <row r="26" spans="1:42" ht="16.5" x14ac:dyDescent="0.25">
      <c r="A26" s="12">
        <v>22</v>
      </c>
      <c r="B26" s="14">
        <v>572</v>
      </c>
      <c r="C26" s="15" t="s">
        <v>120</v>
      </c>
      <c r="D26" s="16" t="s">
        <v>29</v>
      </c>
      <c r="E26" s="10" t="s">
        <v>20</v>
      </c>
      <c r="F26" s="22" t="s">
        <v>34</v>
      </c>
      <c r="G26" s="22" t="s">
        <v>34</v>
      </c>
      <c r="H26" s="22" t="s">
        <v>34</v>
      </c>
      <c r="I26" s="22" t="s">
        <v>34</v>
      </c>
      <c r="J26" s="38"/>
      <c r="K26" s="32"/>
      <c r="L26" s="11" t="s">
        <v>33</v>
      </c>
      <c r="M26" s="11" t="s">
        <v>34</v>
      </c>
      <c r="N26" s="11" t="s">
        <v>34</v>
      </c>
      <c r="O26" s="11" t="s">
        <v>34</v>
      </c>
      <c r="P26" s="11" t="s">
        <v>34</v>
      </c>
      <c r="Q26" s="11" t="s">
        <v>34</v>
      </c>
      <c r="R26" s="32"/>
      <c r="S26" s="11" t="s">
        <v>34</v>
      </c>
      <c r="T26" s="11" t="s">
        <v>34</v>
      </c>
      <c r="U26" s="11" t="s">
        <v>34</v>
      </c>
      <c r="V26" s="11" t="s">
        <v>33</v>
      </c>
      <c r="W26" s="11" t="s">
        <v>34</v>
      </c>
      <c r="X26" s="11" t="s">
        <v>34</v>
      </c>
      <c r="Y26" s="32"/>
      <c r="Z26" s="11" t="s">
        <v>34</v>
      </c>
      <c r="AA26" s="11" t="s">
        <v>34</v>
      </c>
      <c r="AB26" s="11" t="s">
        <v>34</v>
      </c>
      <c r="AC26" s="11" t="s">
        <v>34</v>
      </c>
      <c r="AD26" s="11" t="s">
        <v>34</v>
      </c>
      <c r="AE26" s="11" t="s">
        <v>33</v>
      </c>
      <c r="AF26" s="32"/>
      <c r="AG26" s="11" t="s">
        <v>34</v>
      </c>
      <c r="AH26" s="11" t="s">
        <v>34</v>
      </c>
      <c r="AI26" s="11" t="s">
        <v>34</v>
      </c>
      <c r="AJ26" s="11" t="s">
        <v>34</v>
      </c>
      <c r="AK26" s="5">
        <f t="shared" si="1"/>
        <v>23</v>
      </c>
      <c r="AL26" s="5">
        <f t="shared" si="2"/>
        <v>3</v>
      </c>
    </row>
    <row r="27" spans="1:42" ht="16.5" x14ac:dyDescent="0.25">
      <c r="A27" s="6">
        <v>23</v>
      </c>
      <c r="B27" s="14">
        <v>649</v>
      </c>
      <c r="C27" s="15" t="s">
        <v>121</v>
      </c>
      <c r="D27" s="16" t="s">
        <v>122</v>
      </c>
      <c r="E27" s="10" t="s">
        <v>20</v>
      </c>
      <c r="F27" s="22" t="s">
        <v>34</v>
      </c>
      <c r="G27" s="22" t="s">
        <v>34</v>
      </c>
      <c r="H27" s="22" t="s">
        <v>34</v>
      </c>
      <c r="I27" s="22" t="s">
        <v>34</v>
      </c>
      <c r="J27" s="38"/>
      <c r="K27" s="32"/>
      <c r="L27" s="11" t="s">
        <v>34</v>
      </c>
      <c r="M27" s="11" t="s">
        <v>34</v>
      </c>
      <c r="N27" s="11" t="s">
        <v>34</v>
      </c>
      <c r="O27" s="11" t="s">
        <v>33</v>
      </c>
      <c r="P27" s="11" t="s">
        <v>34</v>
      </c>
      <c r="Q27" s="11" t="s">
        <v>34</v>
      </c>
      <c r="R27" s="32"/>
      <c r="S27" s="11" t="s">
        <v>34</v>
      </c>
      <c r="T27" s="11" t="s">
        <v>34</v>
      </c>
      <c r="U27" s="11" t="s">
        <v>34</v>
      </c>
      <c r="V27" s="11" t="s">
        <v>34</v>
      </c>
      <c r="W27" s="11" t="s">
        <v>34</v>
      </c>
      <c r="X27" s="11" t="s">
        <v>34</v>
      </c>
      <c r="Y27" s="32"/>
      <c r="Z27" s="11" t="s">
        <v>34</v>
      </c>
      <c r="AA27" s="11" t="s">
        <v>34</v>
      </c>
      <c r="AB27" s="11" t="s">
        <v>34</v>
      </c>
      <c r="AC27" s="11" t="s">
        <v>34</v>
      </c>
      <c r="AD27" s="11" t="s">
        <v>34</v>
      </c>
      <c r="AE27" s="11" t="s">
        <v>34</v>
      </c>
      <c r="AF27" s="32"/>
      <c r="AG27" s="11" t="s">
        <v>34</v>
      </c>
      <c r="AH27" s="11" t="s">
        <v>34</v>
      </c>
      <c r="AI27" s="11" t="s">
        <v>34</v>
      </c>
      <c r="AJ27" s="11" t="s">
        <v>34</v>
      </c>
      <c r="AK27" s="5">
        <f t="shared" si="1"/>
        <v>25</v>
      </c>
      <c r="AL27" s="5">
        <f t="shared" si="2"/>
        <v>1</v>
      </c>
    </row>
    <row r="28" spans="1:42" ht="16.5" x14ac:dyDescent="0.25">
      <c r="A28" s="12">
        <v>24</v>
      </c>
      <c r="B28" s="14"/>
      <c r="C28" s="15" t="s">
        <v>125</v>
      </c>
      <c r="D28" s="16" t="s">
        <v>126</v>
      </c>
      <c r="E28" s="10" t="s">
        <v>20</v>
      </c>
      <c r="F28" s="22" t="s">
        <v>34</v>
      </c>
      <c r="G28" s="22" t="s">
        <v>34</v>
      </c>
      <c r="H28" s="22" t="s">
        <v>34</v>
      </c>
      <c r="I28" s="22" t="s">
        <v>34</v>
      </c>
      <c r="J28" s="38"/>
      <c r="K28" s="32"/>
      <c r="L28" s="11" t="s">
        <v>34</v>
      </c>
      <c r="M28" s="11" t="s">
        <v>34</v>
      </c>
      <c r="N28" s="11" t="s">
        <v>34</v>
      </c>
      <c r="O28" s="11" t="s">
        <v>34</v>
      </c>
      <c r="P28" s="11" t="s">
        <v>34</v>
      </c>
      <c r="Q28" s="11" t="s">
        <v>33</v>
      </c>
      <c r="R28" s="32"/>
      <c r="S28" s="11" t="s">
        <v>34</v>
      </c>
      <c r="T28" s="11" t="s">
        <v>34</v>
      </c>
      <c r="U28" s="11" t="s">
        <v>34</v>
      </c>
      <c r="V28" s="11" t="s">
        <v>34</v>
      </c>
      <c r="W28" s="11" t="s">
        <v>34</v>
      </c>
      <c r="X28" s="11" t="s">
        <v>33</v>
      </c>
      <c r="Y28" s="32"/>
      <c r="Z28" s="11" t="s">
        <v>34</v>
      </c>
      <c r="AA28" s="11" t="s">
        <v>34</v>
      </c>
      <c r="AB28" s="11" t="s">
        <v>34</v>
      </c>
      <c r="AC28" s="11" t="s">
        <v>34</v>
      </c>
      <c r="AD28" s="11" t="s">
        <v>34</v>
      </c>
      <c r="AE28" s="11" t="s">
        <v>33</v>
      </c>
      <c r="AF28" s="32"/>
      <c r="AG28" s="11" t="s">
        <v>34</v>
      </c>
      <c r="AH28" s="11" t="s">
        <v>34</v>
      </c>
      <c r="AI28" s="11" t="s">
        <v>34</v>
      </c>
      <c r="AJ28" s="11" t="s">
        <v>34</v>
      </c>
      <c r="AK28" s="5">
        <f t="shared" si="1"/>
        <v>23</v>
      </c>
      <c r="AL28" s="5">
        <f t="shared" si="2"/>
        <v>3</v>
      </c>
    </row>
    <row r="29" spans="1:42" ht="16.5" x14ac:dyDescent="0.25">
      <c r="A29" s="6">
        <v>25</v>
      </c>
      <c r="B29" s="14"/>
      <c r="C29" s="15" t="s">
        <v>127</v>
      </c>
      <c r="D29" s="16" t="s">
        <v>128</v>
      </c>
      <c r="E29" s="10" t="s">
        <v>20</v>
      </c>
      <c r="F29" s="22" t="s">
        <v>34</v>
      </c>
      <c r="G29" s="22" t="s">
        <v>34</v>
      </c>
      <c r="H29" s="22" t="s">
        <v>34</v>
      </c>
      <c r="I29" s="22" t="s">
        <v>34</v>
      </c>
      <c r="J29" s="38"/>
      <c r="K29" s="32"/>
      <c r="L29" s="11" t="s">
        <v>34</v>
      </c>
      <c r="M29" s="11" t="s">
        <v>34</v>
      </c>
      <c r="N29" s="11" t="s">
        <v>34</v>
      </c>
      <c r="O29" s="11" t="s">
        <v>34</v>
      </c>
      <c r="P29" s="11" t="s">
        <v>34</v>
      </c>
      <c r="Q29" s="11" t="s">
        <v>34</v>
      </c>
      <c r="R29" s="32"/>
      <c r="S29" s="11" t="s">
        <v>33</v>
      </c>
      <c r="T29" s="11" t="s">
        <v>33</v>
      </c>
      <c r="U29" s="11" t="s">
        <v>33</v>
      </c>
      <c r="V29" s="11" t="s">
        <v>33</v>
      </c>
      <c r="W29" s="11" t="s">
        <v>33</v>
      </c>
      <c r="X29" s="11" t="s">
        <v>33</v>
      </c>
      <c r="Y29" s="32"/>
      <c r="Z29" s="11" t="s">
        <v>33</v>
      </c>
      <c r="AA29" s="11" t="s">
        <v>33</v>
      </c>
      <c r="AB29" s="11" t="s">
        <v>33</v>
      </c>
      <c r="AC29" s="11" t="s">
        <v>33</v>
      </c>
      <c r="AD29" s="11" t="s">
        <v>33</v>
      </c>
      <c r="AE29" s="11" t="s">
        <v>33</v>
      </c>
      <c r="AF29" s="32"/>
      <c r="AG29" s="11" t="s">
        <v>33</v>
      </c>
      <c r="AH29" s="11" t="s">
        <v>33</v>
      </c>
      <c r="AI29" s="11" t="s">
        <v>33</v>
      </c>
      <c r="AJ29" s="11" t="s">
        <v>33</v>
      </c>
      <c r="AK29" s="5">
        <f t="shared" si="1"/>
        <v>10</v>
      </c>
      <c r="AL29" s="5">
        <f t="shared" si="2"/>
        <v>16</v>
      </c>
    </row>
    <row r="30" spans="1:42" ht="16.5" x14ac:dyDescent="0.25">
      <c r="A30" s="12">
        <v>26</v>
      </c>
      <c r="B30" s="14"/>
      <c r="C30" s="15" t="s">
        <v>129</v>
      </c>
      <c r="D30" s="16" t="s">
        <v>130</v>
      </c>
      <c r="E30" s="10" t="s">
        <v>20</v>
      </c>
      <c r="F30" s="22" t="s">
        <v>33</v>
      </c>
      <c r="G30" s="22" t="s">
        <v>34</v>
      </c>
      <c r="H30" s="22" t="s">
        <v>33</v>
      </c>
      <c r="I30" s="22" t="s">
        <v>34</v>
      </c>
      <c r="J30" s="38"/>
      <c r="K30" s="32"/>
      <c r="L30" s="11" t="s">
        <v>34</v>
      </c>
      <c r="M30" s="11" t="s">
        <v>34</v>
      </c>
      <c r="N30" s="11" t="s">
        <v>34</v>
      </c>
      <c r="O30" s="11" t="s">
        <v>34</v>
      </c>
      <c r="P30" s="11" t="s">
        <v>34</v>
      </c>
      <c r="Q30" s="11" t="s">
        <v>33</v>
      </c>
      <c r="R30" s="32"/>
      <c r="S30" s="11" t="s">
        <v>34</v>
      </c>
      <c r="T30" s="11" t="s">
        <v>34</v>
      </c>
      <c r="U30" s="11" t="s">
        <v>34</v>
      </c>
      <c r="V30" s="11" t="s">
        <v>34</v>
      </c>
      <c r="W30" s="11" t="s">
        <v>34</v>
      </c>
      <c r="X30" s="11" t="s">
        <v>34</v>
      </c>
      <c r="Y30" s="32"/>
      <c r="Z30" s="11" t="s">
        <v>34</v>
      </c>
      <c r="AA30" s="11" t="s">
        <v>34</v>
      </c>
      <c r="AB30" s="11" t="s">
        <v>34</v>
      </c>
      <c r="AC30" s="11" t="s">
        <v>34</v>
      </c>
      <c r="AD30" s="11" t="s">
        <v>33</v>
      </c>
      <c r="AE30" s="11" t="s">
        <v>33</v>
      </c>
      <c r="AF30" s="32"/>
      <c r="AG30" s="11" t="s">
        <v>34</v>
      </c>
      <c r="AH30" s="11" t="s">
        <v>34</v>
      </c>
      <c r="AI30" s="11" t="s">
        <v>34</v>
      </c>
      <c r="AJ30" s="11" t="s">
        <v>34</v>
      </c>
      <c r="AK30" s="5">
        <f t="shared" si="1"/>
        <v>21</v>
      </c>
      <c r="AL30" s="5">
        <f t="shared" si="2"/>
        <v>5</v>
      </c>
    </row>
    <row r="31" spans="1:42" ht="16.5" customHeight="1" x14ac:dyDescent="0.25">
      <c r="A31" s="6">
        <v>1</v>
      </c>
      <c r="B31" s="7">
        <v>490</v>
      </c>
      <c r="C31" s="8" t="s">
        <v>53</v>
      </c>
      <c r="D31" s="9" t="s">
        <v>54</v>
      </c>
      <c r="E31" s="10" t="s">
        <v>20</v>
      </c>
      <c r="F31" s="22" t="s">
        <v>34</v>
      </c>
      <c r="G31" s="22" t="s">
        <v>34</v>
      </c>
      <c r="H31" s="22" t="s">
        <v>34</v>
      </c>
      <c r="I31" s="22" t="s">
        <v>34</v>
      </c>
      <c r="J31" s="38"/>
      <c r="K31" s="32"/>
      <c r="L31" s="11" t="s">
        <v>34</v>
      </c>
      <c r="M31" s="11" t="s">
        <v>34</v>
      </c>
      <c r="N31" s="11" t="s">
        <v>34</v>
      </c>
      <c r="O31" s="11" t="s">
        <v>34</v>
      </c>
      <c r="P31" s="11" t="s">
        <v>34</v>
      </c>
      <c r="Q31" s="11" t="s">
        <v>34</v>
      </c>
      <c r="R31" s="32"/>
      <c r="S31" s="11" t="s">
        <v>34</v>
      </c>
      <c r="T31" s="11" t="s">
        <v>34</v>
      </c>
      <c r="U31" s="11" t="s">
        <v>34</v>
      </c>
      <c r="V31" s="11" t="s">
        <v>34</v>
      </c>
      <c r="W31" s="11" t="s">
        <v>34</v>
      </c>
      <c r="X31" s="11" t="s">
        <v>34</v>
      </c>
      <c r="Y31" s="32"/>
      <c r="Z31" s="11" t="s">
        <v>34</v>
      </c>
      <c r="AA31" s="11" t="s">
        <v>34</v>
      </c>
      <c r="AB31" s="11" t="s">
        <v>34</v>
      </c>
      <c r="AC31" s="11" t="s">
        <v>34</v>
      </c>
      <c r="AD31" s="11" t="s">
        <v>34</v>
      </c>
      <c r="AE31" s="11" t="s">
        <v>34</v>
      </c>
      <c r="AF31" s="32"/>
      <c r="AG31" s="11" t="s">
        <v>34</v>
      </c>
      <c r="AH31" s="11" t="s">
        <v>34</v>
      </c>
      <c r="AI31" s="11" t="s">
        <v>34</v>
      </c>
      <c r="AJ31" s="11" t="s">
        <v>34</v>
      </c>
      <c r="AK31" s="5">
        <f t="shared" si="1"/>
        <v>26</v>
      </c>
      <c r="AL31" s="5">
        <f t="shared" si="2"/>
        <v>0</v>
      </c>
    </row>
    <row r="32" spans="1:42" ht="16.5" x14ac:dyDescent="0.25">
      <c r="A32" s="12">
        <v>2</v>
      </c>
      <c r="B32" s="14">
        <v>646</v>
      </c>
      <c r="C32" s="15" t="s">
        <v>55</v>
      </c>
      <c r="D32" s="16" t="s">
        <v>43</v>
      </c>
      <c r="E32" s="10" t="s">
        <v>20</v>
      </c>
      <c r="F32" s="22" t="s">
        <v>34</v>
      </c>
      <c r="G32" s="22" t="s">
        <v>33</v>
      </c>
      <c r="H32" s="22" t="s">
        <v>34</v>
      </c>
      <c r="I32" s="22" t="s">
        <v>34</v>
      </c>
      <c r="J32" s="38"/>
      <c r="K32" s="32"/>
      <c r="L32" s="11" t="s">
        <v>34</v>
      </c>
      <c r="M32" s="11" t="s">
        <v>34</v>
      </c>
      <c r="N32" s="11" t="s">
        <v>34</v>
      </c>
      <c r="O32" s="11" t="s">
        <v>34</v>
      </c>
      <c r="P32" s="11" t="s">
        <v>33</v>
      </c>
      <c r="Q32" s="11" t="s">
        <v>34</v>
      </c>
      <c r="R32" s="32"/>
      <c r="S32" s="11" t="s">
        <v>34</v>
      </c>
      <c r="T32" s="11" t="s">
        <v>34</v>
      </c>
      <c r="U32" s="11" t="s">
        <v>34</v>
      </c>
      <c r="V32" s="11" t="s">
        <v>34</v>
      </c>
      <c r="W32" s="11" t="s">
        <v>34</v>
      </c>
      <c r="X32" s="11" t="s">
        <v>33</v>
      </c>
      <c r="Y32" s="32"/>
      <c r="Z32" s="11" t="s">
        <v>34</v>
      </c>
      <c r="AA32" s="11" t="s">
        <v>34</v>
      </c>
      <c r="AB32" s="11" t="s">
        <v>34</v>
      </c>
      <c r="AC32" s="11" t="s">
        <v>34</v>
      </c>
      <c r="AD32" s="11" t="s">
        <v>34</v>
      </c>
      <c r="AE32" s="11" t="s">
        <v>34</v>
      </c>
      <c r="AF32" s="32"/>
      <c r="AG32" s="11" t="s">
        <v>34</v>
      </c>
      <c r="AH32" s="11" t="s">
        <v>34</v>
      </c>
      <c r="AI32" s="11" t="s">
        <v>34</v>
      </c>
      <c r="AJ32" s="11" t="s">
        <v>34</v>
      </c>
      <c r="AK32" s="5">
        <f t="shared" si="1"/>
        <v>23</v>
      </c>
      <c r="AL32" s="5">
        <f t="shared" si="2"/>
        <v>3</v>
      </c>
    </row>
    <row r="33" spans="1:38" ht="16.5" x14ac:dyDescent="0.25">
      <c r="A33" s="6">
        <v>3</v>
      </c>
      <c r="B33" s="14">
        <v>690</v>
      </c>
      <c r="C33" s="15" t="s">
        <v>56</v>
      </c>
      <c r="D33" s="16" t="s">
        <v>57</v>
      </c>
      <c r="E33" s="10" t="s">
        <v>20</v>
      </c>
      <c r="F33" s="22" t="s">
        <v>34</v>
      </c>
      <c r="G33" s="22" t="s">
        <v>34</v>
      </c>
      <c r="H33" s="22" t="s">
        <v>34</v>
      </c>
      <c r="I33" s="22" t="s">
        <v>34</v>
      </c>
      <c r="J33" s="38"/>
      <c r="K33" s="32"/>
      <c r="L33" s="11" t="s">
        <v>34</v>
      </c>
      <c r="M33" s="11" t="s">
        <v>34</v>
      </c>
      <c r="N33" s="11" t="s">
        <v>34</v>
      </c>
      <c r="O33" s="11" t="s">
        <v>34</v>
      </c>
      <c r="P33" s="11" t="s">
        <v>34</v>
      </c>
      <c r="Q33" s="11" t="s">
        <v>34</v>
      </c>
      <c r="R33" s="32"/>
      <c r="S33" s="11" t="s">
        <v>34</v>
      </c>
      <c r="T33" s="11" t="s">
        <v>34</v>
      </c>
      <c r="U33" s="11" t="s">
        <v>34</v>
      </c>
      <c r="V33" s="11" t="s">
        <v>34</v>
      </c>
      <c r="W33" s="11" t="s">
        <v>34</v>
      </c>
      <c r="X33" s="11" t="s">
        <v>34</v>
      </c>
      <c r="Y33" s="32"/>
      <c r="Z33" s="11" t="s">
        <v>34</v>
      </c>
      <c r="AA33" s="11" t="s">
        <v>34</v>
      </c>
      <c r="AB33" s="11" t="s">
        <v>34</v>
      </c>
      <c r="AC33" s="11" t="s">
        <v>35</v>
      </c>
      <c r="AD33" s="11" t="s">
        <v>34</v>
      </c>
      <c r="AE33" s="11" t="s">
        <v>34</v>
      </c>
      <c r="AF33" s="32"/>
      <c r="AG33" s="11" t="s">
        <v>34</v>
      </c>
      <c r="AH33" s="11" t="s">
        <v>33</v>
      </c>
      <c r="AI33" s="11" t="s">
        <v>34</v>
      </c>
      <c r="AJ33" s="11" t="s">
        <v>34</v>
      </c>
      <c r="AK33" s="5">
        <f t="shared" si="1"/>
        <v>24</v>
      </c>
      <c r="AL33" s="5">
        <f t="shared" si="2"/>
        <v>1</v>
      </c>
    </row>
    <row r="34" spans="1:38" ht="16.5" x14ac:dyDescent="0.25">
      <c r="A34" s="12">
        <v>4</v>
      </c>
      <c r="B34" s="14">
        <v>684</v>
      </c>
      <c r="C34" s="15" t="s">
        <v>58</v>
      </c>
      <c r="D34" s="16" t="s">
        <v>52</v>
      </c>
      <c r="E34" s="10" t="s">
        <v>20</v>
      </c>
      <c r="F34" s="22" t="s">
        <v>34</v>
      </c>
      <c r="G34" s="22" t="s">
        <v>34</v>
      </c>
      <c r="H34" s="22" t="s">
        <v>34</v>
      </c>
      <c r="I34" s="22" t="s">
        <v>34</v>
      </c>
      <c r="J34" s="38"/>
      <c r="K34" s="32"/>
      <c r="L34" s="11" t="s">
        <v>34</v>
      </c>
      <c r="M34" s="11" t="s">
        <v>34</v>
      </c>
      <c r="N34" s="11" t="s">
        <v>34</v>
      </c>
      <c r="O34" s="11" t="s">
        <v>34</v>
      </c>
      <c r="P34" s="11" t="s">
        <v>34</v>
      </c>
      <c r="Q34" s="11" t="s">
        <v>33</v>
      </c>
      <c r="R34" s="32"/>
      <c r="S34" s="11" t="s">
        <v>34</v>
      </c>
      <c r="T34" s="11" t="s">
        <v>34</v>
      </c>
      <c r="U34" s="11" t="s">
        <v>34</v>
      </c>
      <c r="V34" s="11" t="s">
        <v>34</v>
      </c>
      <c r="W34" s="11" t="s">
        <v>34</v>
      </c>
      <c r="X34" s="11" t="s">
        <v>34</v>
      </c>
      <c r="Y34" s="32"/>
      <c r="Z34" s="11" t="s">
        <v>34</v>
      </c>
      <c r="AA34" s="11" t="s">
        <v>34</v>
      </c>
      <c r="AB34" s="11" t="s">
        <v>34</v>
      </c>
      <c r="AC34" s="11" t="s">
        <v>34</v>
      </c>
      <c r="AD34" s="11" t="s">
        <v>34</v>
      </c>
      <c r="AE34" s="11" t="s">
        <v>33</v>
      </c>
      <c r="AF34" s="32"/>
      <c r="AG34" s="11" t="s">
        <v>34</v>
      </c>
      <c r="AH34" s="11" t="s">
        <v>34</v>
      </c>
      <c r="AI34" s="11" t="s">
        <v>34</v>
      </c>
      <c r="AJ34" s="11" t="s">
        <v>34</v>
      </c>
      <c r="AK34" s="5">
        <f t="shared" si="1"/>
        <v>24</v>
      </c>
      <c r="AL34" s="5">
        <f t="shared" si="2"/>
        <v>2</v>
      </c>
    </row>
    <row r="35" spans="1:38" ht="16.5" x14ac:dyDescent="0.25">
      <c r="A35" s="6">
        <v>5</v>
      </c>
      <c r="B35" s="14">
        <v>551</v>
      </c>
      <c r="C35" s="15" t="s">
        <v>46</v>
      </c>
      <c r="D35" s="16" t="s">
        <v>59</v>
      </c>
      <c r="E35" s="10" t="s">
        <v>20</v>
      </c>
      <c r="F35" s="22" t="s">
        <v>34</v>
      </c>
      <c r="G35" s="22" t="s">
        <v>34</v>
      </c>
      <c r="H35" s="22" t="s">
        <v>34</v>
      </c>
      <c r="I35" s="22" t="s">
        <v>34</v>
      </c>
      <c r="J35" s="38"/>
      <c r="K35" s="32"/>
      <c r="L35" s="11" t="s">
        <v>34</v>
      </c>
      <c r="M35" s="11" t="s">
        <v>34</v>
      </c>
      <c r="N35" s="11" t="s">
        <v>34</v>
      </c>
      <c r="O35" s="11" t="s">
        <v>34</v>
      </c>
      <c r="P35" s="11" t="s">
        <v>34</v>
      </c>
      <c r="Q35" s="11" t="s">
        <v>34</v>
      </c>
      <c r="R35" s="32"/>
      <c r="S35" s="11" t="s">
        <v>34</v>
      </c>
      <c r="T35" s="11" t="s">
        <v>34</v>
      </c>
      <c r="U35" s="11" t="s">
        <v>34</v>
      </c>
      <c r="V35" s="11" t="s">
        <v>34</v>
      </c>
      <c r="W35" s="11" t="s">
        <v>34</v>
      </c>
      <c r="X35" s="11" t="s">
        <v>34</v>
      </c>
      <c r="Y35" s="32"/>
      <c r="Z35" s="11" t="s">
        <v>34</v>
      </c>
      <c r="AA35" s="11" t="s">
        <v>34</v>
      </c>
      <c r="AB35" s="11" t="s">
        <v>34</v>
      </c>
      <c r="AC35" s="11" t="s">
        <v>34</v>
      </c>
      <c r="AD35" s="11" t="s">
        <v>34</v>
      </c>
      <c r="AE35" s="11" t="s">
        <v>34</v>
      </c>
      <c r="AF35" s="32"/>
      <c r="AG35" s="11" t="s">
        <v>34</v>
      </c>
      <c r="AH35" s="11" t="s">
        <v>34</v>
      </c>
      <c r="AI35" s="11" t="s">
        <v>34</v>
      </c>
      <c r="AJ35" s="11" t="s">
        <v>34</v>
      </c>
      <c r="AK35" s="5">
        <f t="shared" si="1"/>
        <v>26</v>
      </c>
      <c r="AL35" s="5">
        <f t="shared" si="2"/>
        <v>0</v>
      </c>
    </row>
    <row r="36" spans="1:38" ht="16.5" x14ac:dyDescent="0.25">
      <c r="A36" s="12">
        <v>6</v>
      </c>
      <c r="B36" s="14">
        <v>647</v>
      </c>
      <c r="C36" s="15" t="s">
        <v>60</v>
      </c>
      <c r="D36" s="16" t="s">
        <v>61</v>
      </c>
      <c r="E36" s="10" t="s">
        <v>20</v>
      </c>
      <c r="F36" s="22" t="s">
        <v>34</v>
      </c>
      <c r="G36" s="22" t="s">
        <v>34</v>
      </c>
      <c r="H36" s="22" t="s">
        <v>34</v>
      </c>
      <c r="I36" s="22" t="s">
        <v>34</v>
      </c>
      <c r="J36" s="38"/>
      <c r="K36" s="32"/>
      <c r="L36" s="11" t="s">
        <v>34</v>
      </c>
      <c r="M36" s="11" t="s">
        <v>34</v>
      </c>
      <c r="N36" s="11" t="s">
        <v>34</v>
      </c>
      <c r="O36" s="11" t="s">
        <v>34</v>
      </c>
      <c r="P36" s="11" t="s">
        <v>34</v>
      </c>
      <c r="Q36" s="11" t="s">
        <v>34</v>
      </c>
      <c r="R36" s="32"/>
      <c r="S36" s="11" t="s">
        <v>34</v>
      </c>
      <c r="T36" s="11" t="s">
        <v>34</v>
      </c>
      <c r="U36" s="11" t="s">
        <v>34</v>
      </c>
      <c r="V36" s="11" t="s">
        <v>34</v>
      </c>
      <c r="W36" s="11" t="s">
        <v>34</v>
      </c>
      <c r="X36" s="11" t="s">
        <v>34</v>
      </c>
      <c r="Y36" s="32"/>
      <c r="Z36" s="11" t="s">
        <v>34</v>
      </c>
      <c r="AA36" s="11" t="s">
        <v>34</v>
      </c>
      <c r="AB36" s="11" t="s">
        <v>34</v>
      </c>
      <c r="AC36" s="11" t="s">
        <v>34</v>
      </c>
      <c r="AD36" s="11" t="s">
        <v>34</v>
      </c>
      <c r="AE36" s="11" t="s">
        <v>34</v>
      </c>
      <c r="AF36" s="32"/>
      <c r="AG36" s="11" t="s">
        <v>34</v>
      </c>
      <c r="AH36" s="11" t="s">
        <v>34</v>
      </c>
      <c r="AI36" s="11" t="s">
        <v>34</v>
      </c>
      <c r="AJ36" s="11" t="s">
        <v>34</v>
      </c>
      <c r="AK36" s="5">
        <f t="shared" si="1"/>
        <v>26</v>
      </c>
      <c r="AL36" s="5">
        <f t="shared" si="2"/>
        <v>0</v>
      </c>
    </row>
    <row r="37" spans="1:38" ht="16.5" x14ac:dyDescent="0.25">
      <c r="A37" s="6">
        <v>7</v>
      </c>
      <c r="B37" s="14">
        <v>585</v>
      </c>
      <c r="C37" s="15" t="s">
        <v>62</v>
      </c>
      <c r="D37" s="16" t="s">
        <v>25</v>
      </c>
      <c r="E37" s="10" t="s">
        <v>20</v>
      </c>
      <c r="F37" s="22" t="s">
        <v>34</v>
      </c>
      <c r="G37" s="22" t="s">
        <v>34</v>
      </c>
      <c r="H37" s="22" t="s">
        <v>34</v>
      </c>
      <c r="I37" s="22" t="s">
        <v>34</v>
      </c>
      <c r="J37" s="38"/>
      <c r="K37" s="32"/>
      <c r="L37" s="11" t="s">
        <v>34</v>
      </c>
      <c r="M37" s="11" t="s">
        <v>34</v>
      </c>
      <c r="N37" s="11" t="s">
        <v>34</v>
      </c>
      <c r="O37" s="11" t="s">
        <v>34</v>
      </c>
      <c r="P37" s="11" t="s">
        <v>34</v>
      </c>
      <c r="Q37" s="11" t="s">
        <v>33</v>
      </c>
      <c r="R37" s="32"/>
      <c r="S37" s="11" t="s">
        <v>34</v>
      </c>
      <c r="T37" s="11" t="s">
        <v>34</v>
      </c>
      <c r="U37" s="11" t="s">
        <v>34</v>
      </c>
      <c r="V37" s="11" t="s">
        <v>34</v>
      </c>
      <c r="W37" s="11" t="s">
        <v>34</v>
      </c>
      <c r="X37" s="11" t="s">
        <v>33</v>
      </c>
      <c r="Y37" s="32"/>
      <c r="Z37" s="11" t="s">
        <v>34</v>
      </c>
      <c r="AA37" s="11" t="s">
        <v>34</v>
      </c>
      <c r="AB37" s="11" t="s">
        <v>34</v>
      </c>
      <c r="AC37" s="11" t="s">
        <v>34</v>
      </c>
      <c r="AD37" s="11" t="s">
        <v>34</v>
      </c>
      <c r="AE37" s="11" t="s">
        <v>33</v>
      </c>
      <c r="AF37" s="32"/>
      <c r="AG37" s="11" t="s">
        <v>34</v>
      </c>
      <c r="AH37" s="11" t="s">
        <v>34</v>
      </c>
      <c r="AI37" s="11" t="s">
        <v>34</v>
      </c>
      <c r="AJ37" s="11" t="s">
        <v>34</v>
      </c>
      <c r="AK37" s="5">
        <f t="shared" si="1"/>
        <v>23</v>
      </c>
      <c r="AL37" s="5">
        <f t="shared" si="2"/>
        <v>3</v>
      </c>
    </row>
    <row r="38" spans="1:38" ht="16.5" x14ac:dyDescent="0.25">
      <c r="A38" s="12">
        <v>8</v>
      </c>
      <c r="B38" s="14">
        <v>579</v>
      </c>
      <c r="C38" s="15" t="s">
        <v>45</v>
      </c>
      <c r="D38" s="16" t="s">
        <v>63</v>
      </c>
      <c r="E38" s="10" t="s">
        <v>20</v>
      </c>
      <c r="F38" s="22" t="s">
        <v>33</v>
      </c>
      <c r="G38" s="22" t="s">
        <v>33</v>
      </c>
      <c r="H38" s="22" t="s">
        <v>33</v>
      </c>
      <c r="I38" s="22" t="s">
        <v>33</v>
      </c>
      <c r="J38" s="38"/>
      <c r="K38" s="32"/>
      <c r="L38" s="11" t="s">
        <v>33</v>
      </c>
      <c r="M38" s="11" t="s">
        <v>33</v>
      </c>
      <c r="N38" s="11" t="s">
        <v>33</v>
      </c>
      <c r="O38" s="11" t="s">
        <v>33</v>
      </c>
      <c r="P38" s="11" t="s">
        <v>33</v>
      </c>
      <c r="Q38" s="11" t="s">
        <v>33</v>
      </c>
      <c r="R38" s="32"/>
      <c r="S38" s="11" t="s">
        <v>33</v>
      </c>
      <c r="T38" s="11" t="s">
        <v>33</v>
      </c>
      <c r="U38" s="11" t="s">
        <v>33</v>
      </c>
      <c r="V38" s="11" t="s">
        <v>33</v>
      </c>
      <c r="W38" s="11" t="s">
        <v>33</v>
      </c>
      <c r="X38" s="11" t="s">
        <v>33</v>
      </c>
      <c r="Y38" s="32"/>
      <c r="Z38" s="11" t="s">
        <v>33</v>
      </c>
      <c r="AA38" s="11" t="s">
        <v>33</v>
      </c>
      <c r="AB38" s="11" t="s">
        <v>33</v>
      </c>
      <c r="AC38" s="11" t="s">
        <v>33</v>
      </c>
      <c r="AD38" s="11" t="s">
        <v>33</v>
      </c>
      <c r="AE38" s="11" t="s">
        <v>33</v>
      </c>
      <c r="AF38" s="32"/>
      <c r="AG38" s="11" t="s">
        <v>33</v>
      </c>
      <c r="AH38" s="11" t="s">
        <v>33</v>
      </c>
      <c r="AI38" s="11" t="s">
        <v>33</v>
      </c>
      <c r="AJ38" s="11" t="s">
        <v>33</v>
      </c>
      <c r="AK38" s="5">
        <f t="shared" si="1"/>
        <v>0</v>
      </c>
      <c r="AL38" s="5">
        <f t="shared" si="2"/>
        <v>26</v>
      </c>
    </row>
    <row r="39" spans="1:38" ht="16.5" x14ac:dyDescent="0.25">
      <c r="A39" s="6">
        <v>9</v>
      </c>
      <c r="B39" s="14">
        <v>555</v>
      </c>
      <c r="C39" s="15" t="s">
        <v>26</v>
      </c>
      <c r="D39" s="16" t="s">
        <v>44</v>
      </c>
      <c r="E39" s="10" t="s">
        <v>20</v>
      </c>
      <c r="F39" s="22" t="s">
        <v>34</v>
      </c>
      <c r="G39" s="22" t="s">
        <v>34</v>
      </c>
      <c r="H39" s="22" t="s">
        <v>34</v>
      </c>
      <c r="I39" s="22" t="s">
        <v>34</v>
      </c>
      <c r="J39" s="38"/>
      <c r="K39" s="32"/>
      <c r="L39" s="11" t="s">
        <v>33</v>
      </c>
      <c r="M39" s="11" t="s">
        <v>33</v>
      </c>
      <c r="N39" s="11" t="s">
        <v>34</v>
      </c>
      <c r="O39" s="11" t="s">
        <v>33</v>
      </c>
      <c r="P39" s="11" t="s">
        <v>33</v>
      </c>
      <c r="Q39" s="11" t="s">
        <v>33</v>
      </c>
      <c r="R39" s="32"/>
      <c r="S39" s="11" t="s">
        <v>34</v>
      </c>
      <c r="T39" s="11" t="s">
        <v>34</v>
      </c>
      <c r="U39" s="11" t="s">
        <v>34</v>
      </c>
      <c r="V39" s="11" t="s">
        <v>34</v>
      </c>
      <c r="W39" s="11" t="s">
        <v>34</v>
      </c>
      <c r="X39" s="11" t="s">
        <v>34</v>
      </c>
      <c r="Y39" s="32"/>
      <c r="Z39" s="11" t="s">
        <v>34</v>
      </c>
      <c r="AA39" s="11" t="s">
        <v>34</v>
      </c>
      <c r="AB39" s="11" t="s">
        <v>34</v>
      </c>
      <c r="AC39" s="11" t="s">
        <v>34</v>
      </c>
      <c r="AD39" s="11" t="s">
        <v>33</v>
      </c>
      <c r="AE39" s="11" t="s">
        <v>34</v>
      </c>
      <c r="AF39" s="32"/>
      <c r="AG39" s="11" t="s">
        <v>33</v>
      </c>
      <c r="AH39" s="11" t="s">
        <v>34</v>
      </c>
      <c r="AI39" s="11" t="s">
        <v>33</v>
      </c>
      <c r="AJ39" s="11" t="s">
        <v>34</v>
      </c>
      <c r="AK39" s="5">
        <f t="shared" si="1"/>
        <v>18</v>
      </c>
      <c r="AL39" s="5">
        <f t="shared" si="2"/>
        <v>8</v>
      </c>
    </row>
    <row r="40" spans="1:38" ht="16.5" x14ac:dyDescent="0.25">
      <c r="A40" s="12">
        <v>10</v>
      </c>
      <c r="B40" s="18">
        <v>691</v>
      </c>
      <c r="C40" s="15" t="s">
        <v>64</v>
      </c>
      <c r="D40" s="16" t="s">
        <v>65</v>
      </c>
      <c r="E40" s="10" t="s">
        <v>20</v>
      </c>
      <c r="F40" s="22" t="s">
        <v>34</v>
      </c>
      <c r="G40" s="22" t="s">
        <v>33</v>
      </c>
      <c r="H40" s="22" t="s">
        <v>34</v>
      </c>
      <c r="I40" s="22" t="s">
        <v>33</v>
      </c>
      <c r="J40" s="38"/>
      <c r="K40" s="32"/>
      <c r="L40" s="11" t="s">
        <v>33</v>
      </c>
      <c r="M40" s="11" t="s">
        <v>33</v>
      </c>
      <c r="N40" s="11" t="s">
        <v>34</v>
      </c>
      <c r="O40" s="11" t="s">
        <v>34</v>
      </c>
      <c r="P40" s="11" t="s">
        <v>34</v>
      </c>
      <c r="Q40" s="11" t="s">
        <v>33</v>
      </c>
      <c r="R40" s="32"/>
      <c r="S40" s="11" t="s">
        <v>34</v>
      </c>
      <c r="T40" s="11" t="s">
        <v>34</v>
      </c>
      <c r="U40" s="11" t="s">
        <v>33</v>
      </c>
      <c r="V40" s="11" t="s">
        <v>34</v>
      </c>
      <c r="W40" s="11" t="s">
        <v>34</v>
      </c>
      <c r="X40" s="11" t="s">
        <v>34</v>
      </c>
      <c r="Y40" s="32"/>
      <c r="Z40" s="11" t="s">
        <v>34</v>
      </c>
      <c r="AA40" s="11" t="s">
        <v>35</v>
      </c>
      <c r="AB40" s="11" t="s">
        <v>35</v>
      </c>
      <c r="AC40" s="11" t="s">
        <v>34</v>
      </c>
      <c r="AD40" s="11" t="s">
        <v>34</v>
      </c>
      <c r="AE40" s="11" t="s">
        <v>34</v>
      </c>
      <c r="AF40" s="32"/>
      <c r="AG40" s="11" t="s">
        <v>33</v>
      </c>
      <c r="AH40" s="11" t="s">
        <v>34</v>
      </c>
      <c r="AI40" s="11" t="s">
        <v>34</v>
      </c>
      <c r="AJ40" s="11" t="s">
        <v>34</v>
      </c>
      <c r="AK40" s="5">
        <f t="shared" si="1"/>
        <v>17</v>
      </c>
      <c r="AL40" s="5">
        <f t="shared" si="2"/>
        <v>7</v>
      </c>
    </row>
    <row r="41" spans="1:38" ht="16.5" x14ac:dyDescent="0.25">
      <c r="A41" s="6">
        <v>11</v>
      </c>
      <c r="B41" s="14">
        <v>528</v>
      </c>
      <c r="C41" s="15" t="s">
        <v>66</v>
      </c>
      <c r="D41" s="16" t="s">
        <v>67</v>
      </c>
      <c r="E41" s="10" t="s">
        <v>20</v>
      </c>
      <c r="F41" s="22" t="s">
        <v>34</v>
      </c>
      <c r="G41" s="22" t="s">
        <v>34</v>
      </c>
      <c r="H41" s="22" t="s">
        <v>34</v>
      </c>
      <c r="I41" s="22" t="s">
        <v>33</v>
      </c>
      <c r="J41" s="38"/>
      <c r="K41" s="32"/>
      <c r="L41" s="11" t="s">
        <v>34</v>
      </c>
      <c r="M41" s="11" t="s">
        <v>34</v>
      </c>
      <c r="N41" s="11" t="s">
        <v>34</v>
      </c>
      <c r="O41" s="11" t="s">
        <v>34</v>
      </c>
      <c r="P41" s="11" t="s">
        <v>34</v>
      </c>
      <c r="Q41" s="11" t="s">
        <v>33</v>
      </c>
      <c r="R41" s="32"/>
      <c r="S41" s="11" t="s">
        <v>34</v>
      </c>
      <c r="T41" s="11" t="s">
        <v>34</v>
      </c>
      <c r="U41" s="11" t="s">
        <v>33</v>
      </c>
      <c r="V41" s="11" t="s">
        <v>33</v>
      </c>
      <c r="W41" s="11" t="s">
        <v>33</v>
      </c>
      <c r="X41" s="11" t="s">
        <v>33</v>
      </c>
      <c r="Y41" s="32"/>
      <c r="Z41" s="11" t="s">
        <v>34</v>
      </c>
      <c r="AA41" s="11" t="s">
        <v>33</v>
      </c>
      <c r="AB41" s="11" t="s">
        <v>33</v>
      </c>
      <c r="AC41" s="11" t="s">
        <v>33</v>
      </c>
      <c r="AD41" s="11" t="s">
        <v>33</v>
      </c>
      <c r="AE41" s="11" t="s">
        <v>33</v>
      </c>
      <c r="AF41" s="32"/>
      <c r="AG41" s="11" t="s">
        <v>34</v>
      </c>
      <c r="AH41" s="11" t="s">
        <v>34</v>
      </c>
      <c r="AI41" s="11" t="s">
        <v>34</v>
      </c>
      <c r="AJ41" s="11" t="s">
        <v>34</v>
      </c>
      <c r="AK41" s="5">
        <f t="shared" si="1"/>
        <v>15</v>
      </c>
      <c r="AL41" s="5">
        <f t="shared" si="2"/>
        <v>11</v>
      </c>
    </row>
    <row r="42" spans="1:38" ht="16.5" x14ac:dyDescent="0.25">
      <c r="A42" s="12">
        <v>12</v>
      </c>
      <c r="B42" s="14">
        <v>689</v>
      </c>
      <c r="C42" s="15" t="s">
        <v>68</v>
      </c>
      <c r="D42" s="16" t="s">
        <v>30</v>
      </c>
      <c r="E42" s="10" t="s">
        <v>20</v>
      </c>
      <c r="F42" s="22" t="s">
        <v>34</v>
      </c>
      <c r="G42" s="22" t="s">
        <v>34</v>
      </c>
      <c r="H42" s="22" t="s">
        <v>34</v>
      </c>
      <c r="I42" s="22" t="s">
        <v>34</v>
      </c>
      <c r="J42" s="38"/>
      <c r="K42" s="32"/>
      <c r="L42" s="11" t="s">
        <v>34</v>
      </c>
      <c r="M42" s="11" t="s">
        <v>33</v>
      </c>
      <c r="N42" s="11" t="s">
        <v>34</v>
      </c>
      <c r="O42" s="11" t="s">
        <v>34</v>
      </c>
      <c r="P42" s="11" t="s">
        <v>34</v>
      </c>
      <c r="Q42" s="11" t="s">
        <v>34</v>
      </c>
      <c r="R42" s="32"/>
      <c r="S42" s="11" t="s">
        <v>34</v>
      </c>
      <c r="T42" s="11" t="s">
        <v>34</v>
      </c>
      <c r="U42" s="11" t="s">
        <v>33</v>
      </c>
      <c r="V42" s="11" t="s">
        <v>33</v>
      </c>
      <c r="W42" s="11" t="s">
        <v>34</v>
      </c>
      <c r="X42" s="11" t="s">
        <v>34</v>
      </c>
      <c r="Y42" s="32"/>
      <c r="Z42" s="11" t="s">
        <v>34</v>
      </c>
      <c r="AA42" s="11" t="s">
        <v>34</v>
      </c>
      <c r="AB42" s="11" t="s">
        <v>34</v>
      </c>
      <c r="AC42" s="11" t="s">
        <v>34</v>
      </c>
      <c r="AD42" s="11" t="s">
        <v>33</v>
      </c>
      <c r="AE42" s="11" t="s">
        <v>33</v>
      </c>
      <c r="AF42" s="32"/>
      <c r="AG42" s="11" t="s">
        <v>34</v>
      </c>
      <c r="AH42" s="11" t="s">
        <v>33</v>
      </c>
      <c r="AI42" s="11" t="s">
        <v>34</v>
      </c>
      <c r="AJ42" s="11" t="s">
        <v>34</v>
      </c>
      <c r="AK42" s="5">
        <f t="shared" si="1"/>
        <v>20</v>
      </c>
      <c r="AL42" s="5">
        <f t="shared" si="2"/>
        <v>6</v>
      </c>
    </row>
    <row r="43" spans="1:38" ht="16.5" x14ac:dyDescent="0.25">
      <c r="A43" s="6">
        <v>13</v>
      </c>
      <c r="B43" s="14">
        <v>479</v>
      </c>
      <c r="C43" s="15" t="s">
        <v>69</v>
      </c>
      <c r="D43" s="16" t="s">
        <v>70</v>
      </c>
      <c r="E43" s="10" t="s">
        <v>20</v>
      </c>
      <c r="F43" s="22" t="s">
        <v>34</v>
      </c>
      <c r="G43" s="22" t="s">
        <v>34</v>
      </c>
      <c r="H43" s="22" t="s">
        <v>34</v>
      </c>
      <c r="I43" s="22" t="s">
        <v>34</v>
      </c>
      <c r="J43" s="38"/>
      <c r="K43" s="32"/>
      <c r="L43" s="11" t="s">
        <v>34</v>
      </c>
      <c r="M43" s="11" t="s">
        <v>34</v>
      </c>
      <c r="N43" s="11" t="s">
        <v>34</v>
      </c>
      <c r="O43" s="11" t="s">
        <v>34</v>
      </c>
      <c r="P43" s="11" t="s">
        <v>34</v>
      </c>
      <c r="Q43" s="11" t="s">
        <v>33</v>
      </c>
      <c r="R43" s="32"/>
      <c r="S43" s="11" t="s">
        <v>34</v>
      </c>
      <c r="T43" s="11" t="s">
        <v>34</v>
      </c>
      <c r="U43" s="11" t="s">
        <v>34</v>
      </c>
      <c r="V43" s="11" t="s">
        <v>34</v>
      </c>
      <c r="W43" s="11" t="s">
        <v>34</v>
      </c>
      <c r="X43" s="11" t="s">
        <v>34</v>
      </c>
      <c r="Y43" s="32"/>
      <c r="Z43" s="11" t="s">
        <v>34</v>
      </c>
      <c r="AA43" s="11" t="s">
        <v>34</v>
      </c>
      <c r="AB43" s="11" t="s">
        <v>34</v>
      </c>
      <c r="AC43" s="11" t="s">
        <v>33</v>
      </c>
      <c r="AD43" s="11" t="s">
        <v>34</v>
      </c>
      <c r="AE43" s="11" t="s">
        <v>34</v>
      </c>
      <c r="AF43" s="32"/>
      <c r="AG43" s="11" t="s">
        <v>33</v>
      </c>
      <c r="AH43" s="11" t="s">
        <v>33</v>
      </c>
      <c r="AI43" s="11" t="s">
        <v>33</v>
      </c>
      <c r="AJ43" s="11" t="s">
        <v>33</v>
      </c>
      <c r="AK43" s="5">
        <f t="shared" si="1"/>
        <v>20</v>
      </c>
      <c r="AL43" s="5">
        <f t="shared" si="2"/>
        <v>6</v>
      </c>
    </row>
    <row r="44" spans="1:38" ht="16.5" x14ac:dyDescent="0.25">
      <c r="A44" s="12">
        <v>14</v>
      </c>
      <c r="B44" s="14">
        <v>648</v>
      </c>
      <c r="C44" s="15" t="s">
        <v>71</v>
      </c>
      <c r="D44" s="16" t="s">
        <v>28</v>
      </c>
      <c r="E44" s="10" t="s">
        <v>20</v>
      </c>
      <c r="F44" s="22" t="s">
        <v>34</v>
      </c>
      <c r="G44" s="22" t="s">
        <v>34</v>
      </c>
      <c r="H44" s="22" t="s">
        <v>34</v>
      </c>
      <c r="I44" s="22" t="s">
        <v>34</v>
      </c>
      <c r="J44" s="38"/>
      <c r="K44" s="32"/>
      <c r="L44" s="11" t="s">
        <v>34</v>
      </c>
      <c r="M44" s="11" t="s">
        <v>34</v>
      </c>
      <c r="N44" s="11" t="s">
        <v>34</v>
      </c>
      <c r="O44" s="11" t="s">
        <v>34</v>
      </c>
      <c r="P44" s="11" t="s">
        <v>34</v>
      </c>
      <c r="Q44" s="11" t="s">
        <v>34</v>
      </c>
      <c r="R44" s="32"/>
      <c r="S44" s="11" t="s">
        <v>34</v>
      </c>
      <c r="T44" s="11" t="s">
        <v>34</v>
      </c>
      <c r="U44" s="11" t="s">
        <v>34</v>
      </c>
      <c r="V44" s="11" t="s">
        <v>34</v>
      </c>
      <c r="W44" s="11" t="s">
        <v>34</v>
      </c>
      <c r="X44" s="11" t="s">
        <v>34</v>
      </c>
      <c r="Y44" s="32"/>
      <c r="Z44" s="11" t="s">
        <v>34</v>
      </c>
      <c r="AA44" s="11" t="s">
        <v>34</v>
      </c>
      <c r="AB44" s="11" t="s">
        <v>34</v>
      </c>
      <c r="AC44" s="11" t="s">
        <v>34</v>
      </c>
      <c r="AD44" s="11" t="s">
        <v>33</v>
      </c>
      <c r="AE44" s="11" t="s">
        <v>34</v>
      </c>
      <c r="AF44" s="32"/>
      <c r="AG44" s="11" t="s">
        <v>34</v>
      </c>
      <c r="AH44" s="11" t="s">
        <v>34</v>
      </c>
      <c r="AI44" s="11" t="s">
        <v>34</v>
      </c>
      <c r="AJ44" s="11" t="s">
        <v>34</v>
      </c>
      <c r="AK44" s="5">
        <f t="shared" si="1"/>
        <v>25</v>
      </c>
      <c r="AL44" s="5">
        <f t="shared" si="2"/>
        <v>1</v>
      </c>
    </row>
    <row r="45" spans="1:38" ht="16.5" x14ac:dyDescent="0.25">
      <c r="A45" s="6">
        <v>15</v>
      </c>
      <c r="B45" s="14">
        <v>578</v>
      </c>
      <c r="C45" s="15" t="s">
        <v>72</v>
      </c>
      <c r="D45" s="16" t="s">
        <v>41</v>
      </c>
      <c r="E45" s="10" t="s">
        <v>20</v>
      </c>
      <c r="F45" s="22" t="s">
        <v>34</v>
      </c>
      <c r="G45" s="22" t="s">
        <v>34</v>
      </c>
      <c r="H45" s="22" t="s">
        <v>34</v>
      </c>
      <c r="I45" s="22" t="s">
        <v>34</v>
      </c>
      <c r="J45" s="38"/>
      <c r="K45" s="32"/>
      <c r="L45" s="11" t="s">
        <v>34</v>
      </c>
      <c r="M45" s="11" t="s">
        <v>34</v>
      </c>
      <c r="N45" s="11" t="s">
        <v>34</v>
      </c>
      <c r="O45" s="11" t="s">
        <v>34</v>
      </c>
      <c r="P45" s="11" t="s">
        <v>34</v>
      </c>
      <c r="Q45" s="11" t="s">
        <v>34</v>
      </c>
      <c r="R45" s="32"/>
      <c r="S45" s="11" t="s">
        <v>34</v>
      </c>
      <c r="T45" s="11" t="s">
        <v>34</v>
      </c>
      <c r="U45" s="11" t="s">
        <v>34</v>
      </c>
      <c r="V45" s="11" t="s">
        <v>34</v>
      </c>
      <c r="W45" s="11" t="s">
        <v>34</v>
      </c>
      <c r="X45" s="11" t="s">
        <v>34</v>
      </c>
      <c r="Y45" s="32"/>
      <c r="Z45" s="11" t="s">
        <v>35</v>
      </c>
      <c r="AA45" s="11" t="s">
        <v>34</v>
      </c>
      <c r="AB45" s="11" t="s">
        <v>34</v>
      </c>
      <c r="AC45" s="11" t="s">
        <v>34</v>
      </c>
      <c r="AD45" s="11" t="s">
        <v>34</v>
      </c>
      <c r="AE45" s="11" t="s">
        <v>34</v>
      </c>
      <c r="AF45" s="32"/>
      <c r="AG45" s="11" t="s">
        <v>34</v>
      </c>
      <c r="AH45" s="11" t="s">
        <v>34</v>
      </c>
      <c r="AI45" s="11" t="s">
        <v>34</v>
      </c>
      <c r="AJ45" s="11" t="s">
        <v>34</v>
      </c>
      <c r="AK45" s="5">
        <f t="shared" si="1"/>
        <v>25</v>
      </c>
      <c r="AL45" s="5">
        <f t="shared" si="2"/>
        <v>0</v>
      </c>
    </row>
    <row r="46" spans="1:38" ht="16.5" x14ac:dyDescent="0.25">
      <c r="A46" s="12">
        <v>16</v>
      </c>
      <c r="B46" s="14">
        <v>573</v>
      </c>
      <c r="C46" s="15" t="s">
        <v>32</v>
      </c>
      <c r="D46" s="16" t="s">
        <v>29</v>
      </c>
      <c r="E46" s="10" t="s">
        <v>20</v>
      </c>
      <c r="F46" s="22" t="s">
        <v>34</v>
      </c>
      <c r="G46" s="22" t="s">
        <v>34</v>
      </c>
      <c r="H46" s="22" t="s">
        <v>34</v>
      </c>
      <c r="I46" s="22" t="s">
        <v>34</v>
      </c>
      <c r="J46" s="38"/>
      <c r="K46" s="32"/>
      <c r="L46" s="11" t="s">
        <v>33</v>
      </c>
      <c r="M46" s="11" t="s">
        <v>34</v>
      </c>
      <c r="N46" s="11" t="s">
        <v>34</v>
      </c>
      <c r="O46" s="11" t="s">
        <v>34</v>
      </c>
      <c r="P46" s="11" t="s">
        <v>34</v>
      </c>
      <c r="Q46" s="11" t="s">
        <v>34</v>
      </c>
      <c r="R46" s="32"/>
      <c r="S46" s="11" t="s">
        <v>34</v>
      </c>
      <c r="T46" s="11" t="s">
        <v>34</v>
      </c>
      <c r="U46" s="11" t="s">
        <v>34</v>
      </c>
      <c r="V46" s="11" t="s">
        <v>33</v>
      </c>
      <c r="W46" s="11" t="s">
        <v>34</v>
      </c>
      <c r="X46" s="11" t="s">
        <v>34</v>
      </c>
      <c r="Y46" s="32"/>
      <c r="Z46" s="11" t="s">
        <v>34</v>
      </c>
      <c r="AA46" s="11" t="s">
        <v>34</v>
      </c>
      <c r="AB46" s="11" t="s">
        <v>34</v>
      </c>
      <c r="AC46" s="11" t="s">
        <v>34</v>
      </c>
      <c r="AD46" s="11" t="s">
        <v>34</v>
      </c>
      <c r="AE46" s="11" t="s">
        <v>35</v>
      </c>
      <c r="AF46" s="32"/>
      <c r="AG46" s="11" t="s">
        <v>34</v>
      </c>
      <c r="AH46" s="11" t="s">
        <v>34</v>
      </c>
      <c r="AI46" s="11" t="s">
        <v>34</v>
      </c>
      <c r="AJ46" s="11" t="s">
        <v>34</v>
      </c>
      <c r="AK46" s="5">
        <f t="shared" si="1"/>
        <v>23</v>
      </c>
      <c r="AL46" s="5">
        <f t="shared" si="2"/>
        <v>2</v>
      </c>
    </row>
    <row r="47" spans="1:38" ht="16.5" x14ac:dyDescent="0.25">
      <c r="A47" s="6">
        <v>17</v>
      </c>
      <c r="B47" s="14">
        <v>587</v>
      </c>
      <c r="C47" s="15" t="s">
        <v>73</v>
      </c>
      <c r="D47" s="16" t="s">
        <v>74</v>
      </c>
      <c r="E47" s="10" t="s">
        <v>20</v>
      </c>
      <c r="F47" s="22" t="s">
        <v>33</v>
      </c>
      <c r="G47" s="22" t="s">
        <v>33</v>
      </c>
      <c r="H47" s="22" t="s">
        <v>33</v>
      </c>
      <c r="I47" s="22" t="s">
        <v>33</v>
      </c>
      <c r="J47" s="38"/>
      <c r="K47" s="32"/>
      <c r="L47" s="11" t="s">
        <v>33</v>
      </c>
      <c r="M47" s="11" t="s">
        <v>33</v>
      </c>
      <c r="N47" s="11" t="s">
        <v>33</v>
      </c>
      <c r="O47" s="11" t="s">
        <v>33</v>
      </c>
      <c r="P47" s="11" t="s">
        <v>33</v>
      </c>
      <c r="Q47" s="11" t="s">
        <v>33</v>
      </c>
      <c r="R47" s="32"/>
      <c r="S47" s="11" t="s">
        <v>33</v>
      </c>
      <c r="T47" s="11" t="s">
        <v>33</v>
      </c>
      <c r="U47" s="11" t="s">
        <v>33</v>
      </c>
      <c r="V47" s="11" t="s">
        <v>33</v>
      </c>
      <c r="W47" s="11" t="s">
        <v>33</v>
      </c>
      <c r="X47" s="11" t="s">
        <v>33</v>
      </c>
      <c r="Y47" s="32"/>
      <c r="Z47" s="11" t="s">
        <v>33</v>
      </c>
      <c r="AA47" s="11" t="s">
        <v>33</v>
      </c>
      <c r="AB47" s="11" t="s">
        <v>33</v>
      </c>
      <c r="AC47" s="11" t="s">
        <v>33</v>
      </c>
      <c r="AD47" s="11" t="s">
        <v>33</v>
      </c>
      <c r="AE47" s="11" t="s">
        <v>33</v>
      </c>
      <c r="AF47" s="32"/>
      <c r="AG47" s="11" t="s">
        <v>33</v>
      </c>
      <c r="AH47" s="11" t="s">
        <v>33</v>
      </c>
      <c r="AI47" s="11" t="s">
        <v>33</v>
      </c>
      <c r="AJ47" s="11" t="s">
        <v>33</v>
      </c>
      <c r="AK47" s="5">
        <f t="shared" si="1"/>
        <v>0</v>
      </c>
      <c r="AL47" s="5">
        <f t="shared" si="2"/>
        <v>26</v>
      </c>
    </row>
    <row r="48" spans="1:38" ht="16.5" x14ac:dyDescent="0.25">
      <c r="A48" s="12">
        <v>18</v>
      </c>
      <c r="B48" s="14">
        <v>575</v>
      </c>
      <c r="C48" s="15" t="s">
        <v>75</v>
      </c>
      <c r="D48" s="16" t="s">
        <v>76</v>
      </c>
      <c r="E48" s="10" t="s">
        <v>20</v>
      </c>
      <c r="F48" s="22" t="s">
        <v>34</v>
      </c>
      <c r="G48" s="22" t="s">
        <v>34</v>
      </c>
      <c r="H48" s="22" t="s">
        <v>34</v>
      </c>
      <c r="I48" s="22" t="s">
        <v>33</v>
      </c>
      <c r="J48" s="38"/>
      <c r="K48" s="32"/>
      <c r="L48" s="11" t="s">
        <v>34</v>
      </c>
      <c r="M48" s="11" t="s">
        <v>34</v>
      </c>
      <c r="N48" s="11" t="s">
        <v>34</v>
      </c>
      <c r="O48" s="11" t="s">
        <v>34</v>
      </c>
      <c r="P48" s="11" t="s">
        <v>34</v>
      </c>
      <c r="Q48" s="11" t="s">
        <v>34</v>
      </c>
      <c r="R48" s="32"/>
      <c r="S48" s="11" t="s">
        <v>34</v>
      </c>
      <c r="T48" s="11" t="s">
        <v>34</v>
      </c>
      <c r="U48" s="11" t="s">
        <v>34</v>
      </c>
      <c r="V48" s="11" t="s">
        <v>34</v>
      </c>
      <c r="W48" s="11" t="s">
        <v>34</v>
      </c>
      <c r="X48" s="11" t="s">
        <v>34</v>
      </c>
      <c r="Y48" s="32"/>
      <c r="Z48" s="11" t="s">
        <v>34</v>
      </c>
      <c r="AA48" s="11" t="s">
        <v>34</v>
      </c>
      <c r="AB48" s="11" t="s">
        <v>34</v>
      </c>
      <c r="AC48" s="11" t="s">
        <v>33</v>
      </c>
      <c r="AD48" s="11" t="s">
        <v>34</v>
      </c>
      <c r="AE48" s="11" t="s">
        <v>33</v>
      </c>
      <c r="AF48" s="32"/>
      <c r="AG48" s="11" t="s">
        <v>34</v>
      </c>
      <c r="AH48" s="11" t="s">
        <v>34</v>
      </c>
      <c r="AI48" s="11" t="s">
        <v>34</v>
      </c>
      <c r="AJ48" s="11" t="s">
        <v>34</v>
      </c>
      <c r="AK48" s="5">
        <f t="shared" si="1"/>
        <v>23</v>
      </c>
      <c r="AL48" s="5">
        <f t="shared" si="2"/>
        <v>3</v>
      </c>
    </row>
    <row r="49" spans="1:38" ht="16.5" x14ac:dyDescent="0.25">
      <c r="A49" s="6">
        <v>19</v>
      </c>
      <c r="B49" s="14">
        <v>586</v>
      </c>
      <c r="C49" s="15" t="s">
        <v>27</v>
      </c>
      <c r="D49" s="16" t="s">
        <v>77</v>
      </c>
      <c r="E49" s="10" t="s">
        <v>20</v>
      </c>
      <c r="F49" s="22" t="s">
        <v>34</v>
      </c>
      <c r="G49" s="22" t="s">
        <v>34</v>
      </c>
      <c r="H49" s="22" t="s">
        <v>34</v>
      </c>
      <c r="I49" s="22" t="s">
        <v>34</v>
      </c>
      <c r="J49" s="38"/>
      <c r="K49" s="32"/>
      <c r="L49" s="11" t="s">
        <v>34</v>
      </c>
      <c r="M49" s="11" t="s">
        <v>34</v>
      </c>
      <c r="N49" s="11" t="s">
        <v>34</v>
      </c>
      <c r="O49" s="11" t="s">
        <v>34</v>
      </c>
      <c r="P49" s="11" t="s">
        <v>33</v>
      </c>
      <c r="Q49" s="11" t="s">
        <v>33</v>
      </c>
      <c r="R49" s="32"/>
      <c r="S49" s="11" t="s">
        <v>33</v>
      </c>
      <c r="T49" s="11" t="s">
        <v>33</v>
      </c>
      <c r="U49" s="11" t="s">
        <v>33</v>
      </c>
      <c r="V49" s="11" t="s">
        <v>33</v>
      </c>
      <c r="W49" s="11" t="s">
        <v>33</v>
      </c>
      <c r="X49" s="11" t="s">
        <v>33</v>
      </c>
      <c r="Y49" s="32"/>
      <c r="Z49" s="11" t="s">
        <v>34</v>
      </c>
      <c r="AA49" s="11" t="s">
        <v>34</v>
      </c>
      <c r="AB49" s="11" t="s">
        <v>34</v>
      </c>
      <c r="AC49" s="11" t="s">
        <v>34</v>
      </c>
      <c r="AD49" s="11" t="s">
        <v>34</v>
      </c>
      <c r="AE49" s="11" t="s">
        <v>34</v>
      </c>
      <c r="AF49" s="32"/>
      <c r="AG49" s="11" t="s">
        <v>34</v>
      </c>
      <c r="AH49" s="11" t="s">
        <v>34</v>
      </c>
      <c r="AI49" s="11" t="s">
        <v>34</v>
      </c>
      <c r="AJ49" s="11" t="s">
        <v>34</v>
      </c>
      <c r="AK49" s="5">
        <f t="shared" si="1"/>
        <v>18</v>
      </c>
      <c r="AL49" s="5">
        <f t="shared" si="2"/>
        <v>8</v>
      </c>
    </row>
    <row r="50" spans="1:38" ht="16.5" x14ac:dyDescent="0.25">
      <c r="A50" s="12">
        <v>20</v>
      </c>
      <c r="B50" s="14">
        <v>583</v>
      </c>
      <c r="C50" s="15" t="s">
        <v>78</v>
      </c>
      <c r="D50" s="16" t="s">
        <v>24</v>
      </c>
      <c r="E50" s="10" t="s">
        <v>20</v>
      </c>
      <c r="F50" s="22" t="s">
        <v>34</v>
      </c>
      <c r="G50" s="22" t="s">
        <v>34</v>
      </c>
      <c r="H50" s="22" t="s">
        <v>34</v>
      </c>
      <c r="I50" s="22" t="s">
        <v>34</v>
      </c>
      <c r="J50" s="38"/>
      <c r="K50" s="32"/>
      <c r="L50" s="11" t="s">
        <v>34</v>
      </c>
      <c r="M50" s="11" t="s">
        <v>34</v>
      </c>
      <c r="N50" s="11" t="s">
        <v>34</v>
      </c>
      <c r="O50" s="11" t="s">
        <v>34</v>
      </c>
      <c r="P50" s="11" t="s">
        <v>34</v>
      </c>
      <c r="Q50" s="11" t="s">
        <v>34</v>
      </c>
      <c r="R50" s="32"/>
      <c r="S50" s="11" t="s">
        <v>34</v>
      </c>
      <c r="T50" s="11" t="s">
        <v>34</v>
      </c>
      <c r="U50" s="11" t="s">
        <v>34</v>
      </c>
      <c r="V50" s="11" t="s">
        <v>34</v>
      </c>
      <c r="W50" s="11" t="s">
        <v>34</v>
      </c>
      <c r="X50" s="11" t="s">
        <v>34</v>
      </c>
      <c r="Y50" s="32"/>
      <c r="Z50" s="11" t="s">
        <v>34</v>
      </c>
      <c r="AA50" s="11" t="s">
        <v>34</v>
      </c>
      <c r="AB50" s="11" t="s">
        <v>34</v>
      </c>
      <c r="AC50" s="11" t="s">
        <v>34</v>
      </c>
      <c r="AD50" s="11" t="s">
        <v>34</v>
      </c>
      <c r="AE50" s="11" t="s">
        <v>33</v>
      </c>
      <c r="AF50" s="32"/>
      <c r="AG50" s="11" t="s">
        <v>34</v>
      </c>
      <c r="AH50" s="11" t="s">
        <v>34</v>
      </c>
      <c r="AI50" s="11" t="s">
        <v>34</v>
      </c>
      <c r="AJ50" s="11" t="s">
        <v>34</v>
      </c>
      <c r="AK50" s="5">
        <f t="shared" si="1"/>
        <v>25</v>
      </c>
      <c r="AL50" s="5">
        <f t="shared" si="2"/>
        <v>1</v>
      </c>
    </row>
    <row r="51" spans="1:38" ht="16.5" x14ac:dyDescent="0.25">
      <c r="A51" s="6">
        <v>21</v>
      </c>
      <c r="B51" s="14">
        <v>580</v>
      </c>
      <c r="C51" s="15" t="s">
        <v>79</v>
      </c>
      <c r="D51" s="16" t="s">
        <v>80</v>
      </c>
      <c r="E51" s="10" t="s">
        <v>20</v>
      </c>
      <c r="F51" s="22" t="s">
        <v>34</v>
      </c>
      <c r="G51" s="22" t="s">
        <v>34</v>
      </c>
      <c r="H51" s="22" t="s">
        <v>34</v>
      </c>
      <c r="I51" s="22" t="s">
        <v>34</v>
      </c>
      <c r="J51" s="38"/>
      <c r="K51" s="32"/>
      <c r="L51" s="11" t="s">
        <v>34</v>
      </c>
      <c r="M51" s="11" t="s">
        <v>34</v>
      </c>
      <c r="N51" s="11" t="s">
        <v>34</v>
      </c>
      <c r="O51" s="11" t="s">
        <v>34</v>
      </c>
      <c r="P51" s="11" t="s">
        <v>34</v>
      </c>
      <c r="Q51" s="11" t="s">
        <v>34</v>
      </c>
      <c r="R51" s="32"/>
      <c r="S51" s="11" t="s">
        <v>34</v>
      </c>
      <c r="T51" s="11" t="s">
        <v>34</v>
      </c>
      <c r="U51" s="11" t="s">
        <v>34</v>
      </c>
      <c r="V51" s="11" t="s">
        <v>34</v>
      </c>
      <c r="W51" s="11" t="s">
        <v>34</v>
      </c>
      <c r="X51" s="11" t="s">
        <v>34</v>
      </c>
      <c r="Y51" s="32"/>
      <c r="Z51" s="11" t="s">
        <v>35</v>
      </c>
      <c r="AA51" s="11" t="s">
        <v>35</v>
      </c>
      <c r="AB51" s="11" t="s">
        <v>34</v>
      </c>
      <c r="AC51" s="11" t="s">
        <v>34</v>
      </c>
      <c r="AD51" s="11" t="s">
        <v>33</v>
      </c>
      <c r="AE51" s="11" t="s">
        <v>35</v>
      </c>
      <c r="AF51" s="32"/>
      <c r="AG51" s="11" t="s">
        <v>33</v>
      </c>
      <c r="AH51" s="11" t="s">
        <v>34</v>
      </c>
      <c r="AI51" s="11" t="s">
        <v>34</v>
      </c>
      <c r="AJ51" s="11" t="s">
        <v>34</v>
      </c>
      <c r="AK51" s="5">
        <f t="shared" si="1"/>
        <v>21</v>
      </c>
      <c r="AL51" s="5">
        <f t="shared" si="2"/>
        <v>2</v>
      </c>
    </row>
    <row r="52" spans="1:38" ht="16.5" x14ac:dyDescent="0.25">
      <c r="A52" s="12">
        <v>22</v>
      </c>
      <c r="B52" s="14">
        <v>480</v>
      </c>
      <c r="C52" s="15" t="s">
        <v>81</v>
      </c>
      <c r="D52" s="16" t="s">
        <v>42</v>
      </c>
      <c r="E52" s="10" t="s">
        <v>20</v>
      </c>
      <c r="F52" s="22" t="s">
        <v>34</v>
      </c>
      <c r="G52" s="22" t="s">
        <v>34</v>
      </c>
      <c r="H52" s="22" t="s">
        <v>34</v>
      </c>
      <c r="I52" s="22" t="s">
        <v>33</v>
      </c>
      <c r="J52" s="38"/>
      <c r="K52" s="32"/>
      <c r="L52" s="11" t="s">
        <v>34</v>
      </c>
      <c r="M52" s="11" t="s">
        <v>34</v>
      </c>
      <c r="N52" s="11" t="s">
        <v>34</v>
      </c>
      <c r="O52" s="11" t="s">
        <v>34</v>
      </c>
      <c r="P52" s="11" t="s">
        <v>34</v>
      </c>
      <c r="Q52" s="11" t="s">
        <v>34</v>
      </c>
      <c r="R52" s="32"/>
      <c r="S52" s="11" t="s">
        <v>34</v>
      </c>
      <c r="T52" s="11" t="s">
        <v>34</v>
      </c>
      <c r="U52" s="11" t="s">
        <v>34</v>
      </c>
      <c r="V52" s="11" t="s">
        <v>34</v>
      </c>
      <c r="W52" s="11" t="s">
        <v>34</v>
      </c>
      <c r="X52" s="11" t="s">
        <v>34</v>
      </c>
      <c r="Y52" s="32"/>
      <c r="Z52" s="11" t="s">
        <v>34</v>
      </c>
      <c r="AA52" s="11" t="s">
        <v>34</v>
      </c>
      <c r="AB52" s="11" t="s">
        <v>34</v>
      </c>
      <c r="AC52" s="11" t="s">
        <v>34</v>
      </c>
      <c r="AD52" s="11" t="s">
        <v>34</v>
      </c>
      <c r="AE52" s="11" t="s">
        <v>34</v>
      </c>
      <c r="AF52" s="32"/>
      <c r="AG52" s="11" t="s">
        <v>34</v>
      </c>
      <c r="AH52" s="11" t="s">
        <v>34</v>
      </c>
      <c r="AI52" s="11" t="s">
        <v>34</v>
      </c>
      <c r="AJ52" s="11" t="s">
        <v>34</v>
      </c>
      <c r="AK52" s="5">
        <f t="shared" si="1"/>
        <v>25</v>
      </c>
      <c r="AL52" s="5">
        <f t="shared" si="2"/>
        <v>1</v>
      </c>
    </row>
    <row r="53" spans="1:38" ht="16.5" x14ac:dyDescent="0.25">
      <c r="A53" s="6">
        <v>23</v>
      </c>
      <c r="B53" s="14">
        <v>576</v>
      </c>
      <c r="C53" s="15" t="s">
        <v>48</v>
      </c>
      <c r="D53" s="16" t="s">
        <v>42</v>
      </c>
      <c r="E53" s="10" t="s">
        <v>20</v>
      </c>
      <c r="F53" s="22" t="s">
        <v>34</v>
      </c>
      <c r="G53" s="22" t="s">
        <v>34</v>
      </c>
      <c r="H53" s="22" t="s">
        <v>34</v>
      </c>
      <c r="I53" s="22" t="s">
        <v>34</v>
      </c>
      <c r="J53" s="38"/>
      <c r="K53" s="32"/>
      <c r="L53" s="11" t="s">
        <v>34</v>
      </c>
      <c r="M53" s="11" t="s">
        <v>34</v>
      </c>
      <c r="N53" s="11" t="s">
        <v>34</v>
      </c>
      <c r="O53" s="11" t="s">
        <v>34</v>
      </c>
      <c r="P53" s="11" t="s">
        <v>34</v>
      </c>
      <c r="Q53" s="11" t="s">
        <v>34</v>
      </c>
      <c r="R53" s="32"/>
      <c r="S53" s="11" t="s">
        <v>34</v>
      </c>
      <c r="T53" s="11" t="s">
        <v>34</v>
      </c>
      <c r="U53" s="11" t="s">
        <v>34</v>
      </c>
      <c r="V53" s="11" t="s">
        <v>34</v>
      </c>
      <c r="W53" s="11" t="s">
        <v>34</v>
      </c>
      <c r="X53" s="11" t="s">
        <v>34</v>
      </c>
      <c r="Y53" s="32"/>
      <c r="Z53" s="11" t="s">
        <v>34</v>
      </c>
      <c r="AA53" s="11" t="s">
        <v>34</v>
      </c>
      <c r="AB53" s="11" t="s">
        <v>34</v>
      </c>
      <c r="AC53" s="11" t="s">
        <v>34</v>
      </c>
      <c r="AD53" s="11" t="s">
        <v>34</v>
      </c>
      <c r="AE53" s="11" t="s">
        <v>34</v>
      </c>
      <c r="AF53" s="32"/>
      <c r="AG53" s="11" t="s">
        <v>34</v>
      </c>
      <c r="AH53" s="11" t="s">
        <v>34</v>
      </c>
      <c r="AI53" s="11" t="s">
        <v>34</v>
      </c>
      <c r="AJ53" s="11" t="s">
        <v>34</v>
      </c>
      <c r="AK53" s="5">
        <f t="shared" si="1"/>
        <v>26</v>
      </c>
      <c r="AL53" s="5">
        <f t="shared" si="2"/>
        <v>0</v>
      </c>
    </row>
    <row r="54" spans="1:38" ht="16.5" x14ac:dyDescent="0.25">
      <c r="A54" s="12">
        <v>24</v>
      </c>
      <c r="B54" s="14">
        <v>685</v>
      </c>
      <c r="C54" s="15" t="s">
        <v>82</v>
      </c>
      <c r="D54" s="16" t="s">
        <v>83</v>
      </c>
      <c r="E54" s="10" t="s">
        <v>20</v>
      </c>
      <c r="F54" s="22" t="s">
        <v>34</v>
      </c>
      <c r="G54" s="22" t="s">
        <v>34</v>
      </c>
      <c r="H54" s="22" t="s">
        <v>34</v>
      </c>
      <c r="I54" s="22" t="s">
        <v>33</v>
      </c>
      <c r="J54" s="38"/>
      <c r="K54" s="32"/>
      <c r="L54" s="11" t="s">
        <v>33</v>
      </c>
      <c r="M54" s="11" t="s">
        <v>34</v>
      </c>
      <c r="N54" s="11" t="s">
        <v>34</v>
      </c>
      <c r="O54" s="11" t="s">
        <v>34</v>
      </c>
      <c r="P54" s="11" t="s">
        <v>34</v>
      </c>
      <c r="Q54" s="11" t="s">
        <v>34</v>
      </c>
      <c r="R54" s="32"/>
      <c r="S54" s="11" t="s">
        <v>34</v>
      </c>
      <c r="T54" s="11" t="s">
        <v>34</v>
      </c>
      <c r="U54" s="11" t="s">
        <v>34</v>
      </c>
      <c r="V54" s="11" t="s">
        <v>34</v>
      </c>
      <c r="W54" s="11" t="s">
        <v>34</v>
      </c>
      <c r="X54" s="11" t="s">
        <v>33</v>
      </c>
      <c r="Y54" s="32"/>
      <c r="Z54" s="11" t="s">
        <v>34</v>
      </c>
      <c r="AA54" s="11" t="s">
        <v>33</v>
      </c>
      <c r="AB54" s="11" t="s">
        <v>34</v>
      </c>
      <c r="AC54" s="11" t="s">
        <v>34</v>
      </c>
      <c r="AD54" s="11" t="s">
        <v>34</v>
      </c>
      <c r="AE54" s="11" t="s">
        <v>34</v>
      </c>
      <c r="AF54" s="32"/>
      <c r="AG54" s="11" t="s">
        <v>34</v>
      </c>
      <c r="AH54" s="11" t="s">
        <v>34</v>
      </c>
      <c r="AI54" s="11" t="s">
        <v>34</v>
      </c>
      <c r="AJ54" s="11" t="s">
        <v>34</v>
      </c>
      <c r="AK54" s="5">
        <f t="shared" si="1"/>
        <v>22</v>
      </c>
      <c r="AL54" s="5">
        <f t="shared" si="2"/>
        <v>4</v>
      </c>
    </row>
    <row r="55" spans="1:38" ht="16.5" x14ac:dyDescent="0.25">
      <c r="A55" s="6">
        <v>25</v>
      </c>
      <c r="B55" s="14">
        <v>688</v>
      </c>
      <c r="C55" s="15" t="s">
        <v>84</v>
      </c>
      <c r="D55" s="16" t="s">
        <v>27</v>
      </c>
      <c r="E55" s="10" t="s">
        <v>20</v>
      </c>
      <c r="F55" s="22" t="s">
        <v>34</v>
      </c>
      <c r="G55" s="22" t="s">
        <v>33</v>
      </c>
      <c r="H55" s="22" t="s">
        <v>34</v>
      </c>
      <c r="I55" s="22" t="s">
        <v>33</v>
      </c>
      <c r="J55" s="38"/>
      <c r="K55" s="32"/>
      <c r="L55" s="11" t="s">
        <v>34</v>
      </c>
      <c r="M55" s="11" t="s">
        <v>34</v>
      </c>
      <c r="N55" s="11" t="s">
        <v>33</v>
      </c>
      <c r="O55" s="11" t="s">
        <v>34</v>
      </c>
      <c r="P55" s="11" t="s">
        <v>34</v>
      </c>
      <c r="Q55" s="11" t="s">
        <v>33</v>
      </c>
      <c r="R55" s="32"/>
      <c r="S55" s="11" t="s">
        <v>34</v>
      </c>
      <c r="T55" s="11" t="s">
        <v>34</v>
      </c>
      <c r="U55" s="11" t="s">
        <v>34</v>
      </c>
      <c r="V55" s="11" t="s">
        <v>33</v>
      </c>
      <c r="W55" s="11" t="s">
        <v>34</v>
      </c>
      <c r="X55" s="11" t="s">
        <v>33</v>
      </c>
      <c r="Y55" s="32"/>
      <c r="Z55" s="11" t="s">
        <v>34</v>
      </c>
      <c r="AA55" s="11" t="s">
        <v>34</v>
      </c>
      <c r="AB55" s="11" t="s">
        <v>34</v>
      </c>
      <c r="AC55" s="11" t="s">
        <v>34</v>
      </c>
      <c r="AD55" s="11" t="s">
        <v>34</v>
      </c>
      <c r="AE55" s="11" t="s">
        <v>34</v>
      </c>
      <c r="AF55" s="32"/>
      <c r="AG55" s="11" t="s">
        <v>34</v>
      </c>
      <c r="AH55" s="11" t="s">
        <v>34</v>
      </c>
      <c r="AI55" s="11" t="s">
        <v>34</v>
      </c>
      <c r="AJ55" s="11" t="s">
        <v>34</v>
      </c>
      <c r="AK55" s="5">
        <f t="shared" si="1"/>
        <v>20</v>
      </c>
      <c r="AL55" s="5">
        <f t="shared" si="2"/>
        <v>6</v>
      </c>
    </row>
    <row r="56" spans="1:38" ht="16.5" x14ac:dyDescent="0.25">
      <c r="A56" s="12">
        <v>26</v>
      </c>
      <c r="B56" s="14">
        <v>546</v>
      </c>
      <c r="C56" s="15" t="s">
        <v>84</v>
      </c>
      <c r="D56" s="16" t="s">
        <v>85</v>
      </c>
      <c r="E56" s="10" t="s">
        <v>20</v>
      </c>
      <c r="F56" s="22" t="s">
        <v>34</v>
      </c>
      <c r="G56" s="22" t="s">
        <v>34</v>
      </c>
      <c r="H56" s="22" t="s">
        <v>34</v>
      </c>
      <c r="I56" s="22" t="s">
        <v>33</v>
      </c>
      <c r="J56" s="38"/>
      <c r="K56" s="32"/>
      <c r="L56" s="11" t="s">
        <v>34</v>
      </c>
      <c r="M56" s="11" t="s">
        <v>34</v>
      </c>
      <c r="N56" s="11" t="s">
        <v>34</v>
      </c>
      <c r="O56" s="11" t="s">
        <v>34</v>
      </c>
      <c r="P56" s="11" t="s">
        <v>34</v>
      </c>
      <c r="Q56" s="11" t="s">
        <v>34</v>
      </c>
      <c r="R56" s="32"/>
      <c r="S56" s="11" t="s">
        <v>34</v>
      </c>
      <c r="T56" s="11" t="s">
        <v>34</v>
      </c>
      <c r="U56" s="11" t="s">
        <v>34</v>
      </c>
      <c r="V56" s="11" t="s">
        <v>33</v>
      </c>
      <c r="W56" s="11" t="s">
        <v>33</v>
      </c>
      <c r="X56" s="11" t="s">
        <v>34</v>
      </c>
      <c r="Y56" s="32"/>
      <c r="Z56" s="11" t="s">
        <v>34</v>
      </c>
      <c r="AA56" s="11" t="s">
        <v>34</v>
      </c>
      <c r="AB56" s="11" t="s">
        <v>34</v>
      </c>
      <c r="AC56" s="11" t="s">
        <v>34</v>
      </c>
      <c r="AD56" s="11" t="s">
        <v>34</v>
      </c>
      <c r="AE56" s="11" t="s">
        <v>33</v>
      </c>
      <c r="AF56" s="32"/>
      <c r="AG56" s="11" t="s">
        <v>34</v>
      </c>
      <c r="AH56" s="11" t="s">
        <v>34</v>
      </c>
      <c r="AI56" s="11" t="s">
        <v>34</v>
      </c>
      <c r="AJ56" s="11" t="s">
        <v>34</v>
      </c>
      <c r="AK56" s="5">
        <f t="shared" si="1"/>
        <v>22</v>
      </c>
      <c r="AL56" s="5">
        <f t="shared" si="2"/>
        <v>4</v>
      </c>
    </row>
    <row r="57" spans="1:38" ht="16.5" x14ac:dyDescent="0.25">
      <c r="A57" s="6">
        <v>27</v>
      </c>
      <c r="B57" s="14"/>
      <c r="C57" s="15" t="s">
        <v>86</v>
      </c>
      <c r="D57" s="16" t="s">
        <v>87</v>
      </c>
      <c r="E57" s="10" t="s">
        <v>20</v>
      </c>
      <c r="F57" s="22" t="s">
        <v>34</v>
      </c>
      <c r="G57" s="22" t="s">
        <v>33</v>
      </c>
      <c r="H57" s="22" t="s">
        <v>34</v>
      </c>
      <c r="I57" s="22" t="s">
        <v>33</v>
      </c>
      <c r="J57" s="38"/>
      <c r="K57" s="32"/>
      <c r="L57" s="11" t="s">
        <v>34</v>
      </c>
      <c r="M57" s="11" t="s">
        <v>34</v>
      </c>
      <c r="N57" s="11" t="s">
        <v>34</v>
      </c>
      <c r="O57" s="11" t="s">
        <v>33</v>
      </c>
      <c r="P57" s="11" t="s">
        <v>34</v>
      </c>
      <c r="Q57" s="11" t="s">
        <v>34</v>
      </c>
      <c r="R57" s="32"/>
      <c r="S57" s="11" t="s">
        <v>34</v>
      </c>
      <c r="T57" s="11" t="s">
        <v>34</v>
      </c>
      <c r="U57" s="11" t="s">
        <v>34</v>
      </c>
      <c r="V57" s="11" t="s">
        <v>34</v>
      </c>
      <c r="W57" s="11" t="s">
        <v>34</v>
      </c>
      <c r="X57" s="11" t="s">
        <v>34</v>
      </c>
      <c r="Y57" s="32"/>
      <c r="Z57" s="11" t="s">
        <v>34</v>
      </c>
      <c r="AA57" s="11" t="s">
        <v>33</v>
      </c>
      <c r="AB57" s="11" t="s">
        <v>34</v>
      </c>
      <c r="AC57" s="11" t="s">
        <v>34</v>
      </c>
      <c r="AD57" s="11" t="s">
        <v>34</v>
      </c>
      <c r="AE57" s="11" t="s">
        <v>34</v>
      </c>
      <c r="AF57" s="32"/>
      <c r="AG57" s="11" t="s">
        <v>34</v>
      </c>
      <c r="AH57" s="11" t="s">
        <v>34</v>
      </c>
      <c r="AI57" s="11" t="s">
        <v>34</v>
      </c>
      <c r="AJ57" s="11" t="s">
        <v>34</v>
      </c>
      <c r="AK57" s="5">
        <f t="shared" si="1"/>
        <v>22</v>
      </c>
      <c r="AL57" s="5">
        <f t="shared" si="2"/>
        <v>4</v>
      </c>
    </row>
    <row r="58" spans="1:38" ht="16.5" x14ac:dyDescent="0.25">
      <c r="A58" s="12">
        <v>28</v>
      </c>
      <c r="B58" s="14"/>
      <c r="C58" s="15" t="s">
        <v>88</v>
      </c>
      <c r="D58" s="16" t="s">
        <v>87</v>
      </c>
      <c r="E58" s="10" t="s">
        <v>20</v>
      </c>
      <c r="F58" s="22" t="s">
        <v>34</v>
      </c>
      <c r="G58" s="22" t="s">
        <v>34</v>
      </c>
      <c r="H58" s="22" t="s">
        <v>34</v>
      </c>
      <c r="I58" s="22" t="s">
        <v>34</v>
      </c>
      <c r="J58" s="38"/>
      <c r="K58" s="32"/>
      <c r="L58" s="11" t="s">
        <v>34</v>
      </c>
      <c r="M58" s="11" t="s">
        <v>34</v>
      </c>
      <c r="N58" s="11" t="s">
        <v>34</v>
      </c>
      <c r="O58" s="11" t="s">
        <v>34</v>
      </c>
      <c r="P58" s="11" t="s">
        <v>34</v>
      </c>
      <c r="Q58" s="11" t="s">
        <v>34</v>
      </c>
      <c r="R58" s="32"/>
      <c r="S58" s="11" t="s">
        <v>34</v>
      </c>
      <c r="T58" s="11" t="s">
        <v>34</v>
      </c>
      <c r="U58" s="11" t="s">
        <v>34</v>
      </c>
      <c r="V58" s="11" t="s">
        <v>34</v>
      </c>
      <c r="W58" s="11" t="s">
        <v>34</v>
      </c>
      <c r="X58" s="11" t="s">
        <v>34</v>
      </c>
      <c r="Y58" s="32"/>
      <c r="Z58" s="11" t="s">
        <v>34</v>
      </c>
      <c r="AA58" s="11" t="s">
        <v>33</v>
      </c>
      <c r="AB58" s="11" t="s">
        <v>34</v>
      </c>
      <c r="AC58" s="11" t="s">
        <v>34</v>
      </c>
      <c r="AD58" s="11" t="s">
        <v>34</v>
      </c>
      <c r="AE58" s="11" t="s">
        <v>34</v>
      </c>
      <c r="AF58" s="32"/>
      <c r="AG58" s="11" t="s">
        <v>34</v>
      </c>
      <c r="AH58" s="11" t="s">
        <v>34</v>
      </c>
      <c r="AI58" s="11" t="s">
        <v>34</v>
      </c>
      <c r="AJ58" s="11" t="s">
        <v>34</v>
      </c>
      <c r="AK58" s="5">
        <f t="shared" si="1"/>
        <v>25</v>
      </c>
      <c r="AL58" s="5">
        <f t="shared" si="2"/>
        <v>1</v>
      </c>
    </row>
    <row r="59" spans="1:38" ht="16.5" x14ac:dyDescent="0.25">
      <c r="A59" s="12">
        <v>29</v>
      </c>
      <c r="B59" s="14"/>
      <c r="C59" s="15" t="s">
        <v>123</v>
      </c>
      <c r="D59" s="16" t="s">
        <v>124</v>
      </c>
      <c r="E59" s="10" t="s">
        <v>20</v>
      </c>
      <c r="F59" s="22" t="s">
        <v>34</v>
      </c>
      <c r="G59" s="22" t="s">
        <v>34</v>
      </c>
      <c r="H59" s="22" t="s">
        <v>34</v>
      </c>
      <c r="I59" s="22" t="s">
        <v>33</v>
      </c>
      <c r="J59" s="38"/>
      <c r="K59" s="32"/>
      <c r="L59" s="11" t="s">
        <v>34</v>
      </c>
      <c r="M59" s="11" t="s">
        <v>34</v>
      </c>
      <c r="N59" s="11" t="s">
        <v>34</v>
      </c>
      <c r="O59" s="11" t="s">
        <v>34</v>
      </c>
      <c r="P59" s="11" t="s">
        <v>33</v>
      </c>
      <c r="Q59" s="11" t="s">
        <v>34</v>
      </c>
      <c r="R59" s="32"/>
      <c r="S59" s="11" t="s">
        <v>34</v>
      </c>
      <c r="T59" s="11" t="s">
        <v>34</v>
      </c>
      <c r="U59" s="11" t="s">
        <v>34</v>
      </c>
      <c r="V59" s="11" t="s">
        <v>34</v>
      </c>
      <c r="W59" s="11" t="s">
        <v>34</v>
      </c>
      <c r="X59" s="11" t="s">
        <v>34</v>
      </c>
      <c r="Y59" s="32"/>
      <c r="Z59" s="11" t="s">
        <v>34</v>
      </c>
      <c r="AA59" s="11" t="s">
        <v>34</v>
      </c>
      <c r="AB59" s="11" t="s">
        <v>34</v>
      </c>
      <c r="AC59" s="11" t="s">
        <v>34</v>
      </c>
      <c r="AD59" s="11" t="s">
        <v>34</v>
      </c>
      <c r="AE59" s="11" t="s">
        <v>34</v>
      </c>
      <c r="AF59" s="32"/>
      <c r="AG59" s="11" t="s">
        <v>34</v>
      </c>
      <c r="AH59" s="11" t="s">
        <v>34</v>
      </c>
      <c r="AI59" s="11" t="s">
        <v>34</v>
      </c>
      <c r="AJ59" s="11" t="s">
        <v>34</v>
      </c>
      <c r="AK59" s="5">
        <f t="shared" si="1"/>
        <v>24</v>
      </c>
      <c r="AL59" s="5">
        <f t="shared" si="2"/>
        <v>2</v>
      </c>
    </row>
    <row r="60" spans="1:38" ht="16.5" x14ac:dyDescent="0.25">
      <c r="A60" s="12">
        <v>30</v>
      </c>
      <c r="B60" s="14"/>
      <c r="C60" s="15" t="s">
        <v>140</v>
      </c>
      <c r="D60" s="16"/>
      <c r="E60" s="10" t="s">
        <v>20</v>
      </c>
      <c r="F60" s="22" t="s">
        <v>141</v>
      </c>
      <c r="G60" s="22" t="s">
        <v>141</v>
      </c>
      <c r="H60" s="22" t="s">
        <v>141</v>
      </c>
      <c r="I60" s="22" t="s">
        <v>141</v>
      </c>
      <c r="J60" s="39"/>
      <c r="K60" s="33"/>
      <c r="L60" s="11" t="s">
        <v>141</v>
      </c>
      <c r="M60" s="11" t="s">
        <v>141</v>
      </c>
      <c r="N60" s="11" t="s">
        <v>34</v>
      </c>
      <c r="O60" s="11" t="s">
        <v>34</v>
      </c>
      <c r="P60" s="11" t="s">
        <v>34</v>
      </c>
      <c r="Q60" s="11" t="s">
        <v>34</v>
      </c>
      <c r="R60" s="33"/>
      <c r="S60" s="11" t="s">
        <v>34</v>
      </c>
      <c r="T60" s="11" t="s">
        <v>34</v>
      </c>
      <c r="U60" s="11" t="s">
        <v>34</v>
      </c>
      <c r="V60" s="11" t="s">
        <v>33</v>
      </c>
      <c r="W60" s="11" t="s">
        <v>34</v>
      </c>
      <c r="X60" s="11" t="s">
        <v>34</v>
      </c>
      <c r="Y60" s="33"/>
      <c r="Z60" s="11" t="s">
        <v>34</v>
      </c>
      <c r="AA60" s="11" t="s">
        <v>34</v>
      </c>
      <c r="AB60" s="11" t="s">
        <v>34</v>
      </c>
      <c r="AC60" s="11" t="s">
        <v>34</v>
      </c>
      <c r="AD60" s="11" t="s">
        <v>34</v>
      </c>
      <c r="AE60" s="11" t="s">
        <v>34</v>
      </c>
      <c r="AF60" s="33"/>
      <c r="AG60" s="11" t="s">
        <v>34</v>
      </c>
      <c r="AH60" s="11" t="s">
        <v>34</v>
      </c>
      <c r="AI60" s="11" t="s">
        <v>34</v>
      </c>
      <c r="AJ60" s="11" t="s">
        <v>34</v>
      </c>
      <c r="AK60" s="5">
        <f t="shared" si="1"/>
        <v>19</v>
      </c>
      <c r="AL60" s="5">
        <f t="shared" si="2"/>
        <v>1</v>
      </c>
    </row>
  </sheetData>
  <mergeCells count="17">
    <mergeCell ref="AK3:AK4"/>
    <mergeCell ref="AL3:AL4"/>
    <mergeCell ref="AM3:AN3"/>
    <mergeCell ref="J5:J60"/>
    <mergeCell ref="K5:K60"/>
    <mergeCell ref="R5:R60"/>
    <mergeCell ref="Y5:Y60"/>
    <mergeCell ref="AF5:AF60"/>
    <mergeCell ref="AM8:AP8"/>
    <mergeCell ref="AM16:AP16"/>
    <mergeCell ref="A1:AJ1"/>
    <mergeCell ref="A2:AJ2"/>
    <mergeCell ref="A3:A4"/>
    <mergeCell ref="B3:B4"/>
    <mergeCell ref="C3:C4"/>
    <mergeCell ref="D3:D4"/>
    <mergeCell ref="E3:E4"/>
  </mergeCells>
  <conditionalFormatting sqref="B5:B30">
    <cfRule type="duplicateValues" dxfId="75" priority="20"/>
  </conditionalFormatting>
  <conditionalFormatting sqref="B31:B60">
    <cfRule type="duplicateValues" dxfId="74" priority="7"/>
  </conditionalFormatting>
  <conditionalFormatting sqref="F5:AF5 F4:AJ4">
    <cfRule type="expression" dxfId="73" priority="17">
      <formula>IF(F$4=TODAY(),TRUE,FALSE)</formula>
    </cfRule>
  </conditionalFormatting>
  <conditionalFormatting sqref="F5:AF5">
    <cfRule type="cellIs" dxfId="72" priority="14" operator="equal">
      <formula>"L"</formula>
    </cfRule>
    <cfRule type="cellIs" dxfId="71" priority="15" operator="equal">
      <formula>"A"</formula>
    </cfRule>
    <cfRule type="cellIs" dxfId="70" priority="16" operator="equal">
      <formula>"P"</formula>
    </cfRule>
  </conditionalFormatting>
  <conditionalFormatting sqref="F3:AJ4 F5:AF5">
    <cfRule type="expression" dxfId="69" priority="18">
      <formula>F$3="Sun"</formula>
    </cfRule>
  </conditionalFormatting>
  <conditionalFormatting sqref="AG5:AJ60 F6:I60 L6:Q60 S6:X60 Z6:AE60">
    <cfRule type="cellIs" dxfId="68" priority="1" operator="equal">
      <formula>"L"</formula>
    </cfRule>
    <cfRule type="cellIs" dxfId="67" priority="2" operator="equal">
      <formula>"A"</formula>
    </cfRule>
    <cfRule type="cellIs" dxfId="66" priority="3" operator="equal">
      <formula>"P"</formula>
    </cfRule>
    <cfRule type="expression" dxfId="65" priority="4">
      <formula>IF(F$4=TODAY(),TRUE,FALSE)</formula>
    </cfRule>
    <cfRule type="expression" dxfId="64" priority="5">
      <formula>F$3="Sun"</formula>
    </cfRule>
  </conditionalFormatting>
  <conditionalFormatting sqref="AK3:AL3">
    <cfRule type="expression" dxfId="63" priority="19">
      <formula>#REF!="Sun"</formula>
    </cfRule>
  </conditionalFormatting>
  <conditionalFormatting sqref="AK5:AL60">
    <cfRule type="expression" dxfId="62" priority="6">
      <formula>#REF!="Sun"</formula>
    </cfRule>
  </conditionalFormatting>
  <conditionalFormatting sqref="AM5:AM6">
    <cfRule type="expression" dxfId="61" priority="12">
      <formula>#REF!="Sun"</formula>
    </cfRule>
  </conditionalFormatting>
  <conditionalFormatting sqref="AM9:AM12">
    <cfRule type="expression" dxfId="60" priority="10">
      <formula>#REF!="Sun"</formula>
    </cfRule>
  </conditionalFormatting>
  <conditionalFormatting sqref="AM17:AM20">
    <cfRule type="expression" dxfId="59" priority="9">
      <formula>#REF!="Sun"</formula>
    </cfRule>
  </conditionalFormatting>
  <conditionalFormatting sqref="AM4:AN4">
    <cfRule type="expression" dxfId="58" priority="13">
      <formula>#REF!="Sun"</formula>
    </cfRule>
  </conditionalFormatting>
  <conditionalFormatting sqref="AN9:AP9">
    <cfRule type="expression" dxfId="57" priority="11">
      <formula>#REF!="Sun"</formula>
    </cfRule>
  </conditionalFormatting>
  <conditionalFormatting sqref="AN17:AP17">
    <cfRule type="expression" dxfId="56" priority="8">
      <formula>#REF!="Sun"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2BC9-F3A5-4478-9BC4-27BCFA85027F}">
  <sheetPr>
    <tabColor rgb="FFC00000"/>
  </sheetPr>
  <dimension ref="A1:AO56"/>
  <sheetViews>
    <sheetView workbookViewId="0">
      <selection activeCell="H5" sqref="H5:H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4" width="3.7109375" style="1" bestFit="1" customWidth="1"/>
    <col min="35" max="35" width="3.85546875" style="1" bestFit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41" ht="17.25" x14ac:dyDescent="0.3">
      <c r="A2" s="25" t="s">
        <v>142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41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30" t="s">
        <v>5</v>
      </c>
      <c r="AK3" s="30" t="s">
        <v>6</v>
      </c>
      <c r="AL3" s="27" t="s">
        <v>21</v>
      </c>
      <c r="AM3" s="28"/>
      <c r="AN3" s="3"/>
      <c r="AO3" s="3"/>
    </row>
    <row r="4" spans="1:41" ht="37.5" x14ac:dyDescent="0.25">
      <c r="A4" s="24"/>
      <c r="B4" s="24"/>
      <c r="C4" s="24"/>
      <c r="D4" s="24"/>
      <c r="E4" s="24"/>
      <c r="F4" s="21">
        <v>45597</v>
      </c>
      <c r="G4" s="21">
        <v>45598</v>
      </c>
      <c r="H4" s="21">
        <v>45599</v>
      </c>
      <c r="I4" s="21">
        <v>45600</v>
      </c>
      <c r="J4" s="21">
        <v>45601</v>
      </c>
      <c r="K4" s="21">
        <v>45602</v>
      </c>
      <c r="L4" s="21">
        <v>45603</v>
      </c>
      <c r="M4" s="21">
        <v>45604</v>
      </c>
      <c r="N4" s="21">
        <v>45605</v>
      </c>
      <c r="O4" s="21">
        <v>45606</v>
      </c>
      <c r="P4" s="21">
        <v>45607</v>
      </c>
      <c r="Q4" s="21">
        <v>45608</v>
      </c>
      <c r="R4" s="21">
        <v>45609</v>
      </c>
      <c r="S4" s="21">
        <v>45610</v>
      </c>
      <c r="T4" s="21">
        <v>45611</v>
      </c>
      <c r="U4" s="21">
        <v>45612</v>
      </c>
      <c r="V4" s="21">
        <v>45613</v>
      </c>
      <c r="W4" s="21">
        <v>45614</v>
      </c>
      <c r="X4" s="21">
        <v>45615</v>
      </c>
      <c r="Y4" s="21">
        <v>45616</v>
      </c>
      <c r="Z4" s="21">
        <v>45617</v>
      </c>
      <c r="AA4" s="21">
        <v>45618</v>
      </c>
      <c r="AB4" s="21">
        <v>45619</v>
      </c>
      <c r="AC4" s="21">
        <v>45620</v>
      </c>
      <c r="AD4" s="21">
        <v>45621</v>
      </c>
      <c r="AE4" s="21">
        <v>45622</v>
      </c>
      <c r="AF4" s="21">
        <v>45623</v>
      </c>
      <c r="AG4" s="21">
        <v>45624</v>
      </c>
      <c r="AH4" s="21">
        <v>45625</v>
      </c>
      <c r="AI4" s="21">
        <v>45626</v>
      </c>
      <c r="AJ4" s="30"/>
      <c r="AK4" s="30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22" t="s">
        <v>34</v>
      </c>
      <c r="G5" s="22" t="s">
        <v>34</v>
      </c>
      <c r="H5" s="31" t="s">
        <v>131</v>
      </c>
      <c r="I5" s="22" t="s">
        <v>34</v>
      </c>
      <c r="J5" s="22" t="s">
        <v>34</v>
      </c>
      <c r="K5" s="22" t="s">
        <v>34</v>
      </c>
      <c r="L5" s="22" t="s">
        <v>34</v>
      </c>
      <c r="M5" s="22" t="s">
        <v>34</v>
      </c>
      <c r="N5" s="37" t="s">
        <v>143</v>
      </c>
      <c r="O5" s="31" t="s">
        <v>131</v>
      </c>
      <c r="P5" s="11" t="s">
        <v>34</v>
      </c>
      <c r="Q5" s="11" t="s">
        <v>34</v>
      </c>
      <c r="R5" s="11" t="s">
        <v>34</v>
      </c>
      <c r="S5" s="11" t="s">
        <v>34</v>
      </c>
      <c r="T5" s="11" t="s">
        <v>34</v>
      </c>
      <c r="U5" s="11" t="s">
        <v>34</v>
      </c>
      <c r="V5" s="31" t="s">
        <v>131</v>
      </c>
      <c r="W5" s="11" t="s">
        <v>34</v>
      </c>
      <c r="X5" s="11" t="s">
        <v>34</v>
      </c>
      <c r="Y5" s="11" t="s">
        <v>34</v>
      </c>
      <c r="Z5" s="11" t="s">
        <v>34</v>
      </c>
      <c r="AA5" s="11" t="s">
        <v>34</v>
      </c>
      <c r="AB5" s="11" t="s">
        <v>34</v>
      </c>
      <c r="AC5" s="31" t="s">
        <v>131</v>
      </c>
      <c r="AD5" s="11" t="s">
        <v>34</v>
      </c>
      <c r="AE5" s="11" t="s">
        <v>34</v>
      </c>
      <c r="AF5" s="11" t="s">
        <v>34</v>
      </c>
      <c r="AG5" s="11" t="s">
        <v>34</v>
      </c>
      <c r="AH5" s="11" t="s">
        <v>34</v>
      </c>
      <c r="AI5" s="11" t="s">
        <v>34</v>
      </c>
      <c r="AJ5" s="5">
        <f t="shared" ref="AJ5:AJ56" si="1">COUNTIF(F5:AI5,"P")</f>
        <v>25</v>
      </c>
      <c r="AK5" s="5">
        <f t="shared" ref="AK5:AK56" si="2">COUNTIF(F5:AI5,"A")</f>
        <v>0</v>
      </c>
      <c r="AL5" s="5" t="s">
        <v>8</v>
      </c>
      <c r="AM5" s="12">
        <v>26</v>
      </c>
      <c r="AN5" s="13" t="s">
        <v>9</v>
      </c>
      <c r="AO5" s="3"/>
    </row>
    <row r="6" spans="1:41" ht="16.5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22" t="s">
        <v>34</v>
      </c>
      <c r="G6" s="22" t="s">
        <v>34</v>
      </c>
      <c r="H6" s="32"/>
      <c r="I6" s="22" t="s">
        <v>34</v>
      </c>
      <c r="J6" s="22" t="s">
        <v>34</v>
      </c>
      <c r="K6" s="22" t="s">
        <v>34</v>
      </c>
      <c r="L6" s="22" t="s">
        <v>34</v>
      </c>
      <c r="M6" s="22" t="s">
        <v>34</v>
      </c>
      <c r="N6" s="38"/>
      <c r="O6" s="32"/>
      <c r="P6" s="11" t="s">
        <v>34</v>
      </c>
      <c r="Q6" s="11" t="s">
        <v>34</v>
      </c>
      <c r="R6" s="11" t="s">
        <v>33</v>
      </c>
      <c r="S6" s="11" t="s">
        <v>33</v>
      </c>
      <c r="T6" s="11" t="s">
        <v>35</v>
      </c>
      <c r="U6" s="11" t="s">
        <v>35</v>
      </c>
      <c r="V6" s="32"/>
      <c r="W6" s="11" t="s">
        <v>35</v>
      </c>
      <c r="X6" s="11" t="s">
        <v>35</v>
      </c>
      <c r="Y6" s="11" t="s">
        <v>35</v>
      </c>
      <c r="Z6" s="11" t="s">
        <v>35</v>
      </c>
      <c r="AA6" s="11" t="s">
        <v>35</v>
      </c>
      <c r="AB6" s="11" t="s">
        <v>35</v>
      </c>
      <c r="AC6" s="32"/>
      <c r="AD6" s="11" t="s">
        <v>35</v>
      </c>
      <c r="AE6" s="11" t="s">
        <v>35</v>
      </c>
      <c r="AF6" s="11" t="s">
        <v>35</v>
      </c>
      <c r="AG6" s="11" t="s">
        <v>35</v>
      </c>
      <c r="AH6" s="11" t="s">
        <v>35</v>
      </c>
      <c r="AI6" s="11" t="s">
        <v>35</v>
      </c>
      <c r="AJ6" s="5">
        <f t="shared" si="1"/>
        <v>9</v>
      </c>
      <c r="AK6" s="5">
        <f t="shared" si="2"/>
        <v>2</v>
      </c>
      <c r="AL6" s="5" t="s">
        <v>10</v>
      </c>
      <c r="AM6" s="12">
        <v>4</v>
      </c>
      <c r="AN6" s="3"/>
      <c r="AO6" s="3"/>
    </row>
    <row r="7" spans="1:41" ht="16.5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22" t="s">
        <v>34</v>
      </c>
      <c r="G7" s="22" t="s">
        <v>34</v>
      </c>
      <c r="H7" s="32"/>
      <c r="I7" s="22" t="s">
        <v>35</v>
      </c>
      <c r="J7" s="22" t="s">
        <v>34</v>
      </c>
      <c r="K7" s="22" t="s">
        <v>34</v>
      </c>
      <c r="L7" s="22" t="s">
        <v>34</v>
      </c>
      <c r="M7" s="22" t="s">
        <v>34</v>
      </c>
      <c r="N7" s="38"/>
      <c r="O7" s="32"/>
      <c r="P7" s="11" t="s">
        <v>34</v>
      </c>
      <c r="Q7" s="11" t="s">
        <v>34</v>
      </c>
      <c r="R7" s="11" t="s">
        <v>34</v>
      </c>
      <c r="S7" s="11" t="s">
        <v>33</v>
      </c>
      <c r="T7" s="11" t="s">
        <v>35</v>
      </c>
      <c r="U7" s="11" t="s">
        <v>33</v>
      </c>
      <c r="V7" s="32"/>
      <c r="W7" s="11" t="s">
        <v>35</v>
      </c>
      <c r="X7" s="11" t="s">
        <v>34</v>
      </c>
      <c r="Y7" s="11" t="s">
        <v>34</v>
      </c>
      <c r="Z7" s="11" t="s">
        <v>34</v>
      </c>
      <c r="AA7" s="11" t="s">
        <v>34</v>
      </c>
      <c r="AB7" s="11" t="s">
        <v>34</v>
      </c>
      <c r="AC7" s="32"/>
      <c r="AD7" s="11" t="s">
        <v>34</v>
      </c>
      <c r="AE7" s="11" t="s">
        <v>34</v>
      </c>
      <c r="AF7" s="11" t="s">
        <v>34</v>
      </c>
      <c r="AG7" s="11" t="s">
        <v>34</v>
      </c>
      <c r="AH7" s="11" t="s">
        <v>34</v>
      </c>
      <c r="AI7" s="11" t="s">
        <v>34</v>
      </c>
      <c r="AJ7" s="5">
        <f t="shared" si="1"/>
        <v>20</v>
      </c>
      <c r="AK7" s="5">
        <f t="shared" si="2"/>
        <v>2</v>
      </c>
      <c r="AL7" s="3"/>
      <c r="AM7" s="3"/>
      <c r="AN7" s="3"/>
      <c r="AO7" s="3"/>
    </row>
    <row r="8" spans="1:41" ht="16.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22" t="s">
        <v>34</v>
      </c>
      <c r="G8" s="22" t="s">
        <v>34</v>
      </c>
      <c r="H8" s="32"/>
      <c r="I8" s="22" t="s">
        <v>34</v>
      </c>
      <c r="J8" s="22" t="s">
        <v>33</v>
      </c>
      <c r="K8" s="22" t="s">
        <v>34</v>
      </c>
      <c r="L8" s="22" t="s">
        <v>34</v>
      </c>
      <c r="M8" s="22" t="s">
        <v>34</v>
      </c>
      <c r="N8" s="38"/>
      <c r="O8" s="32"/>
      <c r="P8" s="11" t="s">
        <v>34</v>
      </c>
      <c r="Q8" s="11" t="s">
        <v>33</v>
      </c>
      <c r="R8" s="11" t="s">
        <v>34</v>
      </c>
      <c r="S8" s="11" t="s">
        <v>34</v>
      </c>
      <c r="T8" s="11" t="s">
        <v>34</v>
      </c>
      <c r="U8" s="11" t="s">
        <v>33</v>
      </c>
      <c r="V8" s="32"/>
      <c r="W8" s="11" t="s">
        <v>33</v>
      </c>
      <c r="X8" s="11" t="s">
        <v>34</v>
      </c>
      <c r="Y8" s="11" t="s">
        <v>34</v>
      </c>
      <c r="Z8" s="11" t="s">
        <v>34</v>
      </c>
      <c r="AA8" s="11" t="s">
        <v>34</v>
      </c>
      <c r="AB8" s="11" t="s">
        <v>34</v>
      </c>
      <c r="AC8" s="32"/>
      <c r="AD8" s="11" t="s">
        <v>34</v>
      </c>
      <c r="AE8" s="11" t="s">
        <v>34</v>
      </c>
      <c r="AF8" s="11" t="s">
        <v>33</v>
      </c>
      <c r="AG8" s="11" t="s">
        <v>34</v>
      </c>
      <c r="AH8" s="11" t="s">
        <v>34</v>
      </c>
      <c r="AI8" s="11" t="s">
        <v>34</v>
      </c>
      <c r="AJ8" s="5">
        <f t="shared" si="1"/>
        <v>20</v>
      </c>
      <c r="AK8" s="5">
        <f t="shared" si="2"/>
        <v>5</v>
      </c>
      <c r="AL8" s="27" t="s">
        <v>11</v>
      </c>
      <c r="AM8" s="28"/>
      <c r="AN8" s="28"/>
      <c r="AO8" s="29"/>
    </row>
    <row r="9" spans="1:41" ht="16.5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22" t="s">
        <v>34</v>
      </c>
      <c r="G9" s="22" t="s">
        <v>34</v>
      </c>
      <c r="H9" s="32"/>
      <c r="I9" s="22" t="s">
        <v>34</v>
      </c>
      <c r="J9" s="22" t="s">
        <v>34</v>
      </c>
      <c r="K9" s="22" t="s">
        <v>34</v>
      </c>
      <c r="L9" s="22" t="s">
        <v>34</v>
      </c>
      <c r="M9" s="22" t="s">
        <v>34</v>
      </c>
      <c r="N9" s="38"/>
      <c r="O9" s="32"/>
      <c r="P9" s="11" t="s">
        <v>34</v>
      </c>
      <c r="Q9" s="11" t="s">
        <v>34</v>
      </c>
      <c r="R9" s="11" t="s">
        <v>34</v>
      </c>
      <c r="S9" s="11" t="s">
        <v>34</v>
      </c>
      <c r="T9" s="11" t="s">
        <v>34</v>
      </c>
      <c r="U9" s="11" t="s">
        <v>34</v>
      </c>
      <c r="V9" s="32"/>
      <c r="W9" s="11" t="s">
        <v>34</v>
      </c>
      <c r="X9" s="11" t="s">
        <v>34</v>
      </c>
      <c r="Y9" s="11" t="s">
        <v>34</v>
      </c>
      <c r="Z9" s="11" t="s">
        <v>34</v>
      </c>
      <c r="AA9" s="11" t="s">
        <v>34</v>
      </c>
      <c r="AB9" s="11" t="s">
        <v>34</v>
      </c>
      <c r="AC9" s="32"/>
      <c r="AD9" s="11" t="s">
        <v>34</v>
      </c>
      <c r="AE9" s="11" t="s">
        <v>34</v>
      </c>
      <c r="AF9" s="11" t="s">
        <v>34</v>
      </c>
      <c r="AG9" s="11" t="s">
        <v>34</v>
      </c>
      <c r="AH9" s="11" t="s">
        <v>34</v>
      </c>
      <c r="AI9" s="11" t="s">
        <v>34</v>
      </c>
      <c r="AJ9" s="5">
        <f t="shared" si="1"/>
        <v>25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22" t="s">
        <v>34</v>
      </c>
      <c r="G10" s="22" t="s">
        <v>34</v>
      </c>
      <c r="H10" s="32"/>
      <c r="I10" s="22" t="s">
        <v>34</v>
      </c>
      <c r="J10" s="22" t="s">
        <v>34</v>
      </c>
      <c r="K10" s="22" t="s">
        <v>34</v>
      </c>
      <c r="L10" s="22" t="s">
        <v>34</v>
      </c>
      <c r="M10" s="22" t="s">
        <v>34</v>
      </c>
      <c r="N10" s="38"/>
      <c r="O10" s="32"/>
      <c r="P10" s="11" t="s">
        <v>34</v>
      </c>
      <c r="Q10" s="11" t="s">
        <v>34</v>
      </c>
      <c r="R10" s="11" t="s">
        <v>34</v>
      </c>
      <c r="S10" s="11" t="s">
        <v>34</v>
      </c>
      <c r="T10" s="11" t="s">
        <v>34</v>
      </c>
      <c r="U10" s="11" t="s">
        <v>34</v>
      </c>
      <c r="V10" s="32"/>
      <c r="W10" s="11" t="s">
        <v>34</v>
      </c>
      <c r="X10" s="11" t="s">
        <v>34</v>
      </c>
      <c r="Y10" s="11" t="s">
        <v>34</v>
      </c>
      <c r="Z10" s="11" t="s">
        <v>34</v>
      </c>
      <c r="AA10" s="11" t="s">
        <v>34</v>
      </c>
      <c r="AB10" s="11" t="s">
        <v>34</v>
      </c>
      <c r="AC10" s="32"/>
      <c r="AD10" s="11" t="s">
        <v>34</v>
      </c>
      <c r="AE10" s="11" t="s">
        <v>34</v>
      </c>
      <c r="AF10" s="11" t="s">
        <v>35</v>
      </c>
      <c r="AG10" s="11" t="s">
        <v>35</v>
      </c>
      <c r="AH10" s="11" t="s">
        <v>34</v>
      </c>
      <c r="AI10" s="11" t="s">
        <v>34</v>
      </c>
      <c r="AJ10" s="5">
        <f t="shared" si="1"/>
        <v>23</v>
      </c>
      <c r="AK10" s="5">
        <f t="shared" si="2"/>
        <v>0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ht="16.5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22" t="s">
        <v>34</v>
      </c>
      <c r="G11" s="22" t="s">
        <v>34</v>
      </c>
      <c r="H11" s="32"/>
      <c r="I11" s="22" t="s">
        <v>34</v>
      </c>
      <c r="J11" s="22" t="s">
        <v>34</v>
      </c>
      <c r="K11" s="22" t="s">
        <v>34</v>
      </c>
      <c r="L11" s="22" t="s">
        <v>34</v>
      </c>
      <c r="M11" s="22" t="s">
        <v>34</v>
      </c>
      <c r="N11" s="38"/>
      <c r="O11" s="32"/>
      <c r="P11" s="11" t="s">
        <v>34</v>
      </c>
      <c r="Q11" s="11" t="s">
        <v>34</v>
      </c>
      <c r="R11" s="11" t="s">
        <v>34</v>
      </c>
      <c r="S11" s="11" t="s">
        <v>34</v>
      </c>
      <c r="T11" s="11" t="s">
        <v>34</v>
      </c>
      <c r="U11" s="11" t="s">
        <v>34</v>
      </c>
      <c r="V11" s="32"/>
      <c r="W11" s="11" t="s">
        <v>34</v>
      </c>
      <c r="X11" s="11" t="s">
        <v>34</v>
      </c>
      <c r="Y11" s="11" t="s">
        <v>34</v>
      </c>
      <c r="Z11" s="11" t="s">
        <v>34</v>
      </c>
      <c r="AA11" s="11" t="s">
        <v>34</v>
      </c>
      <c r="AB11" s="11" t="s">
        <v>34</v>
      </c>
      <c r="AC11" s="32"/>
      <c r="AD11" s="11" t="s">
        <v>34</v>
      </c>
      <c r="AE11" s="11" t="s">
        <v>34</v>
      </c>
      <c r="AF11" s="11" t="s">
        <v>34</v>
      </c>
      <c r="AG11" s="11" t="s">
        <v>34</v>
      </c>
      <c r="AH11" s="11" t="s">
        <v>34</v>
      </c>
      <c r="AI11" s="11" t="s">
        <v>34</v>
      </c>
      <c r="AJ11" s="5">
        <f t="shared" si="1"/>
        <v>25</v>
      </c>
      <c r="AK11" s="5">
        <f t="shared" si="2"/>
        <v>0</v>
      </c>
      <c r="AL11" s="5" t="s">
        <v>17</v>
      </c>
      <c r="AM11" s="12">
        <f>SUM(AJ5:AJ28)</f>
        <v>515</v>
      </c>
      <c r="AN11" s="12">
        <f>SUM(AJ5:AJ28)</f>
        <v>515</v>
      </c>
      <c r="AO11" s="12">
        <f>AM11+AN11</f>
        <v>1030</v>
      </c>
    </row>
    <row r="12" spans="1:41" ht="16.5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22" t="s">
        <v>34</v>
      </c>
      <c r="G12" s="22" t="s">
        <v>34</v>
      </c>
      <c r="H12" s="32"/>
      <c r="I12" s="22" t="s">
        <v>34</v>
      </c>
      <c r="J12" s="22" t="s">
        <v>34</v>
      </c>
      <c r="K12" s="22" t="s">
        <v>34</v>
      </c>
      <c r="L12" s="22" t="s">
        <v>34</v>
      </c>
      <c r="M12" s="22" t="s">
        <v>34</v>
      </c>
      <c r="N12" s="38"/>
      <c r="O12" s="32"/>
      <c r="P12" s="11" t="s">
        <v>34</v>
      </c>
      <c r="Q12" s="11" t="s">
        <v>34</v>
      </c>
      <c r="R12" s="11" t="s">
        <v>34</v>
      </c>
      <c r="S12" s="11" t="s">
        <v>33</v>
      </c>
      <c r="T12" s="11" t="s">
        <v>34</v>
      </c>
      <c r="U12" s="11" t="s">
        <v>34</v>
      </c>
      <c r="V12" s="32"/>
      <c r="W12" s="11" t="s">
        <v>34</v>
      </c>
      <c r="X12" s="11" t="s">
        <v>34</v>
      </c>
      <c r="Y12" s="11" t="s">
        <v>34</v>
      </c>
      <c r="Z12" s="11" t="s">
        <v>34</v>
      </c>
      <c r="AA12" s="11" t="s">
        <v>34</v>
      </c>
      <c r="AB12" s="11" t="s">
        <v>34</v>
      </c>
      <c r="AC12" s="32"/>
      <c r="AD12" s="11" t="s">
        <v>34</v>
      </c>
      <c r="AE12" s="11" t="s">
        <v>34</v>
      </c>
      <c r="AF12" s="11" t="s">
        <v>34</v>
      </c>
      <c r="AG12" s="11" t="s">
        <v>34</v>
      </c>
      <c r="AH12" s="11" t="s">
        <v>34</v>
      </c>
      <c r="AI12" s="11" t="s">
        <v>34</v>
      </c>
      <c r="AJ12" s="5">
        <f t="shared" si="1"/>
        <v>24</v>
      </c>
      <c r="AK12" s="5">
        <f t="shared" si="2"/>
        <v>1</v>
      </c>
      <c r="AL12" s="5" t="s">
        <v>18</v>
      </c>
      <c r="AM12" s="12">
        <f>AM11/AM10</f>
        <v>1.0425101214574899</v>
      </c>
      <c r="AN12" s="12">
        <f>AN11/AN10</f>
        <v>0.9432234432234432</v>
      </c>
      <c r="AO12" s="12">
        <f>AO11/AO10</f>
        <v>0.99038461538461542</v>
      </c>
    </row>
    <row r="13" spans="1:41" ht="16.5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22" t="s">
        <v>34</v>
      </c>
      <c r="G13" s="22" t="s">
        <v>34</v>
      </c>
      <c r="H13" s="32"/>
      <c r="I13" s="22" t="s">
        <v>34</v>
      </c>
      <c r="J13" s="22" t="s">
        <v>34</v>
      </c>
      <c r="K13" s="22" t="s">
        <v>34</v>
      </c>
      <c r="L13" s="22" t="s">
        <v>34</v>
      </c>
      <c r="M13" s="22" t="s">
        <v>34</v>
      </c>
      <c r="N13" s="38"/>
      <c r="O13" s="32"/>
      <c r="P13" s="11" t="s">
        <v>34</v>
      </c>
      <c r="Q13" s="11" t="s">
        <v>34</v>
      </c>
      <c r="R13" s="11" t="s">
        <v>34</v>
      </c>
      <c r="S13" s="11" t="s">
        <v>34</v>
      </c>
      <c r="T13" s="11" t="s">
        <v>34</v>
      </c>
      <c r="U13" s="11" t="s">
        <v>34</v>
      </c>
      <c r="V13" s="32"/>
      <c r="W13" s="11" t="s">
        <v>34</v>
      </c>
      <c r="X13" s="11" t="s">
        <v>34</v>
      </c>
      <c r="Y13" s="11" t="s">
        <v>34</v>
      </c>
      <c r="Z13" s="11" t="s">
        <v>34</v>
      </c>
      <c r="AA13" s="11" t="s">
        <v>34</v>
      </c>
      <c r="AB13" s="11" t="s">
        <v>34</v>
      </c>
      <c r="AC13" s="32"/>
      <c r="AD13" s="11" t="s">
        <v>34</v>
      </c>
      <c r="AE13" s="11" t="s">
        <v>34</v>
      </c>
      <c r="AF13" s="11" t="s">
        <v>34</v>
      </c>
      <c r="AG13" s="11" t="s">
        <v>34</v>
      </c>
      <c r="AH13" s="11" t="s">
        <v>34</v>
      </c>
      <c r="AI13" s="11" t="s">
        <v>34</v>
      </c>
      <c r="AJ13" s="5">
        <f t="shared" si="1"/>
        <v>25</v>
      </c>
      <c r="AK13" s="5">
        <f t="shared" si="2"/>
        <v>0</v>
      </c>
      <c r="AL13" s="3"/>
      <c r="AM13" s="17"/>
      <c r="AN13" s="17"/>
      <c r="AO13" s="17"/>
    </row>
    <row r="14" spans="1:41" ht="16.5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22" t="s">
        <v>34</v>
      </c>
      <c r="G14" s="22" t="s">
        <v>34</v>
      </c>
      <c r="H14" s="32"/>
      <c r="I14" s="22" t="s">
        <v>33</v>
      </c>
      <c r="J14" s="22" t="s">
        <v>34</v>
      </c>
      <c r="K14" s="22" t="s">
        <v>34</v>
      </c>
      <c r="L14" s="22" t="s">
        <v>34</v>
      </c>
      <c r="M14" s="22" t="s">
        <v>34</v>
      </c>
      <c r="N14" s="38"/>
      <c r="O14" s="32"/>
      <c r="P14" s="11" t="s">
        <v>33</v>
      </c>
      <c r="Q14" s="11" t="s">
        <v>34</v>
      </c>
      <c r="R14" s="11" t="s">
        <v>34</v>
      </c>
      <c r="S14" s="11" t="s">
        <v>34</v>
      </c>
      <c r="T14" s="11" t="s">
        <v>34</v>
      </c>
      <c r="U14" s="11" t="s">
        <v>34</v>
      </c>
      <c r="V14" s="32"/>
      <c r="W14" s="11" t="s">
        <v>34</v>
      </c>
      <c r="X14" s="11" t="s">
        <v>34</v>
      </c>
      <c r="Y14" s="11" t="s">
        <v>33</v>
      </c>
      <c r="Z14" s="11" t="s">
        <v>33</v>
      </c>
      <c r="AA14" s="11" t="s">
        <v>33</v>
      </c>
      <c r="AB14" s="11" t="s">
        <v>33</v>
      </c>
      <c r="AC14" s="32"/>
      <c r="AD14" s="11" t="s">
        <v>33</v>
      </c>
      <c r="AE14" s="11" t="s">
        <v>33</v>
      </c>
      <c r="AF14" s="11" t="s">
        <v>33</v>
      </c>
      <c r="AG14" s="11" t="s">
        <v>33</v>
      </c>
      <c r="AH14" s="11" t="s">
        <v>33</v>
      </c>
      <c r="AI14" s="11" t="s">
        <v>33</v>
      </c>
      <c r="AJ14" s="5">
        <f t="shared" si="1"/>
        <v>13</v>
      </c>
      <c r="AK14" s="5">
        <f t="shared" si="2"/>
        <v>12</v>
      </c>
      <c r="AL14" s="19"/>
      <c r="AM14" s="19"/>
      <c r="AN14" s="19"/>
      <c r="AO14" s="19"/>
    </row>
    <row r="15" spans="1:41" ht="16.5" x14ac:dyDescent="0.25">
      <c r="A15" s="6">
        <v>11</v>
      </c>
      <c r="B15" s="14">
        <v>687</v>
      </c>
      <c r="C15" s="15" t="s">
        <v>105</v>
      </c>
      <c r="D15" s="16" t="s">
        <v>106</v>
      </c>
      <c r="E15" s="10" t="s">
        <v>20</v>
      </c>
      <c r="F15" s="22" t="s">
        <v>33</v>
      </c>
      <c r="G15" s="22" t="s">
        <v>34</v>
      </c>
      <c r="H15" s="32"/>
      <c r="I15" s="22" t="s">
        <v>34</v>
      </c>
      <c r="J15" s="22" t="s">
        <v>34</v>
      </c>
      <c r="K15" s="22" t="s">
        <v>34</v>
      </c>
      <c r="L15" s="22" t="s">
        <v>34</v>
      </c>
      <c r="M15" s="22" t="s">
        <v>34</v>
      </c>
      <c r="N15" s="38"/>
      <c r="O15" s="32"/>
      <c r="P15" s="11" t="s">
        <v>34</v>
      </c>
      <c r="Q15" s="11" t="s">
        <v>34</v>
      </c>
      <c r="R15" s="11" t="s">
        <v>34</v>
      </c>
      <c r="S15" s="11" t="s">
        <v>34</v>
      </c>
      <c r="T15" s="11" t="s">
        <v>34</v>
      </c>
      <c r="U15" s="11" t="s">
        <v>33</v>
      </c>
      <c r="V15" s="32"/>
      <c r="W15" s="11" t="s">
        <v>34</v>
      </c>
      <c r="X15" s="11" t="s">
        <v>34</v>
      </c>
      <c r="Y15" s="11" t="s">
        <v>34</v>
      </c>
      <c r="Z15" s="11" t="s">
        <v>34</v>
      </c>
      <c r="AA15" s="11" t="s">
        <v>34</v>
      </c>
      <c r="AB15" s="11" t="s">
        <v>34</v>
      </c>
      <c r="AC15" s="32"/>
      <c r="AD15" s="11" t="s">
        <v>34</v>
      </c>
      <c r="AE15" s="11" t="s">
        <v>34</v>
      </c>
      <c r="AF15" s="11" t="s">
        <v>34</v>
      </c>
      <c r="AG15" s="11" t="s">
        <v>34</v>
      </c>
      <c r="AH15" s="11" t="s">
        <v>34</v>
      </c>
      <c r="AI15" s="11" t="s">
        <v>34</v>
      </c>
      <c r="AJ15" s="5">
        <f t="shared" si="1"/>
        <v>23</v>
      </c>
      <c r="AK15" s="5">
        <f t="shared" si="2"/>
        <v>2</v>
      </c>
      <c r="AL15" s="3"/>
      <c r="AM15" s="3"/>
      <c r="AN15" s="3"/>
      <c r="AO15" s="3"/>
    </row>
    <row r="16" spans="1:41" ht="16.5" x14ac:dyDescent="0.25">
      <c r="A16" s="12">
        <v>12</v>
      </c>
      <c r="B16" s="14">
        <v>581</v>
      </c>
      <c r="C16" s="15" t="s">
        <v>107</v>
      </c>
      <c r="D16" s="16" t="s">
        <v>39</v>
      </c>
      <c r="E16" s="10" t="s">
        <v>20</v>
      </c>
      <c r="F16" s="22" t="s">
        <v>34</v>
      </c>
      <c r="G16" s="22" t="s">
        <v>34</v>
      </c>
      <c r="H16" s="32"/>
      <c r="I16" s="22" t="s">
        <v>34</v>
      </c>
      <c r="J16" s="22" t="s">
        <v>34</v>
      </c>
      <c r="K16" s="22" t="s">
        <v>34</v>
      </c>
      <c r="L16" s="22" t="s">
        <v>34</v>
      </c>
      <c r="M16" s="22" t="s">
        <v>33</v>
      </c>
      <c r="N16" s="38"/>
      <c r="O16" s="32"/>
      <c r="P16" s="11" t="s">
        <v>34</v>
      </c>
      <c r="Q16" s="11" t="s">
        <v>34</v>
      </c>
      <c r="R16" s="11" t="s">
        <v>34</v>
      </c>
      <c r="S16" s="11" t="s">
        <v>34</v>
      </c>
      <c r="T16" s="11" t="s">
        <v>34</v>
      </c>
      <c r="U16" s="11" t="s">
        <v>34</v>
      </c>
      <c r="V16" s="32"/>
      <c r="W16" s="11" t="s">
        <v>34</v>
      </c>
      <c r="X16" s="11" t="s">
        <v>34</v>
      </c>
      <c r="Y16" s="11" t="s">
        <v>34</v>
      </c>
      <c r="Z16" s="11" t="s">
        <v>34</v>
      </c>
      <c r="AA16" s="11" t="s">
        <v>34</v>
      </c>
      <c r="AB16" s="11" t="s">
        <v>34</v>
      </c>
      <c r="AC16" s="32"/>
      <c r="AD16" s="11" t="s">
        <v>34</v>
      </c>
      <c r="AE16" s="11" t="s">
        <v>34</v>
      </c>
      <c r="AF16" s="11" t="s">
        <v>34</v>
      </c>
      <c r="AG16" s="11" t="s">
        <v>34</v>
      </c>
      <c r="AH16" s="11" t="s">
        <v>34</v>
      </c>
      <c r="AI16" s="11" t="s">
        <v>33</v>
      </c>
      <c r="AJ16" s="5">
        <f t="shared" si="1"/>
        <v>23</v>
      </c>
      <c r="AK16" s="5">
        <f t="shared" si="2"/>
        <v>2</v>
      </c>
      <c r="AL16" s="27" t="s">
        <v>6</v>
      </c>
      <c r="AM16" s="28"/>
      <c r="AN16" s="28"/>
      <c r="AO16" s="29"/>
    </row>
    <row r="17" spans="1:41" ht="16.5" x14ac:dyDescent="0.25">
      <c r="A17" s="6">
        <v>13</v>
      </c>
      <c r="B17" s="14">
        <v>588</v>
      </c>
      <c r="C17" s="15" t="s">
        <v>108</v>
      </c>
      <c r="D17" s="16" t="s">
        <v>109</v>
      </c>
      <c r="E17" s="10" t="s">
        <v>20</v>
      </c>
      <c r="F17" s="22" t="s">
        <v>33</v>
      </c>
      <c r="G17" s="22" t="s">
        <v>33</v>
      </c>
      <c r="H17" s="32"/>
      <c r="I17" s="22" t="s">
        <v>33</v>
      </c>
      <c r="J17" s="22" t="s">
        <v>33</v>
      </c>
      <c r="K17" s="22" t="s">
        <v>33</v>
      </c>
      <c r="L17" s="22" t="s">
        <v>33</v>
      </c>
      <c r="M17" s="22" t="s">
        <v>33</v>
      </c>
      <c r="N17" s="38"/>
      <c r="O17" s="32"/>
      <c r="P17" s="11" t="s">
        <v>33</v>
      </c>
      <c r="Q17" s="11" t="s">
        <v>33</v>
      </c>
      <c r="R17" s="11" t="s">
        <v>33</v>
      </c>
      <c r="S17" s="11" t="s">
        <v>33</v>
      </c>
      <c r="T17" s="11" t="s">
        <v>33</v>
      </c>
      <c r="U17" s="11" t="s">
        <v>33</v>
      </c>
      <c r="V17" s="32"/>
      <c r="W17" s="11" t="s">
        <v>33</v>
      </c>
      <c r="X17" s="11" t="s">
        <v>33</v>
      </c>
      <c r="Y17" s="11" t="s">
        <v>33</v>
      </c>
      <c r="Z17" s="11" t="s">
        <v>33</v>
      </c>
      <c r="AA17" s="11" t="s">
        <v>33</v>
      </c>
      <c r="AB17" s="11" t="s">
        <v>33</v>
      </c>
      <c r="AC17" s="32"/>
      <c r="AD17" s="11" t="s">
        <v>33</v>
      </c>
      <c r="AE17" s="11" t="s">
        <v>33</v>
      </c>
      <c r="AF17" s="11" t="s">
        <v>33</v>
      </c>
      <c r="AG17" s="11" t="s">
        <v>33</v>
      </c>
      <c r="AH17" s="11" t="s">
        <v>33</v>
      </c>
      <c r="AI17" s="11" t="s">
        <v>33</v>
      </c>
      <c r="AJ17" s="5">
        <f t="shared" si="1"/>
        <v>0</v>
      </c>
      <c r="AK17" s="5">
        <f t="shared" si="2"/>
        <v>25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2">
        <v>14</v>
      </c>
      <c r="B18" s="14">
        <v>686</v>
      </c>
      <c r="C18" s="15" t="s">
        <v>110</v>
      </c>
      <c r="D18" s="16" t="s">
        <v>38</v>
      </c>
      <c r="E18" s="10" t="s">
        <v>20</v>
      </c>
      <c r="F18" s="22" t="s">
        <v>34</v>
      </c>
      <c r="G18" s="22" t="s">
        <v>34</v>
      </c>
      <c r="H18" s="32"/>
      <c r="I18" s="22" t="s">
        <v>34</v>
      </c>
      <c r="J18" s="22" t="s">
        <v>34</v>
      </c>
      <c r="K18" s="22" t="s">
        <v>34</v>
      </c>
      <c r="L18" s="22" t="s">
        <v>34</v>
      </c>
      <c r="M18" s="22" t="s">
        <v>34</v>
      </c>
      <c r="N18" s="38"/>
      <c r="O18" s="32"/>
      <c r="P18" s="11" t="s">
        <v>34</v>
      </c>
      <c r="Q18" s="11" t="s">
        <v>34</v>
      </c>
      <c r="R18" s="11" t="s">
        <v>34</v>
      </c>
      <c r="S18" s="11" t="s">
        <v>34</v>
      </c>
      <c r="T18" s="11" t="s">
        <v>33</v>
      </c>
      <c r="U18" s="11" t="s">
        <v>34</v>
      </c>
      <c r="V18" s="32"/>
      <c r="W18" s="11" t="s">
        <v>34</v>
      </c>
      <c r="X18" s="11" t="s">
        <v>34</v>
      </c>
      <c r="Y18" s="11" t="s">
        <v>34</v>
      </c>
      <c r="Z18" s="11" t="s">
        <v>34</v>
      </c>
      <c r="AA18" s="11" t="s">
        <v>34</v>
      </c>
      <c r="AB18" s="11" t="s">
        <v>34</v>
      </c>
      <c r="AC18" s="32"/>
      <c r="AD18" s="11" t="s">
        <v>34</v>
      </c>
      <c r="AE18" s="11" t="s">
        <v>34</v>
      </c>
      <c r="AF18" s="11" t="s">
        <v>34</v>
      </c>
      <c r="AG18" s="11" t="s">
        <v>34</v>
      </c>
      <c r="AH18" s="11" t="s">
        <v>34</v>
      </c>
      <c r="AI18" s="11" t="s">
        <v>34</v>
      </c>
      <c r="AJ18" s="5">
        <f t="shared" si="1"/>
        <v>24</v>
      </c>
      <c r="AK18" s="5">
        <f t="shared" si="2"/>
        <v>1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ht="16.5" x14ac:dyDescent="0.25">
      <c r="A19" s="6">
        <v>15</v>
      </c>
      <c r="B19" s="14">
        <v>525</v>
      </c>
      <c r="C19" s="15" t="s">
        <v>111</v>
      </c>
      <c r="D19" s="16" t="s">
        <v>112</v>
      </c>
      <c r="E19" s="10" t="s">
        <v>20</v>
      </c>
      <c r="F19" s="22" t="s">
        <v>34</v>
      </c>
      <c r="G19" s="22" t="s">
        <v>34</v>
      </c>
      <c r="H19" s="32"/>
      <c r="I19" s="22" t="s">
        <v>34</v>
      </c>
      <c r="J19" s="22" t="s">
        <v>34</v>
      </c>
      <c r="K19" s="22" t="s">
        <v>34</v>
      </c>
      <c r="L19" s="22" t="s">
        <v>34</v>
      </c>
      <c r="M19" s="22" t="s">
        <v>34</v>
      </c>
      <c r="N19" s="38"/>
      <c r="O19" s="32"/>
      <c r="P19" s="11" t="s">
        <v>34</v>
      </c>
      <c r="Q19" s="11" t="s">
        <v>34</v>
      </c>
      <c r="R19" s="11" t="s">
        <v>34</v>
      </c>
      <c r="S19" s="11" t="s">
        <v>34</v>
      </c>
      <c r="T19" s="11" t="s">
        <v>34</v>
      </c>
      <c r="U19" s="11" t="s">
        <v>34</v>
      </c>
      <c r="V19" s="32"/>
      <c r="W19" s="11" t="s">
        <v>34</v>
      </c>
      <c r="X19" s="11" t="s">
        <v>34</v>
      </c>
      <c r="Y19" s="11" t="s">
        <v>34</v>
      </c>
      <c r="Z19" s="11" t="s">
        <v>34</v>
      </c>
      <c r="AA19" s="11" t="s">
        <v>34</v>
      </c>
      <c r="AB19" s="11" t="s">
        <v>34</v>
      </c>
      <c r="AC19" s="32"/>
      <c r="AD19" s="11" t="s">
        <v>34</v>
      </c>
      <c r="AE19" s="11" t="s">
        <v>34</v>
      </c>
      <c r="AF19" s="11" t="s">
        <v>34</v>
      </c>
      <c r="AG19" s="11" t="s">
        <v>34</v>
      </c>
      <c r="AH19" s="11" t="s">
        <v>34</v>
      </c>
      <c r="AI19" s="11" t="s">
        <v>34</v>
      </c>
      <c r="AJ19" s="5">
        <f t="shared" si="1"/>
        <v>25</v>
      </c>
      <c r="AK19" s="5">
        <f t="shared" si="2"/>
        <v>0</v>
      </c>
      <c r="AL19" s="5" t="s">
        <v>19</v>
      </c>
      <c r="AM19" s="12">
        <f>AM18-AM11</f>
        <v>-21</v>
      </c>
      <c r="AN19" s="12">
        <f>AN18-AN11</f>
        <v>31</v>
      </c>
      <c r="AO19" s="12">
        <f>AM19+AN19</f>
        <v>10</v>
      </c>
    </row>
    <row r="20" spans="1:41" ht="16.5" x14ac:dyDescent="0.25">
      <c r="A20" s="12">
        <v>16</v>
      </c>
      <c r="B20" s="14">
        <v>577</v>
      </c>
      <c r="C20" s="15" t="s">
        <v>113</v>
      </c>
      <c r="D20" s="16" t="s">
        <v>114</v>
      </c>
      <c r="E20" s="10" t="s">
        <v>20</v>
      </c>
      <c r="F20" s="22" t="s">
        <v>34</v>
      </c>
      <c r="G20" s="22" t="s">
        <v>34</v>
      </c>
      <c r="H20" s="32"/>
      <c r="I20" s="22" t="s">
        <v>34</v>
      </c>
      <c r="J20" s="22" t="s">
        <v>34</v>
      </c>
      <c r="K20" s="22" t="s">
        <v>34</v>
      </c>
      <c r="L20" s="22" t="s">
        <v>34</v>
      </c>
      <c r="M20" s="22" t="s">
        <v>34</v>
      </c>
      <c r="N20" s="38"/>
      <c r="O20" s="32"/>
      <c r="P20" s="11" t="s">
        <v>34</v>
      </c>
      <c r="Q20" s="11" t="s">
        <v>34</v>
      </c>
      <c r="R20" s="11" t="s">
        <v>34</v>
      </c>
      <c r="S20" s="11" t="s">
        <v>34</v>
      </c>
      <c r="T20" s="11" t="s">
        <v>33</v>
      </c>
      <c r="U20" s="11" t="s">
        <v>34</v>
      </c>
      <c r="V20" s="32"/>
      <c r="W20" s="11" t="s">
        <v>34</v>
      </c>
      <c r="X20" s="11" t="s">
        <v>34</v>
      </c>
      <c r="Y20" s="11" t="s">
        <v>34</v>
      </c>
      <c r="Z20" s="11" t="s">
        <v>34</v>
      </c>
      <c r="AA20" s="11" t="s">
        <v>34</v>
      </c>
      <c r="AB20" s="11" t="s">
        <v>34</v>
      </c>
      <c r="AC20" s="32"/>
      <c r="AD20" s="11" t="s">
        <v>34</v>
      </c>
      <c r="AE20" s="11" t="s">
        <v>34</v>
      </c>
      <c r="AF20" s="11" t="s">
        <v>34</v>
      </c>
      <c r="AG20" s="11" t="s">
        <v>34</v>
      </c>
      <c r="AH20" s="11" t="s">
        <v>34</v>
      </c>
      <c r="AI20" s="11" t="s">
        <v>33</v>
      </c>
      <c r="AJ20" s="5">
        <f t="shared" si="1"/>
        <v>23</v>
      </c>
      <c r="AK20" s="5">
        <f t="shared" si="2"/>
        <v>2</v>
      </c>
      <c r="AL20" s="5" t="s">
        <v>15</v>
      </c>
      <c r="AM20" s="20">
        <f>AM19/AM18</f>
        <v>-4.2510121457489877E-2</v>
      </c>
      <c r="AN20" s="20">
        <f>AN19/AN18</f>
        <v>5.6776556776556776E-2</v>
      </c>
      <c r="AO20" s="20">
        <f>AO19/AO18</f>
        <v>9.6153846153846159E-3</v>
      </c>
    </row>
    <row r="21" spans="1:41" ht="16.5" x14ac:dyDescent="0.25">
      <c r="A21" s="6">
        <v>17</v>
      </c>
      <c r="B21" s="14">
        <v>589</v>
      </c>
      <c r="C21" s="15" t="s">
        <v>115</v>
      </c>
      <c r="D21" s="16" t="s">
        <v>116</v>
      </c>
      <c r="E21" s="10" t="s">
        <v>20</v>
      </c>
      <c r="F21" s="22" t="s">
        <v>34</v>
      </c>
      <c r="G21" s="22" t="s">
        <v>34</v>
      </c>
      <c r="H21" s="32"/>
      <c r="I21" s="22" t="s">
        <v>34</v>
      </c>
      <c r="J21" s="22" t="s">
        <v>34</v>
      </c>
      <c r="K21" s="22" t="s">
        <v>34</v>
      </c>
      <c r="L21" s="22" t="s">
        <v>34</v>
      </c>
      <c r="M21" s="22" t="s">
        <v>34</v>
      </c>
      <c r="N21" s="38"/>
      <c r="O21" s="32"/>
      <c r="P21" s="11" t="s">
        <v>34</v>
      </c>
      <c r="Q21" s="11" t="s">
        <v>34</v>
      </c>
      <c r="R21" s="11" t="s">
        <v>33</v>
      </c>
      <c r="S21" s="11" t="s">
        <v>34</v>
      </c>
      <c r="T21" s="11" t="s">
        <v>34</v>
      </c>
      <c r="U21" s="11" t="s">
        <v>34</v>
      </c>
      <c r="V21" s="32"/>
      <c r="W21" s="11" t="s">
        <v>34</v>
      </c>
      <c r="X21" s="11" t="s">
        <v>34</v>
      </c>
      <c r="Y21" s="11" t="s">
        <v>34</v>
      </c>
      <c r="Z21" s="11" t="s">
        <v>34</v>
      </c>
      <c r="AA21" s="11" t="s">
        <v>34</v>
      </c>
      <c r="AB21" s="11" t="s">
        <v>34</v>
      </c>
      <c r="AC21" s="32"/>
      <c r="AD21" s="11" t="s">
        <v>33</v>
      </c>
      <c r="AE21" s="11" t="s">
        <v>34</v>
      </c>
      <c r="AF21" s="11" t="s">
        <v>34</v>
      </c>
      <c r="AG21" s="11" t="s">
        <v>33</v>
      </c>
      <c r="AH21" s="11" t="s">
        <v>34</v>
      </c>
      <c r="AI21" s="11" t="s">
        <v>34</v>
      </c>
      <c r="AJ21" s="5">
        <f t="shared" si="1"/>
        <v>22</v>
      </c>
      <c r="AK21" s="5">
        <f t="shared" si="2"/>
        <v>3</v>
      </c>
    </row>
    <row r="22" spans="1:41" ht="16.5" x14ac:dyDescent="0.25">
      <c r="A22" s="12">
        <v>18</v>
      </c>
      <c r="B22" s="14"/>
      <c r="C22" s="15" t="s">
        <v>117</v>
      </c>
      <c r="D22" s="16" t="s">
        <v>118</v>
      </c>
      <c r="E22" s="10" t="s">
        <v>20</v>
      </c>
      <c r="F22" s="22" t="s">
        <v>34</v>
      </c>
      <c r="G22" s="22" t="s">
        <v>33</v>
      </c>
      <c r="H22" s="32"/>
      <c r="I22" s="22" t="s">
        <v>34</v>
      </c>
      <c r="J22" s="22" t="s">
        <v>34</v>
      </c>
      <c r="K22" s="22" t="s">
        <v>34</v>
      </c>
      <c r="L22" s="22" t="s">
        <v>34</v>
      </c>
      <c r="M22" s="22" t="s">
        <v>34</v>
      </c>
      <c r="N22" s="38"/>
      <c r="O22" s="32"/>
      <c r="P22" s="11" t="s">
        <v>34</v>
      </c>
      <c r="Q22" s="11" t="s">
        <v>34</v>
      </c>
      <c r="R22" s="11" t="s">
        <v>34</v>
      </c>
      <c r="S22" s="11" t="s">
        <v>34</v>
      </c>
      <c r="T22" s="11" t="s">
        <v>34</v>
      </c>
      <c r="U22" s="11" t="s">
        <v>34</v>
      </c>
      <c r="V22" s="32"/>
      <c r="W22" s="11" t="s">
        <v>33</v>
      </c>
      <c r="X22" s="11" t="s">
        <v>34</v>
      </c>
      <c r="Y22" s="11" t="s">
        <v>34</v>
      </c>
      <c r="Z22" s="11" t="s">
        <v>34</v>
      </c>
      <c r="AA22" s="11" t="s">
        <v>34</v>
      </c>
      <c r="AB22" s="11" t="s">
        <v>34</v>
      </c>
      <c r="AC22" s="32"/>
      <c r="AD22" s="11" t="s">
        <v>33</v>
      </c>
      <c r="AE22" s="11" t="s">
        <v>34</v>
      </c>
      <c r="AF22" s="11" t="s">
        <v>34</v>
      </c>
      <c r="AG22" s="11" t="s">
        <v>34</v>
      </c>
      <c r="AH22" s="11" t="s">
        <v>34</v>
      </c>
      <c r="AI22" s="11" t="s">
        <v>34</v>
      </c>
      <c r="AJ22" s="5">
        <f t="shared" si="1"/>
        <v>22</v>
      </c>
      <c r="AK22" s="5">
        <f t="shared" si="2"/>
        <v>3</v>
      </c>
    </row>
    <row r="23" spans="1:41" ht="16.5" x14ac:dyDescent="0.25">
      <c r="A23" s="6">
        <v>19</v>
      </c>
      <c r="B23" s="14"/>
      <c r="C23" s="15" t="s">
        <v>37</v>
      </c>
      <c r="D23" s="16" t="s">
        <v>40</v>
      </c>
      <c r="E23" s="10" t="s">
        <v>20</v>
      </c>
      <c r="F23" s="22" t="s">
        <v>34</v>
      </c>
      <c r="G23" s="22" t="s">
        <v>34</v>
      </c>
      <c r="H23" s="32"/>
      <c r="I23" s="22" t="s">
        <v>34</v>
      </c>
      <c r="J23" s="22" t="s">
        <v>34</v>
      </c>
      <c r="K23" s="22" t="s">
        <v>34</v>
      </c>
      <c r="L23" s="22" t="s">
        <v>34</v>
      </c>
      <c r="M23" s="22" t="s">
        <v>34</v>
      </c>
      <c r="N23" s="38"/>
      <c r="O23" s="32"/>
      <c r="P23" s="11" t="s">
        <v>34</v>
      </c>
      <c r="Q23" s="11" t="s">
        <v>34</v>
      </c>
      <c r="R23" s="11" t="s">
        <v>34</v>
      </c>
      <c r="S23" s="11" t="s">
        <v>34</v>
      </c>
      <c r="T23" s="11" t="s">
        <v>34</v>
      </c>
      <c r="U23" s="11" t="s">
        <v>34</v>
      </c>
      <c r="V23" s="32"/>
      <c r="W23" s="11" t="s">
        <v>34</v>
      </c>
      <c r="X23" s="11" t="s">
        <v>34</v>
      </c>
      <c r="Y23" s="11" t="s">
        <v>34</v>
      </c>
      <c r="Z23" s="11" t="s">
        <v>34</v>
      </c>
      <c r="AA23" s="11" t="s">
        <v>34</v>
      </c>
      <c r="AB23" s="11" t="s">
        <v>34</v>
      </c>
      <c r="AC23" s="32"/>
      <c r="AD23" s="11" t="s">
        <v>34</v>
      </c>
      <c r="AE23" s="11" t="s">
        <v>34</v>
      </c>
      <c r="AF23" s="11" t="s">
        <v>34</v>
      </c>
      <c r="AG23" s="11" t="s">
        <v>34</v>
      </c>
      <c r="AH23" s="11" t="s">
        <v>34</v>
      </c>
      <c r="AI23" s="11" t="s">
        <v>34</v>
      </c>
      <c r="AJ23" s="5">
        <f t="shared" si="1"/>
        <v>25</v>
      </c>
      <c r="AK23" s="5">
        <f t="shared" si="2"/>
        <v>0</v>
      </c>
    </row>
    <row r="24" spans="1:41" ht="16.5" x14ac:dyDescent="0.25">
      <c r="A24" s="12">
        <v>20</v>
      </c>
      <c r="B24" s="14"/>
      <c r="C24" s="15" t="s">
        <v>119</v>
      </c>
      <c r="D24" s="16" t="s">
        <v>40</v>
      </c>
      <c r="E24" s="10" t="s">
        <v>20</v>
      </c>
      <c r="F24" s="22" t="s">
        <v>34</v>
      </c>
      <c r="G24" s="22" t="s">
        <v>34</v>
      </c>
      <c r="H24" s="32"/>
      <c r="I24" s="22" t="s">
        <v>34</v>
      </c>
      <c r="J24" s="22" t="s">
        <v>33</v>
      </c>
      <c r="K24" s="22" t="s">
        <v>34</v>
      </c>
      <c r="L24" s="22" t="s">
        <v>34</v>
      </c>
      <c r="M24" s="22" t="s">
        <v>34</v>
      </c>
      <c r="N24" s="38"/>
      <c r="O24" s="32"/>
      <c r="P24" s="11" t="s">
        <v>34</v>
      </c>
      <c r="Q24" s="11" t="s">
        <v>34</v>
      </c>
      <c r="R24" s="11" t="s">
        <v>33</v>
      </c>
      <c r="S24" s="11" t="s">
        <v>34</v>
      </c>
      <c r="T24" s="11" t="s">
        <v>34</v>
      </c>
      <c r="U24" s="11" t="s">
        <v>34</v>
      </c>
      <c r="V24" s="32"/>
      <c r="W24" s="11" t="s">
        <v>34</v>
      </c>
      <c r="X24" s="11" t="s">
        <v>34</v>
      </c>
      <c r="Y24" s="11" t="s">
        <v>34</v>
      </c>
      <c r="Z24" s="11" t="s">
        <v>34</v>
      </c>
      <c r="AA24" s="11" t="s">
        <v>34</v>
      </c>
      <c r="AB24" s="11" t="s">
        <v>34</v>
      </c>
      <c r="AC24" s="32"/>
      <c r="AD24" s="11" t="s">
        <v>34</v>
      </c>
      <c r="AE24" s="11" t="s">
        <v>34</v>
      </c>
      <c r="AF24" s="11" t="s">
        <v>34</v>
      </c>
      <c r="AG24" s="11" t="s">
        <v>34</v>
      </c>
      <c r="AH24" s="11" t="s">
        <v>34</v>
      </c>
      <c r="AI24" s="11" t="s">
        <v>34</v>
      </c>
      <c r="AJ24" s="5">
        <f t="shared" si="1"/>
        <v>23</v>
      </c>
      <c r="AK24" s="5">
        <f t="shared" si="2"/>
        <v>2</v>
      </c>
    </row>
    <row r="25" spans="1:41" ht="16.5" x14ac:dyDescent="0.25">
      <c r="A25" s="6">
        <v>21</v>
      </c>
      <c r="B25" s="14">
        <v>572</v>
      </c>
      <c r="C25" s="15" t="s">
        <v>120</v>
      </c>
      <c r="D25" s="16" t="s">
        <v>29</v>
      </c>
      <c r="E25" s="10" t="s">
        <v>20</v>
      </c>
      <c r="F25" s="22" t="s">
        <v>34</v>
      </c>
      <c r="G25" s="22" t="s">
        <v>33</v>
      </c>
      <c r="H25" s="32"/>
      <c r="I25" s="22" t="s">
        <v>34</v>
      </c>
      <c r="J25" s="22" t="s">
        <v>34</v>
      </c>
      <c r="K25" s="22" t="s">
        <v>34</v>
      </c>
      <c r="L25" s="22" t="s">
        <v>34</v>
      </c>
      <c r="M25" s="22" t="s">
        <v>33</v>
      </c>
      <c r="N25" s="38"/>
      <c r="O25" s="32"/>
      <c r="P25" s="11" t="s">
        <v>34</v>
      </c>
      <c r="Q25" s="11" t="s">
        <v>34</v>
      </c>
      <c r="R25" s="11" t="s">
        <v>34</v>
      </c>
      <c r="S25" s="11" t="s">
        <v>34</v>
      </c>
      <c r="T25" s="11" t="s">
        <v>34</v>
      </c>
      <c r="U25" s="11" t="s">
        <v>34</v>
      </c>
      <c r="V25" s="32"/>
      <c r="W25" s="11" t="s">
        <v>34</v>
      </c>
      <c r="X25" s="11" t="s">
        <v>34</v>
      </c>
      <c r="Y25" s="11" t="s">
        <v>34</v>
      </c>
      <c r="Z25" s="11" t="s">
        <v>34</v>
      </c>
      <c r="AA25" s="11" t="s">
        <v>34</v>
      </c>
      <c r="AB25" s="11" t="s">
        <v>34</v>
      </c>
      <c r="AC25" s="32"/>
      <c r="AD25" s="11" t="s">
        <v>34</v>
      </c>
      <c r="AE25" s="11" t="s">
        <v>34</v>
      </c>
      <c r="AF25" s="11" t="s">
        <v>34</v>
      </c>
      <c r="AG25" s="11" t="s">
        <v>34</v>
      </c>
      <c r="AH25" s="11" t="s">
        <v>34</v>
      </c>
      <c r="AI25" s="11" t="s">
        <v>34</v>
      </c>
      <c r="AJ25" s="5">
        <f t="shared" si="1"/>
        <v>23</v>
      </c>
      <c r="AK25" s="5">
        <f t="shared" si="2"/>
        <v>2</v>
      </c>
    </row>
    <row r="26" spans="1:41" ht="16.5" x14ac:dyDescent="0.25">
      <c r="A26" s="12">
        <v>22</v>
      </c>
      <c r="B26" s="14">
        <v>649</v>
      </c>
      <c r="C26" s="15" t="s">
        <v>121</v>
      </c>
      <c r="D26" s="16" t="s">
        <v>122</v>
      </c>
      <c r="E26" s="10" t="s">
        <v>20</v>
      </c>
      <c r="F26" s="22" t="s">
        <v>34</v>
      </c>
      <c r="G26" s="22" t="s">
        <v>34</v>
      </c>
      <c r="H26" s="32"/>
      <c r="I26" s="22" t="s">
        <v>34</v>
      </c>
      <c r="J26" s="22" t="s">
        <v>34</v>
      </c>
      <c r="K26" s="22" t="s">
        <v>34</v>
      </c>
      <c r="L26" s="22" t="s">
        <v>34</v>
      </c>
      <c r="M26" s="22" t="s">
        <v>34</v>
      </c>
      <c r="N26" s="38"/>
      <c r="O26" s="32"/>
      <c r="P26" s="11" t="s">
        <v>34</v>
      </c>
      <c r="Q26" s="11" t="s">
        <v>34</v>
      </c>
      <c r="R26" s="11" t="s">
        <v>34</v>
      </c>
      <c r="S26" s="11" t="s">
        <v>34</v>
      </c>
      <c r="T26" s="11" t="s">
        <v>34</v>
      </c>
      <c r="U26" s="11" t="s">
        <v>34</v>
      </c>
      <c r="V26" s="32"/>
      <c r="W26" s="11" t="s">
        <v>34</v>
      </c>
      <c r="X26" s="11" t="s">
        <v>34</v>
      </c>
      <c r="Y26" s="11" t="s">
        <v>34</v>
      </c>
      <c r="Z26" s="11" t="s">
        <v>34</v>
      </c>
      <c r="AA26" s="11" t="s">
        <v>34</v>
      </c>
      <c r="AB26" s="11" t="s">
        <v>34</v>
      </c>
      <c r="AC26" s="32"/>
      <c r="AD26" s="11" t="s">
        <v>34</v>
      </c>
      <c r="AE26" s="11" t="s">
        <v>34</v>
      </c>
      <c r="AF26" s="11" t="s">
        <v>34</v>
      </c>
      <c r="AG26" s="11" t="s">
        <v>34</v>
      </c>
      <c r="AH26" s="11" t="s">
        <v>34</v>
      </c>
      <c r="AI26" s="11" t="s">
        <v>34</v>
      </c>
      <c r="AJ26" s="5">
        <f t="shared" si="1"/>
        <v>25</v>
      </c>
      <c r="AK26" s="5">
        <f t="shared" si="2"/>
        <v>0</v>
      </c>
    </row>
    <row r="27" spans="1:41" ht="16.5" x14ac:dyDescent="0.25">
      <c r="A27" s="6">
        <v>23</v>
      </c>
      <c r="B27" s="14"/>
      <c r="C27" s="15" t="s">
        <v>125</v>
      </c>
      <c r="D27" s="16" t="s">
        <v>126</v>
      </c>
      <c r="E27" s="10" t="s">
        <v>20</v>
      </c>
      <c r="F27" s="22" t="s">
        <v>33</v>
      </c>
      <c r="G27" s="22" t="s">
        <v>34</v>
      </c>
      <c r="H27" s="32"/>
      <c r="I27" s="22" t="s">
        <v>34</v>
      </c>
      <c r="J27" s="22" t="s">
        <v>34</v>
      </c>
      <c r="K27" s="22" t="s">
        <v>33</v>
      </c>
      <c r="L27" s="22" t="s">
        <v>34</v>
      </c>
      <c r="M27" s="22" t="s">
        <v>34</v>
      </c>
      <c r="N27" s="38"/>
      <c r="O27" s="32"/>
      <c r="P27" s="11" t="s">
        <v>34</v>
      </c>
      <c r="Q27" s="11" t="s">
        <v>34</v>
      </c>
      <c r="R27" s="11" t="s">
        <v>34</v>
      </c>
      <c r="S27" s="11" t="s">
        <v>34</v>
      </c>
      <c r="T27" s="11" t="s">
        <v>34</v>
      </c>
      <c r="U27" s="11" t="s">
        <v>34</v>
      </c>
      <c r="V27" s="32"/>
      <c r="W27" s="11" t="s">
        <v>34</v>
      </c>
      <c r="X27" s="11" t="s">
        <v>34</v>
      </c>
      <c r="Y27" s="11" t="s">
        <v>34</v>
      </c>
      <c r="Z27" s="11" t="s">
        <v>34</v>
      </c>
      <c r="AA27" s="11" t="s">
        <v>34</v>
      </c>
      <c r="AB27" s="11" t="s">
        <v>34</v>
      </c>
      <c r="AC27" s="32"/>
      <c r="AD27" s="11" t="s">
        <v>34</v>
      </c>
      <c r="AE27" s="11" t="s">
        <v>34</v>
      </c>
      <c r="AF27" s="11" t="s">
        <v>34</v>
      </c>
      <c r="AG27" s="11" t="s">
        <v>34</v>
      </c>
      <c r="AH27" s="11" t="s">
        <v>34</v>
      </c>
      <c r="AI27" s="11" t="s">
        <v>34</v>
      </c>
      <c r="AJ27" s="5">
        <f t="shared" si="1"/>
        <v>23</v>
      </c>
      <c r="AK27" s="5">
        <f t="shared" si="2"/>
        <v>2</v>
      </c>
    </row>
    <row r="28" spans="1:41" ht="16.5" x14ac:dyDescent="0.25">
      <c r="A28" s="12">
        <v>24</v>
      </c>
      <c r="B28" s="14"/>
      <c r="C28" s="15" t="s">
        <v>129</v>
      </c>
      <c r="D28" s="16" t="s">
        <v>130</v>
      </c>
      <c r="E28" s="10" t="s">
        <v>20</v>
      </c>
      <c r="F28" s="22" t="s">
        <v>34</v>
      </c>
      <c r="G28" s="22" t="s">
        <v>34</v>
      </c>
      <c r="H28" s="32"/>
      <c r="I28" s="22" t="s">
        <v>34</v>
      </c>
      <c r="J28" s="22" t="s">
        <v>34</v>
      </c>
      <c r="K28" s="22" t="s">
        <v>34</v>
      </c>
      <c r="L28" s="22" t="s">
        <v>34</v>
      </c>
      <c r="M28" s="22" t="s">
        <v>34</v>
      </c>
      <c r="N28" s="38"/>
      <c r="O28" s="32"/>
      <c r="P28" s="11" t="s">
        <v>34</v>
      </c>
      <c r="Q28" s="11" t="s">
        <v>34</v>
      </c>
      <c r="R28" s="11" t="s">
        <v>34</v>
      </c>
      <c r="S28" s="11" t="s">
        <v>34</v>
      </c>
      <c r="T28" s="11" t="s">
        <v>34</v>
      </c>
      <c r="U28" s="11" t="s">
        <v>34</v>
      </c>
      <c r="V28" s="32"/>
      <c r="W28" s="11" t="s">
        <v>34</v>
      </c>
      <c r="X28" s="11" t="s">
        <v>34</v>
      </c>
      <c r="Y28" s="11" t="s">
        <v>34</v>
      </c>
      <c r="Z28" s="11" t="s">
        <v>34</v>
      </c>
      <c r="AA28" s="11" t="s">
        <v>34</v>
      </c>
      <c r="AB28" s="11" t="s">
        <v>34</v>
      </c>
      <c r="AC28" s="32"/>
      <c r="AD28" s="11" t="s">
        <v>34</v>
      </c>
      <c r="AE28" s="11" t="s">
        <v>34</v>
      </c>
      <c r="AF28" s="11" t="s">
        <v>34</v>
      </c>
      <c r="AG28" s="11" t="s">
        <v>34</v>
      </c>
      <c r="AH28" s="11" t="s">
        <v>34</v>
      </c>
      <c r="AI28" s="11" t="s">
        <v>34</v>
      </c>
      <c r="AJ28" s="5">
        <f t="shared" si="1"/>
        <v>25</v>
      </c>
      <c r="AK28" s="5">
        <f t="shared" si="2"/>
        <v>0</v>
      </c>
    </row>
    <row r="29" spans="1:41" ht="16.5" customHeight="1" x14ac:dyDescent="0.25">
      <c r="A29" s="6">
        <v>1</v>
      </c>
      <c r="B29" s="7">
        <v>490</v>
      </c>
      <c r="C29" s="8" t="s">
        <v>53</v>
      </c>
      <c r="D29" s="9" t="s">
        <v>54</v>
      </c>
      <c r="E29" s="10" t="s">
        <v>20</v>
      </c>
      <c r="F29" s="22" t="s">
        <v>34</v>
      </c>
      <c r="G29" s="22" t="s">
        <v>33</v>
      </c>
      <c r="H29" s="32"/>
      <c r="I29" s="22" t="s">
        <v>34</v>
      </c>
      <c r="J29" s="22" t="s">
        <v>34</v>
      </c>
      <c r="K29" s="22" t="s">
        <v>34</v>
      </c>
      <c r="L29" s="22" t="s">
        <v>34</v>
      </c>
      <c r="M29" s="22" t="s">
        <v>34</v>
      </c>
      <c r="N29" s="38"/>
      <c r="O29" s="32"/>
      <c r="P29" s="11" t="s">
        <v>34</v>
      </c>
      <c r="Q29" s="11" t="s">
        <v>34</v>
      </c>
      <c r="R29" s="11" t="s">
        <v>34</v>
      </c>
      <c r="S29" s="11" t="s">
        <v>34</v>
      </c>
      <c r="T29" s="11" t="s">
        <v>34</v>
      </c>
      <c r="U29" s="11" t="s">
        <v>34</v>
      </c>
      <c r="V29" s="32"/>
      <c r="W29" s="11" t="s">
        <v>34</v>
      </c>
      <c r="X29" s="11" t="s">
        <v>34</v>
      </c>
      <c r="Y29" s="11" t="s">
        <v>34</v>
      </c>
      <c r="Z29" s="11" t="s">
        <v>34</v>
      </c>
      <c r="AA29" s="11" t="s">
        <v>34</v>
      </c>
      <c r="AB29" s="11" t="s">
        <v>34</v>
      </c>
      <c r="AC29" s="32"/>
      <c r="AD29" s="11" t="s">
        <v>35</v>
      </c>
      <c r="AE29" s="11" t="s">
        <v>35</v>
      </c>
      <c r="AF29" s="11" t="s">
        <v>35</v>
      </c>
      <c r="AG29" s="11" t="s">
        <v>35</v>
      </c>
      <c r="AH29" s="11" t="s">
        <v>35</v>
      </c>
      <c r="AI29" s="11" t="s">
        <v>35</v>
      </c>
      <c r="AJ29" s="5">
        <f t="shared" si="1"/>
        <v>18</v>
      </c>
      <c r="AK29" s="5">
        <f t="shared" si="2"/>
        <v>1</v>
      </c>
    </row>
    <row r="30" spans="1:41" ht="16.5" x14ac:dyDescent="0.25">
      <c r="A30" s="12">
        <v>2</v>
      </c>
      <c r="B30" s="14">
        <v>646</v>
      </c>
      <c r="C30" s="15" t="s">
        <v>55</v>
      </c>
      <c r="D30" s="16" t="s">
        <v>43</v>
      </c>
      <c r="E30" s="10" t="s">
        <v>20</v>
      </c>
      <c r="F30" s="22" t="s">
        <v>34</v>
      </c>
      <c r="G30" s="22" t="s">
        <v>34</v>
      </c>
      <c r="H30" s="32"/>
      <c r="I30" s="22" t="s">
        <v>34</v>
      </c>
      <c r="J30" s="22" t="s">
        <v>34</v>
      </c>
      <c r="K30" s="22" t="s">
        <v>34</v>
      </c>
      <c r="L30" s="22" t="s">
        <v>33</v>
      </c>
      <c r="M30" s="22" t="s">
        <v>34</v>
      </c>
      <c r="N30" s="38"/>
      <c r="O30" s="32"/>
      <c r="P30" s="11" t="s">
        <v>33</v>
      </c>
      <c r="Q30" s="11" t="s">
        <v>33</v>
      </c>
      <c r="R30" s="11" t="s">
        <v>34</v>
      </c>
      <c r="S30" s="11" t="s">
        <v>34</v>
      </c>
      <c r="T30" s="11" t="s">
        <v>34</v>
      </c>
      <c r="U30" s="11" t="s">
        <v>34</v>
      </c>
      <c r="V30" s="32"/>
      <c r="W30" s="11" t="s">
        <v>33</v>
      </c>
      <c r="X30" s="11" t="s">
        <v>34</v>
      </c>
      <c r="Y30" s="11" t="s">
        <v>34</v>
      </c>
      <c r="Z30" s="11" t="s">
        <v>34</v>
      </c>
      <c r="AA30" s="11" t="s">
        <v>34</v>
      </c>
      <c r="AB30" s="11" t="s">
        <v>33</v>
      </c>
      <c r="AC30" s="32"/>
      <c r="AD30" s="11" t="s">
        <v>33</v>
      </c>
      <c r="AE30" s="11" t="s">
        <v>34</v>
      </c>
      <c r="AF30" s="11" t="s">
        <v>34</v>
      </c>
      <c r="AG30" s="11" t="s">
        <v>34</v>
      </c>
      <c r="AH30" s="11" t="s">
        <v>34</v>
      </c>
      <c r="AI30" s="11" t="s">
        <v>34</v>
      </c>
      <c r="AJ30" s="5">
        <f t="shared" si="1"/>
        <v>19</v>
      </c>
      <c r="AK30" s="5">
        <f t="shared" si="2"/>
        <v>6</v>
      </c>
    </row>
    <row r="31" spans="1:41" ht="16.5" x14ac:dyDescent="0.25">
      <c r="A31" s="6">
        <v>3</v>
      </c>
      <c r="B31" s="14">
        <v>690</v>
      </c>
      <c r="C31" s="15" t="s">
        <v>56</v>
      </c>
      <c r="D31" s="16" t="s">
        <v>57</v>
      </c>
      <c r="E31" s="10" t="s">
        <v>20</v>
      </c>
      <c r="F31" s="22" t="s">
        <v>34</v>
      </c>
      <c r="G31" s="22" t="s">
        <v>34</v>
      </c>
      <c r="H31" s="32"/>
      <c r="I31" s="22" t="s">
        <v>34</v>
      </c>
      <c r="J31" s="22" t="s">
        <v>34</v>
      </c>
      <c r="K31" s="22" t="s">
        <v>34</v>
      </c>
      <c r="L31" s="22" t="s">
        <v>34</v>
      </c>
      <c r="M31" s="22" t="s">
        <v>34</v>
      </c>
      <c r="N31" s="38"/>
      <c r="O31" s="32"/>
      <c r="P31" s="11" t="s">
        <v>34</v>
      </c>
      <c r="Q31" s="11" t="s">
        <v>34</v>
      </c>
      <c r="R31" s="11" t="s">
        <v>34</v>
      </c>
      <c r="S31" s="11" t="s">
        <v>34</v>
      </c>
      <c r="T31" s="11" t="s">
        <v>34</v>
      </c>
      <c r="U31" s="11" t="s">
        <v>34</v>
      </c>
      <c r="V31" s="32"/>
      <c r="W31" s="11" t="s">
        <v>34</v>
      </c>
      <c r="X31" s="11" t="s">
        <v>35</v>
      </c>
      <c r="Y31" s="11" t="s">
        <v>34</v>
      </c>
      <c r="Z31" s="11" t="s">
        <v>34</v>
      </c>
      <c r="AA31" s="11" t="s">
        <v>34</v>
      </c>
      <c r="AB31" s="11" t="s">
        <v>34</v>
      </c>
      <c r="AC31" s="32"/>
      <c r="AD31" s="11" t="s">
        <v>34</v>
      </c>
      <c r="AE31" s="11" t="s">
        <v>34</v>
      </c>
      <c r="AF31" s="11" t="s">
        <v>34</v>
      </c>
      <c r="AG31" s="11" t="s">
        <v>34</v>
      </c>
      <c r="AH31" s="11" t="s">
        <v>34</v>
      </c>
      <c r="AI31" s="11" t="s">
        <v>34</v>
      </c>
      <c r="AJ31" s="5">
        <f t="shared" si="1"/>
        <v>24</v>
      </c>
      <c r="AK31" s="5">
        <f t="shared" si="2"/>
        <v>0</v>
      </c>
    </row>
    <row r="32" spans="1:41" ht="16.5" x14ac:dyDescent="0.25">
      <c r="A32" s="12">
        <v>4</v>
      </c>
      <c r="B32" s="14">
        <v>684</v>
      </c>
      <c r="C32" s="15" t="s">
        <v>58</v>
      </c>
      <c r="D32" s="16" t="s">
        <v>52</v>
      </c>
      <c r="E32" s="10" t="s">
        <v>20</v>
      </c>
      <c r="F32" s="22" t="s">
        <v>34</v>
      </c>
      <c r="G32" s="22" t="s">
        <v>33</v>
      </c>
      <c r="H32" s="32"/>
      <c r="I32" s="22" t="s">
        <v>34</v>
      </c>
      <c r="J32" s="22" t="s">
        <v>34</v>
      </c>
      <c r="K32" s="22" t="s">
        <v>34</v>
      </c>
      <c r="L32" s="22" t="s">
        <v>34</v>
      </c>
      <c r="M32" s="22" t="s">
        <v>33</v>
      </c>
      <c r="N32" s="38"/>
      <c r="O32" s="32"/>
      <c r="P32" s="11" t="s">
        <v>34</v>
      </c>
      <c r="Q32" s="11" t="s">
        <v>34</v>
      </c>
      <c r="R32" s="11" t="s">
        <v>34</v>
      </c>
      <c r="S32" s="11" t="s">
        <v>34</v>
      </c>
      <c r="T32" s="11" t="s">
        <v>34</v>
      </c>
      <c r="U32" s="11" t="s">
        <v>33</v>
      </c>
      <c r="V32" s="32"/>
      <c r="W32" s="11" t="s">
        <v>34</v>
      </c>
      <c r="X32" s="11" t="s">
        <v>34</v>
      </c>
      <c r="Y32" s="11" t="s">
        <v>34</v>
      </c>
      <c r="Z32" s="11" t="s">
        <v>33</v>
      </c>
      <c r="AA32" s="11" t="s">
        <v>34</v>
      </c>
      <c r="AB32" s="11" t="s">
        <v>34</v>
      </c>
      <c r="AC32" s="32"/>
      <c r="AD32" s="11" t="s">
        <v>34</v>
      </c>
      <c r="AE32" s="11" t="s">
        <v>34</v>
      </c>
      <c r="AF32" s="11" t="s">
        <v>34</v>
      </c>
      <c r="AG32" s="11" t="s">
        <v>34</v>
      </c>
      <c r="AH32" s="11" t="s">
        <v>34</v>
      </c>
      <c r="AI32" s="11" t="s">
        <v>33</v>
      </c>
      <c r="AJ32" s="5">
        <f t="shared" si="1"/>
        <v>20</v>
      </c>
      <c r="AK32" s="5">
        <f t="shared" si="2"/>
        <v>5</v>
      </c>
    </row>
    <row r="33" spans="1:37" ht="16.5" x14ac:dyDescent="0.25">
      <c r="A33" s="6">
        <v>5</v>
      </c>
      <c r="B33" s="14">
        <v>551</v>
      </c>
      <c r="C33" s="15" t="s">
        <v>46</v>
      </c>
      <c r="D33" s="16" t="s">
        <v>59</v>
      </c>
      <c r="E33" s="10" t="s">
        <v>20</v>
      </c>
      <c r="F33" s="22" t="s">
        <v>34</v>
      </c>
      <c r="G33" s="22" t="s">
        <v>34</v>
      </c>
      <c r="H33" s="32"/>
      <c r="I33" s="22" t="s">
        <v>34</v>
      </c>
      <c r="J33" s="22" t="s">
        <v>34</v>
      </c>
      <c r="K33" s="22" t="s">
        <v>34</v>
      </c>
      <c r="L33" s="22" t="s">
        <v>34</v>
      </c>
      <c r="M33" s="22" t="s">
        <v>34</v>
      </c>
      <c r="N33" s="38"/>
      <c r="O33" s="32"/>
      <c r="P33" s="11" t="s">
        <v>34</v>
      </c>
      <c r="Q33" s="11" t="s">
        <v>34</v>
      </c>
      <c r="R33" s="11" t="s">
        <v>34</v>
      </c>
      <c r="S33" s="11" t="s">
        <v>34</v>
      </c>
      <c r="T33" s="11" t="s">
        <v>34</v>
      </c>
      <c r="U33" s="11" t="s">
        <v>34</v>
      </c>
      <c r="V33" s="32"/>
      <c r="W33" s="11" t="s">
        <v>34</v>
      </c>
      <c r="X33" s="11" t="s">
        <v>34</v>
      </c>
      <c r="Y33" s="11" t="s">
        <v>34</v>
      </c>
      <c r="Z33" s="11" t="s">
        <v>34</v>
      </c>
      <c r="AA33" s="11" t="s">
        <v>34</v>
      </c>
      <c r="AB33" s="11" t="s">
        <v>34</v>
      </c>
      <c r="AC33" s="32"/>
      <c r="AD33" s="11" t="s">
        <v>34</v>
      </c>
      <c r="AE33" s="11" t="s">
        <v>34</v>
      </c>
      <c r="AF33" s="11" t="s">
        <v>34</v>
      </c>
      <c r="AG33" s="11" t="s">
        <v>34</v>
      </c>
      <c r="AH33" s="11" t="s">
        <v>34</v>
      </c>
      <c r="AI33" s="11" t="s">
        <v>33</v>
      </c>
      <c r="AJ33" s="5">
        <f t="shared" si="1"/>
        <v>24</v>
      </c>
      <c r="AK33" s="5">
        <f t="shared" si="2"/>
        <v>1</v>
      </c>
    </row>
    <row r="34" spans="1:37" ht="16.5" x14ac:dyDescent="0.25">
      <c r="A34" s="12">
        <v>6</v>
      </c>
      <c r="B34" s="14">
        <v>647</v>
      </c>
      <c r="C34" s="15" t="s">
        <v>60</v>
      </c>
      <c r="D34" s="16" t="s">
        <v>61</v>
      </c>
      <c r="E34" s="10" t="s">
        <v>20</v>
      </c>
      <c r="F34" s="22" t="s">
        <v>34</v>
      </c>
      <c r="G34" s="22" t="s">
        <v>34</v>
      </c>
      <c r="H34" s="32"/>
      <c r="I34" s="22" t="s">
        <v>34</v>
      </c>
      <c r="J34" s="22" t="s">
        <v>34</v>
      </c>
      <c r="K34" s="22" t="s">
        <v>34</v>
      </c>
      <c r="L34" s="22" t="s">
        <v>34</v>
      </c>
      <c r="M34" s="22" t="s">
        <v>34</v>
      </c>
      <c r="N34" s="38"/>
      <c r="O34" s="32"/>
      <c r="P34" s="11" t="s">
        <v>34</v>
      </c>
      <c r="Q34" s="11" t="s">
        <v>34</v>
      </c>
      <c r="R34" s="11" t="s">
        <v>34</v>
      </c>
      <c r="S34" s="11" t="s">
        <v>34</v>
      </c>
      <c r="T34" s="11" t="s">
        <v>34</v>
      </c>
      <c r="U34" s="11" t="s">
        <v>34</v>
      </c>
      <c r="V34" s="32"/>
      <c r="W34" s="11" t="s">
        <v>34</v>
      </c>
      <c r="X34" s="11" t="s">
        <v>34</v>
      </c>
      <c r="Y34" s="11" t="s">
        <v>34</v>
      </c>
      <c r="Z34" s="11" t="s">
        <v>34</v>
      </c>
      <c r="AA34" s="11" t="s">
        <v>34</v>
      </c>
      <c r="AB34" s="11" t="s">
        <v>34</v>
      </c>
      <c r="AC34" s="32"/>
      <c r="AD34" s="11" t="s">
        <v>34</v>
      </c>
      <c r="AE34" s="11" t="s">
        <v>34</v>
      </c>
      <c r="AF34" s="11" t="s">
        <v>34</v>
      </c>
      <c r="AG34" s="11" t="s">
        <v>34</v>
      </c>
      <c r="AH34" s="11" t="s">
        <v>34</v>
      </c>
      <c r="AI34" s="11" t="s">
        <v>34</v>
      </c>
      <c r="AJ34" s="5">
        <f t="shared" si="1"/>
        <v>25</v>
      </c>
      <c r="AK34" s="5">
        <f t="shared" si="2"/>
        <v>0</v>
      </c>
    </row>
    <row r="35" spans="1:37" ht="16.5" x14ac:dyDescent="0.25">
      <c r="A35" s="6">
        <v>7</v>
      </c>
      <c r="B35" s="14">
        <v>585</v>
      </c>
      <c r="C35" s="15" t="s">
        <v>62</v>
      </c>
      <c r="D35" s="16" t="s">
        <v>25</v>
      </c>
      <c r="E35" s="10" t="s">
        <v>20</v>
      </c>
      <c r="F35" s="22" t="s">
        <v>34</v>
      </c>
      <c r="G35" s="22" t="s">
        <v>34</v>
      </c>
      <c r="H35" s="32"/>
      <c r="I35" s="22" t="s">
        <v>34</v>
      </c>
      <c r="J35" s="22" t="s">
        <v>34</v>
      </c>
      <c r="K35" s="22" t="s">
        <v>34</v>
      </c>
      <c r="L35" s="22" t="s">
        <v>34</v>
      </c>
      <c r="M35" s="22" t="s">
        <v>34</v>
      </c>
      <c r="N35" s="38"/>
      <c r="O35" s="32"/>
      <c r="P35" s="11" t="s">
        <v>34</v>
      </c>
      <c r="Q35" s="11" t="s">
        <v>34</v>
      </c>
      <c r="R35" s="11" t="s">
        <v>33</v>
      </c>
      <c r="S35" s="11" t="s">
        <v>34</v>
      </c>
      <c r="T35" s="11" t="s">
        <v>34</v>
      </c>
      <c r="U35" s="11" t="s">
        <v>34</v>
      </c>
      <c r="V35" s="32"/>
      <c r="W35" s="11" t="s">
        <v>34</v>
      </c>
      <c r="X35" s="11" t="s">
        <v>34</v>
      </c>
      <c r="Y35" s="11" t="s">
        <v>34</v>
      </c>
      <c r="Z35" s="11" t="s">
        <v>34</v>
      </c>
      <c r="AA35" s="11" t="s">
        <v>34</v>
      </c>
      <c r="AB35" s="11" t="s">
        <v>33</v>
      </c>
      <c r="AC35" s="32"/>
      <c r="AD35" s="11" t="s">
        <v>33</v>
      </c>
      <c r="AE35" s="11" t="s">
        <v>33</v>
      </c>
      <c r="AF35" s="11" t="s">
        <v>34</v>
      </c>
      <c r="AG35" s="11" t="s">
        <v>34</v>
      </c>
      <c r="AH35" s="11" t="s">
        <v>34</v>
      </c>
      <c r="AI35" s="11" t="s">
        <v>34</v>
      </c>
      <c r="AJ35" s="5">
        <f t="shared" si="1"/>
        <v>21</v>
      </c>
      <c r="AK35" s="5">
        <f t="shared" si="2"/>
        <v>4</v>
      </c>
    </row>
    <row r="36" spans="1:37" ht="16.5" x14ac:dyDescent="0.25">
      <c r="A36" s="12">
        <v>8</v>
      </c>
      <c r="B36" s="14">
        <v>555</v>
      </c>
      <c r="C36" s="15" t="s">
        <v>26</v>
      </c>
      <c r="D36" s="16" t="s">
        <v>44</v>
      </c>
      <c r="E36" s="10" t="s">
        <v>20</v>
      </c>
      <c r="F36" s="22" t="s">
        <v>34</v>
      </c>
      <c r="G36" s="22" t="s">
        <v>33</v>
      </c>
      <c r="H36" s="32"/>
      <c r="I36" s="22" t="s">
        <v>33</v>
      </c>
      <c r="J36" s="22" t="s">
        <v>34</v>
      </c>
      <c r="K36" s="22" t="s">
        <v>34</v>
      </c>
      <c r="L36" s="22" t="s">
        <v>33</v>
      </c>
      <c r="M36" s="22" t="s">
        <v>34</v>
      </c>
      <c r="N36" s="38"/>
      <c r="O36" s="32"/>
      <c r="P36" s="11" t="s">
        <v>34</v>
      </c>
      <c r="Q36" s="11" t="s">
        <v>34</v>
      </c>
      <c r="R36" s="11" t="s">
        <v>33</v>
      </c>
      <c r="S36" s="11" t="s">
        <v>34</v>
      </c>
      <c r="T36" s="11" t="s">
        <v>34</v>
      </c>
      <c r="U36" s="11" t="s">
        <v>34</v>
      </c>
      <c r="V36" s="32"/>
      <c r="W36" s="11" t="s">
        <v>34</v>
      </c>
      <c r="X36" s="11" t="s">
        <v>34</v>
      </c>
      <c r="Y36" s="11" t="s">
        <v>34</v>
      </c>
      <c r="Z36" s="11" t="s">
        <v>34</v>
      </c>
      <c r="AA36" s="11" t="s">
        <v>34</v>
      </c>
      <c r="AB36" s="11" t="s">
        <v>34</v>
      </c>
      <c r="AC36" s="32"/>
      <c r="AD36" s="11" t="s">
        <v>33</v>
      </c>
      <c r="AE36" s="11" t="s">
        <v>33</v>
      </c>
      <c r="AF36" s="11" t="s">
        <v>34</v>
      </c>
      <c r="AG36" s="11" t="s">
        <v>34</v>
      </c>
      <c r="AH36" s="11" t="s">
        <v>34</v>
      </c>
      <c r="AI36" s="11" t="s">
        <v>33</v>
      </c>
      <c r="AJ36" s="5">
        <f t="shared" si="1"/>
        <v>18</v>
      </c>
      <c r="AK36" s="5">
        <f t="shared" si="2"/>
        <v>7</v>
      </c>
    </row>
    <row r="37" spans="1:37" ht="16.5" x14ac:dyDescent="0.25">
      <c r="A37" s="6">
        <v>9</v>
      </c>
      <c r="B37" s="18">
        <v>691</v>
      </c>
      <c r="C37" s="15" t="s">
        <v>64</v>
      </c>
      <c r="D37" s="16" t="s">
        <v>65</v>
      </c>
      <c r="E37" s="10" t="s">
        <v>20</v>
      </c>
      <c r="F37" s="22" t="s">
        <v>33</v>
      </c>
      <c r="G37" s="22" t="s">
        <v>34</v>
      </c>
      <c r="H37" s="32"/>
      <c r="I37" s="22" t="s">
        <v>33</v>
      </c>
      <c r="J37" s="22" t="s">
        <v>34</v>
      </c>
      <c r="K37" s="22" t="s">
        <v>34</v>
      </c>
      <c r="L37" s="22" t="s">
        <v>33</v>
      </c>
      <c r="M37" s="22" t="s">
        <v>34</v>
      </c>
      <c r="N37" s="38"/>
      <c r="O37" s="32"/>
      <c r="P37" s="11" t="s">
        <v>33</v>
      </c>
      <c r="Q37" s="11" t="s">
        <v>33</v>
      </c>
      <c r="R37" s="11" t="s">
        <v>33</v>
      </c>
      <c r="S37" s="11" t="s">
        <v>33</v>
      </c>
      <c r="T37" s="11" t="s">
        <v>33</v>
      </c>
      <c r="U37" s="11" t="s">
        <v>33</v>
      </c>
      <c r="V37" s="32"/>
      <c r="W37" s="11" t="s">
        <v>33</v>
      </c>
      <c r="X37" s="11" t="s">
        <v>35</v>
      </c>
      <c r="Y37" s="11" t="s">
        <v>35</v>
      </c>
      <c r="Z37" s="11" t="s">
        <v>35</v>
      </c>
      <c r="AA37" s="11" t="s">
        <v>35</v>
      </c>
      <c r="AB37" s="11" t="s">
        <v>35</v>
      </c>
      <c r="AC37" s="32"/>
      <c r="AD37" s="11" t="s">
        <v>34</v>
      </c>
      <c r="AE37" s="11" t="s">
        <v>33</v>
      </c>
      <c r="AF37" s="11" t="s">
        <v>34</v>
      </c>
      <c r="AG37" s="11" t="s">
        <v>34</v>
      </c>
      <c r="AH37" s="11" t="s">
        <v>33</v>
      </c>
      <c r="AI37" s="11" t="s">
        <v>33</v>
      </c>
      <c r="AJ37" s="5">
        <f t="shared" si="1"/>
        <v>7</v>
      </c>
      <c r="AK37" s="5">
        <f t="shared" si="2"/>
        <v>13</v>
      </c>
    </row>
    <row r="38" spans="1:37" ht="16.5" x14ac:dyDescent="0.25">
      <c r="A38" s="12">
        <v>10</v>
      </c>
      <c r="B38" s="14">
        <v>528</v>
      </c>
      <c r="C38" s="15" t="s">
        <v>66</v>
      </c>
      <c r="D38" s="16" t="s">
        <v>67</v>
      </c>
      <c r="E38" s="10" t="s">
        <v>20</v>
      </c>
      <c r="F38" s="22" t="s">
        <v>33</v>
      </c>
      <c r="G38" s="22" t="s">
        <v>34</v>
      </c>
      <c r="H38" s="32"/>
      <c r="I38" s="22" t="s">
        <v>34</v>
      </c>
      <c r="J38" s="22" t="s">
        <v>34</v>
      </c>
      <c r="K38" s="22" t="s">
        <v>34</v>
      </c>
      <c r="L38" s="22" t="s">
        <v>33</v>
      </c>
      <c r="M38" s="22" t="s">
        <v>34</v>
      </c>
      <c r="N38" s="38"/>
      <c r="O38" s="32"/>
      <c r="P38" s="11" t="s">
        <v>34</v>
      </c>
      <c r="Q38" s="11" t="s">
        <v>34</v>
      </c>
      <c r="R38" s="11" t="s">
        <v>33</v>
      </c>
      <c r="S38" s="11" t="s">
        <v>33</v>
      </c>
      <c r="T38" s="11" t="s">
        <v>34</v>
      </c>
      <c r="U38" s="11" t="s">
        <v>33</v>
      </c>
      <c r="V38" s="32"/>
      <c r="W38" s="11" t="s">
        <v>34</v>
      </c>
      <c r="X38" s="11" t="s">
        <v>34</v>
      </c>
      <c r="Y38" s="11" t="s">
        <v>34</v>
      </c>
      <c r="Z38" s="11" t="s">
        <v>34</v>
      </c>
      <c r="AA38" s="11" t="s">
        <v>33</v>
      </c>
      <c r="AB38" s="11" t="s">
        <v>34</v>
      </c>
      <c r="AC38" s="32"/>
      <c r="AD38" s="11" t="s">
        <v>34</v>
      </c>
      <c r="AE38" s="11" t="s">
        <v>34</v>
      </c>
      <c r="AF38" s="11" t="s">
        <v>33</v>
      </c>
      <c r="AG38" s="11" t="s">
        <v>34</v>
      </c>
      <c r="AH38" s="11" t="s">
        <v>34</v>
      </c>
      <c r="AI38" s="11" t="s">
        <v>34</v>
      </c>
      <c r="AJ38" s="5">
        <f t="shared" si="1"/>
        <v>18</v>
      </c>
      <c r="AK38" s="5">
        <f t="shared" si="2"/>
        <v>7</v>
      </c>
    </row>
    <row r="39" spans="1:37" ht="16.5" x14ac:dyDescent="0.25">
      <c r="A39" s="6">
        <v>11</v>
      </c>
      <c r="B39" s="14">
        <v>689</v>
      </c>
      <c r="C39" s="15" t="s">
        <v>68</v>
      </c>
      <c r="D39" s="16" t="s">
        <v>30</v>
      </c>
      <c r="E39" s="10" t="s">
        <v>20</v>
      </c>
      <c r="F39" s="22" t="s">
        <v>34</v>
      </c>
      <c r="G39" s="22" t="s">
        <v>34</v>
      </c>
      <c r="H39" s="32"/>
      <c r="I39" s="22" t="s">
        <v>34</v>
      </c>
      <c r="J39" s="22" t="s">
        <v>34</v>
      </c>
      <c r="K39" s="22" t="s">
        <v>34</v>
      </c>
      <c r="L39" s="22" t="s">
        <v>34</v>
      </c>
      <c r="M39" s="22" t="s">
        <v>34</v>
      </c>
      <c r="N39" s="38"/>
      <c r="O39" s="32"/>
      <c r="P39" s="11" t="s">
        <v>34</v>
      </c>
      <c r="Q39" s="11" t="s">
        <v>34</v>
      </c>
      <c r="R39" s="11" t="s">
        <v>34</v>
      </c>
      <c r="S39" s="11" t="s">
        <v>34</v>
      </c>
      <c r="T39" s="11" t="s">
        <v>34</v>
      </c>
      <c r="U39" s="11" t="s">
        <v>34</v>
      </c>
      <c r="V39" s="32"/>
      <c r="W39" s="11" t="s">
        <v>34</v>
      </c>
      <c r="X39" s="11" t="s">
        <v>34</v>
      </c>
      <c r="Y39" s="11" t="s">
        <v>34</v>
      </c>
      <c r="Z39" s="11" t="s">
        <v>34</v>
      </c>
      <c r="AA39" s="11" t="s">
        <v>34</v>
      </c>
      <c r="AB39" s="11" t="s">
        <v>34</v>
      </c>
      <c r="AC39" s="32"/>
      <c r="AD39" s="11" t="s">
        <v>34</v>
      </c>
      <c r="AE39" s="11" t="s">
        <v>34</v>
      </c>
      <c r="AF39" s="11" t="s">
        <v>34</v>
      </c>
      <c r="AG39" s="11" t="s">
        <v>34</v>
      </c>
      <c r="AH39" s="11" t="s">
        <v>34</v>
      </c>
      <c r="AI39" s="11" t="s">
        <v>34</v>
      </c>
      <c r="AJ39" s="5">
        <f t="shared" si="1"/>
        <v>25</v>
      </c>
      <c r="AK39" s="5">
        <f t="shared" si="2"/>
        <v>0</v>
      </c>
    </row>
    <row r="40" spans="1:37" ht="16.5" x14ac:dyDescent="0.25">
      <c r="A40" s="12">
        <v>12</v>
      </c>
      <c r="B40" s="14">
        <v>479</v>
      </c>
      <c r="C40" s="15" t="s">
        <v>69</v>
      </c>
      <c r="D40" s="16" t="s">
        <v>70</v>
      </c>
      <c r="E40" s="10" t="s">
        <v>20</v>
      </c>
      <c r="F40" s="22" t="s">
        <v>33</v>
      </c>
      <c r="G40" s="22" t="s">
        <v>34</v>
      </c>
      <c r="H40" s="32"/>
      <c r="I40" s="22" t="s">
        <v>34</v>
      </c>
      <c r="J40" s="22" t="s">
        <v>34</v>
      </c>
      <c r="K40" s="22" t="s">
        <v>34</v>
      </c>
      <c r="L40" s="22" t="s">
        <v>34</v>
      </c>
      <c r="M40" s="22" t="s">
        <v>34</v>
      </c>
      <c r="N40" s="38"/>
      <c r="O40" s="32"/>
      <c r="P40" s="11" t="s">
        <v>34</v>
      </c>
      <c r="Q40" s="11" t="s">
        <v>34</v>
      </c>
      <c r="R40" s="11" t="s">
        <v>34</v>
      </c>
      <c r="S40" s="11" t="s">
        <v>33</v>
      </c>
      <c r="T40" s="11" t="s">
        <v>34</v>
      </c>
      <c r="U40" s="11" t="s">
        <v>33</v>
      </c>
      <c r="V40" s="32"/>
      <c r="W40" s="11" t="s">
        <v>33</v>
      </c>
      <c r="X40" s="11" t="s">
        <v>34</v>
      </c>
      <c r="Y40" s="11" t="s">
        <v>34</v>
      </c>
      <c r="Z40" s="11" t="s">
        <v>34</v>
      </c>
      <c r="AA40" s="11" t="s">
        <v>34</v>
      </c>
      <c r="AB40" s="11" t="s">
        <v>34</v>
      </c>
      <c r="AC40" s="32"/>
      <c r="AD40" s="11" t="s">
        <v>34</v>
      </c>
      <c r="AE40" s="11" t="s">
        <v>34</v>
      </c>
      <c r="AF40" s="11" t="s">
        <v>34</v>
      </c>
      <c r="AG40" s="11" t="s">
        <v>34</v>
      </c>
      <c r="AH40" s="11" t="s">
        <v>34</v>
      </c>
      <c r="AI40" s="11" t="s">
        <v>34</v>
      </c>
      <c r="AJ40" s="5">
        <f t="shared" si="1"/>
        <v>21</v>
      </c>
      <c r="AK40" s="5">
        <f t="shared" si="2"/>
        <v>4</v>
      </c>
    </row>
    <row r="41" spans="1:37" ht="16.5" x14ac:dyDescent="0.25">
      <c r="A41" s="6">
        <v>13</v>
      </c>
      <c r="B41" s="14">
        <v>648</v>
      </c>
      <c r="C41" s="15" t="s">
        <v>71</v>
      </c>
      <c r="D41" s="16" t="s">
        <v>28</v>
      </c>
      <c r="E41" s="10" t="s">
        <v>20</v>
      </c>
      <c r="F41" s="22" t="s">
        <v>34</v>
      </c>
      <c r="G41" s="22" t="s">
        <v>34</v>
      </c>
      <c r="H41" s="32"/>
      <c r="I41" s="22" t="s">
        <v>33</v>
      </c>
      <c r="J41" s="22" t="s">
        <v>34</v>
      </c>
      <c r="K41" s="22" t="s">
        <v>34</v>
      </c>
      <c r="L41" s="22" t="s">
        <v>34</v>
      </c>
      <c r="M41" s="22" t="s">
        <v>34</v>
      </c>
      <c r="N41" s="38"/>
      <c r="O41" s="32"/>
      <c r="P41" s="11" t="s">
        <v>34</v>
      </c>
      <c r="Q41" s="11" t="s">
        <v>34</v>
      </c>
      <c r="R41" s="11" t="s">
        <v>34</v>
      </c>
      <c r="S41" s="11" t="s">
        <v>34</v>
      </c>
      <c r="T41" s="11" t="s">
        <v>34</v>
      </c>
      <c r="U41" s="11" t="s">
        <v>34</v>
      </c>
      <c r="V41" s="32"/>
      <c r="W41" s="11" t="s">
        <v>33</v>
      </c>
      <c r="X41" s="11" t="s">
        <v>33</v>
      </c>
      <c r="Y41" s="11" t="s">
        <v>33</v>
      </c>
      <c r="Z41" s="11" t="s">
        <v>33</v>
      </c>
      <c r="AA41" s="11" t="s">
        <v>33</v>
      </c>
      <c r="AB41" s="11" t="s">
        <v>33</v>
      </c>
      <c r="AC41" s="32"/>
      <c r="AD41" s="11" t="s">
        <v>34</v>
      </c>
      <c r="AE41" s="11" t="s">
        <v>34</v>
      </c>
      <c r="AF41" s="11" t="s">
        <v>34</v>
      </c>
      <c r="AG41" s="11" t="s">
        <v>34</v>
      </c>
      <c r="AH41" s="11" t="s">
        <v>34</v>
      </c>
      <c r="AI41" s="11" t="s">
        <v>34</v>
      </c>
      <c r="AJ41" s="5">
        <f t="shared" si="1"/>
        <v>18</v>
      </c>
      <c r="AK41" s="5">
        <f t="shared" si="2"/>
        <v>7</v>
      </c>
    </row>
    <row r="42" spans="1:37" ht="16.5" x14ac:dyDescent="0.25">
      <c r="A42" s="12">
        <v>14</v>
      </c>
      <c r="B42" s="14">
        <v>578</v>
      </c>
      <c r="C42" s="15" t="s">
        <v>72</v>
      </c>
      <c r="D42" s="16" t="s">
        <v>41</v>
      </c>
      <c r="E42" s="10" t="s">
        <v>20</v>
      </c>
      <c r="F42" s="22" t="s">
        <v>34</v>
      </c>
      <c r="G42" s="22" t="s">
        <v>34</v>
      </c>
      <c r="H42" s="32"/>
      <c r="I42" s="22" t="s">
        <v>34</v>
      </c>
      <c r="J42" s="22" t="s">
        <v>34</v>
      </c>
      <c r="K42" s="22" t="s">
        <v>34</v>
      </c>
      <c r="L42" s="22" t="s">
        <v>34</v>
      </c>
      <c r="M42" s="22" t="s">
        <v>34</v>
      </c>
      <c r="N42" s="38"/>
      <c r="O42" s="32"/>
      <c r="P42" s="11" t="s">
        <v>34</v>
      </c>
      <c r="Q42" s="11" t="s">
        <v>34</v>
      </c>
      <c r="R42" s="11" t="s">
        <v>34</v>
      </c>
      <c r="S42" s="11" t="s">
        <v>34</v>
      </c>
      <c r="T42" s="11" t="s">
        <v>34</v>
      </c>
      <c r="U42" s="11" t="s">
        <v>34</v>
      </c>
      <c r="V42" s="32"/>
      <c r="W42" s="11" t="s">
        <v>34</v>
      </c>
      <c r="X42" s="11" t="s">
        <v>34</v>
      </c>
      <c r="Y42" s="11" t="s">
        <v>34</v>
      </c>
      <c r="Z42" s="11" t="s">
        <v>34</v>
      </c>
      <c r="AA42" s="11" t="s">
        <v>34</v>
      </c>
      <c r="AB42" s="11" t="s">
        <v>34</v>
      </c>
      <c r="AC42" s="32"/>
      <c r="AD42" s="11" t="s">
        <v>34</v>
      </c>
      <c r="AE42" s="11" t="s">
        <v>34</v>
      </c>
      <c r="AF42" s="11" t="s">
        <v>34</v>
      </c>
      <c r="AG42" s="11" t="s">
        <v>34</v>
      </c>
      <c r="AH42" s="11" t="s">
        <v>34</v>
      </c>
      <c r="AI42" s="11" t="s">
        <v>34</v>
      </c>
      <c r="AJ42" s="5">
        <f t="shared" si="1"/>
        <v>25</v>
      </c>
      <c r="AK42" s="5">
        <f t="shared" si="2"/>
        <v>0</v>
      </c>
    </row>
    <row r="43" spans="1:37" ht="16.5" x14ac:dyDescent="0.25">
      <c r="A43" s="6">
        <v>15</v>
      </c>
      <c r="B43" s="14">
        <v>573</v>
      </c>
      <c r="C43" s="15" t="s">
        <v>32</v>
      </c>
      <c r="D43" s="16" t="s">
        <v>29</v>
      </c>
      <c r="E43" s="10" t="s">
        <v>20</v>
      </c>
      <c r="F43" s="22" t="s">
        <v>34</v>
      </c>
      <c r="G43" s="22" t="s">
        <v>33</v>
      </c>
      <c r="H43" s="32"/>
      <c r="I43" s="22" t="s">
        <v>34</v>
      </c>
      <c r="J43" s="22" t="s">
        <v>34</v>
      </c>
      <c r="K43" s="22" t="s">
        <v>34</v>
      </c>
      <c r="L43" s="22" t="s">
        <v>34</v>
      </c>
      <c r="M43" s="22" t="s">
        <v>33</v>
      </c>
      <c r="N43" s="38"/>
      <c r="O43" s="32"/>
      <c r="P43" s="11" t="s">
        <v>34</v>
      </c>
      <c r="Q43" s="11" t="s">
        <v>34</v>
      </c>
      <c r="R43" s="11" t="s">
        <v>34</v>
      </c>
      <c r="S43" s="11" t="s">
        <v>34</v>
      </c>
      <c r="T43" s="11" t="s">
        <v>34</v>
      </c>
      <c r="U43" s="11" t="s">
        <v>34</v>
      </c>
      <c r="V43" s="32"/>
      <c r="W43" s="11" t="s">
        <v>34</v>
      </c>
      <c r="X43" s="11" t="s">
        <v>34</v>
      </c>
      <c r="Y43" s="11" t="s">
        <v>34</v>
      </c>
      <c r="Z43" s="11" t="s">
        <v>34</v>
      </c>
      <c r="AA43" s="11" t="s">
        <v>34</v>
      </c>
      <c r="AB43" s="11" t="s">
        <v>34</v>
      </c>
      <c r="AC43" s="32"/>
      <c r="AD43" s="11" t="s">
        <v>34</v>
      </c>
      <c r="AE43" s="11" t="s">
        <v>34</v>
      </c>
      <c r="AF43" s="11" t="s">
        <v>34</v>
      </c>
      <c r="AG43" s="11" t="s">
        <v>34</v>
      </c>
      <c r="AH43" s="11" t="s">
        <v>34</v>
      </c>
      <c r="AI43" s="11" t="s">
        <v>34</v>
      </c>
      <c r="AJ43" s="5">
        <f t="shared" si="1"/>
        <v>23</v>
      </c>
      <c r="AK43" s="5">
        <f t="shared" si="2"/>
        <v>2</v>
      </c>
    </row>
    <row r="44" spans="1:37" ht="16.5" x14ac:dyDescent="0.25">
      <c r="A44" s="12">
        <v>16</v>
      </c>
      <c r="B44" s="14">
        <v>575</v>
      </c>
      <c r="C44" s="15" t="s">
        <v>75</v>
      </c>
      <c r="D44" s="16" t="s">
        <v>76</v>
      </c>
      <c r="E44" s="10" t="s">
        <v>20</v>
      </c>
      <c r="F44" s="22" t="s">
        <v>34</v>
      </c>
      <c r="G44" s="22" t="s">
        <v>33</v>
      </c>
      <c r="H44" s="32"/>
      <c r="I44" s="22" t="s">
        <v>34</v>
      </c>
      <c r="J44" s="22" t="s">
        <v>34</v>
      </c>
      <c r="K44" s="22" t="s">
        <v>34</v>
      </c>
      <c r="L44" s="22" t="s">
        <v>34</v>
      </c>
      <c r="M44" s="22" t="s">
        <v>34</v>
      </c>
      <c r="N44" s="38"/>
      <c r="O44" s="32"/>
      <c r="P44" s="11" t="s">
        <v>34</v>
      </c>
      <c r="Q44" s="11" t="s">
        <v>33</v>
      </c>
      <c r="R44" s="11" t="s">
        <v>34</v>
      </c>
      <c r="S44" s="11" t="s">
        <v>34</v>
      </c>
      <c r="T44" s="11" t="s">
        <v>34</v>
      </c>
      <c r="U44" s="11" t="s">
        <v>34</v>
      </c>
      <c r="V44" s="32"/>
      <c r="W44" s="11" t="s">
        <v>34</v>
      </c>
      <c r="X44" s="11" t="s">
        <v>34</v>
      </c>
      <c r="Y44" s="11" t="s">
        <v>34</v>
      </c>
      <c r="Z44" s="11" t="s">
        <v>34</v>
      </c>
      <c r="AA44" s="11" t="s">
        <v>34</v>
      </c>
      <c r="AB44" s="11" t="s">
        <v>34</v>
      </c>
      <c r="AC44" s="32"/>
      <c r="AD44" s="11" t="s">
        <v>34</v>
      </c>
      <c r="AE44" s="11" t="s">
        <v>34</v>
      </c>
      <c r="AF44" s="11" t="s">
        <v>33</v>
      </c>
      <c r="AG44" s="11" t="s">
        <v>34</v>
      </c>
      <c r="AH44" s="11" t="s">
        <v>34</v>
      </c>
      <c r="AI44" s="11" t="s">
        <v>33</v>
      </c>
      <c r="AJ44" s="5">
        <f t="shared" si="1"/>
        <v>21</v>
      </c>
      <c r="AK44" s="5">
        <f t="shared" si="2"/>
        <v>4</v>
      </c>
    </row>
    <row r="45" spans="1:37" ht="16.5" x14ac:dyDescent="0.25">
      <c r="A45" s="6">
        <v>17</v>
      </c>
      <c r="B45" s="14">
        <v>586</v>
      </c>
      <c r="C45" s="15" t="s">
        <v>27</v>
      </c>
      <c r="D45" s="16" t="s">
        <v>77</v>
      </c>
      <c r="E45" s="10" t="s">
        <v>20</v>
      </c>
      <c r="F45" s="22" t="s">
        <v>34</v>
      </c>
      <c r="G45" s="22" t="s">
        <v>34</v>
      </c>
      <c r="H45" s="32"/>
      <c r="I45" s="22" t="s">
        <v>34</v>
      </c>
      <c r="J45" s="22" t="s">
        <v>34</v>
      </c>
      <c r="K45" s="22" t="s">
        <v>34</v>
      </c>
      <c r="L45" s="22" t="s">
        <v>34</v>
      </c>
      <c r="M45" s="22" t="s">
        <v>34</v>
      </c>
      <c r="N45" s="38"/>
      <c r="O45" s="32"/>
      <c r="P45" s="11" t="s">
        <v>34</v>
      </c>
      <c r="Q45" s="11" t="s">
        <v>34</v>
      </c>
      <c r="R45" s="11" t="s">
        <v>34</v>
      </c>
      <c r="S45" s="11" t="s">
        <v>34</v>
      </c>
      <c r="T45" s="11" t="s">
        <v>34</v>
      </c>
      <c r="U45" s="11" t="s">
        <v>34</v>
      </c>
      <c r="V45" s="32"/>
      <c r="W45" s="11" t="s">
        <v>34</v>
      </c>
      <c r="X45" s="11" t="s">
        <v>34</v>
      </c>
      <c r="Y45" s="11" t="s">
        <v>34</v>
      </c>
      <c r="Z45" s="11" t="s">
        <v>34</v>
      </c>
      <c r="AA45" s="11" t="s">
        <v>34</v>
      </c>
      <c r="AB45" s="11" t="s">
        <v>34</v>
      </c>
      <c r="AC45" s="32"/>
      <c r="AD45" s="11" t="s">
        <v>34</v>
      </c>
      <c r="AE45" s="11" t="s">
        <v>34</v>
      </c>
      <c r="AF45" s="11" t="s">
        <v>34</v>
      </c>
      <c r="AG45" s="11" t="s">
        <v>34</v>
      </c>
      <c r="AH45" s="11" t="s">
        <v>34</v>
      </c>
      <c r="AI45" s="11" t="s">
        <v>34</v>
      </c>
      <c r="AJ45" s="5">
        <f t="shared" si="1"/>
        <v>25</v>
      </c>
      <c r="AK45" s="5">
        <f t="shared" si="2"/>
        <v>0</v>
      </c>
    </row>
    <row r="46" spans="1:37" ht="16.5" x14ac:dyDescent="0.25">
      <c r="A46" s="12">
        <v>18</v>
      </c>
      <c r="B46" s="14">
        <v>583</v>
      </c>
      <c r="C46" s="15" t="s">
        <v>78</v>
      </c>
      <c r="D46" s="16" t="s">
        <v>24</v>
      </c>
      <c r="E46" s="10" t="s">
        <v>20</v>
      </c>
      <c r="F46" s="22" t="s">
        <v>34</v>
      </c>
      <c r="G46" s="22" t="s">
        <v>34</v>
      </c>
      <c r="H46" s="32"/>
      <c r="I46" s="22" t="s">
        <v>33</v>
      </c>
      <c r="J46" s="22" t="s">
        <v>34</v>
      </c>
      <c r="K46" s="22" t="s">
        <v>34</v>
      </c>
      <c r="L46" s="22" t="s">
        <v>34</v>
      </c>
      <c r="M46" s="22" t="s">
        <v>34</v>
      </c>
      <c r="N46" s="38"/>
      <c r="O46" s="32"/>
      <c r="P46" s="11" t="s">
        <v>34</v>
      </c>
      <c r="Q46" s="11" t="s">
        <v>34</v>
      </c>
      <c r="R46" s="11" t="s">
        <v>34</v>
      </c>
      <c r="S46" s="11" t="s">
        <v>34</v>
      </c>
      <c r="T46" s="11" t="s">
        <v>34</v>
      </c>
      <c r="U46" s="11" t="s">
        <v>34</v>
      </c>
      <c r="V46" s="32"/>
      <c r="W46" s="11" t="s">
        <v>34</v>
      </c>
      <c r="X46" s="11" t="s">
        <v>34</v>
      </c>
      <c r="Y46" s="11" t="s">
        <v>34</v>
      </c>
      <c r="Z46" s="11" t="s">
        <v>33</v>
      </c>
      <c r="AA46" s="11" t="s">
        <v>33</v>
      </c>
      <c r="AB46" s="11" t="s">
        <v>33</v>
      </c>
      <c r="AC46" s="32"/>
      <c r="AD46" s="11" t="s">
        <v>33</v>
      </c>
      <c r="AE46" s="11" t="s">
        <v>33</v>
      </c>
      <c r="AF46" s="11" t="s">
        <v>33</v>
      </c>
      <c r="AG46" s="11" t="s">
        <v>33</v>
      </c>
      <c r="AH46" s="11" t="s">
        <v>33</v>
      </c>
      <c r="AI46" s="11" t="s">
        <v>33</v>
      </c>
      <c r="AJ46" s="5">
        <f t="shared" si="1"/>
        <v>15</v>
      </c>
      <c r="AK46" s="5">
        <f t="shared" si="2"/>
        <v>10</v>
      </c>
    </row>
    <row r="47" spans="1:37" ht="16.5" x14ac:dyDescent="0.25">
      <c r="A47" s="6">
        <v>19</v>
      </c>
      <c r="B47" s="14">
        <v>580</v>
      </c>
      <c r="C47" s="15" t="s">
        <v>79</v>
      </c>
      <c r="D47" s="16" t="s">
        <v>80</v>
      </c>
      <c r="E47" s="10" t="s">
        <v>20</v>
      </c>
      <c r="F47" s="22" t="s">
        <v>34</v>
      </c>
      <c r="G47" s="22" t="s">
        <v>34</v>
      </c>
      <c r="H47" s="32"/>
      <c r="I47" s="22" t="s">
        <v>34</v>
      </c>
      <c r="J47" s="22" t="s">
        <v>34</v>
      </c>
      <c r="K47" s="22" t="s">
        <v>34</v>
      </c>
      <c r="L47" s="22" t="s">
        <v>34</v>
      </c>
      <c r="M47" s="22" t="s">
        <v>34</v>
      </c>
      <c r="N47" s="38"/>
      <c r="O47" s="32"/>
      <c r="P47" s="11" t="s">
        <v>34</v>
      </c>
      <c r="Q47" s="11" t="s">
        <v>34</v>
      </c>
      <c r="R47" s="11" t="s">
        <v>34</v>
      </c>
      <c r="S47" s="11" t="s">
        <v>34</v>
      </c>
      <c r="T47" s="11" t="s">
        <v>34</v>
      </c>
      <c r="U47" s="11" t="s">
        <v>34</v>
      </c>
      <c r="V47" s="32"/>
      <c r="W47" s="11" t="s">
        <v>34</v>
      </c>
      <c r="X47" s="11" t="s">
        <v>34</v>
      </c>
      <c r="Y47" s="11" t="s">
        <v>34</v>
      </c>
      <c r="Z47" s="11" t="s">
        <v>34</v>
      </c>
      <c r="AA47" s="11" t="s">
        <v>34</v>
      </c>
      <c r="AB47" s="11" t="s">
        <v>34</v>
      </c>
      <c r="AC47" s="32"/>
      <c r="AD47" s="11" t="s">
        <v>34</v>
      </c>
      <c r="AE47" s="11" t="s">
        <v>34</v>
      </c>
      <c r="AF47" s="11" t="s">
        <v>34</v>
      </c>
      <c r="AG47" s="11" t="s">
        <v>34</v>
      </c>
      <c r="AH47" s="11" t="s">
        <v>34</v>
      </c>
      <c r="AI47" s="11" t="s">
        <v>34</v>
      </c>
      <c r="AJ47" s="5">
        <f t="shared" si="1"/>
        <v>25</v>
      </c>
      <c r="AK47" s="5">
        <f t="shared" si="2"/>
        <v>0</v>
      </c>
    </row>
    <row r="48" spans="1:37" ht="16.5" x14ac:dyDescent="0.25">
      <c r="A48" s="12">
        <v>20</v>
      </c>
      <c r="B48" s="14">
        <v>480</v>
      </c>
      <c r="C48" s="15" t="s">
        <v>81</v>
      </c>
      <c r="D48" s="16" t="s">
        <v>42</v>
      </c>
      <c r="E48" s="10" t="s">
        <v>20</v>
      </c>
      <c r="F48" s="22" t="s">
        <v>33</v>
      </c>
      <c r="G48" s="22" t="s">
        <v>33</v>
      </c>
      <c r="H48" s="32"/>
      <c r="I48" s="22" t="s">
        <v>33</v>
      </c>
      <c r="J48" s="22" t="s">
        <v>33</v>
      </c>
      <c r="K48" s="22" t="s">
        <v>33</v>
      </c>
      <c r="L48" s="22" t="s">
        <v>33</v>
      </c>
      <c r="M48" s="22" t="s">
        <v>34</v>
      </c>
      <c r="N48" s="38"/>
      <c r="O48" s="32"/>
      <c r="P48" s="11" t="s">
        <v>34</v>
      </c>
      <c r="Q48" s="11" t="s">
        <v>33</v>
      </c>
      <c r="R48" s="11" t="s">
        <v>33</v>
      </c>
      <c r="S48" s="11" t="s">
        <v>34</v>
      </c>
      <c r="T48" s="11" t="s">
        <v>34</v>
      </c>
      <c r="U48" s="11" t="s">
        <v>34</v>
      </c>
      <c r="V48" s="32"/>
      <c r="W48" s="11" t="s">
        <v>34</v>
      </c>
      <c r="X48" s="11" t="s">
        <v>34</v>
      </c>
      <c r="Y48" s="11" t="s">
        <v>34</v>
      </c>
      <c r="Z48" s="11" t="s">
        <v>34</v>
      </c>
      <c r="AA48" s="11" t="s">
        <v>34</v>
      </c>
      <c r="AB48" s="11" t="s">
        <v>34</v>
      </c>
      <c r="AC48" s="32"/>
      <c r="AD48" s="11" t="s">
        <v>34</v>
      </c>
      <c r="AE48" s="11" t="s">
        <v>34</v>
      </c>
      <c r="AF48" s="11" t="s">
        <v>34</v>
      </c>
      <c r="AG48" s="11" t="s">
        <v>34</v>
      </c>
      <c r="AH48" s="11" t="s">
        <v>34</v>
      </c>
      <c r="AI48" s="11" t="s">
        <v>34</v>
      </c>
      <c r="AJ48" s="5">
        <f t="shared" si="1"/>
        <v>17</v>
      </c>
      <c r="AK48" s="5">
        <f t="shared" si="2"/>
        <v>8</v>
      </c>
    </row>
    <row r="49" spans="1:37" ht="16.5" x14ac:dyDescent="0.25">
      <c r="A49" s="6">
        <v>21</v>
      </c>
      <c r="B49" s="14">
        <v>576</v>
      </c>
      <c r="C49" s="15" t="s">
        <v>48</v>
      </c>
      <c r="D49" s="16" t="s">
        <v>42</v>
      </c>
      <c r="E49" s="10" t="s">
        <v>20</v>
      </c>
      <c r="F49" s="22" t="s">
        <v>34</v>
      </c>
      <c r="G49" s="22" t="s">
        <v>34</v>
      </c>
      <c r="H49" s="32"/>
      <c r="I49" s="22" t="s">
        <v>34</v>
      </c>
      <c r="J49" s="22" t="s">
        <v>34</v>
      </c>
      <c r="K49" s="22" t="s">
        <v>34</v>
      </c>
      <c r="L49" s="22" t="s">
        <v>34</v>
      </c>
      <c r="M49" s="22" t="s">
        <v>34</v>
      </c>
      <c r="N49" s="38"/>
      <c r="O49" s="32"/>
      <c r="P49" s="11" t="s">
        <v>34</v>
      </c>
      <c r="Q49" s="11" t="s">
        <v>34</v>
      </c>
      <c r="R49" s="11" t="s">
        <v>34</v>
      </c>
      <c r="S49" s="11" t="s">
        <v>34</v>
      </c>
      <c r="T49" s="11" t="s">
        <v>34</v>
      </c>
      <c r="U49" s="11" t="s">
        <v>34</v>
      </c>
      <c r="V49" s="32"/>
      <c r="W49" s="11" t="s">
        <v>34</v>
      </c>
      <c r="X49" s="11" t="s">
        <v>34</v>
      </c>
      <c r="Y49" s="11" t="s">
        <v>34</v>
      </c>
      <c r="Z49" s="11" t="s">
        <v>34</v>
      </c>
      <c r="AA49" s="11" t="s">
        <v>34</v>
      </c>
      <c r="AB49" s="11" t="s">
        <v>34</v>
      </c>
      <c r="AC49" s="32"/>
      <c r="AD49" s="11" t="s">
        <v>34</v>
      </c>
      <c r="AE49" s="11" t="s">
        <v>34</v>
      </c>
      <c r="AF49" s="11" t="s">
        <v>34</v>
      </c>
      <c r="AG49" s="11" t="s">
        <v>34</v>
      </c>
      <c r="AH49" s="11" t="s">
        <v>34</v>
      </c>
      <c r="AI49" s="11" t="s">
        <v>34</v>
      </c>
      <c r="AJ49" s="5">
        <f t="shared" si="1"/>
        <v>25</v>
      </c>
      <c r="AK49" s="5">
        <f t="shared" si="2"/>
        <v>0</v>
      </c>
    </row>
    <row r="50" spans="1:37" ht="16.5" x14ac:dyDescent="0.25">
      <c r="A50" s="12">
        <v>22</v>
      </c>
      <c r="B50" s="14">
        <v>685</v>
      </c>
      <c r="C50" s="15" t="s">
        <v>82</v>
      </c>
      <c r="D50" s="16" t="s">
        <v>83</v>
      </c>
      <c r="E50" s="10" t="s">
        <v>20</v>
      </c>
      <c r="F50" s="22" t="s">
        <v>34</v>
      </c>
      <c r="G50" s="22" t="s">
        <v>33</v>
      </c>
      <c r="H50" s="32"/>
      <c r="I50" s="22" t="s">
        <v>34</v>
      </c>
      <c r="J50" s="22" t="s">
        <v>34</v>
      </c>
      <c r="K50" s="22" t="s">
        <v>34</v>
      </c>
      <c r="L50" s="22" t="s">
        <v>34</v>
      </c>
      <c r="M50" s="22" t="s">
        <v>34</v>
      </c>
      <c r="N50" s="38"/>
      <c r="O50" s="32"/>
      <c r="P50" s="11" t="s">
        <v>34</v>
      </c>
      <c r="Q50" s="11" t="s">
        <v>34</v>
      </c>
      <c r="R50" s="11" t="s">
        <v>34</v>
      </c>
      <c r="S50" s="11" t="s">
        <v>34</v>
      </c>
      <c r="T50" s="11" t="s">
        <v>34</v>
      </c>
      <c r="U50" s="11" t="s">
        <v>34</v>
      </c>
      <c r="V50" s="32"/>
      <c r="W50" s="11" t="s">
        <v>34</v>
      </c>
      <c r="X50" s="11" t="s">
        <v>34</v>
      </c>
      <c r="Y50" s="11" t="s">
        <v>34</v>
      </c>
      <c r="Z50" s="11" t="s">
        <v>34</v>
      </c>
      <c r="AA50" s="11" t="s">
        <v>34</v>
      </c>
      <c r="AB50" s="11" t="s">
        <v>34</v>
      </c>
      <c r="AC50" s="32"/>
      <c r="AD50" s="11" t="s">
        <v>34</v>
      </c>
      <c r="AE50" s="11" t="s">
        <v>34</v>
      </c>
      <c r="AF50" s="11" t="s">
        <v>34</v>
      </c>
      <c r="AG50" s="11" t="s">
        <v>34</v>
      </c>
      <c r="AH50" s="11" t="s">
        <v>34</v>
      </c>
      <c r="AI50" s="11" t="s">
        <v>34</v>
      </c>
      <c r="AJ50" s="5">
        <f t="shared" si="1"/>
        <v>24</v>
      </c>
      <c r="AK50" s="5">
        <f t="shared" si="2"/>
        <v>1</v>
      </c>
    </row>
    <row r="51" spans="1:37" ht="16.5" x14ac:dyDescent="0.25">
      <c r="A51" s="6">
        <v>23</v>
      </c>
      <c r="B51" s="14">
        <v>688</v>
      </c>
      <c r="C51" s="15" t="s">
        <v>84</v>
      </c>
      <c r="D51" s="16" t="s">
        <v>27</v>
      </c>
      <c r="E51" s="10" t="s">
        <v>20</v>
      </c>
      <c r="F51" s="22" t="s">
        <v>34</v>
      </c>
      <c r="G51" s="22" t="s">
        <v>33</v>
      </c>
      <c r="H51" s="32"/>
      <c r="I51" s="22" t="s">
        <v>34</v>
      </c>
      <c r="J51" s="22" t="s">
        <v>34</v>
      </c>
      <c r="K51" s="22" t="s">
        <v>34</v>
      </c>
      <c r="L51" s="22" t="s">
        <v>34</v>
      </c>
      <c r="M51" s="22" t="s">
        <v>34</v>
      </c>
      <c r="N51" s="38"/>
      <c r="O51" s="32"/>
      <c r="P51" s="11" t="s">
        <v>34</v>
      </c>
      <c r="Q51" s="11" t="s">
        <v>34</v>
      </c>
      <c r="R51" s="11" t="s">
        <v>33</v>
      </c>
      <c r="S51" s="11" t="s">
        <v>34</v>
      </c>
      <c r="T51" s="11" t="s">
        <v>33</v>
      </c>
      <c r="U51" s="11" t="s">
        <v>33</v>
      </c>
      <c r="V51" s="32"/>
      <c r="W51" s="11" t="s">
        <v>34</v>
      </c>
      <c r="X51" s="11" t="s">
        <v>33</v>
      </c>
      <c r="Y51" s="11" t="s">
        <v>34</v>
      </c>
      <c r="Z51" s="11" t="s">
        <v>33</v>
      </c>
      <c r="AA51" s="11" t="s">
        <v>34</v>
      </c>
      <c r="AB51" s="11" t="s">
        <v>34</v>
      </c>
      <c r="AC51" s="32"/>
      <c r="AD51" s="11" t="s">
        <v>33</v>
      </c>
      <c r="AE51" s="11" t="s">
        <v>34</v>
      </c>
      <c r="AF51" s="11" t="s">
        <v>34</v>
      </c>
      <c r="AG51" s="11" t="s">
        <v>34</v>
      </c>
      <c r="AH51" s="11" t="s">
        <v>34</v>
      </c>
      <c r="AI51" s="11" t="s">
        <v>34</v>
      </c>
      <c r="AJ51" s="5">
        <f t="shared" si="1"/>
        <v>18</v>
      </c>
      <c r="AK51" s="5">
        <f t="shared" si="2"/>
        <v>7</v>
      </c>
    </row>
    <row r="52" spans="1:37" ht="16.5" x14ac:dyDescent="0.25">
      <c r="A52" s="12">
        <v>24</v>
      </c>
      <c r="B52" s="14">
        <v>546</v>
      </c>
      <c r="C52" s="15" t="s">
        <v>84</v>
      </c>
      <c r="D52" s="16" t="s">
        <v>85</v>
      </c>
      <c r="E52" s="10" t="s">
        <v>20</v>
      </c>
      <c r="F52" s="22" t="s">
        <v>34</v>
      </c>
      <c r="G52" s="22" t="s">
        <v>34</v>
      </c>
      <c r="H52" s="32"/>
      <c r="I52" s="22" t="s">
        <v>34</v>
      </c>
      <c r="J52" s="22" t="s">
        <v>34</v>
      </c>
      <c r="K52" s="22" t="s">
        <v>34</v>
      </c>
      <c r="L52" s="22" t="s">
        <v>34</v>
      </c>
      <c r="M52" s="22" t="s">
        <v>34</v>
      </c>
      <c r="N52" s="38"/>
      <c r="O52" s="32"/>
      <c r="P52" s="11" t="s">
        <v>34</v>
      </c>
      <c r="Q52" s="11" t="s">
        <v>34</v>
      </c>
      <c r="R52" s="11" t="s">
        <v>34</v>
      </c>
      <c r="S52" s="11" t="s">
        <v>34</v>
      </c>
      <c r="T52" s="11" t="s">
        <v>34</v>
      </c>
      <c r="U52" s="11" t="s">
        <v>34</v>
      </c>
      <c r="V52" s="32"/>
      <c r="W52" s="11" t="s">
        <v>33</v>
      </c>
      <c r="X52" s="11" t="s">
        <v>33</v>
      </c>
      <c r="Y52" s="11" t="s">
        <v>34</v>
      </c>
      <c r="Z52" s="11" t="s">
        <v>34</v>
      </c>
      <c r="AA52" s="11" t="s">
        <v>33</v>
      </c>
      <c r="AB52" s="11" t="s">
        <v>34</v>
      </c>
      <c r="AC52" s="32"/>
      <c r="AD52" s="11" t="s">
        <v>34</v>
      </c>
      <c r="AE52" s="11" t="s">
        <v>34</v>
      </c>
      <c r="AF52" s="11" t="s">
        <v>34</v>
      </c>
      <c r="AG52" s="11" t="s">
        <v>34</v>
      </c>
      <c r="AH52" s="11" t="s">
        <v>34</v>
      </c>
      <c r="AI52" s="11" t="s">
        <v>34</v>
      </c>
      <c r="AJ52" s="5">
        <f t="shared" si="1"/>
        <v>22</v>
      </c>
      <c r="AK52" s="5">
        <f t="shared" si="2"/>
        <v>3</v>
      </c>
    </row>
    <row r="53" spans="1:37" ht="16.5" x14ac:dyDescent="0.25">
      <c r="A53" s="6">
        <v>25</v>
      </c>
      <c r="B53" s="14"/>
      <c r="C53" s="15" t="s">
        <v>86</v>
      </c>
      <c r="D53" s="16" t="s">
        <v>87</v>
      </c>
      <c r="E53" s="10" t="s">
        <v>20</v>
      </c>
      <c r="F53" s="22" t="s">
        <v>34</v>
      </c>
      <c r="G53" s="22" t="s">
        <v>34</v>
      </c>
      <c r="H53" s="32"/>
      <c r="I53" s="22" t="s">
        <v>34</v>
      </c>
      <c r="J53" s="22" t="s">
        <v>34</v>
      </c>
      <c r="K53" s="22" t="s">
        <v>34</v>
      </c>
      <c r="L53" s="22" t="s">
        <v>34</v>
      </c>
      <c r="M53" s="22" t="s">
        <v>34</v>
      </c>
      <c r="N53" s="38"/>
      <c r="O53" s="32"/>
      <c r="P53" s="11" t="s">
        <v>34</v>
      </c>
      <c r="Q53" s="11" t="s">
        <v>34</v>
      </c>
      <c r="R53" s="11" t="s">
        <v>34</v>
      </c>
      <c r="S53" s="11" t="s">
        <v>34</v>
      </c>
      <c r="T53" s="11" t="s">
        <v>34</v>
      </c>
      <c r="U53" s="11" t="s">
        <v>34</v>
      </c>
      <c r="V53" s="32"/>
      <c r="W53" s="11" t="s">
        <v>34</v>
      </c>
      <c r="X53" s="11" t="s">
        <v>34</v>
      </c>
      <c r="Y53" s="11" t="s">
        <v>34</v>
      </c>
      <c r="Z53" s="11" t="s">
        <v>34</v>
      </c>
      <c r="AA53" s="11" t="s">
        <v>34</v>
      </c>
      <c r="AB53" s="11" t="s">
        <v>34</v>
      </c>
      <c r="AC53" s="32"/>
      <c r="AD53" s="11" t="s">
        <v>34</v>
      </c>
      <c r="AE53" s="11" t="s">
        <v>34</v>
      </c>
      <c r="AF53" s="11" t="s">
        <v>34</v>
      </c>
      <c r="AG53" s="11" t="s">
        <v>34</v>
      </c>
      <c r="AH53" s="11" t="s">
        <v>34</v>
      </c>
      <c r="AI53" s="11" t="s">
        <v>34</v>
      </c>
      <c r="AJ53" s="5">
        <f t="shared" si="1"/>
        <v>25</v>
      </c>
      <c r="AK53" s="5">
        <f t="shared" si="2"/>
        <v>0</v>
      </c>
    </row>
    <row r="54" spans="1:37" ht="16.5" x14ac:dyDescent="0.25">
      <c r="A54" s="12">
        <v>26</v>
      </c>
      <c r="B54" s="14"/>
      <c r="C54" s="15" t="s">
        <v>88</v>
      </c>
      <c r="D54" s="16" t="s">
        <v>87</v>
      </c>
      <c r="E54" s="10" t="s">
        <v>20</v>
      </c>
      <c r="F54" s="22" t="s">
        <v>34</v>
      </c>
      <c r="G54" s="22" t="s">
        <v>34</v>
      </c>
      <c r="H54" s="32"/>
      <c r="I54" s="22" t="s">
        <v>34</v>
      </c>
      <c r="J54" s="22" t="s">
        <v>34</v>
      </c>
      <c r="K54" s="22" t="s">
        <v>34</v>
      </c>
      <c r="L54" s="22" t="s">
        <v>34</v>
      </c>
      <c r="M54" s="22" t="s">
        <v>34</v>
      </c>
      <c r="N54" s="38"/>
      <c r="O54" s="32"/>
      <c r="P54" s="11" t="s">
        <v>34</v>
      </c>
      <c r="Q54" s="11" t="s">
        <v>34</v>
      </c>
      <c r="R54" s="11" t="s">
        <v>34</v>
      </c>
      <c r="S54" s="11" t="s">
        <v>34</v>
      </c>
      <c r="T54" s="11" t="s">
        <v>34</v>
      </c>
      <c r="U54" s="11" t="s">
        <v>34</v>
      </c>
      <c r="V54" s="32"/>
      <c r="W54" s="11" t="s">
        <v>34</v>
      </c>
      <c r="X54" s="11" t="s">
        <v>34</v>
      </c>
      <c r="Y54" s="11" t="s">
        <v>34</v>
      </c>
      <c r="Z54" s="11" t="s">
        <v>34</v>
      </c>
      <c r="AA54" s="11" t="s">
        <v>34</v>
      </c>
      <c r="AB54" s="11" t="s">
        <v>34</v>
      </c>
      <c r="AC54" s="32"/>
      <c r="AD54" s="11" t="s">
        <v>34</v>
      </c>
      <c r="AE54" s="11" t="s">
        <v>34</v>
      </c>
      <c r="AF54" s="11" t="s">
        <v>34</v>
      </c>
      <c r="AG54" s="11" t="s">
        <v>34</v>
      </c>
      <c r="AH54" s="11" t="s">
        <v>34</v>
      </c>
      <c r="AI54" s="11" t="s">
        <v>34</v>
      </c>
      <c r="AJ54" s="5">
        <f t="shared" si="1"/>
        <v>25</v>
      </c>
      <c r="AK54" s="5">
        <f t="shared" si="2"/>
        <v>0</v>
      </c>
    </row>
    <row r="55" spans="1:37" ht="16.5" x14ac:dyDescent="0.25">
      <c r="A55" s="6">
        <v>27</v>
      </c>
      <c r="B55" s="14"/>
      <c r="C55" s="15" t="s">
        <v>123</v>
      </c>
      <c r="D55" s="16" t="s">
        <v>124</v>
      </c>
      <c r="E55" s="10" t="s">
        <v>20</v>
      </c>
      <c r="F55" s="22" t="s">
        <v>34</v>
      </c>
      <c r="G55" s="22" t="s">
        <v>34</v>
      </c>
      <c r="H55" s="32"/>
      <c r="I55" s="22" t="s">
        <v>34</v>
      </c>
      <c r="J55" s="22" t="s">
        <v>34</v>
      </c>
      <c r="K55" s="22" t="s">
        <v>34</v>
      </c>
      <c r="L55" s="22" t="s">
        <v>34</v>
      </c>
      <c r="M55" s="22" t="s">
        <v>34</v>
      </c>
      <c r="N55" s="38"/>
      <c r="O55" s="32"/>
      <c r="P55" s="11" t="s">
        <v>34</v>
      </c>
      <c r="Q55" s="11" t="s">
        <v>34</v>
      </c>
      <c r="R55" s="11" t="s">
        <v>34</v>
      </c>
      <c r="S55" s="11" t="s">
        <v>34</v>
      </c>
      <c r="T55" s="11" t="s">
        <v>33</v>
      </c>
      <c r="U55" s="11" t="s">
        <v>34</v>
      </c>
      <c r="V55" s="32"/>
      <c r="W55" s="11" t="s">
        <v>34</v>
      </c>
      <c r="X55" s="11" t="s">
        <v>34</v>
      </c>
      <c r="Y55" s="11" t="s">
        <v>34</v>
      </c>
      <c r="Z55" s="11" t="s">
        <v>34</v>
      </c>
      <c r="AA55" s="11" t="s">
        <v>34</v>
      </c>
      <c r="AB55" s="11" t="s">
        <v>34</v>
      </c>
      <c r="AC55" s="32"/>
      <c r="AD55" s="11" t="s">
        <v>34</v>
      </c>
      <c r="AE55" s="11" t="s">
        <v>34</v>
      </c>
      <c r="AF55" s="11" t="s">
        <v>34</v>
      </c>
      <c r="AG55" s="11" t="s">
        <v>34</v>
      </c>
      <c r="AH55" s="11" t="s">
        <v>34</v>
      </c>
      <c r="AI55" s="11" t="s">
        <v>34</v>
      </c>
      <c r="AJ55" s="5">
        <f t="shared" si="1"/>
        <v>24</v>
      </c>
      <c r="AK55" s="5">
        <f t="shared" si="2"/>
        <v>1</v>
      </c>
    </row>
    <row r="56" spans="1:37" ht="16.5" x14ac:dyDescent="0.25">
      <c r="A56" s="12">
        <v>28</v>
      </c>
      <c r="B56" s="14"/>
      <c r="C56" s="15" t="s">
        <v>140</v>
      </c>
      <c r="D56" s="16"/>
      <c r="E56" s="10" t="s">
        <v>20</v>
      </c>
      <c r="F56" s="22" t="s">
        <v>34</v>
      </c>
      <c r="G56" s="22" t="s">
        <v>34</v>
      </c>
      <c r="H56" s="33"/>
      <c r="I56" s="22" t="s">
        <v>34</v>
      </c>
      <c r="J56" s="22" t="s">
        <v>34</v>
      </c>
      <c r="K56" s="22" t="s">
        <v>33</v>
      </c>
      <c r="L56" s="22" t="s">
        <v>33</v>
      </c>
      <c r="M56" s="22" t="s">
        <v>33</v>
      </c>
      <c r="N56" s="39"/>
      <c r="O56" s="33"/>
      <c r="P56" s="11" t="s">
        <v>34</v>
      </c>
      <c r="Q56" s="11" t="s">
        <v>34</v>
      </c>
      <c r="R56" s="11" t="s">
        <v>34</v>
      </c>
      <c r="S56" s="11" t="s">
        <v>34</v>
      </c>
      <c r="T56" s="11" t="s">
        <v>34</v>
      </c>
      <c r="U56" s="11" t="s">
        <v>33</v>
      </c>
      <c r="V56" s="33"/>
      <c r="W56" s="11" t="s">
        <v>34</v>
      </c>
      <c r="X56" s="11" t="s">
        <v>34</v>
      </c>
      <c r="Y56" s="11" t="s">
        <v>34</v>
      </c>
      <c r="Z56" s="11" t="s">
        <v>34</v>
      </c>
      <c r="AA56" s="11" t="s">
        <v>34</v>
      </c>
      <c r="AB56" s="11" t="s">
        <v>34</v>
      </c>
      <c r="AC56" s="33"/>
      <c r="AD56" s="11" t="s">
        <v>34</v>
      </c>
      <c r="AE56" s="11" t="s">
        <v>34</v>
      </c>
      <c r="AF56" s="11" t="s">
        <v>34</v>
      </c>
      <c r="AG56" s="11" t="s">
        <v>34</v>
      </c>
      <c r="AH56" s="11" t="s">
        <v>34</v>
      </c>
      <c r="AI56" s="11" t="s">
        <v>34</v>
      </c>
      <c r="AJ56" s="5">
        <f t="shared" si="1"/>
        <v>21</v>
      </c>
      <c r="AK56" s="5">
        <f t="shared" si="2"/>
        <v>4</v>
      </c>
    </row>
  </sheetData>
  <mergeCells count="17">
    <mergeCell ref="AJ3:AJ4"/>
    <mergeCell ref="AK3:AK4"/>
    <mergeCell ref="AL3:AM3"/>
    <mergeCell ref="H5:H56"/>
    <mergeCell ref="N5:N56"/>
    <mergeCell ref="O5:O56"/>
    <mergeCell ref="V5:V56"/>
    <mergeCell ref="AC5:AC56"/>
    <mergeCell ref="AL8:AO8"/>
    <mergeCell ref="AL16:AO16"/>
    <mergeCell ref="A1:AI1"/>
    <mergeCell ref="A2:AI2"/>
    <mergeCell ref="A3:A4"/>
    <mergeCell ref="B3:B4"/>
    <mergeCell ref="C3:C4"/>
    <mergeCell ref="D3:D4"/>
    <mergeCell ref="E3:E4"/>
  </mergeCells>
  <conditionalFormatting sqref="B5:B28">
    <cfRule type="duplicateValues" dxfId="55" priority="20"/>
  </conditionalFormatting>
  <conditionalFormatting sqref="B29:B56">
    <cfRule type="duplicateValues" dxfId="54" priority="7"/>
  </conditionalFormatting>
  <conditionalFormatting sqref="F5:AC5 F4:AI4">
    <cfRule type="expression" dxfId="53" priority="17">
      <formula>IF(F$4=TODAY(),TRUE,FALSE)</formula>
    </cfRule>
  </conditionalFormatting>
  <conditionalFormatting sqref="F5:AC5">
    <cfRule type="cellIs" dxfId="52" priority="14" operator="equal">
      <formula>"L"</formula>
    </cfRule>
    <cfRule type="cellIs" dxfId="51" priority="15" operator="equal">
      <formula>"A"</formula>
    </cfRule>
    <cfRule type="cellIs" dxfId="50" priority="16" operator="equal">
      <formula>"P"</formula>
    </cfRule>
  </conditionalFormatting>
  <conditionalFormatting sqref="F3:AI4 F5:AC5">
    <cfRule type="expression" dxfId="49" priority="18">
      <formula>F$3="Sun"</formula>
    </cfRule>
  </conditionalFormatting>
  <conditionalFormatting sqref="AD5:AI56 F6:G56 I6:M56 P6:U56 W6:AB56">
    <cfRule type="cellIs" dxfId="48" priority="1" operator="equal">
      <formula>"L"</formula>
    </cfRule>
    <cfRule type="cellIs" dxfId="47" priority="2" operator="equal">
      <formula>"A"</formula>
    </cfRule>
    <cfRule type="cellIs" dxfId="46" priority="3" operator="equal">
      <formula>"P"</formula>
    </cfRule>
    <cfRule type="expression" dxfId="45" priority="4">
      <formula>IF(F$4=TODAY(),TRUE,FALSE)</formula>
    </cfRule>
    <cfRule type="expression" dxfId="44" priority="5">
      <formula>F$3="Sun"</formula>
    </cfRule>
  </conditionalFormatting>
  <conditionalFormatting sqref="AJ3:AK3">
    <cfRule type="expression" dxfId="43" priority="19">
      <formula>#REF!="Sun"</formula>
    </cfRule>
  </conditionalFormatting>
  <conditionalFormatting sqref="AJ5:AK56">
    <cfRule type="expression" dxfId="42" priority="6">
      <formula>#REF!="Sun"</formula>
    </cfRule>
  </conditionalFormatting>
  <conditionalFormatting sqref="AL5:AL6">
    <cfRule type="expression" dxfId="41" priority="12">
      <formula>#REF!="Sun"</formula>
    </cfRule>
  </conditionalFormatting>
  <conditionalFormatting sqref="AL9:AL12">
    <cfRule type="expression" dxfId="40" priority="10">
      <formula>#REF!="Sun"</formula>
    </cfRule>
  </conditionalFormatting>
  <conditionalFormatting sqref="AL17:AL20">
    <cfRule type="expression" dxfId="39" priority="9">
      <formula>#REF!="Sun"</formula>
    </cfRule>
  </conditionalFormatting>
  <conditionalFormatting sqref="AL4:AM4">
    <cfRule type="expression" dxfId="38" priority="13">
      <formula>#REF!="Sun"</formula>
    </cfRule>
  </conditionalFormatting>
  <conditionalFormatting sqref="AM9:AO9">
    <cfRule type="expression" dxfId="37" priority="11">
      <formula>#REF!="Sun"</formula>
    </cfRule>
  </conditionalFormatting>
  <conditionalFormatting sqref="AM17:AO17">
    <cfRule type="expression" dxfId="36" priority="8">
      <formula>#REF!="Sun"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D708-109B-4676-8505-C3B8E17DD2C7}">
  <sheetPr>
    <tabColor rgb="FFC00000"/>
  </sheetPr>
  <dimension ref="A1:AO56"/>
  <sheetViews>
    <sheetView topLeftCell="A31" workbookViewId="0">
      <selection activeCell="AI5" sqref="AI5:AI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85546875" style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41" ht="17.25" x14ac:dyDescent="0.3">
      <c r="A2" s="25" t="s">
        <v>142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</row>
    <row r="3" spans="1:41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30" t="s">
        <v>5</v>
      </c>
      <c r="AK3" s="30" t="s">
        <v>6</v>
      </c>
      <c r="AL3" s="27" t="s">
        <v>21</v>
      </c>
      <c r="AM3" s="28"/>
      <c r="AN3" s="3"/>
      <c r="AO3" s="3"/>
    </row>
    <row r="4" spans="1:41" ht="36" x14ac:dyDescent="0.25">
      <c r="A4" s="24"/>
      <c r="B4" s="24"/>
      <c r="C4" s="24"/>
      <c r="D4" s="24"/>
      <c r="E4" s="24"/>
      <c r="F4" s="21">
        <v>45627</v>
      </c>
      <c r="G4" s="21">
        <v>45628</v>
      </c>
      <c r="H4" s="21">
        <v>45629</v>
      </c>
      <c r="I4" s="21">
        <v>45630</v>
      </c>
      <c r="J4" s="21">
        <v>45631</v>
      </c>
      <c r="K4" s="21">
        <v>45632</v>
      </c>
      <c r="L4" s="21">
        <v>45633</v>
      </c>
      <c r="M4" s="21">
        <v>45634</v>
      </c>
      <c r="N4" s="21">
        <v>45635</v>
      </c>
      <c r="O4" s="21">
        <v>45636</v>
      </c>
      <c r="P4" s="21">
        <v>45637</v>
      </c>
      <c r="Q4" s="21">
        <v>45638</v>
      </c>
      <c r="R4" s="21">
        <v>45639</v>
      </c>
      <c r="S4" s="21">
        <v>45640</v>
      </c>
      <c r="T4" s="21">
        <v>45641</v>
      </c>
      <c r="U4" s="21">
        <v>45642</v>
      </c>
      <c r="V4" s="21">
        <v>45643</v>
      </c>
      <c r="W4" s="21">
        <v>45644</v>
      </c>
      <c r="X4" s="21">
        <v>45645</v>
      </c>
      <c r="Y4" s="21">
        <v>45646</v>
      </c>
      <c r="Z4" s="21">
        <v>45647</v>
      </c>
      <c r="AA4" s="21">
        <v>45648</v>
      </c>
      <c r="AB4" s="21">
        <v>45649</v>
      </c>
      <c r="AC4" s="21">
        <v>45650</v>
      </c>
      <c r="AD4" s="21">
        <v>45651</v>
      </c>
      <c r="AE4" s="21">
        <v>45652</v>
      </c>
      <c r="AF4" s="21">
        <v>45653</v>
      </c>
      <c r="AG4" s="21">
        <v>45654</v>
      </c>
      <c r="AH4" s="21">
        <v>45655</v>
      </c>
      <c r="AI4" s="21">
        <v>45656</v>
      </c>
      <c r="AJ4" s="30"/>
      <c r="AK4" s="30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4">
        <v>544</v>
      </c>
      <c r="C5" s="15" t="s">
        <v>89</v>
      </c>
      <c r="D5" s="16" t="s">
        <v>90</v>
      </c>
      <c r="E5" s="10" t="s">
        <v>20</v>
      </c>
      <c r="F5" s="31" t="s">
        <v>131</v>
      </c>
      <c r="G5" s="22" t="s">
        <v>34</v>
      </c>
      <c r="H5" s="22" t="s">
        <v>34</v>
      </c>
      <c r="I5" s="22" t="s">
        <v>34</v>
      </c>
      <c r="J5" s="22" t="s">
        <v>34</v>
      </c>
      <c r="K5" s="22" t="s">
        <v>34</v>
      </c>
      <c r="L5" s="22" t="s">
        <v>34</v>
      </c>
      <c r="M5" s="31" t="s">
        <v>131</v>
      </c>
      <c r="N5" s="22" t="s">
        <v>34</v>
      </c>
      <c r="O5" s="22" t="s">
        <v>34</v>
      </c>
      <c r="P5" s="22" t="s">
        <v>34</v>
      </c>
      <c r="Q5" s="22" t="s">
        <v>34</v>
      </c>
      <c r="R5" s="22" t="s">
        <v>34</v>
      </c>
      <c r="S5" s="22" t="s">
        <v>34</v>
      </c>
      <c r="T5" s="31" t="s">
        <v>131</v>
      </c>
      <c r="U5" s="22" t="s">
        <v>34</v>
      </c>
      <c r="V5" s="22" t="s">
        <v>34</v>
      </c>
      <c r="W5" s="22" t="s">
        <v>34</v>
      </c>
      <c r="X5" s="22" t="s">
        <v>34</v>
      </c>
      <c r="Y5" s="22" t="s">
        <v>34</v>
      </c>
      <c r="Z5" s="34" t="s">
        <v>144</v>
      </c>
      <c r="AA5" s="31" t="s">
        <v>131</v>
      </c>
      <c r="AB5" s="34" t="s">
        <v>144</v>
      </c>
      <c r="AC5" s="34" t="s">
        <v>144</v>
      </c>
      <c r="AD5" s="34" t="s">
        <v>144</v>
      </c>
      <c r="AE5" s="34" t="s">
        <v>144</v>
      </c>
      <c r="AF5" s="34" t="s">
        <v>144</v>
      </c>
      <c r="AG5" s="34" t="s">
        <v>144</v>
      </c>
      <c r="AH5" s="31" t="s">
        <v>131</v>
      </c>
      <c r="AI5" s="34" t="s">
        <v>144</v>
      </c>
      <c r="AJ5" s="5">
        <f t="shared" ref="AJ5:AJ56" si="1">COUNTIF(F5:AI5,"P")</f>
        <v>17</v>
      </c>
      <c r="AK5" s="5">
        <f t="shared" ref="AK5:AK56" si="2">COUNTIF(F5:AI5,"A")</f>
        <v>0</v>
      </c>
      <c r="AL5" s="5" t="s">
        <v>8</v>
      </c>
      <c r="AM5" s="12">
        <v>26</v>
      </c>
      <c r="AN5" s="13" t="s">
        <v>9</v>
      </c>
      <c r="AO5" s="3"/>
    </row>
    <row r="6" spans="1:41" ht="16.5" x14ac:dyDescent="0.25">
      <c r="A6" s="12">
        <v>2</v>
      </c>
      <c r="B6" s="14">
        <v>780</v>
      </c>
      <c r="C6" s="15" t="s">
        <v>91</v>
      </c>
      <c r="D6" s="16" t="s">
        <v>92</v>
      </c>
      <c r="E6" s="10" t="s">
        <v>20</v>
      </c>
      <c r="F6" s="32"/>
      <c r="G6" s="22" t="s">
        <v>34</v>
      </c>
      <c r="H6" s="22" t="s">
        <v>34</v>
      </c>
      <c r="I6" s="22" t="s">
        <v>34</v>
      </c>
      <c r="J6" s="22" t="s">
        <v>34</v>
      </c>
      <c r="K6" s="22" t="s">
        <v>34</v>
      </c>
      <c r="L6" s="22" t="s">
        <v>34</v>
      </c>
      <c r="M6" s="32"/>
      <c r="N6" s="22" t="s">
        <v>34</v>
      </c>
      <c r="O6" s="22" t="s">
        <v>34</v>
      </c>
      <c r="P6" s="22" t="s">
        <v>34</v>
      </c>
      <c r="Q6" s="22" t="s">
        <v>34</v>
      </c>
      <c r="R6" s="22" t="s">
        <v>34</v>
      </c>
      <c r="S6" s="22" t="s">
        <v>34</v>
      </c>
      <c r="T6" s="32"/>
      <c r="U6" s="22" t="s">
        <v>34</v>
      </c>
      <c r="V6" s="22" t="s">
        <v>34</v>
      </c>
      <c r="W6" s="22" t="s">
        <v>34</v>
      </c>
      <c r="X6" s="22" t="s">
        <v>34</v>
      </c>
      <c r="Y6" s="22" t="s">
        <v>34</v>
      </c>
      <c r="Z6" s="35"/>
      <c r="AA6" s="32"/>
      <c r="AB6" s="35"/>
      <c r="AC6" s="35"/>
      <c r="AD6" s="35"/>
      <c r="AE6" s="35"/>
      <c r="AF6" s="35"/>
      <c r="AG6" s="35"/>
      <c r="AH6" s="32"/>
      <c r="AI6" s="35"/>
      <c r="AJ6" s="5">
        <f t="shared" si="1"/>
        <v>17</v>
      </c>
      <c r="AK6" s="5">
        <f t="shared" si="2"/>
        <v>0</v>
      </c>
      <c r="AL6" s="5" t="s">
        <v>10</v>
      </c>
      <c r="AM6" s="12">
        <v>4</v>
      </c>
      <c r="AN6" s="3"/>
      <c r="AO6" s="3"/>
    </row>
    <row r="7" spans="1:41" ht="16.5" x14ac:dyDescent="0.25">
      <c r="A7" s="6">
        <v>3</v>
      </c>
      <c r="B7" s="14">
        <v>569</v>
      </c>
      <c r="C7" s="15" t="s">
        <v>93</v>
      </c>
      <c r="D7" s="16" t="s">
        <v>94</v>
      </c>
      <c r="E7" s="10" t="s">
        <v>20</v>
      </c>
      <c r="F7" s="32"/>
      <c r="G7" s="22" t="s">
        <v>34</v>
      </c>
      <c r="H7" s="22" t="s">
        <v>34</v>
      </c>
      <c r="I7" s="22" t="s">
        <v>34</v>
      </c>
      <c r="J7" s="22" t="s">
        <v>34</v>
      </c>
      <c r="K7" s="22" t="s">
        <v>34</v>
      </c>
      <c r="L7" s="22" t="s">
        <v>34</v>
      </c>
      <c r="M7" s="32"/>
      <c r="N7" s="22" t="s">
        <v>34</v>
      </c>
      <c r="O7" s="22" t="s">
        <v>34</v>
      </c>
      <c r="P7" s="22" t="s">
        <v>34</v>
      </c>
      <c r="Q7" s="22" t="s">
        <v>34</v>
      </c>
      <c r="R7" s="22" t="s">
        <v>34</v>
      </c>
      <c r="S7" s="22" t="s">
        <v>34</v>
      </c>
      <c r="T7" s="32"/>
      <c r="U7" s="22" t="s">
        <v>34</v>
      </c>
      <c r="V7" s="22" t="s">
        <v>34</v>
      </c>
      <c r="W7" s="22" t="s">
        <v>34</v>
      </c>
      <c r="X7" s="22" t="s">
        <v>34</v>
      </c>
      <c r="Y7" s="22" t="s">
        <v>34</v>
      </c>
      <c r="Z7" s="35"/>
      <c r="AA7" s="32"/>
      <c r="AB7" s="35"/>
      <c r="AC7" s="35"/>
      <c r="AD7" s="35"/>
      <c r="AE7" s="35"/>
      <c r="AF7" s="35"/>
      <c r="AG7" s="35"/>
      <c r="AH7" s="32"/>
      <c r="AI7" s="35"/>
      <c r="AJ7" s="5">
        <f t="shared" si="1"/>
        <v>17</v>
      </c>
      <c r="AK7" s="5">
        <f t="shared" si="2"/>
        <v>0</v>
      </c>
      <c r="AL7" s="3"/>
      <c r="AM7" s="3"/>
      <c r="AN7" s="3"/>
      <c r="AO7" s="3"/>
    </row>
    <row r="8" spans="1:41" ht="16.5" x14ac:dyDescent="0.25">
      <c r="A8" s="12">
        <v>4</v>
      </c>
      <c r="B8" s="14">
        <v>582</v>
      </c>
      <c r="C8" s="15" t="s">
        <v>31</v>
      </c>
      <c r="D8" s="16" t="s">
        <v>95</v>
      </c>
      <c r="E8" s="10" t="s">
        <v>20</v>
      </c>
      <c r="F8" s="32"/>
      <c r="G8" s="22" t="s">
        <v>34</v>
      </c>
      <c r="H8" s="22" t="s">
        <v>34</v>
      </c>
      <c r="I8" s="22" t="s">
        <v>34</v>
      </c>
      <c r="J8" s="22" t="s">
        <v>34</v>
      </c>
      <c r="K8" s="22" t="s">
        <v>34</v>
      </c>
      <c r="L8" s="22" t="s">
        <v>34</v>
      </c>
      <c r="M8" s="32"/>
      <c r="N8" s="22" t="s">
        <v>34</v>
      </c>
      <c r="O8" s="22" t="s">
        <v>34</v>
      </c>
      <c r="P8" s="22" t="s">
        <v>34</v>
      </c>
      <c r="Q8" s="22" t="s">
        <v>34</v>
      </c>
      <c r="R8" s="22" t="s">
        <v>34</v>
      </c>
      <c r="S8" s="22" t="s">
        <v>34</v>
      </c>
      <c r="T8" s="32"/>
      <c r="U8" s="22" t="s">
        <v>34</v>
      </c>
      <c r="V8" s="22" t="s">
        <v>34</v>
      </c>
      <c r="W8" s="22" t="s">
        <v>34</v>
      </c>
      <c r="X8" s="22" t="s">
        <v>34</v>
      </c>
      <c r="Y8" s="22" t="s">
        <v>34</v>
      </c>
      <c r="Z8" s="35"/>
      <c r="AA8" s="32"/>
      <c r="AB8" s="35"/>
      <c r="AC8" s="35"/>
      <c r="AD8" s="35"/>
      <c r="AE8" s="35"/>
      <c r="AF8" s="35"/>
      <c r="AG8" s="35"/>
      <c r="AH8" s="32"/>
      <c r="AI8" s="35"/>
      <c r="AJ8" s="5">
        <f t="shared" si="1"/>
        <v>17</v>
      </c>
      <c r="AK8" s="5">
        <f t="shared" si="2"/>
        <v>0</v>
      </c>
      <c r="AL8" s="27" t="s">
        <v>11</v>
      </c>
      <c r="AM8" s="28"/>
      <c r="AN8" s="28"/>
      <c r="AO8" s="29"/>
    </row>
    <row r="9" spans="1:41" ht="16.5" x14ac:dyDescent="0.25">
      <c r="A9" s="6">
        <v>5</v>
      </c>
      <c r="B9" s="14">
        <v>574</v>
      </c>
      <c r="C9" s="15" t="s">
        <v>96</v>
      </c>
      <c r="D9" s="16" t="s">
        <v>97</v>
      </c>
      <c r="E9" s="10" t="s">
        <v>20</v>
      </c>
      <c r="F9" s="32"/>
      <c r="G9" s="22" t="s">
        <v>34</v>
      </c>
      <c r="H9" s="22" t="s">
        <v>34</v>
      </c>
      <c r="I9" s="22" t="s">
        <v>34</v>
      </c>
      <c r="J9" s="22" t="s">
        <v>34</v>
      </c>
      <c r="K9" s="22" t="s">
        <v>34</v>
      </c>
      <c r="L9" s="22" t="s">
        <v>34</v>
      </c>
      <c r="M9" s="32"/>
      <c r="N9" s="22" t="s">
        <v>34</v>
      </c>
      <c r="O9" s="22" t="s">
        <v>34</v>
      </c>
      <c r="P9" s="22" t="s">
        <v>34</v>
      </c>
      <c r="Q9" s="22" t="s">
        <v>34</v>
      </c>
      <c r="R9" s="22" t="s">
        <v>34</v>
      </c>
      <c r="S9" s="22" t="s">
        <v>34</v>
      </c>
      <c r="T9" s="32"/>
      <c r="U9" s="22" t="s">
        <v>34</v>
      </c>
      <c r="V9" s="22" t="s">
        <v>34</v>
      </c>
      <c r="W9" s="22" t="s">
        <v>34</v>
      </c>
      <c r="X9" s="22" t="s">
        <v>34</v>
      </c>
      <c r="Y9" s="22" t="s">
        <v>34</v>
      </c>
      <c r="Z9" s="35"/>
      <c r="AA9" s="32"/>
      <c r="AB9" s="35"/>
      <c r="AC9" s="35"/>
      <c r="AD9" s="35"/>
      <c r="AE9" s="35"/>
      <c r="AF9" s="35"/>
      <c r="AG9" s="35"/>
      <c r="AH9" s="32"/>
      <c r="AI9" s="35"/>
      <c r="AJ9" s="5">
        <f t="shared" si="1"/>
        <v>17</v>
      </c>
      <c r="AK9" s="5">
        <f t="shared" si="2"/>
        <v>0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2">
        <v>6</v>
      </c>
      <c r="B10" s="14">
        <v>571</v>
      </c>
      <c r="C10" s="15" t="s">
        <v>98</v>
      </c>
      <c r="D10" s="16" t="s">
        <v>99</v>
      </c>
      <c r="E10" s="10" t="s">
        <v>20</v>
      </c>
      <c r="F10" s="32"/>
      <c r="G10" s="22" t="s">
        <v>34</v>
      </c>
      <c r="H10" s="22" t="s">
        <v>34</v>
      </c>
      <c r="I10" s="22" t="s">
        <v>34</v>
      </c>
      <c r="J10" s="22" t="s">
        <v>34</v>
      </c>
      <c r="K10" s="22" t="s">
        <v>34</v>
      </c>
      <c r="L10" s="22" t="s">
        <v>34</v>
      </c>
      <c r="M10" s="32"/>
      <c r="N10" s="22" t="s">
        <v>34</v>
      </c>
      <c r="O10" s="22" t="s">
        <v>34</v>
      </c>
      <c r="P10" s="22" t="s">
        <v>34</v>
      </c>
      <c r="Q10" s="22" t="s">
        <v>34</v>
      </c>
      <c r="R10" s="22" t="s">
        <v>34</v>
      </c>
      <c r="S10" s="22" t="s">
        <v>34</v>
      </c>
      <c r="T10" s="32"/>
      <c r="U10" s="22" t="s">
        <v>34</v>
      </c>
      <c r="V10" s="22" t="s">
        <v>34</v>
      </c>
      <c r="W10" s="22" t="s">
        <v>34</v>
      </c>
      <c r="X10" s="22" t="s">
        <v>34</v>
      </c>
      <c r="Y10" s="22" t="s">
        <v>34</v>
      </c>
      <c r="Z10" s="35"/>
      <c r="AA10" s="32"/>
      <c r="AB10" s="35"/>
      <c r="AC10" s="35"/>
      <c r="AD10" s="35"/>
      <c r="AE10" s="35"/>
      <c r="AF10" s="35"/>
      <c r="AG10" s="35"/>
      <c r="AH10" s="32"/>
      <c r="AI10" s="35"/>
      <c r="AJ10" s="5">
        <f t="shared" si="1"/>
        <v>17</v>
      </c>
      <c r="AK10" s="5">
        <f t="shared" si="2"/>
        <v>0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ht="16.5" x14ac:dyDescent="0.25">
      <c r="A11" s="6">
        <v>7</v>
      </c>
      <c r="B11" s="14">
        <v>526</v>
      </c>
      <c r="C11" s="15" t="s">
        <v>100</v>
      </c>
      <c r="D11" s="16" t="s">
        <v>47</v>
      </c>
      <c r="E11" s="10" t="s">
        <v>20</v>
      </c>
      <c r="F11" s="32"/>
      <c r="G11" s="22" t="s">
        <v>34</v>
      </c>
      <c r="H11" s="22" t="s">
        <v>34</v>
      </c>
      <c r="I11" s="22" t="s">
        <v>34</v>
      </c>
      <c r="J11" s="22" t="s">
        <v>34</v>
      </c>
      <c r="K11" s="22" t="s">
        <v>34</v>
      </c>
      <c r="L11" s="22" t="s">
        <v>34</v>
      </c>
      <c r="M11" s="32"/>
      <c r="N11" s="22" t="s">
        <v>34</v>
      </c>
      <c r="O11" s="22" t="s">
        <v>34</v>
      </c>
      <c r="P11" s="22" t="s">
        <v>34</v>
      </c>
      <c r="Q11" s="22" t="s">
        <v>34</v>
      </c>
      <c r="R11" s="22" t="s">
        <v>34</v>
      </c>
      <c r="S11" s="22" t="s">
        <v>34</v>
      </c>
      <c r="T11" s="32"/>
      <c r="U11" s="22" t="s">
        <v>34</v>
      </c>
      <c r="V11" s="22" t="s">
        <v>34</v>
      </c>
      <c r="W11" s="22" t="s">
        <v>34</v>
      </c>
      <c r="X11" s="22" t="s">
        <v>34</v>
      </c>
      <c r="Y11" s="22" t="s">
        <v>34</v>
      </c>
      <c r="Z11" s="35"/>
      <c r="AA11" s="32"/>
      <c r="AB11" s="35"/>
      <c r="AC11" s="35"/>
      <c r="AD11" s="35"/>
      <c r="AE11" s="35"/>
      <c r="AF11" s="35"/>
      <c r="AG11" s="35"/>
      <c r="AH11" s="32"/>
      <c r="AI11" s="35"/>
      <c r="AJ11" s="5">
        <f t="shared" si="1"/>
        <v>17</v>
      </c>
      <c r="AK11" s="5">
        <f t="shared" si="2"/>
        <v>0</v>
      </c>
      <c r="AL11" s="5" t="s">
        <v>17</v>
      </c>
      <c r="AM11" s="12">
        <f>SUM(AJ5:AJ28)</f>
        <v>408</v>
      </c>
      <c r="AN11" s="12">
        <f>SUM(AJ5:AJ28)</f>
        <v>408</v>
      </c>
      <c r="AO11" s="12">
        <f>AM11+AN11</f>
        <v>816</v>
      </c>
    </row>
    <row r="12" spans="1:41" ht="16.5" x14ac:dyDescent="0.25">
      <c r="A12" s="12">
        <v>8</v>
      </c>
      <c r="B12" s="14">
        <v>537</v>
      </c>
      <c r="C12" s="15" t="s">
        <v>101</v>
      </c>
      <c r="D12" s="16" t="s">
        <v>102</v>
      </c>
      <c r="E12" s="10" t="s">
        <v>20</v>
      </c>
      <c r="F12" s="32"/>
      <c r="G12" s="22" t="s">
        <v>34</v>
      </c>
      <c r="H12" s="22" t="s">
        <v>34</v>
      </c>
      <c r="I12" s="22" t="s">
        <v>34</v>
      </c>
      <c r="J12" s="22" t="s">
        <v>34</v>
      </c>
      <c r="K12" s="22" t="s">
        <v>34</v>
      </c>
      <c r="L12" s="22" t="s">
        <v>34</v>
      </c>
      <c r="M12" s="32"/>
      <c r="N12" s="22" t="s">
        <v>34</v>
      </c>
      <c r="O12" s="22" t="s">
        <v>34</v>
      </c>
      <c r="P12" s="22" t="s">
        <v>34</v>
      </c>
      <c r="Q12" s="22" t="s">
        <v>34</v>
      </c>
      <c r="R12" s="22" t="s">
        <v>34</v>
      </c>
      <c r="S12" s="22" t="s">
        <v>34</v>
      </c>
      <c r="T12" s="32"/>
      <c r="U12" s="22" t="s">
        <v>34</v>
      </c>
      <c r="V12" s="22" t="s">
        <v>34</v>
      </c>
      <c r="W12" s="22" t="s">
        <v>34</v>
      </c>
      <c r="X12" s="22" t="s">
        <v>34</v>
      </c>
      <c r="Y12" s="22" t="s">
        <v>34</v>
      </c>
      <c r="Z12" s="35"/>
      <c r="AA12" s="32"/>
      <c r="AB12" s="35"/>
      <c r="AC12" s="35"/>
      <c r="AD12" s="35"/>
      <c r="AE12" s="35"/>
      <c r="AF12" s="35"/>
      <c r="AG12" s="35"/>
      <c r="AH12" s="32"/>
      <c r="AI12" s="35"/>
      <c r="AJ12" s="5">
        <f t="shared" si="1"/>
        <v>17</v>
      </c>
      <c r="AK12" s="5">
        <f t="shared" si="2"/>
        <v>0</v>
      </c>
      <c r="AL12" s="5" t="s">
        <v>18</v>
      </c>
      <c r="AM12" s="12">
        <f>AM11/AM10</f>
        <v>0.82591093117408909</v>
      </c>
      <c r="AN12" s="12">
        <f>AN11/AN10</f>
        <v>0.74725274725274726</v>
      </c>
      <c r="AO12" s="12">
        <f>AO11/AO10</f>
        <v>0.7846153846153846</v>
      </c>
    </row>
    <row r="13" spans="1:41" ht="16.5" x14ac:dyDescent="0.25">
      <c r="A13" s="6">
        <v>9</v>
      </c>
      <c r="B13" s="14">
        <v>584</v>
      </c>
      <c r="C13" s="15" t="s">
        <v>50</v>
      </c>
      <c r="D13" s="16" t="s">
        <v>51</v>
      </c>
      <c r="E13" s="10" t="s">
        <v>20</v>
      </c>
      <c r="F13" s="32"/>
      <c r="G13" s="22" t="s">
        <v>34</v>
      </c>
      <c r="H13" s="22" t="s">
        <v>34</v>
      </c>
      <c r="I13" s="22" t="s">
        <v>34</v>
      </c>
      <c r="J13" s="22" t="s">
        <v>34</v>
      </c>
      <c r="K13" s="22" t="s">
        <v>34</v>
      </c>
      <c r="L13" s="22" t="s">
        <v>34</v>
      </c>
      <c r="M13" s="32"/>
      <c r="N13" s="22" t="s">
        <v>34</v>
      </c>
      <c r="O13" s="22" t="s">
        <v>34</v>
      </c>
      <c r="P13" s="22" t="s">
        <v>34</v>
      </c>
      <c r="Q13" s="22" t="s">
        <v>34</v>
      </c>
      <c r="R13" s="22" t="s">
        <v>34</v>
      </c>
      <c r="S13" s="22" t="s">
        <v>34</v>
      </c>
      <c r="T13" s="32"/>
      <c r="U13" s="22" t="s">
        <v>34</v>
      </c>
      <c r="V13" s="22" t="s">
        <v>34</v>
      </c>
      <c r="W13" s="22" t="s">
        <v>34</v>
      </c>
      <c r="X13" s="22" t="s">
        <v>34</v>
      </c>
      <c r="Y13" s="22" t="s">
        <v>34</v>
      </c>
      <c r="Z13" s="35"/>
      <c r="AA13" s="32"/>
      <c r="AB13" s="35"/>
      <c r="AC13" s="35"/>
      <c r="AD13" s="35"/>
      <c r="AE13" s="35"/>
      <c r="AF13" s="35"/>
      <c r="AG13" s="35"/>
      <c r="AH13" s="32"/>
      <c r="AI13" s="35"/>
      <c r="AJ13" s="5">
        <f t="shared" si="1"/>
        <v>17</v>
      </c>
      <c r="AK13" s="5">
        <f t="shared" si="2"/>
        <v>0</v>
      </c>
      <c r="AL13" s="3"/>
      <c r="AM13" s="17"/>
      <c r="AN13" s="17"/>
      <c r="AO13" s="17"/>
    </row>
    <row r="14" spans="1:41" ht="16.5" x14ac:dyDescent="0.25">
      <c r="A14" s="12">
        <v>10</v>
      </c>
      <c r="B14" s="14">
        <v>520</v>
      </c>
      <c r="C14" s="15" t="s">
        <v>50</v>
      </c>
      <c r="D14" s="16" t="s">
        <v>103</v>
      </c>
      <c r="E14" s="10" t="s">
        <v>20</v>
      </c>
      <c r="F14" s="32"/>
      <c r="G14" s="22" t="s">
        <v>34</v>
      </c>
      <c r="H14" s="22" t="s">
        <v>34</v>
      </c>
      <c r="I14" s="22" t="s">
        <v>34</v>
      </c>
      <c r="J14" s="22" t="s">
        <v>34</v>
      </c>
      <c r="K14" s="22" t="s">
        <v>34</v>
      </c>
      <c r="L14" s="22" t="s">
        <v>34</v>
      </c>
      <c r="M14" s="32"/>
      <c r="N14" s="22" t="s">
        <v>34</v>
      </c>
      <c r="O14" s="22" t="s">
        <v>34</v>
      </c>
      <c r="P14" s="22" t="s">
        <v>34</v>
      </c>
      <c r="Q14" s="22" t="s">
        <v>34</v>
      </c>
      <c r="R14" s="22" t="s">
        <v>34</v>
      </c>
      <c r="S14" s="22" t="s">
        <v>34</v>
      </c>
      <c r="T14" s="32"/>
      <c r="U14" s="22" t="s">
        <v>34</v>
      </c>
      <c r="V14" s="22" t="s">
        <v>34</v>
      </c>
      <c r="W14" s="22" t="s">
        <v>34</v>
      </c>
      <c r="X14" s="22" t="s">
        <v>34</v>
      </c>
      <c r="Y14" s="22" t="s">
        <v>34</v>
      </c>
      <c r="Z14" s="35"/>
      <c r="AA14" s="32"/>
      <c r="AB14" s="35"/>
      <c r="AC14" s="35"/>
      <c r="AD14" s="35"/>
      <c r="AE14" s="35"/>
      <c r="AF14" s="35"/>
      <c r="AG14" s="35"/>
      <c r="AH14" s="32"/>
      <c r="AI14" s="35"/>
      <c r="AJ14" s="5">
        <f t="shared" si="1"/>
        <v>17</v>
      </c>
      <c r="AK14" s="5">
        <f t="shared" si="2"/>
        <v>0</v>
      </c>
      <c r="AL14" s="19"/>
      <c r="AM14" s="19"/>
      <c r="AN14" s="19"/>
      <c r="AO14" s="19"/>
    </row>
    <row r="15" spans="1:41" ht="16.5" x14ac:dyDescent="0.25">
      <c r="A15" s="6">
        <v>11</v>
      </c>
      <c r="B15" s="14">
        <v>687</v>
      </c>
      <c r="C15" s="15" t="s">
        <v>105</v>
      </c>
      <c r="D15" s="16" t="s">
        <v>106</v>
      </c>
      <c r="E15" s="10" t="s">
        <v>20</v>
      </c>
      <c r="F15" s="32"/>
      <c r="G15" s="22" t="s">
        <v>34</v>
      </c>
      <c r="H15" s="22" t="s">
        <v>34</v>
      </c>
      <c r="I15" s="22" t="s">
        <v>34</v>
      </c>
      <c r="J15" s="22" t="s">
        <v>34</v>
      </c>
      <c r="K15" s="22" t="s">
        <v>34</v>
      </c>
      <c r="L15" s="22" t="s">
        <v>34</v>
      </c>
      <c r="M15" s="32"/>
      <c r="N15" s="22" t="s">
        <v>34</v>
      </c>
      <c r="O15" s="22" t="s">
        <v>34</v>
      </c>
      <c r="P15" s="22" t="s">
        <v>34</v>
      </c>
      <c r="Q15" s="22" t="s">
        <v>34</v>
      </c>
      <c r="R15" s="22" t="s">
        <v>34</v>
      </c>
      <c r="S15" s="22" t="s">
        <v>34</v>
      </c>
      <c r="T15" s="32"/>
      <c r="U15" s="22" t="s">
        <v>34</v>
      </c>
      <c r="V15" s="22" t="s">
        <v>34</v>
      </c>
      <c r="W15" s="22" t="s">
        <v>34</v>
      </c>
      <c r="X15" s="22" t="s">
        <v>34</v>
      </c>
      <c r="Y15" s="22" t="s">
        <v>34</v>
      </c>
      <c r="Z15" s="35"/>
      <c r="AA15" s="32"/>
      <c r="AB15" s="35"/>
      <c r="AC15" s="35"/>
      <c r="AD15" s="35"/>
      <c r="AE15" s="35"/>
      <c r="AF15" s="35"/>
      <c r="AG15" s="35"/>
      <c r="AH15" s="32"/>
      <c r="AI15" s="35"/>
      <c r="AJ15" s="5">
        <f t="shared" si="1"/>
        <v>17</v>
      </c>
      <c r="AK15" s="5">
        <f t="shared" si="2"/>
        <v>0</v>
      </c>
      <c r="AL15" s="3"/>
      <c r="AM15" s="3"/>
      <c r="AN15" s="3"/>
      <c r="AO15" s="3"/>
    </row>
    <row r="16" spans="1:41" ht="16.5" x14ac:dyDescent="0.25">
      <c r="A16" s="12">
        <v>12</v>
      </c>
      <c r="B16" s="14">
        <v>581</v>
      </c>
      <c r="C16" s="15" t="s">
        <v>107</v>
      </c>
      <c r="D16" s="16" t="s">
        <v>39</v>
      </c>
      <c r="E16" s="10" t="s">
        <v>20</v>
      </c>
      <c r="F16" s="32"/>
      <c r="G16" s="22" t="s">
        <v>34</v>
      </c>
      <c r="H16" s="22" t="s">
        <v>34</v>
      </c>
      <c r="I16" s="22" t="s">
        <v>34</v>
      </c>
      <c r="J16" s="22" t="s">
        <v>34</v>
      </c>
      <c r="K16" s="22" t="s">
        <v>34</v>
      </c>
      <c r="L16" s="22" t="s">
        <v>34</v>
      </c>
      <c r="M16" s="32"/>
      <c r="N16" s="22" t="s">
        <v>34</v>
      </c>
      <c r="O16" s="22" t="s">
        <v>34</v>
      </c>
      <c r="P16" s="22" t="s">
        <v>34</v>
      </c>
      <c r="Q16" s="22" t="s">
        <v>34</v>
      </c>
      <c r="R16" s="22" t="s">
        <v>34</v>
      </c>
      <c r="S16" s="22" t="s">
        <v>34</v>
      </c>
      <c r="T16" s="32"/>
      <c r="U16" s="22" t="s">
        <v>34</v>
      </c>
      <c r="V16" s="22" t="s">
        <v>34</v>
      </c>
      <c r="W16" s="22" t="s">
        <v>34</v>
      </c>
      <c r="X16" s="22" t="s">
        <v>34</v>
      </c>
      <c r="Y16" s="22" t="s">
        <v>34</v>
      </c>
      <c r="Z16" s="35"/>
      <c r="AA16" s="32"/>
      <c r="AB16" s="35"/>
      <c r="AC16" s="35"/>
      <c r="AD16" s="35"/>
      <c r="AE16" s="35"/>
      <c r="AF16" s="35"/>
      <c r="AG16" s="35"/>
      <c r="AH16" s="32"/>
      <c r="AI16" s="35"/>
      <c r="AJ16" s="5">
        <f t="shared" si="1"/>
        <v>17</v>
      </c>
      <c r="AK16" s="5">
        <f t="shared" si="2"/>
        <v>0</v>
      </c>
      <c r="AL16" s="27" t="s">
        <v>6</v>
      </c>
      <c r="AM16" s="28"/>
      <c r="AN16" s="28"/>
      <c r="AO16" s="29"/>
    </row>
    <row r="17" spans="1:41" ht="16.5" x14ac:dyDescent="0.25">
      <c r="A17" s="6">
        <v>13</v>
      </c>
      <c r="B17" s="14">
        <v>588</v>
      </c>
      <c r="C17" s="15" t="s">
        <v>108</v>
      </c>
      <c r="D17" s="16" t="s">
        <v>109</v>
      </c>
      <c r="E17" s="10" t="s">
        <v>20</v>
      </c>
      <c r="F17" s="32"/>
      <c r="G17" s="22" t="s">
        <v>34</v>
      </c>
      <c r="H17" s="22" t="s">
        <v>34</v>
      </c>
      <c r="I17" s="22" t="s">
        <v>34</v>
      </c>
      <c r="J17" s="22" t="s">
        <v>34</v>
      </c>
      <c r="K17" s="22" t="s">
        <v>34</v>
      </c>
      <c r="L17" s="22" t="s">
        <v>34</v>
      </c>
      <c r="M17" s="32"/>
      <c r="N17" s="22" t="s">
        <v>34</v>
      </c>
      <c r="O17" s="22" t="s">
        <v>34</v>
      </c>
      <c r="P17" s="22" t="s">
        <v>34</v>
      </c>
      <c r="Q17" s="22" t="s">
        <v>34</v>
      </c>
      <c r="R17" s="22" t="s">
        <v>34</v>
      </c>
      <c r="S17" s="22" t="s">
        <v>34</v>
      </c>
      <c r="T17" s="32"/>
      <c r="U17" s="22" t="s">
        <v>34</v>
      </c>
      <c r="V17" s="22" t="s">
        <v>34</v>
      </c>
      <c r="W17" s="22" t="s">
        <v>34</v>
      </c>
      <c r="X17" s="22" t="s">
        <v>34</v>
      </c>
      <c r="Y17" s="22" t="s">
        <v>34</v>
      </c>
      <c r="Z17" s="35"/>
      <c r="AA17" s="32"/>
      <c r="AB17" s="35"/>
      <c r="AC17" s="35"/>
      <c r="AD17" s="35"/>
      <c r="AE17" s="35"/>
      <c r="AF17" s="35"/>
      <c r="AG17" s="35"/>
      <c r="AH17" s="32"/>
      <c r="AI17" s="35"/>
      <c r="AJ17" s="5">
        <f t="shared" si="1"/>
        <v>17</v>
      </c>
      <c r="AK17" s="5">
        <f t="shared" si="2"/>
        <v>0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2">
        <v>14</v>
      </c>
      <c r="B18" s="14">
        <v>686</v>
      </c>
      <c r="C18" s="15" t="s">
        <v>110</v>
      </c>
      <c r="D18" s="16" t="s">
        <v>38</v>
      </c>
      <c r="E18" s="10" t="s">
        <v>20</v>
      </c>
      <c r="F18" s="32"/>
      <c r="G18" s="22" t="s">
        <v>34</v>
      </c>
      <c r="H18" s="22" t="s">
        <v>34</v>
      </c>
      <c r="I18" s="22" t="s">
        <v>34</v>
      </c>
      <c r="J18" s="22" t="s">
        <v>34</v>
      </c>
      <c r="K18" s="22" t="s">
        <v>34</v>
      </c>
      <c r="L18" s="22" t="s">
        <v>34</v>
      </c>
      <c r="M18" s="32"/>
      <c r="N18" s="22" t="s">
        <v>34</v>
      </c>
      <c r="O18" s="22" t="s">
        <v>34</v>
      </c>
      <c r="P18" s="22" t="s">
        <v>34</v>
      </c>
      <c r="Q18" s="22" t="s">
        <v>34</v>
      </c>
      <c r="R18" s="22" t="s">
        <v>34</v>
      </c>
      <c r="S18" s="22" t="s">
        <v>34</v>
      </c>
      <c r="T18" s="32"/>
      <c r="U18" s="22" t="s">
        <v>34</v>
      </c>
      <c r="V18" s="22" t="s">
        <v>34</v>
      </c>
      <c r="W18" s="22" t="s">
        <v>34</v>
      </c>
      <c r="X18" s="22" t="s">
        <v>34</v>
      </c>
      <c r="Y18" s="22" t="s">
        <v>34</v>
      </c>
      <c r="Z18" s="35"/>
      <c r="AA18" s="32"/>
      <c r="AB18" s="35"/>
      <c r="AC18" s="35"/>
      <c r="AD18" s="35"/>
      <c r="AE18" s="35"/>
      <c r="AF18" s="35"/>
      <c r="AG18" s="35"/>
      <c r="AH18" s="32"/>
      <c r="AI18" s="35"/>
      <c r="AJ18" s="5">
        <f t="shared" si="1"/>
        <v>17</v>
      </c>
      <c r="AK18" s="5">
        <f t="shared" si="2"/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ht="16.5" x14ac:dyDescent="0.25">
      <c r="A19" s="6">
        <v>15</v>
      </c>
      <c r="B19" s="14">
        <v>525</v>
      </c>
      <c r="C19" s="15" t="s">
        <v>111</v>
      </c>
      <c r="D19" s="16" t="s">
        <v>112</v>
      </c>
      <c r="E19" s="10" t="s">
        <v>20</v>
      </c>
      <c r="F19" s="32"/>
      <c r="G19" s="22" t="s">
        <v>34</v>
      </c>
      <c r="H19" s="22" t="s">
        <v>34</v>
      </c>
      <c r="I19" s="22" t="s">
        <v>34</v>
      </c>
      <c r="J19" s="22" t="s">
        <v>34</v>
      </c>
      <c r="K19" s="22" t="s">
        <v>34</v>
      </c>
      <c r="L19" s="22" t="s">
        <v>34</v>
      </c>
      <c r="M19" s="32"/>
      <c r="N19" s="22" t="s">
        <v>34</v>
      </c>
      <c r="O19" s="22" t="s">
        <v>34</v>
      </c>
      <c r="P19" s="22" t="s">
        <v>34</v>
      </c>
      <c r="Q19" s="22" t="s">
        <v>34</v>
      </c>
      <c r="R19" s="22" t="s">
        <v>34</v>
      </c>
      <c r="S19" s="22" t="s">
        <v>34</v>
      </c>
      <c r="T19" s="32"/>
      <c r="U19" s="22" t="s">
        <v>34</v>
      </c>
      <c r="V19" s="22" t="s">
        <v>34</v>
      </c>
      <c r="W19" s="22" t="s">
        <v>34</v>
      </c>
      <c r="X19" s="22" t="s">
        <v>34</v>
      </c>
      <c r="Y19" s="22" t="s">
        <v>34</v>
      </c>
      <c r="Z19" s="35"/>
      <c r="AA19" s="32"/>
      <c r="AB19" s="35"/>
      <c r="AC19" s="35"/>
      <c r="AD19" s="35"/>
      <c r="AE19" s="35"/>
      <c r="AF19" s="35"/>
      <c r="AG19" s="35"/>
      <c r="AH19" s="32"/>
      <c r="AI19" s="35"/>
      <c r="AJ19" s="5">
        <f t="shared" si="1"/>
        <v>17</v>
      </c>
      <c r="AK19" s="5">
        <f t="shared" si="2"/>
        <v>0</v>
      </c>
      <c r="AL19" s="5" t="s">
        <v>19</v>
      </c>
      <c r="AM19" s="12">
        <f>AM18-AM11</f>
        <v>86</v>
      </c>
      <c r="AN19" s="12">
        <f>AN18-AN11</f>
        <v>138</v>
      </c>
      <c r="AO19" s="12">
        <f>AM19+AN19</f>
        <v>224</v>
      </c>
    </row>
    <row r="20" spans="1:41" ht="16.5" x14ac:dyDescent="0.25">
      <c r="A20" s="12">
        <v>16</v>
      </c>
      <c r="B20" s="14">
        <v>577</v>
      </c>
      <c r="C20" s="15" t="s">
        <v>113</v>
      </c>
      <c r="D20" s="16" t="s">
        <v>114</v>
      </c>
      <c r="E20" s="10" t="s">
        <v>20</v>
      </c>
      <c r="F20" s="32"/>
      <c r="G20" s="22" t="s">
        <v>34</v>
      </c>
      <c r="H20" s="22" t="s">
        <v>34</v>
      </c>
      <c r="I20" s="22" t="s">
        <v>34</v>
      </c>
      <c r="J20" s="22" t="s">
        <v>34</v>
      </c>
      <c r="K20" s="22" t="s">
        <v>34</v>
      </c>
      <c r="L20" s="22" t="s">
        <v>34</v>
      </c>
      <c r="M20" s="32"/>
      <c r="N20" s="22" t="s">
        <v>34</v>
      </c>
      <c r="O20" s="22" t="s">
        <v>34</v>
      </c>
      <c r="P20" s="22" t="s">
        <v>34</v>
      </c>
      <c r="Q20" s="22" t="s">
        <v>34</v>
      </c>
      <c r="R20" s="22" t="s">
        <v>34</v>
      </c>
      <c r="S20" s="22" t="s">
        <v>34</v>
      </c>
      <c r="T20" s="32"/>
      <c r="U20" s="22" t="s">
        <v>34</v>
      </c>
      <c r="V20" s="22" t="s">
        <v>34</v>
      </c>
      <c r="W20" s="22" t="s">
        <v>34</v>
      </c>
      <c r="X20" s="22" t="s">
        <v>34</v>
      </c>
      <c r="Y20" s="22" t="s">
        <v>34</v>
      </c>
      <c r="Z20" s="35"/>
      <c r="AA20" s="32"/>
      <c r="AB20" s="35"/>
      <c r="AC20" s="35"/>
      <c r="AD20" s="35"/>
      <c r="AE20" s="35"/>
      <c r="AF20" s="35"/>
      <c r="AG20" s="35"/>
      <c r="AH20" s="32"/>
      <c r="AI20" s="35"/>
      <c r="AJ20" s="5">
        <f t="shared" si="1"/>
        <v>17</v>
      </c>
      <c r="AK20" s="5">
        <f t="shared" si="2"/>
        <v>0</v>
      </c>
      <c r="AL20" s="5" t="s">
        <v>15</v>
      </c>
      <c r="AM20" s="20">
        <f>AM19/AM18</f>
        <v>0.17408906882591094</v>
      </c>
      <c r="AN20" s="20">
        <f>AN19/AN18</f>
        <v>0.25274725274725274</v>
      </c>
      <c r="AO20" s="20">
        <f>AO19/AO18</f>
        <v>0.2153846153846154</v>
      </c>
    </row>
    <row r="21" spans="1:41" ht="16.5" x14ac:dyDescent="0.25">
      <c r="A21" s="6">
        <v>17</v>
      </c>
      <c r="B21" s="14">
        <v>589</v>
      </c>
      <c r="C21" s="15" t="s">
        <v>115</v>
      </c>
      <c r="D21" s="16" t="s">
        <v>116</v>
      </c>
      <c r="E21" s="10" t="s">
        <v>20</v>
      </c>
      <c r="F21" s="32"/>
      <c r="G21" s="22" t="s">
        <v>34</v>
      </c>
      <c r="H21" s="22" t="s">
        <v>34</v>
      </c>
      <c r="I21" s="22" t="s">
        <v>34</v>
      </c>
      <c r="J21" s="22" t="s">
        <v>34</v>
      </c>
      <c r="K21" s="22" t="s">
        <v>34</v>
      </c>
      <c r="L21" s="22" t="s">
        <v>34</v>
      </c>
      <c r="M21" s="32"/>
      <c r="N21" s="22" t="s">
        <v>34</v>
      </c>
      <c r="O21" s="22" t="s">
        <v>34</v>
      </c>
      <c r="P21" s="22" t="s">
        <v>34</v>
      </c>
      <c r="Q21" s="22" t="s">
        <v>34</v>
      </c>
      <c r="R21" s="22" t="s">
        <v>34</v>
      </c>
      <c r="S21" s="22" t="s">
        <v>34</v>
      </c>
      <c r="T21" s="32"/>
      <c r="U21" s="22" t="s">
        <v>34</v>
      </c>
      <c r="V21" s="22" t="s">
        <v>34</v>
      </c>
      <c r="W21" s="22" t="s">
        <v>34</v>
      </c>
      <c r="X21" s="22" t="s">
        <v>34</v>
      </c>
      <c r="Y21" s="22" t="s">
        <v>34</v>
      </c>
      <c r="Z21" s="35"/>
      <c r="AA21" s="32"/>
      <c r="AB21" s="35"/>
      <c r="AC21" s="35"/>
      <c r="AD21" s="35"/>
      <c r="AE21" s="35"/>
      <c r="AF21" s="35"/>
      <c r="AG21" s="35"/>
      <c r="AH21" s="32"/>
      <c r="AI21" s="35"/>
      <c r="AJ21" s="5">
        <f t="shared" si="1"/>
        <v>17</v>
      </c>
      <c r="AK21" s="5">
        <f t="shared" si="2"/>
        <v>0</v>
      </c>
    </row>
    <row r="22" spans="1:41" ht="16.5" x14ac:dyDescent="0.25">
      <c r="A22" s="12">
        <v>18</v>
      </c>
      <c r="B22" s="14"/>
      <c r="C22" s="15" t="s">
        <v>117</v>
      </c>
      <c r="D22" s="16" t="s">
        <v>118</v>
      </c>
      <c r="E22" s="10" t="s">
        <v>20</v>
      </c>
      <c r="F22" s="32"/>
      <c r="G22" s="22" t="s">
        <v>34</v>
      </c>
      <c r="H22" s="22" t="s">
        <v>34</v>
      </c>
      <c r="I22" s="22" t="s">
        <v>34</v>
      </c>
      <c r="J22" s="22" t="s">
        <v>34</v>
      </c>
      <c r="K22" s="22" t="s">
        <v>34</v>
      </c>
      <c r="L22" s="22" t="s">
        <v>34</v>
      </c>
      <c r="M22" s="32"/>
      <c r="N22" s="22" t="s">
        <v>34</v>
      </c>
      <c r="O22" s="22" t="s">
        <v>34</v>
      </c>
      <c r="P22" s="22" t="s">
        <v>34</v>
      </c>
      <c r="Q22" s="22" t="s">
        <v>34</v>
      </c>
      <c r="R22" s="22" t="s">
        <v>34</v>
      </c>
      <c r="S22" s="22" t="s">
        <v>34</v>
      </c>
      <c r="T22" s="32"/>
      <c r="U22" s="22" t="s">
        <v>34</v>
      </c>
      <c r="V22" s="22" t="s">
        <v>34</v>
      </c>
      <c r="W22" s="22" t="s">
        <v>34</v>
      </c>
      <c r="X22" s="22" t="s">
        <v>34</v>
      </c>
      <c r="Y22" s="22" t="s">
        <v>34</v>
      </c>
      <c r="Z22" s="35"/>
      <c r="AA22" s="32"/>
      <c r="AB22" s="35"/>
      <c r="AC22" s="35"/>
      <c r="AD22" s="35"/>
      <c r="AE22" s="35"/>
      <c r="AF22" s="35"/>
      <c r="AG22" s="35"/>
      <c r="AH22" s="32"/>
      <c r="AI22" s="35"/>
      <c r="AJ22" s="5">
        <f t="shared" si="1"/>
        <v>17</v>
      </c>
      <c r="AK22" s="5">
        <f t="shared" si="2"/>
        <v>0</v>
      </c>
    </row>
    <row r="23" spans="1:41" ht="16.5" x14ac:dyDescent="0.25">
      <c r="A23" s="6">
        <v>19</v>
      </c>
      <c r="B23" s="14"/>
      <c r="C23" s="15" t="s">
        <v>37</v>
      </c>
      <c r="D23" s="16" t="s">
        <v>40</v>
      </c>
      <c r="E23" s="10" t="s">
        <v>20</v>
      </c>
      <c r="F23" s="32"/>
      <c r="G23" s="22" t="s">
        <v>34</v>
      </c>
      <c r="H23" s="22" t="s">
        <v>34</v>
      </c>
      <c r="I23" s="22" t="s">
        <v>34</v>
      </c>
      <c r="J23" s="22" t="s">
        <v>34</v>
      </c>
      <c r="K23" s="22" t="s">
        <v>34</v>
      </c>
      <c r="L23" s="22" t="s">
        <v>34</v>
      </c>
      <c r="M23" s="32"/>
      <c r="N23" s="22" t="s">
        <v>34</v>
      </c>
      <c r="O23" s="22" t="s">
        <v>34</v>
      </c>
      <c r="P23" s="22" t="s">
        <v>34</v>
      </c>
      <c r="Q23" s="22" t="s">
        <v>34</v>
      </c>
      <c r="R23" s="22" t="s">
        <v>34</v>
      </c>
      <c r="S23" s="22" t="s">
        <v>34</v>
      </c>
      <c r="T23" s="32"/>
      <c r="U23" s="22" t="s">
        <v>34</v>
      </c>
      <c r="V23" s="22" t="s">
        <v>34</v>
      </c>
      <c r="W23" s="22" t="s">
        <v>34</v>
      </c>
      <c r="X23" s="22" t="s">
        <v>34</v>
      </c>
      <c r="Y23" s="22" t="s">
        <v>34</v>
      </c>
      <c r="Z23" s="35"/>
      <c r="AA23" s="32"/>
      <c r="AB23" s="35"/>
      <c r="AC23" s="35"/>
      <c r="AD23" s="35"/>
      <c r="AE23" s="35"/>
      <c r="AF23" s="35"/>
      <c r="AG23" s="35"/>
      <c r="AH23" s="32"/>
      <c r="AI23" s="35"/>
      <c r="AJ23" s="5">
        <f t="shared" si="1"/>
        <v>17</v>
      </c>
      <c r="AK23" s="5">
        <f t="shared" si="2"/>
        <v>0</v>
      </c>
    </row>
    <row r="24" spans="1:41" ht="16.5" x14ac:dyDescent="0.25">
      <c r="A24" s="12">
        <v>20</v>
      </c>
      <c r="B24" s="14"/>
      <c r="C24" s="15" t="s">
        <v>119</v>
      </c>
      <c r="D24" s="16" t="s">
        <v>40</v>
      </c>
      <c r="E24" s="10" t="s">
        <v>20</v>
      </c>
      <c r="F24" s="32"/>
      <c r="G24" s="22" t="s">
        <v>34</v>
      </c>
      <c r="H24" s="22" t="s">
        <v>34</v>
      </c>
      <c r="I24" s="22" t="s">
        <v>34</v>
      </c>
      <c r="J24" s="22" t="s">
        <v>34</v>
      </c>
      <c r="K24" s="22" t="s">
        <v>34</v>
      </c>
      <c r="L24" s="22" t="s">
        <v>34</v>
      </c>
      <c r="M24" s="32"/>
      <c r="N24" s="22" t="s">
        <v>34</v>
      </c>
      <c r="O24" s="22" t="s">
        <v>34</v>
      </c>
      <c r="P24" s="22" t="s">
        <v>34</v>
      </c>
      <c r="Q24" s="22" t="s">
        <v>34</v>
      </c>
      <c r="R24" s="22" t="s">
        <v>34</v>
      </c>
      <c r="S24" s="22" t="s">
        <v>34</v>
      </c>
      <c r="T24" s="32"/>
      <c r="U24" s="22" t="s">
        <v>34</v>
      </c>
      <c r="V24" s="22" t="s">
        <v>34</v>
      </c>
      <c r="W24" s="22" t="s">
        <v>34</v>
      </c>
      <c r="X24" s="22" t="s">
        <v>34</v>
      </c>
      <c r="Y24" s="22" t="s">
        <v>34</v>
      </c>
      <c r="Z24" s="35"/>
      <c r="AA24" s="32"/>
      <c r="AB24" s="35"/>
      <c r="AC24" s="35"/>
      <c r="AD24" s="35"/>
      <c r="AE24" s="35"/>
      <c r="AF24" s="35"/>
      <c r="AG24" s="35"/>
      <c r="AH24" s="32"/>
      <c r="AI24" s="35"/>
      <c r="AJ24" s="5">
        <f t="shared" si="1"/>
        <v>17</v>
      </c>
      <c r="AK24" s="5">
        <f t="shared" si="2"/>
        <v>0</v>
      </c>
    </row>
    <row r="25" spans="1:41" ht="16.5" x14ac:dyDescent="0.25">
      <c r="A25" s="6">
        <v>21</v>
      </c>
      <c r="B25" s="14">
        <v>572</v>
      </c>
      <c r="C25" s="15" t="s">
        <v>120</v>
      </c>
      <c r="D25" s="16" t="s">
        <v>29</v>
      </c>
      <c r="E25" s="10" t="s">
        <v>20</v>
      </c>
      <c r="F25" s="32"/>
      <c r="G25" s="22" t="s">
        <v>34</v>
      </c>
      <c r="H25" s="22" t="s">
        <v>34</v>
      </c>
      <c r="I25" s="22" t="s">
        <v>34</v>
      </c>
      <c r="J25" s="22" t="s">
        <v>34</v>
      </c>
      <c r="K25" s="22" t="s">
        <v>34</v>
      </c>
      <c r="L25" s="22" t="s">
        <v>34</v>
      </c>
      <c r="M25" s="32"/>
      <c r="N25" s="22" t="s">
        <v>34</v>
      </c>
      <c r="O25" s="22" t="s">
        <v>34</v>
      </c>
      <c r="P25" s="22" t="s">
        <v>34</v>
      </c>
      <c r="Q25" s="22" t="s">
        <v>34</v>
      </c>
      <c r="R25" s="22" t="s">
        <v>34</v>
      </c>
      <c r="S25" s="22" t="s">
        <v>34</v>
      </c>
      <c r="T25" s="32"/>
      <c r="U25" s="22" t="s">
        <v>34</v>
      </c>
      <c r="V25" s="22" t="s">
        <v>34</v>
      </c>
      <c r="W25" s="22" t="s">
        <v>34</v>
      </c>
      <c r="X25" s="22" t="s">
        <v>34</v>
      </c>
      <c r="Y25" s="22" t="s">
        <v>34</v>
      </c>
      <c r="Z25" s="35"/>
      <c r="AA25" s="32"/>
      <c r="AB25" s="35"/>
      <c r="AC25" s="35"/>
      <c r="AD25" s="35"/>
      <c r="AE25" s="35"/>
      <c r="AF25" s="35"/>
      <c r="AG25" s="35"/>
      <c r="AH25" s="32"/>
      <c r="AI25" s="35"/>
      <c r="AJ25" s="5">
        <f t="shared" si="1"/>
        <v>17</v>
      </c>
      <c r="AK25" s="5">
        <f t="shared" si="2"/>
        <v>0</v>
      </c>
    </row>
    <row r="26" spans="1:41" ht="16.5" x14ac:dyDescent="0.25">
      <c r="A26" s="12">
        <v>22</v>
      </c>
      <c r="B26" s="14">
        <v>649</v>
      </c>
      <c r="C26" s="15" t="s">
        <v>121</v>
      </c>
      <c r="D26" s="16" t="s">
        <v>122</v>
      </c>
      <c r="E26" s="10" t="s">
        <v>20</v>
      </c>
      <c r="F26" s="32"/>
      <c r="G26" s="22" t="s">
        <v>34</v>
      </c>
      <c r="H26" s="22" t="s">
        <v>34</v>
      </c>
      <c r="I26" s="22" t="s">
        <v>34</v>
      </c>
      <c r="J26" s="22" t="s">
        <v>34</v>
      </c>
      <c r="K26" s="22" t="s">
        <v>34</v>
      </c>
      <c r="L26" s="22" t="s">
        <v>34</v>
      </c>
      <c r="M26" s="32"/>
      <c r="N26" s="22" t="s">
        <v>34</v>
      </c>
      <c r="O26" s="22" t="s">
        <v>34</v>
      </c>
      <c r="P26" s="22" t="s">
        <v>34</v>
      </c>
      <c r="Q26" s="22" t="s">
        <v>34</v>
      </c>
      <c r="R26" s="22" t="s">
        <v>34</v>
      </c>
      <c r="S26" s="22" t="s">
        <v>34</v>
      </c>
      <c r="T26" s="32"/>
      <c r="U26" s="22" t="s">
        <v>34</v>
      </c>
      <c r="V26" s="22" t="s">
        <v>34</v>
      </c>
      <c r="W26" s="22" t="s">
        <v>34</v>
      </c>
      <c r="X26" s="22" t="s">
        <v>34</v>
      </c>
      <c r="Y26" s="22" t="s">
        <v>34</v>
      </c>
      <c r="Z26" s="35"/>
      <c r="AA26" s="32"/>
      <c r="AB26" s="35"/>
      <c r="AC26" s="35"/>
      <c r="AD26" s="35"/>
      <c r="AE26" s="35"/>
      <c r="AF26" s="35"/>
      <c r="AG26" s="35"/>
      <c r="AH26" s="32"/>
      <c r="AI26" s="35"/>
      <c r="AJ26" s="5">
        <f t="shared" si="1"/>
        <v>17</v>
      </c>
      <c r="AK26" s="5">
        <f t="shared" si="2"/>
        <v>0</v>
      </c>
    </row>
    <row r="27" spans="1:41" ht="16.5" x14ac:dyDescent="0.25">
      <c r="A27" s="6">
        <v>23</v>
      </c>
      <c r="B27" s="14"/>
      <c r="C27" s="15" t="s">
        <v>125</v>
      </c>
      <c r="D27" s="16" t="s">
        <v>126</v>
      </c>
      <c r="E27" s="10" t="s">
        <v>20</v>
      </c>
      <c r="F27" s="32"/>
      <c r="G27" s="22" t="s">
        <v>34</v>
      </c>
      <c r="H27" s="22" t="s">
        <v>34</v>
      </c>
      <c r="I27" s="22" t="s">
        <v>34</v>
      </c>
      <c r="J27" s="22" t="s">
        <v>34</v>
      </c>
      <c r="K27" s="22" t="s">
        <v>34</v>
      </c>
      <c r="L27" s="22" t="s">
        <v>34</v>
      </c>
      <c r="M27" s="32"/>
      <c r="N27" s="22" t="s">
        <v>34</v>
      </c>
      <c r="O27" s="22" t="s">
        <v>34</v>
      </c>
      <c r="P27" s="22" t="s">
        <v>34</v>
      </c>
      <c r="Q27" s="22" t="s">
        <v>34</v>
      </c>
      <c r="R27" s="22" t="s">
        <v>34</v>
      </c>
      <c r="S27" s="22" t="s">
        <v>34</v>
      </c>
      <c r="T27" s="32"/>
      <c r="U27" s="22" t="s">
        <v>34</v>
      </c>
      <c r="V27" s="22" t="s">
        <v>34</v>
      </c>
      <c r="W27" s="22" t="s">
        <v>34</v>
      </c>
      <c r="X27" s="22" t="s">
        <v>34</v>
      </c>
      <c r="Y27" s="22" t="s">
        <v>34</v>
      </c>
      <c r="Z27" s="35"/>
      <c r="AA27" s="32"/>
      <c r="AB27" s="35"/>
      <c r="AC27" s="35"/>
      <c r="AD27" s="35"/>
      <c r="AE27" s="35"/>
      <c r="AF27" s="35"/>
      <c r="AG27" s="35"/>
      <c r="AH27" s="32"/>
      <c r="AI27" s="35"/>
      <c r="AJ27" s="5">
        <f t="shared" si="1"/>
        <v>17</v>
      </c>
      <c r="AK27" s="5">
        <f t="shared" si="2"/>
        <v>0</v>
      </c>
    </row>
    <row r="28" spans="1:41" ht="16.5" x14ac:dyDescent="0.25">
      <c r="A28" s="12">
        <v>24</v>
      </c>
      <c r="B28" s="14"/>
      <c r="C28" s="15" t="s">
        <v>129</v>
      </c>
      <c r="D28" s="16" t="s">
        <v>130</v>
      </c>
      <c r="E28" s="10" t="s">
        <v>20</v>
      </c>
      <c r="F28" s="32"/>
      <c r="G28" s="22" t="s">
        <v>34</v>
      </c>
      <c r="H28" s="22" t="s">
        <v>34</v>
      </c>
      <c r="I28" s="22" t="s">
        <v>34</v>
      </c>
      <c r="J28" s="22" t="s">
        <v>34</v>
      </c>
      <c r="K28" s="22" t="s">
        <v>34</v>
      </c>
      <c r="L28" s="22" t="s">
        <v>34</v>
      </c>
      <c r="M28" s="32"/>
      <c r="N28" s="22" t="s">
        <v>34</v>
      </c>
      <c r="O28" s="22" t="s">
        <v>34</v>
      </c>
      <c r="P28" s="22" t="s">
        <v>34</v>
      </c>
      <c r="Q28" s="22" t="s">
        <v>34</v>
      </c>
      <c r="R28" s="22" t="s">
        <v>34</v>
      </c>
      <c r="S28" s="22" t="s">
        <v>34</v>
      </c>
      <c r="T28" s="32"/>
      <c r="U28" s="22" t="s">
        <v>34</v>
      </c>
      <c r="V28" s="22" t="s">
        <v>34</v>
      </c>
      <c r="W28" s="22" t="s">
        <v>34</v>
      </c>
      <c r="X28" s="22" t="s">
        <v>34</v>
      </c>
      <c r="Y28" s="22" t="s">
        <v>34</v>
      </c>
      <c r="Z28" s="35"/>
      <c r="AA28" s="32"/>
      <c r="AB28" s="35"/>
      <c r="AC28" s="35"/>
      <c r="AD28" s="35"/>
      <c r="AE28" s="35"/>
      <c r="AF28" s="35"/>
      <c r="AG28" s="35"/>
      <c r="AH28" s="32"/>
      <c r="AI28" s="35"/>
      <c r="AJ28" s="5">
        <f t="shared" si="1"/>
        <v>17</v>
      </c>
      <c r="AK28" s="5">
        <f t="shared" si="2"/>
        <v>0</v>
      </c>
    </row>
    <row r="29" spans="1:41" ht="16.5" customHeight="1" x14ac:dyDescent="0.25">
      <c r="A29" s="6">
        <v>1</v>
      </c>
      <c r="B29" s="7">
        <v>490</v>
      </c>
      <c r="C29" s="8" t="s">
        <v>53</v>
      </c>
      <c r="D29" s="9" t="s">
        <v>54</v>
      </c>
      <c r="E29" s="10" t="s">
        <v>20</v>
      </c>
      <c r="F29" s="32"/>
      <c r="G29" s="22" t="s">
        <v>34</v>
      </c>
      <c r="H29" s="22" t="s">
        <v>34</v>
      </c>
      <c r="I29" s="22" t="s">
        <v>34</v>
      </c>
      <c r="J29" s="22" t="s">
        <v>34</v>
      </c>
      <c r="K29" s="22" t="s">
        <v>34</v>
      </c>
      <c r="L29" s="22" t="s">
        <v>34</v>
      </c>
      <c r="M29" s="32"/>
      <c r="N29" s="22" t="s">
        <v>34</v>
      </c>
      <c r="O29" s="22" t="s">
        <v>34</v>
      </c>
      <c r="P29" s="22" t="s">
        <v>34</v>
      </c>
      <c r="Q29" s="22" t="s">
        <v>34</v>
      </c>
      <c r="R29" s="22" t="s">
        <v>34</v>
      </c>
      <c r="S29" s="22" t="s">
        <v>34</v>
      </c>
      <c r="T29" s="32"/>
      <c r="U29" s="22" t="s">
        <v>34</v>
      </c>
      <c r="V29" s="22" t="s">
        <v>34</v>
      </c>
      <c r="W29" s="22" t="s">
        <v>34</v>
      </c>
      <c r="X29" s="22" t="s">
        <v>34</v>
      </c>
      <c r="Y29" s="22" t="s">
        <v>34</v>
      </c>
      <c r="Z29" s="35"/>
      <c r="AA29" s="32"/>
      <c r="AB29" s="35"/>
      <c r="AC29" s="35"/>
      <c r="AD29" s="35"/>
      <c r="AE29" s="35"/>
      <c r="AF29" s="35"/>
      <c r="AG29" s="35"/>
      <c r="AH29" s="32"/>
      <c r="AI29" s="35"/>
      <c r="AJ29" s="5">
        <f t="shared" si="1"/>
        <v>17</v>
      </c>
      <c r="AK29" s="5">
        <f t="shared" si="2"/>
        <v>0</v>
      </c>
    </row>
    <row r="30" spans="1:41" ht="16.5" x14ac:dyDescent="0.25">
      <c r="A30" s="12">
        <v>2</v>
      </c>
      <c r="B30" s="14">
        <v>646</v>
      </c>
      <c r="C30" s="15" t="s">
        <v>55</v>
      </c>
      <c r="D30" s="16" t="s">
        <v>43</v>
      </c>
      <c r="E30" s="10" t="s">
        <v>20</v>
      </c>
      <c r="F30" s="32"/>
      <c r="G30" s="22" t="s">
        <v>34</v>
      </c>
      <c r="H30" s="22" t="s">
        <v>34</v>
      </c>
      <c r="I30" s="22" t="s">
        <v>34</v>
      </c>
      <c r="J30" s="22" t="s">
        <v>34</v>
      </c>
      <c r="K30" s="22" t="s">
        <v>34</v>
      </c>
      <c r="L30" s="22" t="s">
        <v>34</v>
      </c>
      <c r="M30" s="32"/>
      <c r="N30" s="22" t="s">
        <v>34</v>
      </c>
      <c r="O30" s="22" t="s">
        <v>34</v>
      </c>
      <c r="P30" s="22" t="s">
        <v>34</v>
      </c>
      <c r="Q30" s="22" t="s">
        <v>34</v>
      </c>
      <c r="R30" s="22" t="s">
        <v>34</v>
      </c>
      <c r="S30" s="22" t="s">
        <v>34</v>
      </c>
      <c r="T30" s="32"/>
      <c r="U30" s="22" t="s">
        <v>34</v>
      </c>
      <c r="V30" s="22" t="s">
        <v>34</v>
      </c>
      <c r="W30" s="22" t="s">
        <v>34</v>
      </c>
      <c r="X30" s="22" t="s">
        <v>34</v>
      </c>
      <c r="Y30" s="22" t="s">
        <v>34</v>
      </c>
      <c r="Z30" s="35"/>
      <c r="AA30" s="32"/>
      <c r="AB30" s="35"/>
      <c r="AC30" s="35"/>
      <c r="AD30" s="35"/>
      <c r="AE30" s="35"/>
      <c r="AF30" s="35"/>
      <c r="AG30" s="35"/>
      <c r="AH30" s="32"/>
      <c r="AI30" s="35"/>
      <c r="AJ30" s="5">
        <f t="shared" si="1"/>
        <v>17</v>
      </c>
      <c r="AK30" s="5">
        <f t="shared" si="2"/>
        <v>0</v>
      </c>
    </row>
    <row r="31" spans="1:41" ht="16.5" x14ac:dyDescent="0.25">
      <c r="A31" s="6">
        <v>3</v>
      </c>
      <c r="B31" s="14">
        <v>690</v>
      </c>
      <c r="C31" s="15" t="s">
        <v>56</v>
      </c>
      <c r="D31" s="16" t="s">
        <v>57</v>
      </c>
      <c r="E31" s="10" t="s">
        <v>20</v>
      </c>
      <c r="F31" s="32"/>
      <c r="G31" s="22" t="s">
        <v>34</v>
      </c>
      <c r="H31" s="22" t="s">
        <v>34</v>
      </c>
      <c r="I31" s="22" t="s">
        <v>34</v>
      </c>
      <c r="J31" s="22" t="s">
        <v>34</v>
      </c>
      <c r="K31" s="22" t="s">
        <v>34</v>
      </c>
      <c r="L31" s="22" t="s">
        <v>34</v>
      </c>
      <c r="M31" s="32"/>
      <c r="N31" s="22" t="s">
        <v>34</v>
      </c>
      <c r="O31" s="22" t="s">
        <v>34</v>
      </c>
      <c r="P31" s="22" t="s">
        <v>34</v>
      </c>
      <c r="Q31" s="22" t="s">
        <v>34</v>
      </c>
      <c r="R31" s="22" t="s">
        <v>34</v>
      </c>
      <c r="S31" s="22" t="s">
        <v>34</v>
      </c>
      <c r="T31" s="32"/>
      <c r="U31" s="22" t="s">
        <v>34</v>
      </c>
      <c r="V31" s="22" t="s">
        <v>34</v>
      </c>
      <c r="W31" s="22" t="s">
        <v>34</v>
      </c>
      <c r="X31" s="22" t="s">
        <v>34</v>
      </c>
      <c r="Y31" s="22" t="s">
        <v>34</v>
      </c>
      <c r="Z31" s="35"/>
      <c r="AA31" s="32"/>
      <c r="AB31" s="35"/>
      <c r="AC31" s="35"/>
      <c r="AD31" s="35"/>
      <c r="AE31" s="35"/>
      <c r="AF31" s="35"/>
      <c r="AG31" s="35"/>
      <c r="AH31" s="32"/>
      <c r="AI31" s="35"/>
      <c r="AJ31" s="5">
        <f t="shared" si="1"/>
        <v>17</v>
      </c>
      <c r="AK31" s="5">
        <f t="shared" si="2"/>
        <v>0</v>
      </c>
    </row>
    <row r="32" spans="1:41" ht="16.5" x14ac:dyDescent="0.25">
      <c r="A32" s="12">
        <v>4</v>
      </c>
      <c r="B32" s="14">
        <v>684</v>
      </c>
      <c r="C32" s="15" t="s">
        <v>58</v>
      </c>
      <c r="D32" s="16" t="s">
        <v>52</v>
      </c>
      <c r="E32" s="10" t="s">
        <v>20</v>
      </c>
      <c r="F32" s="32"/>
      <c r="G32" s="22" t="s">
        <v>34</v>
      </c>
      <c r="H32" s="22" t="s">
        <v>34</v>
      </c>
      <c r="I32" s="22" t="s">
        <v>34</v>
      </c>
      <c r="J32" s="22" t="s">
        <v>34</v>
      </c>
      <c r="K32" s="22" t="s">
        <v>34</v>
      </c>
      <c r="L32" s="22" t="s">
        <v>34</v>
      </c>
      <c r="M32" s="32"/>
      <c r="N32" s="22" t="s">
        <v>34</v>
      </c>
      <c r="O32" s="22" t="s">
        <v>34</v>
      </c>
      <c r="P32" s="22" t="s">
        <v>34</v>
      </c>
      <c r="Q32" s="22" t="s">
        <v>34</v>
      </c>
      <c r="R32" s="22" t="s">
        <v>34</v>
      </c>
      <c r="S32" s="22" t="s">
        <v>34</v>
      </c>
      <c r="T32" s="32"/>
      <c r="U32" s="22" t="s">
        <v>34</v>
      </c>
      <c r="V32" s="22" t="s">
        <v>34</v>
      </c>
      <c r="W32" s="22" t="s">
        <v>34</v>
      </c>
      <c r="X32" s="22" t="s">
        <v>34</v>
      </c>
      <c r="Y32" s="22" t="s">
        <v>34</v>
      </c>
      <c r="Z32" s="35"/>
      <c r="AA32" s="32"/>
      <c r="AB32" s="35"/>
      <c r="AC32" s="35"/>
      <c r="AD32" s="35"/>
      <c r="AE32" s="35"/>
      <c r="AF32" s="35"/>
      <c r="AG32" s="35"/>
      <c r="AH32" s="32"/>
      <c r="AI32" s="35"/>
      <c r="AJ32" s="5">
        <f t="shared" si="1"/>
        <v>17</v>
      </c>
      <c r="AK32" s="5">
        <f t="shared" si="2"/>
        <v>0</v>
      </c>
    </row>
    <row r="33" spans="1:37" ht="16.5" x14ac:dyDescent="0.25">
      <c r="A33" s="6">
        <v>5</v>
      </c>
      <c r="B33" s="14">
        <v>551</v>
      </c>
      <c r="C33" s="15" t="s">
        <v>46</v>
      </c>
      <c r="D33" s="16" t="s">
        <v>59</v>
      </c>
      <c r="E33" s="10" t="s">
        <v>20</v>
      </c>
      <c r="F33" s="32"/>
      <c r="G33" s="22" t="s">
        <v>34</v>
      </c>
      <c r="H33" s="22" t="s">
        <v>34</v>
      </c>
      <c r="I33" s="22" t="s">
        <v>34</v>
      </c>
      <c r="J33" s="22" t="s">
        <v>34</v>
      </c>
      <c r="K33" s="22" t="s">
        <v>34</v>
      </c>
      <c r="L33" s="22" t="s">
        <v>34</v>
      </c>
      <c r="M33" s="32"/>
      <c r="N33" s="22" t="s">
        <v>34</v>
      </c>
      <c r="O33" s="22" t="s">
        <v>34</v>
      </c>
      <c r="P33" s="22" t="s">
        <v>34</v>
      </c>
      <c r="Q33" s="22" t="s">
        <v>34</v>
      </c>
      <c r="R33" s="22" t="s">
        <v>34</v>
      </c>
      <c r="S33" s="22" t="s">
        <v>34</v>
      </c>
      <c r="T33" s="32"/>
      <c r="U33" s="22" t="s">
        <v>34</v>
      </c>
      <c r="V33" s="22" t="s">
        <v>34</v>
      </c>
      <c r="W33" s="22" t="s">
        <v>34</v>
      </c>
      <c r="X33" s="22" t="s">
        <v>34</v>
      </c>
      <c r="Y33" s="22" t="s">
        <v>34</v>
      </c>
      <c r="Z33" s="35"/>
      <c r="AA33" s="32"/>
      <c r="AB33" s="35"/>
      <c r="AC33" s="35"/>
      <c r="AD33" s="35"/>
      <c r="AE33" s="35"/>
      <c r="AF33" s="35"/>
      <c r="AG33" s="35"/>
      <c r="AH33" s="32"/>
      <c r="AI33" s="35"/>
      <c r="AJ33" s="5">
        <f t="shared" si="1"/>
        <v>17</v>
      </c>
      <c r="AK33" s="5">
        <f t="shared" si="2"/>
        <v>0</v>
      </c>
    </row>
    <row r="34" spans="1:37" ht="16.5" x14ac:dyDescent="0.25">
      <c r="A34" s="12">
        <v>6</v>
      </c>
      <c r="B34" s="14">
        <v>647</v>
      </c>
      <c r="C34" s="15" t="s">
        <v>60</v>
      </c>
      <c r="D34" s="16" t="s">
        <v>61</v>
      </c>
      <c r="E34" s="10" t="s">
        <v>20</v>
      </c>
      <c r="F34" s="32"/>
      <c r="G34" s="22" t="s">
        <v>34</v>
      </c>
      <c r="H34" s="22" t="s">
        <v>34</v>
      </c>
      <c r="I34" s="22" t="s">
        <v>34</v>
      </c>
      <c r="J34" s="22" t="s">
        <v>34</v>
      </c>
      <c r="K34" s="22" t="s">
        <v>34</v>
      </c>
      <c r="L34" s="22" t="s">
        <v>34</v>
      </c>
      <c r="M34" s="32"/>
      <c r="N34" s="22" t="s">
        <v>34</v>
      </c>
      <c r="O34" s="22" t="s">
        <v>34</v>
      </c>
      <c r="P34" s="22" t="s">
        <v>34</v>
      </c>
      <c r="Q34" s="22" t="s">
        <v>34</v>
      </c>
      <c r="R34" s="22" t="s">
        <v>34</v>
      </c>
      <c r="S34" s="22" t="s">
        <v>34</v>
      </c>
      <c r="T34" s="32"/>
      <c r="U34" s="22" t="s">
        <v>34</v>
      </c>
      <c r="V34" s="22" t="s">
        <v>34</v>
      </c>
      <c r="W34" s="22" t="s">
        <v>34</v>
      </c>
      <c r="X34" s="22" t="s">
        <v>34</v>
      </c>
      <c r="Y34" s="22" t="s">
        <v>34</v>
      </c>
      <c r="Z34" s="35"/>
      <c r="AA34" s="32"/>
      <c r="AB34" s="35"/>
      <c r="AC34" s="35"/>
      <c r="AD34" s="35"/>
      <c r="AE34" s="35"/>
      <c r="AF34" s="35"/>
      <c r="AG34" s="35"/>
      <c r="AH34" s="32"/>
      <c r="AI34" s="35"/>
      <c r="AJ34" s="5">
        <f t="shared" si="1"/>
        <v>17</v>
      </c>
      <c r="AK34" s="5">
        <f t="shared" si="2"/>
        <v>0</v>
      </c>
    </row>
    <row r="35" spans="1:37" ht="16.5" x14ac:dyDescent="0.25">
      <c r="A35" s="6">
        <v>7</v>
      </c>
      <c r="B35" s="14">
        <v>585</v>
      </c>
      <c r="C35" s="15" t="s">
        <v>62</v>
      </c>
      <c r="D35" s="16" t="s">
        <v>25</v>
      </c>
      <c r="E35" s="10" t="s">
        <v>20</v>
      </c>
      <c r="F35" s="32"/>
      <c r="G35" s="22" t="s">
        <v>34</v>
      </c>
      <c r="H35" s="22" t="s">
        <v>34</v>
      </c>
      <c r="I35" s="22" t="s">
        <v>34</v>
      </c>
      <c r="J35" s="22" t="s">
        <v>34</v>
      </c>
      <c r="K35" s="22" t="s">
        <v>34</v>
      </c>
      <c r="L35" s="22" t="s">
        <v>34</v>
      </c>
      <c r="M35" s="32"/>
      <c r="N35" s="22" t="s">
        <v>34</v>
      </c>
      <c r="O35" s="22" t="s">
        <v>34</v>
      </c>
      <c r="P35" s="22" t="s">
        <v>34</v>
      </c>
      <c r="Q35" s="22" t="s">
        <v>34</v>
      </c>
      <c r="R35" s="22" t="s">
        <v>34</v>
      </c>
      <c r="S35" s="22" t="s">
        <v>34</v>
      </c>
      <c r="T35" s="32"/>
      <c r="U35" s="22" t="s">
        <v>34</v>
      </c>
      <c r="V35" s="22" t="s">
        <v>34</v>
      </c>
      <c r="W35" s="22" t="s">
        <v>34</v>
      </c>
      <c r="X35" s="22" t="s">
        <v>34</v>
      </c>
      <c r="Y35" s="22" t="s">
        <v>34</v>
      </c>
      <c r="Z35" s="35"/>
      <c r="AA35" s="32"/>
      <c r="AB35" s="35"/>
      <c r="AC35" s="35"/>
      <c r="AD35" s="35"/>
      <c r="AE35" s="35"/>
      <c r="AF35" s="35"/>
      <c r="AG35" s="35"/>
      <c r="AH35" s="32"/>
      <c r="AI35" s="35"/>
      <c r="AJ35" s="5">
        <f t="shared" si="1"/>
        <v>17</v>
      </c>
      <c r="AK35" s="5">
        <f t="shared" si="2"/>
        <v>0</v>
      </c>
    </row>
    <row r="36" spans="1:37" ht="16.5" x14ac:dyDescent="0.25">
      <c r="A36" s="12">
        <v>8</v>
      </c>
      <c r="B36" s="14">
        <v>555</v>
      </c>
      <c r="C36" s="15" t="s">
        <v>26</v>
      </c>
      <c r="D36" s="16" t="s">
        <v>44</v>
      </c>
      <c r="E36" s="10" t="s">
        <v>20</v>
      </c>
      <c r="F36" s="32"/>
      <c r="G36" s="22" t="s">
        <v>34</v>
      </c>
      <c r="H36" s="22" t="s">
        <v>34</v>
      </c>
      <c r="I36" s="22" t="s">
        <v>34</v>
      </c>
      <c r="J36" s="22" t="s">
        <v>34</v>
      </c>
      <c r="K36" s="22" t="s">
        <v>34</v>
      </c>
      <c r="L36" s="22" t="s">
        <v>34</v>
      </c>
      <c r="M36" s="32"/>
      <c r="N36" s="22" t="s">
        <v>34</v>
      </c>
      <c r="O36" s="22" t="s">
        <v>34</v>
      </c>
      <c r="P36" s="22" t="s">
        <v>34</v>
      </c>
      <c r="Q36" s="22" t="s">
        <v>34</v>
      </c>
      <c r="R36" s="22" t="s">
        <v>34</v>
      </c>
      <c r="S36" s="22" t="s">
        <v>34</v>
      </c>
      <c r="T36" s="32"/>
      <c r="U36" s="22" t="s">
        <v>34</v>
      </c>
      <c r="V36" s="22" t="s">
        <v>34</v>
      </c>
      <c r="W36" s="22" t="s">
        <v>34</v>
      </c>
      <c r="X36" s="22" t="s">
        <v>34</v>
      </c>
      <c r="Y36" s="22" t="s">
        <v>34</v>
      </c>
      <c r="Z36" s="35"/>
      <c r="AA36" s="32"/>
      <c r="AB36" s="35"/>
      <c r="AC36" s="35"/>
      <c r="AD36" s="35"/>
      <c r="AE36" s="35"/>
      <c r="AF36" s="35"/>
      <c r="AG36" s="35"/>
      <c r="AH36" s="32"/>
      <c r="AI36" s="35"/>
      <c r="AJ36" s="5">
        <f t="shared" si="1"/>
        <v>17</v>
      </c>
      <c r="AK36" s="5">
        <f t="shared" si="2"/>
        <v>0</v>
      </c>
    </row>
    <row r="37" spans="1:37" ht="16.5" x14ac:dyDescent="0.25">
      <c r="A37" s="6">
        <v>9</v>
      </c>
      <c r="B37" s="18">
        <v>691</v>
      </c>
      <c r="C37" s="15" t="s">
        <v>64</v>
      </c>
      <c r="D37" s="16" t="s">
        <v>65</v>
      </c>
      <c r="E37" s="10" t="s">
        <v>20</v>
      </c>
      <c r="F37" s="32"/>
      <c r="G37" s="22" t="s">
        <v>34</v>
      </c>
      <c r="H37" s="22" t="s">
        <v>34</v>
      </c>
      <c r="I37" s="22" t="s">
        <v>34</v>
      </c>
      <c r="J37" s="22" t="s">
        <v>34</v>
      </c>
      <c r="K37" s="22" t="s">
        <v>34</v>
      </c>
      <c r="L37" s="22" t="s">
        <v>34</v>
      </c>
      <c r="M37" s="32"/>
      <c r="N37" s="22" t="s">
        <v>34</v>
      </c>
      <c r="O37" s="22" t="s">
        <v>34</v>
      </c>
      <c r="P37" s="22" t="s">
        <v>34</v>
      </c>
      <c r="Q37" s="22" t="s">
        <v>34</v>
      </c>
      <c r="R37" s="22" t="s">
        <v>34</v>
      </c>
      <c r="S37" s="22" t="s">
        <v>34</v>
      </c>
      <c r="T37" s="32"/>
      <c r="U37" s="22" t="s">
        <v>34</v>
      </c>
      <c r="V37" s="22" t="s">
        <v>34</v>
      </c>
      <c r="W37" s="22" t="s">
        <v>34</v>
      </c>
      <c r="X37" s="22" t="s">
        <v>34</v>
      </c>
      <c r="Y37" s="22" t="s">
        <v>34</v>
      </c>
      <c r="Z37" s="35"/>
      <c r="AA37" s="32"/>
      <c r="AB37" s="35"/>
      <c r="AC37" s="35"/>
      <c r="AD37" s="35"/>
      <c r="AE37" s="35"/>
      <c r="AF37" s="35"/>
      <c r="AG37" s="35"/>
      <c r="AH37" s="32"/>
      <c r="AI37" s="35"/>
      <c r="AJ37" s="5">
        <f t="shared" si="1"/>
        <v>17</v>
      </c>
      <c r="AK37" s="5">
        <f t="shared" si="2"/>
        <v>0</v>
      </c>
    </row>
    <row r="38" spans="1:37" ht="16.5" x14ac:dyDescent="0.25">
      <c r="A38" s="12">
        <v>10</v>
      </c>
      <c r="B38" s="14">
        <v>528</v>
      </c>
      <c r="C38" s="15" t="s">
        <v>66</v>
      </c>
      <c r="D38" s="16" t="s">
        <v>67</v>
      </c>
      <c r="E38" s="10" t="s">
        <v>20</v>
      </c>
      <c r="F38" s="32"/>
      <c r="G38" s="22" t="s">
        <v>34</v>
      </c>
      <c r="H38" s="22" t="s">
        <v>34</v>
      </c>
      <c r="I38" s="22" t="s">
        <v>34</v>
      </c>
      <c r="J38" s="22" t="s">
        <v>34</v>
      </c>
      <c r="K38" s="22" t="s">
        <v>34</v>
      </c>
      <c r="L38" s="22" t="s">
        <v>34</v>
      </c>
      <c r="M38" s="32"/>
      <c r="N38" s="22" t="s">
        <v>34</v>
      </c>
      <c r="O38" s="22" t="s">
        <v>34</v>
      </c>
      <c r="P38" s="22" t="s">
        <v>34</v>
      </c>
      <c r="Q38" s="22" t="s">
        <v>34</v>
      </c>
      <c r="R38" s="22" t="s">
        <v>34</v>
      </c>
      <c r="S38" s="22" t="s">
        <v>34</v>
      </c>
      <c r="T38" s="32"/>
      <c r="U38" s="22" t="s">
        <v>34</v>
      </c>
      <c r="V38" s="22" t="s">
        <v>34</v>
      </c>
      <c r="W38" s="22" t="s">
        <v>34</v>
      </c>
      <c r="X38" s="22" t="s">
        <v>34</v>
      </c>
      <c r="Y38" s="22" t="s">
        <v>34</v>
      </c>
      <c r="Z38" s="35"/>
      <c r="AA38" s="32"/>
      <c r="AB38" s="35"/>
      <c r="AC38" s="35"/>
      <c r="AD38" s="35"/>
      <c r="AE38" s="35"/>
      <c r="AF38" s="35"/>
      <c r="AG38" s="35"/>
      <c r="AH38" s="32"/>
      <c r="AI38" s="35"/>
      <c r="AJ38" s="5">
        <f t="shared" si="1"/>
        <v>17</v>
      </c>
      <c r="AK38" s="5">
        <f t="shared" si="2"/>
        <v>0</v>
      </c>
    </row>
    <row r="39" spans="1:37" ht="16.5" x14ac:dyDescent="0.25">
      <c r="A39" s="6">
        <v>11</v>
      </c>
      <c r="B39" s="14">
        <v>689</v>
      </c>
      <c r="C39" s="15" t="s">
        <v>68</v>
      </c>
      <c r="D39" s="16" t="s">
        <v>30</v>
      </c>
      <c r="E39" s="10" t="s">
        <v>20</v>
      </c>
      <c r="F39" s="32"/>
      <c r="G39" s="22" t="s">
        <v>34</v>
      </c>
      <c r="H39" s="22" t="s">
        <v>34</v>
      </c>
      <c r="I39" s="22" t="s">
        <v>34</v>
      </c>
      <c r="J39" s="22" t="s">
        <v>34</v>
      </c>
      <c r="K39" s="22" t="s">
        <v>34</v>
      </c>
      <c r="L39" s="22" t="s">
        <v>34</v>
      </c>
      <c r="M39" s="32"/>
      <c r="N39" s="22" t="s">
        <v>34</v>
      </c>
      <c r="O39" s="22" t="s">
        <v>34</v>
      </c>
      <c r="P39" s="22" t="s">
        <v>34</v>
      </c>
      <c r="Q39" s="22" t="s">
        <v>34</v>
      </c>
      <c r="R39" s="22" t="s">
        <v>34</v>
      </c>
      <c r="S39" s="22" t="s">
        <v>34</v>
      </c>
      <c r="T39" s="32"/>
      <c r="U39" s="22" t="s">
        <v>34</v>
      </c>
      <c r="V39" s="22" t="s">
        <v>34</v>
      </c>
      <c r="W39" s="22" t="s">
        <v>34</v>
      </c>
      <c r="X39" s="22" t="s">
        <v>34</v>
      </c>
      <c r="Y39" s="22" t="s">
        <v>34</v>
      </c>
      <c r="Z39" s="35"/>
      <c r="AA39" s="32"/>
      <c r="AB39" s="35"/>
      <c r="AC39" s="35"/>
      <c r="AD39" s="35"/>
      <c r="AE39" s="35"/>
      <c r="AF39" s="35"/>
      <c r="AG39" s="35"/>
      <c r="AH39" s="32"/>
      <c r="AI39" s="35"/>
      <c r="AJ39" s="5">
        <f t="shared" si="1"/>
        <v>17</v>
      </c>
      <c r="AK39" s="5">
        <f t="shared" si="2"/>
        <v>0</v>
      </c>
    </row>
    <row r="40" spans="1:37" ht="16.5" x14ac:dyDescent="0.25">
      <c r="A40" s="12">
        <v>12</v>
      </c>
      <c r="B40" s="14">
        <v>479</v>
      </c>
      <c r="C40" s="15" t="s">
        <v>69</v>
      </c>
      <c r="D40" s="16" t="s">
        <v>70</v>
      </c>
      <c r="E40" s="10" t="s">
        <v>20</v>
      </c>
      <c r="F40" s="32"/>
      <c r="G40" s="22" t="s">
        <v>34</v>
      </c>
      <c r="H40" s="22" t="s">
        <v>34</v>
      </c>
      <c r="I40" s="22" t="s">
        <v>34</v>
      </c>
      <c r="J40" s="22" t="s">
        <v>34</v>
      </c>
      <c r="K40" s="22" t="s">
        <v>34</v>
      </c>
      <c r="L40" s="22" t="s">
        <v>34</v>
      </c>
      <c r="M40" s="32"/>
      <c r="N40" s="22" t="s">
        <v>34</v>
      </c>
      <c r="O40" s="22" t="s">
        <v>34</v>
      </c>
      <c r="P40" s="22" t="s">
        <v>34</v>
      </c>
      <c r="Q40" s="22" t="s">
        <v>34</v>
      </c>
      <c r="R40" s="22" t="s">
        <v>34</v>
      </c>
      <c r="S40" s="22" t="s">
        <v>34</v>
      </c>
      <c r="T40" s="32"/>
      <c r="U40" s="22" t="s">
        <v>34</v>
      </c>
      <c r="V40" s="22" t="s">
        <v>34</v>
      </c>
      <c r="W40" s="22" t="s">
        <v>34</v>
      </c>
      <c r="X40" s="22" t="s">
        <v>34</v>
      </c>
      <c r="Y40" s="22" t="s">
        <v>34</v>
      </c>
      <c r="Z40" s="35"/>
      <c r="AA40" s="32"/>
      <c r="AB40" s="35"/>
      <c r="AC40" s="35"/>
      <c r="AD40" s="35"/>
      <c r="AE40" s="35"/>
      <c r="AF40" s="35"/>
      <c r="AG40" s="35"/>
      <c r="AH40" s="32"/>
      <c r="AI40" s="35"/>
      <c r="AJ40" s="5">
        <f t="shared" si="1"/>
        <v>17</v>
      </c>
      <c r="AK40" s="5">
        <f t="shared" si="2"/>
        <v>0</v>
      </c>
    </row>
    <row r="41" spans="1:37" ht="16.5" x14ac:dyDescent="0.25">
      <c r="A41" s="6">
        <v>13</v>
      </c>
      <c r="B41" s="14">
        <v>648</v>
      </c>
      <c r="C41" s="15" t="s">
        <v>71</v>
      </c>
      <c r="D41" s="16" t="s">
        <v>28</v>
      </c>
      <c r="E41" s="10" t="s">
        <v>20</v>
      </c>
      <c r="F41" s="32"/>
      <c r="G41" s="22" t="s">
        <v>34</v>
      </c>
      <c r="H41" s="22" t="s">
        <v>34</v>
      </c>
      <c r="I41" s="22" t="s">
        <v>34</v>
      </c>
      <c r="J41" s="22" t="s">
        <v>34</v>
      </c>
      <c r="K41" s="22" t="s">
        <v>34</v>
      </c>
      <c r="L41" s="22" t="s">
        <v>34</v>
      </c>
      <c r="M41" s="32"/>
      <c r="N41" s="22" t="s">
        <v>34</v>
      </c>
      <c r="O41" s="22" t="s">
        <v>34</v>
      </c>
      <c r="P41" s="22" t="s">
        <v>34</v>
      </c>
      <c r="Q41" s="22" t="s">
        <v>34</v>
      </c>
      <c r="R41" s="22" t="s">
        <v>34</v>
      </c>
      <c r="S41" s="22" t="s">
        <v>34</v>
      </c>
      <c r="T41" s="32"/>
      <c r="U41" s="22" t="s">
        <v>34</v>
      </c>
      <c r="V41" s="22" t="s">
        <v>34</v>
      </c>
      <c r="W41" s="22" t="s">
        <v>34</v>
      </c>
      <c r="X41" s="22" t="s">
        <v>34</v>
      </c>
      <c r="Y41" s="22" t="s">
        <v>34</v>
      </c>
      <c r="Z41" s="35"/>
      <c r="AA41" s="32"/>
      <c r="AB41" s="35"/>
      <c r="AC41" s="35"/>
      <c r="AD41" s="35"/>
      <c r="AE41" s="35"/>
      <c r="AF41" s="35"/>
      <c r="AG41" s="35"/>
      <c r="AH41" s="32"/>
      <c r="AI41" s="35"/>
      <c r="AJ41" s="5">
        <f t="shared" si="1"/>
        <v>17</v>
      </c>
      <c r="AK41" s="5">
        <f t="shared" si="2"/>
        <v>0</v>
      </c>
    </row>
    <row r="42" spans="1:37" ht="16.5" x14ac:dyDescent="0.25">
      <c r="A42" s="12">
        <v>14</v>
      </c>
      <c r="B42" s="14">
        <v>578</v>
      </c>
      <c r="C42" s="15" t="s">
        <v>72</v>
      </c>
      <c r="D42" s="16" t="s">
        <v>41</v>
      </c>
      <c r="E42" s="10" t="s">
        <v>20</v>
      </c>
      <c r="F42" s="32"/>
      <c r="G42" s="22" t="s">
        <v>34</v>
      </c>
      <c r="H42" s="22" t="s">
        <v>34</v>
      </c>
      <c r="I42" s="22" t="s">
        <v>34</v>
      </c>
      <c r="J42" s="22" t="s">
        <v>34</v>
      </c>
      <c r="K42" s="22" t="s">
        <v>34</v>
      </c>
      <c r="L42" s="22" t="s">
        <v>34</v>
      </c>
      <c r="M42" s="32"/>
      <c r="N42" s="22" t="s">
        <v>34</v>
      </c>
      <c r="O42" s="22" t="s">
        <v>34</v>
      </c>
      <c r="P42" s="22" t="s">
        <v>34</v>
      </c>
      <c r="Q42" s="22" t="s">
        <v>34</v>
      </c>
      <c r="R42" s="22" t="s">
        <v>34</v>
      </c>
      <c r="S42" s="22" t="s">
        <v>34</v>
      </c>
      <c r="T42" s="32"/>
      <c r="U42" s="22" t="s">
        <v>34</v>
      </c>
      <c r="V42" s="22" t="s">
        <v>34</v>
      </c>
      <c r="W42" s="22" t="s">
        <v>34</v>
      </c>
      <c r="X42" s="22" t="s">
        <v>34</v>
      </c>
      <c r="Y42" s="22" t="s">
        <v>34</v>
      </c>
      <c r="Z42" s="35"/>
      <c r="AA42" s="32"/>
      <c r="AB42" s="35"/>
      <c r="AC42" s="35"/>
      <c r="AD42" s="35"/>
      <c r="AE42" s="35"/>
      <c r="AF42" s="35"/>
      <c r="AG42" s="35"/>
      <c r="AH42" s="32"/>
      <c r="AI42" s="35"/>
      <c r="AJ42" s="5">
        <f t="shared" si="1"/>
        <v>17</v>
      </c>
      <c r="AK42" s="5">
        <f t="shared" si="2"/>
        <v>0</v>
      </c>
    </row>
    <row r="43" spans="1:37" ht="16.5" x14ac:dyDescent="0.25">
      <c r="A43" s="6">
        <v>15</v>
      </c>
      <c r="B43" s="14">
        <v>573</v>
      </c>
      <c r="C43" s="15" t="s">
        <v>32</v>
      </c>
      <c r="D43" s="16" t="s">
        <v>29</v>
      </c>
      <c r="E43" s="10" t="s">
        <v>20</v>
      </c>
      <c r="F43" s="32"/>
      <c r="G43" s="22" t="s">
        <v>34</v>
      </c>
      <c r="H43" s="22" t="s">
        <v>34</v>
      </c>
      <c r="I43" s="22" t="s">
        <v>34</v>
      </c>
      <c r="J43" s="22" t="s">
        <v>34</v>
      </c>
      <c r="K43" s="22" t="s">
        <v>34</v>
      </c>
      <c r="L43" s="22" t="s">
        <v>34</v>
      </c>
      <c r="M43" s="32"/>
      <c r="N43" s="22" t="s">
        <v>34</v>
      </c>
      <c r="O43" s="22" t="s">
        <v>34</v>
      </c>
      <c r="P43" s="22" t="s">
        <v>34</v>
      </c>
      <c r="Q43" s="22" t="s">
        <v>34</v>
      </c>
      <c r="R43" s="22" t="s">
        <v>34</v>
      </c>
      <c r="S43" s="22" t="s">
        <v>34</v>
      </c>
      <c r="T43" s="32"/>
      <c r="U43" s="22" t="s">
        <v>34</v>
      </c>
      <c r="V43" s="22" t="s">
        <v>34</v>
      </c>
      <c r="W43" s="22" t="s">
        <v>34</v>
      </c>
      <c r="X43" s="22" t="s">
        <v>34</v>
      </c>
      <c r="Y43" s="22" t="s">
        <v>34</v>
      </c>
      <c r="Z43" s="35"/>
      <c r="AA43" s="32"/>
      <c r="AB43" s="35"/>
      <c r="AC43" s="35"/>
      <c r="AD43" s="35"/>
      <c r="AE43" s="35"/>
      <c r="AF43" s="35"/>
      <c r="AG43" s="35"/>
      <c r="AH43" s="32"/>
      <c r="AI43" s="35"/>
      <c r="AJ43" s="5">
        <f t="shared" si="1"/>
        <v>17</v>
      </c>
      <c r="AK43" s="5">
        <f t="shared" si="2"/>
        <v>0</v>
      </c>
    </row>
    <row r="44" spans="1:37" ht="16.5" x14ac:dyDescent="0.25">
      <c r="A44" s="12">
        <v>16</v>
      </c>
      <c r="B44" s="14">
        <v>575</v>
      </c>
      <c r="C44" s="15" t="s">
        <v>75</v>
      </c>
      <c r="D44" s="16" t="s">
        <v>76</v>
      </c>
      <c r="E44" s="10" t="s">
        <v>20</v>
      </c>
      <c r="F44" s="32"/>
      <c r="G44" s="22" t="s">
        <v>34</v>
      </c>
      <c r="H44" s="22" t="s">
        <v>34</v>
      </c>
      <c r="I44" s="22" t="s">
        <v>34</v>
      </c>
      <c r="J44" s="22" t="s">
        <v>34</v>
      </c>
      <c r="K44" s="22" t="s">
        <v>34</v>
      </c>
      <c r="L44" s="22" t="s">
        <v>34</v>
      </c>
      <c r="M44" s="32"/>
      <c r="N44" s="22" t="s">
        <v>34</v>
      </c>
      <c r="O44" s="22" t="s">
        <v>34</v>
      </c>
      <c r="P44" s="22" t="s">
        <v>34</v>
      </c>
      <c r="Q44" s="22" t="s">
        <v>34</v>
      </c>
      <c r="R44" s="22" t="s">
        <v>34</v>
      </c>
      <c r="S44" s="22" t="s">
        <v>34</v>
      </c>
      <c r="T44" s="32"/>
      <c r="U44" s="22" t="s">
        <v>34</v>
      </c>
      <c r="V44" s="22" t="s">
        <v>34</v>
      </c>
      <c r="W44" s="22" t="s">
        <v>34</v>
      </c>
      <c r="X44" s="22" t="s">
        <v>34</v>
      </c>
      <c r="Y44" s="22" t="s">
        <v>34</v>
      </c>
      <c r="Z44" s="35"/>
      <c r="AA44" s="32"/>
      <c r="AB44" s="35"/>
      <c r="AC44" s="35"/>
      <c r="AD44" s="35"/>
      <c r="AE44" s="35"/>
      <c r="AF44" s="35"/>
      <c r="AG44" s="35"/>
      <c r="AH44" s="32"/>
      <c r="AI44" s="35"/>
      <c r="AJ44" s="5">
        <f t="shared" si="1"/>
        <v>17</v>
      </c>
      <c r="AK44" s="5">
        <f t="shared" si="2"/>
        <v>0</v>
      </c>
    </row>
    <row r="45" spans="1:37" ht="16.5" x14ac:dyDescent="0.25">
      <c r="A45" s="6">
        <v>17</v>
      </c>
      <c r="B45" s="14">
        <v>586</v>
      </c>
      <c r="C45" s="15" t="s">
        <v>27</v>
      </c>
      <c r="D45" s="16" t="s">
        <v>77</v>
      </c>
      <c r="E45" s="10" t="s">
        <v>20</v>
      </c>
      <c r="F45" s="32"/>
      <c r="G45" s="22" t="s">
        <v>34</v>
      </c>
      <c r="H45" s="22" t="s">
        <v>34</v>
      </c>
      <c r="I45" s="22" t="s">
        <v>34</v>
      </c>
      <c r="J45" s="22" t="s">
        <v>34</v>
      </c>
      <c r="K45" s="22" t="s">
        <v>34</v>
      </c>
      <c r="L45" s="22" t="s">
        <v>34</v>
      </c>
      <c r="M45" s="32"/>
      <c r="N45" s="22" t="s">
        <v>34</v>
      </c>
      <c r="O45" s="22" t="s">
        <v>34</v>
      </c>
      <c r="P45" s="22" t="s">
        <v>34</v>
      </c>
      <c r="Q45" s="22" t="s">
        <v>34</v>
      </c>
      <c r="R45" s="22" t="s">
        <v>34</v>
      </c>
      <c r="S45" s="22" t="s">
        <v>34</v>
      </c>
      <c r="T45" s="32"/>
      <c r="U45" s="22" t="s">
        <v>34</v>
      </c>
      <c r="V45" s="22" t="s">
        <v>34</v>
      </c>
      <c r="W45" s="22" t="s">
        <v>34</v>
      </c>
      <c r="X45" s="22" t="s">
        <v>34</v>
      </c>
      <c r="Y45" s="22" t="s">
        <v>34</v>
      </c>
      <c r="Z45" s="35"/>
      <c r="AA45" s="32"/>
      <c r="AB45" s="35"/>
      <c r="AC45" s="35"/>
      <c r="AD45" s="35"/>
      <c r="AE45" s="35"/>
      <c r="AF45" s="35"/>
      <c r="AG45" s="35"/>
      <c r="AH45" s="32"/>
      <c r="AI45" s="35"/>
      <c r="AJ45" s="5">
        <f t="shared" si="1"/>
        <v>17</v>
      </c>
      <c r="AK45" s="5">
        <f t="shared" si="2"/>
        <v>0</v>
      </c>
    </row>
    <row r="46" spans="1:37" ht="16.5" x14ac:dyDescent="0.25">
      <c r="A46" s="12">
        <v>18</v>
      </c>
      <c r="B46" s="14">
        <v>583</v>
      </c>
      <c r="C46" s="15" t="s">
        <v>78</v>
      </c>
      <c r="D46" s="16" t="s">
        <v>24</v>
      </c>
      <c r="E46" s="10" t="s">
        <v>20</v>
      </c>
      <c r="F46" s="32"/>
      <c r="G46" s="22" t="s">
        <v>34</v>
      </c>
      <c r="H46" s="22" t="s">
        <v>34</v>
      </c>
      <c r="I46" s="22" t="s">
        <v>34</v>
      </c>
      <c r="J46" s="22" t="s">
        <v>34</v>
      </c>
      <c r="K46" s="22" t="s">
        <v>34</v>
      </c>
      <c r="L46" s="22" t="s">
        <v>34</v>
      </c>
      <c r="M46" s="32"/>
      <c r="N46" s="22" t="s">
        <v>34</v>
      </c>
      <c r="O46" s="22" t="s">
        <v>34</v>
      </c>
      <c r="P46" s="22" t="s">
        <v>34</v>
      </c>
      <c r="Q46" s="22" t="s">
        <v>34</v>
      </c>
      <c r="R46" s="22" t="s">
        <v>34</v>
      </c>
      <c r="S46" s="22" t="s">
        <v>34</v>
      </c>
      <c r="T46" s="32"/>
      <c r="U46" s="22" t="s">
        <v>34</v>
      </c>
      <c r="V46" s="22" t="s">
        <v>34</v>
      </c>
      <c r="W46" s="22" t="s">
        <v>34</v>
      </c>
      <c r="X46" s="22" t="s">
        <v>34</v>
      </c>
      <c r="Y46" s="22" t="s">
        <v>34</v>
      </c>
      <c r="Z46" s="35"/>
      <c r="AA46" s="32"/>
      <c r="AB46" s="35"/>
      <c r="AC46" s="35"/>
      <c r="AD46" s="35"/>
      <c r="AE46" s="35"/>
      <c r="AF46" s="35"/>
      <c r="AG46" s="35"/>
      <c r="AH46" s="32"/>
      <c r="AI46" s="35"/>
      <c r="AJ46" s="5">
        <f t="shared" si="1"/>
        <v>17</v>
      </c>
      <c r="AK46" s="5">
        <f t="shared" si="2"/>
        <v>0</v>
      </c>
    </row>
    <row r="47" spans="1:37" ht="16.5" x14ac:dyDescent="0.25">
      <c r="A47" s="6">
        <v>19</v>
      </c>
      <c r="B47" s="14">
        <v>580</v>
      </c>
      <c r="C47" s="15" t="s">
        <v>79</v>
      </c>
      <c r="D47" s="16" t="s">
        <v>80</v>
      </c>
      <c r="E47" s="10" t="s">
        <v>20</v>
      </c>
      <c r="F47" s="32"/>
      <c r="G47" s="22" t="s">
        <v>34</v>
      </c>
      <c r="H47" s="22" t="s">
        <v>34</v>
      </c>
      <c r="I47" s="22" t="s">
        <v>34</v>
      </c>
      <c r="J47" s="22" t="s">
        <v>34</v>
      </c>
      <c r="K47" s="22" t="s">
        <v>34</v>
      </c>
      <c r="L47" s="22" t="s">
        <v>34</v>
      </c>
      <c r="M47" s="32"/>
      <c r="N47" s="22" t="s">
        <v>34</v>
      </c>
      <c r="O47" s="22" t="s">
        <v>34</v>
      </c>
      <c r="P47" s="22" t="s">
        <v>34</v>
      </c>
      <c r="Q47" s="22" t="s">
        <v>34</v>
      </c>
      <c r="R47" s="22" t="s">
        <v>34</v>
      </c>
      <c r="S47" s="22" t="s">
        <v>34</v>
      </c>
      <c r="T47" s="32"/>
      <c r="U47" s="22" t="s">
        <v>34</v>
      </c>
      <c r="V47" s="22" t="s">
        <v>34</v>
      </c>
      <c r="W47" s="22" t="s">
        <v>34</v>
      </c>
      <c r="X47" s="22" t="s">
        <v>34</v>
      </c>
      <c r="Y47" s="22" t="s">
        <v>34</v>
      </c>
      <c r="Z47" s="35"/>
      <c r="AA47" s="32"/>
      <c r="AB47" s="35"/>
      <c r="AC47" s="35"/>
      <c r="AD47" s="35"/>
      <c r="AE47" s="35"/>
      <c r="AF47" s="35"/>
      <c r="AG47" s="35"/>
      <c r="AH47" s="32"/>
      <c r="AI47" s="35"/>
      <c r="AJ47" s="5">
        <f t="shared" si="1"/>
        <v>17</v>
      </c>
      <c r="AK47" s="5">
        <f t="shared" si="2"/>
        <v>0</v>
      </c>
    </row>
    <row r="48" spans="1:37" ht="16.5" x14ac:dyDescent="0.25">
      <c r="A48" s="12">
        <v>20</v>
      </c>
      <c r="B48" s="14">
        <v>480</v>
      </c>
      <c r="C48" s="15" t="s">
        <v>81</v>
      </c>
      <c r="D48" s="16" t="s">
        <v>42</v>
      </c>
      <c r="E48" s="10" t="s">
        <v>20</v>
      </c>
      <c r="F48" s="32"/>
      <c r="G48" s="22" t="s">
        <v>34</v>
      </c>
      <c r="H48" s="22" t="s">
        <v>34</v>
      </c>
      <c r="I48" s="22" t="s">
        <v>34</v>
      </c>
      <c r="J48" s="22" t="s">
        <v>34</v>
      </c>
      <c r="K48" s="22" t="s">
        <v>34</v>
      </c>
      <c r="L48" s="22" t="s">
        <v>34</v>
      </c>
      <c r="M48" s="32"/>
      <c r="N48" s="22" t="s">
        <v>34</v>
      </c>
      <c r="O48" s="22" t="s">
        <v>34</v>
      </c>
      <c r="P48" s="22" t="s">
        <v>34</v>
      </c>
      <c r="Q48" s="22" t="s">
        <v>34</v>
      </c>
      <c r="R48" s="22" t="s">
        <v>34</v>
      </c>
      <c r="S48" s="22" t="s">
        <v>34</v>
      </c>
      <c r="T48" s="32"/>
      <c r="U48" s="22" t="s">
        <v>34</v>
      </c>
      <c r="V48" s="22" t="s">
        <v>34</v>
      </c>
      <c r="W48" s="22" t="s">
        <v>34</v>
      </c>
      <c r="X48" s="22" t="s">
        <v>34</v>
      </c>
      <c r="Y48" s="22" t="s">
        <v>34</v>
      </c>
      <c r="Z48" s="35"/>
      <c r="AA48" s="32"/>
      <c r="AB48" s="35"/>
      <c r="AC48" s="35"/>
      <c r="AD48" s="35"/>
      <c r="AE48" s="35"/>
      <c r="AF48" s="35"/>
      <c r="AG48" s="35"/>
      <c r="AH48" s="32"/>
      <c r="AI48" s="35"/>
      <c r="AJ48" s="5">
        <f t="shared" si="1"/>
        <v>17</v>
      </c>
      <c r="AK48" s="5">
        <f t="shared" si="2"/>
        <v>0</v>
      </c>
    </row>
    <row r="49" spans="1:37" ht="16.5" x14ac:dyDescent="0.25">
      <c r="A49" s="6">
        <v>21</v>
      </c>
      <c r="B49" s="14">
        <v>576</v>
      </c>
      <c r="C49" s="15" t="s">
        <v>48</v>
      </c>
      <c r="D49" s="16" t="s">
        <v>42</v>
      </c>
      <c r="E49" s="10" t="s">
        <v>20</v>
      </c>
      <c r="F49" s="32"/>
      <c r="G49" s="22" t="s">
        <v>34</v>
      </c>
      <c r="H49" s="22" t="s">
        <v>34</v>
      </c>
      <c r="I49" s="22" t="s">
        <v>34</v>
      </c>
      <c r="J49" s="22" t="s">
        <v>34</v>
      </c>
      <c r="K49" s="22" t="s">
        <v>34</v>
      </c>
      <c r="L49" s="22" t="s">
        <v>34</v>
      </c>
      <c r="M49" s="32"/>
      <c r="N49" s="22" t="s">
        <v>34</v>
      </c>
      <c r="O49" s="22" t="s">
        <v>34</v>
      </c>
      <c r="P49" s="22" t="s">
        <v>34</v>
      </c>
      <c r="Q49" s="22" t="s">
        <v>34</v>
      </c>
      <c r="R49" s="22" t="s">
        <v>34</v>
      </c>
      <c r="S49" s="22" t="s">
        <v>34</v>
      </c>
      <c r="T49" s="32"/>
      <c r="U49" s="22" t="s">
        <v>34</v>
      </c>
      <c r="V49" s="22" t="s">
        <v>34</v>
      </c>
      <c r="W49" s="22" t="s">
        <v>34</v>
      </c>
      <c r="X49" s="22" t="s">
        <v>34</v>
      </c>
      <c r="Y49" s="22" t="s">
        <v>34</v>
      </c>
      <c r="Z49" s="35"/>
      <c r="AA49" s="32"/>
      <c r="AB49" s="35"/>
      <c r="AC49" s="35"/>
      <c r="AD49" s="35"/>
      <c r="AE49" s="35"/>
      <c r="AF49" s="35"/>
      <c r="AG49" s="35"/>
      <c r="AH49" s="32"/>
      <c r="AI49" s="35"/>
      <c r="AJ49" s="5">
        <f t="shared" si="1"/>
        <v>17</v>
      </c>
      <c r="AK49" s="5">
        <f t="shared" si="2"/>
        <v>0</v>
      </c>
    </row>
    <row r="50" spans="1:37" ht="16.5" x14ac:dyDescent="0.25">
      <c r="A50" s="12">
        <v>22</v>
      </c>
      <c r="B50" s="14">
        <v>685</v>
      </c>
      <c r="C50" s="15" t="s">
        <v>82</v>
      </c>
      <c r="D50" s="16" t="s">
        <v>83</v>
      </c>
      <c r="E50" s="10" t="s">
        <v>20</v>
      </c>
      <c r="F50" s="32"/>
      <c r="G50" s="22" t="s">
        <v>34</v>
      </c>
      <c r="H50" s="22" t="s">
        <v>34</v>
      </c>
      <c r="I50" s="22" t="s">
        <v>34</v>
      </c>
      <c r="J50" s="22" t="s">
        <v>34</v>
      </c>
      <c r="K50" s="22" t="s">
        <v>34</v>
      </c>
      <c r="L50" s="22" t="s">
        <v>34</v>
      </c>
      <c r="M50" s="32"/>
      <c r="N50" s="22" t="s">
        <v>34</v>
      </c>
      <c r="O50" s="22" t="s">
        <v>34</v>
      </c>
      <c r="P50" s="22" t="s">
        <v>34</v>
      </c>
      <c r="Q50" s="22" t="s">
        <v>34</v>
      </c>
      <c r="R50" s="22" t="s">
        <v>34</v>
      </c>
      <c r="S50" s="22" t="s">
        <v>34</v>
      </c>
      <c r="T50" s="32"/>
      <c r="U50" s="22" t="s">
        <v>34</v>
      </c>
      <c r="V50" s="22" t="s">
        <v>34</v>
      </c>
      <c r="W50" s="22" t="s">
        <v>34</v>
      </c>
      <c r="X50" s="22" t="s">
        <v>34</v>
      </c>
      <c r="Y50" s="22" t="s">
        <v>34</v>
      </c>
      <c r="Z50" s="35"/>
      <c r="AA50" s="32"/>
      <c r="AB50" s="35"/>
      <c r="AC50" s="35"/>
      <c r="AD50" s="35"/>
      <c r="AE50" s="35"/>
      <c r="AF50" s="35"/>
      <c r="AG50" s="35"/>
      <c r="AH50" s="32"/>
      <c r="AI50" s="35"/>
      <c r="AJ50" s="5">
        <f t="shared" si="1"/>
        <v>17</v>
      </c>
      <c r="AK50" s="5">
        <f t="shared" si="2"/>
        <v>0</v>
      </c>
    </row>
    <row r="51" spans="1:37" ht="16.5" x14ac:dyDescent="0.25">
      <c r="A51" s="6">
        <v>23</v>
      </c>
      <c r="B51" s="14">
        <v>688</v>
      </c>
      <c r="C51" s="15" t="s">
        <v>84</v>
      </c>
      <c r="D51" s="16" t="s">
        <v>27</v>
      </c>
      <c r="E51" s="10" t="s">
        <v>20</v>
      </c>
      <c r="F51" s="32"/>
      <c r="G51" s="22" t="s">
        <v>34</v>
      </c>
      <c r="H51" s="22" t="s">
        <v>34</v>
      </c>
      <c r="I51" s="22" t="s">
        <v>34</v>
      </c>
      <c r="J51" s="22" t="s">
        <v>34</v>
      </c>
      <c r="K51" s="22" t="s">
        <v>34</v>
      </c>
      <c r="L51" s="22" t="s">
        <v>34</v>
      </c>
      <c r="M51" s="32"/>
      <c r="N51" s="22" t="s">
        <v>34</v>
      </c>
      <c r="O51" s="22" t="s">
        <v>34</v>
      </c>
      <c r="P51" s="22" t="s">
        <v>34</v>
      </c>
      <c r="Q51" s="22" t="s">
        <v>34</v>
      </c>
      <c r="R51" s="22" t="s">
        <v>34</v>
      </c>
      <c r="S51" s="22" t="s">
        <v>34</v>
      </c>
      <c r="T51" s="32"/>
      <c r="U51" s="22" t="s">
        <v>34</v>
      </c>
      <c r="V51" s="22" t="s">
        <v>34</v>
      </c>
      <c r="W51" s="22" t="s">
        <v>34</v>
      </c>
      <c r="X51" s="22" t="s">
        <v>34</v>
      </c>
      <c r="Y51" s="22" t="s">
        <v>34</v>
      </c>
      <c r="Z51" s="35"/>
      <c r="AA51" s="32"/>
      <c r="AB51" s="35"/>
      <c r="AC51" s="35"/>
      <c r="AD51" s="35"/>
      <c r="AE51" s="35"/>
      <c r="AF51" s="35"/>
      <c r="AG51" s="35"/>
      <c r="AH51" s="32"/>
      <c r="AI51" s="35"/>
      <c r="AJ51" s="5">
        <f t="shared" si="1"/>
        <v>17</v>
      </c>
      <c r="AK51" s="5">
        <f t="shared" si="2"/>
        <v>0</v>
      </c>
    </row>
    <row r="52" spans="1:37" ht="16.5" x14ac:dyDescent="0.25">
      <c r="A52" s="12">
        <v>24</v>
      </c>
      <c r="B52" s="14">
        <v>546</v>
      </c>
      <c r="C52" s="15" t="s">
        <v>84</v>
      </c>
      <c r="D52" s="16" t="s">
        <v>85</v>
      </c>
      <c r="E52" s="10" t="s">
        <v>20</v>
      </c>
      <c r="F52" s="32"/>
      <c r="G52" s="22" t="s">
        <v>34</v>
      </c>
      <c r="H52" s="22" t="s">
        <v>34</v>
      </c>
      <c r="I52" s="22" t="s">
        <v>34</v>
      </c>
      <c r="J52" s="22" t="s">
        <v>34</v>
      </c>
      <c r="K52" s="22" t="s">
        <v>34</v>
      </c>
      <c r="L52" s="22" t="s">
        <v>34</v>
      </c>
      <c r="M52" s="32"/>
      <c r="N52" s="22" t="s">
        <v>34</v>
      </c>
      <c r="O52" s="22" t="s">
        <v>34</v>
      </c>
      <c r="P52" s="22" t="s">
        <v>34</v>
      </c>
      <c r="Q52" s="22" t="s">
        <v>34</v>
      </c>
      <c r="R52" s="22" t="s">
        <v>34</v>
      </c>
      <c r="S52" s="22" t="s">
        <v>34</v>
      </c>
      <c r="T52" s="32"/>
      <c r="U52" s="22" t="s">
        <v>34</v>
      </c>
      <c r="V52" s="22" t="s">
        <v>34</v>
      </c>
      <c r="W52" s="22" t="s">
        <v>34</v>
      </c>
      <c r="X52" s="22" t="s">
        <v>34</v>
      </c>
      <c r="Y52" s="22" t="s">
        <v>34</v>
      </c>
      <c r="Z52" s="35"/>
      <c r="AA52" s="32"/>
      <c r="AB52" s="35"/>
      <c r="AC52" s="35"/>
      <c r="AD52" s="35"/>
      <c r="AE52" s="35"/>
      <c r="AF52" s="35"/>
      <c r="AG52" s="35"/>
      <c r="AH52" s="32"/>
      <c r="AI52" s="35"/>
      <c r="AJ52" s="5">
        <f t="shared" si="1"/>
        <v>17</v>
      </c>
      <c r="AK52" s="5">
        <f t="shared" si="2"/>
        <v>0</v>
      </c>
    </row>
    <row r="53" spans="1:37" ht="16.5" x14ac:dyDescent="0.25">
      <c r="A53" s="6">
        <v>25</v>
      </c>
      <c r="B53" s="14"/>
      <c r="C53" s="15" t="s">
        <v>86</v>
      </c>
      <c r="D53" s="16" t="s">
        <v>87</v>
      </c>
      <c r="E53" s="10" t="s">
        <v>20</v>
      </c>
      <c r="F53" s="32"/>
      <c r="G53" s="22" t="s">
        <v>34</v>
      </c>
      <c r="H53" s="22" t="s">
        <v>34</v>
      </c>
      <c r="I53" s="22" t="s">
        <v>34</v>
      </c>
      <c r="J53" s="22" t="s">
        <v>34</v>
      </c>
      <c r="K53" s="22" t="s">
        <v>34</v>
      </c>
      <c r="L53" s="22" t="s">
        <v>34</v>
      </c>
      <c r="M53" s="32"/>
      <c r="N53" s="22" t="s">
        <v>34</v>
      </c>
      <c r="O53" s="22" t="s">
        <v>34</v>
      </c>
      <c r="P53" s="22" t="s">
        <v>34</v>
      </c>
      <c r="Q53" s="22" t="s">
        <v>34</v>
      </c>
      <c r="R53" s="22" t="s">
        <v>34</v>
      </c>
      <c r="S53" s="22" t="s">
        <v>34</v>
      </c>
      <c r="T53" s="32"/>
      <c r="U53" s="22" t="s">
        <v>34</v>
      </c>
      <c r="V53" s="22" t="s">
        <v>34</v>
      </c>
      <c r="W53" s="22" t="s">
        <v>34</v>
      </c>
      <c r="X53" s="22" t="s">
        <v>34</v>
      </c>
      <c r="Y53" s="22" t="s">
        <v>34</v>
      </c>
      <c r="Z53" s="35"/>
      <c r="AA53" s="32"/>
      <c r="AB53" s="35"/>
      <c r="AC53" s="35"/>
      <c r="AD53" s="35"/>
      <c r="AE53" s="35"/>
      <c r="AF53" s="35"/>
      <c r="AG53" s="35"/>
      <c r="AH53" s="32"/>
      <c r="AI53" s="35"/>
      <c r="AJ53" s="5">
        <f t="shared" si="1"/>
        <v>17</v>
      </c>
      <c r="AK53" s="5">
        <f t="shared" si="2"/>
        <v>0</v>
      </c>
    </row>
    <row r="54" spans="1:37" ht="16.5" x14ac:dyDescent="0.25">
      <c r="A54" s="12">
        <v>26</v>
      </c>
      <c r="B54" s="14"/>
      <c r="C54" s="15" t="s">
        <v>88</v>
      </c>
      <c r="D54" s="16" t="s">
        <v>87</v>
      </c>
      <c r="E54" s="10" t="s">
        <v>20</v>
      </c>
      <c r="F54" s="32"/>
      <c r="G54" s="22" t="s">
        <v>34</v>
      </c>
      <c r="H54" s="22" t="s">
        <v>34</v>
      </c>
      <c r="I54" s="22" t="s">
        <v>34</v>
      </c>
      <c r="J54" s="22" t="s">
        <v>34</v>
      </c>
      <c r="K54" s="22" t="s">
        <v>34</v>
      </c>
      <c r="L54" s="22" t="s">
        <v>34</v>
      </c>
      <c r="M54" s="32"/>
      <c r="N54" s="22" t="s">
        <v>34</v>
      </c>
      <c r="O54" s="22" t="s">
        <v>34</v>
      </c>
      <c r="P54" s="22" t="s">
        <v>34</v>
      </c>
      <c r="Q54" s="22" t="s">
        <v>34</v>
      </c>
      <c r="R54" s="22" t="s">
        <v>34</v>
      </c>
      <c r="S54" s="22" t="s">
        <v>34</v>
      </c>
      <c r="T54" s="32"/>
      <c r="U54" s="22" t="s">
        <v>34</v>
      </c>
      <c r="V54" s="22" t="s">
        <v>34</v>
      </c>
      <c r="W54" s="22" t="s">
        <v>34</v>
      </c>
      <c r="X54" s="22" t="s">
        <v>34</v>
      </c>
      <c r="Y54" s="22" t="s">
        <v>34</v>
      </c>
      <c r="Z54" s="35"/>
      <c r="AA54" s="32"/>
      <c r="AB54" s="35"/>
      <c r="AC54" s="35"/>
      <c r="AD54" s="35"/>
      <c r="AE54" s="35"/>
      <c r="AF54" s="35"/>
      <c r="AG54" s="35"/>
      <c r="AH54" s="32"/>
      <c r="AI54" s="35"/>
      <c r="AJ54" s="5">
        <f t="shared" si="1"/>
        <v>17</v>
      </c>
      <c r="AK54" s="5">
        <f t="shared" si="2"/>
        <v>0</v>
      </c>
    </row>
    <row r="55" spans="1:37" ht="16.5" x14ac:dyDescent="0.25">
      <c r="A55" s="6">
        <v>27</v>
      </c>
      <c r="B55" s="14"/>
      <c r="C55" s="15" t="s">
        <v>123</v>
      </c>
      <c r="D55" s="16" t="s">
        <v>124</v>
      </c>
      <c r="E55" s="10" t="s">
        <v>20</v>
      </c>
      <c r="F55" s="32"/>
      <c r="G55" s="22" t="s">
        <v>34</v>
      </c>
      <c r="H55" s="22" t="s">
        <v>34</v>
      </c>
      <c r="I55" s="22" t="s">
        <v>34</v>
      </c>
      <c r="J55" s="22" t="s">
        <v>34</v>
      </c>
      <c r="K55" s="22" t="s">
        <v>34</v>
      </c>
      <c r="L55" s="22" t="s">
        <v>34</v>
      </c>
      <c r="M55" s="32"/>
      <c r="N55" s="22" t="s">
        <v>34</v>
      </c>
      <c r="O55" s="22" t="s">
        <v>34</v>
      </c>
      <c r="P55" s="22" t="s">
        <v>34</v>
      </c>
      <c r="Q55" s="22" t="s">
        <v>34</v>
      </c>
      <c r="R55" s="22" t="s">
        <v>34</v>
      </c>
      <c r="S55" s="22" t="s">
        <v>34</v>
      </c>
      <c r="T55" s="32"/>
      <c r="U55" s="22" t="s">
        <v>34</v>
      </c>
      <c r="V55" s="22" t="s">
        <v>34</v>
      </c>
      <c r="W55" s="22" t="s">
        <v>34</v>
      </c>
      <c r="X55" s="22" t="s">
        <v>34</v>
      </c>
      <c r="Y55" s="22" t="s">
        <v>34</v>
      </c>
      <c r="Z55" s="35"/>
      <c r="AA55" s="32"/>
      <c r="AB55" s="35"/>
      <c r="AC55" s="35"/>
      <c r="AD55" s="35"/>
      <c r="AE55" s="35"/>
      <c r="AF55" s="35"/>
      <c r="AG55" s="35"/>
      <c r="AH55" s="32"/>
      <c r="AI55" s="35"/>
      <c r="AJ55" s="5">
        <f t="shared" si="1"/>
        <v>17</v>
      </c>
      <c r="AK55" s="5">
        <f t="shared" si="2"/>
        <v>0</v>
      </c>
    </row>
    <row r="56" spans="1:37" ht="16.5" x14ac:dyDescent="0.25">
      <c r="A56" s="12">
        <v>28</v>
      </c>
      <c r="B56" s="14"/>
      <c r="C56" s="15" t="s">
        <v>140</v>
      </c>
      <c r="D56" s="16"/>
      <c r="E56" s="10" t="s">
        <v>20</v>
      </c>
      <c r="F56" s="33"/>
      <c r="G56" s="22" t="s">
        <v>34</v>
      </c>
      <c r="H56" s="22" t="s">
        <v>34</v>
      </c>
      <c r="I56" s="22" t="s">
        <v>34</v>
      </c>
      <c r="J56" s="22" t="s">
        <v>34</v>
      </c>
      <c r="K56" s="22" t="s">
        <v>34</v>
      </c>
      <c r="L56" s="22" t="s">
        <v>34</v>
      </c>
      <c r="M56" s="33"/>
      <c r="N56" s="22" t="s">
        <v>34</v>
      </c>
      <c r="O56" s="22" t="s">
        <v>34</v>
      </c>
      <c r="P56" s="22" t="s">
        <v>34</v>
      </c>
      <c r="Q56" s="22" t="s">
        <v>34</v>
      </c>
      <c r="R56" s="22" t="s">
        <v>34</v>
      </c>
      <c r="S56" s="22" t="s">
        <v>34</v>
      </c>
      <c r="T56" s="33"/>
      <c r="U56" s="22" t="s">
        <v>34</v>
      </c>
      <c r="V56" s="22" t="s">
        <v>34</v>
      </c>
      <c r="W56" s="22" t="s">
        <v>34</v>
      </c>
      <c r="X56" s="22" t="s">
        <v>34</v>
      </c>
      <c r="Y56" s="22" t="s">
        <v>34</v>
      </c>
      <c r="Z56" s="36"/>
      <c r="AA56" s="33"/>
      <c r="AB56" s="36"/>
      <c r="AC56" s="36"/>
      <c r="AD56" s="36"/>
      <c r="AE56" s="36"/>
      <c r="AF56" s="36"/>
      <c r="AG56" s="36"/>
      <c r="AH56" s="33"/>
      <c r="AI56" s="36"/>
      <c r="AJ56" s="5">
        <f t="shared" si="1"/>
        <v>17</v>
      </c>
      <c r="AK56" s="5">
        <f t="shared" si="2"/>
        <v>0</v>
      </c>
    </row>
  </sheetData>
  <mergeCells count="25">
    <mergeCell ref="AD5:AD56"/>
    <mergeCell ref="AE5:AE56"/>
    <mergeCell ref="AF5:AF56"/>
    <mergeCell ref="AG5:AG56"/>
    <mergeCell ref="AJ3:AJ4"/>
    <mergeCell ref="AK3:AK4"/>
    <mergeCell ref="AL3:AM3"/>
    <mergeCell ref="AL8:AO8"/>
    <mergeCell ref="AL16:AO16"/>
    <mergeCell ref="AI5:AI56"/>
    <mergeCell ref="A1:AI1"/>
    <mergeCell ref="A2:AI2"/>
    <mergeCell ref="A3:A4"/>
    <mergeCell ref="B3:B4"/>
    <mergeCell ref="C3:C4"/>
    <mergeCell ref="D3:D4"/>
    <mergeCell ref="E3:E4"/>
    <mergeCell ref="F5:F56"/>
    <mergeCell ref="M5:M56"/>
    <mergeCell ref="T5:T56"/>
    <mergeCell ref="AA5:AA56"/>
    <mergeCell ref="AH5:AH56"/>
    <mergeCell ref="Z5:Z56"/>
    <mergeCell ref="AB5:AB56"/>
    <mergeCell ref="AC5:AC56"/>
  </mergeCells>
  <conditionalFormatting sqref="B5:B28">
    <cfRule type="duplicateValues" dxfId="35" priority="20"/>
  </conditionalFormatting>
  <conditionalFormatting sqref="B29:B56">
    <cfRule type="duplicateValues" dxfId="34" priority="7"/>
  </conditionalFormatting>
  <conditionalFormatting sqref="F5:G5 M5 T5 Z5:AI5 H5:L56 N5:S56 U5:Y56 G6:G56 F4:AI4">
    <cfRule type="expression" dxfId="33" priority="17">
      <formula>IF(F$4=TODAY(),TRUE,FALSE)</formula>
    </cfRule>
  </conditionalFormatting>
  <conditionalFormatting sqref="F5:G5 M5 T5 Z5:AI5 H5:L56 N5:S56 U5:Y56 G6:G56">
    <cfRule type="cellIs" dxfId="32" priority="14" operator="equal">
      <formula>"L"</formula>
    </cfRule>
    <cfRule type="cellIs" dxfId="31" priority="15" operator="equal">
      <formula>"A"</formula>
    </cfRule>
    <cfRule type="cellIs" dxfId="30" priority="16" operator="equal">
      <formula>"P"</formula>
    </cfRule>
  </conditionalFormatting>
  <conditionalFormatting sqref="F3:AI4 F5:G5 M5 T5 Z5:AI5 H5:L56 N5:S56 U5:Y56 G6:G56">
    <cfRule type="expression" dxfId="29" priority="18">
      <formula>F$3="Sun"</formula>
    </cfRule>
  </conditionalFormatting>
  <conditionalFormatting sqref="AJ3:AK3 AJ5:AK28">
    <cfRule type="expression" dxfId="28" priority="19">
      <formula>#REF!="Sun"</formula>
    </cfRule>
  </conditionalFormatting>
  <conditionalFormatting sqref="AJ29:AK56">
    <cfRule type="expression" dxfId="27" priority="6">
      <formula>#REF!="Sun"</formula>
    </cfRule>
  </conditionalFormatting>
  <conditionalFormatting sqref="AL5:AL6">
    <cfRule type="expression" dxfId="26" priority="12">
      <formula>#REF!="Sun"</formula>
    </cfRule>
  </conditionalFormatting>
  <conditionalFormatting sqref="AL9:AL12">
    <cfRule type="expression" dxfId="25" priority="10">
      <formula>#REF!="Sun"</formula>
    </cfRule>
  </conditionalFormatting>
  <conditionalFormatting sqref="AL17:AL20">
    <cfRule type="expression" dxfId="24" priority="9">
      <formula>#REF!="Sun"</formula>
    </cfRule>
  </conditionalFormatting>
  <conditionalFormatting sqref="AL4:AM4">
    <cfRule type="expression" dxfId="23" priority="13">
      <formula>#REF!="Sun"</formula>
    </cfRule>
  </conditionalFormatting>
  <conditionalFormatting sqref="AM9:AO9">
    <cfRule type="expression" dxfId="22" priority="11">
      <formula>#REF!="Sun"</formula>
    </cfRule>
  </conditionalFormatting>
  <conditionalFormatting sqref="AM17:AO17">
    <cfRule type="expression" dxfId="21" priority="8">
      <formula>#REF!="Sun"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4BAC-DE0C-4DB3-861E-D628468B81A6}">
  <sheetPr>
    <tabColor rgb="FFC00000"/>
  </sheetPr>
  <dimension ref="A1:AP56"/>
  <sheetViews>
    <sheetView tabSelected="1" topLeftCell="F7" workbookViewId="0">
      <selection activeCell="AO14" sqref="AO1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6" t="s">
        <v>23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42" ht="17.25" x14ac:dyDescent="0.3">
      <c r="A2" s="25" t="s">
        <v>142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42" ht="15.75" x14ac:dyDescent="0.25">
      <c r="A3" s="23" t="s">
        <v>0</v>
      </c>
      <c r="B3" s="23" t="s">
        <v>1</v>
      </c>
      <c r="C3" s="23" t="s">
        <v>2</v>
      </c>
      <c r="D3" s="23" t="s">
        <v>3</v>
      </c>
      <c r="E3" s="23" t="s">
        <v>4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30" t="s">
        <v>5</v>
      </c>
      <c r="AL3" s="30" t="s">
        <v>6</v>
      </c>
      <c r="AM3" s="27" t="s">
        <v>21</v>
      </c>
      <c r="AN3" s="28"/>
      <c r="AO3" s="3"/>
      <c r="AP3" s="3"/>
    </row>
    <row r="4" spans="1:42" ht="33.75" x14ac:dyDescent="0.25">
      <c r="A4" s="24"/>
      <c r="B4" s="24"/>
      <c r="C4" s="24"/>
      <c r="D4" s="24"/>
      <c r="E4" s="24"/>
      <c r="F4" s="21">
        <v>45658</v>
      </c>
      <c r="G4" s="21">
        <v>45659</v>
      </c>
      <c r="H4" s="21">
        <v>45660</v>
      </c>
      <c r="I4" s="21">
        <v>45661</v>
      </c>
      <c r="J4" s="21">
        <v>45662</v>
      </c>
      <c r="K4" s="21">
        <v>45663</v>
      </c>
      <c r="L4" s="21">
        <v>45664</v>
      </c>
      <c r="M4" s="21">
        <v>45665</v>
      </c>
      <c r="N4" s="21">
        <v>45666</v>
      </c>
      <c r="O4" s="21">
        <v>45667</v>
      </c>
      <c r="P4" s="21">
        <v>45668</v>
      </c>
      <c r="Q4" s="21">
        <v>45669</v>
      </c>
      <c r="R4" s="21">
        <v>45670</v>
      </c>
      <c r="S4" s="21">
        <v>45671</v>
      </c>
      <c r="T4" s="21">
        <v>45672</v>
      </c>
      <c r="U4" s="21">
        <v>45673</v>
      </c>
      <c r="V4" s="21">
        <v>45674</v>
      </c>
      <c r="W4" s="21">
        <v>45675</v>
      </c>
      <c r="X4" s="21">
        <v>45676</v>
      </c>
      <c r="Y4" s="21">
        <v>45677</v>
      </c>
      <c r="Z4" s="21">
        <v>45678</v>
      </c>
      <c r="AA4" s="21">
        <v>45679</v>
      </c>
      <c r="AB4" s="21">
        <v>45680</v>
      </c>
      <c r="AC4" s="21">
        <v>45681</v>
      </c>
      <c r="AD4" s="21">
        <v>45682</v>
      </c>
      <c r="AE4" s="21">
        <v>45683</v>
      </c>
      <c r="AF4" s="21">
        <v>45684</v>
      </c>
      <c r="AG4" s="21">
        <v>45685</v>
      </c>
      <c r="AH4" s="21">
        <v>45686</v>
      </c>
      <c r="AI4" s="21">
        <v>45687</v>
      </c>
      <c r="AJ4" s="21">
        <v>45688</v>
      </c>
      <c r="AK4" s="30"/>
      <c r="AL4" s="30"/>
      <c r="AM4" s="5" t="s">
        <v>146</v>
      </c>
      <c r="AN4" s="5">
        <f>SUM(AN5:AN8)</f>
        <v>31</v>
      </c>
      <c r="AO4" s="3"/>
      <c r="AP4" s="3"/>
    </row>
    <row r="5" spans="1:42" ht="15" customHeight="1" x14ac:dyDescent="0.25">
      <c r="A5" s="12">
        <v>1</v>
      </c>
      <c r="B5" s="14">
        <v>646</v>
      </c>
      <c r="C5" s="15" t="s">
        <v>55</v>
      </c>
      <c r="D5" s="16" t="s">
        <v>43</v>
      </c>
      <c r="E5" s="10" t="s">
        <v>20</v>
      </c>
      <c r="F5" s="22" t="s">
        <v>33</v>
      </c>
      <c r="G5" s="22" t="s">
        <v>34</v>
      </c>
      <c r="H5" s="22" t="s">
        <v>33</v>
      </c>
      <c r="I5" s="22" t="s">
        <v>34</v>
      </c>
      <c r="J5" s="31" t="s">
        <v>131</v>
      </c>
      <c r="K5" s="22" t="s">
        <v>34</v>
      </c>
      <c r="L5" s="22" t="s">
        <v>34</v>
      </c>
      <c r="M5" s="22" t="s">
        <v>34</v>
      </c>
      <c r="N5" s="22" t="s">
        <v>34</v>
      </c>
      <c r="O5" s="22" t="s">
        <v>34</v>
      </c>
      <c r="P5" s="22" t="s">
        <v>34</v>
      </c>
      <c r="Q5" s="31" t="s">
        <v>131</v>
      </c>
      <c r="R5" s="22" t="s">
        <v>34</v>
      </c>
      <c r="S5" s="22" t="s">
        <v>34</v>
      </c>
      <c r="T5" s="22" t="s">
        <v>34</v>
      </c>
      <c r="U5" s="22" t="s">
        <v>34</v>
      </c>
      <c r="V5" s="22" t="s">
        <v>34</v>
      </c>
      <c r="W5" s="22" t="s">
        <v>34</v>
      </c>
      <c r="X5" s="31" t="s">
        <v>131</v>
      </c>
      <c r="Y5" s="22" t="s">
        <v>34</v>
      </c>
      <c r="Z5" s="22" t="s">
        <v>34</v>
      </c>
      <c r="AA5" s="22" t="s">
        <v>34</v>
      </c>
      <c r="AB5" s="22" t="s">
        <v>34</v>
      </c>
      <c r="AC5" s="22" t="s">
        <v>34</v>
      </c>
      <c r="AD5" s="22" t="s">
        <v>34</v>
      </c>
      <c r="AE5" s="31" t="s">
        <v>131</v>
      </c>
      <c r="AF5" s="22" t="s">
        <v>34</v>
      </c>
      <c r="AG5" s="34" t="s">
        <v>145</v>
      </c>
      <c r="AH5" s="22" t="s">
        <v>34</v>
      </c>
      <c r="AI5" s="22" t="s">
        <v>34</v>
      </c>
      <c r="AJ5" s="22" t="s">
        <v>34</v>
      </c>
      <c r="AK5" s="5">
        <f t="shared" ref="AK5:AK56" si="1">COUNTIF(F5:AJ5,"P")</f>
        <v>24</v>
      </c>
      <c r="AL5" s="5">
        <f t="shared" ref="AL5:AL56" si="2">COUNTIF(F5:AJ5,"A")</f>
        <v>2</v>
      </c>
      <c r="AM5" s="5" t="s">
        <v>8</v>
      </c>
      <c r="AN5" s="12">
        <v>26</v>
      </c>
      <c r="AO5" s="13"/>
      <c r="AP5" s="3"/>
    </row>
    <row r="6" spans="1:42" ht="16.5" x14ac:dyDescent="0.25">
      <c r="A6" s="6">
        <v>2</v>
      </c>
      <c r="B6" s="14">
        <v>690</v>
      </c>
      <c r="C6" s="15" t="s">
        <v>56</v>
      </c>
      <c r="D6" s="16" t="s">
        <v>57</v>
      </c>
      <c r="E6" s="10" t="s">
        <v>20</v>
      </c>
      <c r="F6" s="22" t="s">
        <v>33</v>
      </c>
      <c r="G6" s="22" t="s">
        <v>34</v>
      </c>
      <c r="H6" s="22" t="s">
        <v>34</v>
      </c>
      <c r="I6" s="22" t="s">
        <v>33</v>
      </c>
      <c r="J6" s="32"/>
      <c r="K6" s="22" t="s">
        <v>34</v>
      </c>
      <c r="L6" s="22" t="s">
        <v>34</v>
      </c>
      <c r="M6" s="22" t="s">
        <v>34</v>
      </c>
      <c r="N6" s="22" t="s">
        <v>34</v>
      </c>
      <c r="O6" s="22" t="s">
        <v>34</v>
      </c>
      <c r="P6" s="22" t="s">
        <v>33</v>
      </c>
      <c r="Q6" s="32"/>
      <c r="R6" s="22" t="s">
        <v>34</v>
      </c>
      <c r="S6" s="22" t="s">
        <v>34</v>
      </c>
      <c r="T6" s="22" t="s">
        <v>34</v>
      </c>
      <c r="U6" s="22" t="s">
        <v>34</v>
      </c>
      <c r="V6" s="22" t="s">
        <v>34</v>
      </c>
      <c r="W6" s="22" t="s">
        <v>34</v>
      </c>
      <c r="X6" s="32"/>
      <c r="Y6" s="22" t="s">
        <v>34</v>
      </c>
      <c r="Z6" s="22" t="s">
        <v>34</v>
      </c>
      <c r="AA6" s="22" t="s">
        <v>34</v>
      </c>
      <c r="AB6" s="22" t="s">
        <v>34</v>
      </c>
      <c r="AC6" s="22" t="s">
        <v>34</v>
      </c>
      <c r="AD6" s="22" t="s">
        <v>34</v>
      </c>
      <c r="AE6" s="32"/>
      <c r="AF6" s="22" t="s">
        <v>34</v>
      </c>
      <c r="AG6" s="35"/>
      <c r="AH6" s="22" t="s">
        <v>34</v>
      </c>
      <c r="AI6" s="22" t="s">
        <v>34</v>
      </c>
      <c r="AJ6" s="22" t="s">
        <v>34</v>
      </c>
      <c r="AK6" s="5">
        <f t="shared" si="1"/>
        <v>23</v>
      </c>
      <c r="AL6" s="5">
        <f t="shared" si="2"/>
        <v>3</v>
      </c>
      <c r="AM6" s="5" t="s">
        <v>10</v>
      </c>
      <c r="AN6" s="12">
        <v>4</v>
      </c>
      <c r="AO6" s="3"/>
      <c r="AP6" s="3"/>
    </row>
    <row r="7" spans="1:42" ht="16.5" x14ac:dyDescent="0.25">
      <c r="A7" s="12">
        <v>3</v>
      </c>
      <c r="B7" s="14">
        <v>684</v>
      </c>
      <c r="C7" s="15" t="s">
        <v>58</v>
      </c>
      <c r="D7" s="16" t="s">
        <v>52</v>
      </c>
      <c r="E7" s="10" t="s">
        <v>20</v>
      </c>
      <c r="F7" s="22" t="s">
        <v>33</v>
      </c>
      <c r="G7" s="22" t="s">
        <v>34</v>
      </c>
      <c r="H7" s="22" t="s">
        <v>33</v>
      </c>
      <c r="I7" s="22" t="s">
        <v>34</v>
      </c>
      <c r="J7" s="32"/>
      <c r="K7" s="22" t="s">
        <v>34</v>
      </c>
      <c r="L7" s="22" t="s">
        <v>34</v>
      </c>
      <c r="M7" s="22" t="s">
        <v>34</v>
      </c>
      <c r="N7" s="22" t="s">
        <v>34</v>
      </c>
      <c r="O7" s="22" t="s">
        <v>34</v>
      </c>
      <c r="P7" s="22" t="s">
        <v>33</v>
      </c>
      <c r="Q7" s="32"/>
      <c r="R7" s="22" t="s">
        <v>33</v>
      </c>
      <c r="S7" s="22" t="s">
        <v>34</v>
      </c>
      <c r="T7" s="22" t="s">
        <v>34</v>
      </c>
      <c r="U7" s="22" t="s">
        <v>34</v>
      </c>
      <c r="V7" s="22" t="s">
        <v>34</v>
      </c>
      <c r="W7" s="22" t="s">
        <v>33</v>
      </c>
      <c r="X7" s="32"/>
      <c r="Y7" s="22" t="s">
        <v>34</v>
      </c>
      <c r="Z7" s="22" t="s">
        <v>34</v>
      </c>
      <c r="AA7" s="22" t="s">
        <v>34</v>
      </c>
      <c r="AB7" s="22" t="s">
        <v>34</v>
      </c>
      <c r="AC7" s="22" t="s">
        <v>34</v>
      </c>
      <c r="AD7" s="22" t="s">
        <v>33</v>
      </c>
      <c r="AE7" s="32"/>
      <c r="AF7" s="22" t="s">
        <v>34</v>
      </c>
      <c r="AG7" s="35"/>
      <c r="AH7" s="22" t="s">
        <v>34</v>
      </c>
      <c r="AI7" s="22" t="s">
        <v>34</v>
      </c>
      <c r="AJ7" s="22" t="s">
        <v>34</v>
      </c>
      <c r="AK7" s="5">
        <f t="shared" si="1"/>
        <v>20</v>
      </c>
      <c r="AL7" s="5">
        <f t="shared" si="2"/>
        <v>6</v>
      </c>
      <c r="AM7" s="5" t="s">
        <v>148</v>
      </c>
      <c r="AN7" s="12">
        <v>1</v>
      </c>
      <c r="AO7" s="3"/>
      <c r="AP7" s="3"/>
    </row>
    <row r="8" spans="1:42" ht="16.5" x14ac:dyDescent="0.25">
      <c r="A8" s="6">
        <v>4</v>
      </c>
      <c r="B8" s="14">
        <v>551</v>
      </c>
      <c r="C8" s="15" t="s">
        <v>46</v>
      </c>
      <c r="D8" s="16" t="s">
        <v>59</v>
      </c>
      <c r="E8" s="10" t="s">
        <v>20</v>
      </c>
      <c r="F8" s="22" t="s">
        <v>34</v>
      </c>
      <c r="G8" s="22" t="s">
        <v>34</v>
      </c>
      <c r="H8" s="22" t="s">
        <v>34</v>
      </c>
      <c r="I8" s="22" t="s">
        <v>33</v>
      </c>
      <c r="J8" s="32"/>
      <c r="K8" s="22" t="s">
        <v>34</v>
      </c>
      <c r="L8" s="22" t="s">
        <v>34</v>
      </c>
      <c r="M8" s="22" t="s">
        <v>34</v>
      </c>
      <c r="N8" s="22" t="s">
        <v>34</v>
      </c>
      <c r="O8" s="22" t="s">
        <v>35</v>
      </c>
      <c r="P8" s="22" t="s">
        <v>35</v>
      </c>
      <c r="Q8" s="32"/>
      <c r="R8" s="22" t="s">
        <v>35</v>
      </c>
      <c r="S8" s="22" t="s">
        <v>35</v>
      </c>
      <c r="T8" s="22" t="s">
        <v>34</v>
      </c>
      <c r="U8" s="22" t="s">
        <v>34</v>
      </c>
      <c r="V8" s="22" t="s">
        <v>34</v>
      </c>
      <c r="W8" s="22" t="s">
        <v>33</v>
      </c>
      <c r="X8" s="32"/>
      <c r="Y8" s="22" t="s">
        <v>34</v>
      </c>
      <c r="Z8" s="22" t="s">
        <v>34</v>
      </c>
      <c r="AA8" s="22" t="s">
        <v>34</v>
      </c>
      <c r="AB8" s="22" t="s">
        <v>34</v>
      </c>
      <c r="AC8" s="22" t="s">
        <v>34</v>
      </c>
      <c r="AD8" s="22" t="s">
        <v>34</v>
      </c>
      <c r="AE8" s="32"/>
      <c r="AF8" s="22" t="s">
        <v>34</v>
      </c>
      <c r="AG8" s="35"/>
      <c r="AH8" s="22" t="s">
        <v>34</v>
      </c>
      <c r="AI8" s="22" t="s">
        <v>34</v>
      </c>
      <c r="AJ8" s="22" t="s">
        <v>34</v>
      </c>
      <c r="AK8" s="5">
        <f t="shared" si="1"/>
        <v>20</v>
      </c>
      <c r="AL8" s="5">
        <f t="shared" si="2"/>
        <v>2</v>
      </c>
      <c r="AM8" s="5"/>
      <c r="AN8" s="12"/>
      <c r="AO8"/>
      <c r="AP8"/>
    </row>
    <row r="9" spans="1:42" ht="16.5" x14ac:dyDescent="0.25">
      <c r="A9" s="6">
        <v>5</v>
      </c>
      <c r="B9" s="7">
        <v>490</v>
      </c>
      <c r="C9" s="8" t="s">
        <v>53</v>
      </c>
      <c r="D9" s="9" t="s">
        <v>54</v>
      </c>
      <c r="E9" s="10" t="s">
        <v>20</v>
      </c>
      <c r="F9" s="22" t="s">
        <v>33</v>
      </c>
      <c r="G9" s="22" t="s">
        <v>33</v>
      </c>
      <c r="H9" s="22" t="s">
        <v>33</v>
      </c>
      <c r="I9" s="22" t="s">
        <v>33</v>
      </c>
      <c r="J9" s="32"/>
      <c r="K9" s="22" t="s">
        <v>34</v>
      </c>
      <c r="L9" s="22" t="s">
        <v>34</v>
      </c>
      <c r="M9" s="22" t="s">
        <v>33</v>
      </c>
      <c r="N9" s="22" t="s">
        <v>34</v>
      </c>
      <c r="O9" s="22" t="s">
        <v>34</v>
      </c>
      <c r="P9" s="22" t="s">
        <v>34</v>
      </c>
      <c r="Q9" s="32"/>
      <c r="R9" s="22" t="s">
        <v>34</v>
      </c>
      <c r="S9" s="22" t="s">
        <v>34</v>
      </c>
      <c r="T9" s="22" t="s">
        <v>34</v>
      </c>
      <c r="U9" s="22" t="s">
        <v>34</v>
      </c>
      <c r="V9" s="22" t="s">
        <v>34</v>
      </c>
      <c r="W9" s="22" t="s">
        <v>34</v>
      </c>
      <c r="X9" s="32"/>
      <c r="Y9" s="22" t="s">
        <v>34</v>
      </c>
      <c r="Z9" s="22" t="s">
        <v>34</v>
      </c>
      <c r="AA9" s="22" t="s">
        <v>34</v>
      </c>
      <c r="AB9" s="22" t="s">
        <v>34</v>
      </c>
      <c r="AC9" s="22" t="s">
        <v>34</v>
      </c>
      <c r="AD9" s="22" t="s">
        <v>34</v>
      </c>
      <c r="AE9" s="32"/>
      <c r="AF9" s="22" t="s">
        <v>34</v>
      </c>
      <c r="AG9" s="35"/>
      <c r="AH9" s="22" t="s">
        <v>34</v>
      </c>
      <c r="AI9" s="22" t="s">
        <v>34</v>
      </c>
      <c r="AJ9" s="22" t="s">
        <v>34</v>
      </c>
      <c r="AK9" s="5">
        <f t="shared" si="1"/>
        <v>21</v>
      </c>
      <c r="AL9" s="5">
        <f t="shared" si="2"/>
        <v>5</v>
      </c>
      <c r="AM9" s="5"/>
      <c r="AN9" s="12"/>
    </row>
    <row r="10" spans="1:42" ht="16.5" x14ac:dyDescent="0.25">
      <c r="A10" s="12">
        <v>6</v>
      </c>
      <c r="B10" s="14">
        <v>647</v>
      </c>
      <c r="C10" s="15" t="s">
        <v>60</v>
      </c>
      <c r="D10" s="16" t="s">
        <v>61</v>
      </c>
      <c r="E10" s="10" t="s">
        <v>20</v>
      </c>
      <c r="F10" s="22" t="s">
        <v>33</v>
      </c>
      <c r="G10" s="22" t="s">
        <v>34</v>
      </c>
      <c r="H10" s="22" t="s">
        <v>33</v>
      </c>
      <c r="I10" s="22" t="s">
        <v>34</v>
      </c>
      <c r="J10" s="32"/>
      <c r="K10" s="22" t="s">
        <v>34</v>
      </c>
      <c r="L10" s="22" t="s">
        <v>34</v>
      </c>
      <c r="M10" s="22" t="s">
        <v>34</v>
      </c>
      <c r="N10" s="22" t="s">
        <v>34</v>
      </c>
      <c r="O10" s="22" t="s">
        <v>34</v>
      </c>
      <c r="P10" s="22" t="s">
        <v>34</v>
      </c>
      <c r="Q10" s="32"/>
      <c r="R10" s="22" t="s">
        <v>34</v>
      </c>
      <c r="S10" s="22" t="s">
        <v>34</v>
      </c>
      <c r="T10" s="22" t="s">
        <v>34</v>
      </c>
      <c r="U10" s="22" t="s">
        <v>34</v>
      </c>
      <c r="V10" s="22" t="s">
        <v>34</v>
      </c>
      <c r="W10" s="22" t="s">
        <v>34</v>
      </c>
      <c r="X10" s="32"/>
      <c r="Y10" s="22" t="s">
        <v>34</v>
      </c>
      <c r="Z10" s="22" t="s">
        <v>34</v>
      </c>
      <c r="AA10" s="22" t="s">
        <v>34</v>
      </c>
      <c r="AB10" s="22" t="s">
        <v>34</v>
      </c>
      <c r="AC10" s="22" t="s">
        <v>33</v>
      </c>
      <c r="AD10" s="22" t="s">
        <v>35</v>
      </c>
      <c r="AE10" s="32"/>
      <c r="AF10" s="22" t="s">
        <v>34</v>
      </c>
      <c r="AG10" s="35"/>
      <c r="AH10" s="22" t="s">
        <v>34</v>
      </c>
      <c r="AI10" s="22" t="s">
        <v>34</v>
      </c>
      <c r="AJ10" s="22" t="s">
        <v>34</v>
      </c>
      <c r="AK10" s="5">
        <f t="shared" si="1"/>
        <v>22</v>
      </c>
      <c r="AL10" s="5">
        <f t="shared" si="2"/>
        <v>3</v>
      </c>
    </row>
    <row r="11" spans="1:42" ht="16.5" x14ac:dyDescent="0.25">
      <c r="A11" s="6">
        <v>7</v>
      </c>
      <c r="B11" s="14"/>
      <c r="C11" s="15" t="s">
        <v>123</v>
      </c>
      <c r="D11" s="16" t="s">
        <v>124</v>
      </c>
      <c r="E11" s="10" t="s">
        <v>20</v>
      </c>
      <c r="F11" s="22" t="s">
        <v>33</v>
      </c>
      <c r="G11" s="22" t="s">
        <v>33</v>
      </c>
      <c r="H11" s="22" t="s">
        <v>33</v>
      </c>
      <c r="I11" s="22" t="s">
        <v>33</v>
      </c>
      <c r="J11" s="32"/>
      <c r="K11" s="22" t="s">
        <v>33</v>
      </c>
      <c r="L11" s="22" t="s">
        <v>34</v>
      </c>
      <c r="M11" s="22" t="s">
        <v>34</v>
      </c>
      <c r="N11" s="22" t="s">
        <v>34</v>
      </c>
      <c r="O11" s="22" t="s">
        <v>34</v>
      </c>
      <c r="P11" s="22" t="s">
        <v>34</v>
      </c>
      <c r="Q11" s="32"/>
      <c r="R11" s="22" t="s">
        <v>34</v>
      </c>
      <c r="S11" s="22" t="s">
        <v>34</v>
      </c>
      <c r="T11" s="22" t="s">
        <v>34</v>
      </c>
      <c r="U11" s="22" t="s">
        <v>34</v>
      </c>
      <c r="V11" s="22" t="s">
        <v>34</v>
      </c>
      <c r="W11" s="22" t="s">
        <v>34</v>
      </c>
      <c r="X11" s="32"/>
      <c r="Y11" s="22" t="s">
        <v>34</v>
      </c>
      <c r="Z11" s="22" t="s">
        <v>34</v>
      </c>
      <c r="AA11" s="22" t="s">
        <v>34</v>
      </c>
      <c r="AB11" s="22" t="s">
        <v>34</v>
      </c>
      <c r="AC11" s="22" t="s">
        <v>34</v>
      </c>
      <c r="AD11" s="22" t="s">
        <v>34</v>
      </c>
      <c r="AE11" s="32"/>
      <c r="AF11" s="22" t="s">
        <v>34</v>
      </c>
      <c r="AG11" s="35"/>
      <c r="AH11" s="22" t="s">
        <v>34</v>
      </c>
      <c r="AI11" s="22" t="s">
        <v>34</v>
      </c>
      <c r="AJ11" s="22" t="s">
        <v>34</v>
      </c>
      <c r="AK11" s="5">
        <f t="shared" si="1"/>
        <v>21</v>
      </c>
      <c r="AL11" s="5">
        <f t="shared" si="2"/>
        <v>5</v>
      </c>
      <c r="AM11" s="27" t="s">
        <v>11</v>
      </c>
      <c r="AN11" s="28"/>
      <c r="AO11" s="28"/>
      <c r="AP11" s="29"/>
    </row>
    <row r="12" spans="1:42" ht="16.5" x14ac:dyDescent="0.25">
      <c r="A12" s="12">
        <v>8</v>
      </c>
      <c r="B12" s="14">
        <v>585</v>
      </c>
      <c r="C12" s="15" t="s">
        <v>62</v>
      </c>
      <c r="D12" s="16" t="s">
        <v>25</v>
      </c>
      <c r="E12" s="10" t="s">
        <v>20</v>
      </c>
      <c r="F12" s="22" t="s">
        <v>33</v>
      </c>
      <c r="G12" s="22" t="s">
        <v>34</v>
      </c>
      <c r="H12" s="22" t="s">
        <v>34</v>
      </c>
      <c r="I12" s="22" t="s">
        <v>34</v>
      </c>
      <c r="J12" s="32"/>
      <c r="K12" s="22" t="s">
        <v>34</v>
      </c>
      <c r="L12" s="22" t="s">
        <v>33</v>
      </c>
      <c r="M12" s="22" t="s">
        <v>34</v>
      </c>
      <c r="N12" s="22" t="s">
        <v>34</v>
      </c>
      <c r="O12" s="22" t="s">
        <v>34</v>
      </c>
      <c r="P12" s="22" t="s">
        <v>34</v>
      </c>
      <c r="Q12" s="32"/>
      <c r="R12" s="22" t="s">
        <v>34</v>
      </c>
      <c r="S12" s="22" t="s">
        <v>34</v>
      </c>
      <c r="T12" s="22" t="s">
        <v>34</v>
      </c>
      <c r="U12" s="22" t="s">
        <v>33</v>
      </c>
      <c r="V12" s="22" t="s">
        <v>34</v>
      </c>
      <c r="W12" s="22" t="s">
        <v>33</v>
      </c>
      <c r="X12" s="32"/>
      <c r="Y12" s="22" t="s">
        <v>34</v>
      </c>
      <c r="Z12" s="22" t="s">
        <v>34</v>
      </c>
      <c r="AA12" s="22" t="s">
        <v>34</v>
      </c>
      <c r="AB12" s="22" t="s">
        <v>33</v>
      </c>
      <c r="AC12" s="22" t="s">
        <v>34</v>
      </c>
      <c r="AD12" s="22" t="s">
        <v>34</v>
      </c>
      <c r="AE12" s="32"/>
      <c r="AF12" s="22" t="s">
        <v>33</v>
      </c>
      <c r="AG12" s="35"/>
      <c r="AH12" s="22" t="s">
        <v>34</v>
      </c>
      <c r="AI12" s="22" t="s">
        <v>34</v>
      </c>
      <c r="AJ12" s="22" t="s">
        <v>34</v>
      </c>
      <c r="AK12" s="5">
        <f t="shared" si="1"/>
        <v>20</v>
      </c>
      <c r="AL12" s="5">
        <f t="shared" si="2"/>
        <v>6</v>
      </c>
      <c r="AM12" s="5" t="s">
        <v>12</v>
      </c>
      <c r="AN12" s="5" t="s">
        <v>13</v>
      </c>
      <c r="AO12" s="5" t="s">
        <v>14</v>
      </c>
      <c r="AP12" s="5" t="s">
        <v>15</v>
      </c>
    </row>
    <row r="13" spans="1:42" ht="16.5" x14ac:dyDescent="0.25">
      <c r="A13" s="6">
        <v>9</v>
      </c>
      <c r="B13" s="14">
        <v>555</v>
      </c>
      <c r="C13" s="15" t="s">
        <v>26</v>
      </c>
      <c r="D13" s="16" t="s">
        <v>44</v>
      </c>
      <c r="E13" s="10" t="s">
        <v>20</v>
      </c>
      <c r="F13" s="22" t="s">
        <v>33</v>
      </c>
      <c r="G13" s="22" t="s">
        <v>33</v>
      </c>
      <c r="H13" s="22" t="s">
        <v>33</v>
      </c>
      <c r="I13" s="22" t="s">
        <v>33</v>
      </c>
      <c r="J13" s="32"/>
      <c r="K13" s="22" t="s">
        <v>34</v>
      </c>
      <c r="L13" s="22" t="s">
        <v>34</v>
      </c>
      <c r="M13" s="22" t="s">
        <v>34</v>
      </c>
      <c r="N13" s="22" t="s">
        <v>34</v>
      </c>
      <c r="O13" s="22" t="s">
        <v>33</v>
      </c>
      <c r="P13" s="22" t="s">
        <v>33</v>
      </c>
      <c r="Q13" s="32"/>
      <c r="R13" s="22" t="s">
        <v>34</v>
      </c>
      <c r="S13" s="22" t="s">
        <v>33</v>
      </c>
      <c r="T13" s="22" t="s">
        <v>33</v>
      </c>
      <c r="U13" s="22" t="s">
        <v>34</v>
      </c>
      <c r="V13" s="22" t="s">
        <v>34</v>
      </c>
      <c r="W13" s="22" t="s">
        <v>34</v>
      </c>
      <c r="X13" s="32"/>
      <c r="Y13" s="22" t="s">
        <v>34</v>
      </c>
      <c r="Z13" s="22" t="s">
        <v>34</v>
      </c>
      <c r="AA13" s="22" t="s">
        <v>33</v>
      </c>
      <c r="AB13" s="22" t="s">
        <v>34</v>
      </c>
      <c r="AC13" s="22" t="s">
        <v>34</v>
      </c>
      <c r="AD13" s="22" t="s">
        <v>33</v>
      </c>
      <c r="AE13" s="32"/>
      <c r="AF13" s="22" t="s">
        <v>33</v>
      </c>
      <c r="AG13" s="35"/>
      <c r="AH13" s="22" t="s">
        <v>34</v>
      </c>
      <c r="AI13" s="22" t="s">
        <v>34</v>
      </c>
      <c r="AJ13" s="22" t="s">
        <v>33</v>
      </c>
      <c r="AK13" s="5">
        <f t="shared" si="1"/>
        <v>14</v>
      </c>
      <c r="AL13" s="5">
        <f t="shared" si="2"/>
        <v>12</v>
      </c>
      <c r="AM13" s="5" t="s">
        <v>16</v>
      </c>
      <c r="AN13" s="12">
        <f>28*$AN$5</f>
        <v>728</v>
      </c>
      <c r="AO13" s="12">
        <f>24*$AN$5</f>
        <v>624</v>
      </c>
      <c r="AP13" s="12">
        <f>SUM(AN13:AO13)</f>
        <v>1352</v>
      </c>
    </row>
    <row r="14" spans="1:42" ht="16.5" x14ac:dyDescent="0.25">
      <c r="A14" s="12">
        <v>10</v>
      </c>
      <c r="B14" s="18">
        <v>691</v>
      </c>
      <c r="C14" s="15" t="s">
        <v>64</v>
      </c>
      <c r="D14" s="16" t="s">
        <v>65</v>
      </c>
      <c r="E14" s="10" t="s">
        <v>20</v>
      </c>
      <c r="F14" s="22" t="s">
        <v>33</v>
      </c>
      <c r="G14" s="22" t="s">
        <v>34</v>
      </c>
      <c r="H14" s="22" t="s">
        <v>33</v>
      </c>
      <c r="I14" s="22" t="s">
        <v>34</v>
      </c>
      <c r="J14" s="32"/>
      <c r="K14" s="22" t="s">
        <v>33</v>
      </c>
      <c r="L14" s="22" t="s">
        <v>34</v>
      </c>
      <c r="M14" s="22" t="s">
        <v>34</v>
      </c>
      <c r="N14" s="22" t="s">
        <v>33</v>
      </c>
      <c r="O14" s="22" t="s">
        <v>34</v>
      </c>
      <c r="P14" s="22" t="s">
        <v>34</v>
      </c>
      <c r="Q14" s="32"/>
      <c r="R14" s="22" t="s">
        <v>33</v>
      </c>
      <c r="S14" s="22" t="s">
        <v>34</v>
      </c>
      <c r="T14" s="22" t="s">
        <v>34</v>
      </c>
      <c r="U14" s="22" t="s">
        <v>33</v>
      </c>
      <c r="V14" s="22" t="s">
        <v>34</v>
      </c>
      <c r="W14" s="22" t="s">
        <v>34</v>
      </c>
      <c r="X14" s="32"/>
      <c r="Y14" s="22" t="s">
        <v>33</v>
      </c>
      <c r="Z14" s="22" t="s">
        <v>34</v>
      </c>
      <c r="AA14" s="22" t="s">
        <v>34</v>
      </c>
      <c r="AB14" s="22" t="s">
        <v>33</v>
      </c>
      <c r="AC14" s="22" t="s">
        <v>34</v>
      </c>
      <c r="AD14" s="22" t="s">
        <v>33</v>
      </c>
      <c r="AE14" s="32"/>
      <c r="AF14" s="22" t="s">
        <v>33</v>
      </c>
      <c r="AG14" s="35"/>
      <c r="AH14" s="22" t="s">
        <v>34</v>
      </c>
      <c r="AI14" s="22" t="s">
        <v>33</v>
      </c>
      <c r="AJ14" s="22" t="s">
        <v>34</v>
      </c>
      <c r="AK14" s="5">
        <f t="shared" si="1"/>
        <v>15</v>
      </c>
      <c r="AL14" s="5">
        <f t="shared" si="2"/>
        <v>11</v>
      </c>
      <c r="AM14" s="5" t="s">
        <v>17</v>
      </c>
      <c r="AN14" s="12">
        <f>SUM(AK5:AK32)</f>
        <v>504</v>
      </c>
      <c r="AO14" s="12">
        <f>SUM(AK33:AK56)</f>
        <v>482</v>
      </c>
      <c r="AP14" s="12">
        <f>AN14+AO14</f>
        <v>986</v>
      </c>
    </row>
    <row r="15" spans="1:42" ht="16.5" x14ac:dyDescent="0.25">
      <c r="A15" s="6">
        <v>11</v>
      </c>
      <c r="B15" s="14"/>
      <c r="C15" s="15" t="s">
        <v>140</v>
      </c>
      <c r="D15" s="16"/>
      <c r="E15" s="10" t="s">
        <v>20</v>
      </c>
      <c r="F15" s="22" t="s">
        <v>33</v>
      </c>
      <c r="G15" s="22" t="s">
        <v>34</v>
      </c>
      <c r="H15" s="22" t="s">
        <v>34</v>
      </c>
      <c r="I15" s="22" t="s">
        <v>33</v>
      </c>
      <c r="J15" s="32"/>
      <c r="K15" s="22" t="s">
        <v>34</v>
      </c>
      <c r="L15" s="22" t="s">
        <v>34</v>
      </c>
      <c r="M15" s="22" t="s">
        <v>34</v>
      </c>
      <c r="N15" s="22" t="s">
        <v>34</v>
      </c>
      <c r="O15" s="22" t="s">
        <v>34</v>
      </c>
      <c r="P15" s="22" t="s">
        <v>34</v>
      </c>
      <c r="Q15" s="32"/>
      <c r="R15" s="22" t="s">
        <v>34</v>
      </c>
      <c r="S15" s="22" t="s">
        <v>34</v>
      </c>
      <c r="T15" s="22" t="s">
        <v>34</v>
      </c>
      <c r="U15" s="22" t="s">
        <v>33</v>
      </c>
      <c r="V15" s="22" t="s">
        <v>34</v>
      </c>
      <c r="W15" s="22" t="s">
        <v>34</v>
      </c>
      <c r="X15" s="32"/>
      <c r="Y15" s="22" t="s">
        <v>34</v>
      </c>
      <c r="Z15" s="22" t="s">
        <v>34</v>
      </c>
      <c r="AA15" s="22" t="s">
        <v>34</v>
      </c>
      <c r="AB15" s="22" t="s">
        <v>34</v>
      </c>
      <c r="AC15" s="22" t="s">
        <v>34</v>
      </c>
      <c r="AD15" s="22" t="s">
        <v>33</v>
      </c>
      <c r="AE15" s="32"/>
      <c r="AF15" s="22" t="s">
        <v>34</v>
      </c>
      <c r="AG15" s="35"/>
      <c r="AH15" s="22" t="s">
        <v>34</v>
      </c>
      <c r="AI15" s="22" t="s">
        <v>34</v>
      </c>
      <c r="AJ15" s="22" t="s">
        <v>34</v>
      </c>
      <c r="AK15" s="5">
        <f t="shared" si="1"/>
        <v>22</v>
      </c>
      <c r="AL15" s="5">
        <f t="shared" si="2"/>
        <v>4</v>
      </c>
      <c r="AM15" s="5" t="s">
        <v>18</v>
      </c>
      <c r="AN15" s="20">
        <f>AN14/AN13</f>
        <v>0.69230769230769229</v>
      </c>
      <c r="AO15" s="20">
        <f>AO14/AO13</f>
        <v>0.77243589743589747</v>
      </c>
      <c r="AP15" s="20">
        <f>AP14/AP13</f>
        <v>0.72928994082840237</v>
      </c>
    </row>
    <row r="16" spans="1:42" ht="16.5" x14ac:dyDescent="0.25">
      <c r="A16" s="12">
        <v>12</v>
      </c>
      <c r="B16" s="14">
        <v>528</v>
      </c>
      <c r="C16" s="15" t="s">
        <v>66</v>
      </c>
      <c r="D16" s="16" t="s">
        <v>67</v>
      </c>
      <c r="E16" s="10" t="s">
        <v>20</v>
      </c>
      <c r="F16" s="22" t="s">
        <v>33</v>
      </c>
      <c r="G16" s="22" t="s">
        <v>34</v>
      </c>
      <c r="H16" s="22" t="s">
        <v>33</v>
      </c>
      <c r="I16" s="22" t="s">
        <v>33</v>
      </c>
      <c r="J16" s="32"/>
      <c r="K16" s="22" t="s">
        <v>34</v>
      </c>
      <c r="L16" s="22" t="s">
        <v>34</v>
      </c>
      <c r="M16" s="22" t="s">
        <v>33</v>
      </c>
      <c r="N16" s="22" t="s">
        <v>34</v>
      </c>
      <c r="O16" s="22" t="s">
        <v>34</v>
      </c>
      <c r="P16" s="22" t="s">
        <v>33</v>
      </c>
      <c r="Q16" s="32"/>
      <c r="R16" s="22" t="s">
        <v>34</v>
      </c>
      <c r="S16" s="22" t="s">
        <v>33</v>
      </c>
      <c r="T16" s="22" t="s">
        <v>33</v>
      </c>
      <c r="U16" s="22" t="s">
        <v>34</v>
      </c>
      <c r="V16" s="22" t="s">
        <v>34</v>
      </c>
      <c r="W16" s="22" t="s">
        <v>34</v>
      </c>
      <c r="X16" s="32"/>
      <c r="Y16" s="22" t="s">
        <v>34</v>
      </c>
      <c r="Z16" s="22" t="s">
        <v>33</v>
      </c>
      <c r="AA16" s="22" t="s">
        <v>33</v>
      </c>
      <c r="AB16" s="22" t="s">
        <v>33</v>
      </c>
      <c r="AC16" s="22" t="s">
        <v>33</v>
      </c>
      <c r="AD16" s="22" t="s">
        <v>33</v>
      </c>
      <c r="AE16" s="32"/>
      <c r="AF16" s="22" t="s">
        <v>33</v>
      </c>
      <c r="AG16" s="35"/>
      <c r="AH16" s="22" t="s">
        <v>34</v>
      </c>
      <c r="AI16" s="22" t="s">
        <v>33</v>
      </c>
      <c r="AJ16" s="22" t="s">
        <v>33</v>
      </c>
      <c r="AK16" s="5">
        <f t="shared" si="1"/>
        <v>11</v>
      </c>
      <c r="AL16" s="5">
        <f t="shared" si="2"/>
        <v>15</v>
      </c>
      <c r="AM16"/>
      <c r="AN16"/>
      <c r="AO16"/>
      <c r="AP16"/>
    </row>
    <row r="17" spans="1:42" ht="16.5" x14ac:dyDescent="0.25">
      <c r="A17" s="6">
        <v>13</v>
      </c>
      <c r="B17" s="14">
        <v>689</v>
      </c>
      <c r="C17" s="15" t="s">
        <v>68</v>
      </c>
      <c r="D17" s="16" t="s">
        <v>30</v>
      </c>
      <c r="E17" s="10" t="s">
        <v>20</v>
      </c>
      <c r="F17" s="22" t="s">
        <v>33</v>
      </c>
      <c r="G17" s="22" t="s">
        <v>34</v>
      </c>
      <c r="H17" s="22" t="s">
        <v>34</v>
      </c>
      <c r="I17" s="22" t="s">
        <v>34</v>
      </c>
      <c r="J17" s="32"/>
      <c r="K17" s="22" t="s">
        <v>33</v>
      </c>
      <c r="L17" s="22" t="s">
        <v>34</v>
      </c>
      <c r="M17" s="22" t="s">
        <v>34</v>
      </c>
      <c r="N17" s="22" t="s">
        <v>34</v>
      </c>
      <c r="O17" s="22" t="s">
        <v>34</v>
      </c>
      <c r="P17" s="22" t="s">
        <v>34</v>
      </c>
      <c r="Q17" s="32"/>
      <c r="R17" s="22" t="s">
        <v>34</v>
      </c>
      <c r="S17" s="22" t="s">
        <v>34</v>
      </c>
      <c r="T17" s="22" t="s">
        <v>34</v>
      </c>
      <c r="U17" s="22" t="s">
        <v>34</v>
      </c>
      <c r="V17" s="22" t="s">
        <v>34</v>
      </c>
      <c r="W17" s="22" t="s">
        <v>34</v>
      </c>
      <c r="X17" s="32"/>
      <c r="Y17" s="22" t="s">
        <v>34</v>
      </c>
      <c r="Z17" s="22" t="s">
        <v>34</v>
      </c>
      <c r="AA17" s="22" t="s">
        <v>34</v>
      </c>
      <c r="AB17" s="22" t="s">
        <v>35</v>
      </c>
      <c r="AC17" s="22" t="s">
        <v>35</v>
      </c>
      <c r="AD17" s="22" t="s">
        <v>35</v>
      </c>
      <c r="AE17" s="32"/>
      <c r="AF17" s="22" t="s">
        <v>33</v>
      </c>
      <c r="AG17" s="35"/>
      <c r="AH17" s="22" t="s">
        <v>34</v>
      </c>
      <c r="AI17" s="22" t="s">
        <v>33</v>
      </c>
      <c r="AJ17" s="22" t="s">
        <v>34</v>
      </c>
      <c r="AK17" s="5">
        <f t="shared" si="1"/>
        <v>19</v>
      </c>
      <c r="AL17" s="5">
        <f t="shared" si="2"/>
        <v>4</v>
      </c>
      <c r="AM17"/>
      <c r="AN17"/>
      <c r="AO17"/>
      <c r="AP17"/>
    </row>
    <row r="18" spans="1:42" ht="16.5" x14ac:dyDescent="0.25">
      <c r="A18" s="12">
        <v>14</v>
      </c>
      <c r="B18" s="14">
        <v>648</v>
      </c>
      <c r="C18" s="15" t="s">
        <v>71</v>
      </c>
      <c r="D18" s="16" t="s">
        <v>28</v>
      </c>
      <c r="E18" s="10" t="s">
        <v>20</v>
      </c>
      <c r="F18" s="22" t="s">
        <v>33</v>
      </c>
      <c r="G18" s="22" t="s">
        <v>33</v>
      </c>
      <c r="H18" s="22" t="s">
        <v>33</v>
      </c>
      <c r="I18" s="22" t="s">
        <v>33</v>
      </c>
      <c r="J18" s="32"/>
      <c r="K18" s="22" t="s">
        <v>33</v>
      </c>
      <c r="L18" s="22" t="s">
        <v>34</v>
      </c>
      <c r="M18" s="22" t="s">
        <v>34</v>
      </c>
      <c r="N18" s="22" t="s">
        <v>34</v>
      </c>
      <c r="O18" s="22" t="s">
        <v>34</v>
      </c>
      <c r="P18" s="22" t="s">
        <v>34</v>
      </c>
      <c r="Q18" s="32"/>
      <c r="R18" s="22" t="s">
        <v>34</v>
      </c>
      <c r="S18" s="22" t="s">
        <v>34</v>
      </c>
      <c r="T18" s="22" t="s">
        <v>33</v>
      </c>
      <c r="U18" s="22" t="s">
        <v>34</v>
      </c>
      <c r="V18" s="22" t="s">
        <v>34</v>
      </c>
      <c r="W18" s="22" t="s">
        <v>34</v>
      </c>
      <c r="X18" s="32"/>
      <c r="Y18" s="22" t="s">
        <v>34</v>
      </c>
      <c r="Z18" s="22" t="s">
        <v>34</v>
      </c>
      <c r="AA18" s="22" t="s">
        <v>34</v>
      </c>
      <c r="AB18" s="22" t="s">
        <v>34</v>
      </c>
      <c r="AC18" s="22" t="s">
        <v>34</v>
      </c>
      <c r="AD18" s="22" t="s">
        <v>34</v>
      </c>
      <c r="AE18" s="32"/>
      <c r="AF18" s="22" t="s">
        <v>33</v>
      </c>
      <c r="AG18" s="35"/>
      <c r="AH18" s="22" t="s">
        <v>35</v>
      </c>
      <c r="AI18" s="22" t="s">
        <v>35</v>
      </c>
      <c r="AJ18" s="22" t="s">
        <v>35</v>
      </c>
      <c r="AK18" s="5">
        <f t="shared" si="1"/>
        <v>16</v>
      </c>
      <c r="AL18" s="5">
        <f t="shared" si="2"/>
        <v>7</v>
      </c>
      <c r="AM18"/>
      <c r="AN18"/>
      <c r="AO18"/>
      <c r="AP18"/>
    </row>
    <row r="19" spans="1:42" ht="16.5" x14ac:dyDescent="0.25">
      <c r="A19" s="6">
        <v>15</v>
      </c>
      <c r="B19" s="14">
        <v>578</v>
      </c>
      <c r="C19" s="15" t="s">
        <v>72</v>
      </c>
      <c r="D19" s="16" t="s">
        <v>41</v>
      </c>
      <c r="E19" s="10" t="s">
        <v>20</v>
      </c>
      <c r="F19" s="22" t="s">
        <v>33</v>
      </c>
      <c r="G19" s="22" t="s">
        <v>34</v>
      </c>
      <c r="H19" s="22" t="s">
        <v>34</v>
      </c>
      <c r="I19" s="22" t="s">
        <v>34</v>
      </c>
      <c r="J19" s="32"/>
      <c r="K19" s="22" t="s">
        <v>34</v>
      </c>
      <c r="L19" s="22" t="s">
        <v>34</v>
      </c>
      <c r="M19" s="22" t="s">
        <v>34</v>
      </c>
      <c r="N19" s="22" t="s">
        <v>34</v>
      </c>
      <c r="O19" s="22" t="s">
        <v>34</v>
      </c>
      <c r="P19" s="22" t="s">
        <v>34</v>
      </c>
      <c r="Q19" s="32"/>
      <c r="R19" s="22" t="s">
        <v>34</v>
      </c>
      <c r="S19" s="22" t="s">
        <v>34</v>
      </c>
      <c r="T19" s="22" t="s">
        <v>34</v>
      </c>
      <c r="U19" s="22" t="s">
        <v>34</v>
      </c>
      <c r="V19" s="22" t="s">
        <v>34</v>
      </c>
      <c r="W19" s="22" t="s">
        <v>34</v>
      </c>
      <c r="X19" s="32"/>
      <c r="Y19" s="22" t="s">
        <v>34</v>
      </c>
      <c r="Z19" s="22" t="s">
        <v>34</v>
      </c>
      <c r="AA19" s="22" t="s">
        <v>34</v>
      </c>
      <c r="AB19" s="22" t="s">
        <v>34</v>
      </c>
      <c r="AC19" s="22" t="s">
        <v>34</v>
      </c>
      <c r="AD19" s="22" t="s">
        <v>34</v>
      </c>
      <c r="AE19" s="32"/>
      <c r="AF19" s="22" t="s">
        <v>34</v>
      </c>
      <c r="AG19" s="35"/>
      <c r="AH19" s="22" t="s">
        <v>34</v>
      </c>
      <c r="AI19" s="22" t="s">
        <v>34</v>
      </c>
      <c r="AJ19" s="22" t="s">
        <v>34</v>
      </c>
      <c r="AK19" s="5">
        <f t="shared" si="1"/>
        <v>25</v>
      </c>
      <c r="AL19" s="5">
        <f t="shared" si="2"/>
        <v>1</v>
      </c>
      <c r="AM19" s="27" t="s">
        <v>147</v>
      </c>
      <c r="AN19" s="28"/>
      <c r="AO19" s="28"/>
      <c r="AP19" s="29"/>
    </row>
    <row r="20" spans="1:42" ht="16.5" x14ac:dyDescent="0.25">
      <c r="A20" s="12">
        <v>16</v>
      </c>
      <c r="B20" s="14">
        <v>573</v>
      </c>
      <c r="C20" s="15" t="s">
        <v>32</v>
      </c>
      <c r="D20" s="16" t="s">
        <v>29</v>
      </c>
      <c r="E20" s="10" t="s">
        <v>20</v>
      </c>
      <c r="F20" s="22" t="s">
        <v>33</v>
      </c>
      <c r="G20" s="22" t="s">
        <v>33</v>
      </c>
      <c r="H20" s="22" t="s">
        <v>33</v>
      </c>
      <c r="I20" s="22" t="s">
        <v>33</v>
      </c>
      <c r="J20" s="32"/>
      <c r="K20" s="22" t="s">
        <v>33</v>
      </c>
      <c r="L20" s="22" t="s">
        <v>33</v>
      </c>
      <c r="M20" s="22" t="s">
        <v>33</v>
      </c>
      <c r="N20" s="22" t="s">
        <v>33</v>
      </c>
      <c r="O20" s="22" t="s">
        <v>33</v>
      </c>
      <c r="P20" s="22" t="s">
        <v>33</v>
      </c>
      <c r="Q20" s="32"/>
      <c r="R20" s="22" t="s">
        <v>34</v>
      </c>
      <c r="S20" s="22" t="s">
        <v>34</v>
      </c>
      <c r="T20" s="22" t="s">
        <v>34</v>
      </c>
      <c r="U20" s="22" t="s">
        <v>34</v>
      </c>
      <c r="V20" s="22" t="s">
        <v>34</v>
      </c>
      <c r="W20" s="22" t="s">
        <v>34</v>
      </c>
      <c r="X20" s="32"/>
      <c r="Y20" s="22" t="s">
        <v>33</v>
      </c>
      <c r="Z20" s="22" t="s">
        <v>34</v>
      </c>
      <c r="AA20" s="22" t="s">
        <v>34</v>
      </c>
      <c r="AB20" s="22" t="s">
        <v>34</v>
      </c>
      <c r="AC20" s="22" t="s">
        <v>34</v>
      </c>
      <c r="AD20" s="22" t="s">
        <v>34</v>
      </c>
      <c r="AE20" s="32"/>
      <c r="AF20" s="22" t="s">
        <v>33</v>
      </c>
      <c r="AG20" s="35"/>
      <c r="AH20" s="22" t="s">
        <v>34</v>
      </c>
      <c r="AI20" s="22" t="s">
        <v>34</v>
      </c>
      <c r="AJ20" s="22" t="s">
        <v>34</v>
      </c>
      <c r="AK20" s="5">
        <f t="shared" si="1"/>
        <v>14</v>
      </c>
      <c r="AL20" s="5">
        <f t="shared" si="2"/>
        <v>12</v>
      </c>
      <c r="AM20" s="5" t="s">
        <v>12</v>
      </c>
      <c r="AN20" s="5" t="s">
        <v>13</v>
      </c>
      <c r="AO20" s="5" t="s">
        <v>14</v>
      </c>
      <c r="AP20" s="5" t="s">
        <v>15</v>
      </c>
    </row>
    <row r="21" spans="1:42" ht="16.5" x14ac:dyDescent="0.25">
      <c r="A21" s="6">
        <v>17</v>
      </c>
      <c r="B21" s="14">
        <v>479</v>
      </c>
      <c r="C21" s="15" t="s">
        <v>69</v>
      </c>
      <c r="D21" s="16" t="s">
        <v>70</v>
      </c>
      <c r="E21" s="10" t="s">
        <v>20</v>
      </c>
      <c r="F21" s="22" t="s">
        <v>33</v>
      </c>
      <c r="G21" s="22" t="s">
        <v>33</v>
      </c>
      <c r="H21" s="22" t="s">
        <v>33</v>
      </c>
      <c r="I21" s="22" t="s">
        <v>33</v>
      </c>
      <c r="J21" s="32"/>
      <c r="K21" s="22" t="s">
        <v>34</v>
      </c>
      <c r="L21" s="22" t="s">
        <v>34</v>
      </c>
      <c r="M21" s="22" t="s">
        <v>34</v>
      </c>
      <c r="N21" s="22" t="s">
        <v>33</v>
      </c>
      <c r="O21" s="22" t="s">
        <v>34</v>
      </c>
      <c r="P21" s="22" t="s">
        <v>34</v>
      </c>
      <c r="Q21" s="32"/>
      <c r="R21" s="22" t="s">
        <v>33</v>
      </c>
      <c r="S21" s="22" t="s">
        <v>33</v>
      </c>
      <c r="T21" s="22" t="s">
        <v>33</v>
      </c>
      <c r="U21" s="22" t="s">
        <v>34</v>
      </c>
      <c r="V21" s="22" t="s">
        <v>33</v>
      </c>
      <c r="W21" s="22" t="s">
        <v>34</v>
      </c>
      <c r="X21" s="32"/>
      <c r="Y21" s="22" t="s">
        <v>34</v>
      </c>
      <c r="Z21" s="22" t="s">
        <v>34</v>
      </c>
      <c r="AA21" s="22" t="s">
        <v>34</v>
      </c>
      <c r="AB21" s="22" t="s">
        <v>33</v>
      </c>
      <c r="AC21" s="22" t="s">
        <v>34</v>
      </c>
      <c r="AD21" s="22" t="s">
        <v>33</v>
      </c>
      <c r="AE21" s="32"/>
      <c r="AF21" s="22" t="s">
        <v>34</v>
      </c>
      <c r="AG21" s="35"/>
      <c r="AH21" s="22" t="s">
        <v>34</v>
      </c>
      <c r="AI21" s="22" t="s">
        <v>34</v>
      </c>
      <c r="AJ21" s="22" t="s">
        <v>34</v>
      </c>
      <c r="AK21" s="5">
        <f t="shared" si="1"/>
        <v>15</v>
      </c>
      <c r="AL21" s="5">
        <f t="shared" si="2"/>
        <v>11</v>
      </c>
      <c r="AM21" s="5" t="s">
        <v>16</v>
      </c>
      <c r="AN21" s="12">
        <f>28*$AN$5</f>
        <v>728</v>
      </c>
      <c r="AO21" s="12">
        <f>24*$AN$5</f>
        <v>624</v>
      </c>
      <c r="AP21" s="12">
        <f>AN21+AO21</f>
        <v>1352</v>
      </c>
    </row>
    <row r="22" spans="1:42" ht="16.5" x14ac:dyDescent="0.25">
      <c r="A22" s="12">
        <v>18</v>
      </c>
      <c r="B22" s="14">
        <v>575</v>
      </c>
      <c r="C22" s="15" t="s">
        <v>75</v>
      </c>
      <c r="D22" s="16" t="s">
        <v>76</v>
      </c>
      <c r="E22" s="10" t="s">
        <v>20</v>
      </c>
      <c r="F22" s="22" t="s">
        <v>33</v>
      </c>
      <c r="G22" s="22" t="s">
        <v>33</v>
      </c>
      <c r="H22" s="22" t="s">
        <v>34</v>
      </c>
      <c r="I22" s="22" t="s">
        <v>33</v>
      </c>
      <c r="J22" s="32"/>
      <c r="K22" s="22" t="s">
        <v>33</v>
      </c>
      <c r="L22" s="22" t="s">
        <v>34</v>
      </c>
      <c r="M22" s="22" t="s">
        <v>33</v>
      </c>
      <c r="N22" s="22" t="s">
        <v>34</v>
      </c>
      <c r="O22" s="22" t="s">
        <v>34</v>
      </c>
      <c r="P22" s="22" t="s">
        <v>34</v>
      </c>
      <c r="Q22" s="32"/>
      <c r="R22" s="22" t="s">
        <v>34</v>
      </c>
      <c r="S22" s="22" t="s">
        <v>34</v>
      </c>
      <c r="T22" s="22" t="s">
        <v>34</v>
      </c>
      <c r="U22" s="22" t="s">
        <v>34</v>
      </c>
      <c r="V22" s="22" t="s">
        <v>34</v>
      </c>
      <c r="W22" s="22" t="s">
        <v>33</v>
      </c>
      <c r="X22" s="32"/>
      <c r="Y22" s="22" t="s">
        <v>34</v>
      </c>
      <c r="Z22" s="22" t="s">
        <v>34</v>
      </c>
      <c r="AA22" s="22" t="s">
        <v>34</v>
      </c>
      <c r="AB22" s="22" t="s">
        <v>34</v>
      </c>
      <c r="AC22" s="22" t="s">
        <v>34</v>
      </c>
      <c r="AD22" s="22" t="s">
        <v>33</v>
      </c>
      <c r="AE22" s="32"/>
      <c r="AF22" s="22" t="s">
        <v>34</v>
      </c>
      <c r="AG22" s="35"/>
      <c r="AH22" s="22" t="s">
        <v>34</v>
      </c>
      <c r="AI22" s="22" t="s">
        <v>34</v>
      </c>
      <c r="AJ22" s="22" t="s">
        <v>33</v>
      </c>
      <c r="AK22" s="5">
        <f t="shared" si="1"/>
        <v>18</v>
      </c>
      <c r="AL22" s="5">
        <f t="shared" si="2"/>
        <v>8</v>
      </c>
      <c r="AM22" s="5" t="s">
        <v>19</v>
      </c>
      <c r="AN22" s="12">
        <f>AN21-AN14</f>
        <v>224</v>
      </c>
      <c r="AO22" s="12">
        <f>AO21-AO14</f>
        <v>142</v>
      </c>
      <c r="AP22" s="12">
        <f>AN22+AO22</f>
        <v>366</v>
      </c>
    </row>
    <row r="23" spans="1:42" ht="16.5" x14ac:dyDescent="0.25">
      <c r="A23" s="6">
        <v>19</v>
      </c>
      <c r="B23" s="14">
        <v>586</v>
      </c>
      <c r="C23" s="15" t="s">
        <v>27</v>
      </c>
      <c r="D23" s="16" t="s">
        <v>77</v>
      </c>
      <c r="E23" s="10" t="s">
        <v>20</v>
      </c>
      <c r="F23" s="22" t="s">
        <v>34</v>
      </c>
      <c r="G23" s="22" t="s">
        <v>34</v>
      </c>
      <c r="H23" s="22" t="s">
        <v>34</v>
      </c>
      <c r="I23" s="22" t="s">
        <v>34</v>
      </c>
      <c r="J23" s="32"/>
      <c r="K23" s="22" t="s">
        <v>34</v>
      </c>
      <c r="L23" s="22" t="s">
        <v>34</v>
      </c>
      <c r="M23" s="22" t="s">
        <v>34</v>
      </c>
      <c r="N23" s="22" t="s">
        <v>34</v>
      </c>
      <c r="O23" s="22" t="s">
        <v>34</v>
      </c>
      <c r="P23" s="22" t="s">
        <v>34</v>
      </c>
      <c r="Q23" s="32"/>
      <c r="R23" s="22" t="s">
        <v>34</v>
      </c>
      <c r="S23" s="22" t="s">
        <v>34</v>
      </c>
      <c r="T23" s="22" t="s">
        <v>34</v>
      </c>
      <c r="U23" s="22" t="s">
        <v>34</v>
      </c>
      <c r="V23" s="22" t="s">
        <v>34</v>
      </c>
      <c r="W23" s="22" t="s">
        <v>34</v>
      </c>
      <c r="X23" s="32"/>
      <c r="Y23" s="22" t="s">
        <v>34</v>
      </c>
      <c r="Z23" s="22" t="s">
        <v>34</v>
      </c>
      <c r="AA23" s="22" t="s">
        <v>34</v>
      </c>
      <c r="AB23" s="22" t="s">
        <v>34</v>
      </c>
      <c r="AC23" s="22" t="s">
        <v>34</v>
      </c>
      <c r="AD23" s="22" t="s">
        <v>34</v>
      </c>
      <c r="AE23" s="32"/>
      <c r="AF23" s="22" t="s">
        <v>34</v>
      </c>
      <c r="AG23" s="35"/>
      <c r="AH23" s="22" t="s">
        <v>34</v>
      </c>
      <c r="AI23" s="22" t="s">
        <v>34</v>
      </c>
      <c r="AJ23" s="22" t="s">
        <v>34</v>
      </c>
      <c r="AK23" s="5">
        <f t="shared" si="1"/>
        <v>26</v>
      </c>
      <c r="AL23" s="5">
        <f t="shared" si="2"/>
        <v>0</v>
      </c>
      <c r="AM23" s="5" t="s">
        <v>18</v>
      </c>
      <c r="AN23" s="20">
        <f>AN22/AN21</f>
        <v>0.30769230769230771</v>
      </c>
      <c r="AO23" s="20">
        <f>AO22/AO21</f>
        <v>0.22756410256410256</v>
      </c>
      <c r="AP23" s="20">
        <f>AP22/AP21</f>
        <v>0.27071005917159763</v>
      </c>
    </row>
    <row r="24" spans="1:42" ht="16.5" x14ac:dyDescent="0.25">
      <c r="A24" s="12">
        <v>20</v>
      </c>
      <c r="B24" s="14">
        <v>580</v>
      </c>
      <c r="C24" s="15" t="s">
        <v>79</v>
      </c>
      <c r="D24" s="16" t="s">
        <v>80</v>
      </c>
      <c r="E24" s="10" t="s">
        <v>20</v>
      </c>
      <c r="F24" s="22" t="s">
        <v>33</v>
      </c>
      <c r="G24" s="22" t="s">
        <v>34</v>
      </c>
      <c r="H24" s="22" t="s">
        <v>34</v>
      </c>
      <c r="I24" s="22" t="s">
        <v>34</v>
      </c>
      <c r="J24" s="32"/>
      <c r="K24" s="22" t="s">
        <v>34</v>
      </c>
      <c r="L24" s="22" t="s">
        <v>34</v>
      </c>
      <c r="M24" s="22" t="s">
        <v>34</v>
      </c>
      <c r="N24" s="22" t="s">
        <v>34</v>
      </c>
      <c r="O24" s="22" t="s">
        <v>34</v>
      </c>
      <c r="P24" s="22" t="s">
        <v>33</v>
      </c>
      <c r="Q24" s="32"/>
      <c r="R24" s="22" t="s">
        <v>34</v>
      </c>
      <c r="S24" s="22" t="s">
        <v>34</v>
      </c>
      <c r="T24" s="22" t="s">
        <v>34</v>
      </c>
      <c r="U24" s="22" t="s">
        <v>34</v>
      </c>
      <c r="V24" s="22" t="s">
        <v>34</v>
      </c>
      <c r="W24" s="22" t="s">
        <v>35</v>
      </c>
      <c r="X24" s="32"/>
      <c r="Y24" s="22" t="s">
        <v>34</v>
      </c>
      <c r="Z24" s="22" t="s">
        <v>34</v>
      </c>
      <c r="AA24" s="22" t="s">
        <v>34</v>
      </c>
      <c r="AB24" s="22" t="s">
        <v>34</v>
      </c>
      <c r="AC24" s="22" t="s">
        <v>34</v>
      </c>
      <c r="AD24" s="22" t="s">
        <v>34</v>
      </c>
      <c r="AE24" s="32"/>
      <c r="AF24" s="22" t="s">
        <v>34</v>
      </c>
      <c r="AG24" s="35"/>
      <c r="AH24" s="22" t="s">
        <v>34</v>
      </c>
      <c r="AI24" s="22" t="s">
        <v>34</v>
      </c>
      <c r="AJ24" s="22" t="s">
        <v>34</v>
      </c>
      <c r="AK24" s="5">
        <f t="shared" si="1"/>
        <v>23</v>
      </c>
      <c r="AL24" s="5">
        <f t="shared" si="2"/>
        <v>2</v>
      </c>
    </row>
    <row r="25" spans="1:42" ht="16.5" x14ac:dyDescent="0.25">
      <c r="A25" s="6">
        <v>21</v>
      </c>
      <c r="B25" s="14">
        <v>583</v>
      </c>
      <c r="C25" s="15" t="s">
        <v>78</v>
      </c>
      <c r="D25" s="16" t="s">
        <v>24</v>
      </c>
      <c r="E25" s="10" t="s">
        <v>20</v>
      </c>
      <c r="F25" s="22" t="s">
        <v>33</v>
      </c>
      <c r="G25" s="22" t="s">
        <v>33</v>
      </c>
      <c r="H25" s="22" t="s">
        <v>33</v>
      </c>
      <c r="I25" s="22" t="s">
        <v>33</v>
      </c>
      <c r="J25" s="32"/>
      <c r="K25" s="22" t="s">
        <v>34</v>
      </c>
      <c r="L25" s="22" t="s">
        <v>34</v>
      </c>
      <c r="M25" s="22" t="s">
        <v>34</v>
      </c>
      <c r="N25" s="22" t="s">
        <v>34</v>
      </c>
      <c r="O25" s="22" t="s">
        <v>34</v>
      </c>
      <c r="P25" s="22" t="s">
        <v>34</v>
      </c>
      <c r="Q25" s="32"/>
      <c r="R25" s="22" t="s">
        <v>34</v>
      </c>
      <c r="S25" s="22" t="s">
        <v>34</v>
      </c>
      <c r="T25" s="22" t="s">
        <v>34</v>
      </c>
      <c r="U25" s="22" t="s">
        <v>34</v>
      </c>
      <c r="V25" s="22" t="s">
        <v>34</v>
      </c>
      <c r="W25" s="22" t="s">
        <v>34</v>
      </c>
      <c r="X25" s="32"/>
      <c r="Y25" s="22" t="s">
        <v>34</v>
      </c>
      <c r="Z25" s="22" t="s">
        <v>33</v>
      </c>
      <c r="AA25" s="22" t="s">
        <v>33</v>
      </c>
      <c r="AB25" s="22" t="s">
        <v>33</v>
      </c>
      <c r="AC25" s="22" t="s">
        <v>33</v>
      </c>
      <c r="AD25" s="22" t="s">
        <v>33</v>
      </c>
      <c r="AE25" s="32"/>
      <c r="AF25" s="22" t="s">
        <v>33</v>
      </c>
      <c r="AG25" s="35"/>
      <c r="AH25" s="22" t="s">
        <v>33</v>
      </c>
      <c r="AI25" s="22" t="s">
        <v>34</v>
      </c>
      <c r="AJ25" s="22" t="s">
        <v>34</v>
      </c>
      <c r="AK25" s="5">
        <f t="shared" si="1"/>
        <v>15</v>
      </c>
      <c r="AL25" s="5">
        <f t="shared" si="2"/>
        <v>11</v>
      </c>
    </row>
    <row r="26" spans="1:42" ht="16.5" x14ac:dyDescent="0.25">
      <c r="A26" s="12">
        <v>22</v>
      </c>
      <c r="B26" s="14">
        <v>480</v>
      </c>
      <c r="C26" s="15" t="s">
        <v>81</v>
      </c>
      <c r="D26" s="16" t="s">
        <v>42</v>
      </c>
      <c r="E26" s="10" t="s">
        <v>20</v>
      </c>
      <c r="F26" s="22" t="s">
        <v>34</v>
      </c>
      <c r="G26" s="22" t="s">
        <v>34</v>
      </c>
      <c r="H26" s="22" t="s">
        <v>33</v>
      </c>
      <c r="I26" s="22" t="s">
        <v>33</v>
      </c>
      <c r="J26" s="32"/>
      <c r="K26" s="22" t="s">
        <v>34</v>
      </c>
      <c r="L26" s="22" t="s">
        <v>34</v>
      </c>
      <c r="M26" s="22" t="s">
        <v>34</v>
      </c>
      <c r="N26" s="22" t="s">
        <v>34</v>
      </c>
      <c r="O26" s="22" t="s">
        <v>34</v>
      </c>
      <c r="P26" s="22" t="s">
        <v>34</v>
      </c>
      <c r="Q26" s="32"/>
      <c r="R26" s="22" t="s">
        <v>34</v>
      </c>
      <c r="S26" s="22" t="s">
        <v>34</v>
      </c>
      <c r="T26" s="22" t="s">
        <v>34</v>
      </c>
      <c r="U26" s="22" t="s">
        <v>34</v>
      </c>
      <c r="V26" s="22" t="s">
        <v>33</v>
      </c>
      <c r="W26" s="22" t="s">
        <v>33</v>
      </c>
      <c r="X26" s="32"/>
      <c r="Y26" s="22" t="s">
        <v>34</v>
      </c>
      <c r="Z26" s="22" t="s">
        <v>34</v>
      </c>
      <c r="AA26" s="22" t="s">
        <v>34</v>
      </c>
      <c r="AB26" s="22" t="s">
        <v>34</v>
      </c>
      <c r="AC26" s="22" t="s">
        <v>34</v>
      </c>
      <c r="AD26" s="22" t="s">
        <v>34</v>
      </c>
      <c r="AE26" s="32"/>
      <c r="AF26" s="22" t="s">
        <v>34</v>
      </c>
      <c r="AG26" s="35"/>
      <c r="AH26" s="22" t="s">
        <v>33</v>
      </c>
      <c r="AI26" s="22" t="s">
        <v>34</v>
      </c>
      <c r="AJ26" s="22" t="s">
        <v>34</v>
      </c>
      <c r="AK26" s="5">
        <f t="shared" si="1"/>
        <v>21</v>
      </c>
      <c r="AL26" s="5">
        <f t="shared" si="2"/>
        <v>5</v>
      </c>
    </row>
    <row r="27" spans="1:42" ht="16.5" x14ac:dyDescent="0.25">
      <c r="A27" s="6">
        <v>23</v>
      </c>
      <c r="B27" s="14">
        <v>576</v>
      </c>
      <c r="C27" s="15" t="s">
        <v>48</v>
      </c>
      <c r="D27" s="16" t="s">
        <v>42</v>
      </c>
      <c r="E27" s="10" t="s">
        <v>20</v>
      </c>
      <c r="F27" s="22" t="s">
        <v>33</v>
      </c>
      <c r="G27" s="22" t="s">
        <v>34</v>
      </c>
      <c r="H27" s="22" t="s">
        <v>34</v>
      </c>
      <c r="I27" s="22" t="s">
        <v>34</v>
      </c>
      <c r="J27" s="32"/>
      <c r="K27" s="22" t="s">
        <v>34</v>
      </c>
      <c r="L27" s="22" t="s">
        <v>34</v>
      </c>
      <c r="M27" s="22" t="s">
        <v>34</v>
      </c>
      <c r="N27" s="22" t="s">
        <v>34</v>
      </c>
      <c r="O27" s="22" t="s">
        <v>34</v>
      </c>
      <c r="P27" s="22" t="s">
        <v>34</v>
      </c>
      <c r="Q27" s="32"/>
      <c r="R27" s="22" t="s">
        <v>34</v>
      </c>
      <c r="S27" s="22" t="s">
        <v>34</v>
      </c>
      <c r="T27" s="22" t="s">
        <v>34</v>
      </c>
      <c r="U27" s="22" t="s">
        <v>34</v>
      </c>
      <c r="V27" s="22" t="s">
        <v>34</v>
      </c>
      <c r="W27" s="22" t="s">
        <v>34</v>
      </c>
      <c r="X27" s="32"/>
      <c r="Y27" s="22" t="s">
        <v>34</v>
      </c>
      <c r="Z27" s="22" t="s">
        <v>34</v>
      </c>
      <c r="AA27" s="22" t="s">
        <v>34</v>
      </c>
      <c r="AB27" s="22" t="s">
        <v>34</v>
      </c>
      <c r="AC27" s="22" t="s">
        <v>34</v>
      </c>
      <c r="AD27" s="22" t="s">
        <v>34</v>
      </c>
      <c r="AE27" s="32"/>
      <c r="AF27" s="22" t="s">
        <v>34</v>
      </c>
      <c r="AG27" s="35"/>
      <c r="AH27" s="22" t="s">
        <v>34</v>
      </c>
      <c r="AI27" s="22" t="s">
        <v>34</v>
      </c>
      <c r="AJ27" s="22" t="s">
        <v>34</v>
      </c>
      <c r="AK27" s="5">
        <f t="shared" si="1"/>
        <v>25</v>
      </c>
      <c r="AL27" s="5">
        <f t="shared" si="2"/>
        <v>1</v>
      </c>
    </row>
    <row r="28" spans="1:42" ht="16.5" x14ac:dyDescent="0.25">
      <c r="A28" s="12">
        <v>24</v>
      </c>
      <c r="B28" s="14">
        <v>685</v>
      </c>
      <c r="C28" s="15" t="s">
        <v>82</v>
      </c>
      <c r="D28" s="16" t="s">
        <v>83</v>
      </c>
      <c r="E28" s="10" t="s">
        <v>20</v>
      </c>
      <c r="F28" s="22" t="s">
        <v>34</v>
      </c>
      <c r="G28" s="22" t="s">
        <v>34</v>
      </c>
      <c r="H28" s="22" t="s">
        <v>34</v>
      </c>
      <c r="I28" s="22" t="s">
        <v>34</v>
      </c>
      <c r="J28" s="32"/>
      <c r="K28" s="22" t="s">
        <v>34</v>
      </c>
      <c r="L28" s="22" t="s">
        <v>34</v>
      </c>
      <c r="M28" s="22" t="s">
        <v>34</v>
      </c>
      <c r="N28" s="22" t="s">
        <v>34</v>
      </c>
      <c r="O28" s="22" t="s">
        <v>34</v>
      </c>
      <c r="P28" s="22" t="s">
        <v>34</v>
      </c>
      <c r="Q28" s="32"/>
      <c r="R28" s="22" t="s">
        <v>34</v>
      </c>
      <c r="S28" s="22" t="s">
        <v>34</v>
      </c>
      <c r="T28" s="22" t="s">
        <v>34</v>
      </c>
      <c r="U28" s="22" t="s">
        <v>34</v>
      </c>
      <c r="V28" s="22" t="s">
        <v>34</v>
      </c>
      <c r="W28" s="22" t="s">
        <v>33</v>
      </c>
      <c r="X28" s="32"/>
      <c r="Y28" s="22" t="s">
        <v>34</v>
      </c>
      <c r="Z28" s="22" t="s">
        <v>34</v>
      </c>
      <c r="AA28" s="22" t="s">
        <v>34</v>
      </c>
      <c r="AB28" s="22" t="s">
        <v>34</v>
      </c>
      <c r="AC28" s="22" t="s">
        <v>34</v>
      </c>
      <c r="AD28" s="22" t="s">
        <v>34</v>
      </c>
      <c r="AE28" s="32"/>
      <c r="AF28" s="22" t="s">
        <v>34</v>
      </c>
      <c r="AG28" s="35"/>
      <c r="AH28" s="22" t="s">
        <v>34</v>
      </c>
      <c r="AI28" s="22" t="s">
        <v>34</v>
      </c>
      <c r="AJ28" s="22" t="s">
        <v>34</v>
      </c>
      <c r="AK28" s="5">
        <f t="shared" si="1"/>
        <v>25</v>
      </c>
      <c r="AL28" s="5">
        <f t="shared" si="2"/>
        <v>1</v>
      </c>
    </row>
    <row r="29" spans="1:42" ht="16.5" customHeight="1" x14ac:dyDescent="0.25">
      <c r="A29" s="6">
        <v>25</v>
      </c>
      <c r="B29" s="14">
        <v>688</v>
      </c>
      <c r="C29" s="15" t="s">
        <v>84</v>
      </c>
      <c r="D29" s="16" t="s">
        <v>27</v>
      </c>
      <c r="E29" s="10" t="s">
        <v>20</v>
      </c>
      <c r="F29" s="22" t="s">
        <v>33</v>
      </c>
      <c r="G29" s="22" t="s">
        <v>33</v>
      </c>
      <c r="H29" s="22" t="s">
        <v>34</v>
      </c>
      <c r="I29" s="22" t="s">
        <v>33</v>
      </c>
      <c r="J29" s="32"/>
      <c r="K29" s="22" t="s">
        <v>33</v>
      </c>
      <c r="L29" s="22" t="s">
        <v>34</v>
      </c>
      <c r="M29" s="22" t="s">
        <v>34</v>
      </c>
      <c r="N29" s="22" t="s">
        <v>34</v>
      </c>
      <c r="O29" s="22" t="s">
        <v>34</v>
      </c>
      <c r="P29" s="22" t="s">
        <v>33</v>
      </c>
      <c r="Q29" s="32"/>
      <c r="R29" s="22" t="s">
        <v>33</v>
      </c>
      <c r="S29" s="22" t="s">
        <v>34</v>
      </c>
      <c r="T29" s="22" t="s">
        <v>34</v>
      </c>
      <c r="U29" s="22" t="s">
        <v>33</v>
      </c>
      <c r="V29" s="22" t="s">
        <v>34</v>
      </c>
      <c r="W29" s="22" t="s">
        <v>33</v>
      </c>
      <c r="X29" s="32"/>
      <c r="Y29" s="22" t="s">
        <v>34</v>
      </c>
      <c r="Z29" s="22" t="s">
        <v>34</v>
      </c>
      <c r="AA29" s="22" t="s">
        <v>33</v>
      </c>
      <c r="AB29" s="22" t="s">
        <v>34</v>
      </c>
      <c r="AC29" s="22" t="s">
        <v>34</v>
      </c>
      <c r="AD29" s="22" t="s">
        <v>33</v>
      </c>
      <c r="AE29" s="32"/>
      <c r="AF29" s="22" t="s">
        <v>34</v>
      </c>
      <c r="AG29" s="35"/>
      <c r="AH29" s="22" t="s">
        <v>34</v>
      </c>
      <c r="AI29" s="22" t="s">
        <v>33</v>
      </c>
      <c r="AJ29" s="22" t="s">
        <v>34</v>
      </c>
      <c r="AK29" s="5">
        <f t="shared" si="1"/>
        <v>15</v>
      </c>
      <c r="AL29" s="5">
        <f t="shared" si="2"/>
        <v>11</v>
      </c>
    </row>
    <row r="30" spans="1:42" ht="16.5" x14ac:dyDescent="0.25">
      <c r="A30" s="12">
        <v>26</v>
      </c>
      <c r="B30" s="14">
        <v>546</v>
      </c>
      <c r="C30" s="15" t="s">
        <v>84</v>
      </c>
      <c r="D30" s="16" t="s">
        <v>85</v>
      </c>
      <c r="E30" s="10" t="s">
        <v>20</v>
      </c>
      <c r="F30" s="22" t="s">
        <v>33</v>
      </c>
      <c r="G30" s="22" t="s">
        <v>33</v>
      </c>
      <c r="H30" s="22" t="s">
        <v>33</v>
      </c>
      <c r="I30" s="22" t="s">
        <v>33</v>
      </c>
      <c r="J30" s="32"/>
      <c r="K30" s="22" t="s">
        <v>34</v>
      </c>
      <c r="L30" s="22" t="s">
        <v>33</v>
      </c>
      <c r="M30" s="22" t="s">
        <v>34</v>
      </c>
      <c r="N30" s="22" t="s">
        <v>33</v>
      </c>
      <c r="O30" s="22" t="s">
        <v>33</v>
      </c>
      <c r="P30" s="22" t="s">
        <v>33</v>
      </c>
      <c r="Q30" s="32"/>
      <c r="R30" s="22" t="s">
        <v>34</v>
      </c>
      <c r="S30" s="22" t="s">
        <v>34</v>
      </c>
      <c r="T30" s="22" t="s">
        <v>34</v>
      </c>
      <c r="U30" s="22" t="s">
        <v>34</v>
      </c>
      <c r="V30" s="22" t="s">
        <v>33</v>
      </c>
      <c r="W30" s="22" t="s">
        <v>34</v>
      </c>
      <c r="X30" s="32"/>
      <c r="Y30" s="22" t="s">
        <v>34</v>
      </c>
      <c r="Z30" s="22" t="s">
        <v>34</v>
      </c>
      <c r="AA30" s="22" t="s">
        <v>33</v>
      </c>
      <c r="AB30" s="22" t="s">
        <v>34</v>
      </c>
      <c r="AC30" s="22" t="s">
        <v>33</v>
      </c>
      <c r="AD30" s="22" t="s">
        <v>34</v>
      </c>
      <c r="AE30" s="32"/>
      <c r="AF30" s="22" t="s">
        <v>34</v>
      </c>
      <c r="AG30" s="35"/>
      <c r="AH30" s="22" t="s">
        <v>33</v>
      </c>
      <c r="AI30" s="22" t="s">
        <v>34</v>
      </c>
      <c r="AJ30" s="22" t="s">
        <v>34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6">
        <v>27</v>
      </c>
      <c r="B31" s="14"/>
      <c r="C31" s="15" t="s">
        <v>86</v>
      </c>
      <c r="D31" s="16" t="s">
        <v>87</v>
      </c>
      <c r="E31" s="10" t="s">
        <v>20</v>
      </c>
      <c r="F31" s="22" t="s">
        <v>33</v>
      </c>
      <c r="G31" s="22" t="s">
        <v>33</v>
      </c>
      <c r="H31" s="22" t="s">
        <v>33</v>
      </c>
      <c r="I31" s="22" t="s">
        <v>33</v>
      </c>
      <c r="J31" s="32"/>
      <c r="K31" s="22" t="s">
        <v>33</v>
      </c>
      <c r="L31" s="22" t="s">
        <v>33</v>
      </c>
      <c r="M31" s="22" t="s">
        <v>33</v>
      </c>
      <c r="N31" s="22" t="s">
        <v>33</v>
      </c>
      <c r="O31" s="22" t="s">
        <v>33</v>
      </c>
      <c r="P31" s="22" t="s">
        <v>33</v>
      </c>
      <c r="Q31" s="32"/>
      <c r="R31" s="22" t="s">
        <v>33</v>
      </c>
      <c r="S31" s="22" t="s">
        <v>33</v>
      </c>
      <c r="T31" s="22" t="s">
        <v>33</v>
      </c>
      <c r="U31" s="22" t="s">
        <v>33</v>
      </c>
      <c r="V31" s="22" t="s">
        <v>33</v>
      </c>
      <c r="W31" s="22" t="s">
        <v>33</v>
      </c>
      <c r="X31" s="32"/>
      <c r="Y31" s="22" t="s">
        <v>33</v>
      </c>
      <c r="Z31" s="22" t="s">
        <v>33</v>
      </c>
      <c r="AA31" s="22" t="s">
        <v>33</v>
      </c>
      <c r="AB31" s="22" t="s">
        <v>33</v>
      </c>
      <c r="AC31" s="22" t="s">
        <v>33</v>
      </c>
      <c r="AD31" s="22" t="s">
        <v>33</v>
      </c>
      <c r="AE31" s="32"/>
      <c r="AF31" s="22" t="s">
        <v>33</v>
      </c>
      <c r="AG31" s="35"/>
      <c r="AH31" s="22" t="s">
        <v>33</v>
      </c>
      <c r="AI31" s="22" t="s">
        <v>33</v>
      </c>
      <c r="AJ31" s="22" t="s">
        <v>33</v>
      </c>
      <c r="AK31" s="5">
        <f t="shared" si="1"/>
        <v>0</v>
      </c>
      <c r="AL31" s="5">
        <f t="shared" si="2"/>
        <v>26</v>
      </c>
    </row>
    <row r="32" spans="1:42" ht="16.5" x14ac:dyDescent="0.25">
      <c r="A32" s="12">
        <v>28</v>
      </c>
      <c r="B32" s="14"/>
      <c r="C32" s="15" t="s">
        <v>88</v>
      </c>
      <c r="D32" s="16" t="s">
        <v>87</v>
      </c>
      <c r="E32" s="10" t="s">
        <v>20</v>
      </c>
      <c r="F32" s="22" t="s">
        <v>33</v>
      </c>
      <c r="G32" s="22" t="s">
        <v>33</v>
      </c>
      <c r="H32" s="22" t="s">
        <v>33</v>
      </c>
      <c r="I32" s="22" t="s">
        <v>33</v>
      </c>
      <c r="J32" s="32"/>
      <c r="K32" s="22" t="s">
        <v>33</v>
      </c>
      <c r="L32" s="22" t="s">
        <v>33</v>
      </c>
      <c r="M32" s="22" t="s">
        <v>33</v>
      </c>
      <c r="N32" s="22" t="s">
        <v>33</v>
      </c>
      <c r="O32" s="22" t="s">
        <v>33</v>
      </c>
      <c r="P32" s="22" t="s">
        <v>33</v>
      </c>
      <c r="Q32" s="32"/>
      <c r="R32" s="22" t="s">
        <v>33</v>
      </c>
      <c r="S32" s="22" t="s">
        <v>33</v>
      </c>
      <c r="T32" s="22" t="s">
        <v>33</v>
      </c>
      <c r="U32" s="22" t="s">
        <v>33</v>
      </c>
      <c r="V32" s="22" t="s">
        <v>33</v>
      </c>
      <c r="W32" s="22" t="s">
        <v>33</v>
      </c>
      <c r="X32" s="32"/>
      <c r="Y32" s="22" t="s">
        <v>33</v>
      </c>
      <c r="Z32" s="22" t="s">
        <v>33</v>
      </c>
      <c r="AA32" s="22" t="s">
        <v>33</v>
      </c>
      <c r="AB32" s="22" t="s">
        <v>33</v>
      </c>
      <c r="AC32" s="22" t="s">
        <v>33</v>
      </c>
      <c r="AD32" s="22" t="s">
        <v>33</v>
      </c>
      <c r="AE32" s="32"/>
      <c r="AF32" s="22" t="s">
        <v>33</v>
      </c>
      <c r="AG32" s="35"/>
      <c r="AH32" s="22" t="s">
        <v>33</v>
      </c>
      <c r="AI32" s="22" t="s">
        <v>33</v>
      </c>
      <c r="AJ32" s="22" t="s">
        <v>33</v>
      </c>
      <c r="AK32" s="5">
        <f t="shared" si="1"/>
        <v>0</v>
      </c>
      <c r="AL32" s="5">
        <f t="shared" si="2"/>
        <v>26</v>
      </c>
    </row>
    <row r="33" spans="1:38" ht="16.5" x14ac:dyDescent="0.25">
      <c r="A33" s="6">
        <v>1</v>
      </c>
      <c r="B33" s="14">
        <v>544</v>
      </c>
      <c r="C33" s="15" t="s">
        <v>89</v>
      </c>
      <c r="D33" s="16" t="s">
        <v>90</v>
      </c>
      <c r="E33" s="10" t="s">
        <v>20</v>
      </c>
      <c r="F33" s="22" t="s">
        <v>34</v>
      </c>
      <c r="G33" s="22" t="s">
        <v>34</v>
      </c>
      <c r="H33" s="22" t="s">
        <v>34</v>
      </c>
      <c r="I33" s="22" t="s">
        <v>34</v>
      </c>
      <c r="J33" s="32"/>
      <c r="K33" s="22" t="s">
        <v>34</v>
      </c>
      <c r="L33" s="22" t="s">
        <v>33</v>
      </c>
      <c r="M33" s="22" t="s">
        <v>34</v>
      </c>
      <c r="N33" s="22" t="s">
        <v>34</v>
      </c>
      <c r="O33" s="22" t="s">
        <v>34</v>
      </c>
      <c r="P33" s="22" t="s">
        <v>34</v>
      </c>
      <c r="Q33" s="32"/>
      <c r="R33" s="22" t="s">
        <v>34</v>
      </c>
      <c r="S33" s="22" t="s">
        <v>33</v>
      </c>
      <c r="T33" s="22" t="s">
        <v>34</v>
      </c>
      <c r="U33" s="22" t="s">
        <v>34</v>
      </c>
      <c r="V33" s="22" t="s">
        <v>34</v>
      </c>
      <c r="W33" s="22" t="s">
        <v>34</v>
      </c>
      <c r="X33" s="32"/>
      <c r="Y33" s="22" t="s">
        <v>34</v>
      </c>
      <c r="Z33" s="22" t="s">
        <v>34</v>
      </c>
      <c r="AA33" s="22" t="s">
        <v>34</v>
      </c>
      <c r="AB33" s="22" t="s">
        <v>34</v>
      </c>
      <c r="AC33" s="22" t="s">
        <v>34</v>
      </c>
      <c r="AD33" s="22" t="s">
        <v>34</v>
      </c>
      <c r="AE33" s="32"/>
      <c r="AF33" s="22" t="s">
        <v>34</v>
      </c>
      <c r="AG33" s="35"/>
      <c r="AH33" s="22" t="s">
        <v>34</v>
      </c>
      <c r="AI33" s="22" t="s">
        <v>34</v>
      </c>
      <c r="AJ33" s="22" t="s">
        <v>34</v>
      </c>
      <c r="AK33" s="5">
        <f t="shared" si="1"/>
        <v>24</v>
      </c>
      <c r="AL33" s="5">
        <f t="shared" si="2"/>
        <v>2</v>
      </c>
    </row>
    <row r="34" spans="1:38" ht="16.5" x14ac:dyDescent="0.25">
      <c r="A34" s="12">
        <v>2</v>
      </c>
      <c r="B34" s="14">
        <v>780</v>
      </c>
      <c r="C34" s="15" t="s">
        <v>91</v>
      </c>
      <c r="D34" s="16" t="s">
        <v>92</v>
      </c>
      <c r="E34" s="10" t="s">
        <v>20</v>
      </c>
      <c r="F34" s="22" t="s">
        <v>34</v>
      </c>
      <c r="G34" s="22" t="s">
        <v>34</v>
      </c>
      <c r="H34" s="22" t="s">
        <v>34</v>
      </c>
      <c r="I34" s="22" t="s">
        <v>33</v>
      </c>
      <c r="J34" s="32"/>
      <c r="K34" s="22" t="s">
        <v>34</v>
      </c>
      <c r="L34" s="22" t="s">
        <v>34</v>
      </c>
      <c r="M34" s="22" t="s">
        <v>34</v>
      </c>
      <c r="N34" s="22" t="s">
        <v>34</v>
      </c>
      <c r="O34" s="22" t="s">
        <v>34</v>
      </c>
      <c r="P34" s="22" t="s">
        <v>34</v>
      </c>
      <c r="Q34" s="32"/>
      <c r="R34" s="22" t="s">
        <v>34</v>
      </c>
      <c r="S34" s="22" t="s">
        <v>34</v>
      </c>
      <c r="T34" s="22" t="s">
        <v>34</v>
      </c>
      <c r="U34" s="22" t="s">
        <v>34</v>
      </c>
      <c r="V34" s="22" t="s">
        <v>34</v>
      </c>
      <c r="W34" s="22" t="s">
        <v>34</v>
      </c>
      <c r="X34" s="32"/>
      <c r="Y34" s="22" t="s">
        <v>34</v>
      </c>
      <c r="Z34" s="22" t="s">
        <v>34</v>
      </c>
      <c r="AA34" s="22" t="s">
        <v>34</v>
      </c>
      <c r="AB34" s="22" t="s">
        <v>34</v>
      </c>
      <c r="AC34" s="22" t="s">
        <v>34</v>
      </c>
      <c r="AD34" s="22" t="s">
        <v>34</v>
      </c>
      <c r="AE34" s="32"/>
      <c r="AF34" s="22" t="s">
        <v>34</v>
      </c>
      <c r="AG34" s="35"/>
      <c r="AH34" s="22" t="s">
        <v>34</v>
      </c>
      <c r="AI34" s="22" t="s">
        <v>34</v>
      </c>
      <c r="AJ34" s="22" t="s">
        <v>34</v>
      </c>
      <c r="AK34" s="5">
        <f t="shared" si="1"/>
        <v>25</v>
      </c>
      <c r="AL34" s="5">
        <f t="shared" si="2"/>
        <v>1</v>
      </c>
    </row>
    <row r="35" spans="1:38" ht="16.5" x14ac:dyDescent="0.25">
      <c r="A35" s="6">
        <v>3</v>
      </c>
      <c r="B35" s="14"/>
      <c r="C35" s="15" t="s">
        <v>125</v>
      </c>
      <c r="D35" s="16" t="s">
        <v>126</v>
      </c>
      <c r="E35" s="10" t="s">
        <v>20</v>
      </c>
      <c r="F35" s="22" t="s">
        <v>33</v>
      </c>
      <c r="G35" s="22" t="s">
        <v>33</v>
      </c>
      <c r="H35" s="22" t="s">
        <v>33</v>
      </c>
      <c r="I35" s="22" t="s">
        <v>33</v>
      </c>
      <c r="J35" s="32"/>
      <c r="K35" s="22" t="s">
        <v>34</v>
      </c>
      <c r="L35" s="22" t="s">
        <v>34</v>
      </c>
      <c r="M35" s="22" t="s">
        <v>34</v>
      </c>
      <c r="N35" s="22" t="s">
        <v>33</v>
      </c>
      <c r="O35" s="22" t="s">
        <v>34</v>
      </c>
      <c r="P35" s="22" t="s">
        <v>34</v>
      </c>
      <c r="Q35" s="32"/>
      <c r="R35" s="22" t="s">
        <v>34</v>
      </c>
      <c r="S35" s="22" t="s">
        <v>34</v>
      </c>
      <c r="T35" s="22" t="s">
        <v>34</v>
      </c>
      <c r="U35" s="22" t="s">
        <v>34</v>
      </c>
      <c r="V35" s="22" t="s">
        <v>34</v>
      </c>
      <c r="W35" s="22" t="s">
        <v>33</v>
      </c>
      <c r="X35" s="32"/>
      <c r="Y35" s="22" t="s">
        <v>34</v>
      </c>
      <c r="Z35" s="22" t="s">
        <v>34</v>
      </c>
      <c r="AA35" s="22" t="s">
        <v>34</v>
      </c>
      <c r="AB35" s="22" t="s">
        <v>34</v>
      </c>
      <c r="AC35" s="22" t="s">
        <v>34</v>
      </c>
      <c r="AD35" s="22" t="s">
        <v>33</v>
      </c>
      <c r="AE35" s="32"/>
      <c r="AF35" s="22" t="s">
        <v>34</v>
      </c>
      <c r="AG35" s="35"/>
      <c r="AH35" s="22" t="s">
        <v>34</v>
      </c>
      <c r="AI35" s="22" t="s">
        <v>33</v>
      </c>
      <c r="AJ35" s="22" t="s">
        <v>33</v>
      </c>
      <c r="AK35" s="5">
        <f t="shared" si="1"/>
        <v>17</v>
      </c>
      <c r="AL35" s="5">
        <f t="shared" si="2"/>
        <v>9</v>
      </c>
    </row>
    <row r="36" spans="1:38" ht="16.5" x14ac:dyDescent="0.25">
      <c r="A36" s="12">
        <v>4</v>
      </c>
      <c r="B36" s="14">
        <v>569</v>
      </c>
      <c r="C36" s="15" t="s">
        <v>93</v>
      </c>
      <c r="D36" s="16" t="s">
        <v>94</v>
      </c>
      <c r="E36" s="10" t="s">
        <v>20</v>
      </c>
      <c r="F36" s="22" t="s">
        <v>33</v>
      </c>
      <c r="G36" s="22" t="s">
        <v>34</v>
      </c>
      <c r="H36" s="22" t="s">
        <v>34</v>
      </c>
      <c r="I36" s="22" t="s">
        <v>34</v>
      </c>
      <c r="J36" s="32"/>
      <c r="K36" s="22" t="s">
        <v>34</v>
      </c>
      <c r="L36" s="22" t="s">
        <v>34</v>
      </c>
      <c r="M36" s="22" t="s">
        <v>34</v>
      </c>
      <c r="N36" s="22" t="s">
        <v>34</v>
      </c>
      <c r="O36" s="22" t="s">
        <v>34</v>
      </c>
      <c r="P36" s="22" t="s">
        <v>34</v>
      </c>
      <c r="Q36" s="32"/>
      <c r="R36" s="22" t="s">
        <v>34</v>
      </c>
      <c r="S36" s="22" t="s">
        <v>34</v>
      </c>
      <c r="T36" s="22" t="s">
        <v>34</v>
      </c>
      <c r="U36" s="22" t="s">
        <v>34</v>
      </c>
      <c r="V36" s="22" t="s">
        <v>34</v>
      </c>
      <c r="W36" s="22" t="s">
        <v>33</v>
      </c>
      <c r="X36" s="32"/>
      <c r="Y36" s="22" t="s">
        <v>34</v>
      </c>
      <c r="Z36" s="22" t="s">
        <v>34</v>
      </c>
      <c r="AA36" s="22" t="s">
        <v>34</v>
      </c>
      <c r="AB36" s="22" t="s">
        <v>34</v>
      </c>
      <c r="AC36" s="22" t="s">
        <v>34</v>
      </c>
      <c r="AD36" s="22" t="s">
        <v>34</v>
      </c>
      <c r="AE36" s="32"/>
      <c r="AF36" s="22" t="s">
        <v>33</v>
      </c>
      <c r="AG36" s="35"/>
      <c r="AH36" s="22" t="s">
        <v>34</v>
      </c>
      <c r="AI36" s="22" t="s">
        <v>34</v>
      </c>
      <c r="AJ36" s="22" t="s">
        <v>34</v>
      </c>
      <c r="AK36" s="5">
        <f t="shared" si="1"/>
        <v>23</v>
      </c>
      <c r="AL36" s="5">
        <f t="shared" si="2"/>
        <v>3</v>
      </c>
    </row>
    <row r="37" spans="1:38" ht="16.5" x14ac:dyDescent="0.25">
      <c r="A37" s="6">
        <v>5</v>
      </c>
      <c r="B37" s="14">
        <v>582</v>
      </c>
      <c r="C37" s="15" t="s">
        <v>31</v>
      </c>
      <c r="D37" s="16" t="s">
        <v>95</v>
      </c>
      <c r="E37" s="10" t="s">
        <v>20</v>
      </c>
      <c r="F37" s="22" t="s">
        <v>33</v>
      </c>
      <c r="G37" s="22" t="s">
        <v>33</v>
      </c>
      <c r="H37" s="22" t="s">
        <v>34</v>
      </c>
      <c r="I37" s="22" t="s">
        <v>33</v>
      </c>
      <c r="J37" s="32"/>
      <c r="K37" s="22" t="s">
        <v>33</v>
      </c>
      <c r="L37" s="22" t="s">
        <v>34</v>
      </c>
      <c r="M37" s="22" t="s">
        <v>34</v>
      </c>
      <c r="N37" s="22" t="s">
        <v>34</v>
      </c>
      <c r="O37" s="22" t="s">
        <v>33</v>
      </c>
      <c r="P37" s="22" t="s">
        <v>34</v>
      </c>
      <c r="Q37" s="32"/>
      <c r="R37" s="22" t="s">
        <v>34</v>
      </c>
      <c r="S37" s="22" t="s">
        <v>33</v>
      </c>
      <c r="T37" s="22" t="s">
        <v>34</v>
      </c>
      <c r="U37" s="22" t="s">
        <v>34</v>
      </c>
      <c r="V37" s="22" t="s">
        <v>34</v>
      </c>
      <c r="W37" s="22" t="s">
        <v>34</v>
      </c>
      <c r="X37" s="32"/>
      <c r="Y37" s="22" t="s">
        <v>34</v>
      </c>
      <c r="Z37" s="22" t="s">
        <v>34</v>
      </c>
      <c r="AA37" s="22" t="s">
        <v>33</v>
      </c>
      <c r="AB37" s="22" t="s">
        <v>34</v>
      </c>
      <c r="AC37" s="22" t="s">
        <v>34</v>
      </c>
      <c r="AD37" s="22" t="s">
        <v>34</v>
      </c>
      <c r="AE37" s="32"/>
      <c r="AF37" s="22" t="s">
        <v>33</v>
      </c>
      <c r="AG37" s="35"/>
      <c r="AH37" s="22" t="s">
        <v>34</v>
      </c>
      <c r="AI37" s="22" t="s">
        <v>34</v>
      </c>
      <c r="AJ37" s="22" t="s">
        <v>34</v>
      </c>
      <c r="AK37" s="5">
        <f t="shared" si="1"/>
        <v>18</v>
      </c>
      <c r="AL37" s="5">
        <f t="shared" si="2"/>
        <v>8</v>
      </c>
    </row>
    <row r="38" spans="1:38" ht="16.5" x14ac:dyDescent="0.25">
      <c r="A38" s="12">
        <v>6</v>
      </c>
      <c r="B38" s="14">
        <v>574</v>
      </c>
      <c r="C38" s="15" t="s">
        <v>96</v>
      </c>
      <c r="D38" s="16" t="s">
        <v>97</v>
      </c>
      <c r="E38" s="10" t="s">
        <v>20</v>
      </c>
      <c r="F38" s="22" t="s">
        <v>33</v>
      </c>
      <c r="G38" s="22" t="s">
        <v>34</v>
      </c>
      <c r="H38" s="22" t="s">
        <v>34</v>
      </c>
      <c r="I38" s="22" t="s">
        <v>33</v>
      </c>
      <c r="J38" s="32"/>
      <c r="K38" s="22" t="s">
        <v>33</v>
      </c>
      <c r="L38" s="22" t="s">
        <v>34</v>
      </c>
      <c r="M38" s="22" t="s">
        <v>34</v>
      </c>
      <c r="N38" s="22" t="s">
        <v>34</v>
      </c>
      <c r="O38" s="22" t="s">
        <v>34</v>
      </c>
      <c r="P38" s="22" t="s">
        <v>34</v>
      </c>
      <c r="Q38" s="32"/>
      <c r="R38" s="22" t="s">
        <v>34</v>
      </c>
      <c r="S38" s="22" t="s">
        <v>33</v>
      </c>
      <c r="T38" s="22" t="s">
        <v>35</v>
      </c>
      <c r="U38" s="22" t="s">
        <v>34</v>
      </c>
      <c r="V38" s="22" t="s">
        <v>34</v>
      </c>
      <c r="W38" s="22" t="s">
        <v>34</v>
      </c>
      <c r="X38" s="32"/>
      <c r="Y38" s="22" t="s">
        <v>34</v>
      </c>
      <c r="Z38" s="22" t="s">
        <v>34</v>
      </c>
      <c r="AA38" s="22" t="s">
        <v>33</v>
      </c>
      <c r="AB38" s="22" t="s">
        <v>34</v>
      </c>
      <c r="AC38" s="22" t="s">
        <v>34</v>
      </c>
      <c r="AD38" s="22" t="s">
        <v>33</v>
      </c>
      <c r="AE38" s="32"/>
      <c r="AF38" s="22" t="s">
        <v>34</v>
      </c>
      <c r="AG38" s="35"/>
      <c r="AH38" s="22" t="s">
        <v>34</v>
      </c>
      <c r="AI38" s="22" t="s">
        <v>33</v>
      </c>
      <c r="AJ38" s="22" t="s">
        <v>34</v>
      </c>
      <c r="AK38" s="5">
        <f t="shared" si="1"/>
        <v>18</v>
      </c>
      <c r="AL38" s="5">
        <f t="shared" si="2"/>
        <v>7</v>
      </c>
    </row>
    <row r="39" spans="1:38" ht="16.5" x14ac:dyDescent="0.25">
      <c r="A39" s="6">
        <v>7</v>
      </c>
      <c r="B39" s="14">
        <v>526</v>
      </c>
      <c r="C39" s="15" t="s">
        <v>100</v>
      </c>
      <c r="D39" s="16" t="s">
        <v>47</v>
      </c>
      <c r="E39" s="10" t="s">
        <v>20</v>
      </c>
      <c r="F39" s="22" t="s">
        <v>34</v>
      </c>
      <c r="G39" s="22" t="s">
        <v>34</v>
      </c>
      <c r="H39" s="22" t="s">
        <v>34</v>
      </c>
      <c r="I39" s="22" t="s">
        <v>34</v>
      </c>
      <c r="J39" s="32"/>
      <c r="K39" s="22" t="s">
        <v>34</v>
      </c>
      <c r="L39" s="22" t="s">
        <v>34</v>
      </c>
      <c r="M39" s="22" t="s">
        <v>34</v>
      </c>
      <c r="N39" s="22" t="s">
        <v>34</v>
      </c>
      <c r="O39" s="22" t="s">
        <v>34</v>
      </c>
      <c r="P39" s="22" t="s">
        <v>34</v>
      </c>
      <c r="Q39" s="32"/>
      <c r="R39" s="22" t="s">
        <v>34</v>
      </c>
      <c r="S39" s="22" t="s">
        <v>34</v>
      </c>
      <c r="T39" s="22" t="s">
        <v>34</v>
      </c>
      <c r="U39" s="22" t="s">
        <v>34</v>
      </c>
      <c r="V39" s="22" t="s">
        <v>34</v>
      </c>
      <c r="W39" s="22" t="s">
        <v>34</v>
      </c>
      <c r="X39" s="32"/>
      <c r="Y39" s="22" t="s">
        <v>34</v>
      </c>
      <c r="Z39" s="22" t="s">
        <v>34</v>
      </c>
      <c r="AA39" s="22" t="s">
        <v>34</v>
      </c>
      <c r="AB39" s="22" t="s">
        <v>34</v>
      </c>
      <c r="AC39" s="22" t="s">
        <v>34</v>
      </c>
      <c r="AD39" s="22" t="s">
        <v>34</v>
      </c>
      <c r="AE39" s="32"/>
      <c r="AF39" s="22" t="s">
        <v>34</v>
      </c>
      <c r="AG39" s="35"/>
      <c r="AH39" s="22" t="s">
        <v>34</v>
      </c>
      <c r="AI39" s="22" t="s">
        <v>34</v>
      </c>
      <c r="AJ39" s="22" t="s">
        <v>34</v>
      </c>
      <c r="AK39" s="5">
        <f t="shared" si="1"/>
        <v>26</v>
      </c>
      <c r="AL39" s="5">
        <f t="shared" si="2"/>
        <v>0</v>
      </c>
    </row>
    <row r="40" spans="1:38" ht="16.5" x14ac:dyDescent="0.25">
      <c r="A40" s="12">
        <v>8</v>
      </c>
      <c r="B40" s="14"/>
      <c r="C40" s="15" t="s">
        <v>37</v>
      </c>
      <c r="D40" s="16" t="s">
        <v>40</v>
      </c>
      <c r="E40" s="10" t="s">
        <v>20</v>
      </c>
      <c r="F40" s="22" t="s">
        <v>33</v>
      </c>
      <c r="G40" s="22" t="s">
        <v>34</v>
      </c>
      <c r="H40" s="22" t="s">
        <v>34</v>
      </c>
      <c r="I40" s="22" t="s">
        <v>33</v>
      </c>
      <c r="J40" s="32"/>
      <c r="K40" s="22" t="s">
        <v>34</v>
      </c>
      <c r="L40" s="22" t="s">
        <v>34</v>
      </c>
      <c r="M40" s="22" t="s">
        <v>34</v>
      </c>
      <c r="N40" s="22" t="s">
        <v>34</v>
      </c>
      <c r="O40" s="22" t="s">
        <v>34</v>
      </c>
      <c r="P40" s="22" t="s">
        <v>34</v>
      </c>
      <c r="Q40" s="32"/>
      <c r="R40" s="22" t="s">
        <v>34</v>
      </c>
      <c r="S40" s="22" t="s">
        <v>33</v>
      </c>
      <c r="T40" s="22" t="s">
        <v>34</v>
      </c>
      <c r="U40" s="22" t="s">
        <v>34</v>
      </c>
      <c r="V40" s="22" t="s">
        <v>34</v>
      </c>
      <c r="W40" s="22" t="s">
        <v>34</v>
      </c>
      <c r="X40" s="32"/>
      <c r="Y40" s="22" t="s">
        <v>34</v>
      </c>
      <c r="Z40" s="22" t="s">
        <v>34</v>
      </c>
      <c r="AA40" s="22" t="s">
        <v>34</v>
      </c>
      <c r="AB40" s="22" t="s">
        <v>34</v>
      </c>
      <c r="AC40" s="22" t="s">
        <v>33</v>
      </c>
      <c r="AD40" s="22" t="s">
        <v>33</v>
      </c>
      <c r="AE40" s="32"/>
      <c r="AF40" s="22" t="s">
        <v>34</v>
      </c>
      <c r="AG40" s="35"/>
      <c r="AH40" s="22" t="s">
        <v>34</v>
      </c>
      <c r="AI40" s="22" t="s">
        <v>34</v>
      </c>
      <c r="AJ40" s="22" t="s">
        <v>34</v>
      </c>
      <c r="AK40" s="5">
        <f t="shared" si="1"/>
        <v>21</v>
      </c>
      <c r="AL40" s="5">
        <f t="shared" si="2"/>
        <v>5</v>
      </c>
    </row>
    <row r="41" spans="1:38" ht="16.5" x14ac:dyDescent="0.25">
      <c r="A41" s="6">
        <v>9</v>
      </c>
      <c r="B41" s="14">
        <v>537</v>
      </c>
      <c r="C41" s="15" t="s">
        <v>101</v>
      </c>
      <c r="D41" s="16" t="s">
        <v>102</v>
      </c>
      <c r="E41" s="10" t="s">
        <v>20</v>
      </c>
      <c r="F41" s="22" t="s">
        <v>33</v>
      </c>
      <c r="G41" s="22" t="s">
        <v>34</v>
      </c>
      <c r="H41" s="22" t="s">
        <v>33</v>
      </c>
      <c r="I41" s="22" t="s">
        <v>33</v>
      </c>
      <c r="J41" s="32"/>
      <c r="K41" s="22" t="s">
        <v>34</v>
      </c>
      <c r="L41" s="22" t="s">
        <v>34</v>
      </c>
      <c r="M41" s="22" t="s">
        <v>34</v>
      </c>
      <c r="N41" s="22" t="s">
        <v>34</v>
      </c>
      <c r="O41" s="22" t="s">
        <v>34</v>
      </c>
      <c r="P41" s="22" t="s">
        <v>34</v>
      </c>
      <c r="Q41" s="32"/>
      <c r="R41" s="22" t="s">
        <v>34</v>
      </c>
      <c r="S41" s="22" t="s">
        <v>34</v>
      </c>
      <c r="T41" s="22" t="s">
        <v>34</v>
      </c>
      <c r="U41" s="22" t="s">
        <v>34</v>
      </c>
      <c r="V41" s="22" t="s">
        <v>34</v>
      </c>
      <c r="W41" s="22" t="s">
        <v>34</v>
      </c>
      <c r="X41" s="32"/>
      <c r="Y41" s="22" t="s">
        <v>34</v>
      </c>
      <c r="Z41" s="22" t="s">
        <v>34</v>
      </c>
      <c r="AA41" s="22" t="s">
        <v>34</v>
      </c>
      <c r="AB41" s="22" t="s">
        <v>34</v>
      </c>
      <c r="AC41" s="22" t="s">
        <v>34</v>
      </c>
      <c r="AD41" s="22" t="s">
        <v>34</v>
      </c>
      <c r="AE41" s="32"/>
      <c r="AF41" s="22" t="s">
        <v>34</v>
      </c>
      <c r="AG41" s="35"/>
      <c r="AH41" s="22" t="s">
        <v>34</v>
      </c>
      <c r="AI41" s="22" t="s">
        <v>34</v>
      </c>
      <c r="AJ41" s="22" t="s">
        <v>34</v>
      </c>
      <c r="AK41" s="5">
        <f t="shared" si="1"/>
        <v>23</v>
      </c>
      <c r="AL41" s="5">
        <f t="shared" si="2"/>
        <v>3</v>
      </c>
    </row>
    <row r="42" spans="1:38" ht="16.5" x14ac:dyDescent="0.25">
      <c r="A42" s="12">
        <v>10</v>
      </c>
      <c r="B42" s="14">
        <v>584</v>
      </c>
      <c r="C42" s="15" t="s">
        <v>50</v>
      </c>
      <c r="D42" s="16" t="s">
        <v>51</v>
      </c>
      <c r="E42" s="10" t="s">
        <v>20</v>
      </c>
      <c r="F42" s="22" t="s">
        <v>33</v>
      </c>
      <c r="G42" s="22" t="s">
        <v>33</v>
      </c>
      <c r="H42" s="22" t="s">
        <v>33</v>
      </c>
      <c r="I42" s="22" t="s">
        <v>33</v>
      </c>
      <c r="J42" s="32"/>
      <c r="K42" s="22" t="s">
        <v>33</v>
      </c>
      <c r="L42" s="22" t="s">
        <v>34</v>
      </c>
      <c r="M42" s="22" t="s">
        <v>34</v>
      </c>
      <c r="N42" s="22" t="s">
        <v>34</v>
      </c>
      <c r="O42" s="22" t="s">
        <v>34</v>
      </c>
      <c r="P42" s="22" t="s">
        <v>34</v>
      </c>
      <c r="Q42" s="32"/>
      <c r="R42" s="22" t="s">
        <v>34</v>
      </c>
      <c r="S42" s="22" t="s">
        <v>34</v>
      </c>
      <c r="T42" s="22" t="s">
        <v>34</v>
      </c>
      <c r="U42" s="22" t="s">
        <v>34</v>
      </c>
      <c r="V42" s="22" t="s">
        <v>34</v>
      </c>
      <c r="W42" s="22" t="s">
        <v>34</v>
      </c>
      <c r="X42" s="32"/>
      <c r="Y42" s="22" t="s">
        <v>34</v>
      </c>
      <c r="Z42" s="22" t="s">
        <v>34</v>
      </c>
      <c r="AA42" s="22" t="s">
        <v>34</v>
      </c>
      <c r="AB42" s="22" t="s">
        <v>34</v>
      </c>
      <c r="AC42" s="22" t="s">
        <v>34</v>
      </c>
      <c r="AD42" s="22" t="s">
        <v>34</v>
      </c>
      <c r="AE42" s="32"/>
      <c r="AF42" s="22" t="s">
        <v>34</v>
      </c>
      <c r="AG42" s="35"/>
      <c r="AH42" s="22" t="s">
        <v>34</v>
      </c>
      <c r="AI42" s="22" t="s">
        <v>34</v>
      </c>
      <c r="AJ42" s="22" t="s">
        <v>34</v>
      </c>
      <c r="AK42" s="5">
        <f t="shared" si="1"/>
        <v>21</v>
      </c>
      <c r="AL42" s="5">
        <f t="shared" si="2"/>
        <v>5</v>
      </c>
    </row>
    <row r="43" spans="1:38" ht="16.5" x14ac:dyDescent="0.25">
      <c r="A43" s="6">
        <v>11</v>
      </c>
      <c r="B43" s="14">
        <v>520</v>
      </c>
      <c r="C43" s="15" t="s">
        <v>50</v>
      </c>
      <c r="D43" s="16" t="s">
        <v>103</v>
      </c>
      <c r="E43" s="10" t="s">
        <v>20</v>
      </c>
      <c r="F43" s="22" t="s">
        <v>33</v>
      </c>
      <c r="G43" s="22" t="s">
        <v>33</v>
      </c>
      <c r="H43" s="22" t="s">
        <v>33</v>
      </c>
      <c r="I43" s="22" t="s">
        <v>33</v>
      </c>
      <c r="J43" s="32"/>
      <c r="K43" s="22" t="s">
        <v>34</v>
      </c>
      <c r="L43" s="22" t="s">
        <v>34</v>
      </c>
      <c r="M43" s="22" t="s">
        <v>34</v>
      </c>
      <c r="N43" s="22" t="s">
        <v>34</v>
      </c>
      <c r="O43" s="22" t="s">
        <v>34</v>
      </c>
      <c r="P43" s="22" t="s">
        <v>34</v>
      </c>
      <c r="Q43" s="32"/>
      <c r="R43" s="22" t="s">
        <v>34</v>
      </c>
      <c r="S43" s="22" t="s">
        <v>34</v>
      </c>
      <c r="T43" s="22" t="s">
        <v>34</v>
      </c>
      <c r="U43" s="22" t="s">
        <v>34</v>
      </c>
      <c r="V43" s="22" t="s">
        <v>34</v>
      </c>
      <c r="W43" s="22" t="s">
        <v>34</v>
      </c>
      <c r="X43" s="32"/>
      <c r="Y43" s="22" t="s">
        <v>34</v>
      </c>
      <c r="Z43" s="22" t="s">
        <v>33</v>
      </c>
      <c r="AA43" s="22" t="s">
        <v>33</v>
      </c>
      <c r="AB43" s="22" t="s">
        <v>34</v>
      </c>
      <c r="AC43" s="22" t="s">
        <v>34</v>
      </c>
      <c r="AD43" s="22" t="s">
        <v>33</v>
      </c>
      <c r="AE43" s="32"/>
      <c r="AF43" s="22" t="s">
        <v>33</v>
      </c>
      <c r="AG43" s="35"/>
      <c r="AH43" s="22" t="s">
        <v>33</v>
      </c>
      <c r="AI43" s="22" t="s">
        <v>34</v>
      </c>
      <c r="AJ43" s="22" t="s">
        <v>34</v>
      </c>
      <c r="AK43" s="5">
        <f t="shared" si="1"/>
        <v>17</v>
      </c>
      <c r="AL43" s="5">
        <f t="shared" si="2"/>
        <v>9</v>
      </c>
    </row>
    <row r="44" spans="1:38" ht="16.5" x14ac:dyDescent="0.25">
      <c r="A44" s="12">
        <v>12</v>
      </c>
      <c r="B44" s="14"/>
      <c r="C44" s="15" t="s">
        <v>129</v>
      </c>
      <c r="D44" s="16" t="s">
        <v>130</v>
      </c>
      <c r="E44" s="10" t="s">
        <v>20</v>
      </c>
      <c r="F44" s="22" t="s">
        <v>34</v>
      </c>
      <c r="G44" s="22" t="s">
        <v>34</v>
      </c>
      <c r="H44" s="22" t="s">
        <v>34</v>
      </c>
      <c r="I44" s="22" t="s">
        <v>33</v>
      </c>
      <c r="J44" s="32"/>
      <c r="K44" s="22" t="s">
        <v>33</v>
      </c>
      <c r="L44" s="22" t="s">
        <v>34</v>
      </c>
      <c r="M44" s="22" t="s">
        <v>34</v>
      </c>
      <c r="N44" s="22" t="s">
        <v>34</v>
      </c>
      <c r="O44" s="22" t="s">
        <v>34</v>
      </c>
      <c r="P44" s="22" t="s">
        <v>34</v>
      </c>
      <c r="Q44" s="32"/>
      <c r="R44" s="22" t="s">
        <v>34</v>
      </c>
      <c r="S44" s="22" t="s">
        <v>34</v>
      </c>
      <c r="T44" s="22" t="s">
        <v>34</v>
      </c>
      <c r="U44" s="22" t="s">
        <v>34</v>
      </c>
      <c r="V44" s="22" t="s">
        <v>34</v>
      </c>
      <c r="W44" s="22" t="s">
        <v>34</v>
      </c>
      <c r="X44" s="32"/>
      <c r="Y44" s="22" t="s">
        <v>34</v>
      </c>
      <c r="Z44" s="22" t="s">
        <v>34</v>
      </c>
      <c r="AA44" s="22" t="s">
        <v>34</v>
      </c>
      <c r="AB44" s="22" t="s">
        <v>34</v>
      </c>
      <c r="AC44" s="22" t="s">
        <v>34</v>
      </c>
      <c r="AD44" s="22" t="s">
        <v>34</v>
      </c>
      <c r="AE44" s="32"/>
      <c r="AF44" s="22" t="s">
        <v>34</v>
      </c>
      <c r="AG44" s="35"/>
      <c r="AH44" s="22" t="s">
        <v>34</v>
      </c>
      <c r="AI44" s="22" t="s">
        <v>34</v>
      </c>
      <c r="AJ44" s="22" t="s">
        <v>34</v>
      </c>
      <c r="AK44" s="5">
        <f t="shared" si="1"/>
        <v>24</v>
      </c>
      <c r="AL44" s="5">
        <f t="shared" si="2"/>
        <v>2</v>
      </c>
    </row>
    <row r="45" spans="1:38" ht="16.5" x14ac:dyDescent="0.25">
      <c r="A45" s="6">
        <v>13</v>
      </c>
      <c r="B45" s="14">
        <v>687</v>
      </c>
      <c r="C45" s="15" t="s">
        <v>105</v>
      </c>
      <c r="D45" s="16" t="s">
        <v>106</v>
      </c>
      <c r="E45" s="10" t="s">
        <v>20</v>
      </c>
      <c r="F45" s="22" t="s">
        <v>34</v>
      </c>
      <c r="G45" s="22" t="s">
        <v>34</v>
      </c>
      <c r="H45" s="22" t="s">
        <v>34</v>
      </c>
      <c r="I45" s="22" t="s">
        <v>34</v>
      </c>
      <c r="J45" s="32"/>
      <c r="K45" s="22" t="s">
        <v>34</v>
      </c>
      <c r="L45" s="22" t="s">
        <v>34</v>
      </c>
      <c r="M45" s="22" t="s">
        <v>34</v>
      </c>
      <c r="N45" s="22" t="s">
        <v>34</v>
      </c>
      <c r="O45" s="22" t="s">
        <v>35</v>
      </c>
      <c r="P45" s="22" t="s">
        <v>35</v>
      </c>
      <c r="Q45" s="32"/>
      <c r="R45" s="22" t="s">
        <v>34</v>
      </c>
      <c r="S45" s="22" t="s">
        <v>34</v>
      </c>
      <c r="T45" s="22" t="s">
        <v>34</v>
      </c>
      <c r="U45" s="22" t="s">
        <v>34</v>
      </c>
      <c r="V45" s="22" t="s">
        <v>34</v>
      </c>
      <c r="W45" s="22" t="s">
        <v>34</v>
      </c>
      <c r="X45" s="32"/>
      <c r="Y45" s="22" t="s">
        <v>34</v>
      </c>
      <c r="Z45" s="22" t="s">
        <v>34</v>
      </c>
      <c r="AA45" s="22" t="s">
        <v>34</v>
      </c>
      <c r="AB45" s="22" t="s">
        <v>34</v>
      </c>
      <c r="AC45" s="22" t="s">
        <v>34</v>
      </c>
      <c r="AD45" s="22" t="s">
        <v>34</v>
      </c>
      <c r="AE45" s="32"/>
      <c r="AF45" s="22" t="s">
        <v>34</v>
      </c>
      <c r="AG45" s="35"/>
      <c r="AH45" s="22" t="s">
        <v>34</v>
      </c>
      <c r="AI45" s="22" t="s">
        <v>34</v>
      </c>
      <c r="AJ45" s="22" t="s">
        <v>34</v>
      </c>
      <c r="AK45" s="5">
        <f t="shared" si="1"/>
        <v>24</v>
      </c>
      <c r="AL45" s="5">
        <f t="shared" si="2"/>
        <v>0</v>
      </c>
    </row>
    <row r="46" spans="1:38" ht="16.5" x14ac:dyDescent="0.25">
      <c r="A46" s="12">
        <v>14</v>
      </c>
      <c r="B46" s="14">
        <v>649</v>
      </c>
      <c r="C46" s="15" t="s">
        <v>121</v>
      </c>
      <c r="D46" s="16" t="s">
        <v>122</v>
      </c>
      <c r="E46" s="10" t="s">
        <v>20</v>
      </c>
      <c r="F46" s="22" t="s">
        <v>33</v>
      </c>
      <c r="G46" s="22" t="s">
        <v>34</v>
      </c>
      <c r="H46" s="22" t="s">
        <v>34</v>
      </c>
      <c r="I46" s="22" t="s">
        <v>33</v>
      </c>
      <c r="J46" s="32"/>
      <c r="K46" s="22" t="s">
        <v>34</v>
      </c>
      <c r="L46" s="22" t="s">
        <v>34</v>
      </c>
      <c r="M46" s="22" t="s">
        <v>34</v>
      </c>
      <c r="N46" s="22" t="s">
        <v>34</v>
      </c>
      <c r="O46" s="22" t="s">
        <v>33</v>
      </c>
      <c r="P46" s="22" t="s">
        <v>34</v>
      </c>
      <c r="Q46" s="32"/>
      <c r="R46" s="22" t="s">
        <v>34</v>
      </c>
      <c r="S46" s="22" t="s">
        <v>34</v>
      </c>
      <c r="T46" s="22" t="s">
        <v>34</v>
      </c>
      <c r="U46" s="22" t="s">
        <v>34</v>
      </c>
      <c r="V46" s="22" t="s">
        <v>33</v>
      </c>
      <c r="W46" s="22" t="s">
        <v>34</v>
      </c>
      <c r="X46" s="32"/>
      <c r="Y46" s="22" t="s">
        <v>34</v>
      </c>
      <c r="Z46" s="22" t="s">
        <v>34</v>
      </c>
      <c r="AA46" s="22" t="s">
        <v>34</v>
      </c>
      <c r="AB46" s="22" t="s">
        <v>33</v>
      </c>
      <c r="AC46" s="22" t="s">
        <v>34</v>
      </c>
      <c r="AD46" s="22" t="s">
        <v>33</v>
      </c>
      <c r="AE46" s="32"/>
      <c r="AF46" s="22" t="s">
        <v>34</v>
      </c>
      <c r="AG46" s="35"/>
      <c r="AH46" s="22" t="s">
        <v>34</v>
      </c>
      <c r="AI46" s="22" t="s">
        <v>34</v>
      </c>
      <c r="AJ46" s="22" t="s">
        <v>34</v>
      </c>
      <c r="AK46" s="5">
        <f t="shared" si="1"/>
        <v>20</v>
      </c>
      <c r="AL46" s="5">
        <f t="shared" si="2"/>
        <v>6</v>
      </c>
    </row>
    <row r="47" spans="1:38" ht="16.5" x14ac:dyDescent="0.25">
      <c r="A47" s="6">
        <v>15</v>
      </c>
      <c r="B47" s="14">
        <v>686</v>
      </c>
      <c r="C47" s="15" t="s">
        <v>110</v>
      </c>
      <c r="D47" s="16" t="s">
        <v>38</v>
      </c>
      <c r="E47" s="10" t="s">
        <v>20</v>
      </c>
      <c r="F47" s="22" t="s">
        <v>33</v>
      </c>
      <c r="G47" s="22" t="s">
        <v>34</v>
      </c>
      <c r="H47" s="22" t="s">
        <v>33</v>
      </c>
      <c r="I47" s="22" t="s">
        <v>33</v>
      </c>
      <c r="J47" s="32"/>
      <c r="K47" s="22" t="s">
        <v>34</v>
      </c>
      <c r="L47" s="22" t="s">
        <v>34</v>
      </c>
      <c r="M47" s="22" t="s">
        <v>34</v>
      </c>
      <c r="N47" s="22" t="s">
        <v>34</v>
      </c>
      <c r="O47" s="22" t="s">
        <v>34</v>
      </c>
      <c r="P47" s="22" t="s">
        <v>34</v>
      </c>
      <c r="Q47" s="32"/>
      <c r="R47" s="22" t="s">
        <v>34</v>
      </c>
      <c r="S47" s="22" t="s">
        <v>34</v>
      </c>
      <c r="T47" s="22" t="s">
        <v>34</v>
      </c>
      <c r="U47" s="22" t="s">
        <v>34</v>
      </c>
      <c r="V47" s="22" t="s">
        <v>34</v>
      </c>
      <c r="W47" s="22" t="s">
        <v>34</v>
      </c>
      <c r="X47" s="32"/>
      <c r="Y47" s="22" t="s">
        <v>34</v>
      </c>
      <c r="Z47" s="22" t="s">
        <v>34</v>
      </c>
      <c r="AA47" s="22" t="s">
        <v>34</v>
      </c>
      <c r="AB47" s="22" t="s">
        <v>34</v>
      </c>
      <c r="AC47" s="22" t="s">
        <v>34</v>
      </c>
      <c r="AD47" s="22" t="s">
        <v>33</v>
      </c>
      <c r="AE47" s="32"/>
      <c r="AF47" s="22" t="s">
        <v>34</v>
      </c>
      <c r="AG47" s="35"/>
      <c r="AH47" s="22" t="s">
        <v>33</v>
      </c>
      <c r="AI47" s="22" t="s">
        <v>34</v>
      </c>
      <c r="AJ47" s="22" t="s">
        <v>34</v>
      </c>
      <c r="AK47" s="5">
        <f t="shared" si="1"/>
        <v>21</v>
      </c>
      <c r="AL47" s="5">
        <f t="shared" si="2"/>
        <v>5</v>
      </c>
    </row>
    <row r="48" spans="1:38" ht="16.5" x14ac:dyDescent="0.25">
      <c r="A48" s="12">
        <v>16</v>
      </c>
      <c r="B48" s="14">
        <v>581</v>
      </c>
      <c r="C48" s="15" t="s">
        <v>107</v>
      </c>
      <c r="D48" s="16" t="s">
        <v>39</v>
      </c>
      <c r="E48" s="10" t="s">
        <v>20</v>
      </c>
      <c r="F48" s="22" t="s">
        <v>33</v>
      </c>
      <c r="G48" s="22" t="s">
        <v>33</v>
      </c>
      <c r="H48" s="22" t="s">
        <v>33</v>
      </c>
      <c r="I48" s="22" t="s">
        <v>33</v>
      </c>
      <c r="J48" s="32"/>
      <c r="K48" s="22" t="s">
        <v>34</v>
      </c>
      <c r="L48" s="22" t="s">
        <v>34</v>
      </c>
      <c r="M48" s="22" t="s">
        <v>34</v>
      </c>
      <c r="N48" s="22" t="s">
        <v>34</v>
      </c>
      <c r="O48" s="22" t="s">
        <v>33</v>
      </c>
      <c r="P48" s="22" t="s">
        <v>34</v>
      </c>
      <c r="Q48" s="32"/>
      <c r="R48" s="22" t="s">
        <v>34</v>
      </c>
      <c r="S48" s="22" t="s">
        <v>34</v>
      </c>
      <c r="T48" s="22" t="s">
        <v>34</v>
      </c>
      <c r="U48" s="22" t="s">
        <v>34</v>
      </c>
      <c r="V48" s="22" t="s">
        <v>34</v>
      </c>
      <c r="W48" s="22" t="s">
        <v>33</v>
      </c>
      <c r="X48" s="32"/>
      <c r="Y48" s="22" t="s">
        <v>33</v>
      </c>
      <c r="Z48" s="22" t="s">
        <v>34</v>
      </c>
      <c r="AA48" s="22" t="s">
        <v>33</v>
      </c>
      <c r="AB48" s="22" t="s">
        <v>33</v>
      </c>
      <c r="AC48" s="22" t="s">
        <v>33</v>
      </c>
      <c r="AD48" s="22" t="s">
        <v>33</v>
      </c>
      <c r="AE48" s="32"/>
      <c r="AF48" s="22" t="s">
        <v>33</v>
      </c>
      <c r="AG48" s="35"/>
      <c r="AH48" s="22" t="s">
        <v>34</v>
      </c>
      <c r="AI48" s="22" t="s">
        <v>34</v>
      </c>
      <c r="AJ48" s="22" t="s">
        <v>34</v>
      </c>
      <c r="AK48" s="5">
        <f t="shared" si="1"/>
        <v>14</v>
      </c>
      <c r="AL48" s="5">
        <f t="shared" si="2"/>
        <v>12</v>
      </c>
    </row>
    <row r="49" spans="1:38" ht="16.5" x14ac:dyDescent="0.25">
      <c r="A49" s="6">
        <v>17</v>
      </c>
      <c r="B49" s="14">
        <v>588</v>
      </c>
      <c r="C49" s="15" t="s">
        <v>108</v>
      </c>
      <c r="D49" s="16" t="s">
        <v>109</v>
      </c>
      <c r="E49" s="10" t="s">
        <v>20</v>
      </c>
      <c r="F49" s="22" t="s">
        <v>33</v>
      </c>
      <c r="G49" s="22" t="s">
        <v>33</v>
      </c>
      <c r="H49" s="22" t="s">
        <v>33</v>
      </c>
      <c r="I49" s="22" t="s">
        <v>33</v>
      </c>
      <c r="J49" s="32"/>
      <c r="K49" s="22" t="s">
        <v>34</v>
      </c>
      <c r="L49" s="22" t="s">
        <v>34</v>
      </c>
      <c r="M49" s="22" t="s">
        <v>34</v>
      </c>
      <c r="N49" s="22" t="s">
        <v>34</v>
      </c>
      <c r="O49" s="22" t="s">
        <v>33</v>
      </c>
      <c r="P49" s="22" t="s">
        <v>34</v>
      </c>
      <c r="Q49" s="32"/>
      <c r="R49" s="22" t="s">
        <v>34</v>
      </c>
      <c r="S49" s="22" t="s">
        <v>34</v>
      </c>
      <c r="T49" s="22" t="s">
        <v>34</v>
      </c>
      <c r="U49" s="22" t="s">
        <v>34</v>
      </c>
      <c r="V49" s="22" t="s">
        <v>34</v>
      </c>
      <c r="W49" s="22" t="s">
        <v>33</v>
      </c>
      <c r="X49" s="32"/>
      <c r="Y49" s="22" t="s">
        <v>34</v>
      </c>
      <c r="Z49" s="22" t="s">
        <v>33</v>
      </c>
      <c r="AA49" s="22" t="s">
        <v>33</v>
      </c>
      <c r="AB49" s="22" t="s">
        <v>34</v>
      </c>
      <c r="AC49" s="22" t="s">
        <v>34</v>
      </c>
      <c r="AD49" s="22" t="s">
        <v>34</v>
      </c>
      <c r="AE49" s="32"/>
      <c r="AF49" s="22" t="s">
        <v>34</v>
      </c>
      <c r="AG49" s="35"/>
      <c r="AH49" s="22" t="s">
        <v>34</v>
      </c>
      <c r="AI49" s="22" t="s">
        <v>34</v>
      </c>
      <c r="AJ49" s="22" t="s">
        <v>34</v>
      </c>
      <c r="AK49" s="5">
        <f t="shared" si="1"/>
        <v>18</v>
      </c>
      <c r="AL49" s="5">
        <f t="shared" si="2"/>
        <v>8</v>
      </c>
    </row>
    <row r="50" spans="1:38" ht="16.5" x14ac:dyDescent="0.25">
      <c r="A50" s="12">
        <v>18</v>
      </c>
      <c r="B50" s="14">
        <v>525</v>
      </c>
      <c r="C50" s="15" t="s">
        <v>111</v>
      </c>
      <c r="D50" s="16" t="s">
        <v>112</v>
      </c>
      <c r="E50" s="10" t="s">
        <v>20</v>
      </c>
      <c r="F50" s="22" t="s">
        <v>33</v>
      </c>
      <c r="G50" s="22" t="s">
        <v>33</v>
      </c>
      <c r="H50" s="22" t="s">
        <v>34</v>
      </c>
      <c r="I50" s="22" t="s">
        <v>33</v>
      </c>
      <c r="J50" s="32"/>
      <c r="K50" s="22" t="s">
        <v>34</v>
      </c>
      <c r="L50" s="22" t="s">
        <v>34</v>
      </c>
      <c r="M50" s="22" t="s">
        <v>34</v>
      </c>
      <c r="N50" s="22" t="s">
        <v>34</v>
      </c>
      <c r="O50" s="22" t="s">
        <v>34</v>
      </c>
      <c r="P50" s="22" t="s">
        <v>34</v>
      </c>
      <c r="Q50" s="32"/>
      <c r="R50" s="22" t="s">
        <v>34</v>
      </c>
      <c r="S50" s="22" t="s">
        <v>34</v>
      </c>
      <c r="T50" s="22" t="s">
        <v>34</v>
      </c>
      <c r="U50" s="22" t="s">
        <v>34</v>
      </c>
      <c r="V50" s="22" t="s">
        <v>34</v>
      </c>
      <c r="W50" s="22" t="s">
        <v>34</v>
      </c>
      <c r="X50" s="32"/>
      <c r="Y50" s="22" t="s">
        <v>34</v>
      </c>
      <c r="Z50" s="22" t="s">
        <v>34</v>
      </c>
      <c r="AA50" s="22" t="s">
        <v>34</v>
      </c>
      <c r="AB50" s="22" t="s">
        <v>34</v>
      </c>
      <c r="AC50" s="22" t="s">
        <v>34</v>
      </c>
      <c r="AD50" s="22" t="s">
        <v>34</v>
      </c>
      <c r="AE50" s="32"/>
      <c r="AF50" s="22" t="s">
        <v>34</v>
      </c>
      <c r="AG50" s="35"/>
      <c r="AH50" s="22" t="s">
        <v>34</v>
      </c>
      <c r="AI50" s="22" t="s">
        <v>33</v>
      </c>
      <c r="AJ50" s="22" t="s">
        <v>34</v>
      </c>
      <c r="AK50" s="5">
        <f t="shared" si="1"/>
        <v>22</v>
      </c>
      <c r="AL50" s="5">
        <f t="shared" si="2"/>
        <v>4</v>
      </c>
    </row>
    <row r="51" spans="1:38" ht="16.5" x14ac:dyDescent="0.25">
      <c r="A51" s="6">
        <v>19</v>
      </c>
      <c r="B51" s="14">
        <v>577</v>
      </c>
      <c r="C51" s="15" t="s">
        <v>113</v>
      </c>
      <c r="D51" s="16" t="s">
        <v>114</v>
      </c>
      <c r="E51" s="10" t="s">
        <v>20</v>
      </c>
      <c r="F51" s="22" t="s">
        <v>34</v>
      </c>
      <c r="G51" s="22" t="s">
        <v>33</v>
      </c>
      <c r="H51" s="22" t="s">
        <v>33</v>
      </c>
      <c r="I51" s="22" t="s">
        <v>34</v>
      </c>
      <c r="J51" s="32"/>
      <c r="K51" s="22" t="s">
        <v>33</v>
      </c>
      <c r="L51" s="22" t="s">
        <v>34</v>
      </c>
      <c r="M51" s="22" t="s">
        <v>34</v>
      </c>
      <c r="N51" s="22" t="s">
        <v>34</v>
      </c>
      <c r="O51" s="22" t="s">
        <v>34</v>
      </c>
      <c r="P51" s="22" t="s">
        <v>34</v>
      </c>
      <c r="Q51" s="32"/>
      <c r="R51" s="22" t="s">
        <v>34</v>
      </c>
      <c r="S51" s="22" t="s">
        <v>34</v>
      </c>
      <c r="T51" s="22" t="s">
        <v>34</v>
      </c>
      <c r="U51" s="22" t="s">
        <v>34</v>
      </c>
      <c r="V51" s="22" t="s">
        <v>34</v>
      </c>
      <c r="W51" s="22" t="s">
        <v>33</v>
      </c>
      <c r="X51" s="32"/>
      <c r="Y51" s="22" t="s">
        <v>34</v>
      </c>
      <c r="Z51" s="22" t="s">
        <v>34</v>
      </c>
      <c r="AA51" s="22" t="s">
        <v>34</v>
      </c>
      <c r="AB51" s="22" t="s">
        <v>35</v>
      </c>
      <c r="AC51" s="22" t="s">
        <v>34</v>
      </c>
      <c r="AD51" s="22" t="s">
        <v>33</v>
      </c>
      <c r="AE51" s="32"/>
      <c r="AF51" s="22" t="s">
        <v>34</v>
      </c>
      <c r="AG51" s="35"/>
      <c r="AH51" s="22" t="s">
        <v>34</v>
      </c>
      <c r="AI51" s="22" t="s">
        <v>34</v>
      </c>
      <c r="AJ51" s="22" t="s">
        <v>33</v>
      </c>
      <c r="AK51" s="5">
        <f t="shared" si="1"/>
        <v>19</v>
      </c>
      <c r="AL51" s="5">
        <f t="shared" si="2"/>
        <v>6</v>
      </c>
    </row>
    <row r="52" spans="1:38" ht="16.5" x14ac:dyDescent="0.25">
      <c r="A52" s="12">
        <v>20</v>
      </c>
      <c r="B52" s="14">
        <v>589</v>
      </c>
      <c r="C52" s="15" t="s">
        <v>115</v>
      </c>
      <c r="D52" s="16" t="s">
        <v>116</v>
      </c>
      <c r="E52" s="10" t="s">
        <v>20</v>
      </c>
      <c r="F52" s="22" t="s">
        <v>33</v>
      </c>
      <c r="G52" s="22" t="s">
        <v>34</v>
      </c>
      <c r="H52" s="22" t="s">
        <v>34</v>
      </c>
      <c r="I52" s="22" t="s">
        <v>33</v>
      </c>
      <c r="J52" s="32"/>
      <c r="K52" s="22" t="s">
        <v>34</v>
      </c>
      <c r="L52" s="22" t="s">
        <v>34</v>
      </c>
      <c r="M52" s="22" t="s">
        <v>34</v>
      </c>
      <c r="N52" s="22" t="s">
        <v>34</v>
      </c>
      <c r="O52" s="22" t="s">
        <v>34</v>
      </c>
      <c r="P52" s="22" t="s">
        <v>33</v>
      </c>
      <c r="Q52" s="32"/>
      <c r="R52" s="22" t="s">
        <v>34</v>
      </c>
      <c r="S52" s="22" t="s">
        <v>34</v>
      </c>
      <c r="T52" s="22" t="s">
        <v>34</v>
      </c>
      <c r="U52" s="22" t="s">
        <v>35</v>
      </c>
      <c r="V52" s="22" t="s">
        <v>34</v>
      </c>
      <c r="W52" s="22" t="s">
        <v>34</v>
      </c>
      <c r="X52" s="32"/>
      <c r="Y52" s="22" t="s">
        <v>34</v>
      </c>
      <c r="Z52" s="22" t="s">
        <v>34</v>
      </c>
      <c r="AA52" s="22" t="s">
        <v>34</v>
      </c>
      <c r="AB52" s="22" t="s">
        <v>35</v>
      </c>
      <c r="AC52" s="22" t="s">
        <v>33</v>
      </c>
      <c r="AD52" s="22" t="s">
        <v>33</v>
      </c>
      <c r="AE52" s="32"/>
      <c r="AF52" s="22" t="s">
        <v>34</v>
      </c>
      <c r="AG52" s="35"/>
      <c r="AH52" s="22" t="s">
        <v>34</v>
      </c>
      <c r="AI52" s="22" t="s">
        <v>34</v>
      </c>
      <c r="AJ52" s="22" t="s">
        <v>34</v>
      </c>
      <c r="AK52" s="5">
        <f t="shared" si="1"/>
        <v>19</v>
      </c>
      <c r="AL52" s="5">
        <f t="shared" si="2"/>
        <v>5</v>
      </c>
    </row>
    <row r="53" spans="1:38" ht="16.5" x14ac:dyDescent="0.25">
      <c r="A53" s="6">
        <v>21</v>
      </c>
      <c r="B53" s="14"/>
      <c r="C53" s="15" t="s">
        <v>117</v>
      </c>
      <c r="D53" s="16" t="s">
        <v>118</v>
      </c>
      <c r="E53" s="10" t="s">
        <v>20</v>
      </c>
      <c r="F53" s="22" t="s">
        <v>33</v>
      </c>
      <c r="G53" s="22" t="s">
        <v>33</v>
      </c>
      <c r="H53" s="22" t="s">
        <v>33</v>
      </c>
      <c r="I53" s="22" t="s">
        <v>33</v>
      </c>
      <c r="J53" s="32"/>
      <c r="K53" s="22" t="s">
        <v>33</v>
      </c>
      <c r="L53" s="22" t="s">
        <v>33</v>
      </c>
      <c r="M53" s="22" t="s">
        <v>33</v>
      </c>
      <c r="N53" s="22" t="s">
        <v>34</v>
      </c>
      <c r="O53" s="22" t="s">
        <v>34</v>
      </c>
      <c r="P53" s="22" t="s">
        <v>34</v>
      </c>
      <c r="Q53" s="32"/>
      <c r="R53" s="22" t="s">
        <v>34</v>
      </c>
      <c r="S53" s="22" t="s">
        <v>34</v>
      </c>
      <c r="T53" s="22" t="s">
        <v>34</v>
      </c>
      <c r="U53" s="22" t="s">
        <v>34</v>
      </c>
      <c r="V53" s="22" t="s">
        <v>34</v>
      </c>
      <c r="W53" s="22" t="s">
        <v>34</v>
      </c>
      <c r="X53" s="32"/>
      <c r="Y53" s="22" t="s">
        <v>33</v>
      </c>
      <c r="Z53" s="22" t="s">
        <v>34</v>
      </c>
      <c r="AA53" s="22" t="s">
        <v>34</v>
      </c>
      <c r="AB53" s="22" t="s">
        <v>35</v>
      </c>
      <c r="AC53" s="22" t="s">
        <v>34</v>
      </c>
      <c r="AD53" s="22" t="s">
        <v>33</v>
      </c>
      <c r="AE53" s="32"/>
      <c r="AF53" s="22" t="s">
        <v>34</v>
      </c>
      <c r="AG53" s="35"/>
      <c r="AH53" s="22" t="s">
        <v>34</v>
      </c>
      <c r="AI53" s="22" t="s">
        <v>34</v>
      </c>
      <c r="AJ53" s="22" t="s">
        <v>34</v>
      </c>
      <c r="AK53" s="5">
        <f t="shared" si="1"/>
        <v>16</v>
      </c>
      <c r="AL53" s="5">
        <f t="shared" si="2"/>
        <v>9</v>
      </c>
    </row>
    <row r="54" spans="1:38" ht="16.5" x14ac:dyDescent="0.25">
      <c r="A54" s="12">
        <v>22</v>
      </c>
      <c r="B54" s="14">
        <v>571</v>
      </c>
      <c r="C54" s="15" t="s">
        <v>98</v>
      </c>
      <c r="D54" s="16" t="s">
        <v>99</v>
      </c>
      <c r="E54" s="10" t="s">
        <v>20</v>
      </c>
      <c r="F54" s="22" t="s">
        <v>33</v>
      </c>
      <c r="G54" s="22" t="s">
        <v>33</v>
      </c>
      <c r="H54" s="22" t="s">
        <v>33</v>
      </c>
      <c r="I54" s="22" t="s">
        <v>33</v>
      </c>
      <c r="J54" s="32"/>
      <c r="K54" s="22" t="s">
        <v>33</v>
      </c>
      <c r="L54" s="22" t="s">
        <v>33</v>
      </c>
      <c r="M54" s="22" t="s">
        <v>34</v>
      </c>
      <c r="N54" s="22" t="s">
        <v>34</v>
      </c>
      <c r="O54" s="22" t="s">
        <v>34</v>
      </c>
      <c r="P54" s="22" t="s">
        <v>34</v>
      </c>
      <c r="Q54" s="32"/>
      <c r="R54" s="22" t="s">
        <v>33</v>
      </c>
      <c r="S54" s="22" t="s">
        <v>34</v>
      </c>
      <c r="T54" s="22" t="s">
        <v>33</v>
      </c>
      <c r="U54" s="22" t="s">
        <v>33</v>
      </c>
      <c r="V54" s="22" t="s">
        <v>34</v>
      </c>
      <c r="W54" s="22" t="s">
        <v>34</v>
      </c>
      <c r="X54" s="32"/>
      <c r="Y54" s="22" t="s">
        <v>34</v>
      </c>
      <c r="Z54" s="22" t="s">
        <v>34</v>
      </c>
      <c r="AA54" s="22" t="s">
        <v>34</v>
      </c>
      <c r="AB54" s="22" t="s">
        <v>34</v>
      </c>
      <c r="AC54" s="22" t="s">
        <v>34</v>
      </c>
      <c r="AD54" s="22" t="s">
        <v>34</v>
      </c>
      <c r="AE54" s="32"/>
      <c r="AF54" s="22" t="s">
        <v>34</v>
      </c>
      <c r="AG54" s="35"/>
      <c r="AH54" s="22" t="s">
        <v>34</v>
      </c>
      <c r="AI54" s="22" t="s">
        <v>34</v>
      </c>
      <c r="AJ54" s="22" t="s">
        <v>33</v>
      </c>
      <c r="AK54" s="5">
        <f t="shared" si="1"/>
        <v>16</v>
      </c>
      <c r="AL54" s="5">
        <f t="shared" si="2"/>
        <v>10</v>
      </c>
    </row>
    <row r="55" spans="1:38" ht="16.5" x14ac:dyDescent="0.25">
      <c r="A55" s="6">
        <v>23</v>
      </c>
      <c r="B55" s="14"/>
      <c r="C55" s="15" t="s">
        <v>119</v>
      </c>
      <c r="D55" s="16" t="s">
        <v>40</v>
      </c>
      <c r="E55" s="10" t="s">
        <v>20</v>
      </c>
      <c r="F55" s="22" t="s">
        <v>33</v>
      </c>
      <c r="G55" s="22" t="s">
        <v>34</v>
      </c>
      <c r="H55" s="22" t="s">
        <v>34</v>
      </c>
      <c r="I55" s="22" t="s">
        <v>33</v>
      </c>
      <c r="J55" s="32"/>
      <c r="K55" s="22" t="s">
        <v>34</v>
      </c>
      <c r="L55" s="22" t="s">
        <v>34</v>
      </c>
      <c r="M55" s="22" t="s">
        <v>34</v>
      </c>
      <c r="N55" s="22" t="s">
        <v>34</v>
      </c>
      <c r="O55" s="22" t="s">
        <v>34</v>
      </c>
      <c r="P55" s="22" t="s">
        <v>34</v>
      </c>
      <c r="Q55" s="32"/>
      <c r="R55" s="22" t="s">
        <v>34</v>
      </c>
      <c r="S55" s="22" t="s">
        <v>33</v>
      </c>
      <c r="T55" s="22" t="s">
        <v>34</v>
      </c>
      <c r="U55" s="22" t="s">
        <v>34</v>
      </c>
      <c r="V55" s="22" t="s">
        <v>34</v>
      </c>
      <c r="W55" s="22" t="s">
        <v>34</v>
      </c>
      <c r="X55" s="32"/>
      <c r="Y55" s="22" t="s">
        <v>34</v>
      </c>
      <c r="Z55" s="22" t="s">
        <v>34</v>
      </c>
      <c r="AA55" s="22" t="s">
        <v>34</v>
      </c>
      <c r="AB55" s="22" t="s">
        <v>34</v>
      </c>
      <c r="AC55" s="22" t="s">
        <v>34</v>
      </c>
      <c r="AD55" s="22" t="s">
        <v>34</v>
      </c>
      <c r="AE55" s="32"/>
      <c r="AF55" s="22" t="s">
        <v>34</v>
      </c>
      <c r="AG55" s="35"/>
      <c r="AH55" s="22" t="s">
        <v>34</v>
      </c>
      <c r="AI55" s="22" t="s">
        <v>33</v>
      </c>
      <c r="AJ55" s="22" t="s">
        <v>34</v>
      </c>
      <c r="AK55" s="5">
        <f t="shared" si="1"/>
        <v>22</v>
      </c>
      <c r="AL55" s="5">
        <f t="shared" si="2"/>
        <v>4</v>
      </c>
    </row>
    <row r="56" spans="1:38" ht="16.5" x14ac:dyDescent="0.25">
      <c r="A56" s="12">
        <v>24</v>
      </c>
      <c r="B56" s="14">
        <v>572</v>
      </c>
      <c r="C56" s="15" t="s">
        <v>120</v>
      </c>
      <c r="D56" s="16" t="s">
        <v>29</v>
      </c>
      <c r="E56" s="10" t="s">
        <v>20</v>
      </c>
      <c r="F56" s="22" t="s">
        <v>33</v>
      </c>
      <c r="G56" s="22" t="s">
        <v>33</v>
      </c>
      <c r="H56" s="22" t="s">
        <v>33</v>
      </c>
      <c r="I56" s="22" t="s">
        <v>33</v>
      </c>
      <c r="J56" s="33"/>
      <c r="K56" s="22" t="s">
        <v>33</v>
      </c>
      <c r="L56" s="22" t="s">
        <v>33</v>
      </c>
      <c r="M56" s="22" t="s">
        <v>33</v>
      </c>
      <c r="N56" s="22" t="s">
        <v>33</v>
      </c>
      <c r="O56" s="22" t="s">
        <v>33</v>
      </c>
      <c r="P56" s="22" t="s">
        <v>33</v>
      </c>
      <c r="Q56" s="33"/>
      <c r="R56" s="22" t="s">
        <v>34</v>
      </c>
      <c r="S56" s="22" t="s">
        <v>34</v>
      </c>
      <c r="T56" s="22" t="s">
        <v>34</v>
      </c>
      <c r="U56" s="22" t="s">
        <v>34</v>
      </c>
      <c r="V56" s="22" t="s">
        <v>34</v>
      </c>
      <c r="W56" s="22" t="s">
        <v>34</v>
      </c>
      <c r="X56" s="33"/>
      <c r="Y56" s="22" t="s">
        <v>33</v>
      </c>
      <c r="Z56" s="22" t="s">
        <v>34</v>
      </c>
      <c r="AA56" s="22" t="s">
        <v>34</v>
      </c>
      <c r="AB56" s="22" t="s">
        <v>34</v>
      </c>
      <c r="AC56" s="22" t="s">
        <v>34</v>
      </c>
      <c r="AD56" s="22" t="s">
        <v>34</v>
      </c>
      <c r="AE56" s="33"/>
      <c r="AF56" s="22" t="s">
        <v>33</v>
      </c>
      <c r="AG56" s="36"/>
      <c r="AH56" s="22" t="s">
        <v>34</v>
      </c>
      <c r="AI56" s="22" t="s">
        <v>34</v>
      </c>
      <c r="AJ56" s="22" t="s">
        <v>34</v>
      </c>
      <c r="AK56" s="5">
        <f t="shared" si="1"/>
        <v>14</v>
      </c>
      <c r="AL56" s="5">
        <f t="shared" si="2"/>
        <v>12</v>
      </c>
    </row>
  </sheetData>
  <mergeCells count="17">
    <mergeCell ref="AK3:AK4"/>
    <mergeCell ref="AL3:AL4"/>
    <mergeCell ref="AM3:AN3"/>
    <mergeCell ref="A1:AJ1"/>
    <mergeCell ref="A2:AJ2"/>
    <mergeCell ref="A3:A4"/>
    <mergeCell ref="B3:B4"/>
    <mergeCell ref="C3:C4"/>
    <mergeCell ref="D3:D4"/>
    <mergeCell ref="E3:E4"/>
    <mergeCell ref="J5:J56"/>
    <mergeCell ref="Q5:Q56"/>
    <mergeCell ref="X5:X56"/>
    <mergeCell ref="AE5:AE56"/>
    <mergeCell ref="AG5:AG56"/>
    <mergeCell ref="AM11:AP11"/>
    <mergeCell ref="AM19:AP19"/>
  </mergeCells>
  <conditionalFormatting sqref="B5:B32">
    <cfRule type="duplicateValues" dxfId="20" priority="8"/>
  </conditionalFormatting>
  <conditionalFormatting sqref="B33:B56">
    <cfRule type="duplicateValues" dxfId="19" priority="7"/>
  </conditionalFormatting>
  <conditionalFormatting sqref="F3:AJ4 J5 Q5 X5 AE5 F5:I56 K5:P56 R5:W56 Y5:AD56 AF5:AF56 AH5:AJ56 AG5">
    <cfRule type="expression" dxfId="18" priority="26">
      <formula>F$3="Sun"</formula>
    </cfRule>
  </conditionalFormatting>
  <conditionalFormatting sqref="J5 Q5 X5 AE5 F5:I56 K5:P56 R5:W56 F4:AJ4 Y5:AD56 AF5:AF56 AH5:AJ56 AG5">
    <cfRule type="expression" dxfId="17" priority="25">
      <formula>IF(F$4=TODAY(),TRUE,FALSE)</formula>
    </cfRule>
  </conditionalFormatting>
  <conditionalFormatting sqref="J5 Q5 X5 AE5 F5:I56 K5:P56 R5:W56 Y5:AD56 AF5:AF56 AH5:AJ56 AG5">
    <cfRule type="cellIs" dxfId="16" priority="22" operator="equal">
      <formula>"L"</formula>
    </cfRule>
    <cfRule type="cellIs" dxfId="15" priority="23" operator="equal">
      <formula>"A"</formula>
    </cfRule>
    <cfRule type="cellIs" dxfId="14" priority="24" operator="equal">
      <formula>"P"</formula>
    </cfRule>
  </conditionalFormatting>
  <conditionalFormatting sqref="AK3:AL3 AK5:AL28">
    <cfRule type="expression" dxfId="13" priority="27">
      <formula>#REF!="Sun"</formula>
    </cfRule>
  </conditionalFormatting>
  <conditionalFormatting sqref="AK29:AL56">
    <cfRule type="expression" dxfId="12" priority="14">
      <formula>#REF!="Sun"</formula>
    </cfRule>
  </conditionalFormatting>
  <conditionalFormatting sqref="AM5:AM9">
    <cfRule type="expression" dxfId="5" priority="4">
      <formula>AM$3="Sun"</formula>
    </cfRule>
  </conditionalFormatting>
  <conditionalFormatting sqref="AM12:AM15">
    <cfRule type="expression" dxfId="4" priority="2">
      <formula>AM$3="Sun"</formula>
    </cfRule>
  </conditionalFormatting>
  <conditionalFormatting sqref="AM20:AM23">
    <cfRule type="expression" dxfId="3" priority="1">
      <formula>AM$3="Sun"</formula>
    </cfRule>
  </conditionalFormatting>
  <conditionalFormatting sqref="AM4:AN4">
    <cfRule type="expression" dxfId="2" priority="5">
      <formula>AM$3="Sun"</formula>
    </cfRule>
  </conditionalFormatting>
  <conditionalFormatting sqref="AN12:AP12 AN20:AP20">
    <cfRule type="expression" dxfId="1" priority="6">
      <formula>AN$3="Sun"</formula>
    </cfRule>
  </conditionalFormatting>
  <conditionalFormatting sqref="AP21">
    <cfRule type="expression" dxfId="0" priority="3">
      <formula>AP$3="Sun"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August-2024</vt:lpstr>
      <vt:lpstr>September-2024</vt:lpstr>
      <vt:lpstr>October-2024</vt:lpstr>
      <vt:lpstr>November-2024</vt:lpstr>
      <vt:lpstr>December-2024</vt:lpstr>
      <vt:lpstr>January-2025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2025-02-03T06:29:47Z</dcterms:modified>
</cp:coreProperties>
</file>