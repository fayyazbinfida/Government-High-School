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E:\Government High School\Student Attendance\ECE (ROSE)\"/>
    </mc:Choice>
  </mc:AlternateContent>
  <xr:revisionPtr revIDLastSave="0" documentId="13_ncr:1_{1AE5970F-8467-4A18-8781-16B5A40BF35B}" xr6:coauthVersionLast="47" xr6:coauthVersionMax="47" xr10:uidLastSave="{00000000-0000-0000-0000-000000000000}"/>
  <bookViews>
    <workbookView xWindow="0" yWindow="0" windowWidth="20490" windowHeight="10920" xr2:uid="{00000000-000D-0000-FFFF-FFFF00000000}"/>
  </bookViews>
  <sheets>
    <sheet name="ECE (ROSE)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11" i="2" l="1"/>
  <c r="W52" i="2"/>
  <c r="X52" i="2"/>
  <c r="X51" i="2"/>
  <c r="W51" i="2"/>
  <c r="W42" i="2"/>
  <c r="X42" i="2"/>
  <c r="W43" i="2"/>
  <c r="X43" i="2"/>
  <c r="W44" i="2"/>
  <c r="X44" i="2"/>
  <c r="W45" i="2"/>
  <c r="X45" i="2"/>
  <c r="W46" i="2"/>
  <c r="X46" i="2"/>
  <c r="W47" i="2"/>
  <c r="X47" i="2"/>
  <c r="W48" i="2"/>
  <c r="X48" i="2"/>
  <c r="W49" i="2"/>
  <c r="X49" i="2"/>
  <c r="W50" i="2"/>
  <c r="X50" i="2"/>
  <c r="X41" i="2" l="1"/>
  <c r="W41" i="2"/>
  <c r="X40" i="2"/>
  <c r="W40" i="2"/>
  <c r="X39" i="2"/>
  <c r="W39" i="2"/>
  <c r="X38" i="2"/>
  <c r="W38" i="2"/>
  <c r="X37" i="2"/>
  <c r="W37" i="2"/>
  <c r="X36" i="2"/>
  <c r="W36" i="2"/>
  <c r="X35" i="2"/>
  <c r="W35" i="2"/>
  <c r="X34" i="2"/>
  <c r="W34" i="2"/>
  <c r="X33" i="2"/>
  <c r="W33" i="2"/>
  <c r="X32" i="2"/>
  <c r="W32" i="2"/>
  <c r="X31" i="2"/>
  <c r="W31" i="2"/>
  <c r="X30" i="2"/>
  <c r="W30" i="2"/>
  <c r="X29" i="2"/>
  <c r="W29" i="2"/>
  <c r="X28" i="2"/>
  <c r="W28" i="2"/>
  <c r="X27" i="2"/>
  <c r="W27" i="2"/>
  <c r="X26" i="2"/>
  <c r="W26" i="2"/>
  <c r="X25" i="2"/>
  <c r="W25" i="2"/>
  <c r="X24" i="2"/>
  <c r="W24" i="2"/>
  <c r="X23" i="2"/>
  <c r="W23" i="2"/>
  <c r="X22" i="2"/>
  <c r="W22" i="2"/>
  <c r="X21" i="2"/>
  <c r="W21" i="2"/>
  <c r="X20" i="2"/>
  <c r="W20" i="2"/>
  <c r="X19" i="2"/>
  <c r="W19" i="2"/>
  <c r="AA18" i="2"/>
  <c r="Z18" i="2"/>
  <c r="X18" i="2"/>
  <c r="W18" i="2"/>
  <c r="X17" i="2"/>
  <c r="W17" i="2"/>
  <c r="X16" i="2"/>
  <c r="W16" i="2"/>
  <c r="X15" i="2"/>
  <c r="W15" i="2"/>
  <c r="X14" i="2"/>
  <c r="W14" i="2"/>
  <c r="X13" i="2"/>
  <c r="W13" i="2"/>
  <c r="X12" i="2"/>
  <c r="W12" i="2"/>
  <c r="X11" i="2"/>
  <c r="W11" i="2"/>
  <c r="AA10" i="2"/>
  <c r="Z10" i="2"/>
  <c r="X10" i="2"/>
  <c r="W10" i="2"/>
  <c r="X9" i="2"/>
  <c r="W9" i="2"/>
  <c r="X8" i="2"/>
  <c r="W8" i="2"/>
  <c r="X7" i="2"/>
  <c r="W7" i="2"/>
  <c r="X6" i="2"/>
  <c r="W6" i="2"/>
  <c r="X5" i="2"/>
  <c r="W5" i="2"/>
  <c r="AA11" i="2" s="1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AB10" i="2" l="1"/>
  <c r="Z19" i="2"/>
  <c r="AB18" i="2"/>
  <c r="AA12" i="2"/>
  <c r="Z12" i="2" l="1"/>
  <c r="AA19" i="2"/>
  <c r="AA20" i="2" s="1"/>
  <c r="Z20" i="2"/>
  <c r="AB11" i="2"/>
  <c r="AB12" i="2" s="1"/>
  <c r="AB19" i="2" l="1"/>
  <c r="AB20" i="2" s="1"/>
</calcChain>
</file>

<file path=xl/sharedStrings.xml><?xml version="1.0" encoding="utf-8"?>
<sst xmlns="http://schemas.openxmlformats.org/spreadsheetml/2006/main" count="632" uniqueCount="124">
  <si>
    <t>S.No</t>
  </si>
  <si>
    <t>GR</t>
  </si>
  <si>
    <t>Student Name</t>
  </si>
  <si>
    <t>Father Name</t>
  </si>
  <si>
    <t>Class</t>
  </si>
  <si>
    <t>Present</t>
  </si>
  <si>
    <t>Absent</t>
  </si>
  <si>
    <t>Total day</t>
  </si>
  <si>
    <t>ECE</t>
  </si>
  <si>
    <t>Working days</t>
  </si>
  <si>
    <t>Indepedence day</t>
  </si>
  <si>
    <t xml:space="preserve">Sunday </t>
  </si>
  <si>
    <t>Present Days Detail</t>
  </si>
  <si>
    <t>Detail</t>
  </si>
  <si>
    <t>Boys</t>
  </si>
  <si>
    <t>Girls</t>
  </si>
  <si>
    <t>Total</t>
  </si>
  <si>
    <t xml:space="preserve"> Due Present days </t>
  </si>
  <si>
    <t>Actual present days</t>
  </si>
  <si>
    <t>%</t>
  </si>
  <si>
    <t>Absent  days</t>
  </si>
  <si>
    <t>Year -2024</t>
  </si>
  <si>
    <t>Monthly Attendence Month of August-2024</t>
  </si>
  <si>
    <t>Goverment high school (SJCHS)</t>
  </si>
  <si>
    <t>Eman</t>
  </si>
  <si>
    <t>Shahnawaz Khan</t>
  </si>
  <si>
    <t>Rehan Ali</t>
  </si>
  <si>
    <t>Abdul Rehman</t>
  </si>
  <si>
    <t>Dilkash</t>
  </si>
  <si>
    <t>Faraz Hussain</t>
  </si>
  <si>
    <t>Masooma</t>
  </si>
  <si>
    <t>Faiq Ali</t>
  </si>
  <si>
    <t>Ali</t>
  </si>
  <si>
    <t>Saddam Hussain</t>
  </si>
  <si>
    <t>Hafsa Batool</t>
  </si>
  <si>
    <t>Gul Mohammad Chandio</t>
  </si>
  <si>
    <t>Mohammad Aliyan</t>
  </si>
  <si>
    <t>Shabir Ahmed Bhutto</t>
  </si>
  <si>
    <t>Hoor Fatima</t>
  </si>
  <si>
    <t>Shahid Ali</t>
  </si>
  <si>
    <t>Muhammad Sahil</t>
  </si>
  <si>
    <t>Irshad Ali</t>
  </si>
  <si>
    <t>Kinza</t>
  </si>
  <si>
    <t>Aijaz Ali</t>
  </si>
  <si>
    <t>Zaryab Sultan</t>
  </si>
  <si>
    <t>Muhammad Zaman</t>
  </si>
  <si>
    <t>M. Ibrahim</t>
  </si>
  <si>
    <t>Fayaz Ali Ansari</t>
  </si>
  <si>
    <t>Fatima Ansari</t>
  </si>
  <si>
    <t>Ayaz Ali Ansari</t>
  </si>
  <si>
    <t>Zil-e-Huma</t>
  </si>
  <si>
    <t>Abdul Qayoom</t>
  </si>
  <si>
    <t>Ayat Fatima</t>
  </si>
  <si>
    <t>Imran Hussain</t>
  </si>
  <si>
    <t>Aqsa</t>
  </si>
  <si>
    <t>Ahsan Ali</t>
  </si>
  <si>
    <t>Muhammad Fawad</t>
  </si>
  <si>
    <t>Waseem Ahmed Channa</t>
  </si>
  <si>
    <t>Muhammad Haris</t>
  </si>
  <si>
    <t>M. Shareef Niyazi</t>
  </si>
  <si>
    <t>Muhammad Ayan</t>
  </si>
  <si>
    <t>Abdul Ghaffar</t>
  </si>
  <si>
    <t>Danish</t>
  </si>
  <si>
    <t>Ayaz Ali</t>
  </si>
  <si>
    <t>Mujahid Ali</t>
  </si>
  <si>
    <t>Sajjad Ali</t>
  </si>
  <si>
    <t>Zawar Ali</t>
  </si>
  <si>
    <t>Kamran Ali</t>
  </si>
  <si>
    <t>Muhammad Rayyan</t>
  </si>
  <si>
    <t>Ghulam Murtaza</t>
  </si>
  <si>
    <t>Safa</t>
  </si>
  <si>
    <t>Dil Murad</t>
  </si>
  <si>
    <t>Hifza</t>
  </si>
  <si>
    <t>Zakir Ali</t>
  </si>
  <si>
    <t>Zameeran</t>
  </si>
  <si>
    <t>Babar Ali</t>
  </si>
  <si>
    <t>Parwisha</t>
  </si>
  <si>
    <t>Sarfaraz Ahmed</t>
  </si>
  <si>
    <t>Muhammad Ahad</t>
  </si>
  <si>
    <t>Khalid Hussain Abbasi</t>
  </si>
  <si>
    <t>Aiza</t>
  </si>
  <si>
    <t>Irshad-Ul-Haq</t>
  </si>
  <si>
    <t>Shazia</t>
  </si>
  <si>
    <t>Rashid Ali</t>
  </si>
  <si>
    <t>M. Ayan</t>
  </si>
  <si>
    <t>Sanaullah Qureshi</t>
  </si>
  <si>
    <t>Ume Farwa</t>
  </si>
  <si>
    <t>Meer Ameer-u-Din</t>
  </si>
  <si>
    <t>Ume Rubab</t>
  </si>
  <si>
    <t>Mohsin Ali</t>
  </si>
  <si>
    <t>Khatija</t>
  </si>
  <si>
    <t>M. Afzal</t>
  </si>
  <si>
    <t>Muhammad Hamza</t>
  </si>
  <si>
    <t>M. Awais</t>
  </si>
  <si>
    <t>Mehboob Ali</t>
  </si>
  <si>
    <t>M. Raheel</t>
  </si>
  <si>
    <t>Fiza</t>
  </si>
  <si>
    <t>Ahmed</t>
  </si>
  <si>
    <t>Amanullah</t>
  </si>
  <si>
    <t>Sajid Ahmed</t>
  </si>
  <si>
    <t>Ahmed Ali</t>
  </si>
  <si>
    <t>Asghar Ali</t>
  </si>
  <si>
    <t>M. Qasim</t>
  </si>
  <si>
    <t>Abdul Hameed</t>
  </si>
  <si>
    <t>Eshaal</t>
  </si>
  <si>
    <t>Shahbaz Ali</t>
  </si>
  <si>
    <t>Muhammad Ibrahim</t>
  </si>
  <si>
    <t>M. Fahad</t>
  </si>
  <si>
    <t>Ali Sher</t>
  </si>
  <si>
    <t>Rajab Ali</t>
  </si>
  <si>
    <t>Rija Batool</t>
  </si>
  <si>
    <t>Ghulam Mehdi</t>
  </si>
  <si>
    <t>Musfiral</t>
  </si>
  <si>
    <t>Faisal</t>
  </si>
  <si>
    <t>Saifullah</t>
  </si>
  <si>
    <t>Farooq Ali</t>
  </si>
  <si>
    <t>A</t>
  </si>
  <si>
    <t>P</t>
  </si>
  <si>
    <t>OFF DUE TO CHEHLUM OF HAZRAT IMAM HUSSAIN (A.S)</t>
  </si>
  <si>
    <t>OFF DUE TO HEAVY RAIN - OFF DUE TO HEAVY RAIN</t>
  </si>
  <si>
    <t>L</t>
  </si>
  <si>
    <t>Ali Usman</t>
  </si>
  <si>
    <t>LATIF DAY - LATIF DAY - LATIF DAY- LATIF DAY</t>
  </si>
  <si>
    <t>SUNDAY - SUNDAY - SUNDAY - SUNDAY - SUNDAY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</si>
</sst>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,mmm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3" fillId="0" borderId="0" xfId="0" applyFont="1"/>
    <xf numFmtId="0" fontId="4" fillId="0" borderId="3" xfId="0" applyFont="1" applyBorder="1" applyAlignment="1">
      <alignment horizontal="center"/>
    </xf>
    <xf numFmtId="0" fontId="5" fillId="0" borderId="0" xfId="0" applyFont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6" fillId="0" borderId="3" xfId="0" applyFont="1" applyBorder="1"/>
    <xf numFmtId="0" fontId="6" fillId="0" borderId="5" xfId="0" applyFont="1" applyBorder="1"/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/>
    <xf numFmtId="0" fontId="3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6" fillId="0" borderId="6" xfId="0" applyFont="1" applyBorder="1"/>
    <xf numFmtId="0" fontId="6" fillId="0" borderId="7" xfId="0" applyFont="1" applyBorder="1"/>
    <xf numFmtId="9" fontId="5" fillId="0" borderId="0" xfId="1" applyFont="1" applyBorder="1"/>
    <xf numFmtId="0" fontId="3" fillId="2" borderId="3" xfId="0" applyFont="1" applyFill="1" applyBorder="1" applyAlignment="1">
      <alignment horizontal="center"/>
    </xf>
    <xf numFmtId="0" fontId="5" fillId="2" borderId="0" xfId="0" applyFont="1" applyFill="1"/>
    <xf numFmtId="9" fontId="3" fillId="0" borderId="3" xfId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 textRotation="90" wrapText="1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6" fillId="0" borderId="9" xfId="0" applyFont="1" applyBorder="1"/>
    <xf numFmtId="0" fontId="6" fillId="0" borderId="10" xfId="0" applyFont="1" applyBorder="1"/>
    <xf numFmtId="0" fontId="0" fillId="0" borderId="2" xfId="0" applyBorder="1" applyAlignment="1">
      <alignment horizontal="center" vertical="center"/>
    </xf>
    <xf numFmtId="0" fontId="0" fillId="0" borderId="2" xfId="0" applyBorder="1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/>
    <xf numFmtId="0" fontId="2" fillId="0" borderId="2" xfId="0" applyFont="1" applyBorder="1" applyAlignment="1">
      <alignment horizontal="center" vertical="center" textRotation="255"/>
    </xf>
    <xf numFmtId="0" fontId="2" fillId="0" borderId="9" xfId="0" applyFont="1" applyBorder="1" applyAlignment="1">
      <alignment horizontal="center" vertical="center" textRotation="255"/>
    </xf>
    <xf numFmtId="0" fontId="2" fillId="0" borderId="6" xfId="0" applyFont="1" applyBorder="1" applyAlignment="1">
      <alignment horizontal="center" vertical="center" textRotation="255"/>
    </xf>
    <xf numFmtId="0" fontId="2" fillId="4" borderId="2" xfId="0" applyFont="1" applyFill="1" applyBorder="1" applyAlignment="1">
      <alignment horizontal="center" vertical="center" textRotation="255"/>
    </xf>
    <xf numFmtId="0" fontId="2" fillId="4" borderId="9" xfId="0" applyFont="1" applyFill="1" applyBorder="1" applyAlignment="1">
      <alignment horizontal="center" vertical="center" textRotation="255"/>
    </xf>
    <xf numFmtId="0" fontId="2" fillId="4" borderId="6" xfId="0" applyFont="1" applyFill="1" applyBorder="1" applyAlignment="1">
      <alignment horizontal="center" vertical="center" textRotation="255"/>
    </xf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/>
    </xf>
    <xf numFmtId="17" fontId="9" fillId="3" borderId="4" xfId="0" applyNumberFormat="1" applyFont="1" applyFill="1" applyBorder="1" applyAlignment="1">
      <alignment horizontal="center" vertical="center"/>
    </xf>
    <xf numFmtId="17" fontId="9" fillId="3" borderId="5" xfId="0" applyNumberFormat="1" applyFont="1" applyFill="1" applyBorder="1" applyAlignment="1">
      <alignment horizontal="center" vertical="center"/>
    </xf>
    <xf numFmtId="17" fontId="9" fillId="3" borderId="8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1FD99-49D7-41EB-A8AE-866D166DC500}">
  <sheetPr>
    <tabColor rgb="FFC00000"/>
  </sheetPr>
  <dimension ref="A1:AB52"/>
  <sheetViews>
    <sheetView tabSelected="1" workbookViewId="0">
      <selection activeCell="I53" sqref="I53"/>
    </sheetView>
  </sheetViews>
  <sheetFormatPr defaultColWidth="3.85546875" defaultRowHeight="15" x14ac:dyDescent="0.25"/>
  <cols>
    <col min="1" max="1" width="5.140625" style="1" bestFit="1" customWidth="1"/>
    <col min="2" max="2" width="5.8554687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 customWidth="1"/>
    <col min="7" max="8" width="3.7109375" style="1" bestFit="1" customWidth="1"/>
    <col min="9" max="9" width="3.85546875" style="1" bestFit="1" customWidth="1"/>
    <col min="10" max="10" width="4.5703125" style="1" bestFit="1" customWidth="1"/>
    <col min="11" max="11" width="3.85546875" style="1" bestFit="1" customWidth="1"/>
    <col min="12" max="12" width="4.7109375" style="1" bestFit="1" customWidth="1"/>
    <col min="13" max="13" width="3.85546875" style="1" bestFit="1" customWidth="1"/>
    <col min="14" max="15" width="3.7109375" style="1" bestFit="1" customWidth="1"/>
    <col min="16" max="16" width="3.85546875" style="1" bestFit="1" customWidth="1"/>
    <col min="17" max="17" width="4.5703125" style="1" bestFit="1" customWidth="1"/>
    <col min="18" max="18" width="3.85546875" style="1" bestFit="1" customWidth="1"/>
    <col min="19" max="19" width="4.7109375" style="1" bestFit="1" customWidth="1"/>
    <col min="20" max="20" width="3.85546875" style="1" bestFit="1" customWidth="1"/>
    <col min="21" max="22" width="3.7109375" style="1" bestFit="1" customWidth="1"/>
    <col min="23" max="24" width="6.7109375" style="1" bestFit="1" customWidth="1"/>
    <col min="25" max="25" width="18.5703125" style="1" bestFit="1" customWidth="1"/>
    <col min="26" max="26" width="6.7109375" style="1" bestFit="1" customWidth="1"/>
    <col min="27" max="27" width="14.28515625" style="1" bestFit="1" customWidth="1"/>
    <col min="28" max="28" width="6.7109375" style="1" bestFit="1" customWidth="1"/>
    <col min="29" max="16384" width="3.85546875" style="1"/>
  </cols>
  <sheetData>
    <row r="1" spans="1:28" ht="17.25" x14ac:dyDescent="0.25">
      <c r="A1" s="38" t="s">
        <v>23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</row>
    <row r="2" spans="1:28" ht="17.25" x14ac:dyDescent="0.3">
      <c r="A2" s="39" t="s">
        <v>22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</row>
    <row r="3" spans="1:28" ht="15.75" x14ac:dyDescent="0.25">
      <c r="A3" s="43" t="s">
        <v>0</v>
      </c>
      <c r="B3" s="43" t="s">
        <v>1</v>
      </c>
      <c r="C3" s="43" t="s">
        <v>2</v>
      </c>
      <c r="D3" s="43" t="s">
        <v>3</v>
      </c>
      <c r="E3" s="43" t="s">
        <v>4</v>
      </c>
      <c r="F3" s="2" t="str">
        <f t="shared" ref="F3:V3" si="0">TEXT(F4,"ddd")</f>
        <v>Thu</v>
      </c>
      <c r="G3" s="2" t="str">
        <f t="shared" si="0"/>
        <v>Fri</v>
      </c>
      <c r="H3" s="2" t="str">
        <f t="shared" si="0"/>
        <v>Sat</v>
      </c>
      <c r="I3" s="2" t="str">
        <f t="shared" si="0"/>
        <v>Sun</v>
      </c>
      <c r="J3" s="2" t="str">
        <f t="shared" si="0"/>
        <v>Mon</v>
      </c>
      <c r="K3" s="2" t="str">
        <f t="shared" si="0"/>
        <v>Tue</v>
      </c>
      <c r="L3" s="2" t="str">
        <f t="shared" si="0"/>
        <v>Wed</v>
      </c>
      <c r="M3" s="2" t="str">
        <f t="shared" si="0"/>
        <v>Thu</v>
      </c>
      <c r="N3" s="2" t="str">
        <f t="shared" si="0"/>
        <v>Fri</v>
      </c>
      <c r="O3" s="2" t="str">
        <f t="shared" si="0"/>
        <v>Sat</v>
      </c>
      <c r="P3" s="2" t="str">
        <f t="shared" si="0"/>
        <v>Sun</v>
      </c>
      <c r="Q3" s="2" t="str">
        <f t="shared" si="0"/>
        <v>Mon</v>
      </c>
      <c r="R3" s="2" t="str">
        <f t="shared" si="0"/>
        <v>Tue</v>
      </c>
      <c r="S3" s="2" t="str">
        <f t="shared" si="0"/>
        <v>Wed</v>
      </c>
      <c r="T3" s="2" t="str">
        <f t="shared" si="0"/>
        <v>Thu</v>
      </c>
      <c r="U3" s="2" t="str">
        <f t="shared" si="0"/>
        <v>Fri</v>
      </c>
      <c r="V3" s="2" t="str">
        <f t="shared" si="0"/>
        <v>Sat</v>
      </c>
      <c r="W3" s="45" t="s">
        <v>5</v>
      </c>
      <c r="X3" s="45" t="s">
        <v>6</v>
      </c>
      <c r="Y3" s="40" t="s">
        <v>21</v>
      </c>
      <c r="Z3" s="41"/>
      <c r="AA3" s="3"/>
      <c r="AB3" s="3"/>
    </row>
    <row r="4" spans="1:28" ht="36.75" x14ac:dyDescent="0.25">
      <c r="A4" s="44"/>
      <c r="B4" s="44"/>
      <c r="C4" s="44"/>
      <c r="D4" s="44"/>
      <c r="E4" s="44"/>
      <c r="F4" s="23">
        <v>45519</v>
      </c>
      <c r="G4" s="23">
        <v>45520</v>
      </c>
      <c r="H4" s="23">
        <v>45521</v>
      </c>
      <c r="I4" s="23">
        <v>45522</v>
      </c>
      <c r="J4" s="23">
        <v>45523</v>
      </c>
      <c r="K4" s="23">
        <v>45524</v>
      </c>
      <c r="L4" s="23">
        <v>45525</v>
      </c>
      <c r="M4" s="23">
        <v>45526</v>
      </c>
      <c r="N4" s="23">
        <v>45527</v>
      </c>
      <c r="O4" s="23">
        <v>45528</v>
      </c>
      <c r="P4" s="23">
        <v>45529</v>
      </c>
      <c r="Q4" s="23">
        <v>45530</v>
      </c>
      <c r="R4" s="23">
        <v>45531</v>
      </c>
      <c r="S4" s="23">
        <v>45532</v>
      </c>
      <c r="T4" s="23">
        <v>45533</v>
      </c>
      <c r="U4" s="23">
        <v>45534</v>
      </c>
      <c r="V4" s="23">
        <v>45535</v>
      </c>
      <c r="W4" s="45"/>
      <c r="X4" s="45"/>
      <c r="Y4" s="4" t="s">
        <v>7</v>
      </c>
      <c r="Z4" s="5">
        <v>31</v>
      </c>
      <c r="AA4" s="3"/>
      <c r="AB4" s="3"/>
    </row>
    <row r="5" spans="1:28" x14ac:dyDescent="0.25">
      <c r="A5" s="6">
        <v>1</v>
      </c>
      <c r="B5" s="7"/>
      <c r="C5" s="8" t="s">
        <v>24</v>
      </c>
      <c r="D5" s="9" t="s">
        <v>25</v>
      </c>
      <c r="E5" s="10" t="s">
        <v>8</v>
      </c>
      <c r="F5" s="12" t="s">
        <v>116</v>
      </c>
      <c r="G5" s="12" t="s">
        <v>116</v>
      </c>
      <c r="H5" s="12" t="s">
        <v>116</v>
      </c>
      <c r="I5" s="32" t="s">
        <v>123</v>
      </c>
      <c r="J5" s="12" t="s">
        <v>117</v>
      </c>
      <c r="K5" s="35" t="s">
        <v>122</v>
      </c>
      <c r="L5" s="12" t="s">
        <v>117</v>
      </c>
      <c r="M5" s="12" t="s">
        <v>116</v>
      </c>
      <c r="N5" s="12" t="s">
        <v>117</v>
      </c>
      <c r="O5" s="12" t="s">
        <v>117</v>
      </c>
      <c r="P5" s="32" t="s">
        <v>123</v>
      </c>
      <c r="Q5" s="35" t="s">
        <v>118</v>
      </c>
      <c r="R5" s="12" t="s">
        <v>117</v>
      </c>
      <c r="S5" s="12" t="s">
        <v>116</v>
      </c>
      <c r="T5" s="12" t="s">
        <v>117</v>
      </c>
      <c r="U5" s="35" t="s">
        <v>119</v>
      </c>
      <c r="V5" s="12" t="s">
        <v>116</v>
      </c>
      <c r="W5" s="5">
        <f>COUNTIF(F5:V5,"P")</f>
        <v>6</v>
      </c>
      <c r="X5" s="5">
        <f>COUNTIF(F5:V5,"A")</f>
        <v>6</v>
      </c>
      <c r="Y5" s="5" t="s">
        <v>9</v>
      </c>
      <c r="Z5" s="13">
        <v>26</v>
      </c>
      <c r="AA5" s="14" t="s">
        <v>10</v>
      </c>
      <c r="AB5" s="3"/>
    </row>
    <row r="6" spans="1:28" x14ac:dyDescent="0.25">
      <c r="A6" s="13">
        <v>2</v>
      </c>
      <c r="B6" s="15"/>
      <c r="C6" s="16" t="s">
        <v>26</v>
      </c>
      <c r="D6" s="17" t="s">
        <v>27</v>
      </c>
      <c r="E6" s="11" t="s">
        <v>8</v>
      </c>
      <c r="F6" s="12" t="s">
        <v>117</v>
      </c>
      <c r="G6" s="12" t="s">
        <v>117</v>
      </c>
      <c r="H6" s="12" t="s">
        <v>117</v>
      </c>
      <c r="I6" s="33"/>
      <c r="J6" s="12" t="s">
        <v>116</v>
      </c>
      <c r="K6" s="36"/>
      <c r="L6" s="12" t="s">
        <v>117</v>
      </c>
      <c r="M6" s="12" t="s">
        <v>117</v>
      </c>
      <c r="N6" s="12" t="s">
        <v>117</v>
      </c>
      <c r="O6" s="12" t="s">
        <v>117</v>
      </c>
      <c r="P6" s="33"/>
      <c r="Q6" s="36"/>
      <c r="R6" s="12" t="s">
        <v>117</v>
      </c>
      <c r="S6" s="12" t="s">
        <v>116</v>
      </c>
      <c r="T6" s="12" t="s">
        <v>116</v>
      </c>
      <c r="U6" s="36"/>
      <c r="V6" s="12" t="s">
        <v>116</v>
      </c>
      <c r="W6" s="5">
        <f>COUNTIF(F6:V6,"P")</f>
        <v>8</v>
      </c>
      <c r="X6" s="5">
        <f>COUNTIF(F6:V6,"A")</f>
        <v>4</v>
      </c>
      <c r="Y6" s="5" t="s">
        <v>11</v>
      </c>
      <c r="Z6" s="13">
        <v>4</v>
      </c>
      <c r="AA6" s="3"/>
      <c r="AB6" s="3"/>
    </row>
    <row r="7" spans="1:28" x14ac:dyDescent="0.25">
      <c r="A7" s="6">
        <v>3</v>
      </c>
      <c r="B7" s="15"/>
      <c r="C7" s="16" t="s">
        <v>28</v>
      </c>
      <c r="D7" s="17" t="s">
        <v>29</v>
      </c>
      <c r="E7" s="11" t="s">
        <v>8</v>
      </c>
      <c r="F7" s="12" t="s">
        <v>116</v>
      </c>
      <c r="G7" s="12" t="s">
        <v>116</v>
      </c>
      <c r="H7" s="12" t="s">
        <v>116</v>
      </c>
      <c r="I7" s="33"/>
      <c r="J7" s="12" t="s">
        <v>116</v>
      </c>
      <c r="K7" s="36"/>
      <c r="L7" s="12" t="s">
        <v>117</v>
      </c>
      <c r="M7" s="12" t="s">
        <v>117</v>
      </c>
      <c r="N7" s="12" t="s">
        <v>117</v>
      </c>
      <c r="O7" s="12" t="s">
        <v>116</v>
      </c>
      <c r="P7" s="33"/>
      <c r="Q7" s="36"/>
      <c r="R7" s="12" t="s">
        <v>117</v>
      </c>
      <c r="S7" s="12" t="s">
        <v>116</v>
      </c>
      <c r="T7" s="12" t="s">
        <v>117</v>
      </c>
      <c r="U7" s="36"/>
      <c r="V7" s="12" t="s">
        <v>116</v>
      </c>
      <c r="W7" s="5">
        <f>COUNTIF(F7:V7,"P")</f>
        <v>5</v>
      </c>
      <c r="X7" s="5">
        <f>COUNTIF(F7:V7,"A")</f>
        <v>7</v>
      </c>
      <c r="Y7" s="3"/>
      <c r="Z7" s="3"/>
      <c r="AA7" s="3"/>
      <c r="AB7" s="3"/>
    </row>
    <row r="8" spans="1:28" ht="15.75" x14ac:dyDescent="0.25">
      <c r="A8" s="13">
        <v>4</v>
      </c>
      <c r="B8" s="15">
        <v>135</v>
      </c>
      <c r="C8" s="16" t="s">
        <v>30</v>
      </c>
      <c r="D8" s="17" t="s">
        <v>31</v>
      </c>
      <c r="E8" s="11" t="s">
        <v>8</v>
      </c>
      <c r="F8" s="12" t="s">
        <v>117</v>
      </c>
      <c r="G8" s="12" t="s">
        <v>117</v>
      </c>
      <c r="H8" s="12" t="s">
        <v>116</v>
      </c>
      <c r="I8" s="33"/>
      <c r="J8" s="12" t="s">
        <v>117</v>
      </c>
      <c r="K8" s="36"/>
      <c r="L8" s="12" t="s">
        <v>117</v>
      </c>
      <c r="M8" s="12" t="s">
        <v>117</v>
      </c>
      <c r="N8" s="12" t="s">
        <v>117</v>
      </c>
      <c r="O8" s="12" t="s">
        <v>116</v>
      </c>
      <c r="P8" s="33"/>
      <c r="Q8" s="36"/>
      <c r="R8" s="12" t="s">
        <v>117</v>
      </c>
      <c r="S8" s="12" t="s">
        <v>116</v>
      </c>
      <c r="T8" s="12" t="s">
        <v>117</v>
      </c>
      <c r="U8" s="36"/>
      <c r="V8" s="12" t="s">
        <v>116</v>
      </c>
      <c r="W8" s="5">
        <f>COUNTIF(F8:V8,"P")</f>
        <v>8</v>
      </c>
      <c r="X8" s="5">
        <f>COUNTIF(F8:V8,"A")</f>
        <v>4</v>
      </c>
      <c r="Y8" s="40" t="s">
        <v>12</v>
      </c>
      <c r="Z8" s="42"/>
      <c r="AA8" s="42"/>
      <c r="AB8" s="41"/>
    </row>
    <row r="9" spans="1:28" x14ac:dyDescent="0.25">
      <c r="A9" s="6">
        <v>5</v>
      </c>
      <c r="B9" s="15">
        <v>136</v>
      </c>
      <c r="C9" s="16" t="s">
        <v>32</v>
      </c>
      <c r="D9" s="17" t="s">
        <v>33</v>
      </c>
      <c r="E9" s="11" t="s">
        <v>8</v>
      </c>
      <c r="F9" s="12" t="s">
        <v>117</v>
      </c>
      <c r="G9" s="12" t="s">
        <v>117</v>
      </c>
      <c r="H9" s="12" t="s">
        <v>117</v>
      </c>
      <c r="I9" s="33"/>
      <c r="J9" s="12" t="s">
        <v>117</v>
      </c>
      <c r="K9" s="36"/>
      <c r="L9" s="12" t="s">
        <v>117</v>
      </c>
      <c r="M9" s="12" t="s">
        <v>117</v>
      </c>
      <c r="N9" s="12" t="s">
        <v>117</v>
      </c>
      <c r="O9" s="12" t="s">
        <v>116</v>
      </c>
      <c r="P9" s="33"/>
      <c r="Q9" s="36"/>
      <c r="R9" s="12" t="s">
        <v>117</v>
      </c>
      <c r="S9" s="12" t="s">
        <v>116</v>
      </c>
      <c r="T9" s="12" t="s">
        <v>117</v>
      </c>
      <c r="U9" s="36"/>
      <c r="V9" s="12" t="s">
        <v>116</v>
      </c>
      <c r="W9" s="5">
        <f>COUNTIF(F9:V9,"P")</f>
        <v>9</v>
      </c>
      <c r="X9" s="5">
        <f>COUNTIF(F9:V9,"A")</f>
        <v>3</v>
      </c>
      <c r="Y9" s="5" t="s">
        <v>13</v>
      </c>
      <c r="Z9" s="5" t="s">
        <v>14</v>
      </c>
      <c r="AA9" s="5" t="s">
        <v>15</v>
      </c>
      <c r="AB9" s="5" t="s">
        <v>16</v>
      </c>
    </row>
    <row r="10" spans="1:28" x14ac:dyDescent="0.25">
      <c r="A10" s="13">
        <v>6</v>
      </c>
      <c r="B10" s="15">
        <v>137</v>
      </c>
      <c r="C10" s="16" t="s">
        <v>34</v>
      </c>
      <c r="D10" s="17" t="s">
        <v>35</v>
      </c>
      <c r="E10" s="11" t="s">
        <v>8</v>
      </c>
      <c r="F10" s="12" t="s">
        <v>116</v>
      </c>
      <c r="G10" s="12" t="s">
        <v>116</v>
      </c>
      <c r="H10" s="12" t="s">
        <v>116</v>
      </c>
      <c r="I10" s="33"/>
      <c r="J10" s="12" t="s">
        <v>117</v>
      </c>
      <c r="K10" s="36"/>
      <c r="L10" s="12" t="s">
        <v>117</v>
      </c>
      <c r="M10" s="12" t="s">
        <v>117</v>
      </c>
      <c r="N10" s="12" t="s">
        <v>117</v>
      </c>
      <c r="O10" s="12" t="s">
        <v>117</v>
      </c>
      <c r="P10" s="33"/>
      <c r="Q10" s="36"/>
      <c r="R10" s="12" t="s">
        <v>117</v>
      </c>
      <c r="S10" s="12" t="s">
        <v>117</v>
      </c>
      <c r="T10" s="12" t="s">
        <v>116</v>
      </c>
      <c r="U10" s="36"/>
      <c r="V10" s="12" t="s">
        <v>116</v>
      </c>
      <c r="W10" s="5">
        <f>COUNTIF(F10:V10,"P")</f>
        <v>7</v>
      </c>
      <c r="X10" s="5">
        <f>COUNTIF(F10:V10,"A")</f>
        <v>5</v>
      </c>
      <c r="Y10" s="5" t="s">
        <v>17</v>
      </c>
      <c r="Z10" s="13">
        <f>19*26</f>
        <v>494</v>
      </c>
      <c r="AA10" s="13">
        <f>21*26</f>
        <v>546</v>
      </c>
      <c r="AB10" s="13">
        <f>SUM(Z10:AA10)</f>
        <v>1040</v>
      </c>
    </row>
    <row r="11" spans="1:28" x14ac:dyDescent="0.25">
      <c r="A11" s="6">
        <v>7</v>
      </c>
      <c r="B11" s="15">
        <v>139</v>
      </c>
      <c r="C11" s="16" t="s">
        <v>36</v>
      </c>
      <c r="D11" s="17" t="s">
        <v>37</v>
      </c>
      <c r="E11" s="11" t="s">
        <v>8</v>
      </c>
      <c r="F11" s="12" t="s">
        <v>116</v>
      </c>
      <c r="G11" s="12" t="s">
        <v>116</v>
      </c>
      <c r="H11" s="12" t="s">
        <v>117</v>
      </c>
      <c r="I11" s="33"/>
      <c r="J11" s="12" t="s">
        <v>117</v>
      </c>
      <c r="K11" s="36"/>
      <c r="L11" s="12" t="s">
        <v>117</v>
      </c>
      <c r="M11" s="12" t="s">
        <v>117</v>
      </c>
      <c r="N11" s="12" t="s">
        <v>117</v>
      </c>
      <c r="O11" s="12" t="s">
        <v>116</v>
      </c>
      <c r="P11" s="33"/>
      <c r="Q11" s="36"/>
      <c r="R11" s="12" t="s">
        <v>117</v>
      </c>
      <c r="S11" s="12" t="s">
        <v>116</v>
      </c>
      <c r="T11" s="12" t="s">
        <v>117</v>
      </c>
      <c r="U11" s="36"/>
      <c r="V11" s="12" t="s">
        <v>116</v>
      </c>
      <c r="W11" s="5">
        <f>COUNTIF(F11:V11,"P")</f>
        <v>7</v>
      </c>
      <c r="X11" s="5">
        <f>COUNTIF(F11:V11,"A")</f>
        <v>5</v>
      </c>
      <c r="Y11" s="5" t="s">
        <v>18</v>
      </c>
      <c r="Z11" s="13">
        <f>W6+W7+W8+W11+W12+W13+W15+W19+W20+W21+W22+W23+W24+W25+W27+W28+W30+W40</f>
        <v>123</v>
      </c>
      <c r="AA11" s="13">
        <f>W5+W9+W10+W14+W16+W17+W18+W26+W29+W31+W32+W33+W34+W35+W36+W37+W38+W39+W41</f>
        <v>103</v>
      </c>
      <c r="AB11" s="13">
        <f>Z11+AA11</f>
        <v>226</v>
      </c>
    </row>
    <row r="12" spans="1:28" x14ac:dyDescent="0.25">
      <c r="A12" s="13">
        <v>8</v>
      </c>
      <c r="B12" s="15"/>
      <c r="C12" s="16" t="s">
        <v>38</v>
      </c>
      <c r="D12" s="17" t="s">
        <v>39</v>
      </c>
      <c r="E12" s="11" t="s">
        <v>8</v>
      </c>
      <c r="F12" s="12" t="s">
        <v>116</v>
      </c>
      <c r="G12" s="12" t="s">
        <v>116</v>
      </c>
      <c r="H12" s="12" t="s">
        <v>117</v>
      </c>
      <c r="I12" s="33"/>
      <c r="J12" s="12" t="s">
        <v>116</v>
      </c>
      <c r="K12" s="36"/>
      <c r="L12" s="12" t="s">
        <v>117</v>
      </c>
      <c r="M12" s="12" t="s">
        <v>117</v>
      </c>
      <c r="N12" s="12" t="s">
        <v>117</v>
      </c>
      <c r="O12" s="12" t="s">
        <v>117</v>
      </c>
      <c r="P12" s="33"/>
      <c r="Q12" s="36"/>
      <c r="R12" s="12" t="s">
        <v>117</v>
      </c>
      <c r="S12" s="12" t="s">
        <v>116</v>
      </c>
      <c r="T12" s="12" t="s">
        <v>117</v>
      </c>
      <c r="U12" s="36"/>
      <c r="V12" s="12" t="s">
        <v>116</v>
      </c>
      <c r="W12" s="5">
        <f>COUNTIF(F12:V12,"P")</f>
        <v>7</v>
      </c>
      <c r="X12" s="5">
        <f>COUNTIF(F12:V12,"A")</f>
        <v>5</v>
      </c>
      <c r="Y12" s="5" t="s">
        <v>19</v>
      </c>
      <c r="Z12" s="13">
        <f>Z11/Z10</f>
        <v>0.24898785425101214</v>
      </c>
      <c r="AA12" s="13">
        <f>AA11/AA10</f>
        <v>0.18864468864468864</v>
      </c>
      <c r="AB12" s="13">
        <f>AB11/AB10</f>
        <v>0.21730769230769231</v>
      </c>
    </row>
    <row r="13" spans="1:28" x14ac:dyDescent="0.25">
      <c r="A13" s="6">
        <v>9</v>
      </c>
      <c r="B13" s="15">
        <v>142</v>
      </c>
      <c r="C13" s="16" t="s">
        <v>40</v>
      </c>
      <c r="D13" s="17" t="s">
        <v>41</v>
      </c>
      <c r="E13" s="11" t="s">
        <v>8</v>
      </c>
      <c r="F13" s="12" t="s">
        <v>116</v>
      </c>
      <c r="G13" s="12" t="s">
        <v>116</v>
      </c>
      <c r="H13" s="12" t="s">
        <v>117</v>
      </c>
      <c r="I13" s="33"/>
      <c r="J13" s="12" t="s">
        <v>117</v>
      </c>
      <c r="K13" s="36"/>
      <c r="L13" s="12" t="s">
        <v>117</v>
      </c>
      <c r="M13" s="12" t="s">
        <v>117</v>
      </c>
      <c r="N13" s="12" t="s">
        <v>117</v>
      </c>
      <c r="O13" s="12" t="s">
        <v>117</v>
      </c>
      <c r="P13" s="33"/>
      <c r="Q13" s="36"/>
      <c r="R13" s="12" t="s">
        <v>117</v>
      </c>
      <c r="S13" s="12" t="s">
        <v>117</v>
      </c>
      <c r="T13" s="12" t="s">
        <v>117</v>
      </c>
      <c r="U13" s="36"/>
      <c r="V13" s="12" t="s">
        <v>116</v>
      </c>
      <c r="W13" s="5">
        <f>COUNTIF(F13:V13,"P")</f>
        <v>9</v>
      </c>
      <c r="X13" s="5">
        <f>COUNTIF(F13:V13,"A")</f>
        <v>3</v>
      </c>
      <c r="Y13" s="3"/>
      <c r="Z13" s="18"/>
      <c r="AA13" s="18"/>
      <c r="AB13" s="18"/>
    </row>
    <row r="14" spans="1:28" x14ac:dyDescent="0.25">
      <c r="A14" s="13">
        <v>10</v>
      </c>
      <c r="B14" s="19">
        <v>143</v>
      </c>
      <c r="C14" s="16" t="s">
        <v>42</v>
      </c>
      <c r="D14" s="17" t="s">
        <v>43</v>
      </c>
      <c r="E14" s="11" t="s">
        <v>8</v>
      </c>
      <c r="F14" s="12" t="s">
        <v>116</v>
      </c>
      <c r="G14" s="12" t="s">
        <v>116</v>
      </c>
      <c r="H14" s="12" t="s">
        <v>117</v>
      </c>
      <c r="I14" s="33"/>
      <c r="J14" s="12" t="s">
        <v>117</v>
      </c>
      <c r="K14" s="36"/>
      <c r="L14" s="12" t="s">
        <v>117</v>
      </c>
      <c r="M14" s="12" t="s">
        <v>117</v>
      </c>
      <c r="N14" s="12" t="s">
        <v>117</v>
      </c>
      <c r="O14" s="12" t="s">
        <v>117</v>
      </c>
      <c r="P14" s="33"/>
      <c r="Q14" s="36"/>
      <c r="R14" s="12" t="s">
        <v>117</v>
      </c>
      <c r="S14" s="12" t="s">
        <v>117</v>
      </c>
      <c r="T14" s="12" t="s">
        <v>117</v>
      </c>
      <c r="U14" s="36"/>
      <c r="V14" s="12" t="s">
        <v>116</v>
      </c>
      <c r="W14" s="5">
        <f>COUNTIF(F14:V14,"P")</f>
        <v>9</v>
      </c>
      <c r="X14" s="5">
        <f>COUNTIF(F14:V14,"A")</f>
        <v>3</v>
      </c>
      <c r="Y14" s="20"/>
      <c r="Z14" s="20"/>
      <c r="AA14" s="20"/>
      <c r="AB14" s="20"/>
    </row>
    <row r="15" spans="1:28" x14ac:dyDescent="0.25">
      <c r="A15" s="6">
        <v>11</v>
      </c>
      <c r="B15" s="19">
        <v>144</v>
      </c>
      <c r="C15" s="16" t="s">
        <v>44</v>
      </c>
      <c r="D15" s="17" t="s">
        <v>45</v>
      </c>
      <c r="E15" s="11" t="s">
        <v>8</v>
      </c>
      <c r="F15" s="12" t="s">
        <v>116</v>
      </c>
      <c r="G15" s="12" t="s">
        <v>116</v>
      </c>
      <c r="H15" s="12" t="s">
        <v>117</v>
      </c>
      <c r="I15" s="33"/>
      <c r="J15" s="12" t="s">
        <v>117</v>
      </c>
      <c r="K15" s="36"/>
      <c r="L15" s="12" t="s">
        <v>117</v>
      </c>
      <c r="M15" s="12" t="s">
        <v>117</v>
      </c>
      <c r="N15" s="12" t="s">
        <v>117</v>
      </c>
      <c r="O15" s="12" t="s">
        <v>116</v>
      </c>
      <c r="P15" s="33"/>
      <c r="Q15" s="36"/>
      <c r="R15" s="12" t="s">
        <v>117</v>
      </c>
      <c r="S15" s="12" t="s">
        <v>116</v>
      </c>
      <c r="T15" s="12" t="s">
        <v>116</v>
      </c>
      <c r="U15" s="36"/>
      <c r="V15" s="12" t="s">
        <v>116</v>
      </c>
      <c r="W15" s="5">
        <f>COUNTIF(F15:V15,"P")</f>
        <v>6</v>
      </c>
      <c r="X15" s="5">
        <f>COUNTIF(F15:V15,"A")</f>
        <v>6</v>
      </c>
      <c r="Y15" s="3"/>
      <c r="Z15" s="3"/>
      <c r="AA15" s="3"/>
      <c r="AB15" s="3"/>
    </row>
    <row r="16" spans="1:28" ht="15.75" x14ac:dyDescent="0.25">
      <c r="A16" s="13">
        <v>12</v>
      </c>
      <c r="B16" s="19">
        <v>145</v>
      </c>
      <c r="C16" s="16" t="s">
        <v>46</v>
      </c>
      <c r="D16" s="17" t="s">
        <v>47</v>
      </c>
      <c r="E16" s="11" t="s">
        <v>8</v>
      </c>
      <c r="F16" s="12" t="s">
        <v>116</v>
      </c>
      <c r="G16" s="12" t="s">
        <v>116</v>
      </c>
      <c r="H16" s="12" t="s">
        <v>116</v>
      </c>
      <c r="I16" s="33"/>
      <c r="J16" s="12" t="s">
        <v>117</v>
      </c>
      <c r="K16" s="36"/>
      <c r="L16" s="12" t="s">
        <v>117</v>
      </c>
      <c r="M16" s="12" t="s">
        <v>117</v>
      </c>
      <c r="N16" s="12" t="s">
        <v>117</v>
      </c>
      <c r="O16" s="12" t="s">
        <v>117</v>
      </c>
      <c r="P16" s="33"/>
      <c r="Q16" s="36"/>
      <c r="R16" s="12" t="s">
        <v>117</v>
      </c>
      <c r="S16" s="12" t="s">
        <v>117</v>
      </c>
      <c r="T16" s="12" t="s">
        <v>117</v>
      </c>
      <c r="U16" s="36"/>
      <c r="V16" s="12" t="s">
        <v>116</v>
      </c>
      <c r="W16" s="5">
        <f>COUNTIF(F16:V16,"P")</f>
        <v>8</v>
      </c>
      <c r="X16" s="5">
        <f>COUNTIF(F16:V16,"A")</f>
        <v>4</v>
      </c>
      <c r="Y16" s="40" t="s">
        <v>6</v>
      </c>
      <c r="Z16" s="42"/>
      <c r="AA16" s="42"/>
      <c r="AB16" s="41"/>
    </row>
    <row r="17" spans="1:28" x14ac:dyDescent="0.25">
      <c r="A17" s="6">
        <v>13</v>
      </c>
      <c r="B17" s="19">
        <v>146</v>
      </c>
      <c r="C17" s="16" t="s">
        <v>48</v>
      </c>
      <c r="D17" s="17" t="s">
        <v>49</v>
      </c>
      <c r="E17" s="11" t="s">
        <v>8</v>
      </c>
      <c r="F17" s="12" t="s">
        <v>116</v>
      </c>
      <c r="G17" s="12" t="s">
        <v>116</v>
      </c>
      <c r="H17" s="12" t="s">
        <v>116</v>
      </c>
      <c r="I17" s="33"/>
      <c r="J17" s="12" t="s">
        <v>117</v>
      </c>
      <c r="K17" s="36"/>
      <c r="L17" s="12" t="s">
        <v>117</v>
      </c>
      <c r="M17" s="12" t="s">
        <v>117</v>
      </c>
      <c r="N17" s="12" t="s">
        <v>117</v>
      </c>
      <c r="O17" s="12" t="s">
        <v>117</v>
      </c>
      <c r="P17" s="33"/>
      <c r="Q17" s="36"/>
      <c r="R17" s="12" t="s">
        <v>116</v>
      </c>
      <c r="S17" s="12" t="s">
        <v>116</v>
      </c>
      <c r="T17" s="12" t="s">
        <v>116</v>
      </c>
      <c r="U17" s="36"/>
      <c r="V17" s="12" t="s">
        <v>116</v>
      </c>
      <c r="W17" s="5">
        <f>COUNTIF(F17:V17,"P")</f>
        <v>5</v>
      </c>
      <c r="X17" s="5">
        <f>COUNTIF(F17:V17,"A")</f>
        <v>7</v>
      </c>
      <c r="Y17" s="5" t="s">
        <v>13</v>
      </c>
      <c r="Z17" s="5" t="s">
        <v>14</v>
      </c>
      <c r="AA17" s="5" t="s">
        <v>15</v>
      </c>
      <c r="AB17" s="5" t="s">
        <v>16</v>
      </c>
    </row>
    <row r="18" spans="1:28" x14ac:dyDescent="0.25">
      <c r="A18" s="13">
        <v>14</v>
      </c>
      <c r="B18" s="19">
        <v>148</v>
      </c>
      <c r="C18" s="16" t="s">
        <v>50</v>
      </c>
      <c r="D18" s="17" t="s">
        <v>51</v>
      </c>
      <c r="E18" s="11" t="s">
        <v>8</v>
      </c>
      <c r="F18" s="12" t="s">
        <v>116</v>
      </c>
      <c r="G18" s="12" t="s">
        <v>116</v>
      </c>
      <c r="H18" s="12" t="s">
        <v>116</v>
      </c>
      <c r="I18" s="33"/>
      <c r="J18" s="12" t="s">
        <v>117</v>
      </c>
      <c r="K18" s="36"/>
      <c r="L18" s="12" t="s">
        <v>117</v>
      </c>
      <c r="M18" s="12" t="s">
        <v>117</v>
      </c>
      <c r="N18" s="12" t="s">
        <v>117</v>
      </c>
      <c r="O18" s="12" t="s">
        <v>117</v>
      </c>
      <c r="P18" s="33"/>
      <c r="Q18" s="36"/>
      <c r="R18" s="12" t="s">
        <v>117</v>
      </c>
      <c r="S18" s="12" t="s">
        <v>116</v>
      </c>
      <c r="T18" s="12" t="s">
        <v>116</v>
      </c>
      <c r="U18" s="36"/>
      <c r="V18" s="12" t="s">
        <v>116</v>
      </c>
      <c r="W18" s="5">
        <f>COUNTIF(F18:V18,"P")</f>
        <v>6</v>
      </c>
      <c r="X18" s="5">
        <f>COUNTIF(F18:V18,"A")</f>
        <v>6</v>
      </c>
      <c r="Y18" s="5" t="s">
        <v>17</v>
      </c>
      <c r="Z18" s="13">
        <f>19*26</f>
        <v>494</v>
      </c>
      <c r="AA18" s="13">
        <f>21*26</f>
        <v>546</v>
      </c>
      <c r="AB18" s="13">
        <f>Z18+AA18</f>
        <v>1040</v>
      </c>
    </row>
    <row r="19" spans="1:28" x14ac:dyDescent="0.25">
      <c r="A19" s="6">
        <v>15</v>
      </c>
      <c r="B19" s="19">
        <v>150</v>
      </c>
      <c r="C19" s="16" t="s">
        <v>52</v>
      </c>
      <c r="D19" s="17" t="s">
        <v>53</v>
      </c>
      <c r="E19" s="11" t="s">
        <v>8</v>
      </c>
      <c r="F19" s="12" t="s">
        <v>116</v>
      </c>
      <c r="G19" s="12" t="s">
        <v>117</v>
      </c>
      <c r="H19" s="12" t="s">
        <v>117</v>
      </c>
      <c r="I19" s="33"/>
      <c r="J19" s="12" t="s">
        <v>117</v>
      </c>
      <c r="K19" s="36"/>
      <c r="L19" s="12" t="s">
        <v>117</v>
      </c>
      <c r="M19" s="12" t="s">
        <v>117</v>
      </c>
      <c r="N19" s="12" t="s">
        <v>117</v>
      </c>
      <c r="O19" s="12" t="s">
        <v>117</v>
      </c>
      <c r="P19" s="33"/>
      <c r="Q19" s="36"/>
      <c r="R19" s="12" t="s">
        <v>117</v>
      </c>
      <c r="S19" s="12" t="s">
        <v>116</v>
      </c>
      <c r="T19" s="12" t="s">
        <v>117</v>
      </c>
      <c r="U19" s="36"/>
      <c r="V19" s="12" t="s">
        <v>116</v>
      </c>
      <c r="W19" s="5">
        <f>COUNTIF(F19:V19,"P")</f>
        <v>9</v>
      </c>
      <c r="X19" s="5">
        <f>COUNTIF(F19:V19,"A")</f>
        <v>3</v>
      </c>
      <c r="Y19" s="5" t="s">
        <v>20</v>
      </c>
      <c r="Z19" s="13">
        <f>Z18-Z11</f>
        <v>371</v>
      </c>
      <c r="AA19" s="13">
        <f>AA18-AA11</f>
        <v>443</v>
      </c>
      <c r="AB19" s="13">
        <f>Z19+AA19</f>
        <v>814</v>
      </c>
    </row>
    <row r="20" spans="1:28" x14ac:dyDescent="0.25">
      <c r="A20" s="13">
        <v>16</v>
      </c>
      <c r="B20" s="19">
        <v>151</v>
      </c>
      <c r="C20" s="16" t="s">
        <v>54</v>
      </c>
      <c r="D20" s="17" t="s">
        <v>55</v>
      </c>
      <c r="E20" s="11" t="s">
        <v>8</v>
      </c>
      <c r="F20" s="12" t="s">
        <v>116</v>
      </c>
      <c r="G20" s="12" t="s">
        <v>116</v>
      </c>
      <c r="H20" s="12" t="s">
        <v>116</v>
      </c>
      <c r="I20" s="33"/>
      <c r="J20" s="12" t="s">
        <v>117</v>
      </c>
      <c r="K20" s="36"/>
      <c r="L20" s="12" t="s">
        <v>117</v>
      </c>
      <c r="M20" s="12" t="s">
        <v>117</v>
      </c>
      <c r="N20" s="12" t="s">
        <v>117</v>
      </c>
      <c r="O20" s="12" t="s">
        <v>117</v>
      </c>
      <c r="P20" s="33"/>
      <c r="Q20" s="36"/>
      <c r="R20" s="12" t="s">
        <v>117</v>
      </c>
      <c r="S20" s="12" t="s">
        <v>116</v>
      </c>
      <c r="T20" s="12" t="s">
        <v>117</v>
      </c>
      <c r="U20" s="36"/>
      <c r="V20" s="12" t="s">
        <v>116</v>
      </c>
      <c r="W20" s="5">
        <f>COUNTIF(F20:V20,"P")</f>
        <v>7</v>
      </c>
      <c r="X20" s="5">
        <f>COUNTIF(F20:V20,"A")</f>
        <v>5</v>
      </c>
      <c r="Y20" s="5" t="s">
        <v>16</v>
      </c>
      <c r="Z20" s="21">
        <f>Z19/Z18</f>
        <v>0.75101214574898789</v>
      </c>
      <c r="AA20" s="21">
        <f>AA19/AA18</f>
        <v>0.81135531135531136</v>
      </c>
      <c r="AB20" s="21">
        <f>AB19/AB18</f>
        <v>0.78269230769230769</v>
      </c>
    </row>
    <row r="21" spans="1:28" x14ac:dyDescent="0.25">
      <c r="A21" s="6">
        <v>17</v>
      </c>
      <c r="B21" s="19">
        <v>152</v>
      </c>
      <c r="C21" s="16" t="s">
        <v>56</v>
      </c>
      <c r="D21" s="17" t="s">
        <v>57</v>
      </c>
      <c r="E21" s="11" t="s">
        <v>8</v>
      </c>
      <c r="F21" s="12" t="s">
        <v>116</v>
      </c>
      <c r="G21" s="12" t="s">
        <v>116</v>
      </c>
      <c r="H21" s="12" t="s">
        <v>116</v>
      </c>
      <c r="I21" s="33"/>
      <c r="J21" s="12" t="s">
        <v>117</v>
      </c>
      <c r="K21" s="36"/>
      <c r="L21" s="12" t="s">
        <v>117</v>
      </c>
      <c r="M21" s="12" t="s">
        <v>116</v>
      </c>
      <c r="N21" s="12" t="s">
        <v>117</v>
      </c>
      <c r="O21" s="12" t="s">
        <v>117</v>
      </c>
      <c r="P21" s="33"/>
      <c r="Q21" s="36"/>
      <c r="R21" s="12" t="s">
        <v>116</v>
      </c>
      <c r="S21" s="12" t="s">
        <v>116</v>
      </c>
      <c r="T21" s="12" t="s">
        <v>116</v>
      </c>
      <c r="U21" s="36"/>
      <c r="V21" s="12" t="s">
        <v>116</v>
      </c>
      <c r="W21" s="5">
        <f>COUNTIF(F21:V21,"P")</f>
        <v>4</v>
      </c>
      <c r="X21" s="5">
        <f>COUNTIF(F21:V21,"A")</f>
        <v>8</v>
      </c>
    </row>
    <row r="22" spans="1:28" x14ac:dyDescent="0.25">
      <c r="A22" s="13">
        <v>18</v>
      </c>
      <c r="B22" s="19">
        <v>153</v>
      </c>
      <c r="C22" s="16" t="s">
        <v>58</v>
      </c>
      <c r="D22" s="17" t="s">
        <v>59</v>
      </c>
      <c r="E22" s="11" t="s">
        <v>8</v>
      </c>
      <c r="F22" s="12" t="s">
        <v>116</v>
      </c>
      <c r="G22" s="12" t="s">
        <v>117</v>
      </c>
      <c r="H22" s="12" t="s">
        <v>117</v>
      </c>
      <c r="I22" s="33"/>
      <c r="J22" s="12" t="s">
        <v>117</v>
      </c>
      <c r="K22" s="36"/>
      <c r="L22" s="12" t="s">
        <v>117</v>
      </c>
      <c r="M22" s="12" t="s">
        <v>117</v>
      </c>
      <c r="N22" s="12" t="s">
        <v>117</v>
      </c>
      <c r="O22" s="12" t="s">
        <v>116</v>
      </c>
      <c r="P22" s="33"/>
      <c r="Q22" s="36"/>
      <c r="R22" s="12" t="s">
        <v>117</v>
      </c>
      <c r="S22" s="12" t="s">
        <v>116</v>
      </c>
      <c r="T22" s="12" t="s">
        <v>116</v>
      </c>
      <c r="U22" s="36"/>
      <c r="V22" s="12" t="s">
        <v>116</v>
      </c>
      <c r="W22" s="5">
        <f>COUNTIF(F22:V22,"P")</f>
        <v>7</v>
      </c>
      <c r="X22" s="5">
        <f>COUNTIF(F22:V22,"A")</f>
        <v>5</v>
      </c>
    </row>
    <row r="23" spans="1:28" x14ac:dyDescent="0.25">
      <c r="A23" s="6">
        <v>19</v>
      </c>
      <c r="B23" s="19">
        <v>154</v>
      </c>
      <c r="C23" s="16" t="s">
        <v>60</v>
      </c>
      <c r="D23" s="17" t="s">
        <v>61</v>
      </c>
      <c r="E23" s="11" t="s">
        <v>8</v>
      </c>
      <c r="F23" s="12" t="s">
        <v>117</v>
      </c>
      <c r="G23" s="12" t="s">
        <v>117</v>
      </c>
      <c r="H23" s="12" t="s">
        <v>117</v>
      </c>
      <c r="I23" s="33"/>
      <c r="J23" s="12" t="s">
        <v>117</v>
      </c>
      <c r="K23" s="36"/>
      <c r="L23" s="12" t="s">
        <v>117</v>
      </c>
      <c r="M23" s="12" t="s">
        <v>117</v>
      </c>
      <c r="N23" s="12" t="s">
        <v>117</v>
      </c>
      <c r="O23" s="12" t="s">
        <v>117</v>
      </c>
      <c r="P23" s="33"/>
      <c r="Q23" s="36"/>
      <c r="R23" s="12" t="s">
        <v>117</v>
      </c>
      <c r="S23" s="12" t="s">
        <v>116</v>
      </c>
      <c r="T23" s="12" t="s">
        <v>117</v>
      </c>
      <c r="U23" s="36"/>
      <c r="V23" s="12" t="s">
        <v>116</v>
      </c>
      <c r="W23" s="5">
        <f>COUNTIF(F23:V23,"P")</f>
        <v>10</v>
      </c>
      <c r="X23" s="5">
        <f>COUNTIF(F23:V23,"A")</f>
        <v>2</v>
      </c>
    </row>
    <row r="24" spans="1:28" x14ac:dyDescent="0.25">
      <c r="A24" s="13">
        <v>20</v>
      </c>
      <c r="B24" s="19">
        <v>155</v>
      </c>
      <c r="C24" s="16" t="s">
        <v>62</v>
      </c>
      <c r="D24" s="17" t="s">
        <v>63</v>
      </c>
      <c r="E24" s="11" t="s">
        <v>8</v>
      </c>
      <c r="F24" s="12" t="s">
        <v>116</v>
      </c>
      <c r="G24" s="12" t="s">
        <v>117</v>
      </c>
      <c r="H24" s="12" t="s">
        <v>117</v>
      </c>
      <c r="I24" s="33"/>
      <c r="J24" s="12"/>
      <c r="K24" s="36"/>
      <c r="L24" s="12" t="s">
        <v>117</v>
      </c>
      <c r="M24" s="12" t="s">
        <v>117</v>
      </c>
      <c r="N24" s="12" t="s">
        <v>117</v>
      </c>
      <c r="O24" s="12" t="s">
        <v>117</v>
      </c>
      <c r="P24" s="33"/>
      <c r="Q24" s="36"/>
      <c r="R24" s="12" t="s">
        <v>117</v>
      </c>
      <c r="S24" s="12" t="s">
        <v>117</v>
      </c>
      <c r="T24" s="12" t="s">
        <v>116</v>
      </c>
      <c r="U24" s="36"/>
      <c r="V24" s="12" t="s">
        <v>116</v>
      </c>
      <c r="W24" s="5">
        <f>COUNTIF(F24:V24,"P")</f>
        <v>8</v>
      </c>
      <c r="X24" s="5">
        <f>COUNTIF(F24:V24,"A")</f>
        <v>3</v>
      </c>
    </row>
    <row r="25" spans="1:28" x14ac:dyDescent="0.25">
      <c r="A25" s="6">
        <v>21</v>
      </c>
      <c r="B25" s="19">
        <v>156</v>
      </c>
      <c r="C25" s="16" t="s">
        <v>64</v>
      </c>
      <c r="D25" s="17" t="s">
        <v>65</v>
      </c>
      <c r="E25" s="11" t="s">
        <v>8</v>
      </c>
      <c r="F25" s="12" t="s">
        <v>116</v>
      </c>
      <c r="G25" s="12" t="s">
        <v>116</v>
      </c>
      <c r="H25" s="12" t="s">
        <v>117</v>
      </c>
      <c r="I25" s="33"/>
      <c r="J25" s="12" t="s">
        <v>117</v>
      </c>
      <c r="K25" s="36"/>
      <c r="L25" s="12" t="s">
        <v>117</v>
      </c>
      <c r="M25" s="12" t="s">
        <v>117</v>
      </c>
      <c r="N25" s="12" t="s">
        <v>117</v>
      </c>
      <c r="O25" s="12" t="s">
        <v>116</v>
      </c>
      <c r="P25" s="33"/>
      <c r="Q25" s="36"/>
      <c r="R25" s="12" t="s">
        <v>117</v>
      </c>
      <c r="S25" s="12" t="s">
        <v>116</v>
      </c>
      <c r="T25" s="12" t="s">
        <v>117</v>
      </c>
      <c r="U25" s="36"/>
      <c r="V25" s="12" t="s">
        <v>116</v>
      </c>
      <c r="W25" s="5">
        <f>COUNTIF(F25:V25,"P")</f>
        <v>7</v>
      </c>
      <c r="X25" s="5">
        <f>COUNTIF(F25:V25,"A")</f>
        <v>5</v>
      </c>
    </row>
    <row r="26" spans="1:28" x14ac:dyDescent="0.25">
      <c r="A26" s="6">
        <v>23</v>
      </c>
      <c r="B26" s="19">
        <v>158</v>
      </c>
      <c r="C26" s="16" t="s">
        <v>66</v>
      </c>
      <c r="D26" s="17" t="s">
        <v>67</v>
      </c>
      <c r="E26" s="11" t="s">
        <v>8</v>
      </c>
      <c r="F26" s="12"/>
      <c r="G26" s="12"/>
      <c r="H26" s="12"/>
      <c r="I26" s="33"/>
      <c r="J26" s="12"/>
      <c r="K26" s="36"/>
      <c r="L26" s="12"/>
      <c r="M26" s="12"/>
      <c r="N26" s="12"/>
      <c r="O26" s="12"/>
      <c r="P26" s="33"/>
      <c r="Q26" s="36"/>
      <c r="R26" s="12" t="s">
        <v>117</v>
      </c>
      <c r="S26" s="12" t="s">
        <v>116</v>
      </c>
      <c r="T26" s="12" t="s">
        <v>116</v>
      </c>
      <c r="U26" s="36"/>
      <c r="V26" s="12" t="s">
        <v>116</v>
      </c>
      <c r="W26" s="5">
        <f>COUNTIF(F26:V26,"P")</f>
        <v>1</v>
      </c>
      <c r="X26" s="5">
        <f>COUNTIF(F26:V26,"A")</f>
        <v>3</v>
      </c>
    </row>
    <row r="27" spans="1:28" x14ac:dyDescent="0.25">
      <c r="A27" s="13">
        <v>24</v>
      </c>
      <c r="B27" s="15">
        <v>159</v>
      </c>
      <c r="C27" s="16" t="s">
        <v>68</v>
      </c>
      <c r="D27" s="17" t="s">
        <v>69</v>
      </c>
      <c r="E27" s="11" t="s">
        <v>8</v>
      </c>
      <c r="F27" s="12"/>
      <c r="G27" s="12"/>
      <c r="H27" s="12"/>
      <c r="I27" s="33"/>
      <c r="J27" s="12"/>
      <c r="K27" s="36"/>
      <c r="L27" s="12"/>
      <c r="M27" s="12"/>
      <c r="N27" s="12"/>
      <c r="O27" s="12"/>
      <c r="P27" s="33"/>
      <c r="Q27" s="36"/>
      <c r="R27" s="12"/>
      <c r="S27" s="12"/>
      <c r="T27" s="12"/>
      <c r="U27" s="36"/>
      <c r="V27" s="12"/>
      <c r="W27" s="5">
        <f>COUNTIF(F27:V27,"P")</f>
        <v>0</v>
      </c>
      <c r="X27" s="5">
        <f>COUNTIF(F27:V27,"A")</f>
        <v>0</v>
      </c>
    </row>
    <row r="28" spans="1:28" x14ac:dyDescent="0.25">
      <c r="A28" s="6">
        <v>25</v>
      </c>
      <c r="B28" s="15">
        <v>160</v>
      </c>
      <c r="C28" s="16" t="s">
        <v>70</v>
      </c>
      <c r="D28" s="17" t="s">
        <v>71</v>
      </c>
      <c r="E28" s="11" t="s">
        <v>8</v>
      </c>
      <c r="F28" s="12" t="s">
        <v>116</v>
      </c>
      <c r="G28" s="12" t="s">
        <v>117</v>
      </c>
      <c r="H28" s="12" t="s">
        <v>117</v>
      </c>
      <c r="I28" s="33"/>
      <c r="J28" s="12" t="s">
        <v>117</v>
      </c>
      <c r="K28" s="36"/>
      <c r="L28" s="12" t="s">
        <v>117</v>
      </c>
      <c r="M28" s="12" t="s">
        <v>117</v>
      </c>
      <c r="N28" s="12" t="s">
        <v>117</v>
      </c>
      <c r="O28" s="12" t="s">
        <v>117</v>
      </c>
      <c r="P28" s="33"/>
      <c r="Q28" s="36"/>
      <c r="R28" s="12" t="s">
        <v>117</v>
      </c>
      <c r="S28" s="12" t="s">
        <v>117</v>
      </c>
      <c r="T28" s="12" t="s">
        <v>117</v>
      </c>
      <c r="U28" s="36"/>
      <c r="V28" s="12" t="s">
        <v>116</v>
      </c>
      <c r="W28" s="5">
        <f>COUNTIF(F28:V28,"P")</f>
        <v>10</v>
      </c>
      <c r="X28" s="5">
        <f>COUNTIF(F28:V28,"A")</f>
        <v>2</v>
      </c>
    </row>
    <row r="29" spans="1:28" x14ac:dyDescent="0.25">
      <c r="A29" s="13">
        <v>26</v>
      </c>
      <c r="B29" s="15">
        <v>161</v>
      </c>
      <c r="C29" s="16" t="s">
        <v>72</v>
      </c>
      <c r="D29" s="17" t="s">
        <v>73</v>
      </c>
      <c r="E29" s="11" t="s">
        <v>8</v>
      </c>
      <c r="F29" s="12" t="s">
        <v>117</v>
      </c>
      <c r="G29" s="12" t="s">
        <v>117</v>
      </c>
      <c r="H29" s="12" t="s">
        <v>116</v>
      </c>
      <c r="I29" s="33"/>
      <c r="J29" s="12"/>
      <c r="K29" s="36"/>
      <c r="L29" s="12" t="s">
        <v>116</v>
      </c>
      <c r="M29" s="12" t="s">
        <v>116</v>
      </c>
      <c r="N29" s="12" t="s">
        <v>116</v>
      </c>
      <c r="O29" s="12" t="s">
        <v>117</v>
      </c>
      <c r="P29" s="33"/>
      <c r="Q29" s="36"/>
      <c r="R29" s="12" t="s">
        <v>116</v>
      </c>
      <c r="S29" s="12" t="s">
        <v>116</v>
      </c>
      <c r="T29" s="12" t="s">
        <v>117</v>
      </c>
      <c r="U29" s="36"/>
      <c r="V29" s="12" t="s">
        <v>116</v>
      </c>
      <c r="W29" s="5">
        <f>COUNTIF(F29:V29,"P")</f>
        <v>4</v>
      </c>
      <c r="X29" s="5">
        <f>COUNTIF(F29:V29,"A")</f>
        <v>7</v>
      </c>
    </row>
    <row r="30" spans="1:28" x14ac:dyDescent="0.25">
      <c r="A30" s="6">
        <v>27</v>
      </c>
      <c r="B30" s="15">
        <v>162</v>
      </c>
      <c r="C30" s="16" t="s">
        <v>74</v>
      </c>
      <c r="D30" s="17" t="s">
        <v>75</v>
      </c>
      <c r="E30" s="11" t="s">
        <v>8</v>
      </c>
      <c r="F30" s="12" t="s">
        <v>117</v>
      </c>
      <c r="G30" s="12" t="s">
        <v>117</v>
      </c>
      <c r="H30" s="12" t="s">
        <v>117</v>
      </c>
      <c r="I30" s="33"/>
      <c r="J30" s="12" t="s">
        <v>117</v>
      </c>
      <c r="K30" s="36"/>
      <c r="L30" s="12" t="s">
        <v>117</v>
      </c>
      <c r="M30" s="12" t="s">
        <v>117</v>
      </c>
      <c r="N30" s="12" t="s">
        <v>116</v>
      </c>
      <c r="O30" s="12" t="s">
        <v>120</v>
      </c>
      <c r="P30" s="33"/>
      <c r="Q30" s="36"/>
      <c r="R30" s="12" t="s">
        <v>116</v>
      </c>
      <c r="S30" s="12" t="s">
        <v>117</v>
      </c>
      <c r="T30" s="12" t="s">
        <v>116</v>
      </c>
      <c r="U30" s="36"/>
      <c r="V30" s="12" t="s">
        <v>116</v>
      </c>
      <c r="W30" s="5">
        <f>COUNTIF(F30:V30,"P")</f>
        <v>7</v>
      </c>
      <c r="X30" s="5">
        <f>COUNTIF(F30:V30,"A")</f>
        <v>4</v>
      </c>
    </row>
    <row r="31" spans="1:28" x14ac:dyDescent="0.25">
      <c r="A31" s="13">
        <v>28</v>
      </c>
      <c r="B31" s="15">
        <v>163</v>
      </c>
      <c r="C31" s="16" t="s">
        <v>76</v>
      </c>
      <c r="D31" s="17" t="s">
        <v>77</v>
      </c>
      <c r="E31" s="11" t="s">
        <v>8</v>
      </c>
      <c r="F31" s="12" t="s">
        <v>116</v>
      </c>
      <c r="G31" s="12" t="s">
        <v>116</v>
      </c>
      <c r="H31" s="12" t="s">
        <v>116</v>
      </c>
      <c r="I31" s="33"/>
      <c r="J31" s="12" t="s">
        <v>117</v>
      </c>
      <c r="K31" s="36"/>
      <c r="L31" s="12" t="s">
        <v>117</v>
      </c>
      <c r="M31" s="12" t="s">
        <v>117</v>
      </c>
      <c r="N31" s="12" t="s">
        <v>117</v>
      </c>
      <c r="O31" s="12" t="s">
        <v>117</v>
      </c>
      <c r="P31" s="33"/>
      <c r="Q31" s="36"/>
      <c r="R31" s="12" t="s">
        <v>117</v>
      </c>
      <c r="S31" s="12" t="s">
        <v>116</v>
      </c>
      <c r="T31" s="12" t="s">
        <v>116</v>
      </c>
      <c r="U31" s="36"/>
      <c r="V31" s="12" t="s">
        <v>116</v>
      </c>
      <c r="W31" s="5">
        <f>COUNTIF(F31:V31,"P")</f>
        <v>6</v>
      </c>
      <c r="X31" s="5">
        <f>COUNTIF(F31:V31,"A")</f>
        <v>6</v>
      </c>
    </row>
    <row r="32" spans="1:28" x14ac:dyDescent="0.25">
      <c r="A32" s="13">
        <v>30</v>
      </c>
      <c r="B32" s="15">
        <v>165</v>
      </c>
      <c r="C32" s="16" t="s">
        <v>78</v>
      </c>
      <c r="D32" s="17" t="s">
        <v>79</v>
      </c>
      <c r="E32" s="11" t="s">
        <v>8</v>
      </c>
      <c r="F32" s="12" t="s">
        <v>116</v>
      </c>
      <c r="G32" s="12" t="s">
        <v>116</v>
      </c>
      <c r="H32" s="12" t="s">
        <v>116</v>
      </c>
      <c r="I32" s="33"/>
      <c r="J32" s="12" t="s">
        <v>117</v>
      </c>
      <c r="K32" s="36"/>
      <c r="L32" s="12" t="s">
        <v>117</v>
      </c>
      <c r="M32" s="12" t="s">
        <v>116</v>
      </c>
      <c r="N32" s="12" t="s">
        <v>117</v>
      </c>
      <c r="O32" s="12" t="s">
        <v>116</v>
      </c>
      <c r="P32" s="33"/>
      <c r="Q32" s="36"/>
      <c r="R32" s="12" t="s">
        <v>116</v>
      </c>
      <c r="S32" s="12" t="s">
        <v>116</v>
      </c>
      <c r="T32" s="12" t="s">
        <v>116</v>
      </c>
      <c r="U32" s="36"/>
      <c r="V32" s="12" t="s">
        <v>116</v>
      </c>
      <c r="W32" s="5">
        <f>COUNTIF(F32:V32,"P")</f>
        <v>3</v>
      </c>
      <c r="X32" s="5">
        <f>COUNTIF(F32:V32,"A")</f>
        <v>9</v>
      </c>
    </row>
    <row r="33" spans="1:24" x14ac:dyDescent="0.25">
      <c r="A33" s="6">
        <v>31</v>
      </c>
      <c r="B33" s="15">
        <v>166</v>
      </c>
      <c r="C33" s="16" t="s">
        <v>80</v>
      </c>
      <c r="D33" s="17" t="s">
        <v>81</v>
      </c>
      <c r="E33" s="11" t="s">
        <v>8</v>
      </c>
      <c r="F33" s="12" t="s">
        <v>117</v>
      </c>
      <c r="G33" s="12" t="s">
        <v>117</v>
      </c>
      <c r="H33" s="12" t="s">
        <v>117</v>
      </c>
      <c r="I33" s="33"/>
      <c r="J33" s="12" t="s">
        <v>117</v>
      </c>
      <c r="K33" s="36"/>
      <c r="L33" s="12" t="s">
        <v>117</v>
      </c>
      <c r="M33" s="12" t="s">
        <v>117</v>
      </c>
      <c r="N33" s="12" t="s">
        <v>117</v>
      </c>
      <c r="O33" s="12" t="s">
        <v>117</v>
      </c>
      <c r="P33" s="33"/>
      <c r="Q33" s="36"/>
      <c r="R33" s="12" t="s">
        <v>117</v>
      </c>
      <c r="S33" s="12" t="s">
        <v>116</v>
      </c>
      <c r="T33" s="12" t="s">
        <v>116</v>
      </c>
      <c r="U33" s="36"/>
      <c r="V33" s="12" t="s">
        <v>116</v>
      </c>
      <c r="W33" s="5">
        <f>COUNTIF(F33:V33,"P")</f>
        <v>9</v>
      </c>
      <c r="X33" s="5">
        <f>COUNTIF(F33:V33,"A")</f>
        <v>3</v>
      </c>
    </row>
    <row r="34" spans="1:24" x14ac:dyDescent="0.25">
      <c r="A34" s="13">
        <v>32</v>
      </c>
      <c r="B34" s="15">
        <v>167</v>
      </c>
      <c r="C34" s="16" t="s">
        <v>92</v>
      </c>
      <c r="D34" s="17" t="s">
        <v>81</v>
      </c>
      <c r="E34" s="11" t="s">
        <v>8</v>
      </c>
      <c r="F34" s="12" t="s">
        <v>117</v>
      </c>
      <c r="G34" s="12" t="s">
        <v>117</v>
      </c>
      <c r="H34" s="12" t="s">
        <v>117</v>
      </c>
      <c r="I34" s="33"/>
      <c r="J34" s="12" t="s">
        <v>117</v>
      </c>
      <c r="K34" s="36"/>
      <c r="L34" s="12" t="s">
        <v>117</v>
      </c>
      <c r="M34" s="12" t="s">
        <v>117</v>
      </c>
      <c r="N34" s="12" t="s">
        <v>120</v>
      </c>
      <c r="O34" s="12" t="s">
        <v>117</v>
      </c>
      <c r="P34" s="33"/>
      <c r="Q34" s="36"/>
      <c r="R34" s="12" t="s">
        <v>117</v>
      </c>
      <c r="S34" s="12" t="s">
        <v>116</v>
      </c>
      <c r="T34" s="12" t="s">
        <v>116</v>
      </c>
      <c r="U34" s="36"/>
      <c r="V34" s="12" t="s">
        <v>116</v>
      </c>
      <c r="W34" s="5">
        <f>COUNTIF(F34:V34,"P")</f>
        <v>8</v>
      </c>
      <c r="X34" s="5">
        <f>COUNTIF(F34:V34,"A")</f>
        <v>3</v>
      </c>
    </row>
    <row r="35" spans="1:24" x14ac:dyDescent="0.25">
      <c r="A35" s="6">
        <v>33</v>
      </c>
      <c r="B35" s="15">
        <v>168</v>
      </c>
      <c r="C35" s="16" t="s">
        <v>82</v>
      </c>
      <c r="D35" s="17" t="s">
        <v>83</v>
      </c>
      <c r="E35" s="11" t="s">
        <v>8</v>
      </c>
      <c r="F35" s="12" t="s">
        <v>116</v>
      </c>
      <c r="G35" s="12" t="s">
        <v>116</v>
      </c>
      <c r="H35" s="12" t="s">
        <v>116</v>
      </c>
      <c r="I35" s="33"/>
      <c r="J35" s="12" t="s">
        <v>117</v>
      </c>
      <c r="K35" s="36"/>
      <c r="L35" s="12" t="s">
        <v>117</v>
      </c>
      <c r="M35" s="12" t="s">
        <v>117</v>
      </c>
      <c r="N35" s="12" t="s">
        <v>117</v>
      </c>
      <c r="O35" s="12" t="s">
        <v>117</v>
      </c>
      <c r="P35" s="33"/>
      <c r="Q35" s="36"/>
      <c r="R35" s="12" t="s">
        <v>116</v>
      </c>
      <c r="S35" s="12" t="s">
        <v>116</v>
      </c>
      <c r="T35" s="12" t="s">
        <v>117</v>
      </c>
      <c r="U35" s="36"/>
      <c r="V35" s="12" t="s">
        <v>116</v>
      </c>
      <c r="W35" s="5">
        <f>COUNTIF(F35:V35,"P")</f>
        <v>6</v>
      </c>
      <c r="X35" s="5">
        <f>COUNTIF(F35:V35,"A")</f>
        <v>6</v>
      </c>
    </row>
    <row r="36" spans="1:24" x14ac:dyDescent="0.25">
      <c r="A36" s="13">
        <v>34</v>
      </c>
      <c r="B36" s="15">
        <v>169</v>
      </c>
      <c r="C36" s="16" t="s">
        <v>84</v>
      </c>
      <c r="D36" s="17" t="s">
        <v>85</v>
      </c>
      <c r="E36" s="11" t="s">
        <v>8</v>
      </c>
      <c r="F36" s="12" t="s">
        <v>116</v>
      </c>
      <c r="G36" s="12" t="s">
        <v>116</v>
      </c>
      <c r="H36" s="12" t="s">
        <v>116</v>
      </c>
      <c r="I36" s="33"/>
      <c r="J36" s="12"/>
      <c r="K36" s="36"/>
      <c r="L36" s="12" t="s">
        <v>116</v>
      </c>
      <c r="M36" s="12" t="s">
        <v>117</v>
      </c>
      <c r="N36" s="12" t="s">
        <v>117</v>
      </c>
      <c r="O36" s="12" t="s">
        <v>116</v>
      </c>
      <c r="P36" s="33"/>
      <c r="Q36" s="36"/>
      <c r="R36" s="12" t="s">
        <v>117</v>
      </c>
      <c r="S36" s="12" t="s">
        <v>116</v>
      </c>
      <c r="T36" s="12" t="s">
        <v>116</v>
      </c>
      <c r="U36" s="36"/>
      <c r="V36" s="12" t="s">
        <v>116</v>
      </c>
      <c r="W36" s="5">
        <f>COUNTIF(F36:V36,"P")</f>
        <v>3</v>
      </c>
      <c r="X36" s="5">
        <f>COUNTIF(F36:V36,"A")</f>
        <v>8</v>
      </c>
    </row>
    <row r="37" spans="1:24" x14ac:dyDescent="0.25">
      <c r="A37" s="6">
        <v>35</v>
      </c>
      <c r="B37" s="15">
        <v>170</v>
      </c>
      <c r="C37" s="16" t="s">
        <v>86</v>
      </c>
      <c r="D37" s="17" t="s">
        <v>87</v>
      </c>
      <c r="E37" s="11" t="s">
        <v>8</v>
      </c>
      <c r="F37" s="12" t="s">
        <v>117</v>
      </c>
      <c r="G37" s="12" t="s">
        <v>117</v>
      </c>
      <c r="H37" s="12" t="s">
        <v>117</v>
      </c>
      <c r="I37" s="33"/>
      <c r="J37" s="12" t="s">
        <v>117</v>
      </c>
      <c r="K37" s="36"/>
      <c r="L37" s="12" t="s">
        <v>117</v>
      </c>
      <c r="M37" s="12" t="s">
        <v>117</v>
      </c>
      <c r="N37" s="12" t="s">
        <v>116</v>
      </c>
      <c r="O37" s="12" t="s">
        <v>116</v>
      </c>
      <c r="P37" s="33"/>
      <c r="Q37" s="36"/>
      <c r="R37" s="12" t="s">
        <v>117</v>
      </c>
      <c r="S37" s="12" t="s">
        <v>117</v>
      </c>
      <c r="T37" s="12" t="s">
        <v>117</v>
      </c>
      <c r="U37" s="36"/>
      <c r="V37" s="12" t="s">
        <v>116</v>
      </c>
      <c r="W37" s="5">
        <f>COUNTIF(F37:V37,"P")</f>
        <v>9</v>
      </c>
      <c r="X37" s="5">
        <f>COUNTIF(F37:V37,"A")</f>
        <v>3</v>
      </c>
    </row>
    <row r="38" spans="1:24" x14ac:dyDescent="0.25">
      <c r="A38" s="13">
        <v>36</v>
      </c>
      <c r="B38" s="15">
        <v>171</v>
      </c>
      <c r="C38" s="16" t="s">
        <v>88</v>
      </c>
      <c r="D38" s="17" t="s">
        <v>89</v>
      </c>
      <c r="E38" s="11" t="s">
        <v>8</v>
      </c>
      <c r="F38" s="12"/>
      <c r="G38" s="12"/>
      <c r="H38" s="12"/>
      <c r="I38" s="33"/>
      <c r="J38" s="12"/>
      <c r="K38" s="36"/>
      <c r="L38" s="12"/>
      <c r="M38" s="12"/>
      <c r="N38" s="12"/>
      <c r="O38" s="12"/>
      <c r="P38" s="33"/>
      <c r="Q38" s="36"/>
      <c r="R38" s="12"/>
      <c r="S38" s="12"/>
      <c r="T38" s="12"/>
      <c r="U38" s="36"/>
      <c r="V38" s="12"/>
      <c r="W38" s="5">
        <f>COUNTIF(F38:V38,"P")</f>
        <v>0</v>
      </c>
      <c r="X38" s="5">
        <f>COUNTIF(F38:V38,"A")</f>
        <v>0</v>
      </c>
    </row>
    <row r="39" spans="1:24" x14ac:dyDescent="0.25">
      <c r="A39" s="6">
        <v>37</v>
      </c>
      <c r="B39" s="15">
        <v>172</v>
      </c>
      <c r="C39" s="16" t="s">
        <v>90</v>
      </c>
      <c r="D39" s="17" t="s">
        <v>91</v>
      </c>
      <c r="E39" s="11" t="s">
        <v>8</v>
      </c>
      <c r="F39" s="12"/>
      <c r="G39" s="12"/>
      <c r="H39" s="12"/>
      <c r="I39" s="33"/>
      <c r="J39" s="12"/>
      <c r="K39" s="36"/>
      <c r="L39" s="12"/>
      <c r="M39" s="12"/>
      <c r="N39" s="12"/>
      <c r="O39" s="12"/>
      <c r="P39" s="33"/>
      <c r="Q39" s="36"/>
      <c r="R39" s="12"/>
      <c r="S39" s="12"/>
      <c r="T39" s="12"/>
      <c r="U39" s="36"/>
      <c r="V39" s="12"/>
      <c r="W39" s="5">
        <f>COUNTIF(F39:V39,"P")</f>
        <v>0</v>
      </c>
      <c r="X39" s="5">
        <f>COUNTIF(F39:V39,"A")</f>
        <v>0</v>
      </c>
    </row>
    <row r="40" spans="1:24" x14ac:dyDescent="0.25">
      <c r="A40" s="13">
        <v>38</v>
      </c>
      <c r="B40" s="15">
        <v>196</v>
      </c>
      <c r="C40" s="16" t="s">
        <v>93</v>
      </c>
      <c r="D40" s="17" t="s">
        <v>94</v>
      </c>
      <c r="E40" s="11" t="s">
        <v>8</v>
      </c>
      <c r="F40" s="12"/>
      <c r="G40" s="12"/>
      <c r="H40" s="12"/>
      <c r="I40" s="33"/>
      <c r="J40" s="12"/>
      <c r="K40" s="36"/>
      <c r="L40" s="12"/>
      <c r="M40" s="12"/>
      <c r="N40" s="12" t="s">
        <v>117</v>
      </c>
      <c r="O40" s="12" t="s">
        <v>117</v>
      </c>
      <c r="P40" s="33"/>
      <c r="Q40" s="36"/>
      <c r="R40" s="12" t="s">
        <v>116</v>
      </c>
      <c r="S40" s="12" t="s">
        <v>117</v>
      </c>
      <c r="T40" s="12" t="s">
        <v>117</v>
      </c>
      <c r="U40" s="36"/>
      <c r="V40" s="12" t="s">
        <v>116</v>
      </c>
      <c r="W40" s="5">
        <f>COUNTIF(F40:V40,"P")</f>
        <v>4</v>
      </c>
      <c r="X40" s="5">
        <f>COUNTIF(F40:V40,"A")</f>
        <v>2</v>
      </c>
    </row>
    <row r="41" spans="1:24" x14ac:dyDescent="0.25">
      <c r="A41" s="22">
        <v>39</v>
      </c>
      <c r="B41" s="15">
        <v>197</v>
      </c>
      <c r="C41" s="16" t="s">
        <v>95</v>
      </c>
      <c r="D41" s="17"/>
      <c r="E41" s="11" t="s">
        <v>8</v>
      </c>
      <c r="F41" s="12"/>
      <c r="G41" s="12"/>
      <c r="H41" s="12"/>
      <c r="I41" s="33"/>
      <c r="J41" s="12"/>
      <c r="K41" s="36"/>
      <c r="L41" s="12"/>
      <c r="M41" s="12"/>
      <c r="N41" s="12" t="s">
        <v>117</v>
      </c>
      <c r="O41" s="12" t="s">
        <v>117</v>
      </c>
      <c r="P41" s="33"/>
      <c r="Q41" s="36"/>
      <c r="R41" s="12" t="s">
        <v>116</v>
      </c>
      <c r="S41" s="12" t="s">
        <v>117</v>
      </c>
      <c r="T41" s="12" t="s">
        <v>117</v>
      </c>
      <c r="U41" s="36"/>
      <c r="V41" s="12" t="s">
        <v>116</v>
      </c>
      <c r="W41" s="5">
        <f>COUNTIF(F41:V41,"P")</f>
        <v>4</v>
      </c>
      <c r="X41" s="5">
        <f>COUNTIF(F41:V41,"A")</f>
        <v>2</v>
      </c>
    </row>
    <row r="42" spans="1:24" x14ac:dyDescent="0.25">
      <c r="A42" s="22">
        <v>45</v>
      </c>
      <c r="B42" s="15">
        <v>180</v>
      </c>
      <c r="C42" s="16" t="s">
        <v>96</v>
      </c>
      <c r="D42" s="17" t="s">
        <v>97</v>
      </c>
      <c r="E42" s="11" t="s">
        <v>8</v>
      </c>
      <c r="F42" s="12" t="s">
        <v>116</v>
      </c>
      <c r="G42" s="12" t="s">
        <v>116</v>
      </c>
      <c r="H42" s="12" t="s">
        <v>117</v>
      </c>
      <c r="I42" s="33"/>
      <c r="J42" s="12" t="s">
        <v>117</v>
      </c>
      <c r="K42" s="36"/>
      <c r="L42" s="12" t="s">
        <v>117</v>
      </c>
      <c r="M42" s="12" t="s">
        <v>117</v>
      </c>
      <c r="N42" s="12" t="s">
        <v>117</v>
      </c>
      <c r="O42" s="12" t="s">
        <v>117</v>
      </c>
      <c r="P42" s="33"/>
      <c r="Q42" s="36"/>
      <c r="R42" s="12" t="s">
        <v>117</v>
      </c>
      <c r="S42" s="12" t="s">
        <v>116</v>
      </c>
      <c r="T42" s="12" t="s">
        <v>116</v>
      </c>
      <c r="U42" s="36"/>
      <c r="V42" s="12" t="s">
        <v>116</v>
      </c>
      <c r="W42" s="5">
        <f>COUNTIF(F42:V42,"P")</f>
        <v>7</v>
      </c>
      <c r="X42" s="5">
        <f>COUNTIF(F42:V42,"A")</f>
        <v>5</v>
      </c>
    </row>
    <row r="43" spans="1:24" x14ac:dyDescent="0.25">
      <c r="A43" s="22">
        <v>47</v>
      </c>
      <c r="B43" s="15">
        <v>182</v>
      </c>
      <c r="C43" s="16" t="s">
        <v>98</v>
      </c>
      <c r="D43" s="17" t="s">
        <v>99</v>
      </c>
      <c r="E43" s="11" t="s">
        <v>8</v>
      </c>
      <c r="F43" s="12" t="s">
        <v>116</v>
      </c>
      <c r="G43" s="12" t="s">
        <v>116</v>
      </c>
      <c r="H43" s="12" t="s">
        <v>117</v>
      </c>
      <c r="I43" s="33"/>
      <c r="J43" s="12" t="s">
        <v>117</v>
      </c>
      <c r="K43" s="36"/>
      <c r="L43" s="12" t="s">
        <v>117</v>
      </c>
      <c r="M43" s="12" t="s">
        <v>117</v>
      </c>
      <c r="N43" s="12" t="s">
        <v>117</v>
      </c>
      <c r="O43" s="12" t="s">
        <v>116</v>
      </c>
      <c r="P43" s="33"/>
      <c r="Q43" s="36"/>
      <c r="R43" s="12" t="s">
        <v>117</v>
      </c>
      <c r="S43" s="12" t="s">
        <v>116</v>
      </c>
      <c r="T43" s="12" t="s">
        <v>116</v>
      </c>
      <c r="U43" s="36"/>
      <c r="V43" s="12" t="s">
        <v>116</v>
      </c>
      <c r="W43" s="5">
        <f>COUNTIF(F43:V43,"P")</f>
        <v>6</v>
      </c>
      <c r="X43" s="5">
        <f>COUNTIF(F43:V43,"A")</f>
        <v>6</v>
      </c>
    </row>
    <row r="44" spans="1:24" x14ac:dyDescent="0.25">
      <c r="A44" s="22">
        <v>51</v>
      </c>
      <c r="B44" s="15">
        <v>186</v>
      </c>
      <c r="C44" s="16" t="s">
        <v>100</v>
      </c>
      <c r="D44" s="17" t="s">
        <v>101</v>
      </c>
      <c r="E44" s="11" t="s">
        <v>8</v>
      </c>
      <c r="F44" s="12" t="s">
        <v>116</v>
      </c>
      <c r="G44" s="12" t="s">
        <v>116</v>
      </c>
      <c r="H44" s="12" t="s">
        <v>116</v>
      </c>
      <c r="I44" s="33"/>
      <c r="J44" s="12" t="s">
        <v>117</v>
      </c>
      <c r="K44" s="36"/>
      <c r="L44" s="12" t="s">
        <v>117</v>
      </c>
      <c r="M44" s="12" t="s">
        <v>117</v>
      </c>
      <c r="N44" s="12" t="s">
        <v>117</v>
      </c>
      <c r="O44" s="12" t="s">
        <v>116</v>
      </c>
      <c r="P44" s="33"/>
      <c r="Q44" s="36"/>
      <c r="R44" s="12" t="s">
        <v>117</v>
      </c>
      <c r="S44" s="12" t="s">
        <v>116</v>
      </c>
      <c r="T44" s="12" t="s">
        <v>117</v>
      </c>
      <c r="U44" s="36"/>
      <c r="V44" s="12" t="s">
        <v>116</v>
      </c>
      <c r="W44" s="5">
        <f>COUNTIF(F44:V44,"P")</f>
        <v>6</v>
      </c>
      <c r="X44" s="5">
        <f>COUNTIF(F44:V44,"A")</f>
        <v>6</v>
      </c>
    </row>
    <row r="45" spans="1:24" x14ac:dyDescent="0.25">
      <c r="A45" s="13">
        <v>52</v>
      </c>
      <c r="B45" s="15">
        <v>188</v>
      </c>
      <c r="C45" s="16" t="s">
        <v>102</v>
      </c>
      <c r="D45" s="17" t="s">
        <v>103</v>
      </c>
      <c r="E45" s="11" t="s">
        <v>8</v>
      </c>
      <c r="F45" s="12"/>
      <c r="G45" s="12"/>
      <c r="H45" s="12"/>
      <c r="I45" s="33"/>
      <c r="J45" s="12"/>
      <c r="K45" s="36"/>
      <c r="L45" s="12"/>
      <c r="M45" s="12"/>
      <c r="N45" s="12"/>
      <c r="O45" s="12"/>
      <c r="P45" s="33"/>
      <c r="Q45" s="36"/>
      <c r="R45" s="12"/>
      <c r="S45" s="12"/>
      <c r="T45" s="12"/>
      <c r="U45" s="36"/>
      <c r="V45" s="12"/>
      <c r="W45" s="5">
        <f>COUNTIF(F45:V45,"P")</f>
        <v>0</v>
      </c>
      <c r="X45" s="5">
        <f>COUNTIF(F45:V45,"A")</f>
        <v>0</v>
      </c>
    </row>
    <row r="46" spans="1:24" x14ac:dyDescent="0.25">
      <c r="A46" s="22">
        <v>55</v>
      </c>
      <c r="B46" s="15">
        <v>191</v>
      </c>
      <c r="C46" s="16" t="s">
        <v>105</v>
      </c>
      <c r="D46" s="17" t="s">
        <v>106</v>
      </c>
      <c r="E46" s="11" t="s">
        <v>8</v>
      </c>
      <c r="F46" s="12" t="s">
        <v>116</v>
      </c>
      <c r="G46" s="12" t="s">
        <v>116</v>
      </c>
      <c r="H46" s="12" t="s">
        <v>116</v>
      </c>
      <c r="I46" s="33"/>
      <c r="J46" s="12" t="s">
        <v>117</v>
      </c>
      <c r="K46" s="36"/>
      <c r="L46" s="12" t="s">
        <v>117</v>
      </c>
      <c r="M46" s="12" t="s">
        <v>117</v>
      </c>
      <c r="N46" s="12" t="s">
        <v>117</v>
      </c>
      <c r="O46" s="12" t="s">
        <v>117</v>
      </c>
      <c r="P46" s="33"/>
      <c r="Q46" s="36"/>
      <c r="R46" s="12" t="s">
        <v>117</v>
      </c>
      <c r="S46" s="12" t="s">
        <v>117</v>
      </c>
      <c r="T46" s="12" t="s">
        <v>117</v>
      </c>
      <c r="U46" s="36"/>
      <c r="V46" s="12" t="s">
        <v>116</v>
      </c>
      <c r="W46" s="5">
        <f>COUNTIF(F46:V46,"P")</f>
        <v>8</v>
      </c>
      <c r="X46" s="5">
        <f>COUNTIF(F46:V46,"A")</f>
        <v>4</v>
      </c>
    </row>
    <row r="47" spans="1:24" x14ac:dyDescent="0.25">
      <c r="A47" s="13">
        <v>56</v>
      </c>
      <c r="B47" s="15"/>
      <c r="C47" s="16" t="s">
        <v>104</v>
      </c>
      <c r="D47" s="17" t="s">
        <v>107</v>
      </c>
      <c r="E47" s="11" t="s">
        <v>8</v>
      </c>
      <c r="F47" s="12"/>
      <c r="G47" s="12"/>
      <c r="H47" s="12"/>
      <c r="I47" s="33"/>
      <c r="J47" s="12" t="s">
        <v>117</v>
      </c>
      <c r="K47" s="36"/>
      <c r="L47" s="12" t="s">
        <v>117</v>
      </c>
      <c r="M47" s="12" t="s">
        <v>117</v>
      </c>
      <c r="N47" s="12" t="s">
        <v>117</v>
      </c>
      <c r="O47" s="12" t="s">
        <v>117</v>
      </c>
      <c r="P47" s="33"/>
      <c r="Q47" s="36"/>
      <c r="R47" s="12" t="s">
        <v>117</v>
      </c>
      <c r="S47" s="12" t="s">
        <v>116</v>
      </c>
      <c r="T47" s="12" t="s">
        <v>116</v>
      </c>
      <c r="U47" s="36"/>
      <c r="V47" s="12" t="s">
        <v>116</v>
      </c>
      <c r="W47" s="5">
        <f>COUNTIF(F47:V47,"P")</f>
        <v>6</v>
      </c>
      <c r="X47" s="5">
        <f>COUNTIF(F47:V47,"A")</f>
        <v>3</v>
      </c>
    </row>
    <row r="48" spans="1:24" x14ac:dyDescent="0.25">
      <c r="A48" s="22">
        <v>59</v>
      </c>
      <c r="B48" s="15">
        <v>195</v>
      </c>
      <c r="C48" s="16" t="s">
        <v>110</v>
      </c>
      <c r="D48" s="16" t="s">
        <v>111</v>
      </c>
      <c r="E48" s="11" t="s">
        <v>8</v>
      </c>
      <c r="F48" s="12" t="s">
        <v>116</v>
      </c>
      <c r="G48" s="12" t="s">
        <v>117</v>
      </c>
      <c r="H48" s="12" t="s">
        <v>117</v>
      </c>
      <c r="I48" s="33"/>
      <c r="J48" s="12" t="s">
        <v>117</v>
      </c>
      <c r="K48" s="36"/>
      <c r="L48" s="12" t="s">
        <v>117</v>
      </c>
      <c r="M48" s="12" t="s">
        <v>117</v>
      </c>
      <c r="N48" s="12" t="s">
        <v>117</v>
      </c>
      <c r="O48" s="12" t="s">
        <v>117</v>
      </c>
      <c r="P48" s="33"/>
      <c r="Q48" s="36"/>
      <c r="R48" s="12" t="s">
        <v>117</v>
      </c>
      <c r="S48" s="12" t="s">
        <v>117</v>
      </c>
      <c r="T48" s="12" t="s">
        <v>117</v>
      </c>
      <c r="U48" s="36"/>
      <c r="V48" s="12" t="s">
        <v>116</v>
      </c>
      <c r="W48" s="5">
        <f>COUNTIF(F48:V48,"P")</f>
        <v>10</v>
      </c>
      <c r="X48" s="5">
        <f>COUNTIF(F48:V48,"A")</f>
        <v>2</v>
      </c>
    </row>
    <row r="49" spans="1:24" x14ac:dyDescent="0.25">
      <c r="A49" s="13">
        <v>60</v>
      </c>
      <c r="B49" s="15"/>
      <c r="C49" s="16" t="s">
        <v>112</v>
      </c>
      <c r="D49" s="17" t="s">
        <v>113</v>
      </c>
      <c r="E49" s="11" t="s">
        <v>8</v>
      </c>
      <c r="F49" s="12"/>
      <c r="G49" s="12"/>
      <c r="H49" s="12"/>
      <c r="I49" s="33"/>
      <c r="J49" s="12"/>
      <c r="K49" s="36"/>
      <c r="L49" s="12"/>
      <c r="M49" s="12"/>
      <c r="N49" s="12"/>
      <c r="O49" s="12"/>
      <c r="P49" s="33"/>
      <c r="Q49" s="36"/>
      <c r="R49" s="12"/>
      <c r="S49" s="12"/>
      <c r="T49" s="12"/>
      <c r="U49" s="36"/>
      <c r="V49" s="12"/>
      <c r="W49" s="5">
        <f>COUNTIF(F49:V49,"P")</f>
        <v>0</v>
      </c>
      <c r="X49" s="5">
        <f>COUNTIF(F49:V49,"A")</f>
        <v>0</v>
      </c>
    </row>
    <row r="50" spans="1:24" x14ac:dyDescent="0.25">
      <c r="A50" s="24">
        <v>61</v>
      </c>
      <c r="B50" s="25"/>
      <c r="C50" s="26" t="s">
        <v>114</v>
      </c>
      <c r="D50" s="27" t="s">
        <v>115</v>
      </c>
      <c r="E50" s="28" t="s">
        <v>8</v>
      </c>
      <c r="F50" s="29"/>
      <c r="G50" s="29"/>
      <c r="H50" s="29"/>
      <c r="I50" s="33"/>
      <c r="J50" s="29"/>
      <c r="K50" s="36"/>
      <c r="L50" s="29"/>
      <c r="M50" s="29"/>
      <c r="N50" s="29"/>
      <c r="O50" s="29"/>
      <c r="P50" s="33"/>
      <c r="Q50" s="36"/>
      <c r="R50" s="29"/>
      <c r="S50" s="29"/>
      <c r="T50" s="29"/>
      <c r="U50" s="36"/>
      <c r="V50" s="29"/>
      <c r="W50" s="30">
        <f>COUNTIF(F50:V50,"P")</f>
        <v>0</v>
      </c>
      <c r="X50" s="30">
        <f>COUNTIF(F50:V50,"A")</f>
        <v>0</v>
      </c>
    </row>
    <row r="51" spans="1:24" x14ac:dyDescent="0.25">
      <c r="A51" s="13">
        <v>62</v>
      </c>
      <c r="B51" s="31"/>
      <c r="C51" s="31" t="s">
        <v>121</v>
      </c>
      <c r="D51" s="31" t="s">
        <v>32</v>
      </c>
      <c r="E51" s="28" t="s">
        <v>8</v>
      </c>
      <c r="F51" s="31"/>
      <c r="G51" s="31"/>
      <c r="H51" s="31"/>
      <c r="I51" s="33"/>
      <c r="J51" s="31"/>
      <c r="K51" s="36"/>
      <c r="L51" s="31"/>
      <c r="M51" s="31"/>
      <c r="N51" s="31"/>
      <c r="O51" s="31"/>
      <c r="P51" s="33"/>
      <c r="Q51" s="36"/>
      <c r="R51" s="31"/>
      <c r="S51" s="31"/>
      <c r="T51" s="31"/>
      <c r="U51" s="36"/>
      <c r="V51" s="31"/>
      <c r="W51" s="30">
        <f>COUNTIF(F51:V51,"P")</f>
        <v>0</v>
      </c>
      <c r="X51" s="30">
        <f>COUNTIF(F51:V51,"A")</f>
        <v>0</v>
      </c>
    </row>
    <row r="52" spans="1:24" x14ac:dyDescent="0.25">
      <c r="A52" s="13">
        <v>63</v>
      </c>
      <c r="B52" s="31"/>
      <c r="C52" s="31" t="s">
        <v>108</v>
      </c>
      <c r="D52" s="31" t="s">
        <v>109</v>
      </c>
      <c r="E52" s="11" t="s">
        <v>8</v>
      </c>
      <c r="F52" s="31"/>
      <c r="G52" s="31"/>
      <c r="H52" s="31"/>
      <c r="I52" s="34"/>
      <c r="J52" s="31"/>
      <c r="K52" s="37"/>
      <c r="L52" s="31"/>
      <c r="M52" s="31"/>
      <c r="N52" s="31"/>
      <c r="O52" s="31"/>
      <c r="P52" s="34"/>
      <c r="Q52" s="37"/>
      <c r="R52" s="31"/>
      <c r="S52" s="31"/>
      <c r="T52" s="31"/>
      <c r="U52" s="37"/>
      <c r="V52" s="31"/>
      <c r="W52" s="5">
        <f>COUNTIF(F52:V52,"P")</f>
        <v>0</v>
      </c>
      <c r="X52" s="5">
        <f>COUNTIF(F52:V52,"A")</f>
        <v>0</v>
      </c>
    </row>
  </sheetData>
  <mergeCells count="17">
    <mergeCell ref="A1:X1"/>
    <mergeCell ref="A2:X2"/>
    <mergeCell ref="Y3:Z3"/>
    <mergeCell ref="Y8:AB8"/>
    <mergeCell ref="A3:A4"/>
    <mergeCell ref="B3:B4"/>
    <mergeCell ref="C3:C4"/>
    <mergeCell ref="D3:D4"/>
    <mergeCell ref="E3:E4"/>
    <mergeCell ref="P5:P52"/>
    <mergeCell ref="K5:K52"/>
    <mergeCell ref="I5:I52"/>
    <mergeCell ref="Y16:AB16"/>
    <mergeCell ref="W3:W4"/>
    <mergeCell ref="X3:X4"/>
    <mergeCell ref="U5:U52"/>
    <mergeCell ref="Q5:Q52"/>
  </mergeCells>
  <conditionalFormatting sqref="F5:Q5 U5 F6:H50 J6:J50 L6:O50 R5:T50 V5:V50 F4:V4">
    <cfRule type="expression" dxfId="9" priority="15">
      <formula>IF(F$4=TODAY(),TRUE,FALSE)</formula>
    </cfRule>
  </conditionalFormatting>
  <conditionalFormatting sqref="F5:Q5 U5 F6:H50 J6:J50 L6:O50 R5:T50 V5:V50">
    <cfRule type="cellIs" dxfId="8" priority="2" operator="equal">
      <formula>"P"</formula>
    </cfRule>
  </conditionalFormatting>
  <conditionalFormatting sqref="F5:Q5 U5 F6:H50 J6:J50 L6:O50 R5:T50 Y4:Z4 V5:V50 F3:V4">
    <cfRule type="expression" dxfId="7" priority="16">
      <formula>F$3="Sun"</formula>
    </cfRule>
  </conditionalFormatting>
  <conditionalFormatting sqref="F5:V52">
    <cfRule type="cellIs" dxfId="6" priority="1" operator="equal">
      <formula>"A"</formula>
    </cfRule>
  </conditionalFormatting>
  <conditionalFormatting sqref="W3:X3 W5:X52">
    <cfRule type="expression" dxfId="5" priority="18">
      <formula>#REF!="Sun"</formula>
    </cfRule>
  </conditionalFormatting>
  <conditionalFormatting sqref="Y5:Y6">
    <cfRule type="expression" dxfId="4" priority="11">
      <formula>Y$3="Sun"</formula>
    </cfRule>
  </conditionalFormatting>
  <conditionalFormatting sqref="Y9:Y12">
    <cfRule type="expression" dxfId="3" priority="5">
      <formula>Y$3="Sun"</formula>
    </cfRule>
  </conditionalFormatting>
  <conditionalFormatting sqref="Y17:Y20">
    <cfRule type="expression" dxfId="2" priority="4">
      <formula>Y$3="Sun"</formula>
    </cfRule>
  </conditionalFormatting>
  <conditionalFormatting sqref="Z9:AB9">
    <cfRule type="expression" dxfId="1" priority="6">
      <formula>Z$3="Sun"</formula>
    </cfRule>
  </conditionalFormatting>
  <conditionalFormatting sqref="Z17:AB17">
    <cfRule type="expression" dxfId="0" priority="3">
      <formula>Z$3="Sun"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ECE (ROSE)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Aqib Shah</dc:creator>
  <cp:lastModifiedBy>Fayyaz Mohammad</cp:lastModifiedBy>
  <dcterms:created xsi:type="dcterms:W3CDTF">2015-06-05T18:17:20Z</dcterms:created>
  <dcterms:modified xsi:type="dcterms:W3CDTF">2024-09-26T16:35:42Z</dcterms:modified>
</cp:coreProperties>
</file>