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2025 New Session\"/>
    </mc:Choice>
  </mc:AlternateContent>
  <xr:revisionPtr revIDLastSave="0" documentId="13_ncr:1_{11EFC59D-ECAF-47C4-B408-EFC0B57519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pile Sheet-November-2024" sheetId="18" r:id="rId1"/>
    <sheet name="ECE (ROSE)" sheetId="5" r:id="rId2"/>
    <sheet name="ECE (Daffodills)" sheetId="8" r:id="rId3"/>
    <sheet name="Class-I" sheetId="9" r:id="rId4"/>
    <sheet name="Class-II" sheetId="10" r:id="rId5"/>
    <sheet name="Class-III" sheetId="11" r:id="rId6"/>
    <sheet name="Class-IV" sheetId="12" r:id="rId7"/>
    <sheet name="Class-V" sheetId="13" r:id="rId8"/>
    <sheet name="Class-VI" sheetId="14" r:id="rId9"/>
    <sheet name="Class-VII" sheetId="15" r:id="rId10"/>
    <sheet name="Class-VIII" sheetId="16" r:id="rId11"/>
    <sheet name="Class-IX" sheetId="17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13" i="16" l="1"/>
  <c r="AN13" i="15"/>
  <c r="AM13" i="15"/>
  <c r="AO12" i="14"/>
  <c r="AN12" i="14"/>
  <c r="AO14" i="12"/>
  <c r="AN13" i="12"/>
  <c r="J10" i="18"/>
  <c r="I10" i="18"/>
  <c r="AO13" i="11"/>
  <c r="AN13" i="11"/>
  <c r="J9" i="18"/>
  <c r="I9" i="18"/>
  <c r="AO13" i="10"/>
  <c r="AN13" i="10"/>
  <c r="J8" i="18"/>
  <c r="I8" i="18"/>
  <c r="AO13" i="9"/>
  <c r="J7" i="18"/>
  <c r="I7" i="18"/>
  <c r="J6" i="18"/>
  <c r="I6" i="18"/>
  <c r="AO21" i="5"/>
  <c r="AN21" i="5"/>
  <c r="AO14" i="5"/>
  <c r="AN14" i="5"/>
  <c r="AO13" i="5"/>
  <c r="AN13" i="5"/>
  <c r="AG3" i="17"/>
  <c r="AH3" i="17"/>
  <c r="AI3" i="17"/>
  <c r="AJ3" i="17"/>
  <c r="AH3" i="16"/>
  <c r="AI3" i="16"/>
  <c r="T3" i="15"/>
  <c r="U3" i="15"/>
  <c r="V3" i="15"/>
  <c r="W3" i="15"/>
  <c r="X3" i="15"/>
  <c r="Y3" i="15"/>
  <c r="Z3" i="15"/>
  <c r="AA3" i="15"/>
  <c r="AB3" i="15"/>
  <c r="AC3" i="15"/>
  <c r="AD3" i="15"/>
  <c r="AE3" i="15"/>
  <c r="AF3" i="15"/>
  <c r="AG3" i="15"/>
  <c r="AH3" i="15"/>
  <c r="AI3" i="15"/>
  <c r="AB3" i="14"/>
  <c r="AC3" i="14"/>
  <c r="AD3" i="14"/>
  <c r="AE3" i="14"/>
  <c r="AF3" i="14"/>
  <c r="AG3" i="14"/>
  <c r="AH3" i="14"/>
  <c r="AI3" i="14"/>
  <c r="AJ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A3" i="14"/>
  <c r="AI3" i="13"/>
  <c r="AJ3" i="13"/>
  <c r="AI3" i="12"/>
  <c r="AJ3" i="12"/>
  <c r="AN13" i="8"/>
  <c r="AP13" i="5"/>
  <c r="AO21" i="8"/>
  <c r="AN21" i="8"/>
  <c r="AP13" i="8"/>
  <c r="AO13" i="8"/>
  <c r="AN4" i="8"/>
  <c r="AN4" i="5"/>
  <c r="AL53" i="11"/>
  <c r="AK53" i="11"/>
  <c r="AL52" i="11"/>
  <c r="AK52" i="11"/>
  <c r="AL51" i="11"/>
  <c r="AK51" i="11"/>
  <c r="AL50" i="11"/>
  <c r="AK50" i="11"/>
  <c r="AL49" i="11"/>
  <c r="AK49" i="11"/>
  <c r="AL48" i="11"/>
  <c r="AK48" i="11"/>
  <c r="AL47" i="11"/>
  <c r="AK47" i="11"/>
  <c r="AL46" i="11"/>
  <c r="AK46" i="11"/>
  <c r="AL45" i="11"/>
  <c r="AK45" i="11"/>
  <c r="AL44" i="11"/>
  <c r="AK44" i="11"/>
  <c r="AL43" i="11"/>
  <c r="AK43" i="11"/>
  <c r="AL42" i="11"/>
  <c r="AK42" i="11"/>
  <c r="AL41" i="11"/>
  <c r="AK41" i="11"/>
  <c r="AL40" i="11"/>
  <c r="AK40" i="11"/>
  <c r="AL39" i="11"/>
  <c r="AK39" i="11"/>
  <c r="AL38" i="11"/>
  <c r="AK38" i="11"/>
  <c r="AL37" i="11"/>
  <c r="AK37" i="11"/>
  <c r="AL36" i="11"/>
  <c r="AK36" i="11"/>
  <c r="AL35" i="11"/>
  <c r="AK35" i="11"/>
  <c r="AL34" i="11"/>
  <c r="AK34" i="11"/>
  <c r="AL33" i="11"/>
  <c r="AK33" i="11"/>
  <c r="AL32" i="11"/>
  <c r="AK32" i="11"/>
  <c r="AL31" i="11"/>
  <c r="AK31" i="11"/>
  <c r="AL30" i="11"/>
  <c r="AK30" i="11"/>
  <c r="AL29" i="11"/>
  <c r="AK29" i="11"/>
  <c r="AL28" i="11"/>
  <c r="AK28" i="11"/>
  <c r="AL27" i="11"/>
  <c r="AK27" i="11"/>
  <c r="AL26" i="11"/>
  <c r="AK26" i="11"/>
  <c r="AL25" i="11"/>
  <c r="AK25" i="11"/>
  <c r="AL24" i="11"/>
  <c r="AK24" i="11"/>
  <c r="AL23" i="11"/>
  <c r="AK23" i="11"/>
  <c r="AL22" i="11"/>
  <c r="AK22" i="11"/>
  <c r="AO21" i="11"/>
  <c r="AN21" i="11"/>
  <c r="AL21" i="11"/>
  <c r="AK21" i="11"/>
  <c r="AL20" i="11"/>
  <c r="AK20" i="11"/>
  <c r="AL19" i="11"/>
  <c r="AK19" i="11"/>
  <c r="AL18" i="11"/>
  <c r="AK18" i="11"/>
  <c r="AL17" i="11"/>
  <c r="AK17" i="11"/>
  <c r="AL16" i="11"/>
  <c r="AK16" i="11"/>
  <c r="AL15" i="11"/>
  <c r="AK15" i="11"/>
  <c r="AL14" i="11"/>
  <c r="AK14" i="11"/>
  <c r="AL13" i="11"/>
  <c r="AK13" i="11"/>
  <c r="AL12" i="11"/>
  <c r="AK12" i="11"/>
  <c r="AL11" i="11"/>
  <c r="AK11" i="11"/>
  <c r="AL10" i="11"/>
  <c r="AK10" i="11"/>
  <c r="AL9" i="11"/>
  <c r="AK9" i="11"/>
  <c r="AL8" i="11"/>
  <c r="AK8" i="11"/>
  <c r="AL7" i="11"/>
  <c r="AK7" i="11"/>
  <c r="AL6" i="11"/>
  <c r="AK6" i="11"/>
  <c r="AL5" i="11"/>
  <c r="AK5" i="11"/>
  <c r="AN4" i="11"/>
  <c r="AJ3" i="11"/>
  <c r="AI3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AO14" i="11" l="1"/>
  <c r="AO15" i="11" s="1"/>
  <c r="AN14" i="11"/>
  <c r="AN15" i="11" s="1"/>
  <c r="AP21" i="11"/>
  <c r="AP13" i="11"/>
  <c r="AP21" i="8"/>
  <c r="AP21" i="5"/>
  <c r="AO22" i="11" l="1"/>
  <c r="AO23" i="11" s="1"/>
  <c r="AN22" i="11"/>
  <c r="AN23" i="11" s="1"/>
  <c r="AP14" i="11"/>
  <c r="AP15" i="11" s="1"/>
  <c r="AP22" i="11" l="1"/>
  <c r="AP23" i="11" s="1"/>
  <c r="AL51" i="10"/>
  <c r="AK51" i="10"/>
  <c r="AL50" i="10"/>
  <c r="AK50" i="10"/>
  <c r="AL49" i="10"/>
  <c r="AK49" i="10"/>
  <c r="AL48" i="10"/>
  <c r="AK48" i="10"/>
  <c r="AL47" i="10"/>
  <c r="AK47" i="10"/>
  <c r="AL46" i="10"/>
  <c r="AK46" i="10"/>
  <c r="AL45" i="10"/>
  <c r="AK45" i="10"/>
  <c r="AL44" i="10"/>
  <c r="AK44" i="10"/>
  <c r="AL43" i="10"/>
  <c r="AK43" i="10"/>
  <c r="AL42" i="10"/>
  <c r="AK42" i="10"/>
  <c r="AL41" i="10"/>
  <c r="AK41" i="10"/>
  <c r="AL40" i="10"/>
  <c r="AK40" i="10"/>
  <c r="AL39" i="10"/>
  <c r="AK39" i="10"/>
  <c r="AL38" i="10"/>
  <c r="AK38" i="10"/>
  <c r="AL37" i="10"/>
  <c r="AK37" i="10"/>
  <c r="AL36" i="10"/>
  <c r="AK36" i="10"/>
  <c r="AL35" i="10"/>
  <c r="AK35" i="10"/>
  <c r="AL34" i="10"/>
  <c r="AK34" i="10"/>
  <c r="AL33" i="10"/>
  <c r="AK33" i="10"/>
  <c r="AL32" i="10"/>
  <c r="AK32" i="10"/>
  <c r="AL31" i="10"/>
  <c r="AK31" i="10"/>
  <c r="AL30" i="10"/>
  <c r="AK30" i="10"/>
  <c r="AL29" i="10"/>
  <c r="AK29" i="10"/>
  <c r="AL28" i="10"/>
  <c r="AK28" i="10"/>
  <c r="AL27" i="10"/>
  <c r="AK27" i="10"/>
  <c r="AL26" i="10"/>
  <c r="AK26" i="10"/>
  <c r="AL25" i="10"/>
  <c r="AK25" i="10"/>
  <c r="AL24" i="10"/>
  <c r="AK24" i="10"/>
  <c r="AL23" i="10"/>
  <c r="AK23" i="10"/>
  <c r="AL22" i="10"/>
  <c r="AK22" i="10"/>
  <c r="AO21" i="10"/>
  <c r="AN21" i="10"/>
  <c r="AL21" i="10"/>
  <c r="AK21" i="10"/>
  <c r="AL20" i="10"/>
  <c r="AK20" i="10"/>
  <c r="AL19" i="10"/>
  <c r="AK19" i="10"/>
  <c r="AL18" i="10"/>
  <c r="AK18" i="10"/>
  <c r="AL17" i="10"/>
  <c r="AK17" i="10"/>
  <c r="AL16" i="10"/>
  <c r="AK16" i="10"/>
  <c r="AL15" i="10"/>
  <c r="AK15" i="10"/>
  <c r="AL14" i="10"/>
  <c r="AK14" i="10"/>
  <c r="AL13" i="10"/>
  <c r="AK13" i="10"/>
  <c r="AL12" i="10"/>
  <c r="AK12" i="10"/>
  <c r="AL11" i="10"/>
  <c r="AK11" i="10"/>
  <c r="AL10" i="10"/>
  <c r="AK10" i="10"/>
  <c r="AL9" i="10"/>
  <c r="AK9" i="10"/>
  <c r="AL8" i="10"/>
  <c r="AK8" i="10"/>
  <c r="AL7" i="10"/>
  <c r="AK7" i="10"/>
  <c r="AL6" i="10"/>
  <c r="AK6" i="10"/>
  <c r="AL5" i="10"/>
  <c r="AK5" i="10"/>
  <c r="AN4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AP13" i="10" l="1"/>
  <c r="AN14" i="10"/>
  <c r="AN15" i="10" s="1"/>
  <c r="AP21" i="10"/>
  <c r="AO14" i="10"/>
  <c r="AO15" i="10" s="1"/>
  <c r="AN22" i="10" l="1"/>
  <c r="AN23" i="10" s="1"/>
  <c r="AO22" i="10"/>
  <c r="AO23" i="10" s="1"/>
  <c r="AP14" i="10"/>
  <c r="AP15" i="10" s="1"/>
  <c r="AP22" i="10" l="1"/>
  <c r="AP23" i="10" s="1"/>
  <c r="AL59" i="9"/>
  <c r="AK59" i="9"/>
  <c r="AL58" i="9"/>
  <c r="AK58" i="9"/>
  <c r="AL57" i="9"/>
  <c r="AK57" i="9"/>
  <c r="AL56" i="9"/>
  <c r="AK56" i="9"/>
  <c r="AL55" i="9"/>
  <c r="AK55" i="9"/>
  <c r="AL54" i="9"/>
  <c r="AK54" i="9"/>
  <c r="AL53" i="9"/>
  <c r="AK53" i="9"/>
  <c r="AL52" i="9"/>
  <c r="AK52" i="9"/>
  <c r="AL51" i="9"/>
  <c r="AK51" i="9"/>
  <c r="AL50" i="9"/>
  <c r="AK50" i="9"/>
  <c r="AL49" i="9"/>
  <c r="AK49" i="9"/>
  <c r="AL48" i="9"/>
  <c r="AK48" i="9"/>
  <c r="AL47" i="9"/>
  <c r="AK47" i="9"/>
  <c r="AL46" i="9"/>
  <c r="AK46" i="9"/>
  <c r="AL45" i="9"/>
  <c r="AK45" i="9"/>
  <c r="AL44" i="9"/>
  <c r="AK44" i="9"/>
  <c r="AL43" i="9"/>
  <c r="AK43" i="9"/>
  <c r="AL42" i="9"/>
  <c r="AK42" i="9"/>
  <c r="AL41" i="9"/>
  <c r="AK41" i="9"/>
  <c r="AL40" i="9"/>
  <c r="AK40" i="9"/>
  <c r="AL39" i="9"/>
  <c r="AK39" i="9"/>
  <c r="AL38" i="9"/>
  <c r="AK38" i="9"/>
  <c r="AL37" i="9"/>
  <c r="AK37" i="9"/>
  <c r="AL36" i="9"/>
  <c r="AK36" i="9"/>
  <c r="AL35" i="9"/>
  <c r="AK35" i="9"/>
  <c r="AL34" i="9"/>
  <c r="AK34" i="9"/>
  <c r="AL33" i="9"/>
  <c r="AK33" i="9"/>
  <c r="AL32" i="9"/>
  <c r="AK32" i="9"/>
  <c r="AL31" i="9"/>
  <c r="AK31" i="9"/>
  <c r="AL30" i="9"/>
  <c r="AK30" i="9"/>
  <c r="AL29" i="9"/>
  <c r="AK29" i="9"/>
  <c r="AL28" i="9"/>
  <c r="AK28" i="9"/>
  <c r="AL27" i="9"/>
  <c r="AK27" i="9"/>
  <c r="AL26" i="9"/>
  <c r="AK26" i="9"/>
  <c r="AL25" i="9"/>
  <c r="AK25" i="9"/>
  <c r="AL24" i="9"/>
  <c r="AK24" i="9"/>
  <c r="AL23" i="9"/>
  <c r="AK23" i="9"/>
  <c r="AL22" i="9"/>
  <c r="AK22" i="9"/>
  <c r="AO21" i="9"/>
  <c r="AN21" i="9"/>
  <c r="AP21" i="9" s="1"/>
  <c r="AL21" i="9"/>
  <c r="AK21" i="9"/>
  <c r="AL20" i="9"/>
  <c r="AK20" i="9"/>
  <c r="AL19" i="9"/>
  <c r="AK19" i="9"/>
  <c r="AL18" i="9"/>
  <c r="AK18" i="9"/>
  <c r="AL17" i="9"/>
  <c r="AK17" i="9"/>
  <c r="AL16" i="9"/>
  <c r="AK16" i="9"/>
  <c r="AL15" i="9"/>
  <c r="AK15" i="9"/>
  <c r="AL14" i="9"/>
  <c r="AK14" i="9"/>
  <c r="AN13" i="9"/>
  <c r="AL13" i="9"/>
  <c r="AK13" i="9"/>
  <c r="AL12" i="9"/>
  <c r="AK12" i="9"/>
  <c r="AL11" i="9"/>
  <c r="AK11" i="9"/>
  <c r="AL10" i="9"/>
  <c r="AK10" i="9"/>
  <c r="AL9" i="9"/>
  <c r="AK9" i="9"/>
  <c r="AL8" i="9"/>
  <c r="AK8" i="9"/>
  <c r="AL7" i="9"/>
  <c r="AK7" i="9"/>
  <c r="AL6" i="9"/>
  <c r="AK6" i="9"/>
  <c r="AL5" i="9"/>
  <c r="AK5" i="9"/>
  <c r="AN4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AP13" i="9" l="1"/>
  <c r="AO14" i="9"/>
  <c r="AO15" i="9" s="1"/>
  <c r="AN14" i="9"/>
  <c r="AN22" i="9" s="1"/>
  <c r="AO22" i="9" l="1"/>
  <c r="AO23" i="9" s="1"/>
  <c r="AN15" i="9"/>
  <c r="AP14" i="9"/>
  <c r="AP15" i="9" s="1"/>
  <c r="AN23" i="9"/>
  <c r="AP22" i="9" l="1"/>
  <c r="AP23" i="9" s="1"/>
  <c r="AL60" i="8"/>
  <c r="AK60" i="8"/>
  <c r="AL59" i="8"/>
  <c r="AK59" i="8"/>
  <c r="AL58" i="8"/>
  <c r="AK58" i="8"/>
  <c r="AL57" i="8"/>
  <c r="AK57" i="8"/>
  <c r="AL56" i="8"/>
  <c r="AK56" i="8"/>
  <c r="AL55" i="8"/>
  <c r="AK55" i="8"/>
  <c r="AL54" i="8"/>
  <c r="AK54" i="8"/>
  <c r="AL53" i="8"/>
  <c r="AK53" i="8"/>
  <c r="AL52" i="8"/>
  <c r="AK52" i="8"/>
  <c r="AL51" i="8"/>
  <c r="AK51" i="8"/>
  <c r="AL50" i="8"/>
  <c r="AK50" i="8"/>
  <c r="AL49" i="8"/>
  <c r="AK49" i="8"/>
  <c r="AL48" i="8"/>
  <c r="AK48" i="8"/>
  <c r="AL47" i="8"/>
  <c r="AK47" i="8"/>
  <c r="AL46" i="8"/>
  <c r="AK46" i="8"/>
  <c r="AL45" i="8"/>
  <c r="AK45" i="8"/>
  <c r="AL44" i="8"/>
  <c r="AK44" i="8"/>
  <c r="AL43" i="8"/>
  <c r="AK43" i="8"/>
  <c r="AL42" i="8"/>
  <c r="AK42" i="8"/>
  <c r="AL41" i="8"/>
  <c r="AK41" i="8"/>
  <c r="AL40" i="8"/>
  <c r="AK40" i="8"/>
  <c r="AL39" i="8"/>
  <c r="AK39" i="8"/>
  <c r="AL38" i="8"/>
  <c r="AK38" i="8"/>
  <c r="AL37" i="8"/>
  <c r="AK37" i="8"/>
  <c r="AL36" i="8"/>
  <c r="AK36" i="8"/>
  <c r="AL35" i="8"/>
  <c r="AK35" i="8"/>
  <c r="AL34" i="8"/>
  <c r="AK34" i="8"/>
  <c r="AL33" i="8"/>
  <c r="AK33" i="8"/>
  <c r="AL32" i="8"/>
  <c r="AK32" i="8"/>
  <c r="AL31" i="8"/>
  <c r="AK31" i="8"/>
  <c r="AL30" i="8"/>
  <c r="AK30" i="8"/>
  <c r="AL29" i="8"/>
  <c r="AK29" i="8"/>
  <c r="AL28" i="8"/>
  <c r="AK28" i="8"/>
  <c r="AL27" i="8"/>
  <c r="AK27" i="8"/>
  <c r="AL26" i="8"/>
  <c r="AK26" i="8"/>
  <c r="AL25" i="8"/>
  <c r="AL24" i="8"/>
  <c r="AK24" i="8"/>
  <c r="AL23" i="8"/>
  <c r="AK23" i="8"/>
  <c r="AL22" i="8"/>
  <c r="AK22" i="8"/>
  <c r="AL21" i="8"/>
  <c r="AK21" i="8"/>
  <c r="AL20" i="8"/>
  <c r="AK20" i="8"/>
  <c r="AL19" i="8"/>
  <c r="AK19" i="8"/>
  <c r="AL18" i="8"/>
  <c r="AK18" i="8"/>
  <c r="AL17" i="8"/>
  <c r="AK17" i="8"/>
  <c r="AL16" i="8"/>
  <c r="AK16" i="8"/>
  <c r="AL15" i="8"/>
  <c r="AK15" i="8"/>
  <c r="AL14" i="8"/>
  <c r="AK14" i="8"/>
  <c r="AL13" i="8"/>
  <c r="AK13" i="8"/>
  <c r="AL12" i="8"/>
  <c r="AK12" i="8"/>
  <c r="AL11" i="8"/>
  <c r="AK11" i="8"/>
  <c r="AL10" i="8"/>
  <c r="AK10" i="8"/>
  <c r="AL9" i="8"/>
  <c r="AK9" i="8"/>
  <c r="AL8" i="8"/>
  <c r="AK8" i="8"/>
  <c r="AL7" i="8"/>
  <c r="AK7" i="8"/>
  <c r="AL6" i="8"/>
  <c r="AK6" i="8"/>
  <c r="AL5" i="8"/>
  <c r="AK5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AN14" i="8" l="1"/>
  <c r="AN15" i="8" s="1"/>
  <c r="AO14" i="8"/>
  <c r="AO15" i="8" s="1"/>
  <c r="AL57" i="5"/>
  <c r="AK57" i="5"/>
  <c r="AL56" i="5"/>
  <c r="AK56" i="5"/>
  <c r="AL55" i="5"/>
  <c r="AK55" i="5"/>
  <c r="AL54" i="5"/>
  <c r="AK54" i="5"/>
  <c r="AL53" i="5"/>
  <c r="AK53" i="5"/>
  <c r="AL52" i="5"/>
  <c r="AK52" i="5"/>
  <c r="AL51" i="5"/>
  <c r="AK51" i="5"/>
  <c r="AL50" i="5"/>
  <c r="AK50" i="5"/>
  <c r="AL49" i="5"/>
  <c r="AK49" i="5"/>
  <c r="AL48" i="5"/>
  <c r="AK48" i="5"/>
  <c r="AL47" i="5"/>
  <c r="AK47" i="5"/>
  <c r="AL46" i="5"/>
  <c r="AK46" i="5"/>
  <c r="AL45" i="5"/>
  <c r="AK45" i="5"/>
  <c r="AL44" i="5"/>
  <c r="AK44" i="5"/>
  <c r="AL43" i="5"/>
  <c r="AK43" i="5"/>
  <c r="AL42" i="5"/>
  <c r="AK42" i="5"/>
  <c r="AL41" i="5"/>
  <c r="AK41" i="5"/>
  <c r="AL40" i="5"/>
  <c r="AK40" i="5"/>
  <c r="AL39" i="5"/>
  <c r="AK39" i="5"/>
  <c r="AL38" i="5"/>
  <c r="AK38" i="5"/>
  <c r="AL37" i="5"/>
  <c r="AK37" i="5"/>
  <c r="AL36" i="5"/>
  <c r="AK36" i="5"/>
  <c r="AL35" i="5"/>
  <c r="AK35" i="5"/>
  <c r="AL34" i="5"/>
  <c r="AK34" i="5"/>
  <c r="AL33" i="5"/>
  <c r="AK33" i="5"/>
  <c r="AL32" i="5"/>
  <c r="AK32" i="5"/>
  <c r="AL31" i="5"/>
  <c r="AK31" i="5"/>
  <c r="AL30" i="5"/>
  <c r="AK30" i="5"/>
  <c r="AL29" i="5"/>
  <c r="AK29" i="5"/>
  <c r="AL28" i="5"/>
  <c r="AK28" i="5"/>
  <c r="AL27" i="5"/>
  <c r="AK27" i="5"/>
  <c r="AL26" i="5"/>
  <c r="AK26" i="5"/>
  <c r="AL25" i="5"/>
  <c r="AK25" i="5"/>
  <c r="AL24" i="5"/>
  <c r="AK24" i="5"/>
  <c r="AL23" i="5"/>
  <c r="AK23" i="5"/>
  <c r="AL22" i="5"/>
  <c r="AK22" i="5"/>
  <c r="AL21" i="5"/>
  <c r="AK21" i="5"/>
  <c r="AL20" i="5"/>
  <c r="AK20" i="5"/>
  <c r="AL19" i="5"/>
  <c r="AK19" i="5"/>
  <c r="AL18" i="5"/>
  <c r="AK18" i="5"/>
  <c r="AL17" i="5"/>
  <c r="AK17" i="5"/>
  <c r="AL16" i="5"/>
  <c r="AK16" i="5"/>
  <c r="AL15" i="5"/>
  <c r="AK15" i="5"/>
  <c r="AL14" i="5"/>
  <c r="AK14" i="5"/>
  <c r="AL13" i="5"/>
  <c r="AK13" i="5"/>
  <c r="AL12" i="5"/>
  <c r="AK12" i="5"/>
  <c r="AL11" i="5"/>
  <c r="AK11" i="5"/>
  <c r="AL10" i="5"/>
  <c r="AK10" i="5"/>
  <c r="AL9" i="5"/>
  <c r="AK9" i="5"/>
  <c r="AL8" i="5"/>
  <c r="AK8" i="5"/>
  <c r="AL7" i="5"/>
  <c r="AK7" i="5"/>
  <c r="AL6" i="5"/>
  <c r="AK6" i="5"/>
  <c r="AL5" i="5"/>
  <c r="AK5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AN22" i="8" l="1"/>
  <c r="AN23" i="8" s="1"/>
  <c r="AP14" i="8"/>
  <c r="AP15" i="8" s="1"/>
  <c r="AO22" i="8"/>
  <c r="AN15" i="5"/>
  <c r="AO22" i="5"/>
  <c r="E17" i="18"/>
  <c r="C17" i="18"/>
  <c r="B17" i="18"/>
  <c r="G16" i="18"/>
  <c r="F16" i="18"/>
  <c r="D16" i="18"/>
  <c r="G15" i="18"/>
  <c r="F15" i="18"/>
  <c r="D15" i="18"/>
  <c r="G14" i="18"/>
  <c r="F14" i="18"/>
  <c r="H14" i="18" s="1"/>
  <c r="D14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O21" i="17"/>
  <c r="AN21" i="17"/>
  <c r="AO13" i="17"/>
  <c r="AN13" i="17"/>
  <c r="AN4" i="17"/>
  <c r="AL39" i="17"/>
  <c r="AK39" i="17"/>
  <c r="AL38" i="17"/>
  <c r="AK38" i="17"/>
  <c r="AL37" i="17"/>
  <c r="AK37" i="17"/>
  <c r="AL36" i="17"/>
  <c r="AK36" i="17"/>
  <c r="AL35" i="17"/>
  <c r="AK35" i="17"/>
  <c r="AL34" i="17"/>
  <c r="AK34" i="17"/>
  <c r="AL33" i="17"/>
  <c r="AK33" i="17"/>
  <c r="AL32" i="17"/>
  <c r="AK32" i="17"/>
  <c r="AL31" i="17"/>
  <c r="AK31" i="17"/>
  <c r="AL30" i="17"/>
  <c r="AK30" i="17"/>
  <c r="AL29" i="17"/>
  <c r="AK29" i="17"/>
  <c r="AL28" i="17"/>
  <c r="AK28" i="17"/>
  <c r="AL27" i="17"/>
  <c r="AK27" i="17"/>
  <c r="AL26" i="17"/>
  <c r="AK26" i="17"/>
  <c r="AL25" i="17"/>
  <c r="AK25" i="17"/>
  <c r="AL24" i="17"/>
  <c r="AK24" i="17"/>
  <c r="AL23" i="17"/>
  <c r="AK23" i="17"/>
  <c r="AL22" i="17"/>
  <c r="AK22" i="17"/>
  <c r="AL21" i="17"/>
  <c r="AK21" i="17"/>
  <c r="AL20" i="17"/>
  <c r="AK20" i="17"/>
  <c r="AL19" i="17"/>
  <c r="AK19" i="17"/>
  <c r="AL18" i="17"/>
  <c r="AK18" i="17"/>
  <c r="AL17" i="17"/>
  <c r="AK17" i="17"/>
  <c r="AL16" i="17"/>
  <c r="AK16" i="17"/>
  <c r="AL15" i="17"/>
  <c r="AK15" i="17"/>
  <c r="AL14" i="17"/>
  <c r="AK14" i="17"/>
  <c r="AL13" i="17"/>
  <c r="AK13" i="17"/>
  <c r="AL12" i="17"/>
  <c r="AK12" i="17"/>
  <c r="AL11" i="17"/>
  <c r="AK11" i="17"/>
  <c r="AL10" i="17"/>
  <c r="AK10" i="17"/>
  <c r="AL9" i="17"/>
  <c r="AK9" i="17"/>
  <c r="AL8" i="17"/>
  <c r="AK8" i="17"/>
  <c r="AL7" i="17"/>
  <c r="AK7" i="17"/>
  <c r="AL6" i="17"/>
  <c r="AK6" i="17"/>
  <c r="AL5" i="17"/>
  <c r="AK5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AP13" i="17" l="1"/>
  <c r="AP22" i="8"/>
  <c r="AP23" i="8" s="1"/>
  <c r="AO23" i="8"/>
  <c r="AN22" i="5"/>
  <c r="AN23" i="5" s="1"/>
  <c r="AO15" i="5"/>
  <c r="AP14" i="5"/>
  <c r="AP15" i="5" s="1"/>
  <c r="AO23" i="5"/>
  <c r="AO14" i="17"/>
  <c r="AO22" i="17" s="1"/>
  <c r="AO23" i="17" s="1"/>
  <c r="AN14" i="17"/>
  <c r="AN22" i="17" s="1"/>
  <c r="AN23" i="17" s="1"/>
  <c r="H15" i="18"/>
  <c r="H12" i="18"/>
  <c r="H10" i="18"/>
  <c r="H7" i="18"/>
  <c r="F17" i="18"/>
  <c r="H11" i="18"/>
  <c r="H16" i="18"/>
  <c r="G17" i="18"/>
  <c r="H8" i="18"/>
  <c r="H6" i="18"/>
  <c r="D17" i="18"/>
  <c r="H9" i="18"/>
  <c r="H13" i="18"/>
  <c r="AP21" i="17"/>
  <c r="J16" i="18" l="1"/>
  <c r="L16" i="18" s="1"/>
  <c r="AP22" i="5"/>
  <c r="AP23" i="5" s="1"/>
  <c r="AO15" i="17"/>
  <c r="I16" i="18"/>
  <c r="AN15" i="17"/>
  <c r="AP14" i="17"/>
  <c r="AP15" i="17" s="1"/>
  <c r="AP22" i="17"/>
  <c r="AP23" i="17" s="1"/>
  <c r="H17" i="18"/>
  <c r="K16" i="18" l="1"/>
  <c r="N16" i="18" s="1"/>
  <c r="M16" i="18"/>
  <c r="O16" i="18" s="1"/>
  <c r="AO21" i="16"/>
  <c r="AN21" i="16"/>
  <c r="AN13" i="16"/>
  <c r="AN4" i="16"/>
  <c r="AL45" i="16"/>
  <c r="AK45" i="16"/>
  <c r="AL44" i="16"/>
  <c r="AK44" i="16"/>
  <c r="AL43" i="16"/>
  <c r="AK43" i="16"/>
  <c r="AL42" i="16"/>
  <c r="AK42" i="16"/>
  <c r="AL41" i="16"/>
  <c r="AK41" i="16"/>
  <c r="AL40" i="16"/>
  <c r="AK40" i="16"/>
  <c r="AL39" i="16"/>
  <c r="AK39" i="16"/>
  <c r="AL38" i="16"/>
  <c r="AK38" i="16"/>
  <c r="AL37" i="16"/>
  <c r="AK37" i="16"/>
  <c r="AL36" i="16"/>
  <c r="AK36" i="16"/>
  <c r="AL35" i="16"/>
  <c r="AK35" i="16"/>
  <c r="AL34" i="16"/>
  <c r="AK34" i="16"/>
  <c r="AL33" i="16"/>
  <c r="AK33" i="16"/>
  <c r="AL32" i="16"/>
  <c r="AK32" i="16"/>
  <c r="AL31" i="16"/>
  <c r="AK31" i="16"/>
  <c r="AL30" i="16"/>
  <c r="AK30" i="16"/>
  <c r="AL29" i="16"/>
  <c r="AK29" i="16"/>
  <c r="AL28" i="16"/>
  <c r="AK28" i="16"/>
  <c r="AL27" i="16"/>
  <c r="AK27" i="16"/>
  <c r="AL26" i="16"/>
  <c r="AK26" i="16"/>
  <c r="AL25" i="16"/>
  <c r="AK25" i="16"/>
  <c r="AL24" i="16"/>
  <c r="AK24" i="16"/>
  <c r="AL23" i="16"/>
  <c r="AK23" i="16"/>
  <c r="AL22" i="16"/>
  <c r="AK22" i="16"/>
  <c r="AL21" i="16"/>
  <c r="AK21" i="16"/>
  <c r="AL20" i="16"/>
  <c r="AK20" i="16"/>
  <c r="AL19" i="16"/>
  <c r="AK19" i="16"/>
  <c r="AL18" i="16"/>
  <c r="AK18" i="16"/>
  <c r="AL17" i="16"/>
  <c r="AK17" i="16"/>
  <c r="AL16" i="16"/>
  <c r="AK16" i="16"/>
  <c r="AL15" i="16"/>
  <c r="AK15" i="16"/>
  <c r="AL14" i="16"/>
  <c r="AK14" i="16"/>
  <c r="AL13" i="16"/>
  <c r="AK13" i="16"/>
  <c r="AL12" i="16"/>
  <c r="AK12" i="16"/>
  <c r="AL11" i="16"/>
  <c r="AK11" i="16"/>
  <c r="AL10" i="16"/>
  <c r="AK10" i="16"/>
  <c r="AL9" i="16"/>
  <c r="AK9" i="16"/>
  <c r="AL8" i="16"/>
  <c r="AK8" i="16"/>
  <c r="AL7" i="16"/>
  <c r="AK7" i="16"/>
  <c r="AL6" i="16"/>
  <c r="AK6" i="16"/>
  <c r="AL5" i="16"/>
  <c r="AK5" i="16"/>
  <c r="AJ3" i="16"/>
  <c r="AG3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AP13" i="16" l="1"/>
  <c r="AN14" i="16"/>
  <c r="I15" i="18" s="1"/>
  <c r="M15" i="18" s="1"/>
  <c r="AO14" i="16"/>
  <c r="J15" i="18" s="1"/>
  <c r="L15" i="18" s="1"/>
  <c r="AP21" i="16"/>
  <c r="AN22" i="16" l="1"/>
  <c r="AN15" i="16"/>
  <c r="AO22" i="16"/>
  <c r="O15" i="18"/>
  <c r="AO15" i="16"/>
  <c r="AP14" i="16"/>
  <c r="AP15" i="16" s="1"/>
  <c r="K15" i="18"/>
  <c r="N15" i="18" s="1"/>
  <c r="AP22" i="16" l="1"/>
  <c r="AN20" i="15"/>
  <c r="AM20" i="15"/>
  <c r="AO13" i="15"/>
  <c r="AM4" i="15"/>
  <c r="AK49" i="15"/>
  <c r="AJ49" i="15"/>
  <c r="AK48" i="15"/>
  <c r="AJ48" i="15"/>
  <c r="AK47" i="15"/>
  <c r="AJ47" i="15"/>
  <c r="AK46" i="15"/>
  <c r="AJ46" i="15"/>
  <c r="AK45" i="15"/>
  <c r="AJ45" i="15"/>
  <c r="AK44" i="15"/>
  <c r="AJ44" i="15"/>
  <c r="AK43" i="15"/>
  <c r="AJ43" i="15"/>
  <c r="AK42" i="15"/>
  <c r="AJ42" i="15"/>
  <c r="AK41" i="15"/>
  <c r="AJ41" i="15"/>
  <c r="AK40" i="15"/>
  <c r="AJ40" i="15"/>
  <c r="AK39" i="15"/>
  <c r="AJ39" i="15"/>
  <c r="AK38" i="15"/>
  <c r="AJ38" i="15"/>
  <c r="AK37" i="15"/>
  <c r="AJ37" i="15"/>
  <c r="AK36" i="15"/>
  <c r="AJ36" i="15"/>
  <c r="AK35" i="15"/>
  <c r="AJ35" i="15"/>
  <c r="AK34" i="15"/>
  <c r="AJ34" i="15"/>
  <c r="AK33" i="15"/>
  <c r="AJ33" i="15"/>
  <c r="AK32" i="15"/>
  <c r="AJ32" i="15"/>
  <c r="AK31" i="15"/>
  <c r="AJ31" i="15"/>
  <c r="AK30" i="15"/>
  <c r="AJ30" i="15"/>
  <c r="AK29" i="15"/>
  <c r="AJ29" i="15"/>
  <c r="AK28" i="15"/>
  <c r="AJ28" i="15"/>
  <c r="AK27" i="15"/>
  <c r="AJ27" i="15"/>
  <c r="AK26" i="15"/>
  <c r="AJ26" i="15"/>
  <c r="AK25" i="15"/>
  <c r="AJ25" i="15"/>
  <c r="AK24" i="15"/>
  <c r="AJ24" i="15"/>
  <c r="AK23" i="15"/>
  <c r="AJ23" i="15"/>
  <c r="AK22" i="15"/>
  <c r="AJ22" i="15"/>
  <c r="AK21" i="15"/>
  <c r="AJ21" i="15"/>
  <c r="AK20" i="15"/>
  <c r="AJ20" i="15"/>
  <c r="AK19" i="15"/>
  <c r="AJ19" i="15"/>
  <c r="AK18" i="15"/>
  <c r="AJ18" i="15"/>
  <c r="AK17" i="15"/>
  <c r="AJ17" i="15"/>
  <c r="AK16" i="15"/>
  <c r="AJ16" i="15"/>
  <c r="AK15" i="15"/>
  <c r="AJ15" i="15"/>
  <c r="AK14" i="15"/>
  <c r="AJ14" i="15"/>
  <c r="AK13" i="15"/>
  <c r="AJ13" i="15"/>
  <c r="AK12" i="15"/>
  <c r="AJ12" i="15"/>
  <c r="AK11" i="15"/>
  <c r="AJ11" i="15"/>
  <c r="AK10" i="15"/>
  <c r="AJ10" i="15"/>
  <c r="AK9" i="15"/>
  <c r="AJ9" i="15"/>
  <c r="AK8" i="15"/>
  <c r="AJ8" i="15"/>
  <c r="AK7" i="15"/>
  <c r="AJ7" i="15"/>
  <c r="AK6" i="15"/>
  <c r="AJ6" i="15"/>
  <c r="AK5" i="15"/>
  <c r="AJ5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AN14" i="15" l="1"/>
  <c r="AN15" i="15" s="1"/>
  <c r="AM14" i="15"/>
  <c r="AM15" i="15" s="1"/>
  <c r="AO20" i="15"/>
  <c r="I14" i="18" l="1"/>
  <c r="M14" i="18" s="1"/>
  <c r="AM21" i="15"/>
  <c r="AM22" i="15" s="1"/>
  <c r="AO14" i="15"/>
  <c r="AO15" i="15" s="1"/>
  <c r="J14" i="18"/>
  <c r="L14" i="18" s="1"/>
  <c r="AN21" i="15"/>
  <c r="AN22" i="15" s="1"/>
  <c r="O14" i="18" l="1"/>
  <c r="K14" i="18"/>
  <c r="N14" i="18" s="1"/>
  <c r="AO21" i="15"/>
  <c r="AO22" i="15" s="1"/>
  <c r="AO20" i="14"/>
  <c r="AN20" i="14"/>
  <c r="AN4" i="14"/>
  <c r="AL45" i="14"/>
  <c r="AK45" i="14"/>
  <c r="AL44" i="14"/>
  <c r="AK44" i="14"/>
  <c r="AL43" i="14"/>
  <c r="AK43" i="14"/>
  <c r="AL42" i="14"/>
  <c r="AK42" i="14"/>
  <c r="AL41" i="14"/>
  <c r="AK41" i="14"/>
  <c r="AL40" i="14"/>
  <c r="AK40" i="14"/>
  <c r="AL39" i="14"/>
  <c r="AK39" i="14"/>
  <c r="AL38" i="14"/>
  <c r="AK38" i="14"/>
  <c r="AL37" i="14"/>
  <c r="AK37" i="14"/>
  <c r="AL36" i="14"/>
  <c r="AK36" i="14"/>
  <c r="AL35" i="14"/>
  <c r="AK35" i="14"/>
  <c r="AL34" i="14"/>
  <c r="AK34" i="14"/>
  <c r="AL33" i="14"/>
  <c r="AK33" i="14"/>
  <c r="AL32" i="14"/>
  <c r="AK32" i="14"/>
  <c r="AL31" i="14"/>
  <c r="AK31" i="14"/>
  <c r="AL30" i="14"/>
  <c r="AK30" i="14"/>
  <c r="AL29" i="14"/>
  <c r="AK29" i="14"/>
  <c r="AL28" i="14"/>
  <c r="AK28" i="14"/>
  <c r="AL27" i="14"/>
  <c r="AK27" i="14"/>
  <c r="AL26" i="14"/>
  <c r="AK26" i="14"/>
  <c r="AL25" i="14"/>
  <c r="AK25" i="14"/>
  <c r="AL24" i="14"/>
  <c r="AK24" i="14"/>
  <c r="AL23" i="14"/>
  <c r="AK23" i="14"/>
  <c r="AL22" i="14"/>
  <c r="AK22" i="14"/>
  <c r="AL21" i="14"/>
  <c r="AK21" i="14"/>
  <c r="AL20" i="14"/>
  <c r="AK20" i="14"/>
  <c r="AL19" i="14"/>
  <c r="AK19" i="14"/>
  <c r="AL18" i="14"/>
  <c r="AK18" i="14"/>
  <c r="AL17" i="14"/>
  <c r="AK17" i="14"/>
  <c r="AL16" i="14"/>
  <c r="AK16" i="14"/>
  <c r="AL15" i="14"/>
  <c r="AK15" i="14"/>
  <c r="AL14" i="14"/>
  <c r="AK14" i="14"/>
  <c r="AL13" i="14"/>
  <c r="AK13" i="14"/>
  <c r="AL12" i="14"/>
  <c r="AK12" i="14"/>
  <c r="AL11" i="14"/>
  <c r="AK11" i="14"/>
  <c r="AL10" i="14"/>
  <c r="AK10" i="14"/>
  <c r="AL9" i="14"/>
  <c r="AK9" i="14"/>
  <c r="AL8" i="14"/>
  <c r="AK8" i="14"/>
  <c r="AL7" i="14"/>
  <c r="AK7" i="14"/>
  <c r="AL6" i="14"/>
  <c r="AK6" i="14"/>
  <c r="AL5" i="14"/>
  <c r="AK5" i="14"/>
  <c r="F3" i="14"/>
  <c r="AN13" i="14" l="1"/>
  <c r="AN14" i="14" s="1"/>
  <c r="AO13" i="14"/>
  <c r="AO14" i="14" s="1"/>
  <c r="AP12" i="14"/>
  <c r="AP20" i="14"/>
  <c r="AN21" i="14" l="1"/>
  <c r="AN22" i="14" s="1"/>
  <c r="I13" i="18"/>
  <c r="AO21" i="14"/>
  <c r="AO22" i="14" s="1"/>
  <c r="J13" i="18"/>
  <c r="L13" i="18" s="1"/>
  <c r="AP13" i="14"/>
  <c r="AP14" i="14" s="1"/>
  <c r="AP21" i="14" l="1"/>
  <c r="AP22" i="14" s="1"/>
  <c r="K13" i="18"/>
  <c r="N13" i="18" s="1"/>
  <c r="M13" i="18"/>
  <c r="O13" i="18" s="1"/>
  <c r="AO21" i="13"/>
  <c r="AN21" i="13"/>
  <c r="AO13" i="13"/>
  <c r="AP13" i="13" s="1"/>
  <c r="AN13" i="13"/>
  <c r="AN4" i="13"/>
  <c r="AL50" i="13"/>
  <c r="AK50" i="13"/>
  <c r="AL49" i="13"/>
  <c r="AK49" i="13"/>
  <c r="AL48" i="13"/>
  <c r="AK48" i="13"/>
  <c r="AL47" i="13"/>
  <c r="AK47" i="13"/>
  <c r="AL46" i="13"/>
  <c r="AK46" i="13"/>
  <c r="AL45" i="13"/>
  <c r="AK45" i="13"/>
  <c r="AL44" i="13"/>
  <c r="AK44" i="13"/>
  <c r="AL43" i="13"/>
  <c r="AK43" i="13"/>
  <c r="AL42" i="13"/>
  <c r="AK42" i="13"/>
  <c r="AL41" i="13"/>
  <c r="AK41" i="13"/>
  <c r="AL40" i="13"/>
  <c r="AK40" i="13"/>
  <c r="AL39" i="13"/>
  <c r="AK39" i="13"/>
  <c r="AL38" i="13"/>
  <c r="AK38" i="13"/>
  <c r="AL37" i="13"/>
  <c r="AK37" i="13"/>
  <c r="AL36" i="13"/>
  <c r="AK36" i="13"/>
  <c r="AL35" i="13"/>
  <c r="AK35" i="13"/>
  <c r="AL34" i="13"/>
  <c r="AK34" i="13"/>
  <c r="AL33" i="13"/>
  <c r="AK33" i="13"/>
  <c r="AL32" i="13"/>
  <c r="AK32" i="13"/>
  <c r="AL31" i="13"/>
  <c r="AK31" i="13"/>
  <c r="AL30" i="13"/>
  <c r="AK30" i="13"/>
  <c r="AL29" i="13"/>
  <c r="AK29" i="13"/>
  <c r="AL28" i="13"/>
  <c r="AK28" i="13"/>
  <c r="AL27" i="13"/>
  <c r="AK27" i="13"/>
  <c r="AL26" i="13"/>
  <c r="AK26" i="13"/>
  <c r="AL25" i="13"/>
  <c r="AK25" i="13"/>
  <c r="AL24" i="13"/>
  <c r="AK24" i="13"/>
  <c r="AL23" i="13"/>
  <c r="AK23" i="13"/>
  <c r="AL22" i="13"/>
  <c r="AK22" i="13"/>
  <c r="AL21" i="13"/>
  <c r="AK21" i="13"/>
  <c r="AL20" i="13"/>
  <c r="AK20" i="13"/>
  <c r="AL19" i="13"/>
  <c r="AK19" i="13"/>
  <c r="AL18" i="13"/>
  <c r="AK18" i="13"/>
  <c r="AL17" i="13"/>
  <c r="AK17" i="13"/>
  <c r="AL16" i="13"/>
  <c r="AK16" i="13"/>
  <c r="AL15" i="13"/>
  <c r="AK15" i="13"/>
  <c r="AL14" i="13"/>
  <c r="AK14" i="13"/>
  <c r="AL13" i="13"/>
  <c r="AK13" i="13"/>
  <c r="AL12" i="13"/>
  <c r="AK12" i="13"/>
  <c r="AL11" i="13"/>
  <c r="AK11" i="13"/>
  <c r="AL10" i="13"/>
  <c r="AK10" i="13"/>
  <c r="AL9" i="13"/>
  <c r="AK9" i="13"/>
  <c r="AL8" i="13"/>
  <c r="AK8" i="13"/>
  <c r="AL7" i="13"/>
  <c r="AK7" i="13"/>
  <c r="AL6" i="13"/>
  <c r="AK6" i="13"/>
  <c r="AL5" i="13"/>
  <c r="AK5" i="13"/>
  <c r="AH3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AO14" i="13" l="1"/>
  <c r="J12" i="18" s="1"/>
  <c r="L12" i="18" s="1"/>
  <c r="AN14" i="13"/>
  <c r="I12" i="18" s="1"/>
  <c r="AP21" i="13"/>
  <c r="AO15" i="13" l="1"/>
  <c r="AP14" i="13"/>
  <c r="AP15" i="13" s="1"/>
  <c r="AN15" i="13"/>
  <c r="AN22" i="13"/>
  <c r="AN23" i="13" s="1"/>
  <c r="AO22" i="13"/>
  <c r="AO23" i="13" s="1"/>
  <c r="M12" i="18"/>
  <c r="O12" i="18" s="1"/>
  <c r="K12" i="18"/>
  <c r="N12" i="18" s="1"/>
  <c r="AP22" i="13" l="1"/>
  <c r="AP23" i="13" s="1"/>
  <c r="AO21" i="12"/>
  <c r="AN21" i="12"/>
  <c r="AO13" i="12"/>
  <c r="AN4" i="12"/>
  <c r="AL56" i="12"/>
  <c r="AK56" i="12"/>
  <c r="AL55" i="12"/>
  <c r="AK55" i="12"/>
  <c r="AL54" i="12"/>
  <c r="AK54" i="12"/>
  <c r="AL53" i="12"/>
  <c r="AK53" i="12"/>
  <c r="AL52" i="12"/>
  <c r="AK52" i="12"/>
  <c r="AL51" i="12"/>
  <c r="AK51" i="12"/>
  <c r="AL50" i="12"/>
  <c r="AK50" i="12"/>
  <c r="AL49" i="12"/>
  <c r="AK49" i="12"/>
  <c r="AL48" i="12"/>
  <c r="AK48" i="12"/>
  <c r="AL47" i="12"/>
  <c r="AK47" i="12"/>
  <c r="AL46" i="12"/>
  <c r="AK46" i="12"/>
  <c r="AL45" i="12"/>
  <c r="AK45" i="12"/>
  <c r="AL44" i="12"/>
  <c r="AK44" i="12"/>
  <c r="AL43" i="12"/>
  <c r="AK43" i="12"/>
  <c r="AL42" i="12"/>
  <c r="AK42" i="12"/>
  <c r="AL41" i="12"/>
  <c r="AK41" i="12"/>
  <c r="AL40" i="12"/>
  <c r="AK40" i="12"/>
  <c r="AL39" i="12"/>
  <c r="AK39" i="12"/>
  <c r="AL38" i="12"/>
  <c r="AK38" i="12"/>
  <c r="AL37" i="12"/>
  <c r="AK37" i="12"/>
  <c r="AL36" i="12"/>
  <c r="AK36" i="12"/>
  <c r="AL35" i="12"/>
  <c r="AK35" i="12"/>
  <c r="AL34" i="12"/>
  <c r="AK34" i="12"/>
  <c r="AL33" i="12"/>
  <c r="AK33" i="12"/>
  <c r="AL32" i="12"/>
  <c r="AK32" i="12"/>
  <c r="AL31" i="12"/>
  <c r="AK31" i="12"/>
  <c r="AL30" i="12"/>
  <c r="AK30" i="12"/>
  <c r="AL29" i="12"/>
  <c r="AK29" i="12"/>
  <c r="AL28" i="12"/>
  <c r="AK28" i="12"/>
  <c r="AL27" i="12"/>
  <c r="AK27" i="12"/>
  <c r="AL26" i="12"/>
  <c r="AK26" i="12"/>
  <c r="AL25" i="12"/>
  <c r="AK25" i="12"/>
  <c r="AL24" i="12"/>
  <c r="AL23" i="12"/>
  <c r="AK23" i="12"/>
  <c r="AL22" i="12"/>
  <c r="AK22" i="12"/>
  <c r="AL21" i="12"/>
  <c r="AK21" i="12"/>
  <c r="AL20" i="12"/>
  <c r="AK20" i="12"/>
  <c r="AL19" i="12"/>
  <c r="AK19" i="12"/>
  <c r="AL18" i="12"/>
  <c r="AK18" i="12"/>
  <c r="AL17" i="12"/>
  <c r="AK17" i="12"/>
  <c r="AL16" i="12"/>
  <c r="AK16" i="12"/>
  <c r="AL15" i="12"/>
  <c r="AK15" i="12"/>
  <c r="AL14" i="12"/>
  <c r="AK14" i="12"/>
  <c r="AL13" i="12"/>
  <c r="AK13" i="12"/>
  <c r="AL12" i="12"/>
  <c r="AK12" i="12"/>
  <c r="AL11" i="12"/>
  <c r="AK11" i="12"/>
  <c r="AL10" i="12"/>
  <c r="AK10" i="12"/>
  <c r="AL9" i="12"/>
  <c r="AK9" i="12"/>
  <c r="AL8" i="12"/>
  <c r="AK8" i="12"/>
  <c r="AL7" i="12"/>
  <c r="AK7" i="12"/>
  <c r="AL6" i="12"/>
  <c r="AK6" i="12"/>
  <c r="AL5" i="12"/>
  <c r="AK5" i="12"/>
  <c r="AH3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AN14" i="12" l="1"/>
  <c r="AN15" i="12" s="1"/>
  <c r="AO15" i="12"/>
  <c r="AP13" i="12"/>
  <c r="AP21" i="12"/>
  <c r="AN22" i="12" l="1"/>
  <c r="AO22" i="12"/>
  <c r="AP14" i="12"/>
  <c r="AP15" i="12" s="1"/>
  <c r="J11" i="18"/>
  <c r="L11" i="18" s="1"/>
  <c r="I11" i="18"/>
  <c r="M11" i="18" s="1"/>
  <c r="O11" i="18" l="1"/>
  <c r="AP22" i="12"/>
  <c r="K11" i="18"/>
  <c r="N11" i="18" s="1"/>
  <c r="L10" i="18"/>
  <c r="K10" i="18" l="1"/>
  <c r="N10" i="18" s="1"/>
  <c r="M10" i="18"/>
  <c r="O10" i="18" s="1"/>
  <c r="L9" i="18" l="1"/>
  <c r="K9" i="18" l="1"/>
  <c r="N9" i="18" s="1"/>
  <c r="M9" i="18"/>
  <c r="O9" i="18" s="1"/>
  <c r="L8" i="18" l="1"/>
  <c r="M8" i="18" l="1"/>
  <c r="O8" i="18" s="1"/>
  <c r="K8" i="18"/>
  <c r="N8" i="18" s="1"/>
  <c r="L7" i="18" l="1"/>
  <c r="M7" i="18" l="1"/>
  <c r="O7" i="18" s="1"/>
  <c r="K7" i="18"/>
  <c r="N7" i="18" s="1"/>
  <c r="I17" i="18" l="1"/>
  <c r="M6" i="18"/>
  <c r="K6" i="18"/>
  <c r="N6" i="18" l="1"/>
  <c r="N17" i="18" s="1"/>
  <c r="K17" i="18"/>
  <c r="K18" i="18" s="1"/>
  <c r="J17" i="18"/>
  <c r="L6" i="18"/>
  <c r="O6" i="18" s="1"/>
  <c r="O17" i="18" s="1"/>
  <c r="I18" i="18"/>
  <c r="M17" i="18"/>
  <c r="J18" i="18" l="1"/>
  <c r="L17" i="18"/>
  <c r="O18" i="18" s="1"/>
</calcChain>
</file>

<file path=xl/sharedStrings.xml><?xml version="1.0" encoding="utf-8"?>
<sst xmlns="http://schemas.openxmlformats.org/spreadsheetml/2006/main" count="7714" uniqueCount="805">
  <si>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</si>
  <si>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</si>
  <si>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</si>
  <si>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</si>
  <si>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</si>
  <si>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</si>
  <si>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</si>
  <si>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</si>
  <si>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</si>
  <si>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</si>
  <si>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</si>
  <si>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</si>
  <si>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</si>
  <si>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</si>
  <si>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</si>
  <si>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</si>
  <si>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</si>
  <si>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</si>
  <si>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</si>
  <si>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</si>
  <si>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</si>
  <si>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</si>
  <si>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</si>
  <si>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</si>
  <si>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</si>
  <si>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</si>
  <si>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</si>
  <si>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</si>
  <si>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</si>
  <si>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</si>
  <si>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</si>
  <si>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</si>
  <si>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</si>
  <si>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</si>
  <si>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</si>
  <si>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</si>
  <si>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</si>
  <si>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</si>
  <si>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</si>
  <si>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</si>
  <si>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</si>
  <si>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</si>
  <si>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</si>
  <si>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</si>
  <si>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</si>
  <si>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</si>
  <si>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</si>
  <si>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</si>
  <si>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</si>
  <si>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</si>
  <si>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</si>
  <si>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</si>
  <si>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</si>
  <si>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</si>
  <si>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</si>
  <si>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</si>
  <si>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</si>
  <si>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</si>
  <si>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</si>
  <si>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</si>
  <si>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</si>
  <si>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</si>
  <si>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</si>
  <si>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</si>
  <si>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</si>
  <si>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</si>
  <si>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</si>
  <si>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</si>
  <si>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</si>
  <si>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</si>
  <si>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</si>
  <si>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</si>
  <si>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</si>
  <si>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</si>
  <si>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</si>
  <si>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</si>
  <si>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</si>
  <si>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</si>
  <si>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</si>
  <si>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</si>
  <si>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</si>
  <si>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</si>
  <si>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</si>
  <si>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</si>
  <si>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</si>
  <si>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</si>
  <si>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</si>
  <si>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</si>
  <si>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</si>
  <si>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</si>
  <si>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</si>
  <si>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</si>
  <si>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</si>
  <si>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</si>
  <si>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</si>
  <si>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</si>
  <si>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</si>
  <si>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</si>
  <si>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</si>
  <si>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</si>
  <si>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</si>
  <si>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</si>
  <si>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</si>
  <si>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</si>
  <si>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</si>
  <si>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</si>
  <si>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</si>
  <si>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Faisal</t>
  </si>
  <si>
    <t>Saifullah</t>
  </si>
  <si>
    <t>Farooq Ali</t>
  </si>
  <si>
    <t>P</t>
  </si>
  <si>
    <t>Ali Usman</t>
  </si>
  <si>
    <t>Abdullah</t>
  </si>
  <si>
    <t>Jameel Hussain</t>
  </si>
  <si>
    <t>Israr</t>
  </si>
  <si>
    <t>Zulfiqar Ali</t>
  </si>
  <si>
    <t>Zakria</t>
  </si>
  <si>
    <t>Hoorain Noor</t>
  </si>
  <si>
    <t>Muhammad Akram</t>
  </si>
  <si>
    <t>Abdul Hadi</t>
  </si>
  <si>
    <t>Year 2024</t>
  </si>
  <si>
    <t>Total days</t>
  </si>
  <si>
    <t>Absent Days Details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</si>
  <si>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</si>
  <si>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</si>
  <si>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</si>
  <si>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</si>
  <si>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</si>
  <si>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</si>
  <si>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</si>
  <si>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</si>
  <si>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</si>
  <si>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</si>
  <si>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</si>
  <si>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</si>
  <si>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</si>
  <si>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</si>
  <si>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</si>
  <si>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</si>
  <si>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</si>
  <si>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</si>
  <si>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</si>
  <si>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</si>
  <si>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</si>
  <si>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Mirha</t>
  </si>
  <si>
    <t>M. Luqman</t>
  </si>
  <si>
    <t>Misbah Bhutto</t>
  </si>
  <si>
    <t>M. Azeem</t>
  </si>
  <si>
    <t>Rimsha</t>
  </si>
  <si>
    <t>Meer Ameer-ud-Din</t>
  </si>
  <si>
    <t>Sidra Batool</t>
  </si>
  <si>
    <t>Muhammad Khan</t>
  </si>
  <si>
    <t>Sidra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</si>
  <si>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</si>
  <si>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</si>
  <si>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</si>
  <si>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</si>
  <si>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</si>
  <si>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</si>
  <si>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</si>
  <si>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</si>
  <si>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</si>
  <si>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</si>
  <si>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</si>
  <si>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</si>
  <si>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</si>
  <si>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</si>
  <si>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Imran Ali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</si>
  <si>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</si>
  <si>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</si>
  <si>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</si>
  <si>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</si>
  <si>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</si>
  <si>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</si>
  <si>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</si>
  <si>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</si>
  <si>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</si>
  <si>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</si>
  <si>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</si>
  <si>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</si>
  <si>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</si>
  <si>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</si>
  <si>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</si>
  <si>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</si>
  <si>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</si>
  <si>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</si>
  <si>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</si>
  <si>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</si>
  <si>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</si>
  <si>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</si>
  <si>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</si>
  <si>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</si>
  <si>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</si>
  <si>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</si>
  <si>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</si>
  <si>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</si>
  <si>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</si>
  <si>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</si>
  <si>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</si>
  <si>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</si>
  <si>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</si>
  <si>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</si>
  <si>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</si>
  <si>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</si>
  <si>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</si>
  <si>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</si>
  <si>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</si>
  <si>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</si>
  <si>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</si>
  <si>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</si>
  <si>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Ahmed Zia</t>
  </si>
  <si>
    <t>Zia Buksh</t>
  </si>
  <si>
    <t>M Fahad</t>
  </si>
  <si>
    <t>Bilal Faheem</t>
  </si>
  <si>
    <t>M. Faheem</t>
  </si>
  <si>
    <t>Ab. Barri</t>
  </si>
  <si>
    <t>Ghulam Mustafa</t>
  </si>
  <si>
    <t>Hasnain Naeem</t>
  </si>
  <si>
    <t>Naeem Ahmed</t>
  </si>
  <si>
    <t>M. Ahad</t>
  </si>
  <si>
    <t>Aman Badshah</t>
  </si>
  <si>
    <t>Ab. Hadi</t>
  </si>
  <si>
    <t>Sajid Ali</t>
  </si>
  <si>
    <t>Anum</t>
  </si>
  <si>
    <t>M. Arif</t>
  </si>
  <si>
    <t>One</t>
  </si>
  <si>
    <t>SUNDAY - SUNDAY - SUNDAY - SUNDAY - SUNDAY - SUNDAY - SUNDAY - SUNDAY - SUNDAY</t>
  </si>
  <si>
    <t>Ayat</t>
  </si>
  <si>
    <t>Saeed Ahmed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</si>
  <si>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</si>
  <si>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</si>
  <si>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</si>
  <si>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</si>
  <si>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</si>
  <si>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</si>
  <si>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</si>
  <si>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</si>
  <si>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</si>
  <si>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</si>
  <si>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</si>
  <si>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</si>
  <si>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Zaheer Abbas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</si>
  <si>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</si>
  <si>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</si>
  <si>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</si>
  <si>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</si>
  <si>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</si>
  <si>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</si>
  <si>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</si>
  <si>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</si>
  <si>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</si>
  <si>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</si>
  <si>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</si>
  <si>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</si>
  <si>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</si>
  <si>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</si>
  <si>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</si>
  <si>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</si>
  <si>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</si>
  <si>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</si>
  <si>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Haram</t>
  </si>
  <si>
    <t>Moien Khan</t>
  </si>
  <si>
    <t>Ayesha</t>
  </si>
  <si>
    <t>A. Latif</t>
  </si>
  <si>
    <t>Arsalan</t>
  </si>
  <si>
    <t>Faheem</t>
  </si>
  <si>
    <t>Ahmed Nawaz</t>
  </si>
  <si>
    <t>Ali Nawaz</t>
  </si>
  <si>
    <t>A. Malik</t>
  </si>
  <si>
    <t>Sohail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</si>
  <si>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</si>
  <si>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</si>
  <si>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</si>
  <si>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</si>
  <si>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</si>
  <si>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</si>
  <si>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</si>
  <si>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</si>
  <si>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</si>
  <si>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</si>
  <si>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</si>
  <si>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</si>
  <si>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</si>
  <si>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</si>
  <si>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</si>
  <si>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</si>
  <si>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</si>
  <si>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</si>
  <si>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</si>
  <si>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</si>
  <si>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</si>
  <si>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</si>
  <si>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</si>
  <si>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</si>
  <si>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</si>
  <si>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</si>
  <si>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</si>
  <si>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</si>
  <si>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</si>
  <si>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</si>
  <si>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</si>
  <si>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</si>
  <si>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</si>
  <si>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</si>
  <si>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</si>
  <si>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Muzammil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</si>
  <si>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</si>
  <si>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</si>
  <si>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</si>
  <si>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</si>
  <si>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</si>
  <si>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</si>
  <si>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</si>
  <si>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</si>
  <si>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</si>
  <si>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</si>
  <si>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</si>
  <si>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Goverment High School (SJCHS)</t>
  </si>
  <si>
    <t>Abiha Zehra</t>
  </si>
  <si>
    <t>Ab. Mateen</t>
  </si>
  <si>
    <t>Two</t>
  </si>
  <si>
    <t xml:space="preserve">SUNDAY - SUNDAY - SUNDAY - SUNDAY - SUNDAY - SUNDAY </t>
  </si>
  <si>
    <t>Aleena Zia</t>
  </si>
  <si>
    <t>Khuda Baksh</t>
  </si>
  <si>
    <t>Anumta Jamali</t>
  </si>
  <si>
    <t>Mukhtiyar Ali</t>
  </si>
  <si>
    <t>Ali Muhammad</t>
  </si>
  <si>
    <t>Abdul Hafeez</t>
  </si>
  <si>
    <t>Jannat Fatima</t>
  </si>
  <si>
    <t>Kashaf</t>
  </si>
  <si>
    <t>Kashish</t>
  </si>
  <si>
    <t>M. Noman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</si>
  <si>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</si>
  <si>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</si>
  <si>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</si>
  <si>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</si>
  <si>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</si>
  <si>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</si>
  <si>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</si>
  <si>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Soha Jamali</t>
  </si>
  <si>
    <t>Sehar Fatima</t>
  </si>
  <si>
    <t>Saba</t>
  </si>
  <si>
    <t>Asif</t>
  </si>
  <si>
    <t>Sehrish</t>
  </si>
  <si>
    <t>Fida Hussain</t>
  </si>
  <si>
    <t>Tahreem Fatima</t>
  </si>
  <si>
    <t>Taskeen</t>
  </si>
  <si>
    <t>Abdul Musawir</t>
  </si>
  <si>
    <t>M. Ismail</t>
  </si>
  <si>
    <t>Abdul Wahab</t>
  </si>
  <si>
    <t>Riazuddin</t>
  </si>
  <si>
    <t>Mukhtiyar</t>
  </si>
  <si>
    <t>Burair Abbas</t>
  </si>
  <si>
    <t>Azhar Abbas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</si>
  <si>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</si>
  <si>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</si>
  <si>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</si>
  <si>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</si>
  <si>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</si>
  <si>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</si>
  <si>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</si>
  <si>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</si>
  <si>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Mehar Ali</t>
  </si>
  <si>
    <t>Faiz Mohammad</t>
  </si>
  <si>
    <t>M. Arsalan</t>
  </si>
  <si>
    <t>Shahbaz Ahmed</t>
  </si>
  <si>
    <t>Mohammad Nawaz</t>
  </si>
  <si>
    <t>Mohammad Rafay</t>
  </si>
  <si>
    <t>Mohammad Waseem</t>
  </si>
  <si>
    <t>Mohammad Azeem</t>
  </si>
  <si>
    <t>Mohammad Shayan</t>
  </si>
  <si>
    <t>Mohammad Shareef</t>
  </si>
  <si>
    <t>Muhammad Ali</t>
  </si>
  <si>
    <t>Munir Ahmed</t>
  </si>
  <si>
    <t>Riaz Hussain</t>
  </si>
  <si>
    <t>Irfan Hussain</t>
  </si>
  <si>
    <t>Samiullah</t>
  </si>
  <si>
    <t>Zain</t>
  </si>
  <si>
    <t>Zahid Ali</t>
  </si>
  <si>
    <t>Anjuman</t>
  </si>
  <si>
    <t>Ab. Ghaffar</t>
  </si>
  <si>
    <t>Three</t>
  </si>
  <si>
    <t>SUNDAY - SUNDAY - SUNDAY - SUNDAY - SUNDAY - SUNDAY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</si>
  <si>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</si>
  <si>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</si>
  <si>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</si>
  <si>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</si>
  <si>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</si>
  <si>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</si>
  <si>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</si>
  <si>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</si>
  <si>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</si>
  <si>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</si>
  <si>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</si>
  <si>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</si>
  <si>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</si>
  <si>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</si>
  <si>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</si>
  <si>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</si>
  <si>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</si>
  <si>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</si>
  <si>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</si>
  <si>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</si>
  <si>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</si>
  <si>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</si>
  <si>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</si>
  <si>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</si>
  <si>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</si>
  <si>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</si>
  <si>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</si>
  <si>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Zainab Batool</t>
  </si>
  <si>
    <t>Rida-E-Zainab</t>
  </si>
  <si>
    <t>Faraz Hyder</t>
  </si>
  <si>
    <t>Bushra</t>
  </si>
  <si>
    <t>Farhan</t>
  </si>
  <si>
    <t>Mubashira</t>
  </si>
  <si>
    <t>Ubaidullah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</si>
  <si>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</si>
  <si>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</si>
  <si>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</si>
  <si>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</si>
  <si>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</si>
  <si>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</si>
  <si>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</si>
  <si>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</si>
  <si>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</si>
  <si>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</si>
  <si>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Azan</t>
  </si>
  <si>
    <t>Nisar Ahmed</t>
  </si>
  <si>
    <t>Faizan Ahmed</t>
  </si>
  <si>
    <t>Riaz Ahmed</t>
  </si>
  <si>
    <t>Haider Ali</t>
  </si>
  <si>
    <t>M. Shayan</t>
  </si>
  <si>
    <t>Meer Alam</t>
  </si>
  <si>
    <t>M. Ahsan</t>
  </si>
  <si>
    <t>M. Zawiyar</t>
  </si>
  <si>
    <t>Zulfiqar Ali Mangi</t>
  </si>
  <si>
    <t>Muneer Ahmed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</si>
  <si>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</si>
  <si>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</si>
  <si>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</si>
  <si>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</si>
  <si>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</si>
  <si>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</si>
  <si>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</si>
  <si>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</si>
  <si>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</si>
  <si>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Atteeque ur Rehman</t>
  </si>
  <si>
    <t>Raffique Ahmed</t>
  </si>
  <si>
    <t>Muhammad Essa</t>
  </si>
  <si>
    <t>Aqeel Ahmed</t>
  </si>
  <si>
    <t>Najeebullah</t>
  </si>
  <si>
    <t>Four</t>
  </si>
  <si>
    <t>Alijan</t>
  </si>
  <si>
    <t>M. Shafique</t>
  </si>
  <si>
    <t>Dost M.</t>
  </si>
  <si>
    <t>M. Usman</t>
  </si>
  <si>
    <t>Riaz</t>
  </si>
  <si>
    <t>Imdad Ali</t>
  </si>
  <si>
    <t>Hamid Ali</t>
  </si>
  <si>
    <t>M. Suleman</t>
  </si>
  <si>
    <t>Usman</t>
  </si>
  <si>
    <t>M. Faisal</t>
  </si>
  <si>
    <t>Abdull Sattar</t>
  </si>
  <si>
    <t>Tanveer Ahmed</t>
  </si>
  <si>
    <t>Wazeer Ahmed</t>
  </si>
  <si>
    <t xml:space="preserve">Zain </t>
  </si>
  <si>
    <t>Zaheer Ahmed</t>
  </si>
  <si>
    <t>Nazeer Ali</t>
  </si>
  <si>
    <t>Tasawur Ali</t>
  </si>
  <si>
    <t>Zain-ul-Abdin</t>
  </si>
  <si>
    <t>Dill Murad</t>
  </si>
  <si>
    <t>Sameer Ali</t>
  </si>
  <si>
    <t>Gulbahar Ali</t>
  </si>
  <si>
    <t>M. Anees</t>
  </si>
  <si>
    <t>M. Ramzan</t>
  </si>
  <si>
    <t>Hamadullah</t>
  </si>
  <si>
    <t>Abrar Hussain</t>
  </si>
  <si>
    <t>Khawar</t>
  </si>
  <si>
    <t>Saadullah</t>
  </si>
  <si>
    <t>M. Qassam</t>
  </si>
  <si>
    <t>Imran H.</t>
  </si>
  <si>
    <t>Aliyan</t>
  </si>
  <si>
    <t>Gulraiz</t>
  </si>
  <si>
    <t>Ambreen</t>
  </si>
  <si>
    <t>Abdul Ghafoor</t>
  </si>
  <si>
    <t>Bakhtawar</t>
  </si>
  <si>
    <t>Taj Muhammad</t>
  </si>
  <si>
    <t>Bibi Zehra</t>
  </si>
  <si>
    <t xml:space="preserve">Liaquat </t>
  </si>
  <si>
    <t>Rana</t>
  </si>
  <si>
    <t>Fatima Gul</t>
  </si>
  <si>
    <t>Shah Nazwaz</t>
  </si>
  <si>
    <t>Sakina</t>
  </si>
  <si>
    <t>Rafique</t>
  </si>
  <si>
    <t>Sanober</t>
  </si>
  <si>
    <t>Sabir Hussain</t>
  </si>
  <si>
    <t>Hiba</t>
  </si>
  <si>
    <t>Mazeem</t>
  </si>
  <si>
    <t>Isha</t>
  </si>
  <si>
    <t>Fazal Muhammad</t>
  </si>
  <si>
    <t>Khadija -tul- Kubra</t>
  </si>
  <si>
    <t>Adnan</t>
  </si>
  <si>
    <t>Khushboo</t>
  </si>
  <si>
    <t>Abdull Rehman</t>
  </si>
  <si>
    <t>Laraib</t>
  </si>
  <si>
    <t>Maheen</t>
  </si>
  <si>
    <t>Sohail Ahmed</t>
  </si>
  <si>
    <t>Maryam</t>
  </si>
  <si>
    <t>Minal</t>
  </si>
  <si>
    <t>Faraz Hydar</t>
  </si>
  <si>
    <t>Misbah</t>
  </si>
  <si>
    <t>Faiz Ali</t>
  </si>
  <si>
    <t>Muntasha</t>
  </si>
  <si>
    <t>Nimra</t>
  </si>
  <si>
    <t>M. Ghaffar</t>
  </si>
  <si>
    <t>Nisha</t>
  </si>
  <si>
    <t>Noor Nisa</t>
  </si>
  <si>
    <t>Nuzhat</t>
  </si>
  <si>
    <t>Rooba</t>
  </si>
  <si>
    <t>Tahmeena</t>
  </si>
  <si>
    <t>Zara</t>
  </si>
  <si>
    <t>Zoya</t>
  </si>
  <si>
    <t>Bisma</t>
  </si>
  <si>
    <t>Basheer Ahmed</t>
  </si>
  <si>
    <t>Sabeen</t>
  </si>
  <si>
    <t>Javeria</t>
  </si>
  <si>
    <t>Nisa Fatima</t>
  </si>
  <si>
    <t>Liaquat Ali</t>
  </si>
  <si>
    <t>Abdul Fatah</t>
  </si>
  <si>
    <t>Manzoor Ahmed</t>
  </si>
  <si>
    <t>Five</t>
  </si>
  <si>
    <t>SUNDAY - SUNDAY - SUNDAY - SUNDAY - SUNDAY</t>
  </si>
  <si>
    <t xml:space="preserve">Ahmed Ali </t>
  </si>
  <si>
    <t>Nasrullah</t>
  </si>
  <si>
    <t>Ahsan Raza</t>
  </si>
  <si>
    <t>Ayan Ali</t>
  </si>
  <si>
    <t>Ghulam Muhammad</t>
  </si>
  <si>
    <t>Parvaiz Ahmed</t>
  </si>
  <si>
    <t>Masab Ali</t>
  </si>
  <si>
    <t>Meesam Abbas</t>
  </si>
  <si>
    <t>Muhammad Hassan</t>
  </si>
  <si>
    <t>Javaid Ali</t>
  </si>
  <si>
    <t xml:space="preserve">Muhammad Zaid </t>
  </si>
  <si>
    <t>Khalid Abbasi</t>
  </si>
  <si>
    <t>Usman Jamali</t>
  </si>
  <si>
    <t>Maula Abdullah Bux</t>
  </si>
  <si>
    <t>Muhammad Israr</t>
  </si>
  <si>
    <t>Abdullah Bhand</t>
  </si>
  <si>
    <t>Muhammad Rahim</t>
  </si>
  <si>
    <t>Muhammad Azeem</t>
  </si>
  <si>
    <t>Sajid Ali Junejo</t>
  </si>
  <si>
    <t>M. Ammad-ud-din</t>
  </si>
  <si>
    <t>Riyaz-ud-din</t>
  </si>
  <si>
    <t>Noman</t>
  </si>
  <si>
    <t>Rahib Hussain</t>
  </si>
  <si>
    <t>Zahid Hussain</t>
  </si>
  <si>
    <t>Shamsuddin</t>
  </si>
  <si>
    <t>Massab Ali</t>
  </si>
  <si>
    <t>Safdar Ali</t>
  </si>
  <si>
    <t>Zohaib Ali</t>
  </si>
  <si>
    <t>M. Husnain</t>
  </si>
  <si>
    <t>Nazakat</t>
  </si>
  <si>
    <t>Syed Qutab Ali</t>
  </si>
  <si>
    <t>Aitina Sohail</t>
  </si>
  <si>
    <t>Sohail Sarwar Jatoi</t>
  </si>
  <si>
    <t>Ajwa Gul</t>
  </si>
  <si>
    <t xml:space="preserve">Alishba </t>
  </si>
  <si>
    <t>Anosha</t>
  </si>
  <si>
    <t>Gul Naz</t>
  </si>
  <si>
    <t>Hina</t>
  </si>
  <si>
    <t>Lutufullah</t>
  </si>
  <si>
    <t>Iqra</t>
  </si>
  <si>
    <t>Javeria Batool</t>
  </si>
  <si>
    <t>Khadija Bibi</t>
  </si>
  <si>
    <t>Zulfiqar Quraishi</t>
  </si>
  <si>
    <t>Laiba</t>
  </si>
  <si>
    <t>Amjad Hussain</t>
  </si>
  <si>
    <t>Maheen Nisa</t>
  </si>
  <si>
    <t>Murk Fatima</t>
  </si>
  <si>
    <t xml:space="preserve">Nayab </t>
  </si>
  <si>
    <t>Sidra Bibi</t>
  </si>
  <si>
    <t>Sidratul Muntaha</t>
  </si>
  <si>
    <t>Sundas Qamar</t>
  </si>
  <si>
    <t>Imran Qamar</t>
  </si>
  <si>
    <t>Tayyaba Fatima</t>
  </si>
  <si>
    <t>Urooj</t>
  </si>
  <si>
    <t>Mehmood Khan</t>
  </si>
  <si>
    <t>Zahra Batool</t>
  </si>
  <si>
    <t>Zainab Bibi</t>
  </si>
  <si>
    <t>Bakhshal Ali</t>
  </si>
  <si>
    <t>Inshra</t>
  </si>
  <si>
    <t>Abdul Alber</t>
  </si>
  <si>
    <t>Rukhsana</t>
  </si>
  <si>
    <t>M. Sultan</t>
  </si>
  <si>
    <t>Six</t>
  </si>
  <si>
    <t>SUNDAY - SUNDAY - SUNDAY - SUNDAY</t>
  </si>
  <si>
    <t>Abdul Samad</t>
  </si>
  <si>
    <t>Abdul Wassay</t>
  </si>
  <si>
    <t>Sohail Sarwar</t>
  </si>
  <si>
    <t>Abid Ali</t>
  </si>
  <si>
    <t>Joun Ali</t>
  </si>
  <si>
    <t>M. Muzzamil</t>
  </si>
  <si>
    <t>M. Sameer</t>
  </si>
  <si>
    <t>Meer Majid</t>
  </si>
  <si>
    <t>Haji Iqbal</t>
  </si>
  <si>
    <t>M. Tayyab</t>
  </si>
  <si>
    <t>Mudasir Hussain</t>
  </si>
  <si>
    <t>Uzair Ahmed</t>
  </si>
  <si>
    <t>Abdul Sattar</t>
  </si>
  <si>
    <t>M. Yaseen</t>
  </si>
  <si>
    <t>Muhammad Younus</t>
  </si>
  <si>
    <t>Faisal Ahmed</t>
  </si>
  <si>
    <t>Wajid Ali</t>
  </si>
  <si>
    <t>M. Ali Ahmed</t>
  </si>
  <si>
    <t>Ayan</t>
  </si>
  <si>
    <t>Rafeeque Ahmed</t>
  </si>
  <si>
    <t>M. Ghafoor Jukhio</t>
  </si>
  <si>
    <t>Kaneez Fatima</t>
  </si>
  <si>
    <t>Rizwan Ali</t>
  </si>
  <si>
    <t>Mahnoor Fatima</t>
  </si>
  <si>
    <t>Ghulam Yaseen</t>
  </si>
  <si>
    <t>Zulfiqaar Ali</t>
  </si>
  <si>
    <t>Naina Naz</t>
  </si>
  <si>
    <t>Khawar Ali</t>
  </si>
  <si>
    <t xml:space="preserve">Nida </t>
  </si>
  <si>
    <t>Noor Muqadis</t>
  </si>
  <si>
    <t>Muhammad Idrees</t>
  </si>
  <si>
    <t xml:space="preserve">Rubina </t>
  </si>
  <si>
    <t>Sahar</t>
  </si>
  <si>
    <t>Sana Jamali</t>
  </si>
  <si>
    <t>Sawera</t>
  </si>
  <si>
    <t>Abdul Raheem</t>
  </si>
  <si>
    <t>Shabnam</t>
  </si>
  <si>
    <t>Shaista</t>
  </si>
  <si>
    <t>Naseer Ahmed</t>
  </si>
  <si>
    <t>Zohrra</t>
  </si>
  <si>
    <t>Zainab Khatoon</t>
  </si>
  <si>
    <t>Sohrab</t>
  </si>
  <si>
    <t>Muskan</t>
  </si>
  <si>
    <t>Zara Bano</t>
  </si>
  <si>
    <t>Nabi Bux</t>
  </si>
  <si>
    <t>Aman</t>
  </si>
  <si>
    <t>Maham</t>
  </si>
  <si>
    <t>M. Irfan</t>
  </si>
  <si>
    <t>7th</t>
  </si>
  <si>
    <t>Adil Khan</t>
  </si>
  <si>
    <t>Ali Khan</t>
  </si>
  <si>
    <t>Ameer Hamza</t>
  </si>
  <si>
    <t>Bismillah Khan</t>
  </si>
  <si>
    <t>Daniyal</t>
  </si>
  <si>
    <t>Hamza Nisar</t>
  </si>
  <si>
    <t>Haseeb Hyder</t>
  </si>
  <si>
    <t>Hasnain G. Nabi</t>
  </si>
  <si>
    <t>Hasnain Ali Soomro</t>
  </si>
  <si>
    <t xml:space="preserve">Hasnain Raza </t>
  </si>
  <si>
    <t>Hasnain yasir</t>
  </si>
  <si>
    <t xml:space="preserve">Mubashir </t>
  </si>
  <si>
    <t>M. Anwaar</t>
  </si>
  <si>
    <t>M. Hassan</t>
  </si>
  <si>
    <t>M. Raza</t>
  </si>
  <si>
    <t>Nisar Ali</t>
  </si>
  <si>
    <t>Rizwan Arbab</t>
  </si>
  <si>
    <t>Safiullah Hafeez</t>
  </si>
  <si>
    <t>Asma</t>
  </si>
  <si>
    <t>Aiman Khan</t>
  </si>
  <si>
    <t>Aiman Safdar</t>
  </si>
  <si>
    <t>Bushra Ubaid</t>
  </si>
  <si>
    <t>Erum</t>
  </si>
  <si>
    <t>Fatima zahra</t>
  </si>
  <si>
    <t>Hira Abroo</t>
  </si>
  <si>
    <t>Muniza Ali Sher</t>
  </si>
  <si>
    <t>Rimsha Khatoon</t>
  </si>
  <si>
    <t>Sadaf</t>
  </si>
  <si>
    <t>Sania</t>
  </si>
  <si>
    <t>Seema</t>
  </si>
  <si>
    <t>Tamana</t>
  </si>
  <si>
    <t>Azra</t>
  </si>
  <si>
    <t>Muhammad Usman</t>
  </si>
  <si>
    <t>8th</t>
  </si>
  <si>
    <t xml:space="preserve">Hina </t>
  </si>
  <si>
    <t xml:space="preserve">Iqra </t>
  </si>
  <si>
    <t>Kanwal Naz</t>
  </si>
  <si>
    <t>M. Rehman Abbasi</t>
  </si>
  <si>
    <t>Murk</t>
  </si>
  <si>
    <t>Noshina</t>
  </si>
  <si>
    <t>Shadab Aziz</t>
  </si>
  <si>
    <t>Abdul Wahid</t>
  </si>
  <si>
    <t>Shaista Rani</t>
  </si>
  <si>
    <t>M. Moosa</t>
  </si>
  <si>
    <t>Tasleem Rani</t>
  </si>
  <si>
    <t xml:space="preserve">Zarmina </t>
  </si>
  <si>
    <t>Gulbahar</t>
  </si>
  <si>
    <t>Younus</t>
  </si>
  <si>
    <t>Naghma Naz</t>
  </si>
  <si>
    <t xml:space="preserve">Dua </t>
  </si>
  <si>
    <t>Bahar Ali</t>
  </si>
  <si>
    <t xml:space="preserve">Muskan </t>
  </si>
  <si>
    <t>Dildar Hussain</t>
  </si>
  <si>
    <t>Saira</t>
  </si>
  <si>
    <t>M. Salah</t>
  </si>
  <si>
    <t>Awais</t>
  </si>
  <si>
    <t>Abdul Salam</t>
  </si>
  <si>
    <t>Ameer Ali</t>
  </si>
  <si>
    <t>Faizan Ali</t>
  </si>
  <si>
    <t>Ghaibi Khan</t>
  </si>
  <si>
    <t>Hasnain</t>
  </si>
  <si>
    <t>Kabeer Ahmed</t>
  </si>
  <si>
    <t>Shah M.</t>
  </si>
  <si>
    <t>M. Ahmed Khalid</t>
  </si>
  <si>
    <t>M. Rafi</t>
  </si>
  <si>
    <t>Abdul Jabbar</t>
  </si>
  <si>
    <t>M. Saim</t>
  </si>
  <si>
    <t>Layaqat Ali</t>
  </si>
  <si>
    <t>Muzakir</t>
  </si>
  <si>
    <t>Gulzar Ahmed</t>
  </si>
  <si>
    <t>Shezad Ali</t>
  </si>
  <si>
    <t>Abdul Qadir</t>
  </si>
  <si>
    <t>Syed Rashid</t>
  </si>
  <si>
    <t>Syed Mehboob</t>
  </si>
  <si>
    <t>Shayan Ali</t>
  </si>
  <si>
    <t>Alyan Ali</t>
  </si>
  <si>
    <t>Jawad Ahmed</t>
  </si>
  <si>
    <t>Ali Raza</t>
  </si>
  <si>
    <t>Riaz Gul</t>
  </si>
  <si>
    <t>Salman</t>
  </si>
  <si>
    <t>Maroof Ali</t>
  </si>
  <si>
    <t>Salar</t>
  </si>
  <si>
    <t>Ghulam Aslam</t>
  </si>
  <si>
    <t>Asim</t>
  </si>
  <si>
    <t>M. Haneef</t>
  </si>
  <si>
    <t>Haseeb ullah</t>
  </si>
  <si>
    <t>Hafeezullah Abro</t>
  </si>
  <si>
    <t>Moez</t>
  </si>
  <si>
    <t>Munawar Ali  Bhatti</t>
  </si>
  <si>
    <t>Mudassir</t>
  </si>
  <si>
    <t>Nawab Khan</t>
  </si>
  <si>
    <t>M. Khan</t>
  </si>
  <si>
    <t>Meesum Abbas</t>
  </si>
  <si>
    <t>Waheed ali</t>
  </si>
  <si>
    <t>Manzar Hussain</t>
  </si>
  <si>
    <t>Noorullah</t>
  </si>
  <si>
    <t>Saif ur Rehman</t>
  </si>
  <si>
    <t>Imran Ahmed</t>
  </si>
  <si>
    <t>Shafique</t>
  </si>
  <si>
    <t>Rafique Ahmed</t>
  </si>
  <si>
    <t>M.Murtaqeem</t>
  </si>
  <si>
    <t>Shams</t>
  </si>
  <si>
    <t>Shaban</t>
  </si>
  <si>
    <t>Allah Dino</t>
  </si>
  <si>
    <t>M. Sufian</t>
  </si>
  <si>
    <t>Haleema</t>
  </si>
  <si>
    <t>Qalandar Bakhsh</t>
  </si>
  <si>
    <t>Maheen Zulfiqar</t>
  </si>
  <si>
    <t>Qandeel Zehra</t>
  </si>
  <si>
    <t>Waheed Ali</t>
  </si>
  <si>
    <t>Sanam</t>
  </si>
  <si>
    <t>Sultan Ahmed</t>
  </si>
  <si>
    <t>Asia</t>
  </si>
  <si>
    <t>Tooba</t>
  </si>
  <si>
    <t>Afsheen</t>
  </si>
  <si>
    <t>Nosheen</t>
  </si>
  <si>
    <t>Khair Un Nisa</t>
  </si>
  <si>
    <t>Syed Qutab Ali Shah</t>
  </si>
  <si>
    <t>Salwa</t>
  </si>
  <si>
    <t>Madina</t>
  </si>
  <si>
    <t>Yasir Arfat</t>
  </si>
  <si>
    <t>Farasha</t>
  </si>
  <si>
    <t>Javed Ali</t>
  </si>
  <si>
    <t>Kashaf Kanwal</t>
  </si>
  <si>
    <t>Saima</t>
  </si>
  <si>
    <t>9TH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</si>
  <si>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</si>
  <si>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</si>
  <si>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</si>
  <si>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</si>
  <si>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</si>
  <si>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</si>
  <si>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</si>
  <si>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</si>
  <si>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</si>
  <si>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</si>
  <si>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</si>
  <si>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</si>
  <si>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</si>
  <si>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</si>
  <si>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</si>
  <si>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</si>
  <si>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</si>
  <si>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GR</t>
  </si>
  <si>
    <t>Mir Muhammad</t>
  </si>
  <si>
    <t>M.Ibrahim</t>
  </si>
  <si>
    <t>Tue</t>
  </si>
  <si>
    <t>.</t>
  </si>
  <si>
    <t xml:space="preserve">Rafia </t>
  </si>
  <si>
    <t>Monthly Attendence Month of March-2025</t>
  </si>
  <si>
    <t>A</t>
  </si>
  <si>
    <t>Iqramudin</t>
  </si>
  <si>
    <t>masoor ali</t>
  </si>
  <si>
    <t>Mustirah</t>
  </si>
  <si>
    <t>p</t>
  </si>
  <si>
    <t>L</t>
  </si>
  <si>
    <t>1+AN30</t>
  </si>
  <si>
    <t>Examination</t>
  </si>
  <si>
    <t>Total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</si>
</sst>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  <font>
      <sz val="11"/>
      <color theme="0" tint="-4.9989318521683403E-2"/>
      <name val="Calibri"/>
      <family val="2"/>
      <scheme val="minor"/>
    </font>
    <font>
      <b/>
      <sz val="7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3" fillId="0" borderId="3" xfId="0" applyFont="1" applyBorder="1"/>
    <xf numFmtId="0" fontId="6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5" xfId="0" applyFont="1" applyBorder="1"/>
    <xf numFmtId="0" fontId="10" fillId="0" borderId="3" xfId="0" applyFont="1" applyBorder="1" applyAlignment="1">
      <alignment horizontal="center"/>
    </xf>
    <xf numFmtId="0" fontId="11" fillId="0" borderId="6" xfId="0" applyFont="1" applyBorder="1"/>
    <xf numFmtId="0" fontId="11" fillId="0" borderId="7" xfId="0" applyFont="1" applyBorder="1"/>
    <xf numFmtId="0" fontId="11" fillId="0" borderId="3" xfId="0" applyFont="1" applyBorder="1"/>
    <xf numFmtId="0" fontId="11" fillId="0" borderId="9" xfId="0" applyFont="1" applyBorder="1"/>
    <xf numFmtId="0" fontId="11" fillId="0" borderId="10" xfId="0" applyFont="1" applyBorder="1"/>
    <xf numFmtId="0" fontId="1" fillId="0" borderId="3" xfId="0" applyFont="1" applyBorder="1"/>
    <xf numFmtId="0" fontId="1" fillId="0" borderId="5" xfId="0" applyFont="1" applyBorder="1"/>
    <xf numFmtId="0" fontId="11" fillId="0" borderId="5" xfId="0" applyFont="1" applyBorder="1"/>
    <xf numFmtId="0" fontId="3" fillId="0" borderId="2" xfId="0" applyFont="1" applyBorder="1"/>
    <xf numFmtId="0" fontId="15" fillId="0" borderId="3" xfId="0" applyFont="1" applyBorder="1"/>
    <xf numFmtId="0" fontId="16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9" fontId="16" fillId="0" borderId="5" xfId="1" applyFont="1" applyFill="1" applyBorder="1" applyAlignment="1">
      <alignment horizontal="center" vertical="center"/>
    </xf>
    <xf numFmtId="9" fontId="16" fillId="0" borderId="3" xfId="1" applyFont="1" applyFill="1" applyBorder="1" applyAlignment="1">
      <alignment horizontal="center" vertical="center"/>
    </xf>
    <xf numFmtId="9" fontId="16" fillId="0" borderId="4" xfId="1" applyFont="1" applyFill="1" applyBorder="1" applyAlignment="1">
      <alignment horizontal="center" vertical="center"/>
    </xf>
    <xf numFmtId="9" fontId="16" fillId="3" borderId="17" xfId="1" applyFont="1" applyFill="1" applyBorder="1"/>
    <xf numFmtId="9" fontId="16" fillId="0" borderId="20" xfId="1" applyFont="1" applyFill="1" applyBorder="1" applyAlignment="1">
      <alignment horizontal="center" vertical="center"/>
    </xf>
    <xf numFmtId="9" fontId="16" fillId="3" borderId="21" xfId="1" applyFont="1" applyFill="1" applyBorder="1"/>
    <xf numFmtId="0" fontId="15" fillId="0" borderId="2" xfId="0" applyFont="1" applyBorder="1"/>
    <xf numFmtId="0" fontId="16" fillId="0" borderId="2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9" fontId="16" fillId="0" borderId="28" xfId="1" applyFont="1" applyFill="1" applyBorder="1" applyAlignment="1">
      <alignment horizontal="center" vertical="center"/>
    </xf>
    <xf numFmtId="9" fontId="16" fillId="0" borderId="2" xfId="1" applyFont="1" applyFill="1" applyBorder="1" applyAlignment="1">
      <alignment horizontal="center" vertical="center"/>
    </xf>
    <xf numFmtId="9" fontId="16" fillId="0" borderId="24" xfId="1" applyFont="1" applyFill="1" applyBorder="1" applyAlignment="1">
      <alignment horizontal="center" vertical="center"/>
    </xf>
    <xf numFmtId="9" fontId="16" fillId="3" borderId="27" xfId="1" applyFont="1" applyFill="1" applyBorder="1"/>
    <xf numFmtId="0" fontId="17" fillId="0" borderId="16" xfId="0" applyFont="1" applyBorder="1" applyAlignment="1">
      <alignment horizontal="center"/>
    </xf>
    <xf numFmtId="0" fontId="15" fillId="0" borderId="12" xfId="0" applyFont="1" applyBorder="1"/>
    <xf numFmtId="0" fontId="17" fillId="0" borderId="12" xfId="0" applyFont="1" applyBorder="1" applyAlignment="1">
      <alignment horizontal="center"/>
    </xf>
    <xf numFmtId="9" fontId="16" fillId="0" borderId="12" xfId="1" applyFont="1" applyFill="1" applyBorder="1" applyAlignment="1">
      <alignment horizontal="center" vertical="center"/>
    </xf>
    <xf numFmtId="9" fontId="16" fillId="3" borderId="15" xfId="1" applyFont="1" applyFill="1" applyBorder="1"/>
    <xf numFmtId="0" fontId="18" fillId="0" borderId="19" xfId="0" applyFont="1" applyBorder="1" applyAlignment="1">
      <alignment horizontal="center"/>
    </xf>
    <xf numFmtId="9" fontId="18" fillId="0" borderId="20" xfId="1" applyFont="1" applyFill="1" applyBorder="1" applyAlignment="1">
      <alignment horizontal="center"/>
    </xf>
    <xf numFmtId="9" fontId="19" fillId="0" borderId="20" xfId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9" fontId="19" fillId="0" borderId="22" xfId="1" applyFont="1" applyFill="1" applyBorder="1" applyAlignment="1">
      <alignment horizontal="center" vertical="center" wrapText="1"/>
    </xf>
    <xf numFmtId="9" fontId="16" fillId="0" borderId="11" xfId="1" applyFont="1" applyFill="1" applyBorder="1" applyAlignment="1">
      <alignment horizontal="center" vertical="center"/>
    </xf>
    <xf numFmtId="9" fontId="3" fillId="0" borderId="29" xfId="1" applyFont="1" applyFill="1" applyBorder="1" applyAlignment="1">
      <alignment horizontal="center" vertical="center"/>
    </xf>
    <xf numFmtId="9" fontId="19" fillId="0" borderId="19" xfId="1" applyFont="1" applyFill="1" applyBorder="1" applyAlignment="1">
      <alignment horizontal="center" vertical="center" wrapText="1"/>
    </xf>
    <xf numFmtId="9" fontId="19" fillId="0" borderId="21" xfId="1" applyFont="1" applyFill="1" applyBorder="1" applyAlignment="1">
      <alignment horizontal="center" vertical="center" wrapText="1"/>
    </xf>
    <xf numFmtId="0" fontId="3" fillId="0" borderId="31" xfId="0" applyFont="1" applyBorder="1"/>
    <xf numFmtId="0" fontId="3" fillId="3" borderId="32" xfId="0" applyFont="1" applyFill="1" applyBorder="1"/>
    <xf numFmtId="0" fontId="3" fillId="0" borderId="32" xfId="0" applyFont="1" applyBorder="1"/>
    <xf numFmtId="0" fontId="3" fillId="0" borderId="33" xfId="0" applyFont="1" applyBorder="1"/>
    <xf numFmtId="0" fontId="15" fillId="0" borderId="6" xfId="0" applyFont="1" applyBorder="1"/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16" fillId="0" borderId="7" xfId="1" applyFont="1" applyFill="1" applyBorder="1" applyAlignment="1">
      <alignment horizontal="center" vertical="center"/>
    </xf>
    <xf numFmtId="9" fontId="16" fillId="0" borderId="6" xfId="1" applyFont="1" applyFill="1" applyBorder="1" applyAlignment="1">
      <alignment horizontal="center" vertical="center"/>
    </xf>
    <xf numFmtId="9" fontId="16" fillId="0" borderId="18" xfId="1" applyFont="1" applyFill="1" applyBorder="1" applyAlignment="1">
      <alignment horizontal="center" vertical="center"/>
    </xf>
    <xf numFmtId="9" fontId="16" fillId="3" borderId="35" xfId="1" applyFont="1" applyFill="1" applyBorder="1"/>
    <xf numFmtId="0" fontId="13" fillId="0" borderId="20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4" borderId="36" xfId="0" applyFont="1" applyFill="1" applyBorder="1" applyAlignment="1">
      <alignment horizontal="center" vertical="center" wrapText="1"/>
    </xf>
    <xf numFmtId="0" fontId="13" fillId="4" borderId="37" xfId="0" applyFont="1" applyFill="1" applyBorder="1" applyAlignment="1">
      <alignment horizontal="center" vertical="center" wrapText="1"/>
    </xf>
    <xf numFmtId="0" fontId="13" fillId="4" borderId="38" xfId="0" applyFont="1" applyFill="1" applyBorder="1" applyAlignment="1">
      <alignment horizontal="center" vertical="center" wrapText="1"/>
    </xf>
    <xf numFmtId="0" fontId="3" fillId="4" borderId="34" xfId="0" applyFont="1" applyFill="1" applyBorder="1"/>
    <xf numFmtId="0" fontId="3" fillId="4" borderId="6" xfId="0" applyFont="1" applyFill="1" applyBorder="1"/>
    <xf numFmtId="0" fontId="3" fillId="4" borderId="35" xfId="0" applyFont="1" applyFill="1" applyBorder="1"/>
    <xf numFmtId="0" fontId="3" fillId="4" borderId="23" xfId="0" applyFont="1" applyFill="1" applyBorder="1"/>
    <xf numFmtId="0" fontId="3" fillId="4" borderId="3" xfId="0" applyFont="1" applyFill="1" applyBorder="1"/>
    <xf numFmtId="0" fontId="3" fillId="4" borderId="17" xfId="0" applyFont="1" applyFill="1" applyBorder="1"/>
    <xf numFmtId="0" fontId="3" fillId="4" borderId="26" xfId="0" applyFont="1" applyFill="1" applyBorder="1"/>
    <xf numFmtId="0" fontId="3" fillId="4" borderId="2" xfId="0" applyFont="1" applyFill="1" applyBorder="1"/>
    <xf numFmtId="0" fontId="3" fillId="4" borderId="27" xfId="0" applyFont="1" applyFill="1" applyBorder="1"/>
    <xf numFmtId="0" fontId="17" fillId="4" borderId="16" xfId="0" applyFont="1" applyFill="1" applyBorder="1" applyAlignment="1">
      <alignment horizontal="center"/>
    </xf>
    <xf numFmtId="0" fontId="17" fillId="4" borderId="12" xfId="0" applyFont="1" applyFill="1" applyBorder="1" applyAlignment="1">
      <alignment horizontal="center"/>
    </xf>
    <xf numFmtId="0" fontId="17" fillId="4" borderId="15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3" fillId="4" borderId="2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textRotation="255"/>
    </xf>
    <xf numFmtId="0" fontId="3" fillId="3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vertical="center" textRotation="255"/>
    </xf>
    <xf numFmtId="0" fontId="20" fillId="0" borderId="3" xfId="0" applyFont="1" applyBorder="1" applyAlignment="1">
      <alignment vertical="center" textRotation="255"/>
    </xf>
    <xf numFmtId="0" fontId="3" fillId="2" borderId="0" xfId="0" applyFont="1" applyFill="1"/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3" xfId="0" quotePrefix="1" applyBorder="1" applyAlignment="1">
      <alignment vertical="center" textRotation="255"/>
    </xf>
    <xf numFmtId="0" fontId="13" fillId="0" borderId="16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7" fontId="14" fillId="0" borderId="30" xfId="0" applyNumberFormat="1" applyFont="1" applyBorder="1" applyAlignment="1">
      <alignment horizontal="center"/>
    </xf>
    <xf numFmtId="17" fontId="14" fillId="0" borderId="13" xfId="0" applyNumberFormat="1" applyFont="1" applyBorder="1" applyAlignment="1">
      <alignment horizontal="center"/>
    </xf>
    <xf numFmtId="17" fontId="14" fillId="0" borderId="12" xfId="0" applyNumberFormat="1" applyFont="1" applyBorder="1" applyAlignment="1">
      <alignment horizontal="center"/>
    </xf>
    <xf numFmtId="17" fontId="14" fillId="0" borderId="14" xfId="0" applyNumberFormat="1" applyFont="1" applyBorder="1" applyAlignment="1">
      <alignment horizontal="center"/>
    </xf>
    <xf numFmtId="17" fontId="14" fillId="0" borderId="15" xfId="0" applyNumberFormat="1" applyFont="1" applyBorder="1" applyAlignment="1">
      <alignment horizontal="center"/>
    </xf>
    <xf numFmtId="17" fontId="9" fillId="2" borderId="4" xfId="0" applyNumberFormat="1" applyFont="1" applyFill="1" applyBorder="1" applyAlignment="1">
      <alignment horizontal="center" vertical="center"/>
    </xf>
    <xf numFmtId="17" fontId="9" fillId="2" borderId="8" xfId="0" applyNumberFormat="1" applyFont="1" applyFill="1" applyBorder="1" applyAlignment="1">
      <alignment horizontal="center" vertical="center"/>
    </xf>
    <xf numFmtId="17" fontId="9" fillId="2" borderId="5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8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textRotation="255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21" fillId="5" borderId="24" xfId="0" applyFont="1" applyFill="1" applyBorder="1" applyAlignment="1">
      <alignment horizontal="center" vertical="center" textRotation="45"/>
    </xf>
    <xf numFmtId="0" fontId="21" fillId="5" borderId="25" xfId="0" applyFont="1" applyFill="1" applyBorder="1" applyAlignment="1">
      <alignment horizontal="center" vertical="center" textRotation="45"/>
    </xf>
    <xf numFmtId="0" fontId="21" fillId="5" borderId="28" xfId="0" applyFont="1" applyFill="1" applyBorder="1" applyAlignment="1">
      <alignment horizontal="center" vertical="center" textRotation="45"/>
    </xf>
    <xf numFmtId="0" fontId="21" fillId="5" borderId="39" xfId="0" applyFont="1" applyFill="1" applyBorder="1" applyAlignment="1">
      <alignment horizontal="center" vertical="center" textRotation="45"/>
    </xf>
    <xf numFmtId="0" fontId="21" fillId="5" borderId="0" xfId="0" applyFont="1" applyFill="1" applyBorder="1" applyAlignment="1">
      <alignment horizontal="center" vertical="center" textRotation="45"/>
    </xf>
    <xf numFmtId="0" fontId="21" fillId="5" borderId="10" xfId="0" applyFont="1" applyFill="1" applyBorder="1" applyAlignment="1">
      <alignment horizontal="center" vertical="center" textRotation="45"/>
    </xf>
    <xf numFmtId="0" fontId="21" fillId="5" borderId="18" xfId="0" applyFont="1" applyFill="1" applyBorder="1" applyAlignment="1">
      <alignment horizontal="center" vertical="center" textRotation="45"/>
    </xf>
    <xf numFmtId="0" fontId="21" fillId="5" borderId="1" xfId="0" applyFont="1" applyFill="1" applyBorder="1" applyAlignment="1">
      <alignment horizontal="center" vertical="center" textRotation="45"/>
    </xf>
    <xf numFmtId="0" fontId="21" fillId="5" borderId="7" xfId="0" applyFont="1" applyFill="1" applyBorder="1" applyAlignment="1">
      <alignment horizontal="center" vertical="center" textRotation="45"/>
    </xf>
    <xf numFmtId="0" fontId="21" fillId="5" borderId="3" xfId="0" applyFont="1" applyFill="1" applyBorder="1" applyAlignment="1">
      <alignment horizontal="center" vertical="center" textRotation="45"/>
    </xf>
  </cellXfs>
  <cellStyles count="2">
    <cellStyle name="Normal" xfId="0" builtinId="0"/>
    <cellStyle name="Percent" xfId="1" builtinId="5"/>
  </cellStyles>
  <dxfs count="366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18"/>
  <sheetViews>
    <sheetView tabSelected="1" workbookViewId="0">
      <selection activeCell="B11" sqref="B11"/>
    </sheetView>
  </sheetViews>
  <sheetFormatPr defaultRowHeight="15" x14ac:dyDescent="0.25"/>
  <cols>
    <col min="1" max="1" width="14.85546875" bestFit="1" customWidth="1"/>
  </cols>
  <sheetData>
    <row r="3" spans="1:15" ht="15.75" thickBot="1" x14ac:dyDescent="0.3"/>
    <row r="4" spans="1:15" ht="16.5" thickBot="1" x14ac:dyDescent="0.3">
      <c r="A4" s="108" t="s">
        <v>3</v>
      </c>
      <c r="B4" s="110" t="s">
        <v>788</v>
      </c>
      <c r="C4" s="111"/>
      <c r="D4" s="111"/>
      <c r="E4" s="112"/>
      <c r="F4" s="112"/>
      <c r="G4" s="112"/>
      <c r="H4" s="112"/>
      <c r="I4" s="111"/>
      <c r="J4" s="111"/>
      <c r="K4" s="111"/>
      <c r="L4" s="112"/>
      <c r="M4" s="112"/>
      <c r="N4" s="113"/>
      <c r="O4" s="114"/>
    </row>
    <row r="5" spans="1:15" ht="34.5" thickBot="1" x14ac:dyDescent="0.3">
      <c r="A5" s="109"/>
      <c r="B5" s="75" t="s">
        <v>11</v>
      </c>
      <c r="C5" s="75" t="s">
        <v>12</v>
      </c>
      <c r="D5" s="75" t="s">
        <v>13</v>
      </c>
      <c r="E5" s="76" t="s">
        <v>772</v>
      </c>
      <c r="F5" s="75" t="s">
        <v>773</v>
      </c>
      <c r="G5" s="75" t="s">
        <v>774</v>
      </c>
      <c r="H5" s="77" t="s">
        <v>775</v>
      </c>
      <c r="I5" s="78" t="s">
        <v>776</v>
      </c>
      <c r="J5" s="79" t="s">
        <v>777</v>
      </c>
      <c r="K5" s="80" t="s">
        <v>778</v>
      </c>
      <c r="L5" s="93" t="s">
        <v>779</v>
      </c>
      <c r="M5" s="94" t="s">
        <v>780</v>
      </c>
      <c r="N5" s="94" t="s">
        <v>804</v>
      </c>
      <c r="O5" s="95" t="s">
        <v>781</v>
      </c>
    </row>
    <row r="6" spans="1:15" ht="18.75" x14ac:dyDescent="0.3">
      <c r="A6" s="63" t="s">
        <v>782</v>
      </c>
      <c r="B6" s="67">
        <v>30</v>
      </c>
      <c r="C6" s="67">
        <v>23</v>
      </c>
      <c r="D6" s="67">
        <f>SUM(B6:C6)</f>
        <v>53</v>
      </c>
      <c r="E6" s="68">
        <v>12</v>
      </c>
      <c r="F6" s="69">
        <f>B6*E6</f>
        <v>360</v>
      </c>
      <c r="G6" s="69">
        <f t="shared" ref="G6:G16" si="0">C6*E6</f>
        <v>276</v>
      </c>
      <c r="H6" s="70">
        <f>SUM(F6:G6)</f>
        <v>636</v>
      </c>
      <c r="I6" s="81">
        <f>'ECE (ROSE)'!$AN$14</f>
        <v>355</v>
      </c>
      <c r="J6" s="82">
        <f>'ECE (ROSE)'!AO14</f>
        <v>268</v>
      </c>
      <c r="K6" s="83">
        <f>SUM(I6:J6)</f>
        <v>623</v>
      </c>
      <c r="L6" s="71">
        <f>J6/G6</f>
        <v>0.97101449275362317</v>
      </c>
      <c r="M6" s="72">
        <f>I6/F6</f>
        <v>0.98611111111111116</v>
      </c>
      <c r="N6" s="73">
        <f>K6/H6</f>
        <v>0.97955974842767291</v>
      </c>
      <c r="O6" s="74">
        <f>AVERAGE(L6:M6)</f>
        <v>0.97856280193236711</v>
      </c>
    </row>
    <row r="7" spans="1:15" ht="18.75" x14ac:dyDescent="0.3">
      <c r="A7" s="63" t="s">
        <v>783</v>
      </c>
      <c r="B7" s="33">
        <v>32</v>
      </c>
      <c r="C7" s="33">
        <v>24</v>
      </c>
      <c r="D7" s="33">
        <f>SUM(B7:C7)</f>
        <v>56</v>
      </c>
      <c r="E7" s="68">
        <v>12</v>
      </c>
      <c r="F7" s="34">
        <f>B7*E7</f>
        <v>384</v>
      </c>
      <c r="G7" s="34">
        <f t="shared" si="0"/>
        <v>288</v>
      </c>
      <c r="H7" s="35">
        <f>SUM(F7:G7)</f>
        <v>672</v>
      </c>
      <c r="I7" s="84">
        <f>'ECE (Daffodills)'!$AN$14</f>
        <v>378</v>
      </c>
      <c r="J7" s="85">
        <f>'ECE (Daffodills)'!$AO$14</f>
        <v>286</v>
      </c>
      <c r="K7" s="86">
        <f>SUM(I7:J7)</f>
        <v>664</v>
      </c>
      <c r="L7" s="36">
        <f>J7/G7</f>
        <v>0.99305555555555558</v>
      </c>
      <c r="M7" s="37">
        <f>I7/F7</f>
        <v>0.984375</v>
      </c>
      <c r="N7" s="38">
        <f>K7/H7</f>
        <v>0.98809523809523814</v>
      </c>
      <c r="O7" s="39">
        <f>AVERAGE(L7:M7)</f>
        <v>0.98871527777777779</v>
      </c>
    </row>
    <row r="8" spans="1:15" ht="18.75" x14ac:dyDescent="0.3">
      <c r="A8" s="64" t="s">
        <v>784</v>
      </c>
      <c r="B8" s="33">
        <v>32</v>
      </c>
      <c r="C8" s="33">
        <v>23</v>
      </c>
      <c r="D8" s="33">
        <f t="shared" ref="D8:D16" si="1">SUM(B8:C8)</f>
        <v>55</v>
      </c>
      <c r="E8" s="68">
        <v>11</v>
      </c>
      <c r="F8" s="34">
        <f t="shared" ref="F8:F16" si="2">B8*E8</f>
        <v>352</v>
      </c>
      <c r="G8" s="34">
        <f t="shared" si="0"/>
        <v>253</v>
      </c>
      <c r="H8" s="35">
        <f t="shared" ref="H8:H16" si="3">SUM(F8:G8)</f>
        <v>605</v>
      </c>
      <c r="I8" s="84">
        <f>'Class-I'!$AN$14</f>
        <v>334</v>
      </c>
      <c r="J8" s="85">
        <f>'Class-I'!$AO$14</f>
        <v>235</v>
      </c>
      <c r="K8" s="86">
        <f t="shared" ref="K8:K16" si="4">SUM(I8:J8)</f>
        <v>569</v>
      </c>
      <c r="L8" s="36">
        <f t="shared" ref="L8:L16" si="5">J8/G8</f>
        <v>0.92885375494071143</v>
      </c>
      <c r="M8" s="37">
        <f t="shared" ref="M8:M16" si="6">I8/F8</f>
        <v>0.94886363636363635</v>
      </c>
      <c r="N8" s="38">
        <f t="shared" ref="N8:N16" si="7">K8/H8</f>
        <v>0.94049586776859506</v>
      </c>
      <c r="O8" s="39">
        <f t="shared" ref="O8:O16" si="8">AVERAGE(L8:M8)</f>
        <v>0.93885869565217384</v>
      </c>
    </row>
    <row r="9" spans="1:15" ht="18.75" x14ac:dyDescent="0.3">
      <c r="A9" s="65" t="s">
        <v>320</v>
      </c>
      <c r="B9" s="33">
        <v>24</v>
      </c>
      <c r="C9" s="33">
        <v>23</v>
      </c>
      <c r="D9" s="33">
        <f t="shared" si="1"/>
        <v>47</v>
      </c>
      <c r="E9" s="68">
        <v>11</v>
      </c>
      <c r="F9" s="34">
        <f t="shared" si="2"/>
        <v>264</v>
      </c>
      <c r="G9" s="34">
        <f t="shared" si="0"/>
        <v>253</v>
      </c>
      <c r="H9" s="35">
        <f t="shared" si="3"/>
        <v>517</v>
      </c>
      <c r="I9" s="84">
        <f>'Class-II'!$AN$14</f>
        <v>263</v>
      </c>
      <c r="J9" s="85">
        <f>'Class-II'!$AO$14</f>
        <v>252</v>
      </c>
      <c r="K9" s="86">
        <f t="shared" si="4"/>
        <v>515</v>
      </c>
      <c r="L9" s="36">
        <f t="shared" si="5"/>
        <v>0.99604743083003955</v>
      </c>
      <c r="M9" s="37">
        <f t="shared" si="6"/>
        <v>0.99621212121212122</v>
      </c>
      <c r="N9" s="38">
        <f t="shared" si="7"/>
        <v>0.99613152804642169</v>
      </c>
      <c r="O9" s="39">
        <f t="shared" si="8"/>
        <v>0.99612977602108033</v>
      </c>
    </row>
    <row r="10" spans="1:15" ht="18.75" x14ac:dyDescent="0.3">
      <c r="A10" s="64" t="s">
        <v>381</v>
      </c>
      <c r="B10" s="33">
        <v>26</v>
      </c>
      <c r="C10" s="33">
        <v>23</v>
      </c>
      <c r="D10" s="33">
        <f t="shared" si="1"/>
        <v>49</v>
      </c>
      <c r="E10" s="68">
        <v>11</v>
      </c>
      <c r="F10" s="34">
        <f t="shared" si="2"/>
        <v>286</v>
      </c>
      <c r="G10" s="34">
        <f t="shared" si="0"/>
        <v>253</v>
      </c>
      <c r="H10" s="35">
        <f t="shared" si="3"/>
        <v>539</v>
      </c>
      <c r="I10" s="84">
        <f>'Class-III'!$AN$14</f>
        <v>275</v>
      </c>
      <c r="J10" s="85">
        <f>'Class-III'!AO14</f>
        <v>247</v>
      </c>
      <c r="K10" s="86">
        <f>SUM(I10:J10)</f>
        <v>522</v>
      </c>
      <c r="L10" s="36">
        <f t="shared" si="5"/>
        <v>0.97628458498023718</v>
      </c>
      <c r="M10" s="37">
        <f t="shared" si="6"/>
        <v>0.96153846153846156</v>
      </c>
      <c r="N10" s="38">
        <f>K10/H10</f>
        <v>0.96846011131725418</v>
      </c>
      <c r="O10" s="39">
        <f t="shared" si="8"/>
        <v>0.96891152325934937</v>
      </c>
    </row>
    <row r="11" spans="1:15" ht="18.75" x14ac:dyDescent="0.3">
      <c r="A11" s="64" t="s">
        <v>452</v>
      </c>
      <c r="B11" s="33">
        <v>20</v>
      </c>
      <c r="C11" s="33">
        <v>32</v>
      </c>
      <c r="D11" s="33">
        <f t="shared" si="1"/>
        <v>52</v>
      </c>
      <c r="E11" s="68">
        <v>10</v>
      </c>
      <c r="F11" s="34">
        <f t="shared" si="2"/>
        <v>200</v>
      </c>
      <c r="G11" s="34">
        <f t="shared" si="0"/>
        <v>320</v>
      </c>
      <c r="H11" s="35">
        <f t="shared" si="3"/>
        <v>520</v>
      </c>
      <c r="I11" s="84">
        <f>'Class-IV'!AN14</f>
        <v>178</v>
      </c>
      <c r="J11" s="85">
        <f>'Class-IV'!AO14</f>
        <v>305</v>
      </c>
      <c r="K11" s="86">
        <f t="shared" si="4"/>
        <v>483</v>
      </c>
      <c r="L11" s="36">
        <f t="shared" si="5"/>
        <v>0.953125</v>
      </c>
      <c r="M11" s="37">
        <f t="shared" si="6"/>
        <v>0.89</v>
      </c>
      <c r="N11" s="38">
        <f t="shared" si="7"/>
        <v>0.92884615384615388</v>
      </c>
      <c r="O11" s="39">
        <f t="shared" si="8"/>
        <v>0.92156250000000006</v>
      </c>
    </row>
    <row r="12" spans="1:15" ht="18.75" x14ac:dyDescent="0.3">
      <c r="A12" s="64" t="s">
        <v>531</v>
      </c>
      <c r="B12" s="33">
        <v>23</v>
      </c>
      <c r="C12" s="33">
        <v>23</v>
      </c>
      <c r="D12" s="33">
        <f t="shared" si="1"/>
        <v>46</v>
      </c>
      <c r="E12" s="68">
        <v>10</v>
      </c>
      <c r="F12" s="34">
        <f t="shared" si="2"/>
        <v>230</v>
      </c>
      <c r="G12" s="34">
        <f t="shared" si="0"/>
        <v>230</v>
      </c>
      <c r="H12" s="35">
        <f t="shared" si="3"/>
        <v>460</v>
      </c>
      <c r="I12" s="84">
        <f>'Class-V'!AN14</f>
        <v>229</v>
      </c>
      <c r="J12" s="85">
        <f>'Class-V'!AO14</f>
        <v>225</v>
      </c>
      <c r="K12" s="86">
        <f t="shared" si="4"/>
        <v>454</v>
      </c>
      <c r="L12" s="36">
        <f t="shared" si="5"/>
        <v>0.97826086956521741</v>
      </c>
      <c r="M12" s="37">
        <f t="shared" si="6"/>
        <v>0.9956521739130435</v>
      </c>
      <c r="N12" s="38">
        <f t="shared" si="7"/>
        <v>0.9869565217391304</v>
      </c>
      <c r="O12" s="39">
        <f t="shared" si="8"/>
        <v>0.98695652173913051</v>
      </c>
    </row>
    <row r="13" spans="1:15" ht="18.75" x14ac:dyDescent="0.3">
      <c r="A13" s="65" t="s">
        <v>595</v>
      </c>
      <c r="B13" s="33">
        <v>16</v>
      </c>
      <c r="C13" s="33">
        <v>25</v>
      </c>
      <c r="D13" s="33">
        <f t="shared" si="1"/>
        <v>41</v>
      </c>
      <c r="E13" s="68">
        <v>11</v>
      </c>
      <c r="F13" s="34">
        <f t="shared" si="2"/>
        <v>176</v>
      </c>
      <c r="G13" s="34">
        <f t="shared" si="0"/>
        <v>275</v>
      </c>
      <c r="H13" s="35">
        <f t="shared" si="3"/>
        <v>451</v>
      </c>
      <c r="I13" s="84">
        <f>'Class-VI'!AN13</f>
        <v>175</v>
      </c>
      <c r="J13" s="85">
        <f>'Class-VI'!AO13</f>
        <v>272</v>
      </c>
      <c r="K13" s="86">
        <f t="shared" si="4"/>
        <v>447</v>
      </c>
      <c r="L13" s="36">
        <f t="shared" si="5"/>
        <v>0.98909090909090913</v>
      </c>
      <c r="M13" s="37">
        <f t="shared" si="6"/>
        <v>0.99431818181818177</v>
      </c>
      <c r="N13" s="38">
        <f t="shared" si="7"/>
        <v>0.99113082039911304</v>
      </c>
      <c r="O13" s="39">
        <f t="shared" si="8"/>
        <v>0.99170454545454545</v>
      </c>
    </row>
    <row r="14" spans="1:15" ht="18.75" x14ac:dyDescent="0.3">
      <c r="A14" s="65" t="s">
        <v>785</v>
      </c>
      <c r="B14" s="33">
        <v>27</v>
      </c>
      <c r="C14" s="33">
        <v>18</v>
      </c>
      <c r="D14" s="33">
        <f t="shared" si="1"/>
        <v>45</v>
      </c>
      <c r="E14" s="68">
        <v>12</v>
      </c>
      <c r="F14" s="34">
        <f t="shared" si="2"/>
        <v>324</v>
      </c>
      <c r="G14" s="34">
        <f t="shared" si="0"/>
        <v>216</v>
      </c>
      <c r="H14" s="35">
        <f t="shared" si="3"/>
        <v>540</v>
      </c>
      <c r="I14" s="84">
        <f>'Class-VII'!AM14</f>
        <v>306</v>
      </c>
      <c r="J14" s="85">
        <f>'Class-VII'!AN14</f>
        <v>212</v>
      </c>
      <c r="K14" s="86">
        <f t="shared" si="4"/>
        <v>518</v>
      </c>
      <c r="L14" s="36">
        <f t="shared" si="5"/>
        <v>0.98148148148148151</v>
      </c>
      <c r="M14" s="37">
        <f t="shared" si="6"/>
        <v>0.94444444444444442</v>
      </c>
      <c r="N14" s="38">
        <f t="shared" si="7"/>
        <v>0.95925925925925926</v>
      </c>
      <c r="O14" s="39">
        <f t="shared" si="8"/>
        <v>0.96296296296296302</v>
      </c>
    </row>
    <row r="15" spans="1:15" ht="18.75" x14ac:dyDescent="0.3">
      <c r="A15" s="65" t="s">
        <v>786</v>
      </c>
      <c r="B15" s="33">
        <v>19</v>
      </c>
      <c r="C15" s="33">
        <v>22</v>
      </c>
      <c r="D15" s="33">
        <f t="shared" si="1"/>
        <v>41</v>
      </c>
      <c r="E15" s="68">
        <v>10</v>
      </c>
      <c r="F15" s="34">
        <f t="shared" si="2"/>
        <v>190</v>
      </c>
      <c r="G15" s="34">
        <f t="shared" si="0"/>
        <v>220</v>
      </c>
      <c r="H15" s="35">
        <f t="shared" si="3"/>
        <v>410</v>
      </c>
      <c r="I15" s="84">
        <f>'Class-VIII'!AN14</f>
        <v>176</v>
      </c>
      <c r="J15" s="85">
        <f>'Class-VIII'!AO14</f>
        <v>214</v>
      </c>
      <c r="K15" s="86">
        <f t="shared" si="4"/>
        <v>390</v>
      </c>
      <c r="L15" s="36">
        <f t="shared" si="5"/>
        <v>0.97272727272727277</v>
      </c>
      <c r="M15" s="37">
        <f t="shared" si="6"/>
        <v>0.9263157894736842</v>
      </c>
      <c r="N15" s="38">
        <f t="shared" si="7"/>
        <v>0.95121951219512191</v>
      </c>
      <c r="O15" s="39">
        <f t="shared" si="8"/>
        <v>0.94952153110047854</v>
      </c>
    </row>
    <row r="16" spans="1:15" ht="19.5" thickBot="1" x14ac:dyDescent="0.35">
      <c r="A16" s="66" t="s">
        <v>787</v>
      </c>
      <c r="B16" s="42">
        <v>16</v>
      </c>
      <c r="C16" s="42">
        <v>19</v>
      </c>
      <c r="D16" s="42">
        <f t="shared" si="1"/>
        <v>35</v>
      </c>
      <c r="E16" s="68">
        <v>10</v>
      </c>
      <c r="F16" s="43">
        <f t="shared" si="2"/>
        <v>160</v>
      </c>
      <c r="G16" s="43">
        <f t="shared" si="0"/>
        <v>190</v>
      </c>
      <c r="H16" s="44">
        <f t="shared" si="3"/>
        <v>350</v>
      </c>
      <c r="I16" s="87">
        <f>'Class-IX'!AN14</f>
        <v>140</v>
      </c>
      <c r="J16" s="88">
        <f>'Class-IX'!AO14</f>
        <v>175</v>
      </c>
      <c r="K16" s="89">
        <f t="shared" si="4"/>
        <v>315</v>
      </c>
      <c r="L16" s="45">
        <f t="shared" si="5"/>
        <v>0.92105263157894735</v>
      </c>
      <c r="M16" s="46">
        <f t="shared" si="6"/>
        <v>0.875</v>
      </c>
      <c r="N16" s="47">
        <f t="shared" si="7"/>
        <v>0.9</v>
      </c>
      <c r="O16" s="48">
        <f t="shared" si="8"/>
        <v>0.89802631578947367</v>
      </c>
    </row>
    <row r="17" spans="1:15" ht="18.75" x14ac:dyDescent="0.3">
      <c r="A17" s="49" t="s">
        <v>13</v>
      </c>
      <c r="B17" s="50">
        <f t="shared" ref="B17:K17" si="9">SUM(B6:B16)</f>
        <v>265</v>
      </c>
      <c r="C17" s="50">
        <f t="shared" si="9"/>
        <v>255</v>
      </c>
      <c r="D17" s="50">
        <f t="shared" si="9"/>
        <v>520</v>
      </c>
      <c r="E17" s="51">
        <f t="shared" si="9"/>
        <v>120</v>
      </c>
      <c r="F17" s="51">
        <f t="shared" si="9"/>
        <v>2926</v>
      </c>
      <c r="G17" s="51">
        <f t="shared" si="9"/>
        <v>2774</v>
      </c>
      <c r="H17" s="57">
        <f t="shared" si="9"/>
        <v>5700</v>
      </c>
      <c r="I17" s="90">
        <f t="shared" si="9"/>
        <v>2809</v>
      </c>
      <c r="J17" s="91">
        <f t="shared" si="9"/>
        <v>2691</v>
      </c>
      <c r="K17" s="92">
        <f t="shared" si="9"/>
        <v>5500</v>
      </c>
      <c r="L17" s="59">
        <f>J17/G17</f>
        <v>0.97007930785868779</v>
      </c>
      <c r="M17" s="52">
        <f>I17/F17</f>
        <v>0.96001367053998632</v>
      </c>
      <c r="N17" s="52">
        <f>AVERAGE(N6:N16)</f>
        <v>0.96274134191763283</v>
      </c>
      <c r="O17" s="53">
        <f>AVERAGE(O6:O16)</f>
        <v>0.96199204106266734</v>
      </c>
    </row>
    <row r="18" spans="1:15" ht="15.75" thickBot="1" x14ac:dyDescent="0.3">
      <c r="A18" s="54" t="s">
        <v>16</v>
      </c>
      <c r="B18" s="55">
        <v>1</v>
      </c>
      <c r="C18" s="55">
        <v>1</v>
      </c>
      <c r="D18" s="56">
        <v>1</v>
      </c>
      <c r="E18" s="55">
        <v>1</v>
      </c>
      <c r="F18" s="55">
        <v>1</v>
      </c>
      <c r="G18" s="56">
        <v>1</v>
      </c>
      <c r="H18" s="58">
        <v>1</v>
      </c>
      <c r="I18" s="61">
        <f>I17/F17</f>
        <v>0.96001367053998632</v>
      </c>
      <c r="J18" s="56">
        <f>J17/G17</f>
        <v>0.97007930785868779</v>
      </c>
      <c r="K18" s="62">
        <f>K17/H17</f>
        <v>0.96491228070175439</v>
      </c>
      <c r="L18" s="60">
        <v>0.54</v>
      </c>
      <c r="M18" s="40">
        <v>0.56000000000000005</v>
      </c>
      <c r="N18" s="40">
        <v>0.55000000000000004</v>
      </c>
      <c r="O18" s="41">
        <f>AVERAGE(L17:M17)</f>
        <v>0.96504648919933711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57"/>
  <sheetViews>
    <sheetView topLeftCell="E1" workbookViewId="0">
      <selection activeCell="AM5" sqref="AM5:AN7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/>
    <col min="7" max="7" width="4.7109375" style="1" bestFit="1" customWidth="1"/>
    <col min="8" max="8" width="3.85546875" style="1"/>
    <col min="9" max="10" width="3.7109375" style="1" bestFit="1" customWidth="1"/>
    <col min="11" max="11" width="3.85546875" style="1"/>
    <col min="12" max="12" width="4.5703125" style="1" bestFit="1" customWidth="1"/>
    <col min="13" max="13" width="3.85546875" style="1"/>
    <col min="14" max="14" width="4.7109375" style="1" bestFit="1" customWidth="1"/>
    <col min="15" max="15" width="3.85546875" style="1"/>
    <col min="16" max="17" width="3.7109375" style="1" bestFit="1" customWidth="1"/>
    <col min="18" max="18" width="3.85546875" style="1"/>
    <col min="19" max="19" width="4.5703125" style="1" bestFit="1" customWidth="1"/>
    <col min="20" max="20" width="3.85546875" style="1"/>
    <col min="21" max="21" width="4.7109375" style="1" bestFit="1" customWidth="1"/>
    <col min="22" max="22" width="3.85546875" style="1"/>
    <col min="23" max="24" width="3.7109375" style="1" bestFit="1" customWidth="1"/>
    <col min="25" max="25" width="3.85546875" style="1"/>
    <col min="26" max="26" width="4.5703125" style="1" bestFit="1" customWidth="1"/>
    <col min="27" max="27" width="3.85546875" style="1"/>
    <col min="28" max="28" width="4.7109375" style="1" bestFit="1" customWidth="1"/>
    <col min="29" max="29" width="3.85546875" style="1"/>
    <col min="30" max="31" width="3.7109375" style="1" bestFit="1" customWidth="1"/>
    <col min="32" max="32" width="3.85546875" style="1"/>
    <col min="33" max="33" width="4.5703125" style="1" bestFit="1" customWidth="1"/>
    <col min="34" max="34" width="3.85546875" style="1"/>
    <col min="35" max="35" width="4.7109375" style="1" bestFit="1" customWidth="1"/>
    <col min="36" max="36" width="3.85546875" style="1"/>
    <col min="37" max="37" width="7.140625" style="1" bestFit="1" customWidth="1"/>
    <col min="38" max="38" width="6.7109375" style="1" bestFit="1" customWidth="1"/>
    <col min="39" max="39" width="18.5703125" style="1" bestFit="1" customWidth="1"/>
    <col min="40" max="41" width="8" style="1" customWidth="1"/>
    <col min="42" max="42" width="7" style="1" customWidth="1"/>
    <col min="43" max="16384" width="3.85546875" style="1"/>
  </cols>
  <sheetData>
    <row r="1" spans="1:42" ht="17.25" x14ac:dyDescent="0.25">
      <c r="A1" s="121" t="s">
        <v>18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</row>
    <row r="2" spans="1:42" ht="17.25" x14ac:dyDescent="0.3">
      <c r="A2" s="125" t="s">
        <v>795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</row>
    <row r="3" spans="1:42" ht="15.75" x14ac:dyDescent="0.25">
      <c r="A3" s="126" t="s">
        <v>0</v>
      </c>
      <c r="B3" s="126" t="s">
        <v>789</v>
      </c>
      <c r="C3" s="126" t="s">
        <v>1</v>
      </c>
      <c r="D3" s="126" t="s">
        <v>2</v>
      </c>
      <c r="E3" s="126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22" t="s">
        <v>4</v>
      </c>
      <c r="AL3" s="123" t="s">
        <v>5</v>
      </c>
      <c r="AM3" s="115" t="s">
        <v>120</v>
      </c>
      <c r="AN3" s="116"/>
      <c r="AO3" s="3"/>
      <c r="AP3" s="3"/>
    </row>
    <row r="4" spans="1:42" ht="37.5" x14ac:dyDescent="0.25">
      <c r="A4" s="126"/>
      <c r="B4" s="126"/>
      <c r="C4" s="126"/>
      <c r="D4" s="126"/>
      <c r="E4" s="126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22"/>
      <c r="AL4" s="124"/>
      <c r="AM4" s="5" t="s">
        <v>121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112</v>
      </c>
      <c r="C5" s="7" t="s">
        <v>19</v>
      </c>
      <c r="D5" s="7" t="s">
        <v>20</v>
      </c>
      <c r="E5" s="8" t="s">
        <v>6</v>
      </c>
      <c r="F5" s="96" t="s">
        <v>110</v>
      </c>
      <c r="G5" s="118" t="s">
        <v>382</v>
      </c>
      <c r="H5" s="96" t="s">
        <v>110</v>
      </c>
      <c r="I5" s="96" t="s">
        <v>800</v>
      </c>
      <c r="J5" s="96" t="s">
        <v>110</v>
      </c>
      <c r="K5" s="96" t="s">
        <v>110</v>
      </c>
      <c r="L5" s="96" t="s">
        <v>110</v>
      </c>
      <c r="M5" s="96" t="s">
        <v>110</v>
      </c>
      <c r="N5" s="118" t="s">
        <v>382</v>
      </c>
      <c r="O5" s="96" t="s">
        <v>110</v>
      </c>
      <c r="P5" s="96" t="s">
        <v>110</v>
      </c>
      <c r="Q5" s="96" t="s">
        <v>796</v>
      </c>
      <c r="R5" s="96" t="s">
        <v>110</v>
      </c>
      <c r="S5" s="96" t="s">
        <v>800</v>
      </c>
      <c r="T5" s="137" t="s">
        <v>803</v>
      </c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9"/>
      <c r="AK5" s="5">
        <f t="shared" ref="AK5:AK57" si="1">COUNTIF(F5:AJ5,"P")</f>
        <v>11</v>
      </c>
      <c r="AL5" s="5">
        <f t="shared" ref="AL5:AL57" si="2">COUNTIF(F5:AJ5,"A")</f>
        <v>1</v>
      </c>
      <c r="AM5" s="5" t="s">
        <v>7</v>
      </c>
      <c r="AN5" s="9">
        <v>12</v>
      </c>
      <c r="AO5" s="10"/>
      <c r="AP5" s="3"/>
    </row>
    <row r="6" spans="1:42" ht="16.5" x14ac:dyDescent="0.25">
      <c r="A6" s="9">
        <v>2</v>
      </c>
      <c r="B6" s="11">
        <v>135</v>
      </c>
      <c r="C6" s="7" t="s">
        <v>25</v>
      </c>
      <c r="D6" s="7" t="s">
        <v>26</v>
      </c>
      <c r="E6" s="8" t="s">
        <v>6</v>
      </c>
      <c r="F6" s="96" t="s">
        <v>110</v>
      </c>
      <c r="G6" s="119"/>
      <c r="H6" s="96" t="s">
        <v>110</v>
      </c>
      <c r="I6" s="96" t="s">
        <v>800</v>
      </c>
      <c r="J6" s="96" t="s">
        <v>110</v>
      </c>
      <c r="K6" s="96" t="s">
        <v>110</v>
      </c>
      <c r="L6" s="96" t="s">
        <v>110</v>
      </c>
      <c r="M6" s="96" t="s">
        <v>110</v>
      </c>
      <c r="N6" s="119"/>
      <c r="O6" s="96" t="s">
        <v>110</v>
      </c>
      <c r="P6" s="96" t="s">
        <v>110</v>
      </c>
      <c r="Q6" s="96" t="s">
        <v>110</v>
      </c>
      <c r="R6" s="96" t="s">
        <v>110</v>
      </c>
      <c r="S6" s="96" t="s">
        <v>800</v>
      </c>
      <c r="T6" s="140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2"/>
      <c r="AK6" s="5">
        <f t="shared" si="1"/>
        <v>12</v>
      </c>
      <c r="AL6" s="5">
        <f t="shared" si="2"/>
        <v>0</v>
      </c>
      <c r="AM6" s="5" t="s">
        <v>8</v>
      </c>
      <c r="AN6" s="9">
        <v>2</v>
      </c>
      <c r="AO6" s="3"/>
      <c r="AP6" s="3"/>
    </row>
    <row r="7" spans="1:42" ht="16.5" x14ac:dyDescent="0.25">
      <c r="A7" s="9">
        <v>3</v>
      </c>
      <c r="B7" s="11">
        <v>137</v>
      </c>
      <c r="C7" s="7" t="s">
        <v>29</v>
      </c>
      <c r="D7" s="7" t="s">
        <v>30</v>
      </c>
      <c r="E7" s="8" t="s">
        <v>6</v>
      </c>
      <c r="F7" s="96" t="s">
        <v>110</v>
      </c>
      <c r="G7" s="119"/>
      <c r="H7" s="96" t="s">
        <v>110</v>
      </c>
      <c r="I7" s="96" t="s">
        <v>800</v>
      </c>
      <c r="J7" s="96" t="s">
        <v>110</v>
      </c>
      <c r="K7" s="96" t="s">
        <v>110</v>
      </c>
      <c r="L7" s="96" t="s">
        <v>110</v>
      </c>
      <c r="M7" s="96" t="s">
        <v>110</v>
      </c>
      <c r="N7" s="119"/>
      <c r="O7" s="96" t="s">
        <v>110</v>
      </c>
      <c r="P7" s="96" t="s">
        <v>110</v>
      </c>
      <c r="Q7" s="96" t="s">
        <v>110</v>
      </c>
      <c r="R7" s="96" t="s">
        <v>110</v>
      </c>
      <c r="S7" s="96" t="s">
        <v>800</v>
      </c>
      <c r="T7" s="140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2"/>
      <c r="AK7" s="5">
        <f t="shared" si="1"/>
        <v>12</v>
      </c>
      <c r="AL7" s="5">
        <f t="shared" si="2"/>
        <v>0</v>
      </c>
      <c r="AM7" s="5" t="s">
        <v>803</v>
      </c>
      <c r="AN7" s="9">
        <v>17</v>
      </c>
      <c r="AO7" s="3"/>
      <c r="AP7" s="3"/>
    </row>
    <row r="8" spans="1:42" ht="16.5" x14ac:dyDescent="0.25">
      <c r="A8" s="9">
        <v>4</v>
      </c>
      <c r="B8" s="11">
        <v>173</v>
      </c>
      <c r="C8" s="7" t="s">
        <v>33</v>
      </c>
      <c r="D8" s="7" t="s">
        <v>34</v>
      </c>
      <c r="E8" s="8" t="s">
        <v>6</v>
      </c>
      <c r="F8" s="96" t="s">
        <v>110</v>
      </c>
      <c r="G8" s="119"/>
      <c r="H8" s="96" t="s">
        <v>110</v>
      </c>
      <c r="I8" s="96" t="s">
        <v>800</v>
      </c>
      <c r="J8" s="96" t="s">
        <v>110</v>
      </c>
      <c r="K8" s="96" t="s">
        <v>110</v>
      </c>
      <c r="L8" s="96" t="s">
        <v>110</v>
      </c>
      <c r="M8" s="96" t="s">
        <v>110</v>
      </c>
      <c r="N8" s="119"/>
      <c r="O8" s="96" t="s">
        <v>110</v>
      </c>
      <c r="P8" s="96" t="s">
        <v>110</v>
      </c>
      <c r="Q8" s="96" t="s">
        <v>110</v>
      </c>
      <c r="R8" s="96" t="s">
        <v>110</v>
      </c>
      <c r="S8" s="96" t="s">
        <v>800</v>
      </c>
      <c r="T8" s="140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2"/>
      <c r="AK8" s="5">
        <f t="shared" si="1"/>
        <v>12</v>
      </c>
      <c r="AL8" s="5">
        <f t="shared" si="2"/>
        <v>0</v>
      </c>
      <c r="AM8" s="5"/>
      <c r="AN8" s="9"/>
      <c r="AO8"/>
      <c r="AP8"/>
    </row>
    <row r="9" spans="1:42" ht="16.5" x14ac:dyDescent="0.25">
      <c r="A9" s="9">
        <v>5</v>
      </c>
      <c r="B9" s="97">
        <v>143</v>
      </c>
      <c r="C9" s="7" t="s">
        <v>37</v>
      </c>
      <c r="D9" s="7" t="s">
        <v>38</v>
      </c>
      <c r="E9" s="8" t="s">
        <v>6</v>
      </c>
      <c r="F9" s="96" t="s">
        <v>110</v>
      </c>
      <c r="G9" s="119"/>
      <c r="H9" s="96" t="s">
        <v>110</v>
      </c>
      <c r="I9" s="96" t="s">
        <v>800</v>
      </c>
      <c r="J9" s="96" t="s">
        <v>110</v>
      </c>
      <c r="K9" s="96" t="s">
        <v>110</v>
      </c>
      <c r="L9" s="96" t="s">
        <v>110</v>
      </c>
      <c r="M9" s="96" t="s">
        <v>110</v>
      </c>
      <c r="N9" s="119"/>
      <c r="O9" s="96" t="s">
        <v>110</v>
      </c>
      <c r="P9" s="96" t="s">
        <v>110</v>
      </c>
      <c r="Q9" s="96" t="s">
        <v>110</v>
      </c>
      <c r="R9" s="96" t="s">
        <v>110</v>
      </c>
      <c r="S9" s="96" t="s">
        <v>800</v>
      </c>
      <c r="T9" s="140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2"/>
      <c r="AK9" s="5">
        <f t="shared" si="1"/>
        <v>12</v>
      </c>
      <c r="AL9" s="5">
        <f t="shared" si="2"/>
        <v>0</v>
      </c>
      <c r="AM9" s="5"/>
      <c r="AN9" s="9"/>
    </row>
    <row r="10" spans="1:42" ht="16.5" x14ac:dyDescent="0.25">
      <c r="A10" s="9">
        <v>6</v>
      </c>
      <c r="B10" s="97">
        <v>146</v>
      </c>
      <c r="C10" s="7" t="s">
        <v>43</v>
      </c>
      <c r="D10" s="7" t="s">
        <v>44</v>
      </c>
      <c r="E10" s="8" t="s">
        <v>6</v>
      </c>
      <c r="F10" s="96" t="s">
        <v>110</v>
      </c>
      <c r="G10" s="119"/>
      <c r="H10" s="96" t="s">
        <v>110</v>
      </c>
      <c r="I10" s="96" t="s">
        <v>800</v>
      </c>
      <c r="J10" s="96" t="s">
        <v>110</v>
      </c>
      <c r="K10" s="96" t="s">
        <v>110</v>
      </c>
      <c r="L10" s="96" t="s">
        <v>110</v>
      </c>
      <c r="M10" s="96" t="s">
        <v>110</v>
      </c>
      <c r="N10" s="119"/>
      <c r="O10" s="96" t="s">
        <v>110</v>
      </c>
      <c r="P10" s="96" t="s">
        <v>110</v>
      </c>
      <c r="Q10" s="96" t="s">
        <v>110</v>
      </c>
      <c r="R10" s="96" t="s">
        <v>110</v>
      </c>
      <c r="S10" s="96" t="s">
        <v>800</v>
      </c>
      <c r="T10" s="140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2"/>
      <c r="AK10" s="5">
        <f t="shared" si="1"/>
        <v>12</v>
      </c>
      <c r="AL10" s="5">
        <f t="shared" si="2"/>
        <v>0</v>
      </c>
    </row>
    <row r="11" spans="1:42" ht="16.5" x14ac:dyDescent="0.25">
      <c r="A11" s="9">
        <v>7</v>
      </c>
      <c r="B11" s="97">
        <v>148</v>
      </c>
      <c r="C11" s="7" t="s">
        <v>45</v>
      </c>
      <c r="D11" s="7" t="s">
        <v>46</v>
      </c>
      <c r="E11" s="8" t="s">
        <v>6</v>
      </c>
      <c r="F11" s="96" t="s">
        <v>110</v>
      </c>
      <c r="G11" s="119"/>
      <c r="H11" s="96" t="s">
        <v>110</v>
      </c>
      <c r="I11" s="96" t="s">
        <v>800</v>
      </c>
      <c r="J11" s="96" t="s">
        <v>110</v>
      </c>
      <c r="K11" s="96" t="s">
        <v>110</v>
      </c>
      <c r="L11" s="96" t="s">
        <v>110</v>
      </c>
      <c r="M11" s="96" t="s">
        <v>110</v>
      </c>
      <c r="N11" s="119"/>
      <c r="O11" s="96" t="s">
        <v>110</v>
      </c>
      <c r="P11" s="96" t="s">
        <v>110</v>
      </c>
      <c r="Q11" s="96" t="s">
        <v>110</v>
      </c>
      <c r="R11" s="96" t="s">
        <v>110</v>
      </c>
      <c r="S11" s="96" t="s">
        <v>800</v>
      </c>
      <c r="T11" s="140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2"/>
      <c r="AK11" s="5">
        <f t="shared" si="1"/>
        <v>12</v>
      </c>
      <c r="AL11" s="5">
        <f t="shared" si="2"/>
        <v>0</v>
      </c>
      <c r="AM11" s="115" t="s">
        <v>9</v>
      </c>
      <c r="AN11" s="116"/>
      <c r="AO11" s="116"/>
      <c r="AP11" s="117"/>
    </row>
    <row r="12" spans="1:42" ht="16.5" x14ac:dyDescent="0.25">
      <c r="A12" s="9">
        <v>8</v>
      </c>
      <c r="B12" s="97">
        <v>150</v>
      </c>
      <c r="C12" s="7" t="s">
        <v>47</v>
      </c>
      <c r="D12" s="7" t="s">
        <v>48</v>
      </c>
      <c r="E12" s="8" t="s">
        <v>6</v>
      </c>
      <c r="F12" s="96" t="s">
        <v>110</v>
      </c>
      <c r="G12" s="119"/>
      <c r="H12" s="96" t="s">
        <v>110</v>
      </c>
      <c r="I12" s="96" t="s">
        <v>800</v>
      </c>
      <c r="J12" s="96" t="s">
        <v>110</v>
      </c>
      <c r="K12" s="96" t="s">
        <v>110</v>
      </c>
      <c r="L12" s="96" t="s">
        <v>110</v>
      </c>
      <c r="M12" s="96" t="s">
        <v>110</v>
      </c>
      <c r="N12" s="119"/>
      <c r="O12" s="96" t="s">
        <v>110</v>
      </c>
      <c r="P12" s="96" t="s">
        <v>110</v>
      </c>
      <c r="Q12" s="96" t="s">
        <v>110</v>
      </c>
      <c r="R12" s="96" t="s">
        <v>110</v>
      </c>
      <c r="S12" s="96" t="s">
        <v>800</v>
      </c>
      <c r="T12" s="140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2"/>
      <c r="AK12" s="5">
        <f t="shared" si="1"/>
        <v>12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97">
        <v>151</v>
      </c>
      <c r="C13" s="7" t="s">
        <v>49</v>
      </c>
      <c r="D13" s="7" t="s">
        <v>50</v>
      </c>
      <c r="E13" s="8" t="s">
        <v>6</v>
      </c>
      <c r="F13" s="96" t="s">
        <v>110</v>
      </c>
      <c r="G13" s="119"/>
      <c r="H13" s="96" t="s">
        <v>110</v>
      </c>
      <c r="I13" s="96" t="s">
        <v>800</v>
      </c>
      <c r="J13" s="96" t="s">
        <v>110</v>
      </c>
      <c r="K13" s="96" t="s">
        <v>110</v>
      </c>
      <c r="L13" s="96" t="s">
        <v>110</v>
      </c>
      <c r="M13" s="96" t="s">
        <v>110</v>
      </c>
      <c r="N13" s="119"/>
      <c r="O13" s="96" t="s">
        <v>110</v>
      </c>
      <c r="P13" s="96" t="s">
        <v>110</v>
      </c>
      <c r="Q13" s="96" t="s">
        <v>110</v>
      </c>
      <c r="R13" s="96" t="s">
        <v>110</v>
      </c>
      <c r="S13" s="96" t="s">
        <v>800</v>
      </c>
      <c r="T13" s="140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2"/>
      <c r="AK13" s="5">
        <f t="shared" si="1"/>
        <v>12</v>
      </c>
      <c r="AL13" s="5">
        <f t="shared" si="2"/>
        <v>0</v>
      </c>
      <c r="AM13" s="5" t="s">
        <v>14</v>
      </c>
      <c r="AN13" s="9">
        <f>30*$AN$5</f>
        <v>360</v>
      </c>
      <c r="AO13" s="9">
        <f>23*$AN$5</f>
        <v>276</v>
      </c>
      <c r="AP13" s="9">
        <f>SUM(AN13:AO13)</f>
        <v>636</v>
      </c>
    </row>
    <row r="14" spans="1:42" ht="16.5" x14ac:dyDescent="0.25">
      <c r="A14" s="9">
        <v>10</v>
      </c>
      <c r="B14" s="11">
        <v>160</v>
      </c>
      <c r="C14" s="7" t="s">
        <v>65</v>
      </c>
      <c r="D14" s="7" t="s">
        <v>66</v>
      </c>
      <c r="E14" s="8" t="s">
        <v>6</v>
      </c>
      <c r="F14" s="96" t="s">
        <v>110</v>
      </c>
      <c r="G14" s="119"/>
      <c r="H14" s="96" t="s">
        <v>110</v>
      </c>
      <c r="I14" s="96" t="s">
        <v>800</v>
      </c>
      <c r="J14" s="96" t="s">
        <v>110</v>
      </c>
      <c r="K14" s="96" t="s">
        <v>110</v>
      </c>
      <c r="L14" s="96" t="s">
        <v>110</v>
      </c>
      <c r="M14" s="96" t="s">
        <v>110</v>
      </c>
      <c r="N14" s="119"/>
      <c r="O14" s="96" t="s">
        <v>110</v>
      </c>
      <c r="P14" s="96" t="s">
        <v>110</v>
      </c>
      <c r="Q14" s="96" t="s">
        <v>110</v>
      </c>
      <c r="R14" s="96" t="s">
        <v>110</v>
      </c>
      <c r="S14" s="96" t="s">
        <v>800</v>
      </c>
      <c r="T14" s="140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2"/>
      <c r="AK14" s="5">
        <f t="shared" si="1"/>
        <v>12</v>
      </c>
      <c r="AL14" s="5">
        <f t="shared" si="2"/>
        <v>0</v>
      </c>
      <c r="AM14" s="5" t="s">
        <v>15</v>
      </c>
      <c r="AN14" s="9">
        <f>SUM(AK28:AK57)</f>
        <v>355</v>
      </c>
      <c r="AO14" s="9">
        <f>SUM(AK5:AK27)</f>
        <v>268</v>
      </c>
      <c r="AP14" s="9">
        <f>AN14+AO14</f>
        <v>623</v>
      </c>
    </row>
    <row r="15" spans="1:42" ht="16.5" x14ac:dyDescent="0.25">
      <c r="A15" s="9">
        <v>11</v>
      </c>
      <c r="B15" s="11">
        <v>161</v>
      </c>
      <c r="C15" s="7" t="s">
        <v>67</v>
      </c>
      <c r="D15" s="7" t="s">
        <v>68</v>
      </c>
      <c r="E15" s="8" t="s">
        <v>6</v>
      </c>
      <c r="F15" s="96" t="s">
        <v>796</v>
      </c>
      <c r="G15" s="119"/>
      <c r="H15" s="96" t="s">
        <v>110</v>
      </c>
      <c r="I15" s="96" t="s">
        <v>800</v>
      </c>
      <c r="J15" s="96" t="s">
        <v>110</v>
      </c>
      <c r="K15" s="96" t="s">
        <v>110</v>
      </c>
      <c r="L15" s="96" t="s">
        <v>110</v>
      </c>
      <c r="M15" s="96" t="s">
        <v>110</v>
      </c>
      <c r="N15" s="119"/>
      <c r="O15" s="96" t="s">
        <v>110</v>
      </c>
      <c r="P15" s="96" t="s">
        <v>110</v>
      </c>
      <c r="Q15" s="96" t="s">
        <v>110</v>
      </c>
      <c r="R15" s="96" t="s">
        <v>110</v>
      </c>
      <c r="S15" s="96" t="s">
        <v>796</v>
      </c>
      <c r="T15" s="140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2"/>
      <c r="AK15" s="5">
        <f t="shared" si="1"/>
        <v>10</v>
      </c>
      <c r="AL15" s="5">
        <f t="shared" si="2"/>
        <v>2</v>
      </c>
      <c r="AM15" s="5" t="s">
        <v>16</v>
      </c>
      <c r="AN15" s="12">
        <f>AN14/AN13</f>
        <v>0.98611111111111116</v>
      </c>
      <c r="AO15" s="12">
        <f>AO14/AO13</f>
        <v>0.97101449275362317</v>
      </c>
      <c r="AP15" s="12">
        <f>AP14/AP13</f>
        <v>0.97955974842767291</v>
      </c>
    </row>
    <row r="16" spans="1:42" ht="16.5" x14ac:dyDescent="0.25">
      <c r="A16" s="9">
        <v>12</v>
      </c>
      <c r="B16" s="11">
        <v>162</v>
      </c>
      <c r="C16" s="7" t="s">
        <v>69</v>
      </c>
      <c r="D16" s="7" t="s">
        <v>70</v>
      </c>
      <c r="E16" s="8" t="s">
        <v>6</v>
      </c>
      <c r="F16" s="96" t="s">
        <v>110</v>
      </c>
      <c r="G16" s="119"/>
      <c r="H16" s="96" t="s">
        <v>110</v>
      </c>
      <c r="I16" s="96" t="s">
        <v>800</v>
      </c>
      <c r="J16" s="96" t="s">
        <v>110</v>
      </c>
      <c r="K16" s="96" t="s">
        <v>110</v>
      </c>
      <c r="L16" s="96" t="s">
        <v>110</v>
      </c>
      <c r="M16" s="96" t="s">
        <v>110</v>
      </c>
      <c r="N16" s="119"/>
      <c r="O16" s="96" t="s">
        <v>110</v>
      </c>
      <c r="P16" s="96" t="s">
        <v>110</v>
      </c>
      <c r="Q16" s="96" t="s">
        <v>110</v>
      </c>
      <c r="R16" s="96" t="s">
        <v>110</v>
      </c>
      <c r="S16" s="96" t="s">
        <v>110</v>
      </c>
      <c r="T16" s="140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2"/>
      <c r="AK16" s="5">
        <f t="shared" si="1"/>
        <v>12</v>
      </c>
      <c r="AL16" s="5">
        <f t="shared" si="2"/>
        <v>0</v>
      </c>
      <c r="AM16"/>
      <c r="AN16"/>
      <c r="AO16"/>
      <c r="AP16"/>
    </row>
    <row r="17" spans="1:42" ht="16.5" x14ac:dyDescent="0.25">
      <c r="A17" s="9">
        <v>13</v>
      </c>
      <c r="B17" s="11">
        <v>163</v>
      </c>
      <c r="C17" s="7" t="s">
        <v>71</v>
      </c>
      <c r="D17" s="7" t="s">
        <v>72</v>
      </c>
      <c r="E17" s="8" t="s">
        <v>6</v>
      </c>
      <c r="F17" s="96" t="s">
        <v>110</v>
      </c>
      <c r="G17" s="119"/>
      <c r="H17" s="96" t="s">
        <v>110</v>
      </c>
      <c r="I17" s="96" t="s">
        <v>800</v>
      </c>
      <c r="J17" s="96" t="s">
        <v>110</v>
      </c>
      <c r="K17" s="96" t="s">
        <v>110</v>
      </c>
      <c r="L17" s="96" t="s">
        <v>110</v>
      </c>
      <c r="M17" s="96" t="s">
        <v>110</v>
      </c>
      <c r="N17" s="119"/>
      <c r="O17" s="96" t="s">
        <v>110</v>
      </c>
      <c r="P17" s="96" t="s">
        <v>110</v>
      </c>
      <c r="Q17" s="96" t="s">
        <v>110</v>
      </c>
      <c r="R17" s="96" t="s">
        <v>110</v>
      </c>
      <c r="S17" s="96" t="s">
        <v>110</v>
      </c>
      <c r="T17" s="140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2"/>
      <c r="AK17" s="5">
        <f t="shared" si="1"/>
        <v>12</v>
      </c>
      <c r="AL17" s="5">
        <f t="shared" si="2"/>
        <v>0</v>
      </c>
      <c r="AM17"/>
      <c r="AN17"/>
      <c r="AO17"/>
      <c r="AP17"/>
    </row>
    <row r="18" spans="1:42" ht="16.5" x14ac:dyDescent="0.25">
      <c r="A18" s="9">
        <v>14</v>
      </c>
      <c r="B18" s="11">
        <v>166</v>
      </c>
      <c r="C18" s="7" t="s">
        <v>75</v>
      </c>
      <c r="D18" s="7" t="s">
        <v>76</v>
      </c>
      <c r="E18" s="8" t="s">
        <v>6</v>
      </c>
      <c r="F18" s="96" t="s">
        <v>110</v>
      </c>
      <c r="G18" s="119"/>
      <c r="H18" s="96" t="s">
        <v>110</v>
      </c>
      <c r="I18" s="96" t="s">
        <v>800</v>
      </c>
      <c r="J18" s="96" t="s">
        <v>110</v>
      </c>
      <c r="K18" s="96" t="s">
        <v>110</v>
      </c>
      <c r="L18" s="96" t="s">
        <v>110</v>
      </c>
      <c r="M18" s="96" t="s">
        <v>110</v>
      </c>
      <c r="N18" s="119"/>
      <c r="O18" s="96" t="s">
        <v>110</v>
      </c>
      <c r="P18" s="96" t="s">
        <v>110</v>
      </c>
      <c r="Q18" s="96" t="s">
        <v>110</v>
      </c>
      <c r="R18" s="96" t="s">
        <v>110</v>
      </c>
      <c r="S18" s="96" t="s">
        <v>110</v>
      </c>
      <c r="T18" s="140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2"/>
      <c r="AK18" s="5">
        <f t="shared" si="1"/>
        <v>12</v>
      </c>
      <c r="AL18" s="5">
        <f t="shared" si="2"/>
        <v>0</v>
      </c>
      <c r="AM18"/>
      <c r="AN18"/>
      <c r="AO18"/>
      <c r="AP18"/>
    </row>
    <row r="19" spans="1:42" ht="16.5" x14ac:dyDescent="0.25">
      <c r="A19" s="9">
        <v>15</v>
      </c>
      <c r="B19" s="11">
        <v>168</v>
      </c>
      <c r="C19" s="7" t="s">
        <v>77</v>
      </c>
      <c r="D19" s="7" t="s">
        <v>78</v>
      </c>
      <c r="E19" s="8" t="s">
        <v>6</v>
      </c>
      <c r="F19" s="96" t="s">
        <v>110</v>
      </c>
      <c r="G19" s="119"/>
      <c r="H19" s="96" t="s">
        <v>110</v>
      </c>
      <c r="I19" s="96" t="s">
        <v>800</v>
      </c>
      <c r="J19" s="96" t="s">
        <v>110</v>
      </c>
      <c r="K19" s="96" t="s">
        <v>110</v>
      </c>
      <c r="L19" s="96" t="s">
        <v>110</v>
      </c>
      <c r="M19" s="96" t="s">
        <v>110</v>
      </c>
      <c r="N19" s="119"/>
      <c r="O19" s="96" t="s">
        <v>110</v>
      </c>
      <c r="P19" s="96" t="s">
        <v>110</v>
      </c>
      <c r="Q19" s="96" t="s">
        <v>110</v>
      </c>
      <c r="R19" s="96" t="s">
        <v>110</v>
      </c>
      <c r="S19" s="96" t="s">
        <v>110</v>
      </c>
      <c r="T19" s="140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2"/>
      <c r="AK19" s="5">
        <f t="shared" si="1"/>
        <v>12</v>
      </c>
      <c r="AL19" s="5">
        <f t="shared" si="2"/>
        <v>0</v>
      </c>
      <c r="AM19" s="115" t="s">
        <v>122</v>
      </c>
      <c r="AN19" s="116"/>
      <c r="AO19" s="116"/>
      <c r="AP19" s="117"/>
    </row>
    <row r="20" spans="1:42" ht="16.5" x14ac:dyDescent="0.25">
      <c r="A20" s="9">
        <v>16</v>
      </c>
      <c r="B20" s="11">
        <v>170</v>
      </c>
      <c r="C20" s="7" t="s">
        <v>81</v>
      </c>
      <c r="D20" s="7" t="s">
        <v>82</v>
      </c>
      <c r="E20" s="8" t="s">
        <v>6</v>
      </c>
      <c r="F20" s="96" t="s">
        <v>110</v>
      </c>
      <c r="G20" s="119"/>
      <c r="H20" s="96" t="s">
        <v>110</v>
      </c>
      <c r="I20" s="96" t="s">
        <v>800</v>
      </c>
      <c r="J20" s="96" t="s">
        <v>110</v>
      </c>
      <c r="K20" s="96" t="s">
        <v>110</v>
      </c>
      <c r="L20" s="96" t="s">
        <v>110</v>
      </c>
      <c r="M20" s="96" t="s">
        <v>110</v>
      </c>
      <c r="N20" s="119"/>
      <c r="O20" s="96" t="s">
        <v>110</v>
      </c>
      <c r="P20" s="96" t="s">
        <v>110</v>
      </c>
      <c r="Q20" s="96" t="s">
        <v>110</v>
      </c>
      <c r="R20" s="96" t="s">
        <v>110</v>
      </c>
      <c r="S20" s="96" t="s">
        <v>110</v>
      </c>
      <c r="T20" s="140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2"/>
      <c r="AK20" s="5">
        <f t="shared" si="1"/>
        <v>12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11">
        <v>171</v>
      </c>
      <c r="C21" s="7" t="s">
        <v>83</v>
      </c>
      <c r="D21" s="7" t="s">
        <v>84</v>
      </c>
      <c r="E21" s="8" t="s">
        <v>6</v>
      </c>
      <c r="F21" s="96" t="s">
        <v>110</v>
      </c>
      <c r="G21" s="119"/>
      <c r="H21" s="96" t="s">
        <v>110</v>
      </c>
      <c r="I21" s="96" t="s">
        <v>800</v>
      </c>
      <c r="J21" s="96" t="s">
        <v>110</v>
      </c>
      <c r="K21" s="96" t="s">
        <v>110</v>
      </c>
      <c r="L21" s="96" t="s">
        <v>110</v>
      </c>
      <c r="M21" s="96" t="s">
        <v>110</v>
      </c>
      <c r="N21" s="119"/>
      <c r="O21" s="96" t="s">
        <v>801</v>
      </c>
      <c r="P21" s="96" t="s">
        <v>801</v>
      </c>
      <c r="Q21" s="96" t="s">
        <v>801</v>
      </c>
      <c r="R21" s="96" t="s">
        <v>801</v>
      </c>
      <c r="S21" s="96" t="s">
        <v>110</v>
      </c>
      <c r="T21" s="140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2"/>
      <c r="AK21" s="5">
        <f t="shared" si="1"/>
        <v>8</v>
      </c>
      <c r="AL21" s="5">
        <f t="shared" si="2"/>
        <v>0</v>
      </c>
      <c r="AM21" s="5" t="s">
        <v>14</v>
      </c>
      <c r="AN21" s="9">
        <f>30*$AN$5</f>
        <v>360</v>
      </c>
      <c r="AO21" s="9">
        <f>23*$AN$5</f>
        <v>276</v>
      </c>
      <c r="AP21" s="9">
        <f>AN21+AO21</f>
        <v>636</v>
      </c>
    </row>
    <row r="22" spans="1:42" ht="16.5" x14ac:dyDescent="0.25">
      <c r="A22" s="9">
        <v>18</v>
      </c>
      <c r="B22" s="11">
        <v>172</v>
      </c>
      <c r="C22" s="7" t="s">
        <v>85</v>
      </c>
      <c r="D22" s="7" t="s">
        <v>86</v>
      </c>
      <c r="E22" s="8" t="s">
        <v>6</v>
      </c>
      <c r="F22" s="96" t="s">
        <v>110</v>
      </c>
      <c r="G22" s="119"/>
      <c r="H22" s="96" t="s">
        <v>110</v>
      </c>
      <c r="I22" s="96" t="s">
        <v>800</v>
      </c>
      <c r="J22" s="96" t="s">
        <v>110</v>
      </c>
      <c r="K22" s="96" t="s">
        <v>110</v>
      </c>
      <c r="L22" s="96" t="s">
        <v>110</v>
      </c>
      <c r="M22" s="96" t="s">
        <v>110</v>
      </c>
      <c r="N22" s="119"/>
      <c r="O22" s="96" t="s">
        <v>110</v>
      </c>
      <c r="P22" s="96" t="s">
        <v>110</v>
      </c>
      <c r="Q22" s="96" t="s">
        <v>110</v>
      </c>
      <c r="R22" s="96" t="s">
        <v>110</v>
      </c>
      <c r="S22" s="96" t="s">
        <v>110</v>
      </c>
      <c r="T22" s="140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2"/>
      <c r="AK22" s="5">
        <f t="shared" si="1"/>
        <v>12</v>
      </c>
      <c r="AL22" s="5">
        <f t="shared" si="2"/>
        <v>0</v>
      </c>
      <c r="AM22" s="5" t="s">
        <v>17</v>
      </c>
      <c r="AN22" s="9">
        <f>AN21-AN14</f>
        <v>5</v>
      </c>
      <c r="AO22" s="9">
        <f>AO21-AO14</f>
        <v>8</v>
      </c>
      <c r="AP22" s="9">
        <f>AN22+AO22</f>
        <v>13</v>
      </c>
    </row>
    <row r="23" spans="1:42" ht="16.5" x14ac:dyDescent="0.25">
      <c r="A23" s="9">
        <v>19</v>
      </c>
      <c r="B23" s="11">
        <v>180</v>
      </c>
      <c r="C23" s="7" t="s">
        <v>91</v>
      </c>
      <c r="D23" s="7" t="s">
        <v>92</v>
      </c>
      <c r="E23" s="8" t="s">
        <v>6</v>
      </c>
      <c r="F23" s="96" t="s">
        <v>110</v>
      </c>
      <c r="G23" s="119"/>
      <c r="H23" s="96" t="s">
        <v>110</v>
      </c>
      <c r="I23" s="96" t="s">
        <v>800</v>
      </c>
      <c r="J23" s="96" t="s">
        <v>110</v>
      </c>
      <c r="K23" s="96" t="s">
        <v>110</v>
      </c>
      <c r="L23" s="96" t="s">
        <v>110</v>
      </c>
      <c r="M23" s="96" t="s">
        <v>110</v>
      </c>
      <c r="N23" s="119"/>
      <c r="O23" s="96" t="s">
        <v>110</v>
      </c>
      <c r="P23" s="96" t="s">
        <v>110</v>
      </c>
      <c r="Q23" s="96" t="s">
        <v>110</v>
      </c>
      <c r="R23" s="96" t="s">
        <v>110</v>
      </c>
      <c r="S23" s="96" t="s">
        <v>110</v>
      </c>
      <c r="T23" s="140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2"/>
      <c r="AK23" s="5">
        <f t="shared" si="1"/>
        <v>12</v>
      </c>
      <c r="AL23" s="5">
        <f t="shared" si="2"/>
        <v>0</v>
      </c>
      <c r="AM23" s="5" t="s">
        <v>16</v>
      </c>
      <c r="AN23" s="12">
        <f>AN22/AN21</f>
        <v>1.3888888888888888E-2</v>
      </c>
      <c r="AO23" s="12">
        <f>AO22/AO21</f>
        <v>2.8985507246376812E-2</v>
      </c>
      <c r="AP23" s="12">
        <f>AP22/AP21</f>
        <v>2.0440251572327043E-2</v>
      </c>
    </row>
    <row r="24" spans="1:42" ht="16.5" x14ac:dyDescent="0.25">
      <c r="A24" s="9">
        <v>20</v>
      </c>
      <c r="B24" s="11">
        <v>181</v>
      </c>
      <c r="C24" s="7" t="s">
        <v>99</v>
      </c>
      <c r="D24" s="7" t="s">
        <v>102</v>
      </c>
      <c r="E24" s="8" t="s">
        <v>6</v>
      </c>
      <c r="F24" s="96" t="s">
        <v>110</v>
      </c>
      <c r="G24" s="119"/>
      <c r="H24" s="96" t="s">
        <v>110</v>
      </c>
      <c r="I24" s="96" t="s">
        <v>800</v>
      </c>
      <c r="J24" s="96" t="s">
        <v>110</v>
      </c>
      <c r="K24" s="96" t="s">
        <v>110</v>
      </c>
      <c r="L24" s="96" t="s">
        <v>110</v>
      </c>
      <c r="M24" s="96" t="s">
        <v>110</v>
      </c>
      <c r="N24" s="119"/>
      <c r="O24" s="96" t="s">
        <v>110</v>
      </c>
      <c r="P24" s="96" t="s">
        <v>110</v>
      </c>
      <c r="Q24" s="96" t="s">
        <v>110</v>
      </c>
      <c r="R24" s="96" t="s">
        <v>110</v>
      </c>
      <c r="S24" s="96" t="s">
        <v>110</v>
      </c>
      <c r="T24" s="140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2"/>
      <c r="AK24" s="5">
        <f t="shared" si="1"/>
        <v>12</v>
      </c>
      <c r="AL24" s="5">
        <f t="shared" si="2"/>
        <v>0</v>
      </c>
    </row>
    <row r="25" spans="1:42" ht="16.5" x14ac:dyDescent="0.25">
      <c r="A25" s="9">
        <v>21</v>
      </c>
      <c r="B25" s="11">
        <v>195</v>
      </c>
      <c r="C25" s="7" t="s">
        <v>105</v>
      </c>
      <c r="D25" s="7" t="s">
        <v>106</v>
      </c>
      <c r="E25" s="8" t="s">
        <v>6</v>
      </c>
      <c r="F25" s="96" t="s">
        <v>110</v>
      </c>
      <c r="G25" s="119"/>
      <c r="H25" s="96" t="s">
        <v>110</v>
      </c>
      <c r="I25" s="96" t="s">
        <v>800</v>
      </c>
      <c r="J25" s="96" t="s">
        <v>110</v>
      </c>
      <c r="K25" s="96" t="s">
        <v>110</v>
      </c>
      <c r="L25" s="96" t="s">
        <v>110</v>
      </c>
      <c r="M25" s="96" t="s">
        <v>110</v>
      </c>
      <c r="N25" s="119"/>
      <c r="O25" s="96" t="s">
        <v>110</v>
      </c>
      <c r="P25" s="96" t="s">
        <v>110</v>
      </c>
      <c r="Q25" s="96" t="s">
        <v>110</v>
      </c>
      <c r="R25" s="96" t="s">
        <v>110</v>
      </c>
      <c r="S25" s="96" t="s">
        <v>796</v>
      </c>
      <c r="T25" s="140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2"/>
      <c r="AK25" s="5">
        <f t="shared" si="1"/>
        <v>11</v>
      </c>
      <c r="AL25" s="5">
        <f t="shared" si="2"/>
        <v>1</v>
      </c>
    </row>
    <row r="26" spans="1:42" ht="16.5" x14ac:dyDescent="0.25">
      <c r="A26" s="9">
        <v>22</v>
      </c>
      <c r="B26" s="11">
        <v>183</v>
      </c>
      <c r="C26" s="7" t="s">
        <v>799</v>
      </c>
      <c r="D26" s="7" t="s">
        <v>107</v>
      </c>
      <c r="E26" s="8" t="s">
        <v>6</v>
      </c>
      <c r="F26" s="96" t="s">
        <v>110</v>
      </c>
      <c r="G26" s="119"/>
      <c r="H26" s="96" t="s">
        <v>110</v>
      </c>
      <c r="I26" s="96" t="s">
        <v>800</v>
      </c>
      <c r="J26" s="96" t="s">
        <v>110</v>
      </c>
      <c r="K26" s="96" t="s">
        <v>110</v>
      </c>
      <c r="L26" s="96" t="s">
        <v>110</v>
      </c>
      <c r="M26" s="96" t="s">
        <v>110</v>
      </c>
      <c r="N26" s="119"/>
      <c r="O26" s="96" t="s">
        <v>110</v>
      </c>
      <c r="P26" s="96" t="s">
        <v>110</v>
      </c>
      <c r="Q26" s="96" t="s">
        <v>110</v>
      </c>
      <c r="R26" s="96" t="s">
        <v>110</v>
      </c>
      <c r="S26" s="96" t="s">
        <v>110</v>
      </c>
      <c r="T26" s="140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2"/>
      <c r="AK26" s="5">
        <f t="shared" si="1"/>
        <v>12</v>
      </c>
      <c r="AL26" s="5">
        <f t="shared" si="2"/>
        <v>0</v>
      </c>
    </row>
    <row r="27" spans="1:42" ht="16.5" x14ac:dyDescent="0.25">
      <c r="A27" s="9">
        <v>23</v>
      </c>
      <c r="B27" s="11">
        <v>170</v>
      </c>
      <c r="C27" s="14" t="s">
        <v>117</v>
      </c>
      <c r="D27" s="14" t="s">
        <v>118</v>
      </c>
      <c r="E27" s="8" t="s">
        <v>6</v>
      </c>
      <c r="F27" s="96" t="s">
        <v>110</v>
      </c>
      <c r="G27" s="119"/>
      <c r="H27" s="96" t="s">
        <v>110</v>
      </c>
      <c r="I27" s="96" t="s">
        <v>800</v>
      </c>
      <c r="J27" s="96" t="s">
        <v>110</v>
      </c>
      <c r="K27" s="96" t="s">
        <v>110</v>
      </c>
      <c r="L27" s="96" t="s">
        <v>110</v>
      </c>
      <c r="M27" s="96" t="s">
        <v>110</v>
      </c>
      <c r="N27" s="119"/>
      <c r="O27" s="96" t="s">
        <v>110</v>
      </c>
      <c r="P27" s="96" t="s">
        <v>110</v>
      </c>
      <c r="Q27" s="96" t="s">
        <v>110</v>
      </c>
      <c r="R27" s="96" t="s">
        <v>110</v>
      </c>
      <c r="S27" s="96" t="s">
        <v>110</v>
      </c>
      <c r="T27" s="140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2"/>
      <c r="AK27" s="5">
        <f t="shared" si="1"/>
        <v>12</v>
      </c>
      <c r="AL27" s="5">
        <f t="shared" si="2"/>
        <v>0</v>
      </c>
    </row>
    <row r="28" spans="1:42" ht="16.5" x14ac:dyDescent="0.25">
      <c r="A28" s="9">
        <v>1</v>
      </c>
      <c r="B28" s="11">
        <v>189</v>
      </c>
      <c r="C28" s="14" t="s">
        <v>116</v>
      </c>
      <c r="D28" s="14" t="s">
        <v>797</v>
      </c>
      <c r="E28" s="8" t="s">
        <v>6</v>
      </c>
      <c r="F28" s="96" t="s">
        <v>110</v>
      </c>
      <c r="G28" s="119"/>
      <c r="H28" s="96" t="s">
        <v>110</v>
      </c>
      <c r="I28" s="96" t="s">
        <v>800</v>
      </c>
      <c r="J28" s="96" t="s">
        <v>110</v>
      </c>
      <c r="K28" s="96" t="s">
        <v>110</v>
      </c>
      <c r="L28" s="96" t="s">
        <v>110</v>
      </c>
      <c r="M28" s="96" t="s">
        <v>110</v>
      </c>
      <c r="N28" s="119"/>
      <c r="O28" s="96" t="s">
        <v>110</v>
      </c>
      <c r="P28" s="96" t="s">
        <v>110</v>
      </c>
      <c r="Q28" s="96" t="s">
        <v>110</v>
      </c>
      <c r="R28" s="96" t="s">
        <v>110</v>
      </c>
      <c r="S28" s="96" t="s">
        <v>110</v>
      </c>
      <c r="T28" s="140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2"/>
      <c r="AK28" s="5">
        <f t="shared" si="1"/>
        <v>12</v>
      </c>
      <c r="AL28" s="5">
        <f t="shared" si="2"/>
        <v>0</v>
      </c>
    </row>
    <row r="29" spans="1:42" ht="16.5" x14ac:dyDescent="0.25">
      <c r="A29" s="9">
        <v>2</v>
      </c>
      <c r="B29" s="11">
        <v>99</v>
      </c>
      <c r="C29" s="7" t="s">
        <v>21</v>
      </c>
      <c r="D29" s="7" t="s">
        <v>22</v>
      </c>
      <c r="E29" s="8" t="s">
        <v>6</v>
      </c>
      <c r="F29" s="96" t="s">
        <v>110</v>
      </c>
      <c r="G29" s="119"/>
      <c r="H29" s="96" t="s">
        <v>110</v>
      </c>
      <c r="I29" s="96" t="s">
        <v>800</v>
      </c>
      <c r="J29" s="96" t="s">
        <v>110</v>
      </c>
      <c r="K29" s="96" t="s">
        <v>110</v>
      </c>
      <c r="L29" s="96" t="s">
        <v>110</v>
      </c>
      <c r="M29" s="96" t="s">
        <v>110</v>
      </c>
      <c r="N29" s="119"/>
      <c r="O29" s="96" t="s">
        <v>110</v>
      </c>
      <c r="P29" s="96" t="s">
        <v>110</v>
      </c>
      <c r="Q29" s="96" t="s">
        <v>110</v>
      </c>
      <c r="R29" s="96" t="s">
        <v>110</v>
      </c>
      <c r="S29" s="96" t="s">
        <v>110</v>
      </c>
      <c r="T29" s="140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2"/>
      <c r="AK29" s="5">
        <f t="shared" si="1"/>
        <v>12</v>
      </c>
      <c r="AL29" s="5">
        <f t="shared" si="2"/>
        <v>0</v>
      </c>
    </row>
    <row r="30" spans="1:42" ht="16.5" x14ac:dyDescent="0.25">
      <c r="A30" s="9">
        <v>3</v>
      </c>
      <c r="B30" s="11">
        <v>98</v>
      </c>
      <c r="C30" s="7" t="s">
        <v>23</v>
      </c>
      <c r="D30" s="7" t="s">
        <v>24</v>
      </c>
      <c r="E30" s="8" t="s">
        <v>6</v>
      </c>
      <c r="F30" s="96" t="s">
        <v>110</v>
      </c>
      <c r="G30" s="119"/>
      <c r="H30" s="96" t="s">
        <v>110</v>
      </c>
      <c r="I30" s="96" t="s">
        <v>800</v>
      </c>
      <c r="J30" s="96" t="s">
        <v>110</v>
      </c>
      <c r="K30" s="96" t="s">
        <v>110</v>
      </c>
      <c r="L30" s="96" t="s">
        <v>110</v>
      </c>
      <c r="M30" s="96" t="s">
        <v>110</v>
      </c>
      <c r="N30" s="119"/>
      <c r="O30" s="96" t="s">
        <v>110</v>
      </c>
      <c r="P30" s="96" t="s">
        <v>110</v>
      </c>
      <c r="Q30" s="96" t="s">
        <v>110</v>
      </c>
      <c r="R30" s="96" t="s">
        <v>110</v>
      </c>
      <c r="S30" s="96" t="s">
        <v>110</v>
      </c>
      <c r="T30" s="140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2"/>
      <c r="AK30" s="5">
        <f t="shared" si="1"/>
        <v>12</v>
      </c>
      <c r="AL30" s="5">
        <f t="shared" si="2"/>
        <v>0</v>
      </c>
      <c r="AN30" s="1" t="s">
        <v>802</v>
      </c>
    </row>
    <row r="31" spans="1:42" ht="16.5" x14ac:dyDescent="0.25">
      <c r="A31" s="9">
        <v>4</v>
      </c>
      <c r="B31" s="11">
        <v>136</v>
      </c>
      <c r="C31" s="7" t="s">
        <v>27</v>
      </c>
      <c r="D31" s="7" t="s">
        <v>28</v>
      </c>
      <c r="E31" s="8" t="s">
        <v>6</v>
      </c>
      <c r="F31" s="96" t="s">
        <v>110</v>
      </c>
      <c r="G31" s="119"/>
      <c r="H31" s="96" t="s">
        <v>110</v>
      </c>
      <c r="I31" s="96" t="s">
        <v>800</v>
      </c>
      <c r="J31" s="96" t="s">
        <v>110</v>
      </c>
      <c r="K31" s="96" t="s">
        <v>110</v>
      </c>
      <c r="L31" s="96" t="s">
        <v>796</v>
      </c>
      <c r="M31" s="96" t="s">
        <v>110</v>
      </c>
      <c r="N31" s="119"/>
      <c r="O31" s="96" t="s">
        <v>110</v>
      </c>
      <c r="P31" s="96" t="s">
        <v>110</v>
      </c>
      <c r="Q31" s="96" t="s">
        <v>110</v>
      </c>
      <c r="R31" s="96" t="s">
        <v>110</v>
      </c>
      <c r="S31" s="96" t="s">
        <v>110</v>
      </c>
      <c r="T31" s="140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2"/>
      <c r="AK31" s="5">
        <f t="shared" si="1"/>
        <v>11</v>
      </c>
      <c r="AL31" s="5">
        <f t="shared" si="2"/>
        <v>1</v>
      </c>
    </row>
    <row r="32" spans="1:42" ht="16.5" x14ac:dyDescent="0.25">
      <c r="A32" s="9">
        <v>5</v>
      </c>
      <c r="B32" s="11">
        <v>139</v>
      </c>
      <c r="C32" s="7" t="s">
        <v>31</v>
      </c>
      <c r="D32" s="7" t="s">
        <v>32</v>
      </c>
      <c r="E32" s="8" t="s">
        <v>6</v>
      </c>
      <c r="F32" s="96" t="s">
        <v>110</v>
      </c>
      <c r="G32" s="119"/>
      <c r="H32" s="96" t="s">
        <v>110</v>
      </c>
      <c r="I32" s="96" t="s">
        <v>800</v>
      </c>
      <c r="J32" s="96" t="s">
        <v>110</v>
      </c>
      <c r="K32" s="96" t="s">
        <v>110</v>
      </c>
      <c r="L32" s="96" t="s">
        <v>110</v>
      </c>
      <c r="M32" s="96" t="s">
        <v>110</v>
      </c>
      <c r="N32" s="119"/>
      <c r="O32" s="96" t="s">
        <v>110</v>
      </c>
      <c r="P32" s="96" t="s">
        <v>110</v>
      </c>
      <c r="Q32" s="96" t="s">
        <v>110</v>
      </c>
      <c r="R32" s="96" t="s">
        <v>110</v>
      </c>
      <c r="S32" s="96" t="s">
        <v>110</v>
      </c>
      <c r="T32" s="140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2"/>
      <c r="AK32" s="5">
        <f t="shared" si="1"/>
        <v>12</v>
      </c>
      <c r="AL32" s="5">
        <f t="shared" si="2"/>
        <v>0</v>
      </c>
    </row>
    <row r="33" spans="1:38" ht="16.5" x14ac:dyDescent="0.25">
      <c r="A33" s="9">
        <v>6</v>
      </c>
      <c r="B33" s="11">
        <v>142</v>
      </c>
      <c r="C33" s="7" t="s">
        <v>35</v>
      </c>
      <c r="D33" s="7" t="s">
        <v>36</v>
      </c>
      <c r="E33" s="8" t="s">
        <v>6</v>
      </c>
      <c r="F33" s="96" t="s">
        <v>110</v>
      </c>
      <c r="G33" s="119"/>
      <c r="H33" s="96" t="s">
        <v>110</v>
      </c>
      <c r="I33" s="96" t="s">
        <v>800</v>
      </c>
      <c r="J33" s="96" t="s">
        <v>110</v>
      </c>
      <c r="K33" s="96" t="s">
        <v>110</v>
      </c>
      <c r="L33" s="96" t="s">
        <v>110</v>
      </c>
      <c r="M33" s="96" t="s">
        <v>110</v>
      </c>
      <c r="N33" s="119"/>
      <c r="O33" s="96" t="s">
        <v>110</v>
      </c>
      <c r="P33" s="96" t="s">
        <v>110</v>
      </c>
      <c r="Q33" s="96" t="s">
        <v>110</v>
      </c>
      <c r="R33" s="96" t="s">
        <v>110</v>
      </c>
      <c r="S33" s="96" t="s">
        <v>110</v>
      </c>
      <c r="T33" s="140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2"/>
      <c r="AK33" s="5">
        <f t="shared" si="1"/>
        <v>12</v>
      </c>
      <c r="AL33" s="5">
        <f t="shared" si="2"/>
        <v>0</v>
      </c>
    </row>
    <row r="34" spans="1:38" ht="16.5" x14ac:dyDescent="0.25">
      <c r="A34" s="9">
        <v>7</v>
      </c>
      <c r="B34" s="97">
        <v>144</v>
      </c>
      <c r="C34" s="7" t="s">
        <v>39</v>
      </c>
      <c r="D34" s="7" t="s">
        <v>40</v>
      </c>
      <c r="E34" s="8" t="s">
        <v>6</v>
      </c>
      <c r="F34" s="96" t="s">
        <v>110</v>
      </c>
      <c r="G34" s="119"/>
      <c r="H34" s="96" t="s">
        <v>110</v>
      </c>
      <c r="I34" s="96" t="s">
        <v>800</v>
      </c>
      <c r="J34" s="96" t="s">
        <v>110</v>
      </c>
      <c r="K34" s="96" t="s">
        <v>110</v>
      </c>
      <c r="L34" s="96" t="s">
        <v>110</v>
      </c>
      <c r="M34" s="96" t="s">
        <v>110</v>
      </c>
      <c r="N34" s="119"/>
      <c r="O34" s="96" t="s">
        <v>110</v>
      </c>
      <c r="P34" s="96" t="s">
        <v>110</v>
      </c>
      <c r="Q34" s="96" t="s">
        <v>110</v>
      </c>
      <c r="R34" s="96" t="s">
        <v>110</v>
      </c>
      <c r="S34" s="96" t="s">
        <v>110</v>
      </c>
      <c r="T34" s="140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2"/>
      <c r="AK34" s="5">
        <f t="shared" si="1"/>
        <v>12</v>
      </c>
      <c r="AL34" s="5">
        <f t="shared" si="2"/>
        <v>0</v>
      </c>
    </row>
    <row r="35" spans="1:38" ht="16.5" x14ac:dyDescent="0.25">
      <c r="A35" s="9">
        <v>8</v>
      </c>
      <c r="B35" s="97">
        <v>145</v>
      </c>
      <c r="C35" s="7" t="s">
        <v>41</v>
      </c>
      <c r="D35" s="7" t="s">
        <v>42</v>
      </c>
      <c r="E35" s="8" t="s">
        <v>6</v>
      </c>
      <c r="F35" s="96" t="s">
        <v>110</v>
      </c>
      <c r="G35" s="119"/>
      <c r="H35" s="96" t="s">
        <v>110</v>
      </c>
      <c r="I35" s="96" t="s">
        <v>800</v>
      </c>
      <c r="J35" s="96" t="s">
        <v>110</v>
      </c>
      <c r="K35" s="96" t="s">
        <v>110</v>
      </c>
      <c r="L35" s="96" t="s">
        <v>110</v>
      </c>
      <c r="M35" s="96" t="s">
        <v>110</v>
      </c>
      <c r="N35" s="119"/>
      <c r="O35" s="96" t="s">
        <v>110</v>
      </c>
      <c r="P35" s="96" t="s">
        <v>110</v>
      </c>
      <c r="Q35" s="96" t="s">
        <v>110</v>
      </c>
      <c r="R35" s="96" t="s">
        <v>110</v>
      </c>
      <c r="S35" s="96" t="s">
        <v>110</v>
      </c>
      <c r="T35" s="140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2"/>
      <c r="AK35" s="5">
        <f t="shared" si="1"/>
        <v>12</v>
      </c>
      <c r="AL35" s="5">
        <f t="shared" si="2"/>
        <v>0</v>
      </c>
    </row>
    <row r="36" spans="1:38" ht="16.5" x14ac:dyDescent="0.25">
      <c r="A36" s="9">
        <v>9</v>
      </c>
      <c r="B36" s="97">
        <v>152</v>
      </c>
      <c r="C36" s="7" t="s">
        <v>51</v>
      </c>
      <c r="D36" s="7" t="s">
        <v>52</v>
      </c>
      <c r="E36" s="8" t="s">
        <v>6</v>
      </c>
      <c r="F36" s="96" t="s">
        <v>110</v>
      </c>
      <c r="G36" s="119"/>
      <c r="H36" s="96" t="s">
        <v>110</v>
      </c>
      <c r="I36" s="96" t="s">
        <v>800</v>
      </c>
      <c r="J36" s="96" t="s">
        <v>110</v>
      </c>
      <c r="K36" s="96" t="s">
        <v>110</v>
      </c>
      <c r="L36" s="96" t="s">
        <v>110</v>
      </c>
      <c r="M36" s="96" t="s">
        <v>110</v>
      </c>
      <c r="N36" s="119"/>
      <c r="O36" s="96" t="s">
        <v>110</v>
      </c>
      <c r="P36" s="96" t="s">
        <v>110</v>
      </c>
      <c r="Q36" s="96" t="s">
        <v>110</v>
      </c>
      <c r="R36" s="96" t="s">
        <v>110</v>
      </c>
      <c r="S36" s="96" t="s">
        <v>110</v>
      </c>
      <c r="T36" s="140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2"/>
      <c r="AK36" s="5">
        <f t="shared" si="1"/>
        <v>12</v>
      </c>
      <c r="AL36" s="5">
        <f t="shared" si="2"/>
        <v>0</v>
      </c>
    </row>
    <row r="37" spans="1:38" ht="16.5" x14ac:dyDescent="0.25">
      <c r="A37" s="9">
        <v>10</v>
      </c>
      <c r="B37" s="97">
        <v>153</v>
      </c>
      <c r="C37" s="7" t="s">
        <v>53</v>
      </c>
      <c r="D37" s="7" t="s">
        <v>54</v>
      </c>
      <c r="E37" s="8" t="s">
        <v>6</v>
      </c>
      <c r="F37" s="96" t="s">
        <v>110</v>
      </c>
      <c r="G37" s="119"/>
      <c r="H37" s="96" t="s">
        <v>110</v>
      </c>
      <c r="I37" s="96" t="s">
        <v>800</v>
      </c>
      <c r="J37" s="96" t="s">
        <v>110</v>
      </c>
      <c r="K37" s="96" t="s">
        <v>110</v>
      </c>
      <c r="L37" s="96" t="s">
        <v>110</v>
      </c>
      <c r="M37" s="96" t="s">
        <v>110</v>
      </c>
      <c r="N37" s="119"/>
      <c r="O37" s="96" t="s">
        <v>110</v>
      </c>
      <c r="P37" s="96" t="s">
        <v>110</v>
      </c>
      <c r="Q37" s="96" t="s">
        <v>110</v>
      </c>
      <c r="R37" s="96" t="s">
        <v>110</v>
      </c>
      <c r="S37" s="96" t="s">
        <v>110</v>
      </c>
      <c r="T37" s="140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2"/>
      <c r="AK37" s="5">
        <f t="shared" si="1"/>
        <v>12</v>
      </c>
      <c r="AL37" s="5">
        <f t="shared" si="2"/>
        <v>0</v>
      </c>
    </row>
    <row r="38" spans="1:38" ht="16.5" x14ac:dyDescent="0.25">
      <c r="A38" s="9">
        <v>11</v>
      </c>
      <c r="B38" s="97">
        <v>154</v>
      </c>
      <c r="C38" s="7" t="s">
        <v>55</v>
      </c>
      <c r="D38" s="7" t="s">
        <v>56</v>
      </c>
      <c r="E38" s="8" t="s">
        <v>6</v>
      </c>
      <c r="F38" s="96" t="s">
        <v>110</v>
      </c>
      <c r="G38" s="119"/>
      <c r="H38" s="96" t="s">
        <v>110</v>
      </c>
      <c r="I38" s="96" t="s">
        <v>800</v>
      </c>
      <c r="J38" s="96" t="s">
        <v>110</v>
      </c>
      <c r="K38" s="96" t="s">
        <v>110</v>
      </c>
      <c r="L38" s="96" t="s">
        <v>110</v>
      </c>
      <c r="M38" s="96" t="s">
        <v>110</v>
      </c>
      <c r="N38" s="119"/>
      <c r="O38" s="96" t="s">
        <v>110</v>
      </c>
      <c r="P38" s="96" t="s">
        <v>110</v>
      </c>
      <c r="Q38" s="96" t="s">
        <v>110</v>
      </c>
      <c r="R38" s="96" t="s">
        <v>110</v>
      </c>
      <c r="S38" s="96" t="s">
        <v>110</v>
      </c>
      <c r="T38" s="140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2"/>
      <c r="AK38" s="5">
        <f t="shared" si="1"/>
        <v>12</v>
      </c>
      <c r="AL38" s="5">
        <f t="shared" si="2"/>
        <v>0</v>
      </c>
    </row>
    <row r="39" spans="1:38" ht="16.5" x14ac:dyDescent="0.25">
      <c r="A39" s="9">
        <v>12</v>
      </c>
      <c r="B39" s="97">
        <v>155</v>
      </c>
      <c r="C39" s="7" t="s">
        <v>57</v>
      </c>
      <c r="D39" s="7" t="s">
        <v>58</v>
      </c>
      <c r="E39" s="8" t="s">
        <v>6</v>
      </c>
      <c r="F39" s="96" t="s">
        <v>110</v>
      </c>
      <c r="G39" s="119"/>
      <c r="H39" s="96" t="s">
        <v>110</v>
      </c>
      <c r="I39" s="96" t="s">
        <v>800</v>
      </c>
      <c r="J39" s="96" t="s">
        <v>110</v>
      </c>
      <c r="K39" s="96" t="s">
        <v>110</v>
      </c>
      <c r="L39" s="96" t="s">
        <v>110</v>
      </c>
      <c r="M39" s="96" t="s">
        <v>110</v>
      </c>
      <c r="N39" s="119"/>
      <c r="O39" s="96" t="s">
        <v>110</v>
      </c>
      <c r="P39" s="96" t="s">
        <v>110</v>
      </c>
      <c r="Q39" s="96" t="s">
        <v>110</v>
      </c>
      <c r="R39" s="96" t="s">
        <v>110</v>
      </c>
      <c r="S39" s="96" t="s">
        <v>110</v>
      </c>
      <c r="T39" s="140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2"/>
      <c r="AK39" s="5">
        <f t="shared" si="1"/>
        <v>12</v>
      </c>
      <c r="AL39" s="5">
        <f t="shared" si="2"/>
        <v>0</v>
      </c>
    </row>
    <row r="40" spans="1:38" ht="16.5" x14ac:dyDescent="0.25">
      <c r="A40" s="9">
        <v>13</v>
      </c>
      <c r="B40" s="97">
        <v>156</v>
      </c>
      <c r="C40" s="7" t="s">
        <v>59</v>
      </c>
      <c r="D40" s="7" t="s">
        <v>60</v>
      </c>
      <c r="E40" s="8" t="s">
        <v>6</v>
      </c>
      <c r="F40" s="96" t="s">
        <v>110</v>
      </c>
      <c r="G40" s="119"/>
      <c r="H40" s="96" t="s">
        <v>796</v>
      </c>
      <c r="I40" s="96" t="s">
        <v>796</v>
      </c>
      <c r="J40" s="96" t="s">
        <v>110</v>
      </c>
      <c r="K40" s="96" t="s">
        <v>110</v>
      </c>
      <c r="L40" s="96" t="s">
        <v>110</v>
      </c>
      <c r="M40" s="96" t="s">
        <v>110</v>
      </c>
      <c r="N40" s="119"/>
      <c r="O40" s="96" t="s">
        <v>110</v>
      </c>
      <c r="P40" s="96" t="s">
        <v>110</v>
      </c>
      <c r="Q40" s="96" t="s">
        <v>110</v>
      </c>
      <c r="R40" s="96" t="s">
        <v>110</v>
      </c>
      <c r="S40" s="96" t="s">
        <v>110</v>
      </c>
      <c r="T40" s="140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2"/>
      <c r="AK40" s="5">
        <f t="shared" si="1"/>
        <v>10</v>
      </c>
      <c r="AL40" s="5">
        <f t="shared" si="2"/>
        <v>2</v>
      </c>
    </row>
    <row r="41" spans="1:38" ht="16.5" x14ac:dyDescent="0.25">
      <c r="A41" s="9">
        <v>14</v>
      </c>
      <c r="B41" s="97">
        <v>158</v>
      </c>
      <c r="C41" s="7" t="s">
        <v>61</v>
      </c>
      <c r="D41" s="7" t="s">
        <v>62</v>
      </c>
      <c r="E41" s="8" t="s">
        <v>6</v>
      </c>
      <c r="F41" s="96" t="s">
        <v>110</v>
      </c>
      <c r="G41" s="119"/>
      <c r="H41" s="96" t="s">
        <v>110</v>
      </c>
      <c r="I41" s="96" t="s">
        <v>110</v>
      </c>
      <c r="J41" s="96" t="s">
        <v>110</v>
      </c>
      <c r="K41" s="96" t="s">
        <v>110</v>
      </c>
      <c r="L41" s="96" t="s">
        <v>110</v>
      </c>
      <c r="M41" s="96" t="s">
        <v>110</v>
      </c>
      <c r="N41" s="119"/>
      <c r="O41" s="96" t="s">
        <v>110</v>
      </c>
      <c r="P41" s="96" t="s">
        <v>110</v>
      </c>
      <c r="Q41" s="96" t="s">
        <v>110</v>
      </c>
      <c r="R41" s="96" t="s">
        <v>110</v>
      </c>
      <c r="S41" s="96" t="s">
        <v>110</v>
      </c>
      <c r="T41" s="140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2"/>
      <c r="AK41" s="5">
        <f t="shared" si="1"/>
        <v>12</v>
      </c>
      <c r="AL41" s="5">
        <f t="shared" si="2"/>
        <v>0</v>
      </c>
    </row>
    <row r="42" spans="1:38" ht="16.5" x14ac:dyDescent="0.25">
      <c r="A42" s="9">
        <v>15</v>
      </c>
      <c r="B42" s="11">
        <v>159</v>
      </c>
      <c r="C42" s="7" t="s">
        <v>63</v>
      </c>
      <c r="D42" s="7" t="s">
        <v>64</v>
      </c>
      <c r="E42" s="8" t="s">
        <v>6</v>
      </c>
      <c r="F42" s="96" t="s">
        <v>110</v>
      </c>
      <c r="G42" s="119"/>
      <c r="H42" s="96" t="s">
        <v>110</v>
      </c>
      <c r="I42" s="96" t="s">
        <v>110</v>
      </c>
      <c r="J42" s="96" t="s">
        <v>110</v>
      </c>
      <c r="K42" s="96" t="s">
        <v>110</v>
      </c>
      <c r="L42" s="96" t="s">
        <v>110</v>
      </c>
      <c r="M42" s="96" t="s">
        <v>110</v>
      </c>
      <c r="N42" s="119"/>
      <c r="O42" s="96" t="s">
        <v>110</v>
      </c>
      <c r="P42" s="96" t="s">
        <v>110</v>
      </c>
      <c r="Q42" s="96" t="s">
        <v>110</v>
      </c>
      <c r="R42" s="96" t="s">
        <v>110</v>
      </c>
      <c r="S42" s="96" t="s">
        <v>110</v>
      </c>
      <c r="T42" s="140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42"/>
      <c r="AK42" s="5">
        <f t="shared" si="1"/>
        <v>12</v>
      </c>
      <c r="AL42" s="5">
        <f t="shared" si="2"/>
        <v>0</v>
      </c>
    </row>
    <row r="43" spans="1:38" ht="16.5" x14ac:dyDescent="0.25">
      <c r="A43" s="9">
        <v>16</v>
      </c>
      <c r="B43" s="11">
        <v>165</v>
      </c>
      <c r="C43" s="7" t="s">
        <v>73</v>
      </c>
      <c r="D43" s="7" t="s">
        <v>74</v>
      </c>
      <c r="E43" s="8" t="s">
        <v>6</v>
      </c>
      <c r="F43" s="96" t="s">
        <v>110</v>
      </c>
      <c r="G43" s="119"/>
      <c r="H43" s="96" t="s">
        <v>110</v>
      </c>
      <c r="I43" s="96" t="s">
        <v>110</v>
      </c>
      <c r="J43" s="96" t="s">
        <v>110</v>
      </c>
      <c r="K43" s="96" t="s">
        <v>110</v>
      </c>
      <c r="L43" s="96" t="s">
        <v>110</v>
      </c>
      <c r="M43" s="96" t="s">
        <v>110</v>
      </c>
      <c r="N43" s="119"/>
      <c r="O43" s="96" t="s">
        <v>110</v>
      </c>
      <c r="P43" s="96" t="s">
        <v>110</v>
      </c>
      <c r="Q43" s="96" t="s">
        <v>110</v>
      </c>
      <c r="R43" s="96" t="s">
        <v>110</v>
      </c>
      <c r="S43" s="96" t="s">
        <v>110</v>
      </c>
      <c r="T43" s="140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1"/>
      <c r="AJ43" s="142"/>
      <c r="AK43" s="5">
        <f t="shared" si="1"/>
        <v>12</v>
      </c>
      <c r="AL43" s="5">
        <f t="shared" si="2"/>
        <v>0</v>
      </c>
    </row>
    <row r="44" spans="1:38" ht="16.5" x14ac:dyDescent="0.25">
      <c r="A44" s="9">
        <v>17</v>
      </c>
      <c r="B44" s="11">
        <v>167</v>
      </c>
      <c r="C44" s="7" t="s">
        <v>87</v>
      </c>
      <c r="D44" s="7" t="s">
        <v>76</v>
      </c>
      <c r="E44" s="8" t="s">
        <v>6</v>
      </c>
      <c r="F44" s="96" t="s">
        <v>110</v>
      </c>
      <c r="G44" s="119"/>
      <c r="H44" s="96" t="s">
        <v>110</v>
      </c>
      <c r="I44" s="96" t="s">
        <v>110</v>
      </c>
      <c r="J44" s="96" t="s">
        <v>110</v>
      </c>
      <c r="K44" s="96" t="s">
        <v>110</v>
      </c>
      <c r="L44" s="96" t="s">
        <v>110</v>
      </c>
      <c r="M44" s="96" t="s">
        <v>110</v>
      </c>
      <c r="N44" s="119"/>
      <c r="O44" s="96" t="s">
        <v>110</v>
      </c>
      <c r="P44" s="96" t="s">
        <v>110</v>
      </c>
      <c r="Q44" s="96" t="s">
        <v>110</v>
      </c>
      <c r="R44" s="96" t="s">
        <v>110</v>
      </c>
      <c r="S44" s="96" t="s">
        <v>110</v>
      </c>
      <c r="T44" s="140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1"/>
      <c r="AJ44" s="142"/>
      <c r="AK44" s="5">
        <f t="shared" si="1"/>
        <v>12</v>
      </c>
      <c r="AL44" s="5">
        <f t="shared" si="2"/>
        <v>0</v>
      </c>
    </row>
    <row r="45" spans="1:38" ht="16.5" x14ac:dyDescent="0.25">
      <c r="A45" s="9">
        <v>18</v>
      </c>
      <c r="B45" s="11">
        <v>169</v>
      </c>
      <c r="C45" s="7" t="s">
        <v>79</v>
      </c>
      <c r="D45" s="7" t="s">
        <v>80</v>
      </c>
      <c r="E45" s="8" t="s">
        <v>6</v>
      </c>
      <c r="F45" s="96" t="s">
        <v>110</v>
      </c>
      <c r="G45" s="119"/>
      <c r="H45" s="96" t="s">
        <v>110</v>
      </c>
      <c r="I45" s="96" t="s">
        <v>110</v>
      </c>
      <c r="J45" s="96" t="s">
        <v>110</v>
      </c>
      <c r="K45" s="96" t="s">
        <v>110</v>
      </c>
      <c r="L45" s="96" t="s">
        <v>110</v>
      </c>
      <c r="M45" s="96" t="s">
        <v>110</v>
      </c>
      <c r="N45" s="119"/>
      <c r="O45" s="96" t="s">
        <v>110</v>
      </c>
      <c r="P45" s="96" t="s">
        <v>110</v>
      </c>
      <c r="Q45" s="96" t="s">
        <v>110</v>
      </c>
      <c r="R45" s="96" t="s">
        <v>110</v>
      </c>
      <c r="S45" s="96" t="s">
        <v>110</v>
      </c>
      <c r="T45" s="140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2"/>
      <c r="AK45" s="5">
        <f t="shared" si="1"/>
        <v>12</v>
      </c>
      <c r="AL45" s="5">
        <f t="shared" si="2"/>
        <v>0</v>
      </c>
    </row>
    <row r="46" spans="1:38" ht="16.5" x14ac:dyDescent="0.25">
      <c r="A46" s="9">
        <v>19</v>
      </c>
      <c r="B46" s="11">
        <v>196</v>
      </c>
      <c r="C46" s="7" t="s">
        <v>88</v>
      </c>
      <c r="D46" s="7" t="s">
        <v>89</v>
      </c>
      <c r="E46" s="8" t="s">
        <v>6</v>
      </c>
      <c r="F46" s="96" t="s">
        <v>110</v>
      </c>
      <c r="G46" s="119"/>
      <c r="H46" s="96" t="s">
        <v>110</v>
      </c>
      <c r="I46" s="96" t="s">
        <v>110</v>
      </c>
      <c r="J46" s="96" t="s">
        <v>110</v>
      </c>
      <c r="K46" s="96" t="s">
        <v>110</v>
      </c>
      <c r="L46" s="96" t="s">
        <v>110</v>
      </c>
      <c r="M46" s="96" t="s">
        <v>110</v>
      </c>
      <c r="N46" s="119"/>
      <c r="O46" s="96" t="s">
        <v>110</v>
      </c>
      <c r="P46" s="96" t="s">
        <v>110</v>
      </c>
      <c r="Q46" s="96" t="s">
        <v>110</v>
      </c>
      <c r="R46" s="96" t="s">
        <v>110</v>
      </c>
      <c r="S46" s="96" t="s">
        <v>796</v>
      </c>
      <c r="T46" s="140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2"/>
      <c r="AK46" s="5">
        <f t="shared" si="1"/>
        <v>11</v>
      </c>
      <c r="AL46" s="5">
        <f t="shared" si="2"/>
        <v>1</v>
      </c>
    </row>
    <row r="47" spans="1:38" ht="16.5" x14ac:dyDescent="0.25">
      <c r="A47" s="9">
        <v>20</v>
      </c>
      <c r="B47" s="11">
        <v>197</v>
      </c>
      <c r="C47" s="7" t="s">
        <v>90</v>
      </c>
      <c r="D47" s="7" t="s">
        <v>798</v>
      </c>
      <c r="E47" s="8" t="s">
        <v>6</v>
      </c>
      <c r="F47" s="96" t="s">
        <v>110</v>
      </c>
      <c r="G47" s="119"/>
      <c r="H47" s="96" t="s">
        <v>110</v>
      </c>
      <c r="I47" s="96" t="s">
        <v>110</v>
      </c>
      <c r="J47" s="96" t="s">
        <v>110</v>
      </c>
      <c r="K47" s="96" t="s">
        <v>110</v>
      </c>
      <c r="L47" s="96" t="s">
        <v>110</v>
      </c>
      <c r="M47" s="96" t="s">
        <v>110</v>
      </c>
      <c r="N47" s="119"/>
      <c r="O47" s="96" t="s">
        <v>110</v>
      </c>
      <c r="P47" s="96" t="s">
        <v>110</v>
      </c>
      <c r="Q47" s="96" t="s">
        <v>110</v>
      </c>
      <c r="R47" s="96" t="s">
        <v>110</v>
      </c>
      <c r="S47" s="96" t="s">
        <v>796</v>
      </c>
      <c r="T47" s="140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2"/>
      <c r="AK47" s="5">
        <f t="shared" si="1"/>
        <v>11</v>
      </c>
      <c r="AL47" s="5">
        <f t="shared" si="2"/>
        <v>1</v>
      </c>
    </row>
    <row r="48" spans="1:38" ht="16.5" x14ac:dyDescent="0.25">
      <c r="A48" s="9">
        <v>21</v>
      </c>
      <c r="B48" s="11">
        <v>182</v>
      </c>
      <c r="C48" s="7" t="s">
        <v>93</v>
      </c>
      <c r="D48" s="7" t="s">
        <v>94</v>
      </c>
      <c r="E48" s="8" t="s">
        <v>6</v>
      </c>
      <c r="F48" s="96" t="s">
        <v>110</v>
      </c>
      <c r="G48" s="119"/>
      <c r="H48" s="96" t="s">
        <v>110</v>
      </c>
      <c r="I48" s="96" t="s">
        <v>110</v>
      </c>
      <c r="J48" s="96" t="s">
        <v>110</v>
      </c>
      <c r="K48" s="96" t="s">
        <v>110</v>
      </c>
      <c r="L48" s="96" t="s">
        <v>110</v>
      </c>
      <c r="M48" s="96" t="s">
        <v>110</v>
      </c>
      <c r="N48" s="119"/>
      <c r="O48" s="96" t="s">
        <v>110</v>
      </c>
      <c r="P48" s="96" t="s">
        <v>110</v>
      </c>
      <c r="Q48" s="96" t="s">
        <v>110</v>
      </c>
      <c r="R48" s="96" t="s">
        <v>110</v>
      </c>
      <c r="S48" s="96" t="s">
        <v>110</v>
      </c>
      <c r="T48" s="140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2"/>
      <c r="AK48" s="5">
        <f t="shared" si="1"/>
        <v>12</v>
      </c>
      <c r="AL48" s="5">
        <f t="shared" si="2"/>
        <v>0</v>
      </c>
    </row>
    <row r="49" spans="1:38" ht="16.5" x14ac:dyDescent="0.25">
      <c r="A49" s="9">
        <v>22</v>
      </c>
      <c r="B49" s="11">
        <v>186</v>
      </c>
      <c r="C49" s="7" t="s">
        <v>95</v>
      </c>
      <c r="D49" s="7" t="s">
        <v>96</v>
      </c>
      <c r="E49" s="8" t="s">
        <v>6</v>
      </c>
      <c r="F49" s="96" t="s">
        <v>110</v>
      </c>
      <c r="G49" s="119"/>
      <c r="H49" s="96" t="s">
        <v>110</v>
      </c>
      <c r="I49" s="96" t="s">
        <v>110</v>
      </c>
      <c r="J49" s="96" t="s">
        <v>110</v>
      </c>
      <c r="K49" s="96" t="s">
        <v>110</v>
      </c>
      <c r="L49" s="96" t="s">
        <v>110</v>
      </c>
      <c r="M49" s="96" t="s">
        <v>110</v>
      </c>
      <c r="N49" s="119"/>
      <c r="O49" s="96" t="s">
        <v>110</v>
      </c>
      <c r="P49" s="96" t="s">
        <v>110</v>
      </c>
      <c r="Q49" s="96" t="s">
        <v>110</v>
      </c>
      <c r="R49" s="96" t="s">
        <v>110</v>
      </c>
      <c r="S49" s="96" t="s">
        <v>110</v>
      </c>
      <c r="T49" s="140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2"/>
      <c r="AK49" s="5">
        <f t="shared" si="1"/>
        <v>12</v>
      </c>
      <c r="AL49" s="5">
        <f t="shared" si="2"/>
        <v>0</v>
      </c>
    </row>
    <row r="50" spans="1:38" ht="16.5" x14ac:dyDescent="0.25">
      <c r="A50" s="9">
        <v>23</v>
      </c>
      <c r="B50" s="11">
        <v>188</v>
      </c>
      <c r="C50" s="7" t="s">
        <v>97</v>
      </c>
      <c r="D50" s="7" t="s">
        <v>98</v>
      </c>
      <c r="E50" s="8" t="s">
        <v>6</v>
      </c>
      <c r="F50" s="96" t="s">
        <v>110</v>
      </c>
      <c r="G50" s="119"/>
      <c r="H50" s="96" t="s">
        <v>110</v>
      </c>
      <c r="I50" s="96" t="s">
        <v>110</v>
      </c>
      <c r="J50" s="96" t="s">
        <v>110</v>
      </c>
      <c r="K50" s="96" t="s">
        <v>110</v>
      </c>
      <c r="L50" s="96" t="s">
        <v>110</v>
      </c>
      <c r="M50" s="96" t="s">
        <v>110</v>
      </c>
      <c r="N50" s="119"/>
      <c r="O50" s="96" t="s">
        <v>110</v>
      </c>
      <c r="P50" s="96" t="s">
        <v>110</v>
      </c>
      <c r="Q50" s="96" t="s">
        <v>110</v>
      </c>
      <c r="R50" s="96" t="s">
        <v>110</v>
      </c>
      <c r="S50" s="96" t="s">
        <v>110</v>
      </c>
      <c r="T50" s="140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2"/>
      <c r="AK50" s="5">
        <f t="shared" si="1"/>
        <v>12</v>
      </c>
      <c r="AL50" s="5">
        <f t="shared" si="2"/>
        <v>0</v>
      </c>
    </row>
    <row r="51" spans="1:38" ht="16.5" x14ac:dyDescent="0.25">
      <c r="A51" s="9">
        <v>24</v>
      </c>
      <c r="B51" s="11">
        <v>184</v>
      </c>
      <c r="C51" s="7" t="s">
        <v>108</v>
      </c>
      <c r="D51" s="7" t="s">
        <v>109</v>
      </c>
      <c r="E51" s="8" t="s">
        <v>6</v>
      </c>
      <c r="F51" s="96" t="s">
        <v>110</v>
      </c>
      <c r="G51" s="119"/>
      <c r="H51" s="96" t="s">
        <v>110</v>
      </c>
      <c r="I51" s="96" t="s">
        <v>110</v>
      </c>
      <c r="J51" s="96" t="s">
        <v>110</v>
      </c>
      <c r="K51" s="96" t="s">
        <v>110</v>
      </c>
      <c r="L51" s="96" t="s">
        <v>110</v>
      </c>
      <c r="M51" s="96" t="s">
        <v>110</v>
      </c>
      <c r="N51" s="119"/>
      <c r="O51" s="96" t="s">
        <v>110</v>
      </c>
      <c r="P51" s="96" t="s">
        <v>110</v>
      </c>
      <c r="Q51" s="96" t="s">
        <v>110</v>
      </c>
      <c r="R51" s="96" t="s">
        <v>110</v>
      </c>
      <c r="S51" s="96" t="s">
        <v>110</v>
      </c>
      <c r="T51" s="140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2"/>
      <c r="AK51" s="5">
        <f t="shared" si="1"/>
        <v>12</v>
      </c>
      <c r="AL51" s="5">
        <f t="shared" si="2"/>
        <v>0</v>
      </c>
    </row>
    <row r="52" spans="1:38" ht="16.5" x14ac:dyDescent="0.25">
      <c r="A52" s="9">
        <v>25</v>
      </c>
      <c r="B52" s="11">
        <v>185</v>
      </c>
      <c r="C52" s="14" t="s">
        <v>111</v>
      </c>
      <c r="D52" s="14" t="s">
        <v>27</v>
      </c>
      <c r="E52" s="8" t="s">
        <v>6</v>
      </c>
      <c r="F52" s="96" t="s">
        <v>110</v>
      </c>
      <c r="G52" s="119"/>
      <c r="H52" s="96" t="s">
        <v>110</v>
      </c>
      <c r="I52" s="96" t="s">
        <v>110</v>
      </c>
      <c r="J52" s="96" t="s">
        <v>110</v>
      </c>
      <c r="K52" s="96" t="s">
        <v>110</v>
      </c>
      <c r="L52" s="96" t="s">
        <v>110</v>
      </c>
      <c r="M52" s="96" t="s">
        <v>110</v>
      </c>
      <c r="N52" s="119"/>
      <c r="O52" s="96" t="s">
        <v>110</v>
      </c>
      <c r="P52" s="96" t="s">
        <v>110</v>
      </c>
      <c r="Q52" s="96" t="s">
        <v>110</v>
      </c>
      <c r="R52" s="96" t="s">
        <v>110</v>
      </c>
      <c r="S52" s="96" t="s">
        <v>110</v>
      </c>
      <c r="T52" s="140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2"/>
      <c r="AK52" s="5">
        <f t="shared" si="1"/>
        <v>12</v>
      </c>
      <c r="AL52" s="5">
        <f t="shared" si="2"/>
        <v>0</v>
      </c>
    </row>
    <row r="53" spans="1:38" ht="16.5" x14ac:dyDescent="0.25">
      <c r="A53" s="9">
        <v>26</v>
      </c>
      <c r="B53" s="11">
        <v>186</v>
      </c>
      <c r="C53" s="14" t="s">
        <v>103</v>
      </c>
      <c r="D53" s="14" t="s">
        <v>104</v>
      </c>
      <c r="E53" s="8" t="s">
        <v>6</v>
      </c>
      <c r="F53" s="96" t="s">
        <v>110</v>
      </c>
      <c r="G53" s="119"/>
      <c r="H53" s="96" t="s">
        <v>110</v>
      </c>
      <c r="I53" s="96" t="s">
        <v>110</v>
      </c>
      <c r="J53" s="96" t="s">
        <v>110</v>
      </c>
      <c r="K53" s="96" t="s">
        <v>110</v>
      </c>
      <c r="L53" s="96" t="s">
        <v>110</v>
      </c>
      <c r="M53" s="96" t="s">
        <v>110</v>
      </c>
      <c r="N53" s="119"/>
      <c r="O53" s="96" t="s">
        <v>110</v>
      </c>
      <c r="P53" s="96" t="s">
        <v>110</v>
      </c>
      <c r="Q53" s="96" t="s">
        <v>110</v>
      </c>
      <c r="R53" s="96" t="s">
        <v>110</v>
      </c>
      <c r="S53" s="96" t="s">
        <v>110</v>
      </c>
      <c r="T53" s="140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2"/>
      <c r="AK53" s="5">
        <f t="shared" si="1"/>
        <v>12</v>
      </c>
      <c r="AL53" s="5">
        <f t="shared" si="2"/>
        <v>0</v>
      </c>
    </row>
    <row r="54" spans="1:38" ht="16.5" x14ac:dyDescent="0.25">
      <c r="A54" s="9">
        <v>27</v>
      </c>
      <c r="B54" s="11">
        <v>187</v>
      </c>
      <c r="C54" s="14" t="s">
        <v>112</v>
      </c>
      <c r="D54" s="14" t="s">
        <v>113</v>
      </c>
      <c r="E54" s="8" t="s">
        <v>6</v>
      </c>
      <c r="F54" s="96" t="s">
        <v>110</v>
      </c>
      <c r="G54" s="119"/>
      <c r="H54" s="96" t="s">
        <v>110</v>
      </c>
      <c r="I54" s="96" t="s">
        <v>110</v>
      </c>
      <c r="J54" s="96" t="s">
        <v>110</v>
      </c>
      <c r="K54" s="96" t="s">
        <v>110</v>
      </c>
      <c r="L54" s="96" t="s">
        <v>110</v>
      </c>
      <c r="M54" s="96" t="s">
        <v>110</v>
      </c>
      <c r="N54" s="119"/>
      <c r="O54" s="96" t="s">
        <v>110</v>
      </c>
      <c r="P54" s="96" t="s">
        <v>110</v>
      </c>
      <c r="Q54" s="96" t="s">
        <v>110</v>
      </c>
      <c r="R54" s="96" t="s">
        <v>110</v>
      </c>
      <c r="S54" s="96" t="s">
        <v>110</v>
      </c>
      <c r="T54" s="140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2"/>
      <c r="AK54" s="5">
        <f t="shared" si="1"/>
        <v>12</v>
      </c>
      <c r="AL54" s="5">
        <f t="shared" si="2"/>
        <v>0</v>
      </c>
    </row>
    <row r="55" spans="1:38" ht="16.5" x14ac:dyDescent="0.25">
      <c r="A55" s="9">
        <v>28</v>
      </c>
      <c r="B55" s="11">
        <v>188</v>
      </c>
      <c r="C55" s="14" t="s">
        <v>114</v>
      </c>
      <c r="D55" s="14" t="s">
        <v>115</v>
      </c>
      <c r="E55" s="8" t="s">
        <v>6</v>
      </c>
      <c r="F55" s="96" t="s">
        <v>110</v>
      </c>
      <c r="G55" s="119"/>
      <c r="H55" s="96" t="s">
        <v>110</v>
      </c>
      <c r="I55" s="96" t="s">
        <v>110</v>
      </c>
      <c r="J55" s="96" t="s">
        <v>110</v>
      </c>
      <c r="K55" s="96" t="s">
        <v>110</v>
      </c>
      <c r="L55" s="96" t="s">
        <v>110</v>
      </c>
      <c r="M55" s="96" t="s">
        <v>110</v>
      </c>
      <c r="N55" s="119"/>
      <c r="O55" s="96" t="s">
        <v>110</v>
      </c>
      <c r="P55" s="96" t="s">
        <v>110</v>
      </c>
      <c r="Q55" s="96" t="s">
        <v>110</v>
      </c>
      <c r="R55" s="96" t="s">
        <v>110</v>
      </c>
      <c r="S55" s="96" t="s">
        <v>110</v>
      </c>
      <c r="T55" s="140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2"/>
      <c r="AK55" s="5">
        <f t="shared" si="1"/>
        <v>12</v>
      </c>
      <c r="AL55" s="5">
        <f t="shared" si="2"/>
        <v>0</v>
      </c>
    </row>
    <row r="56" spans="1:38" ht="16.5" x14ac:dyDescent="0.25">
      <c r="A56" s="9">
        <v>29</v>
      </c>
      <c r="B56" s="11">
        <v>177</v>
      </c>
      <c r="C56" s="14" t="s">
        <v>119</v>
      </c>
      <c r="D56" s="14" t="s">
        <v>118</v>
      </c>
      <c r="E56" s="8" t="s">
        <v>6</v>
      </c>
      <c r="F56" s="96" t="s">
        <v>110</v>
      </c>
      <c r="G56" s="119"/>
      <c r="H56" s="96" t="s">
        <v>110</v>
      </c>
      <c r="I56" s="96" t="s">
        <v>110</v>
      </c>
      <c r="J56" s="96" t="s">
        <v>110</v>
      </c>
      <c r="K56" s="96" t="s">
        <v>110</v>
      </c>
      <c r="L56" s="96" t="s">
        <v>110</v>
      </c>
      <c r="M56" s="96" t="s">
        <v>110</v>
      </c>
      <c r="N56" s="119"/>
      <c r="O56" s="96" t="s">
        <v>110</v>
      </c>
      <c r="P56" s="96" t="s">
        <v>110</v>
      </c>
      <c r="Q56" s="96" t="s">
        <v>110</v>
      </c>
      <c r="R56" s="96" t="s">
        <v>110</v>
      </c>
      <c r="S56" s="96" t="s">
        <v>110</v>
      </c>
      <c r="T56" s="140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2"/>
      <c r="AK56" s="5">
        <f t="shared" si="1"/>
        <v>12</v>
      </c>
      <c r="AL56" s="5">
        <f t="shared" si="2"/>
        <v>0</v>
      </c>
    </row>
    <row r="57" spans="1:38" ht="16.5" x14ac:dyDescent="0.25">
      <c r="A57" s="9">
        <v>30</v>
      </c>
      <c r="B57" s="11">
        <v>191</v>
      </c>
      <c r="C57" s="7" t="s">
        <v>100</v>
      </c>
      <c r="D57" s="7" t="s">
        <v>101</v>
      </c>
      <c r="E57" s="8" t="s">
        <v>6</v>
      </c>
      <c r="F57" s="96" t="s">
        <v>110</v>
      </c>
      <c r="G57" s="120"/>
      <c r="H57" s="96" t="s">
        <v>110</v>
      </c>
      <c r="I57" s="96" t="s">
        <v>110</v>
      </c>
      <c r="J57" s="96" t="s">
        <v>110</v>
      </c>
      <c r="K57" s="96" t="s">
        <v>110</v>
      </c>
      <c r="L57" s="96" t="s">
        <v>110</v>
      </c>
      <c r="M57" s="96" t="s">
        <v>110</v>
      </c>
      <c r="N57" s="120"/>
      <c r="O57" s="96" t="s">
        <v>110</v>
      </c>
      <c r="P57" s="96" t="s">
        <v>110</v>
      </c>
      <c r="Q57" s="96" t="s">
        <v>110</v>
      </c>
      <c r="R57" s="96" t="s">
        <v>110</v>
      </c>
      <c r="S57" s="96" t="s">
        <v>110</v>
      </c>
      <c r="T57" s="143"/>
      <c r="U57" s="144"/>
      <c r="V57" s="144"/>
      <c r="W57" s="144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5"/>
      <c r="AK57" s="5">
        <f t="shared" si="1"/>
        <v>12</v>
      </c>
      <c r="AL57" s="5">
        <f t="shared" si="2"/>
        <v>0</v>
      </c>
    </row>
  </sheetData>
  <mergeCells count="15">
    <mergeCell ref="A1:AL1"/>
    <mergeCell ref="AK3:AK4"/>
    <mergeCell ref="AL3:AL4"/>
    <mergeCell ref="A2:AL2"/>
    <mergeCell ref="A3:A4"/>
    <mergeCell ref="B3:B4"/>
    <mergeCell ref="C3:C4"/>
    <mergeCell ref="D3:D4"/>
    <mergeCell ref="E3:E4"/>
    <mergeCell ref="AM3:AN3"/>
    <mergeCell ref="AM11:AP11"/>
    <mergeCell ref="AM19:AP19"/>
    <mergeCell ref="G5:G57"/>
    <mergeCell ref="N5:N57"/>
    <mergeCell ref="T5:AJ57"/>
  </mergeCells>
  <conditionalFormatting sqref="F3:AJ4 G5 F5:F57 H5:M57 N5:T5 O6:S57">
    <cfRule type="expression" dxfId="365" priority="23">
      <formula>F$3="SUN"</formula>
    </cfRule>
  </conditionalFormatting>
  <conditionalFormatting sqref="F3:AJ4">
    <cfRule type="expression" dxfId="364" priority="24">
      <formula>F$4=TODAY()</formula>
    </cfRule>
  </conditionalFormatting>
  <conditionalFormatting sqref="G5 F5:F57 H5:M57 N5:T5 O6:S57">
    <cfRule type="cellIs" dxfId="363" priority="26" operator="equal">
      <formula>"L"</formula>
    </cfRule>
    <cfRule type="cellIs" dxfId="362" priority="27" operator="equal">
      <formula>"A"</formula>
    </cfRule>
    <cfRule type="cellIs" dxfId="361" priority="28" operator="equal">
      <formula>"P"</formula>
    </cfRule>
    <cfRule type="expression" dxfId="360" priority="30">
      <formula>#REF!=TODAY()</formula>
    </cfRule>
  </conditionalFormatting>
  <conditionalFormatting sqref="AK3:AL3 AK5:AL57">
    <cfRule type="expression" dxfId="359" priority="25">
      <formula>#REF!="Sun"</formula>
    </cfRule>
  </conditionalFormatting>
  <conditionalFormatting sqref="AM5:AM9">
    <cfRule type="expression" dxfId="358" priority="14">
      <formula>AM$3="Sun"</formula>
    </cfRule>
  </conditionalFormatting>
  <conditionalFormatting sqref="AM12:AM15">
    <cfRule type="expression" dxfId="357" priority="12">
      <formula>AM$3="Sun"</formula>
    </cfRule>
  </conditionalFormatting>
  <conditionalFormatting sqref="AM20:AM23">
    <cfRule type="expression" dxfId="356" priority="11">
      <formula>AM$3="Sun"</formula>
    </cfRule>
  </conditionalFormatting>
  <conditionalFormatting sqref="AM4:AN4">
    <cfRule type="expression" dxfId="355" priority="15">
      <formula>AM$3="Sun"</formula>
    </cfRule>
  </conditionalFormatting>
  <conditionalFormatting sqref="AN12:AP12 AN20:AP20">
    <cfRule type="expression" dxfId="354" priority="16">
      <formula>AN$3="Sun"</formula>
    </cfRule>
  </conditionalFormatting>
  <conditionalFormatting sqref="AP21">
    <cfRule type="expression" dxfId="353" priority="13">
      <formula>AP$3="Sun"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60"/>
  <sheetViews>
    <sheetView topLeftCell="E1" workbookViewId="0">
      <selection activeCell="AM5" sqref="AM5:AN7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8.7109375" style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3.7109375" style="1" bestFit="1" customWidth="1"/>
    <col min="15" max="15" width="3.85546875" style="1" bestFit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/>
    <col min="28" max="28" width="4.5703125" style="1" bestFit="1" customWidth="1"/>
    <col min="29" max="30" width="3.85546875" style="1" bestFit="1"/>
    <col min="31" max="31" width="3.85546875" style="1" bestFit="1" customWidth="1"/>
    <col min="32" max="32" width="3.85546875" style="1" bestFit="1"/>
    <col min="33" max="34" width="3.7109375" style="1" bestFit="1" customWidth="1"/>
    <col min="35" max="35" width="3.7109375" style="1" customWidth="1"/>
    <col min="36" max="36" width="3.85546875" style="1" bestFit="1"/>
    <col min="37" max="37" width="6.7109375" style="1" bestFit="1" customWidth="1"/>
    <col min="38" max="38" width="6.7109375" style="1" customWidth="1"/>
    <col min="39" max="39" width="18.5703125" style="1" bestFit="1" customWidth="1"/>
    <col min="40" max="41" width="5.140625" style="1" bestFit="1" customWidth="1"/>
    <col min="42" max="42" width="5.42578125" style="1" bestFit="1" customWidth="1"/>
    <col min="43" max="16384" width="3.85546875" style="1"/>
  </cols>
  <sheetData>
    <row r="1" spans="1:42" ht="17.25" x14ac:dyDescent="0.25">
      <c r="A1" s="128" t="s">
        <v>18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30"/>
    </row>
    <row r="2" spans="1:42" ht="17.25" x14ac:dyDescent="0.3">
      <c r="A2" s="131" t="s">
        <v>795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3"/>
    </row>
    <row r="3" spans="1:42" ht="15.75" x14ac:dyDescent="0.25">
      <c r="A3" s="126" t="s">
        <v>0</v>
      </c>
      <c r="B3" s="126" t="s">
        <v>789</v>
      </c>
      <c r="C3" s="126" t="s">
        <v>1</v>
      </c>
      <c r="D3" s="126" t="s">
        <v>2</v>
      </c>
      <c r="E3" s="126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22" t="s">
        <v>4</v>
      </c>
      <c r="AL3" s="122" t="s">
        <v>5</v>
      </c>
      <c r="AM3" s="115" t="s">
        <v>120</v>
      </c>
      <c r="AN3" s="116"/>
      <c r="AO3" s="3"/>
      <c r="AP3" s="3"/>
    </row>
    <row r="4" spans="1:42" ht="37.5" x14ac:dyDescent="0.25">
      <c r="A4" s="126"/>
      <c r="B4" s="126"/>
      <c r="C4" s="126"/>
      <c r="D4" s="126"/>
      <c r="E4" s="126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22"/>
      <c r="AL4" s="122"/>
      <c r="AM4" s="5" t="s">
        <v>121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106</v>
      </c>
      <c r="C5" s="98" t="s">
        <v>123</v>
      </c>
      <c r="D5" s="98" t="s">
        <v>124</v>
      </c>
      <c r="E5" s="8" t="s">
        <v>6</v>
      </c>
      <c r="F5" s="96" t="s">
        <v>110</v>
      </c>
      <c r="G5" s="127" t="s">
        <v>321</v>
      </c>
      <c r="H5" s="96" t="s">
        <v>110</v>
      </c>
      <c r="I5" s="96" t="s">
        <v>110</v>
      </c>
      <c r="J5" s="100" t="s">
        <v>110</v>
      </c>
      <c r="K5" s="96" t="s">
        <v>110</v>
      </c>
      <c r="L5" s="96" t="s">
        <v>110</v>
      </c>
      <c r="M5" s="96" t="s">
        <v>110</v>
      </c>
      <c r="N5" s="127" t="s">
        <v>321</v>
      </c>
      <c r="O5" s="96" t="s">
        <v>110</v>
      </c>
      <c r="P5" s="96" t="s">
        <v>110</v>
      </c>
      <c r="Q5" s="96" t="s">
        <v>110</v>
      </c>
      <c r="R5" s="96" t="s">
        <v>110</v>
      </c>
      <c r="S5" s="96" t="s">
        <v>110</v>
      </c>
      <c r="T5" s="137" t="s">
        <v>803</v>
      </c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9"/>
      <c r="AK5" s="5">
        <f t="shared" ref="AK5:AK60" si="1">COUNTIF(F5:AJ5,"P")</f>
        <v>12</v>
      </c>
      <c r="AL5" s="5">
        <f t="shared" ref="AL5:AL60" si="2">COUNTIF(F5:AJ5,"A")</f>
        <v>0</v>
      </c>
      <c r="AM5" s="5" t="s">
        <v>7</v>
      </c>
      <c r="AN5" s="9">
        <v>12</v>
      </c>
      <c r="AO5" s="10"/>
      <c r="AP5" s="3"/>
    </row>
    <row r="6" spans="1:42" ht="16.5" x14ac:dyDescent="0.25">
      <c r="A6" s="9">
        <v>2</v>
      </c>
      <c r="B6" s="11">
        <v>75</v>
      </c>
      <c r="C6" s="98" t="s">
        <v>125</v>
      </c>
      <c r="D6" s="98" t="s">
        <v>126</v>
      </c>
      <c r="E6" s="8" t="s">
        <v>6</v>
      </c>
      <c r="F6" s="96" t="s">
        <v>110</v>
      </c>
      <c r="G6" s="127"/>
      <c r="H6" s="96" t="s">
        <v>110</v>
      </c>
      <c r="I6" s="96" t="s">
        <v>110</v>
      </c>
      <c r="J6" s="96" t="s">
        <v>110</v>
      </c>
      <c r="K6" s="96" t="s">
        <v>110</v>
      </c>
      <c r="L6" s="96" t="s">
        <v>110</v>
      </c>
      <c r="M6" s="96" t="s">
        <v>110</v>
      </c>
      <c r="N6" s="127"/>
      <c r="O6" s="96" t="s">
        <v>110</v>
      </c>
      <c r="P6" s="96" t="s">
        <v>110</v>
      </c>
      <c r="Q6" s="96" t="s">
        <v>110</v>
      </c>
      <c r="R6" s="96" t="s">
        <v>110</v>
      </c>
      <c r="S6" s="96" t="s">
        <v>110</v>
      </c>
      <c r="T6" s="140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2"/>
      <c r="AK6" s="5">
        <f t="shared" si="1"/>
        <v>12</v>
      </c>
      <c r="AL6" s="5">
        <f t="shared" si="2"/>
        <v>0</v>
      </c>
      <c r="AM6" s="5" t="s">
        <v>8</v>
      </c>
      <c r="AN6" s="9">
        <v>2</v>
      </c>
      <c r="AO6" s="3"/>
      <c r="AP6" s="3"/>
    </row>
    <row r="7" spans="1:42" ht="16.5" x14ac:dyDescent="0.25">
      <c r="A7" s="9">
        <v>3</v>
      </c>
      <c r="B7" s="11">
        <v>109</v>
      </c>
      <c r="C7" s="98" t="s">
        <v>127</v>
      </c>
      <c r="D7" s="98" t="s">
        <v>97</v>
      </c>
      <c r="E7" s="8" t="s">
        <v>6</v>
      </c>
      <c r="F7" s="96" t="s">
        <v>110</v>
      </c>
      <c r="G7" s="127"/>
      <c r="H7" s="96" t="s">
        <v>110</v>
      </c>
      <c r="I7" s="96" t="s">
        <v>110</v>
      </c>
      <c r="J7" s="96" t="s">
        <v>110</v>
      </c>
      <c r="K7" s="96" t="s">
        <v>110</v>
      </c>
      <c r="L7" s="96" t="s">
        <v>110</v>
      </c>
      <c r="M7" s="96" t="s">
        <v>110</v>
      </c>
      <c r="N7" s="127"/>
      <c r="O7" s="96" t="s">
        <v>110</v>
      </c>
      <c r="P7" s="96" t="s">
        <v>110</v>
      </c>
      <c r="Q7" s="96" t="s">
        <v>110</v>
      </c>
      <c r="R7" s="96" t="s">
        <v>110</v>
      </c>
      <c r="S7" s="96" t="s">
        <v>110</v>
      </c>
      <c r="T7" s="140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2"/>
      <c r="AK7" s="5">
        <f t="shared" si="1"/>
        <v>12</v>
      </c>
      <c r="AL7" s="5">
        <f t="shared" si="2"/>
        <v>0</v>
      </c>
      <c r="AM7" s="5" t="s">
        <v>803</v>
      </c>
      <c r="AN7" s="9">
        <v>17</v>
      </c>
      <c r="AO7" s="3"/>
      <c r="AP7" s="3"/>
    </row>
    <row r="8" spans="1:42" ht="16.5" x14ac:dyDescent="0.25">
      <c r="A8" s="9">
        <v>4</v>
      </c>
      <c r="B8" s="11">
        <v>49</v>
      </c>
      <c r="C8" s="98" t="s">
        <v>128</v>
      </c>
      <c r="D8" s="98" t="s">
        <v>129</v>
      </c>
      <c r="E8" s="8" t="s">
        <v>6</v>
      </c>
      <c r="F8" s="96" t="s">
        <v>110</v>
      </c>
      <c r="G8" s="127"/>
      <c r="H8" s="96" t="s">
        <v>110</v>
      </c>
      <c r="I8" s="96" t="s">
        <v>110</v>
      </c>
      <c r="J8" s="96" t="s">
        <v>110</v>
      </c>
      <c r="K8" s="96" t="s">
        <v>110</v>
      </c>
      <c r="L8" s="96" t="s">
        <v>110</v>
      </c>
      <c r="M8" s="96" t="s">
        <v>110</v>
      </c>
      <c r="N8" s="127"/>
      <c r="O8" s="96" t="s">
        <v>110</v>
      </c>
      <c r="P8" s="96" t="s">
        <v>110</v>
      </c>
      <c r="Q8" s="96" t="s">
        <v>110</v>
      </c>
      <c r="R8" s="96" t="s">
        <v>110</v>
      </c>
      <c r="S8" s="96" t="s">
        <v>110</v>
      </c>
      <c r="T8" s="140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2"/>
      <c r="AK8" s="5">
        <f t="shared" si="1"/>
        <v>12</v>
      </c>
      <c r="AL8" s="5">
        <f t="shared" si="2"/>
        <v>0</v>
      </c>
      <c r="AM8" s="5"/>
      <c r="AN8" s="9"/>
      <c r="AO8"/>
      <c r="AP8"/>
    </row>
    <row r="9" spans="1:42" ht="16.5" x14ac:dyDescent="0.25">
      <c r="A9" s="9">
        <v>5</v>
      </c>
      <c r="B9" s="11">
        <v>104</v>
      </c>
      <c r="C9" s="98" t="s">
        <v>130</v>
      </c>
      <c r="D9" s="98" t="s">
        <v>131</v>
      </c>
      <c r="E9" s="8" t="s">
        <v>6</v>
      </c>
      <c r="F9" s="96" t="s">
        <v>110</v>
      </c>
      <c r="G9" s="127"/>
      <c r="H9" s="96" t="s">
        <v>110</v>
      </c>
      <c r="I9" s="96" t="s">
        <v>110</v>
      </c>
      <c r="J9" s="101" t="s">
        <v>110</v>
      </c>
      <c r="K9" s="96" t="s">
        <v>110</v>
      </c>
      <c r="L9" s="96" t="s">
        <v>110</v>
      </c>
      <c r="M9" s="96" t="s">
        <v>110</v>
      </c>
      <c r="N9" s="127"/>
      <c r="O9" s="96" t="s">
        <v>110</v>
      </c>
      <c r="P9" s="96" t="s">
        <v>110</v>
      </c>
      <c r="Q9" s="96" t="s">
        <v>110</v>
      </c>
      <c r="R9" s="96" t="s">
        <v>110</v>
      </c>
      <c r="S9" s="96" t="s">
        <v>110</v>
      </c>
      <c r="T9" s="140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2"/>
      <c r="AK9" s="5">
        <f t="shared" si="1"/>
        <v>12</v>
      </c>
      <c r="AL9" s="5">
        <f t="shared" si="2"/>
        <v>0</v>
      </c>
      <c r="AM9" s="5"/>
      <c r="AN9" s="9"/>
    </row>
    <row r="10" spans="1:42" ht="16.5" x14ac:dyDescent="0.25">
      <c r="A10" s="9">
        <v>6</v>
      </c>
      <c r="B10" s="11">
        <v>88</v>
      </c>
      <c r="C10" s="98" t="s">
        <v>132</v>
      </c>
      <c r="D10" s="98" t="s">
        <v>133</v>
      </c>
      <c r="E10" s="8" t="s">
        <v>6</v>
      </c>
      <c r="F10" s="96" t="s">
        <v>110</v>
      </c>
      <c r="G10" s="127"/>
      <c r="H10" s="96" t="s">
        <v>110</v>
      </c>
      <c r="I10" s="96" t="s">
        <v>110</v>
      </c>
      <c r="J10" s="96" t="s">
        <v>110</v>
      </c>
      <c r="K10" s="96" t="s">
        <v>110</v>
      </c>
      <c r="L10" s="96" t="s">
        <v>110</v>
      </c>
      <c r="M10" s="96" t="s">
        <v>110</v>
      </c>
      <c r="N10" s="127"/>
      <c r="O10" s="96" t="s">
        <v>110</v>
      </c>
      <c r="P10" s="96" t="s">
        <v>110</v>
      </c>
      <c r="Q10" s="96" t="s">
        <v>110</v>
      </c>
      <c r="R10" s="96" t="s">
        <v>110</v>
      </c>
      <c r="S10" s="96" t="s">
        <v>110</v>
      </c>
      <c r="T10" s="140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2"/>
      <c r="AK10" s="5">
        <f t="shared" si="1"/>
        <v>12</v>
      </c>
      <c r="AL10" s="5">
        <f t="shared" si="2"/>
        <v>0</v>
      </c>
    </row>
    <row r="11" spans="1:42" ht="16.5" x14ac:dyDescent="0.25">
      <c r="A11" s="9">
        <v>7</v>
      </c>
      <c r="B11" s="11">
        <v>59</v>
      </c>
      <c r="C11" s="98" t="s">
        <v>134</v>
      </c>
      <c r="D11" s="98" t="s">
        <v>135</v>
      </c>
      <c r="E11" s="8" t="s">
        <v>6</v>
      </c>
      <c r="F11" s="96" t="s">
        <v>110</v>
      </c>
      <c r="G11" s="127"/>
      <c r="H11" s="96" t="s">
        <v>110</v>
      </c>
      <c r="I11" s="96" t="s">
        <v>110</v>
      </c>
      <c r="J11" s="96" t="s">
        <v>110</v>
      </c>
      <c r="K11" s="96" t="s">
        <v>110</v>
      </c>
      <c r="L11" s="96" t="s">
        <v>110</v>
      </c>
      <c r="M11" s="96" t="s">
        <v>110</v>
      </c>
      <c r="N11" s="127"/>
      <c r="O11" s="96" t="s">
        <v>110</v>
      </c>
      <c r="P11" s="96" t="s">
        <v>110</v>
      </c>
      <c r="Q11" s="96" t="s">
        <v>110</v>
      </c>
      <c r="R11" s="96" t="s">
        <v>110</v>
      </c>
      <c r="S11" s="96" t="s">
        <v>110</v>
      </c>
      <c r="T11" s="140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2"/>
      <c r="AK11" s="5">
        <f t="shared" si="1"/>
        <v>12</v>
      </c>
      <c r="AL11" s="5">
        <f t="shared" si="2"/>
        <v>0</v>
      </c>
      <c r="AM11" s="115" t="s">
        <v>9</v>
      </c>
      <c r="AN11" s="116"/>
      <c r="AO11" s="116"/>
      <c r="AP11" s="117"/>
    </row>
    <row r="12" spans="1:42" ht="16.5" x14ac:dyDescent="0.25">
      <c r="A12" s="9">
        <v>8</v>
      </c>
      <c r="B12" s="11">
        <v>83</v>
      </c>
      <c r="C12" s="98" t="s">
        <v>136</v>
      </c>
      <c r="D12" s="98" t="s">
        <v>137</v>
      </c>
      <c r="E12" s="8" t="s">
        <v>6</v>
      </c>
      <c r="F12" s="96" t="s">
        <v>110</v>
      </c>
      <c r="G12" s="127"/>
      <c r="H12" s="96" t="s">
        <v>110</v>
      </c>
      <c r="I12" s="96" t="s">
        <v>110</v>
      </c>
      <c r="J12" s="96" t="s">
        <v>110</v>
      </c>
      <c r="K12" s="96" t="s">
        <v>110</v>
      </c>
      <c r="L12" s="96" t="s">
        <v>110</v>
      </c>
      <c r="M12" s="96" t="s">
        <v>110</v>
      </c>
      <c r="N12" s="127"/>
      <c r="O12" s="96" t="s">
        <v>110</v>
      </c>
      <c r="P12" s="96" t="s">
        <v>110</v>
      </c>
      <c r="Q12" s="96" t="s">
        <v>110</v>
      </c>
      <c r="R12" s="96" t="s">
        <v>110</v>
      </c>
      <c r="S12" s="96" t="s">
        <v>110</v>
      </c>
      <c r="T12" s="140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2"/>
      <c r="AK12" s="5">
        <f t="shared" si="1"/>
        <v>12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11">
        <v>89</v>
      </c>
      <c r="C13" s="98" t="s">
        <v>138</v>
      </c>
      <c r="D13" s="98" t="s">
        <v>139</v>
      </c>
      <c r="E13" s="8" t="s">
        <v>6</v>
      </c>
      <c r="F13" s="96" t="s">
        <v>110</v>
      </c>
      <c r="G13" s="127"/>
      <c r="H13" s="96" t="s">
        <v>110</v>
      </c>
      <c r="I13" s="96" t="s">
        <v>110</v>
      </c>
      <c r="J13" s="96" t="s">
        <v>110</v>
      </c>
      <c r="K13" s="96" t="s">
        <v>110</v>
      </c>
      <c r="L13" s="96" t="s">
        <v>110</v>
      </c>
      <c r="M13" s="96" t="s">
        <v>110</v>
      </c>
      <c r="N13" s="127"/>
      <c r="O13" s="96" t="s">
        <v>110</v>
      </c>
      <c r="P13" s="96" t="s">
        <v>110</v>
      </c>
      <c r="Q13" s="96" t="s">
        <v>110</v>
      </c>
      <c r="R13" s="96" t="s">
        <v>110</v>
      </c>
      <c r="S13" s="96" t="s">
        <v>110</v>
      </c>
      <c r="T13" s="140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2"/>
      <c r="AK13" s="5">
        <f t="shared" si="1"/>
        <v>12</v>
      </c>
      <c r="AL13" s="5">
        <f t="shared" si="2"/>
        <v>0</v>
      </c>
      <c r="AM13" s="5" t="s">
        <v>14</v>
      </c>
      <c r="AN13" s="9">
        <f>32*$AN$5</f>
        <v>384</v>
      </c>
      <c r="AO13" s="9">
        <f>24*$AN$5</f>
        <v>288</v>
      </c>
      <c r="AP13" s="9">
        <f>SUM(AN13:AO13)</f>
        <v>672</v>
      </c>
    </row>
    <row r="14" spans="1:42" ht="16.5" x14ac:dyDescent="0.25">
      <c r="A14" s="9">
        <v>10</v>
      </c>
      <c r="B14" s="97">
        <v>86</v>
      </c>
      <c r="C14" s="98" t="s">
        <v>140</v>
      </c>
      <c r="D14" s="98" t="s">
        <v>141</v>
      </c>
      <c r="E14" s="8" t="s">
        <v>6</v>
      </c>
      <c r="F14" s="96" t="s">
        <v>110</v>
      </c>
      <c r="G14" s="127"/>
      <c r="H14" s="96" t="s">
        <v>110</v>
      </c>
      <c r="I14" s="96" t="s">
        <v>110</v>
      </c>
      <c r="J14" s="96" t="s">
        <v>110</v>
      </c>
      <c r="K14" s="96" t="s">
        <v>110</v>
      </c>
      <c r="L14" s="96" t="s">
        <v>110</v>
      </c>
      <c r="M14" s="96" t="s">
        <v>110</v>
      </c>
      <c r="N14" s="127"/>
      <c r="O14" s="96" t="s">
        <v>110</v>
      </c>
      <c r="P14" s="96" t="s">
        <v>110</v>
      </c>
      <c r="Q14" s="96" t="s">
        <v>110</v>
      </c>
      <c r="R14" s="96" t="s">
        <v>110</v>
      </c>
      <c r="S14" s="96" t="s">
        <v>110</v>
      </c>
      <c r="T14" s="140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2"/>
      <c r="AK14" s="5">
        <f t="shared" si="1"/>
        <v>12</v>
      </c>
      <c r="AL14" s="5">
        <f t="shared" si="2"/>
        <v>0</v>
      </c>
      <c r="AM14" s="5" t="s">
        <v>15</v>
      </c>
      <c r="AN14" s="9">
        <f>SUM(AK29:AK60)</f>
        <v>378</v>
      </c>
      <c r="AO14" s="9">
        <f>SUM(AK5:AK28)</f>
        <v>286</v>
      </c>
      <c r="AP14" s="9">
        <f>AN14+AO14</f>
        <v>664</v>
      </c>
    </row>
    <row r="15" spans="1:42" ht="16.5" x14ac:dyDescent="0.25">
      <c r="A15" s="9">
        <v>11</v>
      </c>
      <c r="B15" s="97">
        <v>105</v>
      </c>
      <c r="C15" s="98" t="s">
        <v>142</v>
      </c>
      <c r="D15" s="98" t="s">
        <v>143</v>
      </c>
      <c r="E15" s="8" t="s">
        <v>6</v>
      </c>
      <c r="F15" s="96" t="s">
        <v>110</v>
      </c>
      <c r="G15" s="127"/>
      <c r="H15" s="96" t="s">
        <v>110</v>
      </c>
      <c r="I15" s="96" t="s">
        <v>110</v>
      </c>
      <c r="J15" s="96" t="s">
        <v>110</v>
      </c>
      <c r="K15" s="96" t="s">
        <v>110</v>
      </c>
      <c r="L15" s="96" t="s">
        <v>110</v>
      </c>
      <c r="M15" s="96" t="s">
        <v>110</v>
      </c>
      <c r="N15" s="127"/>
      <c r="O15" s="96" t="s">
        <v>110</v>
      </c>
      <c r="P15" s="96" t="s">
        <v>110</v>
      </c>
      <c r="Q15" s="96" t="s">
        <v>110</v>
      </c>
      <c r="R15" s="96" t="s">
        <v>110</v>
      </c>
      <c r="S15" s="96" t="s">
        <v>110</v>
      </c>
      <c r="T15" s="140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2"/>
      <c r="AK15" s="5">
        <f t="shared" si="1"/>
        <v>12</v>
      </c>
      <c r="AL15" s="5">
        <f t="shared" si="2"/>
        <v>0</v>
      </c>
      <c r="AM15" s="5" t="s">
        <v>16</v>
      </c>
      <c r="AN15" s="12">
        <f>AN14/AN13</f>
        <v>0.984375</v>
      </c>
      <c r="AO15" s="12">
        <f>AO14/AO13</f>
        <v>0.99305555555555558</v>
      </c>
      <c r="AP15" s="12">
        <f>AP14/AP13</f>
        <v>0.98809523809523814</v>
      </c>
    </row>
    <row r="16" spans="1:42" ht="16.5" x14ac:dyDescent="0.25">
      <c r="A16" s="9">
        <v>12</v>
      </c>
      <c r="B16" s="97">
        <v>84</v>
      </c>
      <c r="C16" s="98" t="s">
        <v>144</v>
      </c>
      <c r="D16" s="98" t="s">
        <v>145</v>
      </c>
      <c r="E16" s="8" t="s">
        <v>6</v>
      </c>
      <c r="F16" s="96" t="s">
        <v>110</v>
      </c>
      <c r="G16" s="127"/>
      <c r="H16" s="96" t="s">
        <v>110</v>
      </c>
      <c r="I16" s="96" t="s">
        <v>110</v>
      </c>
      <c r="J16" s="96" t="s">
        <v>110</v>
      </c>
      <c r="K16" s="96" t="s">
        <v>110</v>
      </c>
      <c r="L16" s="96" t="s">
        <v>110</v>
      </c>
      <c r="M16" s="96" t="s">
        <v>110</v>
      </c>
      <c r="N16" s="127"/>
      <c r="O16" s="96" t="s">
        <v>110</v>
      </c>
      <c r="P16" s="96" t="s">
        <v>110</v>
      </c>
      <c r="Q16" s="96" t="s">
        <v>110</v>
      </c>
      <c r="R16" s="96" t="s">
        <v>110</v>
      </c>
      <c r="S16" s="96" t="s">
        <v>110</v>
      </c>
      <c r="T16" s="140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2"/>
      <c r="AK16" s="5">
        <f t="shared" si="1"/>
        <v>12</v>
      </c>
      <c r="AL16" s="5">
        <f t="shared" si="2"/>
        <v>0</v>
      </c>
      <c r="AM16"/>
      <c r="AN16"/>
      <c r="AO16"/>
      <c r="AP16"/>
    </row>
    <row r="17" spans="1:42" ht="16.5" x14ac:dyDescent="0.25">
      <c r="A17" s="9">
        <v>13</v>
      </c>
      <c r="B17" s="97">
        <v>85</v>
      </c>
      <c r="C17" s="98" t="s">
        <v>146</v>
      </c>
      <c r="D17" s="98" t="s">
        <v>147</v>
      </c>
      <c r="E17" s="8" t="s">
        <v>6</v>
      </c>
      <c r="F17" s="96" t="s">
        <v>110</v>
      </c>
      <c r="G17" s="127"/>
      <c r="H17" s="96" t="s">
        <v>110</v>
      </c>
      <c r="I17" s="96" t="s">
        <v>110</v>
      </c>
      <c r="J17" s="96" t="s">
        <v>110</v>
      </c>
      <c r="K17" s="96" t="s">
        <v>110</v>
      </c>
      <c r="L17" s="96" t="s">
        <v>110</v>
      </c>
      <c r="M17" s="96" t="s">
        <v>110</v>
      </c>
      <c r="N17" s="127"/>
      <c r="O17" s="96" t="s">
        <v>110</v>
      </c>
      <c r="P17" s="96" t="s">
        <v>110</v>
      </c>
      <c r="Q17" s="96" t="s">
        <v>110</v>
      </c>
      <c r="R17" s="96" t="s">
        <v>110</v>
      </c>
      <c r="S17" s="96" t="s">
        <v>110</v>
      </c>
      <c r="T17" s="140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2"/>
      <c r="AK17" s="5">
        <f t="shared" si="1"/>
        <v>12</v>
      </c>
      <c r="AL17" s="5">
        <f t="shared" si="2"/>
        <v>0</v>
      </c>
      <c r="AM17"/>
      <c r="AN17"/>
      <c r="AO17"/>
      <c r="AP17"/>
    </row>
    <row r="18" spans="1:42" ht="16.5" x14ac:dyDescent="0.25">
      <c r="A18" s="9">
        <v>14</v>
      </c>
      <c r="B18" s="97">
        <v>102</v>
      </c>
      <c r="C18" s="98" t="s">
        <v>148</v>
      </c>
      <c r="D18" s="98" t="s">
        <v>149</v>
      </c>
      <c r="E18" s="8" t="s">
        <v>6</v>
      </c>
      <c r="F18" s="96" t="s">
        <v>110</v>
      </c>
      <c r="G18" s="127"/>
      <c r="H18" s="96" t="s">
        <v>110</v>
      </c>
      <c r="I18" s="96" t="s">
        <v>110</v>
      </c>
      <c r="J18" s="96" t="s">
        <v>110</v>
      </c>
      <c r="K18" s="96" t="s">
        <v>110</v>
      </c>
      <c r="L18" s="96" t="s">
        <v>110</v>
      </c>
      <c r="M18" s="96" t="s">
        <v>110</v>
      </c>
      <c r="N18" s="127"/>
      <c r="O18" s="96" t="s">
        <v>110</v>
      </c>
      <c r="P18" s="96" t="s">
        <v>110</v>
      </c>
      <c r="Q18" s="96" t="s">
        <v>110</v>
      </c>
      <c r="R18" s="96" t="s">
        <v>110</v>
      </c>
      <c r="S18" s="96" t="s">
        <v>110</v>
      </c>
      <c r="T18" s="140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2"/>
      <c r="AK18" s="5">
        <f t="shared" si="1"/>
        <v>12</v>
      </c>
      <c r="AL18" s="5">
        <f t="shared" si="2"/>
        <v>0</v>
      </c>
      <c r="AM18"/>
      <c r="AN18"/>
      <c r="AO18"/>
      <c r="AP18"/>
    </row>
    <row r="19" spans="1:42" ht="16.5" x14ac:dyDescent="0.25">
      <c r="A19" s="9">
        <v>15</v>
      </c>
      <c r="B19" s="97">
        <v>87</v>
      </c>
      <c r="C19" s="98" t="s">
        <v>150</v>
      </c>
      <c r="D19" s="98" t="s">
        <v>151</v>
      </c>
      <c r="E19" s="8" t="s">
        <v>6</v>
      </c>
      <c r="F19" s="96" t="s">
        <v>110</v>
      </c>
      <c r="G19" s="127"/>
      <c r="H19" s="96" t="s">
        <v>110</v>
      </c>
      <c r="I19" s="96" t="s">
        <v>110</v>
      </c>
      <c r="J19" s="96" t="s">
        <v>110</v>
      </c>
      <c r="K19" s="96" t="s">
        <v>110</v>
      </c>
      <c r="L19" s="96" t="s">
        <v>110</v>
      </c>
      <c r="M19" s="96" t="s">
        <v>110</v>
      </c>
      <c r="N19" s="127"/>
      <c r="O19" s="96" t="s">
        <v>110</v>
      </c>
      <c r="P19" s="96" t="s">
        <v>110</v>
      </c>
      <c r="Q19" s="96" t="s">
        <v>796</v>
      </c>
      <c r="R19" s="96" t="s">
        <v>796</v>
      </c>
      <c r="S19" s="96" t="s">
        <v>796</v>
      </c>
      <c r="T19" s="140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2"/>
      <c r="AK19" s="5">
        <f t="shared" si="1"/>
        <v>9</v>
      </c>
      <c r="AL19" s="5">
        <f t="shared" si="2"/>
        <v>3</v>
      </c>
      <c r="AM19" s="115" t="s">
        <v>122</v>
      </c>
      <c r="AN19" s="116"/>
      <c r="AO19" s="116"/>
      <c r="AP19" s="117"/>
    </row>
    <row r="20" spans="1:42" ht="16.5" x14ac:dyDescent="0.25">
      <c r="A20" s="9">
        <v>16</v>
      </c>
      <c r="B20" s="97">
        <v>71</v>
      </c>
      <c r="C20" s="98" t="s">
        <v>152</v>
      </c>
      <c r="D20" s="98" t="s">
        <v>133</v>
      </c>
      <c r="E20" s="8" t="s">
        <v>6</v>
      </c>
      <c r="F20" s="96" t="s">
        <v>110</v>
      </c>
      <c r="G20" s="127"/>
      <c r="H20" s="96" t="s">
        <v>110</v>
      </c>
      <c r="I20" s="96" t="s">
        <v>110</v>
      </c>
      <c r="J20" s="96" t="s">
        <v>110</v>
      </c>
      <c r="K20" s="96" t="s">
        <v>110</v>
      </c>
      <c r="L20" s="96" t="s">
        <v>110</v>
      </c>
      <c r="M20" s="96" t="s">
        <v>110</v>
      </c>
      <c r="N20" s="127"/>
      <c r="O20" s="96" t="s">
        <v>110</v>
      </c>
      <c r="P20" s="96" t="s">
        <v>110</v>
      </c>
      <c r="Q20" s="96" t="s">
        <v>110</v>
      </c>
      <c r="R20" s="96" t="s">
        <v>110</v>
      </c>
      <c r="S20" s="96" t="s">
        <v>110</v>
      </c>
      <c r="T20" s="140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2"/>
      <c r="AK20" s="5">
        <f t="shared" si="1"/>
        <v>12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97">
        <v>81</v>
      </c>
      <c r="C21" s="98" t="s">
        <v>153</v>
      </c>
      <c r="D21" s="98" t="s">
        <v>154</v>
      </c>
      <c r="E21" s="8" t="s">
        <v>6</v>
      </c>
      <c r="F21" s="96" t="s">
        <v>796</v>
      </c>
      <c r="G21" s="127"/>
      <c r="H21" s="96" t="s">
        <v>110</v>
      </c>
      <c r="I21" s="96" t="s">
        <v>110</v>
      </c>
      <c r="J21" s="96" t="s">
        <v>110</v>
      </c>
      <c r="K21" s="96" t="s">
        <v>110</v>
      </c>
      <c r="L21" s="96" t="s">
        <v>110</v>
      </c>
      <c r="M21" s="96" t="s">
        <v>110</v>
      </c>
      <c r="N21" s="127"/>
      <c r="O21" s="96" t="s">
        <v>110</v>
      </c>
      <c r="P21" s="96" t="s">
        <v>110</v>
      </c>
      <c r="Q21" s="96" t="s">
        <v>110</v>
      </c>
      <c r="R21" s="96" t="s">
        <v>110</v>
      </c>
      <c r="S21" s="96" t="s">
        <v>110</v>
      </c>
      <c r="T21" s="140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2"/>
      <c r="AK21" s="5">
        <f t="shared" si="1"/>
        <v>11</v>
      </c>
      <c r="AL21" s="5">
        <f t="shared" si="2"/>
        <v>1</v>
      </c>
      <c r="AM21" s="5" t="s">
        <v>14</v>
      </c>
      <c r="AN21" s="9">
        <f>32*$AN$5</f>
        <v>384</v>
      </c>
      <c r="AO21" s="9">
        <f>24*$AN$5</f>
        <v>288</v>
      </c>
      <c r="AP21" s="9">
        <f>AN21+AO21</f>
        <v>672</v>
      </c>
    </row>
    <row r="22" spans="1:42" ht="16.5" x14ac:dyDescent="0.25">
      <c r="A22" s="9">
        <v>18</v>
      </c>
      <c r="B22" s="97">
        <v>82</v>
      </c>
      <c r="C22" s="98" t="s">
        <v>155</v>
      </c>
      <c r="D22" s="98" t="s">
        <v>156</v>
      </c>
      <c r="E22" s="8" t="s">
        <v>6</v>
      </c>
      <c r="F22" s="96" t="s">
        <v>110</v>
      </c>
      <c r="G22" s="127"/>
      <c r="H22" s="96" t="s">
        <v>110</v>
      </c>
      <c r="I22" s="96" t="s">
        <v>110</v>
      </c>
      <c r="J22" s="96" t="s">
        <v>110</v>
      </c>
      <c r="K22" s="96" t="s">
        <v>110</v>
      </c>
      <c r="L22" s="96" t="s">
        <v>110</v>
      </c>
      <c r="M22" s="96" t="s">
        <v>110</v>
      </c>
      <c r="N22" s="127"/>
      <c r="O22" s="96" t="s">
        <v>110</v>
      </c>
      <c r="P22" s="96" t="s">
        <v>110</v>
      </c>
      <c r="Q22" s="96" t="s">
        <v>110</v>
      </c>
      <c r="R22" s="96" t="s">
        <v>110</v>
      </c>
      <c r="S22" s="96" t="s">
        <v>110</v>
      </c>
      <c r="T22" s="140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2"/>
      <c r="AK22" s="5">
        <f t="shared" si="1"/>
        <v>12</v>
      </c>
      <c r="AL22" s="5">
        <f t="shared" si="2"/>
        <v>0</v>
      </c>
      <c r="AM22" s="5" t="s">
        <v>17</v>
      </c>
      <c r="AN22" s="9">
        <f>AN21-AN14</f>
        <v>6</v>
      </c>
      <c r="AO22" s="9">
        <f>AO21-AO14</f>
        <v>2</v>
      </c>
      <c r="AP22" s="9">
        <f>AN22+AO22</f>
        <v>8</v>
      </c>
    </row>
    <row r="23" spans="1:42" ht="16.5" x14ac:dyDescent="0.25">
      <c r="A23" s="9">
        <v>19</v>
      </c>
      <c r="B23" s="97">
        <v>68</v>
      </c>
      <c r="C23" s="98" t="s">
        <v>157</v>
      </c>
      <c r="D23" s="98" t="s">
        <v>158</v>
      </c>
      <c r="E23" s="8" t="s">
        <v>6</v>
      </c>
      <c r="F23" s="96" t="s">
        <v>110</v>
      </c>
      <c r="G23" s="127"/>
      <c r="H23" s="96" t="s">
        <v>110</v>
      </c>
      <c r="I23" s="96" t="s">
        <v>110</v>
      </c>
      <c r="J23" s="96" t="s">
        <v>110</v>
      </c>
      <c r="K23" s="96" t="s">
        <v>110</v>
      </c>
      <c r="L23" s="96" t="s">
        <v>110</v>
      </c>
      <c r="M23" s="96" t="s">
        <v>110</v>
      </c>
      <c r="N23" s="127"/>
      <c r="O23" s="96" t="s">
        <v>110</v>
      </c>
      <c r="P23" s="96" t="s">
        <v>110</v>
      </c>
      <c r="Q23" s="96" t="s">
        <v>110</v>
      </c>
      <c r="R23" s="96" t="s">
        <v>110</v>
      </c>
      <c r="S23" s="96" t="s">
        <v>110</v>
      </c>
      <c r="T23" s="140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2"/>
      <c r="AK23" s="5">
        <f t="shared" si="1"/>
        <v>12</v>
      </c>
      <c r="AL23" s="5">
        <f t="shared" si="2"/>
        <v>0</v>
      </c>
      <c r="AM23" s="5" t="s">
        <v>16</v>
      </c>
      <c r="AN23" s="12">
        <f>AN22/AN21</f>
        <v>1.5625E-2</v>
      </c>
      <c r="AO23" s="12">
        <f>AO22/AO21</f>
        <v>6.9444444444444441E-3</v>
      </c>
      <c r="AP23" s="12">
        <f>AP22/AP21</f>
        <v>1.1904761904761904E-2</v>
      </c>
    </row>
    <row r="24" spans="1:42" ht="16.5" x14ac:dyDescent="0.25">
      <c r="A24" s="9">
        <v>20</v>
      </c>
      <c r="B24" s="97">
        <v>69</v>
      </c>
      <c r="C24" s="98" t="s">
        <v>159</v>
      </c>
      <c r="D24" s="98" t="s">
        <v>160</v>
      </c>
      <c r="E24" s="8" t="s">
        <v>6</v>
      </c>
      <c r="F24" s="96" t="s">
        <v>110</v>
      </c>
      <c r="G24" s="127"/>
      <c r="H24" s="96" t="s">
        <v>110</v>
      </c>
      <c r="I24" s="96" t="s">
        <v>110</v>
      </c>
      <c r="J24" s="96" t="s">
        <v>110</v>
      </c>
      <c r="K24" s="96" t="s">
        <v>110</v>
      </c>
      <c r="L24" s="96" t="s">
        <v>110</v>
      </c>
      <c r="M24" s="96" t="s">
        <v>110</v>
      </c>
      <c r="N24" s="127"/>
      <c r="O24" s="96" t="s">
        <v>110</v>
      </c>
      <c r="P24" s="96" t="s">
        <v>110</v>
      </c>
      <c r="Q24" s="96" t="s">
        <v>110</v>
      </c>
      <c r="R24" s="96" t="s">
        <v>110</v>
      </c>
      <c r="S24" s="96" t="s">
        <v>110</v>
      </c>
      <c r="T24" s="140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2"/>
      <c r="AK24" s="5">
        <f t="shared" si="1"/>
        <v>12</v>
      </c>
      <c r="AL24" s="5">
        <f t="shared" si="2"/>
        <v>0</v>
      </c>
    </row>
    <row r="25" spans="1:42" ht="16.5" x14ac:dyDescent="0.25">
      <c r="A25" s="9">
        <v>21</v>
      </c>
      <c r="B25" s="97">
        <v>70</v>
      </c>
      <c r="C25" s="98" t="s">
        <v>161</v>
      </c>
      <c r="D25" s="98" t="s">
        <v>162</v>
      </c>
      <c r="E25" s="8" t="s">
        <v>6</v>
      </c>
      <c r="F25" s="96" t="s">
        <v>110</v>
      </c>
      <c r="G25" s="127"/>
      <c r="H25" s="96" t="s">
        <v>110</v>
      </c>
      <c r="I25" s="96" t="s">
        <v>110</v>
      </c>
      <c r="J25" s="96" t="s">
        <v>110</v>
      </c>
      <c r="K25" s="96" t="s">
        <v>110</v>
      </c>
      <c r="L25" s="96" t="s">
        <v>110</v>
      </c>
      <c r="M25" s="96" t="s">
        <v>110</v>
      </c>
      <c r="N25" s="127"/>
      <c r="O25" s="96" t="s">
        <v>110</v>
      </c>
      <c r="P25" s="96" t="s">
        <v>110</v>
      </c>
      <c r="Q25" s="96" t="s">
        <v>110</v>
      </c>
      <c r="R25" s="96" t="s">
        <v>110</v>
      </c>
      <c r="S25" s="96" t="s">
        <v>110</v>
      </c>
      <c r="T25" s="140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2"/>
      <c r="AK25" s="5">
        <v>14</v>
      </c>
      <c r="AL25" s="5">
        <f t="shared" si="2"/>
        <v>0</v>
      </c>
    </row>
    <row r="26" spans="1:42" ht="16.5" x14ac:dyDescent="0.25">
      <c r="A26" s="9">
        <v>22</v>
      </c>
      <c r="B26" s="97">
        <v>103</v>
      </c>
      <c r="C26" s="98" t="s">
        <v>163</v>
      </c>
      <c r="D26" s="98" t="s">
        <v>131</v>
      </c>
      <c r="E26" s="8" t="s">
        <v>6</v>
      </c>
      <c r="F26" s="96" t="s">
        <v>110</v>
      </c>
      <c r="G26" s="127"/>
      <c r="H26" s="96" t="s">
        <v>110</v>
      </c>
      <c r="I26" s="96" t="s">
        <v>110</v>
      </c>
      <c r="J26" s="96" t="s">
        <v>110</v>
      </c>
      <c r="K26" s="96" t="s">
        <v>110</v>
      </c>
      <c r="L26" s="96" t="s">
        <v>110</v>
      </c>
      <c r="M26" s="96" t="s">
        <v>110</v>
      </c>
      <c r="N26" s="127"/>
      <c r="O26" s="96" t="s">
        <v>110</v>
      </c>
      <c r="P26" s="96" t="s">
        <v>110</v>
      </c>
      <c r="Q26" s="96" t="s">
        <v>110</v>
      </c>
      <c r="R26" s="96" t="s">
        <v>110</v>
      </c>
      <c r="S26" s="96" t="s">
        <v>110</v>
      </c>
      <c r="T26" s="140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2"/>
      <c r="AK26" s="5">
        <f t="shared" si="1"/>
        <v>12</v>
      </c>
      <c r="AL26" s="5">
        <f t="shared" si="2"/>
        <v>0</v>
      </c>
    </row>
    <row r="27" spans="1:42" ht="16.5" x14ac:dyDescent="0.25">
      <c r="A27" s="9">
        <v>23</v>
      </c>
      <c r="B27" s="11">
        <v>149</v>
      </c>
      <c r="C27" s="98" t="s">
        <v>164</v>
      </c>
      <c r="D27" s="98" t="s">
        <v>165</v>
      </c>
      <c r="E27" s="8" t="s">
        <v>6</v>
      </c>
      <c r="F27" s="96" t="s">
        <v>110</v>
      </c>
      <c r="G27" s="127"/>
      <c r="H27" s="96" t="s">
        <v>110</v>
      </c>
      <c r="I27" s="96" t="s">
        <v>110</v>
      </c>
      <c r="J27" s="96" t="s">
        <v>110</v>
      </c>
      <c r="K27" s="96" t="s">
        <v>110</v>
      </c>
      <c r="L27" s="96" t="s">
        <v>110</v>
      </c>
      <c r="M27" s="96" t="s">
        <v>110</v>
      </c>
      <c r="N27" s="127"/>
      <c r="O27" s="96" t="s">
        <v>110</v>
      </c>
      <c r="P27" s="96" t="s">
        <v>110</v>
      </c>
      <c r="Q27" s="96" t="s">
        <v>110</v>
      </c>
      <c r="R27" s="96" t="s">
        <v>110</v>
      </c>
      <c r="S27" s="96" t="s">
        <v>110</v>
      </c>
      <c r="T27" s="140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2"/>
      <c r="AK27" s="5">
        <f t="shared" si="1"/>
        <v>12</v>
      </c>
      <c r="AL27" s="5">
        <f t="shared" si="2"/>
        <v>0</v>
      </c>
    </row>
    <row r="28" spans="1:42" ht="16.5" x14ac:dyDescent="0.25">
      <c r="A28" s="9">
        <v>24</v>
      </c>
      <c r="B28" s="11">
        <v>169</v>
      </c>
      <c r="C28" s="98" t="s">
        <v>166</v>
      </c>
      <c r="D28" s="98" t="s">
        <v>167</v>
      </c>
      <c r="E28" s="8" t="s">
        <v>6</v>
      </c>
      <c r="F28" s="96" t="s">
        <v>110</v>
      </c>
      <c r="G28" s="127"/>
      <c r="H28" s="96" t="s">
        <v>110</v>
      </c>
      <c r="I28" s="96" t="s">
        <v>110</v>
      </c>
      <c r="J28" s="96" t="s">
        <v>110</v>
      </c>
      <c r="K28" s="96" t="s">
        <v>110</v>
      </c>
      <c r="L28" s="96" t="s">
        <v>110</v>
      </c>
      <c r="M28" s="96" t="s">
        <v>110</v>
      </c>
      <c r="N28" s="127"/>
      <c r="O28" s="96" t="s">
        <v>110</v>
      </c>
      <c r="P28" s="96" t="s">
        <v>110</v>
      </c>
      <c r="Q28" s="96" t="s">
        <v>110</v>
      </c>
      <c r="R28" s="96" t="s">
        <v>110</v>
      </c>
      <c r="S28" s="96" t="s">
        <v>110</v>
      </c>
      <c r="T28" s="140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2"/>
      <c r="AK28" s="5">
        <f t="shared" si="1"/>
        <v>12</v>
      </c>
      <c r="AL28" s="5">
        <f t="shared" si="2"/>
        <v>0</v>
      </c>
    </row>
    <row r="29" spans="1:42" ht="16.5" customHeight="1" x14ac:dyDescent="0.25">
      <c r="A29" s="6">
        <v>1</v>
      </c>
      <c r="B29" s="6">
        <v>61</v>
      </c>
      <c r="C29" s="105" t="s">
        <v>168</v>
      </c>
      <c r="D29" s="15" t="s">
        <v>169</v>
      </c>
      <c r="E29" s="16" t="s">
        <v>6</v>
      </c>
      <c r="F29" s="96" t="s">
        <v>110</v>
      </c>
      <c r="G29" s="127"/>
      <c r="H29" s="96" t="s">
        <v>110</v>
      </c>
      <c r="I29" s="96" t="s">
        <v>110</v>
      </c>
      <c r="J29" s="96" t="s">
        <v>110</v>
      </c>
      <c r="K29" s="96" t="s">
        <v>110</v>
      </c>
      <c r="L29" s="96" t="s">
        <v>110</v>
      </c>
      <c r="M29" s="96" t="s">
        <v>110</v>
      </c>
      <c r="N29" s="127"/>
      <c r="O29" s="96" t="s">
        <v>110</v>
      </c>
      <c r="P29" s="96" t="s">
        <v>110</v>
      </c>
      <c r="Q29" s="96" t="s">
        <v>110</v>
      </c>
      <c r="R29" s="96" t="s">
        <v>110</v>
      </c>
      <c r="S29" s="96" t="s">
        <v>110</v>
      </c>
      <c r="T29" s="140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2"/>
      <c r="AK29" s="4">
        <f t="shared" si="1"/>
        <v>12</v>
      </c>
      <c r="AL29" s="4">
        <f t="shared" si="2"/>
        <v>0</v>
      </c>
    </row>
    <row r="30" spans="1:42" ht="16.5" x14ac:dyDescent="0.25">
      <c r="A30" s="11">
        <v>2</v>
      </c>
      <c r="B30" s="11">
        <v>79</v>
      </c>
      <c r="C30" s="106" t="s">
        <v>170</v>
      </c>
      <c r="D30" s="17" t="s">
        <v>171</v>
      </c>
      <c r="E30" s="16" t="s">
        <v>6</v>
      </c>
      <c r="F30" s="96" t="s">
        <v>110</v>
      </c>
      <c r="G30" s="127"/>
      <c r="H30" s="96" t="s">
        <v>110</v>
      </c>
      <c r="I30" s="96" t="s">
        <v>110</v>
      </c>
      <c r="J30" s="96" t="s">
        <v>110</v>
      </c>
      <c r="K30" s="96" t="s">
        <v>110</v>
      </c>
      <c r="L30" s="96" t="s">
        <v>110</v>
      </c>
      <c r="M30" s="96" t="s">
        <v>110</v>
      </c>
      <c r="N30" s="127"/>
      <c r="O30" s="96" t="s">
        <v>110</v>
      </c>
      <c r="P30" s="96" t="s">
        <v>110</v>
      </c>
      <c r="Q30" s="96" t="s">
        <v>110</v>
      </c>
      <c r="R30" s="96" t="s">
        <v>110</v>
      </c>
      <c r="S30" s="96" t="s">
        <v>110</v>
      </c>
      <c r="T30" s="140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2"/>
      <c r="AK30" s="4">
        <f t="shared" si="1"/>
        <v>12</v>
      </c>
      <c r="AL30" s="4">
        <f t="shared" si="2"/>
        <v>0</v>
      </c>
    </row>
    <row r="31" spans="1:42" ht="16.5" x14ac:dyDescent="0.25">
      <c r="A31" s="6">
        <v>3</v>
      </c>
      <c r="B31" s="11">
        <v>16</v>
      </c>
      <c r="C31" s="106" t="s">
        <v>172</v>
      </c>
      <c r="D31" s="17" t="s">
        <v>173</v>
      </c>
      <c r="E31" s="16" t="s">
        <v>6</v>
      </c>
      <c r="F31" s="96" t="s">
        <v>110</v>
      </c>
      <c r="G31" s="127"/>
      <c r="H31" s="96" t="s">
        <v>110</v>
      </c>
      <c r="I31" s="96" t="s">
        <v>110</v>
      </c>
      <c r="J31" s="96" t="s">
        <v>110</v>
      </c>
      <c r="K31" s="96" t="s">
        <v>110</v>
      </c>
      <c r="L31" s="96" t="s">
        <v>110</v>
      </c>
      <c r="M31" s="96" t="s">
        <v>110</v>
      </c>
      <c r="N31" s="127"/>
      <c r="O31" s="96" t="s">
        <v>110</v>
      </c>
      <c r="P31" s="96" t="s">
        <v>110</v>
      </c>
      <c r="Q31" s="96" t="s">
        <v>110</v>
      </c>
      <c r="R31" s="96" t="s">
        <v>110</v>
      </c>
      <c r="S31" s="96" t="s">
        <v>110</v>
      </c>
      <c r="T31" s="140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2"/>
      <c r="AK31" s="4">
        <f t="shared" si="1"/>
        <v>12</v>
      </c>
      <c r="AL31" s="4">
        <f t="shared" si="2"/>
        <v>0</v>
      </c>
    </row>
    <row r="32" spans="1:42" ht="16.5" x14ac:dyDescent="0.25">
      <c r="A32" s="11">
        <v>4</v>
      </c>
      <c r="B32" s="11">
        <v>78</v>
      </c>
      <c r="C32" s="106" t="s">
        <v>174</v>
      </c>
      <c r="D32" s="17" t="s">
        <v>175</v>
      </c>
      <c r="E32" s="16" t="s">
        <v>6</v>
      </c>
      <c r="F32" s="96" t="s">
        <v>110</v>
      </c>
      <c r="G32" s="127"/>
      <c r="H32" s="96" t="s">
        <v>796</v>
      </c>
      <c r="I32" s="96" t="s">
        <v>110</v>
      </c>
      <c r="J32" s="96" t="s">
        <v>110</v>
      </c>
      <c r="K32" s="96" t="s">
        <v>110</v>
      </c>
      <c r="L32" s="96" t="s">
        <v>110</v>
      </c>
      <c r="M32" s="96" t="s">
        <v>110</v>
      </c>
      <c r="N32" s="127"/>
      <c r="O32" s="96" t="s">
        <v>110</v>
      </c>
      <c r="P32" s="96" t="s">
        <v>110</v>
      </c>
      <c r="Q32" s="96" t="s">
        <v>110</v>
      </c>
      <c r="R32" s="96" t="s">
        <v>110</v>
      </c>
      <c r="S32" s="96" t="s">
        <v>110</v>
      </c>
      <c r="T32" s="140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2"/>
      <c r="AK32" s="4">
        <f t="shared" si="1"/>
        <v>11</v>
      </c>
      <c r="AL32" s="4">
        <f t="shared" si="2"/>
        <v>1</v>
      </c>
    </row>
    <row r="33" spans="1:38" ht="16.5" x14ac:dyDescent="0.25">
      <c r="A33" s="6">
        <v>5</v>
      </c>
      <c r="B33" s="11">
        <v>76</v>
      </c>
      <c r="C33" s="106" t="s">
        <v>176</v>
      </c>
      <c r="D33" s="17" t="s">
        <v>177</v>
      </c>
      <c r="E33" s="16" t="s">
        <v>6</v>
      </c>
      <c r="F33" s="96" t="s">
        <v>110</v>
      </c>
      <c r="G33" s="127"/>
      <c r="H33" s="96" t="s">
        <v>110</v>
      </c>
      <c r="I33" s="96" t="s">
        <v>110</v>
      </c>
      <c r="J33" s="96" t="s">
        <v>110</v>
      </c>
      <c r="K33" s="96" t="s">
        <v>110</v>
      </c>
      <c r="L33" s="96" t="s">
        <v>110</v>
      </c>
      <c r="M33" s="96" t="s">
        <v>110</v>
      </c>
      <c r="N33" s="127"/>
      <c r="O33" s="96" t="s">
        <v>110</v>
      </c>
      <c r="P33" s="96" t="s">
        <v>110</v>
      </c>
      <c r="Q33" s="96" t="s">
        <v>110</v>
      </c>
      <c r="R33" s="96" t="s">
        <v>110</v>
      </c>
      <c r="S33" s="96" t="s">
        <v>110</v>
      </c>
      <c r="T33" s="140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2"/>
      <c r="AK33" s="4">
        <f t="shared" si="1"/>
        <v>12</v>
      </c>
      <c r="AL33" s="4">
        <f t="shared" si="2"/>
        <v>0</v>
      </c>
    </row>
    <row r="34" spans="1:38" ht="16.5" x14ac:dyDescent="0.25">
      <c r="A34" s="11">
        <v>6</v>
      </c>
      <c r="B34" s="11">
        <v>95</v>
      </c>
      <c r="C34" s="106" t="s">
        <v>178</v>
      </c>
      <c r="D34" s="17" t="s">
        <v>179</v>
      </c>
      <c r="E34" s="16" t="s">
        <v>6</v>
      </c>
      <c r="F34" s="96" t="s">
        <v>110</v>
      </c>
      <c r="G34" s="127"/>
      <c r="H34" s="96" t="s">
        <v>110</v>
      </c>
      <c r="I34" s="96" t="s">
        <v>110</v>
      </c>
      <c r="J34" s="96" t="s">
        <v>110</v>
      </c>
      <c r="K34" s="96" t="s">
        <v>110</v>
      </c>
      <c r="L34" s="96" t="s">
        <v>110</v>
      </c>
      <c r="M34" s="96" t="s">
        <v>110</v>
      </c>
      <c r="N34" s="127"/>
      <c r="O34" s="96" t="s">
        <v>110</v>
      </c>
      <c r="P34" s="96" t="s">
        <v>110</v>
      </c>
      <c r="Q34" s="96" t="s">
        <v>110</v>
      </c>
      <c r="R34" s="96" t="s">
        <v>110</v>
      </c>
      <c r="S34" s="96" t="s">
        <v>110</v>
      </c>
      <c r="T34" s="140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2"/>
      <c r="AK34" s="4">
        <f t="shared" si="1"/>
        <v>12</v>
      </c>
      <c r="AL34" s="4">
        <f t="shared" si="2"/>
        <v>0</v>
      </c>
    </row>
    <row r="35" spans="1:38" ht="16.5" x14ac:dyDescent="0.25">
      <c r="A35" s="6">
        <v>7</v>
      </c>
      <c r="B35" s="11">
        <v>108</v>
      </c>
      <c r="C35" s="106" t="s">
        <v>180</v>
      </c>
      <c r="D35" s="17" t="s">
        <v>181</v>
      </c>
      <c r="E35" s="16" t="s">
        <v>6</v>
      </c>
      <c r="F35" s="96" t="s">
        <v>110</v>
      </c>
      <c r="G35" s="127"/>
      <c r="H35" s="96" t="s">
        <v>110</v>
      </c>
      <c r="I35" s="96" t="s">
        <v>110</v>
      </c>
      <c r="J35" s="96" t="s">
        <v>110</v>
      </c>
      <c r="K35" s="96" t="s">
        <v>110</v>
      </c>
      <c r="L35" s="96" t="s">
        <v>110</v>
      </c>
      <c r="M35" s="96" t="s">
        <v>110</v>
      </c>
      <c r="N35" s="127"/>
      <c r="O35" s="96" t="s">
        <v>110</v>
      </c>
      <c r="P35" s="96" t="s">
        <v>110</v>
      </c>
      <c r="Q35" s="96" t="s">
        <v>110</v>
      </c>
      <c r="R35" s="96" t="s">
        <v>110</v>
      </c>
      <c r="S35" s="96" t="s">
        <v>110</v>
      </c>
      <c r="T35" s="140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2"/>
      <c r="AK35" s="4">
        <f t="shared" si="1"/>
        <v>12</v>
      </c>
      <c r="AL35" s="4">
        <f t="shared" si="2"/>
        <v>0</v>
      </c>
    </row>
    <row r="36" spans="1:38" ht="16.5" x14ac:dyDescent="0.25">
      <c r="A36" s="11">
        <v>8</v>
      </c>
      <c r="B36" s="11">
        <v>131</v>
      </c>
      <c r="C36" s="106" t="s">
        <v>182</v>
      </c>
      <c r="D36" s="17" t="s">
        <v>183</v>
      </c>
      <c r="E36" s="16" t="s">
        <v>6</v>
      </c>
      <c r="F36" s="96" t="s">
        <v>110</v>
      </c>
      <c r="G36" s="127"/>
      <c r="H36" s="96" t="s">
        <v>110</v>
      </c>
      <c r="I36" s="96" t="s">
        <v>110</v>
      </c>
      <c r="J36" s="96" t="s">
        <v>110</v>
      </c>
      <c r="K36" s="96" t="s">
        <v>110</v>
      </c>
      <c r="L36" s="96" t="s">
        <v>110</v>
      </c>
      <c r="M36" s="96" t="s">
        <v>110</v>
      </c>
      <c r="N36" s="127"/>
      <c r="O36" s="96" t="s">
        <v>110</v>
      </c>
      <c r="P36" s="96" t="s">
        <v>110</v>
      </c>
      <c r="Q36" s="96" t="s">
        <v>110</v>
      </c>
      <c r="R36" s="96" t="s">
        <v>110</v>
      </c>
      <c r="S36" s="96" t="s">
        <v>110</v>
      </c>
      <c r="T36" s="140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2"/>
      <c r="AK36" s="4">
        <f t="shared" si="1"/>
        <v>12</v>
      </c>
      <c r="AL36" s="4">
        <f t="shared" si="2"/>
        <v>0</v>
      </c>
    </row>
    <row r="37" spans="1:38" ht="16.5" x14ac:dyDescent="0.25">
      <c r="A37" s="6">
        <v>9</v>
      </c>
      <c r="B37" s="11">
        <v>101</v>
      </c>
      <c r="C37" s="106" t="s">
        <v>184</v>
      </c>
      <c r="D37" s="17" t="s">
        <v>185</v>
      </c>
      <c r="E37" s="16" t="s">
        <v>6</v>
      </c>
      <c r="F37" s="96" t="s">
        <v>110</v>
      </c>
      <c r="G37" s="127"/>
      <c r="H37" s="96" t="s">
        <v>110</v>
      </c>
      <c r="I37" s="96" t="s">
        <v>110</v>
      </c>
      <c r="J37" s="96" t="s">
        <v>110</v>
      </c>
      <c r="K37" s="96" t="s">
        <v>110</v>
      </c>
      <c r="L37" s="96" t="s">
        <v>110</v>
      </c>
      <c r="M37" s="96" t="s">
        <v>110</v>
      </c>
      <c r="N37" s="127"/>
      <c r="O37" s="96" t="s">
        <v>110</v>
      </c>
      <c r="P37" s="96" t="s">
        <v>110</v>
      </c>
      <c r="Q37" s="96" t="s">
        <v>110</v>
      </c>
      <c r="R37" s="96" t="s">
        <v>110</v>
      </c>
      <c r="S37" s="96" t="s">
        <v>110</v>
      </c>
      <c r="T37" s="140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2"/>
      <c r="AK37" s="4">
        <f t="shared" si="1"/>
        <v>12</v>
      </c>
      <c r="AL37" s="4">
        <f t="shared" si="2"/>
        <v>0</v>
      </c>
    </row>
    <row r="38" spans="1:38" ht="16.5" x14ac:dyDescent="0.25">
      <c r="A38" s="11">
        <v>10</v>
      </c>
      <c r="B38" s="11">
        <v>100</v>
      </c>
      <c r="C38" s="106" t="s">
        <v>186</v>
      </c>
      <c r="D38" s="17" t="s">
        <v>187</v>
      </c>
      <c r="E38" s="16" t="s">
        <v>6</v>
      </c>
      <c r="F38" s="96" t="s">
        <v>110</v>
      </c>
      <c r="G38" s="127"/>
      <c r="H38" s="96" t="s">
        <v>110</v>
      </c>
      <c r="I38" s="96" t="s">
        <v>110</v>
      </c>
      <c r="J38" s="96" t="s">
        <v>110</v>
      </c>
      <c r="K38" s="96" t="s">
        <v>110</v>
      </c>
      <c r="L38" s="96" t="s">
        <v>796</v>
      </c>
      <c r="M38" s="96" t="s">
        <v>110</v>
      </c>
      <c r="N38" s="127"/>
      <c r="O38" s="96" t="s">
        <v>110</v>
      </c>
      <c r="P38" s="96" t="s">
        <v>110</v>
      </c>
      <c r="Q38" s="96" t="s">
        <v>110</v>
      </c>
      <c r="R38" s="96" t="s">
        <v>110</v>
      </c>
      <c r="S38" s="96" t="s">
        <v>110</v>
      </c>
      <c r="T38" s="140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2"/>
      <c r="AK38" s="4">
        <f t="shared" si="1"/>
        <v>11</v>
      </c>
      <c r="AL38" s="4">
        <f t="shared" si="2"/>
        <v>1</v>
      </c>
    </row>
    <row r="39" spans="1:38" ht="16.5" x14ac:dyDescent="0.25">
      <c r="A39" s="6">
        <v>11</v>
      </c>
      <c r="B39" s="11">
        <v>90</v>
      </c>
      <c r="C39" s="106" t="s">
        <v>188</v>
      </c>
      <c r="D39" s="17" t="s">
        <v>139</v>
      </c>
      <c r="E39" s="16" t="s">
        <v>6</v>
      </c>
      <c r="F39" s="96" t="s">
        <v>110</v>
      </c>
      <c r="G39" s="127"/>
      <c r="H39" s="96" t="s">
        <v>110</v>
      </c>
      <c r="I39" s="96" t="s">
        <v>110</v>
      </c>
      <c r="J39" s="96" t="s">
        <v>110</v>
      </c>
      <c r="K39" s="96" t="s">
        <v>110</v>
      </c>
      <c r="L39" s="96" t="s">
        <v>110</v>
      </c>
      <c r="M39" s="96" t="s">
        <v>110</v>
      </c>
      <c r="N39" s="127"/>
      <c r="O39" s="96" t="s">
        <v>110</v>
      </c>
      <c r="P39" s="96" t="s">
        <v>110</v>
      </c>
      <c r="Q39" s="96" t="s">
        <v>110</v>
      </c>
      <c r="R39" s="96" t="s">
        <v>110</v>
      </c>
      <c r="S39" s="96" t="s">
        <v>110</v>
      </c>
      <c r="T39" s="140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2"/>
      <c r="AK39" s="4">
        <f t="shared" si="1"/>
        <v>12</v>
      </c>
      <c r="AL39" s="4">
        <f t="shared" si="2"/>
        <v>0</v>
      </c>
    </row>
    <row r="40" spans="1:38" ht="16.5" x14ac:dyDescent="0.25">
      <c r="A40" s="11">
        <v>12</v>
      </c>
      <c r="B40" s="11">
        <v>73</v>
      </c>
      <c r="C40" s="106" t="s">
        <v>189</v>
      </c>
      <c r="D40" s="17" t="s">
        <v>190</v>
      </c>
      <c r="E40" s="16" t="s">
        <v>6</v>
      </c>
      <c r="F40" s="96" t="s">
        <v>110</v>
      </c>
      <c r="G40" s="127"/>
      <c r="H40" s="96" t="s">
        <v>110</v>
      </c>
      <c r="I40" s="96" t="s">
        <v>110</v>
      </c>
      <c r="J40" s="96" t="s">
        <v>110</v>
      </c>
      <c r="K40" s="96" t="s">
        <v>110</v>
      </c>
      <c r="L40" s="96" t="s">
        <v>110</v>
      </c>
      <c r="M40" s="96" t="s">
        <v>110</v>
      </c>
      <c r="N40" s="127"/>
      <c r="O40" s="96" t="s">
        <v>110</v>
      </c>
      <c r="P40" s="96" t="s">
        <v>110</v>
      </c>
      <c r="Q40" s="96" t="s">
        <v>110</v>
      </c>
      <c r="R40" s="96" t="s">
        <v>110</v>
      </c>
      <c r="S40" s="96" t="s">
        <v>110</v>
      </c>
      <c r="T40" s="140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2"/>
      <c r="AK40" s="4">
        <f t="shared" si="1"/>
        <v>12</v>
      </c>
      <c r="AL40" s="4">
        <f t="shared" si="2"/>
        <v>0</v>
      </c>
    </row>
    <row r="41" spans="1:38" ht="16.5" x14ac:dyDescent="0.25">
      <c r="A41" s="6">
        <v>13</v>
      </c>
      <c r="B41" s="11">
        <v>74</v>
      </c>
      <c r="C41" s="106" t="s">
        <v>191</v>
      </c>
      <c r="D41" s="17" t="s">
        <v>192</v>
      </c>
      <c r="E41" s="16" t="s">
        <v>6</v>
      </c>
      <c r="F41" s="96" t="s">
        <v>110</v>
      </c>
      <c r="G41" s="127"/>
      <c r="H41" s="96" t="s">
        <v>110</v>
      </c>
      <c r="I41" s="96" t="s">
        <v>110</v>
      </c>
      <c r="J41" s="96" t="s">
        <v>110</v>
      </c>
      <c r="K41" s="96" t="s">
        <v>110</v>
      </c>
      <c r="L41" s="96" t="s">
        <v>110</v>
      </c>
      <c r="M41" s="96" t="s">
        <v>110</v>
      </c>
      <c r="N41" s="127"/>
      <c r="O41" s="96" t="s">
        <v>110</v>
      </c>
      <c r="P41" s="96" t="s">
        <v>110</v>
      </c>
      <c r="Q41" s="96" t="s">
        <v>110</v>
      </c>
      <c r="R41" s="96" t="s">
        <v>110</v>
      </c>
      <c r="S41" s="96" t="s">
        <v>110</v>
      </c>
      <c r="T41" s="140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2"/>
      <c r="AK41" s="4">
        <f t="shared" si="1"/>
        <v>12</v>
      </c>
      <c r="AL41" s="4">
        <f t="shared" si="2"/>
        <v>0</v>
      </c>
    </row>
    <row r="42" spans="1:38" ht="16.5" x14ac:dyDescent="0.25">
      <c r="A42" s="11">
        <v>14</v>
      </c>
      <c r="B42" s="11">
        <v>77</v>
      </c>
      <c r="C42" s="106" t="s">
        <v>193</v>
      </c>
      <c r="D42" s="17" t="s">
        <v>194</v>
      </c>
      <c r="E42" s="16" t="s">
        <v>6</v>
      </c>
      <c r="F42" s="96" t="s">
        <v>110</v>
      </c>
      <c r="G42" s="127"/>
      <c r="H42" s="96" t="s">
        <v>110</v>
      </c>
      <c r="I42" s="96" t="s">
        <v>110</v>
      </c>
      <c r="J42" s="96" t="s">
        <v>110</v>
      </c>
      <c r="K42" s="96" t="s">
        <v>110</v>
      </c>
      <c r="L42" s="96" t="s">
        <v>110</v>
      </c>
      <c r="M42" s="96" t="s">
        <v>110</v>
      </c>
      <c r="N42" s="127"/>
      <c r="O42" s="96" t="s">
        <v>110</v>
      </c>
      <c r="P42" s="96" t="s">
        <v>110</v>
      </c>
      <c r="Q42" s="96" t="s">
        <v>110</v>
      </c>
      <c r="R42" s="96" t="s">
        <v>110</v>
      </c>
      <c r="S42" s="96" t="s">
        <v>110</v>
      </c>
      <c r="T42" s="140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42"/>
      <c r="AK42" s="4">
        <f t="shared" si="1"/>
        <v>12</v>
      </c>
      <c r="AL42" s="4">
        <f t="shared" si="2"/>
        <v>0</v>
      </c>
    </row>
    <row r="43" spans="1:38" ht="16.5" x14ac:dyDescent="0.25">
      <c r="A43" s="6">
        <v>15</v>
      </c>
      <c r="B43" s="11">
        <v>80</v>
      </c>
      <c r="C43" s="106" t="s">
        <v>195</v>
      </c>
      <c r="D43" s="17" t="s">
        <v>196</v>
      </c>
      <c r="E43" s="16" t="s">
        <v>6</v>
      </c>
      <c r="F43" s="96" t="s">
        <v>110</v>
      </c>
      <c r="G43" s="127"/>
      <c r="H43" s="96" t="s">
        <v>796</v>
      </c>
      <c r="I43" s="96" t="s">
        <v>110</v>
      </c>
      <c r="J43" s="96" t="s">
        <v>110</v>
      </c>
      <c r="K43" s="96" t="s">
        <v>110</v>
      </c>
      <c r="L43" s="96" t="s">
        <v>110</v>
      </c>
      <c r="M43" s="96" t="s">
        <v>110</v>
      </c>
      <c r="N43" s="127"/>
      <c r="O43" s="96" t="s">
        <v>110</v>
      </c>
      <c r="P43" s="96" t="s">
        <v>110</v>
      </c>
      <c r="Q43" s="96" t="s">
        <v>110</v>
      </c>
      <c r="R43" s="96" t="s">
        <v>110</v>
      </c>
      <c r="S43" s="96" t="s">
        <v>110</v>
      </c>
      <c r="T43" s="140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1"/>
      <c r="AJ43" s="142"/>
      <c r="AK43" s="4">
        <f t="shared" si="1"/>
        <v>11</v>
      </c>
      <c r="AL43" s="4">
        <f t="shared" si="2"/>
        <v>1</v>
      </c>
    </row>
    <row r="44" spans="1:38" ht="16.5" x14ac:dyDescent="0.25">
      <c r="A44" s="11">
        <v>16</v>
      </c>
      <c r="B44" s="11">
        <v>93</v>
      </c>
      <c r="C44" s="106" t="s">
        <v>197</v>
      </c>
      <c r="D44" s="17" t="s">
        <v>58</v>
      </c>
      <c r="E44" s="16" t="s">
        <v>6</v>
      </c>
      <c r="F44" s="96" t="s">
        <v>110</v>
      </c>
      <c r="G44" s="127"/>
      <c r="H44" s="96" t="s">
        <v>110</v>
      </c>
      <c r="I44" s="96" t="s">
        <v>110</v>
      </c>
      <c r="J44" s="96" t="s">
        <v>110</v>
      </c>
      <c r="K44" s="96" t="s">
        <v>110</v>
      </c>
      <c r="L44" s="96" t="s">
        <v>110</v>
      </c>
      <c r="M44" s="96" t="s">
        <v>110</v>
      </c>
      <c r="N44" s="127"/>
      <c r="O44" s="96" t="s">
        <v>110</v>
      </c>
      <c r="P44" s="96" t="s">
        <v>110</v>
      </c>
      <c r="Q44" s="96" t="s">
        <v>110</v>
      </c>
      <c r="R44" s="96" t="s">
        <v>110</v>
      </c>
      <c r="S44" s="96" t="s">
        <v>110</v>
      </c>
      <c r="T44" s="140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1"/>
      <c r="AJ44" s="142"/>
      <c r="AK44" s="4">
        <f t="shared" si="1"/>
        <v>12</v>
      </c>
      <c r="AL44" s="4">
        <f t="shared" si="2"/>
        <v>0</v>
      </c>
    </row>
    <row r="45" spans="1:38" ht="16.5" x14ac:dyDescent="0.25">
      <c r="A45" s="6">
        <v>17</v>
      </c>
      <c r="B45" s="11">
        <v>14</v>
      </c>
      <c r="C45" s="106" t="s">
        <v>198</v>
      </c>
      <c r="D45" s="17" t="s">
        <v>199</v>
      </c>
      <c r="E45" s="16" t="s">
        <v>6</v>
      </c>
      <c r="F45" s="96" t="s">
        <v>110</v>
      </c>
      <c r="G45" s="127"/>
      <c r="H45" s="96" t="s">
        <v>110</v>
      </c>
      <c r="I45" s="96" t="s">
        <v>110</v>
      </c>
      <c r="J45" s="96" t="s">
        <v>110</v>
      </c>
      <c r="K45" s="96" t="s">
        <v>110</v>
      </c>
      <c r="L45" s="96" t="s">
        <v>110</v>
      </c>
      <c r="M45" s="96" t="s">
        <v>110</v>
      </c>
      <c r="N45" s="127"/>
      <c r="O45" s="96" t="s">
        <v>110</v>
      </c>
      <c r="P45" s="96" t="s">
        <v>110</v>
      </c>
      <c r="Q45" s="96" t="s">
        <v>110</v>
      </c>
      <c r="R45" s="96" t="s">
        <v>110</v>
      </c>
      <c r="S45" s="96" t="s">
        <v>110</v>
      </c>
      <c r="T45" s="140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2"/>
      <c r="AK45" s="4">
        <f t="shared" si="1"/>
        <v>12</v>
      </c>
      <c r="AL45" s="4">
        <f t="shared" si="2"/>
        <v>0</v>
      </c>
    </row>
    <row r="46" spans="1:38" ht="16.5" x14ac:dyDescent="0.25">
      <c r="A46" s="11">
        <v>18</v>
      </c>
      <c r="B46" s="11">
        <v>94</v>
      </c>
      <c r="C46" s="106" t="s">
        <v>200</v>
      </c>
      <c r="D46" s="17" t="s">
        <v>199</v>
      </c>
      <c r="E46" s="16" t="s">
        <v>6</v>
      </c>
      <c r="F46" s="96" t="s">
        <v>110</v>
      </c>
      <c r="G46" s="127"/>
      <c r="H46" s="96" t="s">
        <v>110</v>
      </c>
      <c r="I46" s="96" t="s">
        <v>110</v>
      </c>
      <c r="J46" s="96" t="s">
        <v>110</v>
      </c>
      <c r="K46" s="96" t="s">
        <v>110</v>
      </c>
      <c r="L46" s="96" t="s">
        <v>110</v>
      </c>
      <c r="M46" s="96" t="s">
        <v>110</v>
      </c>
      <c r="N46" s="127"/>
      <c r="O46" s="96" t="s">
        <v>110</v>
      </c>
      <c r="P46" s="96" t="s">
        <v>110</v>
      </c>
      <c r="Q46" s="96" t="s">
        <v>110</v>
      </c>
      <c r="R46" s="96" t="s">
        <v>110</v>
      </c>
      <c r="S46" s="96" t="s">
        <v>110</v>
      </c>
      <c r="T46" s="140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2"/>
      <c r="AK46" s="4">
        <f t="shared" si="1"/>
        <v>12</v>
      </c>
      <c r="AL46" s="4">
        <f t="shared" si="2"/>
        <v>0</v>
      </c>
    </row>
    <row r="47" spans="1:38" ht="16.5" x14ac:dyDescent="0.25">
      <c r="A47" s="6">
        <v>19</v>
      </c>
      <c r="B47" s="11">
        <v>111</v>
      </c>
      <c r="C47" s="106" t="s">
        <v>201</v>
      </c>
      <c r="D47" s="17" t="s">
        <v>202</v>
      </c>
      <c r="E47" s="16" t="s">
        <v>6</v>
      </c>
      <c r="F47" s="96" t="s">
        <v>110</v>
      </c>
      <c r="G47" s="127"/>
      <c r="H47" s="96" t="s">
        <v>110</v>
      </c>
      <c r="I47" s="96" t="s">
        <v>110</v>
      </c>
      <c r="J47" s="96" t="s">
        <v>110</v>
      </c>
      <c r="K47" s="96" t="s">
        <v>110</v>
      </c>
      <c r="L47" s="96" t="s">
        <v>110</v>
      </c>
      <c r="M47" s="96" t="s">
        <v>110</v>
      </c>
      <c r="N47" s="127"/>
      <c r="O47" s="96" t="s">
        <v>110</v>
      </c>
      <c r="P47" s="96" t="s">
        <v>110</v>
      </c>
      <c r="Q47" s="96" t="s">
        <v>110</v>
      </c>
      <c r="R47" s="96" t="s">
        <v>110</v>
      </c>
      <c r="S47" s="96" t="s">
        <v>110</v>
      </c>
      <c r="T47" s="140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2"/>
      <c r="AK47" s="4">
        <f t="shared" si="1"/>
        <v>12</v>
      </c>
      <c r="AL47" s="4">
        <f t="shared" si="2"/>
        <v>0</v>
      </c>
    </row>
    <row r="48" spans="1:38" ht="16.5" x14ac:dyDescent="0.25">
      <c r="A48" s="11">
        <v>20</v>
      </c>
      <c r="B48" s="11">
        <v>113</v>
      </c>
      <c r="C48" s="106" t="s">
        <v>203</v>
      </c>
      <c r="D48" s="17" t="s">
        <v>78</v>
      </c>
      <c r="E48" s="16" t="s">
        <v>6</v>
      </c>
      <c r="F48" s="96" t="s">
        <v>110</v>
      </c>
      <c r="G48" s="127"/>
      <c r="H48" s="96" t="s">
        <v>110</v>
      </c>
      <c r="I48" s="96" t="s">
        <v>110</v>
      </c>
      <c r="J48" s="96" t="s">
        <v>110</v>
      </c>
      <c r="K48" s="96" t="s">
        <v>110</v>
      </c>
      <c r="L48" s="96" t="s">
        <v>110</v>
      </c>
      <c r="M48" s="96" t="s">
        <v>110</v>
      </c>
      <c r="N48" s="127"/>
      <c r="O48" s="96" t="s">
        <v>110</v>
      </c>
      <c r="P48" s="96" t="s">
        <v>110</v>
      </c>
      <c r="Q48" s="96" t="s">
        <v>110</v>
      </c>
      <c r="R48" s="96" t="s">
        <v>110</v>
      </c>
      <c r="S48" s="96" t="s">
        <v>110</v>
      </c>
      <c r="T48" s="140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2"/>
      <c r="AK48" s="4">
        <f t="shared" si="1"/>
        <v>12</v>
      </c>
      <c r="AL48" s="4">
        <f t="shared" si="2"/>
        <v>0</v>
      </c>
    </row>
    <row r="49" spans="1:38" ht="16.5" x14ac:dyDescent="0.25">
      <c r="A49" s="6">
        <v>21</v>
      </c>
      <c r="B49" s="11">
        <v>115</v>
      </c>
      <c r="C49" s="106" t="s">
        <v>204</v>
      </c>
      <c r="D49" s="17" t="s">
        <v>205</v>
      </c>
      <c r="E49" s="16" t="s">
        <v>6</v>
      </c>
      <c r="F49" s="96" t="s">
        <v>796</v>
      </c>
      <c r="G49" s="127"/>
      <c r="H49" s="96" t="s">
        <v>110</v>
      </c>
      <c r="I49" s="96" t="s">
        <v>110</v>
      </c>
      <c r="J49" s="96" t="s">
        <v>110</v>
      </c>
      <c r="K49" s="96" t="s">
        <v>110</v>
      </c>
      <c r="L49" s="96" t="s">
        <v>110</v>
      </c>
      <c r="M49" s="96" t="s">
        <v>110</v>
      </c>
      <c r="N49" s="127"/>
      <c r="O49" s="96" t="s">
        <v>110</v>
      </c>
      <c r="P49" s="96" t="s">
        <v>110</v>
      </c>
      <c r="Q49" s="96" t="s">
        <v>110</v>
      </c>
      <c r="R49" s="96" t="s">
        <v>110</v>
      </c>
      <c r="S49" s="96" t="s">
        <v>110</v>
      </c>
      <c r="T49" s="140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2"/>
      <c r="AK49" s="4">
        <f t="shared" si="1"/>
        <v>11</v>
      </c>
      <c r="AL49" s="4">
        <f t="shared" si="2"/>
        <v>1</v>
      </c>
    </row>
    <row r="50" spans="1:38" ht="16.5" x14ac:dyDescent="0.25">
      <c r="A50" s="11">
        <v>22</v>
      </c>
      <c r="B50" s="11">
        <v>114</v>
      </c>
      <c r="C50" s="106" t="s">
        <v>206</v>
      </c>
      <c r="D50" s="17" t="s">
        <v>205</v>
      </c>
      <c r="E50" s="16" t="s">
        <v>6</v>
      </c>
      <c r="F50" s="96" t="s">
        <v>796</v>
      </c>
      <c r="G50" s="127"/>
      <c r="H50" s="96" t="s">
        <v>110</v>
      </c>
      <c r="I50" s="96" t="s">
        <v>110</v>
      </c>
      <c r="J50" s="96" t="s">
        <v>110</v>
      </c>
      <c r="K50" s="96" t="s">
        <v>110</v>
      </c>
      <c r="L50" s="96" t="s">
        <v>110</v>
      </c>
      <c r="M50" s="96" t="s">
        <v>110</v>
      </c>
      <c r="N50" s="127"/>
      <c r="O50" s="96" t="s">
        <v>110</v>
      </c>
      <c r="P50" s="96" t="s">
        <v>110</v>
      </c>
      <c r="Q50" s="96" t="s">
        <v>110</v>
      </c>
      <c r="R50" s="96" t="s">
        <v>110</v>
      </c>
      <c r="S50" s="96" t="s">
        <v>110</v>
      </c>
      <c r="T50" s="140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2"/>
      <c r="AK50" s="4">
        <f t="shared" si="1"/>
        <v>11</v>
      </c>
      <c r="AL50" s="4">
        <f t="shared" si="2"/>
        <v>1</v>
      </c>
    </row>
    <row r="51" spans="1:38" ht="16.5" x14ac:dyDescent="0.25">
      <c r="A51" s="6">
        <v>23</v>
      </c>
      <c r="B51" s="11">
        <v>141</v>
      </c>
      <c r="C51" s="106" t="s">
        <v>207</v>
      </c>
      <c r="D51" s="17" t="s">
        <v>208</v>
      </c>
      <c r="E51" s="16" t="s">
        <v>6</v>
      </c>
      <c r="F51" s="96" t="s">
        <v>110</v>
      </c>
      <c r="G51" s="127"/>
      <c r="H51" s="96" t="s">
        <v>110</v>
      </c>
      <c r="I51" s="96" t="s">
        <v>110</v>
      </c>
      <c r="J51" s="96" t="s">
        <v>110</v>
      </c>
      <c r="K51" s="96" t="s">
        <v>110</v>
      </c>
      <c r="L51" s="96" t="s">
        <v>110</v>
      </c>
      <c r="M51" s="96" t="s">
        <v>110</v>
      </c>
      <c r="N51" s="127"/>
      <c r="O51" s="96" t="s">
        <v>110</v>
      </c>
      <c r="P51" s="96" t="s">
        <v>110</v>
      </c>
      <c r="Q51" s="96" t="s">
        <v>110</v>
      </c>
      <c r="R51" s="96" t="s">
        <v>110</v>
      </c>
      <c r="S51" s="96" t="s">
        <v>110</v>
      </c>
      <c r="T51" s="140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2"/>
      <c r="AK51" s="4">
        <f t="shared" si="1"/>
        <v>12</v>
      </c>
      <c r="AL51" s="4">
        <f t="shared" si="2"/>
        <v>0</v>
      </c>
    </row>
    <row r="52" spans="1:38" ht="16.5" x14ac:dyDescent="0.25">
      <c r="A52" s="11">
        <v>24</v>
      </c>
      <c r="B52" s="11">
        <v>140</v>
      </c>
      <c r="C52" s="106" t="s">
        <v>209</v>
      </c>
      <c r="D52" s="17" t="s">
        <v>208</v>
      </c>
      <c r="E52" s="16" t="s">
        <v>6</v>
      </c>
      <c r="F52" s="96" t="s">
        <v>110</v>
      </c>
      <c r="G52" s="127"/>
      <c r="H52" s="96" t="s">
        <v>110</v>
      </c>
      <c r="I52" s="96" t="s">
        <v>110</v>
      </c>
      <c r="J52" s="96" t="s">
        <v>110</v>
      </c>
      <c r="K52" s="96" t="s">
        <v>110</v>
      </c>
      <c r="L52" s="96" t="s">
        <v>110</v>
      </c>
      <c r="M52" s="96" t="s">
        <v>110</v>
      </c>
      <c r="N52" s="127"/>
      <c r="O52" s="96" t="s">
        <v>110</v>
      </c>
      <c r="P52" s="96" t="s">
        <v>110</v>
      </c>
      <c r="Q52" s="96" t="s">
        <v>110</v>
      </c>
      <c r="R52" s="96" t="s">
        <v>110</v>
      </c>
      <c r="S52" s="96" t="s">
        <v>110</v>
      </c>
      <c r="T52" s="140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2"/>
      <c r="AK52" s="4">
        <f t="shared" si="1"/>
        <v>12</v>
      </c>
      <c r="AL52" s="4">
        <f t="shared" si="2"/>
        <v>0</v>
      </c>
    </row>
    <row r="53" spans="1:38" ht="16.5" x14ac:dyDescent="0.25">
      <c r="A53" s="6">
        <v>25</v>
      </c>
      <c r="B53" s="11">
        <v>96</v>
      </c>
      <c r="C53" s="106" t="s">
        <v>210</v>
      </c>
      <c r="D53" s="17" t="s">
        <v>211</v>
      </c>
      <c r="E53" s="16" t="s">
        <v>6</v>
      </c>
      <c r="F53" s="96" t="s">
        <v>110</v>
      </c>
      <c r="G53" s="127"/>
      <c r="H53" s="96" t="s">
        <v>110</v>
      </c>
      <c r="I53" s="96" t="s">
        <v>110</v>
      </c>
      <c r="J53" s="96" t="s">
        <v>110</v>
      </c>
      <c r="K53" s="96" t="s">
        <v>110</v>
      </c>
      <c r="L53" s="96" t="s">
        <v>110</v>
      </c>
      <c r="M53" s="96" t="s">
        <v>110</v>
      </c>
      <c r="N53" s="127"/>
      <c r="O53" s="96" t="s">
        <v>110</v>
      </c>
      <c r="P53" s="96" t="s">
        <v>110</v>
      </c>
      <c r="Q53" s="96" t="s">
        <v>110</v>
      </c>
      <c r="R53" s="96" t="s">
        <v>110</v>
      </c>
      <c r="S53" s="96" t="s">
        <v>110</v>
      </c>
      <c r="T53" s="140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2"/>
      <c r="AK53" s="4">
        <f t="shared" si="1"/>
        <v>12</v>
      </c>
      <c r="AL53" s="4">
        <f t="shared" si="2"/>
        <v>0</v>
      </c>
    </row>
    <row r="54" spans="1:38" ht="16.5" x14ac:dyDescent="0.25">
      <c r="A54" s="11">
        <v>26</v>
      </c>
      <c r="B54" s="11">
        <v>190</v>
      </c>
      <c r="C54" s="106" t="s">
        <v>212</v>
      </c>
      <c r="D54" s="17" t="s">
        <v>133</v>
      </c>
      <c r="E54" s="16" t="s">
        <v>6</v>
      </c>
      <c r="F54" s="96" t="s">
        <v>110</v>
      </c>
      <c r="G54" s="127"/>
      <c r="H54" s="96" t="s">
        <v>110</v>
      </c>
      <c r="I54" s="96" t="s">
        <v>110</v>
      </c>
      <c r="J54" s="96" t="s">
        <v>110</v>
      </c>
      <c r="K54" s="96" t="s">
        <v>110</v>
      </c>
      <c r="L54" s="96" t="s">
        <v>110</v>
      </c>
      <c r="M54" s="96" t="s">
        <v>110</v>
      </c>
      <c r="N54" s="127"/>
      <c r="O54" s="96" t="s">
        <v>110</v>
      </c>
      <c r="P54" s="96" t="s">
        <v>110</v>
      </c>
      <c r="Q54" s="96" t="s">
        <v>110</v>
      </c>
      <c r="R54" s="96" t="s">
        <v>110</v>
      </c>
      <c r="S54" s="96" t="s">
        <v>110</v>
      </c>
      <c r="T54" s="140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2"/>
      <c r="AK54" s="4">
        <f t="shared" si="1"/>
        <v>12</v>
      </c>
      <c r="AL54" s="4">
        <f t="shared" si="2"/>
        <v>0</v>
      </c>
    </row>
    <row r="55" spans="1:38" ht="16.5" x14ac:dyDescent="0.25">
      <c r="A55" s="6">
        <v>27</v>
      </c>
      <c r="B55" s="11">
        <v>192</v>
      </c>
      <c r="C55" s="106" t="s">
        <v>213</v>
      </c>
      <c r="D55" s="17" t="s">
        <v>214</v>
      </c>
      <c r="E55" s="16" t="s">
        <v>6</v>
      </c>
      <c r="F55" s="96" t="s">
        <v>110</v>
      </c>
      <c r="G55" s="127"/>
      <c r="H55" s="96" t="s">
        <v>110</v>
      </c>
      <c r="I55" s="96" t="s">
        <v>110</v>
      </c>
      <c r="J55" s="96" t="s">
        <v>110</v>
      </c>
      <c r="K55" s="96" t="s">
        <v>110</v>
      </c>
      <c r="L55" s="96" t="s">
        <v>110</v>
      </c>
      <c r="M55" s="96" t="s">
        <v>110</v>
      </c>
      <c r="N55" s="127"/>
      <c r="O55" s="96" t="s">
        <v>110</v>
      </c>
      <c r="P55" s="96" t="s">
        <v>110</v>
      </c>
      <c r="Q55" s="96" t="s">
        <v>110</v>
      </c>
      <c r="R55" s="96" t="s">
        <v>110</v>
      </c>
      <c r="S55" s="96" t="s">
        <v>110</v>
      </c>
      <c r="T55" s="140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2"/>
      <c r="AK55" s="4">
        <f t="shared" si="1"/>
        <v>12</v>
      </c>
      <c r="AL55" s="4">
        <f t="shared" si="2"/>
        <v>0</v>
      </c>
    </row>
    <row r="56" spans="1:38" ht="16.5" x14ac:dyDescent="0.25">
      <c r="A56" s="11">
        <v>28</v>
      </c>
      <c r="B56" s="11">
        <v>193</v>
      </c>
      <c r="C56" s="106" t="s">
        <v>215</v>
      </c>
      <c r="D56" s="17" t="s">
        <v>216</v>
      </c>
      <c r="E56" s="16" t="s">
        <v>6</v>
      </c>
      <c r="F56" s="96" t="s">
        <v>110</v>
      </c>
      <c r="G56" s="127"/>
      <c r="H56" s="96" t="s">
        <v>110</v>
      </c>
      <c r="I56" s="96" t="s">
        <v>110</v>
      </c>
      <c r="J56" s="96" t="s">
        <v>110</v>
      </c>
      <c r="K56" s="96" t="s">
        <v>110</v>
      </c>
      <c r="L56" s="96" t="s">
        <v>110</v>
      </c>
      <c r="M56" s="96" t="s">
        <v>110</v>
      </c>
      <c r="N56" s="127"/>
      <c r="O56" s="96" t="s">
        <v>110</v>
      </c>
      <c r="P56" s="96" t="s">
        <v>110</v>
      </c>
      <c r="Q56" s="96" t="s">
        <v>110</v>
      </c>
      <c r="R56" s="96" t="s">
        <v>110</v>
      </c>
      <c r="S56" s="96" t="s">
        <v>110</v>
      </c>
      <c r="T56" s="140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2"/>
      <c r="AK56" s="4">
        <f t="shared" si="1"/>
        <v>12</v>
      </c>
      <c r="AL56" s="4">
        <f t="shared" si="2"/>
        <v>0</v>
      </c>
    </row>
    <row r="57" spans="1:38" ht="16.5" x14ac:dyDescent="0.25">
      <c r="A57" s="6">
        <v>29</v>
      </c>
      <c r="B57" s="11">
        <v>72</v>
      </c>
      <c r="C57" s="106" t="s">
        <v>217</v>
      </c>
      <c r="D57" s="17" t="s">
        <v>218</v>
      </c>
      <c r="E57" s="16" t="s">
        <v>6</v>
      </c>
      <c r="F57" s="96" t="s">
        <v>110</v>
      </c>
      <c r="G57" s="127"/>
      <c r="H57" s="96" t="s">
        <v>110</v>
      </c>
      <c r="I57" s="96" t="s">
        <v>110</v>
      </c>
      <c r="J57" s="96" t="s">
        <v>110</v>
      </c>
      <c r="K57" s="96" t="s">
        <v>110</v>
      </c>
      <c r="L57" s="96" t="s">
        <v>110</v>
      </c>
      <c r="M57" s="96" t="s">
        <v>110</v>
      </c>
      <c r="N57" s="127"/>
      <c r="O57" s="96" t="s">
        <v>110</v>
      </c>
      <c r="P57" s="96" t="s">
        <v>110</v>
      </c>
      <c r="Q57" s="96" t="s">
        <v>110</v>
      </c>
      <c r="R57" s="96" t="s">
        <v>110</v>
      </c>
      <c r="S57" s="96" t="s">
        <v>110</v>
      </c>
      <c r="T57" s="140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2"/>
      <c r="AK57" s="4">
        <f t="shared" si="1"/>
        <v>12</v>
      </c>
      <c r="AL57" s="4">
        <f t="shared" si="2"/>
        <v>0</v>
      </c>
    </row>
    <row r="58" spans="1:38" ht="16.5" x14ac:dyDescent="0.25">
      <c r="A58" s="11">
        <v>30</v>
      </c>
      <c r="B58" s="11">
        <v>92</v>
      </c>
      <c r="C58" s="9" t="s">
        <v>219</v>
      </c>
      <c r="D58" s="11" t="s">
        <v>220</v>
      </c>
      <c r="E58" s="16" t="s">
        <v>6</v>
      </c>
      <c r="F58" s="96" t="s">
        <v>110</v>
      </c>
      <c r="G58" s="127"/>
      <c r="H58" s="96" t="s">
        <v>110</v>
      </c>
      <c r="I58" s="96" t="s">
        <v>110</v>
      </c>
      <c r="J58" s="96" t="s">
        <v>110</v>
      </c>
      <c r="K58" s="96" t="s">
        <v>110</v>
      </c>
      <c r="L58" s="96" t="s">
        <v>110</v>
      </c>
      <c r="M58" s="96" t="s">
        <v>110</v>
      </c>
      <c r="N58" s="127"/>
      <c r="O58" s="96" t="s">
        <v>110</v>
      </c>
      <c r="P58" s="96" t="s">
        <v>110</v>
      </c>
      <c r="Q58" s="96" t="s">
        <v>110</v>
      </c>
      <c r="R58" s="96" t="s">
        <v>110</v>
      </c>
      <c r="S58" s="96" t="s">
        <v>110</v>
      </c>
      <c r="T58" s="140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2"/>
      <c r="AK58" s="4">
        <f t="shared" si="1"/>
        <v>12</v>
      </c>
      <c r="AL58" s="4">
        <f t="shared" si="2"/>
        <v>0</v>
      </c>
    </row>
    <row r="59" spans="1:38" ht="16.5" x14ac:dyDescent="0.25">
      <c r="A59" s="6">
        <v>31</v>
      </c>
      <c r="B59" s="11">
        <v>191</v>
      </c>
      <c r="C59" s="9" t="s">
        <v>221</v>
      </c>
      <c r="D59" s="11" t="s">
        <v>222</v>
      </c>
      <c r="E59" s="16" t="s">
        <v>6</v>
      </c>
      <c r="F59" s="96" t="s">
        <v>110</v>
      </c>
      <c r="G59" s="127"/>
      <c r="H59" s="96" t="s">
        <v>110</v>
      </c>
      <c r="I59" s="96" t="s">
        <v>110</v>
      </c>
      <c r="J59" s="96" t="s">
        <v>110</v>
      </c>
      <c r="K59" s="96" t="s">
        <v>110</v>
      </c>
      <c r="L59" s="96" t="s">
        <v>110</v>
      </c>
      <c r="M59" s="96" t="s">
        <v>110</v>
      </c>
      <c r="N59" s="127"/>
      <c r="O59" s="96" t="s">
        <v>110</v>
      </c>
      <c r="P59" s="96" t="s">
        <v>110</v>
      </c>
      <c r="Q59" s="96" t="s">
        <v>110</v>
      </c>
      <c r="R59" s="96" t="s">
        <v>110</v>
      </c>
      <c r="S59" s="96" t="s">
        <v>110</v>
      </c>
      <c r="T59" s="140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  <c r="AH59" s="141"/>
      <c r="AI59" s="141"/>
      <c r="AJ59" s="142"/>
      <c r="AK59" s="4">
        <f t="shared" si="1"/>
        <v>12</v>
      </c>
      <c r="AL59" s="4">
        <f t="shared" si="2"/>
        <v>0</v>
      </c>
    </row>
    <row r="60" spans="1:38" ht="16.5" x14ac:dyDescent="0.25">
      <c r="A60" s="6">
        <v>32</v>
      </c>
      <c r="B60" s="11">
        <v>97</v>
      </c>
      <c r="C60" s="9" t="s">
        <v>265</v>
      </c>
      <c r="D60" s="11" t="s">
        <v>791</v>
      </c>
      <c r="E60" s="16" t="s">
        <v>6</v>
      </c>
      <c r="F60" s="96" t="s">
        <v>110</v>
      </c>
      <c r="G60" s="127"/>
      <c r="H60" s="96" t="s">
        <v>796</v>
      </c>
      <c r="I60" s="96" t="s">
        <v>110</v>
      </c>
      <c r="J60" s="96" t="s">
        <v>110</v>
      </c>
      <c r="K60" s="96" t="s">
        <v>110</v>
      </c>
      <c r="L60" s="96" t="s">
        <v>110</v>
      </c>
      <c r="M60" s="96" t="s">
        <v>110</v>
      </c>
      <c r="N60" s="127"/>
      <c r="O60" s="96" t="s">
        <v>110</v>
      </c>
      <c r="P60" s="96" t="s">
        <v>110</v>
      </c>
      <c r="Q60" s="96" t="s">
        <v>110</v>
      </c>
      <c r="R60" s="96" t="s">
        <v>110</v>
      </c>
      <c r="S60" s="96" t="s">
        <v>110</v>
      </c>
      <c r="T60" s="143"/>
      <c r="U60" s="144"/>
      <c r="V60" s="144"/>
      <c r="W60" s="144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5"/>
      <c r="AK60" s="4">
        <f t="shared" si="1"/>
        <v>11</v>
      </c>
      <c r="AL60" s="4">
        <f t="shared" si="2"/>
        <v>1</v>
      </c>
    </row>
  </sheetData>
  <mergeCells count="15">
    <mergeCell ref="A1:AL1"/>
    <mergeCell ref="A2:AL2"/>
    <mergeCell ref="AM3:AN3"/>
    <mergeCell ref="AM11:AP11"/>
    <mergeCell ref="AK3:AK4"/>
    <mergeCell ref="AL3:AL4"/>
    <mergeCell ref="A3:A4"/>
    <mergeCell ref="B3:B4"/>
    <mergeCell ref="C3:C4"/>
    <mergeCell ref="D3:D4"/>
    <mergeCell ref="E3:E4"/>
    <mergeCell ref="G5:G60"/>
    <mergeCell ref="T5:AJ60"/>
    <mergeCell ref="N5:N60"/>
    <mergeCell ref="AM19:AP19"/>
  </mergeCells>
  <conditionalFormatting sqref="B5:B28">
    <cfRule type="duplicateValues" dxfId="352" priority="92"/>
  </conditionalFormatting>
  <conditionalFormatting sqref="B29:B57">
    <cfRule type="duplicateValues" dxfId="351" priority="80"/>
  </conditionalFormatting>
  <conditionalFormatting sqref="F3:AJ4 G5:I5 F5:F60 H6:I60">
    <cfRule type="expression" dxfId="350" priority="81">
      <formula>F$4=TODAY()</formula>
    </cfRule>
  </conditionalFormatting>
  <conditionalFormatting sqref="G5:I5 F5:F60 H6:I60 F3:AJ4">
    <cfRule type="expression" dxfId="349" priority="90">
      <formula>F$3="Sun"</formula>
    </cfRule>
  </conditionalFormatting>
  <conditionalFormatting sqref="G5:I5 F5:F60 H6:I60">
    <cfRule type="cellIs" dxfId="348" priority="82" operator="equal">
      <formula>"L"</formula>
    </cfRule>
    <cfRule type="cellIs" dxfId="347" priority="83" operator="equal">
      <formula>"A"</formula>
    </cfRule>
    <cfRule type="cellIs" dxfId="346" priority="84" operator="equal">
      <formula>"P"</formula>
    </cfRule>
  </conditionalFormatting>
  <conditionalFormatting sqref="J5:M60">
    <cfRule type="expression" dxfId="345" priority="59">
      <formula>J$4=TODAY()</formula>
    </cfRule>
    <cfRule type="cellIs" dxfId="344" priority="60" operator="equal">
      <formula>"L"</formula>
    </cfRule>
    <cfRule type="cellIs" dxfId="343" priority="61" operator="equal">
      <formula>"A"</formula>
    </cfRule>
    <cfRule type="cellIs" dxfId="342" priority="62" operator="equal">
      <formula>"P"</formula>
    </cfRule>
    <cfRule type="expression" dxfId="341" priority="63">
      <formula>J$3="Sun"</formula>
    </cfRule>
  </conditionalFormatting>
  <conditionalFormatting sqref="N5">
    <cfRule type="expression" dxfId="340" priority="37">
      <formula>N$4=TODAY()</formula>
    </cfRule>
    <cfRule type="cellIs" dxfId="339" priority="38" operator="equal">
      <formula>"L"</formula>
    </cfRule>
    <cfRule type="cellIs" dxfId="338" priority="39" operator="equal">
      <formula>"A"</formula>
    </cfRule>
    <cfRule type="cellIs" dxfId="337" priority="40" operator="equal">
      <formula>"P"</formula>
    </cfRule>
    <cfRule type="expression" dxfId="336" priority="41">
      <formula>N$3="Sun"</formula>
    </cfRule>
  </conditionalFormatting>
  <conditionalFormatting sqref="O5:T5 O6:S60">
    <cfRule type="expression" dxfId="335" priority="17">
      <formula>O$4=TODAY()</formula>
    </cfRule>
    <cfRule type="cellIs" dxfId="334" priority="18" operator="equal">
      <formula>"L"</formula>
    </cfRule>
    <cfRule type="cellIs" dxfId="333" priority="19" operator="equal">
      <formula>"A"</formula>
    </cfRule>
    <cfRule type="cellIs" dxfId="332" priority="20" operator="equal">
      <formula>"P"</formula>
    </cfRule>
    <cfRule type="expression" dxfId="331" priority="21">
      <formula>O$3="Sun"</formula>
    </cfRule>
  </conditionalFormatting>
  <conditionalFormatting sqref="AK3:AL3">
    <cfRule type="expression" dxfId="305" priority="91">
      <formula>#REF!="Sun"</formula>
    </cfRule>
  </conditionalFormatting>
  <conditionalFormatting sqref="AK5:AL60">
    <cfRule type="expression" dxfId="304" priority="79">
      <formula>#REF!="Sun"</formula>
    </cfRule>
  </conditionalFormatting>
  <conditionalFormatting sqref="AM8:AM9">
    <cfRule type="expression" dxfId="303" priority="50">
      <formula>AM$3="Sun"</formula>
    </cfRule>
  </conditionalFormatting>
  <conditionalFormatting sqref="AM12:AM15">
    <cfRule type="expression" dxfId="302" priority="48">
      <formula>AM$3="Sun"</formula>
    </cfRule>
  </conditionalFormatting>
  <conditionalFormatting sqref="AM20:AM23">
    <cfRule type="expression" dxfId="301" priority="47">
      <formula>AM$3="Sun"</formula>
    </cfRule>
  </conditionalFormatting>
  <conditionalFormatting sqref="AM4:AN4">
    <cfRule type="expression" dxfId="300" priority="51">
      <formula>AM$3="Sun"</formula>
    </cfRule>
  </conditionalFormatting>
  <conditionalFormatting sqref="AN12:AP12 AN20:AP20">
    <cfRule type="expression" dxfId="299" priority="52">
      <formula>AN$3="Sun"</formula>
    </cfRule>
  </conditionalFormatting>
  <conditionalFormatting sqref="AP21">
    <cfRule type="expression" dxfId="298" priority="49">
      <formula>AP$3="Sun"</formula>
    </cfRule>
  </conditionalFormatting>
  <conditionalFormatting sqref="AM5:AM7">
    <cfRule type="expression" dxfId="9" priority="1">
      <formula>AM$3="Sun"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59"/>
  <sheetViews>
    <sheetView topLeftCell="E1" workbookViewId="0">
      <selection activeCell="AN8" sqref="AN8"/>
    </sheetView>
  </sheetViews>
  <sheetFormatPr defaultColWidth="3.85546875" defaultRowHeight="15" x14ac:dyDescent="0.25"/>
  <cols>
    <col min="1" max="1" width="4" style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 bestFit="1" customWidth="1"/>
    <col min="9" max="9" width="4.5703125" style="1" bestFit="1" customWidth="1"/>
    <col min="10" max="10" width="3.85546875" style="1" bestFit="1" customWidth="1"/>
    <col min="11" max="11" width="4.7109375" style="1" bestFit="1" customWidth="1"/>
    <col min="12" max="12" width="3.85546875" style="1" bestFit="1"/>
    <col min="13" max="14" width="3.7109375" style="1" bestFit="1" customWidth="1"/>
    <col min="15" max="15" width="3.85546875" style="1" bestFit="1" customWidth="1"/>
    <col min="16" max="16" width="4.5703125" style="1" bestFit="1" customWidth="1"/>
    <col min="17" max="17" width="3.85546875" style="1" bestFit="1" customWidth="1"/>
    <col min="18" max="18" width="4.7109375" style="1" bestFit="1" customWidth="1"/>
    <col min="19" max="19" width="3.85546875" style="1" bestFit="1" customWidth="1"/>
    <col min="20" max="21" width="3.7109375" style="1" bestFit="1" customWidth="1"/>
    <col min="22" max="22" width="3.85546875" style="1" bestFit="1" customWidth="1"/>
    <col min="23" max="23" width="4.5703125" style="1" bestFit="1" customWidth="1"/>
    <col min="24" max="24" width="3.85546875" style="1" bestFit="1" customWidth="1"/>
    <col min="25" max="25" width="4.7109375" style="1" bestFit="1" customWidth="1"/>
    <col min="26" max="26" width="3.85546875" style="1" bestFit="1"/>
    <col min="27" max="28" width="3.7109375" style="1" bestFit="1" customWidth="1"/>
    <col min="29" max="29" width="3.85546875" style="1" bestFit="1"/>
    <col min="30" max="30" width="4.5703125" style="1" bestFit="1" customWidth="1"/>
    <col min="31" max="31" width="3.85546875" style="1" bestFit="1"/>
    <col min="32" max="32" width="4.7109375" style="1" bestFit="1" customWidth="1"/>
    <col min="33" max="33" width="3.85546875" style="1" bestFit="1"/>
    <col min="34" max="34" width="3.7109375" style="1" bestFit="1" customWidth="1"/>
    <col min="35" max="35" width="3.7109375" style="1" customWidth="1"/>
    <col min="36" max="36" width="3.7109375" style="1" bestFit="1" customWidth="1"/>
    <col min="37" max="38" width="6.7109375" style="1" bestFit="1" customWidth="1"/>
    <col min="39" max="39" width="18.5703125" style="1" bestFit="1" customWidth="1"/>
    <col min="40" max="42" width="7.5703125" style="1" bestFit="1" customWidth="1"/>
    <col min="43" max="16384" width="3.85546875" style="1"/>
  </cols>
  <sheetData>
    <row r="1" spans="1:42" ht="17.25" x14ac:dyDescent="0.25">
      <c r="A1" s="121" t="s">
        <v>18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</row>
    <row r="2" spans="1:42" ht="17.25" x14ac:dyDescent="0.25">
      <c r="A2" s="121" t="s">
        <v>795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</row>
    <row r="3" spans="1:42" ht="15.75" x14ac:dyDescent="0.25">
      <c r="A3" s="134" t="s">
        <v>0</v>
      </c>
      <c r="B3" s="134" t="s">
        <v>789</v>
      </c>
      <c r="C3" s="134" t="s">
        <v>1</v>
      </c>
      <c r="D3" s="134" t="s">
        <v>2</v>
      </c>
      <c r="E3" s="134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23" t="s">
        <v>4</v>
      </c>
      <c r="AL3" s="123" t="s">
        <v>5</v>
      </c>
      <c r="AM3" s="115" t="s">
        <v>120</v>
      </c>
      <c r="AN3" s="116"/>
      <c r="AO3" s="3"/>
      <c r="AP3" s="3"/>
    </row>
    <row r="4" spans="1:42" ht="37.5" x14ac:dyDescent="0.25">
      <c r="A4" s="135"/>
      <c r="B4" s="135"/>
      <c r="C4" s="135"/>
      <c r="D4" s="135"/>
      <c r="E4" s="135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24"/>
      <c r="AL4" s="124"/>
      <c r="AM4" s="5" t="s">
        <v>121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815</v>
      </c>
      <c r="C5" s="7" t="s">
        <v>223</v>
      </c>
      <c r="D5" s="7" t="s">
        <v>224</v>
      </c>
      <c r="E5" s="8" t="s">
        <v>225</v>
      </c>
      <c r="F5" s="96" t="s">
        <v>110</v>
      </c>
      <c r="G5" s="118" t="s">
        <v>226</v>
      </c>
      <c r="H5" s="96" t="s">
        <v>110</v>
      </c>
      <c r="I5" s="96" t="s">
        <v>110</v>
      </c>
      <c r="J5" s="96" t="s">
        <v>800</v>
      </c>
      <c r="K5" s="96" t="s">
        <v>110</v>
      </c>
      <c r="L5" s="96" t="s">
        <v>110</v>
      </c>
      <c r="M5" s="96" t="s">
        <v>110</v>
      </c>
      <c r="N5" s="118" t="s">
        <v>226</v>
      </c>
      <c r="O5" s="96" t="s">
        <v>800</v>
      </c>
      <c r="P5" s="96" t="s">
        <v>110</v>
      </c>
      <c r="Q5" s="96" t="s">
        <v>110</v>
      </c>
      <c r="R5" s="96" t="s">
        <v>110</v>
      </c>
      <c r="S5" s="137" t="s">
        <v>803</v>
      </c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9"/>
      <c r="AK5" s="5">
        <f t="shared" ref="AK5:AK59" si="1">COUNTIF(F5:AJ5,"P")</f>
        <v>11</v>
      </c>
      <c r="AL5" s="5">
        <f t="shared" ref="AL5:AL59" si="2">COUNTIF(F5:AJ5,"A")</f>
        <v>0</v>
      </c>
      <c r="AM5" s="5" t="s">
        <v>7</v>
      </c>
      <c r="AN5" s="9">
        <v>11</v>
      </c>
      <c r="AO5" s="10"/>
      <c r="AP5" s="3"/>
    </row>
    <row r="6" spans="1:42" ht="16.5" x14ac:dyDescent="0.25">
      <c r="A6" s="9">
        <v>2</v>
      </c>
      <c r="B6" s="11">
        <v>819</v>
      </c>
      <c r="C6" s="7" t="s">
        <v>125</v>
      </c>
      <c r="D6" s="7" t="s">
        <v>228</v>
      </c>
      <c r="E6" s="8" t="s">
        <v>225</v>
      </c>
      <c r="F6" s="96" t="s">
        <v>110</v>
      </c>
      <c r="G6" s="119"/>
      <c r="H6" s="96" t="s">
        <v>110</v>
      </c>
      <c r="I6" s="96" t="s">
        <v>110</v>
      </c>
      <c r="J6" s="96" t="s">
        <v>110</v>
      </c>
      <c r="K6" s="96" t="s">
        <v>110</v>
      </c>
      <c r="L6" s="96" t="s">
        <v>110</v>
      </c>
      <c r="M6" s="96" t="s">
        <v>110</v>
      </c>
      <c r="N6" s="119"/>
      <c r="O6" s="96" t="s">
        <v>800</v>
      </c>
      <c r="P6" s="96" t="s">
        <v>110</v>
      </c>
      <c r="Q6" s="96" t="s">
        <v>110</v>
      </c>
      <c r="R6" s="96" t="s">
        <v>110</v>
      </c>
      <c r="S6" s="140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2"/>
      <c r="AK6" s="5">
        <f t="shared" si="1"/>
        <v>11</v>
      </c>
      <c r="AL6" s="5">
        <f t="shared" si="2"/>
        <v>0</v>
      </c>
      <c r="AM6" s="5" t="s">
        <v>8</v>
      </c>
      <c r="AN6" s="9">
        <v>2</v>
      </c>
      <c r="AO6" s="3"/>
      <c r="AP6" s="3"/>
    </row>
    <row r="7" spans="1:42" ht="16.5" x14ac:dyDescent="0.25">
      <c r="A7" s="9">
        <v>3</v>
      </c>
      <c r="B7" s="11">
        <v>812</v>
      </c>
      <c r="C7" s="7" t="s">
        <v>229</v>
      </c>
      <c r="D7" s="7" t="s">
        <v>230</v>
      </c>
      <c r="E7" s="8" t="s">
        <v>225</v>
      </c>
      <c r="F7" s="96" t="s">
        <v>110</v>
      </c>
      <c r="G7" s="119"/>
      <c r="H7" s="96" t="s">
        <v>110</v>
      </c>
      <c r="I7" s="96" t="s">
        <v>110</v>
      </c>
      <c r="J7" s="96" t="s">
        <v>110</v>
      </c>
      <c r="K7" s="96" t="s">
        <v>110</v>
      </c>
      <c r="L7" s="96" t="s">
        <v>110</v>
      </c>
      <c r="M7" s="96" t="s">
        <v>110</v>
      </c>
      <c r="N7" s="119"/>
      <c r="O7" s="96" t="s">
        <v>800</v>
      </c>
      <c r="P7" s="96" t="s">
        <v>110</v>
      </c>
      <c r="Q7" s="96" t="s">
        <v>110</v>
      </c>
      <c r="R7" s="96" t="s">
        <v>110</v>
      </c>
      <c r="S7" s="140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2"/>
      <c r="AK7" s="5">
        <f t="shared" si="1"/>
        <v>11</v>
      </c>
      <c r="AL7" s="5">
        <f t="shared" si="2"/>
        <v>0</v>
      </c>
      <c r="AM7" s="5" t="s">
        <v>803</v>
      </c>
      <c r="AN7" s="9">
        <v>18</v>
      </c>
      <c r="AO7" s="3"/>
      <c r="AP7" s="3"/>
    </row>
    <row r="8" spans="1:42" ht="16.5" x14ac:dyDescent="0.25">
      <c r="A8" s="9">
        <v>4</v>
      </c>
      <c r="B8" s="11">
        <v>801</v>
      </c>
      <c r="C8" s="7" t="s">
        <v>231</v>
      </c>
      <c r="D8" s="7" t="s">
        <v>232</v>
      </c>
      <c r="E8" s="8" t="s">
        <v>225</v>
      </c>
      <c r="F8" s="96" t="s">
        <v>110</v>
      </c>
      <c r="G8" s="119"/>
      <c r="H8" s="96" t="s">
        <v>110</v>
      </c>
      <c r="I8" s="96" t="s">
        <v>110</v>
      </c>
      <c r="J8" s="96" t="s">
        <v>110</v>
      </c>
      <c r="K8" s="96" t="s">
        <v>110</v>
      </c>
      <c r="L8" s="96" t="s">
        <v>110</v>
      </c>
      <c r="M8" s="96" t="s">
        <v>110</v>
      </c>
      <c r="N8" s="119"/>
      <c r="O8" s="96" t="s">
        <v>800</v>
      </c>
      <c r="P8" s="96" t="s">
        <v>110</v>
      </c>
      <c r="Q8" s="96" t="s">
        <v>110</v>
      </c>
      <c r="R8" s="96" t="s">
        <v>110</v>
      </c>
      <c r="S8" s="140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2"/>
      <c r="AK8" s="5">
        <f t="shared" si="1"/>
        <v>11</v>
      </c>
      <c r="AL8" s="5">
        <f t="shared" si="2"/>
        <v>0</v>
      </c>
      <c r="AM8" s="5"/>
      <c r="AN8" s="9"/>
      <c r="AO8"/>
      <c r="AP8"/>
    </row>
    <row r="9" spans="1:42" ht="16.5" x14ac:dyDescent="0.25">
      <c r="A9" s="9">
        <v>5</v>
      </c>
      <c r="B9" s="11">
        <v>828</v>
      </c>
      <c r="C9" s="7" t="s">
        <v>233</v>
      </c>
      <c r="D9" s="7" t="s">
        <v>228</v>
      </c>
      <c r="E9" s="8" t="s">
        <v>225</v>
      </c>
      <c r="F9" s="96" t="s">
        <v>110</v>
      </c>
      <c r="G9" s="119"/>
      <c r="H9" s="96" t="s">
        <v>110</v>
      </c>
      <c r="I9" s="96" t="s">
        <v>110</v>
      </c>
      <c r="J9" s="96" t="s">
        <v>110</v>
      </c>
      <c r="K9" s="96" t="s">
        <v>110</v>
      </c>
      <c r="L9" s="96" t="s">
        <v>110</v>
      </c>
      <c r="M9" s="96" t="s">
        <v>110</v>
      </c>
      <c r="N9" s="119"/>
      <c r="O9" s="96" t="s">
        <v>800</v>
      </c>
      <c r="P9" s="96" t="s">
        <v>110</v>
      </c>
      <c r="Q9" s="96" t="s">
        <v>110</v>
      </c>
      <c r="R9" s="96" t="s">
        <v>110</v>
      </c>
      <c r="S9" s="140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2"/>
      <c r="AK9" s="5">
        <f t="shared" si="1"/>
        <v>11</v>
      </c>
      <c r="AL9" s="5">
        <f t="shared" si="2"/>
        <v>0</v>
      </c>
      <c r="AM9" s="5"/>
      <c r="AN9" s="9"/>
    </row>
    <row r="10" spans="1:42" ht="16.5" x14ac:dyDescent="0.25">
      <c r="A10" s="9">
        <v>6</v>
      </c>
      <c r="B10" s="11">
        <v>829</v>
      </c>
      <c r="C10" s="7" t="s">
        <v>234</v>
      </c>
      <c r="D10" s="7" t="s">
        <v>235</v>
      </c>
      <c r="E10" s="8" t="s">
        <v>225</v>
      </c>
      <c r="F10" s="96" t="s">
        <v>110</v>
      </c>
      <c r="G10" s="119"/>
      <c r="H10" s="96" t="s">
        <v>110</v>
      </c>
      <c r="I10" s="96" t="s">
        <v>110</v>
      </c>
      <c r="J10" s="96" t="s">
        <v>110</v>
      </c>
      <c r="K10" s="96" t="s">
        <v>110</v>
      </c>
      <c r="L10" s="96" t="s">
        <v>110</v>
      </c>
      <c r="M10" s="96" t="s">
        <v>110</v>
      </c>
      <c r="N10" s="119"/>
      <c r="O10" s="96" t="s">
        <v>800</v>
      </c>
      <c r="P10" s="96" t="s">
        <v>110</v>
      </c>
      <c r="Q10" s="96" t="s">
        <v>110</v>
      </c>
      <c r="R10" s="96" t="s">
        <v>110</v>
      </c>
      <c r="S10" s="140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2"/>
      <c r="AK10" s="5">
        <f t="shared" si="1"/>
        <v>11</v>
      </c>
      <c r="AL10" s="5">
        <f t="shared" si="2"/>
        <v>0</v>
      </c>
    </row>
    <row r="11" spans="1:42" ht="16.5" x14ac:dyDescent="0.25">
      <c r="A11" s="9">
        <v>7</v>
      </c>
      <c r="B11" s="11">
        <v>814</v>
      </c>
      <c r="C11" s="7" t="s">
        <v>236</v>
      </c>
      <c r="D11" s="7" t="s">
        <v>237</v>
      </c>
      <c r="E11" s="8" t="s">
        <v>225</v>
      </c>
      <c r="F11" s="96" t="s">
        <v>110</v>
      </c>
      <c r="G11" s="119"/>
      <c r="H11" s="96" t="s">
        <v>110</v>
      </c>
      <c r="I11" s="96" t="s">
        <v>110</v>
      </c>
      <c r="J11" s="96" t="s">
        <v>110</v>
      </c>
      <c r="K11" s="96" t="s">
        <v>110</v>
      </c>
      <c r="L11" s="96" t="s">
        <v>110</v>
      </c>
      <c r="M11" s="96" t="s">
        <v>110</v>
      </c>
      <c r="N11" s="119"/>
      <c r="O11" s="96" t="s">
        <v>800</v>
      </c>
      <c r="P11" s="96" t="s">
        <v>110</v>
      </c>
      <c r="Q11" s="96" t="s">
        <v>110</v>
      </c>
      <c r="R11" s="96" t="s">
        <v>110</v>
      </c>
      <c r="S11" s="140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2"/>
      <c r="AK11" s="5">
        <f t="shared" si="1"/>
        <v>11</v>
      </c>
      <c r="AL11" s="5">
        <f t="shared" si="2"/>
        <v>0</v>
      </c>
      <c r="AM11" s="115" t="s">
        <v>9</v>
      </c>
      <c r="AN11" s="116"/>
      <c r="AO11" s="116"/>
      <c r="AP11" s="117"/>
    </row>
    <row r="12" spans="1:42" ht="16.5" x14ac:dyDescent="0.25">
      <c r="A12" s="9">
        <v>8</v>
      </c>
      <c r="B12" s="11">
        <v>817</v>
      </c>
      <c r="C12" s="7" t="s">
        <v>238</v>
      </c>
      <c r="D12" s="7" t="s">
        <v>239</v>
      </c>
      <c r="E12" s="8" t="s">
        <v>225</v>
      </c>
      <c r="F12" s="96" t="s">
        <v>110</v>
      </c>
      <c r="G12" s="119"/>
      <c r="H12" s="96" t="s">
        <v>110</v>
      </c>
      <c r="I12" s="96" t="s">
        <v>110</v>
      </c>
      <c r="J12" s="96" t="s">
        <v>110</v>
      </c>
      <c r="K12" s="96" t="s">
        <v>110</v>
      </c>
      <c r="L12" s="96" t="s">
        <v>110</v>
      </c>
      <c r="M12" s="96" t="s">
        <v>110</v>
      </c>
      <c r="N12" s="119"/>
      <c r="O12" s="96" t="s">
        <v>800</v>
      </c>
      <c r="P12" s="96" t="s">
        <v>110</v>
      </c>
      <c r="Q12" s="96" t="s">
        <v>110</v>
      </c>
      <c r="R12" s="96" t="s">
        <v>110</v>
      </c>
      <c r="S12" s="140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2"/>
      <c r="AK12" s="5">
        <f t="shared" si="1"/>
        <v>11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97">
        <v>807</v>
      </c>
      <c r="C13" s="7" t="s">
        <v>240</v>
      </c>
      <c r="D13" s="7" t="s">
        <v>241</v>
      </c>
      <c r="E13" s="8" t="s">
        <v>225</v>
      </c>
      <c r="F13" s="96" t="s">
        <v>110</v>
      </c>
      <c r="G13" s="119"/>
      <c r="H13" s="96" t="s">
        <v>110</v>
      </c>
      <c r="I13" s="96" t="s">
        <v>110</v>
      </c>
      <c r="J13" s="96" t="s">
        <v>110</v>
      </c>
      <c r="K13" s="96" t="s">
        <v>110</v>
      </c>
      <c r="L13" s="96" t="s">
        <v>110</v>
      </c>
      <c r="M13" s="96" t="s">
        <v>110</v>
      </c>
      <c r="N13" s="119"/>
      <c r="O13" s="96" t="s">
        <v>800</v>
      </c>
      <c r="P13" s="96" t="s">
        <v>110</v>
      </c>
      <c r="Q13" s="96" t="s">
        <v>110</v>
      </c>
      <c r="R13" s="96" t="s">
        <v>110</v>
      </c>
      <c r="S13" s="140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2"/>
      <c r="AK13" s="5">
        <f t="shared" si="1"/>
        <v>11</v>
      </c>
      <c r="AL13" s="5">
        <f t="shared" si="2"/>
        <v>0</v>
      </c>
      <c r="AM13" s="5" t="s">
        <v>14</v>
      </c>
      <c r="AN13" s="9">
        <f>32*$AN$5</f>
        <v>352</v>
      </c>
      <c r="AO13" s="9">
        <f>23*$AN$5</f>
        <v>253</v>
      </c>
      <c r="AP13" s="9">
        <f>SUM(AN13:AO13)</f>
        <v>605</v>
      </c>
    </row>
    <row r="14" spans="1:42" ht="16.5" x14ac:dyDescent="0.25">
      <c r="A14" s="9">
        <v>10</v>
      </c>
      <c r="B14" s="11">
        <v>827</v>
      </c>
      <c r="C14" s="7" t="s">
        <v>242</v>
      </c>
      <c r="D14" s="7" t="s">
        <v>89</v>
      </c>
      <c r="E14" s="8" t="s">
        <v>225</v>
      </c>
      <c r="F14" s="96" t="s">
        <v>110</v>
      </c>
      <c r="G14" s="119"/>
      <c r="H14" s="96" t="s">
        <v>110</v>
      </c>
      <c r="I14" s="96" t="s">
        <v>110</v>
      </c>
      <c r="J14" s="96" t="s">
        <v>110</v>
      </c>
      <c r="K14" s="96" t="s">
        <v>110</v>
      </c>
      <c r="L14" s="96" t="s">
        <v>110</v>
      </c>
      <c r="M14" s="96" t="s">
        <v>110</v>
      </c>
      <c r="N14" s="119"/>
      <c r="O14" s="96" t="s">
        <v>800</v>
      </c>
      <c r="P14" s="96" t="s">
        <v>110</v>
      </c>
      <c r="Q14" s="96" t="s">
        <v>110</v>
      </c>
      <c r="R14" s="96" t="s">
        <v>796</v>
      </c>
      <c r="S14" s="140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2"/>
      <c r="AK14" s="5">
        <f t="shared" si="1"/>
        <v>10</v>
      </c>
      <c r="AL14" s="5">
        <f t="shared" si="2"/>
        <v>1</v>
      </c>
      <c r="AM14" s="5" t="s">
        <v>15</v>
      </c>
      <c r="AN14" s="9">
        <f>SUM(AK28:AK59)</f>
        <v>334</v>
      </c>
      <c r="AO14" s="9">
        <f>SUM(AK5:AK27)</f>
        <v>235</v>
      </c>
      <c r="AP14" s="9">
        <f>AN14+AO14</f>
        <v>569</v>
      </c>
    </row>
    <row r="15" spans="1:42" ht="16.5" x14ac:dyDescent="0.25">
      <c r="A15" s="9">
        <v>11</v>
      </c>
      <c r="B15" s="11">
        <v>802</v>
      </c>
      <c r="C15" s="7" t="s">
        <v>243</v>
      </c>
      <c r="D15" s="7" t="s">
        <v>187</v>
      </c>
      <c r="E15" s="8" t="s">
        <v>225</v>
      </c>
      <c r="F15" s="96" t="s">
        <v>110</v>
      </c>
      <c r="G15" s="119"/>
      <c r="H15" s="96" t="s">
        <v>110</v>
      </c>
      <c r="I15" s="96" t="s">
        <v>110</v>
      </c>
      <c r="J15" s="96" t="s">
        <v>110</v>
      </c>
      <c r="K15" s="96" t="s">
        <v>110</v>
      </c>
      <c r="L15" s="96" t="s">
        <v>110</v>
      </c>
      <c r="M15" s="96" t="s">
        <v>110</v>
      </c>
      <c r="N15" s="119"/>
      <c r="O15" s="96" t="s">
        <v>800</v>
      </c>
      <c r="P15" s="96" t="s">
        <v>110</v>
      </c>
      <c r="Q15" s="96" t="s">
        <v>110</v>
      </c>
      <c r="R15" s="96" t="s">
        <v>110</v>
      </c>
      <c r="S15" s="140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2"/>
      <c r="AK15" s="5">
        <f t="shared" si="1"/>
        <v>11</v>
      </c>
      <c r="AL15" s="5">
        <f t="shared" si="2"/>
        <v>0</v>
      </c>
      <c r="AM15" s="5" t="s">
        <v>16</v>
      </c>
      <c r="AN15" s="12">
        <f>AN14/AN13</f>
        <v>0.94886363636363635</v>
      </c>
      <c r="AO15" s="12">
        <f>AO14/AO13</f>
        <v>0.92885375494071143</v>
      </c>
      <c r="AP15" s="12">
        <f>AP14/AP13</f>
        <v>0.94049586776859506</v>
      </c>
    </row>
    <row r="16" spans="1:42" ht="16.5" x14ac:dyDescent="0.25">
      <c r="A16" s="9">
        <v>12</v>
      </c>
      <c r="B16" s="11"/>
      <c r="C16" s="7" t="s">
        <v>244</v>
      </c>
      <c r="D16" s="7" t="s">
        <v>245</v>
      </c>
      <c r="E16" s="8" t="s">
        <v>225</v>
      </c>
      <c r="F16" s="96" t="s">
        <v>796</v>
      </c>
      <c r="G16" s="119"/>
      <c r="H16" s="96" t="s">
        <v>796</v>
      </c>
      <c r="I16" s="96" t="s">
        <v>796</v>
      </c>
      <c r="J16" s="96" t="s">
        <v>796</v>
      </c>
      <c r="K16" s="96" t="s">
        <v>796</v>
      </c>
      <c r="L16" s="96" t="s">
        <v>110</v>
      </c>
      <c r="M16" s="96" t="s">
        <v>110</v>
      </c>
      <c r="N16" s="119"/>
      <c r="O16" s="96" t="s">
        <v>800</v>
      </c>
      <c r="P16" s="96" t="s">
        <v>110</v>
      </c>
      <c r="Q16" s="96" t="s">
        <v>110</v>
      </c>
      <c r="R16" s="96" t="s">
        <v>110</v>
      </c>
      <c r="S16" s="140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2"/>
      <c r="AK16" s="5">
        <f t="shared" si="1"/>
        <v>6</v>
      </c>
      <c r="AL16" s="5">
        <f t="shared" si="2"/>
        <v>5</v>
      </c>
      <c r="AM16"/>
      <c r="AN16"/>
      <c r="AO16"/>
      <c r="AP16"/>
    </row>
    <row r="17" spans="1:42" ht="16.5" x14ac:dyDescent="0.25">
      <c r="A17" s="9">
        <v>13</v>
      </c>
      <c r="B17" s="11">
        <v>836</v>
      </c>
      <c r="C17" s="7" t="s">
        <v>246</v>
      </c>
      <c r="D17" s="7" t="s">
        <v>247</v>
      </c>
      <c r="E17" s="8" t="s">
        <v>225</v>
      </c>
      <c r="F17" s="96" t="s">
        <v>110</v>
      </c>
      <c r="G17" s="119"/>
      <c r="H17" s="96" t="s">
        <v>110</v>
      </c>
      <c r="I17" s="96" t="s">
        <v>110</v>
      </c>
      <c r="J17" s="96" t="s">
        <v>110</v>
      </c>
      <c r="K17" s="96" t="s">
        <v>110</v>
      </c>
      <c r="L17" s="96" t="s">
        <v>110</v>
      </c>
      <c r="M17" s="96" t="s">
        <v>110</v>
      </c>
      <c r="N17" s="119"/>
      <c r="O17" s="96" t="s">
        <v>800</v>
      </c>
      <c r="P17" s="96" t="s">
        <v>110</v>
      </c>
      <c r="Q17" s="96" t="s">
        <v>110</v>
      </c>
      <c r="R17" s="96" t="s">
        <v>110</v>
      </c>
      <c r="S17" s="140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2"/>
      <c r="AK17" s="5">
        <f t="shared" si="1"/>
        <v>11</v>
      </c>
      <c r="AL17" s="5">
        <f t="shared" si="2"/>
        <v>0</v>
      </c>
      <c r="AM17"/>
      <c r="AN17"/>
      <c r="AO17"/>
      <c r="AP17"/>
    </row>
    <row r="18" spans="1:42" ht="16.5" x14ac:dyDescent="0.25">
      <c r="A18" s="9">
        <v>14</v>
      </c>
      <c r="B18" s="11">
        <v>835</v>
      </c>
      <c r="C18" s="7" t="s">
        <v>248</v>
      </c>
      <c r="D18" s="7" t="s">
        <v>249</v>
      </c>
      <c r="E18" s="8" t="s">
        <v>225</v>
      </c>
      <c r="F18" s="96" t="s">
        <v>110</v>
      </c>
      <c r="G18" s="119"/>
      <c r="H18" s="96" t="s">
        <v>110</v>
      </c>
      <c r="I18" s="96" t="s">
        <v>110</v>
      </c>
      <c r="J18" s="96" t="s">
        <v>110</v>
      </c>
      <c r="K18" s="96" t="s">
        <v>110</v>
      </c>
      <c r="L18" s="96" t="s">
        <v>110</v>
      </c>
      <c r="M18" s="96" t="s">
        <v>110</v>
      </c>
      <c r="N18" s="119"/>
      <c r="O18" s="96" t="s">
        <v>800</v>
      </c>
      <c r="P18" s="96" t="s">
        <v>110</v>
      </c>
      <c r="Q18" s="96" t="s">
        <v>110</v>
      </c>
      <c r="R18" s="96" t="s">
        <v>110</v>
      </c>
      <c r="S18" s="140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2"/>
      <c r="AK18" s="5">
        <f t="shared" si="1"/>
        <v>11</v>
      </c>
      <c r="AL18" s="5">
        <f t="shared" si="2"/>
        <v>0</v>
      </c>
      <c r="AM18"/>
      <c r="AN18"/>
      <c r="AO18"/>
      <c r="AP18"/>
    </row>
    <row r="19" spans="1:42" ht="16.5" x14ac:dyDescent="0.25">
      <c r="A19" s="9">
        <v>15</v>
      </c>
      <c r="B19" s="11"/>
      <c r="C19" s="7" t="s">
        <v>250</v>
      </c>
      <c r="D19" s="7" t="s">
        <v>251</v>
      </c>
      <c r="E19" s="8" t="s">
        <v>225</v>
      </c>
      <c r="F19" s="96" t="s">
        <v>110</v>
      </c>
      <c r="G19" s="119"/>
      <c r="H19" s="96" t="s">
        <v>110</v>
      </c>
      <c r="I19" s="96" t="s">
        <v>110</v>
      </c>
      <c r="J19" s="96" t="s">
        <v>110</v>
      </c>
      <c r="K19" s="96" t="s">
        <v>110</v>
      </c>
      <c r="L19" s="96" t="s">
        <v>110</v>
      </c>
      <c r="M19" s="96" t="s">
        <v>110</v>
      </c>
      <c r="N19" s="119"/>
      <c r="O19" s="96" t="s">
        <v>800</v>
      </c>
      <c r="P19" s="96" t="s">
        <v>110</v>
      </c>
      <c r="Q19" s="96" t="s">
        <v>110</v>
      </c>
      <c r="R19" s="96" t="s">
        <v>796</v>
      </c>
      <c r="S19" s="140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2"/>
      <c r="AK19" s="5">
        <f t="shared" si="1"/>
        <v>10</v>
      </c>
      <c r="AL19" s="5">
        <f t="shared" si="2"/>
        <v>1</v>
      </c>
      <c r="AM19" s="115" t="s">
        <v>122</v>
      </c>
      <c r="AN19" s="116"/>
      <c r="AO19" s="116"/>
      <c r="AP19" s="117"/>
    </row>
    <row r="20" spans="1:42" ht="16.5" x14ac:dyDescent="0.25">
      <c r="A20" s="9">
        <v>16</v>
      </c>
      <c r="B20" s="11">
        <v>892</v>
      </c>
      <c r="C20" s="7" t="s">
        <v>252</v>
      </c>
      <c r="D20" s="7" t="s">
        <v>253</v>
      </c>
      <c r="E20" s="8" t="s">
        <v>225</v>
      </c>
      <c r="F20" s="96" t="s">
        <v>110</v>
      </c>
      <c r="G20" s="119"/>
      <c r="H20" s="96" t="s">
        <v>110</v>
      </c>
      <c r="I20" s="96" t="s">
        <v>110</v>
      </c>
      <c r="J20" s="96" t="s">
        <v>110</v>
      </c>
      <c r="K20" s="96" t="s">
        <v>110</v>
      </c>
      <c r="L20" s="96" t="s">
        <v>110</v>
      </c>
      <c r="M20" s="96" t="s">
        <v>110</v>
      </c>
      <c r="N20" s="119"/>
      <c r="O20" s="96" t="s">
        <v>800</v>
      </c>
      <c r="P20" s="96" t="s">
        <v>110</v>
      </c>
      <c r="Q20" s="96" t="s">
        <v>110</v>
      </c>
      <c r="R20" s="96" t="s">
        <v>110</v>
      </c>
      <c r="S20" s="140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2"/>
      <c r="AK20" s="5">
        <f t="shared" si="1"/>
        <v>11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11">
        <v>838</v>
      </c>
      <c r="C21" s="7" t="s">
        <v>254</v>
      </c>
      <c r="D21" s="7" t="s">
        <v>253</v>
      </c>
      <c r="E21" s="8" t="s">
        <v>225</v>
      </c>
      <c r="F21" s="96" t="s">
        <v>110</v>
      </c>
      <c r="G21" s="119"/>
      <c r="H21" s="96" t="s">
        <v>110</v>
      </c>
      <c r="I21" s="96" t="s">
        <v>110</v>
      </c>
      <c r="J21" s="96" t="s">
        <v>110</v>
      </c>
      <c r="K21" s="96" t="s">
        <v>110</v>
      </c>
      <c r="L21" s="96" t="s">
        <v>110</v>
      </c>
      <c r="M21" s="96" t="s">
        <v>110</v>
      </c>
      <c r="N21" s="119"/>
      <c r="O21" s="96" t="s">
        <v>800</v>
      </c>
      <c r="P21" s="96" t="s">
        <v>110</v>
      </c>
      <c r="Q21" s="96" t="s">
        <v>110</v>
      </c>
      <c r="R21" s="96" t="s">
        <v>110</v>
      </c>
      <c r="S21" s="140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2"/>
      <c r="AK21" s="5">
        <f t="shared" si="1"/>
        <v>11</v>
      </c>
      <c r="AL21" s="5">
        <f t="shared" si="2"/>
        <v>0</v>
      </c>
      <c r="AM21" s="5" t="s">
        <v>14</v>
      </c>
      <c r="AN21" s="9">
        <f>32*$AN$5</f>
        <v>352</v>
      </c>
      <c r="AO21" s="9">
        <f>24*$AN$5</f>
        <v>264</v>
      </c>
      <c r="AP21" s="9">
        <f>AN21+AO21</f>
        <v>616</v>
      </c>
    </row>
    <row r="22" spans="1:42" ht="16.5" x14ac:dyDescent="0.25">
      <c r="A22" s="9">
        <v>18</v>
      </c>
      <c r="B22" s="11">
        <v>808</v>
      </c>
      <c r="C22" s="7" t="s">
        <v>260</v>
      </c>
      <c r="D22" s="7" t="s">
        <v>261</v>
      </c>
      <c r="E22" s="8" t="s">
        <v>225</v>
      </c>
      <c r="F22" s="96" t="s">
        <v>110</v>
      </c>
      <c r="G22" s="119"/>
      <c r="H22" s="96" t="s">
        <v>110</v>
      </c>
      <c r="I22" s="96" t="s">
        <v>110</v>
      </c>
      <c r="J22" s="96" t="s">
        <v>110</v>
      </c>
      <c r="K22" s="96" t="s">
        <v>110</v>
      </c>
      <c r="L22" s="96" t="s">
        <v>110</v>
      </c>
      <c r="M22" s="96" t="s">
        <v>110</v>
      </c>
      <c r="N22" s="119"/>
      <c r="O22" s="96" t="s">
        <v>800</v>
      </c>
      <c r="P22" s="96" t="s">
        <v>110</v>
      </c>
      <c r="Q22" s="96" t="s">
        <v>110</v>
      </c>
      <c r="R22" s="96" t="s">
        <v>796</v>
      </c>
      <c r="S22" s="140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2"/>
      <c r="AK22" s="5">
        <f t="shared" si="1"/>
        <v>10</v>
      </c>
      <c r="AL22" s="5">
        <f t="shared" si="2"/>
        <v>1</v>
      </c>
      <c r="AM22" s="5" t="s">
        <v>17</v>
      </c>
      <c r="AN22" s="9">
        <f>AN21-AN14</f>
        <v>18</v>
      </c>
      <c r="AO22" s="9">
        <f>AO21-AO14</f>
        <v>29</v>
      </c>
      <c r="AP22" s="9">
        <f>AN22+AO22</f>
        <v>47</v>
      </c>
    </row>
    <row r="23" spans="1:42" ht="16.5" x14ac:dyDescent="0.25">
      <c r="A23" s="9">
        <v>19</v>
      </c>
      <c r="B23" s="11">
        <v>800</v>
      </c>
      <c r="C23" s="7" t="s">
        <v>262</v>
      </c>
      <c r="D23" s="7" t="s">
        <v>263</v>
      </c>
      <c r="E23" s="8" t="s">
        <v>225</v>
      </c>
      <c r="F23" s="96" t="s">
        <v>110</v>
      </c>
      <c r="G23" s="119"/>
      <c r="H23" s="96" t="s">
        <v>110</v>
      </c>
      <c r="I23" s="96" t="s">
        <v>110</v>
      </c>
      <c r="J23" s="96" t="s">
        <v>110</v>
      </c>
      <c r="K23" s="96" t="s">
        <v>110</v>
      </c>
      <c r="L23" s="96" t="s">
        <v>110</v>
      </c>
      <c r="M23" s="96" t="s">
        <v>110</v>
      </c>
      <c r="N23" s="119"/>
      <c r="O23" s="96" t="s">
        <v>800</v>
      </c>
      <c r="P23" s="96" t="s">
        <v>110</v>
      </c>
      <c r="Q23" s="96" t="s">
        <v>110</v>
      </c>
      <c r="R23" s="96" t="s">
        <v>110</v>
      </c>
      <c r="S23" s="140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2"/>
      <c r="AK23" s="5">
        <f t="shared" si="1"/>
        <v>11</v>
      </c>
      <c r="AL23" s="5">
        <f t="shared" si="2"/>
        <v>0</v>
      </c>
      <c r="AM23" s="5" t="s">
        <v>16</v>
      </c>
      <c r="AN23" s="12">
        <f>AN22/AN21</f>
        <v>5.113636363636364E-2</v>
      </c>
      <c r="AO23" s="12">
        <f>AO22/AO21</f>
        <v>0.10984848484848485</v>
      </c>
      <c r="AP23" s="12">
        <f>AP22/AP21</f>
        <v>7.6298701298701296E-2</v>
      </c>
    </row>
    <row r="24" spans="1:42" ht="16.5" x14ac:dyDescent="0.25">
      <c r="A24" s="9">
        <v>20</v>
      </c>
      <c r="B24" s="11">
        <v>823</v>
      </c>
      <c r="C24" s="7" t="s">
        <v>255</v>
      </c>
      <c r="D24" s="7" t="s">
        <v>256</v>
      </c>
      <c r="E24" s="8" t="s">
        <v>225</v>
      </c>
      <c r="F24" s="96" t="s">
        <v>110</v>
      </c>
      <c r="G24" s="119"/>
      <c r="H24" s="96" t="s">
        <v>110</v>
      </c>
      <c r="I24" s="96" t="s">
        <v>110</v>
      </c>
      <c r="J24" s="96" t="s">
        <v>110</v>
      </c>
      <c r="K24" s="96" t="s">
        <v>110</v>
      </c>
      <c r="L24" s="96" t="s">
        <v>110</v>
      </c>
      <c r="M24" s="96" t="s">
        <v>110</v>
      </c>
      <c r="N24" s="119"/>
      <c r="O24" s="96" t="s">
        <v>800</v>
      </c>
      <c r="P24" s="96" t="s">
        <v>110</v>
      </c>
      <c r="Q24" s="96" t="s">
        <v>110</v>
      </c>
      <c r="R24" s="96" t="s">
        <v>110</v>
      </c>
      <c r="S24" s="140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2"/>
      <c r="AK24" s="5">
        <f t="shared" si="1"/>
        <v>11</v>
      </c>
      <c r="AL24" s="5">
        <f t="shared" si="2"/>
        <v>0</v>
      </c>
    </row>
    <row r="25" spans="1:42" ht="16.5" x14ac:dyDescent="0.25">
      <c r="A25" s="9">
        <v>21</v>
      </c>
      <c r="B25" s="11">
        <v>793</v>
      </c>
      <c r="C25" s="7" t="s">
        <v>257</v>
      </c>
      <c r="D25" s="7" t="s">
        <v>258</v>
      </c>
      <c r="E25" s="8" t="s">
        <v>225</v>
      </c>
      <c r="F25" s="96" t="s">
        <v>110</v>
      </c>
      <c r="G25" s="119"/>
      <c r="H25" s="96" t="s">
        <v>110</v>
      </c>
      <c r="I25" s="96" t="s">
        <v>110</v>
      </c>
      <c r="J25" s="96" t="s">
        <v>110</v>
      </c>
      <c r="K25" s="96" t="s">
        <v>110</v>
      </c>
      <c r="L25" s="96" t="s">
        <v>110</v>
      </c>
      <c r="M25" s="96" t="s">
        <v>110</v>
      </c>
      <c r="N25" s="119"/>
      <c r="O25" s="96" t="s">
        <v>800</v>
      </c>
      <c r="P25" s="96" t="s">
        <v>110</v>
      </c>
      <c r="Q25" s="96" t="s">
        <v>110</v>
      </c>
      <c r="R25" s="96" t="s">
        <v>110</v>
      </c>
      <c r="S25" s="140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2"/>
      <c r="AK25" s="5">
        <f t="shared" si="1"/>
        <v>11</v>
      </c>
      <c r="AL25" s="5">
        <f t="shared" si="2"/>
        <v>0</v>
      </c>
    </row>
    <row r="26" spans="1:42" ht="16.5" x14ac:dyDescent="0.25">
      <c r="A26" s="9">
        <v>22</v>
      </c>
      <c r="B26" s="11">
        <v>811</v>
      </c>
      <c r="C26" s="7" t="s">
        <v>257</v>
      </c>
      <c r="D26" s="7" t="s">
        <v>259</v>
      </c>
      <c r="E26" s="8" t="s">
        <v>225</v>
      </c>
      <c r="F26" s="96" t="s">
        <v>110</v>
      </c>
      <c r="G26" s="119"/>
      <c r="H26" s="96" t="s">
        <v>110</v>
      </c>
      <c r="I26" s="96" t="s">
        <v>110</v>
      </c>
      <c r="J26" s="96" t="s">
        <v>110</v>
      </c>
      <c r="K26" s="96" t="s">
        <v>110</v>
      </c>
      <c r="L26" s="96" t="s">
        <v>110</v>
      </c>
      <c r="M26" s="96" t="s">
        <v>110</v>
      </c>
      <c r="N26" s="119"/>
      <c r="O26" s="96" t="s">
        <v>800</v>
      </c>
      <c r="P26" s="96" t="s">
        <v>110</v>
      </c>
      <c r="Q26" s="96" t="s">
        <v>110</v>
      </c>
      <c r="R26" s="96" t="s">
        <v>110</v>
      </c>
      <c r="S26" s="140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2"/>
      <c r="AK26" s="5">
        <f t="shared" si="1"/>
        <v>11</v>
      </c>
      <c r="AL26" s="5">
        <f t="shared" si="2"/>
        <v>0</v>
      </c>
    </row>
    <row r="27" spans="1:42" ht="16.5" x14ac:dyDescent="0.25">
      <c r="A27" s="9">
        <v>23</v>
      </c>
      <c r="B27" s="11">
        <v>822</v>
      </c>
      <c r="C27" s="7" t="s">
        <v>227</v>
      </c>
      <c r="D27" s="7" t="s">
        <v>790</v>
      </c>
      <c r="E27" s="8" t="s">
        <v>225</v>
      </c>
      <c r="F27" s="96" t="s">
        <v>110</v>
      </c>
      <c r="G27" s="119"/>
      <c r="H27" s="96" t="s">
        <v>796</v>
      </c>
      <c r="I27" s="96" t="s">
        <v>796</v>
      </c>
      <c r="J27" s="96" t="s">
        <v>796</v>
      </c>
      <c r="K27" s="96" t="s">
        <v>796</v>
      </c>
      <c r="L27" s="96" t="s">
        <v>796</v>
      </c>
      <c r="M27" s="96" t="s">
        <v>796</v>
      </c>
      <c r="N27" s="119"/>
      <c r="O27" s="96" t="s">
        <v>796</v>
      </c>
      <c r="P27" s="96" t="s">
        <v>796</v>
      </c>
      <c r="Q27" s="96" t="s">
        <v>796</v>
      </c>
      <c r="R27" s="96" t="s">
        <v>796</v>
      </c>
      <c r="S27" s="140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2"/>
      <c r="AK27" s="5">
        <f t="shared" si="1"/>
        <v>1</v>
      </c>
      <c r="AL27" s="5">
        <f t="shared" si="2"/>
        <v>10</v>
      </c>
    </row>
    <row r="28" spans="1:42" ht="16.5" customHeight="1" x14ac:dyDescent="0.25">
      <c r="A28" s="9">
        <v>1</v>
      </c>
      <c r="B28" s="11">
        <v>824</v>
      </c>
      <c r="C28" s="7" t="s">
        <v>264</v>
      </c>
      <c r="D28" s="7" t="s">
        <v>259</v>
      </c>
      <c r="E28" s="8" t="s">
        <v>225</v>
      </c>
      <c r="F28" s="96" t="s">
        <v>110</v>
      </c>
      <c r="G28" s="119"/>
      <c r="H28" s="96" t="s">
        <v>110</v>
      </c>
      <c r="I28" s="96" t="s">
        <v>110</v>
      </c>
      <c r="J28" s="96" t="s">
        <v>110</v>
      </c>
      <c r="K28" s="96" t="s">
        <v>110</v>
      </c>
      <c r="L28" s="96" t="s">
        <v>110</v>
      </c>
      <c r="M28" s="96" t="s">
        <v>110</v>
      </c>
      <c r="N28" s="119"/>
      <c r="O28" s="96" t="s">
        <v>110</v>
      </c>
      <c r="P28" s="96" t="s">
        <v>110</v>
      </c>
      <c r="Q28" s="96" t="s">
        <v>110</v>
      </c>
      <c r="R28" s="96" t="s">
        <v>110</v>
      </c>
      <c r="S28" s="140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2"/>
      <c r="AK28" s="5">
        <f t="shared" si="1"/>
        <v>11</v>
      </c>
      <c r="AL28" s="5">
        <f t="shared" si="2"/>
        <v>0</v>
      </c>
    </row>
    <row r="29" spans="1:42" ht="16.5" x14ac:dyDescent="0.25">
      <c r="A29" s="9">
        <v>2</v>
      </c>
      <c r="B29" s="11">
        <v>791</v>
      </c>
      <c r="C29" s="7" t="s">
        <v>264</v>
      </c>
      <c r="D29" s="7" t="s">
        <v>265</v>
      </c>
      <c r="E29" s="8" t="s">
        <v>225</v>
      </c>
      <c r="F29" s="96" t="s">
        <v>110</v>
      </c>
      <c r="G29" s="119"/>
      <c r="H29" s="96" t="s">
        <v>110</v>
      </c>
      <c r="I29" s="96" t="s">
        <v>110</v>
      </c>
      <c r="J29" s="96" t="s">
        <v>110</v>
      </c>
      <c r="K29" s="96" t="s">
        <v>110</v>
      </c>
      <c r="L29" s="96" t="s">
        <v>110</v>
      </c>
      <c r="M29" s="96" t="s">
        <v>110</v>
      </c>
      <c r="N29" s="119"/>
      <c r="O29" s="96" t="s">
        <v>110</v>
      </c>
      <c r="P29" s="96" t="s">
        <v>110</v>
      </c>
      <c r="Q29" s="96" t="s">
        <v>110</v>
      </c>
      <c r="R29" s="96" t="s">
        <v>110</v>
      </c>
      <c r="S29" s="140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2"/>
      <c r="AK29" s="5">
        <f t="shared" si="1"/>
        <v>11</v>
      </c>
      <c r="AL29" s="5">
        <f t="shared" si="2"/>
        <v>0</v>
      </c>
    </row>
    <row r="30" spans="1:42" ht="16.5" x14ac:dyDescent="0.25">
      <c r="A30" s="9">
        <v>3</v>
      </c>
      <c r="B30" s="11">
        <v>809</v>
      </c>
      <c r="C30" s="7" t="s">
        <v>266</v>
      </c>
      <c r="D30" s="7" t="s">
        <v>267</v>
      </c>
      <c r="E30" s="8" t="s">
        <v>225</v>
      </c>
      <c r="F30" s="96" t="s">
        <v>110</v>
      </c>
      <c r="G30" s="119"/>
      <c r="H30" s="96" t="s">
        <v>110</v>
      </c>
      <c r="I30" s="96" t="s">
        <v>110</v>
      </c>
      <c r="J30" s="96" t="s">
        <v>110</v>
      </c>
      <c r="K30" s="96" t="s">
        <v>110</v>
      </c>
      <c r="L30" s="96" t="s">
        <v>110</v>
      </c>
      <c r="M30" s="96" t="s">
        <v>110</v>
      </c>
      <c r="N30" s="119"/>
      <c r="O30" s="96" t="s">
        <v>110</v>
      </c>
      <c r="P30" s="96" t="s">
        <v>110</v>
      </c>
      <c r="Q30" s="96" t="s">
        <v>110</v>
      </c>
      <c r="R30" s="96" t="s">
        <v>110</v>
      </c>
      <c r="S30" s="140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2"/>
      <c r="AK30" s="5">
        <f t="shared" si="1"/>
        <v>11</v>
      </c>
      <c r="AL30" s="5">
        <f t="shared" si="2"/>
        <v>0</v>
      </c>
    </row>
    <row r="31" spans="1:42" ht="16.5" x14ac:dyDescent="0.25">
      <c r="A31" s="9">
        <v>4</v>
      </c>
      <c r="B31" s="11">
        <v>837</v>
      </c>
      <c r="C31" s="7" t="s">
        <v>268</v>
      </c>
      <c r="D31" s="7" t="s">
        <v>269</v>
      </c>
      <c r="E31" s="8" t="s">
        <v>225</v>
      </c>
      <c r="F31" s="96" t="s">
        <v>110</v>
      </c>
      <c r="G31" s="119"/>
      <c r="H31" s="96" t="s">
        <v>110</v>
      </c>
      <c r="I31" s="96" t="s">
        <v>110</v>
      </c>
      <c r="J31" s="96" t="s">
        <v>110</v>
      </c>
      <c r="K31" s="96" t="s">
        <v>110</v>
      </c>
      <c r="L31" s="96" t="s">
        <v>110</v>
      </c>
      <c r="M31" s="96" t="s">
        <v>110</v>
      </c>
      <c r="N31" s="119"/>
      <c r="O31" s="96" t="s">
        <v>110</v>
      </c>
      <c r="P31" s="96" t="s">
        <v>110</v>
      </c>
      <c r="Q31" s="96" t="s">
        <v>110</v>
      </c>
      <c r="R31" s="96" t="s">
        <v>110</v>
      </c>
      <c r="S31" s="140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2"/>
      <c r="AK31" s="5">
        <f t="shared" si="1"/>
        <v>11</v>
      </c>
      <c r="AL31" s="5">
        <f t="shared" si="2"/>
        <v>0</v>
      </c>
    </row>
    <row r="32" spans="1:42" ht="16.5" x14ac:dyDescent="0.25">
      <c r="A32" s="9">
        <v>5</v>
      </c>
      <c r="B32" s="11">
        <v>798</v>
      </c>
      <c r="C32" s="7" t="s">
        <v>112</v>
      </c>
      <c r="D32" s="7" t="s">
        <v>270</v>
      </c>
      <c r="E32" s="8" t="s">
        <v>225</v>
      </c>
      <c r="F32" s="96" t="s">
        <v>110</v>
      </c>
      <c r="G32" s="119"/>
      <c r="H32" s="96" t="s">
        <v>110</v>
      </c>
      <c r="I32" s="96" t="s">
        <v>110</v>
      </c>
      <c r="J32" s="96" t="s">
        <v>110</v>
      </c>
      <c r="K32" s="96" t="s">
        <v>110</v>
      </c>
      <c r="L32" s="96" t="s">
        <v>110</v>
      </c>
      <c r="M32" s="96" t="s">
        <v>110</v>
      </c>
      <c r="N32" s="119"/>
      <c r="O32" s="96" t="s">
        <v>110</v>
      </c>
      <c r="P32" s="96" t="s">
        <v>110</v>
      </c>
      <c r="Q32" s="96" t="s">
        <v>110</v>
      </c>
      <c r="R32" s="96" t="s">
        <v>110</v>
      </c>
      <c r="S32" s="140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2"/>
      <c r="AK32" s="5">
        <f t="shared" si="1"/>
        <v>11</v>
      </c>
      <c r="AL32" s="5">
        <f t="shared" si="2"/>
        <v>0</v>
      </c>
    </row>
    <row r="33" spans="1:38" ht="15" customHeight="1" x14ac:dyDescent="0.25">
      <c r="A33" s="9">
        <v>6</v>
      </c>
      <c r="B33" s="11">
        <v>816</v>
      </c>
      <c r="C33" s="7" t="s">
        <v>271</v>
      </c>
      <c r="D33" s="7" t="s">
        <v>272</v>
      </c>
      <c r="E33" s="8" t="s">
        <v>225</v>
      </c>
      <c r="F33" s="96" t="s">
        <v>110</v>
      </c>
      <c r="G33" s="119"/>
      <c r="H33" s="96" t="s">
        <v>110</v>
      </c>
      <c r="I33" s="96" t="s">
        <v>110</v>
      </c>
      <c r="J33" s="96" t="s">
        <v>110</v>
      </c>
      <c r="K33" s="96" t="s">
        <v>110</v>
      </c>
      <c r="L33" s="96" t="s">
        <v>110</v>
      </c>
      <c r="M33" s="96" t="s">
        <v>110</v>
      </c>
      <c r="N33" s="119"/>
      <c r="O33" s="96" t="s">
        <v>110</v>
      </c>
      <c r="P33" s="96" t="s">
        <v>110</v>
      </c>
      <c r="Q33" s="96" t="s">
        <v>110</v>
      </c>
      <c r="R33" s="96" t="s">
        <v>110</v>
      </c>
      <c r="S33" s="140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2"/>
      <c r="AK33" s="5">
        <f t="shared" si="1"/>
        <v>11</v>
      </c>
      <c r="AL33" s="5">
        <f t="shared" si="2"/>
        <v>0</v>
      </c>
    </row>
    <row r="34" spans="1:38" ht="16.5" x14ac:dyDescent="0.25">
      <c r="A34" s="9">
        <v>7</v>
      </c>
      <c r="B34" s="11">
        <v>797</v>
      </c>
      <c r="C34" s="7" t="s">
        <v>273</v>
      </c>
      <c r="D34" s="7" t="s">
        <v>274</v>
      </c>
      <c r="E34" s="8" t="s">
        <v>225</v>
      </c>
      <c r="F34" s="96" t="s">
        <v>110</v>
      </c>
      <c r="G34" s="119"/>
      <c r="H34" s="96" t="s">
        <v>110</v>
      </c>
      <c r="I34" s="96" t="s">
        <v>110</v>
      </c>
      <c r="J34" s="96" t="s">
        <v>110</v>
      </c>
      <c r="K34" s="96" t="s">
        <v>110</v>
      </c>
      <c r="L34" s="96" t="s">
        <v>110</v>
      </c>
      <c r="M34" s="96" t="s">
        <v>796</v>
      </c>
      <c r="N34" s="119"/>
      <c r="O34" s="96" t="s">
        <v>796</v>
      </c>
      <c r="P34" s="96" t="s">
        <v>796</v>
      </c>
      <c r="Q34" s="96" t="s">
        <v>796</v>
      </c>
      <c r="R34" s="96" t="s">
        <v>796</v>
      </c>
      <c r="S34" s="140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2"/>
      <c r="AK34" s="5">
        <f t="shared" si="1"/>
        <v>6</v>
      </c>
      <c r="AL34" s="5">
        <f t="shared" si="2"/>
        <v>5</v>
      </c>
    </row>
    <row r="35" spans="1:38" ht="16.5" x14ac:dyDescent="0.25">
      <c r="A35" s="9">
        <v>8</v>
      </c>
      <c r="B35" s="11"/>
      <c r="C35" s="7" t="s">
        <v>275</v>
      </c>
      <c r="D35" s="7" t="s">
        <v>276</v>
      </c>
      <c r="E35" s="8" t="s">
        <v>225</v>
      </c>
      <c r="F35" s="96" t="s">
        <v>110</v>
      </c>
      <c r="G35" s="119"/>
      <c r="H35" s="96" t="s">
        <v>110</v>
      </c>
      <c r="I35" s="96" t="s">
        <v>110</v>
      </c>
      <c r="J35" s="96" t="s">
        <v>110</v>
      </c>
      <c r="K35" s="96" t="s">
        <v>110</v>
      </c>
      <c r="L35" s="96" t="s">
        <v>110</v>
      </c>
      <c r="M35" s="96" t="s">
        <v>110</v>
      </c>
      <c r="N35" s="119"/>
      <c r="O35" s="96" t="s">
        <v>110</v>
      </c>
      <c r="P35" s="96" t="s">
        <v>796</v>
      </c>
      <c r="Q35" s="96" t="s">
        <v>796</v>
      </c>
      <c r="R35" s="96" t="s">
        <v>110</v>
      </c>
      <c r="S35" s="140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2"/>
      <c r="AK35" s="5">
        <f t="shared" si="1"/>
        <v>9</v>
      </c>
      <c r="AL35" s="5">
        <f t="shared" si="2"/>
        <v>2</v>
      </c>
    </row>
    <row r="36" spans="1:38" ht="16.5" x14ac:dyDescent="0.25">
      <c r="A36" s="9">
        <v>9</v>
      </c>
      <c r="B36" s="11">
        <v>795</v>
      </c>
      <c r="C36" s="7" t="s">
        <v>96</v>
      </c>
      <c r="D36" s="7" t="s">
        <v>277</v>
      </c>
      <c r="E36" s="8" t="s">
        <v>225</v>
      </c>
      <c r="F36" s="96" t="s">
        <v>110</v>
      </c>
      <c r="G36" s="119"/>
      <c r="H36" s="96" t="s">
        <v>110</v>
      </c>
      <c r="I36" s="96" t="s">
        <v>110</v>
      </c>
      <c r="J36" s="96" t="s">
        <v>110</v>
      </c>
      <c r="K36" s="96" t="s">
        <v>110</v>
      </c>
      <c r="L36" s="96" t="s">
        <v>110</v>
      </c>
      <c r="M36" s="96" t="s">
        <v>110</v>
      </c>
      <c r="N36" s="119"/>
      <c r="O36" s="96" t="s">
        <v>110</v>
      </c>
      <c r="P36" s="96" t="s">
        <v>110</v>
      </c>
      <c r="Q36" s="96" t="s">
        <v>110</v>
      </c>
      <c r="R36" s="96" t="s">
        <v>110</v>
      </c>
      <c r="S36" s="140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2"/>
      <c r="AK36" s="5">
        <f t="shared" si="1"/>
        <v>11</v>
      </c>
      <c r="AL36" s="5">
        <f t="shared" si="2"/>
        <v>0</v>
      </c>
    </row>
    <row r="37" spans="1:38" ht="16.5" x14ac:dyDescent="0.25">
      <c r="A37" s="9">
        <v>10</v>
      </c>
      <c r="B37" s="11">
        <v>796</v>
      </c>
      <c r="C37" s="7" t="s">
        <v>278</v>
      </c>
      <c r="D37" s="7" t="s">
        <v>279</v>
      </c>
      <c r="E37" s="8" t="s">
        <v>225</v>
      </c>
      <c r="F37" s="96" t="s">
        <v>110</v>
      </c>
      <c r="G37" s="119"/>
      <c r="H37" s="96" t="s">
        <v>110</v>
      </c>
      <c r="I37" s="96" t="s">
        <v>110</v>
      </c>
      <c r="J37" s="96" t="s">
        <v>110</v>
      </c>
      <c r="K37" s="96" t="s">
        <v>110</v>
      </c>
      <c r="L37" s="96" t="s">
        <v>110</v>
      </c>
      <c r="M37" s="96" t="s">
        <v>110</v>
      </c>
      <c r="N37" s="119"/>
      <c r="O37" s="96" t="s">
        <v>110</v>
      </c>
      <c r="P37" s="96" t="s">
        <v>110</v>
      </c>
      <c r="Q37" s="96" t="s">
        <v>110</v>
      </c>
      <c r="R37" s="96" t="s">
        <v>110</v>
      </c>
      <c r="S37" s="140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2"/>
      <c r="AK37" s="5">
        <f t="shared" si="1"/>
        <v>11</v>
      </c>
      <c r="AL37" s="5">
        <f t="shared" si="2"/>
        <v>0</v>
      </c>
    </row>
    <row r="38" spans="1:38" ht="16.5" x14ac:dyDescent="0.25">
      <c r="A38" s="9">
        <v>11</v>
      </c>
      <c r="B38" s="11">
        <v>821</v>
      </c>
      <c r="C38" s="7" t="s">
        <v>280</v>
      </c>
      <c r="D38" s="7" t="s">
        <v>281</v>
      </c>
      <c r="E38" s="8" t="s">
        <v>225</v>
      </c>
      <c r="F38" s="96" t="s">
        <v>110</v>
      </c>
      <c r="G38" s="119"/>
      <c r="H38" s="96" t="s">
        <v>110</v>
      </c>
      <c r="I38" s="96" t="s">
        <v>110</v>
      </c>
      <c r="J38" s="96" t="s">
        <v>110</v>
      </c>
      <c r="K38" s="96" t="s">
        <v>110</v>
      </c>
      <c r="L38" s="96" t="s">
        <v>110</v>
      </c>
      <c r="M38" s="96" t="s">
        <v>110</v>
      </c>
      <c r="N38" s="119"/>
      <c r="O38" s="96" t="s">
        <v>110</v>
      </c>
      <c r="P38" s="96" t="s">
        <v>110</v>
      </c>
      <c r="Q38" s="96" t="s">
        <v>110</v>
      </c>
      <c r="R38" s="96" t="s">
        <v>110</v>
      </c>
      <c r="S38" s="140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2"/>
      <c r="AK38" s="5">
        <f t="shared" si="1"/>
        <v>11</v>
      </c>
      <c r="AL38" s="5">
        <f t="shared" si="2"/>
        <v>0</v>
      </c>
    </row>
    <row r="39" spans="1:38" ht="15" customHeight="1" x14ac:dyDescent="0.25">
      <c r="A39" s="9">
        <v>12</v>
      </c>
      <c r="B39" s="11">
        <v>776</v>
      </c>
      <c r="C39" s="7" t="s">
        <v>282</v>
      </c>
      <c r="D39" s="7" t="s">
        <v>283</v>
      </c>
      <c r="E39" s="8" t="s">
        <v>225</v>
      </c>
      <c r="F39" s="96" t="s">
        <v>110</v>
      </c>
      <c r="G39" s="119"/>
      <c r="H39" s="96" t="s">
        <v>110</v>
      </c>
      <c r="I39" s="96" t="s">
        <v>110</v>
      </c>
      <c r="J39" s="96" t="s">
        <v>110</v>
      </c>
      <c r="K39" s="96" t="s">
        <v>110</v>
      </c>
      <c r="L39" s="96" t="s">
        <v>110</v>
      </c>
      <c r="M39" s="96" t="s">
        <v>110</v>
      </c>
      <c r="N39" s="119"/>
      <c r="O39" s="96" t="s">
        <v>110</v>
      </c>
      <c r="P39" s="96" t="s">
        <v>110</v>
      </c>
      <c r="Q39" s="96" t="s">
        <v>110</v>
      </c>
      <c r="R39" s="96" t="s">
        <v>110</v>
      </c>
      <c r="S39" s="140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2"/>
      <c r="AK39" s="5">
        <f t="shared" si="1"/>
        <v>11</v>
      </c>
      <c r="AL39" s="5">
        <f t="shared" si="2"/>
        <v>0</v>
      </c>
    </row>
    <row r="40" spans="1:38" ht="16.5" x14ac:dyDescent="0.25">
      <c r="A40" s="9">
        <v>13</v>
      </c>
      <c r="B40" s="11">
        <v>820</v>
      </c>
      <c r="C40" s="7" t="s">
        <v>282</v>
      </c>
      <c r="D40" s="7" t="s">
        <v>200</v>
      </c>
      <c r="E40" s="8" t="s">
        <v>225</v>
      </c>
      <c r="F40" s="96" t="s">
        <v>110</v>
      </c>
      <c r="G40" s="119"/>
      <c r="H40" s="96" t="s">
        <v>110</v>
      </c>
      <c r="I40" s="96" t="s">
        <v>110</v>
      </c>
      <c r="J40" s="96" t="s">
        <v>110</v>
      </c>
      <c r="K40" s="96" t="s">
        <v>110</v>
      </c>
      <c r="L40" s="96" t="s">
        <v>110</v>
      </c>
      <c r="M40" s="96" t="s">
        <v>110</v>
      </c>
      <c r="N40" s="119"/>
      <c r="O40" s="96" t="s">
        <v>110</v>
      </c>
      <c r="P40" s="96" t="s">
        <v>110</v>
      </c>
      <c r="Q40" s="96" t="s">
        <v>110</v>
      </c>
      <c r="R40" s="96" t="s">
        <v>110</v>
      </c>
      <c r="S40" s="140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2"/>
      <c r="AK40" s="5">
        <f t="shared" si="1"/>
        <v>11</v>
      </c>
      <c r="AL40" s="5">
        <f t="shared" si="2"/>
        <v>0</v>
      </c>
    </row>
    <row r="41" spans="1:38" ht="16.5" x14ac:dyDescent="0.25">
      <c r="A41" s="9">
        <v>14</v>
      </c>
      <c r="B41" s="11">
        <v>832</v>
      </c>
      <c r="C41" s="7" t="s">
        <v>188</v>
      </c>
      <c r="D41" s="7" t="s">
        <v>284</v>
      </c>
      <c r="E41" s="8" t="s">
        <v>225</v>
      </c>
      <c r="F41" s="96" t="s">
        <v>110</v>
      </c>
      <c r="G41" s="119"/>
      <c r="H41" s="96" t="s">
        <v>110</v>
      </c>
      <c r="I41" s="96" t="s">
        <v>110</v>
      </c>
      <c r="J41" s="96" t="s">
        <v>110</v>
      </c>
      <c r="K41" s="96" t="s">
        <v>110</v>
      </c>
      <c r="L41" s="96" t="s">
        <v>110</v>
      </c>
      <c r="M41" s="96" t="s">
        <v>110</v>
      </c>
      <c r="N41" s="119"/>
      <c r="O41" s="107" t="s">
        <v>110</v>
      </c>
      <c r="P41" s="96" t="s">
        <v>110</v>
      </c>
      <c r="Q41" s="96" t="s">
        <v>110</v>
      </c>
      <c r="R41" s="96" t="s">
        <v>110</v>
      </c>
      <c r="S41" s="140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2"/>
      <c r="AK41" s="5">
        <f t="shared" si="1"/>
        <v>11</v>
      </c>
      <c r="AL41" s="5">
        <f t="shared" si="2"/>
        <v>0</v>
      </c>
    </row>
    <row r="42" spans="1:38" ht="16.5" x14ac:dyDescent="0.25">
      <c r="A42" s="9">
        <v>15</v>
      </c>
      <c r="B42" s="11">
        <v>818</v>
      </c>
      <c r="C42" s="7" t="s">
        <v>285</v>
      </c>
      <c r="D42" s="7" t="s">
        <v>286</v>
      </c>
      <c r="E42" s="8" t="s">
        <v>225</v>
      </c>
      <c r="F42" s="96" t="s">
        <v>110</v>
      </c>
      <c r="G42" s="119"/>
      <c r="H42" s="96" t="s">
        <v>110</v>
      </c>
      <c r="I42" s="96" t="s">
        <v>110</v>
      </c>
      <c r="J42" s="96" t="s">
        <v>110</v>
      </c>
      <c r="K42" s="96" t="s">
        <v>110</v>
      </c>
      <c r="L42" s="96" t="s">
        <v>110</v>
      </c>
      <c r="M42" s="96" t="s">
        <v>110</v>
      </c>
      <c r="N42" s="119"/>
      <c r="O42" s="96" t="s">
        <v>110</v>
      </c>
      <c r="P42" s="96" t="s">
        <v>110</v>
      </c>
      <c r="Q42" s="96" t="s">
        <v>110</v>
      </c>
      <c r="R42" s="96" t="s">
        <v>110</v>
      </c>
      <c r="S42" s="140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42"/>
      <c r="AK42" s="5">
        <f t="shared" si="1"/>
        <v>11</v>
      </c>
      <c r="AL42" s="5">
        <f t="shared" si="2"/>
        <v>0</v>
      </c>
    </row>
    <row r="43" spans="1:38" ht="16.5" x14ac:dyDescent="0.25">
      <c r="A43" s="9">
        <v>16</v>
      </c>
      <c r="B43" s="11"/>
      <c r="C43" s="7" t="s">
        <v>287</v>
      </c>
      <c r="D43" s="7" t="s">
        <v>288</v>
      </c>
      <c r="E43" s="8" t="s">
        <v>225</v>
      </c>
      <c r="F43" s="96" t="s">
        <v>110</v>
      </c>
      <c r="G43" s="119"/>
      <c r="H43" s="96" t="s">
        <v>110</v>
      </c>
      <c r="I43" s="96" t="s">
        <v>110</v>
      </c>
      <c r="J43" s="96" t="s">
        <v>110</v>
      </c>
      <c r="K43" s="96" t="s">
        <v>110</v>
      </c>
      <c r="L43" s="96" t="s">
        <v>110</v>
      </c>
      <c r="M43" s="96" t="s">
        <v>110</v>
      </c>
      <c r="N43" s="119"/>
      <c r="O43" s="96" t="s">
        <v>110</v>
      </c>
      <c r="P43" s="96" t="s">
        <v>110</v>
      </c>
      <c r="Q43" s="96" t="s">
        <v>110</v>
      </c>
      <c r="R43" s="96" t="s">
        <v>110</v>
      </c>
      <c r="S43" s="140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1"/>
      <c r="AJ43" s="142"/>
      <c r="AK43" s="5">
        <f t="shared" si="1"/>
        <v>11</v>
      </c>
      <c r="AL43" s="5">
        <f t="shared" si="2"/>
        <v>0</v>
      </c>
    </row>
    <row r="44" spans="1:38" ht="16.5" x14ac:dyDescent="0.25">
      <c r="A44" s="9">
        <v>17</v>
      </c>
      <c r="B44" s="11">
        <v>825</v>
      </c>
      <c r="C44" s="7" t="s">
        <v>289</v>
      </c>
      <c r="D44" s="7" t="s">
        <v>228</v>
      </c>
      <c r="E44" s="8" t="s">
        <v>225</v>
      </c>
      <c r="F44" s="96" t="s">
        <v>110</v>
      </c>
      <c r="G44" s="119"/>
      <c r="H44" s="96" t="s">
        <v>110</v>
      </c>
      <c r="I44" s="96" t="s">
        <v>110</v>
      </c>
      <c r="J44" s="96" t="s">
        <v>110</v>
      </c>
      <c r="K44" s="96" t="s">
        <v>110</v>
      </c>
      <c r="L44" s="96" t="s">
        <v>110</v>
      </c>
      <c r="M44" s="96" t="s">
        <v>110</v>
      </c>
      <c r="N44" s="119"/>
      <c r="O44" s="96" t="s">
        <v>110</v>
      </c>
      <c r="P44" s="96" t="s">
        <v>110</v>
      </c>
      <c r="Q44" s="96" t="s">
        <v>110</v>
      </c>
      <c r="R44" s="96" t="s">
        <v>110</v>
      </c>
      <c r="S44" s="140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1"/>
      <c r="AJ44" s="142"/>
      <c r="AK44" s="5">
        <f t="shared" si="1"/>
        <v>11</v>
      </c>
      <c r="AL44" s="5">
        <f t="shared" si="2"/>
        <v>0</v>
      </c>
    </row>
    <row r="45" spans="1:38" ht="16.5" x14ac:dyDescent="0.25">
      <c r="A45" s="9">
        <v>18</v>
      </c>
      <c r="B45" s="11">
        <v>831</v>
      </c>
      <c r="C45" s="7" t="s">
        <v>290</v>
      </c>
      <c r="D45" s="7" t="s">
        <v>284</v>
      </c>
      <c r="E45" s="8" t="s">
        <v>225</v>
      </c>
      <c r="F45" s="96" t="s">
        <v>110</v>
      </c>
      <c r="G45" s="119"/>
      <c r="H45" s="96" t="s">
        <v>110</v>
      </c>
      <c r="I45" s="96" t="s">
        <v>110</v>
      </c>
      <c r="J45" s="96" t="s">
        <v>110</v>
      </c>
      <c r="K45" s="96" t="s">
        <v>110</v>
      </c>
      <c r="L45" s="96" t="s">
        <v>110</v>
      </c>
      <c r="M45" s="96" t="s">
        <v>110</v>
      </c>
      <c r="N45" s="119"/>
      <c r="O45" s="96" t="s">
        <v>110</v>
      </c>
      <c r="P45" s="96" t="s">
        <v>110</v>
      </c>
      <c r="Q45" s="96" t="s">
        <v>110</v>
      </c>
      <c r="R45" s="96" t="s">
        <v>110</v>
      </c>
      <c r="S45" s="140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2"/>
      <c r="AK45" s="5">
        <f t="shared" si="1"/>
        <v>11</v>
      </c>
      <c r="AL45" s="5">
        <f t="shared" si="2"/>
        <v>0</v>
      </c>
    </row>
    <row r="46" spans="1:38" ht="16.5" x14ac:dyDescent="0.25">
      <c r="A46" s="9">
        <v>19</v>
      </c>
      <c r="B46" s="11">
        <v>833</v>
      </c>
      <c r="C46" s="7" t="s">
        <v>291</v>
      </c>
      <c r="D46" s="7" t="s">
        <v>292</v>
      </c>
      <c r="E46" s="8" t="s">
        <v>225</v>
      </c>
      <c r="F46" s="96" t="s">
        <v>110</v>
      </c>
      <c r="G46" s="119"/>
      <c r="H46" s="96" t="s">
        <v>110</v>
      </c>
      <c r="I46" s="96" t="s">
        <v>110</v>
      </c>
      <c r="J46" s="96" t="s">
        <v>110</v>
      </c>
      <c r="K46" s="96" t="s">
        <v>110</v>
      </c>
      <c r="L46" s="96" t="s">
        <v>110</v>
      </c>
      <c r="M46" s="96" t="s">
        <v>110</v>
      </c>
      <c r="N46" s="119"/>
      <c r="O46" s="96" t="s">
        <v>110</v>
      </c>
      <c r="P46" s="96" t="s">
        <v>110</v>
      </c>
      <c r="Q46" s="96" t="s">
        <v>110</v>
      </c>
      <c r="R46" s="96" t="s">
        <v>110</v>
      </c>
      <c r="S46" s="140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2"/>
      <c r="AK46" s="5">
        <f t="shared" si="1"/>
        <v>11</v>
      </c>
      <c r="AL46" s="5">
        <f t="shared" si="2"/>
        <v>0</v>
      </c>
    </row>
    <row r="47" spans="1:38" ht="16.5" x14ac:dyDescent="0.25">
      <c r="A47" s="9">
        <v>20</v>
      </c>
      <c r="B47" s="11">
        <v>830</v>
      </c>
      <c r="C47" s="7" t="s">
        <v>293</v>
      </c>
      <c r="D47" s="7" t="s">
        <v>294</v>
      </c>
      <c r="E47" s="8" t="s">
        <v>225</v>
      </c>
      <c r="F47" s="96" t="s">
        <v>110</v>
      </c>
      <c r="G47" s="119"/>
      <c r="H47" s="96" t="s">
        <v>110</v>
      </c>
      <c r="I47" s="96" t="s">
        <v>110</v>
      </c>
      <c r="J47" s="96" t="s">
        <v>110</v>
      </c>
      <c r="K47" s="96" t="s">
        <v>110</v>
      </c>
      <c r="L47" s="96" t="s">
        <v>110</v>
      </c>
      <c r="M47" s="96" t="s">
        <v>110</v>
      </c>
      <c r="N47" s="119"/>
      <c r="O47" s="96" t="s">
        <v>110</v>
      </c>
      <c r="P47" s="96" t="s">
        <v>110</v>
      </c>
      <c r="Q47" s="96" t="s">
        <v>110</v>
      </c>
      <c r="R47" s="96" t="s">
        <v>110</v>
      </c>
      <c r="S47" s="140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2"/>
      <c r="AK47" s="5">
        <f t="shared" si="1"/>
        <v>11</v>
      </c>
      <c r="AL47" s="5">
        <f t="shared" si="2"/>
        <v>0</v>
      </c>
    </row>
    <row r="48" spans="1:38" ht="16.5" x14ac:dyDescent="0.25">
      <c r="A48" s="9">
        <v>21</v>
      </c>
      <c r="B48" s="11">
        <v>813</v>
      </c>
      <c r="C48" s="7" t="s">
        <v>295</v>
      </c>
      <c r="D48" s="7" t="s">
        <v>296</v>
      </c>
      <c r="E48" s="8" t="s">
        <v>225</v>
      </c>
      <c r="F48" s="96" t="s">
        <v>110</v>
      </c>
      <c r="G48" s="119"/>
      <c r="H48" s="96" t="s">
        <v>110</v>
      </c>
      <c r="I48" s="96" t="s">
        <v>110</v>
      </c>
      <c r="J48" s="96" t="s">
        <v>110</v>
      </c>
      <c r="K48" s="96" t="s">
        <v>110</v>
      </c>
      <c r="L48" s="96" t="s">
        <v>110</v>
      </c>
      <c r="M48" s="96" t="s">
        <v>110</v>
      </c>
      <c r="N48" s="119"/>
      <c r="O48" s="96" t="s">
        <v>110</v>
      </c>
      <c r="P48" s="96" t="s">
        <v>110</v>
      </c>
      <c r="Q48" s="96" t="s">
        <v>110</v>
      </c>
      <c r="R48" s="96" t="s">
        <v>110</v>
      </c>
      <c r="S48" s="140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2"/>
      <c r="AK48" s="5">
        <f t="shared" si="1"/>
        <v>11</v>
      </c>
      <c r="AL48" s="5">
        <f t="shared" si="2"/>
        <v>0</v>
      </c>
    </row>
    <row r="49" spans="1:38" ht="16.5" x14ac:dyDescent="0.25">
      <c r="A49" s="9">
        <v>22</v>
      </c>
      <c r="B49" s="11"/>
      <c r="C49" s="7" t="s">
        <v>297</v>
      </c>
      <c r="D49" s="7" t="s">
        <v>298</v>
      </c>
      <c r="E49" s="8" t="s">
        <v>225</v>
      </c>
      <c r="F49" s="96" t="s">
        <v>110</v>
      </c>
      <c r="G49" s="119"/>
      <c r="H49" s="96" t="s">
        <v>110</v>
      </c>
      <c r="I49" s="96" t="s">
        <v>110</v>
      </c>
      <c r="J49" s="96" t="s">
        <v>110</v>
      </c>
      <c r="K49" s="96" t="s">
        <v>110</v>
      </c>
      <c r="L49" s="96" t="s">
        <v>110</v>
      </c>
      <c r="M49" s="96" t="s">
        <v>110</v>
      </c>
      <c r="N49" s="119"/>
      <c r="O49" s="96" t="s">
        <v>110</v>
      </c>
      <c r="P49" s="96" t="s">
        <v>110</v>
      </c>
      <c r="Q49" s="96" t="s">
        <v>110</v>
      </c>
      <c r="R49" s="96" t="s">
        <v>110</v>
      </c>
      <c r="S49" s="140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2"/>
      <c r="AK49" s="5">
        <f t="shared" si="1"/>
        <v>11</v>
      </c>
      <c r="AL49" s="5">
        <f t="shared" si="2"/>
        <v>0</v>
      </c>
    </row>
    <row r="50" spans="1:38" ht="16.5" x14ac:dyDescent="0.25">
      <c r="A50" s="9">
        <v>23</v>
      </c>
      <c r="B50" s="11">
        <v>804</v>
      </c>
      <c r="C50" s="7" t="s">
        <v>299</v>
      </c>
      <c r="D50" s="7" t="s">
        <v>300</v>
      </c>
      <c r="E50" s="8" t="s">
        <v>225</v>
      </c>
      <c r="F50" s="96" t="s">
        <v>110</v>
      </c>
      <c r="G50" s="119"/>
      <c r="H50" s="96" t="s">
        <v>110</v>
      </c>
      <c r="I50" s="96" t="s">
        <v>110</v>
      </c>
      <c r="J50" s="96" t="s">
        <v>110</v>
      </c>
      <c r="K50" s="96" t="s">
        <v>110</v>
      </c>
      <c r="L50" s="96" t="s">
        <v>110</v>
      </c>
      <c r="M50" s="96" t="s">
        <v>110</v>
      </c>
      <c r="N50" s="119"/>
      <c r="O50" s="96" t="s">
        <v>110</v>
      </c>
      <c r="P50" s="96" t="s">
        <v>110</v>
      </c>
      <c r="Q50" s="96" t="s">
        <v>110</v>
      </c>
      <c r="R50" s="96" t="s">
        <v>110</v>
      </c>
      <c r="S50" s="140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2"/>
      <c r="AK50" s="5">
        <f t="shared" si="1"/>
        <v>11</v>
      </c>
      <c r="AL50" s="5">
        <f t="shared" si="2"/>
        <v>0</v>
      </c>
    </row>
    <row r="51" spans="1:38" ht="16.5" x14ac:dyDescent="0.25">
      <c r="A51" s="9">
        <v>24</v>
      </c>
      <c r="B51" s="11">
        <v>794</v>
      </c>
      <c r="C51" s="7" t="s">
        <v>301</v>
      </c>
      <c r="D51" s="7" t="s">
        <v>302</v>
      </c>
      <c r="E51" s="8" t="s">
        <v>225</v>
      </c>
      <c r="F51" s="96" t="s">
        <v>110</v>
      </c>
      <c r="G51" s="119"/>
      <c r="H51" s="96" t="s">
        <v>110</v>
      </c>
      <c r="I51" s="96" t="s">
        <v>110</v>
      </c>
      <c r="J51" s="96" t="s">
        <v>110</v>
      </c>
      <c r="K51" s="96" t="s">
        <v>110</v>
      </c>
      <c r="L51" s="96" t="s">
        <v>110</v>
      </c>
      <c r="M51" s="96" t="s">
        <v>110</v>
      </c>
      <c r="N51" s="119"/>
      <c r="O51" s="96" t="s">
        <v>110</v>
      </c>
      <c r="P51" s="96" t="s">
        <v>110</v>
      </c>
      <c r="Q51" s="96" t="s">
        <v>110</v>
      </c>
      <c r="R51" s="96" t="s">
        <v>110</v>
      </c>
      <c r="S51" s="140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2"/>
      <c r="AK51" s="5">
        <f t="shared" si="1"/>
        <v>11</v>
      </c>
      <c r="AL51" s="5">
        <f t="shared" si="2"/>
        <v>0</v>
      </c>
    </row>
    <row r="52" spans="1:38" ht="16.5" x14ac:dyDescent="0.25">
      <c r="A52" s="9">
        <v>25</v>
      </c>
      <c r="B52" s="11">
        <v>826</v>
      </c>
      <c r="C52" s="7" t="s">
        <v>303</v>
      </c>
      <c r="D52" s="7" t="s">
        <v>304</v>
      </c>
      <c r="E52" s="8" t="s">
        <v>225</v>
      </c>
      <c r="F52" s="96" t="s">
        <v>110</v>
      </c>
      <c r="G52" s="119"/>
      <c r="H52" s="96" t="s">
        <v>110</v>
      </c>
      <c r="I52" s="96" t="s">
        <v>110</v>
      </c>
      <c r="J52" s="96" t="s">
        <v>110</v>
      </c>
      <c r="K52" s="96" t="s">
        <v>110</v>
      </c>
      <c r="L52" s="96" t="s">
        <v>110</v>
      </c>
      <c r="M52" s="96" t="s">
        <v>110</v>
      </c>
      <c r="N52" s="119"/>
      <c r="O52" s="96" t="s">
        <v>110</v>
      </c>
      <c r="P52" s="96" t="s">
        <v>110</v>
      </c>
      <c r="Q52" s="96" t="s">
        <v>110</v>
      </c>
      <c r="R52" s="96" t="s">
        <v>110</v>
      </c>
      <c r="S52" s="140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2"/>
      <c r="AK52" s="5">
        <f t="shared" si="1"/>
        <v>11</v>
      </c>
      <c r="AL52" s="5">
        <f t="shared" si="2"/>
        <v>0</v>
      </c>
    </row>
    <row r="53" spans="1:38" ht="16.5" x14ac:dyDescent="0.25">
      <c r="A53" s="9">
        <v>26</v>
      </c>
      <c r="B53" s="11">
        <v>803</v>
      </c>
      <c r="C53" s="7" t="s">
        <v>305</v>
      </c>
      <c r="D53" s="7" t="s">
        <v>306</v>
      </c>
      <c r="E53" s="8" t="s">
        <v>225</v>
      </c>
      <c r="F53" s="96" t="s">
        <v>796</v>
      </c>
      <c r="G53" s="119"/>
      <c r="H53" s="96" t="s">
        <v>796</v>
      </c>
      <c r="I53" s="96" t="s">
        <v>796</v>
      </c>
      <c r="J53" s="96" t="s">
        <v>796</v>
      </c>
      <c r="K53" s="96" t="s">
        <v>796</v>
      </c>
      <c r="L53" s="96" t="s">
        <v>796</v>
      </c>
      <c r="M53" s="96" t="s">
        <v>796</v>
      </c>
      <c r="N53" s="119"/>
      <c r="O53" s="96" t="s">
        <v>796</v>
      </c>
      <c r="P53" s="96" t="s">
        <v>796</v>
      </c>
      <c r="Q53" s="96" t="s">
        <v>796</v>
      </c>
      <c r="R53" s="96" t="s">
        <v>796</v>
      </c>
      <c r="S53" s="140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2"/>
      <c r="AK53" s="5">
        <f t="shared" si="1"/>
        <v>0</v>
      </c>
      <c r="AL53" s="5">
        <f t="shared" si="2"/>
        <v>11</v>
      </c>
    </row>
    <row r="54" spans="1:38" ht="16.5" x14ac:dyDescent="0.25">
      <c r="A54" s="9">
        <v>27</v>
      </c>
      <c r="B54" s="11">
        <v>810</v>
      </c>
      <c r="C54" s="7" t="s">
        <v>307</v>
      </c>
      <c r="D54" s="7" t="s">
        <v>308</v>
      </c>
      <c r="E54" s="8" t="s">
        <v>225</v>
      </c>
      <c r="F54" s="96" t="s">
        <v>110</v>
      </c>
      <c r="G54" s="119"/>
      <c r="H54" s="96" t="s">
        <v>110</v>
      </c>
      <c r="I54" s="96" t="s">
        <v>110</v>
      </c>
      <c r="J54" s="96" t="s">
        <v>110</v>
      </c>
      <c r="K54" s="96" t="s">
        <v>110</v>
      </c>
      <c r="L54" s="96" t="s">
        <v>110</v>
      </c>
      <c r="M54" s="96" t="s">
        <v>110</v>
      </c>
      <c r="N54" s="119"/>
      <c r="O54" s="96" t="s">
        <v>110</v>
      </c>
      <c r="P54" s="96" t="s">
        <v>110</v>
      </c>
      <c r="Q54" s="96" t="s">
        <v>110</v>
      </c>
      <c r="R54" s="96" t="s">
        <v>110</v>
      </c>
      <c r="S54" s="140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2"/>
      <c r="AK54" s="5">
        <f t="shared" si="1"/>
        <v>11</v>
      </c>
      <c r="AL54" s="5">
        <f t="shared" si="2"/>
        <v>0</v>
      </c>
    </row>
    <row r="55" spans="1:38" ht="16.5" x14ac:dyDescent="0.25">
      <c r="A55" s="9">
        <v>28</v>
      </c>
      <c r="B55" s="11">
        <v>834</v>
      </c>
      <c r="C55" s="7" t="s">
        <v>309</v>
      </c>
      <c r="D55" s="7" t="s">
        <v>310</v>
      </c>
      <c r="E55" s="8" t="s">
        <v>225</v>
      </c>
      <c r="F55" s="96" t="s">
        <v>110</v>
      </c>
      <c r="G55" s="119"/>
      <c r="H55" s="96" t="s">
        <v>110</v>
      </c>
      <c r="I55" s="96" t="s">
        <v>110</v>
      </c>
      <c r="J55" s="96" t="s">
        <v>110</v>
      </c>
      <c r="K55" s="96" t="s">
        <v>110</v>
      </c>
      <c r="L55" s="96" t="s">
        <v>110</v>
      </c>
      <c r="M55" s="96" t="s">
        <v>110</v>
      </c>
      <c r="N55" s="119"/>
      <c r="O55" s="96" t="s">
        <v>110</v>
      </c>
      <c r="P55" s="96" t="s">
        <v>110</v>
      </c>
      <c r="Q55" s="96" t="s">
        <v>110</v>
      </c>
      <c r="R55" s="96" t="s">
        <v>110</v>
      </c>
      <c r="S55" s="140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2"/>
      <c r="AK55" s="5">
        <f t="shared" si="1"/>
        <v>11</v>
      </c>
      <c r="AL55" s="5">
        <f t="shared" si="2"/>
        <v>0</v>
      </c>
    </row>
    <row r="56" spans="1:38" ht="16.5" x14ac:dyDescent="0.25">
      <c r="A56" s="9">
        <v>29</v>
      </c>
      <c r="B56" s="11">
        <v>806</v>
      </c>
      <c r="C56" s="7" t="s">
        <v>311</v>
      </c>
      <c r="D56" s="7" t="s">
        <v>34</v>
      </c>
      <c r="E56" s="8" t="s">
        <v>225</v>
      </c>
      <c r="F56" s="96" t="s">
        <v>110</v>
      </c>
      <c r="G56" s="119"/>
      <c r="H56" s="96" t="s">
        <v>110</v>
      </c>
      <c r="I56" s="96" t="s">
        <v>110</v>
      </c>
      <c r="J56" s="96" t="s">
        <v>110</v>
      </c>
      <c r="K56" s="96" t="s">
        <v>110</v>
      </c>
      <c r="L56" s="96" t="s">
        <v>110</v>
      </c>
      <c r="M56" s="96" t="s">
        <v>110</v>
      </c>
      <c r="N56" s="119"/>
      <c r="O56" s="96" t="s">
        <v>110</v>
      </c>
      <c r="P56" s="96" t="s">
        <v>110</v>
      </c>
      <c r="Q56" s="96" t="s">
        <v>110</v>
      </c>
      <c r="R56" s="96" t="s">
        <v>110</v>
      </c>
      <c r="S56" s="140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2"/>
      <c r="AK56" s="5">
        <f t="shared" si="1"/>
        <v>11</v>
      </c>
      <c r="AL56" s="5">
        <f t="shared" si="2"/>
        <v>0</v>
      </c>
    </row>
    <row r="57" spans="1:38" ht="16.5" x14ac:dyDescent="0.25">
      <c r="A57" s="9">
        <v>30</v>
      </c>
      <c r="B57" s="11">
        <v>799</v>
      </c>
      <c r="C57" s="7" t="s">
        <v>312</v>
      </c>
      <c r="D57" s="7" t="s">
        <v>313</v>
      </c>
      <c r="E57" s="8" t="s">
        <v>225</v>
      </c>
      <c r="F57" s="96" t="s">
        <v>110</v>
      </c>
      <c r="G57" s="119"/>
      <c r="H57" s="96" t="s">
        <v>110</v>
      </c>
      <c r="I57" s="96" t="s">
        <v>110</v>
      </c>
      <c r="J57" s="96" t="s">
        <v>110</v>
      </c>
      <c r="K57" s="96" t="s">
        <v>110</v>
      </c>
      <c r="L57" s="96" t="s">
        <v>110</v>
      </c>
      <c r="M57" s="96" t="s">
        <v>110</v>
      </c>
      <c r="N57" s="119"/>
      <c r="O57" s="96" t="s">
        <v>110</v>
      </c>
      <c r="P57" s="96" t="s">
        <v>110</v>
      </c>
      <c r="Q57" s="96" t="s">
        <v>110</v>
      </c>
      <c r="R57" s="96" t="s">
        <v>110</v>
      </c>
      <c r="S57" s="140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2"/>
      <c r="AK57" s="5">
        <f t="shared" si="1"/>
        <v>11</v>
      </c>
      <c r="AL57" s="5">
        <f t="shared" si="2"/>
        <v>0</v>
      </c>
    </row>
    <row r="58" spans="1:38" ht="16.5" x14ac:dyDescent="0.25">
      <c r="A58" s="9">
        <v>31</v>
      </c>
      <c r="B58" s="11">
        <v>805</v>
      </c>
      <c r="C58" s="7" t="s">
        <v>312</v>
      </c>
      <c r="D58" s="7" t="s">
        <v>314</v>
      </c>
      <c r="E58" s="8" t="s">
        <v>225</v>
      </c>
      <c r="F58" s="96" t="s">
        <v>110</v>
      </c>
      <c r="G58" s="119"/>
      <c r="H58" s="96" t="s">
        <v>110</v>
      </c>
      <c r="I58" s="96" t="s">
        <v>110</v>
      </c>
      <c r="J58" s="96" t="s">
        <v>110</v>
      </c>
      <c r="K58" s="96" t="s">
        <v>110</v>
      </c>
      <c r="L58" s="96" t="s">
        <v>110</v>
      </c>
      <c r="M58" s="96" t="s">
        <v>110</v>
      </c>
      <c r="N58" s="119"/>
      <c r="O58" s="96" t="s">
        <v>110</v>
      </c>
      <c r="P58" s="96" t="s">
        <v>110</v>
      </c>
      <c r="Q58" s="96" t="s">
        <v>110</v>
      </c>
      <c r="R58" s="96" t="s">
        <v>110</v>
      </c>
      <c r="S58" s="140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2"/>
      <c r="AK58" s="5">
        <f t="shared" si="1"/>
        <v>11</v>
      </c>
      <c r="AL58" s="5">
        <f t="shared" si="2"/>
        <v>0</v>
      </c>
    </row>
    <row r="59" spans="1:38" ht="16.5" x14ac:dyDescent="0.25">
      <c r="A59" s="9">
        <v>32</v>
      </c>
      <c r="B59" s="11"/>
      <c r="C59" s="7" t="s">
        <v>315</v>
      </c>
      <c r="D59" s="7" t="s">
        <v>316</v>
      </c>
      <c r="E59" s="8" t="s">
        <v>225</v>
      </c>
      <c r="F59" s="96" t="s">
        <v>110</v>
      </c>
      <c r="G59" s="120"/>
      <c r="H59" s="96" t="s">
        <v>110</v>
      </c>
      <c r="I59" s="96" t="s">
        <v>110</v>
      </c>
      <c r="J59" s="96" t="s">
        <v>110</v>
      </c>
      <c r="K59" s="96" t="s">
        <v>110</v>
      </c>
      <c r="L59" s="96" t="s">
        <v>110</v>
      </c>
      <c r="M59" s="96" t="s">
        <v>110</v>
      </c>
      <c r="N59" s="120"/>
      <c r="O59" s="96" t="s">
        <v>110</v>
      </c>
      <c r="P59" s="96" t="s">
        <v>110</v>
      </c>
      <c r="Q59" s="96" t="s">
        <v>110</v>
      </c>
      <c r="R59" s="96" t="s">
        <v>110</v>
      </c>
      <c r="S59" s="143"/>
      <c r="T59" s="144"/>
      <c r="U59" s="144"/>
      <c r="V59" s="144"/>
      <c r="W59" s="144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5"/>
      <c r="AK59" s="5">
        <f t="shared" si="1"/>
        <v>11</v>
      </c>
      <c r="AL59" s="5">
        <f t="shared" si="2"/>
        <v>0</v>
      </c>
    </row>
  </sheetData>
  <mergeCells count="15">
    <mergeCell ref="A1:AL1"/>
    <mergeCell ref="A2:AL2"/>
    <mergeCell ref="E3:E4"/>
    <mergeCell ref="AK3:AK4"/>
    <mergeCell ref="AL3:AL4"/>
    <mergeCell ref="AM11:AP11"/>
    <mergeCell ref="AM19:AP19"/>
    <mergeCell ref="AM3:AN3"/>
    <mergeCell ref="A3:A4"/>
    <mergeCell ref="B3:B4"/>
    <mergeCell ref="C3:C4"/>
    <mergeCell ref="D3:D4"/>
    <mergeCell ref="G5:G59"/>
    <mergeCell ref="N5:N59"/>
    <mergeCell ref="S5:AJ59"/>
  </mergeCells>
  <conditionalFormatting sqref="F3:AJ4 G5 F5:F59 H5:M59 O6:R59 N5:S5">
    <cfRule type="cellIs" dxfId="297" priority="9" operator="equal">
      <formula>"L"</formula>
    </cfRule>
    <cfRule type="cellIs" dxfId="296" priority="10" operator="equal">
      <formula>"P"</formula>
    </cfRule>
    <cfRule type="cellIs" dxfId="295" priority="11" operator="equal">
      <formula>"A"</formula>
    </cfRule>
    <cfRule type="expression" dxfId="294" priority="12">
      <formula>F$4=TODAY()</formula>
    </cfRule>
    <cfRule type="expression" dxfId="293" priority="13">
      <formula>F$3="SUN"</formula>
    </cfRule>
  </conditionalFormatting>
  <conditionalFormatting sqref="AK3:AL3 AK5:AL59">
    <cfRule type="expression" dxfId="292" priority="14">
      <formula>#REF!="Sun"</formula>
    </cfRule>
  </conditionalFormatting>
  <conditionalFormatting sqref="AM8:AM9">
    <cfRule type="expression" dxfId="291" priority="5">
      <formula>AM$3="Sun"</formula>
    </cfRule>
  </conditionalFormatting>
  <conditionalFormatting sqref="AM12:AM15">
    <cfRule type="expression" dxfId="290" priority="3">
      <formula>AM$3="Sun"</formula>
    </cfRule>
  </conditionalFormatting>
  <conditionalFormatting sqref="AM20:AM23">
    <cfRule type="expression" dxfId="289" priority="2">
      <formula>AM$3="Sun"</formula>
    </cfRule>
  </conditionalFormatting>
  <conditionalFormatting sqref="AM4:AN4">
    <cfRule type="expression" dxfId="288" priority="6">
      <formula>AM$3="Sun"</formula>
    </cfRule>
  </conditionalFormatting>
  <conditionalFormatting sqref="AN12:AP12 AN20:AP20">
    <cfRule type="expression" dxfId="287" priority="7">
      <formula>AN$3="Sun"</formula>
    </cfRule>
  </conditionalFormatting>
  <conditionalFormatting sqref="AP21">
    <cfRule type="expression" dxfId="286" priority="4">
      <formula>AP$3="Sun"</formula>
    </cfRule>
  </conditionalFormatting>
  <conditionalFormatting sqref="AM5:AM7">
    <cfRule type="expression" dxfId="8" priority="1">
      <formula>AM$3="Sun"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52"/>
  <sheetViews>
    <sheetView topLeftCell="F4" workbookViewId="0">
      <selection activeCell="AN9" sqref="AN9"/>
    </sheetView>
  </sheetViews>
  <sheetFormatPr defaultColWidth="3.85546875" defaultRowHeight="15" x14ac:dyDescent="0.25"/>
  <cols>
    <col min="1" max="1" width="5.140625" style="1" bestFit="1" customWidth="1"/>
    <col min="2" max="2" width="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/>
    <col min="9" max="9" width="4.5703125" style="1" bestFit="1" customWidth="1"/>
    <col min="10" max="10" width="3.85546875" style="1"/>
    <col min="11" max="11" width="4.7109375" style="1" bestFit="1" customWidth="1"/>
    <col min="12" max="12" width="3.85546875" style="1"/>
    <col min="13" max="14" width="3.7109375" style="1" bestFit="1" customWidth="1"/>
    <col min="15" max="15" width="3.85546875" style="1"/>
    <col min="16" max="16" width="4.5703125" style="1" bestFit="1" customWidth="1"/>
    <col min="17" max="17" width="3.85546875" style="1"/>
    <col min="18" max="18" width="4.7109375" style="1" bestFit="1" customWidth="1"/>
    <col min="19" max="19" width="3.85546875" style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1" width="3.85546875" style="1"/>
    <col min="32" max="32" width="4.7109375" style="1" bestFit="1" customWidth="1"/>
    <col min="33" max="33" width="3.85546875" style="1"/>
    <col min="34" max="34" width="3.7109375" style="1" bestFit="1" customWidth="1"/>
    <col min="35" max="35" width="3.7109375" style="1" customWidth="1"/>
    <col min="36" max="36" width="3.710937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21" t="s">
        <v>317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</row>
    <row r="2" spans="1:42" ht="17.25" x14ac:dyDescent="0.3">
      <c r="A2" s="125" t="s">
        <v>795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</row>
    <row r="3" spans="1:42" ht="15.75" x14ac:dyDescent="0.25">
      <c r="A3" s="126" t="s">
        <v>0</v>
      </c>
      <c r="B3" s="126" t="s">
        <v>789</v>
      </c>
      <c r="C3" s="126" t="s">
        <v>1</v>
      </c>
      <c r="D3" s="126" t="s">
        <v>2</v>
      </c>
      <c r="E3" s="126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22" t="s">
        <v>4</v>
      </c>
      <c r="AL3" s="122" t="s">
        <v>5</v>
      </c>
      <c r="AM3" s="115" t="s">
        <v>120</v>
      </c>
      <c r="AN3" s="116"/>
      <c r="AO3" s="3"/>
      <c r="AP3" s="3"/>
    </row>
    <row r="4" spans="1:42" ht="37.5" x14ac:dyDescent="0.25">
      <c r="A4" s="126"/>
      <c r="B4" s="126"/>
      <c r="C4" s="126"/>
      <c r="D4" s="126"/>
      <c r="E4" s="126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22"/>
      <c r="AL4" s="122"/>
      <c r="AM4" s="5" t="s">
        <v>121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772</v>
      </c>
      <c r="C5" s="7" t="s">
        <v>318</v>
      </c>
      <c r="D5" s="7" t="s">
        <v>319</v>
      </c>
      <c r="E5" s="8" t="s">
        <v>320</v>
      </c>
      <c r="F5" s="96" t="s">
        <v>110</v>
      </c>
      <c r="G5" s="127" t="s">
        <v>321</v>
      </c>
      <c r="H5" s="96" t="s">
        <v>110</v>
      </c>
      <c r="I5" s="96" t="s">
        <v>110</v>
      </c>
      <c r="J5" s="96" t="s">
        <v>110</v>
      </c>
      <c r="K5" s="96" t="s">
        <v>110</v>
      </c>
      <c r="L5" s="96" t="s">
        <v>110</v>
      </c>
      <c r="M5" s="96" t="s">
        <v>110</v>
      </c>
      <c r="N5" s="127" t="s">
        <v>321</v>
      </c>
      <c r="O5" s="96" t="s">
        <v>800</v>
      </c>
      <c r="P5" s="96" t="s">
        <v>110</v>
      </c>
      <c r="Q5" s="96" t="s">
        <v>110</v>
      </c>
      <c r="R5" s="96" t="s">
        <v>110</v>
      </c>
      <c r="S5" s="146" t="s">
        <v>803</v>
      </c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  <c r="AK5" s="5">
        <f t="shared" ref="AK5:AK51" si="1">COUNTIF(F5:AJ5,"P")</f>
        <v>11</v>
      </c>
      <c r="AL5" s="5">
        <f t="shared" ref="AL5:AL51" si="2">COUNTIF(F5:AJ5,"A")</f>
        <v>0</v>
      </c>
      <c r="AM5" s="5" t="s">
        <v>7</v>
      </c>
      <c r="AN5" s="9">
        <v>11</v>
      </c>
      <c r="AO5" s="10"/>
      <c r="AP5" s="3"/>
    </row>
    <row r="6" spans="1:42" ht="16.5" x14ac:dyDescent="0.25">
      <c r="A6" s="9">
        <v>2</v>
      </c>
      <c r="B6" s="11">
        <v>673</v>
      </c>
      <c r="C6" s="7" t="s">
        <v>322</v>
      </c>
      <c r="D6" s="7" t="s">
        <v>323</v>
      </c>
      <c r="E6" s="8" t="s">
        <v>320</v>
      </c>
      <c r="F6" s="96" t="s">
        <v>110</v>
      </c>
      <c r="G6" s="127"/>
      <c r="H6" s="96" t="s">
        <v>110</v>
      </c>
      <c r="I6" s="96" t="s">
        <v>110</v>
      </c>
      <c r="J6" s="96" t="s">
        <v>110</v>
      </c>
      <c r="K6" s="96" t="s">
        <v>110</v>
      </c>
      <c r="L6" s="96" t="s">
        <v>110</v>
      </c>
      <c r="M6" s="96" t="s">
        <v>110</v>
      </c>
      <c r="N6" s="127"/>
      <c r="O6" s="96" t="s">
        <v>800</v>
      </c>
      <c r="P6" s="96" t="s">
        <v>110</v>
      </c>
      <c r="Q6" s="96" t="s">
        <v>110</v>
      </c>
      <c r="R6" s="96" t="s">
        <v>110</v>
      </c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146"/>
      <c r="AH6" s="146"/>
      <c r="AI6" s="146"/>
      <c r="AJ6" s="146"/>
      <c r="AK6" s="5">
        <f t="shared" si="1"/>
        <v>11</v>
      </c>
      <c r="AL6" s="5">
        <f t="shared" si="2"/>
        <v>0</v>
      </c>
      <c r="AM6" s="5" t="s">
        <v>8</v>
      </c>
      <c r="AN6" s="9">
        <v>2</v>
      </c>
      <c r="AO6" s="3"/>
      <c r="AP6" s="3"/>
    </row>
    <row r="7" spans="1:42" ht="16.5" x14ac:dyDescent="0.25">
      <c r="A7" s="9">
        <v>3</v>
      </c>
      <c r="B7" s="11">
        <v>6523</v>
      </c>
      <c r="C7" s="7" t="s">
        <v>324</v>
      </c>
      <c r="D7" s="7" t="s">
        <v>241</v>
      </c>
      <c r="E7" s="8" t="s">
        <v>320</v>
      </c>
      <c r="F7" s="96" t="s">
        <v>110</v>
      </c>
      <c r="G7" s="127"/>
      <c r="H7" s="96" t="s">
        <v>110</v>
      </c>
      <c r="I7" s="96" t="s">
        <v>110</v>
      </c>
      <c r="J7" s="96" t="s">
        <v>110</v>
      </c>
      <c r="K7" s="96" t="s">
        <v>110</v>
      </c>
      <c r="L7" s="96" t="s">
        <v>110</v>
      </c>
      <c r="M7" s="96" t="s">
        <v>110</v>
      </c>
      <c r="N7" s="127"/>
      <c r="O7" s="96" t="s">
        <v>800</v>
      </c>
      <c r="P7" s="96" t="s">
        <v>110</v>
      </c>
      <c r="Q7" s="96" t="s">
        <v>796</v>
      </c>
      <c r="R7" s="96" t="s">
        <v>110</v>
      </c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46"/>
      <c r="AD7" s="146"/>
      <c r="AE7" s="146"/>
      <c r="AF7" s="146"/>
      <c r="AG7" s="146"/>
      <c r="AH7" s="146"/>
      <c r="AI7" s="146"/>
      <c r="AJ7" s="146"/>
      <c r="AK7" s="5">
        <f t="shared" si="1"/>
        <v>10</v>
      </c>
      <c r="AL7" s="5">
        <f t="shared" si="2"/>
        <v>1</v>
      </c>
      <c r="AM7" s="5" t="s">
        <v>803</v>
      </c>
      <c r="AN7" s="9">
        <v>18</v>
      </c>
      <c r="AO7" s="3"/>
      <c r="AP7" s="3"/>
    </row>
    <row r="8" spans="1:42" ht="16.5" x14ac:dyDescent="0.25">
      <c r="A8" s="9">
        <v>4</v>
      </c>
      <c r="B8" s="11">
        <v>665</v>
      </c>
      <c r="C8" s="7" t="s">
        <v>227</v>
      </c>
      <c r="D8" s="7" t="s">
        <v>26</v>
      </c>
      <c r="E8" s="8" t="s">
        <v>320</v>
      </c>
      <c r="F8" s="96" t="s">
        <v>110</v>
      </c>
      <c r="G8" s="127"/>
      <c r="H8" s="96" t="s">
        <v>110</v>
      </c>
      <c r="I8" s="96" t="s">
        <v>110</v>
      </c>
      <c r="J8" s="96" t="s">
        <v>110</v>
      </c>
      <c r="K8" s="96" t="s">
        <v>110</v>
      </c>
      <c r="L8" s="96" t="s">
        <v>110</v>
      </c>
      <c r="M8" s="96" t="s">
        <v>110</v>
      </c>
      <c r="N8" s="127"/>
      <c r="O8" s="96" t="s">
        <v>800</v>
      </c>
      <c r="P8" s="96" t="s">
        <v>110</v>
      </c>
      <c r="Q8" s="96" t="s">
        <v>110</v>
      </c>
      <c r="R8" s="96" t="s">
        <v>110</v>
      </c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5">
        <f t="shared" si="1"/>
        <v>11</v>
      </c>
      <c r="AL8" s="5">
        <f t="shared" si="2"/>
        <v>0</v>
      </c>
      <c r="AM8" s="5"/>
      <c r="AN8" s="9"/>
      <c r="AO8"/>
      <c r="AP8"/>
    </row>
    <row r="9" spans="1:42" ht="16.5" x14ac:dyDescent="0.25">
      <c r="A9" s="9">
        <v>5</v>
      </c>
      <c r="B9" s="11">
        <v>656</v>
      </c>
      <c r="C9" s="7" t="s">
        <v>262</v>
      </c>
      <c r="D9" s="7" t="s">
        <v>326</v>
      </c>
      <c r="E9" s="8" t="s">
        <v>320</v>
      </c>
      <c r="F9" s="96" t="s">
        <v>110</v>
      </c>
      <c r="G9" s="127"/>
      <c r="H9" s="96" t="s">
        <v>110</v>
      </c>
      <c r="I9" s="96" t="s">
        <v>110</v>
      </c>
      <c r="J9" s="96" t="s">
        <v>110</v>
      </c>
      <c r="K9" s="96" t="s">
        <v>110</v>
      </c>
      <c r="L9" s="96" t="s">
        <v>110</v>
      </c>
      <c r="M9" s="96" t="s">
        <v>110</v>
      </c>
      <c r="N9" s="127"/>
      <c r="O9" s="96" t="s">
        <v>800</v>
      </c>
      <c r="P9" s="96" t="s">
        <v>110</v>
      </c>
      <c r="Q9" s="96" t="s">
        <v>110</v>
      </c>
      <c r="R9" s="96" t="s">
        <v>110</v>
      </c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  <c r="AK9" s="5">
        <f t="shared" si="1"/>
        <v>11</v>
      </c>
      <c r="AL9" s="5">
        <f t="shared" si="2"/>
        <v>0</v>
      </c>
      <c r="AM9" s="5"/>
      <c r="AN9" s="9"/>
    </row>
    <row r="10" spans="1:42" ht="16.5" x14ac:dyDescent="0.25">
      <c r="A10" s="9">
        <v>6</v>
      </c>
      <c r="B10" s="11">
        <v>910</v>
      </c>
      <c r="C10" s="7" t="s">
        <v>262</v>
      </c>
      <c r="D10" s="7" t="s">
        <v>259</v>
      </c>
      <c r="E10" s="8" t="s">
        <v>320</v>
      </c>
      <c r="F10" s="96" t="s">
        <v>110</v>
      </c>
      <c r="G10" s="127"/>
      <c r="H10" s="96" t="s">
        <v>110</v>
      </c>
      <c r="I10" s="96" t="s">
        <v>110</v>
      </c>
      <c r="J10" s="96" t="s">
        <v>110</v>
      </c>
      <c r="K10" s="96" t="s">
        <v>110</v>
      </c>
      <c r="L10" s="96" t="s">
        <v>110</v>
      </c>
      <c r="M10" s="96" t="s">
        <v>110</v>
      </c>
      <c r="N10" s="127"/>
      <c r="O10" s="96" t="s">
        <v>800</v>
      </c>
      <c r="P10" s="96" t="s">
        <v>110</v>
      </c>
      <c r="Q10" s="96" t="s">
        <v>110</v>
      </c>
      <c r="R10" s="96" t="s">
        <v>110</v>
      </c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5">
        <f t="shared" si="1"/>
        <v>11</v>
      </c>
      <c r="AL10" s="5">
        <f t="shared" si="2"/>
        <v>0</v>
      </c>
    </row>
    <row r="11" spans="1:42" ht="16.5" x14ac:dyDescent="0.25">
      <c r="A11" s="9">
        <v>7</v>
      </c>
      <c r="B11" s="11">
        <v>679</v>
      </c>
      <c r="C11" s="7" t="s">
        <v>132</v>
      </c>
      <c r="D11" s="7" t="s">
        <v>277</v>
      </c>
      <c r="E11" s="8" t="s">
        <v>320</v>
      </c>
      <c r="F11" s="96" t="s">
        <v>110</v>
      </c>
      <c r="G11" s="127"/>
      <c r="H11" s="96" t="s">
        <v>110</v>
      </c>
      <c r="I11" s="96" t="s">
        <v>110</v>
      </c>
      <c r="J11" s="96" t="s">
        <v>110</v>
      </c>
      <c r="K11" s="96" t="s">
        <v>110</v>
      </c>
      <c r="L11" s="96" t="s">
        <v>110</v>
      </c>
      <c r="M11" s="96" t="s">
        <v>110</v>
      </c>
      <c r="N11" s="127"/>
      <c r="O11" s="96" t="s">
        <v>800</v>
      </c>
      <c r="P11" s="96" t="s">
        <v>110</v>
      </c>
      <c r="Q11" s="96" t="s">
        <v>110</v>
      </c>
      <c r="R11" s="96" t="s">
        <v>110</v>
      </c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  <c r="AK11" s="5">
        <f t="shared" si="1"/>
        <v>11</v>
      </c>
      <c r="AL11" s="5">
        <f t="shared" si="2"/>
        <v>0</v>
      </c>
      <c r="AM11" s="115" t="s">
        <v>9</v>
      </c>
      <c r="AN11" s="116"/>
      <c r="AO11" s="116"/>
      <c r="AP11" s="117"/>
    </row>
    <row r="12" spans="1:42" ht="16.5" x14ac:dyDescent="0.25">
      <c r="A12" s="9">
        <v>8</v>
      </c>
      <c r="B12" s="11">
        <v>675</v>
      </c>
      <c r="C12" s="7" t="s">
        <v>91</v>
      </c>
      <c r="D12" s="7" t="s">
        <v>277</v>
      </c>
      <c r="E12" s="8" t="s">
        <v>320</v>
      </c>
      <c r="F12" s="96" t="s">
        <v>110</v>
      </c>
      <c r="G12" s="127"/>
      <c r="H12" s="96" t="s">
        <v>110</v>
      </c>
      <c r="I12" s="96" t="s">
        <v>110</v>
      </c>
      <c r="J12" s="96" t="s">
        <v>110</v>
      </c>
      <c r="K12" s="96" t="s">
        <v>110</v>
      </c>
      <c r="L12" s="96" t="s">
        <v>110</v>
      </c>
      <c r="M12" s="96" t="s">
        <v>110</v>
      </c>
      <c r="N12" s="127"/>
      <c r="O12" s="96" t="s">
        <v>800</v>
      </c>
      <c r="P12" s="96" t="s">
        <v>110</v>
      </c>
      <c r="Q12" s="96" t="s">
        <v>110</v>
      </c>
      <c r="R12" s="96" t="s">
        <v>110</v>
      </c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  <c r="AK12" s="5">
        <f t="shared" si="1"/>
        <v>11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11">
        <v>774</v>
      </c>
      <c r="C13" s="7" t="s">
        <v>328</v>
      </c>
      <c r="D13" s="7" t="s">
        <v>259</v>
      </c>
      <c r="E13" s="8" t="s">
        <v>320</v>
      </c>
      <c r="F13" s="96" t="s">
        <v>110</v>
      </c>
      <c r="G13" s="127"/>
      <c r="H13" s="96" t="s">
        <v>110</v>
      </c>
      <c r="I13" s="96" t="s">
        <v>110</v>
      </c>
      <c r="J13" s="96" t="s">
        <v>110</v>
      </c>
      <c r="K13" s="96" t="s">
        <v>110</v>
      </c>
      <c r="L13" s="96" t="s">
        <v>110</v>
      </c>
      <c r="M13" s="96" t="s">
        <v>110</v>
      </c>
      <c r="N13" s="127"/>
      <c r="O13" s="96" t="s">
        <v>800</v>
      </c>
      <c r="P13" s="96" t="s">
        <v>110</v>
      </c>
      <c r="Q13" s="96" t="s">
        <v>110</v>
      </c>
      <c r="R13" s="96" t="s">
        <v>110</v>
      </c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5">
        <f t="shared" si="1"/>
        <v>11</v>
      </c>
      <c r="AL13" s="5">
        <f t="shared" si="2"/>
        <v>0</v>
      </c>
      <c r="AM13" s="5" t="s">
        <v>14</v>
      </c>
      <c r="AN13" s="9">
        <f>24*$AN$5</f>
        <v>264</v>
      </c>
      <c r="AO13" s="9">
        <f>23*$AN$5</f>
        <v>253</v>
      </c>
      <c r="AP13" s="9">
        <f>SUM(AN13:AO13)</f>
        <v>517</v>
      </c>
    </row>
    <row r="14" spans="1:42" ht="16.5" x14ac:dyDescent="0.25">
      <c r="A14" s="9">
        <v>10</v>
      </c>
      <c r="B14" s="97">
        <v>655</v>
      </c>
      <c r="C14" s="7" t="s">
        <v>329</v>
      </c>
      <c r="D14" s="7" t="s">
        <v>22</v>
      </c>
      <c r="E14" s="8" t="s">
        <v>320</v>
      </c>
      <c r="F14" s="96" t="s">
        <v>110</v>
      </c>
      <c r="G14" s="127"/>
      <c r="H14" s="96" t="s">
        <v>110</v>
      </c>
      <c r="I14" s="96" t="s">
        <v>110</v>
      </c>
      <c r="J14" s="96" t="s">
        <v>110</v>
      </c>
      <c r="K14" s="96" t="s">
        <v>110</v>
      </c>
      <c r="L14" s="96" t="s">
        <v>110</v>
      </c>
      <c r="M14" s="96" t="s">
        <v>110</v>
      </c>
      <c r="N14" s="127"/>
      <c r="O14" s="96" t="s">
        <v>800</v>
      </c>
      <c r="P14" s="96" t="s">
        <v>110</v>
      </c>
      <c r="Q14" s="96" t="s">
        <v>110</v>
      </c>
      <c r="R14" s="96" t="s">
        <v>110</v>
      </c>
      <c r="S14" s="146"/>
      <c r="T14" s="146"/>
      <c r="U14" s="146"/>
      <c r="V14" s="146"/>
      <c r="W14" s="146"/>
      <c r="X14" s="146"/>
      <c r="Y14" s="146"/>
      <c r="Z14" s="146"/>
      <c r="AA14" s="146"/>
      <c r="AB14" s="146"/>
      <c r="AC14" s="146"/>
      <c r="AD14" s="146"/>
      <c r="AE14" s="146"/>
      <c r="AF14" s="146"/>
      <c r="AG14" s="146"/>
      <c r="AH14" s="146"/>
      <c r="AI14" s="146"/>
      <c r="AJ14" s="146"/>
      <c r="AK14" s="5">
        <f t="shared" si="1"/>
        <v>11</v>
      </c>
      <c r="AL14" s="5">
        <f t="shared" si="2"/>
        <v>0</v>
      </c>
      <c r="AM14" s="5" t="s">
        <v>15</v>
      </c>
      <c r="AN14" s="9">
        <f>SUM(AK28:AK51)</f>
        <v>263</v>
      </c>
      <c r="AO14" s="9">
        <f>SUM(AK5:AK27)</f>
        <v>252</v>
      </c>
      <c r="AP14" s="9">
        <f>AN14+AO14</f>
        <v>515</v>
      </c>
    </row>
    <row r="15" spans="1:42" ht="16.5" x14ac:dyDescent="0.25">
      <c r="A15" s="9">
        <v>11</v>
      </c>
      <c r="B15" s="97">
        <v>653</v>
      </c>
      <c r="C15" s="7" t="s">
        <v>330</v>
      </c>
      <c r="D15" s="7" t="s">
        <v>331</v>
      </c>
      <c r="E15" s="8" t="s">
        <v>320</v>
      </c>
      <c r="F15" s="96" t="s">
        <v>110</v>
      </c>
      <c r="G15" s="127"/>
      <c r="H15" s="96" t="s">
        <v>110</v>
      </c>
      <c r="I15" s="96" t="s">
        <v>110</v>
      </c>
      <c r="J15" s="96" t="s">
        <v>110</v>
      </c>
      <c r="K15" s="96" t="s">
        <v>110</v>
      </c>
      <c r="L15" s="96" t="s">
        <v>110</v>
      </c>
      <c r="M15" s="96" t="s">
        <v>110</v>
      </c>
      <c r="N15" s="127"/>
      <c r="O15" s="96" t="s">
        <v>800</v>
      </c>
      <c r="P15" s="96" t="s">
        <v>110</v>
      </c>
      <c r="Q15" s="96" t="s">
        <v>110</v>
      </c>
      <c r="R15" s="96" t="s">
        <v>110</v>
      </c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5">
        <f t="shared" si="1"/>
        <v>11</v>
      </c>
      <c r="AL15" s="5">
        <f t="shared" si="2"/>
        <v>0</v>
      </c>
      <c r="AM15" s="5" t="s">
        <v>16</v>
      </c>
      <c r="AN15" s="12">
        <f>AN14/AN13</f>
        <v>0.99621212121212122</v>
      </c>
      <c r="AO15" s="12">
        <f>AO14/AO13</f>
        <v>0.99604743083003955</v>
      </c>
      <c r="AP15" s="12">
        <f>AP14/AP13</f>
        <v>0.99613152804642169</v>
      </c>
    </row>
    <row r="16" spans="1:42" ht="16.5" x14ac:dyDescent="0.25">
      <c r="A16" s="9">
        <v>12</v>
      </c>
      <c r="B16" s="11">
        <v>657</v>
      </c>
      <c r="C16" s="7" t="s">
        <v>25</v>
      </c>
      <c r="D16" s="7" t="s">
        <v>288</v>
      </c>
      <c r="E16" s="8" t="s">
        <v>320</v>
      </c>
      <c r="F16" s="96" t="s">
        <v>110</v>
      </c>
      <c r="G16" s="127"/>
      <c r="H16" s="96" t="s">
        <v>110</v>
      </c>
      <c r="I16" s="96" t="s">
        <v>110</v>
      </c>
      <c r="J16" s="96" t="s">
        <v>110</v>
      </c>
      <c r="K16" s="96" t="s">
        <v>110</v>
      </c>
      <c r="L16" s="96" t="s">
        <v>110</v>
      </c>
      <c r="M16" s="96" t="s">
        <v>110</v>
      </c>
      <c r="N16" s="127"/>
      <c r="O16" s="96" t="s">
        <v>800</v>
      </c>
      <c r="P16" s="96" t="s">
        <v>110</v>
      </c>
      <c r="Q16" s="96" t="s">
        <v>110</v>
      </c>
      <c r="R16" s="96" t="s">
        <v>110</v>
      </c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  <c r="AK16" s="5">
        <f t="shared" si="1"/>
        <v>11</v>
      </c>
      <c r="AL16" s="5">
        <f t="shared" si="2"/>
        <v>0</v>
      </c>
      <c r="AM16"/>
      <c r="AN16"/>
      <c r="AO16"/>
      <c r="AP16"/>
    </row>
    <row r="17" spans="1:42" ht="16.5" x14ac:dyDescent="0.25">
      <c r="A17" s="9">
        <v>13</v>
      </c>
      <c r="B17" s="11">
        <v>672</v>
      </c>
      <c r="C17" s="7" t="s">
        <v>332</v>
      </c>
      <c r="D17" s="7" t="s">
        <v>333</v>
      </c>
      <c r="E17" s="8" t="s">
        <v>320</v>
      </c>
      <c r="F17" s="96" t="s">
        <v>110</v>
      </c>
      <c r="G17" s="127"/>
      <c r="H17" s="96" t="s">
        <v>110</v>
      </c>
      <c r="I17" s="96" t="s">
        <v>110</v>
      </c>
      <c r="J17" s="96" t="s">
        <v>110</v>
      </c>
      <c r="K17" s="96" t="s">
        <v>110</v>
      </c>
      <c r="L17" s="96" t="s">
        <v>110</v>
      </c>
      <c r="M17" s="96" t="s">
        <v>110</v>
      </c>
      <c r="N17" s="127"/>
      <c r="O17" s="96" t="s">
        <v>800</v>
      </c>
      <c r="P17" s="96" t="s">
        <v>110</v>
      </c>
      <c r="Q17" s="96" t="s">
        <v>110</v>
      </c>
      <c r="R17" s="96" t="s">
        <v>110</v>
      </c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5">
        <f t="shared" si="1"/>
        <v>11</v>
      </c>
      <c r="AL17" s="5">
        <f t="shared" si="2"/>
        <v>0</v>
      </c>
      <c r="AM17"/>
      <c r="AN17"/>
      <c r="AO17"/>
      <c r="AP17"/>
    </row>
    <row r="18" spans="1:42" ht="16.5" x14ac:dyDescent="0.25">
      <c r="A18" s="9">
        <v>14</v>
      </c>
      <c r="B18" s="11">
        <v>702</v>
      </c>
      <c r="C18" s="7" t="s">
        <v>334</v>
      </c>
      <c r="D18" s="7" t="s">
        <v>133</v>
      </c>
      <c r="E18" s="8" t="s">
        <v>320</v>
      </c>
      <c r="F18" s="96" t="s">
        <v>110</v>
      </c>
      <c r="G18" s="127"/>
      <c r="H18" s="96" t="s">
        <v>110</v>
      </c>
      <c r="I18" s="96" t="s">
        <v>110</v>
      </c>
      <c r="J18" s="96" t="s">
        <v>110</v>
      </c>
      <c r="K18" s="96" t="s">
        <v>110</v>
      </c>
      <c r="L18" s="96" t="s">
        <v>110</v>
      </c>
      <c r="M18" s="96" t="s">
        <v>110</v>
      </c>
      <c r="N18" s="127"/>
      <c r="O18" s="96" t="s">
        <v>800</v>
      </c>
      <c r="P18" s="96" t="s">
        <v>110</v>
      </c>
      <c r="Q18" s="96" t="s">
        <v>110</v>
      </c>
      <c r="R18" s="96" t="s">
        <v>110</v>
      </c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5">
        <f t="shared" si="1"/>
        <v>11</v>
      </c>
      <c r="AL18" s="5">
        <f t="shared" si="2"/>
        <v>0</v>
      </c>
      <c r="AM18"/>
      <c r="AN18"/>
      <c r="AO18"/>
      <c r="AP18"/>
    </row>
    <row r="19" spans="1:42" ht="16.5" x14ac:dyDescent="0.25">
      <c r="A19" s="9">
        <v>15</v>
      </c>
      <c r="B19" s="11">
        <v>659</v>
      </c>
      <c r="C19" s="7" t="s">
        <v>335</v>
      </c>
      <c r="D19" s="7" t="s">
        <v>336</v>
      </c>
      <c r="E19" s="8" t="s">
        <v>320</v>
      </c>
      <c r="F19" s="96" t="s">
        <v>110</v>
      </c>
      <c r="G19" s="127"/>
      <c r="H19" s="96" t="s">
        <v>110</v>
      </c>
      <c r="I19" s="96" t="s">
        <v>110</v>
      </c>
      <c r="J19" s="96" t="s">
        <v>110</v>
      </c>
      <c r="K19" s="96" t="s">
        <v>110</v>
      </c>
      <c r="L19" s="96" t="s">
        <v>110</v>
      </c>
      <c r="M19" s="96" t="s">
        <v>110</v>
      </c>
      <c r="N19" s="127"/>
      <c r="O19" s="96" t="s">
        <v>800</v>
      </c>
      <c r="P19" s="96" t="s">
        <v>110</v>
      </c>
      <c r="Q19" s="96" t="s">
        <v>110</v>
      </c>
      <c r="R19" s="96" t="s">
        <v>110</v>
      </c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5">
        <f t="shared" si="1"/>
        <v>11</v>
      </c>
      <c r="AL19" s="5">
        <f t="shared" si="2"/>
        <v>0</v>
      </c>
      <c r="AM19" s="115" t="s">
        <v>122</v>
      </c>
      <c r="AN19" s="116"/>
      <c r="AO19" s="116"/>
      <c r="AP19" s="117"/>
    </row>
    <row r="20" spans="1:42" ht="16.5" x14ac:dyDescent="0.25">
      <c r="A20" s="9">
        <v>16</v>
      </c>
      <c r="B20" s="11">
        <v>661</v>
      </c>
      <c r="C20" s="7" t="s">
        <v>337</v>
      </c>
      <c r="D20" s="7" t="s">
        <v>338</v>
      </c>
      <c r="E20" s="8" t="s">
        <v>320</v>
      </c>
      <c r="F20" s="96" t="s">
        <v>110</v>
      </c>
      <c r="G20" s="127"/>
      <c r="H20" s="96" t="s">
        <v>110</v>
      </c>
      <c r="I20" s="96" t="s">
        <v>110</v>
      </c>
      <c r="J20" s="96" t="s">
        <v>110</v>
      </c>
      <c r="K20" s="96" t="s">
        <v>110</v>
      </c>
      <c r="L20" s="96" t="s">
        <v>110</v>
      </c>
      <c r="M20" s="96" t="s">
        <v>110</v>
      </c>
      <c r="N20" s="127"/>
      <c r="O20" s="96" t="s">
        <v>800</v>
      </c>
      <c r="P20" s="96" t="s">
        <v>110</v>
      </c>
      <c r="Q20" s="96" t="s">
        <v>110</v>
      </c>
      <c r="R20" s="96" t="s">
        <v>110</v>
      </c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  <c r="AK20" s="5">
        <f t="shared" si="1"/>
        <v>11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11">
        <v>522</v>
      </c>
      <c r="C21" s="7" t="s">
        <v>339</v>
      </c>
      <c r="D21" s="7" t="s">
        <v>222</v>
      </c>
      <c r="E21" s="8" t="s">
        <v>320</v>
      </c>
      <c r="F21" s="96" t="s">
        <v>110</v>
      </c>
      <c r="G21" s="127"/>
      <c r="H21" s="96" t="s">
        <v>110</v>
      </c>
      <c r="I21" s="96" t="s">
        <v>110</v>
      </c>
      <c r="J21" s="96" t="s">
        <v>110</v>
      </c>
      <c r="K21" s="96" t="s">
        <v>110</v>
      </c>
      <c r="L21" s="96" t="s">
        <v>110</v>
      </c>
      <c r="M21" s="96" t="s">
        <v>110</v>
      </c>
      <c r="N21" s="127"/>
      <c r="O21" s="96" t="s">
        <v>800</v>
      </c>
      <c r="P21" s="96" t="s">
        <v>110</v>
      </c>
      <c r="Q21" s="96" t="s">
        <v>110</v>
      </c>
      <c r="R21" s="96" t="s">
        <v>110</v>
      </c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  <c r="AF21" s="146"/>
      <c r="AG21" s="146"/>
      <c r="AH21" s="146"/>
      <c r="AI21" s="146"/>
      <c r="AJ21" s="146"/>
      <c r="AK21" s="5">
        <f t="shared" si="1"/>
        <v>11</v>
      </c>
      <c r="AL21" s="5">
        <f t="shared" si="2"/>
        <v>0</v>
      </c>
      <c r="AM21" s="5" t="s">
        <v>14</v>
      </c>
      <c r="AN21" s="9">
        <f>26*$AN$5</f>
        <v>286</v>
      </c>
      <c r="AO21" s="9">
        <f>26*$AN$5</f>
        <v>286</v>
      </c>
      <c r="AP21" s="9">
        <f>AN21+AO21</f>
        <v>572</v>
      </c>
    </row>
    <row r="22" spans="1:42" ht="16.5" x14ac:dyDescent="0.25">
      <c r="A22" s="9">
        <v>18</v>
      </c>
      <c r="B22" s="11">
        <v>654</v>
      </c>
      <c r="C22" s="7" t="s">
        <v>340</v>
      </c>
      <c r="D22" s="7" t="s">
        <v>129</v>
      </c>
      <c r="E22" s="8" t="s">
        <v>320</v>
      </c>
      <c r="F22" s="96" t="s">
        <v>110</v>
      </c>
      <c r="G22" s="127"/>
      <c r="H22" s="96" t="s">
        <v>110</v>
      </c>
      <c r="I22" s="96" t="s">
        <v>110</v>
      </c>
      <c r="J22" s="96" t="s">
        <v>110</v>
      </c>
      <c r="K22" s="96" t="s">
        <v>110</v>
      </c>
      <c r="L22" s="96" t="s">
        <v>110</v>
      </c>
      <c r="M22" s="96" t="s">
        <v>110</v>
      </c>
      <c r="N22" s="127"/>
      <c r="O22" s="96" t="s">
        <v>800</v>
      </c>
      <c r="P22" s="96" t="s">
        <v>110</v>
      </c>
      <c r="Q22" s="96" t="s">
        <v>110</v>
      </c>
      <c r="R22" s="96" t="s">
        <v>110</v>
      </c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5">
        <f t="shared" si="1"/>
        <v>11</v>
      </c>
      <c r="AL22" s="5">
        <f t="shared" si="2"/>
        <v>0</v>
      </c>
      <c r="AM22" s="5" t="s">
        <v>17</v>
      </c>
      <c r="AN22" s="9">
        <f>AN21-AN14</f>
        <v>23</v>
      </c>
      <c r="AO22" s="9">
        <f>AO21-AO14</f>
        <v>34</v>
      </c>
      <c r="AP22" s="9">
        <f>AN22+AO22</f>
        <v>57</v>
      </c>
    </row>
    <row r="23" spans="1:42" ht="16.5" x14ac:dyDescent="0.25">
      <c r="A23" s="9">
        <v>19</v>
      </c>
      <c r="B23" s="11">
        <v>660</v>
      </c>
      <c r="C23" s="7" t="s">
        <v>341</v>
      </c>
      <c r="D23" s="7" t="s">
        <v>342</v>
      </c>
      <c r="E23" s="8" t="s">
        <v>320</v>
      </c>
      <c r="F23" s="96" t="s">
        <v>110</v>
      </c>
      <c r="G23" s="127"/>
      <c r="H23" s="96" t="s">
        <v>110</v>
      </c>
      <c r="I23" s="96" t="s">
        <v>110</v>
      </c>
      <c r="J23" s="96" t="s">
        <v>110</v>
      </c>
      <c r="K23" s="96" t="s">
        <v>110</v>
      </c>
      <c r="L23" s="96" t="s">
        <v>110</v>
      </c>
      <c r="M23" s="96" t="s">
        <v>110</v>
      </c>
      <c r="N23" s="127"/>
      <c r="O23" s="96" t="s">
        <v>800</v>
      </c>
      <c r="P23" s="96" t="s">
        <v>110</v>
      </c>
      <c r="Q23" s="96" t="s">
        <v>110</v>
      </c>
      <c r="R23" s="96" t="s">
        <v>110</v>
      </c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5">
        <f t="shared" si="1"/>
        <v>11</v>
      </c>
      <c r="AL23" s="5">
        <f t="shared" si="2"/>
        <v>0</v>
      </c>
      <c r="AM23" s="5" t="s">
        <v>16</v>
      </c>
      <c r="AN23" s="12">
        <f>AN22/AN21</f>
        <v>8.0419580419580416E-2</v>
      </c>
      <c r="AO23" s="12">
        <f>AO22/AO21</f>
        <v>0.11888111888111888</v>
      </c>
      <c r="AP23" s="12">
        <f>AP22/AP21</f>
        <v>9.9650349650349648E-2</v>
      </c>
    </row>
    <row r="24" spans="1:42" ht="16.5" x14ac:dyDescent="0.25">
      <c r="A24" s="9">
        <v>20</v>
      </c>
      <c r="B24" s="11">
        <v>841</v>
      </c>
      <c r="C24" s="7" t="s">
        <v>343</v>
      </c>
      <c r="D24" s="7" t="s">
        <v>344</v>
      </c>
      <c r="E24" s="8" t="s">
        <v>320</v>
      </c>
      <c r="F24" s="96" t="s">
        <v>110</v>
      </c>
      <c r="G24" s="127"/>
      <c r="H24" s="96" t="s">
        <v>110</v>
      </c>
      <c r="I24" s="96" t="s">
        <v>110</v>
      </c>
      <c r="J24" s="96" t="s">
        <v>110</v>
      </c>
      <c r="K24" s="96" t="s">
        <v>110</v>
      </c>
      <c r="L24" s="96" t="s">
        <v>110</v>
      </c>
      <c r="M24" s="96" t="s">
        <v>110</v>
      </c>
      <c r="N24" s="127"/>
      <c r="O24" s="96" t="s">
        <v>800</v>
      </c>
      <c r="P24" s="96" t="s">
        <v>110</v>
      </c>
      <c r="Q24" s="96" t="s">
        <v>110</v>
      </c>
      <c r="R24" s="96" t="s">
        <v>110</v>
      </c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5">
        <f t="shared" si="1"/>
        <v>11</v>
      </c>
      <c r="AL24" s="5">
        <f t="shared" si="2"/>
        <v>0</v>
      </c>
    </row>
    <row r="25" spans="1:42" ht="16.5" x14ac:dyDescent="0.25">
      <c r="A25" s="9">
        <v>21</v>
      </c>
      <c r="B25" s="11">
        <v>676</v>
      </c>
      <c r="C25" s="7" t="s">
        <v>345</v>
      </c>
      <c r="D25" s="7" t="s">
        <v>133</v>
      </c>
      <c r="E25" s="8" t="s">
        <v>320</v>
      </c>
      <c r="F25" s="96" t="s">
        <v>110</v>
      </c>
      <c r="G25" s="127"/>
      <c r="H25" s="96" t="s">
        <v>110</v>
      </c>
      <c r="I25" s="96" t="s">
        <v>110</v>
      </c>
      <c r="J25" s="96" t="s">
        <v>110</v>
      </c>
      <c r="K25" s="96" t="s">
        <v>110</v>
      </c>
      <c r="L25" s="96" t="s">
        <v>110</v>
      </c>
      <c r="M25" s="96" t="s">
        <v>110</v>
      </c>
      <c r="N25" s="127"/>
      <c r="O25" s="96" t="s">
        <v>800</v>
      </c>
      <c r="P25" s="96" t="s">
        <v>110</v>
      </c>
      <c r="Q25" s="96" t="s">
        <v>110</v>
      </c>
      <c r="R25" s="96" t="s">
        <v>110</v>
      </c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5">
        <f t="shared" si="1"/>
        <v>11</v>
      </c>
      <c r="AL25" s="5">
        <f t="shared" si="2"/>
        <v>0</v>
      </c>
    </row>
    <row r="26" spans="1:42" ht="16.5" x14ac:dyDescent="0.25">
      <c r="A26" s="9">
        <v>22</v>
      </c>
      <c r="B26" s="11">
        <v>658</v>
      </c>
      <c r="C26" s="7" t="s">
        <v>346</v>
      </c>
      <c r="D26" s="7" t="s">
        <v>131</v>
      </c>
      <c r="E26" s="8" t="s">
        <v>320</v>
      </c>
      <c r="F26" s="96" t="s">
        <v>110</v>
      </c>
      <c r="G26" s="127"/>
      <c r="H26" s="96" t="s">
        <v>110</v>
      </c>
      <c r="I26" s="96" t="s">
        <v>110</v>
      </c>
      <c r="J26" s="96" t="s">
        <v>110</v>
      </c>
      <c r="K26" s="96" t="s">
        <v>110</v>
      </c>
      <c r="L26" s="96" t="s">
        <v>110</v>
      </c>
      <c r="M26" s="96" t="s">
        <v>110</v>
      </c>
      <c r="N26" s="127"/>
      <c r="O26" s="96" t="s">
        <v>800</v>
      </c>
      <c r="P26" s="96" t="s">
        <v>110</v>
      </c>
      <c r="Q26" s="96" t="s">
        <v>110</v>
      </c>
      <c r="R26" s="96" t="s">
        <v>110</v>
      </c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5">
        <f t="shared" si="1"/>
        <v>11</v>
      </c>
      <c r="AL26" s="5">
        <f t="shared" si="2"/>
        <v>0</v>
      </c>
    </row>
    <row r="27" spans="1:42" ht="16.5" x14ac:dyDescent="0.25">
      <c r="A27" s="9">
        <v>23</v>
      </c>
      <c r="B27" s="11">
        <v>785</v>
      </c>
      <c r="C27" s="7" t="s">
        <v>257</v>
      </c>
      <c r="D27" s="7" t="s">
        <v>177</v>
      </c>
      <c r="E27" s="8" t="s">
        <v>320</v>
      </c>
      <c r="F27" s="96" t="s">
        <v>110</v>
      </c>
      <c r="G27" s="127"/>
      <c r="H27" s="96" t="s">
        <v>110</v>
      </c>
      <c r="I27" s="96" t="s">
        <v>110</v>
      </c>
      <c r="J27" s="96" t="s">
        <v>110</v>
      </c>
      <c r="K27" s="96" t="s">
        <v>110</v>
      </c>
      <c r="L27" s="96" t="s">
        <v>110</v>
      </c>
      <c r="M27" s="96" t="s">
        <v>110</v>
      </c>
      <c r="N27" s="127"/>
      <c r="O27" s="96" t="s">
        <v>800</v>
      </c>
      <c r="P27" s="96" t="s">
        <v>110</v>
      </c>
      <c r="Q27" s="96" t="s">
        <v>110</v>
      </c>
      <c r="R27" s="96" t="s">
        <v>110</v>
      </c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5">
        <f t="shared" si="1"/>
        <v>11</v>
      </c>
      <c r="AL27" s="5">
        <f t="shared" si="2"/>
        <v>0</v>
      </c>
    </row>
    <row r="28" spans="1:42" ht="16.5" customHeight="1" x14ac:dyDescent="0.25">
      <c r="A28" s="9">
        <v>1</v>
      </c>
      <c r="B28" s="11">
        <v>784</v>
      </c>
      <c r="C28" s="18" t="s">
        <v>347</v>
      </c>
      <c r="D28" s="19" t="s">
        <v>348</v>
      </c>
      <c r="E28" s="20" t="s">
        <v>320</v>
      </c>
      <c r="F28" s="96" t="s">
        <v>110</v>
      </c>
      <c r="G28" s="127"/>
      <c r="H28" s="96" t="s">
        <v>110</v>
      </c>
      <c r="I28" s="96" t="s">
        <v>110</v>
      </c>
      <c r="J28" s="96" t="s">
        <v>110</v>
      </c>
      <c r="K28" s="96" t="s">
        <v>110</v>
      </c>
      <c r="L28" s="96" t="s">
        <v>110</v>
      </c>
      <c r="M28" s="96" t="s">
        <v>110</v>
      </c>
      <c r="N28" s="127"/>
      <c r="O28" s="96" t="s">
        <v>800</v>
      </c>
      <c r="P28" s="96" t="s">
        <v>110</v>
      </c>
      <c r="Q28" s="96" t="s">
        <v>110</v>
      </c>
      <c r="R28" s="96" t="s">
        <v>110</v>
      </c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5">
        <f t="shared" si="1"/>
        <v>11</v>
      </c>
      <c r="AL28" s="5">
        <f t="shared" si="2"/>
        <v>0</v>
      </c>
    </row>
    <row r="29" spans="1:42" ht="16.5" x14ac:dyDescent="0.25">
      <c r="A29" s="21">
        <v>2</v>
      </c>
      <c r="B29" s="11">
        <v>700</v>
      </c>
      <c r="C29" s="18" t="s">
        <v>22</v>
      </c>
      <c r="D29" s="19" t="s">
        <v>222</v>
      </c>
      <c r="E29" s="20" t="s">
        <v>320</v>
      </c>
      <c r="F29" s="96" t="s">
        <v>110</v>
      </c>
      <c r="G29" s="127"/>
      <c r="H29" s="96" t="s">
        <v>110</v>
      </c>
      <c r="I29" s="96" t="s">
        <v>110</v>
      </c>
      <c r="J29" s="96" t="s">
        <v>110</v>
      </c>
      <c r="K29" s="96" t="s">
        <v>110</v>
      </c>
      <c r="L29" s="96" t="s">
        <v>110</v>
      </c>
      <c r="M29" s="96" t="s">
        <v>110</v>
      </c>
      <c r="N29" s="127"/>
      <c r="O29" s="96" t="s">
        <v>800</v>
      </c>
      <c r="P29" s="96" t="s">
        <v>110</v>
      </c>
      <c r="Q29" s="96" t="s">
        <v>110</v>
      </c>
      <c r="R29" s="96" t="s">
        <v>110</v>
      </c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5">
        <f t="shared" si="1"/>
        <v>11</v>
      </c>
      <c r="AL29" s="5">
        <f t="shared" si="2"/>
        <v>0</v>
      </c>
    </row>
    <row r="30" spans="1:42" ht="16.5" x14ac:dyDescent="0.25">
      <c r="A30" s="9">
        <v>3</v>
      </c>
      <c r="B30" s="11">
        <v>680</v>
      </c>
      <c r="C30" s="18" t="s">
        <v>349</v>
      </c>
      <c r="D30" s="19" t="s">
        <v>327</v>
      </c>
      <c r="E30" s="20" t="s">
        <v>320</v>
      </c>
      <c r="F30" s="96" t="s">
        <v>110</v>
      </c>
      <c r="G30" s="127"/>
      <c r="H30" s="96" t="s">
        <v>110</v>
      </c>
      <c r="I30" s="96" t="s">
        <v>110</v>
      </c>
      <c r="J30" s="96" t="s">
        <v>110</v>
      </c>
      <c r="K30" s="96" t="s">
        <v>110</v>
      </c>
      <c r="L30" s="96" t="s">
        <v>110</v>
      </c>
      <c r="M30" s="96" t="s">
        <v>110</v>
      </c>
      <c r="N30" s="127"/>
      <c r="O30" s="96" t="s">
        <v>800</v>
      </c>
      <c r="P30" s="96" t="s">
        <v>110</v>
      </c>
      <c r="Q30" s="96" t="s">
        <v>110</v>
      </c>
      <c r="R30" s="96" t="s">
        <v>110</v>
      </c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5">
        <f t="shared" si="1"/>
        <v>11</v>
      </c>
      <c r="AL30" s="5">
        <f t="shared" si="2"/>
        <v>0</v>
      </c>
    </row>
    <row r="31" spans="1:42" ht="16.5" x14ac:dyDescent="0.25">
      <c r="A31" s="21">
        <v>4</v>
      </c>
      <c r="B31" s="11">
        <v>650</v>
      </c>
      <c r="C31" s="18" t="s">
        <v>112</v>
      </c>
      <c r="D31" s="19" t="s">
        <v>350</v>
      </c>
      <c r="E31" s="20" t="s">
        <v>320</v>
      </c>
      <c r="F31" s="96" t="s">
        <v>110</v>
      </c>
      <c r="G31" s="127"/>
      <c r="H31" s="96" t="s">
        <v>110</v>
      </c>
      <c r="I31" s="96" t="s">
        <v>110</v>
      </c>
      <c r="J31" s="96" t="s">
        <v>110</v>
      </c>
      <c r="K31" s="96" t="s">
        <v>110</v>
      </c>
      <c r="L31" s="96" t="s">
        <v>110</v>
      </c>
      <c r="M31" s="96" t="s">
        <v>110</v>
      </c>
      <c r="N31" s="127"/>
      <c r="O31" s="96" t="s">
        <v>800</v>
      </c>
      <c r="P31" s="96" t="s">
        <v>110</v>
      </c>
      <c r="Q31" s="96" t="s">
        <v>110</v>
      </c>
      <c r="R31" s="96" t="s">
        <v>110</v>
      </c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5">
        <f t="shared" si="1"/>
        <v>11</v>
      </c>
      <c r="AL31" s="5">
        <f t="shared" si="2"/>
        <v>0</v>
      </c>
    </row>
    <row r="32" spans="1:42" ht="16.5" x14ac:dyDescent="0.25">
      <c r="A32" s="9">
        <v>5</v>
      </c>
      <c r="B32" s="11">
        <v>911</v>
      </c>
      <c r="C32" s="18" t="s">
        <v>352</v>
      </c>
      <c r="D32" s="19" t="s">
        <v>353</v>
      </c>
      <c r="E32" s="20" t="s">
        <v>320</v>
      </c>
      <c r="F32" s="96" t="s">
        <v>110</v>
      </c>
      <c r="G32" s="127"/>
      <c r="H32" s="96" t="s">
        <v>110</v>
      </c>
      <c r="I32" s="96" t="s">
        <v>110</v>
      </c>
      <c r="J32" s="96" t="s">
        <v>110</v>
      </c>
      <c r="K32" s="96" t="s">
        <v>110</v>
      </c>
      <c r="L32" s="96" t="s">
        <v>110</v>
      </c>
      <c r="M32" s="96" t="s">
        <v>110</v>
      </c>
      <c r="N32" s="127"/>
      <c r="O32" s="96" t="s">
        <v>800</v>
      </c>
      <c r="P32" s="96" t="s">
        <v>110</v>
      </c>
      <c r="Q32" s="96" t="s">
        <v>110</v>
      </c>
      <c r="R32" s="96" t="s">
        <v>110</v>
      </c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5">
        <f t="shared" si="1"/>
        <v>11</v>
      </c>
      <c r="AL32" s="5">
        <f t="shared" si="2"/>
        <v>0</v>
      </c>
    </row>
    <row r="33" spans="1:38" ht="16.5" x14ac:dyDescent="0.25">
      <c r="A33" s="21">
        <v>6</v>
      </c>
      <c r="B33" s="11">
        <v>683</v>
      </c>
      <c r="C33" s="18" t="s">
        <v>354</v>
      </c>
      <c r="D33" s="19" t="s">
        <v>355</v>
      </c>
      <c r="E33" s="20" t="s">
        <v>320</v>
      </c>
      <c r="F33" s="96" t="s">
        <v>110</v>
      </c>
      <c r="G33" s="127"/>
      <c r="H33" s="96" t="s">
        <v>110</v>
      </c>
      <c r="I33" s="96" t="s">
        <v>110</v>
      </c>
      <c r="J33" s="96" t="s">
        <v>110</v>
      </c>
      <c r="K33" s="96" t="s">
        <v>110</v>
      </c>
      <c r="L33" s="96" t="s">
        <v>110</v>
      </c>
      <c r="M33" s="96" t="s">
        <v>110</v>
      </c>
      <c r="N33" s="127"/>
      <c r="O33" s="96" t="s">
        <v>800</v>
      </c>
      <c r="P33" s="96" t="s">
        <v>110</v>
      </c>
      <c r="Q33" s="96" t="s">
        <v>110</v>
      </c>
      <c r="R33" s="96" t="s">
        <v>110</v>
      </c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5">
        <f t="shared" si="1"/>
        <v>11</v>
      </c>
      <c r="AL33" s="5">
        <f t="shared" si="2"/>
        <v>0</v>
      </c>
    </row>
    <row r="34" spans="1:38" ht="16.5" x14ac:dyDescent="0.25">
      <c r="A34" s="9">
        <v>7</v>
      </c>
      <c r="B34" s="11">
        <v>662</v>
      </c>
      <c r="C34" s="18" t="s">
        <v>356</v>
      </c>
      <c r="D34" s="19" t="s">
        <v>357</v>
      </c>
      <c r="E34" s="20" t="s">
        <v>320</v>
      </c>
      <c r="F34" s="96" t="s">
        <v>110</v>
      </c>
      <c r="G34" s="127"/>
      <c r="H34" s="96" t="s">
        <v>110</v>
      </c>
      <c r="I34" s="96" t="s">
        <v>110</v>
      </c>
      <c r="J34" s="96" t="s">
        <v>110</v>
      </c>
      <c r="K34" s="96" t="s">
        <v>110</v>
      </c>
      <c r="L34" s="96" t="s">
        <v>110</v>
      </c>
      <c r="M34" s="96" t="s">
        <v>110</v>
      </c>
      <c r="N34" s="127"/>
      <c r="O34" s="96" t="s">
        <v>800</v>
      </c>
      <c r="P34" s="96" t="s">
        <v>110</v>
      </c>
      <c r="Q34" s="96" t="s">
        <v>110</v>
      </c>
      <c r="R34" s="96" t="s">
        <v>110</v>
      </c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5">
        <f t="shared" si="1"/>
        <v>11</v>
      </c>
      <c r="AL34" s="5">
        <f t="shared" si="2"/>
        <v>0</v>
      </c>
    </row>
    <row r="35" spans="1:38" ht="16.5" x14ac:dyDescent="0.25">
      <c r="A35" s="21">
        <v>8</v>
      </c>
      <c r="B35" s="11">
        <v>681</v>
      </c>
      <c r="C35" s="18" t="s">
        <v>358</v>
      </c>
      <c r="D35" s="19" t="s">
        <v>62</v>
      </c>
      <c r="E35" s="20" t="s">
        <v>320</v>
      </c>
      <c r="F35" s="96" t="s">
        <v>110</v>
      </c>
      <c r="G35" s="127"/>
      <c r="H35" s="96" t="s">
        <v>110</v>
      </c>
      <c r="I35" s="96" t="s">
        <v>110</v>
      </c>
      <c r="J35" s="96" t="s">
        <v>110</v>
      </c>
      <c r="K35" s="96" t="s">
        <v>110</v>
      </c>
      <c r="L35" s="96" t="s">
        <v>110</v>
      </c>
      <c r="M35" s="96" t="s">
        <v>110</v>
      </c>
      <c r="N35" s="127"/>
      <c r="O35" s="96" t="s">
        <v>800</v>
      </c>
      <c r="P35" s="96" t="s">
        <v>110</v>
      </c>
      <c r="Q35" s="96" t="s">
        <v>110</v>
      </c>
      <c r="R35" s="96" t="s">
        <v>110</v>
      </c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6"/>
      <c r="AI35" s="146"/>
      <c r="AJ35" s="146"/>
      <c r="AK35" s="5">
        <f t="shared" si="1"/>
        <v>11</v>
      </c>
      <c r="AL35" s="5">
        <f t="shared" si="2"/>
        <v>0</v>
      </c>
    </row>
    <row r="36" spans="1:38" ht="16.5" x14ac:dyDescent="0.25">
      <c r="A36" s="9">
        <v>9</v>
      </c>
      <c r="B36" s="11">
        <v>664</v>
      </c>
      <c r="C36" s="18" t="s">
        <v>106</v>
      </c>
      <c r="D36" s="19" t="s">
        <v>359</v>
      </c>
      <c r="E36" s="20" t="s">
        <v>320</v>
      </c>
      <c r="F36" s="96" t="s">
        <v>110</v>
      </c>
      <c r="G36" s="127"/>
      <c r="H36" s="96" t="s">
        <v>110</v>
      </c>
      <c r="I36" s="96" t="s">
        <v>110</v>
      </c>
      <c r="J36" s="96" t="s">
        <v>110</v>
      </c>
      <c r="K36" s="96" t="s">
        <v>110</v>
      </c>
      <c r="L36" s="96" t="s">
        <v>110</v>
      </c>
      <c r="M36" s="96" t="s">
        <v>110</v>
      </c>
      <c r="N36" s="127"/>
      <c r="O36" s="96" t="s">
        <v>800</v>
      </c>
      <c r="P36" s="96" t="s">
        <v>110</v>
      </c>
      <c r="Q36" s="96" t="s">
        <v>110</v>
      </c>
      <c r="R36" s="96" t="s">
        <v>110</v>
      </c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  <c r="AJ36" s="146"/>
      <c r="AK36" s="5">
        <f t="shared" si="1"/>
        <v>11</v>
      </c>
      <c r="AL36" s="5">
        <f t="shared" si="2"/>
        <v>0</v>
      </c>
    </row>
    <row r="37" spans="1:38" ht="16.5" x14ac:dyDescent="0.25">
      <c r="A37" s="21">
        <v>10</v>
      </c>
      <c r="B37" s="11">
        <v>663</v>
      </c>
      <c r="C37" s="18" t="s">
        <v>360</v>
      </c>
      <c r="D37" s="19" t="s">
        <v>60</v>
      </c>
      <c r="E37" s="20" t="s">
        <v>320</v>
      </c>
      <c r="F37" s="96" t="s">
        <v>110</v>
      </c>
      <c r="G37" s="127"/>
      <c r="H37" s="96" t="s">
        <v>110</v>
      </c>
      <c r="I37" s="96" t="s">
        <v>110</v>
      </c>
      <c r="J37" s="96" t="s">
        <v>110</v>
      </c>
      <c r="K37" s="96" t="s">
        <v>796</v>
      </c>
      <c r="L37" s="96" t="s">
        <v>110</v>
      </c>
      <c r="M37" s="96" t="s">
        <v>110</v>
      </c>
      <c r="N37" s="127"/>
      <c r="O37" s="96" t="s">
        <v>800</v>
      </c>
      <c r="P37" s="96" t="s">
        <v>110</v>
      </c>
      <c r="Q37" s="96" t="s">
        <v>110</v>
      </c>
      <c r="R37" s="96" t="s">
        <v>110</v>
      </c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  <c r="AK37" s="5">
        <f t="shared" si="1"/>
        <v>10</v>
      </c>
      <c r="AL37" s="5">
        <f t="shared" si="2"/>
        <v>1</v>
      </c>
    </row>
    <row r="38" spans="1:38" ht="16.5" x14ac:dyDescent="0.25">
      <c r="A38" s="9">
        <v>11</v>
      </c>
      <c r="B38" s="11">
        <v>771</v>
      </c>
      <c r="C38" s="18" t="s">
        <v>361</v>
      </c>
      <c r="D38" s="19" t="s">
        <v>277</v>
      </c>
      <c r="E38" s="20" t="s">
        <v>320</v>
      </c>
      <c r="F38" s="96" t="s">
        <v>110</v>
      </c>
      <c r="G38" s="127"/>
      <c r="H38" s="96" t="s">
        <v>110</v>
      </c>
      <c r="I38" s="96" t="s">
        <v>110</v>
      </c>
      <c r="J38" s="96" t="s">
        <v>110</v>
      </c>
      <c r="K38" s="96" t="s">
        <v>110</v>
      </c>
      <c r="L38" s="96" t="s">
        <v>110</v>
      </c>
      <c r="M38" s="96" t="s">
        <v>110</v>
      </c>
      <c r="N38" s="127"/>
      <c r="O38" s="96" t="s">
        <v>800</v>
      </c>
      <c r="P38" s="96" t="s">
        <v>110</v>
      </c>
      <c r="Q38" s="96" t="s">
        <v>110</v>
      </c>
      <c r="R38" s="96" t="s">
        <v>110</v>
      </c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  <c r="AH38" s="146"/>
      <c r="AI38" s="146"/>
      <c r="AJ38" s="146"/>
      <c r="AK38" s="5">
        <f t="shared" si="1"/>
        <v>11</v>
      </c>
      <c r="AL38" s="5">
        <f t="shared" si="2"/>
        <v>0</v>
      </c>
    </row>
    <row r="39" spans="1:38" ht="16.5" x14ac:dyDescent="0.25">
      <c r="A39" s="21">
        <v>12</v>
      </c>
      <c r="B39" s="11">
        <v>773</v>
      </c>
      <c r="C39" s="18" t="s">
        <v>188</v>
      </c>
      <c r="D39" s="19" t="s">
        <v>241</v>
      </c>
      <c r="E39" s="20" t="s">
        <v>320</v>
      </c>
      <c r="F39" s="96" t="s">
        <v>110</v>
      </c>
      <c r="G39" s="127"/>
      <c r="H39" s="96" t="s">
        <v>110</v>
      </c>
      <c r="I39" s="96" t="s">
        <v>110</v>
      </c>
      <c r="J39" s="96" t="s">
        <v>110</v>
      </c>
      <c r="K39" s="96" t="s">
        <v>110</v>
      </c>
      <c r="L39" s="96" t="s">
        <v>110</v>
      </c>
      <c r="M39" s="96" t="s">
        <v>110</v>
      </c>
      <c r="N39" s="127"/>
      <c r="O39" s="96" t="s">
        <v>800</v>
      </c>
      <c r="P39" s="96" t="s">
        <v>110</v>
      </c>
      <c r="Q39" s="96" t="s">
        <v>110</v>
      </c>
      <c r="R39" s="96" t="s">
        <v>110</v>
      </c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5">
        <f t="shared" si="1"/>
        <v>11</v>
      </c>
      <c r="AL39" s="5">
        <f t="shared" si="2"/>
        <v>0</v>
      </c>
    </row>
    <row r="40" spans="1:38" ht="16.5" x14ac:dyDescent="0.25">
      <c r="A40" s="9">
        <v>13</v>
      </c>
      <c r="B40" s="11">
        <v>775</v>
      </c>
      <c r="C40" s="18" t="s">
        <v>362</v>
      </c>
      <c r="D40" s="19" t="s">
        <v>363</v>
      </c>
      <c r="E40" s="20" t="s">
        <v>320</v>
      </c>
      <c r="F40" s="96" t="s">
        <v>110</v>
      </c>
      <c r="G40" s="127"/>
      <c r="H40" s="96" t="s">
        <v>110</v>
      </c>
      <c r="I40" s="96" t="s">
        <v>110</v>
      </c>
      <c r="J40" s="96" t="s">
        <v>110</v>
      </c>
      <c r="K40" s="96" t="s">
        <v>110</v>
      </c>
      <c r="L40" s="96" t="s">
        <v>110</v>
      </c>
      <c r="M40" s="96" t="s">
        <v>110</v>
      </c>
      <c r="N40" s="127"/>
      <c r="O40" s="96" t="s">
        <v>800</v>
      </c>
      <c r="P40" s="96" t="s">
        <v>110</v>
      </c>
      <c r="Q40" s="96" t="s">
        <v>110</v>
      </c>
      <c r="R40" s="96" t="s">
        <v>110</v>
      </c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46"/>
      <c r="AJ40" s="146"/>
      <c r="AK40" s="5">
        <f t="shared" si="1"/>
        <v>11</v>
      </c>
      <c r="AL40" s="5">
        <f t="shared" si="2"/>
        <v>0</v>
      </c>
    </row>
    <row r="41" spans="1:38" ht="16.5" x14ac:dyDescent="0.25">
      <c r="A41" s="21">
        <v>14</v>
      </c>
      <c r="B41" s="11">
        <v>652</v>
      </c>
      <c r="C41" s="18" t="s">
        <v>364</v>
      </c>
      <c r="D41" s="19" t="s">
        <v>365</v>
      </c>
      <c r="E41" s="20" t="s">
        <v>320</v>
      </c>
      <c r="F41" s="96" t="s">
        <v>110</v>
      </c>
      <c r="G41" s="127"/>
      <c r="H41" s="96" t="s">
        <v>110</v>
      </c>
      <c r="I41" s="96" t="s">
        <v>110</v>
      </c>
      <c r="J41" s="96" t="s">
        <v>110</v>
      </c>
      <c r="K41" s="96" t="s">
        <v>110</v>
      </c>
      <c r="L41" s="96" t="s">
        <v>110</v>
      </c>
      <c r="M41" s="96" t="s">
        <v>110</v>
      </c>
      <c r="N41" s="127"/>
      <c r="O41" s="96" t="s">
        <v>800</v>
      </c>
      <c r="P41" s="96" t="s">
        <v>110</v>
      </c>
      <c r="Q41" s="96" t="s">
        <v>110</v>
      </c>
      <c r="R41" s="96" t="s">
        <v>110</v>
      </c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  <c r="AK41" s="5">
        <f t="shared" si="1"/>
        <v>11</v>
      </c>
      <c r="AL41" s="5">
        <f t="shared" si="2"/>
        <v>0</v>
      </c>
    </row>
    <row r="42" spans="1:38" ht="16.5" x14ac:dyDescent="0.25">
      <c r="A42" s="9">
        <v>15</v>
      </c>
      <c r="B42" s="11">
        <v>678</v>
      </c>
      <c r="C42" s="18" t="s">
        <v>366</v>
      </c>
      <c r="D42" s="19" t="s">
        <v>267</v>
      </c>
      <c r="E42" s="20" t="s">
        <v>320</v>
      </c>
      <c r="F42" s="96" t="s">
        <v>110</v>
      </c>
      <c r="G42" s="127"/>
      <c r="H42" s="96" t="s">
        <v>110</v>
      </c>
      <c r="I42" s="96" t="s">
        <v>110</v>
      </c>
      <c r="J42" s="96" t="s">
        <v>110</v>
      </c>
      <c r="K42" s="96" t="s">
        <v>110</v>
      </c>
      <c r="L42" s="96" t="s">
        <v>110</v>
      </c>
      <c r="M42" s="96" t="s">
        <v>110</v>
      </c>
      <c r="N42" s="127"/>
      <c r="O42" s="96" t="s">
        <v>800</v>
      </c>
      <c r="P42" s="96" t="s">
        <v>110</v>
      </c>
      <c r="Q42" s="96" t="s">
        <v>110</v>
      </c>
      <c r="R42" s="96" t="s">
        <v>110</v>
      </c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5">
        <f t="shared" si="1"/>
        <v>11</v>
      </c>
      <c r="AL42" s="5">
        <f t="shared" si="2"/>
        <v>0</v>
      </c>
    </row>
    <row r="43" spans="1:38" ht="16.5" x14ac:dyDescent="0.25">
      <c r="A43" s="21">
        <v>16</v>
      </c>
      <c r="B43" s="11">
        <v>674</v>
      </c>
      <c r="C43" s="18" t="s">
        <v>367</v>
      </c>
      <c r="D43" s="19" t="s">
        <v>58</v>
      </c>
      <c r="E43" s="20" t="s">
        <v>320</v>
      </c>
      <c r="F43" s="96" t="s">
        <v>110</v>
      </c>
      <c r="G43" s="127"/>
      <c r="H43" s="96" t="s">
        <v>110</v>
      </c>
      <c r="I43" s="96" t="s">
        <v>110</v>
      </c>
      <c r="J43" s="96" t="s">
        <v>110</v>
      </c>
      <c r="K43" s="96" t="s">
        <v>110</v>
      </c>
      <c r="L43" s="96" t="s">
        <v>110</v>
      </c>
      <c r="M43" s="96" t="s">
        <v>110</v>
      </c>
      <c r="N43" s="127"/>
      <c r="O43" s="96" t="s">
        <v>800</v>
      </c>
      <c r="P43" s="96" t="s">
        <v>110</v>
      </c>
      <c r="Q43" s="96" t="s">
        <v>110</v>
      </c>
      <c r="R43" s="96" t="s">
        <v>110</v>
      </c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6"/>
      <c r="AK43" s="5">
        <f t="shared" si="1"/>
        <v>11</v>
      </c>
      <c r="AL43" s="5">
        <f t="shared" si="2"/>
        <v>0</v>
      </c>
    </row>
    <row r="44" spans="1:38" ht="16.5" x14ac:dyDescent="0.25">
      <c r="A44" s="9">
        <v>17</v>
      </c>
      <c r="B44" s="11">
        <v>666</v>
      </c>
      <c r="C44" s="18" t="s">
        <v>368</v>
      </c>
      <c r="D44" s="19" t="s">
        <v>369</v>
      </c>
      <c r="E44" s="20" t="s">
        <v>320</v>
      </c>
      <c r="F44" s="96" t="s">
        <v>110</v>
      </c>
      <c r="G44" s="127"/>
      <c r="H44" s="96" t="s">
        <v>110</v>
      </c>
      <c r="I44" s="96" t="s">
        <v>110</v>
      </c>
      <c r="J44" s="96" t="s">
        <v>110</v>
      </c>
      <c r="K44" s="96" t="s">
        <v>110</v>
      </c>
      <c r="L44" s="96" t="s">
        <v>110</v>
      </c>
      <c r="M44" s="96" t="s">
        <v>110</v>
      </c>
      <c r="N44" s="127"/>
      <c r="O44" s="96" t="s">
        <v>800</v>
      </c>
      <c r="P44" s="96" t="s">
        <v>110</v>
      </c>
      <c r="Q44" s="96" t="s">
        <v>110</v>
      </c>
      <c r="R44" s="96" t="s">
        <v>110</v>
      </c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  <c r="AJ44" s="146"/>
      <c r="AK44" s="5">
        <f t="shared" si="1"/>
        <v>11</v>
      </c>
      <c r="AL44" s="5">
        <f t="shared" si="2"/>
        <v>0</v>
      </c>
    </row>
    <row r="45" spans="1:38" ht="16.5" x14ac:dyDescent="0.25">
      <c r="A45" s="21">
        <v>18</v>
      </c>
      <c r="B45" s="11">
        <v>786</v>
      </c>
      <c r="C45" s="18" t="s">
        <v>370</v>
      </c>
      <c r="D45" s="19" t="s">
        <v>371</v>
      </c>
      <c r="E45" s="20" t="s">
        <v>320</v>
      </c>
      <c r="F45" s="96" t="s">
        <v>110</v>
      </c>
      <c r="G45" s="127"/>
      <c r="H45" s="96" t="s">
        <v>110</v>
      </c>
      <c r="I45" s="96" t="s">
        <v>110</v>
      </c>
      <c r="J45" s="96" t="s">
        <v>110</v>
      </c>
      <c r="K45" s="96" t="s">
        <v>110</v>
      </c>
      <c r="L45" s="96" t="s">
        <v>110</v>
      </c>
      <c r="M45" s="96" t="s">
        <v>110</v>
      </c>
      <c r="N45" s="127"/>
      <c r="O45" s="96" t="s">
        <v>800</v>
      </c>
      <c r="P45" s="96" t="s">
        <v>110</v>
      </c>
      <c r="Q45" s="96" t="s">
        <v>110</v>
      </c>
      <c r="R45" s="96" t="s">
        <v>110</v>
      </c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5">
        <f t="shared" si="1"/>
        <v>11</v>
      </c>
      <c r="AL45" s="5">
        <f t="shared" si="2"/>
        <v>0</v>
      </c>
    </row>
    <row r="46" spans="1:38" ht="16.5" x14ac:dyDescent="0.25">
      <c r="A46" s="9">
        <v>19</v>
      </c>
      <c r="B46" s="11">
        <v>682</v>
      </c>
      <c r="C46" s="18" t="s">
        <v>372</v>
      </c>
      <c r="D46" s="19" t="s">
        <v>96</v>
      </c>
      <c r="E46" s="20" t="s">
        <v>320</v>
      </c>
      <c r="F46" s="96" t="s">
        <v>110</v>
      </c>
      <c r="G46" s="127"/>
      <c r="H46" s="96" t="s">
        <v>110</v>
      </c>
      <c r="I46" s="96" t="s">
        <v>110</v>
      </c>
      <c r="J46" s="96" t="s">
        <v>110</v>
      </c>
      <c r="K46" s="96" t="s">
        <v>110</v>
      </c>
      <c r="L46" s="96" t="s">
        <v>110</v>
      </c>
      <c r="M46" s="96" t="s">
        <v>110</v>
      </c>
      <c r="N46" s="127"/>
      <c r="O46" s="96" t="s">
        <v>800</v>
      </c>
      <c r="P46" s="96" t="s">
        <v>110</v>
      </c>
      <c r="Q46" s="96" t="s">
        <v>110</v>
      </c>
      <c r="R46" s="96" t="s">
        <v>110</v>
      </c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5">
        <f t="shared" si="1"/>
        <v>11</v>
      </c>
      <c r="AL46" s="5">
        <f t="shared" si="2"/>
        <v>0</v>
      </c>
    </row>
    <row r="47" spans="1:38" ht="16.5" x14ac:dyDescent="0.25">
      <c r="A47" s="21">
        <v>20</v>
      </c>
      <c r="B47" s="11">
        <v>651</v>
      </c>
      <c r="C47" s="18" t="s">
        <v>55</v>
      </c>
      <c r="D47" s="19" t="s">
        <v>173</v>
      </c>
      <c r="E47" s="20" t="s">
        <v>320</v>
      </c>
      <c r="F47" s="96" t="s">
        <v>110</v>
      </c>
      <c r="G47" s="127"/>
      <c r="H47" s="96" t="s">
        <v>110</v>
      </c>
      <c r="I47" s="96" t="s">
        <v>110</v>
      </c>
      <c r="J47" s="96" t="s">
        <v>110</v>
      </c>
      <c r="K47" s="96" t="s">
        <v>110</v>
      </c>
      <c r="L47" s="96" t="s">
        <v>110</v>
      </c>
      <c r="M47" s="96" t="s">
        <v>110</v>
      </c>
      <c r="N47" s="127"/>
      <c r="O47" s="96" t="s">
        <v>800</v>
      </c>
      <c r="P47" s="96" t="s">
        <v>110</v>
      </c>
      <c r="Q47" s="96" t="s">
        <v>110</v>
      </c>
      <c r="R47" s="96" t="s">
        <v>110</v>
      </c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5">
        <f t="shared" si="1"/>
        <v>11</v>
      </c>
      <c r="AL47" s="5">
        <f t="shared" si="2"/>
        <v>0</v>
      </c>
    </row>
    <row r="48" spans="1:38" ht="16.5" x14ac:dyDescent="0.25">
      <c r="A48" s="9">
        <v>21</v>
      </c>
      <c r="B48" s="11">
        <v>667</v>
      </c>
      <c r="C48" s="18" t="s">
        <v>305</v>
      </c>
      <c r="D48" s="19" t="s">
        <v>373</v>
      </c>
      <c r="E48" s="20" t="s">
        <v>320</v>
      </c>
      <c r="F48" s="96" t="s">
        <v>110</v>
      </c>
      <c r="G48" s="127"/>
      <c r="H48" s="96" t="s">
        <v>110</v>
      </c>
      <c r="I48" s="96" t="s">
        <v>110</v>
      </c>
      <c r="J48" s="96" t="s">
        <v>110</v>
      </c>
      <c r="K48" s="96" t="s">
        <v>110</v>
      </c>
      <c r="L48" s="96" t="s">
        <v>110</v>
      </c>
      <c r="M48" s="96" t="s">
        <v>110</v>
      </c>
      <c r="N48" s="127"/>
      <c r="O48" s="96" t="s">
        <v>800</v>
      </c>
      <c r="P48" s="96" t="s">
        <v>110</v>
      </c>
      <c r="Q48" s="96" t="s">
        <v>110</v>
      </c>
      <c r="R48" s="96" t="s">
        <v>110</v>
      </c>
      <c r="S48" s="146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5">
        <f t="shared" si="1"/>
        <v>11</v>
      </c>
      <c r="AL48" s="5">
        <f t="shared" si="2"/>
        <v>0</v>
      </c>
    </row>
    <row r="49" spans="1:38" ht="16.5" x14ac:dyDescent="0.25">
      <c r="A49" s="21">
        <v>22</v>
      </c>
      <c r="B49" s="11">
        <v>669</v>
      </c>
      <c r="C49" s="18" t="s">
        <v>374</v>
      </c>
      <c r="D49" s="19" t="s">
        <v>375</v>
      </c>
      <c r="E49" s="20" t="s">
        <v>320</v>
      </c>
      <c r="F49" s="96" t="s">
        <v>110</v>
      </c>
      <c r="G49" s="127"/>
      <c r="H49" s="96" t="s">
        <v>110</v>
      </c>
      <c r="I49" s="96" t="s">
        <v>110</v>
      </c>
      <c r="J49" s="96" t="s">
        <v>110</v>
      </c>
      <c r="K49" s="96" t="s">
        <v>110</v>
      </c>
      <c r="L49" s="96" t="s">
        <v>110</v>
      </c>
      <c r="M49" s="96" t="s">
        <v>110</v>
      </c>
      <c r="N49" s="127"/>
      <c r="O49" s="96" t="s">
        <v>800</v>
      </c>
      <c r="P49" s="96" t="s">
        <v>110</v>
      </c>
      <c r="Q49" s="96" t="s">
        <v>110</v>
      </c>
      <c r="R49" s="96" t="s">
        <v>110</v>
      </c>
      <c r="S49" s="146"/>
      <c r="T49" s="146"/>
      <c r="U49" s="146"/>
      <c r="V49" s="146"/>
      <c r="W49" s="146"/>
      <c r="X49" s="146"/>
      <c r="Y49" s="146"/>
      <c r="Z49" s="146"/>
      <c r="AA49" s="146"/>
      <c r="AB49" s="146"/>
      <c r="AC49" s="146"/>
      <c r="AD49" s="146"/>
      <c r="AE49" s="146"/>
      <c r="AF49" s="146"/>
      <c r="AG49" s="146"/>
      <c r="AH49" s="146"/>
      <c r="AI49" s="146"/>
      <c r="AJ49" s="146"/>
      <c r="AK49" s="5">
        <f t="shared" si="1"/>
        <v>11</v>
      </c>
      <c r="AL49" s="5">
        <f t="shared" si="2"/>
        <v>0</v>
      </c>
    </row>
    <row r="50" spans="1:38" ht="16.5" x14ac:dyDescent="0.25">
      <c r="A50" s="9">
        <v>23</v>
      </c>
      <c r="B50" s="11">
        <v>677</v>
      </c>
      <c r="C50" s="18" t="s">
        <v>376</v>
      </c>
      <c r="D50" s="19" t="s">
        <v>371</v>
      </c>
      <c r="E50" s="20" t="s">
        <v>320</v>
      </c>
      <c r="F50" s="96" t="s">
        <v>110</v>
      </c>
      <c r="G50" s="127"/>
      <c r="H50" s="96" t="s">
        <v>110</v>
      </c>
      <c r="I50" s="96" t="s">
        <v>110</v>
      </c>
      <c r="J50" s="96" t="s">
        <v>110</v>
      </c>
      <c r="K50" s="96" t="s">
        <v>110</v>
      </c>
      <c r="L50" s="96" t="s">
        <v>110</v>
      </c>
      <c r="M50" s="96" t="s">
        <v>110</v>
      </c>
      <c r="N50" s="127"/>
      <c r="O50" s="96" t="s">
        <v>800</v>
      </c>
      <c r="P50" s="96" t="s">
        <v>110</v>
      </c>
      <c r="Q50" s="96" t="s">
        <v>110</v>
      </c>
      <c r="R50" s="96" t="s">
        <v>110</v>
      </c>
      <c r="S50" s="146"/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5">
        <f t="shared" si="1"/>
        <v>11</v>
      </c>
      <c r="AL50" s="5">
        <f t="shared" si="2"/>
        <v>0</v>
      </c>
    </row>
    <row r="51" spans="1:38" ht="16.5" x14ac:dyDescent="0.25">
      <c r="A51" s="21">
        <v>24</v>
      </c>
      <c r="B51" s="11">
        <v>783</v>
      </c>
      <c r="C51" s="18" t="s">
        <v>377</v>
      </c>
      <c r="D51" s="19" t="s">
        <v>378</v>
      </c>
      <c r="E51" s="20" t="s">
        <v>320</v>
      </c>
      <c r="F51" s="96" t="s">
        <v>110</v>
      </c>
      <c r="G51" s="127"/>
      <c r="H51" s="96" t="s">
        <v>110</v>
      </c>
      <c r="I51" s="96" t="s">
        <v>110</v>
      </c>
      <c r="J51" s="96" t="s">
        <v>110</v>
      </c>
      <c r="K51" s="96" t="s">
        <v>110</v>
      </c>
      <c r="L51" s="96" t="s">
        <v>110</v>
      </c>
      <c r="M51" s="96" t="s">
        <v>110</v>
      </c>
      <c r="N51" s="127"/>
      <c r="O51" s="96" t="s">
        <v>800</v>
      </c>
      <c r="P51" s="96" t="s">
        <v>110</v>
      </c>
      <c r="Q51" s="96" t="s">
        <v>110</v>
      </c>
      <c r="R51" s="96" t="s">
        <v>110</v>
      </c>
      <c r="S51" s="146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  <c r="AE51" s="146"/>
      <c r="AF51" s="146"/>
      <c r="AG51" s="146"/>
      <c r="AH51" s="146"/>
      <c r="AI51" s="146"/>
      <c r="AJ51" s="146"/>
      <c r="AK51" s="5">
        <f t="shared" si="1"/>
        <v>11</v>
      </c>
      <c r="AL51" s="5">
        <f t="shared" si="2"/>
        <v>0</v>
      </c>
    </row>
    <row r="52" spans="1:38" x14ac:dyDescent="0.25">
      <c r="Y52"/>
    </row>
  </sheetData>
  <mergeCells count="15">
    <mergeCell ref="A1:AL1"/>
    <mergeCell ref="A2:AL2"/>
    <mergeCell ref="AK3:AK4"/>
    <mergeCell ref="AL3:AL4"/>
    <mergeCell ref="E3:E4"/>
    <mergeCell ref="A3:A4"/>
    <mergeCell ref="B3:B4"/>
    <mergeCell ref="C3:C4"/>
    <mergeCell ref="D3:D4"/>
    <mergeCell ref="AM3:AN3"/>
    <mergeCell ref="G5:G51"/>
    <mergeCell ref="N5:N51"/>
    <mergeCell ref="AM11:AP11"/>
    <mergeCell ref="AM19:AP19"/>
    <mergeCell ref="S5:AJ51"/>
  </mergeCells>
  <conditionalFormatting sqref="F3:AJ4 G5 F5:F51 H5:M51 O6:R51 N5:S5">
    <cfRule type="expression" dxfId="285" priority="9">
      <formula>F$4=TODAY()</formula>
    </cfRule>
  </conditionalFormatting>
  <conditionalFormatting sqref="G5 F5:F51 H5:M51 O6:R51 F3:AJ4 N5:S5">
    <cfRule type="expression" dxfId="284" priority="13">
      <formula>F$3="Sun"</formula>
    </cfRule>
  </conditionalFormatting>
  <conditionalFormatting sqref="G5 F5:F51 H5:M51 O6:R51 N5:S5">
    <cfRule type="cellIs" dxfId="283" priority="10" operator="equal">
      <formula>"L"</formula>
    </cfRule>
    <cfRule type="cellIs" dxfId="282" priority="11" operator="equal">
      <formula>"A"</formula>
    </cfRule>
    <cfRule type="cellIs" dxfId="281" priority="12" operator="equal">
      <formula>"P"</formula>
    </cfRule>
  </conditionalFormatting>
  <conditionalFormatting sqref="AK3:AL3 AK5:AL51">
    <cfRule type="expression" dxfId="280" priority="14">
      <formula>#REF!="Sun"</formula>
    </cfRule>
  </conditionalFormatting>
  <conditionalFormatting sqref="AM8:AM9">
    <cfRule type="expression" dxfId="279" priority="5">
      <formula>AM$3="Sun"</formula>
    </cfRule>
  </conditionalFormatting>
  <conditionalFormatting sqref="AM12:AM15">
    <cfRule type="expression" dxfId="278" priority="3">
      <formula>AM$3="Sun"</formula>
    </cfRule>
  </conditionalFormatting>
  <conditionalFormatting sqref="AM20:AM23">
    <cfRule type="expression" dxfId="277" priority="2">
      <formula>AM$3="Sun"</formula>
    </cfRule>
  </conditionalFormatting>
  <conditionalFormatting sqref="AM4:AN4">
    <cfRule type="expression" dxfId="276" priority="6">
      <formula>AM$3="Sun"</formula>
    </cfRule>
  </conditionalFormatting>
  <conditionalFormatting sqref="AN12:AP12 AN20:AP20">
    <cfRule type="expression" dxfId="275" priority="7">
      <formula>AN$3="Sun"</formula>
    </cfRule>
  </conditionalFormatting>
  <conditionalFormatting sqref="AP21">
    <cfRule type="expression" dxfId="274" priority="4">
      <formula>AP$3="Sun"</formula>
    </cfRule>
  </conditionalFormatting>
  <conditionalFormatting sqref="AM5:AM7">
    <cfRule type="expression" dxfId="7" priority="1">
      <formula>AM$3="Sun"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53"/>
  <sheetViews>
    <sheetView topLeftCell="F1" workbookViewId="0">
      <selection activeCell="AN8" sqref="AN8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22.5703125" style="1" bestFit="1" customWidth="1"/>
    <col min="5" max="5" width="6.42578125" style="1" customWidth="1"/>
    <col min="6" max="6" width="3.85546875" style="1"/>
    <col min="7" max="7" width="4.5703125" style="1" bestFit="1" customWidth="1"/>
    <col min="8" max="8" width="3.85546875" style="1"/>
    <col min="9" max="9" width="4.7109375" style="1" bestFit="1" customWidth="1"/>
    <col min="10" max="10" width="3.85546875" style="1"/>
    <col min="11" max="12" width="3.7109375" style="1" bestFit="1" customWidth="1"/>
    <col min="13" max="13" width="3.85546875" style="1"/>
    <col min="14" max="14" width="3.7109375" style="1" bestFit="1" customWidth="1"/>
    <col min="15" max="15" width="3.85546875" style="1"/>
    <col min="16" max="16" width="4.7109375" style="1" bestFit="1" customWidth="1"/>
    <col min="17" max="17" width="3.85546875" style="1"/>
    <col min="18" max="19" width="3.7109375" style="1" bestFit="1" customWidth="1"/>
    <col min="20" max="20" width="3.85546875" style="1"/>
    <col min="21" max="21" width="4.5703125" style="1" bestFit="1" customWidth="1"/>
    <col min="22" max="22" width="3.85546875" style="1"/>
    <col min="23" max="23" width="4.7109375" style="1" bestFit="1" customWidth="1"/>
    <col min="24" max="24" width="3.85546875" style="1"/>
    <col min="25" max="26" width="3.7109375" style="1" bestFit="1" customWidth="1"/>
    <col min="27" max="27" width="3.85546875" style="1"/>
    <col min="28" max="28" width="4.5703125" style="1" bestFit="1" customWidth="1"/>
    <col min="29" max="29" width="3.85546875" style="1"/>
    <col min="30" max="30" width="4.7109375" style="1" bestFit="1" customWidth="1"/>
    <col min="31" max="31" width="4.7109375" style="1" customWidth="1"/>
    <col min="32" max="32" width="3.85546875" style="1"/>
    <col min="33" max="34" width="3.7109375" style="1" bestFit="1" customWidth="1"/>
    <col min="35" max="35" width="3.7109375" style="1" customWidth="1"/>
    <col min="36" max="36" width="3.85546875" style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21" t="s">
        <v>18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</row>
    <row r="2" spans="1:42" ht="17.25" x14ac:dyDescent="0.3">
      <c r="A2" s="125" t="s">
        <v>795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</row>
    <row r="3" spans="1:42" ht="15.75" x14ac:dyDescent="0.25">
      <c r="A3" s="134" t="s">
        <v>0</v>
      </c>
      <c r="B3" s="134" t="s">
        <v>789</v>
      </c>
      <c r="C3" s="134" t="s">
        <v>1</v>
      </c>
      <c r="D3" s="134" t="s">
        <v>2</v>
      </c>
      <c r="E3" s="134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22" t="s">
        <v>4</v>
      </c>
      <c r="AL3" s="122" t="s">
        <v>5</v>
      </c>
      <c r="AM3" s="115" t="s">
        <v>120</v>
      </c>
      <c r="AN3" s="116"/>
      <c r="AO3" s="3"/>
      <c r="AP3" s="3"/>
    </row>
    <row r="4" spans="1:42" ht="37.5" x14ac:dyDescent="0.25">
      <c r="A4" s="135"/>
      <c r="B4" s="135"/>
      <c r="C4" s="135"/>
      <c r="D4" s="135"/>
      <c r="E4" s="135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22"/>
      <c r="AL4" s="122"/>
      <c r="AM4" s="5" t="s">
        <v>121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646</v>
      </c>
      <c r="C5" s="18" t="s">
        <v>419</v>
      </c>
      <c r="D5" s="19" t="s">
        <v>239</v>
      </c>
      <c r="E5" s="20" t="s">
        <v>381</v>
      </c>
      <c r="F5" s="96" t="s">
        <v>110</v>
      </c>
      <c r="G5" s="118" t="s">
        <v>382</v>
      </c>
      <c r="H5" s="96" t="s">
        <v>110</v>
      </c>
      <c r="I5" s="96" t="s">
        <v>110</v>
      </c>
      <c r="J5" s="96" t="s">
        <v>110</v>
      </c>
      <c r="K5" s="96" t="s">
        <v>110</v>
      </c>
      <c r="L5" s="96" t="s">
        <v>800</v>
      </c>
      <c r="M5" s="96" t="s">
        <v>110</v>
      </c>
      <c r="N5" s="118" t="s">
        <v>382</v>
      </c>
      <c r="O5" s="96" t="s">
        <v>110</v>
      </c>
      <c r="P5" s="96" t="s">
        <v>110</v>
      </c>
      <c r="Q5" s="96" t="s">
        <v>110</v>
      </c>
      <c r="R5" s="96" t="s">
        <v>110</v>
      </c>
      <c r="S5" s="137" t="s">
        <v>803</v>
      </c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9"/>
      <c r="AK5" s="5">
        <f t="shared" ref="AK5:AK53" si="1">COUNTIF(F5:AJ5,"P")</f>
        <v>11</v>
      </c>
      <c r="AL5" s="5">
        <f t="shared" ref="AL5:AL53" si="2">COUNTIF(F5:AJ5,"A")</f>
        <v>0</v>
      </c>
      <c r="AM5" s="5" t="s">
        <v>7</v>
      </c>
      <c r="AN5" s="9">
        <v>11</v>
      </c>
      <c r="AO5" s="10"/>
      <c r="AP5" s="3"/>
    </row>
    <row r="6" spans="1:42" ht="16.5" x14ac:dyDescent="0.25">
      <c r="A6" s="21">
        <v>2</v>
      </c>
      <c r="B6" s="11">
        <v>690</v>
      </c>
      <c r="C6" s="18" t="s">
        <v>420</v>
      </c>
      <c r="D6" s="19" t="s">
        <v>421</v>
      </c>
      <c r="E6" s="20" t="s">
        <v>381</v>
      </c>
      <c r="F6" s="96" t="s">
        <v>110</v>
      </c>
      <c r="G6" s="119"/>
      <c r="H6" s="96" t="s">
        <v>110</v>
      </c>
      <c r="I6" s="96" t="s">
        <v>110</v>
      </c>
      <c r="J6" s="96" t="s">
        <v>110</v>
      </c>
      <c r="K6" s="96" t="s">
        <v>110</v>
      </c>
      <c r="L6" s="96" t="s">
        <v>800</v>
      </c>
      <c r="M6" s="96" t="s">
        <v>110</v>
      </c>
      <c r="N6" s="119"/>
      <c r="O6" s="96" t="s">
        <v>110</v>
      </c>
      <c r="P6" s="96" t="s">
        <v>110</v>
      </c>
      <c r="Q6" s="96" t="s">
        <v>110</v>
      </c>
      <c r="R6" s="96" t="s">
        <v>110</v>
      </c>
      <c r="S6" s="140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2"/>
      <c r="AK6" s="5">
        <f t="shared" si="1"/>
        <v>11</v>
      </c>
      <c r="AL6" s="5">
        <f t="shared" si="2"/>
        <v>0</v>
      </c>
      <c r="AM6" s="5" t="s">
        <v>8</v>
      </c>
      <c r="AN6" s="9">
        <v>2</v>
      </c>
      <c r="AO6" s="3"/>
      <c r="AP6" s="3"/>
    </row>
    <row r="7" spans="1:42" ht="16.5" x14ac:dyDescent="0.25">
      <c r="A7" s="9">
        <v>3</v>
      </c>
      <c r="B7" s="11">
        <v>684</v>
      </c>
      <c r="C7" s="18" t="s">
        <v>422</v>
      </c>
      <c r="D7" s="19" t="s">
        <v>327</v>
      </c>
      <c r="E7" s="20" t="s">
        <v>381</v>
      </c>
      <c r="F7" s="96" t="s">
        <v>110</v>
      </c>
      <c r="G7" s="119"/>
      <c r="H7" s="96" t="s">
        <v>110</v>
      </c>
      <c r="I7" s="96" t="s">
        <v>110</v>
      </c>
      <c r="J7" s="96" t="s">
        <v>110</v>
      </c>
      <c r="K7" s="96" t="s">
        <v>110</v>
      </c>
      <c r="L7" s="96" t="s">
        <v>800</v>
      </c>
      <c r="M7" s="96" t="s">
        <v>110</v>
      </c>
      <c r="N7" s="119"/>
      <c r="O7" s="96" t="s">
        <v>110</v>
      </c>
      <c r="P7" s="96" t="s">
        <v>110</v>
      </c>
      <c r="Q7" s="96" t="s">
        <v>110</v>
      </c>
      <c r="R7" s="96" t="s">
        <v>110</v>
      </c>
      <c r="S7" s="140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2"/>
      <c r="AK7" s="5">
        <f t="shared" si="1"/>
        <v>11</v>
      </c>
      <c r="AL7" s="5">
        <f t="shared" si="2"/>
        <v>0</v>
      </c>
      <c r="AM7" s="5" t="s">
        <v>803</v>
      </c>
      <c r="AN7" s="9">
        <v>18</v>
      </c>
      <c r="AO7" s="3"/>
      <c r="AP7" s="3"/>
    </row>
    <row r="8" spans="1:42" ht="16.5" x14ac:dyDescent="0.25">
      <c r="A8" s="21">
        <v>4</v>
      </c>
      <c r="B8" s="11">
        <v>551</v>
      </c>
      <c r="C8" s="18" t="s">
        <v>112</v>
      </c>
      <c r="D8" s="19" t="s">
        <v>423</v>
      </c>
      <c r="E8" s="20" t="s">
        <v>381</v>
      </c>
      <c r="F8" s="96" t="s">
        <v>110</v>
      </c>
      <c r="G8" s="119"/>
      <c r="H8" s="96" t="s">
        <v>110</v>
      </c>
      <c r="I8" s="96" t="s">
        <v>110</v>
      </c>
      <c r="J8" s="96" t="s">
        <v>110</v>
      </c>
      <c r="K8" s="96" t="s">
        <v>110</v>
      </c>
      <c r="L8" s="96" t="s">
        <v>800</v>
      </c>
      <c r="M8" s="96" t="s">
        <v>110</v>
      </c>
      <c r="N8" s="119"/>
      <c r="O8" s="96" t="s">
        <v>110</v>
      </c>
      <c r="P8" s="96" t="s">
        <v>110</v>
      </c>
      <c r="Q8" s="96" t="s">
        <v>110</v>
      </c>
      <c r="R8" s="96" t="s">
        <v>110</v>
      </c>
      <c r="S8" s="140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2"/>
      <c r="AK8" s="5">
        <f t="shared" si="1"/>
        <v>11</v>
      </c>
      <c r="AL8" s="5">
        <f t="shared" si="2"/>
        <v>0</v>
      </c>
      <c r="AM8" s="5"/>
      <c r="AN8" s="9"/>
      <c r="AO8"/>
      <c r="AP8"/>
    </row>
    <row r="9" spans="1:42" ht="16.5" x14ac:dyDescent="0.25">
      <c r="A9" s="9">
        <v>5</v>
      </c>
      <c r="B9" s="6">
        <v>490</v>
      </c>
      <c r="C9" s="7" t="s">
        <v>417</v>
      </c>
      <c r="D9" s="22" t="s">
        <v>418</v>
      </c>
      <c r="E9" s="20" t="s">
        <v>381</v>
      </c>
      <c r="F9" s="96" t="s">
        <v>110</v>
      </c>
      <c r="G9" s="119"/>
      <c r="H9" s="96" t="s">
        <v>110</v>
      </c>
      <c r="I9" s="96" t="s">
        <v>110</v>
      </c>
      <c r="J9" s="96" t="s">
        <v>110</v>
      </c>
      <c r="K9" s="96" t="s">
        <v>110</v>
      </c>
      <c r="L9" s="96" t="s">
        <v>110</v>
      </c>
      <c r="M9" s="96" t="s">
        <v>110</v>
      </c>
      <c r="N9" s="119"/>
      <c r="O9" s="96" t="s">
        <v>110</v>
      </c>
      <c r="P9" s="96" t="s">
        <v>110</v>
      </c>
      <c r="Q9" s="96" t="s">
        <v>110</v>
      </c>
      <c r="R9" s="96" t="s">
        <v>110</v>
      </c>
      <c r="S9" s="140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2"/>
      <c r="AK9" s="5">
        <f t="shared" si="1"/>
        <v>11</v>
      </c>
      <c r="AL9" s="5">
        <f t="shared" si="2"/>
        <v>0</v>
      </c>
      <c r="AM9" s="5"/>
      <c r="AN9" s="9"/>
    </row>
    <row r="10" spans="1:42" ht="16.5" x14ac:dyDescent="0.25">
      <c r="A10" s="21">
        <v>6</v>
      </c>
      <c r="B10" s="11">
        <v>647</v>
      </c>
      <c r="C10" s="18" t="s">
        <v>424</v>
      </c>
      <c r="D10" s="19" t="s">
        <v>425</v>
      </c>
      <c r="E10" s="20" t="s">
        <v>381</v>
      </c>
      <c r="F10" s="96" t="s">
        <v>110</v>
      </c>
      <c r="G10" s="119"/>
      <c r="H10" s="96" t="s">
        <v>110</v>
      </c>
      <c r="I10" s="96" t="s">
        <v>110</v>
      </c>
      <c r="J10" s="96" t="s">
        <v>110</v>
      </c>
      <c r="K10" s="96" t="s">
        <v>110</v>
      </c>
      <c r="L10" s="96" t="s">
        <v>110</v>
      </c>
      <c r="M10" s="96" t="s">
        <v>110</v>
      </c>
      <c r="N10" s="119"/>
      <c r="O10" s="96" t="s">
        <v>110</v>
      </c>
      <c r="P10" s="96" t="s">
        <v>110</v>
      </c>
      <c r="Q10" s="96" t="s">
        <v>110</v>
      </c>
      <c r="R10" s="96" t="s">
        <v>110</v>
      </c>
      <c r="S10" s="140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2"/>
      <c r="AK10" s="5">
        <f t="shared" si="1"/>
        <v>11</v>
      </c>
      <c r="AL10" s="5">
        <f t="shared" si="2"/>
        <v>0</v>
      </c>
    </row>
    <row r="11" spans="1:42" ht="16.5" x14ac:dyDescent="0.25">
      <c r="A11" s="9">
        <v>7</v>
      </c>
      <c r="B11" s="11">
        <v>908</v>
      </c>
      <c r="C11" s="18" t="s">
        <v>447</v>
      </c>
      <c r="D11" s="19" t="s">
        <v>448</v>
      </c>
      <c r="E11" s="20" t="s">
        <v>381</v>
      </c>
      <c r="F11" s="96" t="s">
        <v>110</v>
      </c>
      <c r="G11" s="119"/>
      <c r="H11" s="96" t="s">
        <v>110</v>
      </c>
      <c r="I11" s="96" t="s">
        <v>110</v>
      </c>
      <c r="J11" s="96" t="s">
        <v>110</v>
      </c>
      <c r="K11" s="96" t="s">
        <v>110</v>
      </c>
      <c r="L11" s="96" t="s">
        <v>110</v>
      </c>
      <c r="M11" s="96" t="s">
        <v>110</v>
      </c>
      <c r="N11" s="119"/>
      <c r="O11" s="96" t="s">
        <v>110</v>
      </c>
      <c r="P11" s="96" t="s">
        <v>110</v>
      </c>
      <c r="Q11" s="96" t="s">
        <v>110</v>
      </c>
      <c r="R11" s="96" t="s">
        <v>110</v>
      </c>
      <c r="S11" s="140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2"/>
      <c r="AK11" s="5">
        <f t="shared" si="1"/>
        <v>11</v>
      </c>
      <c r="AL11" s="5">
        <f t="shared" si="2"/>
        <v>0</v>
      </c>
      <c r="AM11" s="115" t="s">
        <v>9</v>
      </c>
      <c r="AN11" s="116"/>
      <c r="AO11" s="116"/>
      <c r="AP11" s="117"/>
    </row>
    <row r="12" spans="1:42" ht="16.5" x14ac:dyDescent="0.25">
      <c r="A12" s="21">
        <v>8</v>
      </c>
      <c r="B12" s="11">
        <v>585</v>
      </c>
      <c r="C12" s="18" t="s">
        <v>426</v>
      </c>
      <c r="D12" s="19" t="s">
        <v>56</v>
      </c>
      <c r="E12" s="20" t="s">
        <v>381</v>
      </c>
      <c r="F12" s="96" t="s">
        <v>110</v>
      </c>
      <c r="G12" s="119"/>
      <c r="H12" s="96" t="s">
        <v>110</v>
      </c>
      <c r="I12" s="96" t="s">
        <v>110</v>
      </c>
      <c r="J12" s="96" t="s">
        <v>110</v>
      </c>
      <c r="K12" s="96" t="s">
        <v>110</v>
      </c>
      <c r="L12" s="96" t="s">
        <v>110</v>
      </c>
      <c r="M12" s="96" t="s">
        <v>110</v>
      </c>
      <c r="N12" s="119"/>
      <c r="O12" s="96" t="s">
        <v>110</v>
      </c>
      <c r="P12" s="96" t="s">
        <v>110</v>
      </c>
      <c r="Q12" s="96" t="s">
        <v>110</v>
      </c>
      <c r="R12" s="96" t="s">
        <v>110</v>
      </c>
      <c r="S12" s="140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2"/>
      <c r="AK12" s="5">
        <f t="shared" si="1"/>
        <v>11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11">
        <v>555</v>
      </c>
      <c r="C13" s="18" t="s">
        <v>58</v>
      </c>
      <c r="D13" s="19" t="s">
        <v>245</v>
      </c>
      <c r="E13" s="20" t="s">
        <v>381</v>
      </c>
      <c r="F13" s="96" t="s">
        <v>110</v>
      </c>
      <c r="G13" s="119"/>
      <c r="H13" s="96" t="s">
        <v>110</v>
      </c>
      <c r="I13" s="96" t="s">
        <v>110</v>
      </c>
      <c r="J13" s="96" t="s">
        <v>110</v>
      </c>
      <c r="K13" s="96" t="s">
        <v>110</v>
      </c>
      <c r="L13" s="96" t="s">
        <v>110</v>
      </c>
      <c r="M13" s="96" t="s">
        <v>110</v>
      </c>
      <c r="N13" s="119"/>
      <c r="O13" s="96" t="s">
        <v>110</v>
      </c>
      <c r="P13" s="96" t="s">
        <v>110</v>
      </c>
      <c r="Q13" s="96" t="s">
        <v>110</v>
      </c>
      <c r="R13" s="96" t="s">
        <v>110</v>
      </c>
      <c r="S13" s="140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2"/>
      <c r="AK13" s="5">
        <f t="shared" si="1"/>
        <v>11</v>
      </c>
      <c r="AL13" s="5">
        <f t="shared" si="2"/>
        <v>0</v>
      </c>
      <c r="AM13" s="5" t="s">
        <v>14</v>
      </c>
      <c r="AN13" s="9">
        <f>26*$AN$5</f>
        <v>286</v>
      </c>
      <c r="AO13" s="9">
        <f>23*$AN$5</f>
        <v>253</v>
      </c>
      <c r="AP13" s="9">
        <f>SUM(AN13:AO13)</f>
        <v>539</v>
      </c>
    </row>
    <row r="14" spans="1:42" ht="16.5" x14ac:dyDescent="0.25">
      <c r="A14" s="21">
        <v>10</v>
      </c>
      <c r="B14" s="97">
        <v>691</v>
      </c>
      <c r="C14" s="18" t="s">
        <v>427</v>
      </c>
      <c r="D14" s="19" t="s">
        <v>428</v>
      </c>
      <c r="E14" s="20" t="s">
        <v>381</v>
      </c>
      <c r="F14" s="96" t="s">
        <v>110</v>
      </c>
      <c r="G14" s="119"/>
      <c r="H14" s="96" t="s">
        <v>110</v>
      </c>
      <c r="I14" s="96" t="s">
        <v>110</v>
      </c>
      <c r="J14" s="96" t="s">
        <v>110</v>
      </c>
      <c r="K14" s="96" t="s">
        <v>110</v>
      </c>
      <c r="L14" s="96" t="s">
        <v>110</v>
      </c>
      <c r="M14" s="96" t="s">
        <v>110</v>
      </c>
      <c r="N14" s="119"/>
      <c r="O14" s="96" t="s">
        <v>110</v>
      </c>
      <c r="P14" s="96" t="s">
        <v>110</v>
      </c>
      <c r="Q14" s="96" t="s">
        <v>110</v>
      </c>
      <c r="R14" s="96" t="s">
        <v>110</v>
      </c>
      <c r="S14" s="140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2"/>
      <c r="AK14" s="5">
        <f t="shared" si="1"/>
        <v>11</v>
      </c>
      <c r="AL14" s="5">
        <f t="shared" si="2"/>
        <v>0</v>
      </c>
      <c r="AM14" s="5" t="s">
        <v>15</v>
      </c>
      <c r="AN14" s="9">
        <f>SUM(AK5:AK30)</f>
        <v>275</v>
      </c>
      <c r="AO14" s="9">
        <f>SUM(AK31:AK53)</f>
        <v>247</v>
      </c>
      <c r="AP14" s="9">
        <f>AN14+AO14</f>
        <v>522</v>
      </c>
    </row>
    <row r="15" spans="1:42" ht="16.5" x14ac:dyDescent="0.25">
      <c r="A15" s="9">
        <v>11</v>
      </c>
      <c r="B15" s="11">
        <v>13</v>
      </c>
      <c r="C15" s="18" t="s">
        <v>449</v>
      </c>
      <c r="D15" s="19" t="s">
        <v>222</v>
      </c>
      <c r="E15" s="20" t="s">
        <v>381</v>
      </c>
      <c r="F15" s="96" t="s">
        <v>110</v>
      </c>
      <c r="G15" s="119"/>
      <c r="H15" s="96" t="s">
        <v>110</v>
      </c>
      <c r="I15" s="96" t="s">
        <v>110</v>
      </c>
      <c r="J15" s="96" t="s">
        <v>110</v>
      </c>
      <c r="K15" s="96" t="s">
        <v>110</v>
      </c>
      <c r="L15" s="96" t="s">
        <v>110</v>
      </c>
      <c r="M15" s="96" t="s">
        <v>110</v>
      </c>
      <c r="N15" s="119"/>
      <c r="O15" s="96" t="s">
        <v>110</v>
      </c>
      <c r="P15" s="96" t="s">
        <v>110</v>
      </c>
      <c r="Q15" s="96" t="s">
        <v>110</v>
      </c>
      <c r="R15" s="96" t="s">
        <v>110</v>
      </c>
      <c r="S15" s="140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2"/>
      <c r="AK15" s="5">
        <f t="shared" si="1"/>
        <v>11</v>
      </c>
      <c r="AL15" s="5">
        <f t="shared" si="2"/>
        <v>0</v>
      </c>
      <c r="AM15" s="5" t="s">
        <v>16</v>
      </c>
      <c r="AN15" s="12">
        <f>AN14/AN13</f>
        <v>0.96153846153846156</v>
      </c>
      <c r="AO15" s="12">
        <f>AO14/AO13</f>
        <v>0.97628458498023718</v>
      </c>
      <c r="AP15" s="12">
        <f>AP14/AP13</f>
        <v>0.96846011131725418</v>
      </c>
    </row>
    <row r="16" spans="1:42" ht="16.5" x14ac:dyDescent="0.25">
      <c r="A16" s="21">
        <v>12</v>
      </c>
      <c r="B16" s="11">
        <v>528</v>
      </c>
      <c r="C16" s="18" t="s">
        <v>429</v>
      </c>
      <c r="D16" s="19" t="s">
        <v>430</v>
      </c>
      <c r="E16" s="20" t="s">
        <v>381</v>
      </c>
      <c r="F16" s="96" t="s">
        <v>110</v>
      </c>
      <c r="G16" s="119"/>
      <c r="H16" s="96" t="s">
        <v>110</v>
      </c>
      <c r="I16" s="96" t="s">
        <v>110</v>
      </c>
      <c r="J16" s="96" t="s">
        <v>110</v>
      </c>
      <c r="K16" s="96" t="s">
        <v>110</v>
      </c>
      <c r="L16" s="96" t="s">
        <v>110</v>
      </c>
      <c r="M16" s="96" t="s">
        <v>110</v>
      </c>
      <c r="N16" s="119"/>
      <c r="O16" s="96" t="s">
        <v>110</v>
      </c>
      <c r="P16" s="96" t="s">
        <v>796</v>
      </c>
      <c r="Q16" s="96" t="s">
        <v>110</v>
      </c>
      <c r="R16" s="96" t="s">
        <v>796</v>
      </c>
      <c r="S16" s="140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2"/>
      <c r="AK16" s="5">
        <f t="shared" si="1"/>
        <v>9</v>
      </c>
      <c r="AL16" s="5">
        <f t="shared" si="2"/>
        <v>2</v>
      </c>
      <c r="AM16"/>
      <c r="AN16"/>
      <c r="AO16"/>
      <c r="AP16"/>
    </row>
    <row r="17" spans="1:42" ht="16.5" x14ac:dyDescent="0.25">
      <c r="A17" s="9">
        <v>13</v>
      </c>
      <c r="B17" s="11">
        <v>689</v>
      </c>
      <c r="C17" s="18" t="s">
        <v>431</v>
      </c>
      <c r="D17" s="19" t="s">
        <v>167</v>
      </c>
      <c r="E17" s="20" t="s">
        <v>381</v>
      </c>
      <c r="F17" s="96" t="s">
        <v>110</v>
      </c>
      <c r="G17" s="119"/>
      <c r="H17" s="96" t="s">
        <v>110</v>
      </c>
      <c r="I17" s="96" t="s">
        <v>110</v>
      </c>
      <c r="J17" s="96" t="s">
        <v>110</v>
      </c>
      <c r="K17" s="96" t="s">
        <v>110</v>
      </c>
      <c r="L17" s="96" t="s">
        <v>110</v>
      </c>
      <c r="M17" s="96" t="s">
        <v>110</v>
      </c>
      <c r="N17" s="119"/>
      <c r="O17" s="96" t="s">
        <v>110</v>
      </c>
      <c r="P17" s="96" t="s">
        <v>110</v>
      </c>
      <c r="Q17" s="96" t="s">
        <v>110</v>
      </c>
      <c r="R17" s="96" t="s">
        <v>110</v>
      </c>
      <c r="S17" s="140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2"/>
      <c r="AK17" s="5">
        <f t="shared" si="1"/>
        <v>11</v>
      </c>
      <c r="AL17" s="5">
        <f t="shared" si="2"/>
        <v>0</v>
      </c>
      <c r="AM17"/>
      <c r="AN17"/>
      <c r="AO17"/>
      <c r="AP17"/>
    </row>
    <row r="18" spans="1:42" ht="16.5" x14ac:dyDescent="0.25">
      <c r="A18" s="21">
        <v>14</v>
      </c>
      <c r="B18" s="11">
        <v>648</v>
      </c>
      <c r="C18" s="18" t="s">
        <v>433</v>
      </c>
      <c r="D18" s="19" t="s">
        <v>66</v>
      </c>
      <c r="E18" s="20" t="s">
        <v>381</v>
      </c>
      <c r="F18" s="96" t="s">
        <v>110</v>
      </c>
      <c r="G18" s="119"/>
      <c r="H18" s="96" t="s">
        <v>110</v>
      </c>
      <c r="I18" s="96" t="s">
        <v>110</v>
      </c>
      <c r="J18" s="96" t="s">
        <v>110</v>
      </c>
      <c r="K18" s="96" t="s">
        <v>110</v>
      </c>
      <c r="L18" s="96" t="s">
        <v>110</v>
      </c>
      <c r="M18" s="96" t="s">
        <v>110</v>
      </c>
      <c r="N18" s="119"/>
      <c r="O18" s="96" t="s">
        <v>110</v>
      </c>
      <c r="P18" s="96" t="s">
        <v>110</v>
      </c>
      <c r="Q18" s="96" t="s">
        <v>110</v>
      </c>
      <c r="R18" s="96" t="s">
        <v>110</v>
      </c>
      <c r="S18" s="140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2"/>
      <c r="AK18" s="5">
        <f t="shared" si="1"/>
        <v>11</v>
      </c>
      <c r="AL18" s="5">
        <f t="shared" si="2"/>
        <v>0</v>
      </c>
      <c r="AM18"/>
      <c r="AN18"/>
      <c r="AO18"/>
      <c r="AP18"/>
    </row>
    <row r="19" spans="1:42" ht="16.5" x14ac:dyDescent="0.25">
      <c r="A19" s="9">
        <v>15</v>
      </c>
      <c r="B19" s="11">
        <v>578</v>
      </c>
      <c r="C19" s="18" t="s">
        <v>434</v>
      </c>
      <c r="D19" s="19" t="s">
        <v>224</v>
      </c>
      <c r="E19" s="20" t="s">
        <v>381</v>
      </c>
      <c r="F19" s="96" t="s">
        <v>110</v>
      </c>
      <c r="G19" s="119"/>
      <c r="H19" s="96" t="s">
        <v>110</v>
      </c>
      <c r="I19" s="96" t="s">
        <v>110</v>
      </c>
      <c r="J19" s="96" t="s">
        <v>110</v>
      </c>
      <c r="K19" s="96" t="s">
        <v>110</v>
      </c>
      <c r="L19" s="96" t="s">
        <v>110</v>
      </c>
      <c r="M19" s="96" t="s">
        <v>110</v>
      </c>
      <c r="N19" s="119"/>
      <c r="O19" s="96" t="s">
        <v>110</v>
      </c>
      <c r="P19" s="96" t="s">
        <v>110</v>
      </c>
      <c r="Q19" s="96" t="s">
        <v>110</v>
      </c>
      <c r="R19" s="96" t="s">
        <v>110</v>
      </c>
      <c r="S19" s="140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2"/>
      <c r="AK19" s="5">
        <f t="shared" si="1"/>
        <v>11</v>
      </c>
      <c r="AL19" s="5">
        <f t="shared" si="2"/>
        <v>0</v>
      </c>
      <c r="AM19" s="115" t="s">
        <v>122</v>
      </c>
      <c r="AN19" s="116"/>
      <c r="AO19" s="116"/>
      <c r="AP19" s="117"/>
    </row>
    <row r="20" spans="1:42" ht="16.5" x14ac:dyDescent="0.25">
      <c r="A20" s="21">
        <v>16</v>
      </c>
      <c r="B20" s="11">
        <v>573</v>
      </c>
      <c r="C20" s="18" t="s">
        <v>97</v>
      </c>
      <c r="D20" s="19" t="s">
        <v>84</v>
      </c>
      <c r="E20" s="20" t="s">
        <v>381</v>
      </c>
      <c r="F20" s="96" t="s">
        <v>110</v>
      </c>
      <c r="G20" s="119"/>
      <c r="H20" s="96" t="s">
        <v>110</v>
      </c>
      <c r="I20" s="96" t="s">
        <v>110</v>
      </c>
      <c r="J20" s="96" t="s">
        <v>110</v>
      </c>
      <c r="K20" s="96" t="s">
        <v>796</v>
      </c>
      <c r="L20" s="96" t="s">
        <v>801</v>
      </c>
      <c r="M20" s="96" t="s">
        <v>801</v>
      </c>
      <c r="N20" s="119"/>
      <c r="O20" s="96" t="s">
        <v>801</v>
      </c>
      <c r="P20" s="96" t="s">
        <v>801</v>
      </c>
      <c r="Q20" s="96" t="s">
        <v>801</v>
      </c>
      <c r="R20" s="96" t="s">
        <v>801</v>
      </c>
      <c r="S20" s="140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2"/>
      <c r="AK20" s="5">
        <f t="shared" si="1"/>
        <v>4</v>
      </c>
      <c r="AL20" s="5">
        <f t="shared" si="2"/>
        <v>1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11">
        <v>479</v>
      </c>
      <c r="C21" s="18" t="s">
        <v>432</v>
      </c>
      <c r="D21" s="19" t="s">
        <v>115</v>
      </c>
      <c r="E21" s="20" t="s">
        <v>381</v>
      </c>
      <c r="F21" s="96" t="s">
        <v>110</v>
      </c>
      <c r="G21" s="119"/>
      <c r="H21" s="96" t="s">
        <v>110</v>
      </c>
      <c r="I21" s="96" t="s">
        <v>110</v>
      </c>
      <c r="J21" s="96" t="s">
        <v>110</v>
      </c>
      <c r="K21" s="96" t="s">
        <v>110</v>
      </c>
      <c r="L21" s="96" t="s">
        <v>110</v>
      </c>
      <c r="M21" s="96" t="s">
        <v>110</v>
      </c>
      <c r="N21" s="119"/>
      <c r="O21" s="96" t="s">
        <v>110</v>
      </c>
      <c r="P21" s="96" t="s">
        <v>110</v>
      </c>
      <c r="Q21" s="96" t="s">
        <v>110</v>
      </c>
      <c r="R21" s="96" t="s">
        <v>796</v>
      </c>
      <c r="S21" s="140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2"/>
      <c r="AK21" s="5">
        <f t="shared" si="1"/>
        <v>10</v>
      </c>
      <c r="AL21" s="5">
        <f t="shared" si="2"/>
        <v>1</v>
      </c>
      <c r="AM21" s="5" t="s">
        <v>14</v>
      </c>
      <c r="AN21" s="9">
        <f>28*$AN$5</f>
        <v>308</v>
      </c>
      <c r="AO21" s="9">
        <f>24*$AN$5</f>
        <v>264</v>
      </c>
      <c r="AP21" s="9">
        <f>AN21+AO21</f>
        <v>572</v>
      </c>
    </row>
    <row r="22" spans="1:42" ht="16.5" x14ac:dyDescent="0.25">
      <c r="A22" s="21">
        <v>18</v>
      </c>
      <c r="B22" s="11">
        <v>575</v>
      </c>
      <c r="C22" s="18" t="s">
        <v>435</v>
      </c>
      <c r="D22" s="19" t="s">
        <v>436</v>
      </c>
      <c r="E22" s="20" t="s">
        <v>381</v>
      </c>
      <c r="F22" s="96" t="s">
        <v>110</v>
      </c>
      <c r="G22" s="119"/>
      <c r="H22" s="96" t="s">
        <v>110</v>
      </c>
      <c r="I22" s="96" t="s">
        <v>110</v>
      </c>
      <c r="J22" s="96" t="s">
        <v>110</v>
      </c>
      <c r="K22" s="96" t="s">
        <v>110</v>
      </c>
      <c r="L22" s="96" t="s">
        <v>110</v>
      </c>
      <c r="M22" s="96" t="s">
        <v>110</v>
      </c>
      <c r="N22" s="119"/>
      <c r="O22" s="96" t="s">
        <v>110</v>
      </c>
      <c r="P22" s="96" t="s">
        <v>110</v>
      </c>
      <c r="Q22" s="96" t="s">
        <v>110</v>
      </c>
      <c r="R22" s="96" t="s">
        <v>110</v>
      </c>
      <c r="S22" s="140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2"/>
      <c r="AK22" s="5">
        <f t="shared" si="1"/>
        <v>11</v>
      </c>
      <c r="AL22" s="5">
        <f t="shared" si="2"/>
        <v>0</v>
      </c>
      <c r="AM22" s="5" t="s">
        <v>17</v>
      </c>
      <c r="AN22" s="9">
        <f>AN21-AN14</f>
        <v>33</v>
      </c>
      <c r="AO22" s="9">
        <f>AO21-AO14</f>
        <v>17</v>
      </c>
      <c r="AP22" s="9">
        <f>AN22+AO22</f>
        <v>50</v>
      </c>
    </row>
    <row r="23" spans="1:42" ht="16.5" x14ac:dyDescent="0.25">
      <c r="A23" s="9">
        <v>19</v>
      </c>
      <c r="B23" s="11">
        <v>586</v>
      </c>
      <c r="C23" s="18" t="s">
        <v>437</v>
      </c>
      <c r="D23" s="19" t="s">
        <v>438</v>
      </c>
      <c r="E23" s="20" t="s">
        <v>381</v>
      </c>
      <c r="F23" s="96" t="s">
        <v>110</v>
      </c>
      <c r="G23" s="119"/>
      <c r="H23" s="96" t="s">
        <v>110</v>
      </c>
      <c r="I23" s="96" t="s">
        <v>110</v>
      </c>
      <c r="J23" s="96" t="s">
        <v>110</v>
      </c>
      <c r="K23" s="96" t="s">
        <v>110</v>
      </c>
      <c r="L23" s="96" t="s">
        <v>110</v>
      </c>
      <c r="M23" s="96" t="s">
        <v>110</v>
      </c>
      <c r="N23" s="119"/>
      <c r="O23" s="96" t="s">
        <v>110</v>
      </c>
      <c r="P23" s="96" t="s">
        <v>110</v>
      </c>
      <c r="Q23" s="96" t="s">
        <v>110</v>
      </c>
      <c r="R23" s="96" t="s">
        <v>110</v>
      </c>
      <c r="S23" s="140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2"/>
      <c r="AK23" s="5">
        <f t="shared" si="1"/>
        <v>11</v>
      </c>
      <c r="AL23" s="5">
        <f t="shared" si="2"/>
        <v>0</v>
      </c>
      <c r="AM23" s="5" t="s">
        <v>16</v>
      </c>
      <c r="AN23" s="12">
        <f>AN22/AN21</f>
        <v>0.10714285714285714</v>
      </c>
      <c r="AO23" s="12">
        <f>AO22/AO21</f>
        <v>6.4393939393939392E-2</v>
      </c>
      <c r="AP23" s="12">
        <f>AP22/AP21</f>
        <v>8.7412587412587409E-2</v>
      </c>
    </row>
    <row r="24" spans="1:42" ht="16.5" x14ac:dyDescent="0.25">
      <c r="A24" s="21">
        <v>20</v>
      </c>
      <c r="B24" s="11">
        <v>580</v>
      </c>
      <c r="C24" s="18" t="s">
        <v>440</v>
      </c>
      <c r="D24" s="19" t="s">
        <v>441</v>
      </c>
      <c r="E24" s="20" t="s">
        <v>381</v>
      </c>
      <c r="F24" s="96" t="s">
        <v>110</v>
      </c>
      <c r="G24" s="119"/>
      <c r="H24" s="96" t="s">
        <v>110</v>
      </c>
      <c r="I24" s="96" t="s">
        <v>110</v>
      </c>
      <c r="J24" s="96" t="s">
        <v>110</v>
      </c>
      <c r="K24" s="96" t="s">
        <v>110</v>
      </c>
      <c r="L24" s="96" t="s">
        <v>110</v>
      </c>
      <c r="M24" s="96" t="s">
        <v>110</v>
      </c>
      <c r="N24" s="119"/>
      <c r="O24" s="96" t="s">
        <v>110</v>
      </c>
      <c r="P24" s="96" t="s">
        <v>110</v>
      </c>
      <c r="Q24" s="96" t="s">
        <v>110</v>
      </c>
      <c r="R24" s="96" t="s">
        <v>110</v>
      </c>
      <c r="S24" s="140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2"/>
      <c r="AK24" s="5">
        <f t="shared" si="1"/>
        <v>11</v>
      </c>
      <c r="AL24" s="5">
        <f t="shared" si="2"/>
        <v>0</v>
      </c>
    </row>
    <row r="25" spans="1:42" ht="16.5" x14ac:dyDescent="0.25">
      <c r="A25" s="9">
        <v>21</v>
      </c>
      <c r="B25" s="11">
        <v>583</v>
      </c>
      <c r="C25" s="18" t="s">
        <v>439</v>
      </c>
      <c r="D25" s="19" t="s">
        <v>41</v>
      </c>
      <c r="E25" s="20" t="s">
        <v>381</v>
      </c>
      <c r="F25" s="96" t="s">
        <v>110</v>
      </c>
      <c r="G25" s="119"/>
      <c r="H25" s="96" t="s">
        <v>110</v>
      </c>
      <c r="I25" s="96" t="s">
        <v>110</v>
      </c>
      <c r="J25" s="96" t="s">
        <v>110</v>
      </c>
      <c r="K25" s="96" t="s">
        <v>110</v>
      </c>
      <c r="L25" s="96" t="s">
        <v>110</v>
      </c>
      <c r="M25" s="96" t="s">
        <v>110</v>
      </c>
      <c r="N25" s="119"/>
      <c r="O25" s="96" t="s">
        <v>110</v>
      </c>
      <c r="P25" s="96" t="s">
        <v>110</v>
      </c>
      <c r="Q25" s="96" t="s">
        <v>110</v>
      </c>
      <c r="R25" s="96" t="s">
        <v>110</v>
      </c>
      <c r="S25" s="140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2"/>
      <c r="AK25" s="5">
        <f t="shared" si="1"/>
        <v>11</v>
      </c>
      <c r="AL25" s="5">
        <f t="shared" si="2"/>
        <v>0</v>
      </c>
    </row>
    <row r="26" spans="1:42" ht="16.5" x14ac:dyDescent="0.25">
      <c r="A26" s="21">
        <v>22</v>
      </c>
      <c r="B26" s="11">
        <v>480</v>
      </c>
      <c r="C26" s="18" t="s">
        <v>442</v>
      </c>
      <c r="D26" s="19" t="s">
        <v>241</v>
      </c>
      <c r="E26" s="20" t="s">
        <v>381</v>
      </c>
      <c r="F26" s="96" t="s">
        <v>110</v>
      </c>
      <c r="G26" s="119"/>
      <c r="H26" s="96" t="s">
        <v>110</v>
      </c>
      <c r="I26" s="96" t="s">
        <v>110</v>
      </c>
      <c r="J26" s="96" t="s">
        <v>110</v>
      </c>
      <c r="K26" s="96" t="s">
        <v>110</v>
      </c>
      <c r="L26" s="96" t="s">
        <v>110</v>
      </c>
      <c r="M26" s="96" t="s">
        <v>110</v>
      </c>
      <c r="N26" s="119"/>
      <c r="O26" s="96" t="s">
        <v>110</v>
      </c>
      <c r="P26" s="96" t="s">
        <v>110</v>
      </c>
      <c r="Q26" s="96" t="s">
        <v>110</v>
      </c>
      <c r="R26" s="96" t="s">
        <v>110</v>
      </c>
      <c r="S26" s="140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2"/>
      <c r="AK26" s="5">
        <f t="shared" si="1"/>
        <v>11</v>
      </c>
      <c r="AL26" s="5">
        <f t="shared" si="2"/>
        <v>0</v>
      </c>
    </row>
    <row r="27" spans="1:42" ht="16.5" x14ac:dyDescent="0.25">
      <c r="A27" s="9">
        <v>23</v>
      </c>
      <c r="B27" s="11">
        <v>576</v>
      </c>
      <c r="C27" s="18" t="s">
        <v>315</v>
      </c>
      <c r="D27" s="19" t="s">
        <v>241</v>
      </c>
      <c r="E27" s="20" t="s">
        <v>381</v>
      </c>
      <c r="F27" s="96" t="s">
        <v>110</v>
      </c>
      <c r="G27" s="119"/>
      <c r="H27" s="96" t="s">
        <v>110</v>
      </c>
      <c r="I27" s="96" t="s">
        <v>110</v>
      </c>
      <c r="J27" s="96" t="s">
        <v>110</v>
      </c>
      <c r="K27" s="96" t="s">
        <v>110</v>
      </c>
      <c r="L27" s="96" t="s">
        <v>110</v>
      </c>
      <c r="M27" s="96" t="s">
        <v>110</v>
      </c>
      <c r="N27" s="119"/>
      <c r="O27" s="96" t="s">
        <v>110</v>
      </c>
      <c r="P27" s="96" t="s">
        <v>110</v>
      </c>
      <c r="Q27" s="96" t="s">
        <v>110</v>
      </c>
      <c r="R27" s="96" t="s">
        <v>110</v>
      </c>
      <c r="S27" s="140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2"/>
      <c r="AK27" s="5">
        <f t="shared" si="1"/>
        <v>11</v>
      </c>
      <c r="AL27" s="5">
        <f t="shared" si="2"/>
        <v>0</v>
      </c>
    </row>
    <row r="28" spans="1:42" ht="16.5" x14ac:dyDescent="0.25">
      <c r="A28" s="21">
        <v>24</v>
      </c>
      <c r="B28" s="11">
        <v>685</v>
      </c>
      <c r="C28" s="18" t="s">
        <v>443</v>
      </c>
      <c r="D28" s="19" t="s">
        <v>444</v>
      </c>
      <c r="E28" s="20" t="s">
        <v>381</v>
      </c>
      <c r="F28" s="96" t="s">
        <v>110</v>
      </c>
      <c r="G28" s="119"/>
      <c r="H28" s="96" t="s">
        <v>110</v>
      </c>
      <c r="I28" s="96" t="s">
        <v>110</v>
      </c>
      <c r="J28" s="96" t="s">
        <v>110</v>
      </c>
      <c r="K28" s="96" t="s">
        <v>110</v>
      </c>
      <c r="L28" s="96" t="s">
        <v>110</v>
      </c>
      <c r="M28" s="96" t="s">
        <v>110</v>
      </c>
      <c r="N28" s="119"/>
      <c r="O28" s="96" t="s">
        <v>110</v>
      </c>
      <c r="P28" s="96" t="s">
        <v>110</v>
      </c>
      <c r="Q28" s="96" t="s">
        <v>110</v>
      </c>
      <c r="R28" s="96" t="s">
        <v>110</v>
      </c>
      <c r="S28" s="140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2"/>
      <c r="AK28" s="5">
        <f t="shared" si="1"/>
        <v>11</v>
      </c>
      <c r="AL28" s="5">
        <f t="shared" si="2"/>
        <v>0</v>
      </c>
    </row>
    <row r="29" spans="1:42" ht="16.5" customHeight="1" x14ac:dyDescent="0.25">
      <c r="A29" s="9">
        <v>25</v>
      </c>
      <c r="B29" s="11">
        <v>688</v>
      </c>
      <c r="C29" s="18" t="s">
        <v>445</v>
      </c>
      <c r="D29" s="19" t="s">
        <v>437</v>
      </c>
      <c r="E29" s="20" t="s">
        <v>381</v>
      </c>
      <c r="F29" s="96" t="s">
        <v>110</v>
      </c>
      <c r="G29" s="119"/>
      <c r="H29" s="96" t="s">
        <v>110</v>
      </c>
      <c r="I29" s="96" t="s">
        <v>796</v>
      </c>
      <c r="J29" s="96" t="s">
        <v>110</v>
      </c>
      <c r="K29" s="96" t="s">
        <v>110</v>
      </c>
      <c r="L29" s="96" t="s">
        <v>110</v>
      </c>
      <c r="M29" s="96" t="s">
        <v>110</v>
      </c>
      <c r="N29" s="119"/>
      <c r="O29" s="96" t="s">
        <v>110</v>
      </c>
      <c r="P29" s="96" t="s">
        <v>110</v>
      </c>
      <c r="Q29" s="96" t="s">
        <v>110</v>
      </c>
      <c r="R29" s="96" t="s">
        <v>110</v>
      </c>
      <c r="S29" s="140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2"/>
      <c r="AK29" s="5">
        <f t="shared" si="1"/>
        <v>10</v>
      </c>
      <c r="AL29" s="5">
        <f t="shared" si="2"/>
        <v>1</v>
      </c>
    </row>
    <row r="30" spans="1:42" ht="16.5" x14ac:dyDescent="0.25">
      <c r="A30" s="21">
        <v>26</v>
      </c>
      <c r="B30" s="11">
        <v>546</v>
      </c>
      <c r="C30" s="18" t="s">
        <v>445</v>
      </c>
      <c r="D30" s="19" t="s">
        <v>446</v>
      </c>
      <c r="E30" s="20" t="s">
        <v>381</v>
      </c>
      <c r="F30" s="96" t="s">
        <v>110</v>
      </c>
      <c r="G30" s="119"/>
      <c r="H30" s="96" t="s">
        <v>110</v>
      </c>
      <c r="I30" s="96" t="s">
        <v>110</v>
      </c>
      <c r="J30" s="96" t="s">
        <v>110</v>
      </c>
      <c r="K30" s="96" t="s">
        <v>110</v>
      </c>
      <c r="L30" s="96" t="s">
        <v>110</v>
      </c>
      <c r="M30" s="96" t="s">
        <v>110</v>
      </c>
      <c r="N30" s="119"/>
      <c r="O30" s="96" t="s">
        <v>110</v>
      </c>
      <c r="P30" s="96" t="s">
        <v>110</v>
      </c>
      <c r="Q30" s="96" t="s">
        <v>110</v>
      </c>
      <c r="R30" s="96" t="s">
        <v>110</v>
      </c>
      <c r="S30" s="140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2"/>
      <c r="AK30" s="5">
        <f t="shared" si="1"/>
        <v>11</v>
      </c>
      <c r="AL30" s="5">
        <f t="shared" si="2"/>
        <v>0</v>
      </c>
    </row>
    <row r="31" spans="1:42" ht="16.5" x14ac:dyDescent="0.25">
      <c r="A31" s="21">
        <v>1</v>
      </c>
      <c r="B31" s="11">
        <v>544</v>
      </c>
      <c r="C31" s="18" t="s">
        <v>379</v>
      </c>
      <c r="D31" s="19" t="s">
        <v>380</v>
      </c>
      <c r="E31" s="20" t="s">
        <v>381</v>
      </c>
      <c r="F31" s="96" t="s">
        <v>110</v>
      </c>
      <c r="G31" s="119"/>
      <c r="H31" s="96" t="s">
        <v>110</v>
      </c>
      <c r="I31" s="96" t="s">
        <v>110</v>
      </c>
      <c r="J31" s="96" t="s">
        <v>110</v>
      </c>
      <c r="K31" s="96" t="s">
        <v>110</v>
      </c>
      <c r="L31" s="96" t="s">
        <v>110</v>
      </c>
      <c r="M31" s="96" t="s">
        <v>110</v>
      </c>
      <c r="N31" s="119"/>
      <c r="O31" s="96" t="s">
        <v>110</v>
      </c>
      <c r="P31" s="96" t="s">
        <v>110</v>
      </c>
      <c r="Q31" s="96" t="s">
        <v>110</v>
      </c>
      <c r="R31" s="96" t="s">
        <v>110</v>
      </c>
      <c r="S31" s="140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2"/>
      <c r="AK31" s="5">
        <f t="shared" si="1"/>
        <v>11</v>
      </c>
      <c r="AL31" s="5">
        <f t="shared" si="2"/>
        <v>0</v>
      </c>
    </row>
    <row r="32" spans="1:42" ht="16.5" x14ac:dyDescent="0.25">
      <c r="A32" s="21">
        <v>2</v>
      </c>
      <c r="B32" s="11">
        <v>780</v>
      </c>
      <c r="C32" s="18" t="s">
        <v>383</v>
      </c>
      <c r="D32" s="19" t="s">
        <v>384</v>
      </c>
      <c r="E32" s="20" t="s">
        <v>381</v>
      </c>
      <c r="F32" s="96" t="s">
        <v>110</v>
      </c>
      <c r="G32" s="119"/>
      <c r="H32" s="96" t="s">
        <v>110</v>
      </c>
      <c r="I32" s="96" t="s">
        <v>110</v>
      </c>
      <c r="J32" s="96" t="s">
        <v>110</v>
      </c>
      <c r="K32" s="96" t="s">
        <v>110</v>
      </c>
      <c r="L32" s="96" t="s">
        <v>110</v>
      </c>
      <c r="M32" s="96" t="s">
        <v>110</v>
      </c>
      <c r="N32" s="119"/>
      <c r="O32" s="96" t="s">
        <v>110</v>
      </c>
      <c r="P32" s="96" t="s">
        <v>110</v>
      </c>
      <c r="Q32" s="96" t="s">
        <v>110</v>
      </c>
      <c r="R32" s="96" t="s">
        <v>110</v>
      </c>
      <c r="S32" s="140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2"/>
      <c r="AK32" s="5">
        <f t="shared" si="1"/>
        <v>11</v>
      </c>
      <c r="AL32" s="5">
        <f t="shared" si="2"/>
        <v>0</v>
      </c>
    </row>
    <row r="33" spans="1:38" ht="16.5" x14ac:dyDescent="0.25">
      <c r="A33" s="21">
        <v>3</v>
      </c>
      <c r="B33" s="11">
        <v>844</v>
      </c>
      <c r="C33" s="18" t="s">
        <v>413</v>
      </c>
      <c r="D33" s="19" t="s">
        <v>414</v>
      </c>
      <c r="E33" s="20" t="s">
        <v>381</v>
      </c>
      <c r="F33" s="96" t="s">
        <v>110</v>
      </c>
      <c r="G33" s="119"/>
      <c r="H33" s="96" t="s">
        <v>110</v>
      </c>
      <c r="I33" s="96" t="s">
        <v>110</v>
      </c>
      <c r="J33" s="96" t="s">
        <v>110</v>
      </c>
      <c r="K33" s="96" t="s">
        <v>110</v>
      </c>
      <c r="L33" s="96" t="s">
        <v>110</v>
      </c>
      <c r="M33" s="96" t="s">
        <v>110</v>
      </c>
      <c r="N33" s="119"/>
      <c r="O33" s="96" t="s">
        <v>110</v>
      </c>
      <c r="P33" s="96" t="s">
        <v>110</v>
      </c>
      <c r="Q33" s="96" t="s">
        <v>110</v>
      </c>
      <c r="R33" s="96" t="s">
        <v>110</v>
      </c>
      <c r="S33" s="140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2"/>
      <c r="AK33" s="5">
        <f t="shared" si="1"/>
        <v>11</v>
      </c>
      <c r="AL33" s="5">
        <f t="shared" si="2"/>
        <v>0</v>
      </c>
    </row>
    <row r="34" spans="1:38" ht="16.5" x14ac:dyDescent="0.25">
      <c r="A34" s="21">
        <v>4</v>
      </c>
      <c r="B34" s="11">
        <v>569</v>
      </c>
      <c r="C34" s="18" t="s">
        <v>385</v>
      </c>
      <c r="D34" s="19" t="s">
        <v>386</v>
      </c>
      <c r="E34" s="20" t="s">
        <v>381</v>
      </c>
      <c r="F34" s="96" t="s">
        <v>110</v>
      </c>
      <c r="G34" s="119"/>
      <c r="H34" s="96" t="s">
        <v>110</v>
      </c>
      <c r="I34" s="96" t="s">
        <v>110</v>
      </c>
      <c r="J34" s="96" t="s">
        <v>110</v>
      </c>
      <c r="K34" s="96" t="s">
        <v>110</v>
      </c>
      <c r="L34" s="96" t="s">
        <v>110</v>
      </c>
      <c r="M34" s="96" t="s">
        <v>110</v>
      </c>
      <c r="N34" s="119"/>
      <c r="O34" s="96" t="s">
        <v>110</v>
      </c>
      <c r="P34" s="96" t="s">
        <v>110</v>
      </c>
      <c r="Q34" s="96" t="s">
        <v>110</v>
      </c>
      <c r="R34" s="96" t="s">
        <v>110</v>
      </c>
      <c r="S34" s="140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2"/>
      <c r="AK34" s="5">
        <f t="shared" si="1"/>
        <v>11</v>
      </c>
      <c r="AL34" s="5">
        <f t="shared" si="2"/>
        <v>0</v>
      </c>
    </row>
    <row r="35" spans="1:38" ht="16.5" x14ac:dyDescent="0.25">
      <c r="A35" s="21">
        <v>5</v>
      </c>
      <c r="B35" s="11">
        <v>582</v>
      </c>
      <c r="C35" s="18" t="s">
        <v>91</v>
      </c>
      <c r="D35" s="19" t="s">
        <v>387</v>
      </c>
      <c r="E35" s="20" t="s">
        <v>381</v>
      </c>
      <c r="F35" s="96" t="s">
        <v>110</v>
      </c>
      <c r="G35" s="119"/>
      <c r="H35" s="96" t="s">
        <v>110</v>
      </c>
      <c r="I35" s="96" t="s">
        <v>110</v>
      </c>
      <c r="J35" s="96" t="s">
        <v>110</v>
      </c>
      <c r="K35" s="96" t="s">
        <v>110</v>
      </c>
      <c r="L35" s="96" t="s">
        <v>110</v>
      </c>
      <c r="M35" s="96" t="s">
        <v>110</v>
      </c>
      <c r="N35" s="119"/>
      <c r="O35" s="96" t="s">
        <v>110</v>
      </c>
      <c r="P35" s="96" t="s">
        <v>110</v>
      </c>
      <c r="Q35" s="96" t="s">
        <v>110</v>
      </c>
      <c r="R35" s="96" t="s">
        <v>110</v>
      </c>
      <c r="S35" s="140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2"/>
      <c r="AK35" s="5">
        <f t="shared" si="1"/>
        <v>11</v>
      </c>
      <c r="AL35" s="5">
        <f t="shared" si="2"/>
        <v>0</v>
      </c>
    </row>
    <row r="36" spans="1:38" ht="16.5" x14ac:dyDescent="0.25">
      <c r="A36" s="21">
        <v>6</v>
      </c>
      <c r="B36" s="11">
        <v>574</v>
      </c>
      <c r="C36" s="18" t="s">
        <v>388</v>
      </c>
      <c r="D36" s="19" t="s">
        <v>389</v>
      </c>
      <c r="E36" s="20" t="s">
        <v>381</v>
      </c>
      <c r="F36" s="96" t="s">
        <v>110</v>
      </c>
      <c r="G36" s="119"/>
      <c r="H36" s="96" t="s">
        <v>110</v>
      </c>
      <c r="I36" s="96" t="s">
        <v>110</v>
      </c>
      <c r="J36" s="96" t="s">
        <v>110</v>
      </c>
      <c r="K36" s="96" t="s">
        <v>110</v>
      </c>
      <c r="L36" s="96" t="s">
        <v>110</v>
      </c>
      <c r="M36" s="96" t="s">
        <v>110</v>
      </c>
      <c r="N36" s="119"/>
      <c r="O36" s="96" t="s">
        <v>110</v>
      </c>
      <c r="P36" s="96" t="s">
        <v>110</v>
      </c>
      <c r="Q36" s="96" t="s">
        <v>110</v>
      </c>
      <c r="R36" s="96" t="s">
        <v>110</v>
      </c>
      <c r="S36" s="140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2"/>
      <c r="AK36" s="5">
        <f t="shared" si="1"/>
        <v>11</v>
      </c>
      <c r="AL36" s="5">
        <f t="shared" si="2"/>
        <v>0</v>
      </c>
    </row>
    <row r="37" spans="1:38" ht="16.5" x14ac:dyDescent="0.25">
      <c r="A37" s="21">
        <v>7</v>
      </c>
      <c r="B37" s="11">
        <v>526</v>
      </c>
      <c r="C37" s="18" t="s">
        <v>392</v>
      </c>
      <c r="D37" s="19" t="s">
        <v>283</v>
      </c>
      <c r="E37" s="20" t="s">
        <v>381</v>
      </c>
      <c r="F37" s="96" t="s">
        <v>110</v>
      </c>
      <c r="G37" s="119"/>
      <c r="H37" s="96" t="s">
        <v>110</v>
      </c>
      <c r="I37" s="96" t="s">
        <v>110</v>
      </c>
      <c r="J37" s="96" t="s">
        <v>110</v>
      </c>
      <c r="K37" s="96" t="s">
        <v>110</v>
      </c>
      <c r="L37" s="96" t="s">
        <v>110</v>
      </c>
      <c r="M37" s="96" t="s">
        <v>110</v>
      </c>
      <c r="N37" s="119"/>
      <c r="O37" s="96" t="s">
        <v>110</v>
      </c>
      <c r="P37" s="96" t="s">
        <v>110</v>
      </c>
      <c r="Q37" s="96" t="s">
        <v>110</v>
      </c>
      <c r="R37" s="96" t="s">
        <v>110</v>
      </c>
      <c r="S37" s="140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2"/>
      <c r="AK37" s="5">
        <f t="shared" si="1"/>
        <v>11</v>
      </c>
      <c r="AL37" s="5">
        <f t="shared" si="2"/>
        <v>0</v>
      </c>
    </row>
    <row r="38" spans="1:38" ht="16.5" x14ac:dyDescent="0.25">
      <c r="A38" s="21">
        <v>8</v>
      </c>
      <c r="B38" s="11">
        <v>914</v>
      </c>
      <c r="C38" s="18" t="s">
        <v>138</v>
      </c>
      <c r="D38" s="19" t="s">
        <v>186</v>
      </c>
      <c r="E38" s="20" t="s">
        <v>381</v>
      </c>
      <c r="F38" s="96" t="s">
        <v>110</v>
      </c>
      <c r="G38" s="119"/>
      <c r="H38" s="96" t="s">
        <v>110</v>
      </c>
      <c r="I38" s="96" t="s">
        <v>110</v>
      </c>
      <c r="J38" s="96" t="s">
        <v>110</v>
      </c>
      <c r="K38" s="96" t="s">
        <v>110</v>
      </c>
      <c r="L38" s="96" t="s">
        <v>110</v>
      </c>
      <c r="M38" s="96" t="s">
        <v>110</v>
      </c>
      <c r="N38" s="119"/>
      <c r="O38" s="96" t="s">
        <v>110</v>
      </c>
      <c r="P38" s="96" t="s">
        <v>110</v>
      </c>
      <c r="Q38" s="96" t="s">
        <v>110</v>
      </c>
      <c r="R38" s="96" t="s">
        <v>110</v>
      </c>
      <c r="S38" s="140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2"/>
      <c r="AK38" s="5">
        <f t="shared" si="1"/>
        <v>11</v>
      </c>
      <c r="AL38" s="5">
        <f t="shared" si="2"/>
        <v>0</v>
      </c>
    </row>
    <row r="39" spans="1:38" ht="16.5" x14ac:dyDescent="0.25">
      <c r="A39" s="21">
        <v>9</v>
      </c>
      <c r="B39" s="11">
        <v>537</v>
      </c>
      <c r="C39" s="18" t="s">
        <v>393</v>
      </c>
      <c r="D39" s="19" t="s">
        <v>394</v>
      </c>
      <c r="E39" s="20" t="s">
        <v>381</v>
      </c>
      <c r="F39" s="96" t="s">
        <v>110</v>
      </c>
      <c r="G39" s="119"/>
      <c r="H39" s="96" t="s">
        <v>110</v>
      </c>
      <c r="I39" s="96" t="s">
        <v>110</v>
      </c>
      <c r="J39" s="96" t="s">
        <v>110</v>
      </c>
      <c r="K39" s="96" t="s">
        <v>110</v>
      </c>
      <c r="L39" s="96" t="s">
        <v>110</v>
      </c>
      <c r="M39" s="96" t="s">
        <v>110</v>
      </c>
      <c r="N39" s="119"/>
      <c r="O39" s="96" t="s">
        <v>110</v>
      </c>
      <c r="P39" s="96" t="s">
        <v>110</v>
      </c>
      <c r="Q39" s="96" t="s">
        <v>110</v>
      </c>
      <c r="R39" s="96" t="s">
        <v>110</v>
      </c>
      <c r="S39" s="140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2"/>
      <c r="AK39" s="5">
        <f t="shared" si="1"/>
        <v>11</v>
      </c>
      <c r="AL39" s="5">
        <f t="shared" si="2"/>
        <v>0</v>
      </c>
    </row>
    <row r="40" spans="1:38" ht="16.5" x14ac:dyDescent="0.25">
      <c r="A40" s="21">
        <v>10</v>
      </c>
      <c r="B40" s="11">
        <v>584</v>
      </c>
      <c r="C40" s="18" t="s">
        <v>329</v>
      </c>
      <c r="D40" s="19" t="s">
        <v>331</v>
      </c>
      <c r="E40" s="20" t="s">
        <v>381</v>
      </c>
      <c r="F40" s="96" t="s">
        <v>110</v>
      </c>
      <c r="G40" s="119"/>
      <c r="H40" s="96" t="s">
        <v>110</v>
      </c>
      <c r="I40" s="96" t="s">
        <v>110</v>
      </c>
      <c r="J40" s="96" t="s">
        <v>110</v>
      </c>
      <c r="K40" s="96" t="s">
        <v>110</v>
      </c>
      <c r="L40" s="96" t="s">
        <v>110</v>
      </c>
      <c r="M40" s="96" t="s">
        <v>110</v>
      </c>
      <c r="N40" s="119"/>
      <c r="O40" s="96" t="s">
        <v>110</v>
      </c>
      <c r="P40" s="96" t="s">
        <v>110</v>
      </c>
      <c r="Q40" s="96" t="s">
        <v>110</v>
      </c>
      <c r="R40" s="96" t="s">
        <v>110</v>
      </c>
      <c r="S40" s="140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2"/>
      <c r="AK40" s="5">
        <f t="shared" si="1"/>
        <v>11</v>
      </c>
      <c r="AL40" s="5">
        <f t="shared" si="2"/>
        <v>0</v>
      </c>
    </row>
    <row r="41" spans="1:38" ht="16.5" x14ac:dyDescent="0.25">
      <c r="A41" s="21">
        <v>11</v>
      </c>
      <c r="B41" s="11">
        <v>520</v>
      </c>
      <c r="C41" s="18" t="s">
        <v>329</v>
      </c>
      <c r="D41" s="19" t="s">
        <v>395</v>
      </c>
      <c r="E41" s="20" t="s">
        <v>381</v>
      </c>
      <c r="F41" s="96" t="s">
        <v>110</v>
      </c>
      <c r="G41" s="119"/>
      <c r="H41" s="96" t="s">
        <v>110</v>
      </c>
      <c r="I41" s="96" t="s">
        <v>110</v>
      </c>
      <c r="J41" s="96" t="s">
        <v>110</v>
      </c>
      <c r="K41" s="96" t="s">
        <v>110</v>
      </c>
      <c r="L41" s="96" t="s">
        <v>110</v>
      </c>
      <c r="M41" s="96" t="s">
        <v>110</v>
      </c>
      <c r="N41" s="119"/>
      <c r="O41" s="96" t="s">
        <v>110</v>
      </c>
      <c r="P41" s="96" t="s">
        <v>110</v>
      </c>
      <c r="Q41" s="96" t="s">
        <v>110</v>
      </c>
      <c r="R41" s="96" t="s">
        <v>110</v>
      </c>
      <c r="S41" s="140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2"/>
      <c r="AK41" s="5">
        <f t="shared" si="1"/>
        <v>11</v>
      </c>
      <c r="AL41" s="5">
        <f t="shared" si="2"/>
        <v>0</v>
      </c>
    </row>
    <row r="42" spans="1:38" ht="16.5" x14ac:dyDescent="0.25">
      <c r="A42" s="21">
        <v>12</v>
      </c>
      <c r="B42" s="11">
        <v>915</v>
      </c>
      <c r="C42" s="18" t="s">
        <v>415</v>
      </c>
      <c r="D42" s="19" t="s">
        <v>416</v>
      </c>
      <c r="E42" s="20" t="s">
        <v>381</v>
      </c>
      <c r="F42" s="96" t="s">
        <v>110</v>
      </c>
      <c r="G42" s="119"/>
      <c r="H42" s="96" t="s">
        <v>110</v>
      </c>
      <c r="I42" s="96" t="s">
        <v>110</v>
      </c>
      <c r="J42" s="96" t="s">
        <v>110</v>
      </c>
      <c r="K42" s="96" t="s">
        <v>110</v>
      </c>
      <c r="L42" s="96" t="s">
        <v>110</v>
      </c>
      <c r="M42" s="96" t="s">
        <v>110</v>
      </c>
      <c r="N42" s="119"/>
      <c r="O42" s="96" t="s">
        <v>110</v>
      </c>
      <c r="P42" s="96" t="s">
        <v>110</v>
      </c>
      <c r="Q42" s="96" t="s">
        <v>110</v>
      </c>
      <c r="R42" s="96" t="s">
        <v>110</v>
      </c>
      <c r="S42" s="140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42"/>
      <c r="AK42" s="5">
        <f t="shared" si="1"/>
        <v>11</v>
      </c>
      <c r="AL42" s="5">
        <f t="shared" si="2"/>
        <v>0</v>
      </c>
    </row>
    <row r="43" spans="1:38" ht="16.5" x14ac:dyDescent="0.25">
      <c r="A43" s="21">
        <v>13</v>
      </c>
      <c r="B43" s="11">
        <v>687</v>
      </c>
      <c r="C43" s="18" t="s">
        <v>396</v>
      </c>
      <c r="D43" s="19" t="s">
        <v>397</v>
      </c>
      <c r="E43" s="20" t="s">
        <v>381</v>
      </c>
      <c r="F43" s="96" t="s">
        <v>110</v>
      </c>
      <c r="G43" s="119"/>
      <c r="H43" s="96" t="s">
        <v>110</v>
      </c>
      <c r="I43" s="96" t="s">
        <v>110</v>
      </c>
      <c r="J43" s="96" t="s">
        <v>110</v>
      </c>
      <c r="K43" s="96" t="s">
        <v>110</v>
      </c>
      <c r="L43" s="96" t="s">
        <v>110</v>
      </c>
      <c r="M43" s="96" t="s">
        <v>110</v>
      </c>
      <c r="N43" s="119"/>
      <c r="O43" s="96" t="s">
        <v>110</v>
      </c>
      <c r="P43" s="96" t="s">
        <v>110</v>
      </c>
      <c r="Q43" s="96" t="s">
        <v>110</v>
      </c>
      <c r="R43" s="96" t="s">
        <v>110</v>
      </c>
      <c r="S43" s="140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1"/>
      <c r="AJ43" s="142"/>
      <c r="AK43" s="5">
        <f t="shared" si="1"/>
        <v>11</v>
      </c>
      <c r="AL43" s="5">
        <f t="shared" si="2"/>
        <v>0</v>
      </c>
    </row>
    <row r="44" spans="1:38" ht="16.5" x14ac:dyDescent="0.25">
      <c r="A44" s="21">
        <v>14</v>
      </c>
      <c r="B44" s="11">
        <v>649</v>
      </c>
      <c r="C44" s="18" t="s">
        <v>411</v>
      </c>
      <c r="D44" s="19" t="s">
        <v>412</v>
      </c>
      <c r="E44" s="20" t="s">
        <v>381</v>
      </c>
      <c r="F44" s="96" t="s">
        <v>110</v>
      </c>
      <c r="G44" s="119"/>
      <c r="H44" s="96" t="s">
        <v>110</v>
      </c>
      <c r="I44" s="96" t="s">
        <v>110</v>
      </c>
      <c r="J44" s="96" t="s">
        <v>110</v>
      </c>
      <c r="K44" s="96" t="s">
        <v>110</v>
      </c>
      <c r="L44" s="96" t="s">
        <v>110</v>
      </c>
      <c r="M44" s="96" t="s">
        <v>110</v>
      </c>
      <c r="N44" s="119"/>
      <c r="O44" s="96" t="s">
        <v>110</v>
      </c>
      <c r="P44" s="96" t="s">
        <v>110</v>
      </c>
      <c r="Q44" s="96" t="s">
        <v>110</v>
      </c>
      <c r="R44" s="96" t="s">
        <v>110</v>
      </c>
      <c r="S44" s="140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1"/>
      <c r="AJ44" s="142"/>
      <c r="AK44" s="5">
        <f t="shared" si="1"/>
        <v>11</v>
      </c>
      <c r="AL44" s="5">
        <f t="shared" si="2"/>
        <v>0</v>
      </c>
    </row>
    <row r="45" spans="1:38" ht="16.5" x14ac:dyDescent="0.25">
      <c r="A45" s="21">
        <v>15</v>
      </c>
      <c r="B45" s="11">
        <v>686</v>
      </c>
      <c r="C45" s="18" t="s">
        <v>401</v>
      </c>
      <c r="D45" s="19" t="s">
        <v>139</v>
      </c>
      <c r="E45" s="20" t="s">
        <v>381</v>
      </c>
      <c r="F45" s="96" t="s">
        <v>110</v>
      </c>
      <c r="G45" s="119"/>
      <c r="H45" s="96" t="s">
        <v>110</v>
      </c>
      <c r="I45" s="96" t="s">
        <v>110</v>
      </c>
      <c r="J45" s="96" t="s">
        <v>110</v>
      </c>
      <c r="K45" s="96" t="s">
        <v>110</v>
      </c>
      <c r="L45" s="96" t="s">
        <v>110</v>
      </c>
      <c r="M45" s="96" t="s">
        <v>110</v>
      </c>
      <c r="N45" s="119"/>
      <c r="O45" s="96" t="s">
        <v>110</v>
      </c>
      <c r="P45" s="96" t="s">
        <v>110</v>
      </c>
      <c r="Q45" s="96" t="s">
        <v>110</v>
      </c>
      <c r="R45" s="96" t="s">
        <v>110</v>
      </c>
      <c r="S45" s="140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2"/>
      <c r="AK45" s="5">
        <f t="shared" si="1"/>
        <v>11</v>
      </c>
      <c r="AL45" s="5">
        <f t="shared" si="2"/>
        <v>0</v>
      </c>
    </row>
    <row r="46" spans="1:38" ht="16.5" x14ac:dyDescent="0.25">
      <c r="A46" s="21">
        <v>16</v>
      </c>
      <c r="B46" s="11">
        <v>581</v>
      </c>
      <c r="C46" s="18" t="s">
        <v>398</v>
      </c>
      <c r="D46" s="19" t="s">
        <v>162</v>
      </c>
      <c r="E46" s="20" t="s">
        <v>381</v>
      </c>
      <c r="F46" s="96" t="s">
        <v>110</v>
      </c>
      <c r="G46" s="119"/>
      <c r="H46" s="96" t="s">
        <v>110</v>
      </c>
      <c r="I46" s="96" t="s">
        <v>110</v>
      </c>
      <c r="J46" s="96" t="s">
        <v>110</v>
      </c>
      <c r="K46" s="96" t="s">
        <v>110</v>
      </c>
      <c r="L46" s="96" t="s">
        <v>110</v>
      </c>
      <c r="M46" s="96" t="s">
        <v>110</v>
      </c>
      <c r="N46" s="119"/>
      <c r="O46" s="96" t="s">
        <v>110</v>
      </c>
      <c r="P46" s="96" t="s">
        <v>110</v>
      </c>
      <c r="Q46" s="96" t="s">
        <v>110</v>
      </c>
      <c r="R46" s="96" t="s">
        <v>110</v>
      </c>
      <c r="S46" s="140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2"/>
      <c r="AK46" s="5">
        <f t="shared" si="1"/>
        <v>11</v>
      </c>
      <c r="AL46" s="5">
        <f t="shared" si="2"/>
        <v>0</v>
      </c>
    </row>
    <row r="47" spans="1:38" ht="16.5" x14ac:dyDescent="0.25">
      <c r="A47" s="21">
        <v>17</v>
      </c>
      <c r="B47" s="11">
        <v>588</v>
      </c>
      <c r="C47" s="18" t="s">
        <v>399</v>
      </c>
      <c r="D47" s="19" t="s">
        <v>400</v>
      </c>
      <c r="E47" s="20" t="s">
        <v>381</v>
      </c>
      <c r="F47" s="96" t="s">
        <v>110</v>
      </c>
      <c r="G47" s="119"/>
      <c r="H47" s="96" t="s">
        <v>110</v>
      </c>
      <c r="I47" s="96" t="s">
        <v>110</v>
      </c>
      <c r="J47" s="96" t="s">
        <v>110</v>
      </c>
      <c r="K47" s="96" t="s">
        <v>110</v>
      </c>
      <c r="L47" s="96" t="s">
        <v>110</v>
      </c>
      <c r="M47" s="96" t="s">
        <v>110</v>
      </c>
      <c r="N47" s="119"/>
      <c r="O47" s="96" t="s">
        <v>110</v>
      </c>
      <c r="P47" s="96" t="s">
        <v>110</v>
      </c>
      <c r="Q47" s="96" t="s">
        <v>110</v>
      </c>
      <c r="R47" s="96" t="s">
        <v>110</v>
      </c>
      <c r="S47" s="140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2"/>
      <c r="AK47" s="5">
        <f t="shared" si="1"/>
        <v>11</v>
      </c>
      <c r="AL47" s="5">
        <f t="shared" si="2"/>
        <v>0</v>
      </c>
    </row>
    <row r="48" spans="1:38" ht="16.5" x14ac:dyDescent="0.25">
      <c r="A48" s="21">
        <v>18</v>
      </c>
      <c r="B48" s="11">
        <v>525</v>
      </c>
      <c r="C48" s="18" t="s">
        <v>402</v>
      </c>
      <c r="D48" s="19" t="s">
        <v>403</v>
      </c>
      <c r="E48" s="20" t="s">
        <v>381</v>
      </c>
      <c r="F48" s="96" t="s">
        <v>110</v>
      </c>
      <c r="G48" s="119"/>
      <c r="H48" s="96" t="s">
        <v>110</v>
      </c>
      <c r="I48" s="96" t="s">
        <v>110</v>
      </c>
      <c r="J48" s="96" t="s">
        <v>110</v>
      </c>
      <c r="K48" s="96" t="s">
        <v>110</v>
      </c>
      <c r="L48" s="96" t="s">
        <v>110</v>
      </c>
      <c r="M48" s="96" t="s">
        <v>110</v>
      </c>
      <c r="N48" s="119"/>
      <c r="O48" s="96" t="s">
        <v>110</v>
      </c>
      <c r="P48" s="96" t="s">
        <v>110</v>
      </c>
      <c r="Q48" s="96" t="s">
        <v>110</v>
      </c>
      <c r="R48" s="96" t="s">
        <v>110</v>
      </c>
      <c r="S48" s="140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2"/>
      <c r="AK48" s="5">
        <f t="shared" si="1"/>
        <v>11</v>
      </c>
      <c r="AL48" s="5">
        <f t="shared" si="2"/>
        <v>0</v>
      </c>
    </row>
    <row r="49" spans="1:38" ht="16.5" x14ac:dyDescent="0.25">
      <c r="A49" s="21">
        <v>19</v>
      </c>
      <c r="B49" s="11">
        <v>577</v>
      </c>
      <c r="C49" s="18" t="s">
        <v>404</v>
      </c>
      <c r="D49" s="19" t="s">
        <v>405</v>
      </c>
      <c r="E49" s="20" t="s">
        <v>381</v>
      </c>
      <c r="F49" s="96" t="s">
        <v>110</v>
      </c>
      <c r="G49" s="119"/>
      <c r="H49" s="96" t="s">
        <v>110</v>
      </c>
      <c r="I49" s="96" t="s">
        <v>110</v>
      </c>
      <c r="J49" s="96" t="s">
        <v>110</v>
      </c>
      <c r="K49" s="96" t="s">
        <v>110</v>
      </c>
      <c r="L49" s="96" t="s">
        <v>110</v>
      </c>
      <c r="M49" s="96" t="s">
        <v>110</v>
      </c>
      <c r="N49" s="119"/>
      <c r="O49" s="96" t="s">
        <v>110</v>
      </c>
      <c r="P49" s="96" t="s">
        <v>110</v>
      </c>
      <c r="Q49" s="96" t="s">
        <v>110</v>
      </c>
      <c r="R49" s="96" t="s">
        <v>110</v>
      </c>
      <c r="S49" s="140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2"/>
      <c r="AK49" s="5">
        <f t="shared" si="1"/>
        <v>11</v>
      </c>
      <c r="AL49" s="5">
        <f t="shared" si="2"/>
        <v>0</v>
      </c>
    </row>
    <row r="50" spans="1:38" ht="16.5" x14ac:dyDescent="0.25">
      <c r="A50" s="21">
        <v>20</v>
      </c>
      <c r="B50" s="11">
        <v>589</v>
      </c>
      <c r="C50" s="18" t="s">
        <v>406</v>
      </c>
      <c r="D50" s="19" t="s">
        <v>407</v>
      </c>
      <c r="E50" s="20" t="s">
        <v>381</v>
      </c>
      <c r="F50" s="96" t="s">
        <v>110</v>
      </c>
      <c r="G50" s="119"/>
      <c r="H50" s="96" t="s">
        <v>110</v>
      </c>
      <c r="I50" s="96" t="s">
        <v>110</v>
      </c>
      <c r="J50" s="96" t="s">
        <v>110</v>
      </c>
      <c r="K50" s="96" t="s">
        <v>110</v>
      </c>
      <c r="L50" s="96" t="s">
        <v>110</v>
      </c>
      <c r="M50" s="96" t="s">
        <v>110</v>
      </c>
      <c r="N50" s="119"/>
      <c r="O50" s="96" t="s">
        <v>110</v>
      </c>
      <c r="P50" s="96" t="s">
        <v>110</v>
      </c>
      <c r="Q50" s="96" t="s">
        <v>110</v>
      </c>
      <c r="R50" s="96" t="s">
        <v>110</v>
      </c>
      <c r="S50" s="140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2"/>
      <c r="AK50" s="5">
        <f t="shared" si="1"/>
        <v>11</v>
      </c>
      <c r="AL50" s="5">
        <f t="shared" si="2"/>
        <v>0</v>
      </c>
    </row>
    <row r="51" spans="1:38" ht="16.5" x14ac:dyDescent="0.25">
      <c r="A51" s="21">
        <v>21</v>
      </c>
      <c r="B51" s="11">
        <v>912</v>
      </c>
      <c r="C51" s="18" t="s">
        <v>408</v>
      </c>
      <c r="D51" s="19" t="s">
        <v>409</v>
      </c>
      <c r="E51" s="20" t="s">
        <v>381</v>
      </c>
      <c r="F51" s="96" t="s">
        <v>110</v>
      </c>
      <c r="G51" s="119"/>
      <c r="H51" s="96" t="s">
        <v>110</v>
      </c>
      <c r="I51" s="96" t="s">
        <v>110</v>
      </c>
      <c r="J51" s="96" t="s">
        <v>110</v>
      </c>
      <c r="K51" s="96" t="s">
        <v>110</v>
      </c>
      <c r="L51" s="96" t="s">
        <v>110</v>
      </c>
      <c r="M51" s="96" t="s">
        <v>110</v>
      </c>
      <c r="N51" s="119"/>
      <c r="O51" s="96" t="s">
        <v>110</v>
      </c>
      <c r="P51" s="96" t="s">
        <v>110</v>
      </c>
      <c r="Q51" s="96" t="s">
        <v>110</v>
      </c>
      <c r="R51" s="96" t="s">
        <v>110</v>
      </c>
      <c r="S51" s="140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2"/>
      <c r="AK51" s="5">
        <f t="shared" si="1"/>
        <v>11</v>
      </c>
      <c r="AL51" s="5">
        <f t="shared" si="2"/>
        <v>0</v>
      </c>
    </row>
    <row r="52" spans="1:38" ht="16.5" x14ac:dyDescent="0.25">
      <c r="A52" s="21">
        <v>22</v>
      </c>
      <c r="B52" s="11">
        <v>571</v>
      </c>
      <c r="C52" s="18" t="s">
        <v>390</v>
      </c>
      <c r="D52" s="19" t="s">
        <v>391</v>
      </c>
      <c r="E52" s="20" t="s">
        <v>381</v>
      </c>
      <c r="F52" s="96" t="s">
        <v>110</v>
      </c>
      <c r="G52" s="119"/>
      <c r="H52" s="96" t="s">
        <v>110</v>
      </c>
      <c r="I52" s="96" t="s">
        <v>110</v>
      </c>
      <c r="J52" s="96" t="s">
        <v>110</v>
      </c>
      <c r="K52" s="96" t="s">
        <v>110</v>
      </c>
      <c r="L52" s="96" t="s">
        <v>110</v>
      </c>
      <c r="M52" s="96" t="s">
        <v>110</v>
      </c>
      <c r="N52" s="119"/>
      <c r="O52" s="96" t="s">
        <v>110</v>
      </c>
      <c r="P52" s="96" t="s">
        <v>110</v>
      </c>
      <c r="Q52" s="96" t="s">
        <v>110</v>
      </c>
      <c r="R52" s="96" t="s">
        <v>110</v>
      </c>
      <c r="S52" s="140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2"/>
      <c r="AK52" s="5">
        <f t="shared" si="1"/>
        <v>11</v>
      </c>
      <c r="AL52" s="5">
        <f t="shared" si="2"/>
        <v>0</v>
      </c>
    </row>
    <row r="53" spans="1:38" ht="16.5" x14ac:dyDescent="0.25">
      <c r="A53" s="21">
        <v>23</v>
      </c>
      <c r="B53" s="11">
        <v>572</v>
      </c>
      <c r="C53" s="18" t="s">
        <v>410</v>
      </c>
      <c r="D53" s="19" t="s">
        <v>84</v>
      </c>
      <c r="E53" s="20" t="s">
        <v>381</v>
      </c>
      <c r="F53" s="96" t="s">
        <v>110</v>
      </c>
      <c r="G53" s="120"/>
      <c r="H53" s="96" t="s">
        <v>110</v>
      </c>
      <c r="I53" s="96" t="s">
        <v>110</v>
      </c>
      <c r="J53" s="96" t="s">
        <v>110</v>
      </c>
      <c r="K53" s="96" t="s">
        <v>110</v>
      </c>
      <c r="L53" s="96" t="s">
        <v>801</v>
      </c>
      <c r="M53" s="96" t="s">
        <v>801</v>
      </c>
      <c r="N53" s="120"/>
      <c r="O53" s="96" t="s">
        <v>801</v>
      </c>
      <c r="P53" s="96" t="s">
        <v>801</v>
      </c>
      <c r="Q53" s="96" t="s">
        <v>801</v>
      </c>
      <c r="R53" s="96" t="s">
        <v>801</v>
      </c>
      <c r="S53" s="143"/>
      <c r="T53" s="144"/>
      <c r="U53" s="144"/>
      <c r="V53" s="144"/>
      <c r="W53" s="144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5"/>
      <c r="AK53" s="5">
        <f t="shared" si="1"/>
        <v>5</v>
      </c>
      <c r="AL53" s="5">
        <f t="shared" si="2"/>
        <v>0</v>
      </c>
    </row>
  </sheetData>
  <mergeCells count="15">
    <mergeCell ref="A1:AJ1"/>
    <mergeCell ref="A2:AJ2"/>
    <mergeCell ref="E3:E4"/>
    <mergeCell ref="A3:A4"/>
    <mergeCell ref="B3:B4"/>
    <mergeCell ref="C3:C4"/>
    <mergeCell ref="D3:D4"/>
    <mergeCell ref="G5:G53"/>
    <mergeCell ref="N5:N53"/>
    <mergeCell ref="S5:AJ53"/>
    <mergeCell ref="AM11:AP11"/>
    <mergeCell ref="AM19:AP19"/>
    <mergeCell ref="AK3:AK4"/>
    <mergeCell ref="AL3:AL4"/>
    <mergeCell ref="AM3:AN3"/>
  </mergeCells>
  <conditionalFormatting sqref="B5:B30">
    <cfRule type="duplicateValues" dxfId="273" priority="337"/>
  </conditionalFormatting>
  <conditionalFormatting sqref="B31:B53">
    <cfRule type="duplicateValues" dxfId="272" priority="338"/>
  </conditionalFormatting>
  <conditionalFormatting sqref="F3:AJ4 G5 F5:F53 H5:M53 O6:R53 N5:S5">
    <cfRule type="expression" dxfId="271" priority="15">
      <formula>F$3="Sun"</formula>
    </cfRule>
  </conditionalFormatting>
  <conditionalFormatting sqref="G5 F5:F53 H5:M53 O6:R53 F4:AJ4 N5:S5">
    <cfRule type="expression" dxfId="270" priority="14">
      <formula>IF(F$4=TODAY(),TRUE,FALSE)</formula>
    </cfRule>
  </conditionalFormatting>
  <conditionalFormatting sqref="G5 F5:F53 H5:M53 O6:R53 N5:S5">
    <cfRule type="cellIs" dxfId="269" priority="11" operator="equal">
      <formula>"L"</formula>
    </cfRule>
    <cfRule type="cellIs" dxfId="268" priority="12" operator="equal">
      <formula>"A"</formula>
    </cfRule>
    <cfRule type="cellIs" dxfId="267" priority="13" operator="equal">
      <formula>"P"</formula>
    </cfRule>
  </conditionalFormatting>
  <conditionalFormatting sqref="AK3:AL3 AK5:AL53">
    <cfRule type="expression" dxfId="266" priority="16">
      <formula>#REF!="Sun"</formula>
    </cfRule>
  </conditionalFormatting>
  <conditionalFormatting sqref="AM8:AM9">
    <cfRule type="expression" dxfId="265" priority="5">
      <formula>AM$3="Sun"</formula>
    </cfRule>
  </conditionalFormatting>
  <conditionalFormatting sqref="AM12:AM15">
    <cfRule type="expression" dxfId="264" priority="3">
      <formula>AM$3="Sun"</formula>
    </cfRule>
  </conditionalFormatting>
  <conditionalFormatting sqref="AM20:AM23">
    <cfRule type="expression" dxfId="263" priority="2">
      <formula>AM$3="Sun"</formula>
    </cfRule>
  </conditionalFormatting>
  <conditionalFormatting sqref="AM4:AN4">
    <cfRule type="expression" dxfId="262" priority="6">
      <formula>AM$3="Sun"</formula>
    </cfRule>
  </conditionalFormatting>
  <conditionalFormatting sqref="AN12:AP12 AN20:AP20">
    <cfRule type="expression" dxfId="261" priority="7">
      <formula>AN$3="Sun"</formula>
    </cfRule>
  </conditionalFormatting>
  <conditionalFormatting sqref="AP21">
    <cfRule type="expression" dxfId="260" priority="4">
      <formula>AP$3="Sun"</formula>
    </cfRule>
  </conditionalFormatting>
  <conditionalFormatting sqref="AM5:AM7">
    <cfRule type="expression" dxfId="6" priority="1">
      <formula>AM$3="Sun"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P56"/>
  <sheetViews>
    <sheetView zoomScaleNormal="100" workbookViewId="0">
      <selection activeCell="AO13" sqref="AO13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4.7109375" style="1" bestFit="1" customWidth="1"/>
    <col min="7" max="7" width="3.85546875" style="1" bestFit="1" customWidth="1"/>
    <col min="8" max="8" width="3.7109375" style="1" customWidth="1"/>
    <col min="9" max="9" width="3.7109375" style="1" bestFit="1" customWidth="1"/>
    <col min="10" max="10" width="3.85546875" style="1" bestFit="1" customWidth="1"/>
    <col min="11" max="11" width="4.5703125" style="1" customWidth="1"/>
    <col min="12" max="12" width="3.85546875" style="1" bestFit="1" customWidth="1"/>
    <col min="13" max="13" width="4.7109375" style="1" bestFit="1" customWidth="1"/>
    <col min="14" max="14" width="3.85546875" style="1" bestFit="1" customWidth="1"/>
    <col min="15" max="16" width="3.7109375" style="1" bestFit="1" customWidth="1"/>
    <col min="17" max="17" width="3.85546875" style="1" bestFit="1" customWidth="1"/>
    <col min="18" max="18" width="4.5703125" style="1" customWidth="1"/>
    <col min="19" max="19" width="3.85546875" style="1" bestFit="1" customWidth="1"/>
    <col min="20" max="20" width="4.7109375" style="1" bestFit="1" customWidth="1"/>
    <col min="21" max="21" width="3.85546875" style="1" bestFit="1" customWidth="1"/>
    <col min="22" max="23" width="3.7109375" style="1" bestFit="1" customWidth="1"/>
    <col min="24" max="24" width="3.85546875" style="1" bestFit="1" customWidth="1"/>
    <col min="25" max="25" width="4.5703125" style="1" bestFit="1" customWidth="1"/>
    <col min="26" max="26" width="3.85546875" style="1" bestFit="1" customWidth="1"/>
    <col min="27" max="27" width="4.7109375" style="1" bestFit="1" customWidth="1"/>
    <col min="28" max="28" width="3.85546875" style="1"/>
    <col min="29" max="30" width="3.7109375" style="1" bestFit="1" customWidth="1"/>
    <col min="31" max="31" width="3.85546875" style="1" bestFit="1" customWidth="1"/>
    <col min="32" max="32" width="4.140625" style="1" bestFit="1" customWidth="1"/>
    <col min="33" max="33" width="3.85546875" style="1" bestFit="1" customWidth="1"/>
    <col min="34" max="34" width="4.7109375" style="1" bestFit="1" customWidth="1"/>
    <col min="35" max="35" width="3.85546875" style="1" bestFit="1" customWidth="1"/>
    <col min="36" max="36" width="3.7109375" style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21" t="s">
        <v>18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</row>
    <row r="2" spans="1:42" ht="17.25" x14ac:dyDescent="0.3">
      <c r="A2" s="125" t="s">
        <v>795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</row>
    <row r="3" spans="1:42" ht="15.75" x14ac:dyDescent="0.25">
      <c r="A3" s="134" t="s">
        <v>0</v>
      </c>
      <c r="B3" s="102"/>
      <c r="C3" s="134" t="s">
        <v>1</v>
      </c>
      <c r="D3" s="134" t="s">
        <v>2</v>
      </c>
      <c r="E3" s="134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3" t="str">
        <f t="shared" si="0"/>
        <v>Thu</v>
      </c>
      <c r="AG3" s="2" t="s">
        <v>792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22" t="s">
        <v>4</v>
      </c>
      <c r="AL3" s="122" t="s">
        <v>5</v>
      </c>
      <c r="AM3" s="115" t="s">
        <v>120</v>
      </c>
      <c r="AN3" s="116"/>
      <c r="AO3" s="3"/>
      <c r="AP3" s="3"/>
    </row>
    <row r="4" spans="1:42" ht="37.5" x14ac:dyDescent="0.25">
      <c r="A4" s="135"/>
      <c r="B4" s="99" t="s">
        <v>789</v>
      </c>
      <c r="C4" s="135"/>
      <c r="D4" s="135"/>
      <c r="E4" s="135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22"/>
      <c r="AL4" s="122"/>
      <c r="AM4" s="5" t="s">
        <v>121</v>
      </c>
      <c r="AN4" s="5">
        <f>SUM(AN5:AN8)</f>
        <v>31</v>
      </c>
      <c r="AO4" s="3"/>
      <c r="AP4" s="3"/>
    </row>
    <row r="5" spans="1:42" ht="15" customHeight="1" x14ac:dyDescent="0.25">
      <c r="A5" s="21">
        <v>1</v>
      </c>
      <c r="B5" s="21">
        <v>527</v>
      </c>
      <c r="C5" s="24" t="s">
        <v>450</v>
      </c>
      <c r="D5" s="25" t="s">
        <v>451</v>
      </c>
      <c r="E5" s="20" t="s">
        <v>452</v>
      </c>
      <c r="F5" s="8" t="s">
        <v>110</v>
      </c>
      <c r="G5" s="118" t="s">
        <v>382</v>
      </c>
      <c r="H5" s="8" t="s">
        <v>110</v>
      </c>
      <c r="I5" s="8" t="s">
        <v>110</v>
      </c>
      <c r="J5" s="8" t="s">
        <v>110</v>
      </c>
      <c r="K5" s="8" t="s">
        <v>110</v>
      </c>
      <c r="L5" s="8" t="s">
        <v>110</v>
      </c>
      <c r="M5" s="8" t="s">
        <v>800</v>
      </c>
      <c r="N5" s="118" t="s">
        <v>382</v>
      </c>
      <c r="O5" s="8" t="s">
        <v>110</v>
      </c>
      <c r="P5" s="8" t="s">
        <v>110</v>
      </c>
      <c r="Q5" s="8" t="s">
        <v>110</v>
      </c>
      <c r="R5" s="137" t="s">
        <v>803</v>
      </c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9"/>
      <c r="AK5" s="5">
        <f t="shared" ref="AK5:AK56" si="1">COUNTIF(F5:AJ5,"P")</f>
        <v>10</v>
      </c>
      <c r="AL5" s="5">
        <f t="shared" ref="AL5:AL56" si="2">COUNTIF(F5:AJ5,"A")</f>
        <v>0</v>
      </c>
      <c r="AM5" s="5" t="s">
        <v>7</v>
      </c>
      <c r="AN5" s="9">
        <v>10</v>
      </c>
      <c r="AO5" s="10"/>
      <c r="AP5" s="3"/>
    </row>
    <row r="6" spans="1:42" x14ac:dyDescent="0.25">
      <c r="A6" s="21">
        <v>2</v>
      </c>
      <c r="B6" s="21">
        <v>472</v>
      </c>
      <c r="C6" s="24" t="s">
        <v>453</v>
      </c>
      <c r="D6" s="25" t="s">
        <v>454</v>
      </c>
      <c r="E6" s="20" t="s">
        <v>452</v>
      </c>
      <c r="F6" s="8" t="s">
        <v>110</v>
      </c>
      <c r="G6" s="119"/>
      <c r="H6" s="8" t="s">
        <v>110</v>
      </c>
      <c r="I6" s="8" t="s">
        <v>110</v>
      </c>
      <c r="J6" s="8" t="s">
        <v>110</v>
      </c>
      <c r="K6" s="8" t="s">
        <v>110</v>
      </c>
      <c r="L6" s="8" t="s">
        <v>110</v>
      </c>
      <c r="M6" s="8" t="s">
        <v>800</v>
      </c>
      <c r="N6" s="119"/>
      <c r="O6" s="8" t="s">
        <v>110</v>
      </c>
      <c r="P6" s="8" t="s">
        <v>110</v>
      </c>
      <c r="Q6" s="8" t="s">
        <v>110</v>
      </c>
      <c r="R6" s="140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2"/>
      <c r="AK6" s="5">
        <f t="shared" si="1"/>
        <v>10</v>
      </c>
      <c r="AL6" s="5">
        <f t="shared" si="2"/>
        <v>0</v>
      </c>
      <c r="AM6" s="5" t="s">
        <v>8</v>
      </c>
      <c r="AN6" s="9">
        <v>2</v>
      </c>
      <c r="AO6" s="3"/>
      <c r="AP6" s="3"/>
    </row>
    <row r="7" spans="1:42" x14ac:dyDescent="0.25">
      <c r="A7" s="21">
        <v>3</v>
      </c>
      <c r="B7" s="21">
        <v>549</v>
      </c>
      <c r="C7" s="24" t="s">
        <v>455</v>
      </c>
      <c r="D7" s="25" t="s">
        <v>456</v>
      </c>
      <c r="E7" s="20" t="s">
        <v>452</v>
      </c>
      <c r="F7" s="8" t="s">
        <v>110</v>
      </c>
      <c r="G7" s="119"/>
      <c r="H7" s="8" t="s">
        <v>110</v>
      </c>
      <c r="I7" s="8" t="s">
        <v>110</v>
      </c>
      <c r="J7" s="8" t="s">
        <v>110</v>
      </c>
      <c r="K7" s="8" t="s">
        <v>110</v>
      </c>
      <c r="L7" s="8" t="s">
        <v>110</v>
      </c>
      <c r="M7" s="8" t="s">
        <v>800</v>
      </c>
      <c r="N7" s="119"/>
      <c r="O7" s="8" t="s">
        <v>110</v>
      </c>
      <c r="P7" s="8" t="s">
        <v>110</v>
      </c>
      <c r="Q7" s="8" t="s">
        <v>110</v>
      </c>
      <c r="R7" s="140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2"/>
      <c r="AK7" s="5">
        <f t="shared" si="1"/>
        <v>10</v>
      </c>
      <c r="AL7" s="5">
        <f t="shared" si="2"/>
        <v>0</v>
      </c>
      <c r="AM7" s="5" t="s">
        <v>803</v>
      </c>
      <c r="AN7" s="9">
        <v>19</v>
      </c>
      <c r="AO7" s="3"/>
      <c r="AP7" s="3"/>
    </row>
    <row r="8" spans="1:42" x14ac:dyDescent="0.25">
      <c r="A8" s="21">
        <v>4</v>
      </c>
      <c r="B8" s="21">
        <v>405</v>
      </c>
      <c r="C8" s="24" t="s">
        <v>186</v>
      </c>
      <c r="D8" s="25" t="s">
        <v>457</v>
      </c>
      <c r="E8" s="20" t="s">
        <v>452</v>
      </c>
      <c r="F8" s="8" t="s">
        <v>796</v>
      </c>
      <c r="G8" s="119"/>
      <c r="H8" s="8" t="s">
        <v>796</v>
      </c>
      <c r="I8" s="8" t="s">
        <v>796</v>
      </c>
      <c r="J8" s="8" t="s">
        <v>796</v>
      </c>
      <c r="K8" s="8" t="s">
        <v>796</v>
      </c>
      <c r="L8" s="8" t="s">
        <v>796</v>
      </c>
      <c r="M8" s="8" t="s">
        <v>796</v>
      </c>
      <c r="N8" s="119"/>
      <c r="O8" s="8" t="s">
        <v>796</v>
      </c>
      <c r="P8" s="8" t="s">
        <v>796</v>
      </c>
      <c r="Q8" s="8" t="s">
        <v>796</v>
      </c>
      <c r="R8" s="140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2"/>
      <c r="AK8" s="5">
        <f t="shared" si="1"/>
        <v>0</v>
      </c>
      <c r="AL8" s="5">
        <f t="shared" si="2"/>
        <v>10</v>
      </c>
      <c r="AM8" s="5"/>
      <c r="AN8" s="9"/>
      <c r="AO8"/>
      <c r="AP8"/>
    </row>
    <row r="9" spans="1:42" x14ac:dyDescent="0.25">
      <c r="A9" s="21">
        <v>5</v>
      </c>
      <c r="B9" s="21">
        <v>593</v>
      </c>
      <c r="C9" s="24" t="s">
        <v>458</v>
      </c>
      <c r="D9" s="25" t="s">
        <v>459</v>
      </c>
      <c r="E9" s="20" t="s">
        <v>452</v>
      </c>
      <c r="F9" s="8" t="s">
        <v>110</v>
      </c>
      <c r="G9" s="119"/>
      <c r="H9" s="8" t="s">
        <v>110</v>
      </c>
      <c r="I9" s="8" t="s">
        <v>110</v>
      </c>
      <c r="J9" s="8" t="s">
        <v>110</v>
      </c>
      <c r="K9" s="8" t="s">
        <v>110</v>
      </c>
      <c r="L9" s="8" t="s">
        <v>110</v>
      </c>
      <c r="M9" s="8" t="s">
        <v>800</v>
      </c>
      <c r="N9" s="119"/>
      <c r="O9" s="8" t="s">
        <v>110</v>
      </c>
      <c r="P9" s="8" t="s">
        <v>110</v>
      </c>
      <c r="Q9" s="8" t="s">
        <v>796</v>
      </c>
      <c r="R9" s="140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2"/>
      <c r="AK9" s="5">
        <f t="shared" si="1"/>
        <v>9</v>
      </c>
      <c r="AL9" s="5">
        <f t="shared" si="2"/>
        <v>1</v>
      </c>
      <c r="AM9" s="5"/>
      <c r="AN9" s="9"/>
    </row>
    <row r="10" spans="1:42" x14ac:dyDescent="0.25">
      <c r="A10" s="21">
        <v>6</v>
      </c>
      <c r="B10" s="21">
        <v>548</v>
      </c>
      <c r="C10" s="24" t="s">
        <v>460</v>
      </c>
      <c r="D10" s="25" t="s">
        <v>461</v>
      </c>
      <c r="E10" s="20" t="s">
        <v>452</v>
      </c>
      <c r="F10" s="8" t="s">
        <v>110</v>
      </c>
      <c r="G10" s="119"/>
      <c r="H10" s="8" t="s">
        <v>110</v>
      </c>
      <c r="I10" s="8" t="s">
        <v>110</v>
      </c>
      <c r="J10" s="8" t="s">
        <v>110</v>
      </c>
      <c r="K10" s="8" t="s">
        <v>110</v>
      </c>
      <c r="L10" s="8" t="s">
        <v>110</v>
      </c>
      <c r="M10" s="8" t="s">
        <v>800</v>
      </c>
      <c r="N10" s="119"/>
      <c r="O10" s="8" t="s">
        <v>110</v>
      </c>
      <c r="P10" s="8" t="s">
        <v>110</v>
      </c>
      <c r="Q10" s="8" t="s">
        <v>110</v>
      </c>
      <c r="R10" s="140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2"/>
      <c r="AK10" s="5">
        <f t="shared" si="1"/>
        <v>10</v>
      </c>
      <c r="AL10" s="5">
        <f t="shared" si="2"/>
        <v>0</v>
      </c>
    </row>
    <row r="11" spans="1:42" ht="15.75" x14ac:dyDescent="0.25">
      <c r="A11" s="21">
        <v>7</v>
      </c>
      <c r="B11" s="21">
        <v>447</v>
      </c>
      <c r="C11" s="24" t="s">
        <v>462</v>
      </c>
      <c r="D11" s="25" t="s">
        <v>463</v>
      </c>
      <c r="E11" s="20" t="s">
        <v>452</v>
      </c>
      <c r="F11" s="8" t="s">
        <v>110</v>
      </c>
      <c r="G11" s="119"/>
      <c r="H11" s="8" t="s">
        <v>110</v>
      </c>
      <c r="I11" s="8" t="s">
        <v>110</v>
      </c>
      <c r="J11" s="8" t="s">
        <v>110</v>
      </c>
      <c r="K11" s="8" t="s">
        <v>110</v>
      </c>
      <c r="L11" s="8" t="s">
        <v>110</v>
      </c>
      <c r="M11" s="8" t="s">
        <v>800</v>
      </c>
      <c r="N11" s="119"/>
      <c r="O11" s="8" t="s">
        <v>110</v>
      </c>
      <c r="P11" s="8" t="s">
        <v>110</v>
      </c>
      <c r="Q11" s="8" t="s">
        <v>110</v>
      </c>
      <c r="R11" s="140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2"/>
      <c r="AK11" s="5">
        <f t="shared" si="1"/>
        <v>10</v>
      </c>
      <c r="AL11" s="5">
        <f t="shared" si="2"/>
        <v>0</v>
      </c>
      <c r="AM11" s="115" t="s">
        <v>9</v>
      </c>
      <c r="AN11" s="116"/>
      <c r="AO11" s="116"/>
      <c r="AP11" s="117"/>
    </row>
    <row r="12" spans="1:42" x14ac:dyDescent="0.25">
      <c r="A12" s="21">
        <v>8</v>
      </c>
      <c r="B12" s="21">
        <v>501</v>
      </c>
      <c r="C12" s="24" t="s">
        <v>305</v>
      </c>
      <c r="D12" s="25" t="s">
        <v>239</v>
      </c>
      <c r="E12" s="20" t="s">
        <v>452</v>
      </c>
      <c r="F12" s="8" t="s">
        <v>110</v>
      </c>
      <c r="G12" s="119"/>
      <c r="H12" s="8" t="s">
        <v>110</v>
      </c>
      <c r="I12" s="8" t="s">
        <v>110</v>
      </c>
      <c r="J12" s="8" t="s">
        <v>110</v>
      </c>
      <c r="K12" s="8" t="s">
        <v>110</v>
      </c>
      <c r="L12" s="8" t="s">
        <v>110</v>
      </c>
      <c r="M12" s="8" t="s">
        <v>800</v>
      </c>
      <c r="N12" s="119"/>
      <c r="O12" s="8" t="s">
        <v>110</v>
      </c>
      <c r="P12" s="8" t="s">
        <v>110</v>
      </c>
      <c r="Q12" s="8" t="s">
        <v>110</v>
      </c>
      <c r="R12" s="140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2"/>
      <c r="AK12" s="5">
        <f t="shared" si="1"/>
        <v>10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x14ac:dyDescent="0.25">
      <c r="A13" s="21">
        <v>9</v>
      </c>
      <c r="B13" s="21">
        <v>497</v>
      </c>
      <c r="C13" s="24" t="s">
        <v>464</v>
      </c>
      <c r="D13" s="25" t="s">
        <v>465</v>
      </c>
      <c r="E13" s="20" t="s">
        <v>452</v>
      </c>
      <c r="F13" s="8" t="s">
        <v>110</v>
      </c>
      <c r="G13" s="119"/>
      <c r="H13" s="8" t="s">
        <v>796</v>
      </c>
      <c r="I13" s="8" t="s">
        <v>110</v>
      </c>
      <c r="J13" s="8" t="s">
        <v>110</v>
      </c>
      <c r="K13" s="8" t="s">
        <v>110</v>
      </c>
      <c r="L13" s="8" t="s">
        <v>110</v>
      </c>
      <c r="M13" s="8" t="s">
        <v>800</v>
      </c>
      <c r="N13" s="119"/>
      <c r="O13" s="8" t="s">
        <v>110</v>
      </c>
      <c r="P13" s="8" t="s">
        <v>110</v>
      </c>
      <c r="Q13" s="8" t="s">
        <v>110</v>
      </c>
      <c r="R13" s="140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2"/>
      <c r="AK13" s="5">
        <f t="shared" si="1"/>
        <v>9</v>
      </c>
      <c r="AL13" s="5">
        <f t="shared" si="2"/>
        <v>1</v>
      </c>
      <c r="AM13" s="5" t="s">
        <v>14</v>
      </c>
      <c r="AN13" s="9">
        <f>20*$AN$5</f>
        <v>200</v>
      </c>
      <c r="AO13" s="9">
        <f>32*$AN$5</f>
        <v>320</v>
      </c>
      <c r="AP13" s="9">
        <f>SUM(AN13:AO13)</f>
        <v>520</v>
      </c>
    </row>
    <row r="14" spans="1:42" x14ac:dyDescent="0.25">
      <c r="A14" s="21">
        <v>10</v>
      </c>
      <c r="B14" s="21">
        <v>550</v>
      </c>
      <c r="C14" s="24" t="s">
        <v>466</v>
      </c>
      <c r="D14" s="25" t="s">
        <v>467</v>
      </c>
      <c r="E14" s="20" t="s">
        <v>452</v>
      </c>
      <c r="F14" s="8" t="s">
        <v>110</v>
      </c>
      <c r="G14" s="119"/>
      <c r="H14" s="8" t="s">
        <v>110</v>
      </c>
      <c r="I14" s="8" t="s">
        <v>110</v>
      </c>
      <c r="J14" s="8" t="s">
        <v>110</v>
      </c>
      <c r="K14" s="8" t="s">
        <v>110</v>
      </c>
      <c r="L14" s="8" t="s">
        <v>110</v>
      </c>
      <c r="M14" s="8" t="s">
        <v>800</v>
      </c>
      <c r="N14" s="119"/>
      <c r="O14" s="8" t="s">
        <v>110</v>
      </c>
      <c r="P14" s="8" t="s">
        <v>110</v>
      </c>
      <c r="Q14" s="8" t="s">
        <v>110</v>
      </c>
      <c r="R14" s="140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2"/>
      <c r="AK14" s="5">
        <f t="shared" si="1"/>
        <v>10</v>
      </c>
      <c r="AL14" s="5">
        <f t="shared" si="2"/>
        <v>0</v>
      </c>
      <c r="AM14" s="5" t="s">
        <v>15</v>
      </c>
      <c r="AN14" s="9">
        <f>SUM(AK5:AK24)</f>
        <v>178</v>
      </c>
      <c r="AO14" s="9">
        <f>SUM(AK25:AK56)</f>
        <v>305</v>
      </c>
      <c r="AP14" s="9">
        <f>AN14+AO14</f>
        <v>483</v>
      </c>
    </row>
    <row r="15" spans="1:42" x14ac:dyDescent="0.25">
      <c r="A15" s="21">
        <v>11</v>
      </c>
      <c r="B15" s="21">
        <v>433</v>
      </c>
      <c r="C15" s="24" t="s">
        <v>259</v>
      </c>
      <c r="D15" s="25" t="s">
        <v>468</v>
      </c>
      <c r="E15" s="20" t="s">
        <v>452</v>
      </c>
      <c r="F15" s="8" t="s">
        <v>110</v>
      </c>
      <c r="G15" s="119"/>
      <c r="H15" s="8" t="s">
        <v>110</v>
      </c>
      <c r="I15" s="8" t="s">
        <v>110</v>
      </c>
      <c r="J15" s="8" t="s">
        <v>110</v>
      </c>
      <c r="K15" s="8" t="s">
        <v>110</v>
      </c>
      <c r="L15" s="8" t="s">
        <v>110</v>
      </c>
      <c r="M15" s="8" t="s">
        <v>800</v>
      </c>
      <c r="N15" s="119"/>
      <c r="O15" s="8" t="s">
        <v>110</v>
      </c>
      <c r="P15" s="8" t="s">
        <v>110</v>
      </c>
      <c r="Q15" s="8" t="s">
        <v>110</v>
      </c>
      <c r="R15" s="140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2"/>
      <c r="AK15" s="5">
        <f t="shared" si="1"/>
        <v>10</v>
      </c>
      <c r="AL15" s="5">
        <f t="shared" si="2"/>
        <v>0</v>
      </c>
      <c r="AM15" s="5" t="s">
        <v>16</v>
      </c>
      <c r="AN15" s="12">
        <f>AN14/AN13</f>
        <v>0.89</v>
      </c>
      <c r="AO15" s="12">
        <f>AO14/AO13</f>
        <v>0.953125</v>
      </c>
      <c r="AP15" s="12">
        <f>AP14/AP13</f>
        <v>0.92884615384615388</v>
      </c>
    </row>
    <row r="16" spans="1:42" x14ac:dyDescent="0.25">
      <c r="A16" s="21">
        <v>12</v>
      </c>
      <c r="B16" s="21">
        <v>495</v>
      </c>
      <c r="C16" s="24" t="s">
        <v>469</v>
      </c>
      <c r="D16" s="25" t="s">
        <v>50</v>
      </c>
      <c r="E16" s="20" t="s">
        <v>452</v>
      </c>
      <c r="F16" s="8" t="s">
        <v>110</v>
      </c>
      <c r="G16" s="119"/>
      <c r="H16" s="8" t="s">
        <v>110</v>
      </c>
      <c r="I16" s="8" t="s">
        <v>110</v>
      </c>
      <c r="J16" s="8" t="s">
        <v>110</v>
      </c>
      <c r="K16" s="8" t="s">
        <v>110</v>
      </c>
      <c r="L16" s="8" t="s">
        <v>110</v>
      </c>
      <c r="M16" s="8" t="s">
        <v>800</v>
      </c>
      <c r="N16" s="119"/>
      <c r="O16" s="8" t="s">
        <v>110</v>
      </c>
      <c r="P16" s="8" t="s">
        <v>110</v>
      </c>
      <c r="Q16" s="8" t="s">
        <v>110</v>
      </c>
      <c r="R16" s="140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2"/>
      <c r="AK16" s="5">
        <f t="shared" si="1"/>
        <v>10</v>
      </c>
      <c r="AL16" s="5">
        <f t="shared" si="2"/>
        <v>0</v>
      </c>
      <c r="AM16"/>
      <c r="AN16"/>
      <c r="AO16"/>
      <c r="AP16"/>
    </row>
    <row r="17" spans="1:42" x14ac:dyDescent="0.25">
      <c r="A17" s="21">
        <v>13</v>
      </c>
      <c r="B17" s="21">
        <v>595</v>
      </c>
      <c r="C17" s="24" t="s">
        <v>470</v>
      </c>
      <c r="D17" s="25" t="s">
        <v>471</v>
      </c>
      <c r="E17" s="20" t="s">
        <v>452</v>
      </c>
      <c r="F17" s="8" t="s">
        <v>110</v>
      </c>
      <c r="G17" s="119"/>
      <c r="H17" s="8" t="s">
        <v>110</v>
      </c>
      <c r="I17" s="8" t="s">
        <v>110</v>
      </c>
      <c r="J17" s="8" t="s">
        <v>110</v>
      </c>
      <c r="K17" s="8" t="s">
        <v>110</v>
      </c>
      <c r="L17" s="8" t="s">
        <v>110</v>
      </c>
      <c r="M17" s="8" t="s">
        <v>800</v>
      </c>
      <c r="N17" s="119"/>
      <c r="O17" s="8" t="s">
        <v>110</v>
      </c>
      <c r="P17" s="8" t="s">
        <v>110</v>
      </c>
      <c r="Q17" s="8" t="s">
        <v>110</v>
      </c>
      <c r="R17" s="140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2"/>
      <c r="AK17" s="5">
        <f t="shared" si="1"/>
        <v>10</v>
      </c>
      <c r="AL17" s="5">
        <f t="shared" si="2"/>
        <v>0</v>
      </c>
      <c r="AM17"/>
      <c r="AN17"/>
      <c r="AO17"/>
      <c r="AP17"/>
    </row>
    <row r="18" spans="1:42" x14ac:dyDescent="0.25">
      <c r="A18" s="21">
        <v>14</v>
      </c>
      <c r="B18" s="21">
        <v>497</v>
      </c>
      <c r="C18" s="24" t="s">
        <v>472</v>
      </c>
      <c r="D18" s="25" t="s">
        <v>473</v>
      </c>
      <c r="E18" s="20" t="s">
        <v>452</v>
      </c>
      <c r="F18" s="8" t="s">
        <v>110</v>
      </c>
      <c r="G18" s="119"/>
      <c r="H18" s="8" t="s">
        <v>110</v>
      </c>
      <c r="I18" s="8" t="s">
        <v>110</v>
      </c>
      <c r="J18" s="8" t="s">
        <v>110</v>
      </c>
      <c r="K18" s="8" t="s">
        <v>110</v>
      </c>
      <c r="L18" s="8" t="s">
        <v>110</v>
      </c>
      <c r="M18" s="8" t="s">
        <v>800</v>
      </c>
      <c r="N18" s="119"/>
      <c r="O18" s="8" t="s">
        <v>110</v>
      </c>
      <c r="P18" s="8" t="s">
        <v>110</v>
      </c>
      <c r="Q18" s="8" t="s">
        <v>110</v>
      </c>
      <c r="R18" s="140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2"/>
      <c r="AK18" s="5">
        <f t="shared" si="1"/>
        <v>10</v>
      </c>
      <c r="AL18" s="5">
        <f t="shared" si="2"/>
        <v>0</v>
      </c>
      <c r="AM18"/>
      <c r="AN18"/>
      <c r="AO18"/>
      <c r="AP18"/>
    </row>
    <row r="19" spans="1:42" ht="15.75" x14ac:dyDescent="0.25">
      <c r="A19" s="21">
        <v>15</v>
      </c>
      <c r="B19" s="21">
        <v>883</v>
      </c>
      <c r="C19" s="24" t="s">
        <v>474</v>
      </c>
      <c r="D19" s="25" t="s">
        <v>475</v>
      </c>
      <c r="E19" s="20" t="s">
        <v>452</v>
      </c>
      <c r="F19" s="8" t="s">
        <v>110</v>
      </c>
      <c r="G19" s="119"/>
      <c r="H19" s="8" t="s">
        <v>110</v>
      </c>
      <c r="I19" s="8" t="s">
        <v>110</v>
      </c>
      <c r="J19" s="8" t="s">
        <v>110</v>
      </c>
      <c r="K19" s="8" t="s">
        <v>110</v>
      </c>
      <c r="L19" s="8" t="s">
        <v>110</v>
      </c>
      <c r="M19" s="8" t="s">
        <v>800</v>
      </c>
      <c r="N19" s="119"/>
      <c r="O19" s="8" t="s">
        <v>110</v>
      </c>
      <c r="P19" s="8" t="s">
        <v>110</v>
      </c>
      <c r="Q19" s="8" t="s">
        <v>110</v>
      </c>
      <c r="R19" s="140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2"/>
      <c r="AK19" s="5">
        <f t="shared" si="1"/>
        <v>10</v>
      </c>
      <c r="AL19" s="5">
        <f t="shared" si="2"/>
        <v>0</v>
      </c>
      <c r="AM19" s="115" t="s">
        <v>122</v>
      </c>
      <c r="AN19" s="116"/>
      <c r="AO19" s="116"/>
      <c r="AP19" s="117"/>
    </row>
    <row r="20" spans="1:42" x14ac:dyDescent="0.25">
      <c r="A20" s="21">
        <v>16</v>
      </c>
      <c r="B20" s="21">
        <v>865</v>
      </c>
      <c r="C20" s="24" t="s">
        <v>476</v>
      </c>
      <c r="D20" s="25" t="s">
        <v>477</v>
      </c>
      <c r="E20" s="20" t="s">
        <v>452</v>
      </c>
      <c r="F20" s="8" t="s">
        <v>110</v>
      </c>
      <c r="G20" s="119"/>
      <c r="H20" s="8" t="s">
        <v>110</v>
      </c>
      <c r="I20" s="8" t="s">
        <v>110</v>
      </c>
      <c r="J20" s="8" t="s">
        <v>110</v>
      </c>
      <c r="K20" s="8" t="s">
        <v>110</v>
      </c>
      <c r="L20" s="8" t="s">
        <v>110</v>
      </c>
      <c r="M20" s="8" t="s">
        <v>800</v>
      </c>
      <c r="N20" s="119"/>
      <c r="O20" s="8" t="s">
        <v>110</v>
      </c>
      <c r="P20" s="8" t="s">
        <v>110</v>
      </c>
      <c r="Q20" s="8" t="s">
        <v>110</v>
      </c>
      <c r="R20" s="140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2"/>
      <c r="AK20" s="5">
        <f t="shared" si="1"/>
        <v>10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x14ac:dyDescent="0.25">
      <c r="A21" s="21">
        <v>17</v>
      </c>
      <c r="B21" s="21">
        <v>779</v>
      </c>
      <c r="C21" s="24" t="s">
        <v>446</v>
      </c>
      <c r="D21" s="25" t="s">
        <v>478</v>
      </c>
      <c r="E21" s="20" t="s">
        <v>452</v>
      </c>
      <c r="F21" s="8" t="s">
        <v>110</v>
      </c>
      <c r="G21" s="119"/>
      <c r="H21" s="8" t="s">
        <v>110</v>
      </c>
      <c r="I21" s="8" t="s">
        <v>110</v>
      </c>
      <c r="J21" s="8" t="s">
        <v>110</v>
      </c>
      <c r="K21" s="8" t="s">
        <v>110</v>
      </c>
      <c r="L21" s="8" t="s">
        <v>110</v>
      </c>
      <c r="M21" s="8" t="s">
        <v>800</v>
      </c>
      <c r="N21" s="119"/>
      <c r="O21" s="8" t="s">
        <v>110</v>
      </c>
      <c r="P21" s="8" t="s">
        <v>110</v>
      </c>
      <c r="Q21" s="8" t="s">
        <v>110</v>
      </c>
      <c r="R21" s="140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2"/>
      <c r="AK21" s="5">
        <f t="shared" si="1"/>
        <v>10</v>
      </c>
      <c r="AL21" s="5">
        <f t="shared" si="2"/>
        <v>0</v>
      </c>
      <c r="AM21" s="5" t="s">
        <v>14</v>
      </c>
      <c r="AN21" s="9">
        <f>21*$AN$5</f>
        <v>210</v>
      </c>
      <c r="AO21" s="9">
        <f>32*$AN$5</f>
        <v>320</v>
      </c>
      <c r="AP21" s="9">
        <f>AN21+AO21</f>
        <v>530</v>
      </c>
    </row>
    <row r="22" spans="1:42" x14ac:dyDescent="0.25">
      <c r="A22" s="21">
        <v>18</v>
      </c>
      <c r="B22" s="21">
        <v>848</v>
      </c>
      <c r="C22" s="24" t="s">
        <v>479</v>
      </c>
      <c r="D22" s="25" t="s">
        <v>139</v>
      </c>
      <c r="E22" s="20" t="s">
        <v>452</v>
      </c>
      <c r="F22" s="8" t="s">
        <v>110</v>
      </c>
      <c r="G22" s="119"/>
      <c r="H22" s="8" t="s">
        <v>110</v>
      </c>
      <c r="I22" s="8" t="s">
        <v>110</v>
      </c>
      <c r="J22" s="8" t="s">
        <v>110</v>
      </c>
      <c r="K22" s="8" t="s">
        <v>110</v>
      </c>
      <c r="L22" s="8" t="s">
        <v>110</v>
      </c>
      <c r="M22" s="8" t="s">
        <v>800</v>
      </c>
      <c r="N22" s="119"/>
      <c r="O22" s="8" t="s">
        <v>110</v>
      </c>
      <c r="P22" s="8" t="s">
        <v>110</v>
      </c>
      <c r="Q22" s="8" t="s">
        <v>110</v>
      </c>
      <c r="R22" s="140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2"/>
      <c r="AK22" s="5">
        <f t="shared" si="1"/>
        <v>10</v>
      </c>
      <c r="AL22" s="5">
        <f t="shared" si="2"/>
        <v>0</v>
      </c>
      <c r="AM22" s="5" t="s">
        <v>17</v>
      </c>
      <c r="AN22" s="9">
        <f>AN21-AN14</f>
        <v>32</v>
      </c>
      <c r="AO22" s="9">
        <f>AO21-AO14</f>
        <v>15</v>
      </c>
      <c r="AP22" s="9">
        <f>AN22+AO22</f>
        <v>47</v>
      </c>
    </row>
    <row r="23" spans="1:42" x14ac:dyDescent="0.25">
      <c r="A23" s="21">
        <v>19</v>
      </c>
      <c r="B23" s="21">
        <v>916</v>
      </c>
      <c r="C23" s="24" t="s">
        <v>480</v>
      </c>
      <c r="D23" s="25" t="s">
        <v>481</v>
      </c>
      <c r="E23" s="20" t="s">
        <v>452</v>
      </c>
      <c r="F23" s="8" t="s">
        <v>110</v>
      </c>
      <c r="G23" s="119"/>
      <c r="H23" s="8" t="s">
        <v>110</v>
      </c>
      <c r="I23" s="8" t="s">
        <v>110</v>
      </c>
      <c r="J23" s="8" t="s">
        <v>110</v>
      </c>
      <c r="K23" s="8" t="s">
        <v>110</v>
      </c>
      <c r="L23" s="8" t="s">
        <v>110</v>
      </c>
      <c r="M23" s="8" t="s">
        <v>800</v>
      </c>
      <c r="N23" s="119"/>
      <c r="O23" s="8" t="s">
        <v>110</v>
      </c>
      <c r="P23" s="8" t="s">
        <v>110</v>
      </c>
      <c r="Q23" s="8" t="s">
        <v>110</v>
      </c>
      <c r="R23" s="140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2"/>
      <c r="AK23" s="5">
        <f t="shared" si="1"/>
        <v>10</v>
      </c>
      <c r="AL23" s="5">
        <f t="shared" si="2"/>
        <v>0</v>
      </c>
    </row>
    <row r="24" spans="1:42" x14ac:dyDescent="0.25">
      <c r="A24" s="21">
        <v>20</v>
      </c>
      <c r="B24" s="21">
        <v>527</v>
      </c>
      <c r="C24" s="26" t="s">
        <v>482</v>
      </c>
      <c r="D24" s="26" t="s">
        <v>483</v>
      </c>
      <c r="E24" s="20" t="s">
        <v>452</v>
      </c>
      <c r="F24" s="8" t="s">
        <v>110</v>
      </c>
      <c r="G24" s="119"/>
      <c r="H24" s="8" t="s">
        <v>110</v>
      </c>
      <c r="I24" s="8" t="s">
        <v>110</v>
      </c>
      <c r="J24" s="8" t="s">
        <v>110</v>
      </c>
      <c r="K24" s="8" t="s">
        <v>110</v>
      </c>
      <c r="L24" s="8" t="s">
        <v>110</v>
      </c>
      <c r="M24" s="8" t="s">
        <v>800</v>
      </c>
      <c r="N24" s="119"/>
      <c r="O24" s="8" t="s">
        <v>110</v>
      </c>
      <c r="P24" s="8" t="s">
        <v>110</v>
      </c>
      <c r="Q24" s="8" t="s">
        <v>110</v>
      </c>
      <c r="R24" s="140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2"/>
      <c r="AK24" s="5" t="s">
        <v>793</v>
      </c>
      <c r="AL24" s="5">
        <f t="shared" si="2"/>
        <v>0</v>
      </c>
    </row>
    <row r="25" spans="1:42" x14ac:dyDescent="0.25">
      <c r="A25" s="9">
        <v>1</v>
      </c>
      <c r="B25" s="9">
        <v>596</v>
      </c>
      <c r="C25" s="26" t="s">
        <v>128</v>
      </c>
      <c r="D25" s="26" t="s">
        <v>224</v>
      </c>
      <c r="E25" s="20" t="s">
        <v>452</v>
      </c>
      <c r="F25" s="8" t="s">
        <v>110</v>
      </c>
      <c r="G25" s="119"/>
      <c r="H25" s="8" t="s">
        <v>796</v>
      </c>
      <c r="I25" s="8" t="s">
        <v>796</v>
      </c>
      <c r="J25" s="8" t="s">
        <v>796</v>
      </c>
      <c r="K25" s="8" t="s">
        <v>796</v>
      </c>
      <c r="L25" s="8" t="s">
        <v>796</v>
      </c>
      <c r="M25" s="8" t="s">
        <v>796</v>
      </c>
      <c r="N25" s="119"/>
      <c r="O25" s="8" t="s">
        <v>796</v>
      </c>
      <c r="P25" s="8" t="s">
        <v>796</v>
      </c>
      <c r="Q25" s="8" t="s">
        <v>796</v>
      </c>
      <c r="R25" s="140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2"/>
      <c r="AK25" s="5">
        <f t="shared" si="1"/>
        <v>1</v>
      </c>
      <c r="AL25" s="5">
        <f t="shared" si="2"/>
        <v>9</v>
      </c>
    </row>
    <row r="26" spans="1:42" x14ac:dyDescent="0.25">
      <c r="A26" s="21">
        <v>2</v>
      </c>
      <c r="B26" s="21">
        <v>544</v>
      </c>
      <c r="C26" s="26" t="s">
        <v>484</v>
      </c>
      <c r="D26" s="26" t="s">
        <v>485</v>
      </c>
      <c r="E26" s="20" t="s">
        <v>452</v>
      </c>
      <c r="F26" s="8" t="s">
        <v>110</v>
      </c>
      <c r="G26" s="119"/>
      <c r="H26" s="8" t="s">
        <v>110</v>
      </c>
      <c r="I26" s="8" t="s">
        <v>110</v>
      </c>
      <c r="J26" s="8" t="s">
        <v>110</v>
      </c>
      <c r="K26" s="8" t="s">
        <v>110</v>
      </c>
      <c r="L26" s="8" t="s">
        <v>110</v>
      </c>
      <c r="M26" s="8" t="s">
        <v>110</v>
      </c>
      <c r="N26" s="119"/>
      <c r="O26" s="8" t="s">
        <v>110</v>
      </c>
      <c r="P26" s="8" t="s">
        <v>110</v>
      </c>
      <c r="Q26" s="8" t="s">
        <v>110</v>
      </c>
      <c r="R26" s="140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2"/>
      <c r="AK26" s="5">
        <f t="shared" si="1"/>
        <v>10</v>
      </c>
      <c r="AL26" s="5">
        <f t="shared" si="2"/>
        <v>0</v>
      </c>
    </row>
    <row r="27" spans="1:42" x14ac:dyDescent="0.25">
      <c r="A27" s="9">
        <v>3</v>
      </c>
      <c r="B27" s="9">
        <v>590</v>
      </c>
      <c r="C27" s="26" t="s">
        <v>486</v>
      </c>
      <c r="D27" s="26" t="s">
        <v>487</v>
      </c>
      <c r="E27" s="20" t="s">
        <v>452</v>
      </c>
      <c r="F27" s="8" t="s">
        <v>110</v>
      </c>
      <c r="G27" s="119"/>
      <c r="H27" s="8" t="s">
        <v>110</v>
      </c>
      <c r="I27" s="8" t="s">
        <v>110</v>
      </c>
      <c r="J27" s="8" t="s">
        <v>110</v>
      </c>
      <c r="K27" s="8" t="s">
        <v>110</v>
      </c>
      <c r="L27" s="8" t="s">
        <v>796</v>
      </c>
      <c r="M27" s="8" t="s">
        <v>110</v>
      </c>
      <c r="N27" s="119"/>
      <c r="O27" s="8" t="s">
        <v>110</v>
      </c>
      <c r="P27" s="8" t="s">
        <v>110</v>
      </c>
      <c r="Q27" s="8" t="s">
        <v>110</v>
      </c>
      <c r="R27" s="140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2"/>
      <c r="AK27" s="5">
        <f t="shared" si="1"/>
        <v>9</v>
      </c>
      <c r="AL27" s="5">
        <f t="shared" si="2"/>
        <v>1</v>
      </c>
    </row>
    <row r="28" spans="1:42" x14ac:dyDescent="0.25">
      <c r="A28" s="21">
        <v>4</v>
      </c>
      <c r="B28" s="21">
        <v>594</v>
      </c>
      <c r="C28" s="26" t="s">
        <v>488</v>
      </c>
      <c r="D28" s="26" t="s">
        <v>489</v>
      </c>
      <c r="E28" s="20" t="s">
        <v>452</v>
      </c>
      <c r="F28" s="8" t="s">
        <v>110</v>
      </c>
      <c r="G28" s="119"/>
      <c r="H28" s="8" t="s">
        <v>110</v>
      </c>
      <c r="I28" s="8" t="s">
        <v>110</v>
      </c>
      <c r="J28" s="8" t="s">
        <v>110</v>
      </c>
      <c r="K28" s="8" t="s">
        <v>110</v>
      </c>
      <c r="L28" s="8" t="s">
        <v>110</v>
      </c>
      <c r="M28" s="8" t="s">
        <v>110</v>
      </c>
      <c r="N28" s="119"/>
      <c r="O28" s="8" t="s">
        <v>110</v>
      </c>
      <c r="P28" s="8" t="s">
        <v>110</v>
      </c>
      <c r="Q28" s="8" t="s">
        <v>110</v>
      </c>
      <c r="R28" s="140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2"/>
      <c r="AK28" s="5">
        <f t="shared" si="1"/>
        <v>10</v>
      </c>
      <c r="AL28" s="5">
        <f t="shared" si="2"/>
        <v>0</v>
      </c>
    </row>
    <row r="29" spans="1:42" x14ac:dyDescent="0.25">
      <c r="A29" s="9">
        <v>5</v>
      </c>
      <c r="B29" s="9">
        <v>554</v>
      </c>
      <c r="C29" s="26" t="s">
        <v>413</v>
      </c>
      <c r="D29" s="26" t="s">
        <v>490</v>
      </c>
      <c r="E29" s="20" t="s">
        <v>452</v>
      </c>
      <c r="F29" s="8" t="s">
        <v>110</v>
      </c>
      <c r="G29" s="119"/>
      <c r="H29" s="8" t="s">
        <v>110</v>
      </c>
      <c r="I29" s="8" t="s">
        <v>110</v>
      </c>
      <c r="J29" s="8" t="s">
        <v>110</v>
      </c>
      <c r="K29" s="8" t="s">
        <v>110</v>
      </c>
      <c r="L29" s="8" t="s">
        <v>110</v>
      </c>
      <c r="M29" s="8" t="s">
        <v>110</v>
      </c>
      <c r="N29" s="119"/>
      <c r="O29" s="8" t="s">
        <v>110</v>
      </c>
      <c r="P29" s="8" t="s">
        <v>110</v>
      </c>
      <c r="Q29" s="8" t="s">
        <v>110</v>
      </c>
      <c r="R29" s="140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2"/>
      <c r="AK29" s="5">
        <f t="shared" si="1"/>
        <v>10</v>
      </c>
      <c r="AL29" s="5">
        <f t="shared" si="2"/>
        <v>0</v>
      </c>
    </row>
    <row r="30" spans="1:42" x14ac:dyDescent="0.25">
      <c r="A30" s="21">
        <v>6</v>
      </c>
      <c r="B30" s="21">
        <v>494</v>
      </c>
      <c r="C30" s="26" t="s">
        <v>132</v>
      </c>
      <c r="D30" s="26" t="s">
        <v>454</v>
      </c>
      <c r="E30" s="20" t="s">
        <v>452</v>
      </c>
      <c r="F30" s="8" t="s">
        <v>796</v>
      </c>
      <c r="G30" s="119"/>
      <c r="H30" s="8" t="s">
        <v>110</v>
      </c>
      <c r="I30" s="8" t="s">
        <v>110</v>
      </c>
      <c r="J30" s="8" t="s">
        <v>110</v>
      </c>
      <c r="K30" s="8" t="s">
        <v>110</v>
      </c>
      <c r="L30" s="8" t="s">
        <v>110</v>
      </c>
      <c r="M30" s="8" t="s">
        <v>110</v>
      </c>
      <c r="N30" s="119"/>
      <c r="O30" s="8" t="s">
        <v>110</v>
      </c>
      <c r="P30" s="8" t="s">
        <v>110</v>
      </c>
      <c r="Q30" s="8" t="s">
        <v>110</v>
      </c>
      <c r="R30" s="140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2"/>
      <c r="AK30" s="5">
        <f t="shared" si="1"/>
        <v>9</v>
      </c>
      <c r="AL30" s="5">
        <f t="shared" si="2"/>
        <v>1</v>
      </c>
    </row>
    <row r="31" spans="1:42" x14ac:dyDescent="0.25">
      <c r="A31" s="9">
        <v>7</v>
      </c>
      <c r="B31" s="21">
        <v>599</v>
      </c>
      <c r="C31" s="24" t="s">
        <v>491</v>
      </c>
      <c r="D31" s="25" t="s">
        <v>492</v>
      </c>
      <c r="E31" s="20" t="s">
        <v>452</v>
      </c>
      <c r="F31" s="8" t="s">
        <v>110</v>
      </c>
      <c r="G31" s="119"/>
      <c r="H31" s="8" t="s">
        <v>110</v>
      </c>
      <c r="I31" s="8" t="s">
        <v>796</v>
      </c>
      <c r="J31" s="8" t="s">
        <v>110</v>
      </c>
      <c r="K31" s="8" t="s">
        <v>110</v>
      </c>
      <c r="L31" s="8" t="s">
        <v>110</v>
      </c>
      <c r="M31" s="8" t="s">
        <v>110</v>
      </c>
      <c r="N31" s="119"/>
      <c r="O31" s="8" t="s">
        <v>110</v>
      </c>
      <c r="P31" s="8" t="s">
        <v>110</v>
      </c>
      <c r="Q31" s="8" t="s">
        <v>110</v>
      </c>
      <c r="R31" s="140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2"/>
      <c r="AK31" s="5">
        <f t="shared" si="1"/>
        <v>9</v>
      </c>
      <c r="AL31" s="5">
        <f t="shared" si="2"/>
        <v>1</v>
      </c>
    </row>
    <row r="32" spans="1:42" x14ac:dyDescent="0.25">
      <c r="A32" s="21">
        <v>8</v>
      </c>
      <c r="B32" s="21">
        <v>694</v>
      </c>
      <c r="C32" s="24" t="s">
        <v>493</v>
      </c>
      <c r="D32" s="25" t="s">
        <v>494</v>
      </c>
      <c r="E32" s="20" t="s">
        <v>452</v>
      </c>
      <c r="F32" s="8" t="s">
        <v>110</v>
      </c>
      <c r="G32" s="119"/>
      <c r="H32" s="8" t="s">
        <v>110</v>
      </c>
      <c r="I32" s="8" t="s">
        <v>110</v>
      </c>
      <c r="J32" s="8" t="s">
        <v>110</v>
      </c>
      <c r="K32" s="8" t="s">
        <v>110</v>
      </c>
      <c r="L32" s="8" t="s">
        <v>110</v>
      </c>
      <c r="M32" s="8" t="s">
        <v>110</v>
      </c>
      <c r="N32" s="119"/>
      <c r="O32" s="8" t="s">
        <v>110</v>
      </c>
      <c r="P32" s="8" t="s">
        <v>110</v>
      </c>
      <c r="Q32" s="8" t="s">
        <v>110</v>
      </c>
      <c r="R32" s="140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2"/>
      <c r="AK32" s="5">
        <f t="shared" si="1"/>
        <v>10</v>
      </c>
      <c r="AL32" s="5">
        <f t="shared" si="2"/>
        <v>0</v>
      </c>
    </row>
    <row r="33" spans="1:38" x14ac:dyDescent="0.25">
      <c r="A33" s="9">
        <v>9</v>
      </c>
      <c r="B33" s="21">
        <v>506</v>
      </c>
      <c r="C33" s="24" t="s">
        <v>495</v>
      </c>
      <c r="D33" s="25" t="s">
        <v>496</v>
      </c>
      <c r="E33" s="20" t="s">
        <v>452</v>
      </c>
      <c r="F33" s="8" t="s">
        <v>110</v>
      </c>
      <c r="G33" s="119"/>
      <c r="H33" s="8" t="s">
        <v>110</v>
      </c>
      <c r="I33" s="8" t="s">
        <v>110</v>
      </c>
      <c r="J33" s="8" t="s">
        <v>110</v>
      </c>
      <c r="K33" s="8" t="s">
        <v>110</v>
      </c>
      <c r="L33" s="8" t="s">
        <v>110</v>
      </c>
      <c r="M33" s="8" t="s">
        <v>110</v>
      </c>
      <c r="N33" s="119"/>
      <c r="O33" s="8" t="s">
        <v>110</v>
      </c>
      <c r="P33" s="8" t="s">
        <v>110</v>
      </c>
      <c r="Q33" s="8" t="s">
        <v>110</v>
      </c>
      <c r="R33" s="140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2"/>
      <c r="AK33" s="5">
        <f t="shared" si="1"/>
        <v>10</v>
      </c>
      <c r="AL33" s="5">
        <f t="shared" si="2"/>
        <v>0</v>
      </c>
    </row>
    <row r="34" spans="1:38" x14ac:dyDescent="0.25">
      <c r="A34" s="21">
        <v>10</v>
      </c>
      <c r="B34" s="21">
        <v>471</v>
      </c>
      <c r="C34" s="24" t="s">
        <v>497</v>
      </c>
      <c r="D34" s="25" t="s">
        <v>498</v>
      </c>
      <c r="E34" s="20" t="s">
        <v>452</v>
      </c>
      <c r="F34" s="8" t="s">
        <v>110</v>
      </c>
      <c r="G34" s="119"/>
      <c r="H34" s="8" t="s">
        <v>110</v>
      </c>
      <c r="I34" s="8" t="s">
        <v>110</v>
      </c>
      <c r="J34" s="8" t="s">
        <v>110</v>
      </c>
      <c r="K34" s="8" t="s">
        <v>110</v>
      </c>
      <c r="L34" s="8" t="s">
        <v>110</v>
      </c>
      <c r="M34" s="8" t="s">
        <v>110</v>
      </c>
      <c r="N34" s="119"/>
      <c r="O34" s="8" t="s">
        <v>110</v>
      </c>
      <c r="P34" s="8" t="s">
        <v>110</v>
      </c>
      <c r="Q34" s="8" t="s">
        <v>110</v>
      </c>
      <c r="R34" s="140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2"/>
      <c r="AK34" s="5">
        <f t="shared" si="1"/>
        <v>10</v>
      </c>
      <c r="AL34" s="5">
        <f t="shared" si="2"/>
        <v>0</v>
      </c>
    </row>
    <row r="35" spans="1:38" x14ac:dyDescent="0.25">
      <c r="A35" s="9">
        <v>11</v>
      </c>
      <c r="B35" s="21">
        <v>537</v>
      </c>
      <c r="C35" s="24" t="s">
        <v>499</v>
      </c>
      <c r="D35" s="25" t="s">
        <v>500</v>
      </c>
      <c r="E35" s="20" t="s">
        <v>452</v>
      </c>
      <c r="F35" s="8" t="s">
        <v>110</v>
      </c>
      <c r="G35" s="119"/>
      <c r="H35" s="8" t="s">
        <v>110</v>
      </c>
      <c r="I35" s="8" t="s">
        <v>110</v>
      </c>
      <c r="J35" s="8" t="s">
        <v>110</v>
      </c>
      <c r="K35" s="8" t="s">
        <v>110</v>
      </c>
      <c r="L35" s="8" t="s">
        <v>110</v>
      </c>
      <c r="M35" s="8" t="s">
        <v>110</v>
      </c>
      <c r="N35" s="119"/>
      <c r="O35" s="8" t="s">
        <v>110</v>
      </c>
      <c r="P35" s="8" t="s">
        <v>110</v>
      </c>
      <c r="Q35" s="8" t="s">
        <v>110</v>
      </c>
      <c r="R35" s="140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2"/>
      <c r="AK35" s="5">
        <f t="shared" si="1"/>
        <v>10</v>
      </c>
      <c r="AL35" s="5">
        <f t="shared" si="2"/>
        <v>0</v>
      </c>
    </row>
    <row r="36" spans="1:38" x14ac:dyDescent="0.25">
      <c r="A36" s="21">
        <v>12</v>
      </c>
      <c r="B36" s="21">
        <v>698</v>
      </c>
      <c r="C36" s="24" t="s">
        <v>501</v>
      </c>
      <c r="D36" s="25" t="s">
        <v>502</v>
      </c>
      <c r="E36" s="20" t="s">
        <v>452</v>
      </c>
      <c r="F36" s="8" t="s">
        <v>110</v>
      </c>
      <c r="G36" s="119"/>
      <c r="H36" s="8" t="s">
        <v>110</v>
      </c>
      <c r="I36" s="8" t="s">
        <v>110</v>
      </c>
      <c r="J36" s="8" t="s">
        <v>110</v>
      </c>
      <c r="K36" s="8" t="s">
        <v>110</v>
      </c>
      <c r="L36" s="8" t="s">
        <v>110</v>
      </c>
      <c r="M36" s="8" t="s">
        <v>110</v>
      </c>
      <c r="N36" s="119"/>
      <c r="O36" s="8" t="s">
        <v>110</v>
      </c>
      <c r="P36" s="8" t="s">
        <v>110</v>
      </c>
      <c r="Q36" s="8" t="s">
        <v>110</v>
      </c>
      <c r="R36" s="140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2"/>
      <c r="AK36" s="5">
        <f t="shared" si="1"/>
        <v>10</v>
      </c>
      <c r="AL36" s="5">
        <f t="shared" si="2"/>
        <v>0</v>
      </c>
    </row>
    <row r="37" spans="1:38" x14ac:dyDescent="0.25">
      <c r="A37" s="9">
        <v>13</v>
      </c>
      <c r="B37" s="21">
        <v>524</v>
      </c>
      <c r="C37" s="24" t="s">
        <v>503</v>
      </c>
      <c r="D37" s="25" t="s">
        <v>504</v>
      </c>
      <c r="E37" s="20" t="s">
        <v>452</v>
      </c>
      <c r="F37" s="8" t="s">
        <v>110</v>
      </c>
      <c r="G37" s="119"/>
      <c r="H37" s="8" t="s">
        <v>110</v>
      </c>
      <c r="I37" s="8" t="s">
        <v>110</v>
      </c>
      <c r="J37" s="8" t="s">
        <v>110</v>
      </c>
      <c r="K37" s="8" t="s">
        <v>110</v>
      </c>
      <c r="L37" s="8" t="s">
        <v>110</v>
      </c>
      <c r="M37" s="8" t="s">
        <v>110</v>
      </c>
      <c r="N37" s="119"/>
      <c r="O37" s="8" t="s">
        <v>110</v>
      </c>
      <c r="P37" s="8" t="s">
        <v>110</v>
      </c>
      <c r="Q37" s="8" t="s">
        <v>110</v>
      </c>
      <c r="R37" s="140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2"/>
      <c r="AK37" s="5">
        <f t="shared" si="1"/>
        <v>10</v>
      </c>
      <c r="AL37" s="5">
        <f t="shared" si="2"/>
        <v>0</v>
      </c>
    </row>
    <row r="38" spans="1:38" x14ac:dyDescent="0.25">
      <c r="A38" s="21">
        <v>14</v>
      </c>
      <c r="B38" s="21">
        <v>438</v>
      </c>
      <c r="C38" s="24" t="s">
        <v>505</v>
      </c>
      <c r="D38" s="25" t="s">
        <v>259</v>
      </c>
      <c r="E38" s="20" t="s">
        <v>452</v>
      </c>
      <c r="F38" s="8" t="s">
        <v>110</v>
      </c>
      <c r="G38" s="119"/>
      <c r="H38" s="8" t="s">
        <v>110</v>
      </c>
      <c r="I38" s="8" t="s">
        <v>110</v>
      </c>
      <c r="J38" s="8" t="s">
        <v>110</v>
      </c>
      <c r="K38" s="8" t="s">
        <v>110</v>
      </c>
      <c r="L38" s="8" t="s">
        <v>110</v>
      </c>
      <c r="M38" s="8" t="s">
        <v>110</v>
      </c>
      <c r="N38" s="119"/>
      <c r="O38" s="8" t="s">
        <v>110</v>
      </c>
      <c r="P38" s="8" t="s">
        <v>110</v>
      </c>
      <c r="Q38" s="8" t="s">
        <v>110</v>
      </c>
      <c r="R38" s="140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2"/>
      <c r="AK38" s="5">
        <f t="shared" si="1"/>
        <v>10</v>
      </c>
      <c r="AL38" s="5">
        <f t="shared" si="2"/>
        <v>0</v>
      </c>
    </row>
    <row r="39" spans="1:38" x14ac:dyDescent="0.25">
      <c r="A39" s="9">
        <v>15</v>
      </c>
      <c r="B39" s="21">
        <v>445</v>
      </c>
      <c r="C39" s="24" t="s">
        <v>506</v>
      </c>
      <c r="D39" s="25" t="s">
        <v>507</v>
      </c>
      <c r="E39" s="20" t="s">
        <v>452</v>
      </c>
      <c r="F39" s="8" t="s">
        <v>110</v>
      </c>
      <c r="G39" s="119"/>
      <c r="H39" s="8" t="s">
        <v>110</v>
      </c>
      <c r="I39" s="8" t="s">
        <v>110</v>
      </c>
      <c r="J39" s="8" t="s">
        <v>110</v>
      </c>
      <c r="K39" s="8" t="s">
        <v>110</v>
      </c>
      <c r="L39" s="8" t="s">
        <v>110</v>
      </c>
      <c r="M39" s="8" t="s">
        <v>110</v>
      </c>
      <c r="N39" s="119"/>
      <c r="O39" s="8" t="s">
        <v>110</v>
      </c>
      <c r="P39" s="8" t="s">
        <v>110</v>
      </c>
      <c r="Q39" s="8" t="s">
        <v>110</v>
      </c>
      <c r="R39" s="140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2"/>
      <c r="AK39" s="5">
        <f t="shared" si="1"/>
        <v>10</v>
      </c>
      <c r="AL39" s="5">
        <f t="shared" si="2"/>
        <v>0</v>
      </c>
    </row>
    <row r="40" spans="1:38" x14ac:dyDescent="0.25">
      <c r="A40" s="21">
        <v>16</v>
      </c>
      <c r="B40" s="21">
        <v>532</v>
      </c>
      <c r="C40" s="24" t="s">
        <v>508</v>
      </c>
      <c r="D40" s="25" t="s">
        <v>89</v>
      </c>
      <c r="E40" s="20" t="s">
        <v>452</v>
      </c>
      <c r="F40" s="8" t="s">
        <v>110</v>
      </c>
      <c r="G40" s="119"/>
      <c r="H40" s="8" t="s">
        <v>110</v>
      </c>
      <c r="I40" s="8" t="s">
        <v>110</v>
      </c>
      <c r="J40" s="8" t="s">
        <v>110</v>
      </c>
      <c r="K40" s="8" t="s">
        <v>110</v>
      </c>
      <c r="L40" s="8" t="s">
        <v>110</v>
      </c>
      <c r="M40" s="8" t="s">
        <v>110</v>
      </c>
      <c r="N40" s="119"/>
      <c r="O40" s="8" t="s">
        <v>110</v>
      </c>
      <c r="P40" s="8" t="s">
        <v>110</v>
      </c>
      <c r="Q40" s="8" t="s">
        <v>110</v>
      </c>
      <c r="R40" s="140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2"/>
      <c r="AK40" s="5">
        <f t="shared" si="1"/>
        <v>10</v>
      </c>
      <c r="AL40" s="5">
        <f t="shared" si="2"/>
        <v>0</v>
      </c>
    </row>
    <row r="41" spans="1:38" x14ac:dyDescent="0.25">
      <c r="A41" s="9">
        <v>17</v>
      </c>
      <c r="B41" s="21">
        <v>643</v>
      </c>
      <c r="C41" s="24" t="s">
        <v>509</v>
      </c>
      <c r="D41" s="25" t="s">
        <v>510</v>
      </c>
      <c r="E41" s="20" t="s">
        <v>452</v>
      </c>
      <c r="F41" s="8" t="s">
        <v>110</v>
      </c>
      <c r="G41" s="119"/>
      <c r="H41" s="8" t="s">
        <v>110</v>
      </c>
      <c r="I41" s="8" t="s">
        <v>110</v>
      </c>
      <c r="J41" s="8" t="s">
        <v>110</v>
      </c>
      <c r="K41" s="8" t="s">
        <v>110</v>
      </c>
      <c r="L41" s="8" t="s">
        <v>110</v>
      </c>
      <c r="M41" s="8" t="s">
        <v>110</v>
      </c>
      <c r="N41" s="119"/>
      <c r="O41" s="8" t="s">
        <v>110</v>
      </c>
      <c r="P41" s="8" t="s">
        <v>110</v>
      </c>
      <c r="Q41" s="8" t="s">
        <v>110</v>
      </c>
      <c r="R41" s="140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2"/>
      <c r="AK41" s="5">
        <f t="shared" si="1"/>
        <v>10</v>
      </c>
      <c r="AL41" s="5">
        <f t="shared" si="2"/>
        <v>0</v>
      </c>
    </row>
    <row r="42" spans="1:38" x14ac:dyDescent="0.25">
      <c r="A42" s="21">
        <v>18</v>
      </c>
      <c r="B42" s="21">
        <v>519</v>
      </c>
      <c r="C42" s="24" t="s">
        <v>511</v>
      </c>
      <c r="D42" s="25" t="s">
        <v>512</v>
      </c>
      <c r="E42" s="20" t="s">
        <v>452</v>
      </c>
      <c r="F42" s="8" t="s">
        <v>110</v>
      </c>
      <c r="G42" s="119"/>
      <c r="H42" s="8" t="s">
        <v>110</v>
      </c>
      <c r="I42" s="8" t="s">
        <v>110</v>
      </c>
      <c r="J42" s="8" t="s">
        <v>110</v>
      </c>
      <c r="K42" s="8" t="s">
        <v>110</v>
      </c>
      <c r="L42" s="8" t="s">
        <v>110</v>
      </c>
      <c r="M42" s="8" t="s">
        <v>110</v>
      </c>
      <c r="N42" s="119"/>
      <c r="O42" s="8" t="s">
        <v>110</v>
      </c>
      <c r="P42" s="8" t="s">
        <v>110</v>
      </c>
      <c r="Q42" s="8" t="s">
        <v>110</v>
      </c>
      <c r="R42" s="140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42"/>
      <c r="AK42" s="5">
        <f t="shared" si="1"/>
        <v>10</v>
      </c>
      <c r="AL42" s="5">
        <f t="shared" si="2"/>
        <v>0</v>
      </c>
    </row>
    <row r="43" spans="1:38" x14ac:dyDescent="0.25">
      <c r="A43" s="9">
        <v>19</v>
      </c>
      <c r="B43" s="21">
        <v>611</v>
      </c>
      <c r="C43" s="24" t="s">
        <v>513</v>
      </c>
      <c r="D43" s="25" t="s">
        <v>64</v>
      </c>
      <c r="E43" s="20" t="s">
        <v>452</v>
      </c>
      <c r="F43" s="8" t="s">
        <v>110</v>
      </c>
      <c r="G43" s="119"/>
      <c r="H43" s="8" t="s">
        <v>110</v>
      </c>
      <c r="I43" s="8" t="s">
        <v>110</v>
      </c>
      <c r="J43" s="8" t="s">
        <v>110</v>
      </c>
      <c r="K43" s="8" t="s">
        <v>110</v>
      </c>
      <c r="L43" s="8" t="s">
        <v>110</v>
      </c>
      <c r="M43" s="8" t="s">
        <v>110</v>
      </c>
      <c r="N43" s="119"/>
      <c r="O43" s="8" t="s">
        <v>110</v>
      </c>
      <c r="P43" s="8" t="s">
        <v>110</v>
      </c>
      <c r="Q43" s="8" t="s">
        <v>110</v>
      </c>
      <c r="R43" s="140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1"/>
      <c r="AJ43" s="142"/>
      <c r="AK43" s="5">
        <f t="shared" si="1"/>
        <v>10</v>
      </c>
      <c r="AL43" s="5">
        <f t="shared" si="2"/>
        <v>0</v>
      </c>
    </row>
    <row r="44" spans="1:38" x14ac:dyDescent="0.25">
      <c r="A44" s="21">
        <v>20</v>
      </c>
      <c r="B44" s="21">
        <v>695</v>
      </c>
      <c r="C44" s="24" t="s">
        <v>514</v>
      </c>
      <c r="D44" s="25" t="s">
        <v>515</v>
      </c>
      <c r="E44" s="20" t="s">
        <v>452</v>
      </c>
      <c r="F44" s="8" t="s">
        <v>110</v>
      </c>
      <c r="G44" s="119"/>
      <c r="H44" s="8" t="s">
        <v>110</v>
      </c>
      <c r="I44" s="8" t="s">
        <v>110</v>
      </c>
      <c r="J44" s="8" t="s">
        <v>796</v>
      </c>
      <c r="K44" s="8" t="s">
        <v>110</v>
      </c>
      <c r="L44" s="8" t="s">
        <v>110</v>
      </c>
      <c r="M44" s="8" t="s">
        <v>110</v>
      </c>
      <c r="N44" s="119"/>
      <c r="O44" s="8" t="s">
        <v>110</v>
      </c>
      <c r="P44" s="8" t="s">
        <v>110</v>
      </c>
      <c r="Q44" s="8" t="s">
        <v>110</v>
      </c>
      <c r="R44" s="140"/>
      <c r="S44" s="141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1"/>
      <c r="AJ44" s="142"/>
      <c r="AK44" s="5">
        <f t="shared" si="1"/>
        <v>9</v>
      </c>
      <c r="AL44" s="5">
        <f t="shared" si="2"/>
        <v>1</v>
      </c>
    </row>
    <row r="45" spans="1:38" x14ac:dyDescent="0.25">
      <c r="A45" s="9">
        <v>21</v>
      </c>
      <c r="B45" s="21">
        <v>598</v>
      </c>
      <c r="C45" s="24" t="s">
        <v>516</v>
      </c>
      <c r="D45" s="25" t="s">
        <v>141</v>
      </c>
      <c r="E45" s="20" t="s">
        <v>452</v>
      </c>
      <c r="F45" s="8" t="s">
        <v>110</v>
      </c>
      <c r="G45" s="119"/>
      <c r="H45" s="8" t="s">
        <v>110</v>
      </c>
      <c r="I45" s="8" t="s">
        <v>110</v>
      </c>
      <c r="J45" s="8" t="s">
        <v>110</v>
      </c>
      <c r="K45" s="8" t="s">
        <v>110</v>
      </c>
      <c r="L45" s="8" t="s">
        <v>110</v>
      </c>
      <c r="M45" s="8" t="s">
        <v>110</v>
      </c>
      <c r="N45" s="119"/>
      <c r="O45" s="8" t="s">
        <v>110</v>
      </c>
      <c r="P45" s="8" t="s">
        <v>110</v>
      </c>
      <c r="Q45" s="8" t="s">
        <v>110</v>
      </c>
      <c r="R45" s="140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2"/>
      <c r="AK45" s="5">
        <f t="shared" si="1"/>
        <v>10</v>
      </c>
      <c r="AL45" s="5">
        <f t="shared" si="2"/>
        <v>0</v>
      </c>
    </row>
    <row r="46" spans="1:38" x14ac:dyDescent="0.25">
      <c r="A46" s="21">
        <v>22</v>
      </c>
      <c r="B46" s="21">
        <v>864</v>
      </c>
      <c r="C46" s="24" t="s">
        <v>517</v>
      </c>
      <c r="D46" s="25" t="s">
        <v>131</v>
      </c>
      <c r="E46" s="20" t="s">
        <v>452</v>
      </c>
      <c r="F46" s="8" t="s">
        <v>110</v>
      </c>
      <c r="G46" s="119"/>
      <c r="H46" s="8" t="s">
        <v>110</v>
      </c>
      <c r="I46" s="8" t="s">
        <v>110</v>
      </c>
      <c r="J46" s="8" t="s">
        <v>110</v>
      </c>
      <c r="K46" s="8" t="s">
        <v>110</v>
      </c>
      <c r="L46" s="8" t="s">
        <v>110</v>
      </c>
      <c r="M46" s="8" t="s">
        <v>110</v>
      </c>
      <c r="N46" s="119"/>
      <c r="O46" s="8" t="s">
        <v>110</v>
      </c>
      <c r="P46" s="8" t="s">
        <v>110</v>
      </c>
      <c r="Q46" s="8" t="s">
        <v>110</v>
      </c>
      <c r="R46" s="140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2"/>
      <c r="AK46" s="5">
        <f t="shared" si="1"/>
        <v>10</v>
      </c>
      <c r="AL46" s="5">
        <f t="shared" si="2"/>
        <v>0</v>
      </c>
    </row>
    <row r="47" spans="1:38" x14ac:dyDescent="0.25">
      <c r="A47" s="9">
        <v>23</v>
      </c>
      <c r="B47" s="21">
        <v>699</v>
      </c>
      <c r="C47" s="24" t="s">
        <v>518</v>
      </c>
      <c r="D47" s="25" t="s">
        <v>133</v>
      </c>
      <c r="E47" s="20" t="s">
        <v>452</v>
      </c>
      <c r="F47" s="8" t="s">
        <v>110</v>
      </c>
      <c r="G47" s="119"/>
      <c r="H47" s="8" t="s">
        <v>110</v>
      </c>
      <c r="I47" s="8" t="s">
        <v>110</v>
      </c>
      <c r="J47" s="8" t="s">
        <v>110</v>
      </c>
      <c r="K47" s="8" t="s">
        <v>110</v>
      </c>
      <c r="L47" s="8" t="s">
        <v>110</v>
      </c>
      <c r="M47" s="8" t="s">
        <v>110</v>
      </c>
      <c r="N47" s="119"/>
      <c r="O47" s="8" t="s">
        <v>110</v>
      </c>
      <c r="P47" s="8" t="s">
        <v>110</v>
      </c>
      <c r="Q47" s="8" t="s">
        <v>110</v>
      </c>
      <c r="R47" s="140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2"/>
      <c r="AK47" s="5">
        <f t="shared" si="1"/>
        <v>10</v>
      </c>
      <c r="AL47" s="5">
        <f t="shared" si="2"/>
        <v>0</v>
      </c>
    </row>
    <row r="48" spans="1:38" x14ac:dyDescent="0.25">
      <c r="A48" s="21">
        <v>24</v>
      </c>
      <c r="B48" s="21">
        <v>638</v>
      </c>
      <c r="C48" s="24" t="s">
        <v>519</v>
      </c>
      <c r="D48" s="24"/>
      <c r="E48" s="20" t="s">
        <v>452</v>
      </c>
      <c r="F48" s="8" t="s">
        <v>110</v>
      </c>
      <c r="G48" s="119"/>
      <c r="H48" s="8" t="s">
        <v>110</v>
      </c>
      <c r="I48" s="8" t="s">
        <v>110</v>
      </c>
      <c r="J48" s="8" t="s">
        <v>110</v>
      </c>
      <c r="K48" s="8" t="s">
        <v>110</v>
      </c>
      <c r="L48" s="8" t="s">
        <v>110</v>
      </c>
      <c r="M48" s="8" t="s">
        <v>110</v>
      </c>
      <c r="N48" s="119"/>
      <c r="O48" s="8" t="s">
        <v>110</v>
      </c>
      <c r="P48" s="8" t="s">
        <v>110</v>
      </c>
      <c r="Q48" s="8" t="s">
        <v>110</v>
      </c>
      <c r="R48" s="140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2"/>
      <c r="AK48" s="5">
        <f t="shared" si="1"/>
        <v>10</v>
      </c>
      <c r="AL48" s="5">
        <f t="shared" si="2"/>
        <v>0</v>
      </c>
    </row>
    <row r="49" spans="1:38" x14ac:dyDescent="0.25">
      <c r="A49" s="9">
        <v>25</v>
      </c>
      <c r="B49" s="21">
        <v>696</v>
      </c>
      <c r="C49" s="24" t="s">
        <v>520</v>
      </c>
      <c r="D49" s="25" t="s">
        <v>473</v>
      </c>
      <c r="E49" s="20" t="s">
        <v>452</v>
      </c>
      <c r="F49" s="8" t="s">
        <v>110</v>
      </c>
      <c r="G49" s="119"/>
      <c r="H49" s="8" t="s">
        <v>110</v>
      </c>
      <c r="I49" s="8" t="s">
        <v>110</v>
      </c>
      <c r="J49" s="8" t="s">
        <v>110</v>
      </c>
      <c r="K49" s="8" t="s">
        <v>110</v>
      </c>
      <c r="L49" s="8" t="s">
        <v>110</v>
      </c>
      <c r="M49" s="8" t="s">
        <v>110</v>
      </c>
      <c r="N49" s="119"/>
      <c r="O49" s="8" t="s">
        <v>110</v>
      </c>
      <c r="P49" s="8" t="s">
        <v>110</v>
      </c>
      <c r="Q49" s="8" t="s">
        <v>110</v>
      </c>
      <c r="R49" s="140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2"/>
      <c r="AK49" s="5">
        <f t="shared" si="1"/>
        <v>10</v>
      </c>
      <c r="AL49" s="5">
        <f t="shared" si="2"/>
        <v>0</v>
      </c>
    </row>
    <row r="50" spans="1:38" x14ac:dyDescent="0.25">
      <c r="A50" s="21">
        <v>26</v>
      </c>
      <c r="B50" s="21">
        <v>697</v>
      </c>
      <c r="C50" s="26" t="s">
        <v>521</v>
      </c>
      <c r="D50" s="26" t="s">
        <v>378</v>
      </c>
      <c r="E50" s="8" t="s">
        <v>452</v>
      </c>
      <c r="F50" s="8" t="s">
        <v>110</v>
      </c>
      <c r="G50" s="119"/>
      <c r="H50" s="8" t="s">
        <v>110</v>
      </c>
      <c r="I50" s="8" t="s">
        <v>110</v>
      </c>
      <c r="J50" s="8" t="s">
        <v>110</v>
      </c>
      <c r="K50" s="8" t="s">
        <v>110</v>
      </c>
      <c r="L50" s="8" t="s">
        <v>110</v>
      </c>
      <c r="M50" s="8" t="s">
        <v>110</v>
      </c>
      <c r="N50" s="119"/>
      <c r="O50" s="8" t="s">
        <v>110</v>
      </c>
      <c r="P50" s="8" t="s">
        <v>110</v>
      </c>
      <c r="Q50" s="8" t="s">
        <v>110</v>
      </c>
      <c r="R50" s="140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2"/>
      <c r="AK50" s="5">
        <f t="shared" si="1"/>
        <v>10</v>
      </c>
      <c r="AL50" s="5">
        <f t="shared" si="2"/>
        <v>0</v>
      </c>
    </row>
    <row r="51" spans="1:38" x14ac:dyDescent="0.25">
      <c r="A51" s="9">
        <v>27</v>
      </c>
      <c r="B51" s="9">
        <v>558</v>
      </c>
      <c r="C51" s="26" t="s">
        <v>522</v>
      </c>
      <c r="D51" s="26" t="s">
        <v>428</v>
      </c>
      <c r="E51" s="8" t="s">
        <v>452</v>
      </c>
      <c r="F51" s="8" t="s">
        <v>110</v>
      </c>
      <c r="G51" s="119"/>
      <c r="H51" s="8" t="s">
        <v>110</v>
      </c>
      <c r="I51" s="8" t="s">
        <v>110</v>
      </c>
      <c r="J51" s="8" t="s">
        <v>110</v>
      </c>
      <c r="K51" s="8" t="s">
        <v>110</v>
      </c>
      <c r="L51" s="8" t="s">
        <v>110</v>
      </c>
      <c r="M51" s="8" t="s">
        <v>110</v>
      </c>
      <c r="N51" s="119"/>
      <c r="O51" s="8" t="s">
        <v>110</v>
      </c>
      <c r="P51" s="8" t="s">
        <v>110</v>
      </c>
      <c r="Q51" s="8" t="s">
        <v>110</v>
      </c>
      <c r="R51" s="140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2"/>
      <c r="AK51" s="5">
        <f t="shared" si="1"/>
        <v>10</v>
      </c>
      <c r="AL51" s="5">
        <f t="shared" si="2"/>
        <v>0</v>
      </c>
    </row>
    <row r="52" spans="1:38" x14ac:dyDescent="0.25">
      <c r="A52" s="21">
        <v>28</v>
      </c>
      <c r="B52" s="21">
        <v>612</v>
      </c>
      <c r="C52" s="26" t="s">
        <v>522</v>
      </c>
      <c r="D52" s="26" t="s">
        <v>50</v>
      </c>
      <c r="E52" s="8" t="s">
        <v>452</v>
      </c>
      <c r="F52" s="8" t="s">
        <v>110</v>
      </c>
      <c r="G52" s="119"/>
      <c r="H52" s="8" t="s">
        <v>110</v>
      </c>
      <c r="I52" s="8" t="s">
        <v>110</v>
      </c>
      <c r="J52" s="8" t="s">
        <v>110</v>
      </c>
      <c r="K52" s="8" t="s">
        <v>110</v>
      </c>
      <c r="L52" s="8" t="s">
        <v>110</v>
      </c>
      <c r="M52" s="8" t="s">
        <v>110</v>
      </c>
      <c r="N52" s="119"/>
      <c r="O52" s="8" t="s">
        <v>110</v>
      </c>
      <c r="P52" s="8" t="s">
        <v>110</v>
      </c>
      <c r="Q52" s="8" t="s">
        <v>110</v>
      </c>
      <c r="R52" s="140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2"/>
      <c r="AK52" s="5">
        <f t="shared" si="1"/>
        <v>10</v>
      </c>
      <c r="AL52" s="5">
        <f t="shared" si="2"/>
        <v>0</v>
      </c>
    </row>
    <row r="53" spans="1:38" x14ac:dyDescent="0.25">
      <c r="A53" s="9">
        <v>29</v>
      </c>
      <c r="B53" s="9">
        <v>432</v>
      </c>
      <c r="C53" s="26" t="s">
        <v>523</v>
      </c>
      <c r="D53" s="26" t="s">
        <v>524</v>
      </c>
      <c r="E53" s="8" t="s">
        <v>452</v>
      </c>
      <c r="F53" s="8" t="s">
        <v>796</v>
      </c>
      <c r="G53" s="119"/>
      <c r="H53" s="8" t="s">
        <v>110</v>
      </c>
      <c r="I53" s="8" t="s">
        <v>110</v>
      </c>
      <c r="J53" s="8" t="s">
        <v>110</v>
      </c>
      <c r="K53" s="8" t="s">
        <v>110</v>
      </c>
      <c r="L53" s="8" t="s">
        <v>110</v>
      </c>
      <c r="M53" s="8" t="s">
        <v>110</v>
      </c>
      <c r="N53" s="119"/>
      <c r="O53" s="8" t="s">
        <v>110</v>
      </c>
      <c r="P53" s="8" t="s">
        <v>110</v>
      </c>
      <c r="Q53" s="8" t="s">
        <v>796</v>
      </c>
      <c r="R53" s="140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2"/>
      <c r="AK53" s="5">
        <f t="shared" si="1"/>
        <v>8</v>
      </c>
      <c r="AL53" s="5">
        <f t="shared" si="2"/>
        <v>2</v>
      </c>
    </row>
    <row r="54" spans="1:38" x14ac:dyDescent="0.25">
      <c r="A54" s="21">
        <v>30</v>
      </c>
      <c r="B54" s="21">
        <v>592</v>
      </c>
      <c r="C54" s="26" t="s">
        <v>525</v>
      </c>
      <c r="D54" s="26" t="s">
        <v>200</v>
      </c>
      <c r="E54" s="8" t="s">
        <v>452</v>
      </c>
      <c r="F54" s="8" t="s">
        <v>110</v>
      </c>
      <c r="G54" s="119"/>
      <c r="H54" s="8" t="s">
        <v>110</v>
      </c>
      <c r="I54" s="8" t="s">
        <v>110</v>
      </c>
      <c r="J54" s="8" t="s">
        <v>110</v>
      </c>
      <c r="K54" s="8" t="s">
        <v>110</v>
      </c>
      <c r="L54" s="8" t="s">
        <v>110</v>
      </c>
      <c r="M54" s="8" t="s">
        <v>110</v>
      </c>
      <c r="N54" s="119"/>
      <c r="O54" s="8" t="s">
        <v>110</v>
      </c>
      <c r="P54" s="8" t="s">
        <v>110</v>
      </c>
      <c r="Q54" s="8" t="s">
        <v>110</v>
      </c>
      <c r="R54" s="140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2"/>
      <c r="AK54" s="5">
        <f t="shared" si="1"/>
        <v>10</v>
      </c>
      <c r="AL54" s="5">
        <f t="shared" si="2"/>
        <v>0</v>
      </c>
    </row>
    <row r="55" spans="1:38" x14ac:dyDescent="0.25">
      <c r="A55" s="9">
        <v>31</v>
      </c>
      <c r="B55" s="9"/>
      <c r="C55" s="26" t="s">
        <v>526</v>
      </c>
      <c r="D55" s="26" t="s">
        <v>113</v>
      </c>
      <c r="E55" s="8" t="s">
        <v>452</v>
      </c>
      <c r="F55" s="8" t="s">
        <v>110</v>
      </c>
      <c r="G55" s="119"/>
      <c r="H55" s="8" t="s">
        <v>110</v>
      </c>
      <c r="I55" s="8" t="s">
        <v>110</v>
      </c>
      <c r="J55" s="8" t="s">
        <v>110</v>
      </c>
      <c r="K55" s="8" t="s">
        <v>110</v>
      </c>
      <c r="L55" s="8" t="s">
        <v>110</v>
      </c>
      <c r="M55" s="8" t="s">
        <v>110</v>
      </c>
      <c r="N55" s="119"/>
      <c r="O55" s="8" t="s">
        <v>110</v>
      </c>
      <c r="P55" s="8" t="s">
        <v>110</v>
      </c>
      <c r="Q55" s="8" t="s">
        <v>110</v>
      </c>
      <c r="R55" s="140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2"/>
      <c r="AK55" s="5">
        <f t="shared" si="1"/>
        <v>10</v>
      </c>
      <c r="AL55" s="5">
        <f t="shared" si="2"/>
        <v>0</v>
      </c>
    </row>
    <row r="56" spans="1:38" x14ac:dyDescent="0.25">
      <c r="A56" s="21">
        <v>32</v>
      </c>
      <c r="B56" s="21"/>
      <c r="C56" s="26" t="s">
        <v>527</v>
      </c>
      <c r="D56" s="26" t="s">
        <v>528</v>
      </c>
      <c r="E56" s="8" t="s">
        <v>452</v>
      </c>
      <c r="F56" s="8" t="s">
        <v>110</v>
      </c>
      <c r="G56" s="119"/>
      <c r="H56" s="8" t="s">
        <v>110</v>
      </c>
      <c r="I56" s="8" t="s">
        <v>110</v>
      </c>
      <c r="J56" s="8" t="s">
        <v>110</v>
      </c>
      <c r="K56" s="8" t="s">
        <v>110</v>
      </c>
      <c r="L56" s="8" t="s">
        <v>110</v>
      </c>
      <c r="M56" s="8" t="s">
        <v>110</v>
      </c>
      <c r="N56" s="119"/>
      <c r="O56" s="8" t="s">
        <v>110</v>
      </c>
      <c r="P56" s="8" t="s">
        <v>110</v>
      </c>
      <c r="Q56" s="8" t="s">
        <v>110</v>
      </c>
      <c r="R56" s="140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2"/>
      <c r="AK56" s="5">
        <f t="shared" si="1"/>
        <v>10</v>
      </c>
      <c r="AL56" s="5">
        <f t="shared" si="2"/>
        <v>0</v>
      </c>
    </row>
  </sheetData>
  <mergeCells count="14">
    <mergeCell ref="R5:AJ56"/>
    <mergeCell ref="AM3:AN3"/>
    <mergeCell ref="AM11:AP11"/>
    <mergeCell ref="AM19:AP19"/>
    <mergeCell ref="A1:AL1"/>
    <mergeCell ref="A2:AL2"/>
    <mergeCell ref="A3:A4"/>
    <mergeCell ref="C3:C4"/>
    <mergeCell ref="D3:D4"/>
    <mergeCell ref="E3:E4"/>
    <mergeCell ref="AK3:AK4"/>
    <mergeCell ref="AL3:AL4"/>
    <mergeCell ref="G5:G56"/>
    <mergeCell ref="N5:N56"/>
  </mergeCells>
  <conditionalFormatting sqref="F3:AJ4 G5 F5:F56">
    <cfRule type="expression" dxfId="259" priority="183">
      <formula>F$3="Sun"</formula>
    </cfRule>
  </conditionalFormatting>
  <conditionalFormatting sqref="G5 F5:F56 F4:AJ4">
    <cfRule type="expression" dxfId="258" priority="182">
      <formula>IF(F$4=TODAY(),TRUE,FALSE)</formula>
    </cfRule>
  </conditionalFormatting>
  <conditionalFormatting sqref="G5 F5:F56">
    <cfRule type="cellIs" dxfId="257" priority="179" operator="equal">
      <formula>"L"</formula>
    </cfRule>
    <cfRule type="cellIs" dxfId="256" priority="180" operator="equal">
      <formula>"A"</formula>
    </cfRule>
    <cfRule type="cellIs" dxfId="255" priority="181" operator="equal">
      <formula>"P"</formula>
    </cfRule>
  </conditionalFormatting>
  <conditionalFormatting sqref="H5:M56 O6:Q56 O5:R5">
    <cfRule type="cellIs" dxfId="254" priority="132" operator="equal">
      <formula>"L"</formula>
    </cfRule>
    <cfRule type="cellIs" dxfId="253" priority="133" operator="equal">
      <formula>"A"</formula>
    </cfRule>
    <cfRule type="cellIs" dxfId="252" priority="134" operator="equal">
      <formula>"P"</formula>
    </cfRule>
    <cfRule type="expression" dxfId="251" priority="135">
      <formula>IF(H$4=TODAY(),TRUE,FALSE)</formula>
    </cfRule>
    <cfRule type="expression" dxfId="250" priority="136">
      <formula>H$3="Sun"</formula>
    </cfRule>
  </conditionalFormatting>
  <conditionalFormatting sqref="N5">
    <cfRule type="cellIs" dxfId="249" priority="37" operator="equal">
      <formula>"L"</formula>
    </cfRule>
    <cfRule type="cellIs" dxfId="248" priority="38" operator="equal">
      <formula>"A"</formula>
    </cfRule>
    <cfRule type="cellIs" dxfId="247" priority="39" operator="equal">
      <formula>"P"</formula>
    </cfRule>
    <cfRule type="expression" dxfId="246" priority="40">
      <formula>IF(N$4=TODAY(),TRUE,FALSE)</formula>
    </cfRule>
    <cfRule type="expression" dxfId="245" priority="41">
      <formula>N$3="Sun"</formula>
    </cfRule>
  </conditionalFormatting>
  <conditionalFormatting sqref="AK3:AL3 AK5:AL56">
    <cfRule type="expression" dxfId="229" priority="184">
      <formula>#REF!="Sun"</formula>
    </cfRule>
  </conditionalFormatting>
  <conditionalFormatting sqref="AM8:AM9">
    <cfRule type="expression" dxfId="228" priority="155">
      <formula>AM$3="Sun"</formula>
    </cfRule>
  </conditionalFormatting>
  <conditionalFormatting sqref="AM12:AM15">
    <cfRule type="expression" dxfId="227" priority="153">
      <formula>AM$3="Sun"</formula>
    </cfRule>
  </conditionalFormatting>
  <conditionalFormatting sqref="AM20:AM22">
    <cfRule type="expression" dxfId="226" priority="152">
      <formula>AM$3="Sun"</formula>
    </cfRule>
  </conditionalFormatting>
  <conditionalFormatting sqref="AM4:AN4">
    <cfRule type="expression" dxfId="225" priority="156">
      <formula>AM$3="Sun"</formula>
    </cfRule>
  </conditionalFormatting>
  <conditionalFormatting sqref="AN12:AP12 AN20:AP20">
    <cfRule type="expression" dxfId="224" priority="157">
      <formula>AN$3="Sun"</formula>
    </cfRule>
  </conditionalFormatting>
  <conditionalFormatting sqref="AP21">
    <cfRule type="expression" dxfId="223" priority="154">
      <formula>AP$3="Sun"</formula>
    </cfRule>
  </conditionalFormatting>
  <conditionalFormatting sqref="AM5:AM7">
    <cfRule type="expression" dxfId="5" priority="1">
      <formula>AM$3="Sun"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P50"/>
  <sheetViews>
    <sheetView workbookViewId="0">
      <selection activeCell="AO13" sqref="AO13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7109375" style="1" bestFit="1" customWidth="1"/>
    <col min="7" max="7" width="3.85546875" style="1" bestFit="1" customWidth="1"/>
    <col min="8" max="8" width="4.5703125" style="1" bestFit="1" customWidth="1"/>
    <col min="9" max="9" width="3.85546875" style="1" bestFit="1" customWidth="1"/>
    <col min="10" max="10" width="4.7109375" style="1" bestFit="1" customWidth="1"/>
    <col min="11" max="11" width="3.85546875" style="1" bestFit="1" customWidth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7109375" style="1" bestFit="1" customWidth="1"/>
    <col min="18" max="18" width="3.85546875" style="1" bestFit="1" customWidth="1"/>
    <col min="19" max="20" width="3.7109375" style="1" bestFit="1" customWidth="1"/>
    <col min="21" max="21" width="3.85546875" style="1" bestFit="1" customWidth="1"/>
    <col min="22" max="22" width="4.5703125" style="1" bestFit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4" width="3.7109375" style="1" bestFit="1" customWidth="1"/>
    <col min="35" max="35" width="3.85546875" style="1" bestFit="1" customWidth="1"/>
    <col min="36" max="36" width="4.570312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21" t="s">
        <v>18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</row>
    <row r="2" spans="1:42" ht="17.25" x14ac:dyDescent="0.3">
      <c r="A2" s="125" t="s">
        <v>795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</row>
    <row r="3" spans="1:42" ht="15.75" x14ac:dyDescent="0.25">
      <c r="A3" s="134" t="s">
        <v>0</v>
      </c>
      <c r="B3" s="134" t="s">
        <v>789</v>
      </c>
      <c r="C3" s="134" t="s">
        <v>1</v>
      </c>
      <c r="D3" s="134" t="s">
        <v>2</v>
      </c>
      <c r="E3" s="134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22" t="s">
        <v>4</v>
      </c>
      <c r="AL3" s="122" t="s">
        <v>5</v>
      </c>
      <c r="AM3" s="115" t="s">
        <v>120</v>
      </c>
      <c r="AN3" s="116"/>
      <c r="AO3" s="3"/>
      <c r="AP3" s="3"/>
    </row>
    <row r="4" spans="1:42" ht="37.5" x14ac:dyDescent="0.25">
      <c r="A4" s="135"/>
      <c r="B4" s="136"/>
      <c r="C4" s="135"/>
      <c r="D4" s="135"/>
      <c r="E4" s="135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22"/>
      <c r="AL4" s="122"/>
      <c r="AM4" s="5" t="s">
        <v>121</v>
      </c>
      <c r="AN4" s="5">
        <f>SUM(AN5:AN8)</f>
        <v>31</v>
      </c>
      <c r="AO4" s="3"/>
      <c r="AP4" s="3"/>
    </row>
    <row r="5" spans="1:42" ht="15" customHeight="1" x14ac:dyDescent="0.25">
      <c r="A5" s="21">
        <v>1</v>
      </c>
      <c r="B5" s="21">
        <v>605</v>
      </c>
      <c r="C5" s="24" t="s">
        <v>529</v>
      </c>
      <c r="D5" s="25" t="s">
        <v>530</v>
      </c>
      <c r="E5" s="20" t="s">
        <v>531</v>
      </c>
      <c r="F5" s="8" t="s">
        <v>110</v>
      </c>
      <c r="G5" s="118" t="s">
        <v>532</v>
      </c>
      <c r="H5" s="8" t="s">
        <v>110</v>
      </c>
      <c r="I5" s="8" t="s">
        <v>110</v>
      </c>
      <c r="J5" s="8" t="s">
        <v>110</v>
      </c>
      <c r="K5" s="8" t="s">
        <v>110</v>
      </c>
      <c r="L5" s="8" t="s">
        <v>110</v>
      </c>
      <c r="M5" s="8" t="s">
        <v>110</v>
      </c>
      <c r="N5" s="118" t="s">
        <v>532</v>
      </c>
      <c r="O5" s="8" t="s">
        <v>110</v>
      </c>
      <c r="P5" s="8" t="s">
        <v>110</v>
      </c>
      <c r="Q5" s="8" t="s">
        <v>110</v>
      </c>
      <c r="R5" s="137" t="s">
        <v>803</v>
      </c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9"/>
      <c r="AK5" s="5">
        <f t="shared" ref="AK5:AK50" si="1">COUNTIF(F5:AJ5,"P")</f>
        <v>10</v>
      </c>
      <c r="AL5" s="5">
        <f t="shared" ref="AL5:AL50" si="2">COUNTIF(F5:AJ5,"A")</f>
        <v>0</v>
      </c>
      <c r="AM5" s="5" t="s">
        <v>7</v>
      </c>
      <c r="AN5" s="9">
        <v>10</v>
      </c>
      <c r="AO5" s="10"/>
      <c r="AP5" s="3"/>
    </row>
    <row r="6" spans="1:42" x14ac:dyDescent="0.25">
      <c r="A6" s="9">
        <v>2</v>
      </c>
      <c r="B6" s="21">
        <v>609</v>
      </c>
      <c r="C6" s="24" t="s">
        <v>46</v>
      </c>
      <c r="D6" s="25" t="s">
        <v>418</v>
      </c>
      <c r="E6" s="20" t="s">
        <v>531</v>
      </c>
      <c r="F6" s="8" t="s">
        <v>110</v>
      </c>
      <c r="G6" s="119"/>
      <c r="H6" s="8" t="s">
        <v>110</v>
      </c>
      <c r="I6" s="8" t="s">
        <v>110</v>
      </c>
      <c r="J6" s="8" t="s">
        <v>110</v>
      </c>
      <c r="K6" s="8" t="s">
        <v>110</v>
      </c>
      <c r="L6" s="8" t="s">
        <v>110</v>
      </c>
      <c r="M6" s="8" t="s">
        <v>110</v>
      </c>
      <c r="N6" s="119"/>
      <c r="O6" s="8" t="s">
        <v>110</v>
      </c>
      <c r="P6" s="8" t="s">
        <v>110</v>
      </c>
      <c r="Q6" s="8" t="s">
        <v>110</v>
      </c>
      <c r="R6" s="140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2"/>
      <c r="AK6" s="5">
        <f t="shared" si="1"/>
        <v>10</v>
      </c>
      <c r="AL6" s="5">
        <f t="shared" si="2"/>
        <v>0</v>
      </c>
      <c r="AM6" s="5" t="s">
        <v>8</v>
      </c>
      <c r="AN6" s="9">
        <v>2</v>
      </c>
      <c r="AO6" s="3"/>
      <c r="AP6" s="3"/>
    </row>
    <row r="7" spans="1:42" x14ac:dyDescent="0.25">
      <c r="A7" s="21">
        <v>3</v>
      </c>
      <c r="B7" s="21">
        <v>757</v>
      </c>
      <c r="C7" s="24" t="s">
        <v>533</v>
      </c>
      <c r="D7" s="25" t="s">
        <v>534</v>
      </c>
      <c r="E7" s="20" t="s">
        <v>531</v>
      </c>
      <c r="F7" s="8" t="s">
        <v>110</v>
      </c>
      <c r="G7" s="119"/>
      <c r="H7" s="8" t="s">
        <v>110</v>
      </c>
      <c r="I7" s="8" t="s">
        <v>110</v>
      </c>
      <c r="J7" s="8" t="s">
        <v>110</v>
      </c>
      <c r="K7" s="8" t="s">
        <v>110</v>
      </c>
      <c r="L7" s="8" t="s">
        <v>110</v>
      </c>
      <c r="M7" s="8" t="s">
        <v>110</v>
      </c>
      <c r="N7" s="119"/>
      <c r="O7" s="8" t="s">
        <v>110</v>
      </c>
      <c r="P7" s="8" t="s">
        <v>110</v>
      </c>
      <c r="Q7" s="8" t="s">
        <v>110</v>
      </c>
      <c r="R7" s="140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2"/>
      <c r="AK7" s="5">
        <f t="shared" si="1"/>
        <v>10</v>
      </c>
      <c r="AL7" s="5">
        <f t="shared" si="2"/>
        <v>0</v>
      </c>
      <c r="AM7" s="5" t="s">
        <v>803</v>
      </c>
      <c r="AN7" s="9">
        <v>19</v>
      </c>
      <c r="AO7" s="3"/>
      <c r="AP7" s="3"/>
    </row>
    <row r="8" spans="1:42" x14ac:dyDescent="0.25">
      <c r="A8" s="9">
        <v>4</v>
      </c>
      <c r="B8" s="21">
        <v>604</v>
      </c>
      <c r="C8" s="24" t="s">
        <v>535</v>
      </c>
      <c r="D8" s="25" t="s">
        <v>141</v>
      </c>
      <c r="E8" s="20" t="s">
        <v>531</v>
      </c>
      <c r="F8" s="8" t="s">
        <v>110</v>
      </c>
      <c r="G8" s="119"/>
      <c r="H8" s="8" t="s">
        <v>110</v>
      </c>
      <c r="I8" s="8" t="s">
        <v>110</v>
      </c>
      <c r="J8" s="8" t="s">
        <v>110</v>
      </c>
      <c r="K8" s="8" t="s">
        <v>110</v>
      </c>
      <c r="L8" s="8" t="s">
        <v>110</v>
      </c>
      <c r="M8" s="8" t="s">
        <v>110</v>
      </c>
      <c r="N8" s="119"/>
      <c r="O8" s="8" t="s">
        <v>110</v>
      </c>
      <c r="P8" s="8" t="s">
        <v>110</v>
      </c>
      <c r="Q8" s="8" t="s">
        <v>110</v>
      </c>
      <c r="R8" s="140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2"/>
      <c r="AK8" s="5">
        <f t="shared" si="1"/>
        <v>10</v>
      </c>
      <c r="AL8" s="5">
        <f t="shared" si="2"/>
        <v>0</v>
      </c>
      <c r="AM8" s="5"/>
      <c r="AN8" s="9"/>
      <c r="AO8"/>
      <c r="AP8"/>
    </row>
    <row r="9" spans="1:42" x14ac:dyDescent="0.25">
      <c r="A9" s="21">
        <v>5</v>
      </c>
      <c r="B9" s="21">
        <v>464</v>
      </c>
      <c r="C9" s="24" t="s">
        <v>536</v>
      </c>
      <c r="D9" s="25" t="s">
        <v>89</v>
      </c>
      <c r="E9" s="20" t="s">
        <v>531</v>
      </c>
      <c r="F9" s="8" t="s">
        <v>110</v>
      </c>
      <c r="G9" s="119"/>
      <c r="H9" s="8" t="s">
        <v>110</v>
      </c>
      <c r="I9" s="8" t="s">
        <v>110</v>
      </c>
      <c r="J9" s="8" t="s">
        <v>110</v>
      </c>
      <c r="K9" s="8" t="s">
        <v>110</v>
      </c>
      <c r="L9" s="8" t="s">
        <v>110</v>
      </c>
      <c r="M9" s="8" t="s">
        <v>110</v>
      </c>
      <c r="N9" s="119"/>
      <c r="O9" s="8" t="s">
        <v>110</v>
      </c>
      <c r="P9" s="8" t="s">
        <v>110</v>
      </c>
      <c r="Q9" s="8" t="s">
        <v>110</v>
      </c>
      <c r="R9" s="140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2"/>
      <c r="AK9" s="5">
        <f t="shared" si="1"/>
        <v>10</v>
      </c>
      <c r="AL9" s="5">
        <f t="shared" si="2"/>
        <v>0</v>
      </c>
      <c r="AM9" s="5"/>
      <c r="AN9" s="9"/>
    </row>
    <row r="10" spans="1:42" x14ac:dyDescent="0.25">
      <c r="A10" s="9">
        <v>6</v>
      </c>
      <c r="B10" s="21">
        <v>601</v>
      </c>
      <c r="C10" s="24" t="s">
        <v>537</v>
      </c>
      <c r="D10" s="25" t="s">
        <v>538</v>
      </c>
      <c r="E10" s="20" t="s">
        <v>531</v>
      </c>
      <c r="F10" s="8" t="s">
        <v>110</v>
      </c>
      <c r="G10" s="119"/>
      <c r="H10" s="8" t="s">
        <v>110</v>
      </c>
      <c r="I10" s="8" t="s">
        <v>110</v>
      </c>
      <c r="J10" s="8" t="s">
        <v>110</v>
      </c>
      <c r="K10" s="8" t="s">
        <v>110</v>
      </c>
      <c r="L10" s="8" t="s">
        <v>110</v>
      </c>
      <c r="M10" s="8" t="s">
        <v>110</v>
      </c>
      <c r="N10" s="119"/>
      <c r="O10" s="8" t="s">
        <v>110</v>
      </c>
      <c r="P10" s="8" t="s">
        <v>110</v>
      </c>
      <c r="Q10" s="8" t="s">
        <v>110</v>
      </c>
      <c r="R10" s="140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2"/>
      <c r="AK10" s="5">
        <f t="shared" si="1"/>
        <v>10</v>
      </c>
      <c r="AL10" s="5">
        <f t="shared" si="2"/>
        <v>0</v>
      </c>
    </row>
    <row r="11" spans="1:42" ht="15.75" x14ac:dyDescent="0.25">
      <c r="A11" s="21">
        <v>7</v>
      </c>
      <c r="B11" s="21">
        <v>494</v>
      </c>
      <c r="C11" s="24" t="s">
        <v>539</v>
      </c>
      <c r="D11" s="25" t="s">
        <v>50</v>
      </c>
      <c r="E11" s="20" t="s">
        <v>531</v>
      </c>
      <c r="F11" s="8" t="s">
        <v>110</v>
      </c>
      <c r="G11" s="119"/>
      <c r="H11" s="8" t="s">
        <v>110</v>
      </c>
      <c r="I11" s="8" t="s">
        <v>110</v>
      </c>
      <c r="J11" s="8" t="s">
        <v>110</v>
      </c>
      <c r="K11" s="8" t="s">
        <v>110</v>
      </c>
      <c r="L11" s="8" t="s">
        <v>110</v>
      </c>
      <c r="M11" s="8" t="s">
        <v>110</v>
      </c>
      <c r="N11" s="119"/>
      <c r="O11" s="8" t="s">
        <v>110</v>
      </c>
      <c r="P11" s="8" t="s">
        <v>110</v>
      </c>
      <c r="Q11" s="8" t="s">
        <v>110</v>
      </c>
      <c r="R11" s="140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2"/>
      <c r="AK11" s="5">
        <f t="shared" si="1"/>
        <v>10</v>
      </c>
      <c r="AL11" s="5">
        <f t="shared" si="2"/>
        <v>0</v>
      </c>
      <c r="AM11" s="115" t="s">
        <v>9</v>
      </c>
      <c r="AN11" s="116"/>
      <c r="AO11" s="116"/>
      <c r="AP11" s="117"/>
    </row>
    <row r="12" spans="1:42" x14ac:dyDescent="0.25">
      <c r="A12" s="9">
        <v>8</v>
      </c>
      <c r="B12" s="21">
        <v>508</v>
      </c>
      <c r="C12" s="24" t="s">
        <v>540</v>
      </c>
      <c r="D12" s="25" t="s">
        <v>496</v>
      </c>
      <c r="E12" s="20" t="s">
        <v>531</v>
      </c>
      <c r="F12" s="8" t="s">
        <v>110</v>
      </c>
      <c r="G12" s="119"/>
      <c r="H12" s="8" t="s">
        <v>110</v>
      </c>
      <c r="I12" s="8" t="s">
        <v>110</v>
      </c>
      <c r="J12" s="8" t="s">
        <v>110</v>
      </c>
      <c r="K12" s="8" t="s">
        <v>110</v>
      </c>
      <c r="L12" s="8" t="s">
        <v>110</v>
      </c>
      <c r="M12" s="8" t="s">
        <v>110</v>
      </c>
      <c r="N12" s="119"/>
      <c r="O12" s="8" t="s">
        <v>110</v>
      </c>
      <c r="P12" s="8" t="s">
        <v>110</v>
      </c>
      <c r="Q12" s="8" t="s">
        <v>110</v>
      </c>
      <c r="R12" s="140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2"/>
      <c r="AK12" s="5">
        <f t="shared" si="1"/>
        <v>10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x14ac:dyDescent="0.25">
      <c r="A13" s="21">
        <v>9</v>
      </c>
      <c r="B13" s="21">
        <v>710</v>
      </c>
      <c r="C13" s="24" t="s">
        <v>541</v>
      </c>
      <c r="D13" s="25" t="s">
        <v>542</v>
      </c>
      <c r="E13" s="20" t="s">
        <v>531</v>
      </c>
      <c r="F13" s="8" t="s">
        <v>110</v>
      </c>
      <c r="G13" s="119"/>
      <c r="H13" s="8" t="s">
        <v>110</v>
      </c>
      <c r="I13" s="8" t="s">
        <v>110</v>
      </c>
      <c r="J13" s="8" t="s">
        <v>110</v>
      </c>
      <c r="K13" s="8" t="s">
        <v>110</v>
      </c>
      <c r="L13" s="8" t="s">
        <v>110</v>
      </c>
      <c r="M13" s="8" t="s">
        <v>110</v>
      </c>
      <c r="N13" s="119"/>
      <c r="O13" s="8" t="s">
        <v>110</v>
      </c>
      <c r="P13" s="8" t="s">
        <v>110</v>
      </c>
      <c r="Q13" s="8" t="s">
        <v>110</v>
      </c>
      <c r="R13" s="140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2"/>
      <c r="AK13" s="5">
        <f t="shared" si="1"/>
        <v>10</v>
      </c>
      <c r="AL13" s="5">
        <f t="shared" si="2"/>
        <v>0</v>
      </c>
      <c r="AM13" s="5" t="s">
        <v>14</v>
      </c>
      <c r="AN13" s="9">
        <f>23*$AN$5</f>
        <v>230</v>
      </c>
      <c r="AO13" s="9">
        <f>23*$AN$5</f>
        <v>230</v>
      </c>
      <c r="AP13" s="9">
        <f>SUM(AN13:AO13)</f>
        <v>460</v>
      </c>
    </row>
    <row r="14" spans="1:42" x14ac:dyDescent="0.25">
      <c r="A14" s="9">
        <v>10</v>
      </c>
      <c r="B14" s="21">
        <v>711</v>
      </c>
      <c r="C14" s="24" t="s">
        <v>543</v>
      </c>
      <c r="D14" s="25" t="s">
        <v>544</v>
      </c>
      <c r="E14" s="20" t="s">
        <v>531</v>
      </c>
      <c r="F14" s="8" t="s">
        <v>110</v>
      </c>
      <c r="G14" s="119"/>
      <c r="H14" s="8" t="s">
        <v>110</v>
      </c>
      <c r="I14" s="8" t="s">
        <v>110</v>
      </c>
      <c r="J14" s="8" t="s">
        <v>110</v>
      </c>
      <c r="K14" s="8" t="s">
        <v>110</v>
      </c>
      <c r="L14" s="8" t="s">
        <v>110</v>
      </c>
      <c r="M14" s="8" t="s">
        <v>110</v>
      </c>
      <c r="N14" s="119"/>
      <c r="O14" s="8" t="s">
        <v>110</v>
      </c>
      <c r="P14" s="8" t="s">
        <v>110</v>
      </c>
      <c r="Q14" s="8" t="s">
        <v>110</v>
      </c>
      <c r="R14" s="140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2"/>
      <c r="AK14" s="5">
        <f t="shared" si="1"/>
        <v>10</v>
      </c>
      <c r="AL14" s="5">
        <f t="shared" si="2"/>
        <v>0</v>
      </c>
      <c r="AM14" s="5" t="s">
        <v>15</v>
      </c>
      <c r="AN14" s="9">
        <f>SUM(AK5:AK27)</f>
        <v>229</v>
      </c>
      <c r="AO14" s="9">
        <f>SUM(AK28:AK50)</f>
        <v>225</v>
      </c>
      <c r="AP14" s="9">
        <f>AN14+AO14</f>
        <v>454</v>
      </c>
    </row>
    <row r="15" spans="1:42" x14ac:dyDescent="0.25">
      <c r="A15" s="21">
        <v>11</v>
      </c>
      <c r="B15" s="21">
        <v>600</v>
      </c>
      <c r="C15" s="24" t="s">
        <v>545</v>
      </c>
      <c r="D15" s="25" t="s">
        <v>135</v>
      </c>
      <c r="E15" s="20" t="s">
        <v>531</v>
      </c>
      <c r="F15" s="8" t="s">
        <v>110</v>
      </c>
      <c r="G15" s="119"/>
      <c r="H15" s="8" t="s">
        <v>110</v>
      </c>
      <c r="I15" s="8" t="s">
        <v>110</v>
      </c>
      <c r="J15" s="8" t="s">
        <v>110</v>
      </c>
      <c r="K15" s="8" t="s">
        <v>110</v>
      </c>
      <c r="L15" s="8" t="s">
        <v>110</v>
      </c>
      <c r="M15" s="8" t="s">
        <v>110</v>
      </c>
      <c r="N15" s="119"/>
      <c r="O15" s="8" t="s">
        <v>110</v>
      </c>
      <c r="P15" s="8" t="s">
        <v>110</v>
      </c>
      <c r="Q15" s="8" t="s">
        <v>110</v>
      </c>
      <c r="R15" s="140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2"/>
      <c r="AK15" s="5">
        <f t="shared" si="1"/>
        <v>10</v>
      </c>
      <c r="AL15" s="5">
        <f t="shared" si="2"/>
        <v>0</v>
      </c>
      <c r="AM15" s="5" t="s">
        <v>16</v>
      </c>
      <c r="AN15" s="12">
        <f>AN14/AN13</f>
        <v>0.9956521739130435</v>
      </c>
      <c r="AO15" s="12">
        <f>AO14/AO13</f>
        <v>0.97826086956521741</v>
      </c>
      <c r="AP15" s="12">
        <f>AP14/AP13</f>
        <v>0.9869565217391304</v>
      </c>
    </row>
    <row r="16" spans="1:42" x14ac:dyDescent="0.25">
      <c r="A16" s="9">
        <v>12</v>
      </c>
      <c r="B16" s="21">
        <v>640</v>
      </c>
      <c r="C16" s="24" t="s">
        <v>372</v>
      </c>
      <c r="D16" s="25" t="s">
        <v>546</v>
      </c>
      <c r="E16" s="20" t="s">
        <v>531</v>
      </c>
      <c r="F16" s="8" t="s">
        <v>110</v>
      </c>
      <c r="G16" s="119"/>
      <c r="H16" s="8" t="s">
        <v>110</v>
      </c>
      <c r="I16" s="8" t="s">
        <v>110</v>
      </c>
      <c r="J16" s="8" t="s">
        <v>110</v>
      </c>
      <c r="K16" s="8" t="s">
        <v>110</v>
      </c>
      <c r="L16" s="8" t="s">
        <v>110</v>
      </c>
      <c r="M16" s="8" t="s">
        <v>110</v>
      </c>
      <c r="N16" s="119"/>
      <c r="O16" s="8" t="s">
        <v>110</v>
      </c>
      <c r="P16" s="8" t="s">
        <v>110</v>
      </c>
      <c r="Q16" s="8" t="s">
        <v>110</v>
      </c>
      <c r="R16" s="140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2"/>
      <c r="AK16" s="5">
        <f t="shared" si="1"/>
        <v>10</v>
      </c>
      <c r="AL16" s="5">
        <f t="shared" si="2"/>
        <v>0</v>
      </c>
      <c r="AM16"/>
      <c r="AN16"/>
      <c r="AO16"/>
      <c r="AP16"/>
    </row>
    <row r="17" spans="1:42" x14ac:dyDescent="0.25">
      <c r="A17" s="21">
        <v>13</v>
      </c>
      <c r="B17" s="21">
        <v>761</v>
      </c>
      <c r="C17" s="24" t="s">
        <v>547</v>
      </c>
      <c r="D17" s="25" t="s">
        <v>548</v>
      </c>
      <c r="E17" s="20" t="s">
        <v>531</v>
      </c>
      <c r="F17" s="8" t="s">
        <v>110</v>
      </c>
      <c r="G17" s="119"/>
      <c r="H17" s="8" t="s">
        <v>110</v>
      </c>
      <c r="I17" s="8" t="s">
        <v>110</v>
      </c>
      <c r="J17" s="8" t="s">
        <v>110</v>
      </c>
      <c r="K17" s="8" t="s">
        <v>110</v>
      </c>
      <c r="L17" s="8" t="s">
        <v>110</v>
      </c>
      <c r="M17" s="8" t="s">
        <v>110</v>
      </c>
      <c r="N17" s="119"/>
      <c r="O17" s="8" t="s">
        <v>110</v>
      </c>
      <c r="P17" s="8" t="s">
        <v>110</v>
      </c>
      <c r="Q17" s="8" t="s">
        <v>110</v>
      </c>
      <c r="R17" s="140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2"/>
      <c r="AK17" s="5">
        <f t="shared" si="1"/>
        <v>10</v>
      </c>
      <c r="AL17" s="5">
        <f t="shared" si="2"/>
        <v>0</v>
      </c>
      <c r="AM17"/>
      <c r="AN17"/>
      <c r="AO17"/>
      <c r="AP17"/>
    </row>
    <row r="18" spans="1:42" x14ac:dyDescent="0.25">
      <c r="A18" s="9">
        <v>14</v>
      </c>
      <c r="B18" s="21">
        <v>470</v>
      </c>
      <c r="C18" s="24" t="s">
        <v>549</v>
      </c>
      <c r="D18" s="25" t="s">
        <v>550</v>
      </c>
      <c r="E18" s="20" t="s">
        <v>531</v>
      </c>
      <c r="F18" s="8" t="s">
        <v>110</v>
      </c>
      <c r="G18" s="119"/>
      <c r="H18" s="8" t="s">
        <v>110</v>
      </c>
      <c r="I18" s="8" t="s">
        <v>110</v>
      </c>
      <c r="J18" s="8" t="s">
        <v>110</v>
      </c>
      <c r="K18" s="8" t="s">
        <v>110</v>
      </c>
      <c r="L18" s="8" t="s">
        <v>110</v>
      </c>
      <c r="M18" s="8" t="s">
        <v>110</v>
      </c>
      <c r="N18" s="119"/>
      <c r="O18" s="8" t="s">
        <v>110</v>
      </c>
      <c r="P18" s="8" t="s">
        <v>110</v>
      </c>
      <c r="Q18" s="8" t="s">
        <v>110</v>
      </c>
      <c r="R18" s="140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2"/>
      <c r="AK18" s="5">
        <f t="shared" si="1"/>
        <v>10</v>
      </c>
      <c r="AL18" s="5">
        <f t="shared" si="2"/>
        <v>0</v>
      </c>
      <c r="AM18"/>
      <c r="AN18"/>
      <c r="AO18"/>
      <c r="AP18"/>
    </row>
    <row r="19" spans="1:42" ht="15.75" x14ac:dyDescent="0.25">
      <c r="A19" s="21">
        <v>15</v>
      </c>
      <c r="B19" s="21">
        <v>642</v>
      </c>
      <c r="C19" s="24" t="s">
        <v>84</v>
      </c>
      <c r="D19" s="25" t="s">
        <v>551</v>
      </c>
      <c r="E19" s="20" t="s">
        <v>531</v>
      </c>
      <c r="F19" s="8" t="s">
        <v>110</v>
      </c>
      <c r="G19" s="119"/>
      <c r="H19" s="8" t="s">
        <v>110</v>
      </c>
      <c r="I19" s="8" t="s">
        <v>110</v>
      </c>
      <c r="J19" s="8" t="s">
        <v>110</v>
      </c>
      <c r="K19" s="8" t="s">
        <v>110</v>
      </c>
      <c r="L19" s="8" t="s">
        <v>110</v>
      </c>
      <c r="M19" s="8" t="s">
        <v>110</v>
      </c>
      <c r="N19" s="119"/>
      <c r="O19" s="8" t="s">
        <v>110</v>
      </c>
      <c r="P19" s="8" t="s">
        <v>110</v>
      </c>
      <c r="Q19" s="8" t="s">
        <v>110</v>
      </c>
      <c r="R19" s="140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2"/>
      <c r="AK19" s="5">
        <f t="shared" si="1"/>
        <v>10</v>
      </c>
      <c r="AL19" s="5">
        <f t="shared" si="2"/>
        <v>0</v>
      </c>
      <c r="AM19" s="115" t="s">
        <v>122</v>
      </c>
      <c r="AN19" s="116"/>
      <c r="AO19" s="116"/>
      <c r="AP19" s="117"/>
    </row>
    <row r="20" spans="1:42" x14ac:dyDescent="0.25">
      <c r="A20" s="9">
        <v>16</v>
      </c>
      <c r="B20" s="21">
        <v>706</v>
      </c>
      <c r="C20" s="24" t="s">
        <v>552</v>
      </c>
      <c r="D20" s="25" t="s">
        <v>553</v>
      </c>
      <c r="E20" s="20" t="s">
        <v>531</v>
      </c>
      <c r="F20" s="8" t="s">
        <v>110</v>
      </c>
      <c r="G20" s="119"/>
      <c r="H20" s="8" t="s">
        <v>110</v>
      </c>
      <c r="I20" s="8" t="s">
        <v>110</v>
      </c>
      <c r="J20" s="8" t="s">
        <v>110</v>
      </c>
      <c r="K20" s="8" t="s">
        <v>110</v>
      </c>
      <c r="L20" s="8" t="s">
        <v>110</v>
      </c>
      <c r="M20" s="8" t="s">
        <v>110</v>
      </c>
      <c r="N20" s="119"/>
      <c r="O20" s="8" t="s">
        <v>110</v>
      </c>
      <c r="P20" s="8" t="s">
        <v>110</v>
      </c>
      <c r="Q20" s="8" t="s">
        <v>110</v>
      </c>
      <c r="R20" s="140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2"/>
      <c r="AK20" s="5">
        <f t="shared" si="1"/>
        <v>10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x14ac:dyDescent="0.25">
      <c r="A21" s="21">
        <v>17</v>
      </c>
      <c r="B21" s="21">
        <v>437</v>
      </c>
      <c r="C21" s="24" t="s">
        <v>554</v>
      </c>
      <c r="D21" s="25" t="s">
        <v>22</v>
      </c>
      <c r="E21" s="20" t="s">
        <v>531</v>
      </c>
      <c r="F21" s="8" t="s">
        <v>796</v>
      </c>
      <c r="G21" s="119"/>
      <c r="H21" s="8" t="s">
        <v>110</v>
      </c>
      <c r="I21" s="8" t="s">
        <v>110</v>
      </c>
      <c r="J21" s="8" t="s">
        <v>110</v>
      </c>
      <c r="K21" s="8" t="s">
        <v>110</v>
      </c>
      <c r="L21" s="8" t="s">
        <v>110</v>
      </c>
      <c r="M21" s="8" t="s">
        <v>110</v>
      </c>
      <c r="N21" s="119"/>
      <c r="O21" s="8" t="s">
        <v>110</v>
      </c>
      <c r="P21" s="8" t="s">
        <v>110</v>
      </c>
      <c r="Q21" s="8" t="s">
        <v>110</v>
      </c>
      <c r="R21" s="140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2"/>
      <c r="AK21" s="5">
        <f t="shared" si="1"/>
        <v>9</v>
      </c>
      <c r="AL21" s="5">
        <f t="shared" si="2"/>
        <v>1</v>
      </c>
      <c r="AM21" s="5" t="s">
        <v>14</v>
      </c>
      <c r="AN21" s="9">
        <f>23*$AN$5</f>
        <v>230</v>
      </c>
      <c r="AO21" s="9">
        <f>23*$AN$5</f>
        <v>230</v>
      </c>
      <c r="AP21" s="9">
        <f>AN21+AO21</f>
        <v>460</v>
      </c>
    </row>
    <row r="22" spans="1:42" x14ac:dyDescent="0.25">
      <c r="A22" s="9">
        <v>18</v>
      </c>
      <c r="B22" s="21">
        <v>502</v>
      </c>
      <c r="C22" s="24" t="s">
        <v>555</v>
      </c>
      <c r="D22" s="25" t="s">
        <v>556</v>
      </c>
      <c r="E22" s="20" t="s">
        <v>531</v>
      </c>
      <c r="F22" s="8" t="s">
        <v>110</v>
      </c>
      <c r="G22" s="119"/>
      <c r="H22" s="8" t="s">
        <v>110</v>
      </c>
      <c r="I22" s="8" t="s">
        <v>110</v>
      </c>
      <c r="J22" s="8" t="s">
        <v>110</v>
      </c>
      <c r="K22" s="8" t="s">
        <v>110</v>
      </c>
      <c r="L22" s="8" t="s">
        <v>110</v>
      </c>
      <c r="M22" s="8" t="s">
        <v>110</v>
      </c>
      <c r="N22" s="119"/>
      <c r="O22" s="8" t="s">
        <v>110</v>
      </c>
      <c r="P22" s="8" t="s">
        <v>110</v>
      </c>
      <c r="Q22" s="8" t="s">
        <v>110</v>
      </c>
      <c r="R22" s="140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2"/>
      <c r="AK22" s="5">
        <f t="shared" si="1"/>
        <v>10</v>
      </c>
      <c r="AL22" s="5">
        <f t="shared" si="2"/>
        <v>0</v>
      </c>
      <c r="AM22" s="5" t="s">
        <v>17</v>
      </c>
      <c r="AN22" s="9">
        <f>AN21-AN14</f>
        <v>1</v>
      </c>
      <c r="AO22" s="9">
        <f>AO21-AO14</f>
        <v>5</v>
      </c>
      <c r="AP22" s="9">
        <f>AN22+AO22</f>
        <v>6</v>
      </c>
    </row>
    <row r="23" spans="1:42" x14ac:dyDescent="0.25">
      <c r="A23" s="21">
        <v>19</v>
      </c>
      <c r="B23" s="21">
        <v>705</v>
      </c>
      <c r="C23" s="26" t="s">
        <v>557</v>
      </c>
      <c r="D23" s="26" t="s">
        <v>96</v>
      </c>
      <c r="E23" s="20" t="s">
        <v>531</v>
      </c>
      <c r="F23" s="8" t="s">
        <v>110</v>
      </c>
      <c r="G23" s="119"/>
      <c r="H23" s="8" t="s">
        <v>110</v>
      </c>
      <c r="I23" s="8" t="s">
        <v>110</v>
      </c>
      <c r="J23" s="8" t="s">
        <v>110</v>
      </c>
      <c r="K23" s="8" t="s">
        <v>110</v>
      </c>
      <c r="L23" s="8" t="s">
        <v>110</v>
      </c>
      <c r="M23" s="8" t="s">
        <v>110</v>
      </c>
      <c r="N23" s="119"/>
      <c r="O23" s="8" t="s">
        <v>110</v>
      </c>
      <c r="P23" s="8" t="s">
        <v>110</v>
      </c>
      <c r="Q23" s="8" t="s">
        <v>110</v>
      </c>
      <c r="R23" s="140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2"/>
      <c r="AK23" s="5">
        <f t="shared" si="1"/>
        <v>10</v>
      </c>
      <c r="AL23" s="5">
        <f t="shared" si="2"/>
        <v>0</v>
      </c>
      <c r="AM23" s="5" t="s">
        <v>16</v>
      </c>
      <c r="AN23" s="12">
        <f>AN22/AN21</f>
        <v>4.3478260869565218E-3</v>
      </c>
      <c r="AO23" s="12">
        <f>AO22/AO21</f>
        <v>2.1739130434782608E-2</v>
      </c>
      <c r="AP23" s="12">
        <f>AP22/AP21</f>
        <v>1.3043478260869565E-2</v>
      </c>
    </row>
    <row r="24" spans="1:42" x14ac:dyDescent="0.25">
      <c r="A24" s="9">
        <v>20</v>
      </c>
      <c r="B24" s="9">
        <v>868</v>
      </c>
      <c r="C24" s="26" t="s">
        <v>558</v>
      </c>
      <c r="D24" s="26" t="s">
        <v>559</v>
      </c>
      <c r="E24" s="20" t="s">
        <v>531</v>
      </c>
      <c r="F24" s="8" t="s">
        <v>110</v>
      </c>
      <c r="G24" s="119"/>
      <c r="H24" s="8" t="s">
        <v>110</v>
      </c>
      <c r="I24" s="8" t="s">
        <v>110</v>
      </c>
      <c r="J24" s="8" t="s">
        <v>110</v>
      </c>
      <c r="K24" s="8" t="s">
        <v>110</v>
      </c>
      <c r="L24" s="8" t="s">
        <v>110</v>
      </c>
      <c r="M24" s="8" t="s">
        <v>110</v>
      </c>
      <c r="N24" s="119"/>
      <c r="O24" s="8" t="s">
        <v>110</v>
      </c>
      <c r="P24" s="8" t="s">
        <v>110</v>
      </c>
      <c r="Q24" s="8" t="s">
        <v>110</v>
      </c>
      <c r="R24" s="140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2"/>
      <c r="AK24" s="5">
        <f t="shared" si="1"/>
        <v>10</v>
      </c>
      <c r="AL24" s="5">
        <f t="shared" si="2"/>
        <v>0</v>
      </c>
    </row>
    <row r="25" spans="1:42" x14ac:dyDescent="0.25">
      <c r="A25" s="21">
        <v>21</v>
      </c>
      <c r="B25" s="21">
        <v>845</v>
      </c>
      <c r="C25" s="26" t="s">
        <v>560</v>
      </c>
      <c r="D25" s="26" t="s">
        <v>115</v>
      </c>
      <c r="E25" s="20" t="s">
        <v>531</v>
      </c>
      <c r="F25" s="8" t="s">
        <v>110</v>
      </c>
      <c r="G25" s="119"/>
      <c r="H25" s="8" t="s">
        <v>110</v>
      </c>
      <c r="I25" s="8" t="s">
        <v>110</v>
      </c>
      <c r="J25" s="8" t="s">
        <v>110</v>
      </c>
      <c r="K25" s="8" t="s">
        <v>110</v>
      </c>
      <c r="L25" s="8" t="s">
        <v>110</v>
      </c>
      <c r="M25" s="8" t="s">
        <v>110</v>
      </c>
      <c r="N25" s="119"/>
      <c r="O25" s="8" t="s">
        <v>110</v>
      </c>
      <c r="P25" s="8" t="s">
        <v>110</v>
      </c>
      <c r="Q25" s="8" t="s">
        <v>110</v>
      </c>
      <c r="R25" s="140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2"/>
      <c r="AK25" s="5">
        <f t="shared" si="1"/>
        <v>10</v>
      </c>
      <c r="AL25" s="5">
        <f t="shared" si="2"/>
        <v>0</v>
      </c>
    </row>
    <row r="26" spans="1:42" x14ac:dyDescent="0.25">
      <c r="A26" s="9">
        <v>22</v>
      </c>
      <c r="B26" s="9">
        <v>860</v>
      </c>
      <c r="C26" s="26" t="s">
        <v>561</v>
      </c>
      <c r="D26" s="26" t="s">
        <v>416</v>
      </c>
      <c r="E26" s="20" t="s">
        <v>531</v>
      </c>
      <c r="F26" s="8" t="s">
        <v>110</v>
      </c>
      <c r="G26" s="119"/>
      <c r="H26" s="8" t="s">
        <v>110</v>
      </c>
      <c r="I26" s="8" t="s">
        <v>110</v>
      </c>
      <c r="J26" s="8" t="s">
        <v>110</v>
      </c>
      <c r="K26" s="8" t="s">
        <v>110</v>
      </c>
      <c r="L26" s="8" t="s">
        <v>110</v>
      </c>
      <c r="M26" s="8" t="s">
        <v>110</v>
      </c>
      <c r="N26" s="119"/>
      <c r="O26" s="8" t="s">
        <v>110</v>
      </c>
      <c r="P26" s="8" t="s">
        <v>110</v>
      </c>
      <c r="Q26" s="8" t="s">
        <v>110</v>
      </c>
      <c r="R26" s="140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2"/>
      <c r="AK26" s="5">
        <f t="shared" si="1"/>
        <v>10</v>
      </c>
      <c r="AL26" s="5">
        <f t="shared" si="2"/>
        <v>0</v>
      </c>
    </row>
    <row r="27" spans="1:42" x14ac:dyDescent="0.25">
      <c r="A27" s="21">
        <v>23</v>
      </c>
      <c r="B27" s="21">
        <v>888</v>
      </c>
      <c r="C27" s="26" t="s">
        <v>562</v>
      </c>
      <c r="D27" s="26" t="s">
        <v>563</v>
      </c>
      <c r="E27" s="20" t="s">
        <v>531</v>
      </c>
      <c r="F27" s="8" t="s">
        <v>110</v>
      </c>
      <c r="G27" s="119"/>
      <c r="H27" s="8" t="s">
        <v>110</v>
      </c>
      <c r="I27" s="8" t="s">
        <v>110</v>
      </c>
      <c r="J27" s="8" t="s">
        <v>110</v>
      </c>
      <c r="K27" s="8" t="s">
        <v>110</v>
      </c>
      <c r="L27" s="8" t="s">
        <v>110</v>
      </c>
      <c r="M27" s="8" t="s">
        <v>110</v>
      </c>
      <c r="N27" s="119"/>
      <c r="O27" s="8" t="s">
        <v>110</v>
      </c>
      <c r="P27" s="8" t="s">
        <v>110</v>
      </c>
      <c r="Q27" s="8" t="s">
        <v>110</v>
      </c>
      <c r="R27" s="140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2"/>
      <c r="AK27" s="5">
        <f t="shared" si="1"/>
        <v>10</v>
      </c>
      <c r="AL27" s="5">
        <f t="shared" si="2"/>
        <v>0</v>
      </c>
    </row>
    <row r="28" spans="1:42" x14ac:dyDescent="0.25">
      <c r="A28" s="9">
        <v>1</v>
      </c>
      <c r="B28" s="9">
        <v>634</v>
      </c>
      <c r="C28" s="26" t="s">
        <v>564</v>
      </c>
      <c r="D28" s="26" t="s">
        <v>565</v>
      </c>
      <c r="E28" s="20" t="s">
        <v>531</v>
      </c>
      <c r="F28" s="8" t="s">
        <v>110</v>
      </c>
      <c r="G28" s="119"/>
      <c r="H28" s="8" t="s">
        <v>110</v>
      </c>
      <c r="I28" s="8" t="s">
        <v>110</v>
      </c>
      <c r="J28" s="8" t="s">
        <v>110</v>
      </c>
      <c r="K28" s="8" t="s">
        <v>110</v>
      </c>
      <c r="L28" s="8" t="s">
        <v>110</v>
      </c>
      <c r="M28" s="8" t="s">
        <v>110</v>
      </c>
      <c r="N28" s="119"/>
      <c r="O28" s="8" t="s">
        <v>110</v>
      </c>
      <c r="P28" s="8" t="s">
        <v>110</v>
      </c>
      <c r="Q28" s="8" t="s">
        <v>110</v>
      </c>
      <c r="R28" s="140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2"/>
      <c r="AK28" s="5">
        <f t="shared" si="1"/>
        <v>10</v>
      </c>
      <c r="AL28" s="5">
        <f t="shared" si="2"/>
        <v>0</v>
      </c>
    </row>
    <row r="29" spans="1:42" x14ac:dyDescent="0.25">
      <c r="A29" s="21">
        <v>2</v>
      </c>
      <c r="B29" s="21">
        <v>509</v>
      </c>
      <c r="C29" s="24" t="s">
        <v>566</v>
      </c>
      <c r="D29" s="25" t="s">
        <v>496</v>
      </c>
      <c r="E29" s="20" t="s">
        <v>531</v>
      </c>
      <c r="F29" s="8" t="s">
        <v>796</v>
      </c>
      <c r="G29" s="119"/>
      <c r="H29" s="8" t="s">
        <v>110</v>
      </c>
      <c r="I29" s="8" t="s">
        <v>110</v>
      </c>
      <c r="J29" s="8" t="s">
        <v>110</v>
      </c>
      <c r="K29" s="8" t="s">
        <v>110</v>
      </c>
      <c r="L29" s="8" t="s">
        <v>110</v>
      </c>
      <c r="M29" s="8" t="s">
        <v>110</v>
      </c>
      <c r="N29" s="119"/>
      <c r="O29" s="8" t="s">
        <v>110</v>
      </c>
      <c r="P29" s="8" t="s">
        <v>110</v>
      </c>
      <c r="Q29" s="8" t="s">
        <v>110</v>
      </c>
      <c r="R29" s="140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2"/>
      <c r="AK29" s="5">
        <f t="shared" si="1"/>
        <v>9</v>
      </c>
      <c r="AL29" s="5">
        <f t="shared" si="2"/>
        <v>1</v>
      </c>
    </row>
    <row r="30" spans="1:42" x14ac:dyDescent="0.25">
      <c r="A30" s="9">
        <v>3</v>
      </c>
      <c r="B30" s="21">
        <v>706</v>
      </c>
      <c r="C30" s="24" t="s">
        <v>567</v>
      </c>
      <c r="D30" s="25" t="s">
        <v>308</v>
      </c>
      <c r="E30" s="20" t="s">
        <v>531</v>
      </c>
      <c r="F30" s="8" t="s">
        <v>796</v>
      </c>
      <c r="G30" s="119"/>
      <c r="H30" s="8" t="s">
        <v>110</v>
      </c>
      <c r="I30" s="8" t="s">
        <v>110</v>
      </c>
      <c r="J30" s="8" t="s">
        <v>110</v>
      </c>
      <c r="K30" s="8" t="s">
        <v>110</v>
      </c>
      <c r="L30" s="8" t="s">
        <v>110</v>
      </c>
      <c r="M30" s="8" t="s">
        <v>110</v>
      </c>
      <c r="N30" s="119"/>
      <c r="O30" s="8" t="s">
        <v>110</v>
      </c>
      <c r="P30" s="8" t="s">
        <v>110</v>
      </c>
      <c r="Q30" s="8" t="s">
        <v>110</v>
      </c>
      <c r="R30" s="140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2"/>
      <c r="AK30" s="5">
        <f t="shared" si="1"/>
        <v>9</v>
      </c>
      <c r="AL30" s="5">
        <f t="shared" si="2"/>
        <v>1</v>
      </c>
    </row>
    <row r="31" spans="1:42" x14ac:dyDescent="0.25">
      <c r="A31" s="21">
        <v>4</v>
      </c>
      <c r="B31" s="21">
        <v>608</v>
      </c>
      <c r="C31" s="24" t="s">
        <v>568</v>
      </c>
      <c r="D31" s="25" t="s">
        <v>129</v>
      </c>
      <c r="E31" s="20" t="s">
        <v>531</v>
      </c>
      <c r="F31" s="8" t="s">
        <v>796</v>
      </c>
      <c r="G31" s="119"/>
      <c r="H31" s="8" t="s">
        <v>110</v>
      </c>
      <c r="I31" s="8" t="s">
        <v>110</v>
      </c>
      <c r="J31" s="8" t="s">
        <v>110</v>
      </c>
      <c r="K31" s="8" t="s">
        <v>110</v>
      </c>
      <c r="L31" s="8" t="s">
        <v>110</v>
      </c>
      <c r="M31" s="8" t="s">
        <v>110</v>
      </c>
      <c r="N31" s="119"/>
      <c r="O31" s="8" t="s">
        <v>110</v>
      </c>
      <c r="P31" s="8" t="s">
        <v>110</v>
      </c>
      <c r="Q31" s="8" t="s">
        <v>110</v>
      </c>
      <c r="R31" s="140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2"/>
      <c r="AK31" s="5">
        <f t="shared" si="1"/>
        <v>9</v>
      </c>
      <c r="AL31" s="5">
        <f t="shared" si="2"/>
        <v>1</v>
      </c>
    </row>
    <row r="32" spans="1:42" x14ac:dyDescent="0.25">
      <c r="A32" s="9">
        <v>5</v>
      </c>
      <c r="B32" s="21">
        <v>603</v>
      </c>
      <c r="C32" s="24" t="s">
        <v>385</v>
      </c>
      <c r="D32" s="25" t="s">
        <v>26</v>
      </c>
      <c r="E32" s="20" t="s">
        <v>531</v>
      </c>
      <c r="F32" s="8" t="s">
        <v>110</v>
      </c>
      <c r="G32" s="119"/>
      <c r="H32" s="8" t="s">
        <v>110</v>
      </c>
      <c r="I32" s="8" t="s">
        <v>110</v>
      </c>
      <c r="J32" s="8" t="s">
        <v>110</v>
      </c>
      <c r="K32" s="8" t="s">
        <v>110</v>
      </c>
      <c r="L32" s="8" t="s">
        <v>110</v>
      </c>
      <c r="M32" s="8" t="s">
        <v>110</v>
      </c>
      <c r="N32" s="119"/>
      <c r="O32" s="8" t="s">
        <v>110</v>
      </c>
      <c r="P32" s="8" t="s">
        <v>110</v>
      </c>
      <c r="Q32" s="8" t="s">
        <v>110</v>
      </c>
      <c r="R32" s="140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2"/>
      <c r="AK32" s="5">
        <f t="shared" si="1"/>
        <v>10</v>
      </c>
      <c r="AL32" s="5">
        <f t="shared" si="2"/>
        <v>0</v>
      </c>
    </row>
    <row r="33" spans="1:38" x14ac:dyDescent="0.25">
      <c r="A33" s="21">
        <v>6</v>
      </c>
      <c r="B33" s="21">
        <v>503</v>
      </c>
      <c r="C33" s="24" t="s">
        <v>569</v>
      </c>
      <c r="D33" s="25" t="s">
        <v>556</v>
      </c>
      <c r="E33" s="20" t="s">
        <v>531</v>
      </c>
      <c r="F33" s="8" t="s">
        <v>110</v>
      </c>
      <c r="G33" s="119"/>
      <c r="H33" s="8" t="s">
        <v>110</v>
      </c>
      <c r="I33" s="8" t="s">
        <v>110</v>
      </c>
      <c r="J33" s="8" t="s">
        <v>110</v>
      </c>
      <c r="K33" s="8" t="s">
        <v>110</v>
      </c>
      <c r="L33" s="8" t="s">
        <v>110</v>
      </c>
      <c r="M33" s="8" t="s">
        <v>110</v>
      </c>
      <c r="N33" s="119"/>
      <c r="O33" s="8" t="s">
        <v>110</v>
      </c>
      <c r="P33" s="8" t="s">
        <v>110</v>
      </c>
      <c r="Q33" s="8" t="s">
        <v>110</v>
      </c>
      <c r="R33" s="140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2"/>
      <c r="AK33" s="5">
        <f t="shared" si="1"/>
        <v>10</v>
      </c>
      <c r="AL33" s="5">
        <f t="shared" si="2"/>
        <v>0</v>
      </c>
    </row>
    <row r="34" spans="1:38" x14ac:dyDescent="0.25">
      <c r="A34" s="9">
        <v>7</v>
      </c>
      <c r="B34" s="21">
        <v>606</v>
      </c>
      <c r="C34" s="24" t="s">
        <v>570</v>
      </c>
      <c r="D34" s="25" t="s">
        <v>571</v>
      </c>
      <c r="E34" s="20" t="s">
        <v>531</v>
      </c>
      <c r="F34" s="8" t="s">
        <v>110</v>
      </c>
      <c r="G34" s="119"/>
      <c r="H34" s="8" t="s">
        <v>110</v>
      </c>
      <c r="I34" s="8" t="s">
        <v>110</v>
      </c>
      <c r="J34" s="8" t="s">
        <v>110</v>
      </c>
      <c r="K34" s="8" t="s">
        <v>110</v>
      </c>
      <c r="L34" s="8" t="s">
        <v>110</v>
      </c>
      <c r="M34" s="8" t="s">
        <v>110</v>
      </c>
      <c r="N34" s="119"/>
      <c r="O34" s="8" t="s">
        <v>110</v>
      </c>
      <c r="P34" s="8" t="s">
        <v>110</v>
      </c>
      <c r="Q34" s="8" t="s">
        <v>110</v>
      </c>
      <c r="R34" s="140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2"/>
      <c r="AK34" s="5">
        <f t="shared" si="1"/>
        <v>10</v>
      </c>
      <c r="AL34" s="5">
        <f t="shared" si="2"/>
        <v>0</v>
      </c>
    </row>
    <row r="35" spans="1:38" x14ac:dyDescent="0.25">
      <c r="A35" s="21">
        <v>8</v>
      </c>
      <c r="B35" s="21">
        <v>358</v>
      </c>
      <c r="C35" s="24" t="s">
        <v>572</v>
      </c>
      <c r="D35" s="25" t="s">
        <v>423</v>
      </c>
      <c r="E35" s="20" t="s">
        <v>531</v>
      </c>
      <c r="F35" s="8" t="s">
        <v>110</v>
      </c>
      <c r="G35" s="119"/>
      <c r="H35" s="8" t="s">
        <v>110</v>
      </c>
      <c r="I35" s="8" t="s">
        <v>110</v>
      </c>
      <c r="J35" s="8" t="s">
        <v>110</v>
      </c>
      <c r="K35" s="8" t="s">
        <v>110</v>
      </c>
      <c r="L35" s="8" t="s">
        <v>110</v>
      </c>
      <c r="M35" s="8" t="s">
        <v>110</v>
      </c>
      <c r="N35" s="119"/>
      <c r="O35" s="8" t="s">
        <v>110</v>
      </c>
      <c r="P35" s="8" t="s">
        <v>110</v>
      </c>
      <c r="Q35" s="8" t="s">
        <v>110</v>
      </c>
      <c r="R35" s="140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2"/>
      <c r="AK35" s="5">
        <f t="shared" si="1"/>
        <v>10</v>
      </c>
      <c r="AL35" s="5">
        <f t="shared" si="2"/>
        <v>0</v>
      </c>
    </row>
    <row r="36" spans="1:38" x14ac:dyDescent="0.25">
      <c r="A36" s="9">
        <v>9</v>
      </c>
      <c r="B36" s="21">
        <v>610</v>
      </c>
      <c r="C36" s="24" t="s">
        <v>573</v>
      </c>
      <c r="D36" s="25" t="s">
        <v>167</v>
      </c>
      <c r="E36" s="20" t="s">
        <v>531</v>
      </c>
      <c r="F36" s="8" t="s">
        <v>796</v>
      </c>
      <c r="G36" s="119"/>
      <c r="H36" s="8" t="s">
        <v>110</v>
      </c>
      <c r="I36" s="8" t="s">
        <v>110</v>
      </c>
      <c r="J36" s="8" t="s">
        <v>110</v>
      </c>
      <c r="K36" s="8" t="s">
        <v>110</v>
      </c>
      <c r="L36" s="8" t="s">
        <v>110</v>
      </c>
      <c r="M36" s="8" t="s">
        <v>110</v>
      </c>
      <c r="N36" s="119"/>
      <c r="O36" s="8" t="s">
        <v>110</v>
      </c>
      <c r="P36" s="8" t="s">
        <v>110</v>
      </c>
      <c r="Q36" s="8" t="s">
        <v>110</v>
      </c>
      <c r="R36" s="140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2"/>
      <c r="AK36" s="5">
        <f t="shared" si="1"/>
        <v>9</v>
      </c>
      <c r="AL36" s="5">
        <f t="shared" si="2"/>
        <v>1</v>
      </c>
    </row>
    <row r="37" spans="1:38" x14ac:dyDescent="0.25">
      <c r="A37" s="21">
        <v>10</v>
      </c>
      <c r="B37" s="21">
        <v>709</v>
      </c>
      <c r="C37" s="24" t="s">
        <v>574</v>
      </c>
      <c r="D37" s="25" t="s">
        <v>575</v>
      </c>
      <c r="E37" s="20" t="s">
        <v>531</v>
      </c>
      <c r="F37" s="8" t="s">
        <v>110</v>
      </c>
      <c r="G37" s="119"/>
      <c r="H37" s="8" t="s">
        <v>110</v>
      </c>
      <c r="I37" s="8" t="s">
        <v>110</v>
      </c>
      <c r="J37" s="8" t="s">
        <v>110</v>
      </c>
      <c r="K37" s="8" t="s">
        <v>110</v>
      </c>
      <c r="L37" s="8" t="s">
        <v>110</v>
      </c>
      <c r="M37" s="8" t="s">
        <v>110</v>
      </c>
      <c r="N37" s="119"/>
      <c r="O37" s="8" t="s">
        <v>110</v>
      </c>
      <c r="P37" s="8" t="s">
        <v>110</v>
      </c>
      <c r="Q37" s="8" t="s">
        <v>110</v>
      </c>
      <c r="R37" s="140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2"/>
      <c r="AK37" s="5">
        <f t="shared" si="1"/>
        <v>10</v>
      </c>
      <c r="AL37" s="5">
        <f t="shared" si="2"/>
        <v>0</v>
      </c>
    </row>
    <row r="38" spans="1:38" x14ac:dyDescent="0.25">
      <c r="A38" s="9">
        <v>11</v>
      </c>
      <c r="B38" s="21">
        <v>318</v>
      </c>
      <c r="C38" s="24" t="s">
        <v>576</v>
      </c>
      <c r="D38" s="25" t="s">
        <v>577</v>
      </c>
      <c r="E38" s="20" t="s">
        <v>531</v>
      </c>
      <c r="F38" s="8" t="s">
        <v>110</v>
      </c>
      <c r="G38" s="119"/>
      <c r="H38" s="8" t="s">
        <v>110</v>
      </c>
      <c r="I38" s="8" t="s">
        <v>110</v>
      </c>
      <c r="J38" s="8" t="s">
        <v>110</v>
      </c>
      <c r="K38" s="8" t="s">
        <v>110</v>
      </c>
      <c r="L38" s="8" t="s">
        <v>110</v>
      </c>
      <c r="M38" s="8" t="s">
        <v>110</v>
      </c>
      <c r="N38" s="119"/>
      <c r="O38" s="8" t="s">
        <v>110</v>
      </c>
      <c r="P38" s="8" t="s">
        <v>110</v>
      </c>
      <c r="Q38" s="8" t="s">
        <v>110</v>
      </c>
      <c r="R38" s="140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2"/>
      <c r="AK38" s="5">
        <f t="shared" si="1"/>
        <v>10</v>
      </c>
      <c r="AL38" s="5">
        <f t="shared" si="2"/>
        <v>0</v>
      </c>
    </row>
    <row r="39" spans="1:38" x14ac:dyDescent="0.25">
      <c r="A39" s="21">
        <v>12</v>
      </c>
      <c r="B39" s="21">
        <v>707</v>
      </c>
      <c r="C39" s="24" t="s">
        <v>578</v>
      </c>
      <c r="D39" s="25" t="s">
        <v>187</v>
      </c>
      <c r="E39" s="20" t="s">
        <v>531</v>
      </c>
      <c r="F39" s="8" t="s">
        <v>796</v>
      </c>
      <c r="G39" s="119"/>
      <c r="H39" s="8" t="s">
        <v>110</v>
      </c>
      <c r="I39" s="8" t="s">
        <v>110</v>
      </c>
      <c r="J39" s="8" t="s">
        <v>110</v>
      </c>
      <c r="K39" s="8" t="s">
        <v>110</v>
      </c>
      <c r="L39" s="8" t="s">
        <v>110</v>
      </c>
      <c r="M39" s="8" t="s">
        <v>110</v>
      </c>
      <c r="N39" s="119"/>
      <c r="O39" s="8" t="s">
        <v>110</v>
      </c>
      <c r="P39" s="8" t="s">
        <v>110</v>
      </c>
      <c r="Q39" s="8" t="s">
        <v>110</v>
      </c>
      <c r="R39" s="140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2"/>
      <c r="AK39" s="5">
        <f t="shared" si="1"/>
        <v>9</v>
      </c>
      <c r="AL39" s="5">
        <f t="shared" si="2"/>
        <v>1</v>
      </c>
    </row>
    <row r="40" spans="1:38" x14ac:dyDescent="0.25">
      <c r="A40" s="9">
        <v>13</v>
      </c>
      <c r="B40" s="21">
        <v>486</v>
      </c>
      <c r="C40" s="24" t="s">
        <v>579</v>
      </c>
      <c r="D40" s="25" t="s">
        <v>129</v>
      </c>
      <c r="E40" s="20" t="s">
        <v>531</v>
      </c>
      <c r="F40" s="8" t="s">
        <v>110</v>
      </c>
      <c r="G40" s="119"/>
      <c r="H40" s="8" t="s">
        <v>110</v>
      </c>
      <c r="I40" s="8" t="s">
        <v>110</v>
      </c>
      <c r="J40" s="8" t="s">
        <v>110</v>
      </c>
      <c r="K40" s="8" t="s">
        <v>110</v>
      </c>
      <c r="L40" s="8" t="s">
        <v>110</v>
      </c>
      <c r="M40" s="8" t="s">
        <v>110</v>
      </c>
      <c r="N40" s="119"/>
      <c r="O40" s="8" t="s">
        <v>110</v>
      </c>
      <c r="P40" s="8" t="s">
        <v>110</v>
      </c>
      <c r="Q40" s="8" t="s">
        <v>110</v>
      </c>
      <c r="R40" s="140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2"/>
      <c r="AK40" s="5">
        <f t="shared" si="1"/>
        <v>10</v>
      </c>
      <c r="AL40" s="5">
        <f t="shared" si="2"/>
        <v>0</v>
      </c>
    </row>
    <row r="41" spans="1:38" x14ac:dyDescent="0.25">
      <c r="A41" s="21">
        <v>14</v>
      </c>
      <c r="B41" s="21">
        <v>602</v>
      </c>
      <c r="C41" s="24" t="s">
        <v>580</v>
      </c>
      <c r="D41" s="25" t="s">
        <v>50</v>
      </c>
      <c r="E41" s="20" t="s">
        <v>531</v>
      </c>
      <c r="F41" s="8" t="s">
        <v>110</v>
      </c>
      <c r="G41" s="119"/>
      <c r="H41" s="8" t="s">
        <v>110</v>
      </c>
      <c r="I41" s="8" t="s">
        <v>110</v>
      </c>
      <c r="J41" s="8" t="s">
        <v>110</v>
      </c>
      <c r="K41" s="8" t="s">
        <v>110</v>
      </c>
      <c r="L41" s="8" t="s">
        <v>110</v>
      </c>
      <c r="M41" s="8" t="s">
        <v>110</v>
      </c>
      <c r="N41" s="119"/>
      <c r="O41" s="8" t="s">
        <v>110</v>
      </c>
      <c r="P41" s="8" t="s">
        <v>110</v>
      </c>
      <c r="Q41" s="8" t="s">
        <v>110</v>
      </c>
      <c r="R41" s="140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2"/>
      <c r="AK41" s="5">
        <f t="shared" si="1"/>
        <v>10</v>
      </c>
      <c r="AL41" s="5">
        <f t="shared" si="2"/>
        <v>0</v>
      </c>
    </row>
    <row r="42" spans="1:38" x14ac:dyDescent="0.25">
      <c r="A42" s="9">
        <v>15</v>
      </c>
      <c r="B42" s="21">
        <v>641</v>
      </c>
      <c r="C42" s="24" t="s">
        <v>581</v>
      </c>
      <c r="D42" s="25" t="s">
        <v>575</v>
      </c>
      <c r="E42" s="20" t="s">
        <v>531</v>
      </c>
      <c r="F42" s="8" t="s">
        <v>110</v>
      </c>
      <c r="G42" s="119"/>
      <c r="H42" s="8" t="s">
        <v>110</v>
      </c>
      <c r="I42" s="8" t="s">
        <v>110</v>
      </c>
      <c r="J42" s="8" t="s">
        <v>110</v>
      </c>
      <c r="K42" s="8" t="s">
        <v>110</v>
      </c>
      <c r="L42" s="8" t="s">
        <v>110</v>
      </c>
      <c r="M42" s="8" t="s">
        <v>110</v>
      </c>
      <c r="N42" s="119"/>
      <c r="O42" s="8" t="s">
        <v>110</v>
      </c>
      <c r="P42" s="8" t="s">
        <v>110</v>
      </c>
      <c r="Q42" s="8" t="s">
        <v>110</v>
      </c>
      <c r="R42" s="140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42"/>
      <c r="AK42" s="5">
        <f t="shared" si="1"/>
        <v>10</v>
      </c>
      <c r="AL42" s="5">
        <f t="shared" si="2"/>
        <v>0</v>
      </c>
    </row>
    <row r="43" spans="1:38" x14ac:dyDescent="0.25">
      <c r="A43" s="21">
        <v>16</v>
      </c>
      <c r="B43" s="21">
        <v>782</v>
      </c>
      <c r="C43" s="24" t="s">
        <v>582</v>
      </c>
      <c r="D43" s="25" t="s">
        <v>64</v>
      </c>
      <c r="E43" s="20" t="s">
        <v>531</v>
      </c>
      <c r="F43" s="8" t="s">
        <v>110</v>
      </c>
      <c r="G43" s="119"/>
      <c r="H43" s="8" t="s">
        <v>110</v>
      </c>
      <c r="I43" s="8" t="s">
        <v>110</v>
      </c>
      <c r="J43" s="8" t="s">
        <v>110</v>
      </c>
      <c r="K43" s="8" t="s">
        <v>110</v>
      </c>
      <c r="L43" s="8" t="s">
        <v>110</v>
      </c>
      <c r="M43" s="8" t="s">
        <v>110</v>
      </c>
      <c r="N43" s="119"/>
      <c r="O43" s="8" t="s">
        <v>110</v>
      </c>
      <c r="P43" s="8" t="s">
        <v>110</v>
      </c>
      <c r="Q43" s="8" t="s">
        <v>110</v>
      </c>
      <c r="R43" s="140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1"/>
      <c r="AJ43" s="142"/>
      <c r="AK43" s="5">
        <f t="shared" si="1"/>
        <v>10</v>
      </c>
      <c r="AL43" s="5">
        <f t="shared" si="2"/>
        <v>0</v>
      </c>
    </row>
    <row r="44" spans="1:38" x14ac:dyDescent="0.25">
      <c r="A44" s="9">
        <v>17</v>
      </c>
      <c r="B44" s="9">
        <v>460</v>
      </c>
      <c r="C44" s="26" t="s">
        <v>583</v>
      </c>
      <c r="D44" s="26" t="s">
        <v>584</v>
      </c>
      <c r="E44" s="8" t="s">
        <v>531</v>
      </c>
      <c r="F44" s="8" t="s">
        <v>110</v>
      </c>
      <c r="G44" s="119"/>
      <c r="H44" s="8" t="s">
        <v>110</v>
      </c>
      <c r="I44" s="8" t="s">
        <v>110</v>
      </c>
      <c r="J44" s="8" t="s">
        <v>110</v>
      </c>
      <c r="K44" s="8" t="s">
        <v>110</v>
      </c>
      <c r="L44" s="8" t="s">
        <v>110</v>
      </c>
      <c r="M44" s="8" t="s">
        <v>110</v>
      </c>
      <c r="N44" s="119"/>
      <c r="O44" s="8" t="s">
        <v>110</v>
      </c>
      <c r="P44" s="8" t="s">
        <v>110</v>
      </c>
      <c r="Q44" s="8" t="s">
        <v>110</v>
      </c>
      <c r="R44" s="140"/>
      <c r="S44" s="141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1"/>
      <c r="AJ44" s="142"/>
      <c r="AK44" s="5">
        <f t="shared" si="1"/>
        <v>10</v>
      </c>
      <c r="AL44" s="5">
        <f t="shared" si="2"/>
        <v>0</v>
      </c>
    </row>
    <row r="45" spans="1:38" x14ac:dyDescent="0.25">
      <c r="A45" s="21">
        <v>18</v>
      </c>
      <c r="B45" s="21">
        <v>388</v>
      </c>
      <c r="C45" s="26" t="s">
        <v>585</v>
      </c>
      <c r="D45" s="26" t="s">
        <v>129</v>
      </c>
      <c r="E45" s="8" t="s">
        <v>531</v>
      </c>
      <c r="F45" s="8" t="s">
        <v>110</v>
      </c>
      <c r="G45" s="119"/>
      <c r="H45" s="8" t="s">
        <v>110</v>
      </c>
      <c r="I45" s="8" t="s">
        <v>110</v>
      </c>
      <c r="J45" s="8" t="s">
        <v>110</v>
      </c>
      <c r="K45" s="8" t="s">
        <v>110</v>
      </c>
      <c r="L45" s="8" t="s">
        <v>110</v>
      </c>
      <c r="M45" s="8" t="s">
        <v>110</v>
      </c>
      <c r="N45" s="119"/>
      <c r="O45" s="8" t="s">
        <v>110</v>
      </c>
      <c r="P45" s="8" t="s">
        <v>110</v>
      </c>
      <c r="Q45" s="8" t="s">
        <v>110</v>
      </c>
      <c r="R45" s="140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2"/>
      <c r="AK45" s="5">
        <f t="shared" si="1"/>
        <v>10</v>
      </c>
      <c r="AL45" s="5">
        <f t="shared" si="2"/>
        <v>0</v>
      </c>
    </row>
    <row r="46" spans="1:38" x14ac:dyDescent="0.25">
      <c r="A46" s="9">
        <v>19</v>
      </c>
      <c r="B46" s="9">
        <v>510</v>
      </c>
      <c r="C46" s="26" t="s">
        <v>586</v>
      </c>
      <c r="D46" s="26" t="s">
        <v>587</v>
      </c>
      <c r="E46" s="8" t="s">
        <v>531</v>
      </c>
      <c r="F46" s="8" t="s">
        <v>110</v>
      </c>
      <c r="G46" s="119"/>
      <c r="H46" s="8" t="s">
        <v>110</v>
      </c>
      <c r="I46" s="8" t="s">
        <v>110</v>
      </c>
      <c r="J46" s="8" t="s">
        <v>110</v>
      </c>
      <c r="K46" s="8" t="s">
        <v>110</v>
      </c>
      <c r="L46" s="8" t="s">
        <v>110</v>
      </c>
      <c r="M46" s="8" t="s">
        <v>110</v>
      </c>
      <c r="N46" s="119"/>
      <c r="O46" s="8" t="s">
        <v>110</v>
      </c>
      <c r="P46" s="8" t="s">
        <v>110</v>
      </c>
      <c r="Q46" s="8" t="s">
        <v>110</v>
      </c>
      <c r="R46" s="140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2"/>
      <c r="AK46" s="5">
        <f t="shared" si="1"/>
        <v>10</v>
      </c>
      <c r="AL46" s="5">
        <f t="shared" si="2"/>
        <v>0</v>
      </c>
    </row>
    <row r="47" spans="1:38" x14ac:dyDescent="0.25">
      <c r="A47" s="21">
        <v>20</v>
      </c>
      <c r="B47" s="21">
        <v>704</v>
      </c>
      <c r="C47" s="26" t="s">
        <v>588</v>
      </c>
      <c r="D47" s="26" t="s">
        <v>556</v>
      </c>
      <c r="E47" s="8" t="s">
        <v>531</v>
      </c>
      <c r="F47" s="8" t="s">
        <v>110</v>
      </c>
      <c r="G47" s="119"/>
      <c r="H47" s="8" t="s">
        <v>110</v>
      </c>
      <c r="I47" s="8" t="s">
        <v>110</v>
      </c>
      <c r="J47" s="8" t="s">
        <v>110</v>
      </c>
      <c r="K47" s="8" t="s">
        <v>110</v>
      </c>
      <c r="L47" s="8" t="s">
        <v>110</v>
      </c>
      <c r="M47" s="8" t="s">
        <v>110</v>
      </c>
      <c r="N47" s="119"/>
      <c r="O47" s="8" t="s">
        <v>110</v>
      </c>
      <c r="P47" s="8" t="s">
        <v>110</v>
      </c>
      <c r="Q47" s="8" t="s">
        <v>110</v>
      </c>
      <c r="R47" s="140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2"/>
      <c r="AK47" s="5">
        <f t="shared" si="1"/>
        <v>10</v>
      </c>
      <c r="AL47" s="5">
        <f t="shared" si="2"/>
        <v>0</v>
      </c>
    </row>
    <row r="48" spans="1:38" x14ac:dyDescent="0.25">
      <c r="A48" s="9">
        <v>21</v>
      </c>
      <c r="B48" s="9">
        <v>852</v>
      </c>
      <c r="C48" s="26" t="s">
        <v>589</v>
      </c>
      <c r="D48" s="26" t="s">
        <v>590</v>
      </c>
      <c r="E48" s="8" t="s">
        <v>531</v>
      </c>
      <c r="F48" s="8" t="s">
        <v>110</v>
      </c>
      <c r="G48" s="119"/>
      <c r="H48" s="8" t="s">
        <v>110</v>
      </c>
      <c r="I48" s="8" t="s">
        <v>110</v>
      </c>
      <c r="J48" s="8" t="s">
        <v>110</v>
      </c>
      <c r="K48" s="8" t="s">
        <v>110</v>
      </c>
      <c r="L48" s="8" t="s">
        <v>110</v>
      </c>
      <c r="M48" s="8" t="s">
        <v>110</v>
      </c>
      <c r="N48" s="119"/>
      <c r="O48" s="8" t="s">
        <v>110</v>
      </c>
      <c r="P48" s="8" t="s">
        <v>110</v>
      </c>
      <c r="Q48" s="8" t="s">
        <v>110</v>
      </c>
      <c r="R48" s="140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2"/>
      <c r="AK48" s="5">
        <f t="shared" si="1"/>
        <v>10</v>
      </c>
      <c r="AL48" s="5">
        <f t="shared" si="2"/>
        <v>0</v>
      </c>
    </row>
    <row r="49" spans="1:38" x14ac:dyDescent="0.25">
      <c r="A49" s="21">
        <v>22</v>
      </c>
      <c r="B49" s="21">
        <v>708</v>
      </c>
      <c r="C49" s="26" t="s">
        <v>591</v>
      </c>
      <c r="D49" s="26" t="s">
        <v>592</v>
      </c>
      <c r="E49" s="8" t="s">
        <v>531</v>
      </c>
      <c r="F49" s="8" t="s">
        <v>110</v>
      </c>
      <c r="G49" s="119"/>
      <c r="H49" s="8" t="s">
        <v>110</v>
      </c>
      <c r="I49" s="8" t="s">
        <v>110</v>
      </c>
      <c r="J49" s="8" t="s">
        <v>110</v>
      </c>
      <c r="K49" s="8" t="s">
        <v>110</v>
      </c>
      <c r="L49" s="8" t="s">
        <v>110</v>
      </c>
      <c r="M49" s="8" t="s">
        <v>110</v>
      </c>
      <c r="N49" s="119"/>
      <c r="O49" s="8" t="s">
        <v>110</v>
      </c>
      <c r="P49" s="8" t="s">
        <v>110</v>
      </c>
      <c r="Q49" s="8" t="s">
        <v>110</v>
      </c>
      <c r="R49" s="140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2"/>
      <c r="AK49" s="5">
        <f t="shared" si="1"/>
        <v>10</v>
      </c>
      <c r="AL49" s="5">
        <f t="shared" si="2"/>
        <v>0</v>
      </c>
    </row>
    <row r="50" spans="1:38" x14ac:dyDescent="0.25">
      <c r="A50" s="9">
        <v>23</v>
      </c>
      <c r="B50" s="9">
        <v>712</v>
      </c>
      <c r="C50" s="26" t="s">
        <v>593</v>
      </c>
      <c r="D50" s="26" t="s">
        <v>594</v>
      </c>
      <c r="E50" s="8" t="s">
        <v>531</v>
      </c>
      <c r="F50" s="8" t="s">
        <v>110</v>
      </c>
      <c r="G50" s="120"/>
      <c r="H50" s="8" t="s">
        <v>110</v>
      </c>
      <c r="I50" s="8" t="s">
        <v>110</v>
      </c>
      <c r="J50" s="8" t="s">
        <v>110</v>
      </c>
      <c r="K50" s="8" t="s">
        <v>110</v>
      </c>
      <c r="L50" s="8" t="s">
        <v>110</v>
      </c>
      <c r="M50" s="8" t="s">
        <v>110</v>
      </c>
      <c r="N50" s="120"/>
      <c r="O50" s="8" t="s">
        <v>110</v>
      </c>
      <c r="P50" s="8" t="s">
        <v>110</v>
      </c>
      <c r="Q50" s="8" t="s">
        <v>110</v>
      </c>
      <c r="R50" s="143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5"/>
      <c r="AK50" s="5">
        <f t="shared" si="1"/>
        <v>10</v>
      </c>
      <c r="AL50" s="5">
        <f t="shared" si="2"/>
        <v>0</v>
      </c>
    </row>
  </sheetData>
  <mergeCells count="15">
    <mergeCell ref="B3:B4"/>
    <mergeCell ref="AM19:AP19"/>
    <mergeCell ref="AM3:AN3"/>
    <mergeCell ref="AM11:AP11"/>
    <mergeCell ref="G5:G50"/>
    <mergeCell ref="N5:N50"/>
    <mergeCell ref="R5:AJ50"/>
    <mergeCell ref="A1:AL1"/>
    <mergeCell ref="A2:AL2"/>
    <mergeCell ref="A3:A4"/>
    <mergeCell ref="C3:C4"/>
    <mergeCell ref="D3:D4"/>
    <mergeCell ref="E3:E4"/>
    <mergeCell ref="AK3:AK4"/>
    <mergeCell ref="AL3:AL4"/>
  </mergeCells>
  <conditionalFormatting sqref="F3:AJ4 G5 F5:F50 H5:M50 O6:Q50 N5:R5">
    <cfRule type="expression" dxfId="222" priority="28">
      <formula>F$3="Sun"</formula>
    </cfRule>
  </conditionalFormatting>
  <conditionalFormatting sqref="G5 F5:F50 H5:M50 O6:Q50 F4:AJ4 N5:R5">
    <cfRule type="expression" dxfId="221" priority="27">
      <formula>IF(F$4=TODAY(),TRUE,FALSE)</formula>
    </cfRule>
  </conditionalFormatting>
  <conditionalFormatting sqref="G5 F5:F50 H5:M50 O6:Q50 N5:R5">
    <cfRule type="cellIs" dxfId="220" priority="24" operator="equal">
      <formula>"L"</formula>
    </cfRule>
    <cfRule type="cellIs" dxfId="219" priority="25" operator="equal">
      <formula>"A"</formula>
    </cfRule>
    <cfRule type="cellIs" dxfId="218" priority="26" operator="equal">
      <formula>"P"</formula>
    </cfRule>
  </conditionalFormatting>
  <conditionalFormatting sqref="AK3:AL3 AK5:AL50">
    <cfRule type="expression" dxfId="212" priority="29">
      <formula>#REF!="Sun"</formula>
    </cfRule>
  </conditionalFormatting>
  <conditionalFormatting sqref="AM8:AM9">
    <cfRule type="expression" dxfId="211" priority="15">
      <formula>AM$3="Sun"</formula>
    </cfRule>
  </conditionalFormatting>
  <conditionalFormatting sqref="AM12:AM15">
    <cfRule type="expression" dxfId="210" priority="13">
      <formula>AM$3="Sun"</formula>
    </cfRule>
  </conditionalFormatting>
  <conditionalFormatting sqref="AM20:AM23">
    <cfRule type="expression" dxfId="209" priority="12">
      <formula>AM$3="Sun"</formula>
    </cfRule>
  </conditionalFormatting>
  <conditionalFormatting sqref="AM4:AN4">
    <cfRule type="expression" dxfId="208" priority="16">
      <formula>AM$3="Sun"</formula>
    </cfRule>
  </conditionalFormatting>
  <conditionalFormatting sqref="AN12:AP12 AN20:AP20">
    <cfRule type="expression" dxfId="207" priority="17">
      <formula>AN$3="Sun"</formula>
    </cfRule>
  </conditionalFormatting>
  <conditionalFormatting sqref="AP21">
    <cfRule type="expression" dxfId="206" priority="14">
      <formula>AP$3="Sun"</formula>
    </cfRule>
  </conditionalFormatting>
  <conditionalFormatting sqref="AM5:AM7">
    <cfRule type="expression" dxfId="4" priority="1">
      <formula>AM$3="Sun"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45"/>
  <sheetViews>
    <sheetView workbookViewId="0">
      <selection activeCell="AO12" sqref="AO12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7109375" style="1" bestFit="1" customWidth="1"/>
    <col min="7" max="7" width="3.85546875" style="1" bestFit="1" customWidth="1"/>
    <col min="8" max="8" width="4.5703125" style="1" bestFit="1" customWidth="1"/>
    <col min="9" max="9" width="3.85546875" style="1" bestFit="1" customWidth="1"/>
    <col min="10" max="10" width="4.7109375" style="1" bestFit="1" customWidth="1"/>
    <col min="11" max="11" width="3.85546875" style="1" bestFit="1" customWidth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7109375" style="1" bestFit="1" customWidth="1"/>
    <col min="18" max="18" width="3.85546875" style="1" bestFit="1" customWidth="1"/>
    <col min="19" max="20" width="3.7109375" style="1" bestFit="1" customWidth="1"/>
    <col min="21" max="21" width="3.85546875" style="1" bestFit="1" customWidth="1"/>
    <col min="22" max="22" width="4.5703125" style="1" bestFit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4" width="3.7109375" style="1" bestFit="1" customWidth="1"/>
    <col min="35" max="35" width="3.85546875" style="1" bestFit="1" customWidth="1"/>
    <col min="36" max="36" width="4.5703125" style="1" bestFit="1" customWidth="1"/>
    <col min="37" max="37" width="9.42578125" style="1" bestFit="1" customWidth="1"/>
    <col min="38" max="38" width="8.570312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21" t="s">
        <v>18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</row>
    <row r="2" spans="1:42" ht="17.25" x14ac:dyDescent="0.3">
      <c r="A2" s="125" t="s">
        <v>795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</row>
    <row r="3" spans="1:42" ht="15.75" x14ac:dyDescent="0.25">
      <c r="A3" s="134" t="s">
        <v>0</v>
      </c>
      <c r="B3" s="134" t="s">
        <v>789</v>
      </c>
      <c r="C3" s="134" t="s">
        <v>1</v>
      </c>
      <c r="D3" s="134" t="s">
        <v>2</v>
      </c>
      <c r="E3" s="134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22" t="s">
        <v>4</v>
      </c>
      <c r="AL3" s="122" t="s">
        <v>5</v>
      </c>
      <c r="AM3" s="115" t="s">
        <v>120</v>
      </c>
      <c r="AN3" s="116"/>
      <c r="AO3" s="3"/>
      <c r="AP3" s="3"/>
    </row>
    <row r="4" spans="1:42" ht="37.5" x14ac:dyDescent="0.25">
      <c r="A4" s="135"/>
      <c r="B4" s="136"/>
      <c r="C4" s="135"/>
      <c r="D4" s="135"/>
      <c r="E4" s="135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22"/>
      <c r="AL4" s="122"/>
      <c r="AM4" s="5" t="s">
        <v>121</v>
      </c>
      <c r="AN4" s="5">
        <f>SUM(AN5:AN8)</f>
        <v>31</v>
      </c>
      <c r="AO4" s="3"/>
      <c r="AP4" s="3"/>
    </row>
    <row r="5" spans="1:42" ht="15" customHeight="1" x14ac:dyDescent="0.25">
      <c r="A5" s="21">
        <v>1</v>
      </c>
      <c r="B5" s="21">
        <v>474</v>
      </c>
      <c r="C5" s="24" t="s">
        <v>22</v>
      </c>
      <c r="D5" s="25" t="s">
        <v>95</v>
      </c>
      <c r="E5" s="20" t="s">
        <v>595</v>
      </c>
      <c r="F5" s="8" t="s">
        <v>110</v>
      </c>
      <c r="G5" s="118" t="s">
        <v>596</v>
      </c>
      <c r="H5" s="8" t="s">
        <v>110</v>
      </c>
      <c r="I5" s="8" t="s">
        <v>110</v>
      </c>
      <c r="J5" s="8" t="s">
        <v>110</v>
      </c>
      <c r="K5" s="8" t="s">
        <v>110</v>
      </c>
      <c r="L5" s="8" t="s">
        <v>110</v>
      </c>
      <c r="M5" s="8" t="s">
        <v>110</v>
      </c>
      <c r="N5" s="118" t="s">
        <v>596</v>
      </c>
      <c r="O5" s="8" t="s">
        <v>110</v>
      </c>
      <c r="P5" s="8" t="s">
        <v>110</v>
      </c>
      <c r="Q5" s="8" t="s">
        <v>110</v>
      </c>
      <c r="R5" s="8" t="s">
        <v>110</v>
      </c>
      <c r="S5" s="137" t="s">
        <v>803</v>
      </c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9"/>
      <c r="AJ5" s="8"/>
      <c r="AK5" s="5">
        <f t="shared" ref="AK5:AK45" si="1">COUNTIF(F5:AJ5,"P")</f>
        <v>11</v>
      </c>
      <c r="AL5" s="5">
        <f t="shared" ref="AL5:AL45" si="2">COUNTIF(F5:AJ5,"A")</f>
        <v>0</v>
      </c>
      <c r="AM5" s="5" t="s">
        <v>7</v>
      </c>
      <c r="AN5" s="9">
        <v>11</v>
      </c>
      <c r="AO5" s="10"/>
      <c r="AP5" s="3"/>
    </row>
    <row r="6" spans="1:42" x14ac:dyDescent="0.25">
      <c r="A6" s="21">
        <v>2</v>
      </c>
      <c r="B6" s="21">
        <v>615</v>
      </c>
      <c r="C6" s="24" t="s">
        <v>597</v>
      </c>
      <c r="D6" s="25" t="s">
        <v>283</v>
      </c>
      <c r="E6" s="20" t="s">
        <v>595</v>
      </c>
      <c r="F6" s="8" t="s">
        <v>110</v>
      </c>
      <c r="G6" s="119"/>
      <c r="H6" s="8" t="s">
        <v>110</v>
      </c>
      <c r="I6" s="8" t="s">
        <v>110</v>
      </c>
      <c r="J6" s="8" t="s">
        <v>110</v>
      </c>
      <c r="K6" s="8" t="s">
        <v>110</v>
      </c>
      <c r="L6" s="8" t="s">
        <v>110</v>
      </c>
      <c r="M6" s="8" t="s">
        <v>110</v>
      </c>
      <c r="N6" s="119"/>
      <c r="O6" s="8" t="s">
        <v>110</v>
      </c>
      <c r="P6" s="8" t="s">
        <v>110</v>
      </c>
      <c r="Q6" s="8" t="s">
        <v>110</v>
      </c>
      <c r="R6" s="8" t="s">
        <v>110</v>
      </c>
      <c r="S6" s="140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2"/>
      <c r="AJ6" s="8"/>
      <c r="AK6" s="5">
        <f t="shared" si="1"/>
        <v>11</v>
      </c>
      <c r="AL6" s="5">
        <f t="shared" si="2"/>
        <v>0</v>
      </c>
      <c r="AM6" s="5" t="s">
        <v>8</v>
      </c>
      <c r="AN6" s="9">
        <v>2</v>
      </c>
      <c r="AO6" s="3"/>
      <c r="AP6" s="3"/>
    </row>
    <row r="7" spans="1:42" x14ac:dyDescent="0.25">
      <c r="A7" s="21">
        <v>3</v>
      </c>
      <c r="B7" s="21">
        <v>635</v>
      </c>
      <c r="C7" s="24" t="s">
        <v>598</v>
      </c>
      <c r="D7" s="25" t="s">
        <v>599</v>
      </c>
      <c r="E7" s="20" t="s">
        <v>595</v>
      </c>
      <c r="F7" s="8" t="s">
        <v>110</v>
      </c>
      <c r="G7" s="119"/>
      <c r="H7" s="8" t="s">
        <v>110</v>
      </c>
      <c r="I7" s="8" t="s">
        <v>110</v>
      </c>
      <c r="J7" s="8" t="s">
        <v>110</v>
      </c>
      <c r="K7" s="8" t="s">
        <v>110</v>
      </c>
      <c r="L7" s="8" t="s">
        <v>110</v>
      </c>
      <c r="M7" s="8" t="s">
        <v>110</v>
      </c>
      <c r="N7" s="119"/>
      <c r="O7" s="8" t="s">
        <v>110</v>
      </c>
      <c r="P7" s="8" t="s">
        <v>110</v>
      </c>
      <c r="Q7" s="8" t="s">
        <v>110</v>
      </c>
      <c r="R7" s="8" t="s">
        <v>110</v>
      </c>
      <c r="S7" s="140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2"/>
      <c r="AJ7" s="8"/>
      <c r="AK7" s="5">
        <f t="shared" si="1"/>
        <v>11</v>
      </c>
      <c r="AL7" s="5">
        <f t="shared" si="2"/>
        <v>0</v>
      </c>
      <c r="AM7" s="5" t="s">
        <v>803</v>
      </c>
      <c r="AN7" s="9">
        <v>18</v>
      </c>
      <c r="AO7" s="3"/>
      <c r="AP7" s="3"/>
    </row>
    <row r="8" spans="1:42" x14ac:dyDescent="0.25">
      <c r="A8" s="21">
        <v>4</v>
      </c>
      <c r="B8" s="21">
        <v>475</v>
      </c>
      <c r="C8" s="24" t="s">
        <v>600</v>
      </c>
      <c r="D8" s="25" t="s">
        <v>95</v>
      </c>
      <c r="E8" s="20" t="s">
        <v>595</v>
      </c>
      <c r="F8" s="8" t="s">
        <v>110</v>
      </c>
      <c r="G8" s="119"/>
      <c r="H8" s="8" t="s">
        <v>110</v>
      </c>
      <c r="I8" s="8" t="s">
        <v>110</v>
      </c>
      <c r="J8" s="8" t="s">
        <v>110</v>
      </c>
      <c r="K8" s="8" t="s">
        <v>110</v>
      </c>
      <c r="L8" s="8" t="s">
        <v>110</v>
      </c>
      <c r="M8" s="8" t="s">
        <v>110</v>
      </c>
      <c r="N8" s="119"/>
      <c r="O8" s="8" t="s">
        <v>110</v>
      </c>
      <c r="P8" s="8" t="s">
        <v>110</v>
      </c>
      <c r="Q8" s="8" t="s">
        <v>110</v>
      </c>
      <c r="R8" s="8" t="s">
        <v>110</v>
      </c>
      <c r="S8" s="140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2"/>
      <c r="AJ8" s="8"/>
      <c r="AK8" s="5">
        <f t="shared" si="1"/>
        <v>11</v>
      </c>
      <c r="AL8" s="5">
        <f t="shared" si="2"/>
        <v>0</v>
      </c>
      <c r="AM8" s="5"/>
      <c r="AN8" s="9"/>
      <c r="AO8"/>
      <c r="AP8"/>
    </row>
    <row r="9" spans="1:42" x14ac:dyDescent="0.25">
      <c r="A9" s="21">
        <v>5</v>
      </c>
      <c r="B9" s="21">
        <v>343</v>
      </c>
      <c r="C9" s="24" t="s">
        <v>57</v>
      </c>
      <c r="D9" s="25" t="s">
        <v>458</v>
      </c>
      <c r="E9" s="20" t="s">
        <v>595</v>
      </c>
      <c r="F9" s="8" t="s">
        <v>110</v>
      </c>
      <c r="G9" s="119"/>
      <c r="H9" s="8" t="s">
        <v>110</v>
      </c>
      <c r="I9" s="8" t="s">
        <v>110</v>
      </c>
      <c r="J9" s="8" t="s">
        <v>110</v>
      </c>
      <c r="K9" s="8" t="s">
        <v>110</v>
      </c>
      <c r="L9" s="8" t="s">
        <v>110</v>
      </c>
      <c r="M9" s="8" t="s">
        <v>110</v>
      </c>
      <c r="N9" s="119"/>
      <c r="O9" s="8" t="s">
        <v>110</v>
      </c>
      <c r="P9" s="8" t="s">
        <v>110</v>
      </c>
      <c r="Q9" s="8" t="s">
        <v>110</v>
      </c>
      <c r="R9" s="8" t="s">
        <v>110</v>
      </c>
      <c r="S9" s="140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2"/>
      <c r="AJ9" s="8"/>
      <c r="AK9" s="5">
        <f t="shared" si="1"/>
        <v>11</v>
      </c>
      <c r="AL9" s="5">
        <f t="shared" si="2"/>
        <v>0</v>
      </c>
      <c r="AM9" s="5"/>
      <c r="AN9" s="9"/>
    </row>
    <row r="10" spans="1:42" ht="15.75" x14ac:dyDescent="0.25">
      <c r="A10" s="21">
        <v>6</v>
      </c>
      <c r="B10" s="21">
        <v>620</v>
      </c>
      <c r="C10" s="24" t="s">
        <v>601</v>
      </c>
      <c r="D10" s="25" t="s">
        <v>167</v>
      </c>
      <c r="E10" s="20" t="s">
        <v>595</v>
      </c>
      <c r="F10" s="8" t="s">
        <v>110</v>
      </c>
      <c r="G10" s="119"/>
      <c r="H10" s="8" t="s">
        <v>110</v>
      </c>
      <c r="I10" s="8" t="s">
        <v>110</v>
      </c>
      <c r="J10" s="8" t="s">
        <v>110</v>
      </c>
      <c r="K10" s="8" t="s">
        <v>110</v>
      </c>
      <c r="L10" s="8" t="s">
        <v>110</v>
      </c>
      <c r="M10" s="8" t="s">
        <v>110</v>
      </c>
      <c r="N10" s="119"/>
      <c r="O10" s="8" t="s">
        <v>110</v>
      </c>
      <c r="P10" s="8" t="s">
        <v>110</v>
      </c>
      <c r="Q10" s="8" t="s">
        <v>110</v>
      </c>
      <c r="R10" s="8" t="s">
        <v>110</v>
      </c>
      <c r="S10" s="140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2"/>
      <c r="AJ10" s="8"/>
      <c r="AK10" s="5">
        <f t="shared" si="1"/>
        <v>11</v>
      </c>
      <c r="AL10" s="5">
        <f t="shared" si="2"/>
        <v>0</v>
      </c>
      <c r="AM10" s="115" t="s">
        <v>9</v>
      </c>
      <c r="AN10" s="116"/>
      <c r="AO10" s="116"/>
      <c r="AP10" s="117"/>
    </row>
    <row r="11" spans="1:42" x14ac:dyDescent="0.25">
      <c r="A11" s="21">
        <v>7</v>
      </c>
      <c r="B11" s="21">
        <v>616</v>
      </c>
      <c r="C11" s="24" t="s">
        <v>602</v>
      </c>
      <c r="D11" s="25" t="s">
        <v>95</v>
      </c>
      <c r="E11" s="20" t="s">
        <v>595</v>
      </c>
      <c r="F11" s="8" t="s">
        <v>110</v>
      </c>
      <c r="G11" s="119"/>
      <c r="H11" s="8" t="s">
        <v>796</v>
      </c>
      <c r="I11" s="8" t="s">
        <v>110</v>
      </c>
      <c r="J11" s="8" t="s">
        <v>110</v>
      </c>
      <c r="K11" s="8" t="s">
        <v>110</v>
      </c>
      <c r="L11" s="8" t="s">
        <v>110</v>
      </c>
      <c r="M11" s="8" t="s">
        <v>110</v>
      </c>
      <c r="N11" s="119"/>
      <c r="O11" s="8" t="s">
        <v>110</v>
      </c>
      <c r="P11" s="8" t="s">
        <v>110</v>
      </c>
      <c r="Q11" s="8" t="s">
        <v>110</v>
      </c>
      <c r="R11" s="8" t="s">
        <v>110</v>
      </c>
      <c r="S11" s="140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2"/>
      <c r="AJ11" s="8"/>
      <c r="AK11" s="5">
        <f t="shared" si="1"/>
        <v>10</v>
      </c>
      <c r="AL11" s="5">
        <f t="shared" si="2"/>
        <v>1</v>
      </c>
      <c r="AM11" s="5" t="s">
        <v>10</v>
      </c>
      <c r="AN11" s="5" t="s">
        <v>11</v>
      </c>
      <c r="AO11" s="5" t="s">
        <v>12</v>
      </c>
      <c r="AP11" s="5" t="s">
        <v>13</v>
      </c>
    </row>
    <row r="12" spans="1:42" x14ac:dyDescent="0.25">
      <c r="A12" s="21">
        <v>8</v>
      </c>
      <c r="B12" s="21">
        <v>565</v>
      </c>
      <c r="C12" s="24" t="s">
        <v>603</v>
      </c>
      <c r="D12" s="25" t="s">
        <v>500</v>
      </c>
      <c r="E12" s="20" t="s">
        <v>595</v>
      </c>
      <c r="F12" s="8" t="s">
        <v>110</v>
      </c>
      <c r="G12" s="119"/>
      <c r="H12" s="8" t="s">
        <v>110</v>
      </c>
      <c r="I12" s="8" t="s">
        <v>110</v>
      </c>
      <c r="J12" s="8" t="s">
        <v>110</v>
      </c>
      <c r="K12" s="8" t="s">
        <v>110</v>
      </c>
      <c r="L12" s="8" t="s">
        <v>110</v>
      </c>
      <c r="M12" s="8" t="s">
        <v>110</v>
      </c>
      <c r="N12" s="119"/>
      <c r="O12" s="8" t="s">
        <v>110</v>
      </c>
      <c r="P12" s="8" t="s">
        <v>110</v>
      </c>
      <c r="Q12" s="8" t="s">
        <v>110</v>
      </c>
      <c r="R12" s="8" t="s">
        <v>110</v>
      </c>
      <c r="S12" s="140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2"/>
      <c r="AJ12" s="8"/>
      <c r="AK12" s="5">
        <f t="shared" si="1"/>
        <v>11</v>
      </c>
      <c r="AL12" s="5">
        <f t="shared" si="2"/>
        <v>0</v>
      </c>
      <c r="AM12" s="5" t="s">
        <v>14</v>
      </c>
      <c r="AN12" s="9">
        <f>16*$AN$5</f>
        <v>176</v>
      </c>
      <c r="AO12" s="9">
        <f>25*$AN$5</f>
        <v>275</v>
      </c>
      <c r="AP12" s="9">
        <f>SUM(AN12:AO12)</f>
        <v>451</v>
      </c>
    </row>
    <row r="13" spans="1:42" x14ac:dyDescent="0.25">
      <c r="A13" s="21">
        <v>9</v>
      </c>
      <c r="B13" s="21">
        <v>617</v>
      </c>
      <c r="C13" s="24" t="s">
        <v>604</v>
      </c>
      <c r="D13" s="25" t="s">
        <v>605</v>
      </c>
      <c r="E13" s="20" t="s">
        <v>595</v>
      </c>
      <c r="F13" s="8" t="s">
        <v>110</v>
      </c>
      <c r="G13" s="119"/>
      <c r="H13" s="8" t="s">
        <v>110</v>
      </c>
      <c r="I13" s="8" t="s">
        <v>110</v>
      </c>
      <c r="J13" s="8" t="s">
        <v>110</v>
      </c>
      <c r="K13" s="8" t="s">
        <v>110</v>
      </c>
      <c r="L13" s="8" t="s">
        <v>110</v>
      </c>
      <c r="M13" s="8" t="s">
        <v>110</v>
      </c>
      <c r="N13" s="119"/>
      <c r="O13" s="8" t="s">
        <v>110</v>
      </c>
      <c r="P13" s="8" t="s">
        <v>110</v>
      </c>
      <c r="Q13" s="8" t="s">
        <v>110</v>
      </c>
      <c r="R13" s="8" t="s">
        <v>110</v>
      </c>
      <c r="S13" s="140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2"/>
      <c r="AJ13" s="8"/>
      <c r="AK13" s="5">
        <f t="shared" si="1"/>
        <v>11</v>
      </c>
      <c r="AL13" s="5">
        <f t="shared" si="2"/>
        <v>0</v>
      </c>
      <c r="AM13" s="5" t="s">
        <v>15</v>
      </c>
      <c r="AN13" s="9">
        <f>SUM(AK5:AK20)</f>
        <v>175</v>
      </c>
      <c r="AO13" s="9">
        <f>SUM(AK21:AK45)</f>
        <v>272</v>
      </c>
      <c r="AP13" s="9">
        <f>AN13+AO13</f>
        <v>447</v>
      </c>
    </row>
    <row r="14" spans="1:42" x14ac:dyDescent="0.25">
      <c r="A14" s="21">
        <v>10</v>
      </c>
      <c r="B14" s="21">
        <v>715</v>
      </c>
      <c r="C14" s="24" t="s">
        <v>606</v>
      </c>
      <c r="D14" s="25" t="s">
        <v>542</v>
      </c>
      <c r="E14" s="20" t="s">
        <v>595</v>
      </c>
      <c r="F14" s="8" t="s">
        <v>110</v>
      </c>
      <c r="G14" s="119"/>
      <c r="H14" s="8" t="s">
        <v>110</v>
      </c>
      <c r="I14" s="8" t="s">
        <v>110</v>
      </c>
      <c r="J14" s="8" t="s">
        <v>110</v>
      </c>
      <c r="K14" s="8" t="s">
        <v>110</v>
      </c>
      <c r="L14" s="8" t="s">
        <v>110</v>
      </c>
      <c r="M14" s="8" t="s">
        <v>110</v>
      </c>
      <c r="N14" s="119"/>
      <c r="O14" s="8" t="s">
        <v>110</v>
      </c>
      <c r="P14" s="8" t="s">
        <v>110</v>
      </c>
      <c r="Q14" s="8" t="s">
        <v>110</v>
      </c>
      <c r="R14" s="8" t="s">
        <v>110</v>
      </c>
      <c r="S14" s="140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2"/>
      <c r="AJ14" s="8"/>
      <c r="AK14" s="5">
        <f t="shared" si="1"/>
        <v>11</v>
      </c>
      <c r="AL14" s="5">
        <f t="shared" si="2"/>
        <v>0</v>
      </c>
      <c r="AM14" s="5" t="s">
        <v>16</v>
      </c>
      <c r="AN14" s="12">
        <f>AN13/AN12</f>
        <v>0.99431818181818177</v>
      </c>
      <c r="AO14" s="12">
        <f>AO13/AO12</f>
        <v>0.98909090909090913</v>
      </c>
      <c r="AP14" s="12">
        <f>AP13/AP12</f>
        <v>0.99113082039911304</v>
      </c>
    </row>
    <row r="15" spans="1:42" x14ac:dyDescent="0.25">
      <c r="A15" s="21">
        <v>11</v>
      </c>
      <c r="B15" s="21">
        <v>426</v>
      </c>
      <c r="C15" s="24" t="s">
        <v>607</v>
      </c>
      <c r="D15" s="25" t="s">
        <v>325</v>
      </c>
      <c r="E15" s="20" t="s">
        <v>595</v>
      </c>
      <c r="F15" s="8" t="s">
        <v>110</v>
      </c>
      <c r="G15" s="119"/>
      <c r="H15" s="8" t="s">
        <v>110</v>
      </c>
      <c r="I15" s="8" t="s">
        <v>110</v>
      </c>
      <c r="J15" s="8" t="s">
        <v>110</v>
      </c>
      <c r="K15" s="8" t="s">
        <v>110</v>
      </c>
      <c r="L15" s="8" t="s">
        <v>110</v>
      </c>
      <c r="M15" s="8" t="s">
        <v>110</v>
      </c>
      <c r="N15" s="119"/>
      <c r="O15" s="8" t="s">
        <v>110</v>
      </c>
      <c r="P15" s="8" t="s">
        <v>110</v>
      </c>
      <c r="Q15" s="8" t="s">
        <v>110</v>
      </c>
      <c r="R15" s="8" t="s">
        <v>110</v>
      </c>
      <c r="S15" s="140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2"/>
      <c r="AJ15" s="8"/>
      <c r="AK15" s="5">
        <f t="shared" si="1"/>
        <v>11</v>
      </c>
      <c r="AL15" s="5">
        <f t="shared" si="2"/>
        <v>0</v>
      </c>
      <c r="AM15"/>
      <c r="AN15"/>
      <c r="AO15"/>
      <c r="AP15"/>
    </row>
    <row r="16" spans="1:42" x14ac:dyDescent="0.25">
      <c r="A16" s="21">
        <v>12</v>
      </c>
      <c r="B16" s="21">
        <v>560</v>
      </c>
      <c r="C16" s="24" t="s">
        <v>608</v>
      </c>
      <c r="D16" s="25" t="s">
        <v>609</v>
      </c>
      <c r="E16" s="20" t="s">
        <v>595</v>
      </c>
      <c r="F16" s="8" t="s">
        <v>110</v>
      </c>
      <c r="G16" s="119"/>
      <c r="H16" s="8" t="s">
        <v>110</v>
      </c>
      <c r="I16" s="8" t="s">
        <v>110</v>
      </c>
      <c r="J16" s="8" t="s">
        <v>110</v>
      </c>
      <c r="K16" s="8" t="s">
        <v>110</v>
      </c>
      <c r="L16" s="8" t="s">
        <v>110</v>
      </c>
      <c r="M16" s="8" t="s">
        <v>110</v>
      </c>
      <c r="N16" s="119"/>
      <c r="O16" s="8" t="s">
        <v>110</v>
      </c>
      <c r="P16" s="8" t="s">
        <v>110</v>
      </c>
      <c r="Q16" s="8" t="s">
        <v>110</v>
      </c>
      <c r="R16" s="8" t="s">
        <v>110</v>
      </c>
      <c r="S16" s="140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2"/>
      <c r="AJ16" s="8"/>
      <c r="AK16" s="5">
        <f t="shared" si="1"/>
        <v>11</v>
      </c>
      <c r="AL16" s="5">
        <f t="shared" si="2"/>
        <v>0</v>
      </c>
      <c r="AM16"/>
      <c r="AN16"/>
      <c r="AO16"/>
      <c r="AP16"/>
    </row>
    <row r="17" spans="1:42" x14ac:dyDescent="0.25">
      <c r="A17" s="21">
        <v>13</v>
      </c>
      <c r="B17" s="21">
        <v>347</v>
      </c>
      <c r="C17" s="24" t="s">
        <v>610</v>
      </c>
      <c r="D17" s="25" t="s">
        <v>611</v>
      </c>
      <c r="E17" s="20" t="s">
        <v>595</v>
      </c>
      <c r="F17" s="8" t="s">
        <v>110</v>
      </c>
      <c r="G17" s="119"/>
      <c r="H17" s="8" t="s">
        <v>110</v>
      </c>
      <c r="I17" s="8" t="s">
        <v>110</v>
      </c>
      <c r="J17" s="8" t="s">
        <v>110</v>
      </c>
      <c r="K17" s="8" t="s">
        <v>110</v>
      </c>
      <c r="L17" s="8" t="s">
        <v>110</v>
      </c>
      <c r="M17" s="8" t="s">
        <v>110</v>
      </c>
      <c r="N17" s="119"/>
      <c r="O17" s="8" t="s">
        <v>110</v>
      </c>
      <c r="P17" s="8" t="s">
        <v>110</v>
      </c>
      <c r="Q17" s="8" t="s">
        <v>110</v>
      </c>
      <c r="R17" s="8" t="s">
        <v>110</v>
      </c>
      <c r="S17" s="140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2"/>
      <c r="AJ17" s="8"/>
      <c r="AK17" s="5">
        <f t="shared" si="1"/>
        <v>11</v>
      </c>
      <c r="AL17" s="5">
        <f t="shared" si="2"/>
        <v>0</v>
      </c>
      <c r="AM17"/>
      <c r="AN17"/>
      <c r="AO17"/>
      <c r="AP17"/>
    </row>
    <row r="18" spans="1:42" ht="15.75" x14ac:dyDescent="0.25">
      <c r="A18" s="21">
        <v>14</v>
      </c>
      <c r="B18" s="21">
        <v>250</v>
      </c>
      <c r="C18" s="24" t="s">
        <v>612</v>
      </c>
      <c r="D18" s="25" t="s">
        <v>175</v>
      </c>
      <c r="E18" s="20" t="s">
        <v>595</v>
      </c>
      <c r="F18" s="8" t="s">
        <v>110</v>
      </c>
      <c r="G18" s="119"/>
      <c r="H18" s="8" t="s">
        <v>110</v>
      </c>
      <c r="I18" s="8" t="s">
        <v>110</v>
      </c>
      <c r="J18" s="8" t="s">
        <v>110</v>
      </c>
      <c r="K18" s="8" t="s">
        <v>110</v>
      </c>
      <c r="L18" s="8" t="s">
        <v>110</v>
      </c>
      <c r="M18" s="8" t="s">
        <v>110</v>
      </c>
      <c r="N18" s="119"/>
      <c r="O18" s="8" t="s">
        <v>110</v>
      </c>
      <c r="P18" s="8" t="s">
        <v>110</v>
      </c>
      <c r="Q18" s="8" t="s">
        <v>110</v>
      </c>
      <c r="R18" s="8" t="s">
        <v>110</v>
      </c>
      <c r="S18" s="140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2"/>
      <c r="AJ18" s="8"/>
      <c r="AK18" s="5">
        <f t="shared" si="1"/>
        <v>11</v>
      </c>
      <c r="AL18" s="5">
        <f t="shared" si="2"/>
        <v>0</v>
      </c>
      <c r="AM18" s="115" t="s">
        <v>122</v>
      </c>
      <c r="AN18" s="116"/>
      <c r="AO18" s="116"/>
      <c r="AP18" s="117"/>
    </row>
    <row r="19" spans="1:42" x14ac:dyDescent="0.25">
      <c r="A19" s="21">
        <v>15</v>
      </c>
      <c r="B19" s="21">
        <v>790</v>
      </c>
      <c r="C19" s="24" t="s">
        <v>613</v>
      </c>
      <c r="D19" s="25" t="s">
        <v>614</v>
      </c>
      <c r="E19" s="20" t="s">
        <v>595</v>
      </c>
      <c r="F19" s="8" t="s">
        <v>110</v>
      </c>
      <c r="G19" s="119"/>
      <c r="H19" s="8" t="s">
        <v>110</v>
      </c>
      <c r="I19" s="8" t="s">
        <v>110</v>
      </c>
      <c r="J19" s="8" t="s">
        <v>110</v>
      </c>
      <c r="K19" s="8" t="s">
        <v>110</v>
      </c>
      <c r="L19" s="8" t="s">
        <v>110</v>
      </c>
      <c r="M19" s="8" t="s">
        <v>110</v>
      </c>
      <c r="N19" s="119"/>
      <c r="O19" s="8" t="s">
        <v>110</v>
      </c>
      <c r="P19" s="8" t="s">
        <v>110</v>
      </c>
      <c r="Q19" s="8" t="s">
        <v>110</v>
      </c>
      <c r="R19" s="8" t="s">
        <v>110</v>
      </c>
      <c r="S19" s="140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2"/>
      <c r="AJ19" s="8"/>
      <c r="AK19" s="5">
        <f t="shared" si="1"/>
        <v>11</v>
      </c>
      <c r="AL19" s="5">
        <f t="shared" si="2"/>
        <v>0</v>
      </c>
      <c r="AM19" s="5" t="s">
        <v>10</v>
      </c>
      <c r="AN19" s="5" t="s">
        <v>11</v>
      </c>
      <c r="AO19" s="5" t="s">
        <v>12</v>
      </c>
      <c r="AP19" s="5" t="s">
        <v>13</v>
      </c>
    </row>
    <row r="20" spans="1:42" x14ac:dyDescent="0.25">
      <c r="A20" s="21">
        <v>16</v>
      </c>
      <c r="B20" s="21">
        <v>892</v>
      </c>
      <c r="C20" s="24" t="s">
        <v>615</v>
      </c>
      <c r="D20" s="25" t="s">
        <v>616</v>
      </c>
      <c r="E20" s="20" t="s">
        <v>595</v>
      </c>
      <c r="F20" s="8" t="s">
        <v>110</v>
      </c>
      <c r="G20" s="119"/>
      <c r="H20" s="8" t="s">
        <v>110</v>
      </c>
      <c r="I20" s="8" t="s">
        <v>110</v>
      </c>
      <c r="J20" s="8" t="s">
        <v>110</v>
      </c>
      <c r="K20" s="8" t="s">
        <v>110</v>
      </c>
      <c r="L20" s="8" t="s">
        <v>110</v>
      </c>
      <c r="M20" s="8" t="s">
        <v>110</v>
      </c>
      <c r="N20" s="119"/>
      <c r="O20" s="8" t="s">
        <v>110</v>
      </c>
      <c r="P20" s="8" t="s">
        <v>110</v>
      </c>
      <c r="Q20" s="8" t="s">
        <v>110</v>
      </c>
      <c r="R20" s="8" t="s">
        <v>110</v>
      </c>
      <c r="S20" s="140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2"/>
      <c r="AJ20" s="8"/>
      <c r="AK20" s="5">
        <f t="shared" si="1"/>
        <v>11</v>
      </c>
      <c r="AL20" s="5">
        <f t="shared" si="2"/>
        <v>0</v>
      </c>
      <c r="AM20" s="5" t="s">
        <v>14</v>
      </c>
      <c r="AN20" s="9">
        <f>17*$AN$5</f>
        <v>187</v>
      </c>
      <c r="AO20" s="9">
        <f>28*$AN$5</f>
        <v>308</v>
      </c>
      <c r="AP20" s="9">
        <f>AN20+AO20</f>
        <v>495</v>
      </c>
    </row>
    <row r="21" spans="1:42" x14ac:dyDescent="0.25">
      <c r="A21" s="9">
        <v>1</v>
      </c>
      <c r="B21" s="21">
        <v>713</v>
      </c>
      <c r="C21" s="24" t="s">
        <v>125</v>
      </c>
      <c r="D21" s="25" t="s">
        <v>96</v>
      </c>
      <c r="E21" s="20" t="s">
        <v>595</v>
      </c>
      <c r="F21" s="8" t="s">
        <v>110</v>
      </c>
      <c r="G21" s="119"/>
      <c r="H21" s="8" t="s">
        <v>110</v>
      </c>
      <c r="I21" s="8" t="s">
        <v>110</v>
      </c>
      <c r="J21" s="8" t="s">
        <v>110</v>
      </c>
      <c r="K21" s="8" t="s">
        <v>110</v>
      </c>
      <c r="L21" s="8" t="s">
        <v>110</v>
      </c>
      <c r="M21" s="8" t="s">
        <v>110</v>
      </c>
      <c r="N21" s="119"/>
      <c r="O21" s="8" t="s">
        <v>110</v>
      </c>
      <c r="P21" s="8" t="s">
        <v>110</v>
      </c>
      <c r="Q21" s="8" t="s">
        <v>110</v>
      </c>
      <c r="R21" s="8" t="s">
        <v>110</v>
      </c>
      <c r="S21" s="140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2"/>
      <c r="AJ21" s="8"/>
      <c r="AK21" s="5">
        <f t="shared" si="1"/>
        <v>11</v>
      </c>
      <c r="AL21" s="5">
        <f t="shared" si="2"/>
        <v>0</v>
      </c>
      <c r="AM21" s="5" t="s">
        <v>17</v>
      </c>
      <c r="AN21" s="9">
        <f>AN20-AN13</f>
        <v>12</v>
      </c>
      <c r="AO21" s="9">
        <f>AO20-AO13</f>
        <v>36</v>
      </c>
      <c r="AP21" s="9">
        <f>AN21+AO21</f>
        <v>48</v>
      </c>
    </row>
    <row r="22" spans="1:42" x14ac:dyDescent="0.25">
      <c r="A22" s="9">
        <v>2</v>
      </c>
      <c r="B22" s="21">
        <v>354</v>
      </c>
      <c r="C22" s="24" t="s">
        <v>130</v>
      </c>
      <c r="D22" s="25" t="s">
        <v>222</v>
      </c>
      <c r="E22" s="20" t="s">
        <v>595</v>
      </c>
      <c r="F22" s="8" t="s">
        <v>110</v>
      </c>
      <c r="G22" s="119"/>
      <c r="H22" s="8" t="s">
        <v>110</v>
      </c>
      <c r="I22" s="8" t="s">
        <v>110</v>
      </c>
      <c r="J22" s="8" t="s">
        <v>110</v>
      </c>
      <c r="K22" s="8" t="s">
        <v>110</v>
      </c>
      <c r="L22" s="8" t="s">
        <v>110</v>
      </c>
      <c r="M22" s="8" t="s">
        <v>110</v>
      </c>
      <c r="N22" s="119"/>
      <c r="O22" s="8" t="s">
        <v>110</v>
      </c>
      <c r="P22" s="8" t="s">
        <v>110</v>
      </c>
      <c r="Q22" s="8" t="s">
        <v>110</v>
      </c>
      <c r="R22" s="8" t="s">
        <v>110</v>
      </c>
      <c r="S22" s="140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2"/>
      <c r="AJ22" s="8"/>
      <c r="AK22" s="5">
        <f t="shared" si="1"/>
        <v>11</v>
      </c>
      <c r="AL22" s="5">
        <f t="shared" si="2"/>
        <v>0</v>
      </c>
      <c r="AM22" s="5" t="s">
        <v>16</v>
      </c>
      <c r="AN22" s="12">
        <f>AN21/AN20</f>
        <v>6.4171122994652413E-2</v>
      </c>
      <c r="AO22" s="12">
        <f>AO21/AO20</f>
        <v>0.11688311688311688</v>
      </c>
      <c r="AP22" s="12">
        <f>AP21/AP20</f>
        <v>9.696969696969697E-2</v>
      </c>
    </row>
    <row r="23" spans="1:42" x14ac:dyDescent="0.25">
      <c r="A23" s="9">
        <v>3</v>
      </c>
      <c r="B23" s="21">
        <v>716</v>
      </c>
      <c r="C23" s="24" t="s">
        <v>134</v>
      </c>
      <c r="D23" s="25" t="s">
        <v>464</v>
      </c>
      <c r="E23" s="20" t="s">
        <v>595</v>
      </c>
      <c r="F23" s="8" t="s">
        <v>110</v>
      </c>
      <c r="G23" s="119"/>
      <c r="H23" s="8" t="s">
        <v>110</v>
      </c>
      <c r="I23" s="8" t="s">
        <v>110</v>
      </c>
      <c r="J23" s="8" t="s">
        <v>110</v>
      </c>
      <c r="K23" s="8" t="s">
        <v>110</v>
      </c>
      <c r="L23" s="8" t="s">
        <v>110</v>
      </c>
      <c r="M23" s="8" t="s">
        <v>110</v>
      </c>
      <c r="N23" s="119"/>
      <c r="O23" s="8" t="s">
        <v>110</v>
      </c>
      <c r="P23" s="8" t="s">
        <v>110</v>
      </c>
      <c r="Q23" s="8" t="s">
        <v>110</v>
      </c>
      <c r="R23" s="8" t="s">
        <v>110</v>
      </c>
      <c r="S23" s="140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2"/>
      <c r="AJ23" s="8"/>
      <c r="AK23" s="5">
        <f t="shared" si="1"/>
        <v>11</v>
      </c>
      <c r="AL23" s="5">
        <f t="shared" si="2"/>
        <v>0</v>
      </c>
    </row>
    <row r="24" spans="1:42" x14ac:dyDescent="0.25">
      <c r="A24" s="9">
        <v>4</v>
      </c>
      <c r="B24" s="21">
        <v>506</v>
      </c>
      <c r="C24" s="24" t="s">
        <v>136</v>
      </c>
      <c r="D24" s="24" t="s">
        <v>556</v>
      </c>
      <c r="E24" s="20" t="s">
        <v>595</v>
      </c>
      <c r="F24" s="8" t="s">
        <v>110</v>
      </c>
      <c r="G24" s="119"/>
      <c r="H24" s="8" t="s">
        <v>110</v>
      </c>
      <c r="I24" s="8" t="s">
        <v>110</v>
      </c>
      <c r="J24" s="8" t="s">
        <v>110</v>
      </c>
      <c r="K24" s="8" t="s">
        <v>110</v>
      </c>
      <c r="L24" s="8" t="s">
        <v>110</v>
      </c>
      <c r="M24" s="8" t="s">
        <v>110</v>
      </c>
      <c r="N24" s="119"/>
      <c r="O24" s="8" t="s">
        <v>110</v>
      </c>
      <c r="P24" s="8" t="s">
        <v>110</v>
      </c>
      <c r="Q24" s="8" t="s">
        <v>110</v>
      </c>
      <c r="R24" s="8" t="s">
        <v>110</v>
      </c>
      <c r="S24" s="140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2"/>
      <c r="AJ24" s="8"/>
      <c r="AK24" s="5">
        <f t="shared" si="1"/>
        <v>11</v>
      </c>
      <c r="AL24" s="5">
        <f t="shared" si="2"/>
        <v>0</v>
      </c>
    </row>
    <row r="25" spans="1:42" x14ac:dyDescent="0.25">
      <c r="A25" s="9">
        <v>5</v>
      </c>
      <c r="B25" s="21">
        <v>769</v>
      </c>
      <c r="C25" s="24" t="s">
        <v>572</v>
      </c>
      <c r="D25" s="25" t="s">
        <v>617</v>
      </c>
      <c r="E25" s="20" t="s">
        <v>595</v>
      </c>
      <c r="F25" s="8" t="s">
        <v>796</v>
      </c>
      <c r="G25" s="119"/>
      <c r="H25" s="8" t="s">
        <v>110</v>
      </c>
      <c r="I25" s="8" t="s">
        <v>110</v>
      </c>
      <c r="J25" s="8" t="s">
        <v>796</v>
      </c>
      <c r="K25" s="8" t="s">
        <v>110</v>
      </c>
      <c r="L25" s="8" t="s">
        <v>110</v>
      </c>
      <c r="M25" s="8" t="s">
        <v>110</v>
      </c>
      <c r="N25" s="119"/>
      <c r="O25" s="8" t="s">
        <v>110</v>
      </c>
      <c r="P25" s="8" t="s">
        <v>110</v>
      </c>
      <c r="Q25" s="8" t="s">
        <v>110</v>
      </c>
      <c r="R25" s="8" t="s">
        <v>110</v>
      </c>
      <c r="S25" s="140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2"/>
      <c r="AJ25" s="8"/>
      <c r="AK25" s="5">
        <f t="shared" si="1"/>
        <v>9</v>
      </c>
      <c r="AL25" s="5">
        <f t="shared" si="2"/>
        <v>2</v>
      </c>
    </row>
    <row r="26" spans="1:42" x14ac:dyDescent="0.25">
      <c r="A26" s="9">
        <v>6</v>
      </c>
      <c r="B26" s="103">
        <v>348</v>
      </c>
      <c r="C26" s="27" t="s">
        <v>618</v>
      </c>
      <c r="D26" s="28" t="s">
        <v>619</v>
      </c>
      <c r="E26" s="20" t="s">
        <v>595</v>
      </c>
      <c r="F26" s="8" t="s">
        <v>110</v>
      </c>
      <c r="G26" s="119"/>
      <c r="H26" s="8" t="s">
        <v>110</v>
      </c>
      <c r="I26" s="8" t="s">
        <v>110</v>
      </c>
      <c r="J26" s="8" t="s">
        <v>110</v>
      </c>
      <c r="K26" s="8" t="s">
        <v>110</v>
      </c>
      <c r="L26" s="8" t="s">
        <v>110</v>
      </c>
      <c r="M26" s="8" t="s">
        <v>110</v>
      </c>
      <c r="N26" s="119"/>
      <c r="O26" s="8" t="s">
        <v>110</v>
      </c>
      <c r="P26" s="8" t="s">
        <v>110</v>
      </c>
      <c r="Q26" s="8" t="s">
        <v>110</v>
      </c>
      <c r="R26" s="8" t="s">
        <v>110</v>
      </c>
      <c r="S26" s="140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2"/>
      <c r="AJ26" s="8"/>
      <c r="AK26" s="5">
        <f t="shared" si="1"/>
        <v>11</v>
      </c>
      <c r="AL26" s="5">
        <f t="shared" si="2"/>
        <v>0</v>
      </c>
    </row>
    <row r="27" spans="1:42" x14ac:dyDescent="0.25">
      <c r="A27" s="9">
        <v>7</v>
      </c>
      <c r="B27" s="9">
        <v>618</v>
      </c>
      <c r="C27" s="29" t="s">
        <v>620</v>
      </c>
      <c r="D27" s="29" t="s">
        <v>621</v>
      </c>
      <c r="E27" s="20" t="s">
        <v>595</v>
      </c>
      <c r="F27" s="8" t="s">
        <v>110</v>
      </c>
      <c r="G27" s="119"/>
      <c r="H27" s="8" t="s">
        <v>110</v>
      </c>
      <c r="I27" s="8" t="s">
        <v>110</v>
      </c>
      <c r="J27" s="8" t="s">
        <v>110</v>
      </c>
      <c r="K27" s="8" t="s">
        <v>110</v>
      </c>
      <c r="L27" s="8" t="s">
        <v>110</v>
      </c>
      <c r="M27" s="8" t="s">
        <v>110</v>
      </c>
      <c r="N27" s="119"/>
      <c r="O27" s="8" t="s">
        <v>110</v>
      </c>
      <c r="P27" s="8" t="s">
        <v>110</v>
      </c>
      <c r="Q27" s="8" t="s">
        <v>110</v>
      </c>
      <c r="R27" s="8" t="s">
        <v>110</v>
      </c>
      <c r="S27" s="140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2"/>
      <c r="AJ27" s="8"/>
      <c r="AK27" s="5">
        <f t="shared" si="1"/>
        <v>11</v>
      </c>
      <c r="AL27" s="5">
        <f t="shared" si="2"/>
        <v>0</v>
      </c>
    </row>
    <row r="28" spans="1:42" x14ac:dyDescent="0.25">
      <c r="A28" s="9">
        <v>8</v>
      </c>
      <c r="B28" s="21">
        <v>443</v>
      </c>
      <c r="C28" s="29" t="s">
        <v>508</v>
      </c>
      <c r="D28" s="29" t="s">
        <v>283</v>
      </c>
      <c r="E28" s="20" t="s">
        <v>595</v>
      </c>
      <c r="F28" s="8" t="s">
        <v>110</v>
      </c>
      <c r="G28" s="119"/>
      <c r="H28" s="8" t="s">
        <v>110</v>
      </c>
      <c r="I28" s="8" t="s">
        <v>110</v>
      </c>
      <c r="J28" s="8" t="s">
        <v>110</v>
      </c>
      <c r="K28" s="8" t="s">
        <v>110</v>
      </c>
      <c r="L28" s="8" t="s">
        <v>110</v>
      </c>
      <c r="M28" s="8" t="s">
        <v>110</v>
      </c>
      <c r="N28" s="119"/>
      <c r="O28" s="8" t="s">
        <v>110</v>
      </c>
      <c r="P28" s="8" t="s">
        <v>110</v>
      </c>
      <c r="Q28" s="8" t="s">
        <v>110</v>
      </c>
      <c r="R28" s="8" t="s">
        <v>110</v>
      </c>
      <c r="S28" s="140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2"/>
      <c r="AJ28" s="8"/>
      <c r="AK28" s="5">
        <f t="shared" si="1"/>
        <v>11</v>
      </c>
      <c r="AL28" s="5">
        <f t="shared" si="2"/>
        <v>0</v>
      </c>
    </row>
    <row r="29" spans="1:42" x14ac:dyDescent="0.25">
      <c r="A29" s="9">
        <v>9</v>
      </c>
      <c r="B29" s="9">
        <v>614</v>
      </c>
      <c r="C29" s="29" t="s">
        <v>508</v>
      </c>
      <c r="D29" s="29" t="s">
        <v>622</v>
      </c>
      <c r="E29" s="20" t="s">
        <v>595</v>
      </c>
      <c r="F29" s="8" t="s">
        <v>110</v>
      </c>
      <c r="G29" s="119"/>
      <c r="H29" s="8" t="s">
        <v>110</v>
      </c>
      <c r="I29" s="8" t="s">
        <v>110</v>
      </c>
      <c r="J29" s="8" t="s">
        <v>110</v>
      </c>
      <c r="K29" s="8" t="s">
        <v>110</v>
      </c>
      <c r="L29" s="8" t="s">
        <v>110</v>
      </c>
      <c r="M29" s="8" t="s">
        <v>110</v>
      </c>
      <c r="N29" s="119"/>
      <c r="O29" s="8" t="s">
        <v>110</v>
      </c>
      <c r="P29" s="8" t="s">
        <v>110</v>
      </c>
      <c r="Q29" s="8" t="s">
        <v>110</v>
      </c>
      <c r="R29" s="8" t="s">
        <v>110</v>
      </c>
      <c r="S29" s="140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2"/>
      <c r="AJ29" s="8"/>
      <c r="AK29" s="5">
        <f t="shared" si="1"/>
        <v>11</v>
      </c>
      <c r="AL29" s="5">
        <f t="shared" si="2"/>
        <v>0</v>
      </c>
    </row>
    <row r="30" spans="1:42" x14ac:dyDescent="0.25">
      <c r="A30" s="9">
        <v>10</v>
      </c>
      <c r="B30" s="21">
        <v>778</v>
      </c>
      <c r="C30" s="29" t="s">
        <v>623</v>
      </c>
      <c r="D30" s="30" t="s">
        <v>624</v>
      </c>
      <c r="E30" s="20" t="s">
        <v>595</v>
      </c>
      <c r="F30" s="8" t="s">
        <v>110</v>
      </c>
      <c r="G30" s="119"/>
      <c r="H30" s="8" t="s">
        <v>110</v>
      </c>
      <c r="I30" s="8" t="s">
        <v>110</v>
      </c>
      <c r="J30" s="8" t="s">
        <v>110</v>
      </c>
      <c r="K30" s="8" t="s">
        <v>110</v>
      </c>
      <c r="L30" s="8" t="s">
        <v>110</v>
      </c>
      <c r="M30" s="8" t="s">
        <v>110</v>
      </c>
      <c r="N30" s="119"/>
      <c r="O30" s="8" t="s">
        <v>110</v>
      </c>
      <c r="P30" s="8" t="s">
        <v>110</v>
      </c>
      <c r="Q30" s="8" t="s">
        <v>110</v>
      </c>
      <c r="R30" s="8" t="s">
        <v>110</v>
      </c>
      <c r="S30" s="140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2"/>
      <c r="AJ30" s="8"/>
      <c r="AK30" s="5">
        <f t="shared" si="1"/>
        <v>11</v>
      </c>
      <c r="AL30" s="5">
        <f t="shared" si="2"/>
        <v>0</v>
      </c>
    </row>
    <row r="31" spans="1:42" x14ac:dyDescent="0.25">
      <c r="A31" s="9">
        <v>11</v>
      </c>
      <c r="B31" s="9">
        <v>435</v>
      </c>
      <c r="C31" s="26" t="s">
        <v>625</v>
      </c>
      <c r="D31" s="31" t="s">
        <v>89</v>
      </c>
      <c r="E31" s="20" t="s">
        <v>595</v>
      </c>
      <c r="F31" s="8" t="s">
        <v>110</v>
      </c>
      <c r="G31" s="119"/>
      <c r="H31" s="8" t="s">
        <v>110</v>
      </c>
      <c r="I31" s="8" t="s">
        <v>110</v>
      </c>
      <c r="J31" s="8" t="s">
        <v>110</v>
      </c>
      <c r="K31" s="8" t="s">
        <v>110</v>
      </c>
      <c r="L31" s="8" t="s">
        <v>110</v>
      </c>
      <c r="M31" s="8" t="s">
        <v>110</v>
      </c>
      <c r="N31" s="119"/>
      <c r="O31" s="8" t="s">
        <v>110</v>
      </c>
      <c r="P31" s="8" t="s">
        <v>110</v>
      </c>
      <c r="Q31" s="8" t="s">
        <v>110</v>
      </c>
      <c r="R31" s="8" t="s">
        <v>110</v>
      </c>
      <c r="S31" s="140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2"/>
      <c r="AJ31" s="8"/>
      <c r="AK31" s="5">
        <f t="shared" si="1"/>
        <v>11</v>
      </c>
      <c r="AL31" s="5">
        <f t="shared" si="2"/>
        <v>0</v>
      </c>
    </row>
    <row r="32" spans="1:42" x14ac:dyDescent="0.25">
      <c r="A32" s="9">
        <v>12</v>
      </c>
      <c r="B32" s="21">
        <v>619</v>
      </c>
      <c r="C32" s="24" t="s">
        <v>626</v>
      </c>
      <c r="D32" s="25" t="s">
        <v>627</v>
      </c>
      <c r="E32" s="20" t="s">
        <v>595</v>
      </c>
      <c r="F32" s="8" t="s">
        <v>110</v>
      </c>
      <c r="G32" s="119"/>
      <c r="H32" s="8" t="s">
        <v>110</v>
      </c>
      <c r="I32" s="8" t="s">
        <v>110</v>
      </c>
      <c r="J32" s="8" t="s">
        <v>110</v>
      </c>
      <c r="K32" s="8" t="s">
        <v>110</v>
      </c>
      <c r="L32" s="8" t="s">
        <v>110</v>
      </c>
      <c r="M32" s="8" t="s">
        <v>110</v>
      </c>
      <c r="N32" s="119"/>
      <c r="O32" s="8" t="s">
        <v>110</v>
      </c>
      <c r="P32" s="8" t="s">
        <v>110</v>
      </c>
      <c r="Q32" s="8" t="s">
        <v>110</v>
      </c>
      <c r="R32" s="8" t="s">
        <v>110</v>
      </c>
      <c r="S32" s="140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2"/>
      <c r="AJ32" s="8"/>
      <c r="AK32" s="5">
        <f t="shared" si="1"/>
        <v>11</v>
      </c>
      <c r="AL32" s="5">
        <f t="shared" si="2"/>
        <v>0</v>
      </c>
    </row>
    <row r="33" spans="1:38" x14ac:dyDescent="0.25">
      <c r="A33" s="9">
        <v>13</v>
      </c>
      <c r="B33" s="21">
        <v>613</v>
      </c>
      <c r="C33" s="24" t="s">
        <v>628</v>
      </c>
      <c r="D33" s="25" t="s">
        <v>622</v>
      </c>
      <c r="E33" s="20" t="s">
        <v>595</v>
      </c>
      <c r="F33" s="8" t="s">
        <v>110</v>
      </c>
      <c r="G33" s="119"/>
      <c r="H33" s="8" t="s">
        <v>110</v>
      </c>
      <c r="I33" s="8" t="s">
        <v>110</v>
      </c>
      <c r="J33" s="8" t="s">
        <v>110</v>
      </c>
      <c r="K33" s="8" t="s">
        <v>110</v>
      </c>
      <c r="L33" s="8" t="s">
        <v>110</v>
      </c>
      <c r="M33" s="8" t="s">
        <v>110</v>
      </c>
      <c r="N33" s="119"/>
      <c r="O33" s="8" t="s">
        <v>110</v>
      </c>
      <c r="P33" s="8" t="s">
        <v>110</v>
      </c>
      <c r="Q33" s="8" t="s">
        <v>110</v>
      </c>
      <c r="R33" s="8" t="s">
        <v>110</v>
      </c>
      <c r="S33" s="140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2"/>
      <c r="AJ33" s="8"/>
      <c r="AK33" s="5">
        <f t="shared" si="1"/>
        <v>11</v>
      </c>
      <c r="AL33" s="5">
        <f t="shared" si="2"/>
        <v>0</v>
      </c>
    </row>
    <row r="34" spans="1:38" x14ac:dyDescent="0.25">
      <c r="A34" s="9">
        <v>14</v>
      </c>
      <c r="B34" s="9">
        <v>446</v>
      </c>
      <c r="C34" s="14" t="s">
        <v>629</v>
      </c>
      <c r="D34" s="14" t="s">
        <v>507</v>
      </c>
      <c r="E34" s="20" t="s">
        <v>595</v>
      </c>
      <c r="F34" s="8" t="s">
        <v>110</v>
      </c>
      <c r="G34" s="119"/>
      <c r="H34" s="8" t="s">
        <v>110</v>
      </c>
      <c r="I34" s="8" t="s">
        <v>110</v>
      </c>
      <c r="J34" s="8" t="s">
        <v>110</v>
      </c>
      <c r="K34" s="8" t="s">
        <v>110</v>
      </c>
      <c r="L34" s="8" t="s">
        <v>110</v>
      </c>
      <c r="M34" s="8" t="s">
        <v>110</v>
      </c>
      <c r="N34" s="119"/>
      <c r="O34" s="8" t="s">
        <v>110</v>
      </c>
      <c r="P34" s="8" t="s">
        <v>110</v>
      </c>
      <c r="Q34" s="8" t="s">
        <v>110</v>
      </c>
      <c r="R34" s="8" t="s">
        <v>110</v>
      </c>
      <c r="S34" s="140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2"/>
      <c r="AJ34" s="8"/>
      <c r="AK34" s="5">
        <f t="shared" si="1"/>
        <v>11</v>
      </c>
      <c r="AL34" s="5">
        <f t="shared" si="2"/>
        <v>0</v>
      </c>
    </row>
    <row r="35" spans="1:38" x14ac:dyDescent="0.25">
      <c r="A35" s="9">
        <v>15</v>
      </c>
      <c r="B35" s="21">
        <v>436</v>
      </c>
      <c r="C35" s="14" t="s">
        <v>630</v>
      </c>
      <c r="D35" s="14" t="s">
        <v>283</v>
      </c>
      <c r="E35" s="20" t="s">
        <v>595</v>
      </c>
      <c r="F35" s="8" t="s">
        <v>110</v>
      </c>
      <c r="G35" s="119"/>
      <c r="H35" s="8" t="s">
        <v>110</v>
      </c>
      <c r="I35" s="8" t="s">
        <v>110</v>
      </c>
      <c r="J35" s="8" t="s">
        <v>110</v>
      </c>
      <c r="K35" s="8" t="s">
        <v>110</v>
      </c>
      <c r="L35" s="8" t="s">
        <v>110</v>
      </c>
      <c r="M35" s="8" t="s">
        <v>110</v>
      </c>
      <c r="N35" s="119"/>
      <c r="O35" s="8" t="s">
        <v>110</v>
      </c>
      <c r="P35" s="8" t="s">
        <v>110</v>
      </c>
      <c r="Q35" s="8" t="s">
        <v>110</v>
      </c>
      <c r="R35" s="8" t="s">
        <v>110</v>
      </c>
      <c r="S35" s="140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2"/>
      <c r="AJ35" s="8"/>
      <c r="AK35" s="5">
        <f t="shared" si="1"/>
        <v>11</v>
      </c>
      <c r="AL35" s="5">
        <f t="shared" si="2"/>
        <v>0</v>
      </c>
    </row>
    <row r="36" spans="1:38" x14ac:dyDescent="0.25">
      <c r="A36" s="9">
        <v>16</v>
      </c>
      <c r="B36" s="9">
        <v>339</v>
      </c>
      <c r="C36" s="14" t="s">
        <v>631</v>
      </c>
      <c r="D36" s="14" t="s">
        <v>632</v>
      </c>
      <c r="E36" s="20" t="s">
        <v>595</v>
      </c>
      <c r="F36" s="8" t="s">
        <v>110</v>
      </c>
      <c r="G36" s="119"/>
      <c r="H36" s="8" t="s">
        <v>110</v>
      </c>
      <c r="I36" s="8" t="s">
        <v>110</v>
      </c>
      <c r="J36" s="8" t="s">
        <v>110</v>
      </c>
      <c r="K36" s="8" t="s">
        <v>110</v>
      </c>
      <c r="L36" s="8" t="s">
        <v>110</v>
      </c>
      <c r="M36" s="8" t="s">
        <v>110</v>
      </c>
      <c r="N36" s="119"/>
      <c r="O36" s="8" t="s">
        <v>110</v>
      </c>
      <c r="P36" s="8" t="s">
        <v>110</v>
      </c>
      <c r="Q36" s="8" t="s">
        <v>110</v>
      </c>
      <c r="R36" s="8" t="s">
        <v>110</v>
      </c>
      <c r="S36" s="140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2"/>
      <c r="AJ36" s="8"/>
      <c r="AK36" s="5">
        <f t="shared" si="1"/>
        <v>11</v>
      </c>
      <c r="AL36" s="5">
        <f t="shared" si="2"/>
        <v>0</v>
      </c>
    </row>
    <row r="37" spans="1:38" x14ac:dyDescent="0.25">
      <c r="A37" s="9">
        <v>17</v>
      </c>
      <c r="B37" s="21">
        <v>379</v>
      </c>
      <c r="C37" s="14" t="s">
        <v>633</v>
      </c>
      <c r="D37" s="14" t="s">
        <v>98</v>
      </c>
      <c r="E37" s="20" t="s">
        <v>595</v>
      </c>
      <c r="F37" s="8" t="s">
        <v>110</v>
      </c>
      <c r="G37" s="119"/>
      <c r="H37" s="8" t="s">
        <v>110</v>
      </c>
      <c r="I37" s="8" t="s">
        <v>110</v>
      </c>
      <c r="J37" s="8" t="s">
        <v>110</v>
      </c>
      <c r="K37" s="8" t="s">
        <v>110</v>
      </c>
      <c r="L37" s="8" t="s">
        <v>110</v>
      </c>
      <c r="M37" s="8" t="s">
        <v>110</v>
      </c>
      <c r="N37" s="119"/>
      <c r="O37" s="8" t="s">
        <v>110</v>
      </c>
      <c r="P37" s="8" t="s">
        <v>110</v>
      </c>
      <c r="Q37" s="8" t="s">
        <v>110</v>
      </c>
      <c r="R37" s="8" t="s">
        <v>110</v>
      </c>
      <c r="S37" s="140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2"/>
      <c r="AJ37" s="8"/>
      <c r="AK37" s="5">
        <f t="shared" si="1"/>
        <v>11</v>
      </c>
      <c r="AL37" s="5">
        <f t="shared" si="2"/>
        <v>0</v>
      </c>
    </row>
    <row r="38" spans="1:38" x14ac:dyDescent="0.25">
      <c r="A38" s="9">
        <v>18</v>
      </c>
      <c r="B38" s="9">
        <v>633</v>
      </c>
      <c r="C38" s="14" t="s">
        <v>634</v>
      </c>
      <c r="D38" s="14" t="s">
        <v>635</v>
      </c>
      <c r="E38" s="20" t="s">
        <v>595</v>
      </c>
      <c r="F38" s="8" t="s">
        <v>110</v>
      </c>
      <c r="G38" s="119"/>
      <c r="H38" s="8" t="s">
        <v>110</v>
      </c>
      <c r="I38" s="8" t="s">
        <v>110</v>
      </c>
      <c r="J38" s="8" t="s">
        <v>110</v>
      </c>
      <c r="K38" s="8" t="s">
        <v>110</v>
      </c>
      <c r="L38" s="8" t="s">
        <v>110</v>
      </c>
      <c r="M38" s="8" t="s">
        <v>110</v>
      </c>
      <c r="N38" s="119"/>
      <c r="O38" s="8" t="s">
        <v>110</v>
      </c>
      <c r="P38" s="8" t="s">
        <v>110</v>
      </c>
      <c r="Q38" s="8" t="s">
        <v>110</v>
      </c>
      <c r="R38" s="8" t="s">
        <v>110</v>
      </c>
      <c r="S38" s="140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2"/>
      <c r="AJ38" s="8"/>
      <c r="AK38" s="5">
        <f t="shared" si="1"/>
        <v>11</v>
      </c>
      <c r="AL38" s="5">
        <f t="shared" si="2"/>
        <v>0</v>
      </c>
    </row>
    <row r="39" spans="1:38" x14ac:dyDescent="0.25">
      <c r="A39" s="9">
        <v>19</v>
      </c>
      <c r="B39" s="21">
        <v>305</v>
      </c>
      <c r="C39" s="14" t="s">
        <v>636</v>
      </c>
      <c r="D39" s="14" t="s">
        <v>467</v>
      </c>
      <c r="E39" s="20" t="s">
        <v>595</v>
      </c>
      <c r="F39" s="8" t="s">
        <v>796</v>
      </c>
      <c r="G39" s="119"/>
      <c r="H39" s="8" t="s">
        <v>110</v>
      </c>
      <c r="I39" s="8" t="s">
        <v>110</v>
      </c>
      <c r="J39" s="8" t="s">
        <v>110</v>
      </c>
      <c r="K39" s="8" t="s">
        <v>110</v>
      </c>
      <c r="L39" s="8" t="s">
        <v>110</v>
      </c>
      <c r="M39" s="8" t="s">
        <v>110</v>
      </c>
      <c r="N39" s="119"/>
      <c r="O39" s="8" t="s">
        <v>110</v>
      </c>
      <c r="P39" s="8" t="s">
        <v>110</v>
      </c>
      <c r="Q39" s="8" t="s">
        <v>110</v>
      </c>
      <c r="R39" s="8" t="s">
        <v>110</v>
      </c>
      <c r="S39" s="140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2"/>
      <c r="AJ39" s="8"/>
      <c r="AK39" s="5">
        <f t="shared" si="1"/>
        <v>10</v>
      </c>
      <c r="AL39" s="5">
        <f t="shared" si="2"/>
        <v>1</v>
      </c>
    </row>
    <row r="40" spans="1:38" x14ac:dyDescent="0.25">
      <c r="A40" s="9">
        <v>20</v>
      </c>
      <c r="B40" s="9">
        <v>442</v>
      </c>
      <c r="C40" s="14" t="s">
        <v>637</v>
      </c>
      <c r="D40" s="14" t="s">
        <v>638</v>
      </c>
      <c r="E40" s="20" t="s">
        <v>595</v>
      </c>
      <c r="F40" s="8" t="s">
        <v>110</v>
      </c>
      <c r="G40" s="119"/>
      <c r="H40" s="8" t="s">
        <v>110</v>
      </c>
      <c r="I40" s="8" t="s">
        <v>110</v>
      </c>
      <c r="J40" s="8" t="s">
        <v>110</v>
      </c>
      <c r="K40" s="8" t="s">
        <v>110</v>
      </c>
      <c r="L40" s="8" t="s">
        <v>110</v>
      </c>
      <c r="M40" s="8" t="s">
        <v>110</v>
      </c>
      <c r="N40" s="119"/>
      <c r="O40" s="8" t="s">
        <v>110</v>
      </c>
      <c r="P40" s="8" t="s">
        <v>110</v>
      </c>
      <c r="Q40" s="8" t="s">
        <v>110</v>
      </c>
      <c r="R40" s="8" t="s">
        <v>110</v>
      </c>
      <c r="S40" s="140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2"/>
      <c r="AJ40" s="8"/>
      <c r="AK40" s="5">
        <f t="shared" si="1"/>
        <v>11</v>
      </c>
      <c r="AL40" s="5">
        <f t="shared" si="2"/>
        <v>0</v>
      </c>
    </row>
    <row r="41" spans="1:38" x14ac:dyDescent="0.25">
      <c r="A41" s="9">
        <v>21</v>
      </c>
      <c r="B41" s="21">
        <v>789</v>
      </c>
      <c r="C41" s="14" t="s">
        <v>639</v>
      </c>
      <c r="D41" s="14" t="s">
        <v>372</v>
      </c>
      <c r="E41" s="20" t="s">
        <v>595</v>
      </c>
      <c r="F41" s="8" t="s">
        <v>110</v>
      </c>
      <c r="G41" s="119"/>
      <c r="H41" s="8" t="s">
        <v>110</v>
      </c>
      <c r="I41" s="8" t="s">
        <v>110</v>
      </c>
      <c r="J41" s="8" t="s">
        <v>110</v>
      </c>
      <c r="K41" s="8" t="s">
        <v>110</v>
      </c>
      <c r="L41" s="8" t="s">
        <v>110</v>
      </c>
      <c r="M41" s="8" t="s">
        <v>110</v>
      </c>
      <c r="N41" s="119"/>
      <c r="O41" s="8" t="s">
        <v>110</v>
      </c>
      <c r="P41" s="8" t="s">
        <v>110</v>
      </c>
      <c r="Q41" s="8" t="s">
        <v>110</v>
      </c>
      <c r="R41" s="8" t="s">
        <v>110</v>
      </c>
      <c r="S41" s="140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2"/>
      <c r="AJ41" s="8"/>
      <c r="AK41" s="5">
        <f t="shared" si="1"/>
        <v>11</v>
      </c>
      <c r="AL41" s="5">
        <f t="shared" si="2"/>
        <v>0</v>
      </c>
    </row>
    <row r="42" spans="1:38" x14ac:dyDescent="0.25">
      <c r="A42" s="9">
        <v>22</v>
      </c>
      <c r="B42" s="9">
        <v>855</v>
      </c>
      <c r="C42" s="14" t="s">
        <v>640</v>
      </c>
      <c r="D42" s="14" t="s">
        <v>641</v>
      </c>
      <c r="E42" s="20" t="s">
        <v>595</v>
      </c>
      <c r="F42" s="8" t="s">
        <v>110</v>
      </c>
      <c r="G42" s="119"/>
      <c r="H42" s="8" t="s">
        <v>110</v>
      </c>
      <c r="I42" s="8" t="s">
        <v>110</v>
      </c>
      <c r="J42" s="8" t="s">
        <v>110</v>
      </c>
      <c r="K42" s="8" t="s">
        <v>110</v>
      </c>
      <c r="L42" s="8" t="s">
        <v>110</v>
      </c>
      <c r="M42" s="8" t="s">
        <v>110</v>
      </c>
      <c r="N42" s="119"/>
      <c r="O42" s="8" t="s">
        <v>110</v>
      </c>
      <c r="P42" s="8" t="s">
        <v>110</v>
      </c>
      <c r="Q42" s="8" t="s">
        <v>110</v>
      </c>
      <c r="R42" s="8" t="s">
        <v>110</v>
      </c>
      <c r="S42" s="140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2"/>
      <c r="AJ42" s="8"/>
      <c r="AK42" s="5">
        <f t="shared" si="1"/>
        <v>11</v>
      </c>
      <c r="AL42" s="5">
        <f t="shared" si="2"/>
        <v>0</v>
      </c>
    </row>
    <row r="43" spans="1:38" x14ac:dyDescent="0.25">
      <c r="A43" s="9">
        <v>23</v>
      </c>
      <c r="B43" s="21"/>
      <c r="C43" s="14" t="s">
        <v>794</v>
      </c>
      <c r="D43" s="14" t="s">
        <v>642</v>
      </c>
      <c r="E43" s="20" t="s">
        <v>595</v>
      </c>
      <c r="F43" s="8" t="s">
        <v>110</v>
      </c>
      <c r="G43" s="119"/>
      <c r="H43" s="8" t="s">
        <v>110</v>
      </c>
      <c r="I43" s="8" t="s">
        <v>110</v>
      </c>
      <c r="J43" s="8" t="s">
        <v>110</v>
      </c>
      <c r="K43" s="8" t="s">
        <v>110</v>
      </c>
      <c r="L43" s="8" t="s">
        <v>110</v>
      </c>
      <c r="M43" s="8" t="s">
        <v>110</v>
      </c>
      <c r="N43" s="119"/>
      <c r="O43" s="8" t="s">
        <v>110</v>
      </c>
      <c r="P43" s="8" t="s">
        <v>110</v>
      </c>
      <c r="Q43" s="8" t="s">
        <v>110</v>
      </c>
      <c r="R43" s="8" t="s">
        <v>110</v>
      </c>
      <c r="S43" s="140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2"/>
      <c r="AJ43" s="8"/>
      <c r="AK43" s="5">
        <f t="shared" si="1"/>
        <v>11</v>
      </c>
      <c r="AL43" s="5">
        <f t="shared" si="2"/>
        <v>0</v>
      </c>
    </row>
    <row r="44" spans="1:38" x14ac:dyDescent="0.25">
      <c r="A44" s="9">
        <v>24</v>
      </c>
      <c r="B44" s="9">
        <v>879</v>
      </c>
      <c r="C44" s="14" t="s">
        <v>643</v>
      </c>
      <c r="D44" s="14" t="s">
        <v>644</v>
      </c>
      <c r="E44" s="20" t="s">
        <v>595</v>
      </c>
      <c r="F44" s="8" t="s">
        <v>110</v>
      </c>
      <c r="G44" s="119"/>
      <c r="H44" s="8" t="s">
        <v>110</v>
      </c>
      <c r="I44" s="8" t="s">
        <v>110</v>
      </c>
      <c r="J44" s="8" t="s">
        <v>110</v>
      </c>
      <c r="K44" s="8" t="s">
        <v>110</v>
      </c>
      <c r="L44" s="8" t="s">
        <v>110</v>
      </c>
      <c r="M44" s="8" t="s">
        <v>110</v>
      </c>
      <c r="N44" s="119"/>
      <c r="O44" s="8" t="s">
        <v>110</v>
      </c>
      <c r="P44" s="8" t="s">
        <v>110</v>
      </c>
      <c r="Q44" s="8" t="s">
        <v>110</v>
      </c>
      <c r="R44" s="8" t="s">
        <v>110</v>
      </c>
      <c r="S44" s="140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2"/>
      <c r="AJ44" s="8"/>
      <c r="AK44" s="5">
        <f t="shared" si="1"/>
        <v>11</v>
      </c>
      <c r="AL44" s="5">
        <f t="shared" si="2"/>
        <v>0</v>
      </c>
    </row>
    <row r="45" spans="1:38" x14ac:dyDescent="0.25">
      <c r="A45" s="9">
        <v>25</v>
      </c>
      <c r="B45" s="21">
        <v>903</v>
      </c>
      <c r="C45" s="14" t="s">
        <v>511</v>
      </c>
      <c r="D45" s="14" t="s">
        <v>483</v>
      </c>
      <c r="E45" s="20" t="s">
        <v>595</v>
      </c>
      <c r="F45" s="8" t="s">
        <v>110</v>
      </c>
      <c r="G45" s="120"/>
      <c r="H45" s="8" t="s">
        <v>110</v>
      </c>
      <c r="I45" s="8" t="s">
        <v>110</v>
      </c>
      <c r="J45" s="8" t="s">
        <v>110</v>
      </c>
      <c r="K45" s="8" t="s">
        <v>110</v>
      </c>
      <c r="L45" s="8" t="s">
        <v>110</v>
      </c>
      <c r="M45" s="8" t="s">
        <v>110</v>
      </c>
      <c r="N45" s="120"/>
      <c r="O45" s="8" t="s">
        <v>110</v>
      </c>
      <c r="P45" s="8" t="s">
        <v>110</v>
      </c>
      <c r="Q45" s="8" t="s">
        <v>110</v>
      </c>
      <c r="R45" s="8" t="s">
        <v>110</v>
      </c>
      <c r="S45" s="143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5"/>
      <c r="AJ45" s="8"/>
      <c r="AK45" s="5">
        <f t="shared" si="1"/>
        <v>11</v>
      </c>
      <c r="AL45" s="5">
        <f t="shared" si="2"/>
        <v>0</v>
      </c>
    </row>
  </sheetData>
  <mergeCells count="15">
    <mergeCell ref="B3:B4"/>
    <mergeCell ref="AM3:AN3"/>
    <mergeCell ref="AM10:AP10"/>
    <mergeCell ref="AM18:AP18"/>
    <mergeCell ref="G5:G45"/>
    <mergeCell ref="N5:N45"/>
    <mergeCell ref="S5:AI45"/>
    <mergeCell ref="A1:AL1"/>
    <mergeCell ref="A2:AL2"/>
    <mergeCell ref="A3:A4"/>
    <mergeCell ref="C3:C4"/>
    <mergeCell ref="D3:D4"/>
    <mergeCell ref="E3:E4"/>
    <mergeCell ref="AK3:AK4"/>
    <mergeCell ref="AL3:AL4"/>
  </mergeCells>
  <conditionalFormatting sqref="F3:AJ4">
    <cfRule type="expression" dxfId="205" priority="23">
      <formula>F$3="Sun"</formula>
    </cfRule>
  </conditionalFormatting>
  <conditionalFormatting sqref="F4:AJ4">
    <cfRule type="expression" dxfId="204" priority="22">
      <formula>IF(F$4=TODAY(),TRUE,FALSE)</formula>
    </cfRule>
  </conditionalFormatting>
  <conditionalFormatting sqref="G5 F5:F45 H5:M45 O6:R45 AJ5:AJ45 N5:S5">
    <cfRule type="cellIs" dxfId="203" priority="37" operator="equal">
      <formula>"L"</formula>
    </cfRule>
    <cfRule type="cellIs" dxfId="202" priority="38" operator="equal">
      <formula>"A"</formula>
    </cfRule>
    <cfRule type="cellIs" dxfId="201" priority="39" operator="equal">
      <formula>"P"</formula>
    </cfRule>
    <cfRule type="expression" dxfId="200" priority="40">
      <formula>IF(F$4=TODAY(),TRUE,FALSE)</formula>
    </cfRule>
    <cfRule type="expression" dxfId="199" priority="41">
      <formula>F$3="Sun"</formula>
    </cfRule>
  </conditionalFormatting>
  <conditionalFormatting sqref="AK3:AL3 AK5:AL45">
    <cfRule type="expression" dxfId="198" priority="42">
      <formula>#REF!="Sun"</formula>
    </cfRule>
  </conditionalFormatting>
  <conditionalFormatting sqref="AM8:AM9">
    <cfRule type="expression" dxfId="197" priority="27">
      <formula>AM$3="Sun"</formula>
    </cfRule>
  </conditionalFormatting>
  <conditionalFormatting sqref="AM11:AM14">
    <cfRule type="expression" dxfId="196" priority="25">
      <formula>AM$3="Sun"</formula>
    </cfRule>
  </conditionalFormatting>
  <conditionalFormatting sqref="AM19:AM22">
    <cfRule type="expression" dxfId="195" priority="24">
      <formula>AM$3="Sun"</formula>
    </cfRule>
  </conditionalFormatting>
  <conditionalFormatting sqref="AM4:AN4">
    <cfRule type="expression" dxfId="194" priority="28">
      <formula>AM$3="Sun"</formula>
    </cfRule>
  </conditionalFormatting>
  <conditionalFormatting sqref="AN11:AP11 AN19:AP19">
    <cfRule type="expression" dxfId="193" priority="29">
      <formula>AN$3="Sun"</formula>
    </cfRule>
  </conditionalFormatting>
  <conditionalFormatting sqref="AP20">
    <cfRule type="expression" dxfId="192" priority="26">
      <formula>AP$3="Sun"</formula>
    </cfRule>
  </conditionalFormatting>
  <conditionalFormatting sqref="AM5:AM7">
    <cfRule type="expression" dxfId="3" priority="1">
      <formula>AM$3="Sun"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O49"/>
  <sheetViews>
    <sheetView workbookViewId="0">
      <selection activeCell="AN13" sqref="AN13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6.42578125" style="1" customWidth="1"/>
    <col min="5" max="5" width="3.85546875" style="1" bestFit="1"/>
    <col min="6" max="7" width="3.7109375" style="1" bestFit="1" customWidth="1"/>
    <col min="8" max="8" width="3.85546875" style="1" bestFit="1"/>
    <col min="9" max="9" width="4.5703125" style="1" bestFit="1" customWidth="1"/>
    <col min="10" max="21" width="4.5703125" style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3.85546875" style="1" bestFit="1"/>
    <col min="32" max="32" width="3.7109375" style="1" bestFit="1" customWidth="1"/>
    <col min="33" max="35" width="3.7109375" style="1" customWidth="1"/>
    <col min="36" max="36" width="6.5703125" style="1" bestFit="1" customWidth="1"/>
    <col min="37" max="37" width="6.1406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21" t="s">
        <v>18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</row>
    <row r="2" spans="1:41" ht="17.25" x14ac:dyDescent="0.3">
      <c r="A2" s="125" t="s">
        <v>795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</row>
    <row r="3" spans="1:41" ht="15.75" x14ac:dyDescent="0.25">
      <c r="A3" s="134" t="s">
        <v>0</v>
      </c>
      <c r="B3" s="134" t="s">
        <v>789</v>
      </c>
      <c r="C3" s="134" t="s">
        <v>1</v>
      </c>
      <c r="D3" s="134" t="s">
        <v>3</v>
      </c>
      <c r="E3" s="2" t="str">
        <f t="shared" ref="E3:AI3" si="0">TEXT(E4,"ddd")</f>
        <v>Sat</v>
      </c>
      <c r="F3" s="2" t="str">
        <f t="shared" si="0"/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122" t="s">
        <v>4</v>
      </c>
      <c r="AK3" s="122" t="s">
        <v>5</v>
      </c>
      <c r="AL3" s="115" t="s">
        <v>120</v>
      </c>
      <c r="AM3" s="116"/>
      <c r="AN3" s="3"/>
      <c r="AO3" s="3"/>
    </row>
    <row r="4" spans="1:41" ht="37.5" x14ac:dyDescent="0.25">
      <c r="A4" s="135"/>
      <c r="B4" s="136"/>
      <c r="C4" s="135"/>
      <c r="D4" s="135"/>
      <c r="E4" s="13">
        <v>45717</v>
      </c>
      <c r="F4" s="13">
        <v>45718</v>
      </c>
      <c r="G4" s="13">
        <v>45719</v>
      </c>
      <c r="H4" s="13">
        <v>45720</v>
      </c>
      <c r="I4" s="13">
        <v>45721</v>
      </c>
      <c r="J4" s="13">
        <v>45722</v>
      </c>
      <c r="K4" s="13">
        <v>45723</v>
      </c>
      <c r="L4" s="13">
        <v>45724</v>
      </c>
      <c r="M4" s="13">
        <v>45725</v>
      </c>
      <c r="N4" s="13">
        <v>45726</v>
      </c>
      <c r="O4" s="13">
        <v>45727</v>
      </c>
      <c r="P4" s="13">
        <v>45728</v>
      </c>
      <c r="Q4" s="13">
        <v>45729</v>
      </c>
      <c r="R4" s="13">
        <v>45730</v>
      </c>
      <c r="S4" s="13">
        <v>45731</v>
      </c>
      <c r="T4" s="13">
        <v>45732</v>
      </c>
      <c r="U4" s="13">
        <v>45733</v>
      </c>
      <c r="V4" s="13">
        <v>45734</v>
      </c>
      <c r="W4" s="13">
        <v>45735</v>
      </c>
      <c r="X4" s="13">
        <v>45736</v>
      </c>
      <c r="Y4" s="13">
        <v>45737</v>
      </c>
      <c r="Z4" s="13">
        <v>45738</v>
      </c>
      <c r="AA4" s="13">
        <v>45739</v>
      </c>
      <c r="AB4" s="13">
        <v>45740</v>
      </c>
      <c r="AC4" s="13">
        <v>45741</v>
      </c>
      <c r="AD4" s="13">
        <v>45742</v>
      </c>
      <c r="AE4" s="13">
        <v>45743</v>
      </c>
      <c r="AF4" s="13">
        <v>45744</v>
      </c>
      <c r="AG4" s="13">
        <v>45745</v>
      </c>
      <c r="AH4" s="13">
        <v>45746</v>
      </c>
      <c r="AI4" s="13">
        <v>45747</v>
      </c>
      <c r="AJ4" s="122"/>
      <c r="AK4" s="122"/>
      <c r="AL4" s="5" t="s">
        <v>121</v>
      </c>
      <c r="AM4" s="5">
        <f>SUM(AM5:AM8)</f>
        <v>31</v>
      </c>
      <c r="AN4" s="3"/>
      <c r="AO4" s="3"/>
    </row>
    <row r="5" spans="1:41" ht="15" customHeight="1" x14ac:dyDescent="0.25">
      <c r="A5" s="21">
        <v>1</v>
      </c>
      <c r="B5" s="21">
        <v>885</v>
      </c>
      <c r="C5" s="24" t="s">
        <v>112</v>
      </c>
      <c r="D5" s="20" t="s">
        <v>645</v>
      </c>
      <c r="E5" s="8" t="s">
        <v>110</v>
      </c>
      <c r="F5" s="118" t="s">
        <v>532</v>
      </c>
      <c r="G5" s="8" t="s">
        <v>110</v>
      </c>
      <c r="H5" s="8" t="s">
        <v>110</v>
      </c>
      <c r="I5" s="8" t="s">
        <v>110</v>
      </c>
      <c r="J5" s="8" t="s">
        <v>110</v>
      </c>
      <c r="K5" s="8" t="s">
        <v>110</v>
      </c>
      <c r="L5" s="8" t="s">
        <v>110</v>
      </c>
      <c r="M5" s="118" t="s">
        <v>532</v>
      </c>
      <c r="N5" s="8" t="s">
        <v>110</v>
      </c>
      <c r="O5" s="8" t="s">
        <v>110</v>
      </c>
      <c r="P5" s="8" t="s">
        <v>110</v>
      </c>
      <c r="Q5" s="8" t="s">
        <v>110</v>
      </c>
      <c r="R5" s="8" t="s">
        <v>110</v>
      </c>
      <c r="S5" s="137" t="s">
        <v>803</v>
      </c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9"/>
      <c r="AJ5" s="5">
        <f t="shared" ref="AJ5:AJ49" si="1">COUNTIF(E5:AI5,"P")</f>
        <v>12</v>
      </c>
      <c r="AK5" s="5">
        <f t="shared" ref="AK5:AK49" si="2">COUNTIF(E5:AI5,"A")</f>
        <v>0</v>
      </c>
      <c r="AL5" s="5" t="s">
        <v>7</v>
      </c>
      <c r="AM5" s="9">
        <v>12</v>
      </c>
      <c r="AN5" s="10"/>
      <c r="AO5" s="3"/>
    </row>
    <row r="6" spans="1:41" x14ac:dyDescent="0.25">
      <c r="A6" s="9">
        <v>2</v>
      </c>
      <c r="B6" s="21">
        <v>482</v>
      </c>
      <c r="C6" s="24" t="s">
        <v>646</v>
      </c>
      <c r="D6" s="20" t="s">
        <v>645</v>
      </c>
      <c r="E6" s="8" t="s">
        <v>110</v>
      </c>
      <c r="F6" s="119"/>
      <c r="G6" s="8" t="s">
        <v>110</v>
      </c>
      <c r="H6" s="8" t="s">
        <v>110</v>
      </c>
      <c r="I6" s="8" t="s">
        <v>110</v>
      </c>
      <c r="J6" s="8" t="s">
        <v>110</v>
      </c>
      <c r="K6" s="8" t="s">
        <v>110</v>
      </c>
      <c r="L6" s="8" t="s">
        <v>110</v>
      </c>
      <c r="M6" s="119"/>
      <c r="N6" s="8" t="s">
        <v>110</v>
      </c>
      <c r="O6" s="8" t="s">
        <v>110</v>
      </c>
      <c r="P6" s="8" t="s">
        <v>110</v>
      </c>
      <c r="Q6" s="8" t="s">
        <v>110</v>
      </c>
      <c r="R6" s="8" t="s">
        <v>110</v>
      </c>
      <c r="S6" s="140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2"/>
      <c r="AJ6" s="5">
        <f t="shared" si="1"/>
        <v>12</v>
      </c>
      <c r="AK6" s="5">
        <f t="shared" si="2"/>
        <v>0</v>
      </c>
      <c r="AL6" s="5" t="s">
        <v>8</v>
      </c>
      <c r="AM6" s="9">
        <v>2</v>
      </c>
      <c r="AN6" s="3"/>
      <c r="AO6" s="3"/>
    </row>
    <row r="7" spans="1:41" x14ac:dyDescent="0.25">
      <c r="A7" s="21">
        <v>3</v>
      </c>
      <c r="B7" s="21">
        <v>331</v>
      </c>
      <c r="C7" s="24" t="s">
        <v>647</v>
      </c>
      <c r="D7" s="20" t="s">
        <v>645</v>
      </c>
      <c r="E7" s="8" t="s">
        <v>110</v>
      </c>
      <c r="F7" s="119"/>
      <c r="G7" s="8" t="s">
        <v>110</v>
      </c>
      <c r="H7" s="8" t="s">
        <v>110</v>
      </c>
      <c r="I7" s="8" t="s">
        <v>110</v>
      </c>
      <c r="J7" s="8" t="s">
        <v>110</v>
      </c>
      <c r="K7" s="8" t="s">
        <v>110</v>
      </c>
      <c r="L7" s="8" t="s">
        <v>110</v>
      </c>
      <c r="M7" s="119"/>
      <c r="N7" s="8" t="s">
        <v>110</v>
      </c>
      <c r="O7" s="8" t="s">
        <v>110</v>
      </c>
      <c r="P7" s="8" t="s">
        <v>110</v>
      </c>
      <c r="Q7" s="8" t="s">
        <v>110</v>
      </c>
      <c r="R7" s="8" t="s">
        <v>110</v>
      </c>
      <c r="S7" s="140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2"/>
      <c r="AJ7" s="5">
        <f t="shared" si="1"/>
        <v>12</v>
      </c>
      <c r="AK7" s="5">
        <f t="shared" si="2"/>
        <v>0</v>
      </c>
      <c r="AL7" s="5" t="s">
        <v>803</v>
      </c>
      <c r="AM7" s="9">
        <v>17</v>
      </c>
      <c r="AN7" s="3"/>
      <c r="AO7" s="3"/>
    </row>
    <row r="8" spans="1:41" x14ac:dyDescent="0.25">
      <c r="A8" s="9">
        <v>4</v>
      </c>
      <c r="B8" s="21">
        <v>306</v>
      </c>
      <c r="C8" s="24" t="s">
        <v>648</v>
      </c>
      <c r="D8" s="20" t="s">
        <v>645</v>
      </c>
      <c r="E8" s="8" t="s">
        <v>110</v>
      </c>
      <c r="F8" s="119"/>
      <c r="G8" s="8" t="s">
        <v>110</v>
      </c>
      <c r="H8" s="8" t="s">
        <v>110</v>
      </c>
      <c r="I8" s="8" t="s">
        <v>110</v>
      </c>
      <c r="J8" s="8" t="s">
        <v>110</v>
      </c>
      <c r="K8" s="8" t="s">
        <v>110</v>
      </c>
      <c r="L8" s="8" t="s">
        <v>110</v>
      </c>
      <c r="M8" s="119"/>
      <c r="N8" s="8" t="s">
        <v>110</v>
      </c>
      <c r="O8" s="8" t="s">
        <v>110</v>
      </c>
      <c r="P8" s="8" t="s">
        <v>110</v>
      </c>
      <c r="Q8" s="8" t="s">
        <v>110</v>
      </c>
      <c r="R8" s="8" t="s">
        <v>110</v>
      </c>
      <c r="S8" s="140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2"/>
      <c r="AJ8" s="5">
        <f t="shared" si="1"/>
        <v>12</v>
      </c>
      <c r="AK8" s="5">
        <f t="shared" si="2"/>
        <v>0</v>
      </c>
      <c r="AL8" s="5"/>
      <c r="AM8" s="9"/>
      <c r="AN8"/>
      <c r="AO8"/>
    </row>
    <row r="9" spans="1:41" x14ac:dyDescent="0.25">
      <c r="A9" s="21">
        <v>5</v>
      </c>
      <c r="B9" s="21">
        <v>567</v>
      </c>
      <c r="C9" s="24" t="s">
        <v>649</v>
      </c>
      <c r="D9" s="20" t="s">
        <v>645</v>
      </c>
      <c r="E9" s="8" t="s">
        <v>110</v>
      </c>
      <c r="F9" s="119"/>
      <c r="G9" s="8" t="s">
        <v>110</v>
      </c>
      <c r="H9" s="8" t="s">
        <v>110</v>
      </c>
      <c r="I9" s="8" t="s">
        <v>110</v>
      </c>
      <c r="J9" s="8" t="s">
        <v>110</v>
      </c>
      <c r="K9" s="8" t="s">
        <v>110</v>
      </c>
      <c r="L9" s="8" t="s">
        <v>110</v>
      </c>
      <c r="M9" s="119"/>
      <c r="N9" s="8" t="s">
        <v>110</v>
      </c>
      <c r="O9" s="8" t="s">
        <v>110</v>
      </c>
      <c r="P9" s="8" t="s">
        <v>110</v>
      </c>
      <c r="Q9" s="8" t="s">
        <v>110</v>
      </c>
      <c r="R9" s="8" t="s">
        <v>110</v>
      </c>
      <c r="S9" s="140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2"/>
      <c r="AJ9" s="5">
        <f t="shared" si="1"/>
        <v>12</v>
      </c>
      <c r="AK9" s="5">
        <f t="shared" si="2"/>
        <v>0</v>
      </c>
      <c r="AL9" s="5"/>
      <c r="AM9" s="9"/>
    </row>
    <row r="10" spans="1:41" x14ac:dyDescent="0.25">
      <c r="A10" s="9">
        <v>6</v>
      </c>
      <c r="B10" s="21">
        <v>721</v>
      </c>
      <c r="C10" s="24" t="s">
        <v>57</v>
      </c>
      <c r="D10" s="20" t="s">
        <v>645</v>
      </c>
      <c r="E10" s="8" t="s">
        <v>110</v>
      </c>
      <c r="F10" s="119"/>
      <c r="G10" s="8" t="s">
        <v>796</v>
      </c>
      <c r="H10" s="8" t="s">
        <v>110</v>
      </c>
      <c r="I10" s="8" t="s">
        <v>110</v>
      </c>
      <c r="J10" s="8" t="s">
        <v>110</v>
      </c>
      <c r="K10" s="8" t="s">
        <v>110</v>
      </c>
      <c r="L10" s="8" t="s">
        <v>110</v>
      </c>
      <c r="M10" s="119"/>
      <c r="N10" s="8" t="s">
        <v>110</v>
      </c>
      <c r="O10" s="8" t="s">
        <v>110</v>
      </c>
      <c r="P10" s="8" t="s">
        <v>110</v>
      </c>
      <c r="Q10" s="8" t="s">
        <v>110</v>
      </c>
      <c r="R10" s="8" t="s">
        <v>110</v>
      </c>
      <c r="S10" s="140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2"/>
      <c r="AJ10" s="5">
        <f t="shared" si="1"/>
        <v>11</v>
      </c>
      <c r="AK10" s="5">
        <f t="shared" si="2"/>
        <v>1</v>
      </c>
    </row>
    <row r="11" spans="1:41" ht="15.75" x14ac:dyDescent="0.25">
      <c r="A11" s="21">
        <v>7</v>
      </c>
      <c r="B11" s="21">
        <v>342</v>
      </c>
      <c r="C11" s="24" t="s">
        <v>650</v>
      </c>
      <c r="D11" s="20" t="s">
        <v>645</v>
      </c>
      <c r="E11" s="8" t="s">
        <v>110</v>
      </c>
      <c r="F11" s="119"/>
      <c r="G11" s="8" t="s">
        <v>110</v>
      </c>
      <c r="H11" s="8" t="s">
        <v>110</v>
      </c>
      <c r="I11" s="8" t="s">
        <v>110</v>
      </c>
      <c r="J11" s="8" t="s">
        <v>110</v>
      </c>
      <c r="K11" s="8" t="s">
        <v>110</v>
      </c>
      <c r="L11" s="8" t="s">
        <v>110</v>
      </c>
      <c r="M11" s="119"/>
      <c r="N11" s="8" t="s">
        <v>110</v>
      </c>
      <c r="O11" s="8" t="s">
        <v>110</v>
      </c>
      <c r="P11" s="8" t="s">
        <v>110</v>
      </c>
      <c r="Q11" s="8" t="s">
        <v>110</v>
      </c>
      <c r="R11" s="8" t="s">
        <v>110</v>
      </c>
      <c r="S11" s="140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2"/>
      <c r="AJ11" s="5">
        <f t="shared" si="1"/>
        <v>12</v>
      </c>
      <c r="AK11" s="5">
        <f t="shared" si="2"/>
        <v>0</v>
      </c>
      <c r="AL11" s="115" t="s">
        <v>9</v>
      </c>
      <c r="AM11" s="116"/>
      <c r="AN11" s="116"/>
      <c r="AO11" s="117"/>
    </row>
    <row r="12" spans="1:41" x14ac:dyDescent="0.25">
      <c r="A12" s="9">
        <v>8</v>
      </c>
      <c r="B12" s="21">
        <v>625</v>
      </c>
      <c r="C12" s="24" t="s">
        <v>651</v>
      </c>
      <c r="D12" s="20" t="s">
        <v>645</v>
      </c>
      <c r="E12" s="8" t="s">
        <v>796</v>
      </c>
      <c r="F12" s="119"/>
      <c r="G12" s="8" t="s">
        <v>110</v>
      </c>
      <c r="H12" s="8" t="s">
        <v>110</v>
      </c>
      <c r="I12" s="8" t="s">
        <v>110</v>
      </c>
      <c r="J12" s="8" t="s">
        <v>110</v>
      </c>
      <c r="K12" s="8" t="s">
        <v>110</v>
      </c>
      <c r="L12" s="8" t="s">
        <v>110</v>
      </c>
      <c r="M12" s="119"/>
      <c r="N12" s="8" t="s">
        <v>110</v>
      </c>
      <c r="O12" s="8" t="s">
        <v>110</v>
      </c>
      <c r="P12" s="8" t="s">
        <v>110</v>
      </c>
      <c r="Q12" s="8" t="s">
        <v>110</v>
      </c>
      <c r="R12" s="8" t="s">
        <v>110</v>
      </c>
      <c r="S12" s="140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2"/>
      <c r="AJ12" s="5">
        <f t="shared" si="1"/>
        <v>11</v>
      </c>
      <c r="AK12" s="5">
        <f t="shared" si="2"/>
        <v>1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1">
        <v>9</v>
      </c>
      <c r="B13" s="21">
        <v>627</v>
      </c>
      <c r="C13" s="24" t="s">
        <v>652</v>
      </c>
      <c r="D13" s="20" t="s">
        <v>645</v>
      </c>
      <c r="E13" s="8" t="s">
        <v>110</v>
      </c>
      <c r="F13" s="119"/>
      <c r="G13" s="8" t="s">
        <v>110</v>
      </c>
      <c r="H13" s="8" t="s">
        <v>110</v>
      </c>
      <c r="I13" s="8" t="s">
        <v>110</v>
      </c>
      <c r="J13" s="8" t="s">
        <v>110</v>
      </c>
      <c r="K13" s="8" t="s">
        <v>110</v>
      </c>
      <c r="L13" s="8" t="s">
        <v>110</v>
      </c>
      <c r="M13" s="119"/>
      <c r="N13" s="8" t="s">
        <v>110</v>
      </c>
      <c r="O13" s="8" t="s">
        <v>110</v>
      </c>
      <c r="P13" s="8" t="s">
        <v>110</v>
      </c>
      <c r="Q13" s="8" t="s">
        <v>110</v>
      </c>
      <c r="R13" s="8" t="s">
        <v>110</v>
      </c>
      <c r="S13" s="140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2"/>
      <c r="AJ13" s="5">
        <f t="shared" si="1"/>
        <v>12</v>
      </c>
      <c r="AK13" s="5">
        <f t="shared" si="2"/>
        <v>0</v>
      </c>
      <c r="AL13" s="5" t="s">
        <v>14</v>
      </c>
      <c r="AM13" s="9">
        <f>27*$AM$5</f>
        <v>324</v>
      </c>
      <c r="AN13" s="9">
        <f>18*$AM$5</f>
        <v>216</v>
      </c>
      <c r="AO13" s="9">
        <f>SUM(AM13:AN13)</f>
        <v>540</v>
      </c>
    </row>
    <row r="14" spans="1:41" x14ac:dyDescent="0.25">
      <c r="A14" s="9">
        <v>10</v>
      </c>
      <c r="B14" s="21">
        <v>723</v>
      </c>
      <c r="C14" s="24" t="s">
        <v>653</v>
      </c>
      <c r="D14" s="20" t="s">
        <v>645</v>
      </c>
      <c r="E14" s="8" t="s">
        <v>110</v>
      </c>
      <c r="F14" s="119"/>
      <c r="G14" s="8" t="s">
        <v>110</v>
      </c>
      <c r="H14" s="8" t="s">
        <v>110</v>
      </c>
      <c r="I14" s="8" t="s">
        <v>110</v>
      </c>
      <c r="J14" s="8" t="s">
        <v>110</v>
      </c>
      <c r="K14" s="8" t="s">
        <v>110</v>
      </c>
      <c r="L14" s="8" t="s">
        <v>110</v>
      </c>
      <c r="M14" s="119"/>
      <c r="N14" s="8" t="s">
        <v>110</v>
      </c>
      <c r="O14" s="8" t="s">
        <v>110</v>
      </c>
      <c r="P14" s="8" t="s">
        <v>110</v>
      </c>
      <c r="Q14" s="8" t="s">
        <v>110</v>
      </c>
      <c r="R14" s="8" t="s">
        <v>110</v>
      </c>
      <c r="S14" s="140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2"/>
      <c r="AJ14" s="5">
        <f t="shared" si="1"/>
        <v>12</v>
      </c>
      <c r="AK14" s="5">
        <f t="shared" si="2"/>
        <v>0</v>
      </c>
      <c r="AL14" s="5" t="s">
        <v>15</v>
      </c>
      <c r="AM14" s="9">
        <f>SUM(AJ5:AJ31)</f>
        <v>306</v>
      </c>
      <c r="AN14" s="9">
        <f>SUM(AJ32:AJ49)</f>
        <v>212</v>
      </c>
      <c r="AO14" s="9">
        <f>AM14+AN14</f>
        <v>518</v>
      </c>
    </row>
    <row r="15" spans="1:41" x14ac:dyDescent="0.25">
      <c r="A15" s="21">
        <v>11</v>
      </c>
      <c r="B15" s="21">
        <v>717</v>
      </c>
      <c r="C15" s="24" t="s">
        <v>654</v>
      </c>
      <c r="D15" s="20" t="s">
        <v>645</v>
      </c>
      <c r="E15" s="8" t="s">
        <v>796</v>
      </c>
      <c r="F15" s="119"/>
      <c r="G15" s="8" t="s">
        <v>110</v>
      </c>
      <c r="H15" s="8" t="s">
        <v>110</v>
      </c>
      <c r="I15" s="8" t="s">
        <v>110</v>
      </c>
      <c r="J15" s="8" t="s">
        <v>110</v>
      </c>
      <c r="K15" s="8" t="s">
        <v>110</v>
      </c>
      <c r="L15" s="8" t="s">
        <v>110</v>
      </c>
      <c r="M15" s="119"/>
      <c r="N15" s="8" t="s">
        <v>110</v>
      </c>
      <c r="O15" s="8" t="s">
        <v>110</v>
      </c>
      <c r="P15" s="8" t="s">
        <v>110</v>
      </c>
      <c r="Q15" s="8" t="s">
        <v>110</v>
      </c>
      <c r="R15" s="8" t="s">
        <v>110</v>
      </c>
      <c r="S15" s="140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2"/>
      <c r="AJ15" s="5">
        <f t="shared" si="1"/>
        <v>11</v>
      </c>
      <c r="AK15" s="5">
        <f t="shared" si="2"/>
        <v>1</v>
      </c>
      <c r="AL15" s="5" t="s">
        <v>16</v>
      </c>
      <c r="AM15" s="12">
        <f>AM14/AM13</f>
        <v>0.94444444444444442</v>
      </c>
      <c r="AN15" s="12">
        <f>AN14/AN13</f>
        <v>0.98148148148148151</v>
      </c>
      <c r="AO15" s="12">
        <f>AO14/AO13</f>
        <v>0.95925925925925926</v>
      </c>
    </row>
    <row r="16" spans="1:41" x14ac:dyDescent="0.25">
      <c r="A16" s="9">
        <v>12</v>
      </c>
      <c r="B16" s="21">
        <v>624</v>
      </c>
      <c r="C16" s="24" t="s">
        <v>655</v>
      </c>
      <c r="D16" s="20" t="s">
        <v>645</v>
      </c>
      <c r="E16" s="8" t="s">
        <v>796</v>
      </c>
      <c r="F16" s="119"/>
      <c r="G16" s="8" t="s">
        <v>110</v>
      </c>
      <c r="H16" s="8" t="s">
        <v>110</v>
      </c>
      <c r="I16" s="8" t="s">
        <v>110</v>
      </c>
      <c r="J16" s="8" t="s">
        <v>110</v>
      </c>
      <c r="K16" s="8" t="s">
        <v>110</v>
      </c>
      <c r="L16" s="8" t="s">
        <v>110</v>
      </c>
      <c r="M16" s="119"/>
      <c r="N16" s="8" t="s">
        <v>110</v>
      </c>
      <c r="O16" s="8" t="s">
        <v>110</v>
      </c>
      <c r="P16" s="8" t="s">
        <v>110</v>
      </c>
      <c r="Q16" s="8" t="s">
        <v>110</v>
      </c>
      <c r="R16" s="8" t="s">
        <v>110</v>
      </c>
      <c r="S16" s="140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2"/>
      <c r="AJ16" s="5">
        <f t="shared" si="1"/>
        <v>11</v>
      </c>
      <c r="AK16" s="5">
        <f t="shared" si="2"/>
        <v>1</v>
      </c>
      <c r="AL16"/>
      <c r="AM16"/>
      <c r="AN16"/>
      <c r="AO16"/>
    </row>
    <row r="17" spans="1:41" x14ac:dyDescent="0.25">
      <c r="A17" s="21">
        <v>13</v>
      </c>
      <c r="B17" s="21">
        <v>718</v>
      </c>
      <c r="C17" s="24" t="s">
        <v>656</v>
      </c>
      <c r="D17" s="20" t="s">
        <v>645</v>
      </c>
      <c r="E17" s="8" t="s">
        <v>110</v>
      </c>
      <c r="F17" s="119"/>
      <c r="G17" s="8" t="s">
        <v>110</v>
      </c>
      <c r="H17" s="8" t="s">
        <v>110</v>
      </c>
      <c r="I17" s="8" t="s">
        <v>110</v>
      </c>
      <c r="J17" s="8" t="s">
        <v>110</v>
      </c>
      <c r="K17" s="8" t="s">
        <v>110</v>
      </c>
      <c r="L17" s="8" t="s">
        <v>110</v>
      </c>
      <c r="M17" s="119"/>
      <c r="N17" s="8" t="s">
        <v>110</v>
      </c>
      <c r="O17" s="8" t="s">
        <v>110</v>
      </c>
      <c r="P17" s="8" t="s">
        <v>110</v>
      </c>
      <c r="Q17" s="8" t="s">
        <v>110</v>
      </c>
      <c r="R17" s="8" t="s">
        <v>110</v>
      </c>
      <c r="S17" s="140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2"/>
      <c r="AJ17" s="5">
        <f t="shared" si="1"/>
        <v>12</v>
      </c>
      <c r="AK17" s="5">
        <f t="shared" si="2"/>
        <v>0</v>
      </c>
      <c r="AL17"/>
      <c r="AM17"/>
      <c r="AN17"/>
      <c r="AO17"/>
    </row>
    <row r="18" spans="1:41" ht="15.75" x14ac:dyDescent="0.25">
      <c r="A18" s="21">
        <v>14</v>
      </c>
      <c r="B18" s="21">
        <v>628</v>
      </c>
      <c r="C18" s="24" t="s">
        <v>124</v>
      </c>
      <c r="D18" s="20" t="s">
        <v>645</v>
      </c>
      <c r="E18" s="8" t="s">
        <v>110</v>
      </c>
      <c r="F18" s="119"/>
      <c r="G18" s="8" t="s">
        <v>110</v>
      </c>
      <c r="H18" s="8" t="s">
        <v>110</v>
      </c>
      <c r="I18" s="8" t="s">
        <v>110</v>
      </c>
      <c r="J18" s="8" t="s">
        <v>110</v>
      </c>
      <c r="K18" s="8" t="s">
        <v>110</v>
      </c>
      <c r="L18" s="8" t="s">
        <v>110</v>
      </c>
      <c r="M18" s="119"/>
      <c r="N18" s="8" t="s">
        <v>110</v>
      </c>
      <c r="O18" s="8" t="s">
        <v>110</v>
      </c>
      <c r="P18" s="8" t="s">
        <v>110</v>
      </c>
      <c r="Q18" s="8" t="s">
        <v>110</v>
      </c>
      <c r="R18" s="8" t="s">
        <v>110</v>
      </c>
      <c r="S18" s="140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2"/>
      <c r="AJ18" s="5">
        <f t="shared" si="1"/>
        <v>12</v>
      </c>
      <c r="AK18" s="5">
        <f t="shared" si="2"/>
        <v>0</v>
      </c>
      <c r="AL18" s="115" t="s">
        <v>122</v>
      </c>
      <c r="AM18" s="116"/>
      <c r="AN18" s="116"/>
      <c r="AO18" s="117"/>
    </row>
    <row r="19" spans="1:41" x14ac:dyDescent="0.25">
      <c r="A19" s="21">
        <v>15</v>
      </c>
      <c r="B19" s="21">
        <v>621</v>
      </c>
      <c r="C19" s="24" t="s">
        <v>657</v>
      </c>
      <c r="D19" s="20" t="s">
        <v>645</v>
      </c>
      <c r="E19" s="8" t="s">
        <v>110</v>
      </c>
      <c r="F19" s="119"/>
      <c r="G19" s="8" t="s">
        <v>110</v>
      </c>
      <c r="H19" s="8" t="s">
        <v>110</v>
      </c>
      <c r="I19" s="8" t="s">
        <v>110</v>
      </c>
      <c r="J19" s="8" t="s">
        <v>110</v>
      </c>
      <c r="K19" s="8" t="s">
        <v>110</v>
      </c>
      <c r="L19" s="8" t="s">
        <v>110</v>
      </c>
      <c r="M19" s="119"/>
      <c r="N19" s="8" t="s">
        <v>110</v>
      </c>
      <c r="O19" s="8" t="s">
        <v>110</v>
      </c>
      <c r="P19" s="8" t="s">
        <v>110</v>
      </c>
      <c r="Q19" s="8" t="s">
        <v>110</v>
      </c>
      <c r="R19" s="8" t="s">
        <v>110</v>
      </c>
      <c r="S19" s="140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2"/>
      <c r="AJ19" s="5">
        <f t="shared" si="1"/>
        <v>12</v>
      </c>
      <c r="AK19" s="5">
        <f t="shared" si="2"/>
        <v>0</v>
      </c>
      <c r="AL19" s="5" t="s">
        <v>10</v>
      </c>
      <c r="AM19" s="5" t="s">
        <v>11</v>
      </c>
      <c r="AN19" s="5" t="s">
        <v>12</v>
      </c>
      <c r="AO19" s="5" t="s">
        <v>13</v>
      </c>
    </row>
    <row r="20" spans="1:41" x14ac:dyDescent="0.25">
      <c r="A20" s="21">
        <v>16</v>
      </c>
      <c r="B20" s="21">
        <v>259</v>
      </c>
      <c r="C20" s="24" t="s">
        <v>305</v>
      </c>
      <c r="D20" s="20" t="s">
        <v>645</v>
      </c>
      <c r="E20" s="8" t="s">
        <v>796</v>
      </c>
      <c r="F20" s="119"/>
      <c r="G20" s="8" t="s">
        <v>796</v>
      </c>
      <c r="H20" s="8" t="s">
        <v>796</v>
      </c>
      <c r="I20" s="8" t="s">
        <v>796</v>
      </c>
      <c r="J20" s="8" t="s">
        <v>796</v>
      </c>
      <c r="K20" s="8" t="s">
        <v>796</v>
      </c>
      <c r="L20" s="8" t="s">
        <v>796</v>
      </c>
      <c r="M20" s="119"/>
      <c r="N20" s="8" t="s">
        <v>796</v>
      </c>
      <c r="O20" s="8" t="s">
        <v>796</v>
      </c>
      <c r="P20" s="8" t="s">
        <v>796</v>
      </c>
      <c r="Q20" s="8" t="s">
        <v>796</v>
      </c>
      <c r="R20" s="8" t="s">
        <v>796</v>
      </c>
      <c r="S20" s="140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2"/>
      <c r="AJ20" s="5">
        <f t="shared" si="1"/>
        <v>0</v>
      </c>
      <c r="AK20" s="5">
        <f t="shared" si="2"/>
        <v>12</v>
      </c>
      <c r="AL20" s="5" t="s">
        <v>14</v>
      </c>
      <c r="AM20" s="9">
        <f>29*$AM$5</f>
        <v>348</v>
      </c>
      <c r="AN20" s="9">
        <f>19*$AM$5</f>
        <v>228</v>
      </c>
      <c r="AO20" s="9">
        <f>AM20+AN20</f>
        <v>576</v>
      </c>
    </row>
    <row r="21" spans="1:41" x14ac:dyDescent="0.25">
      <c r="A21" s="21">
        <v>17</v>
      </c>
      <c r="B21" s="21">
        <v>518</v>
      </c>
      <c r="C21" s="24" t="s">
        <v>658</v>
      </c>
      <c r="D21" s="20" t="s">
        <v>645</v>
      </c>
      <c r="E21" s="8" t="s">
        <v>110</v>
      </c>
      <c r="F21" s="119"/>
      <c r="G21" s="8" t="s">
        <v>110</v>
      </c>
      <c r="H21" s="8" t="s">
        <v>110</v>
      </c>
      <c r="I21" s="8" t="s">
        <v>110</v>
      </c>
      <c r="J21" s="8" t="s">
        <v>110</v>
      </c>
      <c r="K21" s="8" t="s">
        <v>110</v>
      </c>
      <c r="L21" s="8" t="s">
        <v>110</v>
      </c>
      <c r="M21" s="119"/>
      <c r="N21" s="8" t="s">
        <v>110</v>
      </c>
      <c r="O21" s="8" t="s">
        <v>110</v>
      </c>
      <c r="P21" s="8" t="s">
        <v>110</v>
      </c>
      <c r="Q21" s="8" t="s">
        <v>110</v>
      </c>
      <c r="R21" s="8" t="s">
        <v>110</v>
      </c>
      <c r="S21" s="140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2"/>
      <c r="AJ21" s="5">
        <f t="shared" si="1"/>
        <v>12</v>
      </c>
      <c r="AK21" s="5">
        <f t="shared" si="2"/>
        <v>0</v>
      </c>
      <c r="AL21" s="5" t="s">
        <v>17</v>
      </c>
      <c r="AM21" s="9">
        <f>AM20-AM14</f>
        <v>42</v>
      </c>
      <c r="AN21" s="9">
        <f>AN20-AN14</f>
        <v>16</v>
      </c>
      <c r="AO21" s="9">
        <f>AM21+AN21</f>
        <v>58</v>
      </c>
    </row>
    <row r="22" spans="1:41" x14ac:dyDescent="0.25">
      <c r="A22" s="21">
        <v>18</v>
      </c>
      <c r="B22" s="21">
        <v>639</v>
      </c>
      <c r="C22" s="24" t="s">
        <v>659</v>
      </c>
      <c r="D22" s="20" t="s">
        <v>645</v>
      </c>
      <c r="E22" s="8" t="s">
        <v>110</v>
      </c>
      <c r="F22" s="119"/>
      <c r="G22" s="8" t="s">
        <v>110</v>
      </c>
      <c r="H22" s="8" t="s">
        <v>110</v>
      </c>
      <c r="I22" s="8" t="s">
        <v>110</v>
      </c>
      <c r="J22" s="8" t="s">
        <v>110</v>
      </c>
      <c r="K22" s="8" t="s">
        <v>110</v>
      </c>
      <c r="L22" s="8" t="s">
        <v>110</v>
      </c>
      <c r="M22" s="119"/>
      <c r="N22" s="8" t="s">
        <v>110</v>
      </c>
      <c r="O22" s="8" t="s">
        <v>110</v>
      </c>
      <c r="P22" s="8" t="s">
        <v>110</v>
      </c>
      <c r="Q22" s="8" t="s">
        <v>110</v>
      </c>
      <c r="R22" s="8" t="s">
        <v>110</v>
      </c>
      <c r="S22" s="140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2"/>
      <c r="AJ22" s="5">
        <f t="shared" si="1"/>
        <v>12</v>
      </c>
      <c r="AK22" s="5">
        <f t="shared" si="2"/>
        <v>0</v>
      </c>
      <c r="AL22" s="5" t="s">
        <v>16</v>
      </c>
      <c r="AM22" s="12">
        <f>AM21/AM20</f>
        <v>0.1206896551724138</v>
      </c>
      <c r="AN22" s="12">
        <f>AN21/AN20</f>
        <v>7.0175438596491224E-2</v>
      </c>
      <c r="AO22" s="12">
        <f>AO21/AO20</f>
        <v>0.10069444444444445</v>
      </c>
    </row>
    <row r="23" spans="1:41" x14ac:dyDescent="0.25">
      <c r="A23" s="21">
        <v>19</v>
      </c>
      <c r="B23" s="21">
        <v>762</v>
      </c>
      <c r="C23" s="24" t="s">
        <v>295</v>
      </c>
      <c r="D23" s="20" t="s">
        <v>645</v>
      </c>
      <c r="E23" s="8" t="s">
        <v>110</v>
      </c>
      <c r="F23" s="119"/>
      <c r="G23" s="8" t="s">
        <v>110</v>
      </c>
      <c r="H23" s="8" t="s">
        <v>110</v>
      </c>
      <c r="I23" s="8" t="s">
        <v>110</v>
      </c>
      <c r="J23" s="8" t="s">
        <v>110</v>
      </c>
      <c r="K23" s="8" t="s">
        <v>110</v>
      </c>
      <c r="L23" s="8" t="s">
        <v>110</v>
      </c>
      <c r="M23" s="119"/>
      <c r="N23" s="8" t="s">
        <v>110</v>
      </c>
      <c r="O23" s="8" t="s">
        <v>110</v>
      </c>
      <c r="P23" s="8" t="s">
        <v>110</v>
      </c>
      <c r="Q23" s="8" t="s">
        <v>110</v>
      </c>
      <c r="R23" s="8" t="s">
        <v>110</v>
      </c>
      <c r="S23" s="140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2"/>
      <c r="AJ23" s="5">
        <f t="shared" si="1"/>
        <v>12</v>
      </c>
      <c r="AK23" s="5">
        <f t="shared" si="2"/>
        <v>0</v>
      </c>
    </row>
    <row r="24" spans="1:41" x14ac:dyDescent="0.25">
      <c r="A24" s="21">
        <v>20</v>
      </c>
      <c r="B24" s="21">
        <v>719</v>
      </c>
      <c r="C24" s="24" t="s">
        <v>299</v>
      </c>
      <c r="D24" s="20" t="s">
        <v>645</v>
      </c>
      <c r="E24" s="8" t="s">
        <v>110</v>
      </c>
      <c r="F24" s="119"/>
      <c r="G24" s="8" t="s">
        <v>110</v>
      </c>
      <c r="H24" s="8" t="s">
        <v>110</v>
      </c>
      <c r="I24" s="8" t="s">
        <v>110</v>
      </c>
      <c r="J24" s="8" t="s">
        <v>110</v>
      </c>
      <c r="K24" s="8" t="s">
        <v>110</v>
      </c>
      <c r="L24" s="8" t="s">
        <v>110</v>
      </c>
      <c r="M24" s="119"/>
      <c r="N24" s="8" t="s">
        <v>110</v>
      </c>
      <c r="O24" s="8" t="s">
        <v>110</v>
      </c>
      <c r="P24" s="8" t="s">
        <v>110</v>
      </c>
      <c r="Q24" s="8" t="s">
        <v>110</v>
      </c>
      <c r="R24" s="8" t="s">
        <v>110</v>
      </c>
      <c r="S24" s="140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2"/>
      <c r="AJ24" s="5">
        <f t="shared" si="1"/>
        <v>12</v>
      </c>
      <c r="AK24" s="5">
        <f t="shared" si="2"/>
        <v>0</v>
      </c>
    </row>
    <row r="25" spans="1:41" x14ac:dyDescent="0.25">
      <c r="A25" s="21">
        <v>21</v>
      </c>
      <c r="B25" s="21">
        <v>725</v>
      </c>
      <c r="C25" s="24" t="s">
        <v>660</v>
      </c>
      <c r="D25" s="20" t="s">
        <v>645</v>
      </c>
      <c r="E25" s="8" t="s">
        <v>110</v>
      </c>
      <c r="F25" s="119"/>
      <c r="G25" s="8" t="s">
        <v>110</v>
      </c>
      <c r="H25" s="8" t="s">
        <v>110</v>
      </c>
      <c r="I25" s="8" t="s">
        <v>110</v>
      </c>
      <c r="J25" s="8" t="s">
        <v>110</v>
      </c>
      <c r="K25" s="8" t="s">
        <v>110</v>
      </c>
      <c r="L25" s="8" t="s">
        <v>110</v>
      </c>
      <c r="M25" s="119"/>
      <c r="N25" s="8" t="s">
        <v>110</v>
      </c>
      <c r="O25" s="8" t="s">
        <v>110</v>
      </c>
      <c r="P25" s="8" t="s">
        <v>110</v>
      </c>
      <c r="Q25" s="8" t="s">
        <v>110</v>
      </c>
      <c r="R25" s="8" t="s">
        <v>110</v>
      </c>
      <c r="S25" s="140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2"/>
      <c r="AJ25" s="5">
        <f t="shared" si="1"/>
        <v>12</v>
      </c>
      <c r="AK25" s="5">
        <f t="shared" si="2"/>
        <v>0</v>
      </c>
    </row>
    <row r="26" spans="1:41" x14ac:dyDescent="0.25">
      <c r="A26" s="21">
        <v>22</v>
      </c>
      <c r="B26" s="21">
        <v>724</v>
      </c>
      <c r="C26" s="24" t="s">
        <v>456</v>
      </c>
      <c r="D26" s="20" t="s">
        <v>645</v>
      </c>
      <c r="E26" s="8" t="s">
        <v>110</v>
      </c>
      <c r="F26" s="119"/>
      <c r="G26" s="8" t="s">
        <v>110</v>
      </c>
      <c r="H26" s="8" t="s">
        <v>110</v>
      </c>
      <c r="I26" s="8" t="s">
        <v>110</v>
      </c>
      <c r="J26" s="8" t="s">
        <v>110</v>
      </c>
      <c r="K26" s="8" t="s">
        <v>110</v>
      </c>
      <c r="L26" s="8" t="s">
        <v>110</v>
      </c>
      <c r="M26" s="119"/>
      <c r="N26" s="8" t="s">
        <v>110</v>
      </c>
      <c r="O26" s="8" t="s">
        <v>110</v>
      </c>
      <c r="P26" s="8" t="s">
        <v>110</v>
      </c>
      <c r="Q26" s="8" t="s">
        <v>110</v>
      </c>
      <c r="R26" s="8" t="s">
        <v>110</v>
      </c>
      <c r="S26" s="140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2"/>
      <c r="AJ26" s="5">
        <f t="shared" si="1"/>
        <v>12</v>
      </c>
      <c r="AK26" s="5">
        <f t="shared" si="2"/>
        <v>0</v>
      </c>
    </row>
    <row r="27" spans="1:41" x14ac:dyDescent="0.25">
      <c r="A27" s="21">
        <v>23</v>
      </c>
      <c r="B27" s="103">
        <v>630</v>
      </c>
      <c r="C27" s="27" t="s">
        <v>661</v>
      </c>
      <c r="D27" s="20" t="s">
        <v>645</v>
      </c>
      <c r="E27" s="8" t="s">
        <v>110</v>
      </c>
      <c r="F27" s="119"/>
      <c r="G27" s="8" t="s">
        <v>110</v>
      </c>
      <c r="H27" s="8" t="s">
        <v>110</v>
      </c>
      <c r="I27" s="8" t="s">
        <v>110</v>
      </c>
      <c r="J27" s="8" t="s">
        <v>110</v>
      </c>
      <c r="K27" s="8" t="s">
        <v>110</v>
      </c>
      <c r="L27" s="8" t="s">
        <v>110</v>
      </c>
      <c r="M27" s="119"/>
      <c r="N27" s="8" t="s">
        <v>110</v>
      </c>
      <c r="O27" s="8" t="s">
        <v>110</v>
      </c>
      <c r="P27" s="8" t="s">
        <v>110</v>
      </c>
      <c r="Q27" s="8" t="s">
        <v>110</v>
      </c>
      <c r="R27" s="8" t="s">
        <v>110</v>
      </c>
      <c r="S27" s="140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2"/>
      <c r="AJ27" s="5">
        <f t="shared" si="1"/>
        <v>12</v>
      </c>
      <c r="AK27" s="5">
        <f t="shared" si="2"/>
        <v>0</v>
      </c>
    </row>
    <row r="28" spans="1:41" x14ac:dyDescent="0.25">
      <c r="A28" s="21">
        <v>24</v>
      </c>
      <c r="B28" s="21">
        <v>406</v>
      </c>
      <c r="C28" s="29" t="s">
        <v>662</v>
      </c>
      <c r="D28" s="20" t="s">
        <v>645</v>
      </c>
      <c r="E28" s="8" t="s">
        <v>110</v>
      </c>
      <c r="F28" s="119"/>
      <c r="G28" s="8" t="s">
        <v>110</v>
      </c>
      <c r="H28" s="8" t="s">
        <v>110</v>
      </c>
      <c r="I28" s="8" t="s">
        <v>110</v>
      </c>
      <c r="J28" s="8" t="s">
        <v>110</v>
      </c>
      <c r="K28" s="8" t="s">
        <v>110</v>
      </c>
      <c r="L28" s="8" t="s">
        <v>110</v>
      </c>
      <c r="M28" s="119"/>
      <c r="N28" s="8" t="s">
        <v>110</v>
      </c>
      <c r="O28" s="8" t="s">
        <v>110</v>
      </c>
      <c r="P28" s="8" t="s">
        <v>110</v>
      </c>
      <c r="Q28" s="8" t="s">
        <v>110</v>
      </c>
      <c r="R28" s="8" t="s">
        <v>110</v>
      </c>
      <c r="S28" s="140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2"/>
      <c r="AJ28" s="5">
        <f t="shared" si="1"/>
        <v>12</v>
      </c>
      <c r="AK28" s="5">
        <f t="shared" si="2"/>
        <v>0</v>
      </c>
    </row>
    <row r="29" spans="1:41" x14ac:dyDescent="0.25">
      <c r="A29" s="21">
        <v>25</v>
      </c>
      <c r="B29" s="21">
        <v>849</v>
      </c>
      <c r="C29" s="29" t="s">
        <v>663</v>
      </c>
      <c r="D29" s="20" t="s">
        <v>645</v>
      </c>
      <c r="E29" s="8" t="s">
        <v>110</v>
      </c>
      <c r="F29" s="119"/>
      <c r="G29" s="8" t="s">
        <v>110</v>
      </c>
      <c r="H29" s="8" t="s">
        <v>110</v>
      </c>
      <c r="I29" s="8" t="s">
        <v>110</v>
      </c>
      <c r="J29" s="8" t="s">
        <v>110</v>
      </c>
      <c r="K29" s="8" t="s">
        <v>110</v>
      </c>
      <c r="L29" s="8" t="s">
        <v>110</v>
      </c>
      <c r="M29" s="119"/>
      <c r="N29" s="8" t="s">
        <v>110</v>
      </c>
      <c r="O29" s="8" t="s">
        <v>110</v>
      </c>
      <c r="P29" s="8" t="s">
        <v>110</v>
      </c>
      <c r="Q29" s="8" t="s">
        <v>110</v>
      </c>
      <c r="R29" s="8" t="s">
        <v>110</v>
      </c>
      <c r="S29" s="140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2"/>
      <c r="AJ29" s="5">
        <f t="shared" si="1"/>
        <v>12</v>
      </c>
      <c r="AK29" s="5">
        <f t="shared" si="2"/>
        <v>0</v>
      </c>
    </row>
    <row r="30" spans="1:41" x14ac:dyDescent="0.25">
      <c r="A30" s="21">
        <v>26</v>
      </c>
      <c r="B30" s="21">
        <v>514</v>
      </c>
      <c r="C30" s="29" t="s">
        <v>507</v>
      </c>
      <c r="D30" s="20" t="s">
        <v>645</v>
      </c>
      <c r="E30" s="8" t="s">
        <v>796</v>
      </c>
      <c r="F30" s="119"/>
      <c r="G30" s="8" t="s">
        <v>110</v>
      </c>
      <c r="H30" s="8" t="s">
        <v>110</v>
      </c>
      <c r="I30" s="8" t="s">
        <v>110</v>
      </c>
      <c r="J30" s="8" t="s">
        <v>110</v>
      </c>
      <c r="K30" s="8" t="s">
        <v>110</v>
      </c>
      <c r="L30" s="8" t="s">
        <v>110</v>
      </c>
      <c r="M30" s="119"/>
      <c r="N30" s="8" t="s">
        <v>110</v>
      </c>
      <c r="O30" s="8" t="s">
        <v>110</v>
      </c>
      <c r="P30" s="8" t="s">
        <v>110</v>
      </c>
      <c r="Q30" s="8" t="s">
        <v>110</v>
      </c>
      <c r="R30" s="8" t="s">
        <v>110</v>
      </c>
      <c r="S30" s="140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2"/>
      <c r="AJ30" s="5">
        <f t="shared" si="1"/>
        <v>11</v>
      </c>
      <c r="AK30" s="5">
        <f t="shared" si="2"/>
        <v>1</v>
      </c>
    </row>
    <row r="31" spans="1:41" x14ac:dyDescent="0.25">
      <c r="A31" s="21">
        <v>27</v>
      </c>
      <c r="B31" s="21">
        <v>454</v>
      </c>
      <c r="C31" s="26" t="s">
        <v>556</v>
      </c>
      <c r="D31" s="20" t="s">
        <v>645</v>
      </c>
      <c r="E31" s="8" t="s">
        <v>796</v>
      </c>
      <c r="F31" s="119"/>
      <c r="G31" s="8" t="s">
        <v>110</v>
      </c>
      <c r="H31" s="8" t="s">
        <v>110</v>
      </c>
      <c r="I31" s="8" t="s">
        <v>110</v>
      </c>
      <c r="J31" s="8" t="s">
        <v>110</v>
      </c>
      <c r="K31" s="8" t="s">
        <v>110</v>
      </c>
      <c r="L31" s="8" t="s">
        <v>110</v>
      </c>
      <c r="M31" s="119"/>
      <c r="N31" s="8" t="s">
        <v>110</v>
      </c>
      <c r="O31" s="8" t="s">
        <v>110</v>
      </c>
      <c r="P31" s="8" t="s">
        <v>110</v>
      </c>
      <c r="Q31" s="8" t="s">
        <v>110</v>
      </c>
      <c r="R31" s="8" t="s">
        <v>110</v>
      </c>
      <c r="S31" s="140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2"/>
      <c r="AJ31" s="5">
        <f t="shared" si="1"/>
        <v>11</v>
      </c>
      <c r="AK31" s="5">
        <f t="shared" si="2"/>
        <v>1</v>
      </c>
    </row>
    <row r="32" spans="1:41" x14ac:dyDescent="0.25">
      <c r="A32" s="21">
        <v>1</v>
      </c>
      <c r="B32" s="21">
        <v>636</v>
      </c>
      <c r="C32" s="24" t="s">
        <v>664</v>
      </c>
      <c r="D32" s="20" t="s">
        <v>645</v>
      </c>
      <c r="E32" s="8" t="s">
        <v>110</v>
      </c>
      <c r="F32" s="119"/>
      <c r="G32" s="8" t="s">
        <v>110</v>
      </c>
      <c r="H32" s="8" t="s">
        <v>110</v>
      </c>
      <c r="I32" s="8" t="s">
        <v>110</v>
      </c>
      <c r="J32" s="8" t="s">
        <v>110</v>
      </c>
      <c r="K32" s="8" t="s">
        <v>110</v>
      </c>
      <c r="L32" s="8" t="s">
        <v>110</v>
      </c>
      <c r="M32" s="119"/>
      <c r="N32" s="8" t="s">
        <v>110</v>
      </c>
      <c r="O32" s="8" t="s">
        <v>110</v>
      </c>
      <c r="P32" s="8" t="s">
        <v>110</v>
      </c>
      <c r="Q32" s="8" t="s">
        <v>110</v>
      </c>
      <c r="R32" s="8" t="s">
        <v>110</v>
      </c>
      <c r="S32" s="140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2"/>
      <c r="AJ32" s="5">
        <f t="shared" si="1"/>
        <v>12</v>
      </c>
      <c r="AK32" s="5">
        <f t="shared" si="2"/>
        <v>0</v>
      </c>
    </row>
    <row r="33" spans="1:37" x14ac:dyDescent="0.25">
      <c r="A33" s="21">
        <v>2</v>
      </c>
      <c r="B33" s="21">
        <v>862</v>
      </c>
      <c r="C33" s="24" t="s">
        <v>665</v>
      </c>
      <c r="D33" s="20" t="s">
        <v>645</v>
      </c>
      <c r="E33" s="8" t="s">
        <v>110</v>
      </c>
      <c r="F33" s="119"/>
      <c r="G33" s="8" t="s">
        <v>796</v>
      </c>
      <c r="H33" s="8" t="s">
        <v>110</v>
      </c>
      <c r="I33" s="8" t="s">
        <v>110</v>
      </c>
      <c r="J33" s="8" t="s">
        <v>110</v>
      </c>
      <c r="K33" s="8" t="s">
        <v>110</v>
      </c>
      <c r="L33" s="8" t="s">
        <v>110</v>
      </c>
      <c r="M33" s="119"/>
      <c r="N33" s="8" t="s">
        <v>110</v>
      </c>
      <c r="O33" s="8" t="s">
        <v>110</v>
      </c>
      <c r="P33" s="8" t="s">
        <v>110</v>
      </c>
      <c r="Q33" s="8" t="s">
        <v>110</v>
      </c>
      <c r="R33" s="8" t="s">
        <v>110</v>
      </c>
      <c r="S33" s="140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2"/>
      <c r="AJ33" s="5">
        <f t="shared" si="1"/>
        <v>11</v>
      </c>
      <c r="AK33" s="5">
        <f t="shared" si="2"/>
        <v>1</v>
      </c>
    </row>
    <row r="34" spans="1:37" x14ac:dyDescent="0.25">
      <c r="A34" s="21">
        <v>3</v>
      </c>
      <c r="B34" s="21">
        <v>870</v>
      </c>
      <c r="C34" s="14" t="s">
        <v>666</v>
      </c>
      <c r="D34" s="20" t="s">
        <v>645</v>
      </c>
      <c r="E34" s="8" t="s">
        <v>110</v>
      </c>
      <c r="F34" s="119"/>
      <c r="G34" s="8" t="s">
        <v>110</v>
      </c>
      <c r="H34" s="8" t="s">
        <v>110</v>
      </c>
      <c r="I34" s="8" t="s">
        <v>110</v>
      </c>
      <c r="J34" s="8" t="s">
        <v>110</v>
      </c>
      <c r="K34" s="8" t="s">
        <v>110</v>
      </c>
      <c r="L34" s="8" t="s">
        <v>110</v>
      </c>
      <c r="M34" s="119"/>
      <c r="N34" s="8" t="s">
        <v>110</v>
      </c>
      <c r="O34" s="8" t="s">
        <v>110</v>
      </c>
      <c r="P34" s="8" t="s">
        <v>110</v>
      </c>
      <c r="Q34" s="8" t="s">
        <v>110</v>
      </c>
      <c r="R34" s="8" t="s">
        <v>110</v>
      </c>
      <c r="S34" s="140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2"/>
      <c r="AJ34" s="5">
        <f t="shared" si="1"/>
        <v>12</v>
      </c>
      <c r="AK34" s="5">
        <f t="shared" si="2"/>
        <v>0</v>
      </c>
    </row>
    <row r="35" spans="1:37" x14ac:dyDescent="0.25">
      <c r="A35" s="21">
        <v>4</v>
      </c>
      <c r="B35" s="21">
        <v>626</v>
      </c>
      <c r="C35" s="14" t="s">
        <v>49</v>
      </c>
      <c r="D35" s="20" t="s">
        <v>645</v>
      </c>
      <c r="E35" s="8" t="s">
        <v>110</v>
      </c>
      <c r="F35" s="119"/>
      <c r="G35" s="8" t="s">
        <v>110</v>
      </c>
      <c r="H35" s="8" t="s">
        <v>110</v>
      </c>
      <c r="I35" s="8" t="s">
        <v>110</v>
      </c>
      <c r="J35" s="8" t="s">
        <v>110</v>
      </c>
      <c r="K35" s="8" t="s">
        <v>110</v>
      </c>
      <c r="L35" s="8" t="s">
        <v>110</v>
      </c>
      <c r="M35" s="119"/>
      <c r="N35" s="8" t="s">
        <v>110</v>
      </c>
      <c r="O35" s="8" t="s">
        <v>110</v>
      </c>
      <c r="P35" s="8" t="s">
        <v>110</v>
      </c>
      <c r="Q35" s="8" t="s">
        <v>110</v>
      </c>
      <c r="R35" s="8" t="s">
        <v>110</v>
      </c>
      <c r="S35" s="140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2"/>
      <c r="AJ35" s="5">
        <f t="shared" si="1"/>
        <v>12</v>
      </c>
      <c r="AK35" s="5">
        <f t="shared" si="2"/>
        <v>0</v>
      </c>
    </row>
    <row r="36" spans="1:37" x14ac:dyDescent="0.25">
      <c r="A36" s="21">
        <v>5</v>
      </c>
      <c r="B36" s="21">
        <v>871</v>
      </c>
      <c r="C36" s="14" t="s">
        <v>667</v>
      </c>
      <c r="D36" s="20" t="s">
        <v>645</v>
      </c>
      <c r="E36" s="8" t="s">
        <v>110</v>
      </c>
      <c r="F36" s="119"/>
      <c r="G36" s="8" t="s">
        <v>110</v>
      </c>
      <c r="H36" s="8" t="s">
        <v>110</v>
      </c>
      <c r="I36" s="8" t="s">
        <v>110</v>
      </c>
      <c r="J36" s="8" t="s">
        <v>110</v>
      </c>
      <c r="K36" s="8" t="s">
        <v>110</v>
      </c>
      <c r="L36" s="8" t="s">
        <v>110</v>
      </c>
      <c r="M36" s="119"/>
      <c r="N36" s="8" t="s">
        <v>110</v>
      </c>
      <c r="O36" s="8" t="s">
        <v>110</v>
      </c>
      <c r="P36" s="8" t="s">
        <v>110</v>
      </c>
      <c r="Q36" s="8" t="s">
        <v>110</v>
      </c>
      <c r="R36" s="8" t="s">
        <v>110</v>
      </c>
      <c r="S36" s="140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2"/>
      <c r="AJ36" s="5">
        <f t="shared" si="1"/>
        <v>12</v>
      </c>
      <c r="AK36" s="5">
        <f t="shared" si="2"/>
        <v>0</v>
      </c>
    </row>
    <row r="37" spans="1:37" x14ac:dyDescent="0.25">
      <c r="A37" s="21">
        <v>6</v>
      </c>
      <c r="B37" s="21">
        <v>637</v>
      </c>
      <c r="C37" s="14" t="s">
        <v>668</v>
      </c>
      <c r="D37" s="20" t="s">
        <v>645</v>
      </c>
      <c r="E37" s="8" t="s">
        <v>110</v>
      </c>
      <c r="F37" s="119"/>
      <c r="G37" s="8" t="s">
        <v>110</v>
      </c>
      <c r="H37" s="8" t="s">
        <v>110</v>
      </c>
      <c r="I37" s="8" t="s">
        <v>110</v>
      </c>
      <c r="J37" s="8" t="s">
        <v>110</v>
      </c>
      <c r="K37" s="8" t="s">
        <v>110</v>
      </c>
      <c r="L37" s="8" t="s">
        <v>110</v>
      </c>
      <c r="M37" s="119"/>
      <c r="N37" s="8" t="s">
        <v>110</v>
      </c>
      <c r="O37" s="8" t="s">
        <v>110</v>
      </c>
      <c r="P37" s="8" t="s">
        <v>110</v>
      </c>
      <c r="Q37" s="8" t="s">
        <v>110</v>
      </c>
      <c r="R37" s="8" t="s">
        <v>110</v>
      </c>
      <c r="S37" s="140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2"/>
      <c r="AJ37" s="5">
        <f t="shared" si="1"/>
        <v>12</v>
      </c>
      <c r="AK37" s="5">
        <f t="shared" si="2"/>
        <v>0</v>
      </c>
    </row>
    <row r="38" spans="1:37" x14ac:dyDescent="0.25">
      <c r="A38" s="21">
        <v>7</v>
      </c>
      <c r="B38" s="21">
        <v>720</v>
      </c>
      <c r="C38" s="14" t="s">
        <v>669</v>
      </c>
      <c r="D38" s="20" t="s">
        <v>645</v>
      </c>
      <c r="E38" s="8" t="s">
        <v>110</v>
      </c>
      <c r="F38" s="119"/>
      <c r="G38" s="8" t="s">
        <v>110</v>
      </c>
      <c r="H38" s="8" t="s">
        <v>110</v>
      </c>
      <c r="I38" s="8" t="s">
        <v>110</v>
      </c>
      <c r="J38" s="8" t="s">
        <v>110</v>
      </c>
      <c r="K38" s="8" t="s">
        <v>110</v>
      </c>
      <c r="L38" s="8" t="s">
        <v>110</v>
      </c>
      <c r="M38" s="119"/>
      <c r="N38" s="8" t="s">
        <v>110</v>
      </c>
      <c r="O38" s="8" t="s">
        <v>110</v>
      </c>
      <c r="P38" s="8" t="s">
        <v>110</v>
      </c>
      <c r="Q38" s="8" t="s">
        <v>110</v>
      </c>
      <c r="R38" s="8" t="s">
        <v>110</v>
      </c>
      <c r="S38" s="140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2"/>
      <c r="AJ38" s="5">
        <f t="shared" si="1"/>
        <v>12</v>
      </c>
      <c r="AK38" s="5">
        <f t="shared" si="2"/>
        <v>0</v>
      </c>
    </row>
    <row r="39" spans="1:37" x14ac:dyDescent="0.25">
      <c r="A39" s="21">
        <v>8</v>
      </c>
      <c r="B39" s="21">
        <v>722</v>
      </c>
      <c r="C39" s="14" t="s">
        <v>91</v>
      </c>
      <c r="D39" s="20" t="s">
        <v>645</v>
      </c>
      <c r="E39" s="8" t="s">
        <v>110</v>
      </c>
      <c r="F39" s="119"/>
      <c r="G39" s="8" t="s">
        <v>110</v>
      </c>
      <c r="H39" s="8" t="s">
        <v>110</v>
      </c>
      <c r="I39" s="8" t="s">
        <v>110</v>
      </c>
      <c r="J39" s="8" t="s">
        <v>110</v>
      </c>
      <c r="K39" s="8" t="s">
        <v>110</v>
      </c>
      <c r="L39" s="8" t="s">
        <v>110</v>
      </c>
      <c r="M39" s="119"/>
      <c r="N39" s="8" t="s">
        <v>110</v>
      </c>
      <c r="O39" s="8" t="s">
        <v>110</v>
      </c>
      <c r="P39" s="8" t="s">
        <v>110</v>
      </c>
      <c r="Q39" s="8" t="s">
        <v>110</v>
      </c>
      <c r="R39" s="8" t="s">
        <v>110</v>
      </c>
      <c r="S39" s="140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2"/>
      <c r="AJ39" s="5">
        <f t="shared" si="1"/>
        <v>12</v>
      </c>
      <c r="AK39" s="5">
        <f t="shared" si="2"/>
        <v>0</v>
      </c>
    </row>
    <row r="40" spans="1:37" x14ac:dyDescent="0.25">
      <c r="A40" s="21">
        <v>9</v>
      </c>
      <c r="B40" s="21">
        <v>352</v>
      </c>
      <c r="C40" s="14" t="s">
        <v>670</v>
      </c>
      <c r="D40" s="20" t="s">
        <v>645</v>
      </c>
      <c r="E40" s="8" t="s">
        <v>110</v>
      </c>
      <c r="F40" s="119"/>
      <c r="G40" s="8" t="s">
        <v>110</v>
      </c>
      <c r="H40" s="8" t="s">
        <v>110</v>
      </c>
      <c r="I40" s="8" t="s">
        <v>110</v>
      </c>
      <c r="J40" s="8" t="s">
        <v>110</v>
      </c>
      <c r="K40" s="8" t="s">
        <v>110</v>
      </c>
      <c r="L40" s="8" t="s">
        <v>110</v>
      </c>
      <c r="M40" s="119"/>
      <c r="N40" s="8" t="s">
        <v>110</v>
      </c>
      <c r="O40" s="8" t="s">
        <v>110</v>
      </c>
      <c r="P40" s="8" t="s">
        <v>110</v>
      </c>
      <c r="Q40" s="8" t="s">
        <v>110</v>
      </c>
      <c r="R40" s="8" t="s">
        <v>110</v>
      </c>
      <c r="S40" s="140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2"/>
      <c r="AJ40" s="5">
        <f t="shared" si="1"/>
        <v>12</v>
      </c>
      <c r="AK40" s="5">
        <f t="shared" si="2"/>
        <v>0</v>
      </c>
    </row>
    <row r="41" spans="1:37" x14ac:dyDescent="0.25">
      <c r="A41" s="21">
        <v>10</v>
      </c>
      <c r="B41" s="21"/>
      <c r="C41" s="14" t="s">
        <v>505</v>
      </c>
      <c r="D41" s="20" t="s">
        <v>645</v>
      </c>
      <c r="E41" s="8" t="s">
        <v>110</v>
      </c>
      <c r="F41" s="119"/>
      <c r="G41" s="8" t="s">
        <v>110</v>
      </c>
      <c r="H41" s="8" t="s">
        <v>110</v>
      </c>
      <c r="I41" s="8" t="s">
        <v>110</v>
      </c>
      <c r="J41" s="8" t="s">
        <v>110</v>
      </c>
      <c r="K41" s="8" t="s">
        <v>110</v>
      </c>
      <c r="L41" s="8" t="s">
        <v>110</v>
      </c>
      <c r="M41" s="119"/>
      <c r="N41" s="8" t="s">
        <v>110</v>
      </c>
      <c r="O41" s="8" t="s">
        <v>110</v>
      </c>
      <c r="P41" s="8" t="s">
        <v>110</v>
      </c>
      <c r="Q41" s="8" t="s">
        <v>110</v>
      </c>
      <c r="R41" s="8" t="s">
        <v>110</v>
      </c>
      <c r="S41" s="140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2"/>
      <c r="AJ41" s="5">
        <f t="shared" si="1"/>
        <v>12</v>
      </c>
      <c r="AK41" s="5">
        <f t="shared" si="2"/>
        <v>0</v>
      </c>
    </row>
    <row r="42" spans="1:37" x14ac:dyDescent="0.25">
      <c r="A42" s="21">
        <v>11</v>
      </c>
      <c r="B42" s="21">
        <v>350</v>
      </c>
      <c r="C42" s="14" t="s">
        <v>506</v>
      </c>
      <c r="D42" s="20" t="s">
        <v>645</v>
      </c>
      <c r="E42" s="8" t="s">
        <v>110</v>
      </c>
      <c r="F42" s="119"/>
      <c r="G42" s="8" t="s">
        <v>110</v>
      </c>
      <c r="H42" s="8" t="s">
        <v>110</v>
      </c>
      <c r="I42" s="8" t="s">
        <v>110</v>
      </c>
      <c r="J42" s="8" t="s">
        <v>110</v>
      </c>
      <c r="K42" s="8" t="s">
        <v>110</v>
      </c>
      <c r="L42" s="8" t="s">
        <v>110</v>
      </c>
      <c r="M42" s="119"/>
      <c r="N42" s="8" t="s">
        <v>110</v>
      </c>
      <c r="O42" s="8" t="s">
        <v>110</v>
      </c>
      <c r="P42" s="8" t="s">
        <v>110</v>
      </c>
      <c r="Q42" s="8" t="s">
        <v>110</v>
      </c>
      <c r="R42" s="8" t="s">
        <v>110</v>
      </c>
      <c r="S42" s="140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2"/>
      <c r="AJ42" s="5">
        <f t="shared" si="1"/>
        <v>12</v>
      </c>
      <c r="AK42" s="5">
        <f t="shared" si="2"/>
        <v>0</v>
      </c>
    </row>
    <row r="43" spans="1:37" x14ac:dyDescent="0.25">
      <c r="A43" s="21">
        <v>12</v>
      </c>
      <c r="B43" s="21">
        <v>629</v>
      </c>
      <c r="C43" s="14" t="s">
        <v>639</v>
      </c>
      <c r="D43" s="8" t="s">
        <v>645</v>
      </c>
      <c r="E43" s="8" t="s">
        <v>110</v>
      </c>
      <c r="F43" s="119"/>
      <c r="G43" s="8" t="s">
        <v>110</v>
      </c>
      <c r="H43" s="8" t="s">
        <v>110</v>
      </c>
      <c r="I43" s="8" t="s">
        <v>110</v>
      </c>
      <c r="J43" s="8" t="s">
        <v>110</v>
      </c>
      <c r="K43" s="8" t="s">
        <v>110</v>
      </c>
      <c r="L43" s="8" t="s">
        <v>110</v>
      </c>
      <c r="M43" s="119"/>
      <c r="N43" s="8" t="s">
        <v>110</v>
      </c>
      <c r="O43" s="8" t="s">
        <v>110</v>
      </c>
      <c r="P43" s="8" t="s">
        <v>110</v>
      </c>
      <c r="Q43" s="8" t="s">
        <v>110</v>
      </c>
      <c r="R43" s="8" t="s">
        <v>110</v>
      </c>
      <c r="S43" s="140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2"/>
      <c r="AJ43" s="5">
        <f t="shared" si="1"/>
        <v>12</v>
      </c>
      <c r="AK43" s="5">
        <f t="shared" si="2"/>
        <v>0</v>
      </c>
    </row>
    <row r="44" spans="1:37" x14ac:dyDescent="0.25">
      <c r="A44" s="21">
        <v>13</v>
      </c>
      <c r="B44" s="21">
        <v>869</v>
      </c>
      <c r="C44" s="14" t="s">
        <v>671</v>
      </c>
      <c r="D44" s="8" t="s">
        <v>645</v>
      </c>
      <c r="E44" s="8" t="s">
        <v>110</v>
      </c>
      <c r="F44" s="119"/>
      <c r="G44" s="8" t="s">
        <v>110</v>
      </c>
      <c r="H44" s="8" t="s">
        <v>110</v>
      </c>
      <c r="I44" s="8" t="s">
        <v>110</v>
      </c>
      <c r="J44" s="8" t="s">
        <v>110</v>
      </c>
      <c r="K44" s="8" t="s">
        <v>110</v>
      </c>
      <c r="L44" s="8" t="s">
        <v>110</v>
      </c>
      <c r="M44" s="119"/>
      <c r="N44" s="8" t="s">
        <v>110</v>
      </c>
      <c r="O44" s="8" t="s">
        <v>110</v>
      </c>
      <c r="P44" s="8" t="s">
        <v>110</v>
      </c>
      <c r="Q44" s="8" t="s">
        <v>110</v>
      </c>
      <c r="R44" s="8" t="s">
        <v>110</v>
      </c>
      <c r="S44" s="140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2"/>
      <c r="AJ44" s="5">
        <f t="shared" si="1"/>
        <v>12</v>
      </c>
      <c r="AK44" s="5">
        <f t="shared" si="2"/>
        <v>0</v>
      </c>
    </row>
    <row r="45" spans="1:37" x14ac:dyDescent="0.25">
      <c r="A45" s="21">
        <v>14</v>
      </c>
      <c r="B45" s="21">
        <v>726</v>
      </c>
      <c r="C45" s="14" t="s">
        <v>672</v>
      </c>
      <c r="D45" s="8" t="s">
        <v>645</v>
      </c>
      <c r="E45" s="8" t="s">
        <v>796</v>
      </c>
      <c r="F45" s="119"/>
      <c r="G45" s="8" t="s">
        <v>796</v>
      </c>
      <c r="H45" s="8" t="s">
        <v>796</v>
      </c>
      <c r="I45" s="8" t="s">
        <v>110</v>
      </c>
      <c r="J45" s="8" t="s">
        <v>110</v>
      </c>
      <c r="K45" s="8" t="s">
        <v>110</v>
      </c>
      <c r="L45" s="8" t="s">
        <v>110</v>
      </c>
      <c r="M45" s="119"/>
      <c r="N45" s="8" t="s">
        <v>110</v>
      </c>
      <c r="O45" s="8" t="s">
        <v>110</v>
      </c>
      <c r="P45" s="8" t="s">
        <v>110</v>
      </c>
      <c r="Q45" s="8" t="s">
        <v>110</v>
      </c>
      <c r="R45" s="8" t="s">
        <v>110</v>
      </c>
      <c r="S45" s="140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2"/>
      <c r="AJ45" s="5">
        <f t="shared" si="1"/>
        <v>9</v>
      </c>
      <c r="AK45" s="5">
        <f t="shared" si="2"/>
        <v>3</v>
      </c>
    </row>
    <row r="46" spans="1:37" x14ac:dyDescent="0.25">
      <c r="A46" s="21">
        <v>15</v>
      </c>
      <c r="B46" s="21">
        <v>390</v>
      </c>
      <c r="C46" s="14" t="s">
        <v>673</v>
      </c>
      <c r="D46" s="8" t="s">
        <v>645</v>
      </c>
      <c r="E46" s="8" t="s">
        <v>110</v>
      </c>
      <c r="F46" s="119"/>
      <c r="G46" s="8" t="s">
        <v>110</v>
      </c>
      <c r="H46" s="8" t="s">
        <v>110</v>
      </c>
      <c r="I46" s="8" t="s">
        <v>110</v>
      </c>
      <c r="J46" s="8" t="s">
        <v>110</v>
      </c>
      <c r="K46" s="8" t="s">
        <v>110</v>
      </c>
      <c r="L46" s="8" t="s">
        <v>110</v>
      </c>
      <c r="M46" s="119"/>
      <c r="N46" s="8" t="s">
        <v>110</v>
      </c>
      <c r="O46" s="8" t="s">
        <v>110</v>
      </c>
      <c r="P46" s="8" t="s">
        <v>110</v>
      </c>
      <c r="Q46" s="8" t="s">
        <v>110</v>
      </c>
      <c r="R46" s="8" t="s">
        <v>110</v>
      </c>
      <c r="S46" s="140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2"/>
      <c r="AJ46" s="5">
        <f t="shared" si="1"/>
        <v>12</v>
      </c>
      <c r="AK46" s="5">
        <f t="shared" si="2"/>
        <v>0</v>
      </c>
    </row>
    <row r="47" spans="1:37" x14ac:dyDescent="0.25">
      <c r="A47" s="21">
        <v>16</v>
      </c>
      <c r="B47" s="21">
        <v>357</v>
      </c>
      <c r="C47" s="14" t="s">
        <v>674</v>
      </c>
      <c r="D47" s="8" t="s">
        <v>645</v>
      </c>
      <c r="E47" s="8" t="s">
        <v>110</v>
      </c>
      <c r="F47" s="119"/>
      <c r="G47" s="8" t="s">
        <v>110</v>
      </c>
      <c r="H47" s="8" t="s">
        <v>110</v>
      </c>
      <c r="I47" s="8" t="s">
        <v>110</v>
      </c>
      <c r="J47" s="8" t="s">
        <v>110</v>
      </c>
      <c r="K47" s="8" t="s">
        <v>110</v>
      </c>
      <c r="L47" s="8" t="s">
        <v>110</v>
      </c>
      <c r="M47" s="119"/>
      <c r="N47" s="8" t="s">
        <v>110</v>
      </c>
      <c r="O47" s="8" t="s">
        <v>110</v>
      </c>
      <c r="P47" s="8" t="s">
        <v>110</v>
      </c>
      <c r="Q47" s="8" t="s">
        <v>110</v>
      </c>
      <c r="R47" s="8" t="s">
        <v>110</v>
      </c>
      <c r="S47" s="140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2"/>
      <c r="AJ47" s="5">
        <f t="shared" si="1"/>
        <v>12</v>
      </c>
      <c r="AK47" s="5">
        <f t="shared" si="2"/>
        <v>0</v>
      </c>
    </row>
    <row r="48" spans="1:37" x14ac:dyDescent="0.25">
      <c r="A48" s="21">
        <v>17</v>
      </c>
      <c r="B48" s="21">
        <v>623</v>
      </c>
      <c r="C48" s="14" t="s">
        <v>675</v>
      </c>
      <c r="D48" s="8" t="s">
        <v>645</v>
      </c>
      <c r="E48" s="8" t="s">
        <v>110</v>
      </c>
      <c r="F48" s="119"/>
      <c r="G48" s="8" t="s">
        <v>110</v>
      </c>
      <c r="H48" s="8" t="s">
        <v>110</v>
      </c>
      <c r="I48" s="8" t="s">
        <v>110</v>
      </c>
      <c r="J48" s="8" t="s">
        <v>110</v>
      </c>
      <c r="K48" s="8" t="s">
        <v>110</v>
      </c>
      <c r="L48" s="8" t="s">
        <v>110</v>
      </c>
      <c r="M48" s="119"/>
      <c r="N48" s="8" t="s">
        <v>110</v>
      </c>
      <c r="O48" s="8" t="s">
        <v>110</v>
      </c>
      <c r="P48" s="8" t="s">
        <v>110</v>
      </c>
      <c r="Q48" s="8" t="s">
        <v>110</v>
      </c>
      <c r="R48" s="8" t="s">
        <v>110</v>
      </c>
      <c r="S48" s="140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2"/>
      <c r="AJ48" s="5">
        <f t="shared" si="1"/>
        <v>12</v>
      </c>
      <c r="AK48" s="5">
        <f t="shared" si="2"/>
        <v>0</v>
      </c>
    </row>
    <row r="49" spans="1:37" x14ac:dyDescent="0.25">
      <c r="A49" s="21">
        <v>18</v>
      </c>
      <c r="B49" s="21">
        <v>905</v>
      </c>
      <c r="C49" s="14" t="s">
        <v>676</v>
      </c>
      <c r="D49" s="8" t="s">
        <v>645</v>
      </c>
      <c r="E49" s="8" t="s">
        <v>110</v>
      </c>
      <c r="F49" s="120"/>
      <c r="G49" s="8" t="s">
        <v>110</v>
      </c>
      <c r="H49" s="8" t="s">
        <v>110</v>
      </c>
      <c r="I49" s="8" t="s">
        <v>110</v>
      </c>
      <c r="J49" s="8" t="s">
        <v>110</v>
      </c>
      <c r="K49" s="8" t="s">
        <v>110</v>
      </c>
      <c r="L49" s="8" t="s">
        <v>110</v>
      </c>
      <c r="M49" s="120"/>
      <c r="N49" s="8" t="s">
        <v>110</v>
      </c>
      <c r="O49" s="8" t="s">
        <v>110</v>
      </c>
      <c r="P49" s="8" t="s">
        <v>110</v>
      </c>
      <c r="Q49" s="8" t="s">
        <v>110</v>
      </c>
      <c r="R49" s="8" t="s">
        <v>110</v>
      </c>
      <c r="S49" s="143"/>
      <c r="T49" s="144"/>
      <c r="U49" s="144"/>
      <c r="V49" s="144"/>
      <c r="W49" s="144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5"/>
      <c r="AJ49" s="5">
        <f t="shared" si="1"/>
        <v>12</v>
      </c>
      <c r="AK49" s="5">
        <f t="shared" si="2"/>
        <v>0</v>
      </c>
    </row>
  </sheetData>
  <mergeCells count="14">
    <mergeCell ref="S5:AI49"/>
    <mergeCell ref="AL3:AM3"/>
    <mergeCell ref="AL11:AO11"/>
    <mergeCell ref="AL18:AO18"/>
    <mergeCell ref="A1:AK1"/>
    <mergeCell ref="A2:AK2"/>
    <mergeCell ref="A3:A4"/>
    <mergeCell ref="C3:C4"/>
    <mergeCell ref="D3:D4"/>
    <mergeCell ref="AJ3:AJ4"/>
    <mergeCell ref="AK3:AK4"/>
    <mergeCell ref="F5:F49"/>
    <mergeCell ref="M5:M49"/>
    <mergeCell ref="B3:B4"/>
  </mergeCells>
  <conditionalFormatting sqref="C5:C31">
    <cfRule type="duplicateValues" dxfId="191" priority="273"/>
  </conditionalFormatting>
  <conditionalFormatting sqref="E5:E49 E4:AI4">
    <cfRule type="expression" dxfId="190" priority="155">
      <formula>IF(E$4=TODAY(),TRUE,FALSE)</formula>
    </cfRule>
  </conditionalFormatting>
  <conditionalFormatting sqref="E5:E49">
    <cfRule type="cellIs" dxfId="189" priority="152" operator="equal">
      <formula>"L"</formula>
    </cfRule>
    <cfRule type="cellIs" dxfId="188" priority="153" operator="equal">
      <formula>"A"</formula>
    </cfRule>
    <cfRule type="cellIs" dxfId="187" priority="154" operator="equal">
      <formula>"P"</formula>
    </cfRule>
  </conditionalFormatting>
  <conditionalFormatting sqref="E3:AI4 E5:E49">
    <cfRule type="expression" dxfId="186" priority="156">
      <formula>E$3="Sun"</formula>
    </cfRule>
  </conditionalFormatting>
  <conditionalFormatting sqref="F5">
    <cfRule type="cellIs" dxfId="185" priority="47" operator="equal">
      <formula>"L"</formula>
    </cfRule>
    <cfRule type="cellIs" dxfId="184" priority="48" operator="equal">
      <formula>"A"</formula>
    </cfRule>
    <cfRule type="cellIs" dxfId="183" priority="49" operator="equal">
      <formula>"P"</formula>
    </cfRule>
    <cfRule type="expression" dxfId="182" priority="50">
      <formula>IF(F$4=TODAY(),TRUE,FALSE)</formula>
    </cfRule>
    <cfRule type="expression" dxfId="181" priority="51">
      <formula>F$3="Sun"</formula>
    </cfRule>
  </conditionalFormatting>
  <conditionalFormatting sqref="G5:L49">
    <cfRule type="cellIs" dxfId="180" priority="22" operator="equal">
      <formula>"L"</formula>
    </cfRule>
    <cfRule type="cellIs" dxfId="179" priority="23" operator="equal">
      <formula>"A"</formula>
    </cfRule>
    <cfRule type="cellIs" dxfId="178" priority="24" operator="equal">
      <formula>"P"</formula>
    </cfRule>
    <cfRule type="expression" dxfId="177" priority="25">
      <formula>IF(G$4=TODAY(),TRUE,FALSE)</formula>
    </cfRule>
    <cfRule type="expression" dxfId="176" priority="26">
      <formula>G$3="Sun"</formula>
    </cfRule>
  </conditionalFormatting>
  <conditionalFormatting sqref="M5">
    <cfRule type="cellIs" dxfId="175" priority="42" operator="equal">
      <formula>"L"</formula>
    </cfRule>
    <cfRule type="cellIs" dxfId="174" priority="43" operator="equal">
      <formula>"A"</formula>
    </cfRule>
    <cfRule type="cellIs" dxfId="173" priority="44" operator="equal">
      <formula>"P"</formula>
    </cfRule>
    <cfRule type="expression" dxfId="172" priority="45">
      <formula>IF(M$4=TODAY(),TRUE,FALSE)</formula>
    </cfRule>
    <cfRule type="expression" dxfId="171" priority="46">
      <formula>M$3="Sun"</formula>
    </cfRule>
  </conditionalFormatting>
  <conditionalFormatting sqref="N5:S5 N6:R49">
    <cfRule type="cellIs" dxfId="170" priority="17" operator="equal">
      <formula>"L"</formula>
    </cfRule>
    <cfRule type="cellIs" dxfId="169" priority="18" operator="equal">
      <formula>"A"</formula>
    </cfRule>
    <cfRule type="cellIs" dxfId="168" priority="19" operator="equal">
      <formula>"P"</formula>
    </cfRule>
    <cfRule type="expression" dxfId="167" priority="20">
      <formula>IF(N$4=TODAY(),TRUE,FALSE)</formula>
    </cfRule>
    <cfRule type="expression" dxfId="166" priority="21">
      <formula>N$3="Sun"</formula>
    </cfRule>
  </conditionalFormatting>
  <conditionalFormatting sqref="AJ3:AK3 AJ5:AK49">
    <cfRule type="expression" dxfId="140" priority="157">
      <formula>#REF!="Sun"</formula>
    </cfRule>
  </conditionalFormatting>
  <conditionalFormatting sqref="AL8:AL9">
    <cfRule type="expression" dxfId="139" priority="120">
      <formula>AL$3="Sun"</formula>
    </cfRule>
  </conditionalFormatting>
  <conditionalFormatting sqref="AL12:AL15">
    <cfRule type="expression" dxfId="138" priority="118">
      <formula>AL$3="Sun"</formula>
    </cfRule>
  </conditionalFormatting>
  <conditionalFormatting sqref="AL19:AL22">
    <cfRule type="expression" dxfId="137" priority="117">
      <formula>AL$3="Sun"</formula>
    </cfRule>
  </conditionalFormatting>
  <conditionalFormatting sqref="AL4:AM4">
    <cfRule type="expression" dxfId="136" priority="121">
      <formula>AL$3="Sun"</formula>
    </cfRule>
  </conditionalFormatting>
  <conditionalFormatting sqref="AM12:AO12 AM19:AO19">
    <cfRule type="expression" dxfId="135" priority="122">
      <formula>AM$3="Sun"</formula>
    </cfRule>
  </conditionalFormatting>
  <conditionalFormatting sqref="AO20">
    <cfRule type="expression" dxfId="134" priority="119">
      <formula>AO$3="Sun"</formula>
    </cfRule>
  </conditionalFormatting>
  <conditionalFormatting sqref="AL5:AL7">
    <cfRule type="expression" dxfId="2" priority="1">
      <formula>AL$3="Sun"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45"/>
  <sheetViews>
    <sheetView topLeftCell="A16" workbookViewId="0">
      <selection activeCell="AO13" sqref="AO13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4.7109375" style="1" bestFit="1" customWidth="1"/>
    <col min="7" max="7" width="3.85546875" style="1" bestFit="1" customWidth="1"/>
    <col min="8" max="9" width="3.7109375" style="1" bestFit="1" customWidth="1"/>
    <col min="10" max="10" width="3.85546875" style="1" bestFit="1" customWidth="1"/>
    <col min="11" max="11" width="4.5703125" style="1" customWidth="1"/>
    <col min="12" max="12" width="3.85546875" style="1" bestFit="1" customWidth="1"/>
    <col min="13" max="13" width="4.7109375" style="1" bestFit="1" customWidth="1"/>
    <col min="14" max="14" width="3.85546875" style="1" bestFit="1" customWidth="1"/>
    <col min="15" max="16" width="3.7109375" style="1" bestFit="1" customWidth="1"/>
    <col min="17" max="17" width="3.85546875" style="1" bestFit="1" customWidth="1"/>
    <col min="18" max="18" width="4.5703125" style="1" customWidth="1"/>
    <col min="19" max="19" width="3.85546875" style="1" bestFit="1" customWidth="1"/>
    <col min="20" max="20" width="4.7109375" style="1" bestFit="1" customWidth="1"/>
    <col min="21" max="21" width="3.85546875" style="1" bestFit="1" customWidth="1"/>
    <col min="22" max="23" width="3.7109375" style="1" bestFit="1" customWidth="1"/>
    <col min="24" max="24" width="3.85546875" style="1" bestFit="1" customWidth="1"/>
    <col min="25" max="25" width="4.5703125" style="1" bestFit="1" customWidth="1"/>
    <col min="26" max="26" width="3.85546875" style="1" bestFit="1" customWidth="1"/>
    <col min="27" max="27" width="4.7109375" style="1" bestFit="1" customWidth="1"/>
    <col min="28" max="28" width="3.85546875" style="1" bestFit="1"/>
    <col min="29" max="30" width="3.7109375" style="1" bestFit="1" customWidth="1"/>
    <col min="31" max="31" width="3.85546875" style="1" bestFit="1" customWidth="1"/>
    <col min="32" max="32" width="4.5703125" style="1" bestFit="1" customWidth="1"/>
    <col min="33" max="33" width="3.85546875" style="1" bestFit="1" customWidth="1"/>
    <col min="34" max="34" width="4.7109375" style="1" bestFit="1" customWidth="1"/>
    <col min="35" max="35" width="3.85546875" style="1" bestFit="1" customWidth="1"/>
    <col min="36" max="36" width="3.7109375" style="1" customWidth="1"/>
    <col min="37" max="37" width="9.42578125" style="1" bestFit="1" customWidth="1"/>
    <col min="38" max="38" width="8.570312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21" t="s">
        <v>18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</row>
    <row r="2" spans="1:42" ht="17.25" x14ac:dyDescent="0.3">
      <c r="A2" s="125" t="s">
        <v>795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</row>
    <row r="3" spans="1:42" ht="15.75" x14ac:dyDescent="0.25">
      <c r="A3" s="134" t="s">
        <v>0</v>
      </c>
      <c r="B3" s="134" t="s">
        <v>789</v>
      </c>
      <c r="C3" s="134" t="s">
        <v>1</v>
      </c>
      <c r="D3" s="134" t="s">
        <v>2</v>
      </c>
      <c r="E3" s="134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22" t="s">
        <v>4</v>
      </c>
      <c r="AL3" s="122" t="s">
        <v>5</v>
      </c>
      <c r="AM3" s="115" t="s">
        <v>120</v>
      </c>
      <c r="AN3" s="116"/>
      <c r="AO3" s="3"/>
      <c r="AP3" s="3"/>
    </row>
    <row r="4" spans="1:42" ht="37.5" x14ac:dyDescent="0.25">
      <c r="A4" s="135"/>
      <c r="B4" s="136"/>
      <c r="C4" s="135"/>
      <c r="D4" s="135"/>
      <c r="E4" s="135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22"/>
      <c r="AL4" s="122"/>
      <c r="AM4" s="5" t="s">
        <v>121</v>
      </c>
      <c r="AN4" s="5">
        <f>SUM(AN5:AN8)</f>
        <v>31</v>
      </c>
      <c r="AO4" s="3"/>
      <c r="AP4" s="3"/>
    </row>
    <row r="5" spans="1:42" ht="15" customHeight="1" x14ac:dyDescent="0.25">
      <c r="A5" s="21">
        <v>1</v>
      </c>
      <c r="B5" s="21">
        <v>737</v>
      </c>
      <c r="C5" s="24" t="s">
        <v>677</v>
      </c>
      <c r="D5" s="25" t="s">
        <v>678</v>
      </c>
      <c r="E5" s="20" t="s">
        <v>679</v>
      </c>
      <c r="F5" s="8" t="s">
        <v>110</v>
      </c>
      <c r="G5" s="127" t="s">
        <v>596</v>
      </c>
      <c r="H5" s="8" t="s">
        <v>110</v>
      </c>
      <c r="I5" s="8" t="s">
        <v>110</v>
      </c>
      <c r="J5" s="8" t="s">
        <v>110</v>
      </c>
      <c r="K5" s="8" t="s">
        <v>110</v>
      </c>
      <c r="L5" s="8" t="s">
        <v>110</v>
      </c>
      <c r="M5" s="8" t="s">
        <v>110</v>
      </c>
      <c r="N5" s="127" t="s">
        <v>596</v>
      </c>
      <c r="O5" s="8" t="s">
        <v>110</v>
      </c>
      <c r="P5" s="8" t="s">
        <v>110</v>
      </c>
      <c r="Q5" s="8" t="s">
        <v>110</v>
      </c>
      <c r="R5" s="8" t="s">
        <v>110</v>
      </c>
      <c r="S5" s="137" t="s">
        <v>803</v>
      </c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9"/>
      <c r="AK5" s="5">
        <f t="shared" ref="AK5:AK45" si="1">COUNTIF(F5:AJ5,"P")</f>
        <v>11</v>
      </c>
      <c r="AL5" s="5">
        <f t="shared" ref="AL5:AL45" si="2">COUNTIF(F5:AJ5,"A")</f>
        <v>0</v>
      </c>
      <c r="AM5" s="5" t="s">
        <v>7</v>
      </c>
      <c r="AN5" s="9">
        <v>11</v>
      </c>
      <c r="AO5" s="10"/>
      <c r="AP5" s="3"/>
    </row>
    <row r="6" spans="1:42" x14ac:dyDescent="0.25">
      <c r="A6" s="9">
        <v>2</v>
      </c>
      <c r="B6" s="21">
        <v>734</v>
      </c>
      <c r="C6" s="24" t="s">
        <v>523</v>
      </c>
      <c r="D6" s="25" t="s">
        <v>428</v>
      </c>
      <c r="E6" s="20" t="s">
        <v>679</v>
      </c>
      <c r="F6" s="8" t="s">
        <v>796</v>
      </c>
      <c r="G6" s="127"/>
      <c r="H6" s="8" t="s">
        <v>110</v>
      </c>
      <c r="I6" s="8" t="s">
        <v>110</v>
      </c>
      <c r="J6" s="8" t="s">
        <v>110</v>
      </c>
      <c r="K6" s="8" t="s">
        <v>110</v>
      </c>
      <c r="L6" s="8" t="s">
        <v>110</v>
      </c>
      <c r="M6" s="8" t="s">
        <v>110</v>
      </c>
      <c r="N6" s="127"/>
      <c r="O6" s="8" t="s">
        <v>110</v>
      </c>
      <c r="P6" s="8" t="s">
        <v>110</v>
      </c>
      <c r="Q6" s="8" t="s">
        <v>110</v>
      </c>
      <c r="R6" s="8" t="s">
        <v>110</v>
      </c>
      <c r="S6" s="140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2"/>
      <c r="AK6" s="5">
        <f t="shared" si="1"/>
        <v>10</v>
      </c>
      <c r="AL6" s="5">
        <f t="shared" si="2"/>
        <v>1</v>
      </c>
      <c r="AM6" s="5" t="s">
        <v>8</v>
      </c>
      <c r="AN6" s="9">
        <v>2</v>
      </c>
      <c r="AO6" s="3"/>
      <c r="AP6" s="3"/>
    </row>
    <row r="7" spans="1:42" x14ac:dyDescent="0.25">
      <c r="A7" s="21">
        <v>3</v>
      </c>
      <c r="B7" s="21">
        <v>787</v>
      </c>
      <c r="C7" s="24" t="s">
        <v>125</v>
      </c>
      <c r="D7" s="25" t="s">
        <v>167</v>
      </c>
      <c r="E7" s="20" t="s">
        <v>679</v>
      </c>
      <c r="F7" s="8" t="s">
        <v>110</v>
      </c>
      <c r="G7" s="127"/>
      <c r="H7" s="8" t="s">
        <v>110</v>
      </c>
      <c r="I7" s="8" t="s">
        <v>110</v>
      </c>
      <c r="J7" s="8" t="s">
        <v>110</v>
      </c>
      <c r="K7" s="8" t="s">
        <v>110</v>
      </c>
      <c r="L7" s="8" t="s">
        <v>110</v>
      </c>
      <c r="M7" s="8" t="s">
        <v>110</v>
      </c>
      <c r="N7" s="127"/>
      <c r="O7" s="8" t="s">
        <v>110</v>
      </c>
      <c r="P7" s="8" t="s">
        <v>110</v>
      </c>
      <c r="Q7" s="8" t="s">
        <v>110</v>
      </c>
      <c r="R7" s="8" t="s">
        <v>110</v>
      </c>
      <c r="S7" s="140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2"/>
      <c r="AK7" s="5">
        <f t="shared" si="1"/>
        <v>11</v>
      </c>
      <c r="AL7" s="5">
        <f t="shared" si="2"/>
        <v>0</v>
      </c>
      <c r="AM7" s="5" t="s">
        <v>803</v>
      </c>
      <c r="AN7" s="9">
        <v>18</v>
      </c>
      <c r="AO7" s="3"/>
      <c r="AP7" s="3"/>
    </row>
    <row r="8" spans="1:42" x14ac:dyDescent="0.25">
      <c r="A8" s="9">
        <v>4</v>
      </c>
      <c r="B8" s="21">
        <v>742</v>
      </c>
      <c r="C8" s="24" t="s">
        <v>680</v>
      </c>
      <c r="D8" s="25" t="s">
        <v>101</v>
      </c>
      <c r="E8" s="20" t="s">
        <v>679</v>
      </c>
      <c r="F8" s="8" t="s">
        <v>110</v>
      </c>
      <c r="G8" s="127"/>
      <c r="H8" s="8" t="s">
        <v>110</v>
      </c>
      <c r="I8" s="8" t="s">
        <v>110</v>
      </c>
      <c r="J8" s="8" t="s">
        <v>110</v>
      </c>
      <c r="K8" s="8" t="s">
        <v>110</v>
      </c>
      <c r="L8" s="8" t="s">
        <v>110</v>
      </c>
      <c r="M8" s="8" t="s">
        <v>110</v>
      </c>
      <c r="N8" s="127"/>
      <c r="O8" s="8" t="s">
        <v>110</v>
      </c>
      <c r="P8" s="8" t="s">
        <v>110</v>
      </c>
      <c r="Q8" s="8" t="s">
        <v>110</v>
      </c>
      <c r="R8" s="8" t="s">
        <v>110</v>
      </c>
      <c r="S8" s="140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2"/>
      <c r="AK8" s="5">
        <f t="shared" si="1"/>
        <v>11</v>
      </c>
      <c r="AL8" s="5">
        <f t="shared" si="2"/>
        <v>0</v>
      </c>
      <c r="AM8" s="5"/>
      <c r="AN8" s="9"/>
      <c r="AO8"/>
      <c r="AP8"/>
    </row>
    <row r="9" spans="1:42" x14ac:dyDescent="0.25">
      <c r="A9" s="21">
        <v>5</v>
      </c>
      <c r="B9" s="21">
        <v>740</v>
      </c>
      <c r="C9" s="24" t="s">
        <v>572</v>
      </c>
      <c r="D9" s="25" t="s">
        <v>175</v>
      </c>
      <c r="E9" s="20" t="s">
        <v>679</v>
      </c>
      <c r="F9" s="8" t="s">
        <v>110</v>
      </c>
      <c r="G9" s="127"/>
      <c r="H9" s="8" t="s">
        <v>110</v>
      </c>
      <c r="I9" s="8" t="s">
        <v>110</v>
      </c>
      <c r="J9" s="8" t="s">
        <v>110</v>
      </c>
      <c r="K9" s="8" t="s">
        <v>110</v>
      </c>
      <c r="L9" s="8" t="s">
        <v>110</v>
      </c>
      <c r="M9" s="8" t="s">
        <v>110</v>
      </c>
      <c r="N9" s="127"/>
      <c r="O9" s="8" t="s">
        <v>110</v>
      </c>
      <c r="P9" s="8" t="s">
        <v>110</v>
      </c>
      <c r="Q9" s="8" t="s">
        <v>110</v>
      </c>
      <c r="R9" s="8" t="s">
        <v>110</v>
      </c>
      <c r="S9" s="140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2"/>
      <c r="AK9" s="5">
        <f t="shared" si="1"/>
        <v>11</v>
      </c>
      <c r="AL9" s="5">
        <f t="shared" si="2"/>
        <v>0</v>
      </c>
      <c r="AM9" s="5"/>
      <c r="AN9" s="9"/>
    </row>
    <row r="10" spans="1:42" x14ac:dyDescent="0.25">
      <c r="A10" s="9">
        <v>6</v>
      </c>
      <c r="B10" s="21">
        <v>738</v>
      </c>
      <c r="C10" s="24" t="s">
        <v>681</v>
      </c>
      <c r="D10" s="25" t="s">
        <v>678</v>
      </c>
      <c r="E10" s="20" t="s">
        <v>679</v>
      </c>
      <c r="F10" s="8" t="s">
        <v>110</v>
      </c>
      <c r="G10" s="127"/>
      <c r="H10" s="8" t="s">
        <v>110</v>
      </c>
      <c r="I10" s="8" t="s">
        <v>110</v>
      </c>
      <c r="J10" s="8" t="s">
        <v>110</v>
      </c>
      <c r="K10" s="8" t="s">
        <v>110</v>
      </c>
      <c r="L10" s="8" t="s">
        <v>110</v>
      </c>
      <c r="M10" s="8" t="s">
        <v>110</v>
      </c>
      <c r="N10" s="127"/>
      <c r="O10" s="8" t="s">
        <v>110</v>
      </c>
      <c r="P10" s="8" t="s">
        <v>110</v>
      </c>
      <c r="Q10" s="8" t="s">
        <v>110</v>
      </c>
      <c r="R10" s="8" t="s">
        <v>110</v>
      </c>
      <c r="S10" s="140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2"/>
      <c r="AK10" s="5">
        <f t="shared" si="1"/>
        <v>11</v>
      </c>
      <c r="AL10" s="5">
        <f t="shared" si="2"/>
        <v>0</v>
      </c>
    </row>
    <row r="11" spans="1:42" ht="15.75" x14ac:dyDescent="0.25">
      <c r="A11" s="21">
        <v>7</v>
      </c>
      <c r="B11" s="21">
        <v>739</v>
      </c>
      <c r="C11" s="24" t="s">
        <v>682</v>
      </c>
      <c r="D11" s="25" t="s">
        <v>556</v>
      </c>
      <c r="E11" s="20" t="s">
        <v>679</v>
      </c>
      <c r="F11" s="8" t="s">
        <v>110</v>
      </c>
      <c r="G11" s="127"/>
      <c r="H11" s="8" t="s">
        <v>110</v>
      </c>
      <c r="I11" s="8" t="s">
        <v>110</v>
      </c>
      <c r="J11" s="8" t="s">
        <v>110</v>
      </c>
      <c r="K11" s="8" t="s">
        <v>110</v>
      </c>
      <c r="L11" s="8" t="s">
        <v>110</v>
      </c>
      <c r="M11" s="8" t="s">
        <v>110</v>
      </c>
      <c r="N11" s="127"/>
      <c r="O11" s="8" t="s">
        <v>110</v>
      </c>
      <c r="P11" s="8" t="s">
        <v>110</v>
      </c>
      <c r="Q11" s="8" t="s">
        <v>110</v>
      </c>
      <c r="R11" s="8" t="s">
        <v>110</v>
      </c>
      <c r="S11" s="140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2"/>
      <c r="AK11" s="5">
        <f t="shared" si="1"/>
        <v>11</v>
      </c>
      <c r="AL11" s="5">
        <f t="shared" si="2"/>
        <v>0</v>
      </c>
      <c r="AM11" s="115" t="s">
        <v>9</v>
      </c>
      <c r="AN11" s="116"/>
      <c r="AO11" s="116"/>
      <c r="AP11" s="117"/>
    </row>
    <row r="12" spans="1:42" x14ac:dyDescent="0.25">
      <c r="A12" s="9">
        <v>8</v>
      </c>
      <c r="B12" s="21">
        <v>743</v>
      </c>
      <c r="C12" s="24" t="s">
        <v>242</v>
      </c>
      <c r="D12" s="25" t="s">
        <v>683</v>
      </c>
      <c r="E12" s="20" t="s">
        <v>679</v>
      </c>
      <c r="F12" s="8" t="s">
        <v>796</v>
      </c>
      <c r="G12" s="127"/>
      <c r="H12" s="8" t="s">
        <v>110</v>
      </c>
      <c r="I12" s="8" t="s">
        <v>110</v>
      </c>
      <c r="J12" s="8" t="s">
        <v>110</v>
      </c>
      <c r="K12" s="8" t="s">
        <v>110</v>
      </c>
      <c r="L12" s="8" t="s">
        <v>110</v>
      </c>
      <c r="M12" s="8" t="s">
        <v>110</v>
      </c>
      <c r="N12" s="127"/>
      <c r="O12" s="8" t="s">
        <v>110</v>
      </c>
      <c r="P12" s="8" t="s">
        <v>110</v>
      </c>
      <c r="Q12" s="8" t="s">
        <v>110</v>
      </c>
      <c r="R12" s="8" t="s">
        <v>110</v>
      </c>
      <c r="S12" s="140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2"/>
      <c r="AK12" s="5">
        <f t="shared" si="1"/>
        <v>10</v>
      </c>
      <c r="AL12" s="5">
        <f t="shared" si="2"/>
        <v>1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x14ac:dyDescent="0.25">
      <c r="A13" s="21">
        <v>9</v>
      </c>
      <c r="B13" s="21">
        <v>729</v>
      </c>
      <c r="C13" s="24" t="s">
        <v>684</v>
      </c>
      <c r="D13" s="25" t="s">
        <v>306</v>
      </c>
      <c r="E13" s="20" t="s">
        <v>679</v>
      </c>
      <c r="F13" s="8" t="s">
        <v>796</v>
      </c>
      <c r="G13" s="127"/>
      <c r="H13" s="8" t="s">
        <v>110</v>
      </c>
      <c r="I13" s="8" t="s">
        <v>110</v>
      </c>
      <c r="J13" s="8" t="s">
        <v>110</v>
      </c>
      <c r="K13" s="8" t="s">
        <v>110</v>
      </c>
      <c r="L13" s="8" t="s">
        <v>110</v>
      </c>
      <c r="M13" s="8" t="s">
        <v>110</v>
      </c>
      <c r="N13" s="127"/>
      <c r="O13" s="8" t="s">
        <v>110</v>
      </c>
      <c r="P13" s="8" t="s">
        <v>110</v>
      </c>
      <c r="Q13" s="8" t="s">
        <v>110</v>
      </c>
      <c r="R13" s="8" t="s">
        <v>110</v>
      </c>
      <c r="S13" s="140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2"/>
      <c r="AK13" s="5">
        <f t="shared" si="1"/>
        <v>10</v>
      </c>
      <c r="AL13" s="5">
        <f t="shared" si="2"/>
        <v>1</v>
      </c>
      <c r="AM13" s="5" t="s">
        <v>14</v>
      </c>
      <c r="AN13" s="9">
        <f>19*$AN$5</f>
        <v>209</v>
      </c>
      <c r="AO13" s="9">
        <f>22*$AN$5</f>
        <v>242</v>
      </c>
      <c r="AP13" s="9">
        <f>SUM(AN13:AO13)</f>
        <v>451</v>
      </c>
    </row>
    <row r="14" spans="1:42" x14ac:dyDescent="0.25">
      <c r="A14" s="9">
        <v>10</v>
      </c>
      <c r="B14" s="21">
        <v>735</v>
      </c>
      <c r="C14" s="24" t="s">
        <v>685</v>
      </c>
      <c r="D14" s="25" t="s">
        <v>97</v>
      </c>
      <c r="E14" s="20" t="s">
        <v>679</v>
      </c>
      <c r="F14" s="8" t="s">
        <v>110</v>
      </c>
      <c r="G14" s="127"/>
      <c r="H14" s="8" t="s">
        <v>796</v>
      </c>
      <c r="I14" s="8" t="s">
        <v>796</v>
      </c>
      <c r="J14" s="8" t="s">
        <v>796</v>
      </c>
      <c r="K14" s="8" t="s">
        <v>796</v>
      </c>
      <c r="L14" s="8" t="s">
        <v>796</v>
      </c>
      <c r="M14" s="8" t="s">
        <v>796</v>
      </c>
      <c r="N14" s="127"/>
      <c r="O14" s="8" t="s">
        <v>796</v>
      </c>
      <c r="P14" s="8" t="s">
        <v>796</v>
      </c>
      <c r="Q14" s="8" t="s">
        <v>796</v>
      </c>
      <c r="R14" s="8" t="s">
        <v>796</v>
      </c>
      <c r="S14" s="140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2"/>
      <c r="AK14" s="5">
        <f t="shared" si="1"/>
        <v>1</v>
      </c>
      <c r="AL14" s="5">
        <f t="shared" si="2"/>
        <v>10</v>
      </c>
      <c r="AM14" s="5" t="s">
        <v>15</v>
      </c>
      <c r="AN14" s="9">
        <f>SUM(AK27:AK45)</f>
        <v>176</v>
      </c>
      <c r="AO14" s="9">
        <f>SUM(AK5:AK26)</f>
        <v>214</v>
      </c>
      <c r="AP14" s="9">
        <f>AN14+AO14</f>
        <v>390</v>
      </c>
    </row>
    <row r="15" spans="1:42" x14ac:dyDescent="0.25">
      <c r="A15" s="21">
        <v>11</v>
      </c>
      <c r="B15" s="21">
        <v>736</v>
      </c>
      <c r="C15" s="24" t="s">
        <v>686</v>
      </c>
      <c r="D15" s="25" t="s">
        <v>338</v>
      </c>
      <c r="E15" s="20" t="s">
        <v>679</v>
      </c>
      <c r="F15" s="8" t="s">
        <v>110</v>
      </c>
      <c r="G15" s="127"/>
      <c r="H15" s="8" t="s">
        <v>110</v>
      </c>
      <c r="I15" s="8" t="s">
        <v>110</v>
      </c>
      <c r="J15" s="8" t="s">
        <v>110</v>
      </c>
      <c r="K15" s="8" t="s">
        <v>110</v>
      </c>
      <c r="L15" s="8" t="s">
        <v>110</v>
      </c>
      <c r="M15" s="8" t="s">
        <v>110</v>
      </c>
      <c r="N15" s="127"/>
      <c r="O15" s="8" t="s">
        <v>110</v>
      </c>
      <c r="P15" s="8" t="s">
        <v>110</v>
      </c>
      <c r="Q15" s="8" t="s">
        <v>110</v>
      </c>
      <c r="R15" s="8" t="s">
        <v>110</v>
      </c>
      <c r="S15" s="140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2"/>
      <c r="AK15" s="5">
        <f t="shared" si="1"/>
        <v>11</v>
      </c>
      <c r="AL15" s="5">
        <f t="shared" si="2"/>
        <v>0</v>
      </c>
      <c r="AM15" s="5" t="s">
        <v>16</v>
      </c>
      <c r="AN15" s="12">
        <f>AN14/AN13</f>
        <v>0.84210526315789469</v>
      </c>
      <c r="AO15" s="12">
        <f>AO14/AO13</f>
        <v>0.88429752066115708</v>
      </c>
      <c r="AP15" s="12">
        <f>AP14/AP13</f>
        <v>0.8647450110864745</v>
      </c>
    </row>
    <row r="16" spans="1:42" x14ac:dyDescent="0.25">
      <c r="A16" s="9">
        <v>12</v>
      </c>
      <c r="B16" s="21">
        <v>759</v>
      </c>
      <c r="C16" s="24" t="s">
        <v>634</v>
      </c>
      <c r="D16" s="25" t="s">
        <v>687</v>
      </c>
      <c r="E16" s="20" t="s">
        <v>679</v>
      </c>
      <c r="F16" s="8" t="s">
        <v>796</v>
      </c>
      <c r="G16" s="127"/>
      <c r="H16" s="8" t="s">
        <v>110</v>
      </c>
      <c r="I16" s="8" t="s">
        <v>110</v>
      </c>
      <c r="J16" s="8" t="s">
        <v>110</v>
      </c>
      <c r="K16" s="8" t="s">
        <v>110</v>
      </c>
      <c r="L16" s="8" t="s">
        <v>110</v>
      </c>
      <c r="M16" s="8" t="s">
        <v>110</v>
      </c>
      <c r="N16" s="127"/>
      <c r="O16" s="8" t="s">
        <v>110</v>
      </c>
      <c r="P16" s="8" t="s">
        <v>110</v>
      </c>
      <c r="Q16" s="8" t="s">
        <v>110</v>
      </c>
      <c r="R16" s="8" t="s">
        <v>110</v>
      </c>
      <c r="S16" s="140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2"/>
      <c r="AK16" s="5">
        <f t="shared" si="1"/>
        <v>10</v>
      </c>
      <c r="AL16" s="5">
        <f t="shared" si="2"/>
        <v>1</v>
      </c>
      <c r="AM16"/>
      <c r="AN16"/>
      <c r="AO16"/>
      <c r="AP16"/>
    </row>
    <row r="17" spans="1:42" x14ac:dyDescent="0.25">
      <c r="A17" s="21">
        <v>13</v>
      </c>
      <c r="B17" s="21">
        <v>746</v>
      </c>
      <c r="C17" s="24" t="s">
        <v>688</v>
      </c>
      <c r="D17" s="25" t="s">
        <v>689</v>
      </c>
      <c r="E17" s="20" t="s">
        <v>679</v>
      </c>
      <c r="F17" s="8" t="s">
        <v>110</v>
      </c>
      <c r="G17" s="127"/>
      <c r="H17" s="8" t="s">
        <v>110</v>
      </c>
      <c r="I17" s="8" t="s">
        <v>110</v>
      </c>
      <c r="J17" s="8" t="s">
        <v>110</v>
      </c>
      <c r="K17" s="8" t="s">
        <v>110</v>
      </c>
      <c r="L17" s="8" t="s">
        <v>110</v>
      </c>
      <c r="M17" s="8" t="s">
        <v>110</v>
      </c>
      <c r="N17" s="127"/>
      <c r="O17" s="8" t="s">
        <v>110</v>
      </c>
      <c r="P17" s="8" t="s">
        <v>110</v>
      </c>
      <c r="Q17" s="8" t="s">
        <v>110</v>
      </c>
      <c r="R17" s="8" t="s">
        <v>110</v>
      </c>
      <c r="S17" s="140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2"/>
      <c r="AK17" s="5">
        <f t="shared" si="1"/>
        <v>11</v>
      </c>
      <c r="AL17" s="5">
        <f t="shared" si="2"/>
        <v>0</v>
      </c>
      <c r="AM17"/>
      <c r="AN17"/>
      <c r="AO17"/>
      <c r="AP17"/>
    </row>
    <row r="18" spans="1:42" x14ac:dyDescent="0.25">
      <c r="A18" s="9">
        <v>14</v>
      </c>
      <c r="B18" s="21">
        <v>745</v>
      </c>
      <c r="C18" s="24" t="s">
        <v>690</v>
      </c>
      <c r="D18" s="25" t="s">
        <v>689</v>
      </c>
      <c r="E18" s="20" t="s">
        <v>679</v>
      </c>
      <c r="F18" s="8" t="s">
        <v>110</v>
      </c>
      <c r="G18" s="127"/>
      <c r="H18" s="8" t="s">
        <v>110</v>
      </c>
      <c r="I18" s="8" t="s">
        <v>110</v>
      </c>
      <c r="J18" s="8" t="s">
        <v>110</v>
      </c>
      <c r="K18" s="8" t="s">
        <v>110</v>
      </c>
      <c r="L18" s="8" t="s">
        <v>110</v>
      </c>
      <c r="M18" s="8" t="s">
        <v>110</v>
      </c>
      <c r="N18" s="127"/>
      <c r="O18" s="8" t="s">
        <v>110</v>
      </c>
      <c r="P18" s="8" t="s">
        <v>110</v>
      </c>
      <c r="Q18" s="8" t="s">
        <v>110</v>
      </c>
      <c r="R18" s="8" t="s">
        <v>110</v>
      </c>
      <c r="S18" s="140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2"/>
      <c r="AK18" s="5">
        <f t="shared" si="1"/>
        <v>11</v>
      </c>
      <c r="AL18" s="5">
        <f t="shared" si="2"/>
        <v>0</v>
      </c>
      <c r="AM18"/>
      <c r="AN18"/>
      <c r="AO18"/>
      <c r="AP18"/>
    </row>
    <row r="19" spans="1:42" ht="15.75" x14ac:dyDescent="0.25">
      <c r="A19" s="21">
        <v>15</v>
      </c>
      <c r="B19" s="21">
        <v>731</v>
      </c>
      <c r="C19" s="24" t="s">
        <v>691</v>
      </c>
      <c r="D19" s="25" t="s">
        <v>692</v>
      </c>
      <c r="E19" s="20" t="s">
        <v>679</v>
      </c>
      <c r="F19" s="8" t="s">
        <v>110</v>
      </c>
      <c r="G19" s="127"/>
      <c r="H19" s="8" t="s">
        <v>110</v>
      </c>
      <c r="I19" s="8" t="s">
        <v>110</v>
      </c>
      <c r="J19" s="8" t="s">
        <v>110</v>
      </c>
      <c r="K19" s="8" t="s">
        <v>110</v>
      </c>
      <c r="L19" s="8" t="s">
        <v>110</v>
      </c>
      <c r="M19" s="8" t="s">
        <v>110</v>
      </c>
      <c r="N19" s="127"/>
      <c r="O19" s="8" t="s">
        <v>110</v>
      </c>
      <c r="P19" s="8" t="s">
        <v>110</v>
      </c>
      <c r="Q19" s="8" t="s">
        <v>110</v>
      </c>
      <c r="R19" s="8" t="s">
        <v>110</v>
      </c>
      <c r="S19" s="140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2"/>
      <c r="AK19" s="5">
        <f t="shared" si="1"/>
        <v>11</v>
      </c>
      <c r="AL19" s="5">
        <f t="shared" si="2"/>
        <v>0</v>
      </c>
      <c r="AM19" s="115" t="s">
        <v>122</v>
      </c>
      <c r="AN19" s="116"/>
      <c r="AO19" s="116"/>
      <c r="AP19" s="117"/>
    </row>
    <row r="20" spans="1:42" x14ac:dyDescent="0.25">
      <c r="A20" s="9">
        <v>16</v>
      </c>
      <c r="B20" s="21">
        <v>758</v>
      </c>
      <c r="C20" s="24" t="s">
        <v>572</v>
      </c>
      <c r="D20" s="25" t="s">
        <v>693</v>
      </c>
      <c r="E20" s="20" t="s">
        <v>679</v>
      </c>
      <c r="F20" s="8" t="s">
        <v>110</v>
      </c>
      <c r="G20" s="127"/>
      <c r="H20" s="8" t="s">
        <v>110</v>
      </c>
      <c r="I20" s="8" t="s">
        <v>110</v>
      </c>
      <c r="J20" s="8" t="s">
        <v>110</v>
      </c>
      <c r="K20" s="8" t="s">
        <v>110</v>
      </c>
      <c r="L20" s="8" t="s">
        <v>110</v>
      </c>
      <c r="M20" s="8" t="s">
        <v>110</v>
      </c>
      <c r="N20" s="127"/>
      <c r="O20" s="8" t="s">
        <v>110</v>
      </c>
      <c r="P20" s="8" t="s">
        <v>110</v>
      </c>
      <c r="Q20" s="8" t="s">
        <v>110</v>
      </c>
      <c r="R20" s="8" t="s">
        <v>110</v>
      </c>
      <c r="S20" s="140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2"/>
      <c r="AK20" s="5">
        <f t="shared" si="1"/>
        <v>11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x14ac:dyDescent="0.25">
      <c r="A21" s="21">
        <v>17</v>
      </c>
      <c r="B21" s="21">
        <v>856</v>
      </c>
      <c r="C21" s="24" t="s">
        <v>694</v>
      </c>
      <c r="D21" s="25" t="s">
        <v>556</v>
      </c>
      <c r="E21" s="20" t="s">
        <v>679</v>
      </c>
      <c r="F21" s="8" t="s">
        <v>796</v>
      </c>
      <c r="G21" s="127"/>
      <c r="H21" s="8" t="s">
        <v>110</v>
      </c>
      <c r="I21" s="8" t="s">
        <v>110</v>
      </c>
      <c r="J21" s="8" t="s">
        <v>110</v>
      </c>
      <c r="K21" s="8" t="s">
        <v>110</v>
      </c>
      <c r="L21" s="8" t="s">
        <v>110</v>
      </c>
      <c r="M21" s="8" t="s">
        <v>110</v>
      </c>
      <c r="N21" s="127"/>
      <c r="O21" s="8" t="s">
        <v>110</v>
      </c>
      <c r="P21" s="8" t="s">
        <v>110</v>
      </c>
      <c r="Q21" s="8" t="s">
        <v>110</v>
      </c>
      <c r="R21" s="8" t="s">
        <v>110</v>
      </c>
      <c r="S21" s="140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2"/>
      <c r="AK21" s="5">
        <f t="shared" si="1"/>
        <v>10</v>
      </c>
      <c r="AL21" s="5">
        <f t="shared" si="2"/>
        <v>1</v>
      </c>
      <c r="AM21" s="5" t="s">
        <v>14</v>
      </c>
      <c r="AN21" s="9">
        <f>19*$AN$5</f>
        <v>209</v>
      </c>
      <c r="AO21" s="9">
        <f>23*$AN$5</f>
        <v>253</v>
      </c>
      <c r="AP21" s="9">
        <f>AN21+AO21</f>
        <v>462</v>
      </c>
    </row>
    <row r="22" spans="1:42" x14ac:dyDescent="0.25">
      <c r="A22" s="9">
        <v>18</v>
      </c>
      <c r="B22" s="21">
        <v>906</v>
      </c>
      <c r="C22" s="24" t="s">
        <v>695</v>
      </c>
      <c r="D22" s="25" t="s">
        <v>696</v>
      </c>
      <c r="E22" s="20" t="s">
        <v>679</v>
      </c>
      <c r="F22" s="8" t="s">
        <v>796</v>
      </c>
      <c r="G22" s="127"/>
      <c r="H22" s="8" t="s">
        <v>110</v>
      </c>
      <c r="I22" s="8" t="s">
        <v>110</v>
      </c>
      <c r="J22" s="8" t="s">
        <v>110</v>
      </c>
      <c r="K22" s="8" t="s">
        <v>110</v>
      </c>
      <c r="L22" s="8" t="s">
        <v>110</v>
      </c>
      <c r="M22" s="8" t="s">
        <v>110</v>
      </c>
      <c r="N22" s="127"/>
      <c r="O22" s="8" t="s">
        <v>110</v>
      </c>
      <c r="P22" s="8" t="s">
        <v>110</v>
      </c>
      <c r="Q22" s="8" t="s">
        <v>110</v>
      </c>
      <c r="R22" s="8" t="s">
        <v>110</v>
      </c>
      <c r="S22" s="140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2"/>
      <c r="AK22" s="5">
        <f t="shared" si="1"/>
        <v>10</v>
      </c>
      <c r="AL22" s="5">
        <f t="shared" si="2"/>
        <v>1</v>
      </c>
      <c r="AM22" s="5" t="s">
        <v>17</v>
      </c>
      <c r="AN22" s="9">
        <f>AN21-AN14</f>
        <v>33</v>
      </c>
      <c r="AO22" s="9">
        <f>AO21-AO14</f>
        <v>39</v>
      </c>
      <c r="AP22" s="9">
        <f>AN22+AO22</f>
        <v>72</v>
      </c>
    </row>
    <row r="23" spans="1:42" x14ac:dyDescent="0.25">
      <c r="A23" s="21">
        <v>19</v>
      </c>
      <c r="B23" s="21">
        <v>866</v>
      </c>
      <c r="C23" s="24" t="s">
        <v>697</v>
      </c>
      <c r="D23" s="25" t="s">
        <v>698</v>
      </c>
      <c r="E23" s="20" t="s">
        <v>679</v>
      </c>
      <c r="F23" s="8" t="s">
        <v>796</v>
      </c>
      <c r="G23" s="127"/>
      <c r="H23" s="8" t="s">
        <v>110</v>
      </c>
      <c r="I23" s="8" t="s">
        <v>110</v>
      </c>
      <c r="J23" s="8" t="s">
        <v>110</v>
      </c>
      <c r="K23" s="8" t="s">
        <v>110</v>
      </c>
      <c r="L23" s="8" t="s">
        <v>110</v>
      </c>
      <c r="M23" s="8" t="s">
        <v>110</v>
      </c>
      <c r="N23" s="127"/>
      <c r="O23" s="8" t="s">
        <v>110</v>
      </c>
      <c r="P23" s="8" t="s">
        <v>110</v>
      </c>
      <c r="Q23" s="8" t="s">
        <v>110</v>
      </c>
      <c r="R23" s="8" t="s">
        <v>110</v>
      </c>
      <c r="S23" s="140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2"/>
      <c r="AK23" s="5">
        <f t="shared" si="1"/>
        <v>10</v>
      </c>
      <c r="AL23" s="5">
        <f t="shared" si="2"/>
        <v>1</v>
      </c>
    </row>
    <row r="24" spans="1:42" x14ac:dyDescent="0.25">
      <c r="A24" s="9">
        <v>20</v>
      </c>
      <c r="B24" s="21">
        <v>846</v>
      </c>
      <c r="C24" s="24" t="s">
        <v>699</v>
      </c>
      <c r="D24" s="25" t="s">
        <v>700</v>
      </c>
      <c r="E24" s="20" t="s">
        <v>679</v>
      </c>
      <c r="F24" s="8" t="s">
        <v>796</v>
      </c>
      <c r="G24" s="127"/>
      <c r="H24" s="8" t="s">
        <v>110</v>
      </c>
      <c r="I24" s="8" t="s">
        <v>110</v>
      </c>
      <c r="J24" s="8" t="s">
        <v>110</v>
      </c>
      <c r="K24" s="8" t="s">
        <v>110</v>
      </c>
      <c r="L24" s="8" t="s">
        <v>110</v>
      </c>
      <c r="M24" s="8" t="s">
        <v>110</v>
      </c>
      <c r="N24" s="127"/>
      <c r="O24" s="8" t="s">
        <v>110</v>
      </c>
      <c r="P24" s="8" t="s">
        <v>110</v>
      </c>
      <c r="Q24" s="8" t="s">
        <v>110</v>
      </c>
      <c r="R24" s="8" t="s">
        <v>110</v>
      </c>
      <c r="S24" s="140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2"/>
      <c r="AK24" s="5">
        <f t="shared" si="1"/>
        <v>10</v>
      </c>
      <c r="AL24" s="5">
        <f t="shared" si="2"/>
        <v>1</v>
      </c>
    </row>
    <row r="25" spans="1:42" x14ac:dyDescent="0.25">
      <c r="A25" s="21">
        <v>21</v>
      </c>
      <c r="B25" s="21">
        <v>857</v>
      </c>
      <c r="C25" s="24" t="s">
        <v>697</v>
      </c>
      <c r="D25" s="24" t="s">
        <v>314</v>
      </c>
      <c r="E25" s="20" t="s">
        <v>679</v>
      </c>
      <c r="F25" s="8" t="s">
        <v>110</v>
      </c>
      <c r="G25" s="127"/>
      <c r="H25" s="8" t="s">
        <v>110</v>
      </c>
      <c r="I25" s="8" t="s">
        <v>110</v>
      </c>
      <c r="J25" s="8" t="s">
        <v>110</v>
      </c>
      <c r="K25" s="8" t="s">
        <v>110</v>
      </c>
      <c r="L25" s="8" t="s">
        <v>110</v>
      </c>
      <c r="M25" s="8" t="s">
        <v>110</v>
      </c>
      <c r="N25" s="127"/>
      <c r="O25" s="8" t="s">
        <v>110</v>
      </c>
      <c r="P25" s="8" t="s">
        <v>110</v>
      </c>
      <c r="Q25" s="8" t="s">
        <v>110</v>
      </c>
      <c r="R25" s="8" t="s">
        <v>110</v>
      </c>
      <c r="S25" s="140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2"/>
      <c r="AK25" s="5">
        <f t="shared" si="1"/>
        <v>11</v>
      </c>
      <c r="AL25" s="5">
        <f t="shared" si="2"/>
        <v>0</v>
      </c>
    </row>
    <row r="26" spans="1:42" x14ac:dyDescent="0.25">
      <c r="A26" s="9">
        <v>22</v>
      </c>
      <c r="B26" s="9">
        <v>738</v>
      </c>
      <c r="C26" s="29" t="s">
        <v>572</v>
      </c>
      <c r="D26" s="29" t="s">
        <v>701</v>
      </c>
      <c r="E26" s="20" t="s">
        <v>679</v>
      </c>
      <c r="F26" s="8" t="s">
        <v>110</v>
      </c>
      <c r="G26" s="127"/>
      <c r="H26" s="8" t="s">
        <v>796</v>
      </c>
      <c r="I26" s="8" t="s">
        <v>796</v>
      </c>
      <c r="J26" s="8" t="s">
        <v>796</v>
      </c>
      <c r="K26" s="8" t="s">
        <v>796</v>
      </c>
      <c r="L26" s="8" t="s">
        <v>796</v>
      </c>
      <c r="M26" s="8" t="s">
        <v>796</v>
      </c>
      <c r="N26" s="127"/>
      <c r="O26" s="8" t="s">
        <v>796</v>
      </c>
      <c r="P26" s="8" t="s">
        <v>796</v>
      </c>
      <c r="Q26" s="8" t="s">
        <v>796</v>
      </c>
      <c r="R26" s="8" t="s">
        <v>796</v>
      </c>
      <c r="S26" s="140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2"/>
      <c r="AK26" s="5">
        <f t="shared" si="1"/>
        <v>1</v>
      </c>
      <c r="AL26" s="5">
        <f t="shared" si="2"/>
        <v>10</v>
      </c>
    </row>
    <row r="27" spans="1:42" x14ac:dyDescent="0.25">
      <c r="A27" s="9">
        <v>1</v>
      </c>
      <c r="B27" s="21">
        <v>730</v>
      </c>
      <c r="C27" s="24" t="s">
        <v>702</v>
      </c>
      <c r="D27" s="25" t="s">
        <v>22</v>
      </c>
      <c r="E27" s="20" t="s">
        <v>679</v>
      </c>
      <c r="F27" s="8" t="s">
        <v>796</v>
      </c>
      <c r="G27" s="127"/>
      <c r="H27" s="8" t="s">
        <v>110</v>
      </c>
      <c r="I27" s="8" t="s">
        <v>110</v>
      </c>
      <c r="J27" s="8" t="s">
        <v>110</v>
      </c>
      <c r="K27" s="8" t="s">
        <v>110</v>
      </c>
      <c r="L27" s="8" t="s">
        <v>110</v>
      </c>
      <c r="M27" s="8" t="s">
        <v>110</v>
      </c>
      <c r="N27" s="127"/>
      <c r="O27" s="8" t="s">
        <v>110</v>
      </c>
      <c r="P27" s="8" t="s">
        <v>110</v>
      </c>
      <c r="Q27" s="8" t="s">
        <v>110</v>
      </c>
      <c r="R27" s="8" t="s">
        <v>110</v>
      </c>
      <c r="S27" s="140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2"/>
      <c r="AK27" s="5">
        <f t="shared" si="1"/>
        <v>10</v>
      </c>
      <c r="AL27" s="5">
        <f t="shared" si="2"/>
        <v>1</v>
      </c>
    </row>
    <row r="28" spans="1:42" x14ac:dyDescent="0.25">
      <c r="A28" s="9">
        <v>2</v>
      </c>
      <c r="B28" s="21">
        <v>732</v>
      </c>
      <c r="C28" s="24" t="s">
        <v>703</v>
      </c>
      <c r="D28" s="25" t="s">
        <v>473</v>
      </c>
      <c r="E28" s="20" t="s">
        <v>679</v>
      </c>
      <c r="F28" s="8" t="s">
        <v>110</v>
      </c>
      <c r="G28" s="127"/>
      <c r="H28" s="8" t="s">
        <v>110</v>
      </c>
      <c r="I28" s="8" t="s">
        <v>110</v>
      </c>
      <c r="J28" s="8" t="s">
        <v>110</v>
      </c>
      <c r="K28" s="8" t="s">
        <v>110</v>
      </c>
      <c r="L28" s="8" t="s">
        <v>110</v>
      </c>
      <c r="M28" s="8" t="s">
        <v>110</v>
      </c>
      <c r="N28" s="127"/>
      <c r="O28" s="8" t="s">
        <v>110</v>
      </c>
      <c r="P28" s="8" t="s">
        <v>110</v>
      </c>
      <c r="Q28" s="8" t="s">
        <v>110</v>
      </c>
      <c r="R28" s="8" t="s">
        <v>110</v>
      </c>
      <c r="S28" s="140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2"/>
      <c r="AK28" s="5">
        <f t="shared" si="1"/>
        <v>11</v>
      </c>
      <c r="AL28" s="5">
        <f t="shared" si="2"/>
        <v>0</v>
      </c>
    </row>
    <row r="29" spans="1:42" x14ac:dyDescent="0.25">
      <c r="A29" s="9">
        <v>3</v>
      </c>
      <c r="B29" s="21">
        <v>728</v>
      </c>
      <c r="C29" s="24" t="s">
        <v>704</v>
      </c>
      <c r="D29" s="25" t="s">
        <v>507</v>
      </c>
      <c r="E29" s="20" t="s">
        <v>679</v>
      </c>
      <c r="F29" s="8" t="s">
        <v>110</v>
      </c>
      <c r="G29" s="127"/>
      <c r="H29" s="8" t="s">
        <v>110</v>
      </c>
      <c r="I29" s="8" t="s">
        <v>110</v>
      </c>
      <c r="J29" s="8" t="s">
        <v>110</v>
      </c>
      <c r="K29" s="8" t="s">
        <v>110</v>
      </c>
      <c r="L29" s="8" t="s">
        <v>110</v>
      </c>
      <c r="M29" s="8" t="s">
        <v>110</v>
      </c>
      <c r="N29" s="127"/>
      <c r="O29" s="8" t="s">
        <v>110</v>
      </c>
      <c r="P29" s="8" t="s">
        <v>110</v>
      </c>
      <c r="Q29" s="8" t="s">
        <v>110</v>
      </c>
      <c r="R29" s="8" t="s">
        <v>110</v>
      </c>
      <c r="S29" s="140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2"/>
      <c r="AK29" s="5">
        <f t="shared" si="1"/>
        <v>11</v>
      </c>
      <c r="AL29" s="5">
        <f t="shared" si="2"/>
        <v>0</v>
      </c>
    </row>
    <row r="30" spans="1:42" x14ac:dyDescent="0.25">
      <c r="A30" s="9">
        <v>4</v>
      </c>
      <c r="B30" s="21">
        <v>760</v>
      </c>
      <c r="C30" s="24" t="s">
        <v>705</v>
      </c>
      <c r="D30" s="24" t="s">
        <v>609</v>
      </c>
      <c r="E30" s="20" t="s">
        <v>679</v>
      </c>
      <c r="F30" s="8" t="s">
        <v>110</v>
      </c>
      <c r="G30" s="127"/>
      <c r="H30" s="8" t="s">
        <v>110</v>
      </c>
      <c r="I30" s="8" t="s">
        <v>110</v>
      </c>
      <c r="J30" s="8" t="s">
        <v>110</v>
      </c>
      <c r="K30" s="8" t="s">
        <v>110</v>
      </c>
      <c r="L30" s="8" t="s">
        <v>110</v>
      </c>
      <c r="M30" s="8" t="s">
        <v>110</v>
      </c>
      <c r="N30" s="127"/>
      <c r="O30" s="8" t="s">
        <v>110</v>
      </c>
      <c r="P30" s="8" t="s">
        <v>110</v>
      </c>
      <c r="Q30" s="8" t="s">
        <v>110</v>
      </c>
      <c r="R30" s="8" t="s">
        <v>110</v>
      </c>
      <c r="S30" s="140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2"/>
      <c r="AK30" s="5">
        <f t="shared" si="1"/>
        <v>11</v>
      </c>
      <c r="AL30" s="5">
        <f t="shared" si="2"/>
        <v>0</v>
      </c>
    </row>
    <row r="31" spans="1:42" x14ac:dyDescent="0.25">
      <c r="A31" s="9">
        <v>5</v>
      </c>
      <c r="B31" s="21">
        <v>741</v>
      </c>
      <c r="C31" s="24" t="s">
        <v>706</v>
      </c>
      <c r="D31" s="25" t="s">
        <v>571</v>
      </c>
      <c r="E31" s="20" t="s">
        <v>679</v>
      </c>
      <c r="F31" s="8" t="s">
        <v>110</v>
      </c>
      <c r="G31" s="127"/>
      <c r="H31" s="8" t="s">
        <v>110</v>
      </c>
      <c r="I31" s="8" t="s">
        <v>110</v>
      </c>
      <c r="J31" s="8" t="s">
        <v>110</v>
      </c>
      <c r="K31" s="8" t="s">
        <v>110</v>
      </c>
      <c r="L31" s="8" t="s">
        <v>110</v>
      </c>
      <c r="M31" s="8" t="s">
        <v>110</v>
      </c>
      <c r="N31" s="127"/>
      <c r="O31" s="8" t="s">
        <v>110</v>
      </c>
      <c r="P31" s="8" t="s">
        <v>110</v>
      </c>
      <c r="Q31" s="8" t="s">
        <v>110</v>
      </c>
      <c r="R31" s="8" t="s">
        <v>110</v>
      </c>
      <c r="S31" s="140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2"/>
      <c r="AK31" s="5">
        <f t="shared" si="1"/>
        <v>11</v>
      </c>
      <c r="AL31" s="5">
        <f t="shared" si="2"/>
        <v>0</v>
      </c>
    </row>
    <row r="32" spans="1:42" x14ac:dyDescent="0.25">
      <c r="A32" s="9">
        <v>6</v>
      </c>
      <c r="B32" s="103">
        <v>733</v>
      </c>
      <c r="C32" s="27" t="s">
        <v>707</v>
      </c>
      <c r="D32" s="28" t="s">
        <v>708</v>
      </c>
      <c r="E32" s="20" t="s">
        <v>679</v>
      </c>
      <c r="F32" s="8" t="s">
        <v>796</v>
      </c>
      <c r="G32" s="127"/>
      <c r="H32" s="8" t="s">
        <v>796</v>
      </c>
      <c r="I32" s="8" t="s">
        <v>796</v>
      </c>
      <c r="J32" s="8" t="s">
        <v>796</v>
      </c>
      <c r="K32" s="8" t="s">
        <v>796</v>
      </c>
      <c r="L32" s="8" t="s">
        <v>796</v>
      </c>
      <c r="M32" s="8" t="s">
        <v>796</v>
      </c>
      <c r="N32" s="127"/>
      <c r="O32" s="8" t="s">
        <v>796</v>
      </c>
      <c r="P32" s="8" t="s">
        <v>796</v>
      </c>
      <c r="Q32" s="8" t="s">
        <v>796</v>
      </c>
      <c r="R32" s="8" t="s">
        <v>796</v>
      </c>
      <c r="S32" s="140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2"/>
      <c r="AK32" s="5">
        <f t="shared" si="1"/>
        <v>0</v>
      </c>
      <c r="AL32" s="5">
        <f t="shared" si="2"/>
        <v>11</v>
      </c>
    </row>
    <row r="33" spans="1:38" x14ac:dyDescent="0.25">
      <c r="A33" s="9">
        <v>7</v>
      </c>
      <c r="B33" s="9">
        <v>744</v>
      </c>
      <c r="C33" s="29" t="s">
        <v>709</v>
      </c>
      <c r="D33" s="29" t="s">
        <v>133</v>
      </c>
      <c r="E33" s="20" t="s">
        <v>679</v>
      </c>
      <c r="F33" s="8" t="s">
        <v>110</v>
      </c>
      <c r="G33" s="127"/>
      <c r="H33" s="8" t="s">
        <v>110</v>
      </c>
      <c r="I33" s="8" t="s">
        <v>110</v>
      </c>
      <c r="J33" s="8" t="s">
        <v>110</v>
      </c>
      <c r="K33" s="8" t="s">
        <v>110</v>
      </c>
      <c r="L33" s="8" t="s">
        <v>110</v>
      </c>
      <c r="M33" s="8" t="s">
        <v>110</v>
      </c>
      <c r="N33" s="127"/>
      <c r="O33" s="8" t="s">
        <v>110</v>
      </c>
      <c r="P33" s="8" t="s">
        <v>110</v>
      </c>
      <c r="Q33" s="8" t="s">
        <v>110</v>
      </c>
      <c r="R33" s="8" t="s">
        <v>110</v>
      </c>
      <c r="S33" s="140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2"/>
      <c r="AK33" s="5">
        <f t="shared" si="1"/>
        <v>11</v>
      </c>
      <c r="AL33" s="5">
        <f t="shared" si="2"/>
        <v>0</v>
      </c>
    </row>
    <row r="34" spans="1:38" x14ac:dyDescent="0.25">
      <c r="A34" s="9">
        <v>8</v>
      </c>
      <c r="B34" s="21">
        <v>850</v>
      </c>
      <c r="C34" s="24" t="s">
        <v>710</v>
      </c>
      <c r="D34" s="24" t="s">
        <v>711</v>
      </c>
      <c r="E34" s="20" t="s">
        <v>679</v>
      </c>
      <c r="F34" s="8" t="s">
        <v>796</v>
      </c>
      <c r="G34" s="127"/>
      <c r="H34" s="8" t="s">
        <v>110</v>
      </c>
      <c r="I34" s="8" t="s">
        <v>110</v>
      </c>
      <c r="J34" s="8" t="s">
        <v>110</v>
      </c>
      <c r="K34" s="8" t="s">
        <v>110</v>
      </c>
      <c r="L34" s="8" t="s">
        <v>110</v>
      </c>
      <c r="M34" s="8" t="s">
        <v>110</v>
      </c>
      <c r="N34" s="127"/>
      <c r="O34" s="8" t="s">
        <v>110</v>
      </c>
      <c r="P34" s="8" t="s">
        <v>110</v>
      </c>
      <c r="Q34" s="8" t="s">
        <v>110</v>
      </c>
      <c r="R34" s="8" t="s">
        <v>110</v>
      </c>
      <c r="S34" s="140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2"/>
      <c r="AK34" s="5">
        <f t="shared" si="1"/>
        <v>10</v>
      </c>
      <c r="AL34" s="5">
        <f t="shared" si="2"/>
        <v>1</v>
      </c>
    </row>
    <row r="35" spans="1:38" x14ac:dyDescent="0.25">
      <c r="A35" s="9">
        <v>9</v>
      </c>
      <c r="B35" s="9">
        <v>767</v>
      </c>
      <c r="C35" s="14" t="s">
        <v>84</v>
      </c>
      <c r="D35" s="14" t="s">
        <v>36</v>
      </c>
      <c r="E35" s="20" t="s">
        <v>679</v>
      </c>
      <c r="F35" s="8" t="s">
        <v>110</v>
      </c>
      <c r="G35" s="127"/>
      <c r="H35" s="8" t="s">
        <v>796</v>
      </c>
      <c r="I35" s="8" t="s">
        <v>796</v>
      </c>
      <c r="J35" s="8" t="s">
        <v>796</v>
      </c>
      <c r="K35" s="8" t="s">
        <v>796</v>
      </c>
      <c r="L35" s="8" t="s">
        <v>796</v>
      </c>
      <c r="M35" s="8" t="s">
        <v>110</v>
      </c>
      <c r="N35" s="127"/>
      <c r="O35" s="8" t="s">
        <v>796</v>
      </c>
      <c r="P35" s="8" t="s">
        <v>796</v>
      </c>
      <c r="Q35" s="8" t="s">
        <v>796</v>
      </c>
      <c r="R35" s="8" t="s">
        <v>796</v>
      </c>
      <c r="S35" s="140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2"/>
      <c r="AK35" s="5">
        <f t="shared" si="1"/>
        <v>2</v>
      </c>
      <c r="AL35" s="5">
        <f t="shared" si="2"/>
        <v>9</v>
      </c>
    </row>
    <row r="36" spans="1:38" x14ac:dyDescent="0.25">
      <c r="A36" s="9">
        <v>10</v>
      </c>
      <c r="B36" s="9">
        <v>875</v>
      </c>
      <c r="C36" s="14" t="s">
        <v>712</v>
      </c>
      <c r="D36" s="14" t="s">
        <v>713</v>
      </c>
      <c r="E36" s="20" t="s">
        <v>679</v>
      </c>
      <c r="F36" s="8" t="s">
        <v>110</v>
      </c>
      <c r="G36" s="127"/>
      <c r="H36" s="8" t="s">
        <v>110</v>
      </c>
      <c r="I36" s="8" t="s">
        <v>110</v>
      </c>
      <c r="J36" s="8" t="s">
        <v>110</v>
      </c>
      <c r="K36" s="8" t="s">
        <v>110</v>
      </c>
      <c r="L36" s="8" t="s">
        <v>110</v>
      </c>
      <c r="M36" s="8" t="s">
        <v>110</v>
      </c>
      <c r="N36" s="127"/>
      <c r="O36" s="8" t="s">
        <v>110</v>
      </c>
      <c r="P36" s="8" t="s">
        <v>110</v>
      </c>
      <c r="Q36" s="8" t="s">
        <v>110</v>
      </c>
      <c r="R36" s="8" t="s">
        <v>110</v>
      </c>
      <c r="S36" s="140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2"/>
      <c r="AK36" s="5">
        <f t="shared" si="1"/>
        <v>11</v>
      </c>
      <c r="AL36" s="5">
        <f t="shared" si="2"/>
        <v>0</v>
      </c>
    </row>
    <row r="37" spans="1:38" x14ac:dyDescent="0.25">
      <c r="A37" s="9">
        <v>11</v>
      </c>
      <c r="B37" s="9">
        <v>727</v>
      </c>
      <c r="C37" s="14" t="s">
        <v>714</v>
      </c>
      <c r="D37" s="14" t="s">
        <v>715</v>
      </c>
      <c r="E37" s="20" t="s">
        <v>679</v>
      </c>
      <c r="F37" s="8" t="s">
        <v>110</v>
      </c>
      <c r="G37" s="127"/>
      <c r="H37" s="8" t="s">
        <v>110</v>
      </c>
      <c r="I37" s="8" t="s">
        <v>110</v>
      </c>
      <c r="J37" s="8" t="s">
        <v>110</v>
      </c>
      <c r="K37" s="8" t="s">
        <v>110</v>
      </c>
      <c r="L37" s="8" t="s">
        <v>110</v>
      </c>
      <c r="M37" s="8" t="s">
        <v>110</v>
      </c>
      <c r="N37" s="127"/>
      <c r="O37" s="8" t="s">
        <v>110</v>
      </c>
      <c r="P37" s="8" t="s">
        <v>110</v>
      </c>
      <c r="Q37" s="8" t="s">
        <v>110</v>
      </c>
      <c r="R37" s="8" t="s">
        <v>110</v>
      </c>
      <c r="S37" s="140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2"/>
      <c r="AK37" s="5">
        <f t="shared" si="1"/>
        <v>11</v>
      </c>
      <c r="AL37" s="5">
        <f t="shared" si="2"/>
        <v>0</v>
      </c>
    </row>
    <row r="38" spans="1:38" x14ac:dyDescent="0.25">
      <c r="A38" s="9">
        <v>12</v>
      </c>
      <c r="B38" s="9">
        <v>880</v>
      </c>
      <c r="C38" s="14" t="s">
        <v>716</v>
      </c>
      <c r="D38" s="14" t="s">
        <v>717</v>
      </c>
      <c r="E38" s="20" t="s">
        <v>679</v>
      </c>
      <c r="F38" s="8" t="s">
        <v>110</v>
      </c>
      <c r="G38" s="127"/>
      <c r="H38" s="8" t="s">
        <v>110</v>
      </c>
      <c r="I38" s="8" t="s">
        <v>110</v>
      </c>
      <c r="J38" s="8" t="s">
        <v>110</v>
      </c>
      <c r="K38" s="8" t="s">
        <v>110</v>
      </c>
      <c r="L38" s="8" t="s">
        <v>110</v>
      </c>
      <c r="M38" s="8" t="s">
        <v>110</v>
      </c>
      <c r="N38" s="127"/>
      <c r="O38" s="8" t="s">
        <v>110</v>
      </c>
      <c r="P38" s="8" t="s">
        <v>110</v>
      </c>
      <c r="Q38" s="8" t="s">
        <v>110</v>
      </c>
      <c r="R38" s="8" t="s">
        <v>110</v>
      </c>
      <c r="S38" s="140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2"/>
      <c r="AK38" s="5">
        <f t="shared" si="1"/>
        <v>11</v>
      </c>
      <c r="AL38" s="5">
        <f t="shared" si="2"/>
        <v>0</v>
      </c>
    </row>
    <row r="39" spans="1:38" x14ac:dyDescent="0.25">
      <c r="A39" s="9">
        <v>13</v>
      </c>
      <c r="B39" s="9">
        <v>777</v>
      </c>
      <c r="C39" s="14" t="s">
        <v>718</v>
      </c>
      <c r="D39" s="14" t="s">
        <v>719</v>
      </c>
      <c r="E39" s="20" t="s">
        <v>679</v>
      </c>
      <c r="F39" s="8" t="s">
        <v>110</v>
      </c>
      <c r="G39" s="127"/>
      <c r="H39" s="8" t="s">
        <v>110</v>
      </c>
      <c r="I39" s="8" t="s">
        <v>110</v>
      </c>
      <c r="J39" s="8" t="s">
        <v>110</v>
      </c>
      <c r="K39" s="8" t="s">
        <v>110</v>
      </c>
      <c r="L39" s="8" t="s">
        <v>110</v>
      </c>
      <c r="M39" s="8" t="s">
        <v>110</v>
      </c>
      <c r="N39" s="127"/>
      <c r="O39" s="8" t="s">
        <v>110</v>
      </c>
      <c r="P39" s="8" t="s">
        <v>110</v>
      </c>
      <c r="Q39" s="8" t="s">
        <v>110</v>
      </c>
      <c r="R39" s="8" t="s">
        <v>110</v>
      </c>
      <c r="S39" s="140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2"/>
      <c r="AK39" s="5">
        <f t="shared" si="1"/>
        <v>11</v>
      </c>
      <c r="AL39" s="5">
        <f t="shared" si="2"/>
        <v>0</v>
      </c>
    </row>
    <row r="40" spans="1:38" x14ac:dyDescent="0.25">
      <c r="A40" s="9">
        <v>14</v>
      </c>
      <c r="B40" s="9">
        <v>873</v>
      </c>
      <c r="C40" s="14" t="s">
        <v>720</v>
      </c>
      <c r="D40" s="14" t="s">
        <v>34</v>
      </c>
      <c r="E40" s="20" t="s">
        <v>679</v>
      </c>
      <c r="F40" s="8" t="s">
        <v>110</v>
      </c>
      <c r="G40" s="127"/>
      <c r="H40" s="8" t="s">
        <v>110</v>
      </c>
      <c r="I40" s="8" t="s">
        <v>110</v>
      </c>
      <c r="J40" s="8" t="s">
        <v>110</v>
      </c>
      <c r="K40" s="8" t="s">
        <v>110</v>
      </c>
      <c r="L40" s="8" t="s">
        <v>110</v>
      </c>
      <c r="M40" s="8" t="s">
        <v>110</v>
      </c>
      <c r="N40" s="127"/>
      <c r="O40" s="8" t="s">
        <v>110</v>
      </c>
      <c r="P40" s="8" t="s">
        <v>110</v>
      </c>
      <c r="Q40" s="8" t="s">
        <v>110</v>
      </c>
      <c r="R40" s="8" t="s">
        <v>110</v>
      </c>
      <c r="S40" s="140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2"/>
      <c r="AK40" s="5">
        <f t="shared" si="1"/>
        <v>11</v>
      </c>
      <c r="AL40" s="5">
        <f t="shared" si="2"/>
        <v>0</v>
      </c>
    </row>
    <row r="41" spans="1:38" x14ac:dyDescent="0.25">
      <c r="A41" s="9">
        <v>15</v>
      </c>
      <c r="B41" s="9">
        <v>909</v>
      </c>
      <c r="C41" s="14" t="s">
        <v>721</v>
      </c>
      <c r="D41" s="14" t="s">
        <v>722</v>
      </c>
      <c r="E41" s="20" t="s">
        <v>679</v>
      </c>
      <c r="F41" s="8" t="s">
        <v>796</v>
      </c>
      <c r="G41" s="127"/>
      <c r="H41" s="8" t="s">
        <v>110</v>
      </c>
      <c r="I41" s="8" t="s">
        <v>110</v>
      </c>
      <c r="J41" s="8" t="s">
        <v>110</v>
      </c>
      <c r="K41" s="8" t="s">
        <v>110</v>
      </c>
      <c r="L41" s="8" t="s">
        <v>110</v>
      </c>
      <c r="M41" s="8" t="s">
        <v>110</v>
      </c>
      <c r="N41" s="127"/>
      <c r="O41" s="8" t="s">
        <v>110</v>
      </c>
      <c r="P41" s="8" t="s">
        <v>110</v>
      </c>
      <c r="Q41" s="8" t="s">
        <v>110</v>
      </c>
      <c r="R41" s="8" t="s">
        <v>110</v>
      </c>
      <c r="S41" s="140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2"/>
      <c r="AK41" s="5">
        <f t="shared" si="1"/>
        <v>10</v>
      </c>
      <c r="AL41" s="5">
        <f t="shared" si="2"/>
        <v>1</v>
      </c>
    </row>
    <row r="42" spans="1:38" x14ac:dyDescent="0.25">
      <c r="A42" s="9">
        <v>16</v>
      </c>
      <c r="B42" s="9">
        <v>854</v>
      </c>
      <c r="C42" s="14" t="s">
        <v>723</v>
      </c>
      <c r="D42" s="14" t="s">
        <v>724</v>
      </c>
      <c r="E42" s="20" t="s">
        <v>679</v>
      </c>
      <c r="F42" s="8" t="s">
        <v>110</v>
      </c>
      <c r="G42" s="127"/>
      <c r="H42" s="8" t="s">
        <v>796</v>
      </c>
      <c r="I42" s="8" t="s">
        <v>796</v>
      </c>
      <c r="J42" s="8" t="s">
        <v>796</v>
      </c>
      <c r="K42" s="8" t="s">
        <v>796</v>
      </c>
      <c r="L42" s="8" t="s">
        <v>796</v>
      </c>
      <c r="M42" s="8" t="s">
        <v>796</v>
      </c>
      <c r="N42" s="127"/>
      <c r="O42" s="8" t="s">
        <v>796</v>
      </c>
      <c r="P42" s="8" t="s">
        <v>796</v>
      </c>
      <c r="Q42" s="8" t="s">
        <v>796</v>
      </c>
      <c r="R42" s="8" t="s">
        <v>796</v>
      </c>
      <c r="S42" s="140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42"/>
      <c r="AK42" s="5">
        <f t="shared" si="1"/>
        <v>1</v>
      </c>
      <c r="AL42" s="5">
        <f t="shared" si="2"/>
        <v>10</v>
      </c>
    </row>
    <row r="43" spans="1:38" x14ac:dyDescent="0.25">
      <c r="A43" s="9">
        <v>17</v>
      </c>
      <c r="B43" s="9">
        <v>863</v>
      </c>
      <c r="C43" s="14" t="s">
        <v>725</v>
      </c>
      <c r="D43" s="14" t="s">
        <v>95</v>
      </c>
      <c r="E43" s="20" t="s">
        <v>679</v>
      </c>
      <c r="F43" s="8" t="s">
        <v>110</v>
      </c>
      <c r="G43" s="127"/>
      <c r="H43" s="8" t="s">
        <v>110</v>
      </c>
      <c r="I43" s="8" t="s">
        <v>110</v>
      </c>
      <c r="J43" s="8" t="s">
        <v>110</v>
      </c>
      <c r="K43" s="8" t="s">
        <v>110</v>
      </c>
      <c r="L43" s="8" t="s">
        <v>110</v>
      </c>
      <c r="M43" s="8" t="s">
        <v>110</v>
      </c>
      <c r="N43" s="127"/>
      <c r="O43" s="8" t="s">
        <v>110</v>
      </c>
      <c r="P43" s="8" t="s">
        <v>110</v>
      </c>
      <c r="Q43" s="8" t="s">
        <v>110</v>
      </c>
      <c r="R43" s="8" t="s">
        <v>110</v>
      </c>
      <c r="S43" s="140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1"/>
      <c r="AJ43" s="142"/>
      <c r="AK43" s="5">
        <f t="shared" si="1"/>
        <v>11</v>
      </c>
      <c r="AL43" s="5">
        <f t="shared" si="2"/>
        <v>0</v>
      </c>
    </row>
    <row r="44" spans="1:38" x14ac:dyDescent="0.25">
      <c r="A44" s="9">
        <v>18</v>
      </c>
      <c r="B44" s="104">
        <v>902</v>
      </c>
      <c r="C44" s="32" t="s">
        <v>376</v>
      </c>
      <c r="D44" s="32" t="s">
        <v>726</v>
      </c>
      <c r="E44" s="20" t="s">
        <v>679</v>
      </c>
      <c r="F44" s="8" t="s">
        <v>110</v>
      </c>
      <c r="G44" s="127"/>
      <c r="H44" s="8" t="s">
        <v>110</v>
      </c>
      <c r="I44" s="8" t="s">
        <v>110</v>
      </c>
      <c r="J44" s="8" t="s">
        <v>110</v>
      </c>
      <c r="K44" s="8" t="s">
        <v>110</v>
      </c>
      <c r="L44" s="8" t="s">
        <v>110</v>
      </c>
      <c r="M44" s="8" t="s">
        <v>110</v>
      </c>
      <c r="N44" s="127"/>
      <c r="O44" s="8" t="s">
        <v>110</v>
      </c>
      <c r="P44" s="8" t="s">
        <v>110</v>
      </c>
      <c r="Q44" s="8" t="s">
        <v>110</v>
      </c>
      <c r="R44" s="8" t="s">
        <v>110</v>
      </c>
      <c r="S44" s="140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1"/>
      <c r="AJ44" s="142"/>
      <c r="AK44" s="5">
        <f t="shared" si="1"/>
        <v>11</v>
      </c>
      <c r="AL44" s="5">
        <f t="shared" si="2"/>
        <v>0</v>
      </c>
    </row>
    <row r="45" spans="1:38" x14ac:dyDescent="0.25">
      <c r="A45" s="9">
        <v>19</v>
      </c>
      <c r="B45" s="9">
        <v>886</v>
      </c>
      <c r="C45" s="14" t="s">
        <v>727</v>
      </c>
      <c r="D45" s="14" t="s">
        <v>728</v>
      </c>
      <c r="E45" s="20" t="s">
        <v>679</v>
      </c>
      <c r="F45" s="8" t="s">
        <v>110</v>
      </c>
      <c r="G45" s="127"/>
      <c r="H45" s="8" t="s">
        <v>110</v>
      </c>
      <c r="I45" s="8" t="s">
        <v>110</v>
      </c>
      <c r="J45" s="8" t="s">
        <v>110</v>
      </c>
      <c r="K45" s="8" t="s">
        <v>110</v>
      </c>
      <c r="L45" s="8" t="s">
        <v>110</v>
      </c>
      <c r="M45" s="8" t="s">
        <v>110</v>
      </c>
      <c r="N45" s="127"/>
      <c r="O45" s="8" t="s">
        <v>110</v>
      </c>
      <c r="P45" s="8" t="s">
        <v>110</v>
      </c>
      <c r="Q45" s="8" t="s">
        <v>110</v>
      </c>
      <c r="R45" s="8" t="s">
        <v>110</v>
      </c>
      <c r="S45" s="143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5"/>
      <c r="AK45" s="5">
        <f t="shared" si="1"/>
        <v>11</v>
      </c>
      <c r="AL45" s="5">
        <f t="shared" si="2"/>
        <v>0</v>
      </c>
    </row>
  </sheetData>
  <mergeCells count="15">
    <mergeCell ref="B3:B4"/>
    <mergeCell ref="AM3:AN3"/>
    <mergeCell ref="AM11:AP11"/>
    <mergeCell ref="AM19:AP19"/>
    <mergeCell ref="G5:G45"/>
    <mergeCell ref="N5:N45"/>
    <mergeCell ref="S5:AJ45"/>
    <mergeCell ref="A1:AL1"/>
    <mergeCell ref="A2:AL2"/>
    <mergeCell ref="A3:A4"/>
    <mergeCell ref="C3:C4"/>
    <mergeCell ref="D3:D4"/>
    <mergeCell ref="E3:E4"/>
    <mergeCell ref="AK3:AK4"/>
    <mergeCell ref="AL3:AL4"/>
  </mergeCells>
  <conditionalFormatting sqref="F5:F45 F4:AJ4">
    <cfRule type="expression" dxfId="133" priority="146">
      <formula>IF(F$4=TODAY(),TRUE,FALSE)</formula>
    </cfRule>
  </conditionalFormatting>
  <conditionalFormatting sqref="F5:F45">
    <cfRule type="cellIs" dxfId="132" priority="143" operator="equal">
      <formula>"L"</formula>
    </cfRule>
    <cfRule type="cellIs" dxfId="131" priority="144" operator="equal">
      <formula>"A"</formula>
    </cfRule>
    <cfRule type="cellIs" dxfId="130" priority="145" operator="equal">
      <formula>"P"</formula>
    </cfRule>
  </conditionalFormatting>
  <conditionalFormatting sqref="F3:AJ4 F5:F45">
    <cfRule type="expression" dxfId="129" priority="147">
      <formula>F$3="Sun"</formula>
    </cfRule>
  </conditionalFormatting>
  <conditionalFormatting sqref="G5">
    <cfRule type="cellIs" dxfId="128" priority="47" operator="equal">
      <formula>"L"</formula>
    </cfRule>
    <cfRule type="cellIs" dxfId="127" priority="48" operator="equal">
      <formula>"A"</formula>
    </cfRule>
    <cfRule type="cellIs" dxfId="126" priority="49" operator="equal">
      <formula>"P"</formula>
    </cfRule>
    <cfRule type="expression" dxfId="125" priority="50">
      <formula>IF(G$4=TODAY(),TRUE,FALSE)</formula>
    </cfRule>
    <cfRule type="expression" dxfId="124" priority="51">
      <formula>G$3="Sun"</formula>
    </cfRule>
  </conditionalFormatting>
  <conditionalFormatting sqref="H5:M45">
    <cfRule type="cellIs" dxfId="123" priority="22" operator="equal">
      <formula>"L"</formula>
    </cfRule>
    <cfRule type="cellIs" dxfId="122" priority="23" operator="equal">
      <formula>"A"</formula>
    </cfRule>
    <cfRule type="cellIs" dxfId="121" priority="24" operator="equal">
      <formula>"P"</formula>
    </cfRule>
    <cfRule type="expression" dxfId="120" priority="25">
      <formula>IF(H$4=TODAY(),TRUE,FALSE)</formula>
    </cfRule>
    <cfRule type="expression" dxfId="119" priority="26">
      <formula>H$3="Sun"</formula>
    </cfRule>
  </conditionalFormatting>
  <conditionalFormatting sqref="N5">
    <cfRule type="cellIs" dxfId="118" priority="42" operator="equal">
      <formula>"L"</formula>
    </cfRule>
    <cfRule type="cellIs" dxfId="117" priority="43" operator="equal">
      <formula>"A"</formula>
    </cfRule>
    <cfRule type="cellIs" dxfId="116" priority="44" operator="equal">
      <formula>"P"</formula>
    </cfRule>
    <cfRule type="expression" dxfId="115" priority="45">
      <formula>IF(N$4=TODAY(),TRUE,FALSE)</formula>
    </cfRule>
    <cfRule type="expression" dxfId="114" priority="46">
      <formula>N$3="Sun"</formula>
    </cfRule>
  </conditionalFormatting>
  <conditionalFormatting sqref="O6:R45 O5:S5">
    <cfRule type="cellIs" dxfId="113" priority="17" operator="equal">
      <formula>"L"</formula>
    </cfRule>
    <cfRule type="cellIs" dxfId="112" priority="18" operator="equal">
      <formula>"A"</formula>
    </cfRule>
    <cfRule type="cellIs" dxfId="111" priority="19" operator="equal">
      <formula>"P"</formula>
    </cfRule>
    <cfRule type="expression" dxfId="110" priority="20">
      <formula>IF(O$4=TODAY(),TRUE,FALSE)</formula>
    </cfRule>
    <cfRule type="expression" dxfId="109" priority="21">
      <formula>O$3="Sun"</formula>
    </cfRule>
  </conditionalFormatting>
  <conditionalFormatting sqref="AK3:AL3 AK5:AL45">
    <cfRule type="expression" dxfId="83" priority="148">
      <formula>#REF!="Sun"</formula>
    </cfRule>
  </conditionalFormatting>
  <conditionalFormatting sqref="AM8:AM9">
    <cfRule type="expression" dxfId="82" priority="105">
      <formula>AM$3="Sun"</formula>
    </cfRule>
  </conditionalFormatting>
  <conditionalFormatting sqref="AM12:AM15">
    <cfRule type="expression" dxfId="81" priority="103">
      <formula>AM$3="Sun"</formula>
    </cfRule>
  </conditionalFormatting>
  <conditionalFormatting sqref="AM20:AM22">
    <cfRule type="expression" dxfId="80" priority="102">
      <formula>AM$3="Sun"</formula>
    </cfRule>
  </conditionalFormatting>
  <conditionalFormatting sqref="AM4:AN4">
    <cfRule type="expression" dxfId="79" priority="106">
      <formula>AM$3="Sun"</formula>
    </cfRule>
  </conditionalFormatting>
  <conditionalFormatting sqref="AN12:AP12 AN20:AP20">
    <cfRule type="expression" dxfId="78" priority="107">
      <formula>AN$3="Sun"</formula>
    </cfRule>
  </conditionalFormatting>
  <conditionalFormatting sqref="AP21">
    <cfRule type="expression" dxfId="77" priority="104">
      <formula>AP$3="Sun"</formula>
    </cfRule>
  </conditionalFormatting>
  <conditionalFormatting sqref="AM5:AM7">
    <cfRule type="expression" dxfId="1" priority="1">
      <formula>AM$3="Sun"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39"/>
  <sheetViews>
    <sheetView topLeftCell="G1" workbookViewId="0">
      <selection activeCell="AO13" sqref="AO13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23.42578125" style="1" customWidth="1"/>
    <col min="5" max="5" width="6.42578125" style="1" customWidth="1"/>
    <col min="6" max="6" width="4.7109375" style="1" bestFit="1" customWidth="1"/>
    <col min="7" max="7" width="3.85546875" style="1" bestFit="1" customWidth="1"/>
    <col min="8" max="9" width="3.7109375" style="1" bestFit="1" customWidth="1"/>
    <col min="10" max="10" width="3.85546875" style="1" bestFit="1" customWidth="1"/>
    <col min="11" max="11" width="4.5703125" style="1" customWidth="1"/>
    <col min="12" max="12" width="3.85546875" style="1" bestFit="1" customWidth="1"/>
    <col min="13" max="13" width="4.7109375" style="1" bestFit="1" customWidth="1"/>
    <col min="14" max="14" width="3.85546875" style="1" bestFit="1" customWidth="1"/>
    <col min="15" max="16" width="3.7109375" style="1" bestFit="1" customWidth="1"/>
    <col min="17" max="17" width="3.85546875" style="1" bestFit="1" customWidth="1"/>
    <col min="18" max="18" width="4.5703125" style="1" customWidth="1"/>
    <col min="19" max="19" width="3.85546875" style="1" bestFit="1" customWidth="1"/>
    <col min="20" max="20" width="4.7109375" style="1" bestFit="1" customWidth="1"/>
    <col min="21" max="21" width="3.85546875" style="1" bestFit="1" customWidth="1"/>
    <col min="22" max="23" width="3.7109375" style="1" bestFit="1" customWidth="1"/>
    <col min="24" max="24" width="3.85546875" style="1" bestFit="1" customWidth="1"/>
    <col min="25" max="25" width="4.5703125" style="1" bestFit="1" customWidth="1"/>
    <col min="26" max="26" width="3.85546875" style="1" bestFit="1" customWidth="1"/>
    <col min="27" max="27" width="4.7109375" style="1" bestFit="1" customWidth="1"/>
    <col min="28" max="28" width="3.85546875" style="1" bestFit="1"/>
    <col min="29" max="30" width="3.7109375" style="1" bestFit="1" customWidth="1"/>
    <col min="31" max="31" width="3.85546875" style="1" bestFit="1" customWidth="1"/>
    <col min="32" max="32" width="4.5703125" style="1" bestFit="1" customWidth="1"/>
    <col min="33" max="33" width="3.85546875" style="1"/>
    <col min="34" max="34" width="4.7109375" style="1" bestFit="1" customWidth="1"/>
    <col min="35" max="35" width="3.85546875" style="1" bestFit="1" customWidth="1"/>
    <col min="36" max="36" width="3.7109375" style="1" customWidth="1"/>
    <col min="37" max="37" width="9.42578125" style="1" bestFit="1" customWidth="1"/>
    <col min="38" max="38" width="8.570312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21" t="s">
        <v>18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</row>
    <row r="2" spans="1:42" ht="17.25" x14ac:dyDescent="0.3">
      <c r="A2" s="125" t="s">
        <v>795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</row>
    <row r="3" spans="1:42" ht="15.75" x14ac:dyDescent="0.25">
      <c r="A3" s="134" t="s">
        <v>0</v>
      </c>
      <c r="B3" s="134" t="s">
        <v>789</v>
      </c>
      <c r="C3" s="134" t="s">
        <v>1</v>
      </c>
      <c r="D3" s="134" t="s">
        <v>2</v>
      </c>
      <c r="E3" s="134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22" t="s">
        <v>4</v>
      </c>
      <c r="AL3" s="122" t="s">
        <v>5</v>
      </c>
      <c r="AM3" s="115" t="s">
        <v>120</v>
      </c>
      <c r="AN3" s="116"/>
      <c r="AO3" s="3"/>
      <c r="AP3" s="3"/>
    </row>
    <row r="4" spans="1:42" ht="37.5" x14ac:dyDescent="0.25">
      <c r="A4" s="135"/>
      <c r="B4" s="136"/>
      <c r="C4" s="135"/>
      <c r="D4" s="135"/>
      <c r="E4" s="135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22"/>
      <c r="AL4" s="122"/>
      <c r="AM4" s="5" t="s">
        <v>121</v>
      </c>
      <c r="AN4" s="5">
        <f>SUM(AN5:AN8)</f>
        <v>31</v>
      </c>
      <c r="AO4" s="3"/>
      <c r="AP4" s="3"/>
    </row>
    <row r="5" spans="1:42" ht="15" customHeight="1" x14ac:dyDescent="0.25">
      <c r="A5" s="21">
        <v>1</v>
      </c>
      <c r="B5" s="21">
        <v>651</v>
      </c>
      <c r="C5" s="24" t="s">
        <v>729</v>
      </c>
      <c r="D5" s="25" t="s">
        <v>730</v>
      </c>
      <c r="E5" s="20" t="s">
        <v>771</v>
      </c>
      <c r="F5" s="8" t="s">
        <v>110</v>
      </c>
      <c r="G5" s="127" t="s">
        <v>596</v>
      </c>
      <c r="H5" s="8" t="s">
        <v>796</v>
      </c>
      <c r="I5" s="8" t="s">
        <v>110</v>
      </c>
      <c r="J5" s="8" t="s">
        <v>796</v>
      </c>
      <c r="K5" s="8" t="s">
        <v>110</v>
      </c>
      <c r="L5" s="8" t="s">
        <v>796</v>
      </c>
      <c r="M5" s="8" t="s">
        <v>110</v>
      </c>
      <c r="N5" s="127" t="s">
        <v>596</v>
      </c>
      <c r="O5" s="8" t="s">
        <v>110</v>
      </c>
      <c r="P5" s="8" t="s">
        <v>110</v>
      </c>
      <c r="Q5" s="8" t="s">
        <v>796</v>
      </c>
      <c r="R5" s="8" t="s">
        <v>110</v>
      </c>
      <c r="S5" s="8" t="s">
        <v>110</v>
      </c>
      <c r="T5" s="146" t="s">
        <v>803</v>
      </c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  <c r="AK5" s="5">
        <f t="shared" ref="AK5:AK39" si="1">COUNTIF(F5:AJ5,"P")</f>
        <v>8</v>
      </c>
      <c r="AL5" s="5">
        <f t="shared" ref="AL5:AL39" si="2">COUNTIF(F5:AJ5,"A")</f>
        <v>4</v>
      </c>
      <c r="AM5" s="5" t="s">
        <v>7</v>
      </c>
      <c r="AN5" s="9">
        <v>12</v>
      </c>
      <c r="AO5" s="10"/>
      <c r="AP5" s="3"/>
    </row>
    <row r="6" spans="1:42" x14ac:dyDescent="0.25">
      <c r="A6" s="21">
        <v>2</v>
      </c>
      <c r="B6" s="21">
        <v>652</v>
      </c>
      <c r="C6" s="24" t="s">
        <v>731</v>
      </c>
      <c r="D6" s="25" t="s">
        <v>732</v>
      </c>
      <c r="E6" s="20" t="s">
        <v>771</v>
      </c>
      <c r="F6" s="8" t="s">
        <v>796</v>
      </c>
      <c r="G6" s="127"/>
      <c r="H6" s="8" t="s">
        <v>110</v>
      </c>
      <c r="I6" s="8" t="s">
        <v>796</v>
      </c>
      <c r="J6" s="8" t="s">
        <v>110</v>
      </c>
      <c r="K6" s="8" t="s">
        <v>796</v>
      </c>
      <c r="L6" s="8" t="s">
        <v>110</v>
      </c>
      <c r="M6" s="8" t="s">
        <v>110</v>
      </c>
      <c r="N6" s="127"/>
      <c r="O6" s="8" t="s">
        <v>110</v>
      </c>
      <c r="P6" s="8" t="s">
        <v>110</v>
      </c>
      <c r="Q6" s="8" t="s">
        <v>110</v>
      </c>
      <c r="R6" s="8" t="s">
        <v>110</v>
      </c>
      <c r="S6" s="8" t="s">
        <v>110</v>
      </c>
      <c r="T6" s="146"/>
      <c r="U6" s="146"/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146"/>
      <c r="AH6" s="146"/>
      <c r="AI6" s="146"/>
      <c r="AJ6" s="146"/>
      <c r="AK6" s="5">
        <f t="shared" si="1"/>
        <v>9</v>
      </c>
      <c r="AL6" s="5">
        <f t="shared" si="2"/>
        <v>3</v>
      </c>
      <c r="AM6" s="5" t="s">
        <v>8</v>
      </c>
      <c r="AN6" s="9">
        <v>2</v>
      </c>
      <c r="AO6" s="3"/>
      <c r="AP6" s="3"/>
    </row>
    <row r="7" spans="1:42" x14ac:dyDescent="0.25">
      <c r="A7" s="21">
        <v>3</v>
      </c>
      <c r="B7" s="21">
        <v>653</v>
      </c>
      <c r="C7" s="24" t="s">
        <v>733</v>
      </c>
      <c r="D7" s="25" t="s">
        <v>734</v>
      </c>
      <c r="E7" s="20" t="s">
        <v>771</v>
      </c>
      <c r="F7" s="8" t="s">
        <v>110</v>
      </c>
      <c r="G7" s="127"/>
      <c r="H7" s="8" t="s">
        <v>110</v>
      </c>
      <c r="I7" s="8" t="s">
        <v>110</v>
      </c>
      <c r="J7" s="8" t="s">
        <v>110</v>
      </c>
      <c r="K7" s="8" t="s">
        <v>110</v>
      </c>
      <c r="L7" s="8" t="s">
        <v>110</v>
      </c>
      <c r="M7" s="8" t="s">
        <v>110</v>
      </c>
      <c r="N7" s="127"/>
      <c r="O7" s="8" t="s">
        <v>110</v>
      </c>
      <c r="P7" s="8" t="s">
        <v>110</v>
      </c>
      <c r="Q7" s="8" t="s">
        <v>110</v>
      </c>
      <c r="R7" s="8" t="s">
        <v>110</v>
      </c>
      <c r="S7" s="8" t="s">
        <v>110</v>
      </c>
      <c r="T7" s="146"/>
      <c r="U7" s="146"/>
      <c r="V7" s="146"/>
      <c r="W7" s="146"/>
      <c r="X7" s="146"/>
      <c r="Y7" s="146"/>
      <c r="Z7" s="146"/>
      <c r="AA7" s="146"/>
      <c r="AB7" s="146"/>
      <c r="AC7" s="146"/>
      <c r="AD7" s="146"/>
      <c r="AE7" s="146"/>
      <c r="AF7" s="146"/>
      <c r="AG7" s="146"/>
      <c r="AH7" s="146"/>
      <c r="AI7" s="146"/>
      <c r="AJ7" s="146"/>
      <c r="AK7" s="5">
        <f t="shared" si="1"/>
        <v>12</v>
      </c>
      <c r="AL7" s="5">
        <f t="shared" si="2"/>
        <v>0</v>
      </c>
      <c r="AM7" s="5" t="s">
        <v>803</v>
      </c>
      <c r="AN7" s="9">
        <v>17</v>
      </c>
      <c r="AO7" s="3"/>
      <c r="AP7" s="3"/>
    </row>
    <row r="8" spans="1:42" x14ac:dyDescent="0.25">
      <c r="A8" s="21">
        <v>4</v>
      </c>
      <c r="B8" s="21">
        <v>654</v>
      </c>
      <c r="C8" s="24" t="s">
        <v>735</v>
      </c>
      <c r="D8" s="25" t="s">
        <v>715</v>
      </c>
      <c r="E8" s="20" t="s">
        <v>771</v>
      </c>
      <c r="F8" s="8" t="s">
        <v>110</v>
      </c>
      <c r="G8" s="127"/>
      <c r="H8" s="8" t="s">
        <v>110</v>
      </c>
      <c r="I8" s="8" t="s">
        <v>110</v>
      </c>
      <c r="J8" s="8" t="s">
        <v>110</v>
      </c>
      <c r="K8" s="8" t="s">
        <v>110</v>
      </c>
      <c r="L8" s="8" t="s">
        <v>110</v>
      </c>
      <c r="M8" s="8" t="s">
        <v>110</v>
      </c>
      <c r="N8" s="127"/>
      <c r="O8" s="8" t="s">
        <v>110</v>
      </c>
      <c r="P8" s="8" t="s">
        <v>110</v>
      </c>
      <c r="Q8" s="8" t="s">
        <v>110</v>
      </c>
      <c r="R8" s="8" t="s">
        <v>110</v>
      </c>
      <c r="S8" s="8" t="s">
        <v>110</v>
      </c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5">
        <f t="shared" si="1"/>
        <v>12</v>
      </c>
      <c r="AL8" s="5">
        <f t="shared" si="2"/>
        <v>0</v>
      </c>
      <c r="AM8" s="5"/>
      <c r="AN8" s="9"/>
      <c r="AO8"/>
      <c r="AP8"/>
    </row>
    <row r="9" spans="1:42" x14ac:dyDescent="0.25">
      <c r="A9" s="21">
        <v>5</v>
      </c>
      <c r="B9" s="21">
        <v>655</v>
      </c>
      <c r="C9" s="24" t="s">
        <v>207</v>
      </c>
      <c r="D9" s="25" t="s">
        <v>428</v>
      </c>
      <c r="E9" s="20" t="s">
        <v>771</v>
      </c>
      <c r="F9" s="8" t="s">
        <v>110</v>
      </c>
      <c r="G9" s="127"/>
      <c r="H9" s="8" t="s">
        <v>110</v>
      </c>
      <c r="I9" s="8" t="s">
        <v>110</v>
      </c>
      <c r="J9" s="8" t="s">
        <v>110</v>
      </c>
      <c r="K9" s="8" t="s">
        <v>110</v>
      </c>
      <c r="L9" s="8" t="s">
        <v>110</v>
      </c>
      <c r="M9" s="8" t="s">
        <v>110</v>
      </c>
      <c r="N9" s="127"/>
      <c r="O9" s="8" t="s">
        <v>110</v>
      </c>
      <c r="P9" s="8" t="s">
        <v>110</v>
      </c>
      <c r="Q9" s="8" t="s">
        <v>110</v>
      </c>
      <c r="R9" s="8" t="s">
        <v>110</v>
      </c>
      <c r="S9" s="8" t="s">
        <v>110</v>
      </c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  <c r="AK9" s="5">
        <f t="shared" si="1"/>
        <v>12</v>
      </c>
      <c r="AL9" s="5">
        <f t="shared" si="2"/>
        <v>0</v>
      </c>
      <c r="AM9" s="5"/>
      <c r="AN9" s="9"/>
    </row>
    <row r="10" spans="1:42" x14ac:dyDescent="0.25">
      <c r="A10" s="21">
        <v>6</v>
      </c>
      <c r="B10" s="21">
        <v>656</v>
      </c>
      <c r="C10" s="24" t="s">
        <v>736</v>
      </c>
      <c r="D10" s="25" t="s">
        <v>737</v>
      </c>
      <c r="E10" s="20" t="s">
        <v>771</v>
      </c>
      <c r="F10" s="8" t="s">
        <v>110</v>
      </c>
      <c r="G10" s="127"/>
      <c r="H10" s="8" t="s">
        <v>110</v>
      </c>
      <c r="I10" s="8" t="s">
        <v>796</v>
      </c>
      <c r="J10" s="8" t="s">
        <v>110</v>
      </c>
      <c r="K10" s="8" t="s">
        <v>110</v>
      </c>
      <c r="L10" s="8" t="s">
        <v>110</v>
      </c>
      <c r="M10" s="8" t="s">
        <v>110</v>
      </c>
      <c r="N10" s="127"/>
      <c r="O10" s="8" t="s">
        <v>110</v>
      </c>
      <c r="P10" s="8" t="s">
        <v>110</v>
      </c>
      <c r="Q10" s="8" t="s">
        <v>110</v>
      </c>
      <c r="R10" s="8" t="s">
        <v>110</v>
      </c>
      <c r="S10" s="8" t="s">
        <v>110</v>
      </c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5">
        <f t="shared" si="1"/>
        <v>11</v>
      </c>
      <c r="AL10" s="5">
        <f t="shared" si="2"/>
        <v>1</v>
      </c>
    </row>
    <row r="11" spans="1:42" ht="15.75" x14ac:dyDescent="0.25">
      <c r="A11" s="21">
        <v>7</v>
      </c>
      <c r="B11" s="21">
        <v>657</v>
      </c>
      <c r="C11" s="24" t="s">
        <v>738</v>
      </c>
      <c r="D11" s="25" t="s">
        <v>739</v>
      </c>
      <c r="E11" s="20" t="s">
        <v>771</v>
      </c>
      <c r="F11" s="8" t="s">
        <v>796</v>
      </c>
      <c r="G11" s="127"/>
      <c r="H11" s="8" t="s">
        <v>796</v>
      </c>
      <c r="I11" s="8" t="s">
        <v>110</v>
      </c>
      <c r="J11" s="8" t="s">
        <v>796</v>
      </c>
      <c r="K11" s="8" t="s">
        <v>110</v>
      </c>
      <c r="L11" s="8" t="s">
        <v>796</v>
      </c>
      <c r="M11" s="8" t="s">
        <v>796</v>
      </c>
      <c r="N11" s="127"/>
      <c r="O11" s="8" t="s">
        <v>796</v>
      </c>
      <c r="P11" s="8" t="s">
        <v>796</v>
      </c>
      <c r="Q11" s="8" t="s">
        <v>796</v>
      </c>
      <c r="R11" s="8" t="s">
        <v>796</v>
      </c>
      <c r="S11" s="8" t="s">
        <v>796</v>
      </c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  <c r="AK11" s="5">
        <f t="shared" si="1"/>
        <v>2</v>
      </c>
      <c r="AL11" s="5">
        <f t="shared" si="2"/>
        <v>10</v>
      </c>
      <c r="AM11" s="115" t="s">
        <v>9</v>
      </c>
      <c r="AN11" s="116"/>
      <c r="AO11" s="116"/>
      <c r="AP11" s="117"/>
    </row>
    <row r="12" spans="1:42" x14ac:dyDescent="0.25">
      <c r="A12" s="21">
        <v>8</v>
      </c>
      <c r="B12" s="21">
        <v>658</v>
      </c>
      <c r="C12" s="24" t="s">
        <v>740</v>
      </c>
      <c r="D12" s="25" t="s">
        <v>64</v>
      </c>
      <c r="E12" s="20" t="s">
        <v>771</v>
      </c>
      <c r="F12" s="8" t="s">
        <v>110</v>
      </c>
      <c r="G12" s="127"/>
      <c r="H12" s="8" t="s">
        <v>110</v>
      </c>
      <c r="I12" s="8" t="s">
        <v>110</v>
      </c>
      <c r="J12" s="8" t="s">
        <v>796</v>
      </c>
      <c r="K12" s="8" t="s">
        <v>110</v>
      </c>
      <c r="L12" s="8" t="s">
        <v>110</v>
      </c>
      <c r="M12" s="8" t="s">
        <v>110</v>
      </c>
      <c r="N12" s="127"/>
      <c r="O12" s="8" t="s">
        <v>110</v>
      </c>
      <c r="P12" s="8" t="s">
        <v>110</v>
      </c>
      <c r="Q12" s="8" t="s">
        <v>110</v>
      </c>
      <c r="R12" s="8" t="s">
        <v>796</v>
      </c>
      <c r="S12" s="8" t="s">
        <v>110</v>
      </c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  <c r="AK12" s="5">
        <f t="shared" si="1"/>
        <v>10</v>
      </c>
      <c r="AL12" s="5">
        <f t="shared" si="2"/>
        <v>2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x14ac:dyDescent="0.25">
      <c r="A13" s="21">
        <v>9</v>
      </c>
      <c r="B13" s="21">
        <v>659</v>
      </c>
      <c r="C13" s="29" t="s">
        <v>741</v>
      </c>
      <c r="D13" s="30" t="s">
        <v>711</v>
      </c>
      <c r="E13" s="20" t="s">
        <v>771</v>
      </c>
      <c r="F13" s="8" t="s">
        <v>110</v>
      </c>
      <c r="G13" s="127"/>
      <c r="H13" s="8" t="s">
        <v>796</v>
      </c>
      <c r="I13" s="8" t="s">
        <v>110</v>
      </c>
      <c r="J13" s="8" t="s">
        <v>110</v>
      </c>
      <c r="K13" s="8" t="s">
        <v>796</v>
      </c>
      <c r="L13" s="8" t="s">
        <v>110</v>
      </c>
      <c r="M13" s="8" t="s">
        <v>110</v>
      </c>
      <c r="N13" s="127"/>
      <c r="O13" s="8" t="s">
        <v>110</v>
      </c>
      <c r="P13" s="8" t="s">
        <v>796</v>
      </c>
      <c r="Q13" s="8" t="s">
        <v>110</v>
      </c>
      <c r="R13" s="8" t="s">
        <v>110</v>
      </c>
      <c r="S13" s="8" t="s">
        <v>110</v>
      </c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5">
        <f t="shared" si="1"/>
        <v>9</v>
      </c>
      <c r="AL13" s="5">
        <f t="shared" si="2"/>
        <v>3</v>
      </c>
      <c r="AM13" s="5" t="s">
        <v>14</v>
      </c>
      <c r="AN13" s="9">
        <f>16*$AN$5</f>
        <v>192</v>
      </c>
      <c r="AO13" s="9">
        <f>19*$AN$5</f>
        <v>228</v>
      </c>
      <c r="AP13" s="9">
        <f>SUM(AN13:AO13)</f>
        <v>420</v>
      </c>
    </row>
    <row r="14" spans="1:42" x14ac:dyDescent="0.25">
      <c r="A14" s="21">
        <v>10</v>
      </c>
      <c r="B14" s="21">
        <v>660</v>
      </c>
      <c r="C14" s="26" t="s">
        <v>742</v>
      </c>
      <c r="D14" s="31" t="s">
        <v>743</v>
      </c>
      <c r="E14" s="20" t="s">
        <v>771</v>
      </c>
      <c r="F14" s="8" t="s">
        <v>110</v>
      </c>
      <c r="G14" s="127"/>
      <c r="H14" s="8" t="s">
        <v>110</v>
      </c>
      <c r="I14" s="8" t="s">
        <v>110</v>
      </c>
      <c r="J14" s="8" t="s">
        <v>110</v>
      </c>
      <c r="K14" s="8" t="s">
        <v>110</v>
      </c>
      <c r="L14" s="8" t="s">
        <v>110</v>
      </c>
      <c r="M14" s="8" t="s">
        <v>110</v>
      </c>
      <c r="N14" s="127"/>
      <c r="O14" s="8" t="s">
        <v>110</v>
      </c>
      <c r="P14" s="8" t="s">
        <v>110</v>
      </c>
      <c r="Q14" s="8" t="s">
        <v>110</v>
      </c>
      <c r="R14" s="8" t="s">
        <v>796</v>
      </c>
      <c r="S14" s="8" t="s">
        <v>110</v>
      </c>
      <c r="T14" s="146"/>
      <c r="U14" s="146"/>
      <c r="V14" s="146"/>
      <c r="W14" s="146"/>
      <c r="X14" s="146"/>
      <c r="Y14" s="146"/>
      <c r="Z14" s="146"/>
      <c r="AA14" s="146"/>
      <c r="AB14" s="146"/>
      <c r="AC14" s="146"/>
      <c r="AD14" s="146"/>
      <c r="AE14" s="146"/>
      <c r="AF14" s="146"/>
      <c r="AG14" s="146"/>
      <c r="AH14" s="146"/>
      <c r="AI14" s="146"/>
      <c r="AJ14" s="146"/>
      <c r="AK14" s="5">
        <f t="shared" si="1"/>
        <v>11</v>
      </c>
      <c r="AL14" s="5">
        <f t="shared" si="2"/>
        <v>1</v>
      </c>
      <c r="AM14" s="5" t="s">
        <v>15</v>
      </c>
      <c r="AN14" s="9">
        <f>SUM(AK5:AK20)</f>
        <v>140</v>
      </c>
      <c r="AO14" s="9">
        <f>SUM(AK21:AK39)</f>
        <v>175</v>
      </c>
      <c r="AP14" s="9">
        <f>AN14+AO14</f>
        <v>315</v>
      </c>
    </row>
    <row r="15" spans="1:42" x14ac:dyDescent="0.25">
      <c r="A15" s="21">
        <v>11</v>
      </c>
      <c r="B15" s="21">
        <v>661</v>
      </c>
      <c r="C15" s="24" t="s">
        <v>744</v>
      </c>
      <c r="D15" s="25" t="s">
        <v>745</v>
      </c>
      <c r="E15" s="20" t="s">
        <v>771</v>
      </c>
      <c r="F15" s="8" t="s">
        <v>110</v>
      </c>
      <c r="G15" s="127"/>
      <c r="H15" s="8" t="s">
        <v>110</v>
      </c>
      <c r="I15" s="8" t="s">
        <v>796</v>
      </c>
      <c r="J15" s="8" t="s">
        <v>110</v>
      </c>
      <c r="K15" s="8" t="s">
        <v>796</v>
      </c>
      <c r="L15" s="8" t="s">
        <v>110</v>
      </c>
      <c r="M15" s="8" t="s">
        <v>110</v>
      </c>
      <c r="N15" s="127"/>
      <c r="O15" s="8" t="s">
        <v>110</v>
      </c>
      <c r="P15" s="8" t="s">
        <v>110</v>
      </c>
      <c r="Q15" s="8" t="s">
        <v>110</v>
      </c>
      <c r="R15" s="8" t="s">
        <v>110</v>
      </c>
      <c r="S15" s="8" t="s">
        <v>110</v>
      </c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5">
        <f t="shared" si="1"/>
        <v>10</v>
      </c>
      <c r="AL15" s="5">
        <f t="shared" si="2"/>
        <v>2</v>
      </c>
      <c r="AM15" s="5" t="s">
        <v>16</v>
      </c>
      <c r="AN15" s="12">
        <f>AN14/AN13</f>
        <v>0.72916666666666663</v>
      </c>
      <c r="AO15" s="12">
        <f>AO14/AO13</f>
        <v>0.76754385964912286</v>
      </c>
      <c r="AP15" s="12">
        <f>AP14/AP13</f>
        <v>0.75</v>
      </c>
    </row>
    <row r="16" spans="1:42" x14ac:dyDescent="0.25">
      <c r="A16" s="21">
        <v>12</v>
      </c>
      <c r="B16" s="21">
        <v>662</v>
      </c>
      <c r="C16" s="24" t="s">
        <v>746</v>
      </c>
      <c r="D16" s="25" t="s">
        <v>747</v>
      </c>
      <c r="E16" s="20" t="s">
        <v>771</v>
      </c>
      <c r="F16" s="8" t="s">
        <v>110</v>
      </c>
      <c r="G16" s="127"/>
      <c r="H16" s="8" t="s">
        <v>110</v>
      </c>
      <c r="I16" s="8" t="s">
        <v>110</v>
      </c>
      <c r="J16" s="8" t="s">
        <v>110</v>
      </c>
      <c r="K16" s="8" t="s">
        <v>796</v>
      </c>
      <c r="L16" s="8" t="s">
        <v>110</v>
      </c>
      <c r="M16" s="8" t="s">
        <v>110</v>
      </c>
      <c r="N16" s="127"/>
      <c r="O16" s="8" t="s">
        <v>110</v>
      </c>
      <c r="P16" s="8" t="s">
        <v>110</v>
      </c>
      <c r="Q16" s="8" t="s">
        <v>796</v>
      </c>
      <c r="R16" s="8" t="s">
        <v>110</v>
      </c>
      <c r="S16" s="8" t="s">
        <v>110</v>
      </c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  <c r="AK16" s="5">
        <f t="shared" si="1"/>
        <v>10</v>
      </c>
      <c r="AL16" s="5">
        <f t="shared" si="2"/>
        <v>2</v>
      </c>
      <c r="AM16"/>
      <c r="AN16"/>
      <c r="AO16"/>
      <c r="AP16"/>
    </row>
    <row r="17" spans="1:42" x14ac:dyDescent="0.25">
      <c r="A17" s="21">
        <v>13</v>
      </c>
      <c r="B17" s="21">
        <v>663</v>
      </c>
      <c r="C17" s="24" t="s">
        <v>748</v>
      </c>
      <c r="D17" s="25" t="s">
        <v>749</v>
      </c>
      <c r="E17" s="20" t="s">
        <v>771</v>
      </c>
      <c r="F17" s="8" t="s">
        <v>110</v>
      </c>
      <c r="G17" s="127"/>
      <c r="H17" s="8" t="s">
        <v>110</v>
      </c>
      <c r="I17" s="8" t="s">
        <v>110</v>
      </c>
      <c r="J17" s="8" t="s">
        <v>796</v>
      </c>
      <c r="K17" s="8" t="s">
        <v>796</v>
      </c>
      <c r="L17" s="8" t="s">
        <v>110</v>
      </c>
      <c r="M17" s="8" t="s">
        <v>110</v>
      </c>
      <c r="N17" s="127"/>
      <c r="O17" s="8" t="s">
        <v>110</v>
      </c>
      <c r="P17" s="8" t="s">
        <v>110</v>
      </c>
      <c r="Q17" s="8" t="s">
        <v>110</v>
      </c>
      <c r="R17" s="8" t="s">
        <v>110</v>
      </c>
      <c r="S17" s="8" t="s">
        <v>110</v>
      </c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5">
        <f t="shared" si="1"/>
        <v>10</v>
      </c>
      <c r="AL17" s="5">
        <f t="shared" si="2"/>
        <v>2</v>
      </c>
      <c r="AM17"/>
      <c r="AN17"/>
      <c r="AO17"/>
      <c r="AP17"/>
    </row>
    <row r="18" spans="1:42" x14ac:dyDescent="0.25">
      <c r="A18" s="21">
        <v>14</v>
      </c>
      <c r="B18" s="21">
        <v>664</v>
      </c>
      <c r="C18" s="24" t="s">
        <v>750</v>
      </c>
      <c r="D18" s="25" t="s">
        <v>314</v>
      </c>
      <c r="E18" s="20" t="s">
        <v>771</v>
      </c>
      <c r="F18" s="8" t="s">
        <v>110</v>
      </c>
      <c r="G18" s="127"/>
      <c r="H18" s="8" t="s">
        <v>110</v>
      </c>
      <c r="I18" s="8" t="s">
        <v>110</v>
      </c>
      <c r="J18" s="8" t="s">
        <v>110</v>
      </c>
      <c r="K18" s="8" t="s">
        <v>110</v>
      </c>
      <c r="L18" s="8" t="s">
        <v>110</v>
      </c>
      <c r="M18" s="8" t="s">
        <v>110</v>
      </c>
      <c r="N18" s="127"/>
      <c r="O18" s="8" t="s">
        <v>110</v>
      </c>
      <c r="P18" s="8" t="s">
        <v>796</v>
      </c>
      <c r="Q18" s="8" t="s">
        <v>110</v>
      </c>
      <c r="R18" s="8" t="s">
        <v>110</v>
      </c>
      <c r="S18" s="8" t="s">
        <v>110</v>
      </c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5">
        <f t="shared" si="1"/>
        <v>11</v>
      </c>
      <c r="AL18" s="5">
        <f t="shared" si="2"/>
        <v>1</v>
      </c>
      <c r="AM18"/>
      <c r="AN18"/>
      <c r="AO18"/>
      <c r="AP18"/>
    </row>
    <row r="19" spans="1:42" ht="15.75" x14ac:dyDescent="0.25">
      <c r="A19" s="21">
        <v>15</v>
      </c>
      <c r="B19" s="21">
        <v>665</v>
      </c>
      <c r="C19" s="24" t="s">
        <v>432</v>
      </c>
      <c r="D19" s="25" t="s">
        <v>722</v>
      </c>
      <c r="E19" s="20" t="s">
        <v>771</v>
      </c>
      <c r="F19" s="8" t="s">
        <v>796</v>
      </c>
      <c r="G19" s="127"/>
      <c r="H19" s="8" t="s">
        <v>796</v>
      </c>
      <c r="I19" s="8" t="s">
        <v>796</v>
      </c>
      <c r="J19" s="8" t="s">
        <v>796</v>
      </c>
      <c r="K19" s="8" t="s">
        <v>796</v>
      </c>
      <c r="L19" s="8" t="s">
        <v>796</v>
      </c>
      <c r="M19" s="8" t="s">
        <v>796</v>
      </c>
      <c r="N19" s="127"/>
      <c r="O19" s="8" t="s">
        <v>796</v>
      </c>
      <c r="P19" s="8" t="s">
        <v>796</v>
      </c>
      <c r="Q19" s="8" t="s">
        <v>796</v>
      </c>
      <c r="R19" s="8" t="s">
        <v>796</v>
      </c>
      <c r="S19" s="8" t="s">
        <v>796</v>
      </c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5">
        <f t="shared" si="1"/>
        <v>0</v>
      </c>
      <c r="AL19" s="5">
        <f t="shared" si="2"/>
        <v>12</v>
      </c>
      <c r="AM19" s="115" t="s">
        <v>122</v>
      </c>
      <c r="AN19" s="116"/>
      <c r="AO19" s="116"/>
      <c r="AP19" s="117"/>
    </row>
    <row r="20" spans="1:42" x14ac:dyDescent="0.25">
      <c r="A20" s="21">
        <v>16</v>
      </c>
      <c r="B20" s="21">
        <v>666</v>
      </c>
      <c r="C20" s="24" t="s">
        <v>50</v>
      </c>
      <c r="D20" s="25"/>
      <c r="E20" s="20" t="s">
        <v>771</v>
      </c>
      <c r="F20" s="8" t="s">
        <v>796</v>
      </c>
      <c r="G20" s="127"/>
      <c r="H20" s="8" t="s">
        <v>796</v>
      </c>
      <c r="I20" s="8" t="s">
        <v>796</v>
      </c>
      <c r="J20" s="8" t="s">
        <v>110</v>
      </c>
      <c r="K20" s="8" t="s">
        <v>110</v>
      </c>
      <c r="L20" s="8" t="s">
        <v>796</v>
      </c>
      <c r="M20" s="8" t="s">
        <v>796</v>
      </c>
      <c r="N20" s="127"/>
      <c r="O20" s="8" t="s">
        <v>796</v>
      </c>
      <c r="P20" s="8" t="s">
        <v>796</v>
      </c>
      <c r="Q20" s="8" t="s">
        <v>110</v>
      </c>
      <c r="R20" s="8" t="s">
        <v>796</v>
      </c>
      <c r="S20" s="8" t="s">
        <v>796</v>
      </c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  <c r="AK20" s="5">
        <f t="shared" si="1"/>
        <v>3</v>
      </c>
      <c r="AL20" s="5">
        <f t="shared" si="2"/>
        <v>9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x14ac:dyDescent="0.25">
      <c r="A21" s="21">
        <v>1</v>
      </c>
      <c r="B21" s="21">
        <v>523</v>
      </c>
      <c r="C21" s="24" t="s">
        <v>751</v>
      </c>
      <c r="D21" s="25" t="s">
        <v>752</v>
      </c>
      <c r="E21" s="20" t="s">
        <v>771</v>
      </c>
      <c r="F21" s="8" t="s">
        <v>796</v>
      </c>
      <c r="G21" s="127"/>
      <c r="H21" s="8" t="s">
        <v>796</v>
      </c>
      <c r="I21" s="8" t="s">
        <v>796</v>
      </c>
      <c r="J21" s="8" t="s">
        <v>796</v>
      </c>
      <c r="K21" s="8" t="s">
        <v>796</v>
      </c>
      <c r="L21" s="8" t="s">
        <v>796</v>
      </c>
      <c r="M21" s="8" t="s">
        <v>110</v>
      </c>
      <c r="N21" s="127"/>
      <c r="O21" s="8" t="s">
        <v>796</v>
      </c>
      <c r="P21" s="8" t="s">
        <v>796</v>
      </c>
      <c r="Q21" s="8" t="s">
        <v>796</v>
      </c>
      <c r="R21" s="8" t="s">
        <v>796</v>
      </c>
      <c r="S21" s="8" t="s">
        <v>796</v>
      </c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  <c r="AF21" s="146"/>
      <c r="AG21" s="146"/>
      <c r="AH21" s="146"/>
      <c r="AI21" s="146"/>
      <c r="AJ21" s="146"/>
      <c r="AK21" s="5">
        <f t="shared" si="1"/>
        <v>1</v>
      </c>
      <c r="AL21" s="5">
        <f t="shared" si="2"/>
        <v>11</v>
      </c>
      <c r="AM21" s="5" t="s">
        <v>14</v>
      </c>
      <c r="AN21" s="9">
        <f>16*$AN$5</f>
        <v>192</v>
      </c>
      <c r="AO21" s="9">
        <f>19*$AN$5</f>
        <v>228</v>
      </c>
      <c r="AP21" s="9">
        <f>AN21+AO21</f>
        <v>420</v>
      </c>
    </row>
    <row r="22" spans="1:42" x14ac:dyDescent="0.25">
      <c r="A22" s="21">
        <v>2</v>
      </c>
      <c r="B22" s="21">
        <v>524</v>
      </c>
      <c r="C22" s="24" t="s">
        <v>753</v>
      </c>
      <c r="D22" s="25" t="s">
        <v>115</v>
      </c>
      <c r="E22" s="20" t="s">
        <v>771</v>
      </c>
      <c r="F22" s="8" t="s">
        <v>796</v>
      </c>
      <c r="G22" s="127"/>
      <c r="H22" s="8" t="s">
        <v>796</v>
      </c>
      <c r="I22" s="8" t="s">
        <v>796</v>
      </c>
      <c r="J22" s="8" t="s">
        <v>796</v>
      </c>
      <c r="K22" s="8" t="s">
        <v>110</v>
      </c>
      <c r="L22" s="8" t="s">
        <v>796</v>
      </c>
      <c r="M22" s="8" t="s">
        <v>110</v>
      </c>
      <c r="N22" s="127"/>
      <c r="O22" s="8" t="s">
        <v>796</v>
      </c>
      <c r="P22" s="8" t="s">
        <v>796</v>
      </c>
      <c r="Q22" s="8" t="s">
        <v>796</v>
      </c>
      <c r="R22" s="8" t="s">
        <v>796</v>
      </c>
      <c r="S22" s="8" t="s">
        <v>110</v>
      </c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5">
        <f t="shared" si="1"/>
        <v>3</v>
      </c>
      <c r="AL22" s="5">
        <f t="shared" si="2"/>
        <v>9</v>
      </c>
      <c r="AM22" s="5" t="s">
        <v>17</v>
      </c>
      <c r="AN22" s="9">
        <f>AN21-AN14</f>
        <v>52</v>
      </c>
      <c r="AO22" s="9">
        <f>AO21-AO14</f>
        <v>53</v>
      </c>
      <c r="AP22" s="9">
        <f>AN22+AO22</f>
        <v>105</v>
      </c>
    </row>
    <row r="23" spans="1:42" x14ac:dyDescent="0.25">
      <c r="A23" s="21">
        <v>3</v>
      </c>
      <c r="B23" s="21">
        <v>525</v>
      </c>
      <c r="C23" s="24" t="s">
        <v>754</v>
      </c>
      <c r="D23" s="25" t="s">
        <v>755</v>
      </c>
      <c r="E23" s="20" t="s">
        <v>771</v>
      </c>
      <c r="F23" s="8" t="s">
        <v>110</v>
      </c>
      <c r="G23" s="127"/>
      <c r="H23" s="8" t="s">
        <v>110</v>
      </c>
      <c r="I23" s="8" t="s">
        <v>110</v>
      </c>
      <c r="J23" s="8" t="s">
        <v>110</v>
      </c>
      <c r="K23" s="8" t="s">
        <v>110</v>
      </c>
      <c r="L23" s="8" t="s">
        <v>110</v>
      </c>
      <c r="M23" s="8" t="s">
        <v>110</v>
      </c>
      <c r="N23" s="127"/>
      <c r="O23" s="8" t="s">
        <v>110</v>
      </c>
      <c r="P23" s="8" t="s">
        <v>110</v>
      </c>
      <c r="Q23" s="8" t="s">
        <v>110</v>
      </c>
      <c r="R23" s="8" t="s">
        <v>110</v>
      </c>
      <c r="S23" s="8" t="s">
        <v>796</v>
      </c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5">
        <f t="shared" si="1"/>
        <v>11</v>
      </c>
      <c r="AL23" s="5">
        <f t="shared" si="2"/>
        <v>1</v>
      </c>
      <c r="AM23" s="5" t="s">
        <v>16</v>
      </c>
      <c r="AN23" s="12">
        <f>AN22/AN21</f>
        <v>0.27083333333333331</v>
      </c>
      <c r="AO23" s="12">
        <f>AO22/AO21</f>
        <v>0.23245614035087719</v>
      </c>
      <c r="AP23" s="12">
        <f>AP22/AP21</f>
        <v>0.25</v>
      </c>
    </row>
    <row r="24" spans="1:42" x14ac:dyDescent="0.25">
      <c r="A24" s="21">
        <v>4</v>
      </c>
      <c r="B24" s="21">
        <v>526</v>
      </c>
      <c r="C24" s="24" t="s">
        <v>756</v>
      </c>
      <c r="D24" s="25" t="s">
        <v>391</v>
      </c>
      <c r="E24" s="20" t="s">
        <v>771</v>
      </c>
      <c r="F24" s="8" t="s">
        <v>796</v>
      </c>
      <c r="G24" s="127"/>
      <c r="H24" s="8" t="s">
        <v>110</v>
      </c>
      <c r="I24" s="8" t="s">
        <v>110</v>
      </c>
      <c r="J24" s="8" t="s">
        <v>796</v>
      </c>
      <c r="K24" s="8" t="s">
        <v>796</v>
      </c>
      <c r="L24" s="8" t="s">
        <v>796</v>
      </c>
      <c r="M24" s="8" t="s">
        <v>110</v>
      </c>
      <c r="N24" s="127"/>
      <c r="O24" s="8" t="s">
        <v>796</v>
      </c>
      <c r="P24" s="8" t="s">
        <v>110</v>
      </c>
      <c r="Q24" s="8" t="s">
        <v>110</v>
      </c>
      <c r="R24" s="8" t="s">
        <v>110</v>
      </c>
      <c r="S24" s="8" t="s">
        <v>110</v>
      </c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5">
        <f t="shared" si="1"/>
        <v>7</v>
      </c>
      <c r="AL24" s="5">
        <f t="shared" si="2"/>
        <v>5</v>
      </c>
    </row>
    <row r="25" spans="1:42" x14ac:dyDescent="0.25">
      <c r="A25" s="21">
        <v>5</v>
      </c>
      <c r="B25" s="21">
        <v>527</v>
      </c>
      <c r="C25" s="24" t="s">
        <v>257</v>
      </c>
      <c r="D25" s="25" t="s">
        <v>757</v>
      </c>
      <c r="E25" s="20" t="s">
        <v>771</v>
      </c>
      <c r="F25" s="8" t="s">
        <v>110</v>
      </c>
      <c r="G25" s="127"/>
      <c r="H25" s="8" t="s">
        <v>796</v>
      </c>
      <c r="I25" s="8" t="s">
        <v>110</v>
      </c>
      <c r="J25" s="8" t="s">
        <v>110</v>
      </c>
      <c r="K25" s="8" t="s">
        <v>110</v>
      </c>
      <c r="L25" s="8" t="s">
        <v>796</v>
      </c>
      <c r="M25" s="8" t="s">
        <v>110</v>
      </c>
      <c r="N25" s="127"/>
      <c r="O25" s="8" t="s">
        <v>110</v>
      </c>
      <c r="P25" s="8" t="s">
        <v>110</v>
      </c>
      <c r="Q25" s="8" t="s">
        <v>796</v>
      </c>
      <c r="R25" s="8" t="s">
        <v>110</v>
      </c>
      <c r="S25" s="8" t="s">
        <v>110</v>
      </c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5">
        <f t="shared" si="1"/>
        <v>9</v>
      </c>
      <c r="AL25" s="5">
        <f t="shared" si="2"/>
        <v>3</v>
      </c>
    </row>
    <row r="26" spans="1:42" x14ac:dyDescent="0.25">
      <c r="A26" s="21">
        <v>6</v>
      </c>
      <c r="B26" s="21">
        <v>528</v>
      </c>
      <c r="C26" s="24" t="s">
        <v>758</v>
      </c>
      <c r="D26" s="25" t="s">
        <v>737</v>
      </c>
      <c r="E26" s="20" t="s">
        <v>771</v>
      </c>
      <c r="F26" s="8" t="s">
        <v>110</v>
      </c>
      <c r="G26" s="127"/>
      <c r="H26" s="8" t="s">
        <v>110</v>
      </c>
      <c r="I26" s="8" t="s">
        <v>110</v>
      </c>
      <c r="J26" s="8" t="s">
        <v>110</v>
      </c>
      <c r="K26" s="8" t="s">
        <v>110</v>
      </c>
      <c r="L26" s="8" t="s">
        <v>110</v>
      </c>
      <c r="M26" s="8" t="s">
        <v>110</v>
      </c>
      <c r="N26" s="127"/>
      <c r="O26" s="8" t="s">
        <v>110</v>
      </c>
      <c r="P26" s="8" t="s">
        <v>110</v>
      </c>
      <c r="Q26" s="8" t="s">
        <v>110</v>
      </c>
      <c r="R26" s="8" t="s">
        <v>110</v>
      </c>
      <c r="S26" s="8" t="s">
        <v>110</v>
      </c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5">
        <f t="shared" si="1"/>
        <v>12</v>
      </c>
      <c r="AL26" s="5">
        <f t="shared" si="2"/>
        <v>0</v>
      </c>
    </row>
    <row r="27" spans="1:42" x14ac:dyDescent="0.25">
      <c r="A27" s="21">
        <v>7</v>
      </c>
      <c r="B27" s="21">
        <v>529</v>
      </c>
      <c r="C27" s="24" t="s">
        <v>759</v>
      </c>
      <c r="D27" s="25" t="s">
        <v>247</v>
      </c>
      <c r="E27" s="20" t="s">
        <v>771</v>
      </c>
      <c r="F27" s="8" t="s">
        <v>110</v>
      </c>
      <c r="G27" s="127"/>
      <c r="H27" s="8" t="s">
        <v>110</v>
      </c>
      <c r="I27" s="8" t="s">
        <v>110</v>
      </c>
      <c r="J27" s="8" t="s">
        <v>110</v>
      </c>
      <c r="K27" s="8" t="s">
        <v>110</v>
      </c>
      <c r="L27" s="8" t="s">
        <v>110</v>
      </c>
      <c r="M27" s="8" t="s">
        <v>110</v>
      </c>
      <c r="N27" s="127"/>
      <c r="O27" s="8" t="s">
        <v>110</v>
      </c>
      <c r="P27" s="8" t="s">
        <v>110</v>
      </c>
      <c r="Q27" s="8" t="s">
        <v>110</v>
      </c>
      <c r="R27" s="8" t="s">
        <v>110</v>
      </c>
      <c r="S27" s="8" t="s">
        <v>110</v>
      </c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5">
        <f t="shared" si="1"/>
        <v>12</v>
      </c>
      <c r="AL27" s="5">
        <f t="shared" si="2"/>
        <v>0</v>
      </c>
    </row>
    <row r="28" spans="1:42" x14ac:dyDescent="0.25">
      <c r="A28" s="21">
        <v>8</v>
      </c>
      <c r="B28" s="21">
        <v>530</v>
      </c>
      <c r="C28" s="24" t="s">
        <v>760</v>
      </c>
      <c r="D28" s="25" t="s">
        <v>416</v>
      </c>
      <c r="E28" s="20" t="s">
        <v>771</v>
      </c>
      <c r="F28" s="8" t="s">
        <v>110</v>
      </c>
      <c r="G28" s="127"/>
      <c r="H28" s="8" t="s">
        <v>110</v>
      </c>
      <c r="I28" s="8" t="s">
        <v>110</v>
      </c>
      <c r="J28" s="8" t="s">
        <v>110</v>
      </c>
      <c r="K28" s="8" t="s">
        <v>110</v>
      </c>
      <c r="L28" s="8" t="s">
        <v>796</v>
      </c>
      <c r="M28" s="8" t="s">
        <v>110</v>
      </c>
      <c r="N28" s="127"/>
      <c r="O28" s="8" t="s">
        <v>110</v>
      </c>
      <c r="P28" s="8" t="s">
        <v>110</v>
      </c>
      <c r="Q28" s="8" t="s">
        <v>110</v>
      </c>
      <c r="R28" s="8" t="s">
        <v>110</v>
      </c>
      <c r="S28" s="8" t="s">
        <v>110</v>
      </c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5">
        <f t="shared" si="1"/>
        <v>11</v>
      </c>
      <c r="AL28" s="5">
        <f t="shared" si="2"/>
        <v>1</v>
      </c>
    </row>
    <row r="29" spans="1:42" x14ac:dyDescent="0.25">
      <c r="A29" s="21">
        <v>9</v>
      </c>
      <c r="B29" s="21">
        <v>531</v>
      </c>
      <c r="C29" s="24" t="s">
        <v>761</v>
      </c>
      <c r="D29" s="25" t="s">
        <v>416</v>
      </c>
      <c r="E29" s="20" t="s">
        <v>771</v>
      </c>
      <c r="F29" s="8" t="s">
        <v>110</v>
      </c>
      <c r="G29" s="127"/>
      <c r="H29" s="8" t="s">
        <v>110</v>
      </c>
      <c r="I29" s="8" t="s">
        <v>110</v>
      </c>
      <c r="J29" s="8" t="s">
        <v>110</v>
      </c>
      <c r="K29" s="8" t="s">
        <v>110</v>
      </c>
      <c r="L29" s="8" t="s">
        <v>796</v>
      </c>
      <c r="M29" s="8" t="s">
        <v>110</v>
      </c>
      <c r="N29" s="127"/>
      <c r="O29" s="8" t="s">
        <v>110</v>
      </c>
      <c r="P29" s="8" t="s">
        <v>110</v>
      </c>
      <c r="Q29" s="8" t="s">
        <v>110</v>
      </c>
      <c r="R29" s="8" t="s">
        <v>110</v>
      </c>
      <c r="S29" s="8" t="s">
        <v>110</v>
      </c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5">
        <f t="shared" si="1"/>
        <v>11</v>
      </c>
      <c r="AL29" s="5">
        <f t="shared" si="2"/>
        <v>1</v>
      </c>
    </row>
    <row r="30" spans="1:42" x14ac:dyDescent="0.25">
      <c r="A30" s="21">
        <v>10</v>
      </c>
      <c r="B30" s="21">
        <v>532</v>
      </c>
      <c r="C30" s="24" t="s">
        <v>762</v>
      </c>
      <c r="D30" s="25" t="s">
        <v>763</v>
      </c>
      <c r="E30" s="20" t="s">
        <v>771</v>
      </c>
      <c r="F30" s="8" t="s">
        <v>110</v>
      </c>
      <c r="G30" s="127"/>
      <c r="H30" s="8" t="s">
        <v>110</v>
      </c>
      <c r="I30" s="8" t="s">
        <v>110</v>
      </c>
      <c r="J30" s="8" t="s">
        <v>110</v>
      </c>
      <c r="K30" s="8" t="s">
        <v>110</v>
      </c>
      <c r="L30" s="8" t="s">
        <v>110</v>
      </c>
      <c r="M30" s="8" t="s">
        <v>110</v>
      </c>
      <c r="N30" s="127"/>
      <c r="O30" s="8" t="s">
        <v>110</v>
      </c>
      <c r="P30" s="8" t="s">
        <v>110</v>
      </c>
      <c r="Q30" s="8" t="s">
        <v>110</v>
      </c>
      <c r="R30" s="8" t="s">
        <v>110</v>
      </c>
      <c r="S30" s="8" t="s">
        <v>110</v>
      </c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5">
        <f t="shared" si="1"/>
        <v>12</v>
      </c>
      <c r="AL30" s="5">
        <f t="shared" si="2"/>
        <v>0</v>
      </c>
    </row>
    <row r="31" spans="1:42" x14ac:dyDescent="0.25">
      <c r="A31" s="21">
        <v>11</v>
      </c>
      <c r="B31" s="103">
        <v>533</v>
      </c>
      <c r="C31" s="27" t="s">
        <v>508</v>
      </c>
      <c r="D31" s="28" t="s">
        <v>351</v>
      </c>
      <c r="E31" s="20" t="s">
        <v>771</v>
      </c>
      <c r="F31" s="8" t="s">
        <v>796</v>
      </c>
      <c r="G31" s="127"/>
      <c r="H31" s="8" t="s">
        <v>796</v>
      </c>
      <c r="I31" s="8" t="s">
        <v>796</v>
      </c>
      <c r="J31" s="8" t="s">
        <v>796</v>
      </c>
      <c r="K31" s="8" t="s">
        <v>796</v>
      </c>
      <c r="L31" s="8" t="s">
        <v>796</v>
      </c>
      <c r="M31" s="8" t="s">
        <v>796</v>
      </c>
      <c r="N31" s="127"/>
      <c r="O31" s="8" t="s">
        <v>796</v>
      </c>
      <c r="P31" s="8" t="s">
        <v>796</v>
      </c>
      <c r="Q31" s="8" t="s">
        <v>110</v>
      </c>
      <c r="R31" s="8" t="s">
        <v>110</v>
      </c>
      <c r="S31" s="8" t="s">
        <v>110</v>
      </c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5">
        <f t="shared" si="1"/>
        <v>3</v>
      </c>
      <c r="AL31" s="5">
        <f t="shared" si="2"/>
        <v>9</v>
      </c>
    </row>
    <row r="32" spans="1:42" x14ac:dyDescent="0.25">
      <c r="A32" s="21">
        <v>12</v>
      </c>
      <c r="B32" s="21">
        <v>534</v>
      </c>
      <c r="C32" s="29" t="s">
        <v>764</v>
      </c>
      <c r="D32" s="29" t="s">
        <v>743</v>
      </c>
      <c r="E32" s="20" t="s">
        <v>771</v>
      </c>
      <c r="F32" s="8" t="s">
        <v>110</v>
      </c>
      <c r="G32" s="127"/>
      <c r="H32" s="8" t="s">
        <v>110</v>
      </c>
      <c r="I32" s="8" t="s">
        <v>110</v>
      </c>
      <c r="J32" s="8" t="s">
        <v>796</v>
      </c>
      <c r="K32" s="8" t="s">
        <v>110</v>
      </c>
      <c r="L32" s="8" t="s">
        <v>110</v>
      </c>
      <c r="M32" s="8" t="s">
        <v>110</v>
      </c>
      <c r="N32" s="127"/>
      <c r="O32" s="8" t="s">
        <v>110</v>
      </c>
      <c r="P32" s="8" t="s">
        <v>110</v>
      </c>
      <c r="Q32" s="8" t="s">
        <v>796</v>
      </c>
      <c r="R32" s="8" t="s">
        <v>796</v>
      </c>
      <c r="S32" s="8" t="s">
        <v>796</v>
      </c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5">
        <f t="shared" si="1"/>
        <v>8</v>
      </c>
      <c r="AL32" s="5">
        <f t="shared" si="2"/>
        <v>4</v>
      </c>
    </row>
    <row r="33" spans="1:38" x14ac:dyDescent="0.25">
      <c r="A33" s="21">
        <v>13</v>
      </c>
      <c r="B33" s="21">
        <v>535</v>
      </c>
      <c r="C33" s="29" t="s">
        <v>765</v>
      </c>
      <c r="D33" s="29" t="s">
        <v>766</v>
      </c>
      <c r="E33" s="20" t="s">
        <v>771</v>
      </c>
      <c r="F33" s="8" t="s">
        <v>110</v>
      </c>
      <c r="G33" s="127"/>
      <c r="H33" s="8" t="s">
        <v>110</v>
      </c>
      <c r="I33" s="8" t="s">
        <v>110</v>
      </c>
      <c r="J33" s="8" t="s">
        <v>110</v>
      </c>
      <c r="K33" s="8" t="s">
        <v>110</v>
      </c>
      <c r="L33" s="8" t="s">
        <v>110</v>
      </c>
      <c r="M33" s="8" t="s">
        <v>110</v>
      </c>
      <c r="N33" s="127"/>
      <c r="O33" s="8" t="s">
        <v>110</v>
      </c>
      <c r="P33" s="8" t="s">
        <v>110</v>
      </c>
      <c r="Q33" s="8" t="s">
        <v>110</v>
      </c>
      <c r="R33" s="8" t="s">
        <v>110</v>
      </c>
      <c r="S33" s="8" t="s">
        <v>110</v>
      </c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5">
        <f t="shared" si="1"/>
        <v>12</v>
      </c>
      <c r="AL33" s="5">
        <f t="shared" si="2"/>
        <v>0</v>
      </c>
    </row>
    <row r="34" spans="1:38" x14ac:dyDescent="0.25">
      <c r="A34" s="21">
        <v>14</v>
      </c>
      <c r="B34" s="21">
        <v>536</v>
      </c>
      <c r="C34" s="29" t="s">
        <v>767</v>
      </c>
      <c r="D34" s="29" t="s">
        <v>768</v>
      </c>
      <c r="E34" s="20" t="s">
        <v>771</v>
      </c>
      <c r="F34" s="8" t="s">
        <v>110</v>
      </c>
      <c r="G34" s="127"/>
      <c r="H34" s="8" t="s">
        <v>110</v>
      </c>
      <c r="I34" s="8" t="s">
        <v>110</v>
      </c>
      <c r="J34" s="8" t="s">
        <v>110</v>
      </c>
      <c r="K34" s="8" t="s">
        <v>110</v>
      </c>
      <c r="L34" s="8" t="s">
        <v>110</v>
      </c>
      <c r="M34" s="8" t="s">
        <v>110</v>
      </c>
      <c r="N34" s="127"/>
      <c r="O34" s="8" t="s">
        <v>110</v>
      </c>
      <c r="P34" s="8" t="s">
        <v>110</v>
      </c>
      <c r="Q34" s="8" t="s">
        <v>110</v>
      </c>
      <c r="R34" s="8" t="s">
        <v>110</v>
      </c>
      <c r="S34" s="8" t="s">
        <v>110</v>
      </c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5">
        <f t="shared" si="1"/>
        <v>12</v>
      </c>
      <c r="AL34" s="5">
        <f t="shared" si="2"/>
        <v>0</v>
      </c>
    </row>
    <row r="35" spans="1:38" x14ac:dyDescent="0.25">
      <c r="A35" s="21">
        <v>15</v>
      </c>
      <c r="B35" s="21">
        <v>537</v>
      </c>
      <c r="C35" s="14" t="s">
        <v>408</v>
      </c>
      <c r="D35" s="14" t="s">
        <v>139</v>
      </c>
      <c r="E35" s="20" t="s">
        <v>771</v>
      </c>
      <c r="F35" s="8" t="s">
        <v>110</v>
      </c>
      <c r="G35" s="127"/>
      <c r="H35" s="8" t="s">
        <v>110</v>
      </c>
      <c r="I35" s="8" t="s">
        <v>110</v>
      </c>
      <c r="J35" s="8" t="s">
        <v>110</v>
      </c>
      <c r="K35" s="8" t="s">
        <v>110</v>
      </c>
      <c r="L35" s="8" t="s">
        <v>110</v>
      </c>
      <c r="M35" s="8" t="s">
        <v>110</v>
      </c>
      <c r="N35" s="127"/>
      <c r="O35" s="8" t="s">
        <v>110</v>
      </c>
      <c r="P35" s="8" t="s">
        <v>110</v>
      </c>
      <c r="Q35" s="8" t="s">
        <v>110</v>
      </c>
      <c r="R35" s="8" t="s">
        <v>110</v>
      </c>
      <c r="S35" s="8" t="s">
        <v>110</v>
      </c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6"/>
      <c r="AI35" s="146"/>
      <c r="AJ35" s="146"/>
      <c r="AK35" s="5">
        <f t="shared" si="1"/>
        <v>12</v>
      </c>
      <c r="AL35" s="5">
        <f t="shared" si="2"/>
        <v>0</v>
      </c>
    </row>
    <row r="36" spans="1:38" x14ac:dyDescent="0.25">
      <c r="A36" s="21">
        <v>16</v>
      </c>
      <c r="B36" s="21">
        <v>538</v>
      </c>
      <c r="C36" s="14" t="s">
        <v>262</v>
      </c>
      <c r="D36" s="14"/>
      <c r="E36" s="20" t="s">
        <v>771</v>
      </c>
      <c r="F36" s="8" t="s">
        <v>110</v>
      </c>
      <c r="G36" s="127"/>
      <c r="H36" s="8" t="s">
        <v>796</v>
      </c>
      <c r="I36" s="8" t="s">
        <v>110</v>
      </c>
      <c r="J36" s="8" t="s">
        <v>110</v>
      </c>
      <c r="K36" s="8" t="s">
        <v>796</v>
      </c>
      <c r="L36" s="8" t="s">
        <v>796</v>
      </c>
      <c r="M36" s="8" t="s">
        <v>110</v>
      </c>
      <c r="N36" s="127"/>
      <c r="O36" s="8" t="s">
        <v>110</v>
      </c>
      <c r="P36" s="8" t="s">
        <v>110</v>
      </c>
      <c r="Q36" s="8" t="s">
        <v>110</v>
      </c>
      <c r="R36" s="8" t="s">
        <v>796</v>
      </c>
      <c r="S36" s="8" t="s">
        <v>110</v>
      </c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  <c r="AJ36" s="146"/>
      <c r="AK36" s="5">
        <f t="shared" si="1"/>
        <v>8</v>
      </c>
      <c r="AL36" s="5">
        <f t="shared" si="2"/>
        <v>4</v>
      </c>
    </row>
    <row r="37" spans="1:38" x14ac:dyDescent="0.25">
      <c r="A37" s="21">
        <v>17</v>
      </c>
      <c r="B37" s="21">
        <v>539</v>
      </c>
      <c r="C37" s="14" t="s">
        <v>769</v>
      </c>
      <c r="D37" s="14"/>
      <c r="E37" s="20" t="s">
        <v>771</v>
      </c>
      <c r="F37" s="8" t="s">
        <v>110</v>
      </c>
      <c r="G37" s="127"/>
      <c r="H37" s="8" t="s">
        <v>110</v>
      </c>
      <c r="I37" s="8" t="s">
        <v>110</v>
      </c>
      <c r="J37" s="8" t="s">
        <v>110</v>
      </c>
      <c r="K37" s="8" t="s">
        <v>110</v>
      </c>
      <c r="L37" s="8" t="s">
        <v>110</v>
      </c>
      <c r="M37" s="8" t="s">
        <v>110</v>
      </c>
      <c r="N37" s="127"/>
      <c r="O37" s="8" t="s">
        <v>110</v>
      </c>
      <c r="P37" s="8" t="s">
        <v>110</v>
      </c>
      <c r="Q37" s="8" t="s">
        <v>110</v>
      </c>
      <c r="R37" s="8" t="s">
        <v>110</v>
      </c>
      <c r="S37" s="8" t="s">
        <v>110</v>
      </c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  <c r="AK37" s="5">
        <f t="shared" si="1"/>
        <v>12</v>
      </c>
      <c r="AL37" s="5">
        <f t="shared" si="2"/>
        <v>0</v>
      </c>
    </row>
    <row r="38" spans="1:38" x14ac:dyDescent="0.25">
      <c r="A38" s="21">
        <v>18</v>
      </c>
      <c r="B38" s="21">
        <v>540</v>
      </c>
      <c r="C38" s="14" t="s">
        <v>152</v>
      </c>
      <c r="D38" s="14" t="s">
        <v>344</v>
      </c>
      <c r="E38" s="20" t="s">
        <v>771</v>
      </c>
      <c r="F38" s="8" t="s">
        <v>796</v>
      </c>
      <c r="G38" s="127"/>
      <c r="H38" s="8" t="s">
        <v>110</v>
      </c>
      <c r="I38" s="8" t="s">
        <v>796</v>
      </c>
      <c r="J38" s="8" t="s">
        <v>110</v>
      </c>
      <c r="K38" s="8" t="s">
        <v>796</v>
      </c>
      <c r="L38" s="8" t="s">
        <v>110</v>
      </c>
      <c r="M38" s="8" t="s">
        <v>110</v>
      </c>
      <c r="N38" s="127"/>
      <c r="O38" s="8" t="s">
        <v>110</v>
      </c>
      <c r="P38" s="8" t="s">
        <v>110</v>
      </c>
      <c r="Q38" s="8" t="s">
        <v>796</v>
      </c>
      <c r="R38" s="8" t="s">
        <v>110</v>
      </c>
      <c r="S38" s="8" t="s">
        <v>110</v>
      </c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  <c r="AH38" s="146"/>
      <c r="AI38" s="146"/>
      <c r="AJ38" s="146"/>
      <c r="AK38" s="5">
        <f t="shared" si="1"/>
        <v>8</v>
      </c>
      <c r="AL38" s="5">
        <f t="shared" si="2"/>
        <v>4</v>
      </c>
    </row>
    <row r="39" spans="1:38" x14ac:dyDescent="0.25">
      <c r="A39" s="21">
        <v>19</v>
      </c>
      <c r="B39" s="21">
        <v>541</v>
      </c>
      <c r="C39" s="14" t="s">
        <v>770</v>
      </c>
      <c r="D39" s="14" t="s">
        <v>460</v>
      </c>
      <c r="E39" s="20" t="s">
        <v>771</v>
      </c>
      <c r="F39" s="8" t="s">
        <v>110</v>
      </c>
      <c r="G39" s="127"/>
      <c r="H39" s="8" t="s">
        <v>110</v>
      </c>
      <c r="I39" s="8" t="s">
        <v>110</v>
      </c>
      <c r="J39" s="8" t="s">
        <v>110</v>
      </c>
      <c r="K39" s="8" t="s">
        <v>110</v>
      </c>
      <c r="L39" s="8" t="s">
        <v>796</v>
      </c>
      <c r="M39" s="8" t="s">
        <v>110</v>
      </c>
      <c r="N39" s="127"/>
      <c r="O39" s="8" t="s">
        <v>110</v>
      </c>
      <c r="P39" s="8" t="s">
        <v>110</v>
      </c>
      <c r="Q39" s="8" t="s">
        <v>110</v>
      </c>
      <c r="R39" s="8" t="s">
        <v>110</v>
      </c>
      <c r="S39" s="8" t="s">
        <v>110</v>
      </c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5">
        <f t="shared" si="1"/>
        <v>11</v>
      </c>
      <c r="AL39" s="5">
        <f t="shared" si="2"/>
        <v>1</v>
      </c>
    </row>
  </sheetData>
  <mergeCells count="15">
    <mergeCell ref="B3:B4"/>
    <mergeCell ref="AM3:AN3"/>
    <mergeCell ref="AM11:AP11"/>
    <mergeCell ref="AM19:AP19"/>
    <mergeCell ref="G5:G39"/>
    <mergeCell ref="N5:N39"/>
    <mergeCell ref="T5:AJ39"/>
    <mergeCell ref="A1:AL1"/>
    <mergeCell ref="A2:AL2"/>
    <mergeCell ref="A3:A4"/>
    <mergeCell ref="C3:C4"/>
    <mergeCell ref="D3:D4"/>
    <mergeCell ref="E3:E4"/>
    <mergeCell ref="AK3:AK4"/>
    <mergeCell ref="AL3:AL4"/>
  </mergeCells>
  <phoneticPr fontId="12" type="noConversion"/>
  <conditionalFormatting sqref="F5:F39">
    <cfRule type="cellIs" dxfId="76" priority="77" operator="equal">
      <formula>"L"</formula>
    </cfRule>
    <cfRule type="cellIs" dxfId="75" priority="78" operator="equal">
      <formula>"A"</formula>
    </cfRule>
    <cfRule type="cellIs" dxfId="74" priority="79" operator="equal">
      <formula>"P"</formula>
    </cfRule>
    <cfRule type="expression" dxfId="73" priority="80">
      <formula>IF(F$4=TODAY(),TRUE,FALSE)</formula>
    </cfRule>
    <cfRule type="expression" dxfId="72" priority="81">
      <formula>F$3="Sun"</formula>
    </cfRule>
  </conditionalFormatting>
  <conditionalFormatting sqref="F3:AJ4">
    <cfRule type="expression" dxfId="71" priority="147">
      <formula>F$3="Sun"</formula>
    </cfRule>
  </conditionalFormatting>
  <conditionalFormatting sqref="G5">
    <cfRule type="cellIs" dxfId="70" priority="47" operator="equal">
      <formula>"L"</formula>
    </cfRule>
    <cfRule type="cellIs" dxfId="69" priority="48" operator="equal">
      <formula>"A"</formula>
    </cfRule>
    <cfRule type="cellIs" dxfId="68" priority="49" operator="equal">
      <formula>"P"</formula>
    </cfRule>
    <cfRule type="expression" dxfId="67" priority="50">
      <formula>IF(G$4=TODAY(),TRUE,FALSE)</formula>
    </cfRule>
    <cfRule type="expression" dxfId="66" priority="51">
      <formula>G$3="Sun"</formula>
    </cfRule>
  </conditionalFormatting>
  <conditionalFormatting sqref="H5:M39">
    <cfRule type="cellIs" dxfId="65" priority="22" operator="equal">
      <formula>"L"</formula>
    </cfRule>
    <cfRule type="cellIs" dxfId="64" priority="23" operator="equal">
      <formula>"A"</formula>
    </cfRule>
    <cfRule type="cellIs" dxfId="63" priority="24" operator="equal">
      <formula>"P"</formula>
    </cfRule>
    <cfRule type="expression" dxfId="62" priority="25">
      <formula>IF(H$4=TODAY(),TRUE,FALSE)</formula>
    </cfRule>
    <cfRule type="expression" dxfId="61" priority="26">
      <formula>H$3="Sun"</formula>
    </cfRule>
  </conditionalFormatting>
  <conditionalFormatting sqref="N5">
    <cfRule type="cellIs" dxfId="60" priority="42" operator="equal">
      <formula>"L"</formula>
    </cfRule>
    <cfRule type="cellIs" dxfId="59" priority="43" operator="equal">
      <formula>"A"</formula>
    </cfRule>
    <cfRule type="cellIs" dxfId="58" priority="44" operator="equal">
      <formula>"P"</formula>
    </cfRule>
    <cfRule type="expression" dxfId="57" priority="45">
      <formula>IF(N$4=TODAY(),TRUE,FALSE)</formula>
    </cfRule>
    <cfRule type="expression" dxfId="56" priority="46">
      <formula>N$3="Sun"</formula>
    </cfRule>
  </conditionalFormatting>
  <conditionalFormatting sqref="O5:Q39">
    <cfRule type="cellIs" dxfId="55" priority="17" operator="equal">
      <formula>"L"</formula>
    </cfRule>
    <cfRule type="cellIs" dxfId="54" priority="18" operator="equal">
      <formula>"A"</formula>
    </cfRule>
    <cfRule type="cellIs" dxfId="53" priority="19" operator="equal">
      <formula>"P"</formula>
    </cfRule>
    <cfRule type="expression" dxfId="52" priority="20">
      <formula>IF(O$4=TODAY(),TRUE,FALSE)</formula>
    </cfRule>
    <cfRule type="expression" dxfId="51" priority="21">
      <formula>O$3="Sun"</formula>
    </cfRule>
  </conditionalFormatting>
  <conditionalFormatting sqref="R5:T5 R6:S39">
    <cfRule type="cellIs" dxfId="50" priority="62" operator="equal">
      <formula>"L"</formula>
    </cfRule>
    <cfRule type="cellIs" dxfId="49" priority="63" operator="equal">
      <formula>"A"</formula>
    </cfRule>
    <cfRule type="cellIs" dxfId="48" priority="64" operator="equal">
      <formula>"P"</formula>
    </cfRule>
    <cfRule type="expression" dxfId="47" priority="65">
      <formula>IF(R$4=TODAY(),TRUE,FALSE)</formula>
    </cfRule>
    <cfRule type="expression" dxfId="46" priority="66">
      <formula>R$3="Sun"</formula>
    </cfRule>
  </conditionalFormatting>
  <conditionalFormatting sqref="F4:AJ4">
    <cfRule type="expression" dxfId="20" priority="146">
      <formula>IF(F$4=TODAY(),TRUE,FALSE)</formula>
    </cfRule>
  </conditionalFormatting>
  <conditionalFormatting sqref="AK3:AL3 AK5:AL39">
    <cfRule type="expression" dxfId="16" priority="148">
      <formula>#REF!="Sun"</formula>
    </cfRule>
  </conditionalFormatting>
  <conditionalFormatting sqref="AM8:AM9">
    <cfRule type="expression" dxfId="15" priority="105">
      <formula>AM$3="Sun"</formula>
    </cfRule>
  </conditionalFormatting>
  <conditionalFormatting sqref="AM12:AM15">
    <cfRule type="expression" dxfId="14" priority="103">
      <formula>AM$3="Sun"</formula>
    </cfRule>
  </conditionalFormatting>
  <conditionalFormatting sqref="AM20:AM23">
    <cfRule type="expression" dxfId="13" priority="102">
      <formula>AM$3="Sun"</formula>
    </cfRule>
  </conditionalFormatting>
  <conditionalFormatting sqref="AM4:AN4">
    <cfRule type="expression" dxfId="12" priority="106">
      <formula>AM$3="Sun"</formula>
    </cfRule>
  </conditionalFormatting>
  <conditionalFormatting sqref="AN12:AP12 AN20:AP20">
    <cfRule type="expression" dxfId="11" priority="107">
      <formula>AN$3="Sun"</formula>
    </cfRule>
  </conditionalFormatting>
  <conditionalFormatting sqref="AP21">
    <cfRule type="expression" dxfId="10" priority="104">
      <formula>AP$3="Sun"</formula>
    </cfRule>
  </conditionalFormatting>
  <conditionalFormatting sqref="AM5:AM7">
    <cfRule type="expression" dxfId="0" priority="1">
      <formula>AM$3="Sun"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Compile Sheet-November-2024</vt:lpstr>
      <vt:lpstr>ECE (ROSE)</vt:lpstr>
      <vt:lpstr>ECE (Daffodills)</vt:lpstr>
      <vt:lpstr>Class-I</vt:lpstr>
      <vt:lpstr>Class-II</vt:lpstr>
      <vt:lpstr>Class-III</vt:lpstr>
      <vt:lpstr>Class-IV</vt:lpstr>
      <vt:lpstr>Class-V</vt:lpstr>
      <vt:lpstr>Class-VI</vt:lpstr>
      <vt:lpstr>Class-VII</vt:lpstr>
      <vt:lpstr>Class-VIII</vt:lpstr>
      <vt:lpstr>Class-IX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dcterms:created xsi:type="dcterms:W3CDTF">2015-06-05T18:17:20Z</dcterms:created>
  <dcterms:modified xsi:type="dcterms:W3CDTF">2025-05-05T07:27:30Z</dcterms:modified>
</cp:coreProperties>
</file>