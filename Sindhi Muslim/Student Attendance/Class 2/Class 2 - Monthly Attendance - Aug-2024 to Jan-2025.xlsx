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Class 2\"/>
    </mc:Choice>
  </mc:AlternateContent>
  <xr:revisionPtr revIDLastSave="0" documentId="13_ncr:1_{C87FCC79-2DD8-4442-A4D8-20942C9B8B38}" xr6:coauthVersionLast="47" xr6:coauthVersionMax="47" xr10:uidLastSave="{00000000-0000-0000-0000-000000000000}"/>
  <bookViews>
    <workbookView xWindow="-120" yWindow="-120" windowWidth="20730" windowHeight="11160" firstSheet="1" activeTab="4" xr2:uid="{00000000-000D-0000-FFFF-FFFF00000000}"/>
  </bookViews>
  <sheets>
    <sheet name="August-2024" sheetId="5" r:id="rId1"/>
    <sheet name="September-2024" sheetId="19" r:id="rId2"/>
    <sheet name="October-2024" sheetId="20" r:id="rId3"/>
    <sheet name="November-2024" sheetId="21" r:id="rId4"/>
    <sheet name="December-2024" sheetId="2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22" l="1"/>
  <c r="H3" i="22"/>
  <c r="I3" i="22"/>
  <c r="J3" i="22"/>
  <c r="K3" i="22"/>
  <c r="L3" i="22"/>
  <c r="M3" i="22"/>
  <c r="N3" i="22"/>
  <c r="O3" i="22"/>
  <c r="P3" i="22"/>
  <c r="Q3" i="22"/>
  <c r="R3" i="22"/>
  <c r="S3" i="22"/>
  <c r="T3" i="22"/>
  <c r="U3" i="22"/>
  <c r="V3" i="22"/>
  <c r="W3" i="22"/>
  <c r="X3" i="22"/>
  <c r="Y3" i="22"/>
  <c r="Z3" i="22"/>
  <c r="AA3" i="22"/>
  <c r="AB3" i="22"/>
  <c r="AC3" i="22"/>
  <c r="AD3" i="22"/>
  <c r="AE3" i="22"/>
  <c r="AF3" i="22"/>
  <c r="AG3" i="22"/>
  <c r="AH3" i="22"/>
  <c r="AI3" i="22"/>
  <c r="AJ3" i="22"/>
  <c r="AL56" i="22"/>
  <c r="AK56" i="22"/>
  <c r="AL55" i="22"/>
  <c r="AK55" i="22"/>
  <c r="AL54" i="22"/>
  <c r="AK54" i="22"/>
  <c r="AL53" i="22"/>
  <c r="AK53" i="22"/>
  <c r="AL52" i="22"/>
  <c r="AK52" i="22"/>
  <c r="AL51" i="22"/>
  <c r="AK51" i="22"/>
  <c r="AL50" i="22"/>
  <c r="AK50" i="22"/>
  <c r="AL49" i="22"/>
  <c r="AK49" i="22"/>
  <c r="AL48" i="22"/>
  <c r="AK48" i="22"/>
  <c r="AL47" i="22"/>
  <c r="AK47" i="22"/>
  <c r="AL46" i="22"/>
  <c r="AK46" i="22"/>
  <c r="AL45" i="22"/>
  <c r="AK45" i="22"/>
  <c r="AL44" i="22"/>
  <c r="AK44" i="22"/>
  <c r="AL43" i="22"/>
  <c r="AK43" i="22"/>
  <c r="AL42" i="22"/>
  <c r="AK42" i="22"/>
  <c r="AL41" i="22"/>
  <c r="AK41" i="22"/>
  <c r="AL40" i="22"/>
  <c r="AK40" i="22"/>
  <c r="AL39" i="22"/>
  <c r="AK39" i="22"/>
  <c r="AL38" i="22"/>
  <c r="AK38" i="22"/>
  <c r="AL37" i="22"/>
  <c r="AK37" i="22"/>
  <c r="AL36" i="22"/>
  <c r="AK36" i="22"/>
  <c r="AL35" i="22"/>
  <c r="AK35" i="22"/>
  <c r="AL34" i="22"/>
  <c r="AK34" i="22"/>
  <c r="AL33" i="22"/>
  <c r="AK33" i="22"/>
  <c r="AL32" i="22"/>
  <c r="AK32" i="22"/>
  <c r="AL31" i="22"/>
  <c r="AK31" i="22"/>
  <c r="AL30" i="22"/>
  <c r="AK30" i="22"/>
  <c r="AL29" i="22"/>
  <c r="AK29" i="22"/>
  <c r="AL28" i="22"/>
  <c r="AK28" i="22"/>
  <c r="AL27" i="22"/>
  <c r="AK27" i="22"/>
  <c r="AL26" i="22"/>
  <c r="AK26" i="22"/>
  <c r="AL25" i="22"/>
  <c r="AK25" i="22"/>
  <c r="AL24" i="22"/>
  <c r="AK24" i="22"/>
  <c r="AL23" i="22"/>
  <c r="AK23" i="22"/>
  <c r="AL22" i="22"/>
  <c r="AK22" i="22"/>
  <c r="AL21" i="22"/>
  <c r="AK21" i="22"/>
  <c r="AL20" i="22"/>
  <c r="AK20" i="22"/>
  <c r="AL19" i="22"/>
  <c r="AK19" i="22"/>
  <c r="AO18" i="22"/>
  <c r="AN18" i="22"/>
  <c r="AP18" i="22" s="1"/>
  <c r="AL18" i="22"/>
  <c r="AK18" i="22"/>
  <c r="AL17" i="22"/>
  <c r="AK17" i="22"/>
  <c r="AL16" i="22"/>
  <c r="AK16" i="22"/>
  <c r="AL15" i="22"/>
  <c r="AK15" i="22"/>
  <c r="AL14" i="22"/>
  <c r="AK14" i="22"/>
  <c r="AL13" i="22"/>
  <c r="AK13" i="22"/>
  <c r="AL12" i="22"/>
  <c r="AK12" i="22"/>
  <c r="AL11" i="22"/>
  <c r="AK11" i="22"/>
  <c r="AO10" i="22"/>
  <c r="AP10" i="22" s="1"/>
  <c r="AN10" i="22"/>
  <c r="AL10" i="22"/>
  <c r="AK10" i="22"/>
  <c r="AL9" i="22"/>
  <c r="AK9" i="22"/>
  <c r="AL8" i="22"/>
  <c r="AK8" i="22"/>
  <c r="AL7" i="22"/>
  <c r="AK7" i="22"/>
  <c r="AL6" i="22"/>
  <c r="AK6" i="22"/>
  <c r="AL5" i="22"/>
  <c r="AK5" i="22"/>
  <c r="F3" i="22"/>
  <c r="AK56" i="21"/>
  <c r="AJ56" i="21"/>
  <c r="AK55" i="21"/>
  <c r="AJ55" i="21"/>
  <c r="AK54" i="21"/>
  <c r="AJ54" i="21"/>
  <c r="AK53" i="21"/>
  <c r="AJ53" i="21"/>
  <c r="AK52" i="21"/>
  <c r="AJ52" i="21"/>
  <c r="AK51" i="21"/>
  <c r="AJ51" i="21"/>
  <c r="AK50" i="21"/>
  <c r="AJ50" i="21"/>
  <c r="AK49" i="21"/>
  <c r="AJ49" i="21"/>
  <c r="AK48" i="21"/>
  <c r="AJ48" i="21"/>
  <c r="AK47" i="21"/>
  <c r="AJ47" i="21"/>
  <c r="AK46" i="21"/>
  <c r="AJ46" i="21"/>
  <c r="AK45" i="21"/>
  <c r="AJ45" i="21"/>
  <c r="AK44" i="21"/>
  <c r="AJ44" i="21"/>
  <c r="AK43" i="21"/>
  <c r="AJ43" i="21"/>
  <c r="AK42" i="21"/>
  <c r="AJ42" i="21"/>
  <c r="AK41" i="21"/>
  <c r="AJ41" i="21"/>
  <c r="AK40" i="21"/>
  <c r="AJ40" i="21"/>
  <c r="AK39" i="21"/>
  <c r="AJ39" i="21"/>
  <c r="AK38" i="21"/>
  <c r="AJ38" i="21"/>
  <c r="AK37" i="21"/>
  <c r="AJ37" i="21"/>
  <c r="AK36" i="21"/>
  <c r="AJ36" i="21"/>
  <c r="AK35" i="21"/>
  <c r="AJ35" i="21"/>
  <c r="AK34" i="21"/>
  <c r="AJ34" i="21"/>
  <c r="AK33" i="21"/>
  <c r="AJ33" i="21"/>
  <c r="AK32" i="21"/>
  <c r="AJ32" i="21"/>
  <c r="AK31" i="21"/>
  <c r="AJ31" i="21"/>
  <c r="AK30" i="21"/>
  <c r="AJ30" i="21"/>
  <c r="AK29" i="21"/>
  <c r="AJ29" i="21"/>
  <c r="AK28" i="21"/>
  <c r="AJ28" i="21"/>
  <c r="AK27" i="21"/>
  <c r="AJ27" i="21"/>
  <c r="AK26" i="21"/>
  <c r="AJ26" i="21"/>
  <c r="AK25" i="21"/>
  <c r="AJ25" i="21"/>
  <c r="AK24" i="21"/>
  <c r="AJ24" i="21"/>
  <c r="AK23" i="21"/>
  <c r="AJ23" i="21"/>
  <c r="AK22" i="21"/>
  <c r="AJ22" i="21"/>
  <c r="AK21" i="21"/>
  <c r="AJ21" i="21"/>
  <c r="AK20" i="21"/>
  <c r="AJ20" i="21"/>
  <c r="AK19" i="21"/>
  <c r="AJ19" i="21"/>
  <c r="AN18" i="21"/>
  <c r="AM18" i="21"/>
  <c r="AO18" i="21" s="1"/>
  <c r="AK18" i="21"/>
  <c r="AJ18" i="21"/>
  <c r="AK17" i="21"/>
  <c r="AJ17" i="21"/>
  <c r="AK16" i="21"/>
  <c r="AJ16" i="21"/>
  <c r="AK15" i="21"/>
  <c r="AJ15" i="21"/>
  <c r="AK14" i="21"/>
  <c r="AJ14" i="21"/>
  <c r="AK13" i="21"/>
  <c r="AJ13" i="21"/>
  <c r="AK12" i="21"/>
  <c r="AJ12" i="21"/>
  <c r="AK11" i="21"/>
  <c r="AJ11" i="21"/>
  <c r="AO10" i="21"/>
  <c r="AN10" i="21"/>
  <c r="AM10" i="21"/>
  <c r="AK10" i="21"/>
  <c r="AJ10" i="21"/>
  <c r="AN11" i="21" s="1"/>
  <c r="AN12" i="21" s="1"/>
  <c r="AK9" i="21"/>
  <c r="AJ9" i="21"/>
  <c r="AK8" i="21"/>
  <c r="AJ8" i="21"/>
  <c r="AK7" i="21"/>
  <c r="AJ7" i="21"/>
  <c r="AK6" i="21"/>
  <c r="AJ6" i="21"/>
  <c r="AM11" i="21" s="1"/>
  <c r="AK5" i="21"/>
  <c r="AJ5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F3" i="21"/>
  <c r="AN11" i="22" l="1"/>
  <c r="AO11" i="22"/>
  <c r="AO12" i="22" s="1"/>
  <c r="AM19" i="21"/>
  <c r="AO11" i="21"/>
  <c r="AO12" i="21" s="1"/>
  <c r="AM12" i="21"/>
  <c r="AN19" i="21"/>
  <c r="AN20" i="21" s="1"/>
  <c r="AO19" i="22" l="1"/>
  <c r="AO20" i="22" s="1"/>
  <c r="AP11" i="22"/>
  <c r="AP12" i="22" s="1"/>
  <c r="AN12" i="22"/>
  <c r="AN19" i="22"/>
  <c r="AO19" i="21"/>
  <c r="AO20" i="21" s="1"/>
  <c r="AM20" i="21"/>
  <c r="AP19" i="22" l="1"/>
  <c r="AP20" i="22" s="1"/>
  <c r="AN20" i="22"/>
  <c r="AL56" i="20"/>
  <c r="AK56" i="20"/>
  <c r="AL55" i="20"/>
  <c r="AK55" i="20"/>
  <c r="AL54" i="20"/>
  <c r="AK54" i="20"/>
  <c r="AL53" i="20"/>
  <c r="AK53" i="20"/>
  <c r="AL52" i="20"/>
  <c r="AK52" i="20"/>
  <c r="AL51" i="20"/>
  <c r="AK51" i="20"/>
  <c r="AL50" i="20"/>
  <c r="AK50" i="20"/>
  <c r="AL49" i="20"/>
  <c r="AK49" i="20"/>
  <c r="AL48" i="20"/>
  <c r="AK48" i="20"/>
  <c r="AL47" i="20"/>
  <c r="AK47" i="20"/>
  <c r="AL46" i="20"/>
  <c r="AK46" i="20"/>
  <c r="AL45" i="20"/>
  <c r="AK45" i="20"/>
  <c r="AL44" i="20"/>
  <c r="AK44" i="20"/>
  <c r="AL43" i="20"/>
  <c r="AK43" i="20"/>
  <c r="AL42" i="20"/>
  <c r="AK42" i="20"/>
  <c r="AL41" i="20"/>
  <c r="AK41" i="20"/>
  <c r="AL40" i="20"/>
  <c r="AK40" i="20"/>
  <c r="AL39" i="20"/>
  <c r="AK39" i="20"/>
  <c r="AL38" i="20"/>
  <c r="AK38" i="20"/>
  <c r="AL37" i="20"/>
  <c r="AK37" i="20"/>
  <c r="AL36" i="20"/>
  <c r="AK36" i="20"/>
  <c r="AL35" i="20"/>
  <c r="AK35" i="20"/>
  <c r="AL34" i="20"/>
  <c r="AK34" i="20"/>
  <c r="AL33" i="20"/>
  <c r="AK33" i="20"/>
  <c r="AL32" i="20"/>
  <c r="AK32" i="20"/>
  <c r="AL31" i="20"/>
  <c r="AK31" i="20"/>
  <c r="AL30" i="20"/>
  <c r="AK30" i="20"/>
  <c r="AL29" i="20"/>
  <c r="AK29" i="20"/>
  <c r="AL28" i="20"/>
  <c r="AK28" i="20"/>
  <c r="AL27" i="20"/>
  <c r="AK27" i="20"/>
  <c r="AL26" i="20"/>
  <c r="AK26" i="20"/>
  <c r="AL25" i="20"/>
  <c r="AK25" i="20"/>
  <c r="AL24" i="20"/>
  <c r="AK24" i="20"/>
  <c r="AL23" i="20"/>
  <c r="AK23" i="20"/>
  <c r="AL22" i="20"/>
  <c r="AK22" i="20"/>
  <c r="AL21" i="20"/>
  <c r="AK21" i="20"/>
  <c r="AL20" i="20"/>
  <c r="AK20" i="20"/>
  <c r="AL19" i="20"/>
  <c r="AK19" i="20"/>
  <c r="AO18" i="20"/>
  <c r="AN18" i="20"/>
  <c r="AP18" i="20" s="1"/>
  <c r="AL18" i="20"/>
  <c r="AK18" i="20"/>
  <c r="AL17" i="20"/>
  <c r="AK17" i="20"/>
  <c r="AL16" i="20"/>
  <c r="AK16" i="20"/>
  <c r="AL15" i="20"/>
  <c r="AK15" i="20"/>
  <c r="AL14" i="20"/>
  <c r="AK14" i="20"/>
  <c r="AL13" i="20"/>
  <c r="AK13" i="20"/>
  <c r="AL12" i="20"/>
  <c r="AK12" i="20"/>
  <c r="AL11" i="20"/>
  <c r="AK11" i="20"/>
  <c r="AP10" i="20"/>
  <c r="AO10" i="20"/>
  <c r="AN10" i="20"/>
  <c r="AL10" i="20"/>
  <c r="AK10" i="20"/>
  <c r="AO11" i="20" s="1"/>
  <c r="AO12" i="20" s="1"/>
  <c r="AL9" i="20"/>
  <c r="AK9" i="20"/>
  <c r="AL8" i="20"/>
  <c r="AK8" i="20"/>
  <c r="AL7" i="20"/>
  <c r="AK7" i="20"/>
  <c r="AL6" i="20"/>
  <c r="AK6" i="20"/>
  <c r="AN11" i="20" s="1"/>
  <c r="AL5" i="20"/>
  <c r="AK5" i="20"/>
  <c r="AJ3" i="20"/>
  <c r="AI3" i="20"/>
  <c r="AH3" i="20"/>
  <c r="AG3" i="20"/>
  <c r="AF3" i="20"/>
  <c r="AE3" i="20"/>
  <c r="AD3" i="20"/>
  <c r="AC3" i="20"/>
  <c r="AB3" i="20"/>
  <c r="AA3" i="20"/>
  <c r="Z3" i="20"/>
  <c r="Y3" i="20"/>
  <c r="X3" i="20"/>
  <c r="W3" i="20"/>
  <c r="V3" i="20"/>
  <c r="U3" i="20"/>
  <c r="T3" i="20"/>
  <c r="S3" i="20"/>
  <c r="R3" i="20"/>
  <c r="Q3" i="20"/>
  <c r="P3" i="20"/>
  <c r="O3" i="20"/>
  <c r="N3" i="20"/>
  <c r="M3" i="20"/>
  <c r="L3" i="20"/>
  <c r="K3" i="20"/>
  <c r="J3" i="20"/>
  <c r="I3" i="20"/>
  <c r="H3" i="20"/>
  <c r="G3" i="20"/>
  <c r="F3" i="20"/>
  <c r="AN12" i="20" l="1"/>
  <c r="AN19" i="20"/>
  <c r="AP11" i="20"/>
  <c r="AP12" i="20" s="1"/>
  <c r="AO19" i="20"/>
  <c r="AO20" i="20" s="1"/>
  <c r="AP19" i="20" l="1"/>
  <c r="AP20" i="20" s="1"/>
  <c r="AN20" i="20"/>
  <c r="AK55" i="19" l="1"/>
  <c r="AJ55" i="19"/>
  <c r="AK54" i="19"/>
  <c r="AJ54" i="19"/>
  <c r="AK53" i="19"/>
  <c r="AJ53" i="19"/>
  <c r="AK52" i="19"/>
  <c r="AJ52" i="19"/>
  <c r="AK51" i="19"/>
  <c r="AJ51" i="19"/>
  <c r="AK50" i="19"/>
  <c r="AJ50" i="19"/>
  <c r="AK49" i="19"/>
  <c r="AJ49" i="19"/>
  <c r="AK48" i="19"/>
  <c r="AJ48" i="19"/>
  <c r="AK47" i="19"/>
  <c r="AJ47" i="19"/>
  <c r="AK46" i="19"/>
  <c r="AJ46" i="19"/>
  <c r="AK45" i="19"/>
  <c r="AJ45" i="19"/>
  <c r="AK44" i="19"/>
  <c r="AJ44" i="19"/>
  <c r="AK43" i="19"/>
  <c r="AJ43" i="19"/>
  <c r="AK42" i="19"/>
  <c r="AJ42" i="19"/>
  <c r="AK41" i="19"/>
  <c r="AJ41" i="19"/>
  <c r="AK40" i="19"/>
  <c r="AJ40" i="19"/>
  <c r="AK39" i="19"/>
  <c r="AJ39" i="19"/>
  <c r="AK38" i="19"/>
  <c r="AJ38" i="19"/>
  <c r="AK37" i="19"/>
  <c r="AJ37" i="19"/>
  <c r="AK36" i="19"/>
  <c r="AJ36" i="19"/>
  <c r="AK35" i="19"/>
  <c r="AJ35" i="19"/>
  <c r="AK34" i="19"/>
  <c r="AJ34" i="19"/>
  <c r="AK33" i="19"/>
  <c r="AJ33" i="19"/>
  <c r="AK32" i="19"/>
  <c r="AJ32" i="19"/>
  <c r="AK31" i="19"/>
  <c r="AJ31" i="19"/>
  <c r="AK30" i="19"/>
  <c r="AJ30" i="19"/>
  <c r="AK29" i="19"/>
  <c r="AJ29" i="19"/>
  <c r="AK28" i="19"/>
  <c r="AJ28" i="19"/>
  <c r="AK27" i="19"/>
  <c r="AJ27" i="19"/>
  <c r="AK26" i="19"/>
  <c r="AJ26" i="19"/>
  <c r="AK25" i="19"/>
  <c r="AJ25" i="19"/>
  <c r="AK24" i="19"/>
  <c r="AJ24" i="19"/>
  <c r="AK23" i="19"/>
  <c r="AJ23" i="19"/>
  <c r="AK22" i="19"/>
  <c r="AJ22" i="19"/>
  <c r="AK21" i="19"/>
  <c r="AJ21" i="19"/>
  <c r="AK20" i="19"/>
  <c r="AJ20" i="19"/>
  <c r="AK19" i="19"/>
  <c r="AJ19" i="19"/>
  <c r="AN18" i="19"/>
  <c r="AM18" i="19"/>
  <c r="AO18" i="19" s="1"/>
  <c r="AK18" i="19"/>
  <c r="AJ18" i="19"/>
  <c r="AK17" i="19"/>
  <c r="AJ17" i="19"/>
  <c r="AK16" i="19"/>
  <c r="AJ16" i="19"/>
  <c r="AK15" i="19"/>
  <c r="AJ15" i="19"/>
  <c r="AK14" i="19"/>
  <c r="AJ14" i="19"/>
  <c r="AK13" i="19"/>
  <c r="AJ13" i="19"/>
  <c r="AK12" i="19"/>
  <c r="AJ12" i="19"/>
  <c r="AK11" i="19"/>
  <c r="AJ11" i="19"/>
  <c r="AN10" i="19"/>
  <c r="AM10" i="19"/>
  <c r="AO10" i="19" s="1"/>
  <c r="AK10" i="19"/>
  <c r="AJ10" i="19"/>
  <c r="AK9" i="19"/>
  <c r="AJ9" i="19"/>
  <c r="AK8" i="19"/>
  <c r="AJ8" i="19"/>
  <c r="AK7" i="19"/>
  <c r="AJ7" i="19"/>
  <c r="AK6" i="19"/>
  <c r="AJ6" i="19"/>
  <c r="AM11" i="19" s="1"/>
  <c r="AK5" i="19"/>
  <c r="AJ5" i="19"/>
  <c r="AN11" i="19" s="1"/>
  <c r="AN12" i="19" s="1"/>
  <c r="AI3" i="19"/>
  <c r="AH3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F3" i="19"/>
  <c r="AN19" i="19" l="1"/>
  <c r="AN20" i="19" s="1"/>
  <c r="AO11" i="19"/>
  <c r="AO12" i="19" s="1"/>
  <c r="AM12" i="19"/>
  <c r="AM19" i="19"/>
  <c r="AM20" i="19" l="1"/>
  <c r="AO19" i="19"/>
  <c r="AO20" i="19" s="1"/>
  <c r="X52" i="5" l="1"/>
  <c r="W52" i="5"/>
  <c r="X51" i="5"/>
  <c r="W51" i="5"/>
  <c r="X50" i="5"/>
  <c r="W50" i="5"/>
  <c r="X49" i="5"/>
  <c r="W49" i="5"/>
  <c r="X48" i="5"/>
  <c r="W48" i="5"/>
  <c r="X47" i="5"/>
  <c r="W47" i="5"/>
  <c r="X46" i="5"/>
  <c r="W46" i="5"/>
  <c r="X45" i="5"/>
  <c r="W45" i="5"/>
  <c r="X44" i="5"/>
  <c r="W44" i="5"/>
  <c r="X43" i="5"/>
  <c r="W43" i="5"/>
  <c r="X42" i="5"/>
  <c r="W42" i="5"/>
  <c r="X41" i="5"/>
  <c r="W41" i="5"/>
  <c r="X40" i="5"/>
  <c r="W40" i="5"/>
  <c r="X39" i="5"/>
  <c r="W39" i="5"/>
  <c r="X38" i="5"/>
  <c r="W38" i="5"/>
  <c r="X37" i="5"/>
  <c r="W37" i="5"/>
  <c r="X36" i="5"/>
  <c r="W36" i="5"/>
  <c r="X35" i="5"/>
  <c r="W35" i="5"/>
  <c r="X34" i="5"/>
  <c r="W34" i="5"/>
  <c r="X33" i="5"/>
  <c r="W33" i="5"/>
  <c r="X32" i="5"/>
  <c r="W32" i="5"/>
  <c r="X31" i="5"/>
  <c r="W31" i="5"/>
  <c r="X30" i="5"/>
  <c r="W30" i="5"/>
  <c r="X29" i="5"/>
  <c r="W29" i="5"/>
  <c r="X28" i="5"/>
  <c r="W28" i="5"/>
  <c r="X27" i="5"/>
  <c r="W27" i="5"/>
  <c r="X26" i="5"/>
  <c r="W26" i="5"/>
  <c r="X25" i="5"/>
  <c r="W25" i="5"/>
  <c r="X24" i="5"/>
  <c r="W24" i="5"/>
  <c r="X23" i="5"/>
  <c r="W23" i="5"/>
  <c r="X22" i="5"/>
  <c r="W22" i="5"/>
  <c r="X21" i="5"/>
  <c r="W21" i="5"/>
  <c r="X20" i="5"/>
  <c r="W20" i="5"/>
  <c r="X19" i="5"/>
  <c r="W19" i="5"/>
  <c r="AA18" i="5"/>
  <c r="Z18" i="5"/>
  <c r="X18" i="5"/>
  <c r="W18" i="5"/>
  <c r="X17" i="5"/>
  <c r="W17" i="5"/>
  <c r="X16" i="5"/>
  <c r="W16" i="5"/>
  <c r="X15" i="5"/>
  <c r="W15" i="5"/>
  <c r="X14" i="5"/>
  <c r="W14" i="5"/>
  <c r="X13" i="5"/>
  <c r="W13" i="5"/>
  <c r="X12" i="5"/>
  <c r="W12" i="5"/>
  <c r="X11" i="5"/>
  <c r="W11" i="5"/>
  <c r="AA10" i="5"/>
  <c r="Z10" i="5"/>
  <c r="X10" i="5"/>
  <c r="W10" i="5"/>
  <c r="X9" i="5"/>
  <c r="W9" i="5"/>
  <c r="X8" i="5"/>
  <c r="W8" i="5"/>
  <c r="X7" i="5"/>
  <c r="W7" i="5"/>
  <c r="X6" i="5"/>
  <c r="W6" i="5"/>
  <c r="X5" i="5"/>
  <c r="W5" i="5"/>
  <c r="AA11" i="5" s="1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Z11" i="5" l="1"/>
  <c r="Z12" i="5" s="1"/>
  <c r="AA12" i="5"/>
  <c r="AB10" i="5"/>
  <c r="AB18" i="5"/>
  <c r="Z19" i="5" l="1"/>
  <c r="Z20" i="5" s="1"/>
  <c r="AA19" i="5"/>
  <c r="AA20" i="5" s="1"/>
  <c r="AB11" i="5"/>
  <c r="AB12" i="5" s="1"/>
  <c r="AB19" i="5" l="1"/>
  <c r="AB20" i="5" s="1"/>
</calcChain>
</file>

<file path=xl/sharedStrings.xml><?xml version="1.0" encoding="utf-8"?>
<sst xmlns="http://schemas.openxmlformats.org/spreadsheetml/2006/main" count="6133" uniqueCount="137">
  <si>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</si>
  <si>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</si>
  <si>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</si>
  <si>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</si>
  <si>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</si>
  <si>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</si>
  <si>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</si>
  <si>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</si>
  <si>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</si>
  <si>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</si>
  <si>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</si>
  <si>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</si>
  <si>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</si>
  <si>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</si>
  <si>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</si>
  <si>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</si>
  <si>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</si>
  <si>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</si>
  <si>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</si>
  <si>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</si>
  <si>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Two</t>
  </si>
  <si>
    <t>Year 2024</t>
  </si>
  <si>
    <t>Monthly Attendence Month of August-2024</t>
  </si>
  <si>
    <t>Goverment High School (SJCHS)</t>
  </si>
  <si>
    <t>Abdul Rehman</t>
  </si>
  <si>
    <t>Masooma</t>
  </si>
  <si>
    <t>Faiq Ali</t>
  </si>
  <si>
    <t>Ayaz Ali</t>
  </si>
  <si>
    <t>Sajjad Ali</t>
  </si>
  <si>
    <t>Dua</t>
  </si>
  <si>
    <t>Kamran Ali</t>
  </si>
  <si>
    <t>Sajid Ali</t>
  </si>
  <si>
    <t>Ali Nawaz</t>
  </si>
  <si>
    <t>Fiza</t>
  </si>
  <si>
    <t>Asghar Ali</t>
  </si>
  <si>
    <t>Ghulam Mehdi</t>
  </si>
  <si>
    <t>A</t>
  </si>
  <si>
    <t>P</t>
  </si>
  <si>
    <t>Altaf Hussain</t>
  </si>
  <si>
    <t>Amjad Ali</t>
  </si>
  <si>
    <t>Khalid Hussain</t>
  </si>
  <si>
    <t>Fayaz Hussain</t>
  </si>
  <si>
    <t>Sikandar</t>
  </si>
  <si>
    <t>Hussain</t>
  </si>
  <si>
    <t>Ayat</t>
  </si>
  <si>
    <t>Zaheer Abbas</t>
  </si>
  <si>
    <t>Zainab</t>
  </si>
  <si>
    <t>Zulfiqar</t>
  </si>
  <si>
    <t>Ayesha</t>
  </si>
  <si>
    <t>Abdullah</t>
  </si>
  <si>
    <t>Akbar Ali</t>
  </si>
  <si>
    <t>M. Raheem</t>
  </si>
  <si>
    <t>Muzammil</t>
  </si>
  <si>
    <t>.</t>
  </si>
  <si>
    <t>Abiha Zehra</t>
  </si>
  <si>
    <t>Ab. Mateen</t>
  </si>
  <si>
    <t>Aleena Zia</t>
  </si>
  <si>
    <t>Khuda Baksh</t>
  </si>
  <si>
    <t>Anumta Jamali</t>
  </si>
  <si>
    <t>Anusha</t>
  </si>
  <si>
    <t>Mukhtiyar Ali</t>
  </si>
  <si>
    <t>Ali Muhammad</t>
  </si>
  <si>
    <t>Jannat Fatima</t>
  </si>
  <si>
    <t>Kashaf</t>
  </si>
  <si>
    <t>Muneeza</t>
  </si>
  <si>
    <t>Mir Amirudin</t>
  </si>
  <si>
    <t>Nayyara</t>
  </si>
  <si>
    <t>Rashida</t>
  </si>
  <si>
    <t>Sajjad Ahmed</t>
  </si>
  <si>
    <t>Rubab Zahra</t>
  </si>
  <si>
    <t>Abdul Aziz</t>
  </si>
  <si>
    <t>Saba Jamali</t>
  </si>
  <si>
    <t>Tahreem Fatima</t>
  </si>
  <si>
    <t>Sehar Fatima</t>
  </si>
  <si>
    <t>Taskeen</t>
  </si>
  <si>
    <t>Kashish</t>
  </si>
  <si>
    <t>M. Noman</t>
  </si>
  <si>
    <t>Saba</t>
  </si>
  <si>
    <t>Asif</t>
  </si>
  <si>
    <t>Abdul Musawir</t>
  </si>
  <si>
    <t>M. Ismail</t>
  </si>
  <si>
    <t>Abdul Wahab</t>
  </si>
  <si>
    <t>Abdul Hafeez</t>
  </si>
  <si>
    <t>Riazuddin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</si>
  <si>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</si>
  <si>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</si>
  <si>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</si>
  <si>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</si>
  <si>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</si>
  <si>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</si>
  <si>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</si>
  <si>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</si>
  <si>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</si>
  <si>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</si>
  <si>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</si>
  <si>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</si>
  <si>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</si>
  <si>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</si>
  <si>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</si>
  <si>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</si>
  <si>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Mohammad Nawaz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</si>
  <si>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</si>
  <si>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</si>
  <si>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</si>
  <si>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</si>
  <si>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</si>
  <si>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</si>
  <si>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</si>
  <si>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</si>
  <si>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</si>
  <si>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</si>
  <si>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</si>
  <si>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</si>
  <si>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</si>
  <si>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</si>
  <si>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</si>
  <si>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SUNDAY - SUNDAY - SUNDAY - SUNDAY - SUNDAY - SUNDAY</t>
  </si>
  <si>
    <t>SUNDAY - SUNDAY - SUNDAY - SUNDAY - SUNDAY</t>
  </si>
  <si>
    <t>SHAH ABDUL LATIF DAY - SHAH ABDUL LATIF DAY</t>
  </si>
  <si>
    <t>CHEHLUM - CHEHLUM - CHEHLUM - CHEHLUM</t>
  </si>
  <si>
    <t>OFF DUE TO RAIN - OFF DUE TO RAIN</t>
  </si>
  <si>
    <t>Monthly Attendence Month of September-2024</t>
  </si>
  <si>
    <t>12 RABI UL AWWAL - 12 RABI UL AWWAL</t>
  </si>
  <si>
    <t>L</t>
  </si>
  <si>
    <t>Afsana</t>
  </si>
  <si>
    <t>Ab. Hafeez</t>
  </si>
  <si>
    <t>Sehrish</t>
  </si>
  <si>
    <t>Monthly Attendence Month of October-2024</t>
  </si>
  <si>
    <t>PTM - PTM - PTM - PTM - PTM - PTM - PTM - PTM - PTM - PTM</t>
  </si>
  <si>
    <t>Soha Jamali</t>
  </si>
  <si>
    <t>p</t>
  </si>
  <si>
    <t>Monthly Attendence Month of November-2024</t>
  </si>
  <si>
    <t xml:space="preserve">SUNDAY - SUNDAY - SUNDAY - SUNDAY - SUNDAY - SUNDAY </t>
  </si>
  <si>
    <t>IQBAL DAY - IQBAL DAY - IQBAL DAY - IQBAL DAY - IQBAL DAY</t>
  </si>
  <si>
    <t>Fida Hussain</t>
  </si>
  <si>
    <t>Muhammad Ali</t>
  </si>
  <si>
    <t>Muhammad Ayan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</si>
</sst>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3" fillId="0" borderId="0" xfId="0" applyFont="1"/>
    <xf numFmtId="0" fontId="4" fillId="0" borderId="2" xfId="0" applyFont="1" applyBorder="1" applyAlignment="1">
      <alignment horizontal="center"/>
    </xf>
    <xf numFmtId="0" fontId="5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6" fillId="0" borderId="2" xfId="0" applyFont="1" applyBorder="1"/>
    <xf numFmtId="0" fontId="0" fillId="0" borderId="5" xfId="0" applyBorder="1" applyAlignment="1">
      <alignment horizontal="center" vertical="center"/>
    </xf>
    <xf numFmtId="0" fontId="0" fillId="0" borderId="2" xfId="0" applyBorder="1"/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6" fillId="0" borderId="5" xfId="0" applyFont="1" applyBorder="1"/>
    <xf numFmtId="0" fontId="6" fillId="0" borderId="6" xfId="0" applyFont="1" applyBorder="1"/>
    <xf numFmtId="9" fontId="5" fillId="0" borderId="0" xfId="1" applyFont="1" applyBorder="1"/>
    <xf numFmtId="0" fontId="3" fillId="2" borderId="2" xfId="0" applyFont="1" applyFill="1" applyBorder="1" applyAlignment="1">
      <alignment horizontal="center"/>
    </xf>
    <xf numFmtId="0" fontId="5" fillId="2" borderId="0" xfId="0" applyFont="1" applyFill="1"/>
    <xf numFmtId="9" fontId="3" fillId="0" borderId="2" xfId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textRotation="90" wrapText="1"/>
    </xf>
    <xf numFmtId="0" fontId="0" fillId="0" borderId="2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textRotation="255"/>
    </xf>
    <xf numFmtId="0" fontId="2" fillId="4" borderId="8" xfId="0" applyFont="1" applyFill="1" applyBorder="1" applyAlignment="1">
      <alignment horizontal="center" vertical="center" textRotation="255"/>
    </xf>
    <xf numFmtId="0" fontId="2" fillId="4" borderId="5" xfId="0" applyFont="1" applyFill="1" applyBorder="1" applyAlignment="1">
      <alignment horizontal="center" vertical="center" textRotation="255"/>
    </xf>
    <xf numFmtId="0" fontId="4" fillId="0" borderId="2" xfId="0" applyFont="1" applyBorder="1" applyAlignment="1">
      <alignment horizontal="center" vertical="center"/>
    </xf>
    <xf numFmtId="17" fontId="9" fillId="3" borderId="3" xfId="0" applyNumberFormat="1" applyFont="1" applyFill="1" applyBorder="1" applyAlignment="1">
      <alignment horizontal="center" vertical="center"/>
    </xf>
    <xf numFmtId="17" fontId="9" fillId="3" borderId="7" xfId="0" applyNumberFormat="1" applyFont="1" applyFill="1" applyBorder="1" applyAlignment="1">
      <alignment horizontal="center" vertical="center"/>
    </xf>
    <xf numFmtId="17" fontId="9" fillId="3" borderId="4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0" borderId="9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textRotation="255"/>
    </xf>
    <xf numFmtId="0" fontId="2" fillId="0" borderId="8" xfId="0" applyFont="1" applyBorder="1" applyAlignment="1">
      <alignment horizontal="center" vertical="center" textRotation="255"/>
    </xf>
    <xf numFmtId="0" fontId="2" fillId="0" borderId="5" xfId="0" applyFont="1" applyBorder="1" applyAlignment="1">
      <alignment horizontal="center" vertical="center" textRotation="255"/>
    </xf>
    <xf numFmtId="0" fontId="3" fillId="0" borderId="5" xfId="0" applyFont="1" applyBorder="1" applyAlignment="1">
      <alignment horizontal="center"/>
    </xf>
    <xf numFmtId="0" fontId="6" fillId="0" borderId="4" xfId="0" applyFont="1" applyBorder="1"/>
    <xf numFmtId="0" fontId="7" fillId="3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 textRotation="255"/>
    </xf>
    <xf numFmtId="0" fontId="2" fillId="5" borderId="1" xfId="0" applyFont="1" applyFill="1" applyBorder="1" applyAlignment="1">
      <alignment horizontal="center" vertical="center" textRotation="255"/>
    </xf>
    <xf numFmtId="0" fontId="2" fillId="5" borderId="8" xfId="0" applyFont="1" applyFill="1" applyBorder="1" applyAlignment="1">
      <alignment horizontal="center" vertical="center" textRotation="255"/>
    </xf>
    <xf numFmtId="0" fontId="2" fillId="5" borderId="5" xfId="0" applyFont="1" applyFill="1" applyBorder="1" applyAlignment="1">
      <alignment horizontal="center" vertical="center" textRotation="255"/>
    </xf>
  </cellXfs>
  <cellStyles count="2">
    <cellStyle name="Normal" xfId="0" builtinId="0"/>
    <cellStyle name="Percent" xfId="1" builtinId="5"/>
  </cellStyles>
  <dxfs count="12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CE339-974F-4F8E-8CE9-51DD290C99AD}">
  <sheetPr>
    <tabColor rgb="FFC00000"/>
  </sheetPr>
  <dimension ref="A1:AB52"/>
  <sheetViews>
    <sheetView topLeftCell="A3" workbookViewId="0">
      <selection activeCell="U53" sqref="U53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11" width="3.85546875" style="1" bestFit="1" customWidth="1"/>
    <col min="12" max="12" width="4.7109375" style="1" bestFit="1" customWidth="1"/>
    <col min="13" max="13" width="3.85546875" style="1" bestFit="1" customWidth="1"/>
    <col min="14" max="15" width="3.7109375" style="1" bestFit="1" customWidth="1"/>
    <col min="16" max="16" width="3.85546875" style="1" bestFit="1" customWidth="1"/>
    <col min="17" max="17" width="4.5703125" style="1" bestFit="1" customWidth="1"/>
    <col min="18" max="18" width="3.85546875" style="1" bestFit="1" customWidth="1"/>
    <col min="19" max="19" width="4.7109375" style="1" bestFit="1" customWidth="1"/>
    <col min="20" max="20" width="3.85546875" style="1" bestFit="1" customWidth="1"/>
    <col min="21" max="22" width="3.7109375" style="1" bestFit="1" customWidth="1"/>
    <col min="23" max="24" width="6.7109375" style="1" bestFit="1" customWidth="1"/>
    <col min="25" max="25" width="18.5703125" style="1" bestFit="1" customWidth="1"/>
    <col min="26" max="26" width="5.85546875" style="1" bestFit="1" customWidth="1"/>
    <col min="27" max="27" width="14.28515625" style="1" bestFit="1" customWidth="1"/>
    <col min="28" max="28" width="6.7109375" style="1" bestFit="1" customWidth="1"/>
    <col min="29" max="16384" width="3.85546875" style="1"/>
  </cols>
  <sheetData>
    <row r="1" spans="1:28" ht="17.25" x14ac:dyDescent="0.25">
      <c r="A1" s="31" t="s">
        <v>23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</row>
    <row r="2" spans="1:28" ht="17.25" x14ac:dyDescent="0.3">
      <c r="A2" s="30" t="s">
        <v>22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</row>
    <row r="3" spans="1:28" ht="15.75" x14ac:dyDescent="0.25">
      <c r="A3" s="28" t="s">
        <v>0</v>
      </c>
      <c r="B3" s="28" t="s">
        <v>1</v>
      </c>
      <c r="C3" s="28" t="s">
        <v>2</v>
      </c>
      <c r="D3" s="28" t="s">
        <v>3</v>
      </c>
      <c r="E3" s="28" t="s">
        <v>4</v>
      </c>
      <c r="F3" s="2" t="str">
        <f t="shared" ref="F3:V3" si="0">TEXT(F4,"ddd")</f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24" t="s">
        <v>5</v>
      </c>
      <c r="X3" s="24" t="s">
        <v>6</v>
      </c>
      <c r="Y3" s="25" t="s">
        <v>21</v>
      </c>
      <c r="Z3" s="26"/>
      <c r="AA3" s="3"/>
      <c r="AB3" s="3"/>
    </row>
    <row r="4" spans="1:28" ht="36.75" x14ac:dyDescent="0.25">
      <c r="A4" s="29"/>
      <c r="B4" s="29"/>
      <c r="C4" s="29"/>
      <c r="D4" s="29"/>
      <c r="E4" s="29"/>
      <c r="F4" s="19">
        <v>45519</v>
      </c>
      <c r="G4" s="19">
        <v>45520</v>
      </c>
      <c r="H4" s="19">
        <v>45521</v>
      </c>
      <c r="I4" s="19">
        <v>45522</v>
      </c>
      <c r="J4" s="19">
        <v>45523</v>
      </c>
      <c r="K4" s="19">
        <v>45524</v>
      </c>
      <c r="L4" s="19">
        <v>45525</v>
      </c>
      <c r="M4" s="19">
        <v>45526</v>
      </c>
      <c r="N4" s="19">
        <v>45527</v>
      </c>
      <c r="O4" s="19">
        <v>45528</v>
      </c>
      <c r="P4" s="19">
        <v>45529</v>
      </c>
      <c r="Q4" s="19">
        <v>45530</v>
      </c>
      <c r="R4" s="19">
        <v>45531</v>
      </c>
      <c r="S4" s="19">
        <v>45532</v>
      </c>
      <c r="T4" s="19">
        <v>45533</v>
      </c>
      <c r="U4" s="19">
        <v>45534</v>
      </c>
      <c r="V4" s="19">
        <v>45535</v>
      </c>
      <c r="W4" s="24"/>
      <c r="X4" s="24"/>
      <c r="Y4" s="4" t="s">
        <v>7</v>
      </c>
      <c r="Z4" s="5">
        <v>31</v>
      </c>
      <c r="AA4" s="3"/>
      <c r="AB4" s="3"/>
    </row>
    <row r="5" spans="1:28" ht="15" customHeight="1" x14ac:dyDescent="0.25">
      <c r="A5" s="10">
        <v>1</v>
      </c>
      <c r="B5" s="12"/>
      <c r="C5" s="7" t="s">
        <v>54</v>
      </c>
      <c r="D5" s="7" t="s">
        <v>55</v>
      </c>
      <c r="E5" s="20" t="s">
        <v>20</v>
      </c>
      <c r="F5" s="9" t="s">
        <v>36</v>
      </c>
      <c r="G5" s="9" t="s">
        <v>36</v>
      </c>
      <c r="H5" s="9" t="s">
        <v>36</v>
      </c>
      <c r="I5" s="32" t="s">
        <v>117</v>
      </c>
      <c r="J5" s="9" t="s">
        <v>36</v>
      </c>
      <c r="K5" s="21" t="s">
        <v>118</v>
      </c>
      <c r="L5" s="9" t="s">
        <v>37</v>
      </c>
      <c r="M5" s="9" t="s">
        <v>37</v>
      </c>
      <c r="N5" s="9" t="s">
        <v>37</v>
      </c>
      <c r="O5" s="9" t="s">
        <v>37</v>
      </c>
      <c r="P5" s="32" t="s">
        <v>117</v>
      </c>
      <c r="Q5" s="21" t="s">
        <v>119</v>
      </c>
      <c r="R5" s="9" t="s">
        <v>36</v>
      </c>
      <c r="S5" s="9" t="s">
        <v>36</v>
      </c>
      <c r="T5" s="9" t="s">
        <v>36</v>
      </c>
      <c r="U5" s="21" t="s">
        <v>120</v>
      </c>
      <c r="V5" s="9"/>
      <c r="W5" s="5">
        <f t="shared" ref="W5:W52" si="1">COUNTIF(F5:V5,"P")</f>
        <v>4</v>
      </c>
      <c r="X5" s="5">
        <f t="shared" ref="X5:X52" si="2">COUNTIF(F5:V5,"A")</f>
        <v>7</v>
      </c>
      <c r="Y5" s="5" t="s">
        <v>8</v>
      </c>
      <c r="Z5" s="10">
        <v>26</v>
      </c>
      <c r="AA5" s="11" t="s">
        <v>9</v>
      </c>
      <c r="AB5" s="3"/>
    </row>
    <row r="6" spans="1:28" ht="20.25" customHeight="1" x14ac:dyDescent="0.25">
      <c r="A6" s="10">
        <v>2</v>
      </c>
      <c r="B6" s="12"/>
      <c r="C6" s="7" t="s">
        <v>56</v>
      </c>
      <c r="D6" s="7" t="s">
        <v>57</v>
      </c>
      <c r="E6" s="20" t="s">
        <v>20</v>
      </c>
      <c r="F6" s="9" t="s">
        <v>37</v>
      </c>
      <c r="G6" s="9" t="s">
        <v>37</v>
      </c>
      <c r="H6" s="9" t="s">
        <v>37</v>
      </c>
      <c r="I6" s="33"/>
      <c r="J6" s="9" t="s">
        <v>37</v>
      </c>
      <c r="K6" s="22"/>
      <c r="L6" s="9" t="s">
        <v>37</v>
      </c>
      <c r="M6" s="9" t="s">
        <v>37</v>
      </c>
      <c r="N6" s="9" t="s">
        <v>37</v>
      </c>
      <c r="O6" s="9" t="s">
        <v>37</v>
      </c>
      <c r="P6" s="33"/>
      <c r="Q6" s="22"/>
      <c r="R6" s="9" t="s">
        <v>37</v>
      </c>
      <c r="S6" s="9" t="s">
        <v>36</v>
      </c>
      <c r="T6" s="9" t="s">
        <v>37</v>
      </c>
      <c r="U6" s="22"/>
      <c r="V6" s="9"/>
      <c r="W6" s="5">
        <f t="shared" si="1"/>
        <v>10</v>
      </c>
      <c r="X6" s="5">
        <f t="shared" si="2"/>
        <v>1</v>
      </c>
      <c r="Y6" s="5" t="s">
        <v>10</v>
      </c>
      <c r="Z6" s="10">
        <v>4</v>
      </c>
      <c r="AA6" s="3"/>
      <c r="AB6" s="3"/>
    </row>
    <row r="7" spans="1:28" x14ac:dyDescent="0.25">
      <c r="A7" s="10">
        <v>3</v>
      </c>
      <c r="B7" s="12"/>
      <c r="C7" s="7" t="s">
        <v>58</v>
      </c>
      <c r="D7" s="7" t="s">
        <v>45</v>
      </c>
      <c r="E7" s="20" t="s">
        <v>20</v>
      </c>
      <c r="F7" s="9" t="s">
        <v>37</v>
      </c>
      <c r="G7" s="9" t="s">
        <v>37</v>
      </c>
      <c r="H7" s="9" t="s">
        <v>37</v>
      </c>
      <c r="I7" s="33"/>
      <c r="J7" s="9" t="s">
        <v>37</v>
      </c>
      <c r="K7" s="22"/>
      <c r="L7" s="9" t="s">
        <v>37</v>
      </c>
      <c r="M7" s="9" t="s">
        <v>37</v>
      </c>
      <c r="N7" s="9" t="s">
        <v>37</v>
      </c>
      <c r="O7" s="9"/>
      <c r="P7" s="33"/>
      <c r="Q7" s="22"/>
      <c r="R7" s="9" t="s">
        <v>36</v>
      </c>
      <c r="S7" s="9" t="s">
        <v>36</v>
      </c>
      <c r="T7" s="9" t="s">
        <v>36</v>
      </c>
      <c r="U7" s="22"/>
      <c r="V7" s="9"/>
      <c r="W7" s="5">
        <f t="shared" si="1"/>
        <v>7</v>
      </c>
      <c r="X7" s="5">
        <f t="shared" si="2"/>
        <v>3</v>
      </c>
      <c r="Y7" s="3"/>
      <c r="Z7" s="3"/>
      <c r="AA7" s="3"/>
      <c r="AB7" s="3"/>
    </row>
    <row r="8" spans="1:28" ht="15.75" x14ac:dyDescent="0.25">
      <c r="A8" s="10">
        <v>4</v>
      </c>
      <c r="B8" s="12"/>
      <c r="C8" s="7" t="s">
        <v>59</v>
      </c>
      <c r="D8" s="7" t="s">
        <v>60</v>
      </c>
      <c r="E8" s="20" t="s">
        <v>20</v>
      </c>
      <c r="F8" s="9" t="s">
        <v>37</v>
      </c>
      <c r="G8" s="9" t="s">
        <v>37</v>
      </c>
      <c r="H8" s="9" t="s">
        <v>37</v>
      </c>
      <c r="I8" s="33"/>
      <c r="J8" s="9" t="s">
        <v>37</v>
      </c>
      <c r="K8" s="22"/>
      <c r="L8" s="9" t="s">
        <v>37</v>
      </c>
      <c r="M8" s="9" t="s">
        <v>37</v>
      </c>
      <c r="N8" s="9" t="s">
        <v>37</v>
      </c>
      <c r="O8" s="9"/>
      <c r="P8" s="33"/>
      <c r="Q8" s="22"/>
      <c r="R8" s="9" t="s">
        <v>36</v>
      </c>
      <c r="S8" s="9" t="s">
        <v>36</v>
      </c>
      <c r="T8" s="9" t="s">
        <v>37</v>
      </c>
      <c r="U8" s="22"/>
      <c r="V8" s="9"/>
      <c r="W8" s="5">
        <f t="shared" si="1"/>
        <v>8</v>
      </c>
      <c r="X8" s="5">
        <f t="shared" si="2"/>
        <v>2</v>
      </c>
      <c r="Y8" s="25" t="s">
        <v>11</v>
      </c>
      <c r="Z8" s="26"/>
      <c r="AA8" s="26"/>
      <c r="AB8" s="27"/>
    </row>
    <row r="9" spans="1:28" x14ac:dyDescent="0.25">
      <c r="A9" s="10">
        <v>5</v>
      </c>
      <c r="B9" s="12"/>
      <c r="C9" s="7" t="s">
        <v>44</v>
      </c>
      <c r="D9" s="7" t="s">
        <v>26</v>
      </c>
      <c r="E9" s="20" t="s">
        <v>20</v>
      </c>
      <c r="F9" s="9" t="s">
        <v>37</v>
      </c>
      <c r="G9" s="9" t="s">
        <v>37</v>
      </c>
      <c r="H9" s="9" t="s">
        <v>37</v>
      </c>
      <c r="I9" s="33"/>
      <c r="J9" s="9" t="s">
        <v>37</v>
      </c>
      <c r="K9" s="22"/>
      <c r="L9" s="9" t="s">
        <v>37</v>
      </c>
      <c r="M9" s="9" t="s">
        <v>37</v>
      </c>
      <c r="N9" s="9" t="s">
        <v>37</v>
      </c>
      <c r="O9" s="9"/>
      <c r="P9" s="33"/>
      <c r="Q9" s="22"/>
      <c r="R9" s="9" t="s">
        <v>37</v>
      </c>
      <c r="S9" s="9" t="s">
        <v>36</v>
      </c>
      <c r="T9" s="9" t="s">
        <v>37</v>
      </c>
      <c r="U9" s="22"/>
      <c r="V9" s="9"/>
      <c r="W9" s="5">
        <f t="shared" si="1"/>
        <v>9</v>
      </c>
      <c r="X9" s="5">
        <f t="shared" si="2"/>
        <v>1</v>
      </c>
      <c r="Y9" s="5" t="s">
        <v>12</v>
      </c>
      <c r="Z9" s="5" t="s">
        <v>13</v>
      </c>
      <c r="AA9" s="5" t="s">
        <v>14</v>
      </c>
      <c r="AB9" s="5" t="s">
        <v>15</v>
      </c>
    </row>
    <row r="10" spans="1:28" x14ac:dyDescent="0.25">
      <c r="A10" s="10">
        <v>6</v>
      </c>
      <c r="B10" s="12"/>
      <c r="C10" s="7" t="s">
        <v>48</v>
      </c>
      <c r="D10" s="7" t="s">
        <v>61</v>
      </c>
      <c r="E10" s="20" t="s">
        <v>20</v>
      </c>
      <c r="F10" s="9" t="s">
        <v>37</v>
      </c>
      <c r="G10" s="9" t="s">
        <v>37</v>
      </c>
      <c r="H10" s="9" t="s">
        <v>37</v>
      </c>
      <c r="I10" s="33"/>
      <c r="J10" s="9" t="s">
        <v>37</v>
      </c>
      <c r="K10" s="22"/>
      <c r="L10" s="9" t="s">
        <v>37</v>
      </c>
      <c r="M10" s="9" t="s">
        <v>37</v>
      </c>
      <c r="N10" s="9" t="s">
        <v>37</v>
      </c>
      <c r="O10" s="9"/>
      <c r="P10" s="33"/>
      <c r="Q10" s="22"/>
      <c r="R10" s="9" t="s">
        <v>36</v>
      </c>
      <c r="S10" s="9" t="s">
        <v>36</v>
      </c>
      <c r="T10" s="9" t="s">
        <v>36</v>
      </c>
      <c r="U10" s="22"/>
      <c r="V10" s="9"/>
      <c r="W10" s="5">
        <f t="shared" si="1"/>
        <v>7</v>
      </c>
      <c r="X10" s="5">
        <f t="shared" si="2"/>
        <v>3</v>
      </c>
      <c r="Y10" s="5" t="s">
        <v>16</v>
      </c>
      <c r="Z10" s="10">
        <f>19*26</f>
        <v>494</v>
      </c>
      <c r="AA10" s="10">
        <f>21*26</f>
        <v>546</v>
      </c>
      <c r="AB10" s="10">
        <f>SUM(Z10:AA10)</f>
        <v>1040</v>
      </c>
    </row>
    <row r="11" spans="1:28" x14ac:dyDescent="0.25">
      <c r="A11" s="10">
        <v>7</v>
      </c>
      <c r="B11" s="12"/>
      <c r="C11" s="7" t="s">
        <v>29</v>
      </c>
      <c r="D11" s="7" t="s">
        <v>50</v>
      </c>
      <c r="E11" s="20" t="s">
        <v>20</v>
      </c>
      <c r="F11" s="9" t="s">
        <v>37</v>
      </c>
      <c r="G11" s="9" t="s">
        <v>37</v>
      </c>
      <c r="H11" s="9" t="s">
        <v>37</v>
      </c>
      <c r="I11" s="33"/>
      <c r="J11" s="9" t="s">
        <v>37</v>
      </c>
      <c r="K11" s="22"/>
      <c r="L11" s="9" t="s">
        <v>37</v>
      </c>
      <c r="M11" s="9" t="s">
        <v>37</v>
      </c>
      <c r="N11" s="9" t="s">
        <v>37</v>
      </c>
      <c r="O11" s="9"/>
      <c r="P11" s="33"/>
      <c r="Q11" s="22"/>
      <c r="R11" s="9" t="s">
        <v>37</v>
      </c>
      <c r="S11" s="9" t="s">
        <v>36</v>
      </c>
      <c r="T11" s="9" t="s">
        <v>37</v>
      </c>
      <c r="U11" s="22"/>
      <c r="V11" s="9"/>
      <c r="W11" s="5">
        <f t="shared" si="1"/>
        <v>9</v>
      </c>
      <c r="X11" s="5">
        <f t="shared" si="2"/>
        <v>1</v>
      </c>
      <c r="Y11" s="5" t="s">
        <v>17</v>
      </c>
      <c r="Z11" s="10">
        <f>W6+W7+W8+W11+W12+W13+W15+W19+W20+W21+W22+W23+W24+W25+W26</f>
        <v>117</v>
      </c>
      <c r="AA11" s="10">
        <f>W5+W9+W10+W14+W16+W17+W18</f>
        <v>42</v>
      </c>
      <c r="AB11" s="10">
        <f>Z11+AA11</f>
        <v>159</v>
      </c>
    </row>
    <row r="12" spans="1:28" x14ac:dyDescent="0.25">
      <c r="A12" s="10">
        <v>8</v>
      </c>
      <c r="B12" s="12"/>
      <c r="C12" s="7" t="s">
        <v>33</v>
      </c>
      <c r="D12" s="7" t="s">
        <v>50</v>
      </c>
      <c r="E12" s="20" t="s">
        <v>20</v>
      </c>
      <c r="F12" s="9" t="s">
        <v>37</v>
      </c>
      <c r="G12" s="9" t="s">
        <v>37</v>
      </c>
      <c r="H12" s="9" t="s">
        <v>37</v>
      </c>
      <c r="I12" s="33"/>
      <c r="J12" s="9" t="s">
        <v>37</v>
      </c>
      <c r="K12" s="22"/>
      <c r="L12" s="9" t="s">
        <v>37</v>
      </c>
      <c r="M12" s="9" t="s">
        <v>37</v>
      </c>
      <c r="N12" s="9" t="s">
        <v>37</v>
      </c>
      <c r="O12" s="9"/>
      <c r="P12" s="33"/>
      <c r="Q12" s="22"/>
      <c r="R12" s="9" t="s">
        <v>37</v>
      </c>
      <c r="S12" s="9" t="s">
        <v>36</v>
      </c>
      <c r="T12" s="9" t="s">
        <v>37</v>
      </c>
      <c r="U12" s="22"/>
      <c r="V12" s="9"/>
      <c r="W12" s="5">
        <f t="shared" si="1"/>
        <v>9</v>
      </c>
      <c r="X12" s="5">
        <f t="shared" si="2"/>
        <v>1</v>
      </c>
      <c r="Y12" s="5" t="s">
        <v>18</v>
      </c>
      <c r="Z12" s="10">
        <f>Z11/Z10</f>
        <v>0.23684210526315788</v>
      </c>
      <c r="AA12" s="10">
        <f>AA11/AA10</f>
        <v>7.6923076923076927E-2</v>
      </c>
      <c r="AB12" s="10">
        <f>AB11/AB10</f>
        <v>0.1528846153846154</v>
      </c>
    </row>
    <row r="13" spans="1:28" x14ac:dyDescent="0.25">
      <c r="A13" s="10">
        <v>9</v>
      </c>
      <c r="B13" s="12"/>
      <c r="C13" s="7" t="s">
        <v>62</v>
      </c>
      <c r="D13" s="7" t="s">
        <v>47</v>
      </c>
      <c r="E13" s="20" t="s">
        <v>20</v>
      </c>
      <c r="F13" s="9" t="s">
        <v>37</v>
      </c>
      <c r="G13" s="9" t="s">
        <v>37</v>
      </c>
      <c r="H13" s="9" t="s">
        <v>37</v>
      </c>
      <c r="I13" s="33"/>
      <c r="J13" s="9" t="s">
        <v>37</v>
      </c>
      <c r="K13" s="22"/>
      <c r="L13" s="9" t="s">
        <v>37</v>
      </c>
      <c r="M13" s="9" t="s">
        <v>37</v>
      </c>
      <c r="N13" s="9" t="s">
        <v>37</v>
      </c>
      <c r="O13" s="9"/>
      <c r="P13" s="33"/>
      <c r="Q13" s="22"/>
      <c r="R13" s="9" t="s">
        <v>36</v>
      </c>
      <c r="S13" s="9" t="s">
        <v>36</v>
      </c>
      <c r="T13" s="9" t="s">
        <v>37</v>
      </c>
      <c r="U13" s="22"/>
      <c r="V13" s="9"/>
      <c r="W13" s="5">
        <f t="shared" si="1"/>
        <v>8</v>
      </c>
      <c r="X13" s="5">
        <f t="shared" si="2"/>
        <v>2</v>
      </c>
      <c r="Y13" s="3"/>
      <c r="Z13" s="15"/>
      <c r="AA13" s="15"/>
      <c r="AB13" s="15"/>
    </row>
    <row r="14" spans="1:28" x14ac:dyDescent="0.25">
      <c r="A14" s="10">
        <v>10</v>
      </c>
      <c r="B14" s="16"/>
      <c r="C14" s="7" t="s">
        <v>63</v>
      </c>
      <c r="D14" s="7" t="s">
        <v>24</v>
      </c>
      <c r="E14" s="20" t="s">
        <v>20</v>
      </c>
      <c r="F14" s="9" t="s">
        <v>36</v>
      </c>
      <c r="G14" s="9" t="s">
        <v>36</v>
      </c>
      <c r="H14" s="9" t="s">
        <v>37</v>
      </c>
      <c r="I14" s="33"/>
      <c r="J14" s="9" t="s">
        <v>37</v>
      </c>
      <c r="K14" s="22"/>
      <c r="L14" s="9" t="s">
        <v>36</v>
      </c>
      <c r="M14" s="9" t="s">
        <v>37</v>
      </c>
      <c r="N14" s="9" t="s">
        <v>37</v>
      </c>
      <c r="O14" s="9"/>
      <c r="P14" s="33"/>
      <c r="Q14" s="22"/>
      <c r="R14" s="9" t="s">
        <v>37</v>
      </c>
      <c r="S14" s="9" t="s">
        <v>36</v>
      </c>
      <c r="T14" s="9" t="s">
        <v>36</v>
      </c>
      <c r="U14" s="22"/>
      <c r="V14" s="9"/>
      <c r="W14" s="5">
        <f t="shared" si="1"/>
        <v>5</v>
      </c>
      <c r="X14" s="5">
        <f t="shared" si="2"/>
        <v>5</v>
      </c>
      <c r="Y14" s="17"/>
      <c r="Z14" s="17"/>
      <c r="AA14" s="17"/>
      <c r="AB14" s="17"/>
    </row>
    <row r="15" spans="1:28" x14ac:dyDescent="0.25">
      <c r="A15" s="10">
        <v>11</v>
      </c>
      <c r="B15" s="12"/>
      <c r="C15" s="7" t="s">
        <v>25</v>
      </c>
      <c r="D15" s="7" t="s">
        <v>51</v>
      </c>
      <c r="E15" s="20" t="s">
        <v>20</v>
      </c>
      <c r="F15" s="9"/>
      <c r="G15" s="9"/>
      <c r="H15" s="9"/>
      <c r="I15" s="33"/>
      <c r="J15" s="9" t="s">
        <v>37</v>
      </c>
      <c r="K15" s="22"/>
      <c r="L15" s="9" t="s">
        <v>37</v>
      </c>
      <c r="M15" s="9" t="s">
        <v>37</v>
      </c>
      <c r="N15" s="9" t="s">
        <v>36</v>
      </c>
      <c r="O15" s="9"/>
      <c r="P15" s="33"/>
      <c r="Q15" s="22"/>
      <c r="R15" s="9" t="s">
        <v>37</v>
      </c>
      <c r="S15" s="9" t="s">
        <v>36</v>
      </c>
      <c r="T15" s="9" t="s">
        <v>36</v>
      </c>
      <c r="U15" s="22"/>
      <c r="V15" s="9"/>
      <c r="W15" s="5">
        <f t="shared" si="1"/>
        <v>4</v>
      </c>
      <c r="X15" s="5">
        <f t="shared" si="2"/>
        <v>3</v>
      </c>
      <c r="Y15" s="3"/>
      <c r="Z15" s="3"/>
      <c r="AA15" s="3"/>
      <c r="AB15" s="3"/>
    </row>
    <row r="16" spans="1:28" ht="15.75" x14ac:dyDescent="0.25">
      <c r="A16" s="10">
        <v>12</v>
      </c>
      <c r="B16" s="12"/>
      <c r="C16" s="7" t="s">
        <v>64</v>
      </c>
      <c r="D16" s="7" t="s">
        <v>65</v>
      </c>
      <c r="E16" s="20" t="s">
        <v>20</v>
      </c>
      <c r="F16" s="9" t="s">
        <v>37</v>
      </c>
      <c r="G16" s="9" t="s">
        <v>37</v>
      </c>
      <c r="H16" s="9" t="s">
        <v>37</v>
      </c>
      <c r="I16" s="33"/>
      <c r="J16" s="9" t="s">
        <v>37</v>
      </c>
      <c r="K16" s="22"/>
      <c r="L16" s="9" t="s">
        <v>36</v>
      </c>
      <c r="M16" s="9" t="s">
        <v>37</v>
      </c>
      <c r="N16" s="9" t="s">
        <v>37</v>
      </c>
      <c r="O16" s="9"/>
      <c r="P16" s="33"/>
      <c r="Q16" s="22"/>
      <c r="R16" s="9" t="s">
        <v>36</v>
      </c>
      <c r="S16" s="9" t="s">
        <v>37</v>
      </c>
      <c r="T16" s="9" t="s">
        <v>37</v>
      </c>
      <c r="U16" s="22"/>
      <c r="V16" s="9"/>
      <c r="W16" s="5">
        <f t="shared" si="1"/>
        <v>8</v>
      </c>
      <c r="X16" s="5">
        <f t="shared" si="2"/>
        <v>2</v>
      </c>
      <c r="Y16" s="25" t="s">
        <v>6</v>
      </c>
      <c r="Z16" s="26"/>
      <c r="AA16" s="26"/>
      <c r="AB16" s="27"/>
    </row>
    <row r="17" spans="1:28" x14ac:dyDescent="0.25">
      <c r="A17" s="10">
        <v>13</v>
      </c>
      <c r="B17" s="12"/>
      <c r="C17" s="7" t="s">
        <v>66</v>
      </c>
      <c r="D17" s="7" t="s">
        <v>40</v>
      </c>
      <c r="E17" s="20" t="s">
        <v>20</v>
      </c>
      <c r="F17" s="9" t="s">
        <v>36</v>
      </c>
      <c r="G17" s="9"/>
      <c r="H17" s="9" t="s">
        <v>37</v>
      </c>
      <c r="I17" s="33"/>
      <c r="J17" s="9" t="s">
        <v>37</v>
      </c>
      <c r="K17" s="22"/>
      <c r="L17" s="9" t="s">
        <v>37</v>
      </c>
      <c r="M17" s="9" t="s">
        <v>37</v>
      </c>
      <c r="N17" s="9" t="s">
        <v>37</v>
      </c>
      <c r="O17" s="9"/>
      <c r="P17" s="33"/>
      <c r="Q17" s="22"/>
      <c r="R17" s="9" t="s">
        <v>36</v>
      </c>
      <c r="S17" s="9" t="s">
        <v>36</v>
      </c>
      <c r="T17" s="9" t="s">
        <v>36</v>
      </c>
      <c r="U17" s="22"/>
      <c r="V17" s="9"/>
      <c r="W17" s="5">
        <f t="shared" si="1"/>
        <v>5</v>
      </c>
      <c r="X17" s="5">
        <f t="shared" si="2"/>
        <v>4</v>
      </c>
      <c r="Y17" s="5" t="s">
        <v>12</v>
      </c>
      <c r="Z17" s="5" t="s">
        <v>13</v>
      </c>
      <c r="AA17" s="5" t="s">
        <v>14</v>
      </c>
      <c r="AB17" s="5" t="s">
        <v>15</v>
      </c>
    </row>
    <row r="18" spans="1:28" x14ac:dyDescent="0.25">
      <c r="A18" s="10">
        <v>14</v>
      </c>
      <c r="B18" s="12"/>
      <c r="C18" s="7" t="s">
        <v>67</v>
      </c>
      <c r="D18" s="7" t="s">
        <v>68</v>
      </c>
      <c r="E18" s="20" t="s">
        <v>20</v>
      </c>
      <c r="F18" s="9" t="s">
        <v>36</v>
      </c>
      <c r="G18" s="9"/>
      <c r="H18" s="9"/>
      <c r="I18" s="33"/>
      <c r="J18" s="9" t="s">
        <v>37</v>
      </c>
      <c r="K18" s="22"/>
      <c r="L18" s="9" t="s">
        <v>37</v>
      </c>
      <c r="M18" s="9" t="s">
        <v>37</v>
      </c>
      <c r="N18" s="9" t="s">
        <v>37</v>
      </c>
      <c r="O18" s="9"/>
      <c r="P18" s="33"/>
      <c r="Q18" s="22"/>
      <c r="R18" s="9" t="s">
        <v>36</v>
      </c>
      <c r="S18" s="9" t="s">
        <v>36</v>
      </c>
      <c r="T18" s="9" t="s">
        <v>36</v>
      </c>
      <c r="U18" s="22"/>
      <c r="V18" s="9"/>
      <c r="W18" s="5">
        <f t="shared" si="1"/>
        <v>4</v>
      </c>
      <c r="X18" s="5">
        <f t="shared" si="2"/>
        <v>4</v>
      </c>
      <c r="Y18" s="5" t="s">
        <v>16</v>
      </c>
      <c r="Z18" s="10">
        <f>19*26</f>
        <v>494</v>
      </c>
      <c r="AA18" s="10">
        <f>21*26</f>
        <v>546</v>
      </c>
      <c r="AB18" s="10">
        <f>Z18+AA18</f>
        <v>1040</v>
      </c>
    </row>
    <row r="19" spans="1:28" x14ac:dyDescent="0.25">
      <c r="A19" s="10">
        <v>15</v>
      </c>
      <c r="B19" s="12"/>
      <c r="C19" s="7" t="s">
        <v>69</v>
      </c>
      <c r="D19" s="7" t="s">
        <v>70</v>
      </c>
      <c r="E19" s="20" t="s">
        <v>20</v>
      </c>
      <c r="F19" s="9" t="s">
        <v>36</v>
      </c>
      <c r="G19" s="9"/>
      <c r="H19" s="9" t="s">
        <v>37</v>
      </c>
      <c r="I19" s="33"/>
      <c r="J19" s="9" t="s">
        <v>37</v>
      </c>
      <c r="K19" s="22"/>
      <c r="L19" s="9" t="s">
        <v>37</v>
      </c>
      <c r="M19" s="9" t="s">
        <v>37</v>
      </c>
      <c r="N19" s="9" t="s">
        <v>37</v>
      </c>
      <c r="O19" s="9" t="s">
        <v>37</v>
      </c>
      <c r="P19" s="33"/>
      <c r="Q19" s="22"/>
      <c r="R19" s="9" t="s">
        <v>37</v>
      </c>
      <c r="S19" s="9" t="s">
        <v>36</v>
      </c>
      <c r="T19" s="9" t="s">
        <v>37</v>
      </c>
      <c r="U19" s="22"/>
      <c r="V19" s="9"/>
      <c r="W19" s="5">
        <f t="shared" si="1"/>
        <v>8</v>
      </c>
      <c r="X19" s="5">
        <f t="shared" si="2"/>
        <v>2</v>
      </c>
      <c r="Y19" s="5" t="s">
        <v>19</v>
      </c>
      <c r="Z19" s="10">
        <f>Z18-Z11</f>
        <v>377</v>
      </c>
      <c r="AA19" s="10">
        <f>AA18-AA11</f>
        <v>504</v>
      </c>
      <c r="AB19" s="10">
        <f>Z19+AA19</f>
        <v>881</v>
      </c>
    </row>
    <row r="20" spans="1:28" x14ac:dyDescent="0.25">
      <c r="A20" s="10">
        <v>16</v>
      </c>
      <c r="B20" s="12"/>
      <c r="C20" s="7" t="s">
        <v>71</v>
      </c>
      <c r="D20" s="7" t="s">
        <v>31</v>
      </c>
      <c r="E20" s="20" t="s">
        <v>20</v>
      </c>
      <c r="F20" s="9" t="s">
        <v>36</v>
      </c>
      <c r="G20" s="9"/>
      <c r="H20" s="9" t="s">
        <v>37</v>
      </c>
      <c r="I20" s="33"/>
      <c r="J20" s="9" t="s">
        <v>37</v>
      </c>
      <c r="K20" s="22"/>
      <c r="L20" s="9" t="s">
        <v>37</v>
      </c>
      <c r="M20" s="9" t="s">
        <v>37</v>
      </c>
      <c r="N20" s="9" t="s">
        <v>37</v>
      </c>
      <c r="O20" s="9" t="s">
        <v>36</v>
      </c>
      <c r="P20" s="33"/>
      <c r="Q20" s="22"/>
      <c r="R20" s="9" t="s">
        <v>36</v>
      </c>
      <c r="S20" s="9" t="s">
        <v>36</v>
      </c>
      <c r="T20" s="9" t="s">
        <v>37</v>
      </c>
      <c r="U20" s="22"/>
      <c r="V20" s="9"/>
      <c r="W20" s="5">
        <f t="shared" si="1"/>
        <v>6</v>
      </c>
      <c r="X20" s="5">
        <f t="shared" si="2"/>
        <v>4</v>
      </c>
      <c r="Y20" s="5" t="s">
        <v>15</v>
      </c>
      <c r="Z20" s="18">
        <f>Z19/Z18</f>
        <v>0.76315789473684215</v>
      </c>
      <c r="AA20" s="18">
        <f>AA19/AA18</f>
        <v>0.92307692307692313</v>
      </c>
      <c r="AB20" s="18">
        <f>AB19/AB18</f>
        <v>0.8471153846153846</v>
      </c>
    </row>
    <row r="21" spans="1:28" x14ac:dyDescent="0.25">
      <c r="A21" s="10">
        <v>17</v>
      </c>
      <c r="B21" s="12"/>
      <c r="C21" s="7" t="s">
        <v>72</v>
      </c>
      <c r="D21" s="7" t="s">
        <v>40</v>
      </c>
      <c r="E21" s="20" t="s">
        <v>20</v>
      </c>
      <c r="F21" s="9" t="s">
        <v>36</v>
      </c>
      <c r="G21" s="9"/>
      <c r="H21" s="9" t="s">
        <v>37</v>
      </c>
      <c r="I21" s="33"/>
      <c r="J21" s="9" t="s">
        <v>37</v>
      </c>
      <c r="K21" s="22"/>
      <c r="L21" s="9" t="s">
        <v>37</v>
      </c>
      <c r="M21" s="9" t="s">
        <v>37</v>
      </c>
      <c r="N21" s="9" t="s">
        <v>37</v>
      </c>
      <c r="O21" s="9" t="s">
        <v>37</v>
      </c>
      <c r="P21" s="33"/>
      <c r="Q21" s="22"/>
      <c r="R21" s="9" t="s">
        <v>37</v>
      </c>
      <c r="S21" s="9" t="s">
        <v>36</v>
      </c>
      <c r="T21" s="9" t="s">
        <v>37</v>
      </c>
      <c r="U21" s="22"/>
      <c r="V21" s="9"/>
      <c r="W21" s="5">
        <f t="shared" si="1"/>
        <v>8</v>
      </c>
      <c r="X21" s="5">
        <f t="shared" si="2"/>
        <v>2</v>
      </c>
    </row>
    <row r="22" spans="1:28" x14ac:dyDescent="0.25">
      <c r="A22" s="10">
        <v>18</v>
      </c>
      <c r="B22" s="12"/>
      <c r="C22" s="7" t="s">
        <v>73</v>
      </c>
      <c r="D22" s="7" t="s">
        <v>38</v>
      </c>
      <c r="E22" s="20" t="s">
        <v>20</v>
      </c>
      <c r="F22" s="9"/>
      <c r="G22" s="9"/>
      <c r="H22" s="9" t="s">
        <v>37</v>
      </c>
      <c r="I22" s="33"/>
      <c r="J22" s="9" t="s">
        <v>37</v>
      </c>
      <c r="K22" s="22"/>
      <c r="L22" s="9" t="s">
        <v>37</v>
      </c>
      <c r="M22" s="9" t="s">
        <v>37</v>
      </c>
      <c r="N22" s="9" t="s">
        <v>37</v>
      </c>
      <c r="O22" s="9" t="s">
        <v>36</v>
      </c>
      <c r="P22" s="33"/>
      <c r="Q22" s="22"/>
      <c r="R22" s="9" t="s">
        <v>37</v>
      </c>
      <c r="S22" s="9" t="s">
        <v>36</v>
      </c>
      <c r="T22" s="9" t="s">
        <v>37</v>
      </c>
      <c r="U22" s="22"/>
      <c r="V22" s="9"/>
      <c r="W22" s="5">
        <f t="shared" si="1"/>
        <v>7</v>
      </c>
      <c r="X22" s="5">
        <f t="shared" si="2"/>
        <v>2</v>
      </c>
    </row>
    <row r="23" spans="1:28" x14ac:dyDescent="0.25">
      <c r="A23" s="10">
        <v>19</v>
      </c>
      <c r="B23" s="12"/>
      <c r="C23" s="7" t="s">
        <v>74</v>
      </c>
      <c r="D23" s="7" t="s">
        <v>39</v>
      </c>
      <c r="E23" s="20" t="s">
        <v>20</v>
      </c>
      <c r="F23" s="9" t="s">
        <v>36</v>
      </c>
      <c r="G23" s="9" t="s">
        <v>37</v>
      </c>
      <c r="H23" s="9" t="s">
        <v>37</v>
      </c>
      <c r="I23" s="33"/>
      <c r="J23" s="9" t="s">
        <v>37</v>
      </c>
      <c r="K23" s="22"/>
      <c r="L23" s="9" t="s">
        <v>37</v>
      </c>
      <c r="M23" s="9" t="s">
        <v>36</v>
      </c>
      <c r="N23" s="9" t="s">
        <v>37</v>
      </c>
      <c r="O23" s="9" t="s">
        <v>36</v>
      </c>
      <c r="P23" s="33"/>
      <c r="Q23" s="22"/>
      <c r="R23" s="9" t="s">
        <v>37</v>
      </c>
      <c r="S23" s="9" t="s">
        <v>36</v>
      </c>
      <c r="T23" s="9" t="s">
        <v>37</v>
      </c>
      <c r="U23" s="22"/>
      <c r="V23" s="9"/>
      <c r="W23" s="5">
        <f t="shared" si="1"/>
        <v>7</v>
      </c>
      <c r="X23" s="5">
        <f t="shared" si="2"/>
        <v>4</v>
      </c>
    </row>
    <row r="24" spans="1:28" x14ac:dyDescent="0.25">
      <c r="A24" s="10">
        <v>20</v>
      </c>
      <c r="B24" s="12"/>
      <c r="C24" s="7" t="s">
        <v>46</v>
      </c>
      <c r="D24" s="7" t="s">
        <v>42</v>
      </c>
      <c r="E24" s="20" t="s">
        <v>20</v>
      </c>
      <c r="F24" s="9" t="s">
        <v>36</v>
      </c>
      <c r="G24" s="9" t="s">
        <v>37</v>
      </c>
      <c r="H24" s="9" t="s">
        <v>37</v>
      </c>
      <c r="I24" s="33"/>
      <c r="J24" s="9" t="s">
        <v>37</v>
      </c>
      <c r="K24" s="22"/>
      <c r="L24" s="9" t="s">
        <v>37</v>
      </c>
      <c r="M24" s="9" t="s">
        <v>37</v>
      </c>
      <c r="N24" s="9" t="s">
        <v>37</v>
      </c>
      <c r="O24" s="9" t="s">
        <v>37</v>
      </c>
      <c r="P24" s="33"/>
      <c r="Q24" s="22"/>
      <c r="R24" s="9" t="s">
        <v>37</v>
      </c>
      <c r="S24" s="9" t="s">
        <v>37</v>
      </c>
      <c r="T24" s="9" t="s">
        <v>37</v>
      </c>
      <c r="U24" s="22"/>
      <c r="V24" s="9"/>
      <c r="W24" s="5">
        <f t="shared" si="1"/>
        <v>10</v>
      </c>
      <c r="X24" s="5">
        <f t="shared" si="2"/>
        <v>1</v>
      </c>
    </row>
    <row r="25" spans="1:28" x14ac:dyDescent="0.25">
      <c r="A25" s="10">
        <v>21</v>
      </c>
      <c r="B25" s="12"/>
      <c r="C25" s="7" t="s">
        <v>75</v>
      </c>
      <c r="D25" s="7" t="s">
        <v>76</v>
      </c>
      <c r="E25" s="20" t="s">
        <v>20</v>
      </c>
      <c r="F25" s="9" t="s">
        <v>37</v>
      </c>
      <c r="G25" s="9" t="s">
        <v>37</v>
      </c>
      <c r="H25" s="9" t="s">
        <v>37</v>
      </c>
      <c r="I25" s="33"/>
      <c r="J25" s="9" t="s">
        <v>37</v>
      </c>
      <c r="K25" s="22"/>
      <c r="L25" s="9" t="s">
        <v>37</v>
      </c>
      <c r="M25" s="9" t="s">
        <v>37</v>
      </c>
      <c r="N25" s="9" t="s">
        <v>37</v>
      </c>
      <c r="O25" s="9"/>
      <c r="P25" s="33"/>
      <c r="Q25" s="22"/>
      <c r="R25" s="9" t="s">
        <v>36</v>
      </c>
      <c r="S25" s="9" t="s">
        <v>37</v>
      </c>
      <c r="T25" s="9" t="s">
        <v>36</v>
      </c>
      <c r="U25" s="22"/>
      <c r="V25" s="9"/>
      <c r="W25" s="5">
        <f t="shared" si="1"/>
        <v>8</v>
      </c>
      <c r="X25" s="5">
        <f t="shared" si="2"/>
        <v>2</v>
      </c>
    </row>
    <row r="26" spans="1:28" x14ac:dyDescent="0.25">
      <c r="A26" s="10">
        <v>22</v>
      </c>
      <c r="B26" s="12"/>
      <c r="C26" s="7" t="s">
        <v>77</v>
      </c>
      <c r="D26" s="7" t="s">
        <v>78</v>
      </c>
      <c r="E26" s="20" t="s">
        <v>20</v>
      </c>
      <c r="F26" s="9" t="s">
        <v>36</v>
      </c>
      <c r="G26" s="9"/>
      <c r="H26" s="9" t="s">
        <v>37</v>
      </c>
      <c r="I26" s="33"/>
      <c r="J26" s="9" t="s">
        <v>37</v>
      </c>
      <c r="K26" s="22"/>
      <c r="L26" s="9" t="s">
        <v>37</v>
      </c>
      <c r="M26" s="9" t="s">
        <v>37</v>
      </c>
      <c r="N26" s="9" t="s">
        <v>37</v>
      </c>
      <c r="O26" s="9" t="s">
        <v>37</v>
      </c>
      <c r="P26" s="33"/>
      <c r="Q26" s="22"/>
      <c r="R26" s="9" t="s">
        <v>37</v>
      </c>
      <c r="S26" s="9" t="s">
        <v>36</v>
      </c>
      <c r="T26" s="9" t="s">
        <v>37</v>
      </c>
      <c r="U26" s="22"/>
      <c r="V26" s="9"/>
      <c r="W26" s="5">
        <f t="shared" si="1"/>
        <v>8</v>
      </c>
      <c r="X26" s="5">
        <f t="shared" si="2"/>
        <v>2</v>
      </c>
    </row>
    <row r="27" spans="1:28" ht="15" customHeight="1" x14ac:dyDescent="0.25">
      <c r="A27" s="10">
        <v>1</v>
      </c>
      <c r="B27" s="12"/>
      <c r="C27" s="13" t="s">
        <v>79</v>
      </c>
      <c r="D27" s="14" t="s">
        <v>80</v>
      </c>
      <c r="E27" s="8" t="s">
        <v>20</v>
      </c>
      <c r="F27" s="9" t="s">
        <v>37</v>
      </c>
      <c r="G27" s="9" t="s">
        <v>37</v>
      </c>
      <c r="H27" s="9" t="s">
        <v>37</v>
      </c>
      <c r="I27" s="33"/>
      <c r="J27" s="9" t="s">
        <v>37</v>
      </c>
      <c r="K27" s="22"/>
      <c r="L27" s="9" t="s">
        <v>37</v>
      </c>
      <c r="M27" s="9" t="s">
        <v>37</v>
      </c>
      <c r="N27" s="9" t="s">
        <v>37</v>
      </c>
      <c r="O27" s="9" t="s">
        <v>37</v>
      </c>
      <c r="P27" s="33"/>
      <c r="Q27" s="22"/>
      <c r="R27" s="9" t="s">
        <v>37</v>
      </c>
      <c r="S27" s="9" t="s">
        <v>37</v>
      </c>
      <c r="T27" s="9" t="s">
        <v>37</v>
      </c>
      <c r="U27" s="22"/>
      <c r="V27" s="9"/>
      <c r="W27" s="5">
        <f t="shared" si="1"/>
        <v>11</v>
      </c>
      <c r="X27" s="5">
        <f t="shared" si="2"/>
        <v>0</v>
      </c>
    </row>
    <row r="28" spans="1:28" x14ac:dyDescent="0.25">
      <c r="A28" s="6">
        <v>2</v>
      </c>
      <c r="B28" s="12"/>
      <c r="C28" s="13" t="s">
        <v>24</v>
      </c>
      <c r="D28" s="14" t="s">
        <v>31</v>
      </c>
      <c r="E28" s="8" t="s">
        <v>20</v>
      </c>
      <c r="F28" s="9" t="s">
        <v>37</v>
      </c>
      <c r="G28" s="9" t="s">
        <v>37</v>
      </c>
      <c r="H28" s="9" t="s">
        <v>37</v>
      </c>
      <c r="I28" s="33"/>
      <c r="J28" s="9" t="s">
        <v>37</v>
      </c>
      <c r="K28" s="22"/>
      <c r="L28" s="9" t="s">
        <v>37</v>
      </c>
      <c r="M28" s="9" t="s">
        <v>37</v>
      </c>
      <c r="N28" s="9" t="s">
        <v>37</v>
      </c>
      <c r="O28" s="9" t="s">
        <v>37</v>
      </c>
      <c r="P28" s="33"/>
      <c r="Q28" s="22"/>
      <c r="R28" s="9" t="s">
        <v>37</v>
      </c>
      <c r="S28" s="9" t="s">
        <v>36</v>
      </c>
      <c r="T28" s="9" t="s">
        <v>36</v>
      </c>
      <c r="U28" s="22"/>
      <c r="V28" s="9"/>
      <c r="W28" s="5">
        <f t="shared" si="1"/>
        <v>9</v>
      </c>
      <c r="X28" s="5">
        <f t="shared" si="2"/>
        <v>2</v>
      </c>
    </row>
    <row r="29" spans="1:28" x14ac:dyDescent="0.25">
      <c r="A29" s="10">
        <v>3</v>
      </c>
      <c r="B29" s="12"/>
      <c r="C29" s="13" t="s">
        <v>81</v>
      </c>
      <c r="D29" s="14" t="s">
        <v>82</v>
      </c>
      <c r="E29" s="8" t="s">
        <v>20</v>
      </c>
      <c r="F29" s="9" t="s">
        <v>37</v>
      </c>
      <c r="G29" s="9" t="s">
        <v>37</v>
      </c>
      <c r="H29" s="9" t="s">
        <v>37</v>
      </c>
      <c r="I29" s="33"/>
      <c r="J29" s="9" t="s">
        <v>37</v>
      </c>
      <c r="K29" s="22"/>
      <c r="L29" s="9" t="s">
        <v>37</v>
      </c>
      <c r="M29" s="9" t="s">
        <v>36</v>
      </c>
      <c r="N29" s="9" t="s">
        <v>37</v>
      </c>
      <c r="O29" s="9" t="s">
        <v>37</v>
      </c>
      <c r="P29" s="33"/>
      <c r="Q29" s="22"/>
      <c r="R29" s="9" t="s">
        <v>37</v>
      </c>
      <c r="S29" s="9" t="s">
        <v>36</v>
      </c>
      <c r="T29" s="9" t="s">
        <v>36</v>
      </c>
      <c r="U29" s="22"/>
      <c r="V29" s="9"/>
      <c r="W29" s="5">
        <f t="shared" si="1"/>
        <v>8</v>
      </c>
      <c r="X29" s="5">
        <f t="shared" si="2"/>
        <v>3</v>
      </c>
    </row>
    <row r="30" spans="1:28" x14ac:dyDescent="0.25">
      <c r="A30" s="10">
        <v>4</v>
      </c>
      <c r="B30" s="12"/>
      <c r="C30" s="13" t="s">
        <v>49</v>
      </c>
      <c r="D30" s="14" t="s">
        <v>83</v>
      </c>
      <c r="E30" s="8" t="s">
        <v>20</v>
      </c>
      <c r="F30" s="9" t="s">
        <v>37</v>
      </c>
      <c r="G30" s="9" t="s">
        <v>37</v>
      </c>
      <c r="H30" s="9" t="s">
        <v>37</v>
      </c>
      <c r="I30" s="33"/>
      <c r="J30" s="9" t="s">
        <v>37</v>
      </c>
      <c r="K30" s="22"/>
      <c r="L30" s="9" t="s">
        <v>37</v>
      </c>
      <c r="M30" s="9" t="s">
        <v>37</v>
      </c>
      <c r="N30" s="9" t="s">
        <v>36</v>
      </c>
      <c r="O30" s="9" t="s">
        <v>37</v>
      </c>
      <c r="P30" s="33"/>
      <c r="Q30" s="22"/>
      <c r="R30" s="9" t="s">
        <v>37</v>
      </c>
      <c r="S30" s="9" t="s">
        <v>37</v>
      </c>
      <c r="T30" s="9" t="s">
        <v>37</v>
      </c>
      <c r="U30" s="22"/>
      <c r="V30" s="9"/>
      <c r="W30" s="5">
        <f t="shared" si="1"/>
        <v>10</v>
      </c>
      <c r="X30" s="5">
        <f t="shared" si="2"/>
        <v>1</v>
      </c>
    </row>
    <row r="31" spans="1:28" x14ac:dyDescent="0.25">
      <c r="A31" s="6">
        <v>5</v>
      </c>
      <c r="B31" s="12"/>
      <c r="C31" s="13" t="s">
        <v>84</v>
      </c>
      <c r="D31" s="14" t="s">
        <v>85</v>
      </c>
      <c r="E31" s="8" t="s">
        <v>20</v>
      </c>
      <c r="F31" s="9" t="s">
        <v>37</v>
      </c>
      <c r="G31" s="9" t="s">
        <v>37</v>
      </c>
      <c r="H31" s="9" t="s">
        <v>37</v>
      </c>
      <c r="I31" s="33"/>
      <c r="J31" s="9" t="s">
        <v>37</v>
      </c>
      <c r="K31" s="22"/>
      <c r="L31" s="9" t="s">
        <v>37</v>
      </c>
      <c r="M31" s="9" t="s">
        <v>37</v>
      </c>
      <c r="N31" s="9" t="s">
        <v>37</v>
      </c>
      <c r="O31" s="9" t="s">
        <v>36</v>
      </c>
      <c r="P31" s="33"/>
      <c r="Q31" s="22"/>
      <c r="R31" s="9" t="s">
        <v>36</v>
      </c>
      <c r="S31" s="9" t="s">
        <v>36</v>
      </c>
      <c r="T31" s="9" t="s">
        <v>36</v>
      </c>
      <c r="U31" s="22"/>
      <c r="V31" s="9"/>
      <c r="W31" s="5">
        <f t="shared" si="1"/>
        <v>7</v>
      </c>
      <c r="X31" s="5">
        <f t="shared" si="2"/>
        <v>4</v>
      </c>
    </row>
    <row r="32" spans="1:28" x14ac:dyDescent="0.25">
      <c r="A32" s="10">
        <v>6</v>
      </c>
      <c r="B32" s="12"/>
      <c r="C32" s="13" t="s">
        <v>86</v>
      </c>
      <c r="D32" s="14" t="s">
        <v>87</v>
      </c>
      <c r="E32" s="8" t="s">
        <v>20</v>
      </c>
      <c r="F32" s="9" t="s">
        <v>37</v>
      </c>
      <c r="G32" s="9" t="s">
        <v>37</v>
      </c>
      <c r="H32" s="9" t="s">
        <v>37</v>
      </c>
      <c r="I32" s="33"/>
      <c r="J32" s="9" t="s">
        <v>37</v>
      </c>
      <c r="K32" s="22"/>
      <c r="L32" s="9" t="s">
        <v>37</v>
      </c>
      <c r="M32" s="9" t="s">
        <v>37</v>
      </c>
      <c r="N32" s="9" t="s">
        <v>37</v>
      </c>
      <c r="O32" s="9" t="s">
        <v>37</v>
      </c>
      <c r="P32" s="33"/>
      <c r="Q32" s="22"/>
      <c r="R32" s="9" t="s">
        <v>37</v>
      </c>
      <c r="S32" s="9" t="s">
        <v>36</v>
      </c>
      <c r="T32" s="9" t="s">
        <v>37</v>
      </c>
      <c r="U32" s="22"/>
      <c r="V32" s="9"/>
      <c r="W32" s="5">
        <f t="shared" si="1"/>
        <v>10</v>
      </c>
      <c r="X32" s="5">
        <f t="shared" si="2"/>
        <v>1</v>
      </c>
    </row>
    <row r="33" spans="1:24" x14ac:dyDescent="0.25">
      <c r="A33" s="10">
        <v>7</v>
      </c>
      <c r="B33" s="12"/>
      <c r="C33" s="13" t="s">
        <v>88</v>
      </c>
      <c r="D33" s="14" t="s">
        <v>89</v>
      </c>
      <c r="E33" s="8" t="s">
        <v>20</v>
      </c>
      <c r="F33" s="9" t="s">
        <v>36</v>
      </c>
      <c r="G33" s="9" t="s">
        <v>36</v>
      </c>
      <c r="H33" s="9" t="s">
        <v>36</v>
      </c>
      <c r="I33" s="33"/>
      <c r="J33" s="9" t="s">
        <v>36</v>
      </c>
      <c r="K33" s="22"/>
      <c r="L33" s="9" t="s">
        <v>37</v>
      </c>
      <c r="M33" s="9" t="s">
        <v>37</v>
      </c>
      <c r="N33" s="9" t="s">
        <v>37</v>
      </c>
      <c r="O33" s="9" t="s">
        <v>36</v>
      </c>
      <c r="P33" s="33"/>
      <c r="Q33" s="22"/>
      <c r="R33" s="9" t="s">
        <v>36</v>
      </c>
      <c r="S33" s="9" t="s">
        <v>37</v>
      </c>
      <c r="T33" s="9" t="s">
        <v>37</v>
      </c>
      <c r="U33" s="22"/>
      <c r="V33" s="9"/>
      <c r="W33" s="5">
        <f t="shared" si="1"/>
        <v>5</v>
      </c>
      <c r="X33" s="5">
        <f t="shared" si="2"/>
        <v>6</v>
      </c>
    </row>
    <row r="34" spans="1:24" x14ac:dyDescent="0.25">
      <c r="A34" s="6">
        <v>8</v>
      </c>
      <c r="B34" s="12"/>
      <c r="C34" s="13" t="s">
        <v>90</v>
      </c>
      <c r="D34" s="14" t="s">
        <v>30</v>
      </c>
      <c r="E34" s="8" t="s">
        <v>20</v>
      </c>
      <c r="F34" s="9" t="s">
        <v>37</v>
      </c>
      <c r="G34" s="9" t="s">
        <v>37</v>
      </c>
      <c r="H34" s="9" t="s">
        <v>37</v>
      </c>
      <c r="I34" s="33"/>
      <c r="J34" s="9" t="s">
        <v>37</v>
      </c>
      <c r="K34" s="22"/>
      <c r="L34" s="9" t="s">
        <v>37</v>
      </c>
      <c r="M34" s="9" t="s">
        <v>37</v>
      </c>
      <c r="N34" s="9" t="s">
        <v>37</v>
      </c>
      <c r="O34" s="9" t="s">
        <v>37</v>
      </c>
      <c r="P34" s="33"/>
      <c r="Q34" s="22"/>
      <c r="R34" s="9" t="s">
        <v>37</v>
      </c>
      <c r="S34" s="9" t="s">
        <v>37</v>
      </c>
      <c r="T34" s="9" t="s">
        <v>37</v>
      </c>
      <c r="U34" s="22"/>
      <c r="V34" s="9"/>
      <c r="W34" s="5">
        <f t="shared" si="1"/>
        <v>11</v>
      </c>
      <c r="X34" s="5">
        <f t="shared" si="2"/>
        <v>0</v>
      </c>
    </row>
    <row r="35" spans="1:24" x14ac:dyDescent="0.25">
      <c r="A35" s="10">
        <v>9</v>
      </c>
      <c r="B35" s="12"/>
      <c r="C35" s="13" t="s">
        <v>35</v>
      </c>
      <c r="D35" s="14" t="s">
        <v>91</v>
      </c>
      <c r="E35" s="8" t="s">
        <v>20</v>
      </c>
      <c r="F35" s="9" t="s">
        <v>37</v>
      </c>
      <c r="G35" s="9" t="s">
        <v>37</v>
      </c>
      <c r="H35" s="9" t="s">
        <v>37</v>
      </c>
      <c r="I35" s="33"/>
      <c r="J35" s="9" t="s">
        <v>37</v>
      </c>
      <c r="K35" s="22"/>
      <c r="L35" s="9" t="s">
        <v>37</v>
      </c>
      <c r="M35" s="9" t="s">
        <v>37</v>
      </c>
      <c r="N35" s="9" t="s">
        <v>37</v>
      </c>
      <c r="O35" s="9" t="s">
        <v>36</v>
      </c>
      <c r="P35" s="33"/>
      <c r="Q35" s="22"/>
      <c r="R35" s="9" t="s">
        <v>36</v>
      </c>
      <c r="S35" s="9" t="s">
        <v>36</v>
      </c>
      <c r="T35" s="9" t="s">
        <v>37</v>
      </c>
      <c r="U35" s="22"/>
      <c r="V35" s="9"/>
      <c r="W35" s="5">
        <f t="shared" si="1"/>
        <v>8</v>
      </c>
      <c r="X35" s="5">
        <f t="shared" si="2"/>
        <v>3</v>
      </c>
    </row>
    <row r="36" spans="1:24" x14ac:dyDescent="0.25">
      <c r="A36" s="10">
        <v>10</v>
      </c>
      <c r="B36" s="12"/>
      <c r="C36" s="13" t="s">
        <v>92</v>
      </c>
      <c r="D36" s="14" t="s">
        <v>28</v>
      </c>
      <c r="E36" s="8" t="s">
        <v>20</v>
      </c>
      <c r="F36" s="9" t="s">
        <v>36</v>
      </c>
      <c r="G36" s="9" t="s">
        <v>37</v>
      </c>
      <c r="H36" s="9" t="s">
        <v>36</v>
      </c>
      <c r="I36" s="33"/>
      <c r="J36" s="9" t="s">
        <v>37</v>
      </c>
      <c r="K36" s="22"/>
      <c r="L36" s="9" t="s">
        <v>37</v>
      </c>
      <c r="M36" s="9" t="s">
        <v>37</v>
      </c>
      <c r="N36" s="9" t="s">
        <v>37</v>
      </c>
      <c r="O36" s="9" t="s">
        <v>36</v>
      </c>
      <c r="P36" s="33"/>
      <c r="Q36" s="22"/>
      <c r="R36" s="9" t="s">
        <v>37</v>
      </c>
      <c r="S36" s="9"/>
      <c r="T36" s="9" t="s">
        <v>37</v>
      </c>
      <c r="U36" s="22"/>
      <c r="V36" s="9"/>
      <c r="W36" s="5">
        <f t="shared" si="1"/>
        <v>7</v>
      </c>
      <c r="X36" s="5">
        <f t="shared" si="2"/>
        <v>3</v>
      </c>
    </row>
    <row r="37" spans="1:24" x14ac:dyDescent="0.25">
      <c r="A37" s="6">
        <v>11</v>
      </c>
      <c r="B37" s="12"/>
      <c r="C37" s="13" t="s">
        <v>93</v>
      </c>
      <c r="D37" s="14" t="s">
        <v>50</v>
      </c>
      <c r="E37" s="8" t="s">
        <v>20</v>
      </c>
      <c r="F37" s="9" t="s">
        <v>37</v>
      </c>
      <c r="G37" s="9" t="s">
        <v>37</v>
      </c>
      <c r="H37" s="9" t="s">
        <v>37</v>
      </c>
      <c r="I37" s="33"/>
      <c r="J37" s="9" t="s">
        <v>37</v>
      </c>
      <c r="K37" s="22"/>
      <c r="L37" s="9" t="s">
        <v>37</v>
      </c>
      <c r="M37" s="9" t="s">
        <v>37</v>
      </c>
      <c r="N37" s="9" t="s">
        <v>36</v>
      </c>
      <c r="O37" s="9" t="s">
        <v>37</v>
      </c>
      <c r="P37" s="33"/>
      <c r="Q37" s="22"/>
      <c r="R37" s="9" t="s">
        <v>37</v>
      </c>
      <c r="S37" s="9" t="s">
        <v>36</v>
      </c>
      <c r="T37" s="9" t="s">
        <v>37</v>
      </c>
      <c r="U37" s="22"/>
      <c r="V37" s="9"/>
      <c r="W37" s="5">
        <f t="shared" si="1"/>
        <v>9</v>
      </c>
      <c r="X37" s="5">
        <f t="shared" si="2"/>
        <v>2</v>
      </c>
    </row>
    <row r="38" spans="1:24" x14ac:dyDescent="0.25">
      <c r="A38" s="10">
        <v>12</v>
      </c>
      <c r="B38" s="12"/>
      <c r="C38" s="13" t="s">
        <v>43</v>
      </c>
      <c r="D38" s="14" t="s">
        <v>45</v>
      </c>
      <c r="E38" s="8" t="s">
        <v>20</v>
      </c>
      <c r="F38" s="9" t="s">
        <v>37</v>
      </c>
      <c r="G38" s="9" t="s">
        <v>37</v>
      </c>
      <c r="H38" s="9" t="s">
        <v>37</v>
      </c>
      <c r="I38" s="33"/>
      <c r="J38" s="9" t="s">
        <v>37</v>
      </c>
      <c r="K38" s="22"/>
      <c r="L38" s="9" t="s">
        <v>37</v>
      </c>
      <c r="M38" s="9" t="s">
        <v>37</v>
      </c>
      <c r="N38" s="9" t="s">
        <v>37</v>
      </c>
      <c r="O38" s="9" t="s">
        <v>37</v>
      </c>
      <c r="P38" s="33"/>
      <c r="Q38" s="22"/>
      <c r="R38" s="9" t="s">
        <v>36</v>
      </c>
      <c r="S38" s="9" t="s">
        <v>36</v>
      </c>
      <c r="T38" s="9" t="s">
        <v>37</v>
      </c>
      <c r="U38" s="22"/>
      <c r="V38" s="9"/>
      <c r="W38" s="5">
        <f t="shared" si="1"/>
        <v>9</v>
      </c>
      <c r="X38" s="5">
        <f t="shared" si="2"/>
        <v>2</v>
      </c>
    </row>
    <row r="39" spans="1:24" x14ac:dyDescent="0.25">
      <c r="A39" s="10">
        <v>13</v>
      </c>
      <c r="B39" s="12"/>
      <c r="C39" s="13" t="s">
        <v>94</v>
      </c>
      <c r="D39" s="14" t="s">
        <v>95</v>
      </c>
      <c r="E39" s="8" t="s">
        <v>20</v>
      </c>
      <c r="F39" s="9" t="s">
        <v>37</v>
      </c>
      <c r="G39" s="9" t="s">
        <v>37</v>
      </c>
      <c r="H39" s="9" t="s">
        <v>37</v>
      </c>
      <c r="I39" s="33"/>
      <c r="J39" s="9" t="s">
        <v>37</v>
      </c>
      <c r="K39" s="22"/>
      <c r="L39" s="9" t="s">
        <v>37</v>
      </c>
      <c r="M39" s="9" t="s">
        <v>37</v>
      </c>
      <c r="N39" s="9" t="s">
        <v>37</v>
      </c>
      <c r="O39" s="9" t="s">
        <v>37</v>
      </c>
      <c r="P39" s="33"/>
      <c r="Q39" s="22"/>
      <c r="R39" s="9" t="s">
        <v>36</v>
      </c>
      <c r="S39" s="9" t="s">
        <v>36</v>
      </c>
      <c r="T39" s="9" t="s">
        <v>37</v>
      </c>
      <c r="U39" s="22"/>
      <c r="V39" s="9"/>
      <c r="W39" s="5">
        <f t="shared" si="1"/>
        <v>9</v>
      </c>
      <c r="X39" s="5">
        <f t="shared" si="2"/>
        <v>2</v>
      </c>
    </row>
    <row r="40" spans="1:24" x14ac:dyDescent="0.25">
      <c r="A40" s="6">
        <v>14</v>
      </c>
      <c r="B40" s="12"/>
      <c r="C40" s="13" t="s">
        <v>96</v>
      </c>
      <c r="D40" s="14" t="s">
        <v>34</v>
      </c>
      <c r="E40" s="8" t="s">
        <v>20</v>
      </c>
      <c r="F40" s="9" t="s">
        <v>37</v>
      </c>
      <c r="G40" s="9" t="s">
        <v>37</v>
      </c>
      <c r="H40" s="9" t="s">
        <v>37</v>
      </c>
      <c r="I40" s="33"/>
      <c r="J40" s="9" t="s">
        <v>37</v>
      </c>
      <c r="K40" s="22"/>
      <c r="L40" s="9" t="s">
        <v>37</v>
      </c>
      <c r="M40" s="9" t="s">
        <v>37</v>
      </c>
      <c r="N40" s="9" t="s">
        <v>37</v>
      </c>
      <c r="O40" s="9" t="s">
        <v>36</v>
      </c>
      <c r="P40" s="33"/>
      <c r="Q40" s="22"/>
      <c r="R40" s="9" t="s">
        <v>37</v>
      </c>
      <c r="S40" s="9" t="s">
        <v>36</v>
      </c>
      <c r="T40" s="9" t="s">
        <v>37</v>
      </c>
      <c r="U40" s="22"/>
      <c r="V40" s="9"/>
      <c r="W40" s="5">
        <f t="shared" si="1"/>
        <v>9</v>
      </c>
      <c r="X40" s="5">
        <f t="shared" si="2"/>
        <v>2</v>
      </c>
    </row>
    <row r="41" spans="1:24" x14ac:dyDescent="0.25">
      <c r="A41" s="10">
        <v>15</v>
      </c>
      <c r="B41" s="12"/>
      <c r="C41" s="13" t="s">
        <v>97</v>
      </c>
      <c r="D41" s="14" t="s">
        <v>98</v>
      </c>
      <c r="E41" s="8" t="s">
        <v>20</v>
      </c>
      <c r="F41" s="9" t="s">
        <v>37</v>
      </c>
      <c r="G41" s="9" t="s">
        <v>37</v>
      </c>
      <c r="H41" s="9" t="s">
        <v>37</v>
      </c>
      <c r="I41" s="33"/>
      <c r="J41" s="9" t="s">
        <v>37</v>
      </c>
      <c r="K41" s="22"/>
      <c r="L41" s="9" t="s">
        <v>37</v>
      </c>
      <c r="M41" s="9" t="s">
        <v>37</v>
      </c>
      <c r="N41" s="9" t="s">
        <v>37</v>
      </c>
      <c r="O41" s="9" t="s">
        <v>37</v>
      </c>
      <c r="P41" s="33"/>
      <c r="Q41" s="22"/>
      <c r="R41" s="9" t="s">
        <v>37</v>
      </c>
      <c r="S41" s="9" t="s">
        <v>36</v>
      </c>
      <c r="T41" s="9" t="s">
        <v>36</v>
      </c>
      <c r="U41" s="22"/>
      <c r="V41" s="9"/>
      <c r="W41" s="5">
        <f t="shared" si="1"/>
        <v>9</v>
      </c>
      <c r="X41" s="5">
        <f t="shared" si="2"/>
        <v>2</v>
      </c>
    </row>
    <row r="42" spans="1:24" x14ac:dyDescent="0.25">
      <c r="A42" s="10">
        <v>16</v>
      </c>
      <c r="B42" s="12"/>
      <c r="C42" s="13" t="s">
        <v>99</v>
      </c>
      <c r="D42" s="14" t="s">
        <v>41</v>
      </c>
      <c r="E42" s="8" t="s">
        <v>20</v>
      </c>
      <c r="F42" s="9" t="s">
        <v>37</v>
      </c>
      <c r="G42" s="9" t="s">
        <v>37</v>
      </c>
      <c r="H42" s="9" t="s">
        <v>37</v>
      </c>
      <c r="I42" s="33"/>
      <c r="J42" s="9" t="s">
        <v>37</v>
      </c>
      <c r="K42" s="22"/>
      <c r="L42" s="9" t="s">
        <v>37</v>
      </c>
      <c r="M42" s="9" t="s">
        <v>37</v>
      </c>
      <c r="N42" s="9" t="s">
        <v>37</v>
      </c>
      <c r="O42" s="9" t="s">
        <v>36</v>
      </c>
      <c r="P42" s="33"/>
      <c r="Q42" s="22"/>
      <c r="R42" s="9" t="s">
        <v>37</v>
      </c>
      <c r="S42" s="9" t="s">
        <v>36</v>
      </c>
      <c r="T42" s="9" t="s">
        <v>36</v>
      </c>
      <c r="U42" s="22"/>
      <c r="V42" s="9"/>
      <c r="W42" s="5">
        <f t="shared" si="1"/>
        <v>8</v>
      </c>
      <c r="X42" s="5">
        <f t="shared" si="2"/>
        <v>3</v>
      </c>
    </row>
    <row r="43" spans="1:24" x14ac:dyDescent="0.25">
      <c r="A43" s="6">
        <v>17</v>
      </c>
      <c r="B43" s="12"/>
      <c r="C43" s="13" t="s">
        <v>100</v>
      </c>
      <c r="D43" s="14" t="s">
        <v>32</v>
      </c>
      <c r="E43" s="8" t="s">
        <v>20</v>
      </c>
      <c r="F43" s="9" t="s">
        <v>37</v>
      </c>
      <c r="G43" s="9" t="s">
        <v>37</v>
      </c>
      <c r="H43" s="9" t="s">
        <v>37</v>
      </c>
      <c r="I43" s="33"/>
      <c r="J43" s="9" t="s">
        <v>37</v>
      </c>
      <c r="K43" s="22"/>
      <c r="L43" s="9" t="s">
        <v>37</v>
      </c>
      <c r="M43" s="9" t="s">
        <v>37</v>
      </c>
      <c r="N43" s="9" t="s">
        <v>37</v>
      </c>
      <c r="O43" s="9" t="s">
        <v>37</v>
      </c>
      <c r="P43" s="33"/>
      <c r="Q43" s="22"/>
      <c r="R43" s="9" t="s">
        <v>37</v>
      </c>
      <c r="S43" s="9" t="s">
        <v>36</v>
      </c>
      <c r="T43" s="9" t="s">
        <v>37</v>
      </c>
      <c r="U43" s="22"/>
      <c r="V43" s="9"/>
      <c r="W43" s="5">
        <f t="shared" si="1"/>
        <v>10</v>
      </c>
      <c r="X43" s="5">
        <f t="shared" si="2"/>
        <v>1</v>
      </c>
    </row>
    <row r="44" spans="1:24" x14ac:dyDescent="0.25">
      <c r="A44" s="10">
        <v>18</v>
      </c>
      <c r="B44" s="12"/>
      <c r="C44" s="13" t="s">
        <v>101</v>
      </c>
      <c r="D44" s="14" t="s">
        <v>27</v>
      </c>
      <c r="E44" s="8" t="s">
        <v>20</v>
      </c>
      <c r="F44" s="9" t="s">
        <v>37</v>
      </c>
      <c r="G44" s="9" t="s">
        <v>37</v>
      </c>
      <c r="H44" s="9" t="s">
        <v>37</v>
      </c>
      <c r="I44" s="33"/>
      <c r="J44" s="9" t="s">
        <v>37</v>
      </c>
      <c r="K44" s="22"/>
      <c r="L44" s="9" t="s">
        <v>37</v>
      </c>
      <c r="M44" s="9" t="s">
        <v>36</v>
      </c>
      <c r="N44" s="9" t="s">
        <v>37</v>
      </c>
      <c r="O44" s="9" t="s">
        <v>37</v>
      </c>
      <c r="P44" s="33"/>
      <c r="Q44" s="22"/>
      <c r="R44" s="9" t="s">
        <v>36</v>
      </c>
      <c r="S44" s="9" t="s">
        <v>36</v>
      </c>
      <c r="T44" s="9" t="s">
        <v>37</v>
      </c>
      <c r="U44" s="22"/>
      <c r="V44" s="9"/>
      <c r="W44" s="5">
        <f t="shared" si="1"/>
        <v>8</v>
      </c>
      <c r="X44" s="5">
        <f t="shared" si="2"/>
        <v>3</v>
      </c>
    </row>
    <row r="45" spans="1:24" x14ac:dyDescent="0.25">
      <c r="A45" s="10">
        <v>19</v>
      </c>
      <c r="B45" s="12"/>
      <c r="C45" s="13" t="s">
        <v>102</v>
      </c>
      <c r="D45" s="14" t="s">
        <v>103</v>
      </c>
      <c r="E45" s="8" t="s">
        <v>20</v>
      </c>
      <c r="F45" s="9" t="s">
        <v>37</v>
      </c>
      <c r="G45" s="9" t="s">
        <v>37</v>
      </c>
      <c r="H45" s="9" t="s">
        <v>37</v>
      </c>
      <c r="I45" s="33"/>
      <c r="J45" s="9" t="s">
        <v>37</v>
      </c>
      <c r="K45" s="22"/>
      <c r="L45" s="9" t="s">
        <v>37</v>
      </c>
      <c r="M45" s="9" t="s">
        <v>37</v>
      </c>
      <c r="N45" s="9" t="s">
        <v>37</v>
      </c>
      <c r="O45" s="9" t="s">
        <v>53</v>
      </c>
      <c r="P45" s="33"/>
      <c r="Q45" s="22"/>
      <c r="R45" s="9" t="s">
        <v>36</v>
      </c>
      <c r="S45" s="9" t="s">
        <v>37</v>
      </c>
      <c r="T45" s="9" t="s">
        <v>37</v>
      </c>
      <c r="U45" s="22"/>
      <c r="V45" s="9"/>
      <c r="W45" s="5">
        <f t="shared" si="1"/>
        <v>9</v>
      </c>
      <c r="X45" s="5">
        <f t="shared" si="2"/>
        <v>1</v>
      </c>
    </row>
    <row r="46" spans="1:24" x14ac:dyDescent="0.25">
      <c r="A46" s="6">
        <v>20</v>
      </c>
      <c r="B46" s="12"/>
      <c r="C46" s="13" t="s">
        <v>104</v>
      </c>
      <c r="D46" s="14" t="s">
        <v>105</v>
      </c>
      <c r="E46" s="8" t="s">
        <v>20</v>
      </c>
      <c r="F46" s="9" t="s">
        <v>37</v>
      </c>
      <c r="G46" s="9" t="s">
        <v>37</v>
      </c>
      <c r="H46" s="9" t="s">
        <v>37</v>
      </c>
      <c r="I46" s="33"/>
      <c r="J46" s="9" t="s">
        <v>37</v>
      </c>
      <c r="K46" s="22"/>
      <c r="L46" s="9" t="s">
        <v>36</v>
      </c>
      <c r="M46" s="9" t="s">
        <v>37</v>
      </c>
      <c r="N46" s="9" t="s">
        <v>37</v>
      </c>
      <c r="O46" s="9" t="s">
        <v>37</v>
      </c>
      <c r="P46" s="33"/>
      <c r="Q46" s="22"/>
      <c r="R46" s="9" t="s">
        <v>37</v>
      </c>
      <c r="S46" s="9" t="s">
        <v>36</v>
      </c>
      <c r="T46" s="9" t="s">
        <v>36</v>
      </c>
      <c r="U46" s="22"/>
      <c r="V46" s="9"/>
      <c r="W46" s="5">
        <f t="shared" si="1"/>
        <v>8</v>
      </c>
      <c r="X46" s="5">
        <f t="shared" si="2"/>
        <v>3</v>
      </c>
    </row>
    <row r="47" spans="1:24" x14ac:dyDescent="0.25">
      <c r="A47" s="10">
        <v>21</v>
      </c>
      <c r="B47" s="12"/>
      <c r="C47" s="13" t="s">
        <v>106</v>
      </c>
      <c r="D47" s="14" t="s">
        <v>107</v>
      </c>
      <c r="E47" s="8" t="s">
        <v>20</v>
      </c>
      <c r="F47" s="9" t="s">
        <v>37</v>
      </c>
      <c r="G47" s="9" t="s">
        <v>37</v>
      </c>
      <c r="H47" s="9" t="s">
        <v>37</v>
      </c>
      <c r="I47" s="33"/>
      <c r="J47" s="9" t="s">
        <v>36</v>
      </c>
      <c r="K47" s="22"/>
      <c r="L47" s="9" t="s">
        <v>37</v>
      </c>
      <c r="M47" s="9" t="s">
        <v>37</v>
      </c>
      <c r="N47" s="9" t="s">
        <v>37</v>
      </c>
      <c r="O47" s="9" t="s">
        <v>37</v>
      </c>
      <c r="P47" s="33"/>
      <c r="Q47" s="22"/>
      <c r="R47" s="9" t="s">
        <v>36</v>
      </c>
      <c r="S47" s="9" t="s">
        <v>36</v>
      </c>
      <c r="T47" s="9" t="s">
        <v>36</v>
      </c>
      <c r="U47" s="22"/>
      <c r="V47" s="9"/>
      <c r="W47" s="5">
        <f t="shared" si="1"/>
        <v>7</v>
      </c>
      <c r="X47" s="5">
        <f t="shared" si="2"/>
        <v>4</v>
      </c>
    </row>
    <row r="48" spans="1:24" x14ac:dyDescent="0.25">
      <c r="A48" s="10">
        <v>22</v>
      </c>
      <c r="B48" s="12"/>
      <c r="C48" s="13" t="s">
        <v>52</v>
      </c>
      <c r="D48" s="14" t="s">
        <v>108</v>
      </c>
      <c r="E48" s="8" t="s">
        <v>20</v>
      </c>
      <c r="F48" s="9" t="s">
        <v>37</v>
      </c>
      <c r="G48" s="9" t="s">
        <v>37</v>
      </c>
      <c r="H48" s="9" t="s">
        <v>37</v>
      </c>
      <c r="I48" s="33"/>
      <c r="J48" s="9" t="s">
        <v>37</v>
      </c>
      <c r="K48" s="22"/>
      <c r="L48" s="9" t="s">
        <v>37</v>
      </c>
      <c r="M48" s="9" t="s">
        <v>37</v>
      </c>
      <c r="N48" s="9" t="s">
        <v>37</v>
      </c>
      <c r="O48" s="9" t="s">
        <v>53</v>
      </c>
      <c r="P48" s="33"/>
      <c r="Q48" s="22"/>
      <c r="R48" s="9" t="s">
        <v>37</v>
      </c>
      <c r="S48" s="9" t="s">
        <v>36</v>
      </c>
      <c r="T48" s="9" t="s">
        <v>37</v>
      </c>
      <c r="U48" s="22"/>
      <c r="V48" s="9"/>
      <c r="W48" s="5">
        <f t="shared" si="1"/>
        <v>9</v>
      </c>
      <c r="X48" s="5">
        <f t="shared" si="2"/>
        <v>1</v>
      </c>
    </row>
    <row r="49" spans="1:24" x14ac:dyDescent="0.25">
      <c r="A49" s="6">
        <v>23</v>
      </c>
      <c r="B49" s="12"/>
      <c r="C49" s="13" t="s">
        <v>109</v>
      </c>
      <c r="D49" s="14" t="s">
        <v>110</v>
      </c>
      <c r="E49" s="8" t="s">
        <v>20</v>
      </c>
      <c r="F49" s="9" t="s">
        <v>37</v>
      </c>
      <c r="G49" s="9" t="s">
        <v>37</v>
      </c>
      <c r="H49" s="9" t="s">
        <v>37</v>
      </c>
      <c r="I49" s="33"/>
      <c r="J49" s="9" t="s">
        <v>37</v>
      </c>
      <c r="K49" s="22"/>
      <c r="L49" s="9" t="s">
        <v>36</v>
      </c>
      <c r="M49" s="9" t="s">
        <v>37</v>
      </c>
      <c r="N49" s="9" t="s">
        <v>36</v>
      </c>
      <c r="O49" s="9" t="s">
        <v>37</v>
      </c>
      <c r="P49" s="33"/>
      <c r="Q49" s="22"/>
      <c r="R49" s="9" t="s">
        <v>37</v>
      </c>
      <c r="S49" s="9" t="s">
        <v>36</v>
      </c>
      <c r="T49" s="9" t="s">
        <v>37</v>
      </c>
      <c r="U49" s="22"/>
      <c r="V49" s="9"/>
      <c r="W49" s="5">
        <f t="shared" si="1"/>
        <v>8</v>
      </c>
      <c r="X49" s="5">
        <f t="shared" si="2"/>
        <v>3</v>
      </c>
    </row>
    <row r="50" spans="1:24" x14ac:dyDescent="0.25">
      <c r="A50" s="10">
        <v>24</v>
      </c>
      <c r="B50" s="12"/>
      <c r="C50" s="13" t="s">
        <v>111</v>
      </c>
      <c r="D50" s="14" t="s">
        <v>105</v>
      </c>
      <c r="E50" s="8" t="s">
        <v>20</v>
      </c>
      <c r="F50" s="9" t="s">
        <v>37</v>
      </c>
      <c r="G50" s="9" t="s">
        <v>37</v>
      </c>
      <c r="H50" s="9" t="s">
        <v>37</v>
      </c>
      <c r="I50" s="33"/>
      <c r="J50" s="9" t="s">
        <v>37</v>
      </c>
      <c r="K50" s="22"/>
      <c r="L50" s="9" t="s">
        <v>37</v>
      </c>
      <c r="M50" s="9" t="s">
        <v>37</v>
      </c>
      <c r="N50" s="9" t="s">
        <v>37</v>
      </c>
      <c r="O50" s="9" t="s">
        <v>37</v>
      </c>
      <c r="P50" s="33"/>
      <c r="Q50" s="22"/>
      <c r="R50" s="9" t="s">
        <v>37</v>
      </c>
      <c r="S50" s="9" t="s">
        <v>36</v>
      </c>
      <c r="T50" s="9" t="s">
        <v>36</v>
      </c>
      <c r="U50" s="22"/>
      <c r="V50" s="9"/>
      <c r="W50" s="5">
        <f t="shared" si="1"/>
        <v>9</v>
      </c>
      <c r="X50" s="5">
        <f t="shared" si="2"/>
        <v>2</v>
      </c>
    </row>
    <row r="51" spans="1:24" x14ac:dyDescent="0.25">
      <c r="A51" s="10">
        <v>25</v>
      </c>
      <c r="B51" s="12"/>
      <c r="C51" s="13" t="s">
        <v>112</v>
      </c>
      <c r="D51" s="14" t="s">
        <v>113</v>
      </c>
      <c r="E51" s="8" t="s">
        <v>20</v>
      </c>
      <c r="F51" s="9" t="s">
        <v>37</v>
      </c>
      <c r="G51" s="9" t="s">
        <v>37</v>
      </c>
      <c r="H51" s="9" t="s">
        <v>37</v>
      </c>
      <c r="I51" s="33"/>
      <c r="J51" s="9" t="s">
        <v>37</v>
      </c>
      <c r="K51" s="22"/>
      <c r="L51" s="9" t="s">
        <v>37</v>
      </c>
      <c r="M51" s="9" t="s">
        <v>37</v>
      </c>
      <c r="N51" s="9" t="s">
        <v>37</v>
      </c>
      <c r="O51" s="9" t="s">
        <v>37</v>
      </c>
      <c r="P51" s="33"/>
      <c r="Q51" s="22"/>
      <c r="R51" s="9" t="s">
        <v>37</v>
      </c>
      <c r="S51" s="9" t="s">
        <v>37</v>
      </c>
      <c r="T51" s="9" t="s">
        <v>36</v>
      </c>
      <c r="U51" s="22"/>
      <c r="V51" s="9"/>
      <c r="W51" s="5">
        <f t="shared" si="1"/>
        <v>10</v>
      </c>
      <c r="X51" s="5">
        <f t="shared" si="2"/>
        <v>1</v>
      </c>
    </row>
    <row r="52" spans="1:24" x14ac:dyDescent="0.25">
      <c r="A52" s="6">
        <v>26</v>
      </c>
      <c r="B52" s="12"/>
      <c r="C52" s="13" t="s">
        <v>114</v>
      </c>
      <c r="D52" s="14" t="s">
        <v>115</v>
      </c>
      <c r="E52" s="8" t="s">
        <v>20</v>
      </c>
      <c r="F52" s="9"/>
      <c r="G52" s="9"/>
      <c r="H52" s="9"/>
      <c r="I52" s="34"/>
      <c r="J52" s="9"/>
      <c r="K52" s="23"/>
      <c r="L52" s="9"/>
      <c r="M52" s="9"/>
      <c r="N52" s="9" t="s">
        <v>37</v>
      </c>
      <c r="O52" s="9" t="s">
        <v>37</v>
      </c>
      <c r="P52" s="34"/>
      <c r="Q52" s="23"/>
      <c r="R52" s="9" t="s">
        <v>37</v>
      </c>
      <c r="S52" s="9" t="s">
        <v>36</v>
      </c>
      <c r="T52" s="9" t="s">
        <v>36</v>
      </c>
      <c r="U52" s="23"/>
      <c r="V52" s="9"/>
      <c r="W52" s="5">
        <f t="shared" si="1"/>
        <v>3</v>
      </c>
      <c r="X52" s="5">
        <f t="shared" si="2"/>
        <v>2</v>
      </c>
    </row>
  </sheetData>
  <mergeCells count="17">
    <mergeCell ref="A2:X2"/>
    <mergeCell ref="A1:X1"/>
    <mergeCell ref="I5:I52"/>
    <mergeCell ref="K5:K52"/>
    <mergeCell ref="P5:P52"/>
    <mergeCell ref="Q5:Q52"/>
    <mergeCell ref="U5:U52"/>
    <mergeCell ref="A3:A4"/>
    <mergeCell ref="B3:B4"/>
    <mergeCell ref="C3:C4"/>
    <mergeCell ref="D3:D4"/>
    <mergeCell ref="E3:E4"/>
    <mergeCell ref="W3:W4"/>
    <mergeCell ref="X3:X4"/>
    <mergeCell ref="Y3:Z3"/>
    <mergeCell ref="Y8:AB8"/>
    <mergeCell ref="Y16:AB16"/>
  </mergeCells>
  <conditionalFormatting sqref="U5 R5:T26 V5:V26 F6:H26 J6:J26 L6:O26 F4:V4 F5:Q5">
    <cfRule type="expression" dxfId="119" priority="20">
      <formula>IF(F$4=TODAY(),TRUE,FALSE)</formula>
    </cfRule>
  </conditionalFormatting>
  <conditionalFormatting sqref="U5 R5:T26 V5:V26 F6:H26 J6:J26 L6:O26 F5:Q5">
    <cfRule type="cellIs" dxfId="118" priority="7" operator="equal">
      <formula>"L"</formula>
    </cfRule>
    <cfRule type="cellIs" dxfId="117" priority="8" operator="equal">
      <formula>"A"</formula>
    </cfRule>
    <cfRule type="cellIs" dxfId="116" priority="9" operator="equal">
      <formula>"P"</formula>
    </cfRule>
  </conditionalFormatting>
  <conditionalFormatting sqref="F3:V4 U5 R5:T26 V5:V26 F6:H26 J6:J26 L6:O26 Y4:Z4 F5:Q5">
    <cfRule type="expression" dxfId="115" priority="21">
      <formula>F$3="Sun"</formula>
    </cfRule>
  </conditionalFormatting>
  <conditionalFormatting sqref="W3:X3 W5:X26">
    <cfRule type="expression" dxfId="114" priority="22">
      <formula>#REF!="Sun"</formula>
    </cfRule>
  </conditionalFormatting>
  <conditionalFormatting sqref="Y5:Y6">
    <cfRule type="expression" dxfId="113" priority="18">
      <formula>Y$3="Sun"</formula>
    </cfRule>
  </conditionalFormatting>
  <conditionalFormatting sqref="Y9:Y12">
    <cfRule type="expression" dxfId="112" priority="12">
      <formula>Y$3="Sun"</formula>
    </cfRule>
  </conditionalFormatting>
  <conditionalFormatting sqref="Y17:Y20">
    <cfRule type="expression" dxfId="111" priority="11">
      <formula>Y$3="Sun"</formula>
    </cfRule>
  </conditionalFormatting>
  <conditionalFormatting sqref="Z9:AB9">
    <cfRule type="expression" dxfId="110" priority="13">
      <formula>Z$3="Sun"</formula>
    </cfRule>
  </conditionalFormatting>
  <conditionalFormatting sqref="Z17:AB17">
    <cfRule type="expression" dxfId="109" priority="10">
      <formula>Z$3="Sun"</formula>
    </cfRule>
  </conditionalFormatting>
  <conditionalFormatting sqref="R27:T52 V27:V52 F27:H52 J27:J52 L27:O52">
    <cfRule type="expression" dxfId="108" priority="4">
      <formula>IF(F$4=TODAY(),TRUE,FALSE)</formula>
    </cfRule>
  </conditionalFormatting>
  <conditionalFormatting sqref="R27:T52 V27:V52 F27:H52 J27:J52 L27:O52">
    <cfRule type="cellIs" dxfId="107" priority="1" operator="equal">
      <formula>"L"</formula>
    </cfRule>
    <cfRule type="cellIs" dxfId="106" priority="2" operator="equal">
      <formula>"A"</formula>
    </cfRule>
    <cfRule type="cellIs" dxfId="105" priority="3" operator="equal">
      <formula>"P"</formula>
    </cfRule>
  </conditionalFormatting>
  <conditionalFormatting sqref="R27:T52 V27:V52 F27:H52 J27:J52 L27:O52">
    <cfRule type="expression" dxfId="104" priority="5">
      <formula>F$3="Sun"</formula>
    </cfRule>
  </conditionalFormatting>
  <conditionalFormatting sqref="W27:X52">
    <cfRule type="expression" dxfId="103" priority="6">
      <formula>#REF!="Sun"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B284E-71A0-44AB-8D5E-CBB3AF75E572}">
  <sheetPr>
    <tabColor rgb="FFC00000"/>
  </sheetPr>
  <dimension ref="A1:AO55"/>
  <sheetViews>
    <sheetView workbookViewId="0">
      <selection sqref="A1:XFD104857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5703125" style="1" bestFit="1" customWidth="1"/>
    <col min="8" max="8" width="3.85546875" style="1" bestFit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4.5703125" style="1" bestFit="1" customWidth="1"/>
    <col min="15" max="15" width="3.85546875" style="1" bestFit="1"/>
    <col min="16" max="16" width="4.7109375" style="1" bestFit="1" customWidth="1"/>
    <col min="17" max="17" width="3.85546875" style="1" bestFit="1"/>
    <col min="18" max="19" width="3.7109375" style="1" bestFit="1" customWidth="1"/>
    <col min="20" max="20" width="3.85546875" style="1" bestFit="1"/>
    <col min="21" max="21" width="4.5703125" style="1" bestFit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3.85546875" style="1" bestFit="1"/>
    <col min="32" max="33" width="3.7109375" style="1" bestFit="1" customWidth="1"/>
    <col min="34" max="34" width="3.85546875" style="1" bestFit="1"/>
    <col min="35" max="35" width="4.570312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1" t="s">
        <v>23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</row>
    <row r="2" spans="1:41" ht="17.25" x14ac:dyDescent="0.3">
      <c r="A2" s="30" t="s">
        <v>121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</row>
    <row r="3" spans="1:41" ht="15.75" x14ac:dyDescent="0.25">
      <c r="A3" s="28" t="s">
        <v>0</v>
      </c>
      <c r="B3" s="28" t="s">
        <v>1</v>
      </c>
      <c r="C3" s="28" t="s">
        <v>2</v>
      </c>
      <c r="D3" s="28" t="s">
        <v>3</v>
      </c>
      <c r="E3" s="28" t="s">
        <v>4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4" t="s">
        <v>5</v>
      </c>
      <c r="AK3" s="24" t="s">
        <v>6</v>
      </c>
      <c r="AL3" s="25" t="s">
        <v>21</v>
      </c>
      <c r="AM3" s="26"/>
      <c r="AN3" s="3"/>
      <c r="AO3" s="3"/>
    </row>
    <row r="4" spans="1:41" ht="36" x14ac:dyDescent="0.25">
      <c r="A4" s="29"/>
      <c r="B4" s="29"/>
      <c r="C4" s="29"/>
      <c r="D4" s="29"/>
      <c r="E4" s="29"/>
      <c r="F4" s="19">
        <v>45536</v>
      </c>
      <c r="G4" s="19">
        <v>45537</v>
      </c>
      <c r="H4" s="19">
        <v>45538</v>
      </c>
      <c r="I4" s="19">
        <v>45539</v>
      </c>
      <c r="J4" s="19">
        <v>45540</v>
      </c>
      <c r="K4" s="19">
        <v>45541</v>
      </c>
      <c r="L4" s="19">
        <v>45542</v>
      </c>
      <c r="M4" s="19">
        <v>45543</v>
      </c>
      <c r="N4" s="19">
        <v>45544</v>
      </c>
      <c r="O4" s="19">
        <v>45545</v>
      </c>
      <c r="P4" s="19">
        <v>45546</v>
      </c>
      <c r="Q4" s="19">
        <v>45547</v>
      </c>
      <c r="R4" s="19">
        <v>45548</v>
      </c>
      <c r="S4" s="19">
        <v>45549</v>
      </c>
      <c r="T4" s="19">
        <v>45550</v>
      </c>
      <c r="U4" s="19">
        <v>45551</v>
      </c>
      <c r="V4" s="19">
        <v>45552</v>
      </c>
      <c r="W4" s="19">
        <v>45553</v>
      </c>
      <c r="X4" s="19">
        <v>45554</v>
      </c>
      <c r="Y4" s="19">
        <v>45555</v>
      </c>
      <c r="Z4" s="19">
        <v>45556</v>
      </c>
      <c r="AA4" s="19">
        <v>45557</v>
      </c>
      <c r="AB4" s="19">
        <v>45558</v>
      </c>
      <c r="AC4" s="19">
        <v>45559</v>
      </c>
      <c r="AD4" s="19">
        <v>45560</v>
      </c>
      <c r="AE4" s="19">
        <v>45561</v>
      </c>
      <c r="AF4" s="19">
        <v>45562</v>
      </c>
      <c r="AG4" s="19">
        <v>45563</v>
      </c>
      <c r="AH4" s="19">
        <v>45564</v>
      </c>
      <c r="AI4" s="19">
        <v>45565</v>
      </c>
      <c r="AJ4" s="24"/>
      <c r="AK4" s="24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35"/>
      <c r="C5" s="7" t="s">
        <v>54</v>
      </c>
      <c r="D5" s="36" t="s">
        <v>55</v>
      </c>
      <c r="E5" s="8" t="s">
        <v>20</v>
      </c>
      <c r="F5" s="32" t="s">
        <v>116</v>
      </c>
      <c r="G5" s="9" t="s">
        <v>37</v>
      </c>
      <c r="H5" s="9" t="s">
        <v>37</v>
      </c>
      <c r="I5" s="9" t="s">
        <v>37</v>
      </c>
      <c r="J5" s="9" t="s">
        <v>37</v>
      </c>
      <c r="K5" s="9" t="s">
        <v>36</v>
      </c>
      <c r="L5" s="9" t="s">
        <v>37</v>
      </c>
      <c r="M5" s="32" t="s">
        <v>116</v>
      </c>
      <c r="N5" s="9" t="s">
        <v>37</v>
      </c>
      <c r="O5" s="9" t="s">
        <v>37</v>
      </c>
      <c r="P5" s="9" t="s">
        <v>37</v>
      </c>
      <c r="Q5" s="9" t="s">
        <v>37</v>
      </c>
      <c r="R5" s="9" t="s">
        <v>37</v>
      </c>
      <c r="S5" s="9" t="s">
        <v>37</v>
      </c>
      <c r="T5" s="32" t="s">
        <v>116</v>
      </c>
      <c r="U5" s="9"/>
      <c r="V5" s="21" t="s">
        <v>122</v>
      </c>
      <c r="W5" s="9" t="s">
        <v>37</v>
      </c>
      <c r="X5" s="9" t="s">
        <v>37</v>
      </c>
      <c r="Y5" s="9" t="s">
        <v>36</v>
      </c>
      <c r="Z5" s="9" t="s">
        <v>36</v>
      </c>
      <c r="AA5" s="32" t="s">
        <v>116</v>
      </c>
      <c r="AB5" s="9" t="s">
        <v>37</v>
      </c>
      <c r="AC5" s="9" t="s">
        <v>37</v>
      </c>
      <c r="AD5" s="9" t="s">
        <v>36</v>
      </c>
      <c r="AE5" s="9" t="s">
        <v>37</v>
      </c>
      <c r="AF5" s="9" t="s">
        <v>37</v>
      </c>
      <c r="AG5" s="9" t="s">
        <v>36</v>
      </c>
      <c r="AH5" s="32" t="s">
        <v>116</v>
      </c>
      <c r="AI5" s="9" t="s">
        <v>37</v>
      </c>
      <c r="AJ5" s="5">
        <f t="shared" ref="AJ5:AJ55" si="1">COUNTIF(F5:AI5,"P")</f>
        <v>18</v>
      </c>
      <c r="AK5" s="5">
        <f t="shared" ref="AK5:AK55" si="2">COUNTIF(F5:AI5,"A")</f>
        <v>5</v>
      </c>
      <c r="AL5" s="5" t="s">
        <v>8</v>
      </c>
      <c r="AM5" s="10">
        <v>26</v>
      </c>
      <c r="AN5" s="11" t="s">
        <v>9</v>
      </c>
      <c r="AO5" s="3"/>
    </row>
    <row r="6" spans="1:41" ht="20.25" customHeight="1" x14ac:dyDescent="0.25">
      <c r="A6" s="10">
        <v>2</v>
      </c>
      <c r="B6" s="12"/>
      <c r="C6" s="13" t="s">
        <v>56</v>
      </c>
      <c r="D6" s="14" t="s">
        <v>57</v>
      </c>
      <c r="E6" s="8" t="s">
        <v>20</v>
      </c>
      <c r="F6" s="33"/>
      <c r="G6" s="9" t="s">
        <v>37</v>
      </c>
      <c r="H6" s="9" t="s">
        <v>37</v>
      </c>
      <c r="I6" s="9" t="s">
        <v>37</v>
      </c>
      <c r="J6" s="9" t="s">
        <v>37</v>
      </c>
      <c r="K6" s="9" t="s">
        <v>36</v>
      </c>
      <c r="L6" s="9" t="s">
        <v>37</v>
      </c>
      <c r="M6" s="33"/>
      <c r="N6" s="9" t="s">
        <v>37</v>
      </c>
      <c r="O6" s="9"/>
      <c r="P6" s="9" t="s">
        <v>37</v>
      </c>
      <c r="Q6" s="9" t="s">
        <v>37</v>
      </c>
      <c r="R6" s="9" t="s">
        <v>37</v>
      </c>
      <c r="S6" s="9" t="s">
        <v>37</v>
      </c>
      <c r="T6" s="33"/>
      <c r="U6" s="9" t="s">
        <v>37</v>
      </c>
      <c r="V6" s="22"/>
      <c r="W6" s="9" t="s">
        <v>37</v>
      </c>
      <c r="X6" s="9" t="s">
        <v>37</v>
      </c>
      <c r="Y6" s="9" t="s">
        <v>37</v>
      </c>
      <c r="Z6" s="9" t="s">
        <v>37</v>
      </c>
      <c r="AA6" s="33"/>
      <c r="AB6" s="9" t="s">
        <v>37</v>
      </c>
      <c r="AC6" s="9" t="s">
        <v>37</v>
      </c>
      <c r="AD6" s="9" t="s">
        <v>37</v>
      </c>
      <c r="AE6" s="9" t="s">
        <v>37</v>
      </c>
      <c r="AF6" s="9" t="s">
        <v>36</v>
      </c>
      <c r="AG6" s="9" t="s">
        <v>37</v>
      </c>
      <c r="AH6" s="33"/>
      <c r="AI6" s="9" t="s">
        <v>123</v>
      </c>
      <c r="AJ6" s="5">
        <f t="shared" si="1"/>
        <v>20</v>
      </c>
      <c r="AK6" s="5">
        <f t="shared" si="2"/>
        <v>2</v>
      </c>
      <c r="AL6" s="5" t="s">
        <v>10</v>
      </c>
      <c r="AM6" s="10">
        <v>4</v>
      </c>
      <c r="AN6" s="3"/>
      <c r="AO6" s="3"/>
    </row>
    <row r="7" spans="1:41" x14ac:dyDescent="0.25">
      <c r="A7" s="6">
        <v>3</v>
      </c>
      <c r="B7" s="12"/>
      <c r="C7" s="13" t="s">
        <v>58</v>
      </c>
      <c r="D7" s="14" t="s">
        <v>45</v>
      </c>
      <c r="E7" s="8" t="s">
        <v>20</v>
      </c>
      <c r="F7" s="33"/>
      <c r="G7" s="9" t="s">
        <v>37</v>
      </c>
      <c r="H7" s="9" t="s">
        <v>37</v>
      </c>
      <c r="I7" s="9" t="s">
        <v>37</v>
      </c>
      <c r="J7" s="9" t="s">
        <v>37</v>
      </c>
      <c r="K7" s="9" t="s">
        <v>36</v>
      </c>
      <c r="L7" s="9" t="s">
        <v>37</v>
      </c>
      <c r="M7" s="33"/>
      <c r="N7" s="9" t="s">
        <v>37</v>
      </c>
      <c r="O7" s="9" t="s">
        <v>37</v>
      </c>
      <c r="P7" s="9" t="s">
        <v>37</v>
      </c>
      <c r="Q7" s="9" t="s">
        <v>37</v>
      </c>
      <c r="R7" s="9" t="s">
        <v>37</v>
      </c>
      <c r="S7" s="9" t="s">
        <v>37</v>
      </c>
      <c r="T7" s="33"/>
      <c r="U7" s="9"/>
      <c r="V7" s="22"/>
      <c r="W7" s="9" t="s">
        <v>37</v>
      </c>
      <c r="X7" s="9" t="s">
        <v>37</v>
      </c>
      <c r="Y7" s="9" t="s">
        <v>37</v>
      </c>
      <c r="Z7" s="9" t="s">
        <v>37</v>
      </c>
      <c r="AA7" s="33"/>
      <c r="AB7" s="9" t="s">
        <v>37</v>
      </c>
      <c r="AC7" s="9" t="s">
        <v>37</v>
      </c>
      <c r="AD7" s="9" t="s">
        <v>37</v>
      </c>
      <c r="AE7" s="9" t="s">
        <v>37</v>
      </c>
      <c r="AF7" s="9" t="s">
        <v>37</v>
      </c>
      <c r="AG7" s="9" t="s">
        <v>37</v>
      </c>
      <c r="AH7" s="33"/>
      <c r="AI7" s="9" t="s">
        <v>37</v>
      </c>
      <c r="AJ7" s="5">
        <f t="shared" si="1"/>
        <v>22</v>
      </c>
      <c r="AK7" s="5">
        <f t="shared" si="2"/>
        <v>1</v>
      </c>
      <c r="AL7" s="3"/>
      <c r="AM7" s="3"/>
      <c r="AN7" s="3"/>
      <c r="AO7" s="3"/>
    </row>
    <row r="8" spans="1:41" ht="15.75" x14ac:dyDescent="0.25">
      <c r="A8" s="10">
        <v>4</v>
      </c>
      <c r="B8" s="12"/>
      <c r="C8" s="13" t="s">
        <v>59</v>
      </c>
      <c r="D8" s="14" t="s">
        <v>60</v>
      </c>
      <c r="E8" s="8" t="s">
        <v>20</v>
      </c>
      <c r="F8" s="33"/>
      <c r="G8" s="9" t="s">
        <v>36</v>
      </c>
      <c r="H8" s="9" t="s">
        <v>37</v>
      </c>
      <c r="I8" s="9" t="s">
        <v>37</v>
      </c>
      <c r="J8" s="9" t="s">
        <v>37</v>
      </c>
      <c r="K8" s="9" t="s">
        <v>36</v>
      </c>
      <c r="L8" s="9" t="s">
        <v>37</v>
      </c>
      <c r="M8" s="33"/>
      <c r="N8" s="9" t="s">
        <v>36</v>
      </c>
      <c r="O8" s="9" t="s">
        <v>37</v>
      </c>
      <c r="P8" s="9" t="s">
        <v>37</v>
      </c>
      <c r="Q8" s="9" t="s">
        <v>37</v>
      </c>
      <c r="R8" s="9" t="s">
        <v>37</v>
      </c>
      <c r="S8" s="9" t="s">
        <v>37</v>
      </c>
      <c r="T8" s="33"/>
      <c r="U8" s="9"/>
      <c r="V8" s="22"/>
      <c r="W8" s="9" t="s">
        <v>37</v>
      </c>
      <c r="X8" s="9" t="s">
        <v>37</v>
      </c>
      <c r="Y8" s="9" t="s">
        <v>37</v>
      </c>
      <c r="Z8" s="9" t="s">
        <v>37</v>
      </c>
      <c r="AA8" s="33"/>
      <c r="AB8" s="9" t="s">
        <v>37</v>
      </c>
      <c r="AC8" s="9" t="s">
        <v>37</v>
      </c>
      <c r="AD8" s="9" t="s">
        <v>37</v>
      </c>
      <c r="AE8" s="9" t="s">
        <v>37</v>
      </c>
      <c r="AF8" s="9" t="s">
        <v>37</v>
      </c>
      <c r="AG8" s="9" t="s">
        <v>37</v>
      </c>
      <c r="AH8" s="33"/>
      <c r="AI8" s="9" t="s">
        <v>37</v>
      </c>
      <c r="AJ8" s="5">
        <f t="shared" si="1"/>
        <v>20</v>
      </c>
      <c r="AK8" s="5">
        <f t="shared" si="2"/>
        <v>3</v>
      </c>
      <c r="AL8" s="25" t="s">
        <v>11</v>
      </c>
      <c r="AM8" s="26"/>
      <c r="AN8" s="26"/>
      <c r="AO8" s="27"/>
    </row>
    <row r="9" spans="1:41" x14ac:dyDescent="0.25">
      <c r="A9" s="6">
        <v>5</v>
      </c>
      <c r="B9" s="12"/>
      <c r="C9" s="13" t="s">
        <v>44</v>
      </c>
      <c r="D9" s="14" t="s">
        <v>26</v>
      </c>
      <c r="E9" s="8" t="s">
        <v>20</v>
      </c>
      <c r="F9" s="33"/>
      <c r="G9" s="9" t="s">
        <v>37</v>
      </c>
      <c r="H9" s="9" t="s">
        <v>37</v>
      </c>
      <c r="I9" s="9" t="s">
        <v>37</v>
      </c>
      <c r="J9" s="9" t="s">
        <v>37</v>
      </c>
      <c r="K9" s="9" t="s">
        <v>36</v>
      </c>
      <c r="L9" s="9" t="s">
        <v>37</v>
      </c>
      <c r="M9" s="33"/>
      <c r="N9" s="9" t="s">
        <v>37</v>
      </c>
      <c r="O9" s="9" t="s">
        <v>53</v>
      </c>
      <c r="P9" s="9" t="s">
        <v>37</v>
      </c>
      <c r="Q9" s="9" t="s">
        <v>53</v>
      </c>
      <c r="R9" s="9" t="s">
        <v>37</v>
      </c>
      <c r="S9" s="9" t="s">
        <v>37</v>
      </c>
      <c r="T9" s="33"/>
      <c r="U9" s="9" t="s">
        <v>37</v>
      </c>
      <c r="V9" s="22"/>
      <c r="W9" s="9" t="s">
        <v>37</v>
      </c>
      <c r="X9" s="9" t="s">
        <v>37</v>
      </c>
      <c r="Y9" s="9" t="s">
        <v>37</v>
      </c>
      <c r="Z9" s="9" t="s">
        <v>36</v>
      </c>
      <c r="AA9" s="33"/>
      <c r="AB9" s="9" t="s">
        <v>37</v>
      </c>
      <c r="AC9" s="9" t="s">
        <v>37</v>
      </c>
      <c r="AD9" s="9" t="s">
        <v>37</v>
      </c>
      <c r="AE9" s="9" t="s">
        <v>37</v>
      </c>
      <c r="AF9" s="9" t="s">
        <v>37</v>
      </c>
      <c r="AG9" s="9" t="s">
        <v>36</v>
      </c>
      <c r="AH9" s="33"/>
      <c r="AI9" s="9" t="s">
        <v>37</v>
      </c>
      <c r="AJ9" s="5">
        <f t="shared" si="1"/>
        <v>19</v>
      </c>
      <c r="AK9" s="5">
        <f t="shared" si="2"/>
        <v>3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x14ac:dyDescent="0.25">
      <c r="A10" s="10">
        <v>6</v>
      </c>
      <c r="B10" s="12"/>
      <c r="C10" s="13" t="s">
        <v>48</v>
      </c>
      <c r="D10" s="14" t="s">
        <v>61</v>
      </c>
      <c r="E10" s="8" t="s">
        <v>20</v>
      </c>
      <c r="F10" s="33"/>
      <c r="G10" s="9" t="s">
        <v>37</v>
      </c>
      <c r="H10" s="9" t="s">
        <v>37</v>
      </c>
      <c r="I10" s="9" t="s">
        <v>37</v>
      </c>
      <c r="J10" s="9" t="s">
        <v>37</v>
      </c>
      <c r="K10" s="9" t="s">
        <v>37</v>
      </c>
      <c r="L10" s="9" t="s">
        <v>37</v>
      </c>
      <c r="M10" s="33"/>
      <c r="N10" s="9" t="s">
        <v>37</v>
      </c>
      <c r="O10" s="9" t="s">
        <v>37</v>
      </c>
      <c r="P10" s="9" t="s">
        <v>37</v>
      </c>
      <c r="Q10" s="9" t="s">
        <v>37</v>
      </c>
      <c r="R10" s="9" t="s">
        <v>37</v>
      </c>
      <c r="S10" s="9" t="s">
        <v>37</v>
      </c>
      <c r="T10" s="33"/>
      <c r="U10" s="9" t="s">
        <v>37</v>
      </c>
      <c r="V10" s="22"/>
      <c r="W10" s="9" t="s">
        <v>37</v>
      </c>
      <c r="X10" s="9" t="s">
        <v>37</v>
      </c>
      <c r="Y10" s="9" t="s">
        <v>37</v>
      </c>
      <c r="Z10" s="9" t="s">
        <v>37</v>
      </c>
      <c r="AA10" s="33"/>
      <c r="AB10" s="9" t="s">
        <v>36</v>
      </c>
      <c r="AC10" s="9" t="s">
        <v>37</v>
      </c>
      <c r="AD10" s="9"/>
      <c r="AE10" s="9" t="s">
        <v>37</v>
      </c>
      <c r="AF10" s="9" t="s">
        <v>37</v>
      </c>
      <c r="AG10" s="9" t="s">
        <v>37</v>
      </c>
      <c r="AH10" s="33"/>
      <c r="AI10" s="9" t="s">
        <v>37</v>
      </c>
      <c r="AJ10" s="5">
        <f t="shared" si="1"/>
        <v>22</v>
      </c>
      <c r="AK10" s="5">
        <f t="shared" si="2"/>
        <v>1</v>
      </c>
      <c r="AL10" s="5" t="s">
        <v>16</v>
      </c>
      <c r="AM10" s="10">
        <f>19*26</f>
        <v>494</v>
      </c>
      <c r="AN10" s="10">
        <f>21*26</f>
        <v>546</v>
      </c>
      <c r="AO10" s="10">
        <f>SUM(AM10:AN10)</f>
        <v>1040</v>
      </c>
    </row>
    <row r="11" spans="1:41" x14ac:dyDescent="0.25">
      <c r="A11" s="6">
        <v>7</v>
      </c>
      <c r="B11" s="12"/>
      <c r="C11" s="13" t="s">
        <v>29</v>
      </c>
      <c r="D11" s="14" t="s">
        <v>50</v>
      </c>
      <c r="E11" s="8" t="s">
        <v>20</v>
      </c>
      <c r="F11" s="33"/>
      <c r="G11" s="9" t="s">
        <v>37</v>
      </c>
      <c r="H11" s="9" t="s">
        <v>37</v>
      </c>
      <c r="I11" s="9" t="s">
        <v>37</v>
      </c>
      <c r="J11" s="9" t="s">
        <v>37</v>
      </c>
      <c r="K11" s="9" t="s">
        <v>37</v>
      </c>
      <c r="L11" s="9" t="s">
        <v>37</v>
      </c>
      <c r="M11" s="33"/>
      <c r="N11" s="9" t="s">
        <v>37</v>
      </c>
      <c r="O11" s="9" t="s">
        <v>37</v>
      </c>
      <c r="P11" s="9" t="s">
        <v>37</v>
      </c>
      <c r="Q11" s="9" t="s">
        <v>37</v>
      </c>
      <c r="R11" s="9" t="s">
        <v>37</v>
      </c>
      <c r="S11" s="9"/>
      <c r="T11" s="33"/>
      <c r="U11" s="9" t="s">
        <v>37</v>
      </c>
      <c r="V11" s="22"/>
      <c r="W11" s="9" t="s">
        <v>37</v>
      </c>
      <c r="X11" s="9" t="s">
        <v>37</v>
      </c>
      <c r="Y11" s="9" t="s">
        <v>37</v>
      </c>
      <c r="Z11" s="9" t="s">
        <v>37</v>
      </c>
      <c r="AA11" s="33"/>
      <c r="AB11" s="9" t="s">
        <v>37</v>
      </c>
      <c r="AC11" s="9" t="s">
        <v>37</v>
      </c>
      <c r="AD11" s="9" t="s">
        <v>37</v>
      </c>
      <c r="AE11" s="9" t="s">
        <v>37</v>
      </c>
      <c r="AF11" s="9" t="s">
        <v>37</v>
      </c>
      <c r="AG11" s="9" t="s">
        <v>37</v>
      </c>
      <c r="AH11" s="33"/>
      <c r="AI11" s="9" t="s">
        <v>37</v>
      </c>
      <c r="AJ11" s="5">
        <f t="shared" si="1"/>
        <v>23</v>
      </c>
      <c r="AK11" s="5">
        <f t="shared" si="2"/>
        <v>0</v>
      </c>
      <c r="AL11" s="5" t="s">
        <v>17</v>
      </c>
      <c r="AM11" s="10">
        <f>AJ6+AJ7+AJ8+AJ11+AJ12+AJ13+AJ15+AJ19+AJ20+AJ21+AJ22+AJ23+AJ24+AJ25+AJ26+AJ28+AJ29</f>
        <v>350</v>
      </c>
      <c r="AN11" s="10">
        <f>AJ5+AJ9+AJ10+AJ14+AJ16+AJ17+AJ18+AJ27</f>
        <v>158</v>
      </c>
      <c r="AO11" s="10">
        <f>AM11+AN11</f>
        <v>508</v>
      </c>
    </row>
    <row r="12" spans="1:41" x14ac:dyDescent="0.25">
      <c r="A12" s="10">
        <v>8</v>
      </c>
      <c r="B12" s="12"/>
      <c r="C12" s="13" t="s">
        <v>33</v>
      </c>
      <c r="D12" s="14" t="s">
        <v>50</v>
      </c>
      <c r="E12" s="8" t="s">
        <v>20</v>
      </c>
      <c r="F12" s="33"/>
      <c r="G12" s="9" t="s">
        <v>37</v>
      </c>
      <c r="H12" s="9" t="s">
        <v>37</v>
      </c>
      <c r="I12" s="9" t="s">
        <v>37</v>
      </c>
      <c r="J12" s="9" t="s">
        <v>37</v>
      </c>
      <c r="K12" s="9" t="s">
        <v>37</v>
      </c>
      <c r="L12" s="9" t="s">
        <v>37</v>
      </c>
      <c r="M12" s="33"/>
      <c r="N12" s="9" t="s">
        <v>37</v>
      </c>
      <c r="O12" s="9" t="s">
        <v>37</v>
      </c>
      <c r="P12" s="9" t="s">
        <v>37</v>
      </c>
      <c r="Q12" s="9" t="s">
        <v>37</v>
      </c>
      <c r="R12" s="9"/>
      <c r="S12" s="9" t="s">
        <v>37</v>
      </c>
      <c r="T12" s="33"/>
      <c r="U12" s="9" t="s">
        <v>37</v>
      </c>
      <c r="V12" s="22"/>
      <c r="W12" s="9" t="s">
        <v>37</v>
      </c>
      <c r="X12" s="9" t="s">
        <v>37</v>
      </c>
      <c r="Y12" s="9" t="s">
        <v>37</v>
      </c>
      <c r="Z12" s="9" t="s">
        <v>37</v>
      </c>
      <c r="AA12" s="33"/>
      <c r="AB12" s="9" t="s">
        <v>37</v>
      </c>
      <c r="AC12" s="9" t="s">
        <v>37</v>
      </c>
      <c r="AD12" s="9" t="s">
        <v>37</v>
      </c>
      <c r="AE12" s="9" t="s">
        <v>37</v>
      </c>
      <c r="AF12" s="9" t="s">
        <v>37</v>
      </c>
      <c r="AG12" s="9" t="s">
        <v>37</v>
      </c>
      <c r="AH12" s="33"/>
      <c r="AI12" s="9" t="s">
        <v>37</v>
      </c>
      <c r="AJ12" s="5">
        <f t="shared" si="1"/>
        <v>23</v>
      </c>
      <c r="AK12" s="5">
        <f t="shared" si="2"/>
        <v>0</v>
      </c>
      <c r="AL12" s="5" t="s">
        <v>18</v>
      </c>
      <c r="AM12" s="10">
        <f>AM11/AM10</f>
        <v>0.708502024291498</v>
      </c>
      <c r="AN12" s="10">
        <f>AN11/AN10</f>
        <v>0.2893772893772894</v>
      </c>
      <c r="AO12" s="10">
        <f>AO11/AO10</f>
        <v>0.48846153846153845</v>
      </c>
    </row>
    <row r="13" spans="1:41" x14ac:dyDescent="0.25">
      <c r="A13" s="6">
        <v>9</v>
      </c>
      <c r="B13" s="12"/>
      <c r="C13" s="13" t="s">
        <v>62</v>
      </c>
      <c r="D13" s="14" t="s">
        <v>47</v>
      </c>
      <c r="E13" s="8" t="s">
        <v>20</v>
      </c>
      <c r="F13" s="33"/>
      <c r="G13" s="9" t="s">
        <v>37</v>
      </c>
      <c r="H13" s="9" t="s">
        <v>37</v>
      </c>
      <c r="I13" s="9" t="s">
        <v>37</v>
      </c>
      <c r="J13" s="9" t="s">
        <v>37</v>
      </c>
      <c r="K13" s="9" t="s">
        <v>37</v>
      </c>
      <c r="L13" s="9" t="s">
        <v>37</v>
      </c>
      <c r="M13" s="33"/>
      <c r="N13" s="9" t="s">
        <v>37</v>
      </c>
      <c r="O13" s="9" t="s">
        <v>53</v>
      </c>
      <c r="P13" s="9" t="s">
        <v>53</v>
      </c>
      <c r="Q13" s="9" t="s">
        <v>37</v>
      </c>
      <c r="R13" s="9" t="s">
        <v>53</v>
      </c>
      <c r="S13" s="9" t="s">
        <v>53</v>
      </c>
      <c r="T13" s="33"/>
      <c r="U13" s="9" t="s">
        <v>37</v>
      </c>
      <c r="V13" s="22"/>
      <c r="W13" s="9" t="s">
        <v>37</v>
      </c>
      <c r="X13" s="9" t="s">
        <v>37</v>
      </c>
      <c r="Y13" s="9" t="s">
        <v>37</v>
      </c>
      <c r="Z13" s="9" t="s">
        <v>37</v>
      </c>
      <c r="AA13" s="33"/>
      <c r="AB13" s="9" t="s">
        <v>37</v>
      </c>
      <c r="AC13" s="9" t="s">
        <v>37</v>
      </c>
      <c r="AD13" s="9" t="s">
        <v>37</v>
      </c>
      <c r="AE13" s="9" t="s">
        <v>36</v>
      </c>
      <c r="AF13" s="9" t="s">
        <v>37</v>
      </c>
      <c r="AG13" s="9" t="s">
        <v>37</v>
      </c>
      <c r="AH13" s="33"/>
      <c r="AI13" s="9" t="s">
        <v>37</v>
      </c>
      <c r="AJ13" s="5">
        <f t="shared" si="1"/>
        <v>19</v>
      </c>
      <c r="AK13" s="5">
        <f t="shared" si="2"/>
        <v>1</v>
      </c>
      <c r="AL13" s="3"/>
      <c r="AM13" s="15"/>
      <c r="AN13" s="15"/>
      <c r="AO13" s="15"/>
    </row>
    <row r="14" spans="1:41" x14ac:dyDescent="0.25">
      <c r="A14" s="10">
        <v>10</v>
      </c>
      <c r="B14" s="16"/>
      <c r="C14" s="13" t="s">
        <v>63</v>
      </c>
      <c r="D14" s="14" t="s">
        <v>24</v>
      </c>
      <c r="E14" s="8" t="s">
        <v>20</v>
      </c>
      <c r="F14" s="33"/>
      <c r="G14" s="9" t="s">
        <v>37</v>
      </c>
      <c r="H14" s="9" t="s">
        <v>37</v>
      </c>
      <c r="I14" s="9" t="s">
        <v>37</v>
      </c>
      <c r="J14" s="9" t="s">
        <v>37</v>
      </c>
      <c r="K14" s="9" t="s">
        <v>36</v>
      </c>
      <c r="L14" s="9" t="s">
        <v>37</v>
      </c>
      <c r="M14" s="33"/>
      <c r="N14" s="9" t="s">
        <v>37</v>
      </c>
      <c r="O14" s="9" t="s">
        <v>37</v>
      </c>
      <c r="P14" s="9" t="s">
        <v>37</v>
      </c>
      <c r="Q14" s="9" t="s">
        <v>37</v>
      </c>
      <c r="R14" s="9" t="s">
        <v>37</v>
      </c>
      <c r="S14" s="9" t="s">
        <v>37</v>
      </c>
      <c r="T14" s="33"/>
      <c r="U14" s="9"/>
      <c r="V14" s="22"/>
      <c r="W14" s="9" t="s">
        <v>37</v>
      </c>
      <c r="X14" s="9" t="s">
        <v>37</v>
      </c>
      <c r="Y14" s="9" t="s">
        <v>37</v>
      </c>
      <c r="Z14" s="9" t="s">
        <v>37</v>
      </c>
      <c r="AA14" s="33"/>
      <c r="AB14" s="9" t="s">
        <v>37</v>
      </c>
      <c r="AC14" s="9" t="s">
        <v>37</v>
      </c>
      <c r="AD14" s="9" t="s">
        <v>37</v>
      </c>
      <c r="AE14" s="9" t="s">
        <v>37</v>
      </c>
      <c r="AF14" s="9" t="s">
        <v>36</v>
      </c>
      <c r="AG14" s="9" t="s">
        <v>37</v>
      </c>
      <c r="AH14" s="33"/>
      <c r="AI14" s="9" t="s">
        <v>37</v>
      </c>
      <c r="AJ14" s="5">
        <f t="shared" si="1"/>
        <v>21</v>
      </c>
      <c r="AK14" s="5">
        <f t="shared" si="2"/>
        <v>2</v>
      </c>
      <c r="AL14" s="17"/>
      <c r="AM14" s="17"/>
      <c r="AN14" s="17"/>
      <c r="AO14" s="17"/>
    </row>
    <row r="15" spans="1:41" x14ac:dyDescent="0.25">
      <c r="A15" s="6">
        <v>11</v>
      </c>
      <c r="B15" s="12"/>
      <c r="C15" s="13" t="s">
        <v>25</v>
      </c>
      <c r="D15" s="14" t="s">
        <v>51</v>
      </c>
      <c r="E15" s="8" t="s">
        <v>20</v>
      </c>
      <c r="F15" s="33"/>
      <c r="G15" s="9" t="s">
        <v>36</v>
      </c>
      <c r="H15" s="9" t="s">
        <v>37</v>
      </c>
      <c r="I15" s="9" t="s">
        <v>37</v>
      </c>
      <c r="J15" s="9" t="s">
        <v>36</v>
      </c>
      <c r="K15" s="9" t="s">
        <v>37</v>
      </c>
      <c r="L15" s="9" t="s">
        <v>37</v>
      </c>
      <c r="M15" s="33"/>
      <c r="N15" s="9" t="s">
        <v>37</v>
      </c>
      <c r="O15" s="9" t="s">
        <v>37</v>
      </c>
      <c r="P15" s="9" t="s">
        <v>37</v>
      </c>
      <c r="Q15" s="9" t="s">
        <v>37</v>
      </c>
      <c r="R15" s="9" t="s">
        <v>37</v>
      </c>
      <c r="S15" s="9" t="s">
        <v>37</v>
      </c>
      <c r="T15" s="33"/>
      <c r="U15" s="9" t="s">
        <v>37</v>
      </c>
      <c r="V15" s="22"/>
      <c r="W15" s="9" t="s">
        <v>37</v>
      </c>
      <c r="X15" s="9" t="s">
        <v>37</v>
      </c>
      <c r="Y15" s="9" t="s">
        <v>37</v>
      </c>
      <c r="Z15" s="9" t="s">
        <v>37</v>
      </c>
      <c r="AA15" s="33"/>
      <c r="AB15" s="9" t="s">
        <v>37</v>
      </c>
      <c r="AC15" s="9" t="s">
        <v>37</v>
      </c>
      <c r="AD15" s="9" t="s">
        <v>37</v>
      </c>
      <c r="AE15" s="9" t="s">
        <v>37</v>
      </c>
      <c r="AF15" s="9" t="s">
        <v>36</v>
      </c>
      <c r="AG15" s="9" t="s">
        <v>37</v>
      </c>
      <c r="AH15" s="33"/>
      <c r="AI15" s="9" t="s">
        <v>37</v>
      </c>
      <c r="AJ15" s="5">
        <f t="shared" si="1"/>
        <v>21</v>
      </c>
      <c r="AK15" s="5">
        <f t="shared" si="2"/>
        <v>3</v>
      </c>
      <c r="AL15" s="3"/>
      <c r="AM15" s="3"/>
      <c r="AN15" s="3"/>
      <c r="AO15" s="3"/>
    </row>
    <row r="16" spans="1:41" ht="15.75" x14ac:dyDescent="0.25">
      <c r="A16" s="10">
        <v>12</v>
      </c>
      <c r="B16" s="12"/>
      <c r="C16" s="13" t="s">
        <v>64</v>
      </c>
      <c r="D16" s="14" t="s">
        <v>65</v>
      </c>
      <c r="E16" s="8" t="s">
        <v>20</v>
      </c>
      <c r="F16" s="33"/>
      <c r="G16" s="9" t="s">
        <v>37</v>
      </c>
      <c r="H16" s="9" t="s">
        <v>37</v>
      </c>
      <c r="I16" s="9" t="s">
        <v>37</v>
      </c>
      <c r="J16" s="9" t="s">
        <v>37</v>
      </c>
      <c r="K16" s="9" t="s">
        <v>37</v>
      </c>
      <c r="L16" s="9" t="s">
        <v>37</v>
      </c>
      <c r="M16" s="33"/>
      <c r="N16" s="9" t="s">
        <v>37</v>
      </c>
      <c r="O16" s="9" t="s">
        <v>37</v>
      </c>
      <c r="P16" s="9" t="s">
        <v>37</v>
      </c>
      <c r="Q16" s="9" t="s">
        <v>37</v>
      </c>
      <c r="R16" s="9" t="s">
        <v>37</v>
      </c>
      <c r="S16" s="9" t="s">
        <v>37</v>
      </c>
      <c r="T16" s="33"/>
      <c r="U16" s="9" t="s">
        <v>37</v>
      </c>
      <c r="V16" s="22"/>
      <c r="W16" s="9" t="s">
        <v>37</v>
      </c>
      <c r="X16" s="9" t="s">
        <v>37</v>
      </c>
      <c r="Y16" s="9" t="s">
        <v>37</v>
      </c>
      <c r="Z16" s="9" t="s">
        <v>37</v>
      </c>
      <c r="AA16" s="33"/>
      <c r="AB16" s="9" t="s">
        <v>37</v>
      </c>
      <c r="AC16" s="9" t="s">
        <v>37</v>
      </c>
      <c r="AD16" s="9" t="s">
        <v>37</v>
      </c>
      <c r="AE16" s="9" t="s">
        <v>37</v>
      </c>
      <c r="AF16" s="9" t="s">
        <v>37</v>
      </c>
      <c r="AG16" s="9" t="s">
        <v>36</v>
      </c>
      <c r="AH16" s="33"/>
      <c r="AI16" s="9" t="s">
        <v>123</v>
      </c>
      <c r="AJ16" s="5">
        <f t="shared" si="1"/>
        <v>22</v>
      </c>
      <c r="AK16" s="5">
        <f t="shared" si="2"/>
        <v>1</v>
      </c>
      <c r="AL16" s="25" t="s">
        <v>6</v>
      </c>
      <c r="AM16" s="26"/>
      <c r="AN16" s="26"/>
      <c r="AO16" s="27"/>
    </row>
    <row r="17" spans="1:41" x14ac:dyDescent="0.25">
      <c r="A17" s="6">
        <v>13</v>
      </c>
      <c r="B17" s="12"/>
      <c r="C17" s="13" t="s">
        <v>66</v>
      </c>
      <c r="D17" s="14" t="s">
        <v>40</v>
      </c>
      <c r="E17" s="8" t="s">
        <v>20</v>
      </c>
      <c r="F17" s="33"/>
      <c r="G17" s="9" t="s">
        <v>37</v>
      </c>
      <c r="H17" s="9" t="s">
        <v>37</v>
      </c>
      <c r="I17" s="9" t="s">
        <v>37</v>
      </c>
      <c r="J17" s="9" t="s">
        <v>37</v>
      </c>
      <c r="K17" s="9" t="s">
        <v>36</v>
      </c>
      <c r="L17" s="9" t="s">
        <v>37</v>
      </c>
      <c r="M17" s="33"/>
      <c r="N17" s="9" t="s">
        <v>36</v>
      </c>
      <c r="O17" s="9" t="s">
        <v>37</v>
      </c>
      <c r="P17" s="9" t="s">
        <v>37</v>
      </c>
      <c r="Q17" s="9" t="s">
        <v>37</v>
      </c>
      <c r="R17" s="9" t="s">
        <v>37</v>
      </c>
      <c r="S17" s="9" t="s">
        <v>37</v>
      </c>
      <c r="T17" s="33"/>
      <c r="U17" s="9" t="s">
        <v>37</v>
      </c>
      <c r="V17" s="22"/>
      <c r="W17" s="9" t="s">
        <v>37</v>
      </c>
      <c r="X17" s="9" t="s">
        <v>37</v>
      </c>
      <c r="Y17" s="9" t="s">
        <v>37</v>
      </c>
      <c r="Z17" s="9" t="s">
        <v>37</v>
      </c>
      <c r="AA17" s="33"/>
      <c r="AB17" s="9" t="s">
        <v>37</v>
      </c>
      <c r="AC17" s="9" t="s">
        <v>37</v>
      </c>
      <c r="AD17" s="9" t="s">
        <v>37</v>
      </c>
      <c r="AE17" s="9" t="s">
        <v>36</v>
      </c>
      <c r="AF17" s="9" t="s">
        <v>37</v>
      </c>
      <c r="AG17" s="9" t="s">
        <v>37</v>
      </c>
      <c r="AH17" s="33"/>
      <c r="AI17" s="9" t="s">
        <v>37</v>
      </c>
      <c r="AJ17" s="5">
        <f t="shared" si="1"/>
        <v>21</v>
      </c>
      <c r="AK17" s="5">
        <f t="shared" si="2"/>
        <v>3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x14ac:dyDescent="0.25">
      <c r="A18" s="10">
        <v>14</v>
      </c>
      <c r="B18" s="12"/>
      <c r="C18" s="13" t="s">
        <v>67</v>
      </c>
      <c r="D18" s="14" t="s">
        <v>68</v>
      </c>
      <c r="E18" s="8" t="s">
        <v>20</v>
      </c>
      <c r="F18" s="33"/>
      <c r="G18" s="9" t="s">
        <v>37</v>
      </c>
      <c r="H18" s="9" t="s">
        <v>37</v>
      </c>
      <c r="I18" s="9" t="s">
        <v>37</v>
      </c>
      <c r="J18" s="9" t="s">
        <v>37</v>
      </c>
      <c r="K18" s="9" t="s">
        <v>37</v>
      </c>
      <c r="L18" s="9" t="s">
        <v>37</v>
      </c>
      <c r="M18" s="33"/>
      <c r="N18" s="9" t="s">
        <v>37</v>
      </c>
      <c r="O18" s="9" t="s">
        <v>37</v>
      </c>
      <c r="P18" s="9" t="s">
        <v>37</v>
      </c>
      <c r="Q18" s="9" t="s">
        <v>37</v>
      </c>
      <c r="R18" s="9" t="s">
        <v>37</v>
      </c>
      <c r="S18" s="9" t="s">
        <v>37</v>
      </c>
      <c r="T18" s="33"/>
      <c r="U18" s="9" t="s">
        <v>37</v>
      </c>
      <c r="V18" s="22"/>
      <c r="W18" s="9" t="s">
        <v>37</v>
      </c>
      <c r="X18" s="9" t="s">
        <v>37</v>
      </c>
      <c r="Y18" s="9" t="s">
        <v>37</v>
      </c>
      <c r="Z18" s="9" t="s">
        <v>37</v>
      </c>
      <c r="AA18" s="33"/>
      <c r="AB18" s="9" t="s">
        <v>37</v>
      </c>
      <c r="AC18" s="9" t="s">
        <v>37</v>
      </c>
      <c r="AD18" s="9" t="s">
        <v>37</v>
      </c>
      <c r="AE18" s="9" t="s">
        <v>37</v>
      </c>
      <c r="AF18" s="9" t="s">
        <v>37</v>
      </c>
      <c r="AG18" s="9" t="s">
        <v>37</v>
      </c>
      <c r="AH18" s="33"/>
      <c r="AI18" s="9" t="s">
        <v>37</v>
      </c>
      <c r="AJ18" s="5">
        <f t="shared" si="1"/>
        <v>24</v>
      </c>
      <c r="AK18" s="5">
        <f t="shared" si="2"/>
        <v>0</v>
      </c>
      <c r="AL18" s="5" t="s">
        <v>16</v>
      </c>
      <c r="AM18" s="10">
        <f>19*26</f>
        <v>494</v>
      </c>
      <c r="AN18" s="10">
        <f>21*26</f>
        <v>546</v>
      </c>
      <c r="AO18" s="10">
        <f>AM18+AN18</f>
        <v>1040</v>
      </c>
    </row>
    <row r="19" spans="1:41" x14ac:dyDescent="0.25">
      <c r="A19" s="6">
        <v>15</v>
      </c>
      <c r="B19" s="12"/>
      <c r="C19" s="13" t="s">
        <v>69</v>
      </c>
      <c r="D19" s="14" t="s">
        <v>70</v>
      </c>
      <c r="E19" s="8" t="s">
        <v>20</v>
      </c>
      <c r="F19" s="33"/>
      <c r="G19" s="9" t="s">
        <v>37</v>
      </c>
      <c r="H19" s="9" t="s">
        <v>37</v>
      </c>
      <c r="I19" s="9" t="s">
        <v>37</v>
      </c>
      <c r="J19" s="9" t="s">
        <v>37</v>
      </c>
      <c r="K19" s="9" t="s">
        <v>37</v>
      </c>
      <c r="L19" s="9" t="s">
        <v>37</v>
      </c>
      <c r="M19" s="33"/>
      <c r="N19" s="9" t="s">
        <v>37</v>
      </c>
      <c r="O19" s="9" t="s">
        <v>37</v>
      </c>
      <c r="P19" s="9" t="s">
        <v>37</v>
      </c>
      <c r="Q19" s="9" t="s">
        <v>37</v>
      </c>
      <c r="R19" s="9" t="s">
        <v>37</v>
      </c>
      <c r="S19" s="9" t="s">
        <v>37</v>
      </c>
      <c r="T19" s="33"/>
      <c r="U19" s="9"/>
      <c r="V19" s="22"/>
      <c r="W19" s="9" t="s">
        <v>37</v>
      </c>
      <c r="X19" s="9" t="s">
        <v>37</v>
      </c>
      <c r="Y19" s="9" t="s">
        <v>37</v>
      </c>
      <c r="Z19" s="9" t="s">
        <v>37</v>
      </c>
      <c r="AA19" s="33"/>
      <c r="AB19" s="9" t="s">
        <v>37</v>
      </c>
      <c r="AC19" s="9" t="s">
        <v>37</v>
      </c>
      <c r="AD19" s="9" t="s">
        <v>37</v>
      </c>
      <c r="AE19" s="9" t="s">
        <v>37</v>
      </c>
      <c r="AF19" s="9" t="s">
        <v>37</v>
      </c>
      <c r="AG19" s="9" t="s">
        <v>37</v>
      </c>
      <c r="AH19" s="33"/>
      <c r="AI19" s="9" t="s">
        <v>37</v>
      </c>
      <c r="AJ19" s="5">
        <f t="shared" si="1"/>
        <v>23</v>
      </c>
      <c r="AK19" s="5">
        <f t="shared" si="2"/>
        <v>0</v>
      </c>
      <c r="AL19" s="5" t="s">
        <v>19</v>
      </c>
      <c r="AM19" s="10">
        <f>AM18-AM11</f>
        <v>144</v>
      </c>
      <c r="AN19" s="10">
        <f>AN18-AN11</f>
        <v>388</v>
      </c>
      <c r="AO19" s="10">
        <f>AM19+AN19</f>
        <v>532</v>
      </c>
    </row>
    <row r="20" spans="1:41" x14ac:dyDescent="0.25">
      <c r="A20" s="10">
        <v>16</v>
      </c>
      <c r="B20" s="12"/>
      <c r="C20" s="13" t="s">
        <v>71</v>
      </c>
      <c r="D20" s="14" t="s">
        <v>31</v>
      </c>
      <c r="E20" s="8" t="s">
        <v>20</v>
      </c>
      <c r="F20" s="33"/>
      <c r="G20" s="9" t="s">
        <v>37</v>
      </c>
      <c r="H20" s="9" t="s">
        <v>37</v>
      </c>
      <c r="I20" s="9" t="s">
        <v>37</v>
      </c>
      <c r="J20" s="9" t="s">
        <v>37</v>
      </c>
      <c r="K20" s="9" t="s">
        <v>37</v>
      </c>
      <c r="L20" s="9" t="s">
        <v>37</v>
      </c>
      <c r="M20" s="33"/>
      <c r="N20" s="9" t="s">
        <v>37</v>
      </c>
      <c r="O20" s="9" t="s">
        <v>37</v>
      </c>
      <c r="P20" s="9" t="s">
        <v>37</v>
      </c>
      <c r="Q20" s="9" t="s">
        <v>37</v>
      </c>
      <c r="R20" s="9" t="s">
        <v>37</v>
      </c>
      <c r="S20" s="9" t="s">
        <v>37</v>
      </c>
      <c r="T20" s="33"/>
      <c r="U20" s="9" t="s">
        <v>37</v>
      </c>
      <c r="V20" s="22"/>
      <c r="W20" s="9" t="s">
        <v>37</v>
      </c>
      <c r="X20" s="9" t="s">
        <v>37</v>
      </c>
      <c r="Y20" s="9" t="s">
        <v>37</v>
      </c>
      <c r="Z20" s="9" t="s">
        <v>37</v>
      </c>
      <c r="AA20" s="33"/>
      <c r="AB20" s="9" t="s">
        <v>37</v>
      </c>
      <c r="AC20" s="9" t="s">
        <v>37</v>
      </c>
      <c r="AD20" s="9" t="s">
        <v>37</v>
      </c>
      <c r="AE20" s="9" t="s">
        <v>37</v>
      </c>
      <c r="AF20" s="9" t="s">
        <v>37</v>
      </c>
      <c r="AG20" s="9" t="s">
        <v>37</v>
      </c>
      <c r="AH20" s="33"/>
      <c r="AI20" s="9" t="s">
        <v>37</v>
      </c>
      <c r="AJ20" s="5">
        <f t="shared" si="1"/>
        <v>24</v>
      </c>
      <c r="AK20" s="5">
        <f t="shared" si="2"/>
        <v>0</v>
      </c>
      <c r="AL20" s="5" t="s">
        <v>15</v>
      </c>
      <c r="AM20" s="18">
        <f>AM19/AM18</f>
        <v>0.291497975708502</v>
      </c>
      <c r="AN20" s="18">
        <f>AN19/AN18</f>
        <v>0.71062271062271065</v>
      </c>
      <c r="AO20" s="18">
        <f>AO19/AO18</f>
        <v>0.5115384615384615</v>
      </c>
    </row>
    <row r="21" spans="1:41" x14ac:dyDescent="0.25">
      <c r="A21" s="6">
        <v>17</v>
      </c>
      <c r="B21" s="12"/>
      <c r="C21" s="13" t="s">
        <v>72</v>
      </c>
      <c r="D21" s="14" t="s">
        <v>40</v>
      </c>
      <c r="E21" s="8" t="s">
        <v>20</v>
      </c>
      <c r="F21" s="33"/>
      <c r="G21" s="9" t="s">
        <v>37</v>
      </c>
      <c r="H21" s="9" t="s">
        <v>37</v>
      </c>
      <c r="I21" s="9" t="s">
        <v>37</v>
      </c>
      <c r="J21" s="9" t="s">
        <v>37</v>
      </c>
      <c r="K21" s="9" t="s">
        <v>37</v>
      </c>
      <c r="L21" s="9" t="s">
        <v>37</v>
      </c>
      <c r="M21" s="33"/>
      <c r="N21" s="9" t="s">
        <v>37</v>
      </c>
      <c r="O21" s="9" t="s">
        <v>37</v>
      </c>
      <c r="P21" s="9" t="s">
        <v>37</v>
      </c>
      <c r="Q21" s="9" t="s">
        <v>37</v>
      </c>
      <c r="R21" s="9" t="s">
        <v>37</v>
      </c>
      <c r="S21" s="9" t="s">
        <v>37</v>
      </c>
      <c r="T21" s="33"/>
      <c r="U21" s="9" t="s">
        <v>37</v>
      </c>
      <c r="V21" s="22"/>
      <c r="W21" s="9" t="s">
        <v>37</v>
      </c>
      <c r="X21" s="9" t="s">
        <v>37</v>
      </c>
      <c r="Y21" s="9" t="s">
        <v>37</v>
      </c>
      <c r="Z21" s="9" t="s">
        <v>37</v>
      </c>
      <c r="AA21" s="33"/>
      <c r="AB21" s="9" t="s">
        <v>37</v>
      </c>
      <c r="AC21" s="9" t="s">
        <v>37</v>
      </c>
      <c r="AD21" s="9" t="s">
        <v>37</v>
      </c>
      <c r="AE21" s="9" t="s">
        <v>37</v>
      </c>
      <c r="AF21" s="9" t="s">
        <v>37</v>
      </c>
      <c r="AG21" s="9" t="s">
        <v>37</v>
      </c>
      <c r="AH21" s="33"/>
      <c r="AI21" s="9" t="s">
        <v>37</v>
      </c>
      <c r="AJ21" s="5">
        <f t="shared" si="1"/>
        <v>24</v>
      </c>
      <c r="AK21" s="5">
        <f t="shared" si="2"/>
        <v>0</v>
      </c>
    </row>
    <row r="22" spans="1:41" x14ac:dyDescent="0.25">
      <c r="A22" s="10">
        <v>18</v>
      </c>
      <c r="B22" s="12"/>
      <c r="C22" s="13" t="s">
        <v>73</v>
      </c>
      <c r="D22" s="14" t="s">
        <v>38</v>
      </c>
      <c r="E22" s="8" t="s">
        <v>20</v>
      </c>
      <c r="F22" s="33"/>
      <c r="G22" s="9" t="s">
        <v>37</v>
      </c>
      <c r="H22" s="9" t="s">
        <v>37</v>
      </c>
      <c r="I22" s="9" t="s">
        <v>37</v>
      </c>
      <c r="J22" s="9" t="s">
        <v>37</v>
      </c>
      <c r="K22" s="9" t="s">
        <v>37</v>
      </c>
      <c r="L22" s="9" t="s">
        <v>37</v>
      </c>
      <c r="M22" s="33"/>
      <c r="N22" s="9" t="s">
        <v>37</v>
      </c>
      <c r="O22" s="9" t="s">
        <v>37</v>
      </c>
      <c r="P22" s="9" t="s">
        <v>37</v>
      </c>
      <c r="Q22" s="9" t="s">
        <v>37</v>
      </c>
      <c r="R22" s="9" t="s">
        <v>37</v>
      </c>
      <c r="S22" s="9" t="s">
        <v>37</v>
      </c>
      <c r="T22" s="33"/>
      <c r="U22" s="9" t="s">
        <v>37</v>
      </c>
      <c r="V22" s="22"/>
      <c r="W22" s="9" t="s">
        <v>37</v>
      </c>
      <c r="X22" s="9" t="s">
        <v>37</v>
      </c>
      <c r="Y22" s="9" t="s">
        <v>37</v>
      </c>
      <c r="Z22" s="9" t="s">
        <v>37</v>
      </c>
      <c r="AA22" s="33"/>
      <c r="AB22" s="9" t="s">
        <v>37</v>
      </c>
      <c r="AC22" s="9" t="s">
        <v>37</v>
      </c>
      <c r="AD22" s="9" t="s">
        <v>37</v>
      </c>
      <c r="AE22" s="9" t="s">
        <v>37</v>
      </c>
      <c r="AF22" s="9" t="s">
        <v>37</v>
      </c>
      <c r="AG22" s="9" t="s">
        <v>37</v>
      </c>
      <c r="AH22" s="33"/>
      <c r="AI22" s="9" t="s">
        <v>37</v>
      </c>
      <c r="AJ22" s="5">
        <f t="shared" si="1"/>
        <v>24</v>
      </c>
      <c r="AK22" s="5">
        <f t="shared" si="2"/>
        <v>0</v>
      </c>
    </row>
    <row r="23" spans="1:41" x14ac:dyDescent="0.25">
      <c r="A23" s="6">
        <v>19</v>
      </c>
      <c r="B23" s="12"/>
      <c r="C23" s="13" t="s">
        <v>74</v>
      </c>
      <c r="D23" s="14" t="s">
        <v>39</v>
      </c>
      <c r="E23" s="8" t="s">
        <v>20</v>
      </c>
      <c r="F23" s="33"/>
      <c r="G23" s="9" t="s">
        <v>37</v>
      </c>
      <c r="H23" s="9" t="s">
        <v>37</v>
      </c>
      <c r="I23" s="9" t="s">
        <v>37</v>
      </c>
      <c r="J23" s="9" t="s">
        <v>37</v>
      </c>
      <c r="K23" s="9" t="s">
        <v>36</v>
      </c>
      <c r="L23" s="9" t="s">
        <v>37</v>
      </c>
      <c r="M23" s="33"/>
      <c r="N23" s="9" t="s">
        <v>37</v>
      </c>
      <c r="O23" s="9" t="s">
        <v>37</v>
      </c>
      <c r="P23" s="9" t="s">
        <v>37</v>
      </c>
      <c r="Q23" s="9" t="s">
        <v>37</v>
      </c>
      <c r="R23" s="9" t="s">
        <v>37</v>
      </c>
      <c r="S23" s="9" t="s">
        <v>37</v>
      </c>
      <c r="T23" s="33"/>
      <c r="U23" s="9" t="s">
        <v>37</v>
      </c>
      <c r="V23" s="22"/>
      <c r="W23" s="9" t="s">
        <v>37</v>
      </c>
      <c r="X23" s="9" t="s">
        <v>37</v>
      </c>
      <c r="Y23" s="9" t="s">
        <v>37</v>
      </c>
      <c r="Z23" s="9" t="s">
        <v>36</v>
      </c>
      <c r="AA23" s="33"/>
      <c r="AB23" s="9" t="s">
        <v>37</v>
      </c>
      <c r="AC23" s="9" t="s">
        <v>36</v>
      </c>
      <c r="AD23" s="9"/>
      <c r="AE23" s="9" t="s">
        <v>37</v>
      </c>
      <c r="AF23" s="9" t="s">
        <v>37</v>
      </c>
      <c r="AG23" s="9" t="s">
        <v>37</v>
      </c>
      <c r="AH23" s="33"/>
      <c r="AI23" s="9" t="s">
        <v>37</v>
      </c>
      <c r="AJ23" s="5">
        <f t="shared" si="1"/>
        <v>20</v>
      </c>
      <c r="AK23" s="5">
        <f t="shared" si="2"/>
        <v>3</v>
      </c>
    </row>
    <row r="24" spans="1:41" x14ac:dyDescent="0.25">
      <c r="A24" s="10">
        <v>20</v>
      </c>
      <c r="B24" s="12"/>
      <c r="C24" s="13" t="s">
        <v>46</v>
      </c>
      <c r="D24" s="14" t="s">
        <v>42</v>
      </c>
      <c r="E24" s="8" t="s">
        <v>20</v>
      </c>
      <c r="F24" s="33"/>
      <c r="G24" s="9" t="s">
        <v>37</v>
      </c>
      <c r="H24" s="9" t="s">
        <v>37</v>
      </c>
      <c r="I24" s="9" t="s">
        <v>37</v>
      </c>
      <c r="J24" s="9" t="s">
        <v>37</v>
      </c>
      <c r="K24" s="9" t="s">
        <v>36</v>
      </c>
      <c r="L24" s="9" t="s">
        <v>37</v>
      </c>
      <c r="M24" s="33"/>
      <c r="N24" s="9" t="s">
        <v>37</v>
      </c>
      <c r="O24" s="9" t="s">
        <v>37</v>
      </c>
      <c r="P24" s="9" t="s">
        <v>37</v>
      </c>
      <c r="Q24" s="9" t="s">
        <v>37</v>
      </c>
      <c r="R24" s="9" t="s">
        <v>37</v>
      </c>
      <c r="S24" s="9" t="s">
        <v>37</v>
      </c>
      <c r="T24" s="33"/>
      <c r="U24" s="9" t="s">
        <v>37</v>
      </c>
      <c r="V24" s="22"/>
      <c r="W24" s="9" t="s">
        <v>37</v>
      </c>
      <c r="X24" s="9" t="s">
        <v>37</v>
      </c>
      <c r="Y24" s="9" t="s">
        <v>37</v>
      </c>
      <c r="Z24" s="9" t="s">
        <v>37</v>
      </c>
      <c r="AA24" s="33"/>
      <c r="AB24" s="9" t="s">
        <v>37</v>
      </c>
      <c r="AC24" s="9" t="s">
        <v>37</v>
      </c>
      <c r="AD24" s="9" t="s">
        <v>37</v>
      </c>
      <c r="AE24" s="9" t="s">
        <v>37</v>
      </c>
      <c r="AF24" s="9" t="s">
        <v>37</v>
      </c>
      <c r="AG24" s="9" t="s">
        <v>37</v>
      </c>
      <c r="AH24" s="33"/>
      <c r="AI24" s="9" t="s">
        <v>37</v>
      </c>
      <c r="AJ24" s="5">
        <f t="shared" si="1"/>
        <v>23</v>
      </c>
      <c r="AK24" s="5">
        <f t="shared" si="2"/>
        <v>1</v>
      </c>
    </row>
    <row r="25" spans="1:41" x14ac:dyDescent="0.25">
      <c r="A25" s="6">
        <v>21</v>
      </c>
      <c r="B25" s="12"/>
      <c r="C25" s="13" t="s">
        <v>75</v>
      </c>
      <c r="D25" s="14" t="s">
        <v>76</v>
      </c>
      <c r="E25" s="8" t="s">
        <v>20</v>
      </c>
      <c r="F25" s="33"/>
      <c r="G25" s="9" t="s">
        <v>37</v>
      </c>
      <c r="H25" s="9" t="s">
        <v>37</v>
      </c>
      <c r="I25" s="9" t="s">
        <v>37</v>
      </c>
      <c r="J25" s="9" t="s">
        <v>37</v>
      </c>
      <c r="K25" s="9" t="s">
        <v>37</v>
      </c>
      <c r="L25" s="9" t="s">
        <v>37</v>
      </c>
      <c r="M25" s="33"/>
      <c r="N25" s="9" t="s">
        <v>37</v>
      </c>
      <c r="O25" s="9" t="s">
        <v>37</v>
      </c>
      <c r="P25" s="9" t="s">
        <v>37</v>
      </c>
      <c r="Q25" s="9" t="s">
        <v>37</v>
      </c>
      <c r="R25" s="9" t="s">
        <v>37</v>
      </c>
      <c r="S25" s="9" t="s">
        <v>37</v>
      </c>
      <c r="T25" s="33"/>
      <c r="U25" s="9" t="s">
        <v>37</v>
      </c>
      <c r="V25" s="22"/>
      <c r="W25" s="9" t="s">
        <v>37</v>
      </c>
      <c r="X25" s="9" t="s">
        <v>37</v>
      </c>
      <c r="Y25" s="9" t="s">
        <v>37</v>
      </c>
      <c r="Z25" s="9" t="s">
        <v>36</v>
      </c>
      <c r="AA25" s="33"/>
      <c r="AB25" s="9" t="s">
        <v>37</v>
      </c>
      <c r="AC25" s="9" t="s">
        <v>37</v>
      </c>
      <c r="AD25" s="9" t="s">
        <v>37</v>
      </c>
      <c r="AE25" s="9" t="s">
        <v>37</v>
      </c>
      <c r="AF25" s="9" t="s">
        <v>37</v>
      </c>
      <c r="AG25" s="9" t="s">
        <v>37</v>
      </c>
      <c r="AH25" s="33"/>
      <c r="AI25" s="9" t="s">
        <v>37</v>
      </c>
      <c r="AJ25" s="5">
        <f t="shared" si="1"/>
        <v>23</v>
      </c>
      <c r="AK25" s="5">
        <f t="shared" si="2"/>
        <v>1</v>
      </c>
    </row>
    <row r="26" spans="1:41" x14ac:dyDescent="0.25">
      <c r="A26" s="10">
        <v>22</v>
      </c>
      <c r="B26" s="12"/>
      <c r="C26" s="13" t="s">
        <v>77</v>
      </c>
      <c r="D26" s="14" t="s">
        <v>78</v>
      </c>
      <c r="E26" s="8" t="s">
        <v>20</v>
      </c>
      <c r="F26" s="33"/>
      <c r="G26" s="9" t="s">
        <v>37</v>
      </c>
      <c r="H26" s="9" t="s">
        <v>37</v>
      </c>
      <c r="I26" s="9" t="s">
        <v>53</v>
      </c>
      <c r="J26" s="9" t="s">
        <v>37</v>
      </c>
      <c r="K26" s="9" t="s">
        <v>37</v>
      </c>
      <c r="L26" s="9" t="s">
        <v>53</v>
      </c>
      <c r="M26" s="33"/>
      <c r="N26" s="9" t="s">
        <v>37</v>
      </c>
      <c r="O26" s="9" t="s">
        <v>37</v>
      </c>
      <c r="P26" s="9" t="s">
        <v>37</v>
      </c>
      <c r="Q26" s="9" t="s">
        <v>37</v>
      </c>
      <c r="R26" s="9" t="s">
        <v>37</v>
      </c>
      <c r="S26" s="9" t="s">
        <v>37</v>
      </c>
      <c r="T26" s="33"/>
      <c r="U26" s="9" t="s">
        <v>37</v>
      </c>
      <c r="V26" s="22"/>
      <c r="W26" s="9" t="s">
        <v>37</v>
      </c>
      <c r="X26" s="9" t="s">
        <v>37</v>
      </c>
      <c r="Y26" s="9" t="s">
        <v>37</v>
      </c>
      <c r="Z26" s="9" t="s">
        <v>37</v>
      </c>
      <c r="AA26" s="33"/>
      <c r="AB26" s="9" t="s">
        <v>37</v>
      </c>
      <c r="AC26" s="9" t="s">
        <v>37</v>
      </c>
      <c r="AD26" s="9" t="s">
        <v>37</v>
      </c>
      <c r="AE26" s="9" t="s">
        <v>37</v>
      </c>
      <c r="AF26" s="9" t="s">
        <v>37</v>
      </c>
      <c r="AG26" s="9" t="s">
        <v>37</v>
      </c>
      <c r="AH26" s="33"/>
      <c r="AI26" s="9" t="s">
        <v>37</v>
      </c>
      <c r="AJ26" s="5">
        <f t="shared" si="1"/>
        <v>22</v>
      </c>
      <c r="AK26" s="5">
        <f t="shared" si="2"/>
        <v>0</v>
      </c>
    </row>
    <row r="27" spans="1:41" x14ac:dyDescent="0.25">
      <c r="A27" s="6">
        <v>23</v>
      </c>
      <c r="B27" s="12"/>
      <c r="C27" s="13" t="s">
        <v>124</v>
      </c>
      <c r="D27" s="14" t="s">
        <v>125</v>
      </c>
      <c r="E27" s="8" t="s">
        <v>20</v>
      </c>
      <c r="F27" s="33"/>
      <c r="G27" s="9"/>
      <c r="H27" s="9"/>
      <c r="I27" s="9"/>
      <c r="J27" s="9"/>
      <c r="K27" s="9"/>
      <c r="L27" s="9"/>
      <c r="M27" s="33"/>
      <c r="N27" s="9"/>
      <c r="O27" s="9"/>
      <c r="P27" s="9"/>
      <c r="Q27" s="9"/>
      <c r="R27" s="9"/>
      <c r="S27" s="9" t="s">
        <v>37</v>
      </c>
      <c r="T27" s="33"/>
      <c r="U27" s="9" t="s">
        <v>37</v>
      </c>
      <c r="V27" s="22"/>
      <c r="W27" s="9" t="s">
        <v>37</v>
      </c>
      <c r="X27" s="9"/>
      <c r="Y27" s="9"/>
      <c r="Z27" s="9" t="s">
        <v>37</v>
      </c>
      <c r="AA27" s="33"/>
      <c r="AB27" s="9" t="s">
        <v>37</v>
      </c>
      <c r="AC27" s="9" t="s">
        <v>37</v>
      </c>
      <c r="AD27" s="9" t="s">
        <v>37</v>
      </c>
      <c r="AE27" s="9" t="s">
        <v>37</v>
      </c>
      <c r="AF27" s="9" t="s">
        <v>37</v>
      </c>
      <c r="AG27" s="9" t="s">
        <v>37</v>
      </c>
      <c r="AH27" s="33"/>
      <c r="AI27" s="9" t="s">
        <v>37</v>
      </c>
      <c r="AJ27" s="5">
        <f t="shared" si="1"/>
        <v>11</v>
      </c>
      <c r="AK27" s="5">
        <f t="shared" si="2"/>
        <v>0</v>
      </c>
    </row>
    <row r="28" spans="1:41" x14ac:dyDescent="0.25">
      <c r="A28" s="10">
        <v>24</v>
      </c>
      <c r="B28" s="12"/>
      <c r="C28" s="13" t="s">
        <v>48</v>
      </c>
      <c r="D28" s="14" t="s">
        <v>125</v>
      </c>
      <c r="E28" s="8" t="s">
        <v>20</v>
      </c>
      <c r="F28" s="33"/>
      <c r="G28" s="9"/>
      <c r="H28" s="9"/>
      <c r="I28" s="9"/>
      <c r="J28" s="9"/>
      <c r="K28" s="9"/>
      <c r="L28" s="9"/>
      <c r="M28" s="33"/>
      <c r="N28" s="9"/>
      <c r="O28" s="9"/>
      <c r="P28" s="9"/>
      <c r="Q28" s="9"/>
      <c r="R28" s="9"/>
      <c r="S28" s="9" t="s">
        <v>37</v>
      </c>
      <c r="T28" s="33"/>
      <c r="U28" s="9" t="s">
        <v>37</v>
      </c>
      <c r="V28" s="22"/>
      <c r="W28" s="9" t="s">
        <v>37</v>
      </c>
      <c r="X28" s="9"/>
      <c r="Y28" s="9"/>
      <c r="Z28" s="9" t="s">
        <v>37</v>
      </c>
      <c r="AA28" s="33"/>
      <c r="AB28" s="9" t="s">
        <v>37</v>
      </c>
      <c r="AC28" s="9" t="s">
        <v>37</v>
      </c>
      <c r="AD28" s="9" t="s">
        <v>37</v>
      </c>
      <c r="AE28" s="9" t="s">
        <v>37</v>
      </c>
      <c r="AF28" s="9" t="s">
        <v>37</v>
      </c>
      <c r="AG28" s="9" t="s">
        <v>37</v>
      </c>
      <c r="AH28" s="33"/>
      <c r="AI28" s="9" t="s">
        <v>37</v>
      </c>
      <c r="AJ28" s="5">
        <f t="shared" si="1"/>
        <v>11</v>
      </c>
      <c r="AK28" s="5">
        <f t="shared" si="2"/>
        <v>0</v>
      </c>
    </row>
    <row r="29" spans="1:41" x14ac:dyDescent="0.25">
      <c r="A29" s="6">
        <v>25</v>
      </c>
      <c r="B29" s="12"/>
      <c r="C29" s="13" t="s">
        <v>126</v>
      </c>
      <c r="D29" s="14"/>
      <c r="E29" s="8" t="s">
        <v>20</v>
      </c>
      <c r="F29" s="33"/>
      <c r="G29" s="9"/>
      <c r="H29" s="9"/>
      <c r="I29" s="9"/>
      <c r="J29" s="9"/>
      <c r="K29" s="9"/>
      <c r="L29" s="9"/>
      <c r="M29" s="33"/>
      <c r="N29" s="9"/>
      <c r="O29" s="9"/>
      <c r="P29" s="9"/>
      <c r="Q29" s="9"/>
      <c r="R29" s="9"/>
      <c r="S29" s="9"/>
      <c r="T29" s="33"/>
      <c r="U29" s="9"/>
      <c r="V29" s="22"/>
      <c r="W29" s="9"/>
      <c r="X29" s="9"/>
      <c r="Y29" s="9"/>
      <c r="Z29" s="9" t="s">
        <v>37</v>
      </c>
      <c r="AA29" s="33"/>
      <c r="AB29" s="9" t="s">
        <v>37</v>
      </c>
      <c r="AC29" s="9" t="s">
        <v>37</v>
      </c>
      <c r="AD29" s="9" t="s">
        <v>37</v>
      </c>
      <c r="AE29" s="9" t="s">
        <v>37</v>
      </c>
      <c r="AF29" s="9" t="s">
        <v>37</v>
      </c>
      <c r="AG29" s="9" t="s">
        <v>37</v>
      </c>
      <c r="AH29" s="33"/>
      <c r="AI29" s="9" t="s">
        <v>37</v>
      </c>
      <c r="AJ29" s="5">
        <f t="shared" si="1"/>
        <v>8</v>
      </c>
      <c r="AK29" s="5">
        <f t="shared" si="2"/>
        <v>0</v>
      </c>
    </row>
    <row r="30" spans="1:41" ht="15" customHeight="1" x14ac:dyDescent="0.25">
      <c r="A30" s="10">
        <v>1</v>
      </c>
      <c r="B30" s="12"/>
      <c r="C30" s="13" t="s">
        <v>79</v>
      </c>
      <c r="D30" s="14" t="s">
        <v>80</v>
      </c>
      <c r="E30" s="8" t="s">
        <v>20</v>
      </c>
      <c r="F30" s="33"/>
      <c r="G30" s="9" t="s">
        <v>37</v>
      </c>
      <c r="H30" s="9" t="s">
        <v>37</v>
      </c>
      <c r="I30" s="9" t="s">
        <v>37</v>
      </c>
      <c r="J30" s="9" t="s">
        <v>37</v>
      </c>
      <c r="K30" s="9" t="s">
        <v>37</v>
      </c>
      <c r="L30" s="9" t="s">
        <v>37</v>
      </c>
      <c r="M30" s="33"/>
      <c r="N30" s="9" t="s">
        <v>37</v>
      </c>
      <c r="O30" s="9" t="s">
        <v>37</v>
      </c>
      <c r="P30" s="9" t="s">
        <v>37</v>
      </c>
      <c r="Q30" s="9" t="s">
        <v>37</v>
      </c>
      <c r="R30" s="9" t="s">
        <v>37</v>
      </c>
      <c r="S30" s="9" t="s">
        <v>37</v>
      </c>
      <c r="T30" s="33"/>
      <c r="U30" s="9" t="s">
        <v>37</v>
      </c>
      <c r="V30" s="22"/>
      <c r="W30" s="9" t="s">
        <v>37</v>
      </c>
      <c r="X30" s="9" t="s">
        <v>37</v>
      </c>
      <c r="Y30" s="9" t="s">
        <v>37</v>
      </c>
      <c r="Z30" s="9" t="s">
        <v>37</v>
      </c>
      <c r="AA30" s="33"/>
      <c r="AB30" s="9" t="s">
        <v>37</v>
      </c>
      <c r="AC30" s="9" t="s">
        <v>37</v>
      </c>
      <c r="AD30" s="9" t="s">
        <v>37</v>
      </c>
      <c r="AE30" s="9" t="s">
        <v>37</v>
      </c>
      <c r="AF30" s="9" t="s">
        <v>37</v>
      </c>
      <c r="AG30" s="9" t="s">
        <v>37</v>
      </c>
      <c r="AH30" s="33"/>
      <c r="AI30" s="9" t="s">
        <v>36</v>
      </c>
      <c r="AJ30" s="5">
        <f t="shared" si="1"/>
        <v>23</v>
      </c>
      <c r="AK30" s="5">
        <f t="shared" si="2"/>
        <v>1</v>
      </c>
    </row>
    <row r="31" spans="1:41" x14ac:dyDescent="0.25">
      <c r="A31" s="6">
        <v>2</v>
      </c>
      <c r="B31" s="12"/>
      <c r="C31" s="13" t="s">
        <v>24</v>
      </c>
      <c r="D31" s="14" t="s">
        <v>31</v>
      </c>
      <c r="E31" s="8" t="s">
        <v>20</v>
      </c>
      <c r="F31" s="33"/>
      <c r="G31" s="9" t="s">
        <v>37</v>
      </c>
      <c r="H31" s="9" t="s">
        <v>37</v>
      </c>
      <c r="I31" s="9" t="s">
        <v>37</v>
      </c>
      <c r="J31" s="9" t="s">
        <v>37</v>
      </c>
      <c r="K31" s="9" t="s">
        <v>36</v>
      </c>
      <c r="L31" s="9" t="s">
        <v>37</v>
      </c>
      <c r="M31" s="33"/>
      <c r="N31" s="9" t="s">
        <v>37</v>
      </c>
      <c r="O31" s="9" t="s">
        <v>37</v>
      </c>
      <c r="P31" s="9" t="s">
        <v>37</v>
      </c>
      <c r="Q31" s="9" t="s">
        <v>37</v>
      </c>
      <c r="R31" s="9" t="s">
        <v>37</v>
      </c>
      <c r="S31" s="9" t="s">
        <v>37</v>
      </c>
      <c r="T31" s="33"/>
      <c r="U31" s="9" t="s">
        <v>37</v>
      </c>
      <c r="V31" s="22"/>
      <c r="W31" s="9" t="s">
        <v>37</v>
      </c>
      <c r="X31" s="9" t="s">
        <v>37</v>
      </c>
      <c r="Y31" s="9" t="s">
        <v>37</v>
      </c>
      <c r="Z31" s="9" t="s">
        <v>37</v>
      </c>
      <c r="AA31" s="33"/>
      <c r="AB31" s="9" t="s">
        <v>37</v>
      </c>
      <c r="AC31" s="9" t="s">
        <v>37</v>
      </c>
      <c r="AD31" s="9" t="s">
        <v>37</v>
      </c>
      <c r="AE31" s="9" t="s">
        <v>37</v>
      </c>
      <c r="AF31" s="9" t="s">
        <v>37</v>
      </c>
      <c r="AG31" s="9" t="s">
        <v>37</v>
      </c>
      <c r="AH31" s="33"/>
      <c r="AI31" s="9" t="s">
        <v>37</v>
      </c>
      <c r="AJ31" s="5">
        <f t="shared" si="1"/>
        <v>23</v>
      </c>
      <c r="AK31" s="5">
        <f t="shared" si="2"/>
        <v>1</v>
      </c>
    </row>
    <row r="32" spans="1:41" x14ac:dyDescent="0.25">
      <c r="A32" s="10">
        <v>3</v>
      </c>
      <c r="B32" s="12"/>
      <c r="C32" s="13" t="s">
        <v>81</v>
      </c>
      <c r="D32" s="14" t="s">
        <v>82</v>
      </c>
      <c r="E32" s="8" t="s">
        <v>20</v>
      </c>
      <c r="F32" s="33"/>
      <c r="G32" s="9" t="s">
        <v>37</v>
      </c>
      <c r="H32" s="9" t="s">
        <v>37</v>
      </c>
      <c r="I32" s="9" t="s">
        <v>37</v>
      </c>
      <c r="J32" s="9" t="s">
        <v>37</v>
      </c>
      <c r="K32" s="9" t="s">
        <v>36</v>
      </c>
      <c r="L32" s="9" t="s">
        <v>36</v>
      </c>
      <c r="M32" s="33"/>
      <c r="N32" s="9" t="s">
        <v>36</v>
      </c>
      <c r="O32" s="9" t="s">
        <v>37</v>
      </c>
      <c r="P32" s="9" t="s">
        <v>37</v>
      </c>
      <c r="Q32" s="9" t="s">
        <v>37</v>
      </c>
      <c r="R32" s="9" t="s">
        <v>37</v>
      </c>
      <c r="S32" s="9"/>
      <c r="T32" s="33"/>
      <c r="U32" s="9" t="s">
        <v>53</v>
      </c>
      <c r="V32" s="22"/>
      <c r="W32" s="9" t="s">
        <v>37</v>
      </c>
      <c r="X32" s="9" t="s">
        <v>37</v>
      </c>
      <c r="Y32" s="9" t="s">
        <v>37</v>
      </c>
      <c r="Z32" s="9" t="s">
        <v>36</v>
      </c>
      <c r="AA32" s="33"/>
      <c r="AB32" s="9" t="s">
        <v>37</v>
      </c>
      <c r="AC32" s="9" t="s">
        <v>37</v>
      </c>
      <c r="AD32" s="9" t="s">
        <v>36</v>
      </c>
      <c r="AE32" s="9" t="s">
        <v>37</v>
      </c>
      <c r="AF32" s="9" t="s">
        <v>37</v>
      </c>
      <c r="AG32" s="9" t="s">
        <v>37</v>
      </c>
      <c r="AH32" s="33"/>
      <c r="AI32" s="9" t="s">
        <v>37</v>
      </c>
      <c r="AJ32" s="5">
        <f t="shared" si="1"/>
        <v>17</v>
      </c>
      <c r="AK32" s="5">
        <f t="shared" si="2"/>
        <v>5</v>
      </c>
    </row>
    <row r="33" spans="1:37" x14ac:dyDescent="0.25">
      <c r="A33" s="6">
        <v>4</v>
      </c>
      <c r="B33" s="12"/>
      <c r="C33" s="13" t="s">
        <v>49</v>
      </c>
      <c r="D33" s="14" t="s">
        <v>83</v>
      </c>
      <c r="E33" s="8" t="s">
        <v>20</v>
      </c>
      <c r="F33" s="33"/>
      <c r="G33" s="9" t="s">
        <v>37</v>
      </c>
      <c r="H33" s="9" t="s">
        <v>37</v>
      </c>
      <c r="I33" s="9" t="s">
        <v>37</v>
      </c>
      <c r="J33" s="9" t="s">
        <v>37</v>
      </c>
      <c r="K33" s="9" t="s">
        <v>37</v>
      </c>
      <c r="L33" s="9" t="s">
        <v>37</v>
      </c>
      <c r="M33" s="33"/>
      <c r="N33" s="9" t="s">
        <v>37</v>
      </c>
      <c r="O33" s="9" t="s">
        <v>37</v>
      </c>
      <c r="P33" s="9" t="s">
        <v>37</v>
      </c>
      <c r="Q33" s="9" t="s">
        <v>37</v>
      </c>
      <c r="R33" s="9" t="s">
        <v>37</v>
      </c>
      <c r="S33" s="9" t="s">
        <v>37</v>
      </c>
      <c r="T33" s="33"/>
      <c r="U33" s="9" t="s">
        <v>37</v>
      </c>
      <c r="V33" s="22"/>
      <c r="W33" s="9" t="s">
        <v>37</v>
      </c>
      <c r="X33" s="9" t="s">
        <v>37</v>
      </c>
      <c r="Y33" s="9" t="s">
        <v>37</v>
      </c>
      <c r="Z33" s="9" t="s">
        <v>37</v>
      </c>
      <c r="AA33" s="33"/>
      <c r="AB33" s="9" t="s">
        <v>37</v>
      </c>
      <c r="AC33" s="9" t="s">
        <v>37</v>
      </c>
      <c r="AD33" s="9" t="s">
        <v>123</v>
      </c>
      <c r="AE33" s="9" t="s">
        <v>123</v>
      </c>
      <c r="AF33" s="9" t="s">
        <v>123</v>
      </c>
      <c r="AG33" s="9" t="s">
        <v>123</v>
      </c>
      <c r="AH33" s="33"/>
      <c r="AI33" s="9" t="s">
        <v>37</v>
      </c>
      <c r="AJ33" s="5">
        <f t="shared" si="1"/>
        <v>20</v>
      </c>
      <c r="AK33" s="5">
        <f t="shared" si="2"/>
        <v>0</v>
      </c>
    </row>
    <row r="34" spans="1:37" x14ac:dyDescent="0.25">
      <c r="A34" s="10">
        <v>5</v>
      </c>
      <c r="B34" s="12"/>
      <c r="C34" s="13" t="s">
        <v>84</v>
      </c>
      <c r="D34" s="14" t="s">
        <v>85</v>
      </c>
      <c r="E34" s="8" t="s">
        <v>20</v>
      </c>
      <c r="F34" s="33"/>
      <c r="G34" s="9" t="s">
        <v>36</v>
      </c>
      <c r="H34" s="9" t="s">
        <v>37</v>
      </c>
      <c r="I34" s="9" t="s">
        <v>37</v>
      </c>
      <c r="J34" s="9" t="s">
        <v>37</v>
      </c>
      <c r="K34" s="9" t="s">
        <v>36</v>
      </c>
      <c r="L34" s="9" t="s">
        <v>37</v>
      </c>
      <c r="M34" s="33"/>
      <c r="N34" s="9" t="s">
        <v>36</v>
      </c>
      <c r="O34" s="9" t="s">
        <v>53</v>
      </c>
      <c r="P34" s="9" t="s">
        <v>37</v>
      </c>
      <c r="Q34" s="9" t="s">
        <v>37</v>
      </c>
      <c r="R34" s="9" t="s">
        <v>37</v>
      </c>
      <c r="S34" s="9" t="s">
        <v>37</v>
      </c>
      <c r="T34" s="33"/>
      <c r="U34" s="9"/>
      <c r="V34" s="22"/>
      <c r="W34" s="9" t="s">
        <v>37</v>
      </c>
      <c r="X34" s="9" t="s">
        <v>37</v>
      </c>
      <c r="Y34" s="9" t="s">
        <v>37</v>
      </c>
      <c r="Z34" s="9" t="s">
        <v>37</v>
      </c>
      <c r="AA34" s="33"/>
      <c r="AB34" s="9" t="s">
        <v>37</v>
      </c>
      <c r="AC34" s="9" t="s">
        <v>37</v>
      </c>
      <c r="AD34" s="9" t="s">
        <v>37</v>
      </c>
      <c r="AE34" s="9" t="s">
        <v>37</v>
      </c>
      <c r="AF34" s="9" t="s">
        <v>37</v>
      </c>
      <c r="AG34" s="9" t="s">
        <v>37</v>
      </c>
      <c r="AH34" s="33"/>
      <c r="AI34" s="9" t="s">
        <v>37</v>
      </c>
      <c r="AJ34" s="5">
        <f t="shared" si="1"/>
        <v>19</v>
      </c>
      <c r="AK34" s="5">
        <f t="shared" si="2"/>
        <v>3</v>
      </c>
    </row>
    <row r="35" spans="1:37" x14ac:dyDescent="0.25">
      <c r="A35" s="6">
        <v>6</v>
      </c>
      <c r="B35" s="12"/>
      <c r="C35" s="13" t="s">
        <v>86</v>
      </c>
      <c r="D35" s="14" t="s">
        <v>87</v>
      </c>
      <c r="E35" s="8" t="s">
        <v>20</v>
      </c>
      <c r="F35" s="33"/>
      <c r="G35" s="9" t="s">
        <v>37</v>
      </c>
      <c r="H35" s="9" t="s">
        <v>37</v>
      </c>
      <c r="I35" s="9" t="s">
        <v>37</v>
      </c>
      <c r="J35" s="9" t="s">
        <v>37</v>
      </c>
      <c r="K35" s="9" t="s">
        <v>36</v>
      </c>
      <c r="L35" s="9" t="s">
        <v>37</v>
      </c>
      <c r="M35" s="33"/>
      <c r="N35" s="9" t="s">
        <v>37</v>
      </c>
      <c r="O35" s="9" t="s">
        <v>37</v>
      </c>
      <c r="P35" s="9" t="s">
        <v>37</v>
      </c>
      <c r="Q35" s="9" t="s">
        <v>37</v>
      </c>
      <c r="R35" s="9" t="s">
        <v>37</v>
      </c>
      <c r="S35" s="9" t="s">
        <v>37</v>
      </c>
      <c r="T35" s="33"/>
      <c r="U35" s="9" t="s">
        <v>37</v>
      </c>
      <c r="V35" s="22"/>
      <c r="W35" s="9" t="s">
        <v>37</v>
      </c>
      <c r="X35" s="9" t="s">
        <v>37</v>
      </c>
      <c r="Y35" s="9" t="s">
        <v>37</v>
      </c>
      <c r="Z35" s="9" t="s">
        <v>37</v>
      </c>
      <c r="AA35" s="33"/>
      <c r="AB35" s="9" t="s">
        <v>37</v>
      </c>
      <c r="AC35" s="9" t="s">
        <v>37</v>
      </c>
      <c r="AD35" s="9" t="s">
        <v>37</v>
      </c>
      <c r="AE35" s="9" t="s">
        <v>36</v>
      </c>
      <c r="AF35" s="9" t="s">
        <v>123</v>
      </c>
      <c r="AG35" s="9" t="s">
        <v>123</v>
      </c>
      <c r="AH35" s="33"/>
      <c r="AI35" s="9" t="s">
        <v>37</v>
      </c>
      <c r="AJ35" s="5">
        <f t="shared" si="1"/>
        <v>20</v>
      </c>
      <c r="AK35" s="5">
        <f t="shared" si="2"/>
        <v>2</v>
      </c>
    </row>
    <row r="36" spans="1:37" x14ac:dyDescent="0.25">
      <c r="A36" s="10">
        <v>7</v>
      </c>
      <c r="B36" s="12"/>
      <c r="C36" s="13" t="s">
        <v>88</v>
      </c>
      <c r="D36" s="14" t="s">
        <v>89</v>
      </c>
      <c r="E36" s="8" t="s">
        <v>20</v>
      </c>
      <c r="F36" s="33"/>
      <c r="G36" s="9" t="s">
        <v>37</v>
      </c>
      <c r="H36" s="9" t="s">
        <v>37</v>
      </c>
      <c r="I36" s="9" t="s">
        <v>37</v>
      </c>
      <c r="J36" s="9" t="s">
        <v>37</v>
      </c>
      <c r="K36" s="9" t="s">
        <v>36</v>
      </c>
      <c r="L36" s="9" t="s">
        <v>37</v>
      </c>
      <c r="M36" s="33"/>
      <c r="N36" s="9" t="s">
        <v>36</v>
      </c>
      <c r="O36" s="9" t="s">
        <v>53</v>
      </c>
      <c r="P36" s="9" t="s">
        <v>53</v>
      </c>
      <c r="Q36" s="9" t="s">
        <v>53</v>
      </c>
      <c r="R36" s="9" t="s">
        <v>53</v>
      </c>
      <c r="S36" s="9" t="s">
        <v>53</v>
      </c>
      <c r="T36" s="33"/>
      <c r="U36" s="9" t="s">
        <v>37</v>
      </c>
      <c r="V36" s="22"/>
      <c r="W36" s="9" t="s">
        <v>37</v>
      </c>
      <c r="X36" s="9" t="s">
        <v>37</v>
      </c>
      <c r="Y36" s="9" t="s">
        <v>37</v>
      </c>
      <c r="Z36" s="9" t="s">
        <v>37</v>
      </c>
      <c r="AA36" s="33"/>
      <c r="AB36" s="9" t="s">
        <v>37</v>
      </c>
      <c r="AC36" s="9" t="s">
        <v>37</v>
      </c>
      <c r="AD36" s="9" t="s">
        <v>37</v>
      </c>
      <c r="AE36" s="9" t="s">
        <v>36</v>
      </c>
      <c r="AF36" s="9" t="s">
        <v>37</v>
      </c>
      <c r="AG36" s="9" t="s">
        <v>37</v>
      </c>
      <c r="AH36" s="33"/>
      <c r="AI36" s="9" t="s">
        <v>37</v>
      </c>
      <c r="AJ36" s="5">
        <f t="shared" si="1"/>
        <v>16</v>
      </c>
      <c r="AK36" s="5">
        <f t="shared" si="2"/>
        <v>3</v>
      </c>
    </row>
    <row r="37" spans="1:37" x14ac:dyDescent="0.25">
      <c r="A37" s="6">
        <v>8</v>
      </c>
      <c r="B37" s="12"/>
      <c r="C37" s="13" t="s">
        <v>90</v>
      </c>
      <c r="D37" s="14" t="s">
        <v>30</v>
      </c>
      <c r="E37" s="8" t="s">
        <v>20</v>
      </c>
      <c r="F37" s="33"/>
      <c r="G37" s="9" t="s">
        <v>37</v>
      </c>
      <c r="H37" s="9" t="s">
        <v>36</v>
      </c>
      <c r="I37" s="9" t="s">
        <v>37</v>
      </c>
      <c r="J37" s="9" t="s">
        <v>37</v>
      </c>
      <c r="K37" s="9" t="s">
        <v>36</v>
      </c>
      <c r="L37" s="9" t="s">
        <v>37</v>
      </c>
      <c r="M37" s="33"/>
      <c r="N37" s="9" t="s">
        <v>37</v>
      </c>
      <c r="O37" s="9" t="s">
        <v>37</v>
      </c>
      <c r="P37" s="9" t="s">
        <v>37</v>
      </c>
      <c r="Q37" s="9" t="s">
        <v>37</v>
      </c>
      <c r="R37" s="9" t="s">
        <v>53</v>
      </c>
      <c r="S37" s="9" t="s">
        <v>37</v>
      </c>
      <c r="T37" s="33"/>
      <c r="U37" s="9"/>
      <c r="V37" s="22"/>
      <c r="W37" s="9" t="s">
        <v>37</v>
      </c>
      <c r="X37" s="9" t="s">
        <v>37</v>
      </c>
      <c r="Y37" s="9" t="s">
        <v>37</v>
      </c>
      <c r="Z37" s="9" t="s">
        <v>37</v>
      </c>
      <c r="AA37" s="33"/>
      <c r="AB37" s="9" t="s">
        <v>37</v>
      </c>
      <c r="AC37" s="9" t="s">
        <v>36</v>
      </c>
      <c r="AD37" s="9" t="s">
        <v>37</v>
      </c>
      <c r="AE37" s="9" t="s">
        <v>37</v>
      </c>
      <c r="AF37" s="9" t="s">
        <v>37</v>
      </c>
      <c r="AG37" s="9" t="s">
        <v>37</v>
      </c>
      <c r="AH37" s="33"/>
      <c r="AI37" s="9" t="s">
        <v>37</v>
      </c>
      <c r="AJ37" s="5">
        <f t="shared" si="1"/>
        <v>19</v>
      </c>
      <c r="AK37" s="5">
        <f t="shared" si="2"/>
        <v>3</v>
      </c>
    </row>
    <row r="38" spans="1:37" x14ac:dyDescent="0.25">
      <c r="A38" s="10">
        <v>9</v>
      </c>
      <c r="B38" s="12"/>
      <c r="C38" s="13" t="s">
        <v>35</v>
      </c>
      <c r="D38" s="14" t="s">
        <v>91</v>
      </c>
      <c r="E38" s="8" t="s">
        <v>20</v>
      </c>
      <c r="F38" s="33"/>
      <c r="G38" s="9" t="s">
        <v>37</v>
      </c>
      <c r="H38" s="9" t="s">
        <v>37</v>
      </c>
      <c r="I38" s="9" t="s">
        <v>37</v>
      </c>
      <c r="J38" s="9" t="s">
        <v>37</v>
      </c>
      <c r="K38" s="9" t="s">
        <v>37</v>
      </c>
      <c r="L38" s="9" t="s">
        <v>37</v>
      </c>
      <c r="M38" s="33"/>
      <c r="N38" s="9" t="s">
        <v>37</v>
      </c>
      <c r="O38" s="9" t="s">
        <v>37</v>
      </c>
      <c r="P38" s="9" t="s">
        <v>37</v>
      </c>
      <c r="Q38" s="9" t="s">
        <v>37</v>
      </c>
      <c r="R38" s="9" t="s">
        <v>37</v>
      </c>
      <c r="S38" s="9" t="s">
        <v>37</v>
      </c>
      <c r="T38" s="33"/>
      <c r="U38" s="9" t="s">
        <v>37</v>
      </c>
      <c r="V38" s="22"/>
      <c r="W38" s="9" t="s">
        <v>37</v>
      </c>
      <c r="X38" s="9" t="s">
        <v>37</v>
      </c>
      <c r="Y38" s="9" t="s">
        <v>37</v>
      </c>
      <c r="Z38" s="9" t="s">
        <v>36</v>
      </c>
      <c r="AA38" s="33"/>
      <c r="AB38" s="9" t="s">
        <v>37</v>
      </c>
      <c r="AC38" s="9" t="s">
        <v>37</v>
      </c>
      <c r="AD38" s="9" t="s">
        <v>37</v>
      </c>
      <c r="AE38" s="9" t="s">
        <v>37</v>
      </c>
      <c r="AF38" s="9" t="s">
        <v>37</v>
      </c>
      <c r="AG38" s="9" t="s">
        <v>37</v>
      </c>
      <c r="AH38" s="33"/>
      <c r="AI38" s="9" t="s">
        <v>37</v>
      </c>
      <c r="AJ38" s="5">
        <f t="shared" si="1"/>
        <v>23</v>
      </c>
      <c r="AK38" s="5">
        <f t="shared" si="2"/>
        <v>1</v>
      </c>
    </row>
    <row r="39" spans="1:37" x14ac:dyDescent="0.25">
      <c r="A39" s="6">
        <v>10</v>
      </c>
      <c r="B39" s="12"/>
      <c r="C39" s="13" t="s">
        <v>92</v>
      </c>
      <c r="D39" s="14" t="s">
        <v>28</v>
      </c>
      <c r="E39" s="8" t="s">
        <v>20</v>
      </c>
      <c r="F39" s="33"/>
      <c r="G39" s="9" t="s">
        <v>37</v>
      </c>
      <c r="H39" s="9" t="s">
        <v>37</v>
      </c>
      <c r="I39" s="9" t="s">
        <v>37</v>
      </c>
      <c r="J39" s="9" t="s">
        <v>37</v>
      </c>
      <c r="K39" s="9" t="s">
        <v>37</v>
      </c>
      <c r="L39" s="9" t="s">
        <v>37</v>
      </c>
      <c r="M39" s="33"/>
      <c r="N39" s="9" t="s">
        <v>37</v>
      </c>
      <c r="O39" s="9" t="s">
        <v>37</v>
      </c>
      <c r="P39" s="9" t="s">
        <v>37</v>
      </c>
      <c r="Q39" s="9" t="s">
        <v>37</v>
      </c>
      <c r="R39" s="9" t="s">
        <v>37</v>
      </c>
      <c r="S39" s="9" t="s">
        <v>37</v>
      </c>
      <c r="T39" s="33"/>
      <c r="U39" s="9" t="s">
        <v>37</v>
      </c>
      <c r="V39" s="22"/>
      <c r="W39" s="9" t="s">
        <v>37</v>
      </c>
      <c r="X39" s="9" t="s">
        <v>37</v>
      </c>
      <c r="Y39" s="9" t="s">
        <v>37</v>
      </c>
      <c r="Z39" s="9" t="s">
        <v>37</v>
      </c>
      <c r="AA39" s="33"/>
      <c r="AB39" s="9" t="s">
        <v>37</v>
      </c>
      <c r="AC39" s="9" t="s">
        <v>37</v>
      </c>
      <c r="AD39" s="9" t="s">
        <v>36</v>
      </c>
      <c r="AE39" s="9" t="s">
        <v>37</v>
      </c>
      <c r="AF39" s="9" t="s">
        <v>36</v>
      </c>
      <c r="AG39" s="9" t="s">
        <v>123</v>
      </c>
      <c r="AH39" s="33"/>
      <c r="AI39" s="9" t="s">
        <v>37</v>
      </c>
      <c r="AJ39" s="5">
        <f t="shared" si="1"/>
        <v>21</v>
      </c>
      <c r="AK39" s="5">
        <f t="shared" si="2"/>
        <v>2</v>
      </c>
    </row>
    <row r="40" spans="1:37" x14ac:dyDescent="0.25">
      <c r="A40" s="10">
        <v>11</v>
      </c>
      <c r="B40" s="12"/>
      <c r="C40" s="13" t="s">
        <v>93</v>
      </c>
      <c r="D40" s="14" t="s">
        <v>50</v>
      </c>
      <c r="E40" s="8" t="s">
        <v>20</v>
      </c>
      <c r="F40" s="33"/>
      <c r="G40" s="9" t="s">
        <v>37</v>
      </c>
      <c r="H40" s="9" t="s">
        <v>37</v>
      </c>
      <c r="I40" s="9" t="s">
        <v>37</v>
      </c>
      <c r="J40" s="9" t="s">
        <v>37</v>
      </c>
      <c r="K40" s="9" t="s">
        <v>36</v>
      </c>
      <c r="L40" s="9" t="s">
        <v>37</v>
      </c>
      <c r="M40" s="33"/>
      <c r="N40" s="9" t="s">
        <v>37</v>
      </c>
      <c r="O40" s="9" t="s">
        <v>37</v>
      </c>
      <c r="P40" s="9" t="s">
        <v>37</v>
      </c>
      <c r="Q40" s="9" t="s">
        <v>37</v>
      </c>
      <c r="R40" s="9" t="s">
        <v>37</v>
      </c>
      <c r="S40" s="9" t="s">
        <v>37</v>
      </c>
      <c r="T40" s="33"/>
      <c r="U40" s="9" t="s">
        <v>37</v>
      </c>
      <c r="V40" s="22"/>
      <c r="W40" s="9" t="s">
        <v>37</v>
      </c>
      <c r="X40" s="9" t="s">
        <v>37</v>
      </c>
      <c r="Y40" s="9" t="s">
        <v>37</v>
      </c>
      <c r="Z40" s="9" t="s">
        <v>37</v>
      </c>
      <c r="AA40" s="33"/>
      <c r="AB40" s="9" t="s">
        <v>37</v>
      </c>
      <c r="AC40" s="9" t="s">
        <v>37</v>
      </c>
      <c r="AD40" s="9" t="s">
        <v>37</v>
      </c>
      <c r="AE40" s="9" t="s">
        <v>37</v>
      </c>
      <c r="AF40" s="9" t="s">
        <v>37</v>
      </c>
      <c r="AG40" s="9" t="s">
        <v>37</v>
      </c>
      <c r="AH40" s="33"/>
      <c r="AI40" s="9" t="s">
        <v>37</v>
      </c>
      <c r="AJ40" s="5">
        <f t="shared" si="1"/>
        <v>23</v>
      </c>
      <c r="AK40" s="5">
        <f t="shared" si="2"/>
        <v>1</v>
      </c>
    </row>
    <row r="41" spans="1:37" x14ac:dyDescent="0.25">
      <c r="A41" s="6">
        <v>12</v>
      </c>
      <c r="B41" s="12"/>
      <c r="C41" s="13" t="s">
        <v>43</v>
      </c>
      <c r="D41" s="14" t="s">
        <v>45</v>
      </c>
      <c r="E41" s="8" t="s">
        <v>20</v>
      </c>
      <c r="F41" s="33"/>
      <c r="G41" s="9" t="s">
        <v>37</v>
      </c>
      <c r="H41" s="9" t="s">
        <v>37</v>
      </c>
      <c r="I41" s="9" t="s">
        <v>37</v>
      </c>
      <c r="J41" s="9" t="s">
        <v>37</v>
      </c>
      <c r="K41" s="9" t="s">
        <v>36</v>
      </c>
      <c r="L41" s="9" t="s">
        <v>37</v>
      </c>
      <c r="M41" s="33"/>
      <c r="N41" s="9" t="s">
        <v>37</v>
      </c>
      <c r="O41" s="9" t="s">
        <v>37</v>
      </c>
      <c r="P41" s="9" t="s">
        <v>37</v>
      </c>
      <c r="Q41" s="9" t="s">
        <v>37</v>
      </c>
      <c r="R41" s="9" t="s">
        <v>37</v>
      </c>
      <c r="S41" s="9" t="s">
        <v>37</v>
      </c>
      <c r="T41" s="33"/>
      <c r="U41" s="9" t="s">
        <v>37</v>
      </c>
      <c r="V41" s="22"/>
      <c r="W41" s="9" t="s">
        <v>37</v>
      </c>
      <c r="X41" s="9" t="s">
        <v>37</v>
      </c>
      <c r="Y41" s="9" t="s">
        <v>37</v>
      </c>
      <c r="Z41" s="9" t="s">
        <v>37</v>
      </c>
      <c r="AA41" s="33"/>
      <c r="AB41" s="9" t="s">
        <v>37</v>
      </c>
      <c r="AC41" s="9" t="s">
        <v>37</v>
      </c>
      <c r="AD41" s="9" t="s">
        <v>37</v>
      </c>
      <c r="AE41" s="9" t="s">
        <v>37</v>
      </c>
      <c r="AF41" s="9" t="s">
        <v>37</v>
      </c>
      <c r="AG41" s="9" t="s">
        <v>37</v>
      </c>
      <c r="AH41" s="33"/>
      <c r="AI41" s="9" t="s">
        <v>37</v>
      </c>
      <c r="AJ41" s="5">
        <f t="shared" si="1"/>
        <v>23</v>
      </c>
      <c r="AK41" s="5">
        <f t="shared" si="2"/>
        <v>1</v>
      </c>
    </row>
    <row r="42" spans="1:37" x14ac:dyDescent="0.25">
      <c r="A42" s="10">
        <v>13</v>
      </c>
      <c r="B42" s="12"/>
      <c r="C42" s="13" t="s">
        <v>94</v>
      </c>
      <c r="D42" s="14" t="s">
        <v>95</v>
      </c>
      <c r="E42" s="8" t="s">
        <v>20</v>
      </c>
      <c r="F42" s="33"/>
      <c r="G42" s="9" t="s">
        <v>37</v>
      </c>
      <c r="H42" s="9" t="s">
        <v>123</v>
      </c>
      <c r="I42" s="9" t="s">
        <v>36</v>
      </c>
      <c r="J42" s="9" t="s">
        <v>37</v>
      </c>
      <c r="K42" s="9" t="s">
        <v>37</v>
      </c>
      <c r="L42" s="9" t="s">
        <v>37</v>
      </c>
      <c r="M42" s="33"/>
      <c r="N42" s="9" t="s">
        <v>37</v>
      </c>
      <c r="O42" s="9" t="s">
        <v>37</v>
      </c>
      <c r="P42" s="9" t="s">
        <v>37</v>
      </c>
      <c r="Q42" s="9" t="s">
        <v>53</v>
      </c>
      <c r="R42" s="9" t="s">
        <v>37</v>
      </c>
      <c r="S42" s="9" t="s">
        <v>37</v>
      </c>
      <c r="T42" s="33"/>
      <c r="U42" s="9" t="s">
        <v>37</v>
      </c>
      <c r="V42" s="22"/>
      <c r="W42" s="9" t="s">
        <v>37</v>
      </c>
      <c r="X42" s="9" t="s">
        <v>53</v>
      </c>
      <c r="Y42" s="9" t="s">
        <v>53</v>
      </c>
      <c r="Z42" s="9" t="s">
        <v>37</v>
      </c>
      <c r="AA42" s="33"/>
      <c r="AB42" s="9" t="s">
        <v>37</v>
      </c>
      <c r="AC42" s="9" t="s">
        <v>37</v>
      </c>
      <c r="AD42" s="9" t="s">
        <v>36</v>
      </c>
      <c r="AE42" s="9" t="s">
        <v>37</v>
      </c>
      <c r="AF42" s="9" t="s">
        <v>37</v>
      </c>
      <c r="AG42" s="9" t="s">
        <v>37</v>
      </c>
      <c r="AH42" s="33"/>
      <c r="AI42" s="9" t="s">
        <v>37</v>
      </c>
      <c r="AJ42" s="5">
        <f t="shared" si="1"/>
        <v>18</v>
      </c>
      <c r="AK42" s="5">
        <f t="shared" si="2"/>
        <v>2</v>
      </c>
    </row>
    <row r="43" spans="1:37" x14ac:dyDescent="0.25">
      <c r="A43" s="6">
        <v>14</v>
      </c>
      <c r="B43" s="12"/>
      <c r="C43" s="13" t="s">
        <v>96</v>
      </c>
      <c r="D43" s="14" t="s">
        <v>34</v>
      </c>
      <c r="E43" s="8" t="s">
        <v>20</v>
      </c>
      <c r="F43" s="33"/>
      <c r="G43" s="9" t="s">
        <v>37</v>
      </c>
      <c r="H43" s="9" t="s">
        <v>37</v>
      </c>
      <c r="I43" s="9" t="s">
        <v>37</v>
      </c>
      <c r="J43" s="9" t="s">
        <v>37</v>
      </c>
      <c r="K43" s="9" t="s">
        <v>37</v>
      </c>
      <c r="L43" s="9" t="s">
        <v>37</v>
      </c>
      <c r="M43" s="33"/>
      <c r="N43" s="9" t="s">
        <v>37</v>
      </c>
      <c r="O43" s="9" t="s">
        <v>37</v>
      </c>
      <c r="P43" s="9" t="s">
        <v>37</v>
      </c>
      <c r="Q43" s="9" t="s">
        <v>37</v>
      </c>
      <c r="R43" s="9" t="s">
        <v>37</v>
      </c>
      <c r="S43" s="9" t="s">
        <v>37</v>
      </c>
      <c r="T43" s="33"/>
      <c r="U43" s="9" t="s">
        <v>37</v>
      </c>
      <c r="V43" s="22"/>
      <c r="W43" s="9" t="s">
        <v>37</v>
      </c>
      <c r="X43" s="9" t="s">
        <v>37</v>
      </c>
      <c r="Y43" s="9" t="s">
        <v>37</v>
      </c>
      <c r="Z43" s="9" t="s">
        <v>37</v>
      </c>
      <c r="AA43" s="33"/>
      <c r="AB43" s="9" t="s">
        <v>37</v>
      </c>
      <c r="AC43" s="9" t="s">
        <v>37</v>
      </c>
      <c r="AD43" s="9" t="s">
        <v>37</v>
      </c>
      <c r="AE43" s="9" t="s">
        <v>37</v>
      </c>
      <c r="AF43" s="9" t="s">
        <v>37</v>
      </c>
      <c r="AG43" s="9" t="s">
        <v>37</v>
      </c>
      <c r="AH43" s="33"/>
      <c r="AI43" s="9" t="s">
        <v>37</v>
      </c>
      <c r="AJ43" s="5">
        <f t="shared" si="1"/>
        <v>24</v>
      </c>
      <c r="AK43" s="5">
        <f t="shared" si="2"/>
        <v>0</v>
      </c>
    </row>
    <row r="44" spans="1:37" x14ac:dyDescent="0.25">
      <c r="A44" s="10">
        <v>15</v>
      </c>
      <c r="B44" s="12"/>
      <c r="C44" s="13" t="s">
        <v>97</v>
      </c>
      <c r="D44" s="14" t="s">
        <v>98</v>
      </c>
      <c r="E44" s="8" t="s">
        <v>20</v>
      </c>
      <c r="F44" s="33"/>
      <c r="G44" s="9" t="s">
        <v>37</v>
      </c>
      <c r="H44" s="9" t="s">
        <v>37</v>
      </c>
      <c r="I44" s="9" t="s">
        <v>36</v>
      </c>
      <c r="J44" s="9" t="s">
        <v>36</v>
      </c>
      <c r="K44" s="9" t="s">
        <v>37</v>
      </c>
      <c r="L44" s="9" t="s">
        <v>36</v>
      </c>
      <c r="M44" s="33"/>
      <c r="N44" s="9" t="s">
        <v>37</v>
      </c>
      <c r="O44" s="9" t="s">
        <v>37</v>
      </c>
      <c r="P44" s="9" t="s">
        <v>37</v>
      </c>
      <c r="Q44" s="9" t="s">
        <v>37</v>
      </c>
      <c r="R44" s="9" t="s">
        <v>53</v>
      </c>
      <c r="S44" s="9" t="s">
        <v>37</v>
      </c>
      <c r="T44" s="33"/>
      <c r="U44" s="9"/>
      <c r="V44" s="22"/>
      <c r="W44" s="9" t="s">
        <v>37</v>
      </c>
      <c r="X44" s="9" t="s">
        <v>53</v>
      </c>
      <c r="Y44" s="9" t="s">
        <v>37</v>
      </c>
      <c r="Z44" s="9" t="s">
        <v>36</v>
      </c>
      <c r="AA44" s="33"/>
      <c r="AB44" s="9" t="s">
        <v>37</v>
      </c>
      <c r="AC44" s="9" t="s">
        <v>37</v>
      </c>
      <c r="AD44" s="9" t="s">
        <v>36</v>
      </c>
      <c r="AE44" s="9" t="s">
        <v>37</v>
      </c>
      <c r="AF44" s="9" t="s">
        <v>36</v>
      </c>
      <c r="AG44" s="9" t="s">
        <v>37</v>
      </c>
      <c r="AH44" s="33"/>
      <c r="AI44" s="9" t="s">
        <v>37</v>
      </c>
      <c r="AJ44" s="5">
        <f t="shared" si="1"/>
        <v>15</v>
      </c>
      <c r="AK44" s="5">
        <f t="shared" si="2"/>
        <v>6</v>
      </c>
    </row>
    <row r="45" spans="1:37" x14ac:dyDescent="0.25">
      <c r="A45" s="6">
        <v>16</v>
      </c>
      <c r="B45" s="12"/>
      <c r="C45" s="13" t="s">
        <v>99</v>
      </c>
      <c r="D45" s="14" t="s">
        <v>41</v>
      </c>
      <c r="E45" s="8" t="s">
        <v>20</v>
      </c>
      <c r="F45" s="33"/>
      <c r="G45" s="9" t="s">
        <v>37</v>
      </c>
      <c r="H45" s="9" t="s">
        <v>37</v>
      </c>
      <c r="I45" s="9" t="s">
        <v>37</v>
      </c>
      <c r="J45" s="9" t="s">
        <v>37</v>
      </c>
      <c r="K45" s="9" t="s">
        <v>37</v>
      </c>
      <c r="L45" s="9" t="s">
        <v>37</v>
      </c>
      <c r="M45" s="33"/>
      <c r="N45" s="9" t="s">
        <v>37</v>
      </c>
      <c r="O45" s="9" t="s">
        <v>37</v>
      </c>
      <c r="P45" s="9" t="s">
        <v>37</v>
      </c>
      <c r="Q45" s="9" t="s">
        <v>37</v>
      </c>
      <c r="R45" s="9" t="s">
        <v>37</v>
      </c>
      <c r="S45" s="9" t="s">
        <v>37</v>
      </c>
      <c r="T45" s="33"/>
      <c r="U45" s="9" t="s">
        <v>37</v>
      </c>
      <c r="V45" s="22"/>
      <c r="W45" s="9" t="s">
        <v>37</v>
      </c>
      <c r="X45" s="9" t="s">
        <v>37</v>
      </c>
      <c r="Y45" s="9" t="s">
        <v>37</v>
      </c>
      <c r="Z45" s="9" t="s">
        <v>37</v>
      </c>
      <c r="AA45" s="33"/>
      <c r="AB45" s="9" t="s">
        <v>37</v>
      </c>
      <c r="AC45" s="9" t="s">
        <v>37</v>
      </c>
      <c r="AD45" s="9" t="s">
        <v>37</v>
      </c>
      <c r="AE45" s="9" t="s">
        <v>37</v>
      </c>
      <c r="AF45" s="9" t="s">
        <v>37</v>
      </c>
      <c r="AG45" s="9" t="s">
        <v>37</v>
      </c>
      <c r="AH45" s="33"/>
      <c r="AI45" s="9" t="s">
        <v>37</v>
      </c>
      <c r="AJ45" s="5">
        <f t="shared" si="1"/>
        <v>24</v>
      </c>
      <c r="AK45" s="5">
        <f t="shared" si="2"/>
        <v>0</v>
      </c>
    </row>
    <row r="46" spans="1:37" x14ac:dyDescent="0.25">
      <c r="A46" s="10">
        <v>17</v>
      </c>
      <c r="B46" s="12"/>
      <c r="C46" s="13" t="s">
        <v>100</v>
      </c>
      <c r="D46" s="14" t="s">
        <v>32</v>
      </c>
      <c r="E46" s="8" t="s">
        <v>20</v>
      </c>
      <c r="F46" s="33"/>
      <c r="G46" s="9" t="s">
        <v>37</v>
      </c>
      <c r="H46" s="9" t="s">
        <v>37</v>
      </c>
      <c r="I46" s="9" t="s">
        <v>37</v>
      </c>
      <c r="J46" s="9" t="s">
        <v>37</v>
      </c>
      <c r="K46" s="9" t="s">
        <v>37</v>
      </c>
      <c r="L46" s="9" t="s">
        <v>37</v>
      </c>
      <c r="M46" s="33"/>
      <c r="N46" s="9" t="s">
        <v>37</v>
      </c>
      <c r="O46" s="9" t="s">
        <v>37</v>
      </c>
      <c r="P46" s="9" t="s">
        <v>37</v>
      </c>
      <c r="Q46" s="9" t="s">
        <v>37</v>
      </c>
      <c r="R46" s="9" t="s">
        <v>37</v>
      </c>
      <c r="S46" s="9" t="s">
        <v>37</v>
      </c>
      <c r="T46" s="33"/>
      <c r="U46" s="9"/>
      <c r="V46" s="22"/>
      <c r="W46" s="9" t="s">
        <v>37</v>
      </c>
      <c r="X46" s="9" t="s">
        <v>37</v>
      </c>
      <c r="Y46" s="9" t="s">
        <v>37</v>
      </c>
      <c r="Z46" s="9" t="s">
        <v>37</v>
      </c>
      <c r="AA46" s="33"/>
      <c r="AB46" s="9" t="s">
        <v>37</v>
      </c>
      <c r="AC46" s="9" t="s">
        <v>37</v>
      </c>
      <c r="AD46" s="9" t="s">
        <v>37</v>
      </c>
      <c r="AE46" s="9" t="s">
        <v>37</v>
      </c>
      <c r="AF46" s="9" t="s">
        <v>37</v>
      </c>
      <c r="AG46" s="9" t="s">
        <v>36</v>
      </c>
      <c r="AH46" s="33"/>
      <c r="AI46" s="9" t="s">
        <v>123</v>
      </c>
      <c r="AJ46" s="5">
        <f t="shared" si="1"/>
        <v>21</v>
      </c>
      <c r="AK46" s="5">
        <f t="shared" si="2"/>
        <v>1</v>
      </c>
    </row>
    <row r="47" spans="1:37" x14ac:dyDescent="0.25">
      <c r="A47" s="6">
        <v>18</v>
      </c>
      <c r="B47" s="12"/>
      <c r="C47" s="13" t="s">
        <v>101</v>
      </c>
      <c r="D47" s="14" t="s">
        <v>27</v>
      </c>
      <c r="E47" s="8" t="s">
        <v>20</v>
      </c>
      <c r="F47" s="33"/>
      <c r="G47" s="9" t="s">
        <v>37</v>
      </c>
      <c r="H47" s="9" t="s">
        <v>36</v>
      </c>
      <c r="I47" s="9" t="s">
        <v>37</v>
      </c>
      <c r="J47" s="9" t="s">
        <v>37</v>
      </c>
      <c r="K47" s="9" t="s">
        <v>37</v>
      </c>
      <c r="L47" s="9" t="s">
        <v>37</v>
      </c>
      <c r="M47" s="33"/>
      <c r="N47" s="9" t="s">
        <v>37</v>
      </c>
      <c r="O47" s="9" t="s">
        <v>37</v>
      </c>
      <c r="P47" s="9" t="s">
        <v>37</v>
      </c>
      <c r="Q47" s="9" t="s">
        <v>37</v>
      </c>
      <c r="R47" s="9" t="s">
        <v>37</v>
      </c>
      <c r="S47" s="9" t="s">
        <v>37</v>
      </c>
      <c r="T47" s="33"/>
      <c r="U47" s="9"/>
      <c r="V47" s="22"/>
      <c r="W47" s="9" t="s">
        <v>37</v>
      </c>
      <c r="X47" s="9" t="s">
        <v>37</v>
      </c>
      <c r="Y47" s="9" t="s">
        <v>37</v>
      </c>
      <c r="Z47" s="9" t="s">
        <v>36</v>
      </c>
      <c r="AA47" s="33"/>
      <c r="AB47" s="9" t="s">
        <v>37</v>
      </c>
      <c r="AC47" s="9" t="s">
        <v>37</v>
      </c>
      <c r="AD47" s="9" t="s">
        <v>37</v>
      </c>
      <c r="AE47" s="9" t="s">
        <v>37</v>
      </c>
      <c r="AF47" s="9" t="s">
        <v>36</v>
      </c>
      <c r="AG47" s="9" t="s">
        <v>37</v>
      </c>
      <c r="AH47" s="33"/>
      <c r="AI47" s="9" t="s">
        <v>37</v>
      </c>
      <c r="AJ47" s="5">
        <f t="shared" si="1"/>
        <v>20</v>
      </c>
      <c r="AK47" s="5">
        <f t="shared" si="2"/>
        <v>3</v>
      </c>
    </row>
    <row r="48" spans="1:37" x14ac:dyDescent="0.25">
      <c r="A48" s="10">
        <v>19</v>
      </c>
      <c r="B48" s="12"/>
      <c r="C48" s="13" t="s">
        <v>102</v>
      </c>
      <c r="D48" s="14" t="s">
        <v>103</v>
      </c>
      <c r="E48" s="8" t="s">
        <v>20</v>
      </c>
      <c r="F48" s="33"/>
      <c r="G48" s="9" t="s">
        <v>37</v>
      </c>
      <c r="H48" s="9" t="s">
        <v>37</v>
      </c>
      <c r="I48" s="9" t="s">
        <v>37</v>
      </c>
      <c r="J48" s="9" t="s">
        <v>37</v>
      </c>
      <c r="K48" s="9" t="s">
        <v>37</v>
      </c>
      <c r="L48" s="9" t="s">
        <v>37</v>
      </c>
      <c r="M48" s="33"/>
      <c r="N48" s="9" t="s">
        <v>37</v>
      </c>
      <c r="O48" s="9" t="s">
        <v>37</v>
      </c>
      <c r="P48" s="9" t="s">
        <v>37</v>
      </c>
      <c r="Q48" s="9" t="s">
        <v>37</v>
      </c>
      <c r="R48" s="9" t="s">
        <v>53</v>
      </c>
      <c r="S48" s="9" t="s">
        <v>37</v>
      </c>
      <c r="T48" s="33"/>
      <c r="U48" s="9"/>
      <c r="V48" s="22"/>
      <c r="W48" s="9" t="s">
        <v>37</v>
      </c>
      <c r="X48" s="9" t="s">
        <v>37</v>
      </c>
      <c r="Y48" s="9" t="s">
        <v>37</v>
      </c>
      <c r="Z48" s="9" t="s">
        <v>36</v>
      </c>
      <c r="AA48" s="33"/>
      <c r="AB48" s="9" t="s">
        <v>37</v>
      </c>
      <c r="AC48" s="9" t="s">
        <v>37</v>
      </c>
      <c r="AD48" s="9" t="s">
        <v>37</v>
      </c>
      <c r="AE48" s="9" t="s">
        <v>37</v>
      </c>
      <c r="AF48" s="9" t="s">
        <v>37</v>
      </c>
      <c r="AG48" s="9" t="s">
        <v>36</v>
      </c>
      <c r="AH48" s="33"/>
      <c r="AI48" s="9" t="s">
        <v>37</v>
      </c>
      <c r="AJ48" s="5">
        <f t="shared" si="1"/>
        <v>20</v>
      </c>
      <c r="AK48" s="5">
        <f t="shared" si="2"/>
        <v>2</v>
      </c>
    </row>
    <row r="49" spans="1:37" x14ac:dyDescent="0.25">
      <c r="A49" s="6">
        <v>20</v>
      </c>
      <c r="B49" s="12"/>
      <c r="C49" s="13" t="s">
        <v>104</v>
      </c>
      <c r="D49" s="14" t="s">
        <v>105</v>
      </c>
      <c r="E49" s="8" t="s">
        <v>20</v>
      </c>
      <c r="F49" s="33"/>
      <c r="G49" s="9" t="s">
        <v>37</v>
      </c>
      <c r="H49" s="9" t="s">
        <v>37</v>
      </c>
      <c r="I49" s="9" t="s">
        <v>37</v>
      </c>
      <c r="J49" s="9" t="s">
        <v>37</v>
      </c>
      <c r="K49" s="9" t="s">
        <v>37</v>
      </c>
      <c r="L49" s="9" t="s">
        <v>37</v>
      </c>
      <c r="M49" s="33"/>
      <c r="N49" s="9" t="s">
        <v>37</v>
      </c>
      <c r="O49" s="9" t="s">
        <v>37</v>
      </c>
      <c r="P49" s="9" t="s">
        <v>37</v>
      </c>
      <c r="Q49" s="9" t="s">
        <v>37</v>
      </c>
      <c r="R49" s="9" t="s">
        <v>37</v>
      </c>
      <c r="S49" s="9" t="s">
        <v>37</v>
      </c>
      <c r="T49" s="33"/>
      <c r="U49" s="9" t="s">
        <v>37</v>
      </c>
      <c r="V49" s="22"/>
      <c r="W49" s="9" t="s">
        <v>37</v>
      </c>
      <c r="X49" s="9" t="s">
        <v>37</v>
      </c>
      <c r="Y49" s="9" t="s">
        <v>37</v>
      </c>
      <c r="Z49" s="9" t="s">
        <v>37</v>
      </c>
      <c r="AA49" s="33"/>
      <c r="AB49" s="9" t="s">
        <v>37</v>
      </c>
      <c r="AC49" s="9" t="s">
        <v>37</v>
      </c>
      <c r="AD49" s="9" t="s">
        <v>37</v>
      </c>
      <c r="AE49" s="9" t="s">
        <v>37</v>
      </c>
      <c r="AF49" s="9" t="s">
        <v>37</v>
      </c>
      <c r="AG49" s="9" t="s">
        <v>37</v>
      </c>
      <c r="AH49" s="33"/>
      <c r="AI49" s="9" t="s">
        <v>37</v>
      </c>
      <c r="AJ49" s="5">
        <f t="shared" si="1"/>
        <v>24</v>
      </c>
      <c r="AK49" s="5">
        <f t="shared" si="2"/>
        <v>0</v>
      </c>
    </row>
    <row r="50" spans="1:37" x14ac:dyDescent="0.25">
      <c r="A50" s="10">
        <v>21</v>
      </c>
      <c r="B50" s="12"/>
      <c r="C50" s="13" t="s">
        <v>106</v>
      </c>
      <c r="D50" s="14" t="s">
        <v>107</v>
      </c>
      <c r="E50" s="8" t="s">
        <v>20</v>
      </c>
      <c r="F50" s="33"/>
      <c r="G50" s="9" t="s">
        <v>37</v>
      </c>
      <c r="H50" s="9" t="s">
        <v>37</v>
      </c>
      <c r="I50" s="9" t="s">
        <v>37</v>
      </c>
      <c r="J50" s="9" t="s">
        <v>36</v>
      </c>
      <c r="K50" s="9" t="s">
        <v>36</v>
      </c>
      <c r="L50" s="9" t="s">
        <v>37</v>
      </c>
      <c r="M50" s="33"/>
      <c r="N50" s="9" t="s">
        <v>37</v>
      </c>
      <c r="O50" s="9" t="s">
        <v>53</v>
      </c>
      <c r="P50" s="9" t="s">
        <v>53</v>
      </c>
      <c r="Q50" s="9" t="s">
        <v>53</v>
      </c>
      <c r="R50" s="9" t="s">
        <v>53</v>
      </c>
      <c r="S50" s="9" t="s">
        <v>53</v>
      </c>
      <c r="T50" s="33"/>
      <c r="U50" s="9"/>
      <c r="V50" s="22"/>
      <c r="W50" s="9" t="s">
        <v>37</v>
      </c>
      <c r="X50" s="9" t="s">
        <v>37</v>
      </c>
      <c r="Y50" s="9" t="s">
        <v>37</v>
      </c>
      <c r="Z50" s="9" t="s">
        <v>37</v>
      </c>
      <c r="AA50" s="33"/>
      <c r="AB50" s="9" t="s">
        <v>37</v>
      </c>
      <c r="AC50" s="9" t="s">
        <v>37</v>
      </c>
      <c r="AD50" s="9" t="s">
        <v>37</v>
      </c>
      <c r="AE50" s="9" t="s">
        <v>123</v>
      </c>
      <c r="AF50" s="9" t="s">
        <v>123</v>
      </c>
      <c r="AG50" s="9" t="s">
        <v>123</v>
      </c>
      <c r="AH50" s="33"/>
      <c r="AI50" s="9" t="s">
        <v>123</v>
      </c>
      <c r="AJ50" s="5">
        <f t="shared" si="1"/>
        <v>12</v>
      </c>
      <c r="AK50" s="5">
        <f t="shared" si="2"/>
        <v>2</v>
      </c>
    </row>
    <row r="51" spans="1:37" x14ac:dyDescent="0.25">
      <c r="A51" s="6">
        <v>22</v>
      </c>
      <c r="B51" s="12"/>
      <c r="C51" s="13" t="s">
        <v>52</v>
      </c>
      <c r="D51" s="14" t="s">
        <v>108</v>
      </c>
      <c r="E51" s="8" t="s">
        <v>20</v>
      </c>
      <c r="F51" s="33"/>
      <c r="G51" s="9" t="s">
        <v>37</v>
      </c>
      <c r="H51" s="9" t="s">
        <v>36</v>
      </c>
      <c r="I51" s="9" t="s">
        <v>36</v>
      </c>
      <c r="J51" s="9" t="s">
        <v>37</v>
      </c>
      <c r="K51" s="9" t="s">
        <v>36</v>
      </c>
      <c r="L51" s="9" t="s">
        <v>37</v>
      </c>
      <c r="M51" s="33"/>
      <c r="N51" s="9" t="s">
        <v>37</v>
      </c>
      <c r="O51" s="9"/>
      <c r="P51" s="9" t="s">
        <v>37</v>
      </c>
      <c r="Q51" s="9" t="s">
        <v>37</v>
      </c>
      <c r="R51" s="9" t="s">
        <v>53</v>
      </c>
      <c r="S51" s="9" t="s">
        <v>53</v>
      </c>
      <c r="T51" s="33"/>
      <c r="U51" s="9" t="s">
        <v>37</v>
      </c>
      <c r="V51" s="22"/>
      <c r="W51" s="9" t="s">
        <v>37</v>
      </c>
      <c r="X51" s="9" t="s">
        <v>37</v>
      </c>
      <c r="Y51" s="9" t="s">
        <v>37</v>
      </c>
      <c r="Z51" s="9" t="s">
        <v>36</v>
      </c>
      <c r="AA51" s="33"/>
      <c r="AB51" s="9" t="s">
        <v>37</v>
      </c>
      <c r="AC51" s="9" t="s">
        <v>37</v>
      </c>
      <c r="AD51" s="9" t="s">
        <v>37</v>
      </c>
      <c r="AE51" s="9" t="s">
        <v>37</v>
      </c>
      <c r="AF51" s="9" t="s">
        <v>36</v>
      </c>
      <c r="AG51" s="9" t="s">
        <v>37</v>
      </c>
      <c r="AH51" s="33"/>
      <c r="AI51" s="9" t="s">
        <v>53</v>
      </c>
      <c r="AJ51" s="5">
        <f t="shared" si="1"/>
        <v>15</v>
      </c>
      <c r="AK51" s="5">
        <f t="shared" si="2"/>
        <v>5</v>
      </c>
    </row>
    <row r="52" spans="1:37" x14ac:dyDescent="0.25">
      <c r="A52" s="10">
        <v>23</v>
      </c>
      <c r="B52" s="12"/>
      <c r="C52" s="13" t="s">
        <v>109</v>
      </c>
      <c r="D52" s="14" t="s">
        <v>110</v>
      </c>
      <c r="E52" s="8" t="s">
        <v>20</v>
      </c>
      <c r="F52" s="33"/>
      <c r="G52" s="9" t="s">
        <v>37</v>
      </c>
      <c r="H52" s="9" t="s">
        <v>37</v>
      </c>
      <c r="I52" s="9" t="s">
        <v>37</v>
      </c>
      <c r="J52" s="9" t="s">
        <v>37</v>
      </c>
      <c r="K52" s="9" t="s">
        <v>37</v>
      </c>
      <c r="L52" s="9" t="s">
        <v>36</v>
      </c>
      <c r="M52" s="33"/>
      <c r="N52" s="9" t="s">
        <v>36</v>
      </c>
      <c r="O52" s="9" t="s">
        <v>37</v>
      </c>
      <c r="P52" s="9" t="s">
        <v>53</v>
      </c>
      <c r="Q52" s="9" t="s">
        <v>37</v>
      </c>
      <c r="R52" s="9" t="s">
        <v>37</v>
      </c>
      <c r="S52" s="9" t="s">
        <v>53</v>
      </c>
      <c r="T52" s="33"/>
      <c r="U52" s="9" t="s">
        <v>53</v>
      </c>
      <c r="V52" s="22"/>
      <c r="W52" s="9" t="s">
        <v>37</v>
      </c>
      <c r="X52" s="9" t="s">
        <v>53</v>
      </c>
      <c r="Y52" s="9" t="s">
        <v>37</v>
      </c>
      <c r="Z52" s="9" t="s">
        <v>36</v>
      </c>
      <c r="AA52" s="33"/>
      <c r="AB52" s="9" t="s">
        <v>37</v>
      </c>
      <c r="AC52" s="9" t="s">
        <v>36</v>
      </c>
      <c r="AD52" s="9" t="s">
        <v>37</v>
      </c>
      <c r="AE52" s="9" t="s">
        <v>37</v>
      </c>
      <c r="AF52" s="9" t="s">
        <v>36</v>
      </c>
      <c r="AG52" s="9" t="s">
        <v>37</v>
      </c>
      <c r="AH52" s="33"/>
      <c r="AI52" s="9" t="s">
        <v>37</v>
      </c>
      <c r="AJ52" s="5">
        <f t="shared" si="1"/>
        <v>15</v>
      </c>
      <c r="AK52" s="5">
        <f t="shared" si="2"/>
        <v>5</v>
      </c>
    </row>
    <row r="53" spans="1:37" x14ac:dyDescent="0.25">
      <c r="A53" s="6">
        <v>24</v>
      </c>
      <c r="B53" s="12"/>
      <c r="C53" s="13" t="s">
        <v>111</v>
      </c>
      <c r="D53" s="14" t="s">
        <v>105</v>
      </c>
      <c r="E53" s="8" t="s">
        <v>20</v>
      </c>
      <c r="F53" s="33"/>
      <c r="G53" s="9" t="s">
        <v>37</v>
      </c>
      <c r="H53" s="9" t="s">
        <v>37</v>
      </c>
      <c r="I53" s="9" t="s">
        <v>37</v>
      </c>
      <c r="J53" s="9" t="s">
        <v>37</v>
      </c>
      <c r="K53" s="9" t="s">
        <v>37</v>
      </c>
      <c r="L53" s="9" t="s">
        <v>37</v>
      </c>
      <c r="M53" s="33"/>
      <c r="N53" s="9" t="s">
        <v>37</v>
      </c>
      <c r="O53" s="9" t="s">
        <v>37</v>
      </c>
      <c r="P53" s="9" t="s">
        <v>37</v>
      </c>
      <c r="Q53" s="9" t="s">
        <v>37</v>
      </c>
      <c r="R53" s="9" t="s">
        <v>37</v>
      </c>
      <c r="S53" s="9" t="s">
        <v>37</v>
      </c>
      <c r="T53" s="33"/>
      <c r="U53" s="9" t="s">
        <v>37</v>
      </c>
      <c r="V53" s="22"/>
      <c r="W53" s="9" t="s">
        <v>37</v>
      </c>
      <c r="X53" s="9" t="s">
        <v>37</v>
      </c>
      <c r="Y53" s="9" t="s">
        <v>37</v>
      </c>
      <c r="Z53" s="9" t="s">
        <v>37</v>
      </c>
      <c r="AA53" s="33"/>
      <c r="AB53" s="9" t="s">
        <v>37</v>
      </c>
      <c r="AC53" s="9" t="s">
        <v>37</v>
      </c>
      <c r="AD53" s="9" t="s">
        <v>37</v>
      </c>
      <c r="AE53" s="9" t="s">
        <v>37</v>
      </c>
      <c r="AF53" s="9" t="s">
        <v>37</v>
      </c>
      <c r="AG53" s="9" t="s">
        <v>37</v>
      </c>
      <c r="AH53" s="33"/>
      <c r="AI53" s="9" t="s">
        <v>37</v>
      </c>
      <c r="AJ53" s="5">
        <f t="shared" si="1"/>
        <v>24</v>
      </c>
      <c r="AK53" s="5">
        <f t="shared" si="2"/>
        <v>0</v>
      </c>
    </row>
    <row r="54" spans="1:37" x14ac:dyDescent="0.25">
      <c r="A54" s="6">
        <v>26</v>
      </c>
      <c r="B54" s="12"/>
      <c r="C54" s="13" t="s">
        <v>112</v>
      </c>
      <c r="D54" s="14" t="s">
        <v>113</v>
      </c>
      <c r="E54" s="8" t="s">
        <v>20</v>
      </c>
      <c r="F54" s="33"/>
      <c r="G54" s="9" t="s">
        <v>37</v>
      </c>
      <c r="H54" s="9" t="s">
        <v>37</v>
      </c>
      <c r="I54" s="9" t="s">
        <v>37</v>
      </c>
      <c r="J54" s="9" t="s">
        <v>37</v>
      </c>
      <c r="K54" s="9" t="s">
        <v>36</v>
      </c>
      <c r="L54" s="9" t="s">
        <v>37</v>
      </c>
      <c r="M54" s="33"/>
      <c r="N54" s="9" t="s">
        <v>37</v>
      </c>
      <c r="O54" s="9" t="s">
        <v>37</v>
      </c>
      <c r="P54" s="9" t="s">
        <v>37</v>
      </c>
      <c r="Q54" s="9" t="s">
        <v>37</v>
      </c>
      <c r="R54" s="9" t="s">
        <v>37</v>
      </c>
      <c r="S54" s="9" t="s">
        <v>53</v>
      </c>
      <c r="T54" s="33"/>
      <c r="U54" s="9"/>
      <c r="V54" s="22"/>
      <c r="W54" s="9" t="s">
        <v>53</v>
      </c>
      <c r="X54" s="9" t="s">
        <v>53</v>
      </c>
      <c r="Y54" s="9" t="s">
        <v>53</v>
      </c>
      <c r="Z54" s="9"/>
      <c r="AA54" s="33"/>
      <c r="AB54" s="9" t="s">
        <v>37</v>
      </c>
      <c r="AC54" s="9" t="s">
        <v>37</v>
      </c>
      <c r="AD54" s="9" t="s">
        <v>37</v>
      </c>
      <c r="AE54" s="9" t="s">
        <v>36</v>
      </c>
      <c r="AF54" s="9" t="s">
        <v>36</v>
      </c>
      <c r="AG54" s="9" t="s">
        <v>36</v>
      </c>
      <c r="AH54" s="33"/>
      <c r="AI54" s="9" t="s">
        <v>37</v>
      </c>
      <c r="AJ54" s="5">
        <f t="shared" si="1"/>
        <v>14</v>
      </c>
      <c r="AK54" s="5">
        <f t="shared" si="2"/>
        <v>4</v>
      </c>
    </row>
    <row r="55" spans="1:37" x14ac:dyDescent="0.25">
      <c r="A55" s="6">
        <v>27</v>
      </c>
      <c r="B55" s="12"/>
      <c r="C55" s="13" t="s">
        <v>114</v>
      </c>
      <c r="D55" s="14" t="s">
        <v>115</v>
      </c>
      <c r="E55" s="8" t="s">
        <v>20</v>
      </c>
      <c r="F55" s="34"/>
      <c r="G55" s="9" t="s">
        <v>37</v>
      </c>
      <c r="H55" s="9" t="s">
        <v>37</v>
      </c>
      <c r="I55" s="9" t="s">
        <v>37</v>
      </c>
      <c r="J55" s="9" t="s">
        <v>37</v>
      </c>
      <c r="K55" s="9" t="s">
        <v>36</v>
      </c>
      <c r="L55" s="9" t="s">
        <v>37</v>
      </c>
      <c r="M55" s="34"/>
      <c r="N55" s="9" t="s">
        <v>37</v>
      </c>
      <c r="O55" s="9" t="s">
        <v>37</v>
      </c>
      <c r="P55" s="9" t="s">
        <v>37</v>
      </c>
      <c r="Q55" s="9" t="s">
        <v>37</v>
      </c>
      <c r="R55" s="9" t="s">
        <v>37</v>
      </c>
      <c r="S55" s="9" t="s">
        <v>37</v>
      </c>
      <c r="T55" s="34"/>
      <c r="U55" s="9" t="s">
        <v>37</v>
      </c>
      <c r="V55" s="23"/>
      <c r="W55" s="9" t="s">
        <v>37</v>
      </c>
      <c r="X55" s="9" t="s">
        <v>37</v>
      </c>
      <c r="Y55" s="9" t="s">
        <v>37</v>
      </c>
      <c r="Z55" s="9" t="s">
        <v>37</v>
      </c>
      <c r="AA55" s="34"/>
      <c r="AB55" s="9" t="s">
        <v>36</v>
      </c>
      <c r="AC55" s="9" t="s">
        <v>37</v>
      </c>
      <c r="AD55" s="9" t="s">
        <v>37</v>
      </c>
      <c r="AE55" s="9" t="s">
        <v>37</v>
      </c>
      <c r="AF55" s="9" t="s">
        <v>37</v>
      </c>
      <c r="AG55" s="9" t="s">
        <v>37</v>
      </c>
      <c r="AH55" s="34"/>
      <c r="AI55" s="9" t="s">
        <v>37</v>
      </c>
      <c r="AJ55" s="5">
        <f t="shared" si="1"/>
        <v>22</v>
      </c>
      <c r="AK55" s="5">
        <f t="shared" si="2"/>
        <v>2</v>
      </c>
    </row>
  </sheetData>
  <mergeCells count="18">
    <mergeCell ref="AL3:AM3"/>
    <mergeCell ref="F5:F55"/>
    <mergeCell ref="M5:M55"/>
    <mergeCell ref="T5:T55"/>
    <mergeCell ref="V5:V55"/>
    <mergeCell ref="AA5:AA55"/>
    <mergeCell ref="AH5:AH55"/>
    <mergeCell ref="AL8:AO8"/>
    <mergeCell ref="AL16:AO16"/>
    <mergeCell ref="A1:AK1"/>
    <mergeCell ref="A2:AK2"/>
    <mergeCell ref="A3:A4"/>
    <mergeCell ref="B3:B4"/>
    <mergeCell ref="C3:C4"/>
    <mergeCell ref="D3:D4"/>
    <mergeCell ref="E3:E4"/>
    <mergeCell ref="AJ3:AJ4"/>
    <mergeCell ref="AK3:AK4"/>
  </mergeCells>
  <conditionalFormatting sqref="N5:S29 U5:U29 AB5:AG29 AI5:AI29 G6:L29 F4:AI4 F5:M5 T5 AA5 AH5 W5:Z29 V5">
    <cfRule type="expression" dxfId="102" priority="15">
      <formula>IF(F$4=TODAY(),TRUE,FALSE)</formula>
    </cfRule>
  </conditionalFormatting>
  <conditionalFormatting sqref="N5:S29 U5:U29 AB5:AG29 AI5:AI29 G6:L29 F5:M5 T5 AA5 AH5 W5:Z29 V5">
    <cfRule type="cellIs" dxfId="101" priority="7" operator="equal">
      <formula>"L"</formula>
    </cfRule>
    <cfRule type="cellIs" dxfId="100" priority="8" operator="equal">
      <formula>"A"</formula>
    </cfRule>
    <cfRule type="cellIs" dxfId="99" priority="9" operator="equal">
      <formula>"P"</formula>
    </cfRule>
  </conditionalFormatting>
  <conditionalFormatting sqref="F3:AI4 N5:S29 U5:U29 AB5:AG29 AI5:AI29 G6:L29 AL4:AM4 F5:M5 T5 AA5 AH5 W5:Z29 V5">
    <cfRule type="expression" dxfId="98" priority="16">
      <formula>F$3="Sun"</formula>
    </cfRule>
  </conditionalFormatting>
  <conditionalFormatting sqref="AJ3:AK3 AJ5:AK29">
    <cfRule type="expression" dxfId="97" priority="17">
      <formula>#REF!="Sun"</formula>
    </cfRule>
  </conditionalFormatting>
  <conditionalFormatting sqref="AL5:AL6">
    <cfRule type="expression" dxfId="96" priority="14">
      <formula>AL$3="Sun"</formula>
    </cfRule>
  </conditionalFormatting>
  <conditionalFormatting sqref="AL9:AL12">
    <cfRule type="expression" dxfId="95" priority="12">
      <formula>AL$3="Sun"</formula>
    </cfRule>
  </conditionalFormatting>
  <conditionalFormatting sqref="AL17:AL20">
    <cfRule type="expression" dxfId="94" priority="11">
      <formula>AL$3="Sun"</formula>
    </cfRule>
  </conditionalFormatting>
  <conditionalFormatting sqref="AM9:AO9">
    <cfRule type="expression" dxfId="93" priority="13">
      <formula>AM$3="Sun"</formula>
    </cfRule>
  </conditionalFormatting>
  <conditionalFormatting sqref="AM17:AO17">
    <cfRule type="expression" dxfId="92" priority="10">
      <formula>AM$3="Sun"</formula>
    </cfRule>
  </conditionalFormatting>
  <conditionalFormatting sqref="N30:S55 U30:U55 AB30:AG55 AI30:AI55 G30:L55 W30:Z55">
    <cfRule type="expression" dxfId="91" priority="4">
      <formula>IF(G$4=TODAY(),TRUE,FALSE)</formula>
    </cfRule>
  </conditionalFormatting>
  <conditionalFormatting sqref="N30:S55 U30:U55 AB30:AG55 AI30:AI55 G30:L55 W30:Z55">
    <cfRule type="cellIs" dxfId="90" priority="1" operator="equal">
      <formula>"L"</formula>
    </cfRule>
    <cfRule type="cellIs" dxfId="89" priority="2" operator="equal">
      <formula>"A"</formula>
    </cfRule>
    <cfRule type="cellIs" dxfId="88" priority="3" operator="equal">
      <formula>"P"</formula>
    </cfRule>
  </conditionalFormatting>
  <conditionalFormatting sqref="N30:S55 U30:U55 AB30:AG55 AI30:AI55 G30:L55 W30:Z55">
    <cfRule type="expression" dxfId="87" priority="5">
      <formula>G$3="Sun"</formula>
    </cfRule>
  </conditionalFormatting>
  <conditionalFormatting sqref="AJ30:AK55">
    <cfRule type="expression" dxfId="86" priority="6">
      <formula>#REF!="Sun"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B24-FE7B-4E18-B690-B87C69141E63}">
  <sheetPr>
    <tabColor rgb="FFC00000"/>
  </sheetPr>
  <dimension ref="A1:AP56"/>
  <sheetViews>
    <sheetView workbookViewId="0">
      <selection sqref="A1:XFD104857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5703125" style="1" bestFit="1" customWidth="1"/>
    <col min="8" max="8" width="3.85546875" style="1" bestFit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4.5703125" style="1" bestFit="1" customWidth="1"/>
    <col min="15" max="15" width="3.85546875" style="1" bestFit="1"/>
    <col min="16" max="16" width="4.7109375" style="1" bestFit="1" customWidth="1"/>
    <col min="17" max="17" width="3.85546875" style="1" bestFit="1"/>
    <col min="18" max="19" width="3.7109375" style="1" bestFit="1" customWidth="1"/>
    <col min="20" max="20" width="3.85546875" style="1" bestFit="1"/>
    <col min="21" max="21" width="4.5703125" style="1" bestFit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4.7109375" style="1" customWidth="1"/>
    <col min="32" max="32" width="3.85546875" style="1" bestFit="1"/>
    <col min="33" max="34" width="3.7109375" style="1" bestFit="1" customWidth="1"/>
    <col min="35" max="35" width="3.85546875" style="1" bestFit="1"/>
    <col min="36" max="36" width="4.570312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31" t="s">
        <v>23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</row>
    <row r="2" spans="1:42" ht="17.25" x14ac:dyDescent="0.3">
      <c r="A2" s="30" t="s">
        <v>127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</row>
    <row r="3" spans="1:42" ht="15.75" x14ac:dyDescent="0.25">
      <c r="A3" s="37" t="s">
        <v>0</v>
      </c>
      <c r="B3" s="37" t="s">
        <v>1</v>
      </c>
      <c r="C3" s="37" t="s">
        <v>2</v>
      </c>
      <c r="D3" s="37" t="s">
        <v>3</v>
      </c>
      <c r="E3" s="37" t="s">
        <v>4</v>
      </c>
      <c r="F3" s="2" t="str">
        <f t="shared" ref="F3:AJ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2" t="str">
        <f t="shared" si="0"/>
        <v>Thu</v>
      </c>
      <c r="AK3" s="24" t="s">
        <v>5</v>
      </c>
      <c r="AL3" s="24" t="s">
        <v>6</v>
      </c>
      <c r="AM3" s="25" t="s">
        <v>21</v>
      </c>
      <c r="AN3" s="26"/>
      <c r="AO3" s="3"/>
      <c r="AP3" s="3"/>
    </row>
    <row r="4" spans="1:42" ht="34.5" x14ac:dyDescent="0.25">
      <c r="A4" s="37"/>
      <c r="B4" s="37"/>
      <c r="C4" s="37"/>
      <c r="D4" s="37"/>
      <c r="E4" s="37"/>
      <c r="F4" s="19">
        <v>45566</v>
      </c>
      <c r="G4" s="19">
        <v>45567</v>
      </c>
      <c r="H4" s="19">
        <v>45568</v>
      </c>
      <c r="I4" s="19">
        <v>45569</v>
      </c>
      <c r="J4" s="19">
        <v>45570</v>
      </c>
      <c r="K4" s="19">
        <v>45571</v>
      </c>
      <c r="L4" s="19">
        <v>45572</v>
      </c>
      <c r="M4" s="19">
        <v>45573</v>
      </c>
      <c r="N4" s="19">
        <v>45574</v>
      </c>
      <c r="O4" s="19">
        <v>45575</v>
      </c>
      <c r="P4" s="19">
        <v>45576</v>
      </c>
      <c r="Q4" s="19">
        <v>45577</v>
      </c>
      <c r="R4" s="19">
        <v>45578</v>
      </c>
      <c r="S4" s="19">
        <v>45579</v>
      </c>
      <c r="T4" s="19">
        <v>45580</v>
      </c>
      <c r="U4" s="19">
        <v>45581</v>
      </c>
      <c r="V4" s="19">
        <v>45582</v>
      </c>
      <c r="W4" s="19">
        <v>45583</v>
      </c>
      <c r="X4" s="19">
        <v>45584</v>
      </c>
      <c r="Y4" s="19">
        <v>45585</v>
      </c>
      <c r="Z4" s="19">
        <v>45586</v>
      </c>
      <c r="AA4" s="19">
        <v>45587</v>
      </c>
      <c r="AB4" s="19">
        <v>45588</v>
      </c>
      <c r="AC4" s="19">
        <v>45589</v>
      </c>
      <c r="AD4" s="19">
        <v>45590</v>
      </c>
      <c r="AE4" s="19">
        <v>45591</v>
      </c>
      <c r="AF4" s="19">
        <v>45592</v>
      </c>
      <c r="AG4" s="19">
        <v>45593</v>
      </c>
      <c r="AH4" s="19">
        <v>45594</v>
      </c>
      <c r="AI4" s="19">
        <v>45595</v>
      </c>
      <c r="AJ4" s="19">
        <v>45596</v>
      </c>
      <c r="AK4" s="24"/>
      <c r="AL4" s="24"/>
      <c r="AM4" s="4" t="s">
        <v>7</v>
      </c>
      <c r="AN4" s="5">
        <v>31</v>
      </c>
      <c r="AO4" s="3"/>
      <c r="AP4" s="3"/>
    </row>
    <row r="5" spans="1:42" ht="15" customHeight="1" x14ac:dyDescent="0.25">
      <c r="A5" s="10">
        <v>1</v>
      </c>
      <c r="B5" s="12"/>
      <c r="C5" s="7" t="s">
        <v>54</v>
      </c>
      <c r="D5" s="7" t="s">
        <v>55</v>
      </c>
      <c r="E5" s="20" t="s">
        <v>20</v>
      </c>
      <c r="F5" s="38" t="s">
        <v>37</v>
      </c>
      <c r="G5" s="38" t="s">
        <v>37</v>
      </c>
      <c r="H5" s="38" t="s">
        <v>37</v>
      </c>
      <c r="I5" s="38" t="s">
        <v>37</v>
      </c>
      <c r="J5" s="39" t="s">
        <v>128</v>
      </c>
      <c r="K5" s="32" t="s">
        <v>116</v>
      </c>
      <c r="L5" s="9" t="s">
        <v>37</v>
      </c>
      <c r="M5" s="9" t="s">
        <v>37</v>
      </c>
      <c r="N5" s="9" t="s">
        <v>37</v>
      </c>
      <c r="O5" s="9" t="s">
        <v>37</v>
      </c>
      <c r="P5" s="9" t="s">
        <v>37</v>
      </c>
      <c r="Q5" s="9" t="s">
        <v>37</v>
      </c>
      <c r="R5" s="32" t="s">
        <v>116</v>
      </c>
      <c r="S5" s="9" t="s">
        <v>37</v>
      </c>
      <c r="T5" s="9" t="s">
        <v>37</v>
      </c>
      <c r="U5" s="9" t="s">
        <v>37</v>
      </c>
      <c r="V5" s="9" t="s">
        <v>36</v>
      </c>
      <c r="W5" s="9" t="s">
        <v>37</v>
      </c>
      <c r="X5" s="9" t="s">
        <v>37</v>
      </c>
      <c r="Y5" s="32" t="s">
        <v>116</v>
      </c>
      <c r="Z5" s="9" t="s">
        <v>37</v>
      </c>
      <c r="AA5" s="9" t="s">
        <v>36</v>
      </c>
      <c r="AB5" s="9" t="s">
        <v>37</v>
      </c>
      <c r="AC5" s="9" t="s">
        <v>36</v>
      </c>
      <c r="AD5" s="9" t="s">
        <v>36</v>
      </c>
      <c r="AE5" s="9" t="s">
        <v>36</v>
      </c>
      <c r="AF5" s="32" t="s">
        <v>116</v>
      </c>
      <c r="AG5" s="9" t="s">
        <v>37</v>
      </c>
      <c r="AH5" s="9" t="s">
        <v>36</v>
      </c>
      <c r="AI5" s="9" t="s">
        <v>36</v>
      </c>
      <c r="AJ5" s="9" t="s">
        <v>37</v>
      </c>
      <c r="AK5" s="5">
        <f t="shared" ref="AK5:AK56" si="1">COUNTIF(F5:AJ5,"P")</f>
        <v>19</v>
      </c>
      <c r="AL5" s="5">
        <f t="shared" ref="AL5:AL56" si="2">COUNTIF(F5:AJ5,"A")</f>
        <v>7</v>
      </c>
      <c r="AM5" s="5" t="s">
        <v>8</v>
      </c>
      <c r="AN5" s="10">
        <v>26</v>
      </c>
      <c r="AO5" s="11" t="s">
        <v>9</v>
      </c>
      <c r="AP5" s="3"/>
    </row>
    <row r="6" spans="1:42" ht="16.5" x14ac:dyDescent="0.25">
      <c r="A6" s="10">
        <v>2</v>
      </c>
      <c r="B6" s="12"/>
      <c r="C6" s="7" t="s">
        <v>56</v>
      </c>
      <c r="D6" s="7" t="s">
        <v>57</v>
      </c>
      <c r="E6" s="20" t="s">
        <v>20</v>
      </c>
      <c r="F6" s="38" t="s">
        <v>37</v>
      </c>
      <c r="G6" s="38" t="s">
        <v>36</v>
      </c>
      <c r="H6" s="38" t="s">
        <v>37</v>
      </c>
      <c r="I6" s="38" t="s">
        <v>37</v>
      </c>
      <c r="J6" s="40"/>
      <c r="K6" s="33"/>
      <c r="L6" s="9" t="s">
        <v>36</v>
      </c>
      <c r="M6" s="9" t="s">
        <v>37</v>
      </c>
      <c r="N6" s="9" t="s">
        <v>37</v>
      </c>
      <c r="O6" s="9" t="s">
        <v>37</v>
      </c>
      <c r="P6" s="9" t="s">
        <v>37</v>
      </c>
      <c r="Q6" s="9" t="s">
        <v>37</v>
      </c>
      <c r="R6" s="33"/>
      <c r="S6" s="9" t="s">
        <v>37</v>
      </c>
      <c r="T6" s="9" t="s">
        <v>37</v>
      </c>
      <c r="U6" s="9" t="s">
        <v>37</v>
      </c>
      <c r="V6" s="9" t="s">
        <v>36</v>
      </c>
      <c r="W6" s="9" t="s">
        <v>37</v>
      </c>
      <c r="X6" s="9" t="s">
        <v>37</v>
      </c>
      <c r="Y6" s="33"/>
      <c r="Z6" s="9" t="s">
        <v>37</v>
      </c>
      <c r="AA6" s="9" t="s">
        <v>37</v>
      </c>
      <c r="AB6" s="9" t="s">
        <v>37</v>
      </c>
      <c r="AC6" s="9" t="s">
        <v>37</v>
      </c>
      <c r="AD6" s="9" t="s">
        <v>37</v>
      </c>
      <c r="AE6" s="9" t="s">
        <v>36</v>
      </c>
      <c r="AF6" s="33"/>
      <c r="AG6" s="9" t="s">
        <v>37</v>
      </c>
      <c r="AH6" s="9" t="s">
        <v>37</v>
      </c>
      <c r="AI6" s="9" t="s">
        <v>37</v>
      </c>
      <c r="AJ6" s="9" t="s">
        <v>37</v>
      </c>
      <c r="AK6" s="5">
        <f t="shared" si="1"/>
        <v>22</v>
      </c>
      <c r="AL6" s="5">
        <f t="shared" si="2"/>
        <v>4</v>
      </c>
      <c r="AM6" s="5" t="s">
        <v>10</v>
      </c>
      <c r="AN6" s="10">
        <v>4</v>
      </c>
      <c r="AO6" s="3"/>
      <c r="AP6" s="3"/>
    </row>
    <row r="7" spans="1:42" ht="16.5" x14ac:dyDescent="0.25">
      <c r="A7" s="10">
        <v>3</v>
      </c>
      <c r="B7" s="12"/>
      <c r="C7" s="7" t="s">
        <v>58</v>
      </c>
      <c r="D7" s="7" t="s">
        <v>45</v>
      </c>
      <c r="E7" s="20" t="s">
        <v>20</v>
      </c>
      <c r="F7" s="38" t="s">
        <v>37</v>
      </c>
      <c r="G7" s="38" t="s">
        <v>37</v>
      </c>
      <c r="H7" s="38" t="s">
        <v>37</v>
      </c>
      <c r="I7" s="38" t="s">
        <v>37</v>
      </c>
      <c r="J7" s="40"/>
      <c r="K7" s="33"/>
      <c r="L7" s="9" t="s">
        <v>36</v>
      </c>
      <c r="M7" s="9" t="s">
        <v>36</v>
      </c>
      <c r="N7" s="9" t="s">
        <v>36</v>
      </c>
      <c r="O7" s="9" t="s">
        <v>36</v>
      </c>
      <c r="P7" s="9" t="s">
        <v>36</v>
      </c>
      <c r="Q7" s="9" t="s">
        <v>36</v>
      </c>
      <c r="R7" s="33"/>
      <c r="S7" s="9" t="s">
        <v>37</v>
      </c>
      <c r="T7" s="9" t="s">
        <v>37</v>
      </c>
      <c r="U7" s="9" t="s">
        <v>37</v>
      </c>
      <c r="V7" s="9" t="s">
        <v>37</v>
      </c>
      <c r="W7" s="9" t="s">
        <v>37</v>
      </c>
      <c r="X7" s="9" t="s">
        <v>37</v>
      </c>
      <c r="Y7" s="33"/>
      <c r="Z7" s="9" t="s">
        <v>37</v>
      </c>
      <c r="AA7" s="9" t="s">
        <v>37</v>
      </c>
      <c r="AB7" s="9" t="s">
        <v>37</v>
      </c>
      <c r="AC7" s="9" t="s">
        <v>37</v>
      </c>
      <c r="AD7" s="9" t="s">
        <v>37</v>
      </c>
      <c r="AE7" s="9" t="s">
        <v>37</v>
      </c>
      <c r="AF7" s="33"/>
      <c r="AG7" s="9" t="s">
        <v>37</v>
      </c>
      <c r="AH7" s="9" t="s">
        <v>37</v>
      </c>
      <c r="AI7" s="9" t="s">
        <v>37</v>
      </c>
      <c r="AJ7" s="9" t="s">
        <v>37</v>
      </c>
      <c r="AK7" s="5">
        <f t="shared" si="1"/>
        <v>20</v>
      </c>
      <c r="AL7" s="5">
        <f t="shared" si="2"/>
        <v>6</v>
      </c>
      <c r="AM7" s="3"/>
      <c r="AN7" s="3"/>
      <c r="AO7" s="3"/>
      <c r="AP7" s="3"/>
    </row>
    <row r="8" spans="1:42" ht="16.5" x14ac:dyDescent="0.25">
      <c r="A8" s="10">
        <v>4</v>
      </c>
      <c r="B8" s="12"/>
      <c r="C8" s="7" t="s">
        <v>59</v>
      </c>
      <c r="D8" s="7" t="s">
        <v>60</v>
      </c>
      <c r="E8" s="20" t="s">
        <v>20</v>
      </c>
      <c r="F8" s="38" t="s">
        <v>37</v>
      </c>
      <c r="G8" s="38" t="s">
        <v>37</v>
      </c>
      <c r="H8" s="38" t="s">
        <v>37</v>
      </c>
      <c r="I8" s="38" t="s">
        <v>37</v>
      </c>
      <c r="J8" s="40"/>
      <c r="K8" s="33"/>
      <c r="L8" s="9" t="s">
        <v>37</v>
      </c>
      <c r="M8" s="9" t="s">
        <v>37</v>
      </c>
      <c r="N8" s="9" t="s">
        <v>37</v>
      </c>
      <c r="O8" s="9" t="s">
        <v>37</v>
      </c>
      <c r="P8" s="9" t="s">
        <v>37</v>
      </c>
      <c r="Q8" s="9" t="s">
        <v>37</v>
      </c>
      <c r="R8" s="33"/>
      <c r="S8" s="9" t="s">
        <v>37</v>
      </c>
      <c r="T8" s="9" t="s">
        <v>37</v>
      </c>
      <c r="U8" s="9" t="s">
        <v>37</v>
      </c>
      <c r="V8" s="9" t="s">
        <v>37</v>
      </c>
      <c r="W8" s="9" t="s">
        <v>36</v>
      </c>
      <c r="X8" s="9" t="s">
        <v>37</v>
      </c>
      <c r="Y8" s="33"/>
      <c r="Z8" s="9" t="s">
        <v>37</v>
      </c>
      <c r="AA8" s="9" t="s">
        <v>37</v>
      </c>
      <c r="AB8" s="9" t="s">
        <v>37</v>
      </c>
      <c r="AC8" s="9" t="s">
        <v>37</v>
      </c>
      <c r="AD8" s="9" t="s">
        <v>123</v>
      </c>
      <c r="AE8" s="9" t="s">
        <v>123</v>
      </c>
      <c r="AF8" s="33"/>
      <c r="AG8" s="9" t="s">
        <v>123</v>
      </c>
      <c r="AH8" s="9" t="s">
        <v>123</v>
      </c>
      <c r="AI8" s="9" t="s">
        <v>123</v>
      </c>
      <c r="AJ8" s="9" t="s">
        <v>123</v>
      </c>
      <c r="AK8" s="5">
        <f t="shared" si="1"/>
        <v>19</v>
      </c>
      <c r="AL8" s="5">
        <f t="shared" si="2"/>
        <v>1</v>
      </c>
      <c r="AM8" s="25" t="s">
        <v>11</v>
      </c>
      <c r="AN8" s="26"/>
      <c r="AO8" s="26"/>
      <c r="AP8" s="27"/>
    </row>
    <row r="9" spans="1:42" ht="16.5" x14ac:dyDescent="0.25">
      <c r="A9" s="10">
        <v>5</v>
      </c>
      <c r="B9" s="12"/>
      <c r="C9" s="7" t="s">
        <v>44</v>
      </c>
      <c r="D9" s="7" t="s">
        <v>26</v>
      </c>
      <c r="E9" s="20" t="s">
        <v>20</v>
      </c>
      <c r="F9" s="38" t="s">
        <v>37</v>
      </c>
      <c r="G9" s="38" t="s">
        <v>37</v>
      </c>
      <c r="H9" s="38" t="s">
        <v>37</v>
      </c>
      <c r="I9" s="38" t="s">
        <v>37</v>
      </c>
      <c r="J9" s="40"/>
      <c r="K9" s="33"/>
      <c r="L9" s="9" t="s">
        <v>37</v>
      </c>
      <c r="M9" s="9" t="s">
        <v>37</v>
      </c>
      <c r="N9" s="9" t="s">
        <v>37</v>
      </c>
      <c r="O9" s="9" t="s">
        <v>37</v>
      </c>
      <c r="P9" s="9" t="s">
        <v>37</v>
      </c>
      <c r="Q9" s="9" t="s">
        <v>36</v>
      </c>
      <c r="R9" s="33"/>
      <c r="S9" s="9" t="s">
        <v>37</v>
      </c>
      <c r="T9" s="9" t="s">
        <v>37</v>
      </c>
      <c r="U9" s="9" t="s">
        <v>37</v>
      </c>
      <c r="V9" s="9" t="s">
        <v>37</v>
      </c>
      <c r="W9" s="9" t="s">
        <v>37</v>
      </c>
      <c r="X9" s="9" t="s">
        <v>37</v>
      </c>
      <c r="Y9" s="33"/>
      <c r="Z9" s="9" t="s">
        <v>37</v>
      </c>
      <c r="AA9" s="9" t="s">
        <v>37</v>
      </c>
      <c r="AB9" s="9" t="s">
        <v>37</v>
      </c>
      <c r="AC9" s="9" t="s">
        <v>37</v>
      </c>
      <c r="AD9" s="9" t="s">
        <v>37</v>
      </c>
      <c r="AE9" s="9" t="s">
        <v>36</v>
      </c>
      <c r="AF9" s="33"/>
      <c r="AG9" s="9" t="s">
        <v>37</v>
      </c>
      <c r="AH9" s="9" t="s">
        <v>37</v>
      </c>
      <c r="AI9" s="9" t="s">
        <v>37</v>
      </c>
      <c r="AJ9" s="9" t="s">
        <v>37</v>
      </c>
      <c r="AK9" s="5">
        <f t="shared" si="1"/>
        <v>24</v>
      </c>
      <c r="AL9" s="5">
        <f t="shared" si="2"/>
        <v>2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ht="16.5" x14ac:dyDescent="0.25">
      <c r="A10" s="10">
        <v>6</v>
      </c>
      <c r="B10" s="12"/>
      <c r="C10" s="7" t="s">
        <v>48</v>
      </c>
      <c r="D10" s="7" t="s">
        <v>61</v>
      </c>
      <c r="E10" s="20" t="s">
        <v>20</v>
      </c>
      <c r="F10" s="38" t="s">
        <v>37</v>
      </c>
      <c r="G10" s="38" t="s">
        <v>37</v>
      </c>
      <c r="H10" s="38" t="s">
        <v>37</v>
      </c>
      <c r="I10" s="38" t="s">
        <v>37</v>
      </c>
      <c r="J10" s="40"/>
      <c r="K10" s="33"/>
      <c r="L10" s="9" t="s">
        <v>36</v>
      </c>
      <c r="M10" s="9" t="s">
        <v>37</v>
      </c>
      <c r="N10" s="9" t="s">
        <v>36</v>
      </c>
      <c r="O10" s="9" t="s">
        <v>37</v>
      </c>
      <c r="P10" s="9" t="s">
        <v>37</v>
      </c>
      <c r="Q10" s="9" t="s">
        <v>37</v>
      </c>
      <c r="R10" s="33"/>
      <c r="S10" s="9" t="s">
        <v>37</v>
      </c>
      <c r="T10" s="9" t="s">
        <v>37</v>
      </c>
      <c r="U10" s="9" t="s">
        <v>37</v>
      </c>
      <c r="V10" s="9" t="s">
        <v>37</v>
      </c>
      <c r="W10" s="9" t="s">
        <v>37</v>
      </c>
      <c r="X10" s="9" t="s">
        <v>37</v>
      </c>
      <c r="Y10" s="33"/>
      <c r="Z10" s="9" t="s">
        <v>36</v>
      </c>
      <c r="AA10" s="9" t="s">
        <v>36</v>
      </c>
      <c r="AB10" s="9" t="s">
        <v>37</v>
      </c>
      <c r="AC10" s="9" t="s">
        <v>37</v>
      </c>
      <c r="AD10" s="9" t="s">
        <v>37</v>
      </c>
      <c r="AE10" s="9" t="s">
        <v>37</v>
      </c>
      <c r="AF10" s="33"/>
      <c r="AG10" s="9" t="s">
        <v>36</v>
      </c>
      <c r="AH10" s="9" t="s">
        <v>37</v>
      </c>
      <c r="AI10" s="9" t="s">
        <v>37</v>
      </c>
      <c r="AJ10" s="9" t="s">
        <v>37</v>
      </c>
      <c r="AK10" s="5">
        <f t="shared" si="1"/>
        <v>21</v>
      </c>
      <c r="AL10" s="5">
        <f t="shared" si="2"/>
        <v>5</v>
      </c>
      <c r="AM10" s="5" t="s">
        <v>16</v>
      </c>
      <c r="AN10" s="10">
        <f>19*26</f>
        <v>494</v>
      </c>
      <c r="AO10" s="10">
        <f>21*26</f>
        <v>546</v>
      </c>
      <c r="AP10" s="10">
        <f>SUM(AN10:AO10)</f>
        <v>1040</v>
      </c>
    </row>
    <row r="11" spans="1:42" ht="16.5" x14ac:dyDescent="0.25">
      <c r="A11" s="10">
        <v>7</v>
      </c>
      <c r="B11" s="12"/>
      <c r="C11" s="7" t="s">
        <v>29</v>
      </c>
      <c r="D11" s="7" t="s">
        <v>50</v>
      </c>
      <c r="E11" s="20" t="s">
        <v>20</v>
      </c>
      <c r="F11" s="38" t="s">
        <v>37</v>
      </c>
      <c r="G11" s="38" t="s">
        <v>37</v>
      </c>
      <c r="H11" s="38" t="s">
        <v>37</v>
      </c>
      <c r="I11" s="38" t="s">
        <v>37</v>
      </c>
      <c r="J11" s="40"/>
      <c r="K11" s="33"/>
      <c r="L11" s="9" t="s">
        <v>37</v>
      </c>
      <c r="M11" s="9" t="s">
        <v>37</v>
      </c>
      <c r="N11" s="9" t="s">
        <v>37</v>
      </c>
      <c r="O11" s="9" t="s">
        <v>37</v>
      </c>
      <c r="P11" s="9" t="s">
        <v>37</v>
      </c>
      <c r="Q11" s="9" t="s">
        <v>37</v>
      </c>
      <c r="R11" s="33"/>
      <c r="S11" s="9" t="s">
        <v>37</v>
      </c>
      <c r="T11" s="9" t="s">
        <v>37</v>
      </c>
      <c r="U11" s="9" t="s">
        <v>37</v>
      </c>
      <c r="V11" s="9" t="s">
        <v>37</v>
      </c>
      <c r="W11" s="9" t="s">
        <v>37</v>
      </c>
      <c r="X11" s="9" t="s">
        <v>37</v>
      </c>
      <c r="Y11" s="33"/>
      <c r="Z11" s="9" t="s">
        <v>37</v>
      </c>
      <c r="AA11" s="9" t="s">
        <v>37</v>
      </c>
      <c r="AB11" s="9" t="s">
        <v>37</v>
      </c>
      <c r="AC11" s="9" t="s">
        <v>37</v>
      </c>
      <c r="AD11" s="9" t="s">
        <v>37</v>
      </c>
      <c r="AE11" s="9" t="s">
        <v>37</v>
      </c>
      <c r="AF11" s="33"/>
      <c r="AG11" s="9" t="s">
        <v>37</v>
      </c>
      <c r="AH11" s="9" t="s">
        <v>37</v>
      </c>
      <c r="AI11" s="9" t="s">
        <v>37</v>
      </c>
      <c r="AJ11" s="9" t="s">
        <v>37</v>
      </c>
      <c r="AK11" s="5">
        <f t="shared" si="1"/>
        <v>26</v>
      </c>
      <c r="AL11" s="5">
        <f t="shared" si="2"/>
        <v>0</v>
      </c>
      <c r="AM11" s="5" t="s">
        <v>17</v>
      </c>
      <c r="AN11" s="10">
        <f>AK6+AK7+AK8+AK11+AK12+AK13+AK15+AK19+AK20+AK21+AK22+AK23+AK24+AK25+AK26+AK28+AK29</f>
        <v>393</v>
      </c>
      <c r="AO11" s="10">
        <f>AK5+AK9+AK10+AK14+AK16+AK17+AK18+AK27</f>
        <v>174</v>
      </c>
      <c r="AP11" s="10">
        <f>AN11+AO11</f>
        <v>567</v>
      </c>
    </row>
    <row r="12" spans="1:42" ht="16.5" x14ac:dyDescent="0.25">
      <c r="A12" s="10">
        <v>8</v>
      </c>
      <c r="B12" s="12"/>
      <c r="C12" s="7" t="s">
        <v>33</v>
      </c>
      <c r="D12" s="7" t="s">
        <v>50</v>
      </c>
      <c r="E12" s="20" t="s">
        <v>20</v>
      </c>
      <c r="F12" s="38" t="s">
        <v>37</v>
      </c>
      <c r="G12" s="38" t="s">
        <v>37</v>
      </c>
      <c r="H12" s="38" t="s">
        <v>37</v>
      </c>
      <c r="I12" s="38" t="s">
        <v>37</v>
      </c>
      <c r="J12" s="40"/>
      <c r="K12" s="33"/>
      <c r="L12" s="9" t="s">
        <v>37</v>
      </c>
      <c r="M12" s="9" t="s">
        <v>37</v>
      </c>
      <c r="N12" s="9" t="s">
        <v>37</v>
      </c>
      <c r="O12" s="9" t="s">
        <v>37</v>
      </c>
      <c r="P12" s="9" t="s">
        <v>37</v>
      </c>
      <c r="Q12" s="9" t="s">
        <v>37</v>
      </c>
      <c r="R12" s="33"/>
      <c r="S12" s="9" t="s">
        <v>37</v>
      </c>
      <c r="T12" s="9" t="s">
        <v>37</v>
      </c>
      <c r="U12" s="9" t="s">
        <v>37</v>
      </c>
      <c r="V12" s="9" t="s">
        <v>37</v>
      </c>
      <c r="W12" s="9" t="s">
        <v>37</v>
      </c>
      <c r="X12" s="9" t="s">
        <v>37</v>
      </c>
      <c r="Y12" s="33"/>
      <c r="Z12" s="9" t="s">
        <v>37</v>
      </c>
      <c r="AA12" s="9" t="s">
        <v>37</v>
      </c>
      <c r="AB12" s="9" t="s">
        <v>37</v>
      </c>
      <c r="AC12" s="9" t="s">
        <v>36</v>
      </c>
      <c r="AD12" s="9" t="s">
        <v>37</v>
      </c>
      <c r="AE12" s="9" t="s">
        <v>37</v>
      </c>
      <c r="AF12" s="33"/>
      <c r="AG12" s="9" t="s">
        <v>37</v>
      </c>
      <c r="AH12" s="9" t="s">
        <v>37</v>
      </c>
      <c r="AI12" s="9" t="s">
        <v>37</v>
      </c>
      <c r="AJ12" s="9" t="s">
        <v>37</v>
      </c>
      <c r="AK12" s="5">
        <f t="shared" si="1"/>
        <v>25</v>
      </c>
      <c r="AL12" s="5">
        <f t="shared" si="2"/>
        <v>1</v>
      </c>
      <c r="AM12" s="5" t="s">
        <v>18</v>
      </c>
      <c r="AN12" s="10">
        <f>AN11/AN10</f>
        <v>0.79554655870445345</v>
      </c>
      <c r="AO12" s="10">
        <f>AO11/AO10</f>
        <v>0.31868131868131866</v>
      </c>
      <c r="AP12" s="10">
        <f>AP11/AP10</f>
        <v>0.54519230769230764</v>
      </c>
    </row>
    <row r="13" spans="1:42" ht="16.5" x14ac:dyDescent="0.25">
      <c r="A13" s="10">
        <v>9</v>
      </c>
      <c r="B13" s="12"/>
      <c r="C13" s="7" t="s">
        <v>62</v>
      </c>
      <c r="D13" s="7" t="s">
        <v>47</v>
      </c>
      <c r="E13" s="20" t="s">
        <v>20</v>
      </c>
      <c r="F13" s="38" t="s">
        <v>37</v>
      </c>
      <c r="G13" s="38" t="s">
        <v>37</v>
      </c>
      <c r="H13" s="38" t="s">
        <v>37</v>
      </c>
      <c r="I13" s="38" t="s">
        <v>37</v>
      </c>
      <c r="J13" s="40"/>
      <c r="K13" s="33"/>
      <c r="L13" s="9" t="s">
        <v>37</v>
      </c>
      <c r="M13" s="9" t="s">
        <v>37</v>
      </c>
      <c r="N13" s="9" t="s">
        <v>37</v>
      </c>
      <c r="O13" s="9" t="s">
        <v>36</v>
      </c>
      <c r="P13" s="9" t="s">
        <v>37</v>
      </c>
      <c r="Q13" s="9" t="s">
        <v>37</v>
      </c>
      <c r="R13" s="33"/>
      <c r="S13" s="9" t="s">
        <v>37</v>
      </c>
      <c r="T13" s="9" t="s">
        <v>37</v>
      </c>
      <c r="U13" s="9" t="s">
        <v>37</v>
      </c>
      <c r="V13" s="9" t="s">
        <v>36</v>
      </c>
      <c r="W13" s="9" t="s">
        <v>37</v>
      </c>
      <c r="X13" s="9" t="s">
        <v>37</v>
      </c>
      <c r="Y13" s="33"/>
      <c r="Z13" s="9" t="s">
        <v>37</v>
      </c>
      <c r="AA13" s="9" t="s">
        <v>37</v>
      </c>
      <c r="AB13" s="9" t="s">
        <v>37</v>
      </c>
      <c r="AC13" s="9" t="s">
        <v>36</v>
      </c>
      <c r="AD13" s="9" t="s">
        <v>37</v>
      </c>
      <c r="AE13" s="9" t="s">
        <v>36</v>
      </c>
      <c r="AF13" s="33"/>
      <c r="AG13" s="9" t="s">
        <v>37</v>
      </c>
      <c r="AH13" s="9" t="s">
        <v>37</v>
      </c>
      <c r="AI13" s="9" t="s">
        <v>37</v>
      </c>
      <c r="AJ13" s="9" t="s">
        <v>37</v>
      </c>
      <c r="AK13" s="5">
        <f t="shared" si="1"/>
        <v>22</v>
      </c>
      <c r="AL13" s="5">
        <f t="shared" si="2"/>
        <v>4</v>
      </c>
      <c r="AM13" s="3"/>
      <c r="AN13" s="15"/>
      <c r="AO13" s="15"/>
      <c r="AP13" s="15"/>
    </row>
    <row r="14" spans="1:42" ht="16.5" x14ac:dyDescent="0.25">
      <c r="A14" s="10">
        <v>10</v>
      </c>
      <c r="B14" s="16"/>
      <c r="C14" s="7" t="s">
        <v>63</v>
      </c>
      <c r="D14" s="7" t="s">
        <v>24</v>
      </c>
      <c r="E14" s="20" t="s">
        <v>20</v>
      </c>
      <c r="F14" s="38" t="s">
        <v>37</v>
      </c>
      <c r="G14" s="38" t="s">
        <v>37</v>
      </c>
      <c r="H14" s="38" t="s">
        <v>37</v>
      </c>
      <c r="I14" s="38" t="s">
        <v>37</v>
      </c>
      <c r="J14" s="40"/>
      <c r="K14" s="33"/>
      <c r="L14" s="9" t="s">
        <v>37</v>
      </c>
      <c r="M14" s="9" t="s">
        <v>37</v>
      </c>
      <c r="N14" s="9" t="s">
        <v>37</v>
      </c>
      <c r="O14" s="9" t="s">
        <v>37</v>
      </c>
      <c r="P14" s="9" t="s">
        <v>37</v>
      </c>
      <c r="Q14" s="9" t="s">
        <v>37</v>
      </c>
      <c r="R14" s="33"/>
      <c r="S14" s="9" t="s">
        <v>37</v>
      </c>
      <c r="T14" s="9" t="s">
        <v>37</v>
      </c>
      <c r="U14" s="9" t="s">
        <v>37</v>
      </c>
      <c r="V14" s="9" t="s">
        <v>37</v>
      </c>
      <c r="W14" s="9" t="s">
        <v>36</v>
      </c>
      <c r="X14" s="9" t="s">
        <v>36</v>
      </c>
      <c r="Y14" s="33"/>
      <c r="Z14" s="9" t="s">
        <v>37</v>
      </c>
      <c r="AA14" s="9" t="s">
        <v>37</v>
      </c>
      <c r="AB14" s="9" t="s">
        <v>37</v>
      </c>
      <c r="AC14" s="9" t="s">
        <v>36</v>
      </c>
      <c r="AD14" s="9" t="s">
        <v>37</v>
      </c>
      <c r="AE14" s="9" t="s">
        <v>36</v>
      </c>
      <c r="AF14" s="33"/>
      <c r="AG14" s="9" t="s">
        <v>37</v>
      </c>
      <c r="AH14" s="9" t="s">
        <v>37</v>
      </c>
      <c r="AI14" s="9" t="s">
        <v>37</v>
      </c>
      <c r="AJ14" s="9" t="s">
        <v>37</v>
      </c>
      <c r="AK14" s="5">
        <f t="shared" si="1"/>
        <v>22</v>
      </c>
      <c r="AL14" s="5">
        <f t="shared" si="2"/>
        <v>4</v>
      </c>
      <c r="AM14" s="17"/>
      <c r="AN14" s="17"/>
      <c r="AO14" s="17"/>
      <c r="AP14" s="17"/>
    </row>
    <row r="15" spans="1:42" ht="16.5" x14ac:dyDescent="0.25">
      <c r="A15" s="10">
        <v>11</v>
      </c>
      <c r="B15" s="12"/>
      <c r="C15" s="7" t="s">
        <v>25</v>
      </c>
      <c r="D15" s="7" t="s">
        <v>51</v>
      </c>
      <c r="E15" s="20" t="s">
        <v>20</v>
      </c>
      <c r="F15" s="38" t="s">
        <v>37</v>
      </c>
      <c r="G15" s="38" t="s">
        <v>37</v>
      </c>
      <c r="H15" s="38" t="s">
        <v>37</v>
      </c>
      <c r="I15" s="38" t="s">
        <v>37</v>
      </c>
      <c r="J15" s="40"/>
      <c r="K15" s="33"/>
      <c r="L15" s="9" t="s">
        <v>37</v>
      </c>
      <c r="M15" s="9" t="s">
        <v>37</v>
      </c>
      <c r="N15" s="9" t="s">
        <v>36</v>
      </c>
      <c r="O15" s="9" t="s">
        <v>37</v>
      </c>
      <c r="P15" s="9" t="s">
        <v>37</v>
      </c>
      <c r="Q15" s="9" t="s">
        <v>37</v>
      </c>
      <c r="R15" s="33"/>
      <c r="S15" s="9" t="s">
        <v>37</v>
      </c>
      <c r="T15" s="9" t="s">
        <v>37</v>
      </c>
      <c r="U15" s="9" t="s">
        <v>37</v>
      </c>
      <c r="V15" s="9" t="s">
        <v>37</v>
      </c>
      <c r="W15" s="9" t="s">
        <v>37</v>
      </c>
      <c r="X15" s="9" t="s">
        <v>37</v>
      </c>
      <c r="Y15" s="33"/>
      <c r="Z15" s="9" t="s">
        <v>37</v>
      </c>
      <c r="AA15" s="9" t="s">
        <v>37</v>
      </c>
      <c r="AB15" s="9" t="s">
        <v>37</v>
      </c>
      <c r="AC15" s="9" t="s">
        <v>37</v>
      </c>
      <c r="AD15" s="9" t="s">
        <v>37</v>
      </c>
      <c r="AE15" s="9" t="s">
        <v>37</v>
      </c>
      <c r="AF15" s="33"/>
      <c r="AG15" s="9" t="s">
        <v>37</v>
      </c>
      <c r="AH15" s="9" t="s">
        <v>37</v>
      </c>
      <c r="AI15" s="9" t="s">
        <v>37</v>
      </c>
      <c r="AJ15" s="9" t="s">
        <v>37</v>
      </c>
      <c r="AK15" s="5">
        <f t="shared" si="1"/>
        <v>25</v>
      </c>
      <c r="AL15" s="5">
        <f t="shared" si="2"/>
        <v>1</v>
      </c>
      <c r="AM15" s="3"/>
      <c r="AN15" s="3"/>
      <c r="AO15" s="3"/>
      <c r="AP15" s="3"/>
    </row>
    <row r="16" spans="1:42" ht="16.5" x14ac:dyDescent="0.25">
      <c r="A16" s="10">
        <v>12</v>
      </c>
      <c r="B16" s="12"/>
      <c r="C16" s="7" t="s">
        <v>64</v>
      </c>
      <c r="D16" s="7" t="s">
        <v>65</v>
      </c>
      <c r="E16" s="20" t="s">
        <v>20</v>
      </c>
      <c r="F16" s="38" t="s">
        <v>36</v>
      </c>
      <c r="G16" s="38" t="s">
        <v>36</v>
      </c>
      <c r="H16" s="38" t="s">
        <v>36</v>
      </c>
      <c r="I16" s="38" t="s">
        <v>36</v>
      </c>
      <c r="J16" s="40"/>
      <c r="K16" s="33"/>
      <c r="L16" s="9" t="s">
        <v>36</v>
      </c>
      <c r="M16" s="9" t="s">
        <v>37</v>
      </c>
      <c r="N16" s="9" t="s">
        <v>36</v>
      </c>
      <c r="O16" s="9" t="s">
        <v>123</v>
      </c>
      <c r="P16" s="9" t="s">
        <v>37</v>
      </c>
      <c r="Q16" s="9" t="s">
        <v>37</v>
      </c>
      <c r="R16" s="33"/>
      <c r="S16" s="9" t="s">
        <v>37</v>
      </c>
      <c r="T16" s="9" t="s">
        <v>37</v>
      </c>
      <c r="U16" s="9" t="s">
        <v>37</v>
      </c>
      <c r="V16" s="9" t="s">
        <v>37</v>
      </c>
      <c r="W16" s="9" t="s">
        <v>37</v>
      </c>
      <c r="X16" s="9" t="s">
        <v>37</v>
      </c>
      <c r="Y16" s="33"/>
      <c r="Z16" s="9" t="s">
        <v>37</v>
      </c>
      <c r="AA16" s="9" t="s">
        <v>37</v>
      </c>
      <c r="AB16" s="9" t="s">
        <v>37</v>
      </c>
      <c r="AC16" s="9" t="s">
        <v>37</v>
      </c>
      <c r="AD16" s="9" t="s">
        <v>36</v>
      </c>
      <c r="AE16" s="9" t="s">
        <v>37</v>
      </c>
      <c r="AF16" s="33"/>
      <c r="AG16" s="9" t="s">
        <v>37</v>
      </c>
      <c r="AH16" s="9" t="s">
        <v>37</v>
      </c>
      <c r="AI16" s="9" t="s">
        <v>36</v>
      </c>
      <c r="AJ16" s="9" t="s">
        <v>37</v>
      </c>
      <c r="AK16" s="5">
        <f t="shared" si="1"/>
        <v>17</v>
      </c>
      <c r="AL16" s="5">
        <f t="shared" si="2"/>
        <v>8</v>
      </c>
      <c r="AM16" s="25" t="s">
        <v>6</v>
      </c>
      <c r="AN16" s="26"/>
      <c r="AO16" s="26"/>
      <c r="AP16" s="27"/>
    </row>
    <row r="17" spans="1:42" ht="16.5" x14ac:dyDescent="0.25">
      <c r="A17" s="10">
        <v>13</v>
      </c>
      <c r="B17" s="12"/>
      <c r="C17" s="7" t="s">
        <v>66</v>
      </c>
      <c r="D17" s="7" t="s">
        <v>40</v>
      </c>
      <c r="E17" s="20" t="s">
        <v>20</v>
      </c>
      <c r="F17" s="38" t="s">
        <v>37</v>
      </c>
      <c r="G17" s="38" t="s">
        <v>37</v>
      </c>
      <c r="H17" s="38" t="s">
        <v>37</v>
      </c>
      <c r="I17" s="38" t="s">
        <v>37</v>
      </c>
      <c r="J17" s="40"/>
      <c r="K17" s="33"/>
      <c r="L17" s="9" t="s">
        <v>36</v>
      </c>
      <c r="M17" s="9" t="s">
        <v>37</v>
      </c>
      <c r="N17" s="9" t="s">
        <v>37</v>
      </c>
      <c r="O17" s="9" t="s">
        <v>37</v>
      </c>
      <c r="P17" s="9" t="s">
        <v>36</v>
      </c>
      <c r="Q17" s="9" t="s">
        <v>36</v>
      </c>
      <c r="R17" s="33"/>
      <c r="S17" s="9" t="s">
        <v>36</v>
      </c>
      <c r="T17" s="9" t="s">
        <v>37</v>
      </c>
      <c r="U17" s="9" t="s">
        <v>37</v>
      </c>
      <c r="V17" s="9" t="s">
        <v>37</v>
      </c>
      <c r="W17" s="9" t="s">
        <v>37</v>
      </c>
      <c r="X17" s="9" t="s">
        <v>37</v>
      </c>
      <c r="Y17" s="33"/>
      <c r="Z17" s="9" t="s">
        <v>37</v>
      </c>
      <c r="AA17" s="9" t="s">
        <v>37</v>
      </c>
      <c r="AB17" s="9" t="s">
        <v>37</v>
      </c>
      <c r="AC17" s="9" t="s">
        <v>37</v>
      </c>
      <c r="AD17" s="9" t="s">
        <v>37</v>
      </c>
      <c r="AE17" s="9" t="s">
        <v>37</v>
      </c>
      <c r="AF17" s="33"/>
      <c r="AG17" s="9" t="s">
        <v>37</v>
      </c>
      <c r="AH17" s="9" t="s">
        <v>37</v>
      </c>
      <c r="AI17" s="9" t="s">
        <v>37</v>
      </c>
      <c r="AJ17" s="9" t="s">
        <v>37</v>
      </c>
      <c r="AK17" s="5">
        <f t="shared" si="1"/>
        <v>22</v>
      </c>
      <c r="AL17" s="5">
        <f t="shared" si="2"/>
        <v>4</v>
      </c>
      <c r="AM17" s="5" t="s">
        <v>12</v>
      </c>
      <c r="AN17" s="5" t="s">
        <v>13</v>
      </c>
      <c r="AO17" s="5" t="s">
        <v>14</v>
      </c>
      <c r="AP17" s="5" t="s">
        <v>15</v>
      </c>
    </row>
    <row r="18" spans="1:42" ht="16.5" x14ac:dyDescent="0.25">
      <c r="A18" s="10">
        <v>14</v>
      </c>
      <c r="B18" s="12"/>
      <c r="C18" s="7" t="s">
        <v>67</v>
      </c>
      <c r="D18" s="7" t="s">
        <v>68</v>
      </c>
      <c r="E18" s="20" t="s">
        <v>20</v>
      </c>
      <c r="F18" s="38" t="s">
        <v>37</v>
      </c>
      <c r="G18" s="38" t="s">
        <v>37</v>
      </c>
      <c r="H18" s="38" t="s">
        <v>37</v>
      </c>
      <c r="I18" s="38" t="s">
        <v>37</v>
      </c>
      <c r="J18" s="40"/>
      <c r="K18" s="33"/>
      <c r="L18" s="9" t="s">
        <v>37</v>
      </c>
      <c r="M18" s="9" t="s">
        <v>37</v>
      </c>
      <c r="N18" s="9" t="s">
        <v>37</v>
      </c>
      <c r="O18" s="9" t="s">
        <v>37</v>
      </c>
      <c r="P18" s="9" t="s">
        <v>37</v>
      </c>
      <c r="Q18" s="9" t="s">
        <v>37</v>
      </c>
      <c r="R18" s="33"/>
      <c r="S18" s="9" t="s">
        <v>37</v>
      </c>
      <c r="T18" s="9" t="s">
        <v>37</v>
      </c>
      <c r="U18" s="9" t="s">
        <v>37</v>
      </c>
      <c r="V18" s="9" t="s">
        <v>37</v>
      </c>
      <c r="W18" s="9" t="s">
        <v>36</v>
      </c>
      <c r="X18" s="9" t="s">
        <v>36</v>
      </c>
      <c r="Y18" s="33"/>
      <c r="Z18" s="9" t="s">
        <v>37</v>
      </c>
      <c r="AA18" s="9" t="s">
        <v>37</v>
      </c>
      <c r="AB18" s="9" t="s">
        <v>37</v>
      </c>
      <c r="AC18" s="9" t="s">
        <v>37</v>
      </c>
      <c r="AD18" s="9" t="s">
        <v>37</v>
      </c>
      <c r="AE18" s="9" t="s">
        <v>37</v>
      </c>
      <c r="AF18" s="33"/>
      <c r="AG18" s="9" t="s">
        <v>37</v>
      </c>
      <c r="AH18" s="9" t="s">
        <v>37</v>
      </c>
      <c r="AI18" s="9" t="s">
        <v>37</v>
      </c>
      <c r="AJ18" s="9" t="s">
        <v>36</v>
      </c>
      <c r="AK18" s="5">
        <f t="shared" si="1"/>
        <v>23</v>
      </c>
      <c r="AL18" s="5">
        <f t="shared" si="2"/>
        <v>3</v>
      </c>
      <c r="AM18" s="5" t="s">
        <v>16</v>
      </c>
      <c r="AN18" s="10">
        <f>19*26</f>
        <v>494</v>
      </c>
      <c r="AO18" s="10">
        <f>21*26</f>
        <v>546</v>
      </c>
      <c r="AP18" s="10">
        <f>AN18+AO18</f>
        <v>1040</v>
      </c>
    </row>
    <row r="19" spans="1:42" ht="16.5" x14ac:dyDescent="0.25">
      <c r="A19" s="10">
        <v>15</v>
      </c>
      <c r="B19" s="12"/>
      <c r="C19" s="7" t="s">
        <v>69</v>
      </c>
      <c r="D19" s="7" t="s">
        <v>70</v>
      </c>
      <c r="E19" s="20" t="s">
        <v>20</v>
      </c>
      <c r="F19" s="38" t="s">
        <v>37</v>
      </c>
      <c r="G19" s="38" t="s">
        <v>37</v>
      </c>
      <c r="H19" s="38" t="s">
        <v>37</v>
      </c>
      <c r="I19" s="38" t="s">
        <v>37</v>
      </c>
      <c r="J19" s="40"/>
      <c r="K19" s="33"/>
      <c r="L19" s="9" t="s">
        <v>37</v>
      </c>
      <c r="M19" s="9" t="s">
        <v>37</v>
      </c>
      <c r="N19" s="9" t="s">
        <v>37</v>
      </c>
      <c r="O19" s="9" t="s">
        <v>37</v>
      </c>
      <c r="P19" s="9" t="s">
        <v>37</v>
      </c>
      <c r="Q19" s="9" t="s">
        <v>37</v>
      </c>
      <c r="R19" s="33"/>
      <c r="S19" s="9" t="s">
        <v>37</v>
      </c>
      <c r="T19" s="9" t="s">
        <v>37</v>
      </c>
      <c r="U19" s="9" t="s">
        <v>37</v>
      </c>
      <c r="V19" s="9" t="s">
        <v>37</v>
      </c>
      <c r="W19" s="9" t="s">
        <v>37</v>
      </c>
      <c r="X19" s="9" t="s">
        <v>37</v>
      </c>
      <c r="Y19" s="33"/>
      <c r="Z19" s="9" t="s">
        <v>37</v>
      </c>
      <c r="AA19" s="9" t="s">
        <v>37</v>
      </c>
      <c r="AB19" s="9" t="s">
        <v>37</v>
      </c>
      <c r="AC19" s="9" t="s">
        <v>37</v>
      </c>
      <c r="AD19" s="9" t="s">
        <v>37</v>
      </c>
      <c r="AE19" s="9" t="s">
        <v>37</v>
      </c>
      <c r="AF19" s="33"/>
      <c r="AG19" s="9" t="s">
        <v>37</v>
      </c>
      <c r="AH19" s="9" t="s">
        <v>37</v>
      </c>
      <c r="AI19" s="9" t="s">
        <v>37</v>
      </c>
      <c r="AJ19" s="9" t="s">
        <v>37</v>
      </c>
      <c r="AK19" s="5">
        <f t="shared" si="1"/>
        <v>26</v>
      </c>
      <c r="AL19" s="5">
        <f t="shared" si="2"/>
        <v>0</v>
      </c>
      <c r="AM19" s="5" t="s">
        <v>19</v>
      </c>
      <c r="AN19" s="10">
        <f>AN18-AN11</f>
        <v>101</v>
      </c>
      <c r="AO19" s="10">
        <f>AO18-AO11</f>
        <v>372</v>
      </c>
      <c r="AP19" s="10">
        <f>AN19+AO19</f>
        <v>473</v>
      </c>
    </row>
    <row r="20" spans="1:42" ht="16.5" x14ac:dyDescent="0.25">
      <c r="A20" s="10">
        <v>16</v>
      </c>
      <c r="B20" s="12"/>
      <c r="C20" s="7" t="s">
        <v>129</v>
      </c>
      <c r="D20" s="7" t="s">
        <v>31</v>
      </c>
      <c r="E20" s="20" t="s">
        <v>20</v>
      </c>
      <c r="F20" s="38" t="s">
        <v>37</v>
      </c>
      <c r="G20" s="38" t="s">
        <v>37</v>
      </c>
      <c r="H20" s="38" t="s">
        <v>37</v>
      </c>
      <c r="I20" s="38" t="s">
        <v>37</v>
      </c>
      <c r="J20" s="40"/>
      <c r="K20" s="33"/>
      <c r="L20" s="9" t="s">
        <v>37</v>
      </c>
      <c r="M20" s="9" t="s">
        <v>37</v>
      </c>
      <c r="N20" s="9" t="s">
        <v>37</v>
      </c>
      <c r="O20" s="9" t="s">
        <v>37</v>
      </c>
      <c r="P20" s="9" t="s">
        <v>37</v>
      </c>
      <c r="Q20" s="9" t="s">
        <v>37</v>
      </c>
      <c r="R20" s="33"/>
      <c r="S20" s="9" t="s">
        <v>37</v>
      </c>
      <c r="T20" s="9" t="s">
        <v>37</v>
      </c>
      <c r="U20" s="9" t="s">
        <v>37</v>
      </c>
      <c r="V20" s="9" t="s">
        <v>37</v>
      </c>
      <c r="W20" s="9" t="s">
        <v>37</v>
      </c>
      <c r="X20" s="9" t="s">
        <v>37</v>
      </c>
      <c r="Y20" s="33"/>
      <c r="Z20" s="9" t="s">
        <v>37</v>
      </c>
      <c r="AA20" s="9" t="s">
        <v>37</v>
      </c>
      <c r="AB20" s="9" t="s">
        <v>37</v>
      </c>
      <c r="AC20" s="9" t="s">
        <v>37</v>
      </c>
      <c r="AD20" s="9" t="s">
        <v>37</v>
      </c>
      <c r="AE20" s="9" t="s">
        <v>37</v>
      </c>
      <c r="AF20" s="33"/>
      <c r="AG20" s="9" t="s">
        <v>37</v>
      </c>
      <c r="AH20" s="9" t="s">
        <v>37</v>
      </c>
      <c r="AI20" s="9" t="s">
        <v>37</v>
      </c>
      <c r="AJ20" s="9" t="s">
        <v>37</v>
      </c>
      <c r="AK20" s="5">
        <f t="shared" si="1"/>
        <v>26</v>
      </c>
      <c r="AL20" s="5">
        <f t="shared" si="2"/>
        <v>0</v>
      </c>
      <c r="AM20" s="5" t="s">
        <v>15</v>
      </c>
      <c r="AN20" s="18">
        <f>AN19/AN18</f>
        <v>0.20445344129554655</v>
      </c>
      <c r="AO20" s="18">
        <f>AO19/AO18</f>
        <v>0.68131868131868134</v>
      </c>
      <c r="AP20" s="18">
        <f>AP19/AP18</f>
        <v>0.4548076923076923</v>
      </c>
    </row>
    <row r="21" spans="1:42" ht="16.5" x14ac:dyDescent="0.25">
      <c r="A21" s="10">
        <v>17</v>
      </c>
      <c r="B21" s="12"/>
      <c r="C21" s="7" t="s">
        <v>72</v>
      </c>
      <c r="D21" s="7" t="s">
        <v>40</v>
      </c>
      <c r="E21" s="20" t="s">
        <v>20</v>
      </c>
      <c r="F21" s="38" t="s">
        <v>37</v>
      </c>
      <c r="G21" s="38" t="s">
        <v>37</v>
      </c>
      <c r="H21" s="38" t="s">
        <v>37</v>
      </c>
      <c r="I21" s="38" t="s">
        <v>37</v>
      </c>
      <c r="J21" s="40"/>
      <c r="K21" s="33"/>
      <c r="L21" s="9" t="s">
        <v>37</v>
      </c>
      <c r="M21" s="9" t="s">
        <v>37</v>
      </c>
      <c r="N21" s="9" t="s">
        <v>37</v>
      </c>
      <c r="O21" s="9" t="s">
        <v>37</v>
      </c>
      <c r="P21" s="9" t="s">
        <v>37</v>
      </c>
      <c r="Q21" s="9" t="s">
        <v>37</v>
      </c>
      <c r="R21" s="33"/>
      <c r="S21" s="9" t="s">
        <v>37</v>
      </c>
      <c r="T21" s="9" t="s">
        <v>37</v>
      </c>
      <c r="U21" s="9" t="s">
        <v>37</v>
      </c>
      <c r="V21" s="9" t="s">
        <v>37</v>
      </c>
      <c r="W21" s="9" t="s">
        <v>37</v>
      </c>
      <c r="X21" s="9" t="s">
        <v>37</v>
      </c>
      <c r="Y21" s="33"/>
      <c r="Z21" s="9" t="s">
        <v>37</v>
      </c>
      <c r="AA21" s="9" t="s">
        <v>37</v>
      </c>
      <c r="AB21" s="9" t="s">
        <v>37</v>
      </c>
      <c r="AC21" s="9" t="s">
        <v>37</v>
      </c>
      <c r="AD21" s="9" t="s">
        <v>37</v>
      </c>
      <c r="AE21" s="9" t="s">
        <v>37</v>
      </c>
      <c r="AF21" s="33"/>
      <c r="AG21" s="9" t="s">
        <v>37</v>
      </c>
      <c r="AH21" s="9" t="s">
        <v>37</v>
      </c>
      <c r="AI21" s="9" t="s">
        <v>37</v>
      </c>
      <c r="AJ21" s="9" t="s">
        <v>37</v>
      </c>
      <c r="AK21" s="5">
        <f t="shared" si="1"/>
        <v>26</v>
      </c>
      <c r="AL21" s="5">
        <f t="shared" si="2"/>
        <v>0</v>
      </c>
    </row>
    <row r="22" spans="1:42" ht="16.5" x14ac:dyDescent="0.25">
      <c r="A22" s="10">
        <v>18</v>
      </c>
      <c r="B22" s="12"/>
      <c r="C22" s="7" t="s">
        <v>73</v>
      </c>
      <c r="D22" s="7" t="s">
        <v>38</v>
      </c>
      <c r="E22" s="20" t="s">
        <v>20</v>
      </c>
      <c r="F22" s="38" t="s">
        <v>37</v>
      </c>
      <c r="G22" s="38" t="s">
        <v>37</v>
      </c>
      <c r="H22" s="38" t="s">
        <v>37</v>
      </c>
      <c r="I22" s="38" t="s">
        <v>37</v>
      </c>
      <c r="J22" s="40"/>
      <c r="K22" s="33"/>
      <c r="L22" s="9" t="s">
        <v>37</v>
      </c>
      <c r="M22" s="9" t="s">
        <v>37</v>
      </c>
      <c r="N22" s="9" t="s">
        <v>37</v>
      </c>
      <c r="O22" s="9" t="s">
        <v>37</v>
      </c>
      <c r="P22" s="9" t="s">
        <v>37</v>
      </c>
      <c r="Q22" s="9" t="s">
        <v>37</v>
      </c>
      <c r="R22" s="33"/>
      <c r="S22" s="9" t="s">
        <v>37</v>
      </c>
      <c r="T22" s="9" t="s">
        <v>37</v>
      </c>
      <c r="U22" s="9" t="s">
        <v>37</v>
      </c>
      <c r="V22" s="9" t="s">
        <v>37</v>
      </c>
      <c r="W22" s="9" t="s">
        <v>37</v>
      </c>
      <c r="X22" s="9" t="s">
        <v>37</v>
      </c>
      <c r="Y22" s="33"/>
      <c r="Z22" s="9" t="s">
        <v>37</v>
      </c>
      <c r="AA22" s="9" t="s">
        <v>37</v>
      </c>
      <c r="AB22" s="9" t="s">
        <v>37</v>
      </c>
      <c r="AC22" s="9" t="s">
        <v>37</v>
      </c>
      <c r="AD22" s="9" t="s">
        <v>37</v>
      </c>
      <c r="AE22" s="9" t="s">
        <v>37</v>
      </c>
      <c r="AF22" s="33"/>
      <c r="AG22" s="9" t="s">
        <v>37</v>
      </c>
      <c r="AH22" s="9" t="s">
        <v>37</v>
      </c>
      <c r="AI22" s="9" t="s">
        <v>37</v>
      </c>
      <c r="AJ22" s="9" t="s">
        <v>37</v>
      </c>
      <c r="AK22" s="5">
        <f t="shared" si="1"/>
        <v>26</v>
      </c>
      <c r="AL22" s="5">
        <f t="shared" si="2"/>
        <v>0</v>
      </c>
    </row>
    <row r="23" spans="1:42" ht="16.5" x14ac:dyDescent="0.25">
      <c r="A23" s="10">
        <v>19</v>
      </c>
      <c r="B23" s="12"/>
      <c r="C23" s="7" t="s">
        <v>74</v>
      </c>
      <c r="D23" s="7" t="s">
        <v>39</v>
      </c>
      <c r="E23" s="20" t="s">
        <v>20</v>
      </c>
      <c r="F23" s="38" t="s">
        <v>37</v>
      </c>
      <c r="G23" s="38" t="s">
        <v>37</v>
      </c>
      <c r="H23" s="38" t="s">
        <v>37</v>
      </c>
      <c r="I23" s="38" t="s">
        <v>37</v>
      </c>
      <c r="J23" s="40"/>
      <c r="K23" s="33"/>
      <c r="L23" s="9" t="s">
        <v>36</v>
      </c>
      <c r="M23" s="9" t="s">
        <v>36</v>
      </c>
      <c r="N23" s="9" t="s">
        <v>36</v>
      </c>
      <c r="O23" s="9" t="s">
        <v>123</v>
      </c>
      <c r="P23" s="9" t="s">
        <v>123</v>
      </c>
      <c r="Q23" s="9" t="s">
        <v>123</v>
      </c>
      <c r="R23" s="33"/>
      <c r="S23" s="9" t="s">
        <v>123</v>
      </c>
      <c r="T23" s="9" t="s">
        <v>123</v>
      </c>
      <c r="U23" s="9" t="s">
        <v>123</v>
      </c>
      <c r="V23" s="9" t="s">
        <v>123</v>
      </c>
      <c r="W23" s="9" t="s">
        <v>123</v>
      </c>
      <c r="X23" s="9" t="s">
        <v>123</v>
      </c>
      <c r="Y23" s="33"/>
      <c r="Z23" s="9" t="s">
        <v>36</v>
      </c>
      <c r="AA23" s="9" t="s">
        <v>36</v>
      </c>
      <c r="AB23" s="9" t="s">
        <v>36</v>
      </c>
      <c r="AC23" s="9" t="s">
        <v>36</v>
      </c>
      <c r="AD23" s="9" t="s">
        <v>36</v>
      </c>
      <c r="AE23" s="9" t="s">
        <v>36</v>
      </c>
      <c r="AF23" s="33"/>
      <c r="AG23" s="9" t="s">
        <v>36</v>
      </c>
      <c r="AH23" s="9" t="s">
        <v>36</v>
      </c>
      <c r="AI23" s="9" t="s">
        <v>36</v>
      </c>
      <c r="AJ23" s="9" t="s">
        <v>36</v>
      </c>
      <c r="AK23" s="5">
        <f t="shared" si="1"/>
        <v>4</v>
      </c>
      <c r="AL23" s="5">
        <f t="shared" si="2"/>
        <v>13</v>
      </c>
    </row>
    <row r="24" spans="1:42" ht="16.5" x14ac:dyDescent="0.25">
      <c r="A24" s="10">
        <v>20</v>
      </c>
      <c r="B24" s="12"/>
      <c r="C24" s="7" t="s">
        <v>46</v>
      </c>
      <c r="D24" s="7" t="s">
        <v>42</v>
      </c>
      <c r="E24" s="20" t="s">
        <v>20</v>
      </c>
      <c r="F24" s="38" t="s">
        <v>37</v>
      </c>
      <c r="G24" s="38" t="s">
        <v>37</v>
      </c>
      <c r="H24" s="38" t="s">
        <v>37</v>
      </c>
      <c r="I24" s="38" t="s">
        <v>37</v>
      </c>
      <c r="J24" s="40"/>
      <c r="K24" s="33"/>
      <c r="L24" s="9" t="s">
        <v>37</v>
      </c>
      <c r="M24" s="9" t="s">
        <v>37</v>
      </c>
      <c r="N24" s="9" t="s">
        <v>37</v>
      </c>
      <c r="O24" s="9" t="s">
        <v>37</v>
      </c>
      <c r="P24" s="9" t="s">
        <v>37</v>
      </c>
      <c r="Q24" s="9" t="s">
        <v>37</v>
      </c>
      <c r="R24" s="33"/>
      <c r="S24" s="9" t="s">
        <v>37</v>
      </c>
      <c r="T24" s="9" t="s">
        <v>37</v>
      </c>
      <c r="U24" s="9" t="s">
        <v>37</v>
      </c>
      <c r="V24" s="9" t="s">
        <v>36</v>
      </c>
      <c r="W24" s="9" t="s">
        <v>37</v>
      </c>
      <c r="X24" s="9" t="s">
        <v>37</v>
      </c>
      <c r="Y24" s="33"/>
      <c r="Z24" s="9" t="s">
        <v>37</v>
      </c>
      <c r="AA24" s="9" t="s">
        <v>37</v>
      </c>
      <c r="AB24" s="9" t="s">
        <v>37</v>
      </c>
      <c r="AC24" s="9" t="s">
        <v>37</v>
      </c>
      <c r="AD24" s="9" t="s">
        <v>37</v>
      </c>
      <c r="AE24" s="9" t="s">
        <v>37</v>
      </c>
      <c r="AF24" s="33"/>
      <c r="AG24" s="9" t="s">
        <v>37</v>
      </c>
      <c r="AH24" s="9" t="s">
        <v>37</v>
      </c>
      <c r="AI24" s="9" t="s">
        <v>37</v>
      </c>
      <c r="AJ24" s="9" t="s">
        <v>37</v>
      </c>
      <c r="AK24" s="5">
        <f t="shared" si="1"/>
        <v>25</v>
      </c>
      <c r="AL24" s="5">
        <f t="shared" si="2"/>
        <v>1</v>
      </c>
    </row>
    <row r="25" spans="1:42" ht="16.5" x14ac:dyDescent="0.25">
      <c r="A25" s="10">
        <v>21</v>
      </c>
      <c r="B25" s="12"/>
      <c r="C25" s="7" t="s">
        <v>75</v>
      </c>
      <c r="D25" s="7" t="s">
        <v>76</v>
      </c>
      <c r="E25" s="20" t="s">
        <v>20</v>
      </c>
      <c r="F25" s="38" t="s">
        <v>37</v>
      </c>
      <c r="G25" s="38" t="s">
        <v>37</v>
      </c>
      <c r="H25" s="38" t="s">
        <v>37</v>
      </c>
      <c r="I25" s="38" t="s">
        <v>37</v>
      </c>
      <c r="J25" s="40"/>
      <c r="K25" s="33"/>
      <c r="L25" s="9" t="s">
        <v>36</v>
      </c>
      <c r="M25" s="9" t="s">
        <v>37</v>
      </c>
      <c r="N25" s="9" t="s">
        <v>37</v>
      </c>
      <c r="O25" s="9" t="s">
        <v>37</v>
      </c>
      <c r="P25" s="9" t="s">
        <v>37</v>
      </c>
      <c r="Q25" s="9" t="s">
        <v>37</v>
      </c>
      <c r="R25" s="33"/>
      <c r="S25" s="9" t="s">
        <v>37</v>
      </c>
      <c r="T25" s="9" t="s">
        <v>37</v>
      </c>
      <c r="U25" s="9" t="s">
        <v>37</v>
      </c>
      <c r="V25" s="9" t="s">
        <v>37</v>
      </c>
      <c r="W25" s="9" t="s">
        <v>37</v>
      </c>
      <c r="X25" s="9" t="s">
        <v>37</v>
      </c>
      <c r="Y25" s="33"/>
      <c r="Z25" s="9" t="s">
        <v>37</v>
      </c>
      <c r="AA25" s="9" t="s">
        <v>37</v>
      </c>
      <c r="AB25" s="9" t="s">
        <v>37</v>
      </c>
      <c r="AC25" s="9" t="s">
        <v>37</v>
      </c>
      <c r="AD25" s="9" t="s">
        <v>37</v>
      </c>
      <c r="AE25" s="9" t="s">
        <v>37</v>
      </c>
      <c r="AF25" s="33"/>
      <c r="AG25" s="9" t="s">
        <v>37</v>
      </c>
      <c r="AH25" s="9" t="s">
        <v>37</v>
      </c>
      <c r="AI25" s="9" t="s">
        <v>37</v>
      </c>
      <c r="AJ25" s="9" t="s">
        <v>37</v>
      </c>
      <c r="AK25" s="5">
        <f t="shared" si="1"/>
        <v>25</v>
      </c>
      <c r="AL25" s="5">
        <f t="shared" si="2"/>
        <v>1</v>
      </c>
    </row>
    <row r="26" spans="1:42" ht="16.5" x14ac:dyDescent="0.25">
      <c r="A26" s="10">
        <v>22</v>
      </c>
      <c r="B26" s="12"/>
      <c r="C26" s="7" t="s">
        <v>77</v>
      </c>
      <c r="D26" s="7" t="s">
        <v>78</v>
      </c>
      <c r="E26" s="20" t="s">
        <v>20</v>
      </c>
      <c r="F26" s="38" t="s">
        <v>37</v>
      </c>
      <c r="G26" s="38" t="s">
        <v>37</v>
      </c>
      <c r="H26" s="38" t="s">
        <v>37</v>
      </c>
      <c r="I26" s="38" t="s">
        <v>37</v>
      </c>
      <c r="J26" s="40"/>
      <c r="K26" s="33"/>
      <c r="L26" s="9" t="s">
        <v>37</v>
      </c>
      <c r="M26" s="9" t="s">
        <v>37</v>
      </c>
      <c r="N26" s="9" t="s">
        <v>37</v>
      </c>
      <c r="O26" s="9" t="s">
        <v>37</v>
      </c>
      <c r="P26" s="9" t="s">
        <v>37</v>
      </c>
      <c r="Q26" s="9" t="s">
        <v>37</v>
      </c>
      <c r="R26" s="33"/>
      <c r="S26" s="9" t="s">
        <v>37</v>
      </c>
      <c r="T26" s="9" t="s">
        <v>37</v>
      </c>
      <c r="U26" s="9" t="s">
        <v>37</v>
      </c>
      <c r="V26" s="9" t="s">
        <v>37</v>
      </c>
      <c r="W26" s="9" t="s">
        <v>37</v>
      </c>
      <c r="X26" s="9" t="s">
        <v>37</v>
      </c>
      <c r="Y26" s="33"/>
      <c r="Z26" s="9" t="s">
        <v>37</v>
      </c>
      <c r="AA26" s="9" t="s">
        <v>37</v>
      </c>
      <c r="AB26" s="9" t="s">
        <v>37</v>
      </c>
      <c r="AC26" s="9" t="s">
        <v>37</v>
      </c>
      <c r="AD26" s="9" t="s">
        <v>37</v>
      </c>
      <c r="AE26" s="9" t="s">
        <v>37</v>
      </c>
      <c r="AF26" s="33"/>
      <c r="AG26" s="9" t="s">
        <v>37</v>
      </c>
      <c r="AH26" s="9" t="s">
        <v>37</v>
      </c>
      <c r="AI26" s="9" t="s">
        <v>37</v>
      </c>
      <c r="AJ26" s="9" t="s">
        <v>37</v>
      </c>
      <c r="AK26" s="5">
        <f t="shared" si="1"/>
        <v>26</v>
      </c>
      <c r="AL26" s="5">
        <f t="shared" si="2"/>
        <v>0</v>
      </c>
    </row>
    <row r="27" spans="1:42" ht="16.5" x14ac:dyDescent="0.25">
      <c r="A27" s="10">
        <v>23</v>
      </c>
      <c r="B27" s="12"/>
      <c r="C27" s="7" t="s">
        <v>124</v>
      </c>
      <c r="D27" s="7" t="s">
        <v>125</v>
      </c>
      <c r="E27" s="20" t="s">
        <v>20</v>
      </c>
      <c r="F27" s="38" t="s">
        <v>37</v>
      </c>
      <c r="G27" s="38" t="s">
        <v>37</v>
      </c>
      <c r="H27" s="38" t="s">
        <v>37</v>
      </c>
      <c r="I27" s="38" t="s">
        <v>37</v>
      </c>
      <c r="J27" s="40"/>
      <c r="K27" s="33"/>
      <c r="L27" s="9" t="s">
        <v>37</v>
      </c>
      <c r="M27" s="9" t="s">
        <v>37</v>
      </c>
      <c r="N27" s="9" t="s">
        <v>37</v>
      </c>
      <c r="O27" s="9" t="s">
        <v>37</v>
      </c>
      <c r="P27" s="9" t="s">
        <v>37</v>
      </c>
      <c r="Q27" s="9" t="s">
        <v>37</v>
      </c>
      <c r="R27" s="33"/>
      <c r="S27" s="9" t="s">
        <v>37</v>
      </c>
      <c r="T27" s="9" t="s">
        <v>37</v>
      </c>
      <c r="U27" s="9" t="s">
        <v>37</v>
      </c>
      <c r="V27" s="9" t="s">
        <v>37</v>
      </c>
      <c r="W27" s="9" t="s">
        <v>37</v>
      </c>
      <c r="X27" s="9" t="s">
        <v>37</v>
      </c>
      <c r="Y27" s="33"/>
      <c r="Z27" s="9" t="s">
        <v>37</v>
      </c>
      <c r="AA27" s="9" t="s">
        <v>37</v>
      </c>
      <c r="AB27" s="9" t="s">
        <v>37</v>
      </c>
      <c r="AC27" s="9" t="s">
        <v>37</v>
      </c>
      <c r="AD27" s="9" t="s">
        <v>37</v>
      </c>
      <c r="AE27" s="9" t="s">
        <v>37</v>
      </c>
      <c r="AF27" s="33"/>
      <c r="AG27" s="9" t="s">
        <v>37</v>
      </c>
      <c r="AH27" s="9" t="s">
        <v>37</v>
      </c>
      <c r="AI27" s="9" t="s">
        <v>37</v>
      </c>
      <c r="AJ27" s="9" t="s">
        <v>37</v>
      </c>
      <c r="AK27" s="5">
        <f t="shared" si="1"/>
        <v>26</v>
      </c>
      <c r="AL27" s="5">
        <f t="shared" si="2"/>
        <v>0</v>
      </c>
    </row>
    <row r="28" spans="1:42" ht="16.5" x14ac:dyDescent="0.25">
      <c r="A28" s="10">
        <v>24</v>
      </c>
      <c r="B28" s="12"/>
      <c r="C28" s="7" t="s">
        <v>48</v>
      </c>
      <c r="D28" s="7" t="s">
        <v>125</v>
      </c>
      <c r="E28" s="20" t="s">
        <v>20</v>
      </c>
      <c r="F28" s="38" t="s">
        <v>37</v>
      </c>
      <c r="G28" s="38" t="s">
        <v>37</v>
      </c>
      <c r="H28" s="38" t="s">
        <v>37</v>
      </c>
      <c r="I28" s="38" t="s">
        <v>37</v>
      </c>
      <c r="J28" s="40"/>
      <c r="K28" s="33"/>
      <c r="L28" s="9" t="s">
        <v>37</v>
      </c>
      <c r="M28" s="9" t="s">
        <v>37</v>
      </c>
      <c r="N28" s="9" t="s">
        <v>37</v>
      </c>
      <c r="O28" s="9" t="s">
        <v>37</v>
      </c>
      <c r="P28" s="9" t="s">
        <v>37</v>
      </c>
      <c r="Q28" s="9" t="s">
        <v>37</v>
      </c>
      <c r="R28" s="33"/>
      <c r="S28" s="9" t="s">
        <v>37</v>
      </c>
      <c r="T28" s="9" t="s">
        <v>37</v>
      </c>
      <c r="U28" s="9" t="s">
        <v>37</v>
      </c>
      <c r="V28" s="9" t="s">
        <v>37</v>
      </c>
      <c r="W28" s="9" t="s">
        <v>37</v>
      </c>
      <c r="X28" s="9" t="s">
        <v>37</v>
      </c>
      <c r="Y28" s="33"/>
      <c r="Z28" s="9" t="s">
        <v>37</v>
      </c>
      <c r="AA28" s="9" t="s">
        <v>37</v>
      </c>
      <c r="AB28" s="9" t="s">
        <v>37</v>
      </c>
      <c r="AC28" s="9" t="s">
        <v>37</v>
      </c>
      <c r="AD28" s="9" t="s">
        <v>37</v>
      </c>
      <c r="AE28" s="9" t="s">
        <v>37</v>
      </c>
      <c r="AF28" s="33"/>
      <c r="AG28" s="9" t="s">
        <v>37</v>
      </c>
      <c r="AH28" s="9" t="s">
        <v>37</v>
      </c>
      <c r="AI28" s="9" t="s">
        <v>37</v>
      </c>
      <c r="AJ28" s="9" t="s">
        <v>37</v>
      </c>
      <c r="AK28" s="5">
        <f t="shared" si="1"/>
        <v>26</v>
      </c>
      <c r="AL28" s="5">
        <f t="shared" si="2"/>
        <v>0</v>
      </c>
    </row>
    <row r="29" spans="1:42" ht="16.5" x14ac:dyDescent="0.25">
      <c r="A29" s="10">
        <v>25</v>
      </c>
      <c r="B29" s="12"/>
      <c r="C29" s="7" t="s">
        <v>126</v>
      </c>
      <c r="D29" s="7"/>
      <c r="E29" s="20" t="s">
        <v>20</v>
      </c>
      <c r="F29" s="38" t="s">
        <v>37</v>
      </c>
      <c r="G29" s="38" t="s">
        <v>37</v>
      </c>
      <c r="H29" s="38" t="s">
        <v>37</v>
      </c>
      <c r="I29" s="38" t="s">
        <v>37</v>
      </c>
      <c r="J29" s="40"/>
      <c r="K29" s="33"/>
      <c r="L29" s="9" t="s">
        <v>37</v>
      </c>
      <c r="M29" s="9" t="s">
        <v>37</v>
      </c>
      <c r="N29" s="9" t="s">
        <v>37</v>
      </c>
      <c r="O29" s="9" t="s">
        <v>37</v>
      </c>
      <c r="P29" s="9" t="s">
        <v>37</v>
      </c>
      <c r="Q29" s="9" t="s">
        <v>36</v>
      </c>
      <c r="R29" s="33"/>
      <c r="S29" s="9" t="s">
        <v>37</v>
      </c>
      <c r="T29" s="9" t="s">
        <v>37</v>
      </c>
      <c r="U29" s="9" t="s">
        <v>37</v>
      </c>
      <c r="V29" s="9" t="s">
        <v>37</v>
      </c>
      <c r="W29" s="9" t="s">
        <v>37</v>
      </c>
      <c r="X29" s="9" t="s">
        <v>37</v>
      </c>
      <c r="Y29" s="33"/>
      <c r="Z29" s="9" t="s">
        <v>37</v>
      </c>
      <c r="AA29" s="9" t="s">
        <v>37</v>
      </c>
      <c r="AB29" s="9" t="s">
        <v>37</v>
      </c>
      <c r="AC29" s="9" t="s">
        <v>37</v>
      </c>
      <c r="AD29" s="9" t="s">
        <v>37</v>
      </c>
      <c r="AE29" s="9" t="s">
        <v>36</v>
      </c>
      <c r="AF29" s="33"/>
      <c r="AG29" s="9" t="s">
        <v>37</v>
      </c>
      <c r="AH29" s="9" t="s">
        <v>37</v>
      </c>
      <c r="AI29" s="9" t="s">
        <v>37</v>
      </c>
      <c r="AJ29" s="9" t="s">
        <v>37</v>
      </c>
      <c r="AK29" s="5">
        <f t="shared" si="1"/>
        <v>24</v>
      </c>
      <c r="AL29" s="5">
        <f t="shared" si="2"/>
        <v>2</v>
      </c>
    </row>
    <row r="30" spans="1:42" ht="16.5" x14ac:dyDescent="0.25">
      <c r="A30" s="10">
        <v>26</v>
      </c>
      <c r="B30" s="12"/>
      <c r="C30" s="7" t="s">
        <v>48</v>
      </c>
      <c r="D30" s="7" t="s">
        <v>47</v>
      </c>
      <c r="E30" s="20" t="s">
        <v>20</v>
      </c>
      <c r="F30" s="38" t="s">
        <v>37</v>
      </c>
      <c r="G30" s="38" t="s">
        <v>37</v>
      </c>
      <c r="H30" s="38" t="s">
        <v>37</v>
      </c>
      <c r="I30" s="38" t="s">
        <v>37</v>
      </c>
      <c r="J30" s="40"/>
      <c r="K30" s="33"/>
      <c r="L30" s="9" t="s">
        <v>37</v>
      </c>
      <c r="M30" s="9" t="s">
        <v>37</v>
      </c>
      <c r="N30" s="9" t="s">
        <v>37</v>
      </c>
      <c r="O30" s="9" t="s">
        <v>37</v>
      </c>
      <c r="P30" s="9" t="s">
        <v>37</v>
      </c>
      <c r="Q30" s="9" t="s">
        <v>36</v>
      </c>
      <c r="R30" s="33"/>
      <c r="S30" s="9" t="s">
        <v>37</v>
      </c>
      <c r="T30" s="9" t="s">
        <v>37</v>
      </c>
      <c r="U30" s="9" t="s">
        <v>37</v>
      </c>
      <c r="V30" s="9" t="s">
        <v>37</v>
      </c>
      <c r="W30" s="9" t="s">
        <v>37</v>
      </c>
      <c r="X30" s="9" t="s">
        <v>37</v>
      </c>
      <c r="Y30" s="33"/>
      <c r="Z30" s="9" t="s">
        <v>37</v>
      </c>
      <c r="AA30" s="9" t="s">
        <v>37</v>
      </c>
      <c r="AB30" s="9" t="s">
        <v>37</v>
      </c>
      <c r="AC30" s="9" t="s">
        <v>37</v>
      </c>
      <c r="AD30" s="9" t="s">
        <v>37</v>
      </c>
      <c r="AE30" s="9" t="s">
        <v>130</v>
      </c>
      <c r="AF30" s="33"/>
      <c r="AG30" s="9" t="s">
        <v>37</v>
      </c>
      <c r="AH30" s="9" t="s">
        <v>37</v>
      </c>
      <c r="AI30" s="9" t="s">
        <v>37</v>
      </c>
      <c r="AJ30" s="9" t="s">
        <v>37</v>
      </c>
      <c r="AK30" s="5">
        <f t="shared" si="1"/>
        <v>25</v>
      </c>
      <c r="AL30" s="5">
        <f t="shared" si="2"/>
        <v>1</v>
      </c>
    </row>
    <row r="31" spans="1:42" ht="16.5" customHeight="1" x14ac:dyDescent="0.25">
      <c r="A31" s="10">
        <v>1</v>
      </c>
      <c r="B31" s="12"/>
      <c r="C31" s="13" t="s">
        <v>79</v>
      </c>
      <c r="D31" s="14" t="s">
        <v>80</v>
      </c>
      <c r="E31" s="8" t="s">
        <v>20</v>
      </c>
      <c r="F31" s="38" t="s">
        <v>37</v>
      </c>
      <c r="G31" s="38" t="s">
        <v>37</v>
      </c>
      <c r="H31" s="38" t="s">
        <v>37</v>
      </c>
      <c r="I31" s="38" t="s">
        <v>37</v>
      </c>
      <c r="J31" s="40"/>
      <c r="K31" s="33"/>
      <c r="L31" s="9" t="s">
        <v>37</v>
      </c>
      <c r="M31" s="9" t="s">
        <v>37</v>
      </c>
      <c r="N31" s="9" t="s">
        <v>37</v>
      </c>
      <c r="O31" s="9" t="s">
        <v>37</v>
      </c>
      <c r="P31" s="9" t="s">
        <v>37</v>
      </c>
      <c r="Q31" s="9" t="s">
        <v>37</v>
      </c>
      <c r="R31" s="33"/>
      <c r="S31" s="9" t="s">
        <v>37</v>
      </c>
      <c r="T31" s="9" t="s">
        <v>37</v>
      </c>
      <c r="U31" s="9" t="s">
        <v>37</v>
      </c>
      <c r="V31" s="9" t="s">
        <v>37</v>
      </c>
      <c r="W31" s="9" t="s">
        <v>37</v>
      </c>
      <c r="X31" s="9" t="s">
        <v>37</v>
      </c>
      <c r="Y31" s="33"/>
      <c r="Z31" s="9" t="s">
        <v>37</v>
      </c>
      <c r="AA31" s="9" t="s">
        <v>37</v>
      </c>
      <c r="AB31" s="9" t="s">
        <v>37</v>
      </c>
      <c r="AC31" s="9" t="s">
        <v>37</v>
      </c>
      <c r="AD31" s="9" t="s">
        <v>37</v>
      </c>
      <c r="AE31" s="9" t="s">
        <v>37</v>
      </c>
      <c r="AF31" s="33"/>
      <c r="AG31" s="9" t="s">
        <v>37</v>
      </c>
      <c r="AH31" s="9" t="s">
        <v>37</v>
      </c>
      <c r="AI31" s="9" t="s">
        <v>37</v>
      </c>
      <c r="AJ31" s="9" t="s">
        <v>36</v>
      </c>
      <c r="AK31" s="5">
        <f t="shared" si="1"/>
        <v>25</v>
      </c>
      <c r="AL31" s="5">
        <f t="shared" si="2"/>
        <v>1</v>
      </c>
    </row>
    <row r="32" spans="1:42" ht="16.5" x14ac:dyDescent="0.25">
      <c r="A32" s="6">
        <v>2</v>
      </c>
      <c r="B32" s="12"/>
      <c r="C32" s="13" t="s">
        <v>24</v>
      </c>
      <c r="D32" s="14" t="s">
        <v>31</v>
      </c>
      <c r="E32" s="8" t="s">
        <v>20</v>
      </c>
      <c r="F32" s="38" t="s">
        <v>37</v>
      </c>
      <c r="G32" s="38" t="s">
        <v>37</v>
      </c>
      <c r="H32" s="38" t="s">
        <v>37</v>
      </c>
      <c r="I32" s="38" t="s">
        <v>37</v>
      </c>
      <c r="J32" s="40"/>
      <c r="K32" s="33"/>
      <c r="L32" s="9" t="s">
        <v>37</v>
      </c>
      <c r="M32" s="9" t="s">
        <v>37</v>
      </c>
      <c r="N32" s="9" t="s">
        <v>37</v>
      </c>
      <c r="O32" s="9" t="s">
        <v>37</v>
      </c>
      <c r="P32" s="9" t="s">
        <v>36</v>
      </c>
      <c r="Q32" s="9" t="s">
        <v>37</v>
      </c>
      <c r="R32" s="33"/>
      <c r="S32" s="9" t="s">
        <v>37</v>
      </c>
      <c r="T32" s="9" t="s">
        <v>37</v>
      </c>
      <c r="U32" s="9" t="s">
        <v>37</v>
      </c>
      <c r="V32" s="9" t="s">
        <v>36</v>
      </c>
      <c r="W32" s="9" t="s">
        <v>37</v>
      </c>
      <c r="X32" s="9" t="s">
        <v>37</v>
      </c>
      <c r="Y32" s="33"/>
      <c r="Z32" s="9" t="s">
        <v>37</v>
      </c>
      <c r="AA32" s="9" t="s">
        <v>37</v>
      </c>
      <c r="AB32" s="9" t="s">
        <v>37</v>
      </c>
      <c r="AC32" s="9" t="s">
        <v>36</v>
      </c>
      <c r="AD32" s="9" t="s">
        <v>36</v>
      </c>
      <c r="AE32" s="9" t="s">
        <v>37</v>
      </c>
      <c r="AF32" s="33"/>
      <c r="AG32" s="9" t="s">
        <v>37</v>
      </c>
      <c r="AH32" s="9" t="s">
        <v>36</v>
      </c>
      <c r="AI32" s="9" t="s">
        <v>37</v>
      </c>
      <c r="AJ32" s="9" t="s">
        <v>37</v>
      </c>
      <c r="AK32" s="5">
        <f t="shared" si="1"/>
        <v>21</v>
      </c>
      <c r="AL32" s="5">
        <f t="shared" si="2"/>
        <v>5</v>
      </c>
    </row>
    <row r="33" spans="1:38" ht="16.5" x14ac:dyDescent="0.25">
      <c r="A33" s="10">
        <v>3</v>
      </c>
      <c r="B33" s="12"/>
      <c r="C33" s="13" t="s">
        <v>81</v>
      </c>
      <c r="D33" s="14" t="s">
        <v>82</v>
      </c>
      <c r="E33" s="8" t="s">
        <v>20</v>
      </c>
      <c r="F33" s="38" t="s">
        <v>37</v>
      </c>
      <c r="G33" s="38" t="s">
        <v>37</v>
      </c>
      <c r="H33" s="38" t="s">
        <v>37</v>
      </c>
      <c r="I33" s="38" t="s">
        <v>36</v>
      </c>
      <c r="J33" s="40"/>
      <c r="K33" s="33"/>
      <c r="L33" s="9" t="s">
        <v>37</v>
      </c>
      <c r="M33" s="9" t="s">
        <v>37</v>
      </c>
      <c r="N33" s="9" t="s">
        <v>37</v>
      </c>
      <c r="O33" s="9" t="s">
        <v>37</v>
      </c>
      <c r="P33" s="9" t="s">
        <v>37</v>
      </c>
      <c r="Q33" s="9" t="s">
        <v>36</v>
      </c>
      <c r="R33" s="33"/>
      <c r="S33" s="9" t="s">
        <v>37</v>
      </c>
      <c r="T33" s="9" t="s">
        <v>37</v>
      </c>
      <c r="U33" s="9" t="s">
        <v>37</v>
      </c>
      <c r="V33" s="9" t="s">
        <v>37</v>
      </c>
      <c r="W33" s="9" t="s">
        <v>37</v>
      </c>
      <c r="X33" s="9" t="s">
        <v>37</v>
      </c>
      <c r="Y33" s="33"/>
      <c r="Z33" s="9" t="s">
        <v>37</v>
      </c>
      <c r="AA33" s="9" t="s">
        <v>37</v>
      </c>
      <c r="AB33" s="9" t="s">
        <v>37</v>
      </c>
      <c r="AC33" s="9" t="s">
        <v>37</v>
      </c>
      <c r="AD33" s="9" t="s">
        <v>37</v>
      </c>
      <c r="AE33" s="9" t="s">
        <v>36</v>
      </c>
      <c r="AF33" s="33"/>
      <c r="AG33" s="9" t="s">
        <v>37</v>
      </c>
      <c r="AH33" s="9" t="s">
        <v>37</v>
      </c>
      <c r="AI33" s="9" t="s">
        <v>37</v>
      </c>
      <c r="AJ33" s="9" t="s">
        <v>37</v>
      </c>
      <c r="AK33" s="5">
        <f t="shared" si="1"/>
        <v>23</v>
      </c>
      <c r="AL33" s="5">
        <f t="shared" si="2"/>
        <v>3</v>
      </c>
    </row>
    <row r="34" spans="1:38" ht="16.5" x14ac:dyDescent="0.25">
      <c r="A34" s="6">
        <v>4</v>
      </c>
      <c r="B34" s="12"/>
      <c r="C34" s="13" t="s">
        <v>49</v>
      </c>
      <c r="D34" s="14" t="s">
        <v>83</v>
      </c>
      <c r="E34" s="8" t="s">
        <v>20</v>
      </c>
      <c r="F34" s="38" t="s">
        <v>37</v>
      </c>
      <c r="G34" s="38" t="s">
        <v>37</v>
      </c>
      <c r="H34" s="38" t="s">
        <v>37</v>
      </c>
      <c r="I34" s="38" t="s">
        <v>37</v>
      </c>
      <c r="J34" s="40"/>
      <c r="K34" s="33"/>
      <c r="L34" s="9" t="s">
        <v>37</v>
      </c>
      <c r="M34" s="9" t="s">
        <v>123</v>
      </c>
      <c r="N34" s="9" t="s">
        <v>123</v>
      </c>
      <c r="O34" s="9" t="s">
        <v>37</v>
      </c>
      <c r="P34" s="9" t="s">
        <v>37</v>
      </c>
      <c r="Q34" s="9" t="s">
        <v>37</v>
      </c>
      <c r="R34" s="33"/>
      <c r="S34" s="9" t="s">
        <v>37</v>
      </c>
      <c r="T34" s="9" t="s">
        <v>37</v>
      </c>
      <c r="U34" s="9" t="s">
        <v>37</v>
      </c>
      <c r="V34" s="9" t="s">
        <v>37</v>
      </c>
      <c r="W34" s="9" t="s">
        <v>37</v>
      </c>
      <c r="X34" s="9" t="s">
        <v>37</v>
      </c>
      <c r="Y34" s="33"/>
      <c r="Z34" s="9" t="s">
        <v>36</v>
      </c>
      <c r="AA34" s="9" t="s">
        <v>36</v>
      </c>
      <c r="AB34" s="9" t="s">
        <v>37</v>
      </c>
      <c r="AC34" s="9" t="s">
        <v>37</v>
      </c>
      <c r="AD34" s="9" t="s">
        <v>36</v>
      </c>
      <c r="AE34" s="9" t="s">
        <v>36</v>
      </c>
      <c r="AF34" s="33"/>
      <c r="AG34" s="9" t="s">
        <v>36</v>
      </c>
      <c r="AH34" s="9" t="s">
        <v>36</v>
      </c>
      <c r="AI34" s="9" t="s">
        <v>37</v>
      </c>
      <c r="AJ34" s="9" t="s">
        <v>37</v>
      </c>
      <c r="AK34" s="5">
        <f t="shared" si="1"/>
        <v>18</v>
      </c>
      <c r="AL34" s="5">
        <f t="shared" si="2"/>
        <v>6</v>
      </c>
    </row>
    <row r="35" spans="1:38" ht="16.5" x14ac:dyDescent="0.25">
      <c r="A35" s="10">
        <v>5</v>
      </c>
      <c r="B35" s="12"/>
      <c r="C35" s="13" t="s">
        <v>84</v>
      </c>
      <c r="D35" s="14" t="s">
        <v>85</v>
      </c>
      <c r="E35" s="8" t="s">
        <v>20</v>
      </c>
      <c r="F35" s="38" t="s">
        <v>37</v>
      </c>
      <c r="G35" s="38" t="s">
        <v>36</v>
      </c>
      <c r="H35" s="38" t="s">
        <v>37</v>
      </c>
      <c r="I35" s="38" t="s">
        <v>37</v>
      </c>
      <c r="J35" s="40"/>
      <c r="K35" s="33"/>
      <c r="L35" s="9" t="s">
        <v>37</v>
      </c>
      <c r="M35" s="9" t="s">
        <v>37</v>
      </c>
      <c r="N35" s="9" t="s">
        <v>37</v>
      </c>
      <c r="O35" s="9" t="s">
        <v>36</v>
      </c>
      <c r="P35" s="9" t="s">
        <v>37</v>
      </c>
      <c r="Q35" s="9" t="s">
        <v>37</v>
      </c>
      <c r="R35" s="33"/>
      <c r="S35" s="9" t="s">
        <v>37</v>
      </c>
      <c r="T35" s="9" t="s">
        <v>37</v>
      </c>
      <c r="U35" s="9" t="s">
        <v>37</v>
      </c>
      <c r="V35" s="9" t="s">
        <v>37</v>
      </c>
      <c r="W35" s="9" t="s">
        <v>36</v>
      </c>
      <c r="X35" s="9" t="s">
        <v>37</v>
      </c>
      <c r="Y35" s="33"/>
      <c r="Z35" s="9" t="s">
        <v>37</v>
      </c>
      <c r="AA35" s="9" t="s">
        <v>37</v>
      </c>
      <c r="AB35" s="9" t="s">
        <v>37</v>
      </c>
      <c r="AC35" s="9" t="s">
        <v>36</v>
      </c>
      <c r="AD35" s="9" t="s">
        <v>123</v>
      </c>
      <c r="AE35" s="9" t="s">
        <v>123</v>
      </c>
      <c r="AF35" s="33"/>
      <c r="AG35" s="9" t="s">
        <v>123</v>
      </c>
      <c r="AH35" s="9" t="s">
        <v>123</v>
      </c>
      <c r="AI35" s="9" t="s">
        <v>123</v>
      </c>
      <c r="AJ35" s="9" t="s">
        <v>123</v>
      </c>
      <c r="AK35" s="5">
        <f t="shared" si="1"/>
        <v>16</v>
      </c>
      <c r="AL35" s="5">
        <f t="shared" si="2"/>
        <v>4</v>
      </c>
    </row>
    <row r="36" spans="1:38" ht="16.5" x14ac:dyDescent="0.25">
      <c r="A36" s="6">
        <v>6</v>
      </c>
      <c r="B36" s="12"/>
      <c r="C36" s="13" t="s">
        <v>86</v>
      </c>
      <c r="D36" s="14" t="s">
        <v>87</v>
      </c>
      <c r="E36" s="8" t="s">
        <v>20</v>
      </c>
      <c r="F36" s="38" t="s">
        <v>36</v>
      </c>
      <c r="G36" s="38" t="s">
        <v>37</v>
      </c>
      <c r="H36" s="38" t="s">
        <v>37</v>
      </c>
      <c r="I36" s="38" t="s">
        <v>37</v>
      </c>
      <c r="J36" s="40"/>
      <c r="K36" s="33"/>
      <c r="L36" s="9" t="s">
        <v>37</v>
      </c>
      <c r="M36" s="9" t="s">
        <v>36</v>
      </c>
      <c r="N36" s="9" t="s">
        <v>36</v>
      </c>
      <c r="O36" s="9" t="s">
        <v>37</v>
      </c>
      <c r="P36" s="9" t="s">
        <v>37</v>
      </c>
      <c r="Q36" s="9" t="s">
        <v>37</v>
      </c>
      <c r="R36" s="33"/>
      <c r="S36" s="9" t="s">
        <v>37</v>
      </c>
      <c r="T36" s="9" t="s">
        <v>36</v>
      </c>
      <c r="U36" s="9" t="s">
        <v>37</v>
      </c>
      <c r="V36" s="9" t="s">
        <v>37</v>
      </c>
      <c r="W36" s="9" t="s">
        <v>37</v>
      </c>
      <c r="X36" s="9" t="s">
        <v>36</v>
      </c>
      <c r="Y36" s="33"/>
      <c r="Z36" s="9" t="s">
        <v>37</v>
      </c>
      <c r="AA36" s="9" t="s">
        <v>37</v>
      </c>
      <c r="AB36" s="9" t="s">
        <v>37</v>
      </c>
      <c r="AC36" s="9" t="s">
        <v>37</v>
      </c>
      <c r="AD36" s="9" t="s">
        <v>37</v>
      </c>
      <c r="AE36" s="9" t="s">
        <v>36</v>
      </c>
      <c r="AF36" s="33"/>
      <c r="AG36" s="9" t="s">
        <v>37</v>
      </c>
      <c r="AH36" s="9" t="s">
        <v>37</v>
      </c>
      <c r="AI36" s="9" t="s">
        <v>37</v>
      </c>
      <c r="AJ36" s="9" t="s">
        <v>37</v>
      </c>
      <c r="AK36" s="5">
        <f t="shared" si="1"/>
        <v>20</v>
      </c>
      <c r="AL36" s="5">
        <f t="shared" si="2"/>
        <v>6</v>
      </c>
    </row>
    <row r="37" spans="1:38" ht="16.5" x14ac:dyDescent="0.25">
      <c r="A37" s="10">
        <v>7</v>
      </c>
      <c r="B37" s="12"/>
      <c r="C37" s="13" t="s">
        <v>88</v>
      </c>
      <c r="D37" s="14" t="s">
        <v>89</v>
      </c>
      <c r="E37" s="8" t="s">
        <v>20</v>
      </c>
      <c r="F37" s="38" t="s">
        <v>37</v>
      </c>
      <c r="G37" s="38" t="s">
        <v>37</v>
      </c>
      <c r="H37" s="38" t="s">
        <v>37</v>
      </c>
      <c r="I37" s="38" t="s">
        <v>37</v>
      </c>
      <c r="J37" s="40"/>
      <c r="K37" s="33"/>
      <c r="L37" s="9" t="s">
        <v>37</v>
      </c>
      <c r="M37" s="9" t="s">
        <v>37</v>
      </c>
      <c r="N37" s="9" t="s">
        <v>37</v>
      </c>
      <c r="O37" s="9" t="s">
        <v>37</v>
      </c>
      <c r="P37" s="9" t="s">
        <v>37</v>
      </c>
      <c r="Q37" s="9" t="s">
        <v>36</v>
      </c>
      <c r="R37" s="33"/>
      <c r="S37" s="9" t="s">
        <v>36</v>
      </c>
      <c r="T37" s="9" t="s">
        <v>37</v>
      </c>
      <c r="U37" s="9" t="s">
        <v>37</v>
      </c>
      <c r="V37" s="9" t="s">
        <v>36</v>
      </c>
      <c r="W37" s="9" t="s">
        <v>37</v>
      </c>
      <c r="X37" s="9" t="s">
        <v>37</v>
      </c>
      <c r="Y37" s="33"/>
      <c r="Z37" s="9" t="s">
        <v>37</v>
      </c>
      <c r="AA37" s="9" t="s">
        <v>37</v>
      </c>
      <c r="AB37" s="9" t="s">
        <v>37</v>
      </c>
      <c r="AC37" s="9" t="s">
        <v>37</v>
      </c>
      <c r="AD37" s="9" t="s">
        <v>37</v>
      </c>
      <c r="AE37" s="9" t="s">
        <v>36</v>
      </c>
      <c r="AF37" s="33"/>
      <c r="AG37" s="9" t="s">
        <v>37</v>
      </c>
      <c r="AH37" s="9" t="s">
        <v>37</v>
      </c>
      <c r="AI37" s="9" t="s">
        <v>37</v>
      </c>
      <c r="AJ37" s="9" t="s">
        <v>37</v>
      </c>
      <c r="AK37" s="5">
        <f t="shared" si="1"/>
        <v>22</v>
      </c>
      <c r="AL37" s="5">
        <f t="shared" si="2"/>
        <v>4</v>
      </c>
    </row>
    <row r="38" spans="1:38" ht="16.5" x14ac:dyDescent="0.25">
      <c r="A38" s="6">
        <v>8</v>
      </c>
      <c r="B38" s="12"/>
      <c r="C38" s="13" t="s">
        <v>90</v>
      </c>
      <c r="D38" s="14" t="s">
        <v>30</v>
      </c>
      <c r="E38" s="8" t="s">
        <v>20</v>
      </c>
      <c r="F38" s="38" t="s">
        <v>37</v>
      </c>
      <c r="G38" s="38" t="s">
        <v>37</v>
      </c>
      <c r="H38" s="38" t="s">
        <v>37</v>
      </c>
      <c r="I38" s="38" t="s">
        <v>37</v>
      </c>
      <c r="J38" s="40"/>
      <c r="K38" s="33"/>
      <c r="L38" s="9" t="s">
        <v>37</v>
      </c>
      <c r="M38" s="9" t="s">
        <v>37</v>
      </c>
      <c r="N38" s="9" t="s">
        <v>37</v>
      </c>
      <c r="O38" s="9" t="s">
        <v>37</v>
      </c>
      <c r="P38" s="9" t="s">
        <v>36</v>
      </c>
      <c r="Q38" s="9" t="s">
        <v>37</v>
      </c>
      <c r="R38" s="33"/>
      <c r="S38" s="9" t="s">
        <v>37</v>
      </c>
      <c r="T38" s="9" t="s">
        <v>37</v>
      </c>
      <c r="U38" s="9" t="s">
        <v>37</v>
      </c>
      <c r="V38" s="9" t="s">
        <v>37</v>
      </c>
      <c r="W38" s="9" t="s">
        <v>37</v>
      </c>
      <c r="X38" s="9" t="s">
        <v>37</v>
      </c>
      <c r="Y38" s="33"/>
      <c r="Z38" s="9" t="s">
        <v>37</v>
      </c>
      <c r="AA38" s="9" t="s">
        <v>37</v>
      </c>
      <c r="AB38" s="9" t="s">
        <v>37</v>
      </c>
      <c r="AC38" s="9" t="s">
        <v>36</v>
      </c>
      <c r="AD38" s="9" t="s">
        <v>37</v>
      </c>
      <c r="AE38" s="9" t="s">
        <v>37</v>
      </c>
      <c r="AF38" s="33"/>
      <c r="AG38" s="9" t="s">
        <v>37</v>
      </c>
      <c r="AH38" s="9" t="s">
        <v>37</v>
      </c>
      <c r="AI38" s="9" t="s">
        <v>37</v>
      </c>
      <c r="AJ38" s="9" t="s">
        <v>37</v>
      </c>
      <c r="AK38" s="5">
        <f t="shared" si="1"/>
        <v>24</v>
      </c>
      <c r="AL38" s="5">
        <f t="shared" si="2"/>
        <v>2</v>
      </c>
    </row>
    <row r="39" spans="1:38" ht="16.5" x14ac:dyDescent="0.25">
      <c r="A39" s="10">
        <v>9</v>
      </c>
      <c r="B39" s="12"/>
      <c r="C39" s="13" t="s">
        <v>35</v>
      </c>
      <c r="D39" s="14" t="s">
        <v>91</v>
      </c>
      <c r="E39" s="8" t="s">
        <v>20</v>
      </c>
      <c r="F39" s="38" t="s">
        <v>37</v>
      </c>
      <c r="G39" s="38" t="s">
        <v>37</v>
      </c>
      <c r="H39" s="38" t="s">
        <v>37</v>
      </c>
      <c r="I39" s="38" t="s">
        <v>36</v>
      </c>
      <c r="J39" s="40"/>
      <c r="K39" s="33"/>
      <c r="L39" s="9" t="s">
        <v>37</v>
      </c>
      <c r="M39" s="9" t="s">
        <v>37</v>
      </c>
      <c r="N39" s="9" t="s">
        <v>37</v>
      </c>
      <c r="O39" s="9" t="s">
        <v>37</v>
      </c>
      <c r="P39" s="9" t="s">
        <v>37</v>
      </c>
      <c r="Q39" s="9" t="s">
        <v>37</v>
      </c>
      <c r="R39" s="33"/>
      <c r="S39" s="9" t="s">
        <v>37</v>
      </c>
      <c r="T39" s="9" t="s">
        <v>37</v>
      </c>
      <c r="U39" s="9" t="s">
        <v>37</v>
      </c>
      <c r="V39" s="9" t="s">
        <v>37</v>
      </c>
      <c r="W39" s="9" t="s">
        <v>37</v>
      </c>
      <c r="X39" s="9" t="s">
        <v>37</v>
      </c>
      <c r="Y39" s="33"/>
      <c r="Z39" s="9" t="s">
        <v>37</v>
      </c>
      <c r="AA39" s="9" t="s">
        <v>37</v>
      </c>
      <c r="AB39" s="9" t="s">
        <v>37</v>
      </c>
      <c r="AC39" s="9" t="s">
        <v>37</v>
      </c>
      <c r="AD39" s="9" t="s">
        <v>37</v>
      </c>
      <c r="AE39" s="9" t="s">
        <v>37</v>
      </c>
      <c r="AF39" s="33"/>
      <c r="AG39" s="9" t="s">
        <v>37</v>
      </c>
      <c r="AH39" s="9" t="s">
        <v>37</v>
      </c>
      <c r="AI39" s="9" t="s">
        <v>37</v>
      </c>
      <c r="AJ39" s="9" t="s">
        <v>37</v>
      </c>
      <c r="AK39" s="5">
        <f t="shared" si="1"/>
        <v>25</v>
      </c>
      <c r="AL39" s="5">
        <f t="shared" si="2"/>
        <v>1</v>
      </c>
    </row>
    <row r="40" spans="1:38" ht="16.5" x14ac:dyDescent="0.25">
      <c r="A40" s="6">
        <v>10</v>
      </c>
      <c r="B40" s="12"/>
      <c r="C40" s="13" t="s">
        <v>92</v>
      </c>
      <c r="D40" s="14" t="s">
        <v>28</v>
      </c>
      <c r="E40" s="8" t="s">
        <v>20</v>
      </c>
      <c r="F40" s="38" t="s">
        <v>37</v>
      </c>
      <c r="G40" s="38" t="s">
        <v>37</v>
      </c>
      <c r="H40" s="38" t="s">
        <v>37</v>
      </c>
      <c r="I40" s="38" t="s">
        <v>36</v>
      </c>
      <c r="J40" s="40"/>
      <c r="K40" s="33"/>
      <c r="L40" s="9" t="s">
        <v>37</v>
      </c>
      <c r="M40" s="9" t="s">
        <v>37</v>
      </c>
      <c r="N40" s="9" t="s">
        <v>37</v>
      </c>
      <c r="O40" s="9" t="s">
        <v>37</v>
      </c>
      <c r="P40" s="9" t="s">
        <v>37</v>
      </c>
      <c r="Q40" s="9" t="s">
        <v>37</v>
      </c>
      <c r="R40" s="33"/>
      <c r="S40" s="9" t="s">
        <v>37</v>
      </c>
      <c r="T40" s="9" t="s">
        <v>36</v>
      </c>
      <c r="U40" s="9" t="s">
        <v>36</v>
      </c>
      <c r="V40" s="9" t="s">
        <v>37</v>
      </c>
      <c r="W40" s="9" t="s">
        <v>36</v>
      </c>
      <c r="X40" s="9" t="s">
        <v>37</v>
      </c>
      <c r="Y40" s="33"/>
      <c r="Z40" s="9" t="s">
        <v>36</v>
      </c>
      <c r="AA40" s="9" t="s">
        <v>37</v>
      </c>
      <c r="AB40" s="9" t="s">
        <v>37</v>
      </c>
      <c r="AC40" s="9" t="s">
        <v>37</v>
      </c>
      <c r="AD40" s="9" t="s">
        <v>37</v>
      </c>
      <c r="AE40" s="9" t="s">
        <v>36</v>
      </c>
      <c r="AF40" s="33"/>
      <c r="AG40" s="9" t="s">
        <v>37</v>
      </c>
      <c r="AH40" s="9" t="s">
        <v>37</v>
      </c>
      <c r="AI40" s="9" t="s">
        <v>37</v>
      </c>
      <c r="AJ40" s="9" t="s">
        <v>37</v>
      </c>
      <c r="AK40" s="5">
        <f t="shared" si="1"/>
        <v>20</v>
      </c>
      <c r="AL40" s="5">
        <f t="shared" si="2"/>
        <v>6</v>
      </c>
    </row>
    <row r="41" spans="1:38" ht="16.5" x14ac:dyDescent="0.25">
      <c r="A41" s="10">
        <v>11</v>
      </c>
      <c r="B41" s="12"/>
      <c r="C41" s="13" t="s">
        <v>93</v>
      </c>
      <c r="D41" s="14" t="s">
        <v>50</v>
      </c>
      <c r="E41" s="8" t="s">
        <v>20</v>
      </c>
      <c r="F41" s="38" t="s">
        <v>37</v>
      </c>
      <c r="G41" s="38" t="s">
        <v>37</v>
      </c>
      <c r="H41" s="38" t="s">
        <v>37</v>
      </c>
      <c r="I41" s="38" t="s">
        <v>37</v>
      </c>
      <c r="J41" s="40"/>
      <c r="K41" s="33"/>
      <c r="L41" s="9" t="s">
        <v>37</v>
      </c>
      <c r="M41" s="9" t="s">
        <v>37</v>
      </c>
      <c r="N41" s="9" t="s">
        <v>37</v>
      </c>
      <c r="O41" s="9" t="s">
        <v>37</v>
      </c>
      <c r="P41" s="9" t="s">
        <v>37</v>
      </c>
      <c r="Q41" s="9" t="s">
        <v>37</v>
      </c>
      <c r="R41" s="33"/>
      <c r="S41" s="9" t="s">
        <v>37</v>
      </c>
      <c r="T41" s="9" t="s">
        <v>37</v>
      </c>
      <c r="U41" s="9" t="s">
        <v>37</v>
      </c>
      <c r="V41" s="9" t="s">
        <v>37</v>
      </c>
      <c r="W41" s="9" t="s">
        <v>37</v>
      </c>
      <c r="X41" s="9" t="s">
        <v>37</v>
      </c>
      <c r="Y41" s="33"/>
      <c r="Z41" s="9" t="s">
        <v>37</v>
      </c>
      <c r="AA41" s="9" t="s">
        <v>37</v>
      </c>
      <c r="AB41" s="9" t="s">
        <v>37</v>
      </c>
      <c r="AC41" s="9" t="s">
        <v>37</v>
      </c>
      <c r="AD41" s="9" t="s">
        <v>37</v>
      </c>
      <c r="AE41" s="9" t="s">
        <v>37</v>
      </c>
      <c r="AF41" s="33"/>
      <c r="AG41" s="9" t="s">
        <v>37</v>
      </c>
      <c r="AH41" s="9" t="s">
        <v>37</v>
      </c>
      <c r="AI41" s="9" t="s">
        <v>37</v>
      </c>
      <c r="AJ41" s="9" t="s">
        <v>37</v>
      </c>
      <c r="AK41" s="5">
        <f t="shared" si="1"/>
        <v>26</v>
      </c>
      <c r="AL41" s="5">
        <f t="shared" si="2"/>
        <v>0</v>
      </c>
    </row>
    <row r="42" spans="1:38" ht="16.5" x14ac:dyDescent="0.25">
      <c r="A42" s="6">
        <v>12</v>
      </c>
      <c r="B42" s="12"/>
      <c r="C42" s="13" t="s">
        <v>43</v>
      </c>
      <c r="D42" s="14" t="s">
        <v>45</v>
      </c>
      <c r="E42" s="8" t="s">
        <v>20</v>
      </c>
      <c r="F42" s="38" t="s">
        <v>37</v>
      </c>
      <c r="G42" s="38" t="s">
        <v>37</v>
      </c>
      <c r="H42" s="38" t="s">
        <v>37</v>
      </c>
      <c r="I42" s="38" t="s">
        <v>37</v>
      </c>
      <c r="J42" s="40"/>
      <c r="K42" s="33"/>
      <c r="L42" s="9" t="s">
        <v>37</v>
      </c>
      <c r="M42" s="9" t="s">
        <v>37</v>
      </c>
      <c r="N42" s="9" t="s">
        <v>37</v>
      </c>
      <c r="O42" s="9" t="s">
        <v>37</v>
      </c>
      <c r="P42" s="9" t="s">
        <v>37</v>
      </c>
      <c r="Q42" s="9" t="s">
        <v>37</v>
      </c>
      <c r="R42" s="33"/>
      <c r="S42" s="9" t="s">
        <v>37</v>
      </c>
      <c r="T42" s="9" t="s">
        <v>36</v>
      </c>
      <c r="U42" s="9" t="s">
        <v>123</v>
      </c>
      <c r="V42" s="9" t="s">
        <v>123</v>
      </c>
      <c r="W42" s="9" t="s">
        <v>123</v>
      </c>
      <c r="X42" s="9" t="s">
        <v>123</v>
      </c>
      <c r="Y42" s="33"/>
      <c r="Z42" s="9" t="s">
        <v>123</v>
      </c>
      <c r="AA42" s="9" t="s">
        <v>123</v>
      </c>
      <c r="AB42" s="9" t="s">
        <v>123</v>
      </c>
      <c r="AC42" s="9" t="s">
        <v>123</v>
      </c>
      <c r="AD42" s="9" t="s">
        <v>123</v>
      </c>
      <c r="AE42" s="9" t="s">
        <v>36</v>
      </c>
      <c r="AF42" s="33"/>
      <c r="AG42" s="9" t="s">
        <v>37</v>
      </c>
      <c r="AH42" s="9" t="s">
        <v>36</v>
      </c>
      <c r="AI42" s="9" t="s">
        <v>36</v>
      </c>
      <c r="AJ42" s="9" t="s">
        <v>36</v>
      </c>
      <c r="AK42" s="5">
        <f t="shared" si="1"/>
        <v>12</v>
      </c>
      <c r="AL42" s="5">
        <f t="shared" si="2"/>
        <v>5</v>
      </c>
    </row>
    <row r="43" spans="1:38" ht="16.5" x14ac:dyDescent="0.25">
      <c r="A43" s="10">
        <v>13</v>
      </c>
      <c r="B43" s="12"/>
      <c r="C43" s="13" t="s">
        <v>94</v>
      </c>
      <c r="D43" s="14" t="s">
        <v>95</v>
      </c>
      <c r="E43" s="8" t="s">
        <v>20</v>
      </c>
      <c r="F43" s="38" t="s">
        <v>37</v>
      </c>
      <c r="G43" s="38" t="s">
        <v>37</v>
      </c>
      <c r="H43" s="38" t="s">
        <v>37</v>
      </c>
      <c r="I43" s="38" t="s">
        <v>37</v>
      </c>
      <c r="J43" s="40"/>
      <c r="K43" s="33"/>
      <c r="L43" s="9" t="s">
        <v>37</v>
      </c>
      <c r="M43" s="9" t="s">
        <v>37</v>
      </c>
      <c r="N43" s="9" t="s">
        <v>36</v>
      </c>
      <c r="O43" s="9" t="s">
        <v>37</v>
      </c>
      <c r="P43" s="9" t="s">
        <v>37</v>
      </c>
      <c r="Q43" s="9" t="s">
        <v>37</v>
      </c>
      <c r="R43" s="33"/>
      <c r="S43" s="9" t="s">
        <v>37</v>
      </c>
      <c r="T43" s="9" t="s">
        <v>37</v>
      </c>
      <c r="U43" s="9" t="s">
        <v>37</v>
      </c>
      <c r="V43" s="9" t="s">
        <v>36</v>
      </c>
      <c r="W43" s="9" t="s">
        <v>37</v>
      </c>
      <c r="X43" s="9" t="s">
        <v>37</v>
      </c>
      <c r="Y43" s="33"/>
      <c r="Z43" s="9" t="s">
        <v>36</v>
      </c>
      <c r="AA43" s="9" t="s">
        <v>37</v>
      </c>
      <c r="AB43" s="9" t="s">
        <v>37</v>
      </c>
      <c r="AC43" s="9" t="s">
        <v>37</v>
      </c>
      <c r="AD43" s="9" t="s">
        <v>37</v>
      </c>
      <c r="AE43" s="9" t="s">
        <v>36</v>
      </c>
      <c r="AF43" s="33"/>
      <c r="AG43" s="9" t="s">
        <v>37</v>
      </c>
      <c r="AH43" s="9" t="s">
        <v>37</v>
      </c>
      <c r="AI43" s="9" t="s">
        <v>37</v>
      </c>
      <c r="AJ43" s="9" t="s">
        <v>37</v>
      </c>
      <c r="AK43" s="5">
        <f t="shared" si="1"/>
        <v>22</v>
      </c>
      <c r="AL43" s="5">
        <f t="shared" si="2"/>
        <v>4</v>
      </c>
    </row>
    <row r="44" spans="1:38" ht="16.5" x14ac:dyDescent="0.25">
      <c r="A44" s="6">
        <v>14</v>
      </c>
      <c r="B44" s="12"/>
      <c r="C44" s="13" t="s">
        <v>96</v>
      </c>
      <c r="D44" s="14" t="s">
        <v>34</v>
      </c>
      <c r="E44" s="8" t="s">
        <v>20</v>
      </c>
      <c r="F44" s="38" t="s">
        <v>37</v>
      </c>
      <c r="G44" s="38" t="s">
        <v>37</v>
      </c>
      <c r="H44" s="38" t="s">
        <v>37</v>
      </c>
      <c r="I44" s="38" t="s">
        <v>37</v>
      </c>
      <c r="J44" s="40"/>
      <c r="K44" s="33"/>
      <c r="L44" s="9" t="s">
        <v>37</v>
      </c>
      <c r="M44" s="9" t="s">
        <v>37</v>
      </c>
      <c r="N44" s="9" t="s">
        <v>37</v>
      </c>
      <c r="O44" s="9" t="s">
        <v>37</v>
      </c>
      <c r="P44" s="9" t="s">
        <v>37</v>
      </c>
      <c r="Q44" s="9" t="s">
        <v>37</v>
      </c>
      <c r="R44" s="33"/>
      <c r="S44" s="9" t="s">
        <v>37</v>
      </c>
      <c r="T44" s="9" t="s">
        <v>37</v>
      </c>
      <c r="U44" s="9" t="s">
        <v>37</v>
      </c>
      <c r="V44" s="9" t="s">
        <v>37</v>
      </c>
      <c r="W44" s="9" t="s">
        <v>37</v>
      </c>
      <c r="X44" s="9" t="s">
        <v>37</v>
      </c>
      <c r="Y44" s="33"/>
      <c r="Z44" s="9" t="s">
        <v>37</v>
      </c>
      <c r="AA44" s="9" t="s">
        <v>37</v>
      </c>
      <c r="AB44" s="9" t="s">
        <v>37</v>
      </c>
      <c r="AC44" s="9" t="s">
        <v>37</v>
      </c>
      <c r="AD44" s="9" t="s">
        <v>37</v>
      </c>
      <c r="AE44" s="9" t="s">
        <v>37</v>
      </c>
      <c r="AF44" s="33"/>
      <c r="AG44" s="9" t="s">
        <v>37</v>
      </c>
      <c r="AH44" s="9" t="s">
        <v>37</v>
      </c>
      <c r="AI44" s="9" t="s">
        <v>37</v>
      </c>
      <c r="AJ44" s="9" t="s">
        <v>37</v>
      </c>
      <c r="AK44" s="5">
        <f t="shared" si="1"/>
        <v>26</v>
      </c>
      <c r="AL44" s="5">
        <f t="shared" si="2"/>
        <v>0</v>
      </c>
    </row>
    <row r="45" spans="1:38" ht="16.5" x14ac:dyDescent="0.25">
      <c r="A45" s="10">
        <v>15</v>
      </c>
      <c r="B45" s="12"/>
      <c r="C45" s="13" t="s">
        <v>97</v>
      </c>
      <c r="D45" s="14" t="s">
        <v>98</v>
      </c>
      <c r="E45" s="8" t="s">
        <v>20</v>
      </c>
      <c r="F45" s="38" t="s">
        <v>37</v>
      </c>
      <c r="G45" s="38" t="s">
        <v>37</v>
      </c>
      <c r="H45" s="38" t="s">
        <v>36</v>
      </c>
      <c r="I45" s="38" t="s">
        <v>37</v>
      </c>
      <c r="J45" s="40"/>
      <c r="K45" s="33"/>
      <c r="L45" s="9" t="s">
        <v>37</v>
      </c>
      <c r="M45" s="9" t="s">
        <v>37</v>
      </c>
      <c r="N45" s="9" t="s">
        <v>36</v>
      </c>
      <c r="O45" s="9" t="s">
        <v>37</v>
      </c>
      <c r="P45" s="9" t="s">
        <v>37</v>
      </c>
      <c r="Q45" s="9" t="s">
        <v>36</v>
      </c>
      <c r="R45" s="33"/>
      <c r="S45" s="9" t="s">
        <v>37</v>
      </c>
      <c r="T45" s="9" t="s">
        <v>37</v>
      </c>
      <c r="U45" s="9" t="s">
        <v>37</v>
      </c>
      <c r="V45" s="9" t="s">
        <v>36</v>
      </c>
      <c r="W45" s="9" t="s">
        <v>37</v>
      </c>
      <c r="X45" s="9" t="s">
        <v>37</v>
      </c>
      <c r="Y45" s="33"/>
      <c r="Z45" s="9" t="s">
        <v>37</v>
      </c>
      <c r="AA45" s="9" t="s">
        <v>37</v>
      </c>
      <c r="AB45" s="9" t="s">
        <v>37</v>
      </c>
      <c r="AC45" s="9" t="s">
        <v>37</v>
      </c>
      <c r="AD45" s="9" t="s">
        <v>36</v>
      </c>
      <c r="AE45" s="9" t="s">
        <v>37</v>
      </c>
      <c r="AF45" s="33"/>
      <c r="AG45" s="9" t="s">
        <v>37</v>
      </c>
      <c r="AH45" s="9" t="s">
        <v>37</v>
      </c>
      <c r="AI45" s="9" t="s">
        <v>37</v>
      </c>
      <c r="AJ45" s="9" t="s">
        <v>37</v>
      </c>
      <c r="AK45" s="5">
        <f t="shared" si="1"/>
        <v>21</v>
      </c>
      <c r="AL45" s="5">
        <f t="shared" si="2"/>
        <v>5</v>
      </c>
    </row>
    <row r="46" spans="1:38" ht="16.5" x14ac:dyDescent="0.25">
      <c r="A46" s="6">
        <v>16</v>
      </c>
      <c r="B46" s="12"/>
      <c r="C46" s="13" t="s">
        <v>99</v>
      </c>
      <c r="D46" s="14" t="s">
        <v>41</v>
      </c>
      <c r="E46" s="8" t="s">
        <v>20</v>
      </c>
      <c r="F46" s="38" t="s">
        <v>37</v>
      </c>
      <c r="G46" s="38" t="s">
        <v>37</v>
      </c>
      <c r="H46" s="38" t="s">
        <v>37</v>
      </c>
      <c r="I46" s="38" t="s">
        <v>37</v>
      </c>
      <c r="J46" s="40"/>
      <c r="K46" s="33"/>
      <c r="L46" s="9" t="s">
        <v>37</v>
      </c>
      <c r="M46" s="9" t="s">
        <v>37</v>
      </c>
      <c r="N46" s="9" t="s">
        <v>37</v>
      </c>
      <c r="O46" s="9" t="s">
        <v>37</v>
      </c>
      <c r="P46" s="9" t="s">
        <v>37</v>
      </c>
      <c r="Q46" s="9" t="s">
        <v>37</v>
      </c>
      <c r="R46" s="33"/>
      <c r="S46" s="9" t="s">
        <v>37</v>
      </c>
      <c r="T46" s="9" t="s">
        <v>37</v>
      </c>
      <c r="U46" s="9" t="s">
        <v>37</v>
      </c>
      <c r="V46" s="9" t="s">
        <v>37</v>
      </c>
      <c r="W46" s="9" t="s">
        <v>37</v>
      </c>
      <c r="X46" s="9" t="s">
        <v>37</v>
      </c>
      <c r="Y46" s="33"/>
      <c r="Z46" s="9" t="s">
        <v>37</v>
      </c>
      <c r="AA46" s="9" t="s">
        <v>37</v>
      </c>
      <c r="AB46" s="9" t="s">
        <v>37</v>
      </c>
      <c r="AC46" s="9" t="s">
        <v>37</v>
      </c>
      <c r="AD46" s="9" t="s">
        <v>37</v>
      </c>
      <c r="AE46" s="9" t="s">
        <v>37</v>
      </c>
      <c r="AF46" s="33"/>
      <c r="AG46" s="9" t="s">
        <v>37</v>
      </c>
      <c r="AH46" s="9" t="s">
        <v>37</v>
      </c>
      <c r="AI46" s="9" t="s">
        <v>37</v>
      </c>
      <c r="AJ46" s="9" t="s">
        <v>37</v>
      </c>
      <c r="AK46" s="5">
        <f t="shared" si="1"/>
        <v>26</v>
      </c>
      <c r="AL46" s="5">
        <f t="shared" si="2"/>
        <v>0</v>
      </c>
    </row>
    <row r="47" spans="1:38" ht="16.5" x14ac:dyDescent="0.25">
      <c r="A47" s="10">
        <v>17</v>
      </c>
      <c r="B47" s="12"/>
      <c r="C47" s="13" t="s">
        <v>100</v>
      </c>
      <c r="D47" s="14" t="s">
        <v>32</v>
      </c>
      <c r="E47" s="8" t="s">
        <v>20</v>
      </c>
      <c r="F47" s="38" t="s">
        <v>36</v>
      </c>
      <c r="G47" s="38" t="s">
        <v>37</v>
      </c>
      <c r="H47" s="38" t="s">
        <v>37</v>
      </c>
      <c r="I47" s="38" t="s">
        <v>36</v>
      </c>
      <c r="J47" s="40"/>
      <c r="K47" s="33"/>
      <c r="L47" s="9" t="s">
        <v>37</v>
      </c>
      <c r="M47" s="9" t="s">
        <v>37</v>
      </c>
      <c r="N47" s="9" t="s">
        <v>37</v>
      </c>
      <c r="O47" s="9" t="s">
        <v>37</v>
      </c>
      <c r="P47" s="9" t="s">
        <v>37</v>
      </c>
      <c r="Q47" s="9" t="s">
        <v>37</v>
      </c>
      <c r="R47" s="33"/>
      <c r="S47" s="9" t="s">
        <v>37</v>
      </c>
      <c r="T47" s="9" t="s">
        <v>37</v>
      </c>
      <c r="U47" s="9" t="s">
        <v>37</v>
      </c>
      <c r="V47" s="9" t="s">
        <v>37</v>
      </c>
      <c r="W47" s="9" t="s">
        <v>37</v>
      </c>
      <c r="X47" s="9" t="s">
        <v>37</v>
      </c>
      <c r="Y47" s="33"/>
      <c r="Z47" s="9" t="s">
        <v>37</v>
      </c>
      <c r="AA47" s="9" t="s">
        <v>36</v>
      </c>
      <c r="AB47" s="9" t="s">
        <v>36</v>
      </c>
      <c r="AC47" s="9" t="s">
        <v>36</v>
      </c>
      <c r="AD47" s="9" t="s">
        <v>36</v>
      </c>
      <c r="AE47" s="9" t="s">
        <v>37</v>
      </c>
      <c r="AF47" s="33"/>
      <c r="AG47" s="9" t="s">
        <v>37</v>
      </c>
      <c r="AH47" s="9" t="s">
        <v>37</v>
      </c>
      <c r="AI47" s="9" t="s">
        <v>37</v>
      </c>
      <c r="AJ47" s="9" t="s">
        <v>37</v>
      </c>
      <c r="AK47" s="5">
        <f t="shared" si="1"/>
        <v>20</v>
      </c>
      <c r="AL47" s="5">
        <f t="shared" si="2"/>
        <v>6</v>
      </c>
    </row>
    <row r="48" spans="1:38" ht="16.5" x14ac:dyDescent="0.25">
      <c r="A48" s="6">
        <v>18</v>
      </c>
      <c r="B48" s="12"/>
      <c r="C48" s="13" t="s">
        <v>101</v>
      </c>
      <c r="D48" s="14" t="s">
        <v>27</v>
      </c>
      <c r="E48" s="8" t="s">
        <v>20</v>
      </c>
      <c r="F48" s="38" t="s">
        <v>37</v>
      </c>
      <c r="G48" s="38" t="s">
        <v>37</v>
      </c>
      <c r="H48" s="38" t="s">
        <v>37</v>
      </c>
      <c r="I48" s="38" t="s">
        <v>37</v>
      </c>
      <c r="J48" s="40"/>
      <c r="K48" s="33"/>
      <c r="L48" s="9" t="s">
        <v>37</v>
      </c>
      <c r="M48" s="9" t="s">
        <v>37</v>
      </c>
      <c r="N48" s="9" t="s">
        <v>37</v>
      </c>
      <c r="O48" s="9" t="s">
        <v>37</v>
      </c>
      <c r="P48" s="9" t="s">
        <v>37</v>
      </c>
      <c r="Q48" s="9" t="s">
        <v>36</v>
      </c>
      <c r="R48" s="33"/>
      <c r="S48" s="9" t="s">
        <v>37</v>
      </c>
      <c r="T48" s="9" t="s">
        <v>37</v>
      </c>
      <c r="U48" s="9" t="s">
        <v>37</v>
      </c>
      <c r="V48" s="9" t="s">
        <v>37</v>
      </c>
      <c r="W48" s="9" t="s">
        <v>37</v>
      </c>
      <c r="X48" s="9" t="s">
        <v>36</v>
      </c>
      <c r="Y48" s="33"/>
      <c r="Z48" s="9" t="s">
        <v>37</v>
      </c>
      <c r="AA48" s="9" t="s">
        <v>37</v>
      </c>
      <c r="AB48" s="9" t="s">
        <v>37</v>
      </c>
      <c r="AC48" s="9" t="s">
        <v>37</v>
      </c>
      <c r="AD48" s="9" t="s">
        <v>37</v>
      </c>
      <c r="AE48" s="9" t="s">
        <v>37</v>
      </c>
      <c r="AF48" s="33"/>
      <c r="AG48" s="9" t="s">
        <v>37</v>
      </c>
      <c r="AH48" s="9" t="s">
        <v>37</v>
      </c>
      <c r="AI48" s="9" t="s">
        <v>37</v>
      </c>
      <c r="AJ48" s="9" t="s">
        <v>37</v>
      </c>
      <c r="AK48" s="5">
        <f t="shared" si="1"/>
        <v>24</v>
      </c>
      <c r="AL48" s="5">
        <f t="shared" si="2"/>
        <v>2</v>
      </c>
    </row>
    <row r="49" spans="1:38" ht="16.5" x14ac:dyDescent="0.25">
      <c r="A49" s="10">
        <v>19</v>
      </c>
      <c r="B49" s="12"/>
      <c r="C49" s="13" t="s">
        <v>102</v>
      </c>
      <c r="D49" s="14" t="s">
        <v>103</v>
      </c>
      <c r="E49" s="8" t="s">
        <v>20</v>
      </c>
      <c r="F49" s="38" t="s">
        <v>37</v>
      </c>
      <c r="G49" s="38" t="s">
        <v>37</v>
      </c>
      <c r="H49" s="38" t="s">
        <v>37</v>
      </c>
      <c r="I49" s="38" t="s">
        <v>37</v>
      </c>
      <c r="J49" s="40"/>
      <c r="K49" s="33"/>
      <c r="L49" s="9" t="s">
        <v>37</v>
      </c>
      <c r="M49" s="9" t="s">
        <v>37</v>
      </c>
      <c r="N49" s="9" t="s">
        <v>37</v>
      </c>
      <c r="O49" s="9" t="s">
        <v>37</v>
      </c>
      <c r="P49" s="9" t="s">
        <v>37</v>
      </c>
      <c r="Q49" s="9" t="s">
        <v>36</v>
      </c>
      <c r="R49" s="33"/>
      <c r="S49" s="9" t="s">
        <v>37</v>
      </c>
      <c r="T49" s="9" t="s">
        <v>37</v>
      </c>
      <c r="U49" s="9" t="s">
        <v>37</v>
      </c>
      <c r="V49" s="9" t="s">
        <v>37</v>
      </c>
      <c r="W49" s="9" t="s">
        <v>37</v>
      </c>
      <c r="X49" s="9" t="s">
        <v>37</v>
      </c>
      <c r="Y49" s="33"/>
      <c r="Z49" s="9" t="s">
        <v>37</v>
      </c>
      <c r="AA49" s="9" t="s">
        <v>37</v>
      </c>
      <c r="AB49" s="9" t="s">
        <v>37</v>
      </c>
      <c r="AC49" s="9" t="s">
        <v>37</v>
      </c>
      <c r="AD49" s="9" t="s">
        <v>37</v>
      </c>
      <c r="AE49" s="9" t="s">
        <v>36</v>
      </c>
      <c r="AF49" s="33"/>
      <c r="AG49" s="9" t="s">
        <v>37</v>
      </c>
      <c r="AH49" s="9" t="s">
        <v>37</v>
      </c>
      <c r="AI49" s="9" t="s">
        <v>37</v>
      </c>
      <c r="AJ49" s="9" t="s">
        <v>37</v>
      </c>
      <c r="AK49" s="5">
        <f t="shared" si="1"/>
        <v>24</v>
      </c>
      <c r="AL49" s="5">
        <f t="shared" si="2"/>
        <v>2</v>
      </c>
    </row>
    <row r="50" spans="1:38" ht="16.5" x14ac:dyDescent="0.25">
      <c r="A50" s="6">
        <v>20</v>
      </c>
      <c r="B50" s="12"/>
      <c r="C50" s="13" t="s">
        <v>104</v>
      </c>
      <c r="D50" s="14" t="s">
        <v>105</v>
      </c>
      <c r="E50" s="8" t="s">
        <v>20</v>
      </c>
      <c r="F50" s="38" t="s">
        <v>37</v>
      </c>
      <c r="G50" s="38" t="s">
        <v>37</v>
      </c>
      <c r="H50" s="38" t="s">
        <v>37</v>
      </c>
      <c r="I50" s="38" t="s">
        <v>37</v>
      </c>
      <c r="J50" s="40"/>
      <c r="K50" s="33"/>
      <c r="L50" s="9" t="s">
        <v>37</v>
      </c>
      <c r="M50" s="9" t="s">
        <v>37</v>
      </c>
      <c r="N50" s="9" t="s">
        <v>37</v>
      </c>
      <c r="O50" s="9" t="s">
        <v>37</v>
      </c>
      <c r="P50" s="9" t="s">
        <v>37</v>
      </c>
      <c r="Q50" s="9" t="s">
        <v>37</v>
      </c>
      <c r="R50" s="33"/>
      <c r="S50" s="9" t="s">
        <v>37</v>
      </c>
      <c r="T50" s="9" t="s">
        <v>37</v>
      </c>
      <c r="U50" s="9" t="s">
        <v>37</v>
      </c>
      <c r="V50" s="9" t="s">
        <v>37</v>
      </c>
      <c r="W50" s="9" t="s">
        <v>37</v>
      </c>
      <c r="X50" s="9" t="s">
        <v>37</v>
      </c>
      <c r="Y50" s="33"/>
      <c r="Z50" s="9" t="s">
        <v>37</v>
      </c>
      <c r="AA50" s="9" t="s">
        <v>37</v>
      </c>
      <c r="AB50" s="9" t="s">
        <v>37</v>
      </c>
      <c r="AC50" s="9" t="s">
        <v>37</v>
      </c>
      <c r="AD50" s="9" t="s">
        <v>37</v>
      </c>
      <c r="AE50" s="9" t="s">
        <v>37</v>
      </c>
      <c r="AF50" s="33"/>
      <c r="AG50" s="9" t="s">
        <v>37</v>
      </c>
      <c r="AH50" s="9" t="s">
        <v>37</v>
      </c>
      <c r="AI50" s="9" t="s">
        <v>37</v>
      </c>
      <c r="AJ50" s="9" t="s">
        <v>37</v>
      </c>
      <c r="AK50" s="5">
        <f t="shared" si="1"/>
        <v>26</v>
      </c>
      <c r="AL50" s="5">
        <f t="shared" si="2"/>
        <v>0</v>
      </c>
    </row>
    <row r="51" spans="1:38" ht="16.5" x14ac:dyDescent="0.25">
      <c r="A51" s="10">
        <v>21</v>
      </c>
      <c r="B51" s="12"/>
      <c r="C51" s="13" t="s">
        <v>106</v>
      </c>
      <c r="D51" s="14" t="s">
        <v>107</v>
      </c>
      <c r="E51" s="8" t="s">
        <v>20</v>
      </c>
      <c r="F51" s="38" t="s">
        <v>36</v>
      </c>
      <c r="G51" s="38" t="s">
        <v>36</v>
      </c>
      <c r="H51" s="38" t="s">
        <v>36</v>
      </c>
      <c r="I51" s="38" t="s">
        <v>36</v>
      </c>
      <c r="J51" s="40"/>
      <c r="K51" s="33"/>
      <c r="L51" s="9" t="s">
        <v>37</v>
      </c>
      <c r="M51" s="9" t="s">
        <v>36</v>
      </c>
      <c r="N51" s="9" t="s">
        <v>36</v>
      </c>
      <c r="O51" s="9" t="s">
        <v>36</v>
      </c>
      <c r="P51" s="9" t="s">
        <v>37</v>
      </c>
      <c r="Q51" s="9" t="s">
        <v>123</v>
      </c>
      <c r="R51" s="33"/>
      <c r="S51" s="9" t="s">
        <v>123</v>
      </c>
      <c r="T51" s="9" t="s">
        <v>123</v>
      </c>
      <c r="U51" s="9" t="s">
        <v>123</v>
      </c>
      <c r="V51" s="9" t="s">
        <v>123</v>
      </c>
      <c r="W51" s="9" t="s">
        <v>123</v>
      </c>
      <c r="X51" s="9" t="s">
        <v>123</v>
      </c>
      <c r="Y51" s="33"/>
      <c r="Z51" s="9" t="s">
        <v>37</v>
      </c>
      <c r="AA51" s="9" t="s">
        <v>37</v>
      </c>
      <c r="AB51" s="9" t="s">
        <v>37</v>
      </c>
      <c r="AC51" s="9" t="s">
        <v>37</v>
      </c>
      <c r="AD51" s="9" t="s">
        <v>36</v>
      </c>
      <c r="AE51" s="9" t="s">
        <v>36</v>
      </c>
      <c r="AF51" s="33"/>
      <c r="AG51" s="9" t="s">
        <v>36</v>
      </c>
      <c r="AH51" s="9" t="s">
        <v>36</v>
      </c>
      <c r="AI51" s="9" t="s">
        <v>36</v>
      </c>
      <c r="AJ51" s="9" t="s">
        <v>36</v>
      </c>
      <c r="AK51" s="5">
        <f t="shared" si="1"/>
        <v>6</v>
      </c>
      <c r="AL51" s="5">
        <f t="shared" si="2"/>
        <v>13</v>
      </c>
    </row>
    <row r="52" spans="1:38" ht="16.5" x14ac:dyDescent="0.25">
      <c r="A52" s="6">
        <v>22</v>
      </c>
      <c r="B52" s="12"/>
      <c r="C52" s="13" t="s">
        <v>52</v>
      </c>
      <c r="D52" s="14" t="s">
        <v>108</v>
      </c>
      <c r="E52" s="8" t="s">
        <v>20</v>
      </c>
      <c r="F52" s="38" t="s">
        <v>37</v>
      </c>
      <c r="G52" s="38" t="s">
        <v>37</v>
      </c>
      <c r="H52" s="38" t="s">
        <v>37</v>
      </c>
      <c r="I52" s="38" t="s">
        <v>37</v>
      </c>
      <c r="J52" s="40"/>
      <c r="K52" s="33"/>
      <c r="L52" s="9" t="s">
        <v>36</v>
      </c>
      <c r="M52" s="9" t="s">
        <v>37</v>
      </c>
      <c r="N52" s="9" t="s">
        <v>36</v>
      </c>
      <c r="O52" s="9" t="s">
        <v>37</v>
      </c>
      <c r="P52" s="9" t="s">
        <v>37</v>
      </c>
      <c r="Q52" s="9" t="s">
        <v>36</v>
      </c>
      <c r="R52" s="33"/>
      <c r="S52" s="9" t="s">
        <v>37</v>
      </c>
      <c r="T52" s="9" t="s">
        <v>37</v>
      </c>
      <c r="U52" s="9" t="s">
        <v>37</v>
      </c>
      <c r="V52" s="9" t="s">
        <v>36</v>
      </c>
      <c r="W52" s="9" t="s">
        <v>37</v>
      </c>
      <c r="X52" s="9" t="s">
        <v>36</v>
      </c>
      <c r="Y52" s="33"/>
      <c r="Z52" s="9" t="s">
        <v>37</v>
      </c>
      <c r="AA52" s="9" t="s">
        <v>37</v>
      </c>
      <c r="AB52" s="9" t="s">
        <v>36</v>
      </c>
      <c r="AC52" s="9" t="s">
        <v>36</v>
      </c>
      <c r="AD52" s="9" t="s">
        <v>36</v>
      </c>
      <c r="AE52" s="9" t="s">
        <v>36</v>
      </c>
      <c r="AF52" s="33"/>
      <c r="AG52" s="9" t="s">
        <v>37</v>
      </c>
      <c r="AH52" s="9" t="s">
        <v>37</v>
      </c>
      <c r="AI52" s="9" t="s">
        <v>37</v>
      </c>
      <c r="AJ52" s="9" t="s">
        <v>37</v>
      </c>
      <c r="AK52" s="5">
        <f t="shared" si="1"/>
        <v>17</v>
      </c>
      <c r="AL52" s="5">
        <f t="shared" si="2"/>
        <v>9</v>
      </c>
    </row>
    <row r="53" spans="1:38" ht="16.5" x14ac:dyDescent="0.25">
      <c r="A53" s="10">
        <v>23</v>
      </c>
      <c r="B53" s="12"/>
      <c r="C53" s="13" t="s">
        <v>109</v>
      </c>
      <c r="D53" s="14" t="s">
        <v>110</v>
      </c>
      <c r="E53" s="8" t="s">
        <v>20</v>
      </c>
      <c r="F53" s="38" t="s">
        <v>37</v>
      </c>
      <c r="G53" s="38" t="s">
        <v>37</v>
      </c>
      <c r="H53" s="38" t="s">
        <v>37</v>
      </c>
      <c r="I53" s="38" t="s">
        <v>37</v>
      </c>
      <c r="J53" s="40"/>
      <c r="K53" s="33"/>
      <c r="L53" s="9" t="s">
        <v>36</v>
      </c>
      <c r="M53" s="9" t="s">
        <v>37</v>
      </c>
      <c r="N53" s="9" t="s">
        <v>37</v>
      </c>
      <c r="O53" s="9" t="s">
        <v>36</v>
      </c>
      <c r="P53" s="9" t="s">
        <v>37</v>
      </c>
      <c r="Q53" s="9" t="s">
        <v>37</v>
      </c>
      <c r="R53" s="33"/>
      <c r="S53" s="9" t="s">
        <v>37</v>
      </c>
      <c r="T53" s="9" t="s">
        <v>37</v>
      </c>
      <c r="U53" s="9" t="s">
        <v>37</v>
      </c>
      <c r="V53" s="9" t="s">
        <v>37</v>
      </c>
      <c r="W53" s="9" t="s">
        <v>37</v>
      </c>
      <c r="X53" s="9" t="s">
        <v>37</v>
      </c>
      <c r="Y53" s="33"/>
      <c r="Z53" s="9" t="s">
        <v>37</v>
      </c>
      <c r="AA53" s="9" t="s">
        <v>123</v>
      </c>
      <c r="AB53" s="9" t="s">
        <v>123</v>
      </c>
      <c r="AC53" s="9" t="s">
        <v>123</v>
      </c>
      <c r="AD53" s="9" t="s">
        <v>123</v>
      </c>
      <c r="AE53" s="9" t="s">
        <v>123</v>
      </c>
      <c r="AF53" s="33"/>
      <c r="AG53" s="9" t="s">
        <v>123</v>
      </c>
      <c r="AH53" s="9" t="s">
        <v>123</v>
      </c>
      <c r="AI53" s="9" t="s">
        <v>123</v>
      </c>
      <c r="AJ53" s="9" t="s">
        <v>123</v>
      </c>
      <c r="AK53" s="5">
        <f t="shared" si="1"/>
        <v>15</v>
      </c>
      <c r="AL53" s="5">
        <f t="shared" si="2"/>
        <v>2</v>
      </c>
    </row>
    <row r="54" spans="1:38" ht="16.5" x14ac:dyDescent="0.25">
      <c r="A54" s="6">
        <v>24</v>
      </c>
      <c r="B54" s="12"/>
      <c r="C54" s="13" t="s">
        <v>111</v>
      </c>
      <c r="D54" s="14" t="s">
        <v>105</v>
      </c>
      <c r="E54" s="8" t="s">
        <v>20</v>
      </c>
      <c r="F54" s="38" t="s">
        <v>37</v>
      </c>
      <c r="G54" s="38" t="s">
        <v>37</v>
      </c>
      <c r="H54" s="38" t="s">
        <v>37</v>
      </c>
      <c r="I54" s="38" t="s">
        <v>37</v>
      </c>
      <c r="J54" s="40"/>
      <c r="K54" s="33"/>
      <c r="L54" s="9" t="s">
        <v>37</v>
      </c>
      <c r="M54" s="9" t="s">
        <v>37</v>
      </c>
      <c r="N54" s="9" t="s">
        <v>37</v>
      </c>
      <c r="O54" s="9" t="s">
        <v>37</v>
      </c>
      <c r="P54" s="9" t="s">
        <v>37</v>
      </c>
      <c r="Q54" s="9" t="s">
        <v>37</v>
      </c>
      <c r="R54" s="33"/>
      <c r="S54" s="9" t="s">
        <v>37</v>
      </c>
      <c r="T54" s="9" t="s">
        <v>37</v>
      </c>
      <c r="U54" s="9" t="s">
        <v>37</v>
      </c>
      <c r="V54" s="9" t="s">
        <v>37</v>
      </c>
      <c r="W54" s="9" t="s">
        <v>37</v>
      </c>
      <c r="X54" s="9" t="s">
        <v>37</v>
      </c>
      <c r="Y54" s="33"/>
      <c r="Z54" s="9" t="s">
        <v>37</v>
      </c>
      <c r="AA54" s="9" t="s">
        <v>37</v>
      </c>
      <c r="AB54" s="9" t="s">
        <v>37</v>
      </c>
      <c r="AC54" s="9" t="s">
        <v>37</v>
      </c>
      <c r="AD54" s="9" t="s">
        <v>37</v>
      </c>
      <c r="AE54" s="9" t="s">
        <v>37</v>
      </c>
      <c r="AF54" s="33"/>
      <c r="AG54" s="9" t="s">
        <v>37</v>
      </c>
      <c r="AH54" s="9" t="s">
        <v>37</v>
      </c>
      <c r="AI54" s="9" t="s">
        <v>37</v>
      </c>
      <c r="AJ54" s="9" t="s">
        <v>37</v>
      </c>
      <c r="AK54" s="5">
        <f t="shared" si="1"/>
        <v>26</v>
      </c>
      <c r="AL54" s="5">
        <f t="shared" si="2"/>
        <v>0</v>
      </c>
    </row>
    <row r="55" spans="1:38" ht="16.5" x14ac:dyDescent="0.25">
      <c r="A55" s="6">
        <v>25</v>
      </c>
      <c r="B55" s="12"/>
      <c r="C55" s="13" t="s">
        <v>112</v>
      </c>
      <c r="D55" s="14" t="s">
        <v>113</v>
      </c>
      <c r="E55" s="8" t="s">
        <v>20</v>
      </c>
      <c r="F55" s="38" t="s">
        <v>37</v>
      </c>
      <c r="G55" s="38" t="s">
        <v>37</v>
      </c>
      <c r="H55" s="38" t="s">
        <v>37</v>
      </c>
      <c r="I55" s="38" t="s">
        <v>37</v>
      </c>
      <c r="J55" s="40"/>
      <c r="K55" s="33"/>
      <c r="L55" s="9" t="s">
        <v>37</v>
      </c>
      <c r="M55" s="9" t="s">
        <v>37</v>
      </c>
      <c r="N55" s="9" t="s">
        <v>36</v>
      </c>
      <c r="O55" s="9" t="s">
        <v>37</v>
      </c>
      <c r="P55" s="9" t="s">
        <v>36</v>
      </c>
      <c r="Q55" s="9" t="s">
        <v>36</v>
      </c>
      <c r="R55" s="33"/>
      <c r="S55" s="9" t="s">
        <v>37</v>
      </c>
      <c r="T55" s="9" t="s">
        <v>37</v>
      </c>
      <c r="U55" s="9" t="s">
        <v>37</v>
      </c>
      <c r="V55" s="9" t="s">
        <v>37</v>
      </c>
      <c r="W55" s="9" t="s">
        <v>37</v>
      </c>
      <c r="X55" s="9" t="s">
        <v>36</v>
      </c>
      <c r="Y55" s="33"/>
      <c r="Z55" s="9" t="s">
        <v>37</v>
      </c>
      <c r="AA55" s="9" t="s">
        <v>37</v>
      </c>
      <c r="AB55" s="9" t="s">
        <v>37</v>
      </c>
      <c r="AC55" s="9" t="s">
        <v>37</v>
      </c>
      <c r="AD55" s="9" t="s">
        <v>37</v>
      </c>
      <c r="AE55" s="9" t="s">
        <v>37</v>
      </c>
      <c r="AF55" s="33"/>
      <c r="AG55" s="9" t="s">
        <v>37</v>
      </c>
      <c r="AH55" s="9" t="s">
        <v>37</v>
      </c>
      <c r="AI55" s="9" t="s">
        <v>36</v>
      </c>
      <c r="AJ55" s="9" t="s">
        <v>36</v>
      </c>
      <c r="AK55" s="5">
        <f t="shared" si="1"/>
        <v>20</v>
      </c>
      <c r="AL55" s="5">
        <f t="shared" si="2"/>
        <v>6</v>
      </c>
    </row>
    <row r="56" spans="1:38" ht="16.5" x14ac:dyDescent="0.25">
      <c r="A56" s="6">
        <v>26</v>
      </c>
      <c r="B56" s="12"/>
      <c r="C56" s="13" t="s">
        <v>114</v>
      </c>
      <c r="D56" s="14" t="s">
        <v>115</v>
      </c>
      <c r="E56" s="8" t="s">
        <v>20</v>
      </c>
      <c r="F56" s="38" t="s">
        <v>37</v>
      </c>
      <c r="G56" s="38" t="s">
        <v>37</v>
      </c>
      <c r="H56" s="38" t="s">
        <v>37</v>
      </c>
      <c r="I56" s="38" t="s">
        <v>36</v>
      </c>
      <c r="J56" s="41"/>
      <c r="K56" s="34"/>
      <c r="L56" s="9" t="s">
        <v>37</v>
      </c>
      <c r="M56" s="9" t="s">
        <v>37</v>
      </c>
      <c r="N56" s="9" t="s">
        <v>37</v>
      </c>
      <c r="O56" s="9" t="s">
        <v>37</v>
      </c>
      <c r="P56" s="9" t="s">
        <v>37</v>
      </c>
      <c r="Q56" s="9" t="s">
        <v>36</v>
      </c>
      <c r="R56" s="34"/>
      <c r="S56" s="9" t="s">
        <v>36</v>
      </c>
      <c r="T56" s="9" t="s">
        <v>37</v>
      </c>
      <c r="U56" s="9" t="s">
        <v>37</v>
      </c>
      <c r="V56" s="9" t="s">
        <v>37</v>
      </c>
      <c r="W56" s="9" t="s">
        <v>37</v>
      </c>
      <c r="X56" s="9" t="s">
        <v>37</v>
      </c>
      <c r="Y56" s="34"/>
      <c r="Z56" s="9" t="s">
        <v>37</v>
      </c>
      <c r="AA56" s="9" t="s">
        <v>37</v>
      </c>
      <c r="AB56" s="9" t="s">
        <v>37</v>
      </c>
      <c r="AC56" s="9" t="s">
        <v>37</v>
      </c>
      <c r="AD56" s="9" t="s">
        <v>37</v>
      </c>
      <c r="AE56" s="9" t="s">
        <v>37</v>
      </c>
      <c r="AF56" s="34"/>
      <c r="AG56" s="9" t="s">
        <v>37</v>
      </c>
      <c r="AH56" s="9" t="s">
        <v>37</v>
      </c>
      <c r="AI56" s="9" t="s">
        <v>37</v>
      </c>
      <c r="AJ56" s="9" t="s">
        <v>37</v>
      </c>
      <c r="AK56" s="5">
        <f t="shared" si="1"/>
        <v>23</v>
      </c>
      <c r="AL56" s="5">
        <f t="shared" si="2"/>
        <v>3</v>
      </c>
    </row>
  </sheetData>
  <mergeCells count="17">
    <mergeCell ref="AM3:AN3"/>
    <mergeCell ref="J5:J56"/>
    <mergeCell ref="K5:K56"/>
    <mergeCell ref="R5:R56"/>
    <mergeCell ref="Y5:Y56"/>
    <mergeCell ref="AF5:AF56"/>
    <mergeCell ref="AM8:AP8"/>
    <mergeCell ref="AM16:AP16"/>
    <mergeCell ref="A1:AL1"/>
    <mergeCell ref="A2:AL2"/>
    <mergeCell ref="A3:A4"/>
    <mergeCell ref="B3:B4"/>
    <mergeCell ref="C3:C4"/>
    <mergeCell ref="D3:D4"/>
    <mergeCell ref="E3:E4"/>
    <mergeCell ref="AK3:AK4"/>
    <mergeCell ref="AL3:AL4"/>
  </mergeCells>
  <conditionalFormatting sqref="F6:I30 L6:Q30 S6:X30 Z6:AE30 AM4:AN4 F3:AJ4 AG5:AJ30 F5:AF5">
    <cfRule type="expression" dxfId="85" priority="21">
      <formula>F$3="Sun"</formula>
    </cfRule>
  </conditionalFormatting>
  <conditionalFormatting sqref="F6:I30 L6:Q30 S6:X30 Z6:AE30 F4:AJ4 AG5:AJ30 F5:AF5">
    <cfRule type="expression" dxfId="84" priority="20">
      <formula>IF(F$4=TODAY(),TRUE,FALSE)</formula>
    </cfRule>
  </conditionalFormatting>
  <conditionalFormatting sqref="F6:I30 L6:Q30 S6:X30 Z6:AE30 AG5:AJ30 F5:AF5">
    <cfRule type="cellIs" dxfId="83" priority="12" operator="equal">
      <formula>"L"</formula>
    </cfRule>
    <cfRule type="cellIs" dxfId="82" priority="13" operator="equal">
      <formula>"A"</formula>
    </cfRule>
    <cfRule type="cellIs" dxfId="81" priority="14" operator="equal">
      <formula>"P"</formula>
    </cfRule>
  </conditionalFormatting>
  <conditionalFormatting sqref="AK3:AL3 AK5:AL30">
    <cfRule type="expression" dxfId="80" priority="22">
      <formula>#REF!="Sun"</formula>
    </cfRule>
  </conditionalFormatting>
  <conditionalFormatting sqref="AM5:AM6">
    <cfRule type="expression" dxfId="79" priority="19">
      <formula>AM$3="Sun"</formula>
    </cfRule>
  </conditionalFormatting>
  <conditionalFormatting sqref="AM9:AM12">
    <cfRule type="expression" dxfId="78" priority="17">
      <formula>AM$3="Sun"</formula>
    </cfRule>
  </conditionalFormatting>
  <conditionalFormatting sqref="AM17:AM20">
    <cfRule type="expression" dxfId="77" priority="16">
      <formula>AM$3="Sun"</formula>
    </cfRule>
  </conditionalFormatting>
  <conditionalFormatting sqref="AN9:AP9">
    <cfRule type="expression" dxfId="76" priority="18">
      <formula>AN$3="Sun"</formula>
    </cfRule>
  </conditionalFormatting>
  <conditionalFormatting sqref="AN17:AP17">
    <cfRule type="expression" dxfId="75" priority="15">
      <formula>AN$3="Sun"</formula>
    </cfRule>
  </conditionalFormatting>
  <conditionalFormatting sqref="F31:I56 L32:Q56 S32:X56 Z32:AE56 AG32:AJ56">
    <cfRule type="expression" dxfId="74" priority="9">
      <formula>IF(F$4=TODAY(),TRUE,FALSE)</formula>
    </cfRule>
  </conditionalFormatting>
  <conditionalFormatting sqref="F31:I56 L32:Q56 S32:X56 Z32:AE56 AG32:AJ56">
    <cfRule type="cellIs" dxfId="73" priority="6" operator="equal">
      <formula>"L"</formula>
    </cfRule>
    <cfRule type="cellIs" dxfId="72" priority="7" operator="equal">
      <formula>"A"</formula>
    </cfRule>
    <cfRule type="cellIs" dxfId="71" priority="8" operator="equal">
      <formula>"P"</formula>
    </cfRule>
  </conditionalFormatting>
  <conditionalFormatting sqref="F31:I56 L32:Q56 S32:X56 Z32:AE56 AG32:AJ56">
    <cfRule type="expression" dxfId="70" priority="10">
      <formula>F$3="Sun"</formula>
    </cfRule>
  </conditionalFormatting>
  <conditionalFormatting sqref="L31:Q31 S31:X31 Z31:AE31 AG31:AJ31">
    <cfRule type="cellIs" dxfId="69" priority="1" operator="equal">
      <formula>"L"</formula>
    </cfRule>
    <cfRule type="cellIs" dxfId="68" priority="2" operator="equal">
      <formula>"A"</formula>
    </cfRule>
    <cfRule type="cellIs" dxfId="67" priority="3" operator="equal">
      <formula>"P"</formula>
    </cfRule>
    <cfRule type="expression" dxfId="66" priority="4">
      <formula>IF(L$4=TODAY(),TRUE,FALSE)</formula>
    </cfRule>
    <cfRule type="expression" dxfId="65" priority="5">
      <formula>L$3="Sun"</formula>
    </cfRule>
  </conditionalFormatting>
  <conditionalFormatting sqref="AK31:AL56">
    <cfRule type="expression" dxfId="64" priority="11">
      <formula>#REF!="Sun"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A06A8-96E6-4513-8CFC-98DF3574320B}">
  <sheetPr>
    <tabColor rgb="FFC00000"/>
  </sheetPr>
  <dimension ref="A1:AO56"/>
  <sheetViews>
    <sheetView workbookViewId="0">
      <selection activeCell="J15" sqref="J15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 bestFit="1"/>
    <col min="9" max="9" width="4.5703125" style="1" bestFit="1" customWidth="1"/>
    <col min="10" max="10" width="3.85546875" style="1" bestFit="1"/>
    <col min="11" max="11" width="4.7109375" style="1" bestFit="1" customWidth="1"/>
    <col min="12" max="12" width="3.85546875" style="1" bestFit="1"/>
    <col min="13" max="14" width="3.7109375" style="1" bestFit="1" customWidth="1"/>
    <col min="15" max="15" width="3.85546875" style="1" bestFit="1"/>
    <col min="16" max="16" width="4.5703125" style="1" bestFit="1" customWidth="1"/>
    <col min="17" max="17" width="3.85546875" style="1" bestFit="1"/>
    <col min="18" max="18" width="4.7109375" style="1" bestFit="1" customWidth="1"/>
    <col min="19" max="19" width="3.85546875" style="1" bestFit="1"/>
    <col min="20" max="21" width="3.7109375" style="1" bestFit="1" customWidth="1"/>
    <col min="22" max="22" width="3.85546875" style="1" bestFit="1"/>
    <col min="23" max="23" width="4.5703125" style="1" bestFit="1" customWidth="1"/>
    <col min="24" max="24" width="3.85546875" style="1" bestFit="1"/>
    <col min="25" max="25" width="4.7109375" style="1" bestFit="1" customWidth="1"/>
    <col min="26" max="26" width="3.85546875" style="1" bestFit="1"/>
    <col min="27" max="28" width="3.7109375" style="1" bestFit="1" customWidth="1"/>
    <col min="29" max="29" width="3.85546875" style="1" bestFit="1"/>
    <col min="30" max="30" width="4.5703125" style="1" bestFit="1" customWidth="1"/>
    <col min="31" max="31" width="3.85546875" style="1" bestFit="1"/>
    <col min="32" max="32" width="4.7109375" style="1" bestFit="1" customWidth="1"/>
    <col min="33" max="33" width="3.85546875" style="1" bestFit="1"/>
    <col min="34" max="35" width="3.710937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1" t="s">
        <v>23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</row>
    <row r="2" spans="1:41" ht="17.25" x14ac:dyDescent="0.3">
      <c r="A2" s="30" t="s">
        <v>131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</row>
    <row r="3" spans="1:41" ht="15.75" x14ac:dyDescent="0.25">
      <c r="A3" s="37" t="s">
        <v>0</v>
      </c>
      <c r="B3" s="37" t="s">
        <v>1</v>
      </c>
      <c r="C3" s="37" t="s">
        <v>2</v>
      </c>
      <c r="D3" s="37" t="s">
        <v>3</v>
      </c>
      <c r="E3" s="37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24" t="s">
        <v>5</v>
      </c>
      <c r="AK3" s="24" t="s">
        <v>6</v>
      </c>
      <c r="AL3" s="25" t="s">
        <v>21</v>
      </c>
      <c r="AM3" s="26"/>
      <c r="AN3" s="3"/>
      <c r="AO3" s="3"/>
    </row>
    <row r="4" spans="1:41" ht="37.5" x14ac:dyDescent="0.25">
      <c r="A4" s="37"/>
      <c r="B4" s="37"/>
      <c r="C4" s="37"/>
      <c r="D4" s="37"/>
      <c r="E4" s="37"/>
      <c r="F4" s="19">
        <v>45597</v>
      </c>
      <c r="G4" s="19">
        <v>45598</v>
      </c>
      <c r="H4" s="19">
        <v>45599</v>
      </c>
      <c r="I4" s="19">
        <v>45600</v>
      </c>
      <c r="J4" s="19">
        <v>45601</v>
      </c>
      <c r="K4" s="19">
        <v>45602</v>
      </c>
      <c r="L4" s="19">
        <v>45603</v>
      </c>
      <c r="M4" s="19">
        <v>45604</v>
      </c>
      <c r="N4" s="19">
        <v>45605</v>
      </c>
      <c r="O4" s="19">
        <v>45606</v>
      </c>
      <c r="P4" s="19">
        <v>45607</v>
      </c>
      <c r="Q4" s="19">
        <v>45608</v>
      </c>
      <c r="R4" s="19">
        <v>45609</v>
      </c>
      <c r="S4" s="19">
        <v>45610</v>
      </c>
      <c r="T4" s="19">
        <v>45611</v>
      </c>
      <c r="U4" s="19">
        <v>45612</v>
      </c>
      <c r="V4" s="19">
        <v>45613</v>
      </c>
      <c r="W4" s="19">
        <v>45614</v>
      </c>
      <c r="X4" s="19">
        <v>45615</v>
      </c>
      <c r="Y4" s="19">
        <v>45616</v>
      </c>
      <c r="Z4" s="19">
        <v>45617</v>
      </c>
      <c r="AA4" s="19">
        <v>45618</v>
      </c>
      <c r="AB4" s="19">
        <v>45619</v>
      </c>
      <c r="AC4" s="19">
        <v>45620</v>
      </c>
      <c r="AD4" s="19">
        <v>45621</v>
      </c>
      <c r="AE4" s="19">
        <v>45622</v>
      </c>
      <c r="AF4" s="19">
        <v>45623</v>
      </c>
      <c r="AG4" s="19">
        <v>45624</v>
      </c>
      <c r="AH4" s="19">
        <v>45625</v>
      </c>
      <c r="AI4" s="19">
        <v>45626</v>
      </c>
      <c r="AJ4" s="24"/>
      <c r="AK4" s="24"/>
      <c r="AL4" s="4" t="s">
        <v>7</v>
      </c>
      <c r="AM4" s="5">
        <v>31</v>
      </c>
      <c r="AN4" s="3"/>
      <c r="AO4" s="3"/>
    </row>
    <row r="5" spans="1:41" ht="15" customHeight="1" x14ac:dyDescent="0.25">
      <c r="A5" s="10">
        <v>1</v>
      </c>
      <c r="B5" s="12"/>
      <c r="C5" s="7" t="s">
        <v>54</v>
      </c>
      <c r="D5" s="7" t="s">
        <v>55</v>
      </c>
      <c r="E5" s="20" t="s">
        <v>20</v>
      </c>
      <c r="F5" s="38" t="s">
        <v>37</v>
      </c>
      <c r="G5" s="38" t="s">
        <v>37</v>
      </c>
      <c r="H5" s="32" t="s">
        <v>132</v>
      </c>
      <c r="I5" s="38" t="s">
        <v>37</v>
      </c>
      <c r="J5" s="38" t="s">
        <v>37</v>
      </c>
      <c r="K5" s="38" t="s">
        <v>37</v>
      </c>
      <c r="L5" s="38" t="s">
        <v>37</v>
      </c>
      <c r="M5" s="38" t="s">
        <v>37</v>
      </c>
      <c r="N5" s="39" t="s">
        <v>133</v>
      </c>
      <c r="O5" s="32" t="s">
        <v>132</v>
      </c>
      <c r="P5" s="9" t="s">
        <v>37</v>
      </c>
      <c r="Q5" s="9" t="s">
        <v>37</v>
      </c>
      <c r="R5" s="9" t="s">
        <v>37</v>
      </c>
      <c r="S5" s="9" t="s">
        <v>36</v>
      </c>
      <c r="T5" s="9" t="s">
        <v>37</v>
      </c>
      <c r="U5" s="9" t="s">
        <v>37</v>
      </c>
      <c r="V5" s="32" t="s">
        <v>132</v>
      </c>
      <c r="W5" s="9" t="s">
        <v>37</v>
      </c>
      <c r="X5" s="9" t="s">
        <v>37</v>
      </c>
      <c r="Y5" s="9" t="s">
        <v>36</v>
      </c>
      <c r="Z5" s="9" t="s">
        <v>37</v>
      </c>
      <c r="AA5" s="9" t="s">
        <v>36</v>
      </c>
      <c r="AB5" s="9" t="s">
        <v>37</v>
      </c>
      <c r="AC5" s="32" t="s">
        <v>132</v>
      </c>
      <c r="AD5" s="9" t="s">
        <v>37</v>
      </c>
      <c r="AE5" s="9" t="s">
        <v>36</v>
      </c>
      <c r="AF5" s="9" t="s">
        <v>37</v>
      </c>
      <c r="AG5" s="9" t="s">
        <v>37</v>
      </c>
      <c r="AH5" s="9" t="s">
        <v>37</v>
      </c>
      <c r="AI5" s="9" t="s">
        <v>36</v>
      </c>
      <c r="AJ5" s="5">
        <f t="shared" ref="AJ5:AJ56" si="1">COUNTIF(F5:AI5,"P")</f>
        <v>20</v>
      </c>
      <c r="AK5" s="5">
        <f t="shared" ref="AK5:AK56" si="2">COUNTIF(F5:AI5,"A")</f>
        <v>5</v>
      </c>
      <c r="AL5" s="5" t="s">
        <v>8</v>
      </c>
      <c r="AM5" s="10">
        <v>26</v>
      </c>
      <c r="AN5" s="11" t="s">
        <v>9</v>
      </c>
      <c r="AO5" s="3"/>
    </row>
    <row r="6" spans="1:41" ht="16.5" x14ac:dyDescent="0.25">
      <c r="A6" s="10">
        <v>2</v>
      </c>
      <c r="B6" s="12"/>
      <c r="C6" s="7" t="s">
        <v>56</v>
      </c>
      <c r="D6" s="7" t="s">
        <v>57</v>
      </c>
      <c r="E6" s="20" t="s">
        <v>20</v>
      </c>
      <c r="F6" s="38" t="s">
        <v>37</v>
      </c>
      <c r="G6" s="38" t="s">
        <v>37</v>
      </c>
      <c r="H6" s="33"/>
      <c r="I6" s="38" t="s">
        <v>37</v>
      </c>
      <c r="J6" s="38" t="s">
        <v>37</v>
      </c>
      <c r="K6" s="38" t="s">
        <v>37</v>
      </c>
      <c r="L6" s="38" t="s">
        <v>37</v>
      </c>
      <c r="M6" s="38" t="s">
        <v>37</v>
      </c>
      <c r="N6" s="40"/>
      <c r="O6" s="33"/>
      <c r="P6" s="9" t="s">
        <v>37</v>
      </c>
      <c r="Q6" s="9" t="s">
        <v>37</v>
      </c>
      <c r="R6" s="9" t="s">
        <v>37</v>
      </c>
      <c r="S6" s="9" t="s">
        <v>37</v>
      </c>
      <c r="T6" s="9" t="s">
        <v>37</v>
      </c>
      <c r="U6" s="9" t="s">
        <v>37</v>
      </c>
      <c r="V6" s="33"/>
      <c r="W6" s="9" t="s">
        <v>37</v>
      </c>
      <c r="X6" s="9" t="s">
        <v>37</v>
      </c>
      <c r="Y6" s="9" t="s">
        <v>37</v>
      </c>
      <c r="Z6" s="9" t="s">
        <v>37</v>
      </c>
      <c r="AA6" s="9" t="s">
        <v>36</v>
      </c>
      <c r="AB6" s="9" t="s">
        <v>37</v>
      </c>
      <c r="AC6" s="33"/>
      <c r="AD6" s="9" t="s">
        <v>37</v>
      </c>
      <c r="AE6" s="9" t="s">
        <v>37</v>
      </c>
      <c r="AF6" s="9" t="s">
        <v>37</v>
      </c>
      <c r="AG6" s="9" t="s">
        <v>37</v>
      </c>
      <c r="AH6" s="9" t="s">
        <v>37</v>
      </c>
      <c r="AI6" s="9" t="s">
        <v>37</v>
      </c>
      <c r="AJ6" s="5">
        <f t="shared" si="1"/>
        <v>24</v>
      </c>
      <c r="AK6" s="5">
        <f t="shared" si="2"/>
        <v>1</v>
      </c>
      <c r="AL6" s="5" t="s">
        <v>10</v>
      </c>
      <c r="AM6" s="10">
        <v>4</v>
      </c>
      <c r="AN6" s="3"/>
      <c r="AO6" s="3"/>
    </row>
    <row r="7" spans="1:41" ht="16.5" x14ac:dyDescent="0.25">
      <c r="A7" s="10">
        <v>3</v>
      </c>
      <c r="B7" s="12"/>
      <c r="C7" s="7" t="s">
        <v>58</v>
      </c>
      <c r="D7" s="7" t="s">
        <v>45</v>
      </c>
      <c r="E7" s="20" t="s">
        <v>20</v>
      </c>
      <c r="F7" s="38" t="s">
        <v>37</v>
      </c>
      <c r="G7" s="38" t="s">
        <v>37</v>
      </c>
      <c r="H7" s="33"/>
      <c r="I7" s="38" t="s">
        <v>37</v>
      </c>
      <c r="J7" s="38" t="s">
        <v>37</v>
      </c>
      <c r="K7" s="38" t="s">
        <v>37</v>
      </c>
      <c r="L7" s="38" t="s">
        <v>37</v>
      </c>
      <c r="M7" s="38" t="s">
        <v>37</v>
      </c>
      <c r="N7" s="40"/>
      <c r="O7" s="33"/>
      <c r="P7" s="9" t="s">
        <v>37</v>
      </c>
      <c r="Q7" s="9" t="s">
        <v>37</v>
      </c>
      <c r="R7" s="9" t="s">
        <v>37</v>
      </c>
      <c r="S7" s="9" t="s">
        <v>37</v>
      </c>
      <c r="T7" s="9" t="s">
        <v>37</v>
      </c>
      <c r="U7" s="9" t="s">
        <v>37</v>
      </c>
      <c r="V7" s="33"/>
      <c r="W7" s="9" t="s">
        <v>37</v>
      </c>
      <c r="X7" s="9" t="s">
        <v>37</v>
      </c>
      <c r="Y7" s="9" t="s">
        <v>37</v>
      </c>
      <c r="Z7" s="9" t="s">
        <v>37</v>
      </c>
      <c r="AA7" s="9" t="s">
        <v>37</v>
      </c>
      <c r="AB7" s="9" t="s">
        <v>37</v>
      </c>
      <c r="AC7" s="33"/>
      <c r="AD7" s="9" t="s">
        <v>37</v>
      </c>
      <c r="AE7" s="9" t="s">
        <v>37</v>
      </c>
      <c r="AF7" s="9" t="s">
        <v>37</v>
      </c>
      <c r="AG7" s="9" t="s">
        <v>37</v>
      </c>
      <c r="AH7" s="9" t="s">
        <v>37</v>
      </c>
      <c r="AI7" s="9" t="s">
        <v>37</v>
      </c>
      <c r="AJ7" s="5">
        <f t="shared" si="1"/>
        <v>25</v>
      </c>
      <c r="AK7" s="5">
        <f t="shared" si="2"/>
        <v>0</v>
      </c>
      <c r="AL7" s="3"/>
      <c r="AM7" s="3"/>
      <c r="AN7" s="3"/>
      <c r="AO7" s="3"/>
    </row>
    <row r="8" spans="1:41" ht="16.5" x14ac:dyDescent="0.25">
      <c r="A8" s="10">
        <v>4</v>
      </c>
      <c r="B8" s="12"/>
      <c r="C8" s="7" t="s">
        <v>59</v>
      </c>
      <c r="D8" s="7" t="s">
        <v>60</v>
      </c>
      <c r="E8" s="20" t="s">
        <v>20</v>
      </c>
      <c r="F8" s="38" t="s">
        <v>123</v>
      </c>
      <c r="G8" s="38" t="s">
        <v>123</v>
      </c>
      <c r="H8" s="33"/>
      <c r="I8" s="38" t="s">
        <v>123</v>
      </c>
      <c r="J8" s="38" t="s">
        <v>123</v>
      </c>
      <c r="K8" s="38" t="s">
        <v>123</v>
      </c>
      <c r="L8" s="38" t="s">
        <v>123</v>
      </c>
      <c r="M8" s="38" t="s">
        <v>123</v>
      </c>
      <c r="N8" s="40"/>
      <c r="O8" s="33"/>
      <c r="P8" s="9" t="s">
        <v>123</v>
      </c>
      <c r="Q8" s="9" t="s">
        <v>123</v>
      </c>
      <c r="R8" s="9" t="s">
        <v>123</v>
      </c>
      <c r="S8" s="9" t="s">
        <v>123</v>
      </c>
      <c r="T8" s="9" t="s">
        <v>123</v>
      </c>
      <c r="U8" s="9" t="s">
        <v>123</v>
      </c>
      <c r="V8" s="33"/>
      <c r="W8" s="9" t="s">
        <v>123</v>
      </c>
      <c r="X8" s="9" t="s">
        <v>123</v>
      </c>
      <c r="Y8" s="9" t="s">
        <v>123</v>
      </c>
      <c r="Z8" s="9" t="s">
        <v>123</v>
      </c>
      <c r="AA8" s="9" t="s">
        <v>123</v>
      </c>
      <c r="AB8" s="9" t="s">
        <v>123</v>
      </c>
      <c r="AC8" s="33"/>
      <c r="AD8" s="9" t="s">
        <v>123</v>
      </c>
      <c r="AE8" s="9" t="s">
        <v>123</v>
      </c>
      <c r="AF8" s="9" t="s">
        <v>123</v>
      </c>
      <c r="AG8" s="9" t="s">
        <v>36</v>
      </c>
      <c r="AH8" s="9" t="s">
        <v>36</v>
      </c>
      <c r="AI8" s="9" t="s">
        <v>36</v>
      </c>
      <c r="AJ8" s="5">
        <f t="shared" si="1"/>
        <v>0</v>
      </c>
      <c r="AK8" s="5">
        <f t="shared" si="2"/>
        <v>3</v>
      </c>
      <c r="AL8" s="25" t="s">
        <v>11</v>
      </c>
      <c r="AM8" s="26"/>
      <c r="AN8" s="26"/>
      <c r="AO8" s="27"/>
    </row>
    <row r="9" spans="1:41" ht="16.5" x14ac:dyDescent="0.25">
      <c r="A9" s="10">
        <v>5</v>
      </c>
      <c r="B9" s="12"/>
      <c r="C9" s="7" t="s">
        <v>44</v>
      </c>
      <c r="D9" s="7" t="s">
        <v>26</v>
      </c>
      <c r="E9" s="20" t="s">
        <v>20</v>
      </c>
      <c r="F9" s="38" t="s">
        <v>37</v>
      </c>
      <c r="G9" s="38" t="s">
        <v>37</v>
      </c>
      <c r="H9" s="33"/>
      <c r="I9" s="38" t="s">
        <v>37</v>
      </c>
      <c r="J9" s="38" t="s">
        <v>37</v>
      </c>
      <c r="K9" s="38" t="s">
        <v>37</v>
      </c>
      <c r="L9" s="38" t="s">
        <v>37</v>
      </c>
      <c r="M9" s="38" t="s">
        <v>37</v>
      </c>
      <c r="N9" s="40"/>
      <c r="O9" s="33"/>
      <c r="P9" s="9" t="s">
        <v>37</v>
      </c>
      <c r="Q9" s="9" t="s">
        <v>37</v>
      </c>
      <c r="R9" s="9" t="s">
        <v>37</v>
      </c>
      <c r="S9" s="9" t="s">
        <v>37</v>
      </c>
      <c r="T9" s="9" t="s">
        <v>36</v>
      </c>
      <c r="U9" s="9" t="s">
        <v>37</v>
      </c>
      <c r="V9" s="33"/>
      <c r="W9" s="9" t="s">
        <v>37</v>
      </c>
      <c r="X9" s="9" t="s">
        <v>37</v>
      </c>
      <c r="Y9" s="9" t="s">
        <v>37</v>
      </c>
      <c r="Z9" s="9" t="s">
        <v>37</v>
      </c>
      <c r="AA9" s="9" t="s">
        <v>37</v>
      </c>
      <c r="AB9" s="9" t="s">
        <v>36</v>
      </c>
      <c r="AC9" s="33"/>
      <c r="AD9" s="9" t="s">
        <v>37</v>
      </c>
      <c r="AE9" s="9" t="s">
        <v>37</v>
      </c>
      <c r="AF9" s="9" t="s">
        <v>36</v>
      </c>
      <c r="AG9" s="9" t="s">
        <v>37</v>
      </c>
      <c r="AH9" s="9" t="s">
        <v>37</v>
      </c>
      <c r="AI9" s="9" t="s">
        <v>37</v>
      </c>
      <c r="AJ9" s="5">
        <f t="shared" si="1"/>
        <v>22</v>
      </c>
      <c r="AK9" s="5">
        <f t="shared" si="2"/>
        <v>3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ht="16.5" x14ac:dyDescent="0.25">
      <c r="A10" s="10">
        <v>6</v>
      </c>
      <c r="B10" s="12"/>
      <c r="C10" s="7" t="s">
        <v>48</v>
      </c>
      <c r="D10" s="7" t="s">
        <v>61</v>
      </c>
      <c r="E10" s="20" t="s">
        <v>20</v>
      </c>
      <c r="F10" s="38" t="s">
        <v>37</v>
      </c>
      <c r="G10" s="38" t="s">
        <v>37</v>
      </c>
      <c r="H10" s="33"/>
      <c r="I10" s="38" t="s">
        <v>36</v>
      </c>
      <c r="J10" s="38" t="s">
        <v>37</v>
      </c>
      <c r="K10" s="38" t="s">
        <v>37</v>
      </c>
      <c r="L10" s="38" t="s">
        <v>37</v>
      </c>
      <c r="M10" s="38" t="s">
        <v>37</v>
      </c>
      <c r="N10" s="40"/>
      <c r="O10" s="33"/>
      <c r="P10" s="9" t="s">
        <v>36</v>
      </c>
      <c r="Q10" s="9" t="s">
        <v>37</v>
      </c>
      <c r="R10" s="9" t="s">
        <v>37</v>
      </c>
      <c r="S10" s="9" t="s">
        <v>37</v>
      </c>
      <c r="T10" s="9" t="s">
        <v>37</v>
      </c>
      <c r="U10" s="9" t="s">
        <v>37</v>
      </c>
      <c r="V10" s="33"/>
      <c r="W10" s="9" t="s">
        <v>37</v>
      </c>
      <c r="X10" s="9" t="s">
        <v>37</v>
      </c>
      <c r="Y10" s="9" t="s">
        <v>37</v>
      </c>
      <c r="Z10" s="9" t="s">
        <v>37</v>
      </c>
      <c r="AA10" s="9" t="s">
        <v>36</v>
      </c>
      <c r="AB10" s="9" t="s">
        <v>37</v>
      </c>
      <c r="AC10" s="33"/>
      <c r="AD10" s="9" t="s">
        <v>37</v>
      </c>
      <c r="AE10" s="9" t="s">
        <v>37</v>
      </c>
      <c r="AF10" s="9" t="s">
        <v>37</v>
      </c>
      <c r="AG10" s="9" t="s">
        <v>36</v>
      </c>
      <c r="AH10" s="9" t="s">
        <v>37</v>
      </c>
      <c r="AI10" s="9" t="s">
        <v>37</v>
      </c>
      <c r="AJ10" s="5">
        <f t="shared" si="1"/>
        <v>21</v>
      </c>
      <c r="AK10" s="5">
        <f t="shared" si="2"/>
        <v>4</v>
      </c>
      <c r="AL10" s="5" t="s">
        <v>16</v>
      </c>
      <c r="AM10" s="10">
        <f>19*26</f>
        <v>494</v>
      </c>
      <c r="AN10" s="10">
        <f>21*26</f>
        <v>546</v>
      </c>
      <c r="AO10" s="10">
        <f>SUM(AM10:AN10)</f>
        <v>1040</v>
      </c>
    </row>
    <row r="11" spans="1:41" ht="16.5" x14ac:dyDescent="0.25">
      <c r="A11" s="10">
        <v>7</v>
      </c>
      <c r="B11" s="12"/>
      <c r="C11" s="7" t="s">
        <v>48</v>
      </c>
      <c r="D11" s="7" t="s">
        <v>47</v>
      </c>
      <c r="E11" s="20" t="s">
        <v>20</v>
      </c>
      <c r="F11" s="38" t="s">
        <v>37</v>
      </c>
      <c r="G11" s="38" t="s">
        <v>36</v>
      </c>
      <c r="H11" s="33"/>
      <c r="I11" s="38" t="s">
        <v>36</v>
      </c>
      <c r="J11" s="38" t="s">
        <v>36</v>
      </c>
      <c r="K11" s="38" t="s">
        <v>36</v>
      </c>
      <c r="L11" s="38" t="s">
        <v>36</v>
      </c>
      <c r="M11" s="38" t="s">
        <v>36</v>
      </c>
      <c r="N11" s="40"/>
      <c r="O11" s="33"/>
      <c r="P11" s="9" t="s">
        <v>36</v>
      </c>
      <c r="Q11" s="9" t="s">
        <v>36</v>
      </c>
      <c r="R11" s="9" t="s">
        <v>36</v>
      </c>
      <c r="S11" s="9" t="s">
        <v>36</v>
      </c>
      <c r="T11" s="9" t="s">
        <v>36</v>
      </c>
      <c r="U11" s="9" t="s">
        <v>36</v>
      </c>
      <c r="V11" s="33"/>
      <c r="W11" s="9" t="s">
        <v>36</v>
      </c>
      <c r="X11" s="9" t="s">
        <v>36</v>
      </c>
      <c r="Y11" s="9" t="s">
        <v>36</v>
      </c>
      <c r="Z11" s="9" t="s">
        <v>36</v>
      </c>
      <c r="AA11" s="9" t="s">
        <v>36</v>
      </c>
      <c r="AB11" s="9" t="s">
        <v>36</v>
      </c>
      <c r="AC11" s="33"/>
      <c r="AD11" s="9" t="s">
        <v>36</v>
      </c>
      <c r="AE11" s="9" t="s">
        <v>36</v>
      </c>
      <c r="AF11" s="9" t="s">
        <v>36</v>
      </c>
      <c r="AG11" s="9" t="s">
        <v>36</v>
      </c>
      <c r="AH11" s="9" t="s">
        <v>36</v>
      </c>
      <c r="AI11" s="9" t="s">
        <v>36</v>
      </c>
      <c r="AJ11" s="5">
        <f t="shared" si="1"/>
        <v>1</v>
      </c>
      <c r="AK11" s="5">
        <f t="shared" si="2"/>
        <v>24</v>
      </c>
      <c r="AL11" s="5" t="s">
        <v>17</v>
      </c>
      <c r="AM11" s="10" t="e">
        <f>AJ6+AJ7+AJ8+AJ13+AJ14+AJ15+AJ18+AJ22+AJ23+AJ25+AJ27+AJ28+AJ29+#REF!+#REF!+#REF!+#REF!</f>
        <v>#REF!</v>
      </c>
      <c r="AN11" s="10" t="e">
        <f>AJ5+AJ9+AJ10+AJ16+AJ19+AJ20+AJ21+#REF!</f>
        <v>#REF!</v>
      </c>
      <c r="AO11" s="10" t="e">
        <f>AM11+AN11</f>
        <v>#REF!</v>
      </c>
    </row>
    <row r="12" spans="1:41" ht="16.5" x14ac:dyDescent="0.25">
      <c r="A12" s="10">
        <v>8</v>
      </c>
      <c r="B12" s="12"/>
      <c r="C12" s="7" t="s">
        <v>48</v>
      </c>
      <c r="D12" s="7" t="s">
        <v>82</v>
      </c>
      <c r="E12" s="20" t="s">
        <v>20</v>
      </c>
      <c r="F12" s="38" t="s">
        <v>37</v>
      </c>
      <c r="G12" s="38" t="s">
        <v>36</v>
      </c>
      <c r="H12" s="33"/>
      <c r="I12" s="38" t="s">
        <v>37</v>
      </c>
      <c r="J12" s="38" t="s">
        <v>37</v>
      </c>
      <c r="K12" s="38" t="s">
        <v>37</v>
      </c>
      <c r="L12" s="38" t="s">
        <v>37</v>
      </c>
      <c r="M12" s="38" t="s">
        <v>37</v>
      </c>
      <c r="N12" s="40"/>
      <c r="O12" s="33"/>
      <c r="P12" s="9" t="s">
        <v>37</v>
      </c>
      <c r="Q12" s="9" t="s">
        <v>37</v>
      </c>
      <c r="R12" s="9" t="s">
        <v>37</v>
      </c>
      <c r="S12" s="9" t="s">
        <v>37</v>
      </c>
      <c r="T12" s="9" t="s">
        <v>37</v>
      </c>
      <c r="U12" s="9" t="s">
        <v>37</v>
      </c>
      <c r="V12" s="33"/>
      <c r="W12" s="9" t="s">
        <v>37</v>
      </c>
      <c r="X12" s="9" t="s">
        <v>37</v>
      </c>
      <c r="Y12" s="9" t="s">
        <v>37</v>
      </c>
      <c r="Z12" s="9" t="s">
        <v>37</v>
      </c>
      <c r="AA12" s="9" t="s">
        <v>37</v>
      </c>
      <c r="AB12" s="9" t="s">
        <v>37</v>
      </c>
      <c r="AC12" s="33"/>
      <c r="AD12" s="9" t="s">
        <v>37</v>
      </c>
      <c r="AE12" s="9" t="s">
        <v>37</v>
      </c>
      <c r="AF12" s="9" t="s">
        <v>37</v>
      </c>
      <c r="AG12" s="9" t="s">
        <v>37</v>
      </c>
      <c r="AH12" s="9" t="s">
        <v>37</v>
      </c>
      <c r="AI12" s="9" t="s">
        <v>37</v>
      </c>
      <c r="AJ12" s="5">
        <f t="shared" si="1"/>
        <v>24</v>
      </c>
      <c r="AK12" s="5">
        <f t="shared" si="2"/>
        <v>1</v>
      </c>
      <c r="AL12" s="5" t="s">
        <v>18</v>
      </c>
      <c r="AM12" s="10" t="e">
        <f>AM11/AM10</f>
        <v>#REF!</v>
      </c>
      <c r="AN12" s="10" t="e">
        <f>AN11/AN10</f>
        <v>#REF!</v>
      </c>
      <c r="AO12" s="10" t="e">
        <f>AO11/AO10</f>
        <v>#REF!</v>
      </c>
    </row>
    <row r="13" spans="1:41" ht="16.5" x14ac:dyDescent="0.25">
      <c r="A13" s="10">
        <v>9</v>
      </c>
      <c r="B13" s="12"/>
      <c r="C13" s="7" t="s">
        <v>29</v>
      </c>
      <c r="D13" s="7" t="s">
        <v>50</v>
      </c>
      <c r="E13" s="20" t="s">
        <v>20</v>
      </c>
      <c r="F13" s="38" t="s">
        <v>37</v>
      </c>
      <c r="G13" s="38" t="s">
        <v>37</v>
      </c>
      <c r="H13" s="33"/>
      <c r="I13" s="38" t="s">
        <v>37</v>
      </c>
      <c r="J13" s="38" t="s">
        <v>37</v>
      </c>
      <c r="K13" s="38" t="s">
        <v>37</v>
      </c>
      <c r="L13" s="38" t="s">
        <v>37</v>
      </c>
      <c r="M13" s="38" t="s">
        <v>37</v>
      </c>
      <c r="N13" s="40"/>
      <c r="O13" s="33"/>
      <c r="P13" s="9" t="s">
        <v>37</v>
      </c>
      <c r="Q13" s="9" t="s">
        <v>37</v>
      </c>
      <c r="R13" s="9" t="s">
        <v>37</v>
      </c>
      <c r="S13" s="9" t="s">
        <v>37</v>
      </c>
      <c r="T13" s="9" t="s">
        <v>37</v>
      </c>
      <c r="U13" s="9" t="s">
        <v>37</v>
      </c>
      <c r="V13" s="33"/>
      <c r="W13" s="9" t="s">
        <v>37</v>
      </c>
      <c r="X13" s="9" t="s">
        <v>37</v>
      </c>
      <c r="Y13" s="9" t="s">
        <v>37</v>
      </c>
      <c r="Z13" s="9" t="s">
        <v>37</v>
      </c>
      <c r="AA13" s="9" t="s">
        <v>37</v>
      </c>
      <c r="AB13" s="9" t="s">
        <v>37</v>
      </c>
      <c r="AC13" s="33"/>
      <c r="AD13" s="9" t="s">
        <v>37</v>
      </c>
      <c r="AE13" s="9" t="s">
        <v>37</v>
      </c>
      <c r="AF13" s="9" t="s">
        <v>37</v>
      </c>
      <c r="AG13" s="9" t="s">
        <v>37</v>
      </c>
      <c r="AH13" s="9" t="s">
        <v>37</v>
      </c>
      <c r="AI13" s="9" t="s">
        <v>37</v>
      </c>
      <c r="AJ13" s="5">
        <f t="shared" si="1"/>
        <v>25</v>
      </c>
      <c r="AK13" s="5">
        <f t="shared" si="2"/>
        <v>0</v>
      </c>
      <c r="AL13" s="3"/>
      <c r="AM13" s="15"/>
      <c r="AN13" s="15"/>
      <c r="AO13" s="15"/>
    </row>
    <row r="14" spans="1:41" ht="16.5" x14ac:dyDescent="0.25">
      <c r="A14" s="10">
        <v>10</v>
      </c>
      <c r="B14" s="12"/>
      <c r="C14" s="7" t="s">
        <v>33</v>
      </c>
      <c r="D14" s="7" t="s">
        <v>50</v>
      </c>
      <c r="E14" s="20" t="s">
        <v>20</v>
      </c>
      <c r="F14" s="38" t="s">
        <v>37</v>
      </c>
      <c r="G14" s="38" t="s">
        <v>37</v>
      </c>
      <c r="H14" s="33"/>
      <c r="I14" s="38" t="s">
        <v>37</v>
      </c>
      <c r="J14" s="38" t="s">
        <v>37</v>
      </c>
      <c r="K14" s="38" t="s">
        <v>37</v>
      </c>
      <c r="L14" s="38" t="s">
        <v>37</v>
      </c>
      <c r="M14" s="38" t="s">
        <v>37</v>
      </c>
      <c r="N14" s="40"/>
      <c r="O14" s="33"/>
      <c r="P14" s="9" t="s">
        <v>36</v>
      </c>
      <c r="Q14" s="9" t="s">
        <v>37</v>
      </c>
      <c r="R14" s="9" t="s">
        <v>37</v>
      </c>
      <c r="S14" s="9" t="s">
        <v>37</v>
      </c>
      <c r="T14" s="9" t="s">
        <v>37</v>
      </c>
      <c r="U14" s="9" t="s">
        <v>37</v>
      </c>
      <c r="V14" s="33"/>
      <c r="W14" s="9" t="s">
        <v>37</v>
      </c>
      <c r="X14" s="9" t="s">
        <v>37</v>
      </c>
      <c r="Y14" s="9" t="s">
        <v>37</v>
      </c>
      <c r="Z14" s="9" t="s">
        <v>37</v>
      </c>
      <c r="AA14" s="9" t="s">
        <v>37</v>
      </c>
      <c r="AB14" s="9" t="s">
        <v>37</v>
      </c>
      <c r="AC14" s="33"/>
      <c r="AD14" s="9" t="s">
        <v>37</v>
      </c>
      <c r="AE14" s="9" t="s">
        <v>37</v>
      </c>
      <c r="AF14" s="9" t="s">
        <v>37</v>
      </c>
      <c r="AG14" s="9" t="s">
        <v>37</v>
      </c>
      <c r="AH14" s="9" t="s">
        <v>37</v>
      </c>
      <c r="AI14" s="9" t="s">
        <v>37</v>
      </c>
      <c r="AJ14" s="5">
        <f t="shared" si="1"/>
        <v>24</v>
      </c>
      <c r="AK14" s="5">
        <f t="shared" si="2"/>
        <v>1</v>
      </c>
      <c r="AL14" s="17"/>
      <c r="AM14" s="17"/>
      <c r="AN14" s="17"/>
      <c r="AO14" s="17"/>
    </row>
    <row r="15" spans="1:41" ht="16.5" x14ac:dyDescent="0.25">
      <c r="A15" s="10">
        <v>11</v>
      </c>
      <c r="B15" s="12"/>
      <c r="C15" s="7" t="s">
        <v>62</v>
      </c>
      <c r="D15" s="7" t="s">
        <v>47</v>
      </c>
      <c r="E15" s="20" t="s">
        <v>20</v>
      </c>
      <c r="F15" s="38" t="s">
        <v>37</v>
      </c>
      <c r="G15" s="38" t="s">
        <v>36</v>
      </c>
      <c r="H15" s="33"/>
      <c r="I15" s="38" t="s">
        <v>37</v>
      </c>
      <c r="J15" s="38" t="s">
        <v>37</v>
      </c>
      <c r="K15" s="38" t="s">
        <v>37</v>
      </c>
      <c r="L15" s="38" t="s">
        <v>37</v>
      </c>
      <c r="M15" s="38" t="s">
        <v>37</v>
      </c>
      <c r="N15" s="40"/>
      <c r="O15" s="33"/>
      <c r="P15" s="9" t="s">
        <v>37</v>
      </c>
      <c r="Q15" s="9" t="s">
        <v>36</v>
      </c>
      <c r="R15" s="9" t="s">
        <v>36</v>
      </c>
      <c r="S15" s="9" t="s">
        <v>37</v>
      </c>
      <c r="T15" s="9" t="s">
        <v>37</v>
      </c>
      <c r="U15" s="9" t="s">
        <v>36</v>
      </c>
      <c r="V15" s="33"/>
      <c r="W15" s="9" t="s">
        <v>37</v>
      </c>
      <c r="X15" s="9" t="s">
        <v>37</v>
      </c>
      <c r="Y15" s="9" t="s">
        <v>37</v>
      </c>
      <c r="Z15" s="9" t="s">
        <v>37</v>
      </c>
      <c r="AA15" s="9" t="s">
        <v>37</v>
      </c>
      <c r="AB15" s="9" t="s">
        <v>37</v>
      </c>
      <c r="AC15" s="33"/>
      <c r="AD15" s="9" t="s">
        <v>37</v>
      </c>
      <c r="AE15" s="9" t="s">
        <v>37</v>
      </c>
      <c r="AF15" s="9" t="s">
        <v>36</v>
      </c>
      <c r="AG15" s="9" t="s">
        <v>37</v>
      </c>
      <c r="AH15" s="9" t="s">
        <v>37</v>
      </c>
      <c r="AI15" s="9" t="s">
        <v>36</v>
      </c>
      <c r="AJ15" s="5">
        <f t="shared" si="1"/>
        <v>19</v>
      </c>
      <c r="AK15" s="5">
        <f t="shared" si="2"/>
        <v>6</v>
      </c>
      <c r="AL15" s="3"/>
      <c r="AM15" s="3"/>
      <c r="AN15" s="3"/>
      <c r="AO15" s="3"/>
    </row>
    <row r="16" spans="1:41" ht="16.5" x14ac:dyDescent="0.25">
      <c r="A16" s="10">
        <v>12</v>
      </c>
      <c r="B16" s="16"/>
      <c r="C16" s="7" t="s">
        <v>63</v>
      </c>
      <c r="D16" s="7" t="s">
        <v>24</v>
      </c>
      <c r="E16" s="20" t="s">
        <v>20</v>
      </c>
      <c r="F16" s="38" t="s">
        <v>37</v>
      </c>
      <c r="G16" s="38" t="s">
        <v>37</v>
      </c>
      <c r="H16" s="33"/>
      <c r="I16" s="38" t="s">
        <v>37</v>
      </c>
      <c r="J16" s="38" t="s">
        <v>37</v>
      </c>
      <c r="K16" s="38" t="s">
        <v>37</v>
      </c>
      <c r="L16" s="38" t="s">
        <v>37</v>
      </c>
      <c r="M16" s="38" t="s">
        <v>37</v>
      </c>
      <c r="N16" s="40"/>
      <c r="O16" s="33"/>
      <c r="P16" s="9" t="s">
        <v>37</v>
      </c>
      <c r="Q16" s="9" t="s">
        <v>37</v>
      </c>
      <c r="R16" s="9" t="s">
        <v>36</v>
      </c>
      <c r="S16" s="9" t="s">
        <v>36</v>
      </c>
      <c r="T16" s="9" t="s">
        <v>36</v>
      </c>
      <c r="U16" s="9" t="s">
        <v>36</v>
      </c>
      <c r="V16" s="33"/>
      <c r="W16" s="9" t="s">
        <v>36</v>
      </c>
      <c r="X16" s="9" t="s">
        <v>37</v>
      </c>
      <c r="Y16" s="9" t="s">
        <v>37</v>
      </c>
      <c r="Z16" s="9" t="s">
        <v>36</v>
      </c>
      <c r="AA16" s="9" t="s">
        <v>37</v>
      </c>
      <c r="AB16" s="9" t="s">
        <v>37</v>
      </c>
      <c r="AC16" s="33"/>
      <c r="AD16" s="9" t="s">
        <v>37</v>
      </c>
      <c r="AE16" s="9" t="s">
        <v>37</v>
      </c>
      <c r="AF16" s="9" t="s">
        <v>37</v>
      </c>
      <c r="AG16" s="9" t="s">
        <v>37</v>
      </c>
      <c r="AH16" s="9" t="s">
        <v>37</v>
      </c>
      <c r="AI16" s="9" t="s">
        <v>37</v>
      </c>
      <c r="AJ16" s="5">
        <f t="shared" si="1"/>
        <v>19</v>
      </c>
      <c r="AK16" s="5">
        <f t="shared" si="2"/>
        <v>6</v>
      </c>
      <c r="AL16" s="25" t="s">
        <v>6</v>
      </c>
      <c r="AM16" s="26"/>
      <c r="AN16" s="26"/>
      <c r="AO16" s="27"/>
    </row>
    <row r="17" spans="1:41" ht="16.5" x14ac:dyDescent="0.25">
      <c r="A17" s="10">
        <v>13</v>
      </c>
      <c r="B17" s="16"/>
      <c r="C17" s="7" t="s">
        <v>75</v>
      </c>
      <c r="D17" s="7" t="s">
        <v>76</v>
      </c>
      <c r="E17" s="20" t="s">
        <v>20</v>
      </c>
      <c r="F17" s="38" t="s">
        <v>37</v>
      </c>
      <c r="G17" s="38" t="s">
        <v>37</v>
      </c>
      <c r="H17" s="33"/>
      <c r="I17" s="38" t="s">
        <v>37</v>
      </c>
      <c r="J17" s="38" t="s">
        <v>37</v>
      </c>
      <c r="K17" s="38" t="s">
        <v>37</v>
      </c>
      <c r="L17" s="38" t="s">
        <v>37</v>
      </c>
      <c r="M17" s="38" t="s">
        <v>37</v>
      </c>
      <c r="N17" s="40"/>
      <c r="O17" s="33"/>
      <c r="P17" s="9" t="s">
        <v>37</v>
      </c>
      <c r="Q17" s="9" t="s">
        <v>37</v>
      </c>
      <c r="R17" s="9" t="s">
        <v>37</v>
      </c>
      <c r="S17" s="9" t="s">
        <v>37</v>
      </c>
      <c r="T17" s="9" t="s">
        <v>37</v>
      </c>
      <c r="U17" s="9" t="s">
        <v>37</v>
      </c>
      <c r="V17" s="33"/>
      <c r="W17" s="9" t="s">
        <v>37</v>
      </c>
      <c r="X17" s="9" t="s">
        <v>37</v>
      </c>
      <c r="Y17" s="9" t="s">
        <v>37</v>
      </c>
      <c r="Z17" s="9" t="s">
        <v>37</v>
      </c>
      <c r="AA17" s="9" t="s">
        <v>37</v>
      </c>
      <c r="AB17" s="9" t="s">
        <v>37</v>
      </c>
      <c r="AC17" s="33"/>
      <c r="AD17" s="9" t="s">
        <v>37</v>
      </c>
      <c r="AE17" s="9" t="s">
        <v>37</v>
      </c>
      <c r="AF17" s="9" t="s">
        <v>37</v>
      </c>
      <c r="AG17" s="9" t="s">
        <v>37</v>
      </c>
      <c r="AH17" s="9" t="s">
        <v>37</v>
      </c>
      <c r="AI17" s="9" t="s">
        <v>37</v>
      </c>
      <c r="AJ17" s="5">
        <f t="shared" si="1"/>
        <v>25</v>
      </c>
      <c r="AK17" s="5">
        <f t="shared" si="2"/>
        <v>0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ht="16.5" x14ac:dyDescent="0.25">
      <c r="A18" s="10">
        <v>14</v>
      </c>
      <c r="B18" s="12"/>
      <c r="C18" s="7" t="s">
        <v>25</v>
      </c>
      <c r="D18" s="7" t="s">
        <v>51</v>
      </c>
      <c r="E18" s="20" t="s">
        <v>20</v>
      </c>
      <c r="F18" s="38" t="s">
        <v>37</v>
      </c>
      <c r="G18" s="38" t="s">
        <v>37</v>
      </c>
      <c r="H18" s="33"/>
      <c r="I18" s="38" t="s">
        <v>37</v>
      </c>
      <c r="J18" s="38" t="s">
        <v>37</v>
      </c>
      <c r="K18" s="38" t="s">
        <v>37</v>
      </c>
      <c r="L18" s="38" t="s">
        <v>37</v>
      </c>
      <c r="M18" s="38" t="s">
        <v>37</v>
      </c>
      <c r="N18" s="40"/>
      <c r="O18" s="33"/>
      <c r="P18" s="9" t="s">
        <v>37</v>
      </c>
      <c r="Q18" s="9" t="s">
        <v>37</v>
      </c>
      <c r="R18" s="9" t="s">
        <v>37</v>
      </c>
      <c r="S18" s="9" t="s">
        <v>37</v>
      </c>
      <c r="T18" s="9" t="s">
        <v>37</v>
      </c>
      <c r="U18" s="9" t="s">
        <v>37</v>
      </c>
      <c r="V18" s="33"/>
      <c r="W18" s="9" t="s">
        <v>37</v>
      </c>
      <c r="X18" s="9" t="s">
        <v>37</v>
      </c>
      <c r="Y18" s="9" t="s">
        <v>37</v>
      </c>
      <c r="Z18" s="9" t="s">
        <v>37</v>
      </c>
      <c r="AA18" s="9" t="s">
        <v>37</v>
      </c>
      <c r="AB18" s="9" t="s">
        <v>37</v>
      </c>
      <c r="AC18" s="33"/>
      <c r="AD18" s="9" t="s">
        <v>37</v>
      </c>
      <c r="AE18" s="9" t="s">
        <v>37</v>
      </c>
      <c r="AF18" s="9" t="s">
        <v>37</v>
      </c>
      <c r="AG18" s="9" t="s">
        <v>37</v>
      </c>
      <c r="AH18" s="9" t="s">
        <v>37</v>
      </c>
      <c r="AI18" s="9" t="s">
        <v>37</v>
      </c>
      <c r="AJ18" s="5">
        <f t="shared" si="1"/>
        <v>25</v>
      </c>
      <c r="AK18" s="5">
        <f t="shared" si="2"/>
        <v>0</v>
      </c>
      <c r="AL18" s="5" t="s">
        <v>16</v>
      </c>
      <c r="AM18" s="10">
        <f>19*26</f>
        <v>494</v>
      </c>
      <c r="AN18" s="10">
        <f>21*26</f>
        <v>546</v>
      </c>
      <c r="AO18" s="10">
        <f>AM18+AN18</f>
        <v>1040</v>
      </c>
    </row>
    <row r="19" spans="1:41" ht="16.5" x14ac:dyDescent="0.25">
      <c r="A19" s="10">
        <v>15</v>
      </c>
      <c r="B19" s="12"/>
      <c r="C19" s="7" t="s">
        <v>64</v>
      </c>
      <c r="D19" s="7" t="s">
        <v>65</v>
      </c>
      <c r="E19" s="20" t="s">
        <v>20</v>
      </c>
      <c r="F19" s="38" t="s">
        <v>36</v>
      </c>
      <c r="G19" s="38" t="s">
        <v>37</v>
      </c>
      <c r="H19" s="33"/>
      <c r="I19" s="38" t="s">
        <v>37</v>
      </c>
      <c r="J19" s="38" t="s">
        <v>37</v>
      </c>
      <c r="K19" s="38" t="s">
        <v>37</v>
      </c>
      <c r="L19" s="38" t="s">
        <v>37</v>
      </c>
      <c r="M19" s="38" t="s">
        <v>37</v>
      </c>
      <c r="N19" s="40"/>
      <c r="O19" s="33"/>
      <c r="P19" s="9" t="s">
        <v>37</v>
      </c>
      <c r="Q19" s="9" t="s">
        <v>37</v>
      </c>
      <c r="R19" s="9" t="s">
        <v>37</v>
      </c>
      <c r="S19" s="9" t="s">
        <v>36</v>
      </c>
      <c r="T19" s="9" t="s">
        <v>37</v>
      </c>
      <c r="U19" s="9" t="s">
        <v>37</v>
      </c>
      <c r="V19" s="33"/>
      <c r="W19" s="9" t="s">
        <v>37</v>
      </c>
      <c r="X19" s="9" t="s">
        <v>37</v>
      </c>
      <c r="Y19" s="9" t="s">
        <v>37</v>
      </c>
      <c r="Z19" s="9" t="s">
        <v>37</v>
      </c>
      <c r="AA19" s="9" t="s">
        <v>37</v>
      </c>
      <c r="AB19" s="9" t="s">
        <v>37</v>
      </c>
      <c r="AC19" s="33"/>
      <c r="AD19" s="9" t="s">
        <v>37</v>
      </c>
      <c r="AE19" s="9" t="s">
        <v>37</v>
      </c>
      <c r="AF19" s="9" t="s">
        <v>37</v>
      </c>
      <c r="AG19" s="9" t="s">
        <v>37</v>
      </c>
      <c r="AH19" s="9" t="s">
        <v>37</v>
      </c>
      <c r="AI19" s="9" t="s">
        <v>37</v>
      </c>
      <c r="AJ19" s="5">
        <f t="shared" si="1"/>
        <v>23</v>
      </c>
      <c r="AK19" s="5">
        <f t="shared" si="2"/>
        <v>2</v>
      </c>
      <c r="AL19" s="5" t="s">
        <v>19</v>
      </c>
      <c r="AM19" s="10" t="e">
        <f>AM18-AM11</f>
        <v>#REF!</v>
      </c>
      <c r="AN19" s="10" t="e">
        <f>AN18-AN11</f>
        <v>#REF!</v>
      </c>
      <c r="AO19" s="10" t="e">
        <f>AM19+AN19</f>
        <v>#REF!</v>
      </c>
    </row>
    <row r="20" spans="1:41" ht="16.5" x14ac:dyDescent="0.25">
      <c r="A20" s="10">
        <v>16</v>
      </c>
      <c r="B20" s="12"/>
      <c r="C20" s="7" t="s">
        <v>66</v>
      </c>
      <c r="D20" s="7" t="s">
        <v>40</v>
      </c>
      <c r="E20" s="20" t="s">
        <v>20</v>
      </c>
      <c r="F20" s="38" t="s">
        <v>37</v>
      </c>
      <c r="G20" s="38" t="s">
        <v>37</v>
      </c>
      <c r="H20" s="33"/>
      <c r="I20" s="38" t="s">
        <v>36</v>
      </c>
      <c r="J20" s="38" t="s">
        <v>36</v>
      </c>
      <c r="K20" s="38" t="s">
        <v>36</v>
      </c>
      <c r="L20" s="38" t="s">
        <v>37</v>
      </c>
      <c r="M20" s="38" t="s">
        <v>37</v>
      </c>
      <c r="N20" s="40"/>
      <c r="O20" s="33"/>
      <c r="P20" s="9" t="s">
        <v>37</v>
      </c>
      <c r="Q20" s="9" t="s">
        <v>37</v>
      </c>
      <c r="R20" s="9" t="s">
        <v>37</v>
      </c>
      <c r="S20" s="9" t="s">
        <v>37</v>
      </c>
      <c r="T20" s="9" t="s">
        <v>37</v>
      </c>
      <c r="U20" s="9" t="s">
        <v>37</v>
      </c>
      <c r="V20" s="33"/>
      <c r="W20" s="9" t="s">
        <v>37</v>
      </c>
      <c r="X20" s="9" t="s">
        <v>37</v>
      </c>
      <c r="Y20" s="9" t="s">
        <v>37</v>
      </c>
      <c r="Z20" s="9" t="s">
        <v>37</v>
      </c>
      <c r="AA20" s="9" t="s">
        <v>37</v>
      </c>
      <c r="AB20" s="9" t="s">
        <v>37</v>
      </c>
      <c r="AC20" s="33"/>
      <c r="AD20" s="9" t="s">
        <v>37</v>
      </c>
      <c r="AE20" s="9" t="s">
        <v>36</v>
      </c>
      <c r="AF20" s="9" t="s">
        <v>37</v>
      </c>
      <c r="AG20" s="9" t="s">
        <v>37</v>
      </c>
      <c r="AH20" s="9" t="s">
        <v>37</v>
      </c>
      <c r="AI20" s="9" t="s">
        <v>37</v>
      </c>
      <c r="AJ20" s="5">
        <f t="shared" si="1"/>
        <v>21</v>
      </c>
      <c r="AK20" s="5">
        <f t="shared" si="2"/>
        <v>4</v>
      </c>
      <c r="AL20" s="5" t="s">
        <v>15</v>
      </c>
      <c r="AM20" s="18" t="e">
        <f>AM19/AM18</f>
        <v>#REF!</v>
      </c>
      <c r="AN20" s="18" t="e">
        <f>AN19/AN18</f>
        <v>#REF!</v>
      </c>
      <c r="AO20" s="18" t="e">
        <f>AO19/AO18</f>
        <v>#REF!</v>
      </c>
    </row>
    <row r="21" spans="1:41" ht="16.5" x14ac:dyDescent="0.25">
      <c r="A21" s="10">
        <v>17</v>
      </c>
      <c r="B21" s="12"/>
      <c r="C21" s="7" t="s">
        <v>67</v>
      </c>
      <c r="D21" s="7" t="s">
        <v>68</v>
      </c>
      <c r="E21" s="20" t="s">
        <v>20</v>
      </c>
      <c r="F21" s="38" t="s">
        <v>37</v>
      </c>
      <c r="G21" s="38" t="s">
        <v>37</v>
      </c>
      <c r="H21" s="33"/>
      <c r="I21" s="38" t="s">
        <v>37</v>
      </c>
      <c r="J21" s="38" t="s">
        <v>37</v>
      </c>
      <c r="K21" s="38" t="s">
        <v>36</v>
      </c>
      <c r="L21" s="38" t="s">
        <v>36</v>
      </c>
      <c r="M21" s="38" t="s">
        <v>36</v>
      </c>
      <c r="N21" s="40"/>
      <c r="O21" s="33"/>
      <c r="P21" s="9" t="s">
        <v>36</v>
      </c>
      <c r="Q21" s="9" t="s">
        <v>36</v>
      </c>
      <c r="R21" s="9" t="s">
        <v>37</v>
      </c>
      <c r="S21" s="9" t="s">
        <v>37</v>
      </c>
      <c r="T21" s="9" t="s">
        <v>37</v>
      </c>
      <c r="U21" s="9" t="s">
        <v>37</v>
      </c>
      <c r="V21" s="33"/>
      <c r="W21" s="9" t="s">
        <v>36</v>
      </c>
      <c r="X21" s="9" t="s">
        <v>36</v>
      </c>
      <c r="Y21" s="9" t="s">
        <v>36</v>
      </c>
      <c r="Z21" s="9" t="s">
        <v>36</v>
      </c>
      <c r="AA21" s="9" t="s">
        <v>36</v>
      </c>
      <c r="AB21" s="9" t="s">
        <v>36</v>
      </c>
      <c r="AC21" s="33"/>
      <c r="AD21" s="9" t="s">
        <v>37</v>
      </c>
      <c r="AE21" s="9" t="s">
        <v>37</v>
      </c>
      <c r="AF21" s="9" t="s">
        <v>37</v>
      </c>
      <c r="AG21" s="9" t="s">
        <v>36</v>
      </c>
      <c r="AH21" s="9" t="s">
        <v>37</v>
      </c>
      <c r="AI21" s="9" t="s">
        <v>36</v>
      </c>
      <c r="AJ21" s="5">
        <f t="shared" si="1"/>
        <v>12</v>
      </c>
      <c r="AK21" s="5">
        <f t="shared" si="2"/>
        <v>13</v>
      </c>
    </row>
    <row r="22" spans="1:41" ht="16.5" x14ac:dyDescent="0.25">
      <c r="A22" s="10">
        <v>18</v>
      </c>
      <c r="B22" s="12"/>
      <c r="C22" s="7" t="s">
        <v>69</v>
      </c>
      <c r="D22" s="7" t="s">
        <v>70</v>
      </c>
      <c r="E22" s="20" t="s">
        <v>20</v>
      </c>
      <c r="F22" s="38" t="s">
        <v>37</v>
      </c>
      <c r="G22" s="38" t="s">
        <v>37</v>
      </c>
      <c r="H22" s="33"/>
      <c r="I22" s="38" t="s">
        <v>37</v>
      </c>
      <c r="J22" s="38" t="s">
        <v>37</v>
      </c>
      <c r="K22" s="38" t="s">
        <v>37</v>
      </c>
      <c r="L22" s="38" t="s">
        <v>37</v>
      </c>
      <c r="M22" s="38" t="s">
        <v>37</v>
      </c>
      <c r="N22" s="40"/>
      <c r="O22" s="33"/>
      <c r="P22" s="9" t="s">
        <v>37</v>
      </c>
      <c r="Q22" s="9" t="s">
        <v>37</v>
      </c>
      <c r="R22" s="9" t="s">
        <v>37</v>
      </c>
      <c r="S22" s="9" t="s">
        <v>37</v>
      </c>
      <c r="T22" s="9" t="s">
        <v>37</v>
      </c>
      <c r="U22" s="9" t="s">
        <v>37</v>
      </c>
      <c r="V22" s="33"/>
      <c r="W22" s="9" t="s">
        <v>37</v>
      </c>
      <c r="X22" s="9" t="s">
        <v>37</v>
      </c>
      <c r="Y22" s="9" t="s">
        <v>37</v>
      </c>
      <c r="Z22" s="9" t="s">
        <v>37</v>
      </c>
      <c r="AA22" s="9" t="s">
        <v>37</v>
      </c>
      <c r="AB22" s="9" t="s">
        <v>37</v>
      </c>
      <c r="AC22" s="33"/>
      <c r="AD22" s="9" t="s">
        <v>37</v>
      </c>
      <c r="AE22" s="9" t="s">
        <v>37</v>
      </c>
      <c r="AF22" s="9" t="s">
        <v>37</v>
      </c>
      <c r="AG22" s="9" t="s">
        <v>37</v>
      </c>
      <c r="AH22" s="9" t="s">
        <v>37</v>
      </c>
      <c r="AI22" s="9" t="s">
        <v>37</v>
      </c>
      <c r="AJ22" s="5">
        <f t="shared" si="1"/>
        <v>25</v>
      </c>
      <c r="AK22" s="5">
        <f t="shared" si="2"/>
        <v>0</v>
      </c>
    </row>
    <row r="23" spans="1:41" ht="16.5" x14ac:dyDescent="0.25">
      <c r="A23" s="10">
        <v>19</v>
      </c>
      <c r="B23" s="12"/>
      <c r="C23" s="7" t="s">
        <v>129</v>
      </c>
      <c r="D23" s="7" t="s">
        <v>31</v>
      </c>
      <c r="E23" s="20" t="s">
        <v>20</v>
      </c>
      <c r="F23" s="38" t="s">
        <v>37</v>
      </c>
      <c r="G23" s="38" t="s">
        <v>37</v>
      </c>
      <c r="H23" s="33"/>
      <c r="I23" s="38" t="s">
        <v>37</v>
      </c>
      <c r="J23" s="38" t="s">
        <v>37</v>
      </c>
      <c r="K23" s="38" t="s">
        <v>37</v>
      </c>
      <c r="L23" s="38" t="s">
        <v>37</v>
      </c>
      <c r="M23" s="38" t="s">
        <v>37</v>
      </c>
      <c r="N23" s="40"/>
      <c r="O23" s="33"/>
      <c r="P23" s="9" t="s">
        <v>37</v>
      </c>
      <c r="Q23" s="9" t="s">
        <v>37</v>
      </c>
      <c r="R23" s="9" t="s">
        <v>37</v>
      </c>
      <c r="S23" s="9" t="s">
        <v>37</v>
      </c>
      <c r="T23" s="9" t="s">
        <v>37</v>
      </c>
      <c r="U23" s="9" t="s">
        <v>37</v>
      </c>
      <c r="V23" s="33"/>
      <c r="W23" s="9" t="s">
        <v>37</v>
      </c>
      <c r="X23" s="9" t="s">
        <v>37</v>
      </c>
      <c r="Y23" s="9" t="s">
        <v>37</v>
      </c>
      <c r="Z23" s="9" t="s">
        <v>37</v>
      </c>
      <c r="AA23" s="9" t="s">
        <v>37</v>
      </c>
      <c r="AB23" s="9" t="s">
        <v>37</v>
      </c>
      <c r="AC23" s="33"/>
      <c r="AD23" s="9" t="s">
        <v>37</v>
      </c>
      <c r="AE23" s="9" t="s">
        <v>37</v>
      </c>
      <c r="AF23" s="9" t="s">
        <v>37</v>
      </c>
      <c r="AG23" s="9" t="s">
        <v>37</v>
      </c>
      <c r="AH23" s="9" t="s">
        <v>37</v>
      </c>
      <c r="AI23" s="9" t="s">
        <v>37</v>
      </c>
      <c r="AJ23" s="5">
        <f t="shared" si="1"/>
        <v>25</v>
      </c>
      <c r="AK23" s="5">
        <f t="shared" si="2"/>
        <v>0</v>
      </c>
    </row>
    <row r="24" spans="1:41" ht="16.5" x14ac:dyDescent="0.25">
      <c r="A24" s="10">
        <v>20</v>
      </c>
      <c r="B24" s="12"/>
      <c r="C24" s="7" t="s">
        <v>73</v>
      </c>
      <c r="D24" s="7" t="s">
        <v>38</v>
      </c>
      <c r="E24" s="20" t="s">
        <v>20</v>
      </c>
      <c r="F24" s="38" t="s">
        <v>37</v>
      </c>
      <c r="G24" s="38" t="s">
        <v>37</v>
      </c>
      <c r="H24" s="33"/>
      <c r="I24" s="38" t="s">
        <v>37</v>
      </c>
      <c r="J24" s="38" t="s">
        <v>37</v>
      </c>
      <c r="K24" s="38" t="s">
        <v>37</v>
      </c>
      <c r="L24" s="38" t="s">
        <v>37</v>
      </c>
      <c r="M24" s="38" t="s">
        <v>37</v>
      </c>
      <c r="N24" s="40"/>
      <c r="O24" s="33"/>
      <c r="P24" s="9" t="s">
        <v>37</v>
      </c>
      <c r="Q24" s="9" t="s">
        <v>37</v>
      </c>
      <c r="R24" s="9" t="s">
        <v>37</v>
      </c>
      <c r="S24" s="9" t="s">
        <v>36</v>
      </c>
      <c r="T24" s="9" t="s">
        <v>123</v>
      </c>
      <c r="U24" s="9" t="s">
        <v>123</v>
      </c>
      <c r="V24" s="33"/>
      <c r="W24" s="9" t="s">
        <v>123</v>
      </c>
      <c r="X24" s="9" t="s">
        <v>37</v>
      </c>
      <c r="Y24" s="9" t="s">
        <v>37</v>
      </c>
      <c r="Z24" s="9" t="s">
        <v>37</v>
      </c>
      <c r="AA24" s="9" t="s">
        <v>37</v>
      </c>
      <c r="AB24" s="9" t="s">
        <v>37</v>
      </c>
      <c r="AC24" s="33"/>
      <c r="AD24" s="9" t="s">
        <v>37</v>
      </c>
      <c r="AE24" s="9" t="s">
        <v>37</v>
      </c>
      <c r="AF24" s="9" t="s">
        <v>37</v>
      </c>
      <c r="AG24" s="9" t="s">
        <v>37</v>
      </c>
      <c r="AH24" s="9" t="s">
        <v>37</v>
      </c>
      <c r="AI24" s="9" t="s">
        <v>37</v>
      </c>
      <c r="AJ24" s="5">
        <f t="shared" si="1"/>
        <v>21</v>
      </c>
      <c r="AK24" s="5">
        <f t="shared" si="2"/>
        <v>1</v>
      </c>
    </row>
    <row r="25" spans="1:41" ht="16.5" x14ac:dyDescent="0.25">
      <c r="A25" s="10">
        <v>21</v>
      </c>
      <c r="B25" s="12"/>
      <c r="C25" s="7" t="s">
        <v>77</v>
      </c>
      <c r="D25" s="7" t="s">
        <v>78</v>
      </c>
      <c r="E25" s="20" t="s">
        <v>20</v>
      </c>
      <c r="F25" s="38" t="s">
        <v>37</v>
      </c>
      <c r="G25" s="38" t="s">
        <v>37</v>
      </c>
      <c r="H25" s="33"/>
      <c r="I25" s="38" t="s">
        <v>37</v>
      </c>
      <c r="J25" s="38" t="s">
        <v>37</v>
      </c>
      <c r="K25" s="38" t="s">
        <v>37</v>
      </c>
      <c r="L25" s="38" t="s">
        <v>37</v>
      </c>
      <c r="M25" s="38" t="s">
        <v>37</v>
      </c>
      <c r="N25" s="40"/>
      <c r="O25" s="33"/>
      <c r="P25" s="9" t="s">
        <v>37</v>
      </c>
      <c r="Q25" s="9" t="s">
        <v>37</v>
      </c>
      <c r="R25" s="9" t="s">
        <v>37</v>
      </c>
      <c r="S25" s="9" t="s">
        <v>37</v>
      </c>
      <c r="T25" s="9" t="s">
        <v>37</v>
      </c>
      <c r="U25" s="9" t="s">
        <v>37</v>
      </c>
      <c r="V25" s="33"/>
      <c r="W25" s="9" t="s">
        <v>37</v>
      </c>
      <c r="X25" s="9" t="s">
        <v>37</v>
      </c>
      <c r="Y25" s="9" t="s">
        <v>37</v>
      </c>
      <c r="Z25" s="9" t="s">
        <v>37</v>
      </c>
      <c r="AA25" s="9" t="s">
        <v>37</v>
      </c>
      <c r="AB25" s="9" t="s">
        <v>37</v>
      </c>
      <c r="AC25" s="33"/>
      <c r="AD25" s="9" t="s">
        <v>37</v>
      </c>
      <c r="AE25" s="9" t="s">
        <v>37</v>
      </c>
      <c r="AF25" s="9" t="s">
        <v>37</v>
      </c>
      <c r="AG25" s="9" t="s">
        <v>37</v>
      </c>
      <c r="AH25" s="9" t="s">
        <v>37</v>
      </c>
      <c r="AI25" s="9" t="s">
        <v>36</v>
      </c>
      <c r="AJ25" s="5">
        <f t="shared" si="1"/>
        <v>24</v>
      </c>
      <c r="AK25" s="5">
        <f t="shared" si="2"/>
        <v>1</v>
      </c>
    </row>
    <row r="26" spans="1:41" ht="16.5" x14ac:dyDescent="0.25">
      <c r="A26" s="10">
        <v>22</v>
      </c>
      <c r="B26" s="12"/>
      <c r="C26" s="7" t="s">
        <v>126</v>
      </c>
      <c r="D26" s="7" t="s">
        <v>134</v>
      </c>
      <c r="E26" s="20" t="s">
        <v>20</v>
      </c>
      <c r="F26" s="38" t="s">
        <v>37</v>
      </c>
      <c r="G26" s="38" t="s">
        <v>36</v>
      </c>
      <c r="H26" s="33"/>
      <c r="I26" s="38" t="s">
        <v>123</v>
      </c>
      <c r="J26" s="38" t="s">
        <v>123</v>
      </c>
      <c r="K26" s="38" t="s">
        <v>123</v>
      </c>
      <c r="L26" s="38" t="s">
        <v>123</v>
      </c>
      <c r="M26" s="38" t="s">
        <v>123</v>
      </c>
      <c r="N26" s="40"/>
      <c r="O26" s="33"/>
      <c r="P26" s="9" t="s">
        <v>123</v>
      </c>
      <c r="Q26" s="9" t="s">
        <v>123</v>
      </c>
      <c r="R26" s="9" t="s">
        <v>123</v>
      </c>
      <c r="S26" s="9" t="s">
        <v>123</v>
      </c>
      <c r="T26" s="9" t="s">
        <v>123</v>
      </c>
      <c r="U26" s="9" t="s">
        <v>37</v>
      </c>
      <c r="V26" s="33"/>
      <c r="W26" s="9" t="s">
        <v>37</v>
      </c>
      <c r="X26" s="9" t="s">
        <v>37</v>
      </c>
      <c r="Y26" s="9" t="s">
        <v>37</v>
      </c>
      <c r="Z26" s="9" t="s">
        <v>37</v>
      </c>
      <c r="AA26" s="9" t="s">
        <v>37</v>
      </c>
      <c r="AB26" s="9" t="s">
        <v>37</v>
      </c>
      <c r="AC26" s="33"/>
      <c r="AD26" s="9" t="s">
        <v>37</v>
      </c>
      <c r="AE26" s="9" t="s">
        <v>37</v>
      </c>
      <c r="AF26" s="9" t="s">
        <v>37</v>
      </c>
      <c r="AG26" s="9" t="s">
        <v>37</v>
      </c>
      <c r="AH26" s="9" t="s">
        <v>37</v>
      </c>
      <c r="AI26" s="9" t="s">
        <v>37</v>
      </c>
      <c r="AJ26" s="5">
        <f t="shared" si="1"/>
        <v>14</v>
      </c>
      <c r="AK26" s="5">
        <f t="shared" si="2"/>
        <v>1</v>
      </c>
    </row>
    <row r="27" spans="1:41" ht="16.5" x14ac:dyDescent="0.25">
      <c r="A27" s="10">
        <v>23</v>
      </c>
      <c r="B27" s="12"/>
      <c r="C27" s="7" t="s">
        <v>72</v>
      </c>
      <c r="D27" s="7" t="s">
        <v>40</v>
      </c>
      <c r="E27" s="20" t="s">
        <v>20</v>
      </c>
      <c r="F27" s="38" t="s">
        <v>37</v>
      </c>
      <c r="G27" s="38" t="s">
        <v>37</v>
      </c>
      <c r="H27" s="33"/>
      <c r="I27" s="38" t="s">
        <v>37</v>
      </c>
      <c r="J27" s="38" t="s">
        <v>37</v>
      </c>
      <c r="K27" s="38" t="s">
        <v>37</v>
      </c>
      <c r="L27" s="38" t="s">
        <v>37</v>
      </c>
      <c r="M27" s="38" t="s">
        <v>37</v>
      </c>
      <c r="N27" s="40"/>
      <c r="O27" s="33"/>
      <c r="P27" s="9" t="s">
        <v>37</v>
      </c>
      <c r="Q27" s="9" t="s">
        <v>37</v>
      </c>
      <c r="R27" s="9" t="s">
        <v>37</v>
      </c>
      <c r="S27" s="9" t="s">
        <v>37</v>
      </c>
      <c r="T27" s="9" t="s">
        <v>37</v>
      </c>
      <c r="U27" s="9" t="s">
        <v>37</v>
      </c>
      <c r="V27" s="33"/>
      <c r="W27" s="9" t="s">
        <v>37</v>
      </c>
      <c r="X27" s="9" t="s">
        <v>37</v>
      </c>
      <c r="Y27" s="9" t="s">
        <v>37</v>
      </c>
      <c r="Z27" s="9" t="s">
        <v>37</v>
      </c>
      <c r="AA27" s="9" t="s">
        <v>37</v>
      </c>
      <c r="AB27" s="9" t="s">
        <v>37</v>
      </c>
      <c r="AC27" s="33"/>
      <c r="AD27" s="9" t="s">
        <v>37</v>
      </c>
      <c r="AE27" s="9" t="s">
        <v>37</v>
      </c>
      <c r="AF27" s="9" t="s">
        <v>37</v>
      </c>
      <c r="AG27" s="9" t="s">
        <v>37</v>
      </c>
      <c r="AH27" s="9" t="s">
        <v>37</v>
      </c>
      <c r="AI27" s="9" t="s">
        <v>37</v>
      </c>
      <c r="AJ27" s="5">
        <f t="shared" si="1"/>
        <v>25</v>
      </c>
      <c r="AK27" s="5">
        <f t="shared" si="2"/>
        <v>0</v>
      </c>
    </row>
    <row r="28" spans="1:41" ht="16.5" x14ac:dyDescent="0.25">
      <c r="A28" s="10">
        <v>24</v>
      </c>
      <c r="B28" s="12"/>
      <c r="C28" s="7" t="s">
        <v>124</v>
      </c>
      <c r="D28" s="7" t="s">
        <v>125</v>
      </c>
      <c r="E28" s="20" t="s">
        <v>20</v>
      </c>
      <c r="F28" s="38" t="s">
        <v>37</v>
      </c>
      <c r="G28" s="38" t="s">
        <v>36</v>
      </c>
      <c r="H28" s="33"/>
      <c r="I28" s="38" t="s">
        <v>36</v>
      </c>
      <c r="J28" s="38" t="s">
        <v>36</v>
      </c>
      <c r="K28" s="38" t="s">
        <v>36</v>
      </c>
      <c r="L28" s="38" t="s">
        <v>36</v>
      </c>
      <c r="M28" s="38" t="s">
        <v>36</v>
      </c>
      <c r="N28" s="40"/>
      <c r="O28" s="33"/>
      <c r="P28" s="9" t="s">
        <v>36</v>
      </c>
      <c r="Q28" s="9" t="s">
        <v>36</v>
      </c>
      <c r="R28" s="9" t="s">
        <v>36</v>
      </c>
      <c r="S28" s="9" t="s">
        <v>36</v>
      </c>
      <c r="T28" s="9" t="s">
        <v>36</v>
      </c>
      <c r="U28" s="9" t="s">
        <v>36</v>
      </c>
      <c r="V28" s="33"/>
      <c r="W28" s="9" t="s">
        <v>36</v>
      </c>
      <c r="X28" s="9" t="s">
        <v>36</v>
      </c>
      <c r="Y28" s="9" t="s">
        <v>36</v>
      </c>
      <c r="Z28" s="9" t="s">
        <v>36</v>
      </c>
      <c r="AA28" s="9" t="s">
        <v>36</v>
      </c>
      <c r="AB28" s="9" t="s">
        <v>36</v>
      </c>
      <c r="AC28" s="33"/>
      <c r="AD28" s="9" t="s">
        <v>36</v>
      </c>
      <c r="AE28" s="9" t="s">
        <v>36</v>
      </c>
      <c r="AF28" s="9" t="s">
        <v>36</v>
      </c>
      <c r="AG28" s="9" t="s">
        <v>36</v>
      </c>
      <c r="AH28" s="9" t="s">
        <v>36</v>
      </c>
      <c r="AI28" s="9" t="s">
        <v>36</v>
      </c>
      <c r="AJ28" s="5">
        <f t="shared" si="1"/>
        <v>1</v>
      </c>
      <c r="AK28" s="5">
        <f t="shared" si="2"/>
        <v>24</v>
      </c>
    </row>
    <row r="29" spans="1:41" ht="16.5" x14ac:dyDescent="0.25">
      <c r="A29" s="10">
        <v>25</v>
      </c>
      <c r="B29" s="12"/>
      <c r="C29" s="7" t="s">
        <v>46</v>
      </c>
      <c r="D29" s="7" t="s">
        <v>42</v>
      </c>
      <c r="E29" s="20" t="s">
        <v>20</v>
      </c>
      <c r="F29" s="38" t="s">
        <v>37</v>
      </c>
      <c r="G29" s="38" t="s">
        <v>37</v>
      </c>
      <c r="H29" s="33"/>
      <c r="I29" s="38" t="s">
        <v>37</v>
      </c>
      <c r="J29" s="38" t="s">
        <v>37</v>
      </c>
      <c r="K29" s="38" t="s">
        <v>37</v>
      </c>
      <c r="L29" s="38" t="s">
        <v>37</v>
      </c>
      <c r="M29" s="38" t="s">
        <v>37</v>
      </c>
      <c r="N29" s="40"/>
      <c r="O29" s="33"/>
      <c r="P29" s="9" t="s">
        <v>36</v>
      </c>
      <c r="Q29" s="9" t="s">
        <v>36</v>
      </c>
      <c r="R29" s="9" t="s">
        <v>36</v>
      </c>
      <c r="S29" s="9" t="s">
        <v>36</v>
      </c>
      <c r="T29" s="9" t="s">
        <v>37</v>
      </c>
      <c r="U29" s="9" t="s">
        <v>37</v>
      </c>
      <c r="V29" s="33"/>
      <c r="W29" s="9" t="s">
        <v>37</v>
      </c>
      <c r="X29" s="9" t="s">
        <v>37</v>
      </c>
      <c r="Y29" s="9" t="s">
        <v>37</v>
      </c>
      <c r="Z29" s="9" t="s">
        <v>37</v>
      </c>
      <c r="AA29" s="9" t="s">
        <v>37</v>
      </c>
      <c r="AB29" s="9" t="s">
        <v>37</v>
      </c>
      <c r="AC29" s="33"/>
      <c r="AD29" s="9" t="s">
        <v>37</v>
      </c>
      <c r="AE29" s="9" t="s">
        <v>37</v>
      </c>
      <c r="AF29" s="9" t="s">
        <v>37</v>
      </c>
      <c r="AG29" s="9" t="s">
        <v>37</v>
      </c>
      <c r="AH29" s="9" t="s">
        <v>37</v>
      </c>
      <c r="AI29" s="9" t="s">
        <v>37</v>
      </c>
      <c r="AJ29" s="5">
        <f t="shared" si="1"/>
        <v>21</v>
      </c>
      <c r="AK29" s="5">
        <f t="shared" si="2"/>
        <v>4</v>
      </c>
    </row>
    <row r="30" spans="1:41" ht="16.5" x14ac:dyDescent="0.25">
      <c r="A30" s="10">
        <v>26</v>
      </c>
      <c r="B30" s="12"/>
      <c r="C30" s="7" t="s">
        <v>74</v>
      </c>
      <c r="D30" s="7" t="s">
        <v>39</v>
      </c>
      <c r="E30" s="20" t="s">
        <v>20</v>
      </c>
      <c r="F30" s="38" t="s">
        <v>36</v>
      </c>
      <c r="G30" s="38" t="s">
        <v>36</v>
      </c>
      <c r="H30" s="33"/>
      <c r="I30" s="38" t="s">
        <v>37</v>
      </c>
      <c r="J30" s="38" t="s">
        <v>37</v>
      </c>
      <c r="K30" s="38" t="s">
        <v>37</v>
      </c>
      <c r="L30" s="38" t="s">
        <v>37</v>
      </c>
      <c r="M30" s="38" t="s">
        <v>37</v>
      </c>
      <c r="N30" s="40"/>
      <c r="O30" s="33"/>
      <c r="P30" s="9" t="s">
        <v>37</v>
      </c>
      <c r="Q30" s="9" t="s">
        <v>37</v>
      </c>
      <c r="R30" s="9" t="s">
        <v>37</v>
      </c>
      <c r="S30" s="9" t="s">
        <v>37</v>
      </c>
      <c r="T30" s="9" t="s">
        <v>37</v>
      </c>
      <c r="U30" s="9" t="s">
        <v>37</v>
      </c>
      <c r="V30" s="33"/>
      <c r="W30" s="9" t="s">
        <v>37</v>
      </c>
      <c r="X30" s="9" t="s">
        <v>37</v>
      </c>
      <c r="Y30" s="9" t="s">
        <v>37</v>
      </c>
      <c r="Z30" s="9" t="s">
        <v>37</v>
      </c>
      <c r="AA30" s="9" t="s">
        <v>37</v>
      </c>
      <c r="AB30" s="9" t="s">
        <v>37</v>
      </c>
      <c r="AC30" s="33"/>
      <c r="AD30" s="9" t="s">
        <v>37</v>
      </c>
      <c r="AE30" s="9" t="s">
        <v>37</v>
      </c>
      <c r="AF30" s="9" t="s">
        <v>37</v>
      </c>
      <c r="AG30" s="9" t="s">
        <v>37</v>
      </c>
      <c r="AH30" s="9" t="s">
        <v>37</v>
      </c>
      <c r="AI30" s="9" t="s">
        <v>37</v>
      </c>
      <c r="AJ30" s="5">
        <f t="shared" si="1"/>
        <v>23</v>
      </c>
      <c r="AK30" s="5">
        <f t="shared" si="2"/>
        <v>2</v>
      </c>
    </row>
    <row r="31" spans="1:41" ht="16.5" customHeight="1" x14ac:dyDescent="0.25">
      <c r="A31" s="10">
        <v>1</v>
      </c>
      <c r="B31" s="12"/>
      <c r="C31" s="13" t="s">
        <v>79</v>
      </c>
      <c r="D31" s="14" t="s">
        <v>80</v>
      </c>
      <c r="E31" s="8" t="s">
        <v>20</v>
      </c>
      <c r="F31" s="38" t="s">
        <v>37</v>
      </c>
      <c r="G31" s="38" t="s">
        <v>37</v>
      </c>
      <c r="H31" s="33"/>
      <c r="I31" s="38" t="s">
        <v>37</v>
      </c>
      <c r="J31" s="38" t="s">
        <v>37</v>
      </c>
      <c r="K31" s="38" t="s">
        <v>37</v>
      </c>
      <c r="L31" s="38" t="s">
        <v>37</v>
      </c>
      <c r="M31" s="38" t="s">
        <v>37</v>
      </c>
      <c r="N31" s="40"/>
      <c r="O31" s="33"/>
      <c r="P31" s="9" t="s">
        <v>37</v>
      </c>
      <c r="Q31" s="9" t="s">
        <v>37</v>
      </c>
      <c r="R31" s="9" t="s">
        <v>37</v>
      </c>
      <c r="S31" s="9" t="s">
        <v>37</v>
      </c>
      <c r="T31" s="9" t="s">
        <v>37</v>
      </c>
      <c r="U31" s="9" t="s">
        <v>37</v>
      </c>
      <c r="V31" s="33"/>
      <c r="W31" s="9" t="s">
        <v>37</v>
      </c>
      <c r="X31" s="9" t="s">
        <v>37</v>
      </c>
      <c r="Y31" s="9" t="s">
        <v>123</v>
      </c>
      <c r="Z31" s="9" t="s">
        <v>37</v>
      </c>
      <c r="AA31" s="9" t="s">
        <v>37</v>
      </c>
      <c r="AB31" s="9" t="s">
        <v>37</v>
      </c>
      <c r="AC31" s="33"/>
      <c r="AD31" s="9" t="s">
        <v>37</v>
      </c>
      <c r="AE31" s="9" t="s">
        <v>37</v>
      </c>
      <c r="AF31" s="9" t="s">
        <v>37</v>
      </c>
      <c r="AG31" s="9" t="s">
        <v>37</v>
      </c>
      <c r="AH31" s="9" t="s">
        <v>37</v>
      </c>
      <c r="AI31" s="9" t="s">
        <v>37</v>
      </c>
      <c r="AJ31" s="5">
        <f t="shared" si="1"/>
        <v>24</v>
      </c>
      <c r="AK31" s="5">
        <f t="shared" si="2"/>
        <v>0</v>
      </c>
    </row>
    <row r="32" spans="1:41" ht="16.5" x14ac:dyDescent="0.25">
      <c r="A32" s="6">
        <v>2</v>
      </c>
      <c r="B32" s="12"/>
      <c r="C32" s="13" t="s">
        <v>24</v>
      </c>
      <c r="D32" s="14" t="s">
        <v>31</v>
      </c>
      <c r="E32" s="8" t="s">
        <v>20</v>
      </c>
      <c r="F32" s="38" t="s">
        <v>37</v>
      </c>
      <c r="G32" s="38" t="s">
        <v>37</v>
      </c>
      <c r="H32" s="33"/>
      <c r="I32" s="38" t="s">
        <v>37</v>
      </c>
      <c r="J32" s="38" t="s">
        <v>37</v>
      </c>
      <c r="K32" s="38" t="s">
        <v>37</v>
      </c>
      <c r="L32" s="38" t="s">
        <v>37</v>
      </c>
      <c r="M32" s="38" t="s">
        <v>37</v>
      </c>
      <c r="N32" s="40"/>
      <c r="O32" s="33"/>
      <c r="P32" s="9" t="s">
        <v>37</v>
      </c>
      <c r="Q32" s="9" t="s">
        <v>37</v>
      </c>
      <c r="R32" s="9" t="s">
        <v>37</v>
      </c>
      <c r="S32" s="9" t="s">
        <v>37</v>
      </c>
      <c r="T32" s="9" t="s">
        <v>37</v>
      </c>
      <c r="U32" s="9" t="s">
        <v>37</v>
      </c>
      <c r="V32" s="33"/>
      <c r="W32" s="9" t="s">
        <v>37</v>
      </c>
      <c r="X32" s="9" t="s">
        <v>37</v>
      </c>
      <c r="Y32" s="9" t="s">
        <v>37</v>
      </c>
      <c r="Z32" s="9" t="s">
        <v>37</v>
      </c>
      <c r="AA32" s="9" t="s">
        <v>37</v>
      </c>
      <c r="AB32" s="9" t="s">
        <v>37</v>
      </c>
      <c r="AC32" s="33"/>
      <c r="AD32" s="9" t="s">
        <v>37</v>
      </c>
      <c r="AE32" s="9" t="s">
        <v>37</v>
      </c>
      <c r="AF32" s="9" t="s">
        <v>37</v>
      </c>
      <c r="AG32" s="9" t="s">
        <v>37</v>
      </c>
      <c r="AH32" s="9" t="s">
        <v>37</v>
      </c>
      <c r="AI32" s="9" t="s">
        <v>37</v>
      </c>
      <c r="AJ32" s="5">
        <f t="shared" si="1"/>
        <v>25</v>
      </c>
      <c r="AK32" s="5">
        <f t="shared" si="2"/>
        <v>0</v>
      </c>
    </row>
    <row r="33" spans="1:37" ht="16.5" x14ac:dyDescent="0.25">
      <c r="A33" s="10">
        <v>3</v>
      </c>
      <c r="B33" s="12"/>
      <c r="C33" s="13" t="s">
        <v>81</v>
      </c>
      <c r="D33" s="14" t="s">
        <v>82</v>
      </c>
      <c r="E33" s="8" t="s">
        <v>20</v>
      </c>
      <c r="F33" s="38" t="s">
        <v>37</v>
      </c>
      <c r="G33" s="38" t="s">
        <v>37</v>
      </c>
      <c r="H33" s="33"/>
      <c r="I33" s="38" t="s">
        <v>37</v>
      </c>
      <c r="J33" s="38" t="s">
        <v>37</v>
      </c>
      <c r="K33" s="38" t="s">
        <v>37</v>
      </c>
      <c r="L33" s="38" t="s">
        <v>37</v>
      </c>
      <c r="M33" s="38" t="s">
        <v>37</v>
      </c>
      <c r="N33" s="40"/>
      <c r="O33" s="33"/>
      <c r="P33" s="9" t="s">
        <v>37</v>
      </c>
      <c r="Q33" s="9" t="s">
        <v>37</v>
      </c>
      <c r="R33" s="9" t="s">
        <v>37</v>
      </c>
      <c r="S33" s="9" t="s">
        <v>37</v>
      </c>
      <c r="T33" s="9" t="s">
        <v>37</v>
      </c>
      <c r="U33" s="9" t="s">
        <v>36</v>
      </c>
      <c r="V33" s="33"/>
      <c r="W33" s="9" t="s">
        <v>37</v>
      </c>
      <c r="X33" s="9" t="s">
        <v>37</v>
      </c>
      <c r="Y33" s="9" t="s">
        <v>37</v>
      </c>
      <c r="Z33" s="9" t="s">
        <v>36</v>
      </c>
      <c r="AA33" s="9" t="s">
        <v>37</v>
      </c>
      <c r="AB33" s="9" t="s">
        <v>37</v>
      </c>
      <c r="AC33" s="33"/>
      <c r="AD33" s="9" t="s">
        <v>37</v>
      </c>
      <c r="AE33" s="9" t="s">
        <v>37</v>
      </c>
      <c r="AF33" s="9" t="s">
        <v>37</v>
      </c>
      <c r="AG33" s="9" t="s">
        <v>37</v>
      </c>
      <c r="AH33" s="9" t="s">
        <v>37</v>
      </c>
      <c r="AI33" s="9" t="s">
        <v>36</v>
      </c>
      <c r="AJ33" s="5">
        <f t="shared" si="1"/>
        <v>22</v>
      </c>
      <c r="AK33" s="5">
        <f t="shared" si="2"/>
        <v>3</v>
      </c>
    </row>
    <row r="34" spans="1:37" ht="16.5" x14ac:dyDescent="0.25">
      <c r="A34" s="6">
        <v>4</v>
      </c>
      <c r="B34" s="12"/>
      <c r="C34" s="13" t="s">
        <v>49</v>
      </c>
      <c r="D34" s="14" t="s">
        <v>83</v>
      </c>
      <c r="E34" s="8" t="s">
        <v>20</v>
      </c>
      <c r="F34" s="38" t="s">
        <v>37</v>
      </c>
      <c r="G34" s="38" t="s">
        <v>37</v>
      </c>
      <c r="H34" s="33"/>
      <c r="I34" s="38" t="s">
        <v>37</v>
      </c>
      <c r="J34" s="38" t="s">
        <v>37</v>
      </c>
      <c r="K34" s="38" t="s">
        <v>37</v>
      </c>
      <c r="L34" s="38" t="s">
        <v>37</v>
      </c>
      <c r="M34" s="38" t="s">
        <v>37</v>
      </c>
      <c r="N34" s="40"/>
      <c r="O34" s="33"/>
      <c r="P34" s="9" t="s">
        <v>37</v>
      </c>
      <c r="Q34" s="9" t="s">
        <v>37</v>
      </c>
      <c r="R34" s="9" t="s">
        <v>37</v>
      </c>
      <c r="S34" s="9" t="s">
        <v>37</v>
      </c>
      <c r="T34" s="9" t="s">
        <v>37</v>
      </c>
      <c r="U34" s="9" t="s">
        <v>36</v>
      </c>
      <c r="V34" s="33"/>
      <c r="W34" s="9" t="s">
        <v>37</v>
      </c>
      <c r="X34" s="9" t="s">
        <v>37</v>
      </c>
      <c r="Y34" s="9" t="s">
        <v>37</v>
      </c>
      <c r="Z34" s="9" t="s">
        <v>37</v>
      </c>
      <c r="AA34" s="9" t="s">
        <v>37</v>
      </c>
      <c r="AB34" s="9" t="s">
        <v>37</v>
      </c>
      <c r="AC34" s="33"/>
      <c r="AD34" s="9" t="s">
        <v>37</v>
      </c>
      <c r="AE34" s="9" t="s">
        <v>37</v>
      </c>
      <c r="AF34" s="9" t="s">
        <v>37</v>
      </c>
      <c r="AG34" s="9" t="s">
        <v>37</v>
      </c>
      <c r="AH34" s="9" t="s">
        <v>37</v>
      </c>
      <c r="AI34" s="9" t="s">
        <v>37</v>
      </c>
      <c r="AJ34" s="5">
        <f t="shared" si="1"/>
        <v>24</v>
      </c>
      <c r="AK34" s="5">
        <f t="shared" si="2"/>
        <v>1</v>
      </c>
    </row>
    <row r="35" spans="1:37" ht="16.5" x14ac:dyDescent="0.25">
      <c r="A35" s="10">
        <v>5</v>
      </c>
      <c r="B35" s="12"/>
      <c r="C35" s="13" t="s">
        <v>84</v>
      </c>
      <c r="D35" s="14" t="s">
        <v>85</v>
      </c>
      <c r="E35" s="8" t="s">
        <v>20</v>
      </c>
      <c r="F35" s="38" t="s">
        <v>123</v>
      </c>
      <c r="G35" s="38" t="s">
        <v>123</v>
      </c>
      <c r="H35" s="33"/>
      <c r="I35" s="38" t="s">
        <v>123</v>
      </c>
      <c r="J35" s="38" t="s">
        <v>123</v>
      </c>
      <c r="K35" s="38" t="s">
        <v>123</v>
      </c>
      <c r="L35" s="38" t="s">
        <v>123</v>
      </c>
      <c r="M35" s="38" t="s">
        <v>123</v>
      </c>
      <c r="N35" s="40"/>
      <c r="O35" s="33"/>
      <c r="P35" s="9" t="s">
        <v>123</v>
      </c>
      <c r="Q35" s="9" t="s">
        <v>123</v>
      </c>
      <c r="R35" s="9" t="s">
        <v>123</v>
      </c>
      <c r="S35" s="9" t="s">
        <v>123</v>
      </c>
      <c r="T35" s="9" t="s">
        <v>123</v>
      </c>
      <c r="U35" s="9" t="s">
        <v>123</v>
      </c>
      <c r="V35" s="33"/>
      <c r="W35" s="9" t="s">
        <v>123</v>
      </c>
      <c r="X35" s="9" t="s">
        <v>123</v>
      </c>
      <c r="Y35" s="9" t="s">
        <v>123</v>
      </c>
      <c r="Z35" s="9" t="s">
        <v>36</v>
      </c>
      <c r="AA35" s="9" t="s">
        <v>36</v>
      </c>
      <c r="AB35" s="9" t="s">
        <v>36</v>
      </c>
      <c r="AC35" s="33"/>
      <c r="AD35" s="9" t="s">
        <v>36</v>
      </c>
      <c r="AE35" s="9" t="s">
        <v>36</v>
      </c>
      <c r="AF35" s="9" t="s">
        <v>36</v>
      </c>
      <c r="AG35" s="9" t="s">
        <v>36</v>
      </c>
      <c r="AH35" s="9" t="s">
        <v>36</v>
      </c>
      <c r="AI35" s="9" t="s">
        <v>36</v>
      </c>
      <c r="AJ35" s="5">
        <f t="shared" si="1"/>
        <v>0</v>
      </c>
      <c r="AK35" s="5">
        <f t="shared" si="2"/>
        <v>9</v>
      </c>
    </row>
    <row r="36" spans="1:37" ht="16.5" x14ac:dyDescent="0.25">
      <c r="A36" s="6">
        <v>6</v>
      </c>
      <c r="B36" s="12"/>
      <c r="C36" s="13" t="s">
        <v>114</v>
      </c>
      <c r="D36" s="14" t="s">
        <v>115</v>
      </c>
      <c r="E36" s="8" t="s">
        <v>20</v>
      </c>
      <c r="F36" s="38" t="s">
        <v>37</v>
      </c>
      <c r="G36" s="38" t="s">
        <v>37</v>
      </c>
      <c r="H36" s="33"/>
      <c r="I36" s="38" t="s">
        <v>37</v>
      </c>
      <c r="J36" s="38" t="s">
        <v>37</v>
      </c>
      <c r="K36" s="38" t="s">
        <v>37</v>
      </c>
      <c r="L36" s="38" t="s">
        <v>37</v>
      </c>
      <c r="M36" s="38" t="s">
        <v>37</v>
      </c>
      <c r="N36" s="40"/>
      <c r="O36" s="33"/>
      <c r="P36" s="9" t="s">
        <v>37</v>
      </c>
      <c r="Q36" s="9" t="s">
        <v>37</v>
      </c>
      <c r="R36" s="9" t="s">
        <v>37</v>
      </c>
      <c r="S36" s="9" t="s">
        <v>37</v>
      </c>
      <c r="T36" s="9" t="s">
        <v>37</v>
      </c>
      <c r="U36" s="9" t="s">
        <v>37</v>
      </c>
      <c r="V36" s="33"/>
      <c r="W36" s="9" t="s">
        <v>37</v>
      </c>
      <c r="X36" s="9" t="s">
        <v>37</v>
      </c>
      <c r="Y36" s="9" t="s">
        <v>37</v>
      </c>
      <c r="Z36" s="9" t="s">
        <v>37</v>
      </c>
      <c r="AA36" s="9" t="s">
        <v>37</v>
      </c>
      <c r="AB36" s="9" t="s">
        <v>37</v>
      </c>
      <c r="AC36" s="33"/>
      <c r="AD36" s="9" t="s">
        <v>37</v>
      </c>
      <c r="AE36" s="9" t="s">
        <v>37</v>
      </c>
      <c r="AF36" s="9" t="s">
        <v>37</v>
      </c>
      <c r="AG36" s="9" t="s">
        <v>37</v>
      </c>
      <c r="AH36" s="9" t="s">
        <v>37</v>
      </c>
      <c r="AI36" s="9" t="s">
        <v>37</v>
      </c>
      <c r="AJ36" s="5">
        <f t="shared" si="1"/>
        <v>25</v>
      </c>
      <c r="AK36" s="5">
        <f t="shared" si="2"/>
        <v>0</v>
      </c>
    </row>
    <row r="37" spans="1:37" ht="16.5" x14ac:dyDescent="0.25">
      <c r="A37" s="10">
        <v>7</v>
      </c>
      <c r="B37" s="12"/>
      <c r="C37" s="13" t="s">
        <v>86</v>
      </c>
      <c r="D37" s="14" t="s">
        <v>87</v>
      </c>
      <c r="E37" s="8" t="s">
        <v>20</v>
      </c>
      <c r="F37" s="38" t="s">
        <v>37</v>
      </c>
      <c r="G37" s="38" t="s">
        <v>37</v>
      </c>
      <c r="H37" s="33"/>
      <c r="I37" s="38" t="s">
        <v>37</v>
      </c>
      <c r="J37" s="38" t="s">
        <v>37</v>
      </c>
      <c r="K37" s="38" t="s">
        <v>37</v>
      </c>
      <c r="L37" s="38" t="s">
        <v>37</v>
      </c>
      <c r="M37" s="38" t="s">
        <v>37</v>
      </c>
      <c r="N37" s="40"/>
      <c r="O37" s="33"/>
      <c r="P37" s="9" t="s">
        <v>37</v>
      </c>
      <c r="Q37" s="9" t="s">
        <v>37</v>
      </c>
      <c r="R37" s="9" t="s">
        <v>37</v>
      </c>
      <c r="S37" s="9" t="s">
        <v>37</v>
      </c>
      <c r="T37" s="9" t="s">
        <v>37</v>
      </c>
      <c r="U37" s="9" t="s">
        <v>36</v>
      </c>
      <c r="V37" s="33"/>
      <c r="W37" s="9" t="s">
        <v>37</v>
      </c>
      <c r="X37" s="9" t="s">
        <v>37</v>
      </c>
      <c r="Y37" s="9" t="s">
        <v>37</v>
      </c>
      <c r="Z37" s="9" t="s">
        <v>37</v>
      </c>
      <c r="AA37" s="9" t="s">
        <v>37</v>
      </c>
      <c r="AB37" s="9" t="s">
        <v>37</v>
      </c>
      <c r="AC37" s="33"/>
      <c r="AD37" s="9" t="s">
        <v>36</v>
      </c>
      <c r="AE37" s="9" t="s">
        <v>37</v>
      </c>
      <c r="AF37" s="9" t="s">
        <v>37</v>
      </c>
      <c r="AG37" s="9" t="s">
        <v>36</v>
      </c>
      <c r="AH37" s="9" t="s">
        <v>37</v>
      </c>
      <c r="AI37" s="9" t="s">
        <v>37</v>
      </c>
      <c r="AJ37" s="5">
        <f t="shared" si="1"/>
        <v>22</v>
      </c>
      <c r="AK37" s="5">
        <f t="shared" si="2"/>
        <v>3</v>
      </c>
    </row>
    <row r="38" spans="1:37" ht="16.5" x14ac:dyDescent="0.25">
      <c r="A38" s="6">
        <v>8</v>
      </c>
      <c r="B38" s="12"/>
      <c r="C38" s="13" t="s">
        <v>88</v>
      </c>
      <c r="D38" s="14" t="s">
        <v>89</v>
      </c>
      <c r="E38" s="8" t="s">
        <v>20</v>
      </c>
      <c r="F38" s="38" t="s">
        <v>37</v>
      </c>
      <c r="G38" s="38" t="s">
        <v>37</v>
      </c>
      <c r="H38" s="33"/>
      <c r="I38" s="38" t="s">
        <v>37</v>
      </c>
      <c r="J38" s="38" t="s">
        <v>37</v>
      </c>
      <c r="K38" s="38" t="s">
        <v>37</v>
      </c>
      <c r="L38" s="38" t="s">
        <v>37</v>
      </c>
      <c r="M38" s="38" t="s">
        <v>37</v>
      </c>
      <c r="N38" s="40"/>
      <c r="O38" s="33"/>
      <c r="P38" s="9" t="s">
        <v>37</v>
      </c>
      <c r="Q38" s="9" t="s">
        <v>37</v>
      </c>
      <c r="R38" s="9" t="s">
        <v>37</v>
      </c>
      <c r="S38" s="9" t="s">
        <v>37</v>
      </c>
      <c r="T38" s="9" t="s">
        <v>37</v>
      </c>
      <c r="U38" s="9" t="s">
        <v>37</v>
      </c>
      <c r="V38" s="33"/>
      <c r="W38" s="9" t="s">
        <v>36</v>
      </c>
      <c r="X38" s="9" t="s">
        <v>37</v>
      </c>
      <c r="Y38" s="9" t="s">
        <v>37</v>
      </c>
      <c r="Z38" s="9" t="s">
        <v>37</v>
      </c>
      <c r="AA38" s="9" t="s">
        <v>37</v>
      </c>
      <c r="AB38" s="9" t="s">
        <v>37</v>
      </c>
      <c r="AC38" s="33"/>
      <c r="AD38" s="9" t="s">
        <v>37</v>
      </c>
      <c r="AE38" s="9" t="s">
        <v>37</v>
      </c>
      <c r="AF38" s="9" t="s">
        <v>37</v>
      </c>
      <c r="AG38" s="9" t="s">
        <v>37</v>
      </c>
      <c r="AH38" s="9" t="s">
        <v>37</v>
      </c>
      <c r="AI38" s="9" t="s">
        <v>37</v>
      </c>
      <c r="AJ38" s="5">
        <f t="shared" si="1"/>
        <v>24</v>
      </c>
      <c r="AK38" s="5">
        <f t="shared" si="2"/>
        <v>1</v>
      </c>
    </row>
    <row r="39" spans="1:37" ht="16.5" x14ac:dyDescent="0.25">
      <c r="A39" s="10">
        <v>9</v>
      </c>
      <c r="B39" s="12"/>
      <c r="C39" s="13" t="s">
        <v>90</v>
      </c>
      <c r="D39" s="14" t="s">
        <v>30</v>
      </c>
      <c r="E39" s="8" t="s">
        <v>20</v>
      </c>
      <c r="F39" s="38" t="s">
        <v>37</v>
      </c>
      <c r="G39" s="38" t="s">
        <v>37</v>
      </c>
      <c r="H39" s="33"/>
      <c r="I39" s="38" t="s">
        <v>37</v>
      </c>
      <c r="J39" s="38" t="s">
        <v>36</v>
      </c>
      <c r="K39" s="38" t="s">
        <v>37</v>
      </c>
      <c r="L39" s="38" t="s">
        <v>37</v>
      </c>
      <c r="M39" s="38" t="s">
        <v>37</v>
      </c>
      <c r="N39" s="40"/>
      <c r="O39" s="33"/>
      <c r="P39" s="9" t="s">
        <v>37</v>
      </c>
      <c r="Q39" s="9" t="s">
        <v>37</v>
      </c>
      <c r="R39" s="9" t="s">
        <v>37</v>
      </c>
      <c r="S39" s="9" t="s">
        <v>36</v>
      </c>
      <c r="T39" s="9" t="s">
        <v>37</v>
      </c>
      <c r="U39" s="9" t="s">
        <v>37</v>
      </c>
      <c r="V39" s="33"/>
      <c r="W39" s="9" t="s">
        <v>37</v>
      </c>
      <c r="X39" s="9" t="s">
        <v>37</v>
      </c>
      <c r="Y39" s="9" t="s">
        <v>37</v>
      </c>
      <c r="Z39" s="9" t="s">
        <v>36</v>
      </c>
      <c r="AA39" s="9" t="s">
        <v>37</v>
      </c>
      <c r="AB39" s="9" t="s">
        <v>37</v>
      </c>
      <c r="AC39" s="33"/>
      <c r="AD39" s="9" t="s">
        <v>37</v>
      </c>
      <c r="AE39" s="9" t="s">
        <v>37</v>
      </c>
      <c r="AF39" s="9" t="s">
        <v>37</v>
      </c>
      <c r="AG39" s="9" t="s">
        <v>37</v>
      </c>
      <c r="AH39" s="9" t="s">
        <v>37</v>
      </c>
      <c r="AI39" s="9" t="s">
        <v>37</v>
      </c>
      <c r="AJ39" s="5">
        <f t="shared" si="1"/>
        <v>22</v>
      </c>
      <c r="AK39" s="5">
        <f t="shared" si="2"/>
        <v>3</v>
      </c>
    </row>
    <row r="40" spans="1:37" ht="16.5" x14ac:dyDescent="0.25">
      <c r="A40" s="6">
        <v>10</v>
      </c>
      <c r="B40" s="12"/>
      <c r="C40" s="13" t="s">
        <v>35</v>
      </c>
      <c r="D40" s="14" t="s">
        <v>91</v>
      </c>
      <c r="E40" s="8" t="s">
        <v>20</v>
      </c>
      <c r="F40" s="38" t="s">
        <v>37</v>
      </c>
      <c r="G40" s="38" t="s">
        <v>37</v>
      </c>
      <c r="H40" s="33"/>
      <c r="I40" s="38" t="s">
        <v>37</v>
      </c>
      <c r="J40" s="38" t="s">
        <v>37</v>
      </c>
      <c r="K40" s="38" t="s">
        <v>37</v>
      </c>
      <c r="L40" s="38" t="s">
        <v>37</v>
      </c>
      <c r="M40" s="38" t="s">
        <v>37</v>
      </c>
      <c r="N40" s="40"/>
      <c r="O40" s="33"/>
      <c r="P40" s="9" t="s">
        <v>37</v>
      </c>
      <c r="Q40" s="9" t="s">
        <v>37</v>
      </c>
      <c r="R40" s="9" t="s">
        <v>37</v>
      </c>
      <c r="S40" s="9" t="s">
        <v>37</v>
      </c>
      <c r="T40" s="9" t="s">
        <v>37</v>
      </c>
      <c r="U40" s="9" t="s">
        <v>37</v>
      </c>
      <c r="V40" s="33"/>
      <c r="W40" s="9" t="s">
        <v>37</v>
      </c>
      <c r="X40" s="9" t="s">
        <v>37</v>
      </c>
      <c r="Y40" s="9" t="s">
        <v>37</v>
      </c>
      <c r="Z40" s="9" t="s">
        <v>37</v>
      </c>
      <c r="AA40" s="9" t="s">
        <v>37</v>
      </c>
      <c r="AB40" s="9" t="s">
        <v>37</v>
      </c>
      <c r="AC40" s="33"/>
      <c r="AD40" s="9" t="s">
        <v>37</v>
      </c>
      <c r="AE40" s="9" t="s">
        <v>37</v>
      </c>
      <c r="AF40" s="9" t="s">
        <v>37</v>
      </c>
      <c r="AG40" s="9" t="s">
        <v>37</v>
      </c>
      <c r="AH40" s="9" t="s">
        <v>37</v>
      </c>
      <c r="AI40" s="9" t="s">
        <v>37</v>
      </c>
      <c r="AJ40" s="5">
        <f t="shared" si="1"/>
        <v>25</v>
      </c>
      <c r="AK40" s="5">
        <f t="shared" si="2"/>
        <v>0</v>
      </c>
    </row>
    <row r="41" spans="1:37" ht="16.5" x14ac:dyDescent="0.25">
      <c r="A41" s="10">
        <v>11</v>
      </c>
      <c r="B41" s="12"/>
      <c r="C41" s="13" t="s">
        <v>92</v>
      </c>
      <c r="D41" s="14" t="s">
        <v>28</v>
      </c>
      <c r="E41" s="8" t="s">
        <v>20</v>
      </c>
      <c r="F41" s="38" t="s">
        <v>37</v>
      </c>
      <c r="G41" s="38" t="s">
        <v>37</v>
      </c>
      <c r="H41" s="33"/>
      <c r="I41" s="38" t="s">
        <v>37</v>
      </c>
      <c r="J41" s="38" t="s">
        <v>37</v>
      </c>
      <c r="K41" s="38" t="s">
        <v>37</v>
      </c>
      <c r="L41" s="38" t="s">
        <v>37</v>
      </c>
      <c r="M41" s="38" t="s">
        <v>37</v>
      </c>
      <c r="N41" s="40"/>
      <c r="O41" s="33"/>
      <c r="P41" s="9" t="s">
        <v>37</v>
      </c>
      <c r="Q41" s="9" t="s">
        <v>37</v>
      </c>
      <c r="R41" s="9" t="s">
        <v>37</v>
      </c>
      <c r="S41" s="9" t="s">
        <v>36</v>
      </c>
      <c r="T41" s="9" t="s">
        <v>37</v>
      </c>
      <c r="U41" s="9" t="s">
        <v>37</v>
      </c>
      <c r="V41" s="33"/>
      <c r="W41" s="9" t="s">
        <v>37</v>
      </c>
      <c r="X41" s="9" t="s">
        <v>37</v>
      </c>
      <c r="Y41" s="9" t="s">
        <v>37</v>
      </c>
      <c r="Z41" s="9" t="s">
        <v>37</v>
      </c>
      <c r="AA41" s="9" t="s">
        <v>37</v>
      </c>
      <c r="AB41" s="9" t="s">
        <v>37</v>
      </c>
      <c r="AC41" s="33"/>
      <c r="AD41" s="9" t="s">
        <v>37</v>
      </c>
      <c r="AE41" s="9" t="s">
        <v>37</v>
      </c>
      <c r="AF41" s="9" t="s">
        <v>37</v>
      </c>
      <c r="AG41" s="9" t="s">
        <v>37</v>
      </c>
      <c r="AH41" s="9" t="s">
        <v>37</v>
      </c>
      <c r="AI41" s="9" t="s">
        <v>37</v>
      </c>
      <c r="AJ41" s="5">
        <f t="shared" si="1"/>
        <v>24</v>
      </c>
      <c r="AK41" s="5">
        <f t="shared" si="2"/>
        <v>1</v>
      </c>
    </row>
    <row r="42" spans="1:37" ht="16.5" x14ac:dyDescent="0.25">
      <c r="A42" s="6">
        <v>12</v>
      </c>
      <c r="B42" s="12"/>
      <c r="C42" s="13" t="s">
        <v>93</v>
      </c>
      <c r="D42" s="14" t="s">
        <v>50</v>
      </c>
      <c r="E42" s="8" t="s">
        <v>20</v>
      </c>
      <c r="F42" s="38" t="s">
        <v>37</v>
      </c>
      <c r="G42" s="38" t="s">
        <v>37</v>
      </c>
      <c r="H42" s="33"/>
      <c r="I42" s="38" t="s">
        <v>37</v>
      </c>
      <c r="J42" s="38" t="s">
        <v>37</v>
      </c>
      <c r="K42" s="38" t="s">
        <v>37</v>
      </c>
      <c r="L42" s="38" t="s">
        <v>37</v>
      </c>
      <c r="M42" s="38" t="s">
        <v>37</v>
      </c>
      <c r="N42" s="40"/>
      <c r="O42" s="33"/>
      <c r="P42" s="9" t="s">
        <v>37</v>
      </c>
      <c r="Q42" s="9" t="s">
        <v>37</v>
      </c>
      <c r="R42" s="9" t="s">
        <v>37</v>
      </c>
      <c r="S42" s="9" t="s">
        <v>37</v>
      </c>
      <c r="T42" s="9" t="s">
        <v>37</v>
      </c>
      <c r="U42" s="9" t="s">
        <v>37</v>
      </c>
      <c r="V42" s="33"/>
      <c r="W42" s="9" t="s">
        <v>37</v>
      </c>
      <c r="X42" s="9" t="s">
        <v>37</v>
      </c>
      <c r="Y42" s="9" t="s">
        <v>37</v>
      </c>
      <c r="Z42" s="9" t="s">
        <v>37</v>
      </c>
      <c r="AA42" s="9" t="s">
        <v>37</v>
      </c>
      <c r="AB42" s="9" t="s">
        <v>37</v>
      </c>
      <c r="AC42" s="33"/>
      <c r="AD42" s="9" t="s">
        <v>37</v>
      </c>
      <c r="AE42" s="9" t="s">
        <v>37</v>
      </c>
      <c r="AF42" s="9" t="s">
        <v>37</v>
      </c>
      <c r="AG42" s="9" t="s">
        <v>37</v>
      </c>
      <c r="AH42" s="9" t="s">
        <v>37</v>
      </c>
      <c r="AI42" s="9" t="s">
        <v>37</v>
      </c>
      <c r="AJ42" s="5">
        <f t="shared" si="1"/>
        <v>25</v>
      </c>
      <c r="AK42" s="5">
        <f t="shared" si="2"/>
        <v>0</v>
      </c>
    </row>
    <row r="43" spans="1:37" ht="16.5" x14ac:dyDescent="0.25">
      <c r="A43" s="10">
        <v>13</v>
      </c>
      <c r="B43" s="12"/>
      <c r="C43" s="13" t="s">
        <v>43</v>
      </c>
      <c r="D43" s="14" t="s">
        <v>45</v>
      </c>
      <c r="E43" s="8" t="s">
        <v>20</v>
      </c>
      <c r="F43" s="38" t="s">
        <v>36</v>
      </c>
      <c r="G43" s="38" t="s">
        <v>36</v>
      </c>
      <c r="H43" s="33"/>
      <c r="I43" s="38" t="s">
        <v>37</v>
      </c>
      <c r="J43" s="38" t="s">
        <v>37</v>
      </c>
      <c r="K43" s="38" t="s">
        <v>37</v>
      </c>
      <c r="L43" s="38" t="s">
        <v>37</v>
      </c>
      <c r="M43" s="38" t="s">
        <v>37</v>
      </c>
      <c r="N43" s="40"/>
      <c r="O43" s="33"/>
      <c r="P43" s="9" t="s">
        <v>37</v>
      </c>
      <c r="Q43" s="9" t="s">
        <v>37</v>
      </c>
      <c r="R43" s="9" t="s">
        <v>37</v>
      </c>
      <c r="S43" s="9" t="s">
        <v>37</v>
      </c>
      <c r="T43" s="9" t="s">
        <v>37</v>
      </c>
      <c r="U43" s="9" t="s">
        <v>37</v>
      </c>
      <c r="V43" s="33"/>
      <c r="W43" s="9" t="s">
        <v>37</v>
      </c>
      <c r="X43" s="9" t="s">
        <v>37</v>
      </c>
      <c r="Y43" s="9" t="s">
        <v>37</v>
      </c>
      <c r="Z43" s="9" t="s">
        <v>37</v>
      </c>
      <c r="AA43" s="9" t="s">
        <v>37</v>
      </c>
      <c r="AB43" s="9" t="s">
        <v>37</v>
      </c>
      <c r="AC43" s="33"/>
      <c r="AD43" s="9" t="s">
        <v>37</v>
      </c>
      <c r="AE43" s="9" t="s">
        <v>37</v>
      </c>
      <c r="AF43" s="9" t="s">
        <v>37</v>
      </c>
      <c r="AG43" s="9" t="s">
        <v>37</v>
      </c>
      <c r="AH43" s="9" t="s">
        <v>37</v>
      </c>
      <c r="AI43" s="9" t="s">
        <v>37</v>
      </c>
      <c r="AJ43" s="5">
        <f t="shared" si="1"/>
        <v>23</v>
      </c>
      <c r="AK43" s="5">
        <f t="shared" si="2"/>
        <v>2</v>
      </c>
    </row>
    <row r="44" spans="1:37" ht="16.5" x14ac:dyDescent="0.25">
      <c r="A44" s="6">
        <v>14</v>
      </c>
      <c r="B44" s="12"/>
      <c r="C44" s="13" t="s">
        <v>97</v>
      </c>
      <c r="D44" s="14" t="s">
        <v>98</v>
      </c>
      <c r="E44" s="8" t="s">
        <v>20</v>
      </c>
      <c r="F44" s="38" t="s">
        <v>36</v>
      </c>
      <c r="G44" s="38" t="s">
        <v>37</v>
      </c>
      <c r="H44" s="33"/>
      <c r="I44" s="38" t="s">
        <v>37</v>
      </c>
      <c r="J44" s="38" t="s">
        <v>36</v>
      </c>
      <c r="K44" s="38" t="s">
        <v>37</v>
      </c>
      <c r="L44" s="38" t="s">
        <v>37</v>
      </c>
      <c r="M44" s="38" t="s">
        <v>37</v>
      </c>
      <c r="N44" s="40"/>
      <c r="O44" s="33"/>
      <c r="P44" s="9" t="s">
        <v>37</v>
      </c>
      <c r="Q44" s="9" t="s">
        <v>36</v>
      </c>
      <c r="R44" s="9" t="s">
        <v>37</v>
      </c>
      <c r="S44" s="9" t="s">
        <v>37</v>
      </c>
      <c r="T44" s="9" t="s">
        <v>37</v>
      </c>
      <c r="U44" s="9" t="s">
        <v>37</v>
      </c>
      <c r="V44" s="33"/>
      <c r="W44" s="9" t="s">
        <v>36</v>
      </c>
      <c r="X44" s="9" t="s">
        <v>37</v>
      </c>
      <c r="Y44" s="9" t="s">
        <v>37</v>
      </c>
      <c r="Z44" s="9" t="s">
        <v>37</v>
      </c>
      <c r="AA44" s="9" t="s">
        <v>36</v>
      </c>
      <c r="AB44" s="9" t="s">
        <v>36</v>
      </c>
      <c r="AC44" s="33"/>
      <c r="AD44" s="9" t="s">
        <v>36</v>
      </c>
      <c r="AE44" s="9" t="s">
        <v>36</v>
      </c>
      <c r="AF44" s="9" t="s">
        <v>37</v>
      </c>
      <c r="AG44" s="9" t="s">
        <v>36</v>
      </c>
      <c r="AH44" s="9" t="s">
        <v>36</v>
      </c>
      <c r="AI44" s="9" t="s">
        <v>36</v>
      </c>
      <c r="AJ44" s="5">
        <f t="shared" si="1"/>
        <v>14</v>
      </c>
      <c r="AK44" s="5">
        <f t="shared" si="2"/>
        <v>11</v>
      </c>
    </row>
    <row r="45" spans="1:37" ht="16.5" x14ac:dyDescent="0.25">
      <c r="A45" s="10">
        <v>15</v>
      </c>
      <c r="B45" s="12"/>
      <c r="C45" s="13" t="s">
        <v>94</v>
      </c>
      <c r="D45" s="14" t="s">
        <v>95</v>
      </c>
      <c r="E45" s="8" t="s">
        <v>20</v>
      </c>
      <c r="F45" s="38" t="s">
        <v>37</v>
      </c>
      <c r="G45" s="38" t="s">
        <v>37</v>
      </c>
      <c r="H45" s="33"/>
      <c r="I45" s="38" t="s">
        <v>37</v>
      </c>
      <c r="J45" s="38" t="s">
        <v>37</v>
      </c>
      <c r="K45" s="38" t="s">
        <v>37</v>
      </c>
      <c r="L45" s="38" t="s">
        <v>37</v>
      </c>
      <c r="M45" s="38" t="s">
        <v>37</v>
      </c>
      <c r="N45" s="40"/>
      <c r="O45" s="33"/>
      <c r="P45" s="9" t="s">
        <v>37</v>
      </c>
      <c r="Q45" s="9" t="s">
        <v>37</v>
      </c>
      <c r="R45" s="9" t="s">
        <v>36</v>
      </c>
      <c r="S45" s="9" t="s">
        <v>37</v>
      </c>
      <c r="T45" s="9" t="s">
        <v>37</v>
      </c>
      <c r="U45" s="9" t="s">
        <v>37</v>
      </c>
      <c r="V45" s="33"/>
      <c r="W45" s="9" t="s">
        <v>37</v>
      </c>
      <c r="X45" s="9" t="s">
        <v>37</v>
      </c>
      <c r="Y45" s="9" t="s">
        <v>37</v>
      </c>
      <c r="Z45" s="9" t="s">
        <v>37</v>
      </c>
      <c r="AA45" s="9" t="s">
        <v>37</v>
      </c>
      <c r="AB45" s="9" t="s">
        <v>37</v>
      </c>
      <c r="AC45" s="33"/>
      <c r="AD45" s="9" t="s">
        <v>37</v>
      </c>
      <c r="AE45" s="9" t="s">
        <v>37</v>
      </c>
      <c r="AF45" s="9" t="s">
        <v>37</v>
      </c>
      <c r="AG45" s="9" t="s">
        <v>36</v>
      </c>
      <c r="AH45" s="9" t="s">
        <v>37</v>
      </c>
      <c r="AI45" s="9" t="s">
        <v>37</v>
      </c>
      <c r="AJ45" s="5">
        <f t="shared" si="1"/>
        <v>23</v>
      </c>
      <c r="AK45" s="5">
        <f t="shared" si="2"/>
        <v>2</v>
      </c>
    </row>
    <row r="46" spans="1:37" ht="16.5" x14ac:dyDescent="0.25">
      <c r="A46" s="6">
        <v>16</v>
      </c>
      <c r="B46" s="12"/>
      <c r="C46" s="13" t="s">
        <v>100</v>
      </c>
      <c r="D46" s="14" t="s">
        <v>32</v>
      </c>
      <c r="E46" s="8" t="s">
        <v>20</v>
      </c>
      <c r="F46" s="38" t="s">
        <v>37</v>
      </c>
      <c r="G46" s="38" t="s">
        <v>37</v>
      </c>
      <c r="H46" s="33"/>
      <c r="I46" s="38" t="s">
        <v>37</v>
      </c>
      <c r="J46" s="38" t="s">
        <v>37</v>
      </c>
      <c r="K46" s="38" t="s">
        <v>37</v>
      </c>
      <c r="L46" s="38" t="s">
        <v>37</v>
      </c>
      <c r="M46" s="38" t="s">
        <v>37</v>
      </c>
      <c r="N46" s="40"/>
      <c r="O46" s="33"/>
      <c r="P46" s="9" t="s">
        <v>37</v>
      </c>
      <c r="Q46" s="9" t="s">
        <v>37</v>
      </c>
      <c r="R46" s="9" t="s">
        <v>37</v>
      </c>
      <c r="S46" s="9" t="s">
        <v>37</v>
      </c>
      <c r="T46" s="9" t="s">
        <v>37</v>
      </c>
      <c r="U46" s="9" t="s">
        <v>37</v>
      </c>
      <c r="V46" s="33"/>
      <c r="W46" s="9" t="s">
        <v>37</v>
      </c>
      <c r="X46" s="9" t="s">
        <v>37</v>
      </c>
      <c r="Y46" s="9" t="s">
        <v>36</v>
      </c>
      <c r="Z46" s="9" t="s">
        <v>37</v>
      </c>
      <c r="AA46" s="9" t="s">
        <v>37</v>
      </c>
      <c r="AB46" s="9" t="s">
        <v>37</v>
      </c>
      <c r="AC46" s="33"/>
      <c r="AD46" s="9" t="s">
        <v>37</v>
      </c>
      <c r="AE46" s="9" t="s">
        <v>37</v>
      </c>
      <c r="AF46" s="9" t="s">
        <v>37</v>
      </c>
      <c r="AG46" s="9" t="s">
        <v>37</v>
      </c>
      <c r="AH46" s="9" t="s">
        <v>37</v>
      </c>
      <c r="AI46" s="9" t="s">
        <v>37</v>
      </c>
      <c r="AJ46" s="5">
        <f t="shared" si="1"/>
        <v>24</v>
      </c>
      <c r="AK46" s="5">
        <f t="shared" si="2"/>
        <v>1</v>
      </c>
    </row>
    <row r="47" spans="1:37" ht="16.5" x14ac:dyDescent="0.25">
      <c r="A47" s="10">
        <v>17</v>
      </c>
      <c r="B47" s="12"/>
      <c r="C47" s="13" t="s">
        <v>101</v>
      </c>
      <c r="D47" s="14" t="s">
        <v>27</v>
      </c>
      <c r="E47" s="8" t="s">
        <v>20</v>
      </c>
      <c r="F47" s="38" t="s">
        <v>37</v>
      </c>
      <c r="G47" s="38" t="s">
        <v>36</v>
      </c>
      <c r="H47" s="33"/>
      <c r="I47" s="38" t="s">
        <v>37</v>
      </c>
      <c r="J47" s="38" t="s">
        <v>37</v>
      </c>
      <c r="K47" s="38" t="s">
        <v>37</v>
      </c>
      <c r="L47" s="38" t="s">
        <v>37</v>
      </c>
      <c r="M47" s="38" t="s">
        <v>37</v>
      </c>
      <c r="N47" s="40"/>
      <c r="O47" s="33"/>
      <c r="P47" s="9" t="s">
        <v>37</v>
      </c>
      <c r="Q47" s="9" t="s">
        <v>37</v>
      </c>
      <c r="R47" s="9" t="s">
        <v>37</v>
      </c>
      <c r="S47" s="9" t="s">
        <v>37</v>
      </c>
      <c r="T47" s="9" t="s">
        <v>37</v>
      </c>
      <c r="U47" s="9" t="s">
        <v>36</v>
      </c>
      <c r="V47" s="33"/>
      <c r="W47" s="9" t="s">
        <v>37</v>
      </c>
      <c r="X47" s="9" t="s">
        <v>37</v>
      </c>
      <c r="Y47" s="9" t="s">
        <v>37</v>
      </c>
      <c r="Z47" s="9" t="s">
        <v>37</v>
      </c>
      <c r="AA47" s="9" t="s">
        <v>37</v>
      </c>
      <c r="AB47" s="9" t="s">
        <v>37</v>
      </c>
      <c r="AC47" s="33"/>
      <c r="AD47" s="9" t="s">
        <v>37</v>
      </c>
      <c r="AE47" s="9" t="s">
        <v>37</v>
      </c>
      <c r="AF47" s="9" t="s">
        <v>37</v>
      </c>
      <c r="AG47" s="9" t="s">
        <v>37</v>
      </c>
      <c r="AH47" s="9" t="s">
        <v>37</v>
      </c>
      <c r="AI47" s="9" t="s">
        <v>37</v>
      </c>
      <c r="AJ47" s="5">
        <f t="shared" si="1"/>
        <v>23</v>
      </c>
      <c r="AK47" s="5">
        <f t="shared" si="2"/>
        <v>2</v>
      </c>
    </row>
    <row r="48" spans="1:37" ht="16.5" x14ac:dyDescent="0.25">
      <c r="A48" s="6">
        <v>18</v>
      </c>
      <c r="B48" s="12"/>
      <c r="C48" s="13" t="s">
        <v>102</v>
      </c>
      <c r="D48" s="14" t="s">
        <v>103</v>
      </c>
      <c r="E48" s="8" t="s">
        <v>20</v>
      </c>
      <c r="F48" s="38" t="s">
        <v>36</v>
      </c>
      <c r="G48" s="38" t="s">
        <v>37</v>
      </c>
      <c r="H48" s="33"/>
      <c r="I48" s="38" t="s">
        <v>37</v>
      </c>
      <c r="J48" s="38" t="s">
        <v>36</v>
      </c>
      <c r="K48" s="38" t="s">
        <v>37</v>
      </c>
      <c r="L48" s="38" t="s">
        <v>37</v>
      </c>
      <c r="M48" s="38" t="s">
        <v>37</v>
      </c>
      <c r="N48" s="40"/>
      <c r="O48" s="33"/>
      <c r="P48" s="9" t="s">
        <v>37</v>
      </c>
      <c r="Q48" s="9" t="s">
        <v>37</v>
      </c>
      <c r="R48" s="9" t="s">
        <v>37</v>
      </c>
      <c r="S48" s="9" t="s">
        <v>36</v>
      </c>
      <c r="T48" s="9" t="s">
        <v>37</v>
      </c>
      <c r="U48" s="9" t="s">
        <v>36</v>
      </c>
      <c r="V48" s="33"/>
      <c r="W48" s="9" t="s">
        <v>37</v>
      </c>
      <c r="X48" s="9" t="s">
        <v>37</v>
      </c>
      <c r="Y48" s="9" t="s">
        <v>37</v>
      </c>
      <c r="Z48" s="9" t="s">
        <v>37</v>
      </c>
      <c r="AA48" s="9" t="s">
        <v>36</v>
      </c>
      <c r="AB48" s="9" t="s">
        <v>37</v>
      </c>
      <c r="AC48" s="33"/>
      <c r="AD48" s="9" t="s">
        <v>37</v>
      </c>
      <c r="AE48" s="9" t="s">
        <v>37</v>
      </c>
      <c r="AF48" s="9" t="s">
        <v>36</v>
      </c>
      <c r="AG48" s="9" t="s">
        <v>37</v>
      </c>
      <c r="AH48" s="9" t="s">
        <v>37</v>
      </c>
      <c r="AI48" s="9" t="s">
        <v>37</v>
      </c>
      <c r="AJ48" s="5">
        <f t="shared" si="1"/>
        <v>19</v>
      </c>
      <c r="AK48" s="5">
        <f t="shared" si="2"/>
        <v>6</v>
      </c>
    </row>
    <row r="49" spans="1:37" ht="16.5" x14ac:dyDescent="0.25">
      <c r="A49" s="10">
        <v>19</v>
      </c>
      <c r="B49" s="12"/>
      <c r="C49" s="13" t="s">
        <v>104</v>
      </c>
      <c r="D49" s="14" t="s">
        <v>105</v>
      </c>
      <c r="E49" s="8" t="s">
        <v>20</v>
      </c>
      <c r="F49" s="38" t="s">
        <v>37</v>
      </c>
      <c r="G49" s="38" t="s">
        <v>37</v>
      </c>
      <c r="H49" s="33"/>
      <c r="I49" s="38" t="s">
        <v>37</v>
      </c>
      <c r="J49" s="38" t="s">
        <v>37</v>
      </c>
      <c r="K49" s="38" t="s">
        <v>37</v>
      </c>
      <c r="L49" s="38" t="s">
        <v>37</v>
      </c>
      <c r="M49" s="38" t="s">
        <v>37</v>
      </c>
      <c r="N49" s="40"/>
      <c r="O49" s="33"/>
      <c r="P49" s="9" t="s">
        <v>37</v>
      </c>
      <c r="Q49" s="9" t="s">
        <v>37</v>
      </c>
      <c r="R49" s="9" t="s">
        <v>37</v>
      </c>
      <c r="S49" s="9" t="s">
        <v>37</v>
      </c>
      <c r="T49" s="9" t="s">
        <v>36</v>
      </c>
      <c r="U49" s="9" t="s">
        <v>37</v>
      </c>
      <c r="V49" s="33"/>
      <c r="W49" s="9" t="s">
        <v>37</v>
      </c>
      <c r="X49" s="9" t="s">
        <v>37</v>
      </c>
      <c r="Y49" s="9" t="s">
        <v>37</v>
      </c>
      <c r="Z49" s="9" t="s">
        <v>37</v>
      </c>
      <c r="AA49" s="9" t="s">
        <v>37</v>
      </c>
      <c r="AB49" s="9" t="s">
        <v>37</v>
      </c>
      <c r="AC49" s="33"/>
      <c r="AD49" s="9" t="s">
        <v>37</v>
      </c>
      <c r="AE49" s="9" t="s">
        <v>37</v>
      </c>
      <c r="AF49" s="9" t="s">
        <v>37</v>
      </c>
      <c r="AG49" s="9" t="s">
        <v>37</v>
      </c>
      <c r="AH49" s="9" t="s">
        <v>37</v>
      </c>
      <c r="AI49" s="9" t="s">
        <v>36</v>
      </c>
      <c r="AJ49" s="5">
        <f t="shared" si="1"/>
        <v>23</v>
      </c>
      <c r="AK49" s="5">
        <f t="shared" si="2"/>
        <v>2</v>
      </c>
    </row>
    <row r="50" spans="1:37" ht="16.5" x14ac:dyDescent="0.25">
      <c r="A50" s="6">
        <v>20</v>
      </c>
      <c r="B50" s="12"/>
      <c r="C50" s="13" t="s">
        <v>135</v>
      </c>
      <c r="D50" s="14" t="s">
        <v>34</v>
      </c>
      <c r="E50" s="8" t="s">
        <v>20</v>
      </c>
      <c r="F50" s="38" t="s">
        <v>37</v>
      </c>
      <c r="G50" s="38" t="s">
        <v>37</v>
      </c>
      <c r="H50" s="33"/>
      <c r="I50" s="38" t="s">
        <v>37</v>
      </c>
      <c r="J50" s="38" t="s">
        <v>37</v>
      </c>
      <c r="K50" s="38" t="s">
        <v>37</v>
      </c>
      <c r="L50" s="38" t="s">
        <v>37</v>
      </c>
      <c r="M50" s="38" t="s">
        <v>37</v>
      </c>
      <c r="N50" s="40"/>
      <c r="O50" s="33"/>
      <c r="P50" s="9" t="s">
        <v>37</v>
      </c>
      <c r="Q50" s="9" t="s">
        <v>37</v>
      </c>
      <c r="R50" s="9" t="s">
        <v>37</v>
      </c>
      <c r="S50" s="9" t="s">
        <v>37</v>
      </c>
      <c r="T50" s="9" t="s">
        <v>37</v>
      </c>
      <c r="U50" s="9" t="s">
        <v>37</v>
      </c>
      <c r="V50" s="33"/>
      <c r="W50" s="9" t="s">
        <v>37</v>
      </c>
      <c r="X50" s="9" t="s">
        <v>37</v>
      </c>
      <c r="Y50" s="9" t="s">
        <v>37</v>
      </c>
      <c r="Z50" s="9" t="s">
        <v>37</v>
      </c>
      <c r="AA50" s="9" t="s">
        <v>37</v>
      </c>
      <c r="AB50" s="9" t="s">
        <v>37</v>
      </c>
      <c r="AC50" s="33"/>
      <c r="AD50" s="9" t="s">
        <v>37</v>
      </c>
      <c r="AE50" s="9" t="s">
        <v>37</v>
      </c>
      <c r="AF50" s="9" t="s">
        <v>37</v>
      </c>
      <c r="AG50" s="9" t="s">
        <v>37</v>
      </c>
      <c r="AH50" s="9" t="s">
        <v>37</v>
      </c>
      <c r="AI50" s="9" t="s">
        <v>37</v>
      </c>
      <c r="AJ50" s="5">
        <f t="shared" si="1"/>
        <v>25</v>
      </c>
      <c r="AK50" s="5">
        <f t="shared" si="2"/>
        <v>0</v>
      </c>
    </row>
    <row r="51" spans="1:37" ht="16.5" x14ac:dyDescent="0.25">
      <c r="A51" s="10">
        <v>21</v>
      </c>
      <c r="B51" s="12"/>
      <c r="C51" s="13" t="s">
        <v>136</v>
      </c>
      <c r="D51" s="14" t="s">
        <v>41</v>
      </c>
      <c r="E51" s="8" t="s">
        <v>20</v>
      </c>
      <c r="F51" s="38" t="s">
        <v>37</v>
      </c>
      <c r="G51" s="38" t="s">
        <v>37</v>
      </c>
      <c r="H51" s="33"/>
      <c r="I51" s="38" t="s">
        <v>37</v>
      </c>
      <c r="J51" s="38" t="s">
        <v>37</v>
      </c>
      <c r="K51" s="38" t="s">
        <v>37</v>
      </c>
      <c r="L51" s="38" t="s">
        <v>37</v>
      </c>
      <c r="M51" s="38" t="s">
        <v>37</v>
      </c>
      <c r="N51" s="40"/>
      <c r="O51" s="33"/>
      <c r="P51" s="9" t="s">
        <v>37</v>
      </c>
      <c r="Q51" s="9" t="s">
        <v>37</v>
      </c>
      <c r="R51" s="9" t="s">
        <v>37</v>
      </c>
      <c r="S51" s="9" t="s">
        <v>37</v>
      </c>
      <c r="T51" s="9" t="s">
        <v>36</v>
      </c>
      <c r="U51" s="9" t="s">
        <v>37</v>
      </c>
      <c r="V51" s="33"/>
      <c r="W51" s="9" t="s">
        <v>37</v>
      </c>
      <c r="X51" s="9" t="s">
        <v>37</v>
      </c>
      <c r="Y51" s="9" t="s">
        <v>37</v>
      </c>
      <c r="Z51" s="9" t="s">
        <v>37</v>
      </c>
      <c r="AA51" s="9" t="s">
        <v>37</v>
      </c>
      <c r="AB51" s="9" t="s">
        <v>37</v>
      </c>
      <c r="AC51" s="33"/>
      <c r="AD51" s="9" t="s">
        <v>37</v>
      </c>
      <c r="AE51" s="9" t="s">
        <v>37</v>
      </c>
      <c r="AF51" s="9" t="s">
        <v>37</v>
      </c>
      <c r="AG51" s="9" t="s">
        <v>37</v>
      </c>
      <c r="AH51" s="9" t="s">
        <v>37</v>
      </c>
      <c r="AI51" s="9" t="s">
        <v>37</v>
      </c>
      <c r="AJ51" s="5">
        <f t="shared" si="1"/>
        <v>24</v>
      </c>
      <c r="AK51" s="5">
        <f t="shared" si="2"/>
        <v>1</v>
      </c>
    </row>
    <row r="52" spans="1:37" ht="16.5" x14ac:dyDescent="0.25">
      <c r="A52" s="6">
        <v>22</v>
      </c>
      <c r="B52" s="12"/>
      <c r="C52" s="13" t="s">
        <v>106</v>
      </c>
      <c r="D52" s="14" t="s">
        <v>107</v>
      </c>
      <c r="E52" s="8" t="s">
        <v>20</v>
      </c>
      <c r="F52" s="38" t="s">
        <v>37</v>
      </c>
      <c r="G52" s="38" t="s">
        <v>36</v>
      </c>
      <c r="H52" s="33"/>
      <c r="I52" s="38" t="s">
        <v>36</v>
      </c>
      <c r="J52" s="38" t="s">
        <v>36</v>
      </c>
      <c r="K52" s="38" t="s">
        <v>36</v>
      </c>
      <c r="L52" s="38" t="s">
        <v>36</v>
      </c>
      <c r="M52" s="38" t="s">
        <v>36</v>
      </c>
      <c r="N52" s="40"/>
      <c r="O52" s="33"/>
      <c r="P52" s="9" t="s">
        <v>36</v>
      </c>
      <c r="Q52" s="9" t="s">
        <v>36</v>
      </c>
      <c r="R52" s="9" t="s">
        <v>36</v>
      </c>
      <c r="S52" s="9" t="s">
        <v>36</v>
      </c>
      <c r="T52" s="9" t="s">
        <v>36</v>
      </c>
      <c r="U52" s="9" t="s">
        <v>36</v>
      </c>
      <c r="V52" s="33"/>
      <c r="W52" s="9" t="s">
        <v>36</v>
      </c>
      <c r="X52" s="9" t="s">
        <v>36</v>
      </c>
      <c r="Y52" s="9" t="s">
        <v>36</v>
      </c>
      <c r="Z52" s="9" t="s">
        <v>36</v>
      </c>
      <c r="AA52" s="9" t="s">
        <v>36</v>
      </c>
      <c r="AB52" s="9" t="s">
        <v>36</v>
      </c>
      <c r="AC52" s="33"/>
      <c r="AD52" s="9" t="s">
        <v>36</v>
      </c>
      <c r="AE52" s="9" t="s">
        <v>36</v>
      </c>
      <c r="AF52" s="9" t="s">
        <v>36</v>
      </c>
      <c r="AG52" s="9" t="s">
        <v>36</v>
      </c>
      <c r="AH52" s="9" t="s">
        <v>36</v>
      </c>
      <c r="AI52" s="9" t="s">
        <v>36</v>
      </c>
      <c r="AJ52" s="5">
        <f t="shared" si="1"/>
        <v>1</v>
      </c>
      <c r="AK52" s="5">
        <f t="shared" si="2"/>
        <v>24</v>
      </c>
    </row>
    <row r="53" spans="1:37" ht="16.5" x14ac:dyDescent="0.25">
      <c r="A53" s="10">
        <v>23</v>
      </c>
      <c r="B53" s="12"/>
      <c r="C53" s="13" t="s">
        <v>52</v>
      </c>
      <c r="D53" s="14" t="s">
        <v>108</v>
      </c>
      <c r="E53" s="8" t="s">
        <v>20</v>
      </c>
      <c r="F53" s="38" t="s">
        <v>37</v>
      </c>
      <c r="G53" s="38" t="s">
        <v>36</v>
      </c>
      <c r="H53" s="33"/>
      <c r="I53" s="38" t="s">
        <v>37</v>
      </c>
      <c r="J53" s="38" t="s">
        <v>37</v>
      </c>
      <c r="K53" s="38" t="s">
        <v>37</v>
      </c>
      <c r="L53" s="38" t="s">
        <v>36</v>
      </c>
      <c r="M53" s="38" t="s">
        <v>36</v>
      </c>
      <c r="N53" s="40"/>
      <c r="O53" s="33"/>
      <c r="P53" s="9" t="s">
        <v>37</v>
      </c>
      <c r="Q53" s="9" t="s">
        <v>37</v>
      </c>
      <c r="R53" s="9" t="s">
        <v>37</v>
      </c>
      <c r="S53" s="9" t="s">
        <v>37</v>
      </c>
      <c r="T53" s="9" t="s">
        <v>37</v>
      </c>
      <c r="U53" s="9" t="s">
        <v>36</v>
      </c>
      <c r="V53" s="33"/>
      <c r="W53" s="9" t="s">
        <v>37</v>
      </c>
      <c r="X53" s="9" t="s">
        <v>36</v>
      </c>
      <c r="Y53" s="9" t="s">
        <v>37</v>
      </c>
      <c r="Z53" s="9" t="s">
        <v>36</v>
      </c>
      <c r="AA53" s="9" t="s">
        <v>37</v>
      </c>
      <c r="AB53" s="9" t="s">
        <v>37</v>
      </c>
      <c r="AC53" s="33"/>
      <c r="AD53" s="9" t="s">
        <v>36</v>
      </c>
      <c r="AE53" s="9" t="s">
        <v>37</v>
      </c>
      <c r="AF53" s="9" t="s">
        <v>37</v>
      </c>
      <c r="AG53" s="9" t="s">
        <v>37</v>
      </c>
      <c r="AH53" s="9" t="s">
        <v>37</v>
      </c>
      <c r="AI53" s="9" t="s">
        <v>37</v>
      </c>
      <c r="AJ53" s="5">
        <f t="shared" si="1"/>
        <v>18</v>
      </c>
      <c r="AK53" s="5">
        <f t="shared" si="2"/>
        <v>7</v>
      </c>
    </row>
    <row r="54" spans="1:37" ht="16.5" x14ac:dyDescent="0.25">
      <c r="A54" s="6">
        <v>24</v>
      </c>
      <c r="B54" s="12"/>
      <c r="C54" s="13" t="s">
        <v>109</v>
      </c>
      <c r="D54" s="14" t="s">
        <v>110</v>
      </c>
      <c r="E54" s="8" t="s">
        <v>20</v>
      </c>
      <c r="F54" s="38" t="s">
        <v>123</v>
      </c>
      <c r="G54" s="38" t="s">
        <v>123</v>
      </c>
      <c r="H54" s="33"/>
      <c r="I54" s="38" t="s">
        <v>123</v>
      </c>
      <c r="J54" s="38" t="s">
        <v>123</v>
      </c>
      <c r="K54" s="38" t="s">
        <v>123</v>
      </c>
      <c r="L54" s="38" t="s">
        <v>123</v>
      </c>
      <c r="M54" s="38" t="s">
        <v>123</v>
      </c>
      <c r="N54" s="40"/>
      <c r="O54" s="33"/>
      <c r="P54" s="9" t="s">
        <v>123</v>
      </c>
      <c r="Q54" s="9" t="s">
        <v>123</v>
      </c>
      <c r="R54" s="9" t="s">
        <v>123</v>
      </c>
      <c r="S54" s="9" t="s">
        <v>123</v>
      </c>
      <c r="T54" s="9" t="s">
        <v>37</v>
      </c>
      <c r="U54" s="9" t="s">
        <v>37</v>
      </c>
      <c r="V54" s="33"/>
      <c r="W54" s="9" t="s">
        <v>37</v>
      </c>
      <c r="X54" s="9" t="s">
        <v>36</v>
      </c>
      <c r="Y54" s="9" t="s">
        <v>37</v>
      </c>
      <c r="Z54" s="9" t="s">
        <v>37</v>
      </c>
      <c r="AA54" s="9" t="s">
        <v>37</v>
      </c>
      <c r="AB54" s="9" t="s">
        <v>37</v>
      </c>
      <c r="AC54" s="33"/>
      <c r="AD54" s="9" t="s">
        <v>37</v>
      </c>
      <c r="AE54" s="9" t="s">
        <v>37</v>
      </c>
      <c r="AF54" s="9" t="s">
        <v>37</v>
      </c>
      <c r="AG54" s="9" t="s">
        <v>36</v>
      </c>
      <c r="AH54" s="9" t="s">
        <v>37</v>
      </c>
      <c r="AI54" s="9" t="s">
        <v>36</v>
      </c>
      <c r="AJ54" s="5">
        <f t="shared" si="1"/>
        <v>11</v>
      </c>
      <c r="AK54" s="5">
        <f t="shared" si="2"/>
        <v>3</v>
      </c>
    </row>
    <row r="55" spans="1:37" ht="16.5" x14ac:dyDescent="0.25">
      <c r="A55" s="10">
        <v>25</v>
      </c>
      <c r="B55" s="12"/>
      <c r="C55" s="13" t="s">
        <v>111</v>
      </c>
      <c r="D55" s="14" t="s">
        <v>105</v>
      </c>
      <c r="E55" s="8" t="s">
        <v>20</v>
      </c>
      <c r="F55" s="38" t="s">
        <v>37</v>
      </c>
      <c r="G55" s="38" t="s">
        <v>37</v>
      </c>
      <c r="H55" s="33"/>
      <c r="I55" s="38" t="s">
        <v>37</v>
      </c>
      <c r="J55" s="38" t="s">
        <v>37</v>
      </c>
      <c r="K55" s="38" t="s">
        <v>37</v>
      </c>
      <c r="L55" s="38" t="s">
        <v>37</v>
      </c>
      <c r="M55" s="38" t="s">
        <v>37</v>
      </c>
      <c r="N55" s="40"/>
      <c r="O55" s="33"/>
      <c r="P55" s="9" t="s">
        <v>37</v>
      </c>
      <c r="Q55" s="9" t="s">
        <v>37</v>
      </c>
      <c r="R55" s="9" t="s">
        <v>37</v>
      </c>
      <c r="S55" s="9" t="s">
        <v>37</v>
      </c>
      <c r="T55" s="9" t="s">
        <v>37</v>
      </c>
      <c r="U55" s="9" t="s">
        <v>37</v>
      </c>
      <c r="V55" s="33"/>
      <c r="W55" s="9" t="s">
        <v>37</v>
      </c>
      <c r="X55" s="9" t="s">
        <v>37</v>
      </c>
      <c r="Y55" s="9" t="s">
        <v>37</v>
      </c>
      <c r="Z55" s="9" t="s">
        <v>37</v>
      </c>
      <c r="AA55" s="9" t="s">
        <v>37</v>
      </c>
      <c r="AB55" s="9" t="s">
        <v>37</v>
      </c>
      <c r="AC55" s="33"/>
      <c r="AD55" s="9" t="s">
        <v>37</v>
      </c>
      <c r="AE55" s="9" t="s">
        <v>37</v>
      </c>
      <c r="AF55" s="9" t="s">
        <v>37</v>
      </c>
      <c r="AG55" s="9" t="s">
        <v>37</v>
      </c>
      <c r="AH55" s="9" t="s">
        <v>37</v>
      </c>
      <c r="AI55" s="9" t="s">
        <v>37</v>
      </c>
      <c r="AJ55" s="5">
        <f t="shared" si="1"/>
        <v>25</v>
      </c>
      <c r="AK55" s="5">
        <f t="shared" si="2"/>
        <v>0</v>
      </c>
    </row>
    <row r="56" spans="1:37" ht="16.5" x14ac:dyDescent="0.25">
      <c r="A56" s="6">
        <v>26</v>
      </c>
      <c r="B56" s="12"/>
      <c r="C56" s="13" t="s">
        <v>112</v>
      </c>
      <c r="D56" s="14" t="s">
        <v>113</v>
      </c>
      <c r="E56" s="8" t="s">
        <v>20</v>
      </c>
      <c r="F56" s="38" t="s">
        <v>37</v>
      </c>
      <c r="G56" s="38" t="s">
        <v>36</v>
      </c>
      <c r="H56" s="34"/>
      <c r="I56" s="38" t="s">
        <v>37</v>
      </c>
      <c r="J56" s="38" t="s">
        <v>37</v>
      </c>
      <c r="K56" s="38" t="s">
        <v>36</v>
      </c>
      <c r="L56" s="38" t="s">
        <v>37</v>
      </c>
      <c r="M56" s="38" t="s">
        <v>37</v>
      </c>
      <c r="N56" s="41"/>
      <c r="O56" s="34"/>
      <c r="P56" s="9" t="s">
        <v>37</v>
      </c>
      <c r="Q56" s="9" t="s">
        <v>36</v>
      </c>
      <c r="R56" s="9" t="s">
        <v>37</v>
      </c>
      <c r="S56" s="9" t="s">
        <v>37</v>
      </c>
      <c r="T56" s="9" t="s">
        <v>37</v>
      </c>
      <c r="U56" s="9" t="s">
        <v>37</v>
      </c>
      <c r="V56" s="34"/>
      <c r="W56" s="9" t="s">
        <v>37</v>
      </c>
      <c r="X56" s="9" t="s">
        <v>37</v>
      </c>
      <c r="Y56" s="9" t="s">
        <v>37</v>
      </c>
      <c r="Z56" s="9" t="s">
        <v>37</v>
      </c>
      <c r="AA56" s="9" t="s">
        <v>37</v>
      </c>
      <c r="AB56" s="9" t="s">
        <v>37</v>
      </c>
      <c r="AC56" s="34"/>
      <c r="AD56" s="9" t="s">
        <v>37</v>
      </c>
      <c r="AE56" s="9" t="s">
        <v>36</v>
      </c>
      <c r="AF56" s="9" t="s">
        <v>37</v>
      </c>
      <c r="AG56" s="9" t="s">
        <v>37</v>
      </c>
      <c r="AH56" s="9" t="s">
        <v>37</v>
      </c>
      <c r="AI56" s="9" t="s">
        <v>37</v>
      </c>
      <c r="AJ56" s="5">
        <f t="shared" si="1"/>
        <v>21</v>
      </c>
      <c r="AK56" s="5">
        <f t="shared" si="2"/>
        <v>4</v>
      </c>
    </row>
  </sheetData>
  <mergeCells count="17">
    <mergeCell ref="AL3:AM3"/>
    <mergeCell ref="H5:H56"/>
    <mergeCell ref="N5:N56"/>
    <mergeCell ref="O5:O56"/>
    <mergeCell ref="V5:V56"/>
    <mergeCell ref="AC5:AC56"/>
    <mergeCell ref="AL8:AO8"/>
    <mergeCell ref="AL16:AO16"/>
    <mergeCell ref="A1:AK1"/>
    <mergeCell ref="A2:AK2"/>
    <mergeCell ref="A3:A4"/>
    <mergeCell ref="B3:B4"/>
    <mergeCell ref="C3:C4"/>
    <mergeCell ref="D3:D4"/>
    <mergeCell ref="E3:E4"/>
    <mergeCell ref="AJ3:AJ4"/>
    <mergeCell ref="AK3:AK4"/>
  </mergeCells>
  <conditionalFormatting sqref="F3:AI4 P5:U30 W5:AB30 AD5:AI30 F6:G30 I6:M30 F5:O5 V5 AC5">
    <cfRule type="expression" dxfId="63" priority="22">
      <formula>F$4=TODAY()</formula>
    </cfRule>
  </conditionalFormatting>
  <conditionalFormatting sqref="F6:G30 I6:M30 P6:U30 W6:AB30 AL4:AM4 F3:AI4 AD5:AI30 F5:AC5">
    <cfRule type="expression" dxfId="62" priority="31">
      <formula>F$3="Sun"</formula>
    </cfRule>
  </conditionalFormatting>
  <conditionalFormatting sqref="F6:G30 I6:M30 P6:U30 W6:AB30 AD5:AI30 F5:AC5">
    <cfRule type="cellIs" dxfId="61" priority="23" operator="equal">
      <formula>"L"</formula>
    </cfRule>
    <cfRule type="cellIs" dxfId="60" priority="24" operator="equal">
      <formula>"A"</formula>
    </cfRule>
    <cfRule type="cellIs" dxfId="59" priority="25" operator="equal">
      <formula>"P"</formula>
    </cfRule>
  </conditionalFormatting>
  <conditionalFormatting sqref="AJ3:AK3 AJ5:AK30">
    <cfRule type="expression" dxfId="58" priority="32">
      <formula>#REF!="Sun"</formula>
    </cfRule>
  </conditionalFormatting>
  <conditionalFormatting sqref="AL5:AL6">
    <cfRule type="expression" dxfId="57" priority="30">
      <formula>AL$3="Sun"</formula>
    </cfRule>
  </conditionalFormatting>
  <conditionalFormatting sqref="AL9:AL12">
    <cfRule type="expression" dxfId="56" priority="28">
      <formula>AL$3="Sun"</formula>
    </cfRule>
  </conditionalFormatting>
  <conditionalFormatting sqref="AL17:AL20">
    <cfRule type="expression" dxfId="55" priority="27">
      <formula>AL$3="Sun"</formula>
    </cfRule>
  </conditionalFormatting>
  <conditionalFormatting sqref="AM9:AO9">
    <cfRule type="expression" dxfId="54" priority="29">
      <formula>AM$3="Sun"</formula>
    </cfRule>
  </conditionalFormatting>
  <conditionalFormatting sqref="AM17:AO17">
    <cfRule type="expression" dxfId="53" priority="26">
      <formula>AM$3="Sun"</formula>
    </cfRule>
  </conditionalFormatting>
  <conditionalFormatting sqref="F32:G56 I32:M56">
    <cfRule type="expression" dxfId="52" priority="19">
      <formula>IF(F$4=TODAY(),TRUE,FALSE)</formula>
    </cfRule>
  </conditionalFormatting>
  <conditionalFormatting sqref="F32:G56 I32:M56">
    <cfRule type="cellIs" dxfId="51" priority="16" operator="equal">
      <formula>"L"</formula>
    </cfRule>
    <cfRule type="cellIs" dxfId="50" priority="17" operator="equal">
      <formula>"A"</formula>
    </cfRule>
    <cfRule type="cellIs" dxfId="49" priority="18" operator="equal">
      <formula>"P"</formula>
    </cfRule>
  </conditionalFormatting>
  <conditionalFormatting sqref="F31:G31 I31:M31">
    <cfRule type="cellIs" dxfId="48" priority="6" operator="equal">
      <formula>"L"</formula>
    </cfRule>
    <cfRule type="cellIs" dxfId="47" priority="7" operator="equal">
      <formula>"A"</formula>
    </cfRule>
    <cfRule type="cellIs" dxfId="46" priority="8" operator="equal">
      <formula>"P"</formula>
    </cfRule>
    <cfRule type="expression" dxfId="45" priority="9">
      <formula>IF(F$4=TODAY(),TRUE,FALSE)</formula>
    </cfRule>
    <cfRule type="expression" dxfId="44" priority="10">
      <formula>F$3="Sun"</formula>
    </cfRule>
  </conditionalFormatting>
  <conditionalFormatting sqref="F32:G56 I32:M56">
    <cfRule type="expression" dxfId="43" priority="20">
      <formula>F$3="Sun"</formula>
    </cfRule>
  </conditionalFormatting>
  <conditionalFormatting sqref="P31:U56">
    <cfRule type="cellIs" dxfId="42" priority="11" operator="equal">
      <formula>"L"</formula>
    </cfRule>
    <cfRule type="cellIs" dxfId="41" priority="12" operator="equal">
      <formula>"A"</formula>
    </cfRule>
    <cfRule type="cellIs" dxfId="40" priority="13" operator="equal">
      <formula>"P"</formula>
    </cfRule>
    <cfRule type="expression" dxfId="39" priority="14">
      <formula>IF(P$4=TODAY(),TRUE,FALSE)</formula>
    </cfRule>
    <cfRule type="expression" dxfId="38" priority="15">
      <formula>P$3="Sun"</formula>
    </cfRule>
  </conditionalFormatting>
  <conditionalFormatting sqref="W31:AB56 AD31:AI56">
    <cfRule type="cellIs" dxfId="37" priority="1" operator="equal">
      <formula>"L"</formula>
    </cfRule>
    <cfRule type="cellIs" dxfId="36" priority="2" operator="equal">
      <formula>"A"</formula>
    </cfRule>
    <cfRule type="cellIs" dxfId="35" priority="3" operator="equal">
      <formula>"P"</formula>
    </cfRule>
    <cfRule type="expression" dxfId="34" priority="4">
      <formula>IF(W$4=TODAY(),TRUE,FALSE)</formula>
    </cfRule>
    <cfRule type="expression" dxfId="33" priority="5">
      <formula>W$3="Sun"</formula>
    </cfRule>
  </conditionalFormatting>
  <conditionalFormatting sqref="AJ31:AK56">
    <cfRule type="expression" dxfId="32" priority="21">
      <formula>#REF!="Sun"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BD8E4-B2DA-40C4-87A0-0F0663EC9E72}">
  <sheetPr>
    <tabColor rgb="FFC00000"/>
  </sheetPr>
  <dimension ref="A1:AP56"/>
  <sheetViews>
    <sheetView tabSelected="1" topLeftCell="A38" workbookViewId="0">
      <selection activeCell="V56" sqref="V5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/>
    <col min="9" max="9" width="4.5703125" style="1" bestFit="1" customWidth="1"/>
    <col min="10" max="10" width="3.85546875" style="1"/>
    <col min="11" max="11" width="4.7109375" style="1" bestFit="1" customWidth="1"/>
    <col min="12" max="12" width="3.85546875" style="1"/>
    <col min="13" max="14" width="3.7109375" style="1" bestFit="1" customWidth="1"/>
    <col min="15" max="15" width="3.85546875" style="1"/>
    <col min="16" max="16" width="4.5703125" style="1" bestFit="1" customWidth="1"/>
    <col min="17" max="17" width="3.85546875" style="1"/>
    <col min="18" max="18" width="4.7109375" style="1" bestFit="1" customWidth="1"/>
    <col min="19" max="19" width="3.85546875" style="1"/>
    <col min="20" max="21" width="3.7109375" style="1" bestFit="1" customWidth="1"/>
    <col min="22" max="22" width="3.85546875" style="1"/>
    <col min="23" max="23" width="4.5703125" style="1" bestFit="1" customWidth="1"/>
    <col min="24" max="24" width="3.85546875" style="1"/>
    <col min="25" max="25" width="4.7109375" style="1" bestFit="1" customWidth="1"/>
    <col min="26" max="26" width="3.85546875" style="1"/>
    <col min="27" max="28" width="3.7109375" style="1" bestFit="1" customWidth="1"/>
    <col min="29" max="29" width="3.85546875" style="1"/>
    <col min="30" max="30" width="4.5703125" style="1" bestFit="1" customWidth="1"/>
    <col min="31" max="31" width="3.85546875" style="1"/>
    <col min="32" max="32" width="4.7109375" style="1" bestFit="1" customWidth="1"/>
    <col min="33" max="33" width="3.85546875" style="1"/>
    <col min="34" max="34" width="3.7109375" style="1" bestFit="1" customWidth="1"/>
    <col min="35" max="35" width="3.7109375" style="1" customWidth="1"/>
    <col min="36" max="36" width="3.710937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31" t="s">
        <v>23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</row>
    <row r="2" spans="1:42" ht="17.25" x14ac:dyDescent="0.3">
      <c r="A2" s="30" t="s">
        <v>131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</row>
    <row r="3" spans="1:42" ht="15.75" x14ac:dyDescent="0.25">
      <c r="A3" s="37" t="s">
        <v>0</v>
      </c>
      <c r="B3" s="37" t="s">
        <v>1</v>
      </c>
      <c r="C3" s="37" t="s">
        <v>2</v>
      </c>
      <c r="D3" s="37" t="s">
        <v>3</v>
      </c>
      <c r="E3" s="37" t="s">
        <v>4</v>
      </c>
      <c r="F3" s="2" t="str">
        <f t="shared" ref="F3:AJ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" t="str">
        <f t="shared" si="0"/>
        <v>Tue</v>
      </c>
      <c r="AK3" s="24" t="s">
        <v>5</v>
      </c>
      <c r="AL3" s="24" t="s">
        <v>6</v>
      </c>
      <c r="AM3" s="25" t="s">
        <v>21</v>
      </c>
      <c r="AN3" s="26"/>
      <c r="AO3" s="3"/>
      <c r="AP3" s="3"/>
    </row>
    <row r="4" spans="1:42" ht="36" x14ac:dyDescent="0.25">
      <c r="A4" s="37"/>
      <c r="B4" s="37"/>
      <c r="C4" s="37"/>
      <c r="D4" s="37"/>
      <c r="E4" s="37"/>
      <c r="F4" s="19">
        <v>45627</v>
      </c>
      <c r="G4" s="19">
        <v>45628</v>
      </c>
      <c r="H4" s="19">
        <v>45629</v>
      </c>
      <c r="I4" s="19">
        <v>45630</v>
      </c>
      <c r="J4" s="19">
        <v>45631</v>
      </c>
      <c r="K4" s="19">
        <v>45632</v>
      </c>
      <c r="L4" s="19">
        <v>45633</v>
      </c>
      <c r="M4" s="19">
        <v>45634</v>
      </c>
      <c r="N4" s="19">
        <v>45635</v>
      </c>
      <c r="O4" s="19">
        <v>45636</v>
      </c>
      <c r="P4" s="19">
        <v>45637</v>
      </c>
      <c r="Q4" s="19">
        <v>45638</v>
      </c>
      <c r="R4" s="19">
        <v>45639</v>
      </c>
      <c r="S4" s="19">
        <v>45640</v>
      </c>
      <c r="T4" s="19">
        <v>45641</v>
      </c>
      <c r="U4" s="19">
        <v>45642</v>
      </c>
      <c r="V4" s="19">
        <v>45643</v>
      </c>
      <c r="W4" s="19">
        <v>45644</v>
      </c>
      <c r="X4" s="19">
        <v>45645</v>
      </c>
      <c r="Y4" s="19">
        <v>45646</v>
      </c>
      <c r="Z4" s="19">
        <v>45647</v>
      </c>
      <c r="AA4" s="19">
        <v>45648</v>
      </c>
      <c r="AB4" s="19">
        <v>45649</v>
      </c>
      <c r="AC4" s="19">
        <v>45650</v>
      </c>
      <c r="AD4" s="19">
        <v>45651</v>
      </c>
      <c r="AE4" s="19">
        <v>45652</v>
      </c>
      <c r="AF4" s="19">
        <v>45653</v>
      </c>
      <c r="AG4" s="19">
        <v>45654</v>
      </c>
      <c r="AH4" s="19">
        <v>45655</v>
      </c>
      <c r="AI4" s="19">
        <v>45656</v>
      </c>
      <c r="AJ4" s="19">
        <v>45657</v>
      </c>
      <c r="AK4" s="24"/>
      <c r="AL4" s="24"/>
      <c r="AM4" s="4" t="s">
        <v>7</v>
      </c>
      <c r="AN4" s="5">
        <v>31</v>
      </c>
      <c r="AO4" s="3"/>
      <c r="AP4" s="3"/>
    </row>
    <row r="5" spans="1:42" ht="15" customHeight="1" x14ac:dyDescent="0.25">
      <c r="A5" s="10">
        <v>1</v>
      </c>
      <c r="B5" s="12"/>
      <c r="C5" s="7" t="s">
        <v>54</v>
      </c>
      <c r="D5" s="7" t="s">
        <v>55</v>
      </c>
      <c r="E5" s="20" t="s">
        <v>20</v>
      </c>
      <c r="F5" s="32" t="s">
        <v>132</v>
      </c>
      <c r="G5" s="38" t="s">
        <v>36</v>
      </c>
      <c r="H5" s="38" t="s">
        <v>37</v>
      </c>
      <c r="I5" s="38" t="s">
        <v>37</v>
      </c>
      <c r="J5" s="38" t="s">
        <v>37</v>
      </c>
      <c r="K5" s="38" t="s">
        <v>36</v>
      </c>
      <c r="L5" s="21" t="s">
        <v>128</v>
      </c>
      <c r="M5" s="32" t="s">
        <v>132</v>
      </c>
      <c r="N5" s="38" t="s">
        <v>37</v>
      </c>
      <c r="O5" s="38" t="s">
        <v>37</v>
      </c>
      <c r="P5" s="38" t="s">
        <v>37</v>
      </c>
      <c r="Q5" s="38" t="s">
        <v>37</v>
      </c>
      <c r="R5" s="38" t="s">
        <v>37</v>
      </c>
      <c r="S5" s="38" t="s">
        <v>37</v>
      </c>
      <c r="T5" s="32" t="s">
        <v>132</v>
      </c>
      <c r="U5" s="38" t="s">
        <v>37</v>
      </c>
      <c r="V5" s="38" t="s">
        <v>37</v>
      </c>
      <c r="W5" s="38" t="s">
        <v>37</v>
      </c>
      <c r="X5" s="38" t="s">
        <v>36</v>
      </c>
      <c r="Y5" s="38" t="s">
        <v>36</v>
      </c>
      <c r="Z5" s="38" t="s">
        <v>36</v>
      </c>
      <c r="AA5" s="32" t="s">
        <v>132</v>
      </c>
      <c r="AB5" s="38"/>
      <c r="AC5" s="38"/>
      <c r="AD5" s="38"/>
      <c r="AE5" s="38"/>
      <c r="AF5" s="38"/>
      <c r="AG5" s="38"/>
      <c r="AH5" s="32" t="s">
        <v>132</v>
      </c>
      <c r="AI5" s="38"/>
      <c r="AJ5" s="38"/>
      <c r="AK5" s="5">
        <f t="shared" ref="AK5:AK56" si="1">COUNTIF(F5:AJ5,"P")</f>
        <v>12</v>
      </c>
      <c r="AL5" s="5">
        <f t="shared" ref="AL5:AL56" si="2">COUNTIF(F5:AJ5,"A")</f>
        <v>5</v>
      </c>
      <c r="AM5" s="5" t="s">
        <v>8</v>
      </c>
      <c r="AN5" s="10">
        <v>26</v>
      </c>
      <c r="AO5" s="11" t="s">
        <v>9</v>
      </c>
      <c r="AP5" s="3"/>
    </row>
    <row r="6" spans="1:42" ht="16.5" x14ac:dyDescent="0.25">
      <c r="A6" s="10">
        <v>2</v>
      </c>
      <c r="B6" s="12"/>
      <c r="C6" s="7" t="s">
        <v>56</v>
      </c>
      <c r="D6" s="7" t="s">
        <v>57</v>
      </c>
      <c r="E6" s="20" t="s">
        <v>20</v>
      </c>
      <c r="F6" s="33"/>
      <c r="G6" s="38" t="s">
        <v>37</v>
      </c>
      <c r="H6" s="38" t="s">
        <v>37</v>
      </c>
      <c r="I6" s="38" t="s">
        <v>37</v>
      </c>
      <c r="J6" s="38" t="s">
        <v>37</v>
      </c>
      <c r="K6" s="38" t="s">
        <v>37</v>
      </c>
      <c r="L6" s="22"/>
      <c r="M6" s="33"/>
      <c r="N6" s="38" t="s">
        <v>37</v>
      </c>
      <c r="O6" s="38" t="s">
        <v>37</v>
      </c>
      <c r="P6" s="38" t="s">
        <v>37</v>
      </c>
      <c r="Q6" s="38" t="s">
        <v>37</v>
      </c>
      <c r="R6" s="38" t="s">
        <v>37</v>
      </c>
      <c r="S6" s="38" t="s">
        <v>37</v>
      </c>
      <c r="T6" s="33"/>
      <c r="U6" s="38" t="s">
        <v>37</v>
      </c>
      <c r="V6" s="38" t="s">
        <v>37</v>
      </c>
      <c r="W6" s="38" t="s">
        <v>37</v>
      </c>
      <c r="X6" s="38" t="s">
        <v>37</v>
      </c>
      <c r="Y6" s="38" t="s">
        <v>37</v>
      </c>
      <c r="Z6" s="38" t="s">
        <v>37</v>
      </c>
      <c r="AA6" s="33"/>
      <c r="AB6" s="38"/>
      <c r="AC6" s="38"/>
      <c r="AD6" s="38"/>
      <c r="AE6" s="38"/>
      <c r="AF6" s="38"/>
      <c r="AG6" s="38"/>
      <c r="AH6" s="33"/>
      <c r="AI6" s="38"/>
      <c r="AJ6" s="38"/>
      <c r="AK6" s="5">
        <f t="shared" si="1"/>
        <v>17</v>
      </c>
      <c r="AL6" s="5">
        <f t="shared" si="2"/>
        <v>0</v>
      </c>
      <c r="AM6" s="5" t="s">
        <v>10</v>
      </c>
      <c r="AN6" s="10">
        <v>4</v>
      </c>
      <c r="AO6" s="3"/>
      <c r="AP6" s="3"/>
    </row>
    <row r="7" spans="1:42" ht="16.5" x14ac:dyDescent="0.25">
      <c r="A7" s="10">
        <v>3</v>
      </c>
      <c r="B7" s="12"/>
      <c r="C7" s="7" t="s">
        <v>59</v>
      </c>
      <c r="D7" s="7" t="s">
        <v>60</v>
      </c>
      <c r="E7" s="20" t="s">
        <v>20</v>
      </c>
      <c r="F7" s="33"/>
      <c r="G7" s="38" t="s">
        <v>36</v>
      </c>
      <c r="H7" s="38" t="s">
        <v>36</v>
      </c>
      <c r="I7" s="38" t="s">
        <v>36</v>
      </c>
      <c r="J7" s="38" t="s">
        <v>36</v>
      </c>
      <c r="K7" s="38" t="s">
        <v>36</v>
      </c>
      <c r="L7" s="22"/>
      <c r="M7" s="33"/>
      <c r="N7" s="38" t="s">
        <v>36</v>
      </c>
      <c r="O7" s="38" t="s">
        <v>36</v>
      </c>
      <c r="P7" s="38" t="s">
        <v>36</v>
      </c>
      <c r="Q7" s="38" t="s">
        <v>36</v>
      </c>
      <c r="R7" s="38" t="s">
        <v>36</v>
      </c>
      <c r="S7" s="38" t="s">
        <v>36</v>
      </c>
      <c r="T7" s="33"/>
      <c r="U7" s="38" t="s">
        <v>36</v>
      </c>
      <c r="V7" s="38" t="s">
        <v>36</v>
      </c>
      <c r="W7" s="38" t="s">
        <v>36</v>
      </c>
      <c r="X7" s="38" t="s">
        <v>36</v>
      </c>
      <c r="Y7" s="38" t="s">
        <v>36</v>
      </c>
      <c r="Z7" s="38" t="s">
        <v>36</v>
      </c>
      <c r="AA7" s="33"/>
      <c r="AB7" s="38"/>
      <c r="AC7" s="38"/>
      <c r="AD7" s="38"/>
      <c r="AE7" s="38"/>
      <c r="AF7" s="38"/>
      <c r="AG7" s="38"/>
      <c r="AH7" s="33"/>
      <c r="AI7" s="38"/>
      <c r="AJ7" s="38"/>
      <c r="AK7" s="5">
        <f t="shared" si="1"/>
        <v>0</v>
      </c>
      <c r="AL7" s="5">
        <f t="shared" si="2"/>
        <v>17</v>
      </c>
      <c r="AM7" s="3"/>
      <c r="AN7" s="3"/>
      <c r="AO7" s="3"/>
      <c r="AP7" s="3"/>
    </row>
    <row r="8" spans="1:42" ht="16.5" x14ac:dyDescent="0.25">
      <c r="A8" s="10">
        <v>4</v>
      </c>
      <c r="B8" s="12"/>
      <c r="C8" s="7" t="s">
        <v>58</v>
      </c>
      <c r="D8" s="7" t="s">
        <v>45</v>
      </c>
      <c r="E8" s="20" t="s">
        <v>20</v>
      </c>
      <c r="F8" s="33"/>
      <c r="G8" s="38" t="s">
        <v>37</v>
      </c>
      <c r="H8" s="38" t="s">
        <v>37</v>
      </c>
      <c r="I8" s="38" t="s">
        <v>37</v>
      </c>
      <c r="J8" s="38" t="s">
        <v>37</v>
      </c>
      <c r="K8" s="38" t="s">
        <v>37</v>
      </c>
      <c r="L8" s="22"/>
      <c r="M8" s="33"/>
      <c r="N8" s="38" t="s">
        <v>37</v>
      </c>
      <c r="O8" s="38" t="s">
        <v>37</v>
      </c>
      <c r="P8" s="38" t="s">
        <v>37</v>
      </c>
      <c r="Q8" s="38" t="s">
        <v>37</v>
      </c>
      <c r="R8" s="38" t="s">
        <v>37</v>
      </c>
      <c r="S8" s="38" t="s">
        <v>37</v>
      </c>
      <c r="T8" s="33"/>
      <c r="U8" s="38" t="s">
        <v>36</v>
      </c>
      <c r="V8" s="38" t="s">
        <v>36</v>
      </c>
      <c r="W8" s="38" t="s">
        <v>36</v>
      </c>
      <c r="X8" s="38" t="s">
        <v>36</v>
      </c>
      <c r="Y8" s="38" t="s">
        <v>36</v>
      </c>
      <c r="Z8" s="38" t="s">
        <v>36</v>
      </c>
      <c r="AA8" s="33"/>
      <c r="AB8" s="38"/>
      <c r="AC8" s="38"/>
      <c r="AD8" s="38"/>
      <c r="AE8" s="38"/>
      <c r="AF8" s="38"/>
      <c r="AG8" s="38"/>
      <c r="AH8" s="33"/>
      <c r="AI8" s="38"/>
      <c r="AJ8" s="38"/>
      <c r="AK8" s="5">
        <f t="shared" si="1"/>
        <v>11</v>
      </c>
      <c r="AL8" s="5">
        <f t="shared" si="2"/>
        <v>6</v>
      </c>
      <c r="AM8" s="25" t="s">
        <v>11</v>
      </c>
      <c r="AN8" s="26"/>
      <c r="AO8" s="26"/>
      <c r="AP8" s="27"/>
    </row>
    <row r="9" spans="1:42" ht="16.5" x14ac:dyDescent="0.25">
      <c r="A9" s="10">
        <v>5</v>
      </c>
      <c r="B9" s="12"/>
      <c r="C9" s="7" t="s">
        <v>44</v>
      </c>
      <c r="D9" s="7" t="s">
        <v>26</v>
      </c>
      <c r="E9" s="20" t="s">
        <v>20</v>
      </c>
      <c r="F9" s="33"/>
      <c r="G9" s="38" t="s">
        <v>37</v>
      </c>
      <c r="H9" s="38" t="s">
        <v>37</v>
      </c>
      <c r="I9" s="38" t="s">
        <v>37</v>
      </c>
      <c r="J9" s="38" t="s">
        <v>37</v>
      </c>
      <c r="K9" s="38" t="s">
        <v>37</v>
      </c>
      <c r="L9" s="22"/>
      <c r="M9" s="33"/>
      <c r="N9" s="38" t="s">
        <v>37</v>
      </c>
      <c r="O9" s="38" t="s">
        <v>37</v>
      </c>
      <c r="P9" s="38" t="s">
        <v>37</v>
      </c>
      <c r="Q9" s="38" t="s">
        <v>37</v>
      </c>
      <c r="R9" s="38" t="s">
        <v>37</v>
      </c>
      <c r="S9" s="38" t="s">
        <v>37</v>
      </c>
      <c r="T9" s="33"/>
      <c r="U9" s="38" t="s">
        <v>37</v>
      </c>
      <c r="V9" s="38" t="s">
        <v>37</v>
      </c>
      <c r="W9" s="38" t="s">
        <v>37</v>
      </c>
      <c r="X9" s="38" t="s">
        <v>37</v>
      </c>
      <c r="Y9" s="38" t="s">
        <v>37</v>
      </c>
      <c r="Z9" s="38" t="s">
        <v>37</v>
      </c>
      <c r="AA9" s="33"/>
      <c r="AB9" s="38"/>
      <c r="AC9" s="38"/>
      <c r="AD9" s="38"/>
      <c r="AE9" s="38"/>
      <c r="AF9" s="38"/>
      <c r="AG9" s="38"/>
      <c r="AH9" s="33"/>
      <c r="AI9" s="38"/>
      <c r="AJ9" s="38"/>
      <c r="AK9" s="5">
        <f t="shared" si="1"/>
        <v>17</v>
      </c>
      <c r="AL9" s="5">
        <f t="shared" si="2"/>
        <v>0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ht="16.5" x14ac:dyDescent="0.25">
      <c r="A10" s="10">
        <v>6</v>
      </c>
      <c r="B10" s="12"/>
      <c r="C10" s="7" t="s">
        <v>48</v>
      </c>
      <c r="D10" s="7" t="s">
        <v>61</v>
      </c>
      <c r="E10" s="20" t="s">
        <v>20</v>
      </c>
      <c r="F10" s="33"/>
      <c r="G10" s="38" t="s">
        <v>37</v>
      </c>
      <c r="H10" s="38" t="s">
        <v>37</v>
      </c>
      <c r="I10" s="38" t="s">
        <v>37</v>
      </c>
      <c r="J10" s="38" t="s">
        <v>37</v>
      </c>
      <c r="K10" s="38" t="s">
        <v>37</v>
      </c>
      <c r="L10" s="22"/>
      <c r="M10" s="33"/>
      <c r="N10" s="38" t="s">
        <v>37</v>
      </c>
      <c r="O10" s="38" t="s">
        <v>37</v>
      </c>
      <c r="P10" s="38" t="s">
        <v>37</v>
      </c>
      <c r="Q10" s="38" t="s">
        <v>37</v>
      </c>
      <c r="R10" s="38" t="s">
        <v>37</v>
      </c>
      <c r="S10" s="38" t="s">
        <v>37</v>
      </c>
      <c r="T10" s="33"/>
      <c r="U10" s="38" t="s">
        <v>37</v>
      </c>
      <c r="V10" s="38" t="s">
        <v>37</v>
      </c>
      <c r="W10" s="38" t="s">
        <v>37</v>
      </c>
      <c r="X10" s="38" t="s">
        <v>37</v>
      </c>
      <c r="Y10" s="38" t="s">
        <v>37</v>
      </c>
      <c r="Z10" s="38" t="s">
        <v>37</v>
      </c>
      <c r="AA10" s="33"/>
      <c r="AB10" s="38"/>
      <c r="AC10" s="38"/>
      <c r="AD10" s="38"/>
      <c r="AE10" s="38"/>
      <c r="AF10" s="38"/>
      <c r="AG10" s="38"/>
      <c r="AH10" s="33"/>
      <c r="AI10" s="38"/>
      <c r="AJ10" s="38"/>
      <c r="AK10" s="5">
        <f t="shared" si="1"/>
        <v>17</v>
      </c>
      <c r="AL10" s="5">
        <f t="shared" si="2"/>
        <v>0</v>
      </c>
      <c r="AM10" s="5" t="s">
        <v>16</v>
      </c>
      <c r="AN10" s="10">
        <f>19*26</f>
        <v>494</v>
      </c>
      <c r="AO10" s="10">
        <f>21*26</f>
        <v>546</v>
      </c>
      <c r="AP10" s="10">
        <f>SUM(AN10:AO10)</f>
        <v>1040</v>
      </c>
    </row>
    <row r="11" spans="1:42" ht="16.5" x14ac:dyDescent="0.25">
      <c r="A11" s="10">
        <v>7</v>
      </c>
      <c r="B11" s="12"/>
      <c r="C11" s="7" t="s">
        <v>48</v>
      </c>
      <c r="D11" s="7" t="s">
        <v>47</v>
      </c>
      <c r="E11" s="20" t="s">
        <v>20</v>
      </c>
      <c r="F11" s="33"/>
      <c r="G11" s="38" t="s">
        <v>37</v>
      </c>
      <c r="H11" s="38" t="s">
        <v>37</v>
      </c>
      <c r="I11" s="38" t="s">
        <v>37</v>
      </c>
      <c r="J11" s="38" t="s">
        <v>37</v>
      </c>
      <c r="K11" s="38" t="s">
        <v>37</v>
      </c>
      <c r="L11" s="22"/>
      <c r="M11" s="33"/>
      <c r="N11" s="38" t="s">
        <v>37</v>
      </c>
      <c r="O11" s="38" t="s">
        <v>37</v>
      </c>
      <c r="P11" s="38" t="s">
        <v>37</v>
      </c>
      <c r="Q11" s="38" t="s">
        <v>37</v>
      </c>
      <c r="R11" s="38" t="s">
        <v>37</v>
      </c>
      <c r="S11" s="38" t="s">
        <v>37</v>
      </c>
      <c r="T11" s="33"/>
      <c r="U11" s="38" t="s">
        <v>37</v>
      </c>
      <c r="V11" s="38" t="s">
        <v>37</v>
      </c>
      <c r="W11" s="38" t="s">
        <v>37</v>
      </c>
      <c r="X11" s="38" t="s">
        <v>37</v>
      </c>
      <c r="Y11" s="38" t="s">
        <v>37</v>
      </c>
      <c r="Z11" s="38" t="s">
        <v>37</v>
      </c>
      <c r="AA11" s="33"/>
      <c r="AB11" s="38"/>
      <c r="AC11" s="38"/>
      <c r="AD11" s="38"/>
      <c r="AE11" s="38"/>
      <c r="AF11" s="38"/>
      <c r="AG11" s="38"/>
      <c r="AH11" s="33"/>
      <c r="AI11" s="38"/>
      <c r="AJ11" s="38"/>
      <c r="AK11" s="5">
        <f t="shared" si="1"/>
        <v>17</v>
      </c>
      <c r="AL11" s="5">
        <f t="shared" si="2"/>
        <v>0</v>
      </c>
      <c r="AM11" s="5" t="s">
        <v>17</v>
      </c>
      <c r="AN11" s="10" t="e">
        <f>AK6+AK7+AK8+AK13+AK14+AK15+AK18+AK22+AK23+AK25+AK27+AK28+AK29+#REF!+#REF!+#REF!+#REF!</f>
        <v>#REF!</v>
      </c>
      <c r="AO11" s="10" t="e">
        <f>AK5+AK9+AK10+AK16+AK19+AK20+AK21+#REF!</f>
        <v>#REF!</v>
      </c>
      <c r="AP11" s="10" t="e">
        <f>AN11+AO11</f>
        <v>#REF!</v>
      </c>
    </row>
    <row r="12" spans="1:42" ht="16.5" x14ac:dyDescent="0.25">
      <c r="A12" s="10">
        <v>8</v>
      </c>
      <c r="B12" s="12"/>
      <c r="C12" s="7" t="s">
        <v>48</v>
      </c>
      <c r="D12" s="7" t="s">
        <v>82</v>
      </c>
      <c r="E12" s="20" t="s">
        <v>20</v>
      </c>
      <c r="F12" s="33"/>
      <c r="G12" s="38" t="s">
        <v>36</v>
      </c>
      <c r="H12" s="38" t="s">
        <v>36</v>
      </c>
      <c r="I12" s="38" t="s">
        <v>36</v>
      </c>
      <c r="J12" s="38" t="s">
        <v>36</v>
      </c>
      <c r="K12" s="38" t="s">
        <v>36</v>
      </c>
      <c r="L12" s="22"/>
      <c r="M12" s="33"/>
      <c r="N12" s="38" t="s">
        <v>36</v>
      </c>
      <c r="O12" s="38" t="s">
        <v>36</v>
      </c>
      <c r="P12" s="38" t="s">
        <v>36</v>
      </c>
      <c r="Q12" s="38" t="s">
        <v>36</v>
      </c>
      <c r="R12" s="38" t="s">
        <v>36</v>
      </c>
      <c r="S12" s="38" t="s">
        <v>36</v>
      </c>
      <c r="T12" s="33"/>
      <c r="U12" s="38" t="s">
        <v>36</v>
      </c>
      <c r="V12" s="38" t="s">
        <v>36</v>
      </c>
      <c r="W12" s="38" t="s">
        <v>36</v>
      </c>
      <c r="X12" s="38" t="s">
        <v>36</v>
      </c>
      <c r="Y12" s="38" t="s">
        <v>36</v>
      </c>
      <c r="Z12" s="38" t="s">
        <v>36</v>
      </c>
      <c r="AA12" s="33"/>
      <c r="AB12" s="38"/>
      <c r="AC12" s="38"/>
      <c r="AD12" s="38"/>
      <c r="AE12" s="38"/>
      <c r="AF12" s="38"/>
      <c r="AG12" s="38"/>
      <c r="AH12" s="33"/>
      <c r="AI12" s="38"/>
      <c r="AJ12" s="38"/>
      <c r="AK12" s="5">
        <f t="shared" si="1"/>
        <v>0</v>
      </c>
      <c r="AL12" s="5">
        <f t="shared" si="2"/>
        <v>17</v>
      </c>
      <c r="AM12" s="5" t="s">
        <v>18</v>
      </c>
      <c r="AN12" s="10" t="e">
        <f>AN11/AN10</f>
        <v>#REF!</v>
      </c>
      <c r="AO12" s="10" t="e">
        <f>AO11/AO10</f>
        <v>#REF!</v>
      </c>
      <c r="AP12" s="10" t="e">
        <f>AP11/AP10</f>
        <v>#REF!</v>
      </c>
    </row>
    <row r="13" spans="1:42" ht="16.5" x14ac:dyDescent="0.25">
      <c r="A13" s="10">
        <v>9</v>
      </c>
      <c r="B13" s="12"/>
      <c r="C13" s="7" t="s">
        <v>124</v>
      </c>
      <c r="D13" s="7" t="s">
        <v>125</v>
      </c>
      <c r="E13" s="20" t="s">
        <v>20</v>
      </c>
      <c r="F13" s="33"/>
      <c r="G13" s="38" t="s">
        <v>36</v>
      </c>
      <c r="H13" s="38" t="s">
        <v>36</v>
      </c>
      <c r="I13" s="38" t="s">
        <v>36</v>
      </c>
      <c r="J13" s="38" t="s">
        <v>36</v>
      </c>
      <c r="K13" s="38" t="s">
        <v>36</v>
      </c>
      <c r="L13" s="22"/>
      <c r="M13" s="33"/>
      <c r="N13" s="38" t="s">
        <v>36</v>
      </c>
      <c r="O13" s="38" t="s">
        <v>36</v>
      </c>
      <c r="P13" s="38" t="s">
        <v>36</v>
      </c>
      <c r="Q13" s="38" t="s">
        <v>36</v>
      </c>
      <c r="R13" s="38" t="s">
        <v>36</v>
      </c>
      <c r="S13" s="38" t="s">
        <v>36</v>
      </c>
      <c r="T13" s="33"/>
      <c r="U13" s="38" t="s">
        <v>36</v>
      </c>
      <c r="V13" s="38" t="s">
        <v>36</v>
      </c>
      <c r="W13" s="38" t="s">
        <v>36</v>
      </c>
      <c r="X13" s="38" t="s">
        <v>36</v>
      </c>
      <c r="Y13" s="38" t="s">
        <v>36</v>
      </c>
      <c r="Z13" s="38" t="s">
        <v>36</v>
      </c>
      <c r="AA13" s="33"/>
      <c r="AB13" s="38"/>
      <c r="AC13" s="38"/>
      <c r="AD13" s="38"/>
      <c r="AE13" s="38"/>
      <c r="AF13" s="38"/>
      <c r="AG13" s="38"/>
      <c r="AH13" s="33"/>
      <c r="AI13" s="38"/>
      <c r="AJ13" s="38"/>
      <c r="AK13" s="5">
        <f t="shared" si="1"/>
        <v>0</v>
      </c>
      <c r="AL13" s="5">
        <f t="shared" si="2"/>
        <v>17</v>
      </c>
      <c r="AM13" s="3"/>
      <c r="AN13" s="15"/>
      <c r="AO13" s="15"/>
      <c r="AP13" s="15"/>
    </row>
    <row r="14" spans="1:42" ht="16.5" x14ac:dyDescent="0.25">
      <c r="A14" s="10">
        <v>10</v>
      </c>
      <c r="B14" s="12"/>
      <c r="C14" s="7" t="s">
        <v>29</v>
      </c>
      <c r="D14" s="7" t="s">
        <v>50</v>
      </c>
      <c r="E14" s="20" t="s">
        <v>20</v>
      </c>
      <c r="F14" s="33"/>
      <c r="G14" s="38" t="s">
        <v>37</v>
      </c>
      <c r="H14" s="38" t="s">
        <v>37</v>
      </c>
      <c r="I14" s="38" t="s">
        <v>37</v>
      </c>
      <c r="J14" s="38" t="s">
        <v>37</v>
      </c>
      <c r="K14" s="38" t="s">
        <v>37</v>
      </c>
      <c r="L14" s="22"/>
      <c r="M14" s="33"/>
      <c r="N14" s="38" t="s">
        <v>37</v>
      </c>
      <c r="O14" s="38" t="s">
        <v>37</v>
      </c>
      <c r="P14" s="38" t="s">
        <v>37</v>
      </c>
      <c r="Q14" s="38" t="s">
        <v>37</v>
      </c>
      <c r="R14" s="38" t="s">
        <v>37</v>
      </c>
      <c r="S14" s="38" t="s">
        <v>37</v>
      </c>
      <c r="T14" s="33"/>
      <c r="U14" s="38" t="s">
        <v>37</v>
      </c>
      <c r="V14" s="38" t="s">
        <v>37</v>
      </c>
      <c r="W14" s="38" t="s">
        <v>37</v>
      </c>
      <c r="X14" s="38" t="s">
        <v>37</v>
      </c>
      <c r="Y14" s="38" t="s">
        <v>37</v>
      </c>
      <c r="Z14" s="38" t="s">
        <v>37</v>
      </c>
      <c r="AA14" s="33"/>
      <c r="AB14" s="38"/>
      <c r="AC14" s="38"/>
      <c r="AD14" s="38"/>
      <c r="AE14" s="38"/>
      <c r="AF14" s="38"/>
      <c r="AG14" s="38"/>
      <c r="AH14" s="33"/>
      <c r="AI14" s="38"/>
      <c r="AJ14" s="38"/>
      <c r="AK14" s="5">
        <f t="shared" si="1"/>
        <v>17</v>
      </c>
      <c r="AL14" s="5">
        <f t="shared" si="2"/>
        <v>0</v>
      </c>
      <c r="AM14" s="17"/>
      <c r="AN14" s="17"/>
      <c r="AO14" s="17"/>
      <c r="AP14" s="17"/>
    </row>
    <row r="15" spans="1:42" ht="16.5" x14ac:dyDescent="0.25">
      <c r="A15" s="10">
        <v>11</v>
      </c>
      <c r="B15" s="12"/>
      <c r="C15" s="7" t="s">
        <v>33</v>
      </c>
      <c r="D15" s="7" t="s">
        <v>50</v>
      </c>
      <c r="E15" s="20" t="s">
        <v>20</v>
      </c>
      <c r="F15" s="33"/>
      <c r="G15" s="38" t="s">
        <v>37</v>
      </c>
      <c r="H15" s="38" t="s">
        <v>37</v>
      </c>
      <c r="I15" s="38" t="s">
        <v>37</v>
      </c>
      <c r="J15" s="38" t="s">
        <v>37</v>
      </c>
      <c r="K15" s="38" t="s">
        <v>37</v>
      </c>
      <c r="L15" s="22"/>
      <c r="M15" s="33"/>
      <c r="N15" s="38" t="s">
        <v>37</v>
      </c>
      <c r="O15" s="38" t="s">
        <v>37</v>
      </c>
      <c r="P15" s="38" t="s">
        <v>37</v>
      </c>
      <c r="Q15" s="38" t="s">
        <v>37</v>
      </c>
      <c r="R15" s="38" t="s">
        <v>37</v>
      </c>
      <c r="S15" s="38" t="s">
        <v>37</v>
      </c>
      <c r="T15" s="33"/>
      <c r="U15" s="38" t="s">
        <v>37</v>
      </c>
      <c r="V15" s="38" t="s">
        <v>37</v>
      </c>
      <c r="W15" s="38" t="s">
        <v>37</v>
      </c>
      <c r="X15" s="38" t="s">
        <v>37</v>
      </c>
      <c r="Y15" s="38" t="s">
        <v>37</v>
      </c>
      <c r="Z15" s="38" t="s">
        <v>37</v>
      </c>
      <c r="AA15" s="33"/>
      <c r="AB15" s="38"/>
      <c r="AC15" s="38"/>
      <c r="AD15" s="38"/>
      <c r="AE15" s="38"/>
      <c r="AF15" s="38"/>
      <c r="AG15" s="38"/>
      <c r="AH15" s="33"/>
      <c r="AI15" s="38"/>
      <c r="AJ15" s="38"/>
      <c r="AK15" s="5">
        <f t="shared" si="1"/>
        <v>17</v>
      </c>
      <c r="AL15" s="5">
        <f t="shared" si="2"/>
        <v>0</v>
      </c>
      <c r="AM15" s="3"/>
      <c r="AN15" s="3"/>
      <c r="AO15" s="3"/>
      <c r="AP15" s="3"/>
    </row>
    <row r="16" spans="1:42" ht="16.5" x14ac:dyDescent="0.25">
      <c r="A16" s="10">
        <v>12</v>
      </c>
      <c r="B16" s="12"/>
      <c r="C16" s="7" t="s">
        <v>62</v>
      </c>
      <c r="D16" s="7" t="s">
        <v>47</v>
      </c>
      <c r="E16" s="20" t="s">
        <v>20</v>
      </c>
      <c r="F16" s="33"/>
      <c r="G16" s="38" t="s">
        <v>37</v>
      </c>
      <c r="H16" s="38" t="s">
        <v>37</v>
      </c>
      <c r="I16" s="38" t="s">
        <v>37</v>
      </c>
      <c r="J16" s="38" t="s">
        <v>37</v>
      </c>
      <c r="K16" s="38" t="s">
        <v>37</v>
      </c>
      <c r="L16" s="22"/>
      <c r="M16" s="33"/>
      <c r="N16" s="38" t="s">
        <v>37</v>
      </c>
      <c r="O16" s="38" t="s">
        <v>37</v>
      </c>
      <c r="P16" s="38" t="s">
        <v>37</v>
      </c>
      <c r="Q16" s="38" t="s">
        <v>37</v>
      </c>
      <c r="R16" s="38" t="s">
        <v>37</v>
      </c>
      <c r="S16" s="38" t="s">
        <v>37</v>
      </c>
      <c r="T16" s="33"/>
      <c r="U16" s="38" t="s">
        <v>37</v>
      </c>
      <c r="V16" s="38" t="s">
        <v>37</v>
      </c>
      <c r="W16" s="38" t="s">
        <v>36</v>
      </c>
      <c r="X16" s="38" t="s">
        <v>37</v>
      </c>
      <c r="Y16" s="38" t="s">
        <v>37</v>
      </c>
      <c r="Z16" s="38" t="s">
        <v>36</v>
      </c>
      <c r="AA16" s="33"/>
      <c r="AB16" s="38"/>
      <c r="AC16" s="38"/>
      <c r="AD16" s="38"/>
      <c r="AE16" s="38"/>
      <c r="AF16" s="38"/>
      <c r="AG16" s="38"/>
      <c r="AH16" s="33"/>
      <c r="AI16" s="38"/>
      <c r="AJ16" s="38"/>
      <c r="AK16" s="5">
        <f t="shared" si="1"/>
        <v>15</v>
      </c>
      <c r="AL16" s="5">
        <f t="shared" si="2"/>
        <v>2</v>
      </c>
      <c r="AM16" s="25" t="s">
        <v>6</v>
      </c>
      <c r="AN16" s="26"/>
      <c r="AO16" s="26"/>
      <c r="AP16" s="27"/>
    </row>
    <row r="17" spans="1:42" ht="16.5" x14ac:dyDescent="0.25">
      <c r="A17" s="10">
        <v>13</v>
      </c>
      <c r="B17" s="16"/>
      <c r="C17" s="7" t="s">
        <v>63</v>
      </c>
      <c r="D17" s="7" t="s">
        <v>24</v>
      </c>
      <c r="E17" s="20" t="s">
        <v>20</v>
      </c>
      <c r="F17" s="33"/>
      <c r="G17" s="38" t="s">
        <v>37</v>
      </c>
      <c r="H17" s="38" t="s">
        <v>37</v>
      </c>
      <c r="I17" s="38" t="s">
        <v>37</v>
      </c>
      <c r="J17" s="38" t="s">
        <v>37</v>
      </c>
      <c r="K17" s="38" t="s">
        <v>37</v>
      </c>
      <c r="L17" s="22"/>
      <c r="M17" s="33"/>
      <c r="N17" s="38" t="s">
        <v>37</v>
      </c>
      <c r="O17" s="38" t="s">
        <v>37</v>
      </c>
      <c r="P17" s="38" t="s">
        <v>37</v>
      </c>
      <c r="Q17" s="38" t="s">
        <v>37</v>
      </c>
      <c r="R17" s="38" t="s">
        <v>37</v>
      </c>
      <c r="S17" s="38" t="s">
        <v>37</v>
      </c>
      <c r="T17" s="33"/>
      <c r="U17" s="38" t="s">
        <v>37</v>
      </c>
      <c r="V17" s="38" t="s">
        <v>37</v>
      </c>
      <c r="W17" s="38" t="s">
        <v>37</v>
      </c>
      <c r="X17" s="38" t="s">
        <v>37</v>
      </c>
      <c r="Y17" s="38" t="s">
        <v>37</v>
      </c>
      <c r="Z17" s="38" t="s">
        <v>36</v>
      </c>
      <c r="AA17" s="33"/>
      <c r="AB17" s="38"/>
      <c r="AC17" s="38"/>
      <c r="AD17" s="38"/>
      <c r="AE17" s="38"/>
      <c r="AF17" s="38"/>
      <c r="AG17" s="38"/>
      <c r="AH17" s="33"/>
      <c r="AI17" s="38"/>
      <c r="AJ17" s="38"/>
      <c r="AK17" s="5">
        <f t="shared" si="1"/>
        <v>16</v>
      </c>
      <c r="AL17" s="5">
        <f t="shared" si="2"/>
        <v>1</v>
      </c>
      <c r="AM17" s="5" t="s">
        <v>12</v>
      </c>
      <c r="AN17" s="5" t="s">
        <v>13</v>
      </c>
      <c r="AO17" s="5" t="s">
        <v>14</v>
      </c>
      <c r="AP17" s="5" t="s">
        <v>15</v>
      </c>
    </row>
    <row r="18" spans="1:42" ht="16.5" x14ac:dyDescent="0.25">
      <c r="A18" s="10">
        <v>14</v>
      </c>
      <c r="B18" s="16"/>
      <c r="C18" s="7" t="s">
        <v>75</v>
      </c>
      <c r="D18" s="7" t="s">
        <v>76</v>
      </c>
      <c r="E18" s="20" t="s">
        <v>20</v>
      </c>
      <c r="F18" s="33"/>
      <c r="G18" s="38" t="s">
        <v>37</v>
      </c>
      <c r="H18" s="38" t="s">
        <v>37</v>
      </c>
      <c r="I18" s="38" t="s">
        <v>37</v>
      </c>
      <c r="J18" s="38" t="s">
        <v>37</v>
      </c>
      <c r="K18" s="38" t="s">
        <v>37</v>
      </c>
      <c r="L18" s="22"/>
      <c r="M18" s="33"/>
      <c r="N18" s="38" t="s">
        <v>37</v>
      </c>
      <c r="O18" s="38" t="s">
        <v>37</v>
      </c>
      <c r="P18" s="38" t="s">
        <v>37</v>
      </c>
      <c r="Q18" s="38" t="s">
        <v>37</v>
      </c>
      <c r="R18" s="38" t="s">
        <v>37</v>
      </c>
      <c r="S18" s="38" t="s">
        <v>37</v>
      </c>
      <c r="T18" s="33"/>
      <c r="U18" s="38" t="s">
        <v>37</v>
      </c>
      <c r="V18" s="38" t="s">
        <v>37</v>
      </c>
      <c r="W18" s="38" t="s">
        <v>37</v>
      </c>
      <c r="X18" s="38" t="s">
        <v>37</v>
      </c>
      <c r="Y18" s="38" t="s">
        <v>37</v>
      </c>
      <c r="Z18" s="38" t="s">
        <v>37</v>
      </c>
      <c r="AA18" s="33"/>
      <c r="AB18" s="38"/>
      <c r="AC18" s="38"/>
      <c r="AD18" s="38"/>
      <c r="AE18" s="38"/>
      <c r="AF18" s="38"/>
      <c r="AG18" s="38"/>
      <c r="AH18" s="33"/>
      <c r="AI18" s="38"/>
      <c r="AJ18" s="38"/>
      <c r="AK18" s="5">
        <f t="shared" si="1"/>
        <v>17</v>
      </c>
      <c r="AL18" s="5">
        <f t="shared" si="2"/>
        <v>0</v>
      </c>
      <c r="AM18" s="5" t="s">
        <v>16</v>
      </c>
      <c r="AN18" s="10">
        <f>19*26</f>
        <v>494</v>
      </c>
      <c r="AO18" s="10">
        <f>21*26</f>
        <v>546</v>
      </c>
      <c r="AP18" s="10">
        <f>AN18+AO18</f>
        <v>1040</v>
      </c>
    </row>
    <row r="19" spans="1:42" ht="16.5" x14ac:dyDescent="0.25">
      <c r="A19" s="10">
        <v>15</v>
      </c>
      <c r="B19" s="12"/>
      <c r="C19" s="7" t="s">
        <v>25</v>
      </c>
      <c r="D19" s="7" t="s">
        <v>51</v>
      </c>
      <c r="E19" s="20" t="s">
        <v>20</v>
      </c>
      <c r="F19" s="33"/>
      <c r="G19" s="38" t="s">
        <v>37</v>
      </c>
      <c r="H19" s="38" t="s">
        <v>37</v>
      </c>
      <c r="I19" s="38" t="s">
        <v>37</v>
      </c>
      <c r="J19" s="38" t="s">
        <v>37</v>
      </c>
      <c r="K19" s="38" t="s">
        <v>37</v>
      </c>
      <c r="L19" s="22"/>
      <c r="M19" s="33"/>
      <c r="N19" s="38" t="s">
        <v>37</v>
      </c>
      <c r="O19" s="38" t="s">
        <v>37</v>
      </c>
      <c r="P19" s="38" t="s">
        <v>37</v>
      </c>
      <c r="Q19" s="38" t="s">
        <v>37</v>
      </c>
      <c r="R19" s="38" t="s">
        <v>37</v>
      </c>
      <c r="S19" s="38" t="s">
        <v>37</v>
      </c>
      <c r="T19" s="33"/>
      <c r="U19" s="38" t="s">
        <v>37</v>
      </c>
      <c r="V19" s="38" t="s">
        <v>37</v>
      </c>
      <c r="W19" s="38" t="s">
        <v>37</v>
      </c>
      <c r="X19" s="38" t="s">
        <v>37</v>
      </c>
      <c r="Y19" s="38" t="s">
        <v>37</v>
      </c>
      <c r="Z19" s="38" t="s">
        <v>37</v>
      </c>
      <c r="AA19" s="33"/>
      <c r="AB19" s="38"/>
      <c r="AC19" s="38"/>
      <c r="AD19" s="38"/>
      <c r="AE19" s="38"/>
      <c r="AF19" s="38"/>
      <c r="AG19" s="38"/>
      <c r="AH19" s="33"/>
      <c r="AI19" s="38"/>
      <c r="AJ19" s="38"/>
      <c r="AK19" s="5">
        <f t="shared" si="1"/>
        <v>17</v>
      </c>
      <c r="AL19" s="5">
        <f t="shared" si="2"/>
        <v>0</v>
      </c>
      <c r="AM19" s="5" t="s">
        <v>19</v>
      </c>
      <c r="AN19" s="10" t="e">
        <f>AN18-AN11</f>
        <v>#REF!</v>
      </c>
      <c r="AO19" s="10" t="e">
        <f>AO18-AO11</f>
        <v>#REF!</v>
      </c>
      <c r="AP19" s="10" t="e">
        <f>AN19+AO19</f>
        <v>#REF!</v>
      </c>
    </row>
    <row r="20" spans="1:42" ht="16.5" x14ac:dyDescent="0.25">
      <c r="A20" s="10">
        <v>16</v>
      </c>
      <c r="B20" s="12"/>
      <c r="C20" s="7" t="s">
        <v>64</v>
      </c>
      <c r="D20" s="7" t="s">
        <v>65</v>
      </c>
      <c r="E20" s="20" t="s">
        <v>20</v>
      </c>
      <c r="F20" s="33"/>
      <c r="G20" s="38" t="s">
        <v>37</v>
      </c>
      <c r="H20" s="38" t="s">
        <v>37</v>
      </c>
      <c r="I20" s="38" t="s">
        <v>37</v>
      </c>
      <c r="J20" s="38" t="s">
        <v>37</v>
      </c>
      <c r="K20" s="38" t="s">
        <v>36</v>
      </c>
      <c r="L20" s="22"/>
      <c r="M20" s="33"/>
      <c r="N20" s="38" t="s">
        <v>37</v>
      </c>
      <c r="O20" s="38" t="s">
        <v>37</v>
      </c>
      <c r="P20" s="38" t="s">
        <v>37</v>
      </c>
      <c r="Q20" s="38" t="s">
        <v>37</v>
      </c>
      <c r="R20" s="38" t="s">
        <v>37</v>
      </c>
      <c r="S20" s="38" t="s">
        <v>37</v>
      </c>
      <c r="T20" s="33"/>
      <c r="U20" s="38" t="s">
        <v>37</v>
      </c>
      <c r="V20" s="38" t="s">
        <v>37</v>
      </c>
      <c r="W20" s="38" t="s">
        <v>37</v>
      </c>
      <c r="X20" s="38" t="s">
        <v>37</v>
      </c>
      <c r="Y20" s="38" t="s">
        <v>37</v>
      </c>
      <c r="Z20" s="38" t="s">
        <v>36</v>
      </c>
      <c r="AA20" s="33"/>
      <c r="AB20" s="38"/>
      <c r="AC20" s="38"/>
      <c r="AD20" s="38"/>
      <c r="AE20" s="38"/>
      <c r="AF20" s="38"/>
      <c r="AG20" s="38"/>
      <c r="AH20" s="33"/>
      <c r="AI20" s="38"/>
      <c r="AJ20" s="38"/>
      <c r="AK20" s="5">
        <f t="shared" si="1"/>
        <v>15</v>
      </c>
      <c r="AL20" s="5">
        <f t="shared" si="2"/>
        <v>2</v>
      </c>
      <c r="AM20" s="5" t="s">
        <v>15</v>
      </c>
      <c r="AN20" s="18" t="e">
        <f>AN19/AN18</f>
        <v>#REF!</v>
      </c>
      <c r="AO20" s="18" t="e">
        <f>AO19/AO18</f>
        <v>#REF!</v>
      </c>
      <c r="AP20" s="18" t="e">
        <f>AP19/AP18</f>
        <v>#REF!</v>
      </c>
    </row>
    <row r="21" spans="1:42" ht="16.5" x14ac:dyDescent="0.25">
      <c r="A21" s="10">
        <v>17</v>
      </c>
      <c r="B21" s="12"/>
      <c r="C21" s="7" t="s">
        <v>66</v>
      </c>
      <c r="D21" s="7" t="s">
        <v>40</v>
      </c>
      <c r="E21" s="20" t="s">
        <v>20</v>
      </c>
      <c r="F21" s="33"/>
      <c r="G21" s="38" t="s">
        <v>37</v>
      </c>
      <c r="H21" s="38" t="s">
        <v>37</v>
      </c>
      <c r="I21" s="38" t="s">
        <v>37</v>
      </c>
      <c r="J21" s="38" t="s">
        <v>37</v>
      </c>
      <c r="K21" s="38" t="s">
        <v>37</v>
      </c>
      <c r="L21" s="22"/>
      <c r="M21" s="33"/>
      <c r="N21" s="38" t="s">
        <v>37</v>
      </c>
      <c r="O21" s="38" t="s">
        <v>37</v>
      </c>
      <c r="P21" s="38" t="s">
        <v>37</v>
      </c>
      <c r="Q21" s="38" t="s">
        <v>37</v>
      </c>
      <c r="R21" s="38" t="s">
        <v>37</v>
      </c>
      <c r="S21" s="38" t="s">
        <v>37</v>
      </c>
      <c r="T21" s="33"/>
      <c r="U21" s="38" t="s">
        <v>37</v>
      </c>
      <c r="V21" s="38" t="s">
        <v>37</v>
      </c>
      <c r="W21" s="38" t="s">
        <v>37</v>
      </c>
      <c r="X21" s="38" t="s">
        <v>36</v>
      </c>
      <c r="Y21" s="38" t="s">
        <v>37</v>
      </c>
      <c r="Z21" s="38" t="s">
        <v>36</v>
      </c>
      <c r="AA21" s="33"/>
      <c r="AB21" s="38"/>
      <c r="AC21" s="38"/>
      <c r="AD21" s="38"/>
      <c r="AE21" s="38"/>
      <c r="AF21" s="38"/>
      <c r="AG21" s="38"/>
      <c r="AH21" s="33"/>
      <c r="AI21" s="38"/>
      <c r="AJ21" s="38"/>
      <c r="AK21" s="5">
        <f t="shared" si="1"/>
        <v>15</v>
      </c>
      <c r="AL21" s="5">
        <f t="shared" si="2"/>
        <v>2</v>
      </c>
    </row>
    <row r="22" spans="1:42" ht="16.5" x14ac:dyDescent="0.25">
      <c r="A22" s="10">
        <v>18</v>
      </c>
      <c r="B22" s="12"/>
      <c r="C22" s="7" t="s">
        <v>67</v>
      </c>
      <c r="D22" s="7" t="s">
        <v>68</v>
      </c>
      <c r="E22" s="20" t="s">
        <v>20</v>
      </c>
      <c r="F22" s="33"/>
      <c r="G22" s="38" t="s">
        <v>37</v>
      </c>
      <c r="H22" s="38" t="s">
        <v>37</v>
      </c>
      <c r="I22" s="38" t="s">
        <v>37</v>
      </c>
      <c r="J22" s="38" t="s">
        <v>37</v>
      </c>
      <c r="K22" s="38" t="s">
        <v>37</v>
      </c>
      <c r="L22" s="22"/>
      <c r="M22" s="33"/>
      <c r="N22" s="38" t="s">
        <v>37</v>
      </c>
      <c r="O22" s="38" t="s">
        <v>37</v>
      </c>
      <c r="P22" s="38" t="s">
        <v>37</v>
      </c>
      <c r="Q22" s="38" t="s">
        <v>37</v>
      </c>
      <c r="R22" s="38" t="s">
        <v>37</v>
      </c>
      <c r="S22" s="38" t="s">
        <v>37</v>
      </c>
      <c r="T22" s="33"/>
      <c r="U22" s="38" t="s">
        <v>37</v>
      </c>
      <c r="V22" s="38" t="s">
        <v>37</v>
      </c>
      <c r="W22" s="38" t="s">
        <v>37</v>
      </c>
      <c r="X22" s="38" t="s">
        <v>36</v>
      </c>
      <c r="Y22" s="38" t="s">
        <v>37</v>
      </c>
      <c r="Z22" s="38" t="s">
        <v>36</v>
      </c>
      <c r="AA22" s="33"/>
      <c r="AB22" s="38"/>
      <c r="AC22" s="38"/>
      <c r="AD22" s="38"/>
      <c r="AE22" s="38"/>
      <c r="AF22" s="38"/>
      <c r="AG22" s="38"/>
      <c r="AH22" s="33"/>
      <c r="AI22" s="38"/>
      <c r="AJ22" s="38"/>
      <c r="AK22" s="5">
        <f t="shared" si="1"/>
        <v>15</v>
      </c>
      <c r="AL22" s="5">
        <f t="shared" si="2"/>
        <v>2</v>
      </c>
    </row>
    <row r="23" spans="1:42" ht="16.5" x14ac:dyDescent="0.25">
      <c r="A23" s="10">
        <v>19</v>
      </c>
      <c r="B23" s="12"/>
      <c r="C23" s="7" t="s">
        <v>69</v>
      </c>
      <c r="D23" s="7" t="s">
        <v>70</v>
      </c>
      <c r="E23" s="20" t="s">
        <v>20</v>
      </c>
      <c r="F23" s="33"/>
      <c r="G23" s="38" t="s">
        <v>37</v>
      </c>
      <c r="H23" s="38" t="s">
        <v>37</v>
      </c>
      <c r="I23" s="38" t="s">
        <v>37</v>
      </c>
      <c r="J23" s="38" t="s">
        <v>37</v>
      </c>
      <c r="K23" s="38" t="s">
        <v>37</v>
      </c>
      <c r="L23" s="22"/>
      <c r="M23" s="33"/>
      <c r="N23" s="38" t="s">
        <v>37</v>
      </c>
      <c r="O23" s="38" t="s">
        <v>37</v>
      </c>
      <c r="P23" s="38" t="s">
        <v>37</v>
      </c>
      <c r="Q23" s="38" t="s">
        <v>37</v>
      </c>
      <c r="R23" s="38" t="s">
        <v>37</v>
      </c>
      <c r="S23" s="38" t="s">
        <v>37</v>
      </c>
      <c r="T23" s="33"/>
      <c r="U23" s="38" t="s">
        <v>37</v>
      </c>
      <c r="V23" s="38" t="s">
        <v>37</v>
      </c>
      <c r="W23" s="38" t="s">
        <v>37</v>
      </c>
      <c r="X23" s="38" t="s">
        <v>37</v>
      </c>
      <c r="Y23" s="38" t="s">
        <v>37</v>
      </c>
      <c r="Z23" s="38" t="s">
        <v>36</v>
      </c>
      <c r="AA23" s="33"/>
      <c r="AB23" s="38"/>
      <c r="AC23" s="38"/>
      <c r="AD23" s="38"/>
      <c r="AE23" s="38"/>
      <c r="AF23" s="38"/>
      <c r="AG23" s="38"/>
      <c r="AH23" s="33"/>
      <c r="AI23" s="38"/>
      <c r="AJ23" s="38"/>
      <c r="AK23" s="5">
        <f t="shared" si="1"/>
        <v>16</v>
      </c>
      <c r="AL23" s="5">
        <f t="shared" si="2"/>
        <v>1</v>
      </c>
    </row>
    <row r="24" spans="1:42" ht="16.5" x14ac:dyDescent="0.25">
      <c r="A24" s="10">
        <v>20</v>
      </c>
      <c r="B24" s="12"/>
      <c r="C24" s="7" t="s">
        <v>129</v>
      </c>
      <c r="D24" s="7" t="s">
        <v>31</v>
      </c>
      <c r="E24" s="20" t="s">
        <v>20</v>
      </c>
      <c r="F24" s="33"/>
      <c r="G24" s="38" t="s">
        <v>37</v>
      </c>
      <c r="H24" s="38" t="s">
        <v>37</v>
      </c>
      <c r="I24" s="38" t="s">
        <v>37</v>
      </c>
      <c r="J24" s="38" t="s">
        <v>37</v>
      </c>
      <c r="K24" s="38" t="s">
        <v>37</v>
      </c>
      <c r="L24" s="22"/>
      <c r="M24" s="33"/>
      <c r="N24" s="38" t="s">
        <v>37</v>
      </c>
      <c r="O24" s="38" t="s">
        <v>37</v>
      </c>
      <c r="P24" s="38" t="s">
        <v>37</v>
      </c>
      <c r="Q24" s="38" t="s">
        <v>37</v>
      </c>
      <c r="R24" s="38" t="s">
        <v>37</v>
      </c>
      <c r="S24" s="38" t="s">
        <v>37</v>
      </c>
      <c r="T24" s="33"/>
      <c r="U24" s="38" t="s">
        <v>37</v>
      </c>
      <c r="V24" s="38" t="s">
        <v>37</v>
      </c>
      <c r="W24" s="38" t="s">
        <v>37</v>
      </c>
      <c r="X24" s="38" t="s">
        <v>37</v>
      </c>
      <c r="Y24" s="38" t="s">
        <v>36</v>
      </c>
      <c r="Z24" s="38" t="s">
        <v>37</v>
      </c>
      <c r="AA24" s="33"/>
      <c r="AB24" s="38"/>
      <c r="AC24" s="38"/>
      <c r="AD24" s="38"/>
      <c r="AE24" s="38"/>
      <c r="AF24" s="38"/>
      <c r="AG24" s="38"/>
      <c r="AH24" s="33"/>
      <c r="AI24" s="38"/>
      <c r="AJ24" s="38"/>
      <c r="AK24" s="5">
        <f t="shared" si="1"/>
        <v>16</v>
      </c>
      <c r="AL24" s="5">
        <f t="shared" si="2"/>
        <v>1</v>
      </c>
    </row>
    <row r="25" spans="1:42" ht="16.5" x14ac:dyDescent="0.25">
      <c r="A25" s="10">
        <v>21</v>
      </c>
      <c r="B25" s="12"/>
      <c r="C25" s="7" t="s">
        <v>73</v>
      </c>
      <c r="D25" s="7" t="s">
        <v>38</v>
      </c>
      <c r="E25" s="20" t="s">
        <v>20</v>
      </c>
      <c r="F25" s="33"/>
      <c r="G25" s="38" t="s">
        <v>37</v>
      </c>
      <c r="H25" s="38" t="s">
        <v>37</v>
      </c>
      <c r="I25" s="38" t="s">
        <v>37</v>
      </c>
      <c r="J25" s="38" t="s">
        <v>37</v>
      </c>
      <c r="K25" s="38" t="s">
        <v>37</v>
      </c>
      <c r="L25" s="22"/>
      <c r="M25" s="33"/>
      <c r="N25" s="38" t="s">
        <v>37</v>
      </c>
      <c r="O25" s="38" t="s">
        <v>37</v>
      </c>
      <c r="P25" s="38" t="s">
        <v>37</v>
      </c>
      <c r="Q25" s="38" t="s">
        <v>37</v>
      </c>
      <c r="R25" s="38" t="s">
        <v>37</v>
      </c>
      <c r="S25" s="38" t="s">
        <v>37</v>
      </c>
      <c r="T25" s="33"/>
      <c r="U25" s="38" t="s">
        <v>37</v>
      </c>
      <c r="V25" s="38" t="s">
        <v>37</v>
      </c>
      <c r="W25" s="38" t="s">
        <v>37</v>
      </c>
      <c r="X25" s="38" t="s">
        <v>37</v>
      </c>
      <c r="Y25" s="38" t="s">
        <v>37</v>
      </c>
      <c r="Z25" s="38" t="s">
        <v>37</v>
      </c>
      <c r="AA25" s="33"/>
      <c r="AB25" s="38"/>
      <c r="AC25" s="38"/>
      <c r="AD25" s="38"/>
      <c r="AE25" s="38"/>
      <c r="AF25" s="38"/>
      <c r="AG25" s="38"/>
      <c r="AH25" s="33"/>
      <c r="AI25" s="38"/>
      <c r="AJ25" s="38"/>
      <c r="AK25" s="5">
        <f t="shared" si="1"/>
        <v>17</v>
      </c>
      <c r="AL25" s="5">
        <f t="shared" si="2"/>
        <v>0</v>
      </c>
    </row>
    <row r="26" spans="1:42" ht="16.5" x14ac:dyDescent="0.25">
      <c r="A26" s="10">
        <v>22</v>
      </c>
      <c r="B26" s="12"/>
      <c r="C26" s="7" t="s">
        <v>77</v>
      </c>
      <c r="D26" s="7" t="s">
        <v>78</v>
      </c>
      <c r="E26" s="20" t="s">
        <v>20</v>
      </c>
      <c r="F26" s="33"/>
      <c r="G26" s="38" t="s">
        <v>37</v>
      </c>
      <c r="H26" s="38" t="s">
        <v>37</v>
      </c>
      <c r="I26" s="38" t="s">
        <v>37</v>
      </c>
      <c r="J26" s="38" t="s">
        <v>37</v>
      </c>
      <c r="K26" s="38" t="s">
        <v>37</v>
      </c>
      <c r="L26" s="22"/>
      <c r="M26" s="33"/>
      <c r="N26" s="38" t="s">
        <v>37</v>
      </c>
      <c r="O26" s="38" t="s">
        <v>37</v>
      </c>
      <c r="P26" s="38" t="s">
        <v>37</v>
      </c>
      <c r="Q26" s="38" t="s">
        <v>37</v>
      </c>
      <c r="R26" s="38" t="s">
        <v>37</v>
      </c>
      <c r="S26" s="38" t="s">
        <v>37</v>
      </c>
      <c r="T26" s="33"/>
      <c r="U26" s="38" t="s">
        <v>37</v>
      </c>
      <c r="V26" s="38" t="s">
        <v>37</v>
      </c>
      <c r="W26" s="38" t="s">
        <v>37</v>
      </c>
      <c r="X26" s="38" t="s">
        <v>37</v>
      </c>
      <c r="Y26" s="38" t="s">
        <v>37</v>
      </c>
      <c r="Z26" s="38" t="s">
        <v>37</v>
      </c>
      <c r="AA26" s="33"/>
      <c r="AB26" s="38"/>
      <c r="AC26" s="38"/>
      <c r="AD26" s="38"/>
      <c r="AE26" s="38"/>
      <c r="AF26" s="38"/>
      <c r="AG26" s="38"/>
      <c r="AH26" s="33"/>
      <c r="AI26" s="38"/>
      <c r="AJ26" s="38"/>
      <c r="AK26" s="5">
        <f t="shared" si="1"/>
        <v>17</v>
      </c>
      <c r="AL26" s="5">
        <f t="shared" si="2"/>
        <v>0</v>
      </c>
    </row>
    <row r="27" spans="1:42" ht="16.5" x14ac:dyDescent="0.25">
      <c r="A27" s="10">
        <v>23</v>
      </c>
      <c r="B27" s="12"/>
      <c r="C27" s="7" t="s">
        <v>126</v>
      </c>
      <c r="D27" s="7" t="s">
        <v>134</v>
      </c>
      <c r="E27" s="20" t="s">
        <v>20</v>
      </c>
      <c r="F27" s="33"/>
      <c r="G27" s="38" t="s">
        <v>37</v>
      </c>
      <c r="H27" s="38" t="s">
        <v>37</v>
      </c>
      <c r="I27" s="38" t="s">
        <v>37</v>
      </c>
      <c r="J27" s="38" t="s">
        <v>37</v>
      </c>
      <c r="K27" s="38" t="s">
        <v>37</v>
      </c>
      <c r="L27" s="22"/>
      <c r="M27" s="33"/>
      <c r="N27" s="38" t="s">
        <v>37</v>
      </c>
      <c r="O27" s="38" t="s">
        <v>37</v>
      </c>
      <c r="P27" s="38" t="s">
        <v>37</v>
      </c>
      <c r="Q27" s="38" t="s">
        <v>37</v>
      </c>
      <c r="R27" s="38" t="s">
        <v>37</v>
      </c>
      <c r="S27" s="38" t="s">
        <v>37</v>
      </c>
      <c r="T27" s="33"/>
      <c r="U27" s="38" t="s">
        <v>37</v>
      </c>
      <c r="V27" s="38" t="s">
        <v>37</v>
      </c>
      <c r="W27" s="38" t="s">
        <v>37</v>
      </c>
      <c r="X27" s="38" t="s">
        <v>36</v>
      </c>
      <c r="Y27" s="38" t="s">
        <v>37</v>
      </c>
      <c r="Z27" s="38" t="s">
        <v>36</v>
      </c>
      <c r="AA27" s="33"/>
      <c r="AB27" s="38"/>
      <c r="AC27" s="38"/>
      <c r="AD27" s="38"/>
      <c r="AE27" s="38"/>
      <c r="AF27" s="38"/>
      <c r="AG27" s="38"/>
      <c r="AH27" s="33"/>
      <c r="AI27" s="38"/>
      <c r="AJ27" s="38"/>
      <c r="AK27" s="5">
        <f t="shared" si="1"/>
        <v>15</v>
      </c>
      <c r="AL27" s="5">
        <f t="shared" si="2"/>
        <v>2</v>
      </c>
    </row>
    <row r="28" spans="1:42" ht="16.5" x14ac:dyDescent="0.25">
      <c r="A28" s="10">
        <v>24</v>
      </c>
      <c r="B28" s="12"/>
      <c r="C28" s="7" t="s">
        <v>72</v>
      </c>
      <c r="D28" s="7" t="s">
        <v>40</v>
      </c>
      <c r="E28" s="20" t="s">
        <v>20</v>
      </c>
      <c r="F28" s="33"/>
      <c r="G28" s="38" t="s">
        <v>37</v>
      </c>
      <c r="H28" s="38" t="s">
        <v>37</v>
      </c>
      <c r="I28" s="38" t="s">
        <v>37</v>
      </c>
      <c r="J28" s="38" t="s">
        <v>37</v>
      </c>
      <c r="K28" s="38" t="s">
        <v>37</v>
      </c>
      <c r="L28" s="22"/>
      <c r="M28" s="33"/>
      <c r="N28" s="38" t="s">
        <v>37</v>
      </c>
      <c r="O28" s="38" t="s">
        <v>37</v>
      </c>
      <c r="P28" s="38" t="s">
        <v>37</v>
      </c>
      <c r="Q28" s="38" t="s">
        <v>37</v>
      </c>
      <c r="R28" s="38" t="s">
        <v>37</v>
      </c>
      <c r="S28" s="38" t="s">
        <v>37</v>
      </c>
      <c r="T28" s="33"/>
      <c r="U28" s="38" t="s">
        <v>37</v>
      </c>
      <c r="V28" s="38" t="s">
        <v>37</v>
      </c>
      <c r="W28" s="38" t="s">
        <v>37</v>
      </c>
      <c r="X28" s="38" t="s">
        <v>37</v>
      </c>
      <c r="Y28" s="38" t="s">
        <v>36</v>
      </c>
      <c r="Z28" s="38" t="s">
        <v>36</v>
      </c>
      <c r="AA28" s="33"/>
      <c r="AB28" s="38"/>
      <c r="AC28" s="38"/>
      <c r="AD28" s="38"/>
      <c r="AE28" s="38"/>
      <c r="AF28" s="38"/>
      <c r="AG28" s="38"/>
      <c r="AH28" s="33"/>
      <c r="AI28" s="38"/>
      <c r="AJ28" s="38"/>
      <c r="AK28" s="5">
        <f t="shared" si="1"/>
        <v>15</v>
      </c>
      <c r="AL28" s="5">
        <f t="shared" si="2"/>
        <v>2</v>
      </c>
    </row>
    <row r="29" spans="1:42" ht="16.5" x14ac:dyDescent="0.25">
      <c r="A29" s="10">
        <v>25</v>
      </c>
      <c r="B29" s="12"/>
      <c r="C29" s="7" t="s">
        <v>74</v>
      </c>
      <c r="D29" s="7" t="s">
        <v>39</v>
      </c>
      <c r="E29" s="20" t="s">
        <v>20</v>
      </c>
      <c r="F29" s="33"/>
      <c r="G29" s="38" t="s">
        <v>37</v>
      </c>
      <c r="H29" s="38" t="s">
        <v>37</v>
      </c>
      <c r="I29" s="38" t="s">
        <v>37</v>
      </c>
      <c r="J29" s="38" t="s">
        <v>37</v>
      </c>
      <c r="K29" s="38" t="s">
        <v>37</v>
      </c>
      <c r="L29" s="22"/>
      <c r="M29" s="33"/>
      <c r="N29" s="38" t="s">
        <v>37</v>
      </c>
      <c r="O29" s="38" t="s">
        <v>37</v>
      </c>
      <c r="P29" s="38" t="s">
        <v>37</v>
      </c>
      <c r="Q29" s="38" t="s">
        <v>37</v>
      </c>
      <c r="R29" s="38" t="s">
        <v>37</v>
      </c>
      <c r="S29" s="38" t="s">
        <v>37</v>
      </c>
      <c r="T29" s="33"/>
      <c r="U29" s="38" t="s">
        <v>37</v>
      </c>
      <c r="V29" s="38" t="s">
        <v>37</v>
      </c>
      <c r="W29" s="38" t="s">
        <v>37</v>
      </c>
      <c r="X29" s="38" t="s">
        <v>37</v>
      </c>
      <c r="Y29" s="38" t="s">
        <v>37</v>
      </c>
      <c r="Z29" s="38" t="s">
        <v>37</v>
      </c>
      <c r="AA29" s="33"/>
      <c r="AB29" s="38"/>
      <c r="AC29" s="38"/>
      <c r="AD29" s="38"/>
      <c r="AE29" s="38"/>
      <c r="AF29" s="38"/>
      <c r="AG29" s="38"/>
      <c r="AH29" s="33"/>
      <c r="AI29" s="38"/>
      <c r="AJ29" s="38"/>
      <c r="AK29" s="5">
        <f t="shared" si="1"/>
        <v>17</v>
      </c>
      <c r="AL29" s="5">
        <f t="shared" si="2"/>
        <v>0</v>
      </c>
    </row>
    <row r="30" spans="1:42" ht="16.5" x14ac:dyDescent="0.25">
      <c r="A30" s="10">
        <v>26</v>
      </c>
      <c r="B30" s="12"/>
      <c r="C30" s="7" t="s">
        <v>46</v>
      </c>
      <c r="D30" s="7" t="s">
        <v>42</v>
      </c>
      <c r="E30" s="20" t="s">
        <v>20</v>
      </c>
      <c r="F30" s="33"/>
      <c r="G30" s="38" t="s">
        <v>37</v>
      </c>
      <c r="H30" s="38" t="s">
        <v>37</v>
      </c>
      <c r="I30" s="38" t="s">
        <v>37</v>
      </c>
      <c r="J30" s="38" t="s">
        <v>37</v>
      </c>
      <c r="K30" s="38" t="s">
        <v>37</v>
      </c>
      <c r="L30" s="22"/>
      <c r="M30" s="33"/>
      <c r="N30" s="38" t="s">
        <v>37</v>
      </c>
      <c r="O30" s="38" t="s">
        <v>37</v>
      </c>
      <c r="P30" s="38" t="s">
        <v>37</v>
      </c>
      <c r="Q30" s="38" t="s">
        <v>37</v>
      </c>
      <c r="R30" s="38" t="s">
        <v>37</v>
      </c>
      <c r="S30" s="38" t="s">
        <v>37</v>
      </c>
      <c r="T30" s="33"/>
      <c r="U30" s="38" t="s">
        <v>37</v>
      </c>
      <c r="V30" s="38" t="s">
        <v>37</v>
      </c>
      <c r="W30" s="38" t="s">
        <v>37</v>
      </c>
      <c r="X30" s="38" t="s">
        <v>37</v>
      </c>
      <c r="Y30" s="38" t="s">
        <v>37</v>
      </c>
      <c r="Z30" s="38" t="s">
        <v>37</v>
      </c>
      <c r="AA30" s="33"/>
      <c r="AB30" s="38"/>
      <c r="AC30" s="38"/>
      <c r="AD30" s="38"/>
      <c r="AE30" s="38"/>
      <c r="AF30" s="38"/>
      <c r="AG30" s="38"/>
      <c r="AH30" s="33"/>
      <c r="AI30" s="38"/>
      <c r="AJ30" s="38"/>
      <c r="AK30" s="5">
        <f t="shared" si="1"/>
        <v>17</v>
      </c>
      <c r="AL30" s="5">
        <f t="shared" si="2"/>
        <v>0</v>
      </c>
    </row>
    <row r="31" spans="1:42" ht="16.5" customHeight="1" x14ac:dyDescent="0.25">
      <c r="A31" s="10">
        <v>1</v>
      </c>
      <c r="B31" s="12"/>
      <c r="C31" s="13" t="s">
        <v>79</v>
      </c>
      <c r="D31" s="14" t="s">
        <v>80</v>
      </c>
      <c r="E31" s="8" t="s">
        <v>20</v>
      </c>
      <c r="F31" s="33"/>
      <c r="G31" s="38" t="s">
        <v>37</v>
      </c>
      <c r="H31" s="38" t="s">
        <v>37</v>
      </c>
      <c r="I31" s="38" t="s">
        <v>37</v>
      </c>
      <c r="J31" s="38" t="s">
        <v>37</v>
      </c>
      <c r="K31" s="38" t="s">
        <v>37</v>
      </c>
      <c r="L31" s="22"/>
      <c r="M31" s="33"/>
      <c r="N31" s="38" t="s">
        <v>37</v>
      </c>
      <c r="O31" s="38" t="s">
        <v>37</v>
      </c>
      <c r="P31" s="38" t="s">
        <v>37</v>
      </c>
      <c r="Q31" s="38" t="s">
        <v>37</v>
      </c>
      <c r="R31" s="38" t="s">
        <v>37</v>
      </c>
      <c r="S31" s="38" t="s">
        <v>37</v>
      </c>
      <c r="T31" s="33"/>
      <c r="U31" s="38" t="s">
        <v>37</v>
      </c>
      <c r="V31" s="38" t="s">
        <v>37</v>
      </c>
      <c r="W31" s="38" t="s">
        <v>37</v>
      </c>
      <c r="X31" s="38" t="s">
        <v>37</v>
      </c>
      <c r="Y31" s="38" t="s">
        <v>37</v>
      </c>
      <c r="Z31" s="38" t="s">
        <v>36</v>
      </c>
      <c r="AA31" s="33"/>
      <c r="AB31" s="38"/>
      <c r="AC31" s="38"/>
      <c r="AD31" s="38"/>
      <c r="AE31" s="38"/>
      <c r="AF31" s="38"/>
      <c r="AG31" s="38"/>
      <c r="AH31" s="33"/>
      <c r="AI31" s="38"/>
      <c r="AJ31" s="38"/>
      <c r="AK31" s="5">
        <f t="shared" si="1"/>
        <v>16</v>
      </c>
      <c r="AL31" s="5">
        <f t="shared" si="2"/>
        <v>1</v>
      </c>
    </row>
    <row r="32" spans="1:42" ht="16.5" x14ac:dyDescent="0.25">
      <c r="A32" s="6">
        <v>2</v>
      </c>
      <c r="B32" s="12"/>
      <c r="C32" s="13" t="s">
        <v>24</v>
      </c>
      <c r="D32" s="14" t="s">
        <v>31</v>
      </c>
      <c r="E32" s="8" t="s">
        <v>20</v>
      </c>
      <c r="F32" s="33"/>
      <c r="G32" s="38" t="s">
        <v>37</v>
      </c>
      <c r="H32" s="38" t="s">
        <v>37</v>
      </c>
      <c r="I32" s="38" t="s">
        <v>37</v>
      </c>
      <c r="J32" s="38" t="s">
        <v>37</v>
      </c>
      <c r="K32" s="38" t="s">
        <v>37</v>
      </c>
      <c r="L32" s="22"/>
      <c r="M32" s="33"/>
      <c r="N32" s="38" t="s">
        <v>37</v>
      </c>
      <c r="O32" s="38" t="s">
        <v>37</v>
      </c>
      <c r="P32" s="38" t="s">
        <v>37</v>
      </c>
      <c r="Q32" s="38" t="s">
        <v>37</v>
      </c>
      <c r="R32" s="38" t="s">
        <v>37</v>
      </c>
      <c r="S32" s="38" t="s">
        <v>37</v>
      </c>
      <c r="T32" s="33"/>
      <c r="U32" s="38" t="s">
        <v>37</v>
      </c>
      <c r="V32" s="38" t="s">
        <v>37</v>
      </c>
      <c r="W32" s="38" t="s">
        <v>37</v>
      </c>
      <c r="X32" s="38" t="s">
        <v>36</v>
      </c>
      <c r="Y32" s="38" t="s">
        <v>37</v>
      </c>
      <c r="Z32" s="38" t="s">
        <v>37</v>
      </c>
      <c r="AA32" s="33"/>
      <c r="AB32" s="38"/>
      <c r="AC32" s="38"/>
      <c r="AD32" s="38"/>
      <c r="AE32" s="38"/>
      <c r="AF32" s="38"/>
      <c r="AG32" s="38"/>
      <c r="AH32" s="33"/>
      <c r="AI32" s="38"/>
      <c r="AJ32" s="38"/>
      <c r="AK32" s="5">
        <f t="shared" si="1"/>
        <v>16</v>
      </c>
      <c r="AL32" s="5">
        <f t="shared" si="2"/>
        <v>1</v>
      </c>
    </row>
    <row r="33" spans="1:38" ht="16.5" x14ac:dyDescent="0.25">
      <c r="A33" s="10">
        <v>3</v>
      </c>
      <c r="B33" s="12"/>
      <c r="C33" s="13" t="s">
        <v>81</v>
      </c>
      <c r="D33" s="14" t="s">
        <v>82</v>
      </c>
      <c r="E33" s="8" t="s">
        <v>20</v>
      </c>
      <c r="F33" s="33"/>
      <c r="G33" s="38" t="s">
        <v>37</v>
      </c>
      <c r="H33" s="38" t="s">
        <v>37</v>
      </c>
      <c r="I33" s="38" t="s">
        <v>37</v>
      </c>
      <c r="J33" s="38" t="s">
        <v>37</v>
      </c>
      <c r="K33" s="38" t="s">
        <v>37</v>
      </c>
      <c r="L33" s="22"/>
      <c r="M33" s="33"/>
      <c r="N33" s="38" t="s">
        <v>37</v>
      </c>
      <c r="O33" s="38" t="s">
        <v>37</v>
      </c>
      <c r="P33" s="38" t="s">
        <v>37</v>
      </c>
      <c r="Q33" s="38" t="s">
        <v>37</v>
      </c>
      <c r="R33" s="38" t="s">
        <v>37</v>
      </c>
      <c r="S33" s="38" t="s">
        <v>37</v>
      </c>
      <c r="T33" s="33"/>
      <c r="U33" s="38" t="s">
        <v>37</v>
      </c>
      <c r="V33" s="38" t="s">
        <v>37</v>
      </c>
      <c r="W33" s="38" t="s">
        <v>37</v>
      </c>
      <c r="X33" s="38" t="s">
        <v>37</v>
      </c>
      <c r="Y33" s="38" t="s">
        <v>37</v>
      </c>
      <c r="Z33" s="38" t="s">
        <v>37</v>
      </c>
      <c r="AA33" s="33"/>
      <c r="AB33" s="38"/>
      <c r="AC33" s="38"/>
      <c r="AD33" s="38"/>
      <c r="AE33" s="38"/>
      <c r="AF33" s="38"/>
      <c r="AG33" s="38"/>
      <c r="AH33" s="33"/>
      <c r="AI33" s="38"/>
      <c r="AJ33" s="38"/>
      <c r="AK33" s="5">
        <f t="shared" si="1"/>
        <v>17</v>
      </c>
      <c r="AL33" s="5">
        <f t="shared" si="2"/>
        <v>0</v>
      </c>
    </row>
    <row r="34" spans="1:38" ht="16.5" x14ac:dyDescent="0.25">
      <c r="A34" s="6">
        <v>4</v>
      </c>
      <c r="B34" s="12"/>
      <c r="C34" s="13" t="s">
        <v>49</v>
      </c>
      <c r="D34" s="14" t="s">
        <v>83</v>
      </c>
      <c r="E34" s="8" t="s">
        <v>20</v>
      </c>
      <c r="F34" s="33"/>
      <c r="G34" s="38" t="s">
        <v>37</v>
      </c>
      <c r="H34" s="38" t="s">
        <v>37</v>
      </c>
      <c r="I34" s="38" t="s">
        <v>37</v>
      </c>
      <c r="J34" s="38" t="s">
        <v>37</v>
      </c>
      <c r="K34" s="38" t="s">
        <v>37</v>
      </c>
      <c r="L34" s="22"/>
      <c r="M34" s="33"/>
      <c r="N34" s="38" t="s">
        <v>37</v>
      </c>
      <c r="O34" s="38" t="s">
        <v>37</v>
      </c>
      <c r="P34" s="38" t="s">
        <v>37</v>
      </c>
      <c r="Q34" s="38" t="s">
        <v>37</v>
      </c>
      <c r="R34" s="38" t="s">
        <v>37</v>
      </c>
      <c r="S34" s="38" t="s">
        <v>37</v>
      </c>
      <c r="T34" s="33"/>
      <c r="U34" s="38" t="s">
        <v>37</v>
      </c>
      <c r="V34" s="38" t="s">
        <v>37</v>
      </c>
      <c r="W34" s="38" t="s">
        <v>37</v>
      </c>
      <c r="X34" s="38" t="s">
        <v>37</v>
      </c>
      <c r="Y34" s="38" t="s">
        <v>37</v>
      </c>
      <c r="Z34" s="38" t="s">
        <v>37</v>
      </c>
      <c r="AA34" s="33"/>
      <c r="AB34" s="38"/>
      <c r="AC34" s="38"/>
      <c r="AD34" s="38"/>
      <c r="AE34" s="38"/>
      <c r="AF34" s="38"/>
      <c r="AG34" s="38"/>
      <c r="AH34" s="33"/>
      <c r="AI34" s="38"/>
      <c r="AJ34" s="38"/>
      <c r="AK34" s="5">
        <f t="shared" si="1"/>
        <v>17</v>
      </c>
      <c r="AL34" s="5">
        <f t="shared" si="2"/>
        <v>0</v>
      </c>
    </row>
    <row r="35" spans="1:38" ht="16.5" x14ac:dyDescent="0.25">
      <c r="A35" s="10">
        <v>5</v>
      </c>
      <c r="B35" s="12"/>
      <c r="C35" s="13" t="s">
        <v>84</v>
      </c>
      <c r="D35" s="14" t="s">
        <v>85</v>
      </c>
      <c r="E35" s="8" t="s">
        <v>20</v>
      </c>
      <c r="F35" s="33"/>
      <c r="G35" s="38" t="s">
        <v>36</v>
      </c>
      <c r="H35" s="38" t="s">
        <v>36</v>
      </c>
      <c r="I35" s="38" t="s">
        <v>36</v>
      </c>
      <c r="J35" s="38" t="s">
        <v>36</v>
      </c>
      <c r="K35" s="38" t="s">
        <v>36</v>
      </c>
      <c r="L35" s="22"/>
      <c r="M35" s="33"/>
      <c r="N35" s="38" t="s">
        <v>36</v>
      </c>
      <c r="O35" s="38" t="s">
        <v>36</v>
      </c>
      <c r="P35" s="38" t="s">
        <v>36</v>
      </c>
      <c r="Q35" s="38" t="s">
        <v>36</v>
      </c>
      <c r="R35" s="38" t="s">
        <v>36</v>
      </c>
      <c r="S35" s="38" t="s">
        <v>36</v>
      </c>
      <c r="T35" s="33"/>
      <c r="U35" s="38" t="s">
        <v>36</v>
      </c>
      <c r="V35" s="38" t="s">
        <v>36</v>
      </c>
      <c r="W35" s="38" t="s">
        <v>36</v>
      </c>
      <c r="X35" s="38" t="s">
        <v>36</v>
      </c>
      <c r="Y35" s="38" t="s">
        <v>36</v>
      </c>
      <c r="Z35" s="38" t="s">
        <v>36</v>
      </c>
      <c r="AA35" s="33"/>
      <c r="AB35" s="38"/>
      <c r="AC35" s="38"/>
      <c r="AD35" s="38"/>
      <c r="AE35" s="38"/>
      <c r="AF35" s="38"/>
      <c r="AG35" s="38"/>
      <c r="AH35" s="33"/>
      <c r="AI35" s="38"/>
      <c r="AJ35" s="38"/>
      <c r="AK35" s="5">
        <f t="shared" si="1"/>
        <v>0</v>
      </c>
      <c r="AL35" s="5">
        <f t="shared" si="2"/>
        <v>17</v>
      </c>
    </row>
    <row r="36" spans="1:38" ht="16.5" x14ac:dyDescent="0.25">
      <c r="A36" s="6">
        <v>6</v>
      </c>
      <c r="B36" s="12"/>
      <c r="C36" s="13" t="s">
        <v>114</v>
      </c>
      <c r="D36" s="14" t="s">
        <v>115</v>
      </c>
      <c r="E36" s="8" t="s">
        <v>20</v>
      </c>
      <c r="F36" s="33"/>
      <c r="G36" s="38" t="s">
        <v>37</v>
      </c>
      <c r="H36" s="38" t="s">
        <v>37</v>
      </c>
      <c r="I36" s="38" t="s">
        <v>37</v>
      </c>
      <c r="J36" s="38" t="s">
        <v>37</v>
      </c>
      <c r="K36" s="38" t="s">
        <v>37</v>
      </c>
      <c r="L36" s="22"/>
      <c r="M36" s="33"/>
      <c r="N36" s="38" t="s">
        <v>37</v>
      </c>
      <c r="O36" s="38" t="s">
        <v>37</v>
      </c>
      <c r="P36" s="38" t="s">
        <v>37</v>
      </c>
      <c r="Q36" s="38" t="s">
        <v>37</v>
      </c>
      <c r="R36" s="38" t="s">
        <v>37</v>
      </c>
      <c r="S36" s="38" t="s">
        <v>37</v>
      </c>
      <c r="T36" s="33"/>
      <c r="U36" s="38" t="s">
        <v>37</v>
      </c>
      <c r="V36" s="38" t="s">
        <v>37</v>
      </c>
      <c r="W36" s="38" t="s">
        <v>37</v>
      </c>
      <c r="X36" s="38" t="s">
        <v>37</v>
      </c>
      <c r="Y36" s="38" t="s">
        <v>37</v>
      </c>
      <c r="Z36" s="38" t="s">
        <v>37</v>
      </c>
      <c r="AA36" s="33"/>
      <c r="AB36" s="38"/>
      <c r="AC36" s="38"/>
      <c r="AD36" s="38"/>
      <c r="AE36" s="38"/>
      <c r="AF36" s="38"/>
      <c r="AG36" s="38"/>
      <c r="AH36" s="33"/>
      <c r="AI36" s="38"/>
      <c r="AJ36" s="38"/>
      <c r="AK36" s="5">
        <f t="shared" si="1"/>
        <v>17</v>
      </c>
      <c r="AL36" s="5">
        <f t="shared" si="2"/>
        <v>0</v>
      </c>
    </row>
    <row r="37" spans="1:38" ht="16.5" x14ac:dyDescent="0.25">
      <c r="A37" s="10">
        <v>7</v>
      </c>
      <c r="B37" s="12"/>
      <c r="C37" s="13" t="s">
        <v>86</v>
      </c>
      <c r="D37" s="14" t="s">
        <v>87</v>
      </c>
      <c r="E37" s="8" t="s">
        <v>20</v>
      </c>
      <c r="F37" s="33"/>
      <c r="G37" s="38" t="s">
        <v>37</v>
      </c>
      <c r="H37" s="38" t="s">
        <v>37</v>
      </c>
      <c r="I37" s="38" t="s">
        <v>37</v>
      </c>
      <c r="J37" s="38" t="s">
        <v>37</v>
      </c>
      <c r="K37" s="38" t="s">
        <v>37</v>
      </c>
      <c r="L37" s="22"/>
      <c r="M37" s="33"/>
      <c r="N37" s="38" t="s">
        <v>37</v>
      </c>
      <c r="O37" s="38" t="s">
        <v>37</v>
      </c>
      <c r="P37" s="38" t="s">
        <v>37</v>
      </c>
      <c r="Q37" s="38" t="s">
        <v>37</v>
      </c>
      <c r="R37" s="38" t="s">
        <v>37</v>
      </c>
      <c r="S37" s="38" t="s">
        <v>37</v>
      </c>
      <c r="T37" s="33"/>
      <c r="U37" s="38" t="s">
        <v>37</v>
      </c>
      <c r="V37" s="38" t="s">
        <v>37</v>
      </c>
      <c r="W37" s="38" t="s">
        <v>36</v>
      </c>
      <c r="X37" s="38" t="s">
        <v>36</v>
      </c>
      <c r="Y37" s="38" t="s">
        <v>36</v>
      </c>
      <c r="Z37" s="38" t="s">
        <v>36</v>
      </c>
      <c r="AA37" s="33"/>
      <c r="AB37" s="38"/>
      <c r="AC37" s="38"/>
      <c r="AD37" s="38"/>
      <c r="AE37" s="38"/>
      <c r="AF37" s="38"/>
      <c r="AG37" s="38"/>
      <c r="AH37" s="33"/>
      <c r="AI37" s="38"/>
      <c r="AJ37" s="38"/>
      <c r="AK37" s="5">
        <f t="shared" si="1"/>
        <v>13</v>
      </c>
      <c r="AL37" s="5">
        <f t="shared" si="2"/>
        <v>4</v>
      </c>
    </row>
    <row r="38" spans="1:38" ht="16.5" x14ac:dyDescent="0.25">
      <c r="A38" s="6">
        <v>8</v>
      </c>
      <c r="B38" s="12"/>
      <c r="C38" s="13" t="s">
        <v>88</v>
      </c>
      <c r="D38" s="14" t="s">
        <v>89</v>
      </c>
      <c r="E38" s="8" t="s">
        <v>20</v>
      </c>
      <c r="F38" s="33"/>
      <c r="G38" s="38" t="s">
        <v>37</v>
      </c>
      <c r="H38" s="38" t="s">
        <v>37</v>
      </c>
      <c r="I38" s="38" t="s">
        <v>37</v>
      </c>
      <c r="J38" s="38" t="s">
        <v>37</v>
      </c>
      <c r="K38" s="38" t="s">
        <v>37</v>
      </c>
      <c r="L38" s="22"/>
      <c r="M38" s="33"/>
      <c r="N38" s="38" t="s">
        <v>37</v>
      </c>
      <c r="O38" s="38" t="s">
        <v>37</v>
      </c>
      <c r="P38" s="38" t="s">
        <v>37</v>
      </c>
      <c r="Q38" s="38" t="s">
        <v>37</v>
      </c>
      <c r="R38" s="38" t="s">
        <v>37</v>
      </c>
      <c r="S38" s="38" t="s">
        <v>37</v>
      </c>
      <c r="T38" s="33"/>
      <c r="U38" s="38" t="s">
        <v>37</v>
      </c>
      <c r="V38" s="38" t="s">
        <v>37</v>
      </c>
      <c r="W38" s="38" t="s">
        <v>37</v>
      </c>
      <c r="X38" s="38" t="s">
        <v>37</v>
      </c>
      <c r="Y38" s="38" t="s">
        <v>37</v>
      </c>
      <c r="Z38" s="38" t="s">
        <v>37</v>
      </c>
      <c r="AA38" s="33"/>
      <c r="AB38" s="38"/>
      <c r="AC38" s="38"/>
      <c r="AD38" s="38"/>
      <c r="AE38" s="38"/>
      <c r="AF38" s="38"/>
      <c r="AG38" s="38"/>
      <c r="AH38" s="33"/>
      <c r="AI38" s="38"/>
      <c r="AJ38" s="38"/>
      <c r="AK38" s="5">
        <f t="shared" si="1"/>
        <v>17</v>
      </c>
      <c r="AL38" s="5">
        <f t="shared" si="2"/>
        <v>0</v>
      </c>
    </row>
    <row r="39" spans="1:38" ht="16.5" x14ac:dyDescent="0.25">
      <c r="A39" s="10">
        <v>9</v>
      </c>
      <c r="B39" s="12"/>
      <c r="C39" s="13" t="s">
        <v>90</v>
      </c>
      <c r="D39" s="14" t="s">
        <v>30</v>
      </c>
      <c r="E39" s="8" t="s">
        <v>20</v>
      </c>
      <c r="F39" s="33"/>
      <c r="G39" s="38" t="s">
        <v>37</v>
      </c>
      <c r="H39" s="38" t="s">
        <v>37</v>
      </c>
      <c r="I39" s="38" t="s">
        <v>37</v>
      </c>
      <c r="J39" s="38" t="s">
        <v>37</v>
      </c>
      <c r="K39" s="38" t="s">
        <v>37</v>
      </c>
      <c r="L39" s="22"/>
      <c r="M39" s="33"/>
      <c r="N39" s="38" t="s">
        <v>37</v>
      </c>
      <c r="O39" s="38" t="s">
        <v>37</v>
      </c>
      <c r="P39" s="38" t="s">
        <v>37</v>
      </c>
      <c r="Q39" s="38" t="s">
        <v>37</v>
      </c>
      <c r="R39" s="38" t="s">
        <v>37</v>
      </c>
      <c r="S39" s="38" t="s">
        <v>37</v>
      </c>
      <c r="T39" s="33"/>
      <c r="U39" s="38" t="s">
        <v>37</v>
      </c>
      <c r="V39" s="38" t="s">
        <v>37</v>
      </c>
      <c r="W39" s="38" t="s">
        <v>37</v>
      </c>
      <c r="X39" s="38" t="s">
        <v>36</v>
      </c>
      <c r="Y39" s="38" t="s">
        <v>37</v>
      </c>
      <c r="Z39" s="38" t="s">
        <v>37</v>
      </c>
      <c r="AA39" s="33"/>
      <c r="AB39" s="38"/>
      <c r="AC39" s="38"/>
      <c r="AD39" s="38"/>
      <c r="AE39" s="38"/>
      <c r="AF39" s="38"/>
      <c r="AG39" s="38"/>
      <c r="AH39" s="33"/>
      <c r="AI39" s="38"/>
      <c r="AJ39" s="38"/>
      <c r="AK39" s="5">
        <f t="shared" si="1"/>
        <v>16</v>
      </c>
      <c r="AL39" s="5">
        <f t="shared" si="2"/>
        <v>1</v>
      </c>
    </row>
    <row r="40" spans="1:38" ht="16.5" x14ac:dyDescent="0.25">
      <c r="A40" s="6">
        <v>10</v>
      </c>
      <c r="B40" s="12"/>
      <c r="C40" s="13" t="s">
        <v>35</v>
      </c>
      <c r="D40" s="14" t="s">
        <v>91</v>
      </c>
      <c r="E40" s="8" t="s">
        <v>20</v>
      </c>
      <c r="F40" s="33"/>
      <c r="G40" s="38" t="s">
        <v>37</v>
      </c>
      <c r="H40" s="38" t="s">
        <v>37</v>
      </c>
      <c r="I40" s="38" t="s">
        <v>37</v>
      </c>
      <c r="J40" s="38" t="s">
        <v>37</v>
      </c>
      <c r="K40" s="38" t="s">
        <v>37</v>
      </c>
      <c r="L40" s="22"/>
      <c r="M40" s="33"/>
      <c r="N40" s="38" t="s">
        <v>37</v>
      </c>
      <c r="O40" s="38" t="s">
        <v>37</v>
      </c>
      <c r="P40" s="38" t="s">
        <v>37</v>
      </c>
      <c r="Q40" s="38" t="s">
        <v>37</v>
      </c>
      <c r="R40" s="38" t="s">
        <v>37</v>
      </c>
      <c r="S40" s="38" t="s">
        <v>37</v>
      </c>
      <c r="T40" s="33"/>
      <c r="U40" s="38" t="s">
        <v>37</v>
      </c>
      <c r="V40" s="38" t="s">
        <v>37</v>
      </c>
      <c r="W40" s="38" t="s">
        <v>37</v>
      </c>
      <c r="X40" s="38" t="s">
        <v>37</v>
      </c>
      <c r="Y40" s="38" t="s">
        <v>37</v>
      </c>
      <c r="Z40" s="38" t="s">
        <v>37</v>
      </c>
      <c r="AA40" s="33"/>
      <c r="AB40" s="38"/>
      <c r="AC40" s="38"/>
      <c r="AD40" s="38"/>
      <c r="AE40" s="38"/>
      <c r="AF40" s="38"/>
      <c r="AG40" s="38"/>
      <c r="AH40" s="33"/>
      <c r="AI40" s="38"/>
      <c r="AJ40" s="38"/>
      <c r="AK40" s="5">
        <f t="shared" si="1"/>
        <v>17</v>
      </c>
      <c r="AL40" s="5">
        <f t="shared" si="2"/>
        <v>0</v>
      </c>
    </row>
    <row r="41" spans="1:38" ht="16.5" x14ac:dyDescent="0.25">
      <c r="A41" s="10">
        <v>11</v>
      </c>
      <c r="B41" s="12"/>
      <c r="C41" s="13" t="s">
        <v>92</v>
      </c>
      <c r="D41" s="14" t="s">
        <v>28</v>
      </c>
      <c r="E41" s="8" t="s">
        <v>20</v>
      </c>
      <c r="F41" s="33"/>
      <c r="G41" s="38" t="s">
        <v>37</v>
      </c>
      <c r="H41" s="38" t="s">
        <v>37</v>
      </c>
      <c r="I41" s="38" t="s">
        <v>37</v>
      </c>
      <c r="J41" s="38" t="s">
        <v>37</v>
      </c>
      <c r="K41" s="38" t="s">
        <v>37</v>
      </c>
      <c r="L41" s="22"/>
      <c r="M41" s="33"/>
      <c r="N41" s="38" t="s">
        <v>36</v>
      </c>
      <c r="O41" s="38" t="s">
        <v>36</v>
      </c>
      <c r="P41" s="38" t="s">
        <v>36</v>
      </c>
      <c r="Q41" s="38" t="s">
        <v>36</v>
      </c>
      <c r="R41" s="38" t="s">
        <v>36</v>
      </c>
      <c r="S41" s="38" t="s">
        <v>36</v>
      </c>
      <c r="T41" s="33"/>
      <c r="U41" s="38" t="s">
        <v>36</v>
      </c>
      <c r="V41" s="38" t="s">
        <v>37</v>
      </c>
      <c r="W41" s="38" t="s">
        <v>37</v>
      </c>
      <c r="X41" s="38" t="s">
        <v>37</v>
      </c>
      <c r="Y41" s="38" t="s">
        <v>36</v>
      </c>
      <c r="Z41" s="38" t="s">
        <v>36</v>
      </c>
      <c r="AA41" s="33"/>
      <c r="AB41" s="38"/>
      <c r="AC41" s="38"/>
      <c r="AD41" s="38"/>
      <c r="AE41" s="38"/>
      <c r="AF41" s="38"/>
      <c r="AG41" s="38"/>
      <c r="AH41" s="33"/>
      <c r="AI41" s="38"/>
      <c r="AJ41" s="38"/>
      <c r="AK41" s="5">
        <f t="shared" si="1"/>
        <v>8</v>
      </c>
      <c r="AL41" s="5">
        <f t="shared" si="2"/>
        <v>9</v>
      </c>
    </row>
    <row r="42" spans="1:38" ht="16.5" x14ac:dyDescent="0.25">
      <c r="A42" s="6">
        <v>12</v>
      </c>
      <c r="B42" s="12"/>
      <c r="C42" s="13" t="s">
        <v>93</v>
      </c>
      <c r="D42" s="14" t="s">
        <v>50</v>
      </c>
      <c r="E42" s="8" t="s">
        <v>20</v>
      </c>
      <c r="F42" s="33"/>
      <c r="G42" s="38" t="s">
        <v>37</v>
      </c>
      <c r="H42" s="38" t="s">
        <v>37</v>
      </c>
      <c r="I42" s="38" t="s">
        <v>37</v>
      </c>
      <c r="J42" s="38" t="s">
        <v>37</v>
      </c>
      <c r="K42" s="38" t="s">
        <v>37</v>
      </c>
      <c r="L42" s="22"/>
      <c r="M42" s="33"/>
      <c r="N42" s="38" t="s">
        <v>37</v>
      </c>
      <c r="O42" s="38" t="s">
        <v>37</v>
      </c>
      <c r="P42" s="38" t="s">
        <v>37</v>
      </c>
      <c r="Q42" s="38" t="s">
        <v>37</v>
      </c>
      <c r="R42" s="38" t="s">
        <v>37</v>
      </c>
      <c r="S42" s="38" t="s">
        <v>37</v>
      </c>
      <c r="T42" s="33"/>
      <c r="U42" s="38" t="s">
        <v>37</v>
      </c>
      <c r="V42" s="38" t="s">
        <v>37</v>
      </c>
      <c r="W42" s="38" t="s">
        <v>37</v>
      </c>
      <c r="X42" s="38" t="s">
        <v>36</v>
      </c>
      <c r="Y42" s="38" t="s">
        <v>37</v>
      </c>
      <c r="Z42" s="38" t="s">
        <v>36</v>
      </c>
      <c r="AA42" s="33"/>
      <c r="AB42" s="38"/>
      <c r="AC42" s="38"/>
      <c r="AD42" s="38"/>
      <c r="AE42" s="38"/>
      <c r="AF42" s="38"/>
      <c r="AG42" s="38"/>
      <c r="AH42" s="33"/>
      <c r="AI42" s="38"/>
      <c r="AJ42" s="38"/>
      <c r="AK42" s="5">
        <f t="shared" si="1"/>
        <v>15</v>
      </c>
      <c r="AL42" s="5">
        <f t="shared" si="2"/>
        <v>2</v>
      </c>
    </row>
    <row r="43" spans="1:38" ht="16.5" x14ac:dyDescent="0.25">
      <c r="A43" s="10">
        <v>13</v>
      </c>
      <c r="B43" s="12"/>
      <c r="C43" s="13" t="s">
        <v>43</v>
      </c>
      <c r="D43" s="14" t="s">
        <v>45</v>
      </c>
      <c r="E43" s="8" t="s">
        <v>20</v>
      </c>
      <c r="F43" s="33"/>
      <c r="G43" s="38" t="s">
        <v>37</v>
      </c>
      <c r="H43" s="38" t="s">
        <v>37</v>
      </c>
      <c r="I43" s="38" t="s">
        <v>37</v>
      </c>
      <c r="J43" s="38" t="s">
        <v>37</v>
      </c>
      <c r="K43" s="38" t="s">
        <v>37</v>
      </c>
      <c r="L43" s="22"/>
      <c r="M43" s="33"/>
      <c r="N43" s="38" t="s">
        <v>37</v>
      </c>
      <c r="O43" s="38" t="s">
        <v>37</v>
      </c>
      <c r="P43" s="38" t="s">
        <v>37</v>
      </c>
      <c r="Q43" s="38" t="s">
        <v>37</v>
      </c>
      <c r="R43" s="38" t="s">
        <v>37</v>
      </c>
      <c r="S43" s="38" t="s">
        <v>37</v>
      </c>
      <c r="T43" s="33"/>
      <c r="U43" s="38" t="s">
        <v>37</v>
      </c>
      <c r="V43" s="38" t="s">
        <v>37</v>
      </c>
      <c r="W43" s="38" t="s">
        <v>36</v>
      </c>
      <c r="X43" s="38" t="s">
        <v>37</v>
      </c>
      <c r="Y43" s="38" t="s">
        <v>37</v>
      </c>
      <c r="Z43" s="38" t="s">
        <v>36</v>
      </c>
      <c r="AA43" s="33"/>
      <c r="AB43" s="38"/>
      <c r="AC43" s="38"/>
      <c r="AD43" s="38"/>
      <c r="AE43" s="38"/>
      <c r="AF43" s="38"/>
      <c r="AG43" s="38"/>
      <c r="AH43" s="33"/>
      <c r="AI43" s="38"/>
      <c r="AJ43" s="38"/>
      <c r="AK43" s="5">
        <f t="shared" si="1"/>
        <v>15</v>
      </c>
      <c r="AL43" s="5">
        <f t="shared" si="2"/>
        <v>2</v>
      </c>
    </row>
    <row r="44" spans="1:38" ht="16.5" x14ac:dyDescent="0.25">
      <c r="A44" s="6">
        <v>14</v>
      </c>
      <c r="B44" s="12"/>
      <c r="C44" s="13" t="s">
        <v>97</v>
      </c>
      <c r="D44" s="14" t="s">
        <v>98</v>
      </c>
      <c r="E44" s="8" t="s">
        <v>20</v>
      </c>
      <c r="F44" s="33"/>
      <c r="G44" s="38" t="s">
        <v>37</v>
      </c>
      <c r="H44" s="38" t="s">
        <v>37</v>
      </c>
      <c r="I44" s="38" t="s">
        <v>37</v>
      </c>
      <c r="J44" s="38" t="s">
        <v>37</v>
      </c>
      <c r="K44" s="38" t="s">
        <v>37</v>
      </c>
      <c r="L44" s="22"/>
      <c r="M44" s="33"/>
      <c r="N44" s="38" t="s">
        <v>37</v>
      </c>
      <c r="O44" s="38" t="s">
        <v>37</v>
      </c>
      <c r="P44" s="38" t="s">
        <v>37</v>
      </c>
      <c r="Q44" s="38" t="s">
        <v>37</v>
      </c>
      <c r="R44" s="38" t="s">
        <v>37</v>
      </c>
      <c r="S44" s="38" t="s">
        <v>37</v>
      </c>
      <c r="T44" s="33"/>
      <c r="U44" s="38" t="s">
        <v>37</v>
      </c>
      <c r="V44" s="38" t="s">
        <v>37</v>
      </c>
      <c r="W44" s="38" t="s">
        <v>36</v>
      </c>
      <c r="X44" s="38" t="s">
        <v>36</v>
      </c>
      <c r="Y44" s="38" t="s">
        <v>37</v>
      </c>
      <c r="Z44" s="38" t="s">
        <v>37</v>
      </c>
      <c r="AA44" s="33"/>
      <c r="AB44" s="38"/>
      <c r="AC44" s="38"/>
      <c r="AD44" s="38"/>
      <c r="AE44" s="38"/>
      <c r="AF44" s="38"/>
      <c r="AG44" s="38"/>
      <c r="AH44" s="33"/>
      <c r="AI44" s="38"/>
      <c r="AJ44" s="38"/>
      <c r="AK44" s="5">
        <f t="shared" si="1"/>
        <v>15</v>
      </c>
      <c r="AL44" s="5">
        <f t="shared" si="2"/>
        <v>2</v>
      </c>
    </row>
    <row r="45" spans="1:38" ht="16.5" x14ac:dyDescent="0.25">
      <c r="A45" s="10">
        <v>15</v>
      </c>
      <c r="B45" s="12"/>
      <c r="C45" s="13" t="s">
        <v>94</v>
      </c>
      <c r="D45" s="14" t="s">
        <v>95</v>
      </c>
      <c r="E45" s="8" t="s">
        <v>20</v>
      </c>
      <c r="F45" s="33"/>
      <c r="G45" s="38" t="s">
        <v>37</v>
      </c>
      <c r="H45" s="38" t="s">
        <v>37</v>
      </c>
      <c r="I45" s="38" t="s">
        <v>37</v>
      </c>
      <c r="J45" s="38" t="s">
        <v>37</v>
      </c>
      <c r="K45" s="38" t="s">
        <v>36</v>
      </c>
      <c r="L45" s="22"/>
      <c r="M45" s="33"/>
      <c r="N45" s="38" t="s">
        <v>37</v>
      </c>
      <c r="O45" s="38" t="s">
        <v>37</v>
      </c>
      <c r="P45" s="38" t="s">
        <v>37</v>
      </c>
      <c r="Q45" s="38" t="s">
        <v>37</v>
      </c>
      <c r="R45" s="38" t="s">
        <v>37</v>
      </c>
      <c r="S45" s="38" t="s">
        <v>37</v>
      </c>
      <c r="T45" s="33"/>
      <c r="U45" s="38" t="s">
        <v>37</v>
      </c>
      <c r="V45" s="38" t="s">
        <v>37</v>
      </c>
      <c r="W45" s="38" t="s">
        <v>36</v>
      </c>
      <c r="X45" s="38" t="s">
        <v>36</v>
      </c>
      <c r="Y45" s="38" t="s">
        <v>36</v>
      </c>
      <c r="Z45" s="38" t="s">
        <v>36</v>
      </c>
      <c r="AA45" s="33"/>
      <c r="AB45" s="38"/>
      <c r="AC45" s="38"/>
      <c r="AD45" s="38"/>
      <c r="AE45" s="38"/>
      <c r="AF45" s="38"/>
      <c r="AG45" s="38"/>
      <c r="AH45" s="33"/>
      <c r="AI45" s="38"/>
      <c r="AJ45" s="38"/>
      <c r="AK45" s="5">
        <f t="shared" si="1"/>
        <v>12</v>
      </c>
      <c r="AL45" s="5">
        <f t="shared" si="2"/>
        <v>5</v>
      </c>
    </row>
    <row r="46" spans="1:38" ht="16.5" x14ac:dyDescent="0.25">
      <c r="A46" s="6">
        <v>16</v>
      </c>
      <c r="B46" s="12"/>
      <c r="C46" s="13" t="s">
        <v>100</v>
      </c>
      <c r="D46" s="14" t="s">
        <v>32</v>
      </c>
      <c r="E46" s="8" t="s">
        <v>20</v>
      </c>
      <c r="F46" s="33"/>
      <c r="G46" s="38" t="s">
        <v>37</v>
      </c>
      <c r="H46" s="38" t="s">
        <v>37</v>
      </c>
      <c r="I46" s="38" t="s">
        <v>37</v>
      </c>
      <c r="J46" s="38" t="s">
        <v>37</v>
      </c>
      <c r="K46" s="38" t="s">
        <v>37</v>
      </c>
      <c r="L46" s="22"/>
      <c r="M46" s="33"/>
      <c r="N46" s="38" t="s">
        <v>37</v>
      </c>
      <c r="O46" s="38" t="s">
        <v>37</v>
      </c>
      <c r="P46" s="38" t="s">
        <v>37</v>
      </c>
      <c r="Q46" s="38" t="s">
        <v>37</v>
      </c>
      <c r="R46" s="38" t="s">
        <v>37</v>
      </c>
      <c r="S46" s="38" t="s">
        <v>37</v>
      </c>
      <c r="T46" s="33"/>
      <c r="U46" s="38" t="s">
        <v>37</v>
      </c>
      <c r="V46" s="38" t="s">
        <v>37</v>
      </c>
      <c r="W46" s="38" t="s">
        <v>37</v>
      </c>
      <c r="X46" s="38" t="s">
        <v>37</v>
      </c>
      <c r="Y46" s="38" t="s">
        <v>37</v>
      </c>
      <c r="Z46" s="38" t="s">
        <v>37</v>
      </c>
      <c r="AA46" s="33"/>
      <c r="AB46" s="38"/>
      <c r="AC46" s="38"/>
      <c r="AD46" s="38"/>
      <c r="AE46" s="38"/>
      <c r="AF46" s="38"/>
      <c r="AG46" s="38"/>
      <c r="AH46" s="33"/>
      <c r="AI46" s="38"/>
      <c r="AJ46" s="38"/>
      <c r="AK46" s="5">
        <f t="shared" si="1"/>
        <v>17</v>
      </c>
      <c r="AL46" s="5">
        <f t="shared" si="2"/>
        <v>0</v>
      </c>
    </row>
    <row r="47" spans="1:38" ht="16.5" x14ac:dyDescent="0.25">
      <c r="A47" s="10">
        <v>17</v>
      </c>
      <c r="B47" s="12"/>
      <c r="C47" s="13" t="s">
        <v>101</v>
      </c>
      <c r="D47" s="14" t="s">
        <v>27</v>
      </c>
      <c r="E47" s="8" t="s">
        <v>20</v>
      </c>
      <c r="F47" s="33"/>
      <c r="G47" s="38" t="s">
        <v>37</v>
      </c>
      <c r="H47" s="38" t="s">
        <v>37</v>
      </c>
      <c r="I47" s="38" t="s">
        <v>37</v>
      </c>
      <c r="J47" s="38" t="s">
        <v>37</v>
      </c>
      <c r="K47" s="38" t="s">
        <v>36</v>
      </c>
      <c r="L47" s="22"/>
      <c r="M47" s="33"/>
      <c r="N47" s="38" t="s">
        <v>37</v>
      </c>
      <c r="O47" s="38" t="s">
        <v>37</v>
      </c>
      <c r="P47" s="38" t="s">
        <v>37</v>
      </c>
      <c r="Q47" s="38" t="s">
        <v>37</v>
      </c>
      <c r="R47" s="38" t="s">
        <v>36</v>
      </c>
      <c r="S47" s="38" t="s">
        <v>36</v>
      </c>
      <c r="T47" s="33"/>
      <c r="U47" s="38" t="s">
        <v>36</v>
      </c>
      <c r="V47" s="38" t="s">
        <v>36</v>
      </c>
      <c r="W47" s="38" t="s">
        <v>36</v>
      </c>
      <c r="X47" s="38" t="s">
        <v>36</v>
      </c>
      <c r="Y47" s="38" t="s">
        <v>36</v>
      </c>
      <c r="Z47" s="38" t="s">
        <v>36</v>
      </c>
      <c r="AA47" s="33"/>
      <c r="AB47" s="38"/>
      <c r="AC47" s="38"/>
      <c r="AD47" s="38"/>
      <c r="AE47" s="38"/>
      <c r="AF47" s="38"/>
      <c r="AG47" s="38"/>
      <c r="AH47" s="33"/>
      <c r="AI47" s="38"/>
      <c r="AJ47" s="38"/>
      <c r="AK47" s="5">
        <f t="shared" si="1"/>
        <v>8</v>
      </c>
      <c r="AL47" s="5">
        <f t="shared" si="2"/>
        <v>9</v>
      </c>
    </row>
    <row r="48" spans="1:38" ht="16.5" x14ac:dyDescent="0.25">
      <c r="A48" s="6">
        <v>18</v>
      </c>
      <c r="B48" s="12"/>
      <c r="C48" s="13" t="s">
        <v>102</v>
      </c>
      <c r="D48" s="14" t="s">
        <v>103</v>
      </c>
      <c r="E48" s="8" t="s">
        <v>20</v>
      </c>
      <c r="F48" s="33"/>
      <c r="G48" s="38" t="s">
        <v>37</v>
      </c>
      <c r="H48" s="38" t="s">
        <v>37</v>
      </c>
      <c r="I48" s="38" t="s">
        <v>37</v>
      </c>
      <c r="J48" s="38" t="s">
        <v>37</v>
      </c>
      <c r="K48" s="38" t="s">
        <v>37</v>
      </c>
      <c r="L48" s="22"/>
      <c r="M48" s="33"/>
      <c r="N48" s="38" t="s">
        <v>37</v>
      </c>
      <c r="O48" s="38" t="s">
        <v>37</v>
      </c>
      <c r="P48" s="38" t="s">
        <v>37</v>
      </c>
      <c r="Q48" s="38" t="s">
        <v>37</v>
      </c>
      <c r="R48" s="38" t="s">
        <v>37</v>
      </c>
      <c r="S48" s="38" t="s">
        <v>37</v>
      </c>
      <c r="T48" s="33"/>
      <c r="U48" s="38" t="s">
        <v>37</v>
      </c>
      <c r="V48" s="38" t="s">
        <v>37</v>
      </c>
      <c r="W48" s="38" t="s">
        <v>37</v>
      </c>
      <c r="X48" s="38" t="s">
        <v>37</v>
      </c>
      <c r="Y48" s="38" t="s">
        <v>37</v>
      </c>
      <c r="Z48" s="38" t="s">
        <v>37</v>
      </c>
      <c r="AA48" s="33"/>
      <c r="AB48" s="38"/>
      <c r="AC48" s="38"/>
      <c r="AD48" s="38"/>
      <c r="AE48" s="38"/>
      <c r="AF48" s="38"/>
      <c r="AG48" s="38"/>
      <c r="AH48" s="33"/>
      <c r="AI48" s="38"/>
      <c r="AJ48" s="38"/>
      <c r="AK48" s="5">
        <f t="shared" si="1"/>
        <v>17</v>
      </c>
      <c r="AL48" s="5">
        <f t="shared" si="2"/>
        <v>0</v>
      </c>
    </row>
    <row r="49" spans="1:38" ht="16.5" x14ac:dyDescent="0.25">
      <c r="A49" s="10">
        <v>19</v>
      </c>
      <c r="B49" s="12"/>
      <c r="C49" s="13" t="s">
        <v>104</v>
      </c>
      <c r="D49" s="14" t="s">
        <v>105</v>
      </c>
      <c r="E49" s="8" t="s">
        <v>20</v>
      </c>
      <c r="F49" s="33"/>
      <c r="G49" s="38" t="s">
        <v>37</v>
      </c>
      <c r="H49" s="38" t="s">
        <v>37</v>
      </c>
      <c r="I49" s="38" t="s">
        <v>37</v>
      </c>
      <c r="J49" s="38" t="s">
        <v>37</v>
      </c>
      <c r="K49" s="38" t="s">
        <v>37</v>
      </c>
      <c r="L49" s="22"/>
      <c r="M49" s="33"/>
      <c r="N49" s="38" t="s">
        <v>37</v>
      </c>
      <c r="O49" s="38" t="s">
        <v>37</v>
      </c>
      <c r="P49" s="38" t="s">
        <v>37</v>
      </c>
      <c r="Q49" s="38" t="s">
        <v>37</v>
      </c>
      <c r="R49" s="38" t="s">
        <v>37</v>
      </c>
      <c r="S49" s="38" t="s">
        <v>37</v>
      </c>
      <c r="T49" s="33"/>
      <c r="U49" s="38" t="s">
        <v>37</v>
      </c>
      <c r="V49" s="38" t="s">
        <v>37</v>
      </c>
      <c r="W49" s="38" t="s">
        <v>37</v>
      </c>
      <c r="X49" s="38" t="s">
        <v>36</v>
      </c>
      <c r="Y49" s="38" t="s">
        <v>37</v>
      </c>
      <c r="Z49" s="38" t="s">
        <v>36</v>
      </c>
      <c r="AA49" s="33"/>
      <c r="AB49" s="38"/>
      <c r="AC49" s="38"/>
      <c r="AD49" s="38"/>
      <c r="AE49" s="38"/>
      <c r="AF49" s="38"/>
      <c r="AG49" s="38"/>
      <c r="AH49" s="33"/>
      <c r="AI49" s="38"/>
      <c r="AJ49" s="38"/>
      <c r="AK49" s="5">
        <f t="shared" si="1"/>
        <v>15</v>
      </c>
      <c r="AL49" s="5">
        <f t="shared" si="2"/>
        <v>2</v>
      </c>
    </row>
    <row r="50" spans="1:38" ht="16.5" x14ac:dyDescent="0.25">
      <c r="A50" s="6">
        <v>20</v>
      </c>
      <c r="B50" s="12"/>
      <c r="C50" s="13" t="s">
        <v>135</v>
      </c>
      <c r="D50" s="14" t="s">
        <v>34</v>
      </c>
      <c r="E50" s="8" t="s">
        <v>20</v>
      </c>
      <c r="F50" s="33"/>
      <c r="G50" s="38" t="s">
        <v>37</v>
      </c>
      <c r="H50" s="38" t="s">
        <v>37</v>
      </c>
      <c r="I50" s="38" t="s">
        <v>37</v>
      </c>
      <c r="J50" s="38" t="s">
        <v>37</v>
      </c>
      <c r="K50" s="38" t="s">
        <v>37</v>
      </c>
      <c r="L50" s="22"/>
      <c r="M50" s="33"/>
      <c r="N50" s="38" t="s">
        <v>37</v>
      </c>
      <c r="O50" s="38" t="s">
        <v>37</v>
      </c>
      <c r="P50" s="38" t="s">
        <v>37</v>
      </c>
      <c r="Q50" s="38" t="s">
        <v>37</v>
      </c>
      <c r="R50" s="38" t="s">
        <v>37</v>
      </c>
      <c r="S50" s="38" t="s">
        <v>37</v>
      </c>
      <c r="T50" s="33"/>
      <c r="U50" s="38" t="s">
        <v>37</v>
      </c>
      <c r="V50" s="38" t="s">
        <v>37</v>
      </c>
      <c r="W50" s="38" t="s">
        <v>37</v>
      </c>
      <c r="X50" s="38" t="s">
        <v>36</v>
      </c>
      <c r="Y50" s="38" t="s">
        <v>37</v>
      </c>
      <c r="Z50" s="38" t="s">
        <v>36</v>
      </c>
      <c r="AA50" s="33"/>
      <c r="AB50" s="38"/>
      <c r="AC50" s="38"/>
      <c r="AD50" s="38"/>
      <c r="AE50" s="38"/>
      <c r="AF50" s="38"/>
      <c r="AG50" s="38"/>
      <c r="AH50" s="33"/>
      <c r="AI50" s="38"/>
      <c r="AJ50" s="38"/>
      <c r="AK50" s="5">
        <f t="shared" si="1"/>
        <v>15</v>
      </c>
      <c r="AL50" s="5">
        <f t="shared" si="2"/>
        <v>2</v>
      </c>
    </row>
    <row r="51" spans="1:38" ht="16.5" x14ac:dyDescent="0.25">
      <c r="A51" s="10">
        <v>21</v>
      </c>
      <c r="B51" s="12"/>
      <c r="C51" s="13" t="s">
        <v>136</v>
      </c>
      <c r="D51" s="14" t="s">
        <v>41</v>
      </c>
      <c r="E51" s="8" t="s">
        <v>20</v>
      </c>
      <c r="F51" s="33"/>
      <c r="G51" s="38" t="s">
        <v>37</v>
      </c>
      <c r="H51" s="38" t="s">
        <v>37</v>
      </c>
      <c r="I51" s="38" t="s">
        <v>37</v>
      </c>
      <c r="J51" s="38" t="s">
        <v>37</v>
      </c>
      <c r="K51" s="38" t="s">
        <v>37</v>
      </c>
      <c r="L51" s="22"/>
      <c r="M51" s="33"/>
      <c r="N51" s="38" t="s">
        <v>37</v>
      </c>
      <c r="O51" s="38" t="s">
        <v>37</v>
      </c>
      <c r="P51" s="38" t="s">
        <v>37</v>
      </c>
      <c r="Q51" s="38" t="s">
        <v>37</v>
      </c>
      <c r="R51" s="38" t="s">
        <v>37</v>
      </c>
      <c r="S51" s="38" t="s">
        <v>37</v>
      </c>
      <c r="T51" s="33"/>
      <c r="U51" s="38" t="s">
        <v>37</v>
      </c>
      <c r="V51" s="38" t="s">
        <v>37</v>
      </c>
      <c r="W51" s="38" t="s">
        <v>37</v>
      </c>
      <c r="X51" s="38" t="s">
        <v>37</v>
      </c>
      <c r="Y51" s="38" t="s">
        <v>37</v>
      </c>
      <c r="Z51" s="38" t="s">
        <v>37</v>
      </c>
      <c r="AA51" s="33"/>
      <c r="AB51" s="38"/>
      <c r="AC51" s="38"/>
      <c r="AD51" s="38"/>
      <c r="AE51" s="38"/>
      <c r="AF51" s="38"/>
      <c r="AG51" s="38"/>
      <c r="AH51" s="33"/>
      <c r="AI51" s="38"/>
      <c r="AJ51" s="38"/>
      <c r="AK51" s="5">
        <f t="shared" si="1"/>
        <v>17</v>
      </c>
      <c r="AL51" s="5">
        <f t="shared" si="2"/>
        <v>0</v>
      </c>
    </row>
    <row r="52" spans="1:38" ht="16.5" x14ac:dyDescent="0.25">
      <c r="A52" s="6">
        <v>22</v>
      </c>
      <c r="B52" s="12"/>
      <c r="C52" s="13" t="s">
        <v>106</v>
      </c>
      <c r="D52" s="14" t="s">
        <v>107</v>
      </c>
      <c r="E52" s="8" t="s">
        <v>20</v>
      </c>
      <c r="F52" s="33"/>
      <c r="G52" s="38" t="s">
        <v>36</v>
      </c>
      <c r="H52" s="38" t="s">
        <v>36</v>
      </c>
      <c r="I52" s="38" t="s">
        <v>36</v>
      </c>
      <c r="J52" s="38" t="s">
        <v>36</v>
      </c>
      <c r="K52" s="38" t="s">
        <v>36</v>
      </c>
      <c r="L52" s="22"/>
      <c r="M52" s="33"/>
      <c r="N52" s="38" t="s">
        <v>36</v>
      </c>
      <c r="O52" s="38" t="s">
        <v>36</v>
      </c>
      <c r="P52" s="38" t="s">
        <v>36</v>
      </c>
      <c r="Q52" s="38" t="s">
        <v>36</v>
      </c>
      <c r="R52" s="38" t="s">
        <v>36</v>
      </c>
      <c r="S52" s="38" t="s">
        <v>36</v>
      </c>
      <c r="T52" s="33"/>
      <c r="U52" s="38" t="s">
        <v>36</v>
      </c>
      <c r="V52" s="38" t="s">
        <v>36</v>
      </c>
      <c r="W52" s="38" t="s">
        <v>36</v>
      </c>
      <c r="X52" s="38" t="s">
        <v>36</v>
      </c>
      <c r="Y52" s="38" t="s">
        <v>36</v>
      </c>
      <c r="Z52" s="38" t="s">
        <v>36</v>
      </c>
      <c r="AA52" s="33"/>
      <c r="AB52" s="38"/>
      <c r="AC52" s="38"/>
      <c r="AD52" s="38"/>
      <c r="AE52" s="38"/>
      <c r="AF52" s="38"/>
      <c r="AG52" s="38"/>
      <c r="AH52" s="33"/>
      <c r="AI52" s="38"/>
      <c r="AJ52" s="38"/>
      <c r="AK52" s="5">
        <f t="shared" si="1"/>
        <v>0</v>
      </c>
      <c r="AL52" s="5">
        <f t="shared" si="2"/>
        <v>17</v>
      </c>
    </row>
    <row r="53" spans="1:38" ht="16.5" x14ac:dyDescent="0.25">
      <c r="A53" s="10">
        <v>23</v>
      </c>
      <c r="B53" s="12"/>
      <c r="C53" s="13" t="s">
        <v>52</v>
      </c>
      <c r="D53" s="14" t="s">
        <v>108</v>
      </c>
      <c r="E53" s="8" t="s">
        <v>20</v>
      </c>
      <c r="F53" s="33"/>
      <c r="G53" s="38" t="s">
        <v>37</v>
      </c>
      <c r="H53" s="38" t="s">
        <v>37</v>
      </c>
      <c r="I53" s="38" t="s">
        <v>37</v>
      </c>
      <c r="J53" s="38" t="s">
        <v>37</v>
      </c>
      <c r="K53" s="38" t="s">
        <v>37</v>
      </c>
      <c r="L53" s="22"/>
      <c r="M53" s="33"/>
      <c r="N53" s="38" t="s">
        <v>37</v>
      </c>
      <c r="O53" s="38" t="s">
        <v>37</v>
      </c>
      <c r="P53" s="38" t="s">
        <v>37</v>
      </c>
      <c r="Q53" s="38" t="s">
        <v>37</v>
      </c>
      <c r="R53" s="38" t="s">
        <v>37</v>
      </c>
      <c r="S53" s="38" t="s">
        <v>37</v>
      </c>
      <c r="T53" s="33"/>
      <c r="U53" s="38" t="s">
        <v>37</v>
      </c>
      <c r="V53" s="38" t="s">
        <v>37</v>
      </c>
      <c r="W53" s="38" t="s">
        <v>37</v>
      </c>
      <c r="X53" s="38" t="s">
        <v>37</v>
      </c>
      <c r="Y53" s="38" t="s">
        <v>37</v>
      </c>
      <c r="Z53" s="38" t="s">
        <v>37</v>
      </c>
      <c r="AA53" s="33"/>
      <c r="AB53" s="38"/>
      <c r="AC53" s="38"/>
      <c r="AD53" s="38"/>
      <c r="AE53" s="38"/>
      <c r="AF53" s="38"/>
      <c r="AG53" s="38"/>
      <c r="AH53" s="33"/>
      <c r="AI53" s="38"/>
      <c r="AJ53" s="38"/>
      <c r="AK53" s="5">
        <f t="shared" si="1"/>
        <v>17</v>
      </c>
      <c r="AL53" s="5">
        <f t="shared" si="2"/>
        <v>0</v>
      </c>
    </row>
    <row r="54" spans="1:38" ht="16.5" x14ac:dyDescent="0.25">
      <c r="A54" s="6">
        <v>24</v>
      </c>
      <c r="B54" s="12"/>
      <c r="C54" s="13" t="s">
        <v>109</v>
      </c>
      <c r="D54" s="14" t="s">
        <v>110</v>
      </c>
      <c r="E54" s="8" t="s">
        <v>20</v>
      </c>
      <c r="F54" s="33"/>
      <c r="G54" s="38" t="s">
        <v>36</v>
      </c>
      <c r="H54" s="38" t="s">
        <v>37</v>
      </c>
      <c r="I54" s="38" t="s">
        <v>37</v>
      </c>
      <c r="J54" s="38" t="s">
        <v>37</v>
      </c>
      <c r="K54" s="38" t="s">
        <v>37</v>
      </c>
      <c r="L54" s="22"/>
      <c r="M54" s="33"/>
      <c r="N54" s="38" t="s">
        <v>37</v>
      </c>
      <c r="O54" s="38" t="s">
        <v>37</v>
      </c>
      <c r="P54" s="38" t="s">
        <v>37</v>
      </c>
      <c r="Q54" s="38" t="s">
        <v>37</v>
      </c>
      <c r="R54" s="38" t="s">
        <v>37</v>
      </c>
      <c r="S54" s="38" t="s">
        <v>37</v>
      </c>
      <c r="T54" s="33"/>
      <c r="U54" s="38" t="s">
        <v>37</v>
      </c>
      <c r="V54" s="38" t="s">
        <v>37</v>
      </c>
      <c r="W54" s="38" t="s">
        <v>36</v>
      </c>
      <c r="X54" s="38" t="s">
        <v>36</v>
      </c>
      <c r="Y54" s="38" t="s">
        <v>36</v>
      </c>
      <c r="Z54" s="38" t="s">
        <v>36</v>
      </c>
      <c r="AA54" s="33"/>
      <c r="AB54" s="38"/>
      <c r="AC54" s="38"/>
      <c r="AD54" s="38"/>
      <c r="AE54" s="38"/>
      <c r="AF54" s="38"/>
      <c r="AG54" s="38"/>
      <c r="AH54" s="33"/>
      <c r="AI54" s="38"/>
      <c r="AJ54" s="38"/>
      <c r="AK54" s="5">
        <f t="shared" si="1"/>
        <v>12</v>
      </c>
      <c r="AL54" s="5">
        <f t="shared" si="2"/>
        <v>5</v>
      </c>
    </row>
    <row r="55" spans="1:38" ht="16.5" x14ac:dyDescent="0.25">
      <c r="A55" s="10">
        <v>25</v>
      </c>
      <c r="B55" s="12"/>
      <c r="C55" s="13" t="s">
        <v>111</v>
      </c>
      <c r="D55" s="14" t="s">
        <v>105</v>
      </c>
      <c r="E55" s="8" t="s">
        <v>20</v>
      </c>
      <c r="F55" s="33"/>
      <c r="G55" s="38" t="s">
        <v>37</v>
      </c>
      <c r="H55" s="38" t="s">
        <v>37</v>
      </c>
      <c r="I55" s="38" t="s">
        <v>37</v>
      </c>
      <c r="J55" s="38" t="s">
        <v>37</v>
      </c>
      <c r="K55" s="38" t="s">
        <v>37</v>
      </c>
      <c r="L55" s="22"/>
      <c r="M55" s="33"/>
      <c r="N55" s="38" t="s">
        <v>37</v>
      </c>
      <c r="O55" s="38" t="s">
        <v>37</v>
      </c>
      <c r="P55" s="38" t="s">
        <v>37</v>
      </c>
      <c r="Q55" s="38" t="s">
        <v>37</v>
      </c>
      <c r="R55" s="38" t="s">
        <v>37</v>
      </c>
      <c r="S55" s="38" t="s">
        <v>37</v>
      </c>
      <c r="T55" s="33"/>
      <c r="U55" s="38" t="s">
        <v>37</v>
      </c>
      <c r="V55" s="38" t="s">
        <v>37</v>
      </c>
      <c r="W55" s="38" t="s">
        <v>37</v>
      </c>
      <c r="X55" s="38" t="s">
        <v>37</v>
      </c>
      <c r="Y55" s="38" t="s">
        <v>37</v>
      </c>
      <c r="Z55" s="38" t="s">
        <v>37</v>
      </c>
      <c r="AA55" s="33"/>
      <c r="AB55" s="38"/>
      <c r="AC55" s="38"/>
      <c r="AD55" s="38"/>
      <c r="AE55" s="38"/>
      <c r="AF55" s="38"/>
      <c r="AG55" s="38"/>
      <c r="AH55" s="33"/>
      <c r="AI55" s="38"/>
      <c r="AJ55" s="38"/>
      <c r="AK55" s="5">
        <f t="shared" si="1"/>
        <v>17</v>
      </c>
      <c r="AL55" s="5">
        <f t="shared" si="2"/>
        <v>0</v>
      </c>
    </row>
    <row r="56" spans="1:38" ht="16.5" x14ac:dyDescent="0.25">
      <c r="A56" s="6">
        <v>26</v>
      </c>
      <c r="B56" s="12"/>
      <c r="C56" s="13" t="s">
        <v>112</v>
      </c>
      <c r="D56" s="14" t="s">
        <v>113</v>
      </c>
      <c r="E56" s="8" t="s">
        <v>20</v>
      </c>
      <c r="F56" s="34"/>
      <c r="G56" s="38" t="s">
        <v>37</v>
      </c>
      <c r="H56" s="38" t="s">
        <v>37</v>
      </c>
      <c r="I56" s="38" t="s">
        <v>37</v>
      </c>
      <c r="J56" s="38" t="s">
        <v>37</v>
      </c>
      <c r="K56" s="38" t="s">
        <v>37</v>
      </c>
      <c r="L56" s="23"/>
      <c r="M56" s="34"/>
      <c r="N56" s="38" t="s">
        <v>37</v>
      </c>
      <c r="O56" s="38" t="s">
        <v>37</v>
      </c>
      <c r="P56" s="38" t="s">
        <v>37</v>
      </c>
      <c r="Q56" s="38" t="s">
        <v>37</v>
      </c>
      <c r="R56" s="38" t="s">
        <v>37</v>
      </c>
      <c r="S56" s="38" t="s">
        <v>37</v>
      </c>
      <c r="T56" s="34"/>
      <c r="U56" s="38" t="s">
        <v>37</v>
      </c>
      <c r="V56" s="38" t="s">
        <v>37</v>
      </c>
      <c r="W56" s="38" t="s">
        <v>37</v>
      </c>
      <c r="X56" s="38" t="s">
        <v>37</v>
      </c>
      <c r="Y56" s="38" t="s">
        <v>37</v>
      </c>
      <c r="Z56" s="38" t="s">
        <v>37</v>
      </c>
      <c r="AA56" s="34"/>
      <c r="AB56" s="38"/>
      <c r="AC56" s="38"/>
      <c r="AD56" s="38"/>
      <c r="AE56" s="38"/>
      <c r="AF56" s="38"/>
      <c r="AG56" s="38"/>
      <c r="AH56" s="34"/>
      <c r="AI56" s="38"/>
      <c r="AJ56" s="38"/>
      <c r="AK56" s="5">
        <f t="shared" si="1"/>
        <v>17</v>
      </c>
      <c r="AL56" s="5">
        <f t="shared" si="2"/>
        <v>0</v>
      </c>
    </row>
  </sheetData>
  <mergeCells count="18">
    <mergeCell ref="F5:F56"/>
    <mergeCell ref="M5:M56"/>
    <mergeCell ref="T5:T56"/>
    <mergeCell ref="AA5:AA56"/>
    <mergeCell ref="AH5:AH56"/>
    <mergeCell ref="L5:L56"/>
    <mergeCell ref="AM3:AN3"/>
    <mergeCell ref="AM8:AP8"/>
    <mergeCell ref="AM16:AP16"/>
    <mergeCell ref="A1:AL1"/>
    <mergeCell ref="A2:AL2"/>
    <mergeCell ref="A3:A4"/>
    <mergeCell ref="B3:B4"/>
    <mergeCell ref="C3:C4"/>
    <mergeCell ref="D3:D4"/>
    <mergeCell ref="E3:E4"/>
    <mergeCell ref="AK3:AK4"/>
    <mergeCell ref="AL3:AL4"/>
  </mergeCells>
  <conditionalFormatting sqref="F3:AJ4 F5:G5 T5 AA5 AH5 G6:G56 H5:K56 N5:S56 AB5:AG56 AI5:AJ56 L5:M5 U5:Z56">
    <cfRule type="expression" dxfId="31" priority="22">
      <formula>F$4=TODAY()</formula>
    </cfRule>
  </conditionalFormatting>
  <conditionalFormatting sqref="AM4:AN4 F3:AJ4 F5:G5 AH5 G6:G56 H5:K56 T5 N5:S56 AA5 AB5:AG56 AI5:AJ56 L5:M5 U5:Z56">
    <cfRule type="expression" dxfId="30" priority="31">
      <formula>F$3="Sun"</formula>
    </cfRule>
  </conditionalFormatting>
  <conditionalFormatting sqref="F5:G5 AH5 G6:G56 H5:K56 T5 N5:S56 AA5 AB5:AG56 AI5:AJ56 L5:M5 U5:Z56">
    <cfRule type="cellIs" dxfId="29" priority="23" operator="equal">
      <formula>"L"</formula>
    </cfRule>
    <cfRule type="cellIs" dxfId="28" priority="24" operator="equal">
      <formula>"A"</formula>
    </cfRule>
    <cfRule type="cellIs" dxfId="27" priority="25" operator="equal">
      <formula>"P"</formula>
    </cfRule>
  </conditionalFormatting>
  <conditionalFormatting sqref="AK3:AL3 AK5:AL30">
    <cfRule type="expression" dxfId="26" priority="32">
      <formula>#REF!="Sun"</formula>
    </cfRule>
  </conditionalFormatting>
  <conditionalFormatting sqref="AM5:AM6">
    <cfRule type="expression" dxfId="25" priority="30">
      <formula>AM$3="Sun"</formula>
    </cfRule>
  </conditionalFormatting>
  <conditionalFormatting sqref="AM9:AM12">
    <cfRule type="expression" dxfId="24" priority="28">
      <formula>AM$3="Sun"</formula>
    </cfRule>
  </conditionalFormatting>
  <conditionalFormatting sqref="AM17:AM20">
    <cfRule type="expression" dxfId="23" priority="27">
      <formula>AM$3="Sun"</formula>
    </cfRule>
  </conditionalFormatting>
  <conditionalFormatting sqref="AN9:AP9">
    <cfRule type="expression" dxfId="22" priority="29">
      <formula>AN$3="Sun"</formula>
    </cfRule>
  </conditionalFormatting>
  <conditionalFormatting sqref="AN17:AP17">
    <cfRule type="expression" dxfId="21" priority="26">
      <formula>AN$3="Sun"</formula>
    </cfRule>
  </conditionalFormatting>
  <conditionalFormatting sqref="AK31:AL56">
    <cfRule type="expression" dxfId="0" priority="21">
      <formula>#REF!="Sun"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August-2024</vt:lpstr>
      <vt:lpstr>September-2024</vt:lpstr>
      <vt:lpstr>October-2024</vt:lpstr>
      <vt:lpstr>November-2024</vt:lpstr>
      <vt:lpstr>December-2024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2025-01-06T06:43:16Z</dcterms:modified>
</cp:coreProperties>
</file>