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EF69C794-9D60-4E06-B2B4-8533D2486E3E}" xr6:coauthVersionLast="47" xr6:coauthVersionMax="47" xr10:uidLastSave="{00000000-0000-0000-0000-000000000000}"/>
  <bookViews>
    <workbookView xWindow="-120" yWindow="-120" windowWidth="20730" windowHeight="11160" firstSheet="2" activeTab="6" xr2:uid="{00000000-000D-0000-FFFF-FFFF00000000}"/>
  </bookViews>
  <sheets>
    <sheet name="August-2024" sheetId="6" r:id="rId1"/>
    <sheet name="September-2024" sheetId="5" r:id="rId2"/>
    <sheet name="October-2024" sheetId="4" r:id="rId3"/>
    <sheet name="November-2024" sheetId="3" r:id="rId4"/>
    <sheet name="December-2024" sheetId="7" r:id="rId5"/>
    <sheet name="January-2025" sheetId="2" r:id="rId6"/>
    <sheet name="February-2025" sheetId="1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7" l="1"/>
  <c r="K30" i="7"/>
  <c r="K29" i="7"/>
  <c r="K27" i="7"/>
  <c r="K26" i="7"/>
  <c r="L9" i="7"/>
  <c r="N22" i="6"/>
  <c r="O6" i="6"/>
  <c r="N24" i="5"/>
  <c r="O13" i="5"/>
  <c r="O6" i="5"/>
  <c r="N28" i="4"/>
  <c r="N26" i="4"/>
  <c r="N24" i="4"/>
  <c r="N23" i="4"/>
  <c r="N16" i="4"/>
  <c r="N15" i="4"/>
  <c r="N14" i="4"/>
  <c r="N13" i="4"/>
  <c r="N12" i="4"/>
  <c r="N11" i="4"/>
  <c r="N10" i="4"/>
  <c r="N9" i="4"/>
  <c r="N8" i="4"/>
  <c r="L31" i="3" l="1"/>
  <c r="K31" i="3"/>
  <c r="L30" i="3"/>
  <c r="K30" i="3"/>
  <c r="L29" i="3"/>
  <c r="K29" i="3"/>
  <c r="L28" i="3"/>
  <c r="L27" i="3"/>
  <c r="K27" i="3"/>
  <c r="L26" i="3"/>
  <c r="K26" i="3"/>
  <c r="L9" i="3"/>
  <c r="K30" i="2"/>
  <c r="K29" i="2"/>
  <c r="K28" i="2"/>
  <c r="K26" i="2"/>
  <c r="K25" i="2"/>
  <c r="L31" i="1"/>
  <c r="K31" i="1"/>
  <c r="K30" i="1"/>
  <c r="L29" i="1"/>
  <c r="K29" i="1"/>
  <c r="L27" i="1"/>
  <c r="K27" i="1"/>
  <c r="L26" i="1"/>
  <c r="K26" i="1"/>
  <c r="L9" i="1"/>
</calcChain>
</file>

<file path=xl/sharedStrings.xml><?xml version="1.0" encoding="utf-8"?>
<sst xmlns="http://schemas.openxmlformats.org/spreadsheetml/2006/main" count="897" uniqueCount="145">
  <si>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</si>
  <si>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</si>
  <si>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</si>
  <si>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</si>
  <si>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</si>
  <si>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</si>
  <si>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</si>
  <si>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</si>
  <si>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</si>
  <si>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</si>
  <si>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</si>
  <si>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</si>
  <si>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</si>
  <si>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</si>
  <si>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</si>
  <si>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</si>
  <si>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</si>
  <si>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</si>
  <si>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</si>
  <si>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</si>
  <si>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</si>
  <si>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</si>
  <si>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</si>
  <si>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Tooba</t>
  </si>
  <si>
    <t>Mir Muhammad</t>
  </si>
  <si>
    <t>42501-8210999-2</t>
  </si>
  <si>
    <t>0003636572792701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</si>
  <si>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</si>
  <si>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</si>
  <si>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</si>
  <si>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</si>
  <si>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</si>
  <si>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</si>
  <si>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</si>
  <si>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</si>
  <si>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</si>
  <si>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</si>
  <si>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</si>
  <si>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</si>
  <si>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</si>
  <si>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</si>
  <si>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</si>
  <si>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</si>
  <si>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Shumaila</t>
  </si>
  <si>
    <t>Habib Ur Rehman</t>
  </si>
  <si>
    <t>42501-6502056-2</t>
  </si>
  <si>
    <t>0003706594221001</t>
  </si>
  <si>
    <t>Fayyaz Muhammad</t>
  </si>
  <si>
    <t>Fida Muhammad</t>
  </si>
  <si>
    <t>IT Teacher</t>
  </si>
  <si>
    <t>42501-9517622-7</t>
  </si>
  <si>
    <t>Non-Teaching Staff</t>
  </si>
  <si>
    <t>Syeda Samiya</t>
  </si>
  <si>
    <t>Syed Nayab Naqvi</t>
  </si>
  <si>
    <t>Co-Ordinator</t>
  </si>
  <si>
    <t>41304 8178382 2</t>
  </si>
  <si>
    <t>0003936299331000</t>
  </si>
  <si>
    <t>Naeem Ahmed</t>
  </si>
  <si>
    <t>Sahab Dino</t>
  </si>
  <si>
    <t>Guard</t>
  </si>
  <si>
    <t>45203-9721947-3</t>
  </si>
  <si>
    <t>0003936386121000</t>
  </si>
  <si>
    <t>Ijaz Ahmed</t>
  </si>
  <si>
    <t>Muhammad Ali</t>
  </si>
  <si>
    <t>Gardner</t>
  </si>
  <si>
    <t>42501-5817372-7</t>
  </si>
  <si>
    <t>0003646014261000</t>
  </si>
  <si>
    <t>Nusrat</t>
  </si>
  <si>
    <t>Jhando Khan</t>
  </si>
  <si>
    <t>Cleaner</t>
  </si>
  <si>
    <t>41105-8110066-6</t>
  </si>
  <si>
    <t>Tahira Bibi</t>
  </si>
  <si>
    <t>Abdul Majeed</t>
  </si>
  <si>
    <t>Maid</t>
  </si>
  <si>
    <t>31201 6578084 1</t>
  </si>
  <si>
    <t>Haleema</t>
  </si>
  <si>
    <t>Abdul Sattar</t>
  </si>
  <si>
    <t>41105-4725771-0</t>
  </si>
  <si>
    <t>Rimsha Bibi</t>
  </si>
  <si>
    <t>31201 2460819 2</t>
  </si>
  <si>
    <t>Salary Sheet for the Month February 2025</t>
  </si>
  <si>
    <t>LHV</t>
  </si>
  <si>
    <t>Mehak</t>
  </si>
  <si>
    <t>Mohammad Asif</t>
  </si>
  <si>
    <t>42501-0437491-0</t>
  </si>
  <si>
    <t>Salary Sheet for the Month January 2025</t>
  </si>
  <si>
    <t>Montisory Director</t>
  </si>
  <si>
    <t>31201-6578084-1</t>
  </si>
  <si>
    <t>Salary Sheet for the Month November 2024</t>
  </si>
  <si>
    <t>Uzma Sheraz</t>
  </si>
  <si>
    <t>Sheraz Khan</t>
  </si>
  <si>
    <t>Montisory Teacher</t>
  </si>
  <si>
    <t>42401-1474395-4</t>
  </si>
  <si>
    <t>01230104183142</t>
  </si>
  <si>
    <t>Salary Sheet for the Month October 2024</t>
  </si>
  <si>
    <t>Shehzana</t>
  </si>
  <si>
    <t>Jamil Ur Rehman</t>
  </si>
  <si>
    <t>42301-0658911-0</t>
  </si>
  <si>
    <t>0003936570321601</t>
  </si>
  <si>
    <t>Shahdab Kanwal</t>
  </si>
  <si>
    <t>Ali Asghar</t>
  </si>
  <si>
    <t>42501-1527894-9</t>
  </si>
  <si>
    <t>0003939502581601</t>
  </si>
  <si>
    <t>42501-951762207</t>
  </si>
  <si>
    <t>Kazu</t>
  </si>
  <si>
    <t>Yousuf Panwar</t>
  </si>
  <si>
    <t>41408 8263862 8</t>
  </si>
  <si>
    <t>Salary Sheet for the Month of September 2024</t>
  </si>
  <si>
    <t>S.NO</t>
  </si>
  <si>
    <t>Father's Name/Husband Name</t>
  </si>
  <si>
    <t>Total Salary</t>
  </si>
  <si>
    <t>PD</t>
  </si>
  <si>
    <t>L</t>
  </si>
  <si>
    <t>AB</t>
  </si>
  <si>
    <t>Syeda Samiya Kazmi</t>
  </si>
  <si>
    <t>Co cor/Incharge</t>
  </si>
  <si>
    <t>Ms.Saika</t>
  </si>
  <si>
    <t>01.08.2022</t>
  </si>
  <si>
    <t>Ms.Shehzana</t>
  </si>
  <si>
    <t>Jamil-ur-Rehman</t>
  </si>
  <si>
    <t>Ms.Tooba</t>
  </si>
  <si>
    <t>Trainee</t>
  </si>
  <si>
    <t>Ms Shaila</t>
  </si>
  <si>
    <t>Ms Parwish Fatima</t>
  </si>
  <si>
    <t>29.09.2023</t>
  </si>
  <si>
    <t>Ms Shahdab Kanwal</t>
  </si>
  <si>
    <t>Ali Ashgar</t>
  </si>
  <si>
    <t xml:space="preserve">  30.10 .2023</t>
  </si>
  <si>
    <t xml:space="preserve">  42501-1527894-9</t>
  </si>
  <si>
    <t>24-09-2024</t>
  </si>
  <si>
    <t>Ms Saba</t>
  </si>
  <si>
    <t>Father's Name/Husband Nmae</t>
  </si>
  <si>
    <t>Naeem</t>
  </si>
  <si>
    <t>Gate Keeper</t>
  </si>
  <si>
    <t>Eijaz Ahmed</t>
  </si>
  <si>
    <t>Mali</t>
  </si>
  <si>
    <t>Yousuf Phanhwar</t>
  </si>
  <si>
    <t>Rimsha</t>
  </si>
  <si>
    <t>cleaner</t>
  </si>
  <si>
    <t>Rabia</t>
  </si>
  <si>
    <t>Muhammad Abbas</t>
  </si>
  <si>
    <t>15.Aug.23</t>
  </si>
  <si>
    <t>42201-05217332-2</t>
  </si>
  <si>
    <t>Salary Sheet for the Month of August 2024</t>
  </si>
  <si>
    <t>Salary Sheet for the Month December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</si>
</sst>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\-yyyy"/>
    <numFmt numFmtId="165" formatCode="_(* #,##0_);_(* \(#,##0\);_(* &quot;-&quot;??_);_(@_)"/>
    <numFmt numFmtId="166" formatCode="[$-409]d\-mmm\-yyyy;@"/>
    <numFmt numFmtId="167" formatCode="dd\-mmm\-yy"/>
    <numFmt numFmtId="168" formatCode="[$-409]d\-mmm\-yy;@"/>
  </numFmts>
  <fonts count="28">
    <font>
      <sz val="1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sz val="20"/>
      <name val="Arial"/>
    </font>
    <font>
      <sz val="9"/>
      <name val="Calibri"/>
    </font>
    <font>
      <b/>
      <sz val="9"/>
      <name val="Arial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  <scheme val="minor"/>
    </font>
    <font>
      <b/>
      <sz val="16"/>
      <color rgb="FF000000"/>
      <name val="Calibri"/>
      <family val="2"/>
      <scheme val="minor"/>
    </font>
    <font>
      <b/>
      <sz val="20"/>
      <color theme="1"/>
      <name val="Arial"/>
      <family val="2"/>
    </font>
    <font>
      <sz val="9"/>
      <color theme="1"/>
      <name val="Calibri Light"/>
      <family val="2"/>
      <scheme val="major"/>
    </font>
    <font>
      <b/>
      <sz val="9"/>
      <color theme="1"/>
      <name val="Arial"/>
      <family val="2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B9CCE4"/>
        <bgColor rgb="FFB9CCE4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B9CCE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5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left" vertical="center"/>
    </xf>
    <xf numFmtId="0" fontId="7" fillId="8" borderId="24" xfId="0" applyFont="1" applyFill="1" applyBorder="1" applyAlignment="1">
      <alignment horizontal="center" vertical="center"/>
    </xf>
    <xf numFmtId="49" fontId="8" fillId="8" borderId="24" xfId="0" applyNumberFormat="1" applyFont="1" applyFill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 vertical="center"/>
    </xf>
    <xf numFmtId="43" fontId="6" fillId="0" borderId="25" xfId="0" applyNumberFormat="1" applyFont="1" applyBorder="1"/>
    <xf numFmtId="43" fontId="6" fillId="0" borderId="0" xfId="0" applyNumberFormat="1" applyFont="1"/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64" fontId="6" fillId="0" borderId="27" xfId="0" applyNumberFormat="1" applyFont="1" applyBorder="1" applyAlignment="1">
      <alignment horizontal="left" vertical="center"/>
    </xf>
    <xf numFmtId="0" fontId="7" fillId="8" borderId="27" xfId="0" applyFont="1" applyFill="1" applyBorder="1" applyAlignment="1">
      <alignment horizontal="center" vertical="center"/>
    </xf>
    <xf numFmtId="49" fontId="8" fillId="8" borderId="27" xfId="0" applyNumberFormat="1" applyFont="1" applyFill="1" applyBorder="1" applyAlignment="1">
      <alignment horizontal="center" vertical="center"/>
    </xf>
    <xf numFmtId="165" fontId="6" fillId="0" borderId="27" xfId="0" applyNumberFormat="1" applyFont="1" applyBorder="1" applyAlignment="1">
      <alignment horizontal="center" vertical="center"/>
    </xf>
    <xf numFmtId="43" fontId="6" fillId="0" borderId="28" xfId="0" applyNumberFormat="1" applyFont="1" applyBorder="1"/>
    <xf numFmtId="0" fontId="6" fillId="0" borderId="17" xfId="0" applyFont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4" fontId="6" fillId="0" borderId="32" xfId="0" applyNumberFormat="1" applyFont="1" applyBorder="1" applyAlignment="1">
      <alignment horizontal="left" vertical="center"/>
    </xf>
    <xf numFmtId="0" fontId="7" fillId="8" borderId="32" xfId="0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65" fontId="6" fillId="0" borderId="32" xfId="0" applyNumberFormat="1" applyFont="1" applyBorder="1" applyAlignment="1">
      <alignment horizontal="center" vertical="center"/>
    </xf>
    <xf numFmtId="0" fontId="6" fillId="0" borderId="32" xfId="0" applyFont="1" applyBorder="1"/>
    <xf numFmtId="43" fontId="6" fillId="0" borderId="33" xfId="0" applyNumberFormat="1" applyFont="1" applyBorder="1"/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64" fontId="6" fillId="0" borderId="35" xfId="0" applyNumberFormat="1" applyFont="1" applyBorder="1" applyAlignment="1">
      <alignment horizontal="left" vertical="center"/>
    </xf>
    <xf numFmtId="0" fontId="7" fillId="8" borderId="35" xfId="0" applyFont="1" applyFill="1" applyBorder="1" applyAlignment="1">
      <alignment horizontal="center" vertical="center"/>
    </xf>
    <xf numFmtId="165" fontId="6" fillId="0" borderId="35" xfId="0" applyNumberFormat="1" applyFont="1" applyBorder="1" applyAlignment="1">
      <alignment horizontal="center" vertical="center"/>
    </xf>
    <xf numFmtId="43" fontId="6" fillId="0" borderId="35" xfId="0" applyNumberFormat="1" applyFont="1" applyBorder="1" applyAlignment="1">
      <alignment horizontal="center" vertical="center"/>
    </xf>
    <xf numFmtId="43" fontId="6" fillId="0" borderId="36" xfId="0" applyNumberFormat="1" applyFont="1" applyBorder="1"/>
    <xf numFmtId="0" fontId="6" fillId="0" borderId="20" xfId="0" applyFont="1" applyBorder="1" applyAlignment="1">
      <alignment horizontal="center" vertical="center"/>
    </xf>
    <xf numFmtId="165" fontId="6" fillId="0" borderId="20" xfId="0" applyNumberFormat="1" applyFont="1" applyBorder="1" applyAlignment="1">
      <alignment horizontal="center" vertical="center"/>
    </xf>
    <xf numFmtId="43" fontId="6" fillId="0" borderId="21" xfId="0" applyNumberFormat="1" applyFont="1" applyBorder="1"/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8" borderId="3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65" fontId="0" fillId="0" borderId="0" xfId="0" applyNumberFormat="1"/>
    <xf numFmtId="0" fontId="5" fillId="4" borderId="11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20" xfId="0" applyFont="1" applyBorder="1"/>
    <xf numFmtId="0" fontId="5" fillId="7" borderId="1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3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5" fillId="4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5" fillId="5" borderId="11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21" xfId="0" applyFont="1" applyBorder="1"/>
    <xf numFmtId="0" fontId="5" fillId="7" borderId="17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9" xfId="0" applyFont="1" applyBorder="1"/>
    <xf numFmtId="0" fontId="5" fillId="3" borderId="12" xfId="0" applyFont="1" applyFill="1" applyBorder="1" applyAlignment="1">
      <alignment horizont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9" borderId="40" xfId="0" applyFont="1" applyFill="1" applyBorder="1" applyAlignment="1">
      <alignment horizontal="center" vertical="center"/>
    </xf>
    <xf numFmtId="0" fontId="10" fillId="9" borderId="41" xfId="0" applyFont="1" applyFill="1" applyBorder="1" applyAlignment="1">
      <alignment horizontal="center" vertical="center"/>
    </xf>
    <xf numFmtId="0" fontId="10" fillId="9" borderId="42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/>
    </xf>
    <xf numFmtId="0" fontId="11" fillId="10" borderId="44" xfId="0" applyFont="1" applyFill="1" applyBorder="1" applyAlignment="1">
      <alignment horizontal="center"/>
    </xf>
    <xf numFmtId="0" fontId="11" fillId="10" borderId="45" xfId="0" applyFont="1" applyFill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3" fillId="11" borderId="37" xfId="0" applyFont="1" applyFill="1" applyBorder="1" applyAlignment="1">
      <alignment horizontal="center" vertical="center"/>
    </xf>
    <xf numFmtId="0" fontId="13" fillId="11" borderId="38" xfId="0" applyFont="1" applyFill="1" applyBorder="1" applyAlignment="1">
      <alignment horizontal="center" vertical="center"/>
    </xf>
    <xf numFmtId="0" fontId="13" fillId="11" borderId="38" xfId="0" applyFont="1" applyFill="1" applyBorder="1" applyAlignment="1">
      <alignment horizontal="center" vertical="center" wrapText="1"/>
    </xf>
    <xf numFmtId="0" fontId="13" fillId="10" borderId="38" xfId="0" applyFont="1" applyFill="1" applyBorder="1" applyAlignment="1">
      <alignment horizontal="center" vertical="center"/>
    </xf>
    <xf numFmtId="0" fontId="13" fillId="12" borderId="38" xfId="0" applyFont="1" applyFill="1" applyBorder="1" applyAlignment="1">
      <alignment horizontal="center" vertical="center" wrapText="1"/>
    </xf>
    <xf numFmtId="0" fontId="13" fillId="13" borderId="39" xfId="0" applyFont="1" applyFill="1" applyBorder="1" applyAlignment="1">
      <alignment horizontal="center" vertical="center" wrapText="1"/>
    </xf>
    <xf numFmtId="0" fontId="13" fillId="11" borderId="46" xfId="0" applyFont="1" applyFill="1" applyBorder="1" applyAlignment="1">
      <alignment horizontal="center" vertical="center"/>
    </xf>
    <xf numFmtId="0" fontId="13" fillId="11" borderId="47" xfId="0" applyFont="1" applyFill="1" applyBorder="1" applyAlignment="1">
      <alignment horizontal="center" vertical="center"/>
    </xf>
    <xf numFmtId="0" fontId="13" fillId="11" borderId="47" xfId="0" applyFont="1" applyFill="1" applyBorder="1" applyAlignment="1">
      <alignment horizontal="center" vertical="center" wrapText="1"/>
    </xf>
    <xf numFmtId="0" fontId="13" fillId="14" borderId="47" xfId="0" applyFont="1" applyFill="1" applyBorder="1" applyAlignment="1">
      <alignment horizontal="center" vertical="center" wrapText="1"/>
    </xf>
    <xf numFmtId="0" fontId="13" fillId="14" borderId="47" xfId="0" applyFont="1" applyFill="1" applyBorder="1" applyAlignment="1">
      <alignment horizontal="center" vertical="center"/>
    </xf>
    <xf numFmtId="0" fontId="13" fillId="12" borderId="47" xfId="0" applyFont="1" applyFill="1" applyBorder="1" applyAlignment="1">
      <alignment horizontal="center" vertical="center" wrapText="1"/>
    </xf>
    <xf numFmtId="0" fontId="13" fillId="13" borderId="48" xfId="0" applyFont="1" applyFill="1" applyBorder="1" applyAlignment="1">
      <alignment horizontal="center" vertical="center" wrapText="1"/>
    </xf>
    <xf numFmtId="0" fontId="13" fillId="11" borderId="40" xfId="0" applyFont="1" applyFill="1" applyBorder="1" applyAlignment="1">
      <alignment horizontal="center" vertical="center"/>
    </xf>
    <xf numFmtId="0" fontId="13" fillId="11" borderId="41" xfId="0" applyFont="1" applyFill="1" applyBorder="1" applyAlignment="1">
      <alignment horizontal="center" vertical="center"/>
    </xf>
    <xf numFmtId="0" fontId="13" fillId="11" borderId="41" xfId="0" applyFont="1" applyFill="1" applyBorder="1" applyAlignment="1">
      <alignment horizontal="center" vertical="center" wrapText="1"/>
    </xf>
    <xf numFmtId="0" fontId="13" fillId="14" borderId="41" xfId="0" applyFont="1" applyFill="1" applyBorder="1" applyAlignment="1">
      <alignment horizontal="center" vertical="center" wrapText="1"/>
    </xf>
    <xf numFmtId="0" fontId="13" fillId="14" borderId="41" xfId="0" applyFont="1" applyFill="1" applyBorder="1" applyAlignment="1">
      <alignment horizontal="center" vertical="center"/>
    </xf>
    <xf numFmtId="0" fontId="13" fillId="12" borderId="41" xfId="0" applyFont="1" applyFill="1" applyBorder="1" applyAlignment="1">
      <alignment horizontal="center" vertical="center" wrapText="1"/>
    </xf>
    <xf numFmtId="0" fontId="13" fillId="13" borderId="42" xfId="0" applyFont="1" applyFill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6" fontId="14" fillId="0" borderId="50" xfId="0" applyNumberFormat="1" applyFont="1" applyBorder="1" applyAlignment="1">
      <alignment horizontal="left" vertical="center"/>
    </xf>
    <xf numFmtId="0" fontId="15" fillId="15" borderId="50" xfId="0" applyFont="1" applyFill="1" applyBorder="1" applyAlignment="1">
      <alignment horizontal="center" vertical="center"/>
    </xf>
    <xf numFmtId="49" fontId="16" fillId="15" borderId="50" xfId="0" applyNumberFormat="1" applyFont="1" applyFill="1" applyBorder="1" applyAlignment="1">
      <alignment horizontal="center" vertical="center"/>
    </xf>
    <xf numFmtId="165" fontId="14" fillId="0" borderId="50" xfId="1" applyNumberFormat="1" applyFont="1" applyBorder="1" applyAlignment="1">
      <alignment horizontal="center" vertical="center"/>
    </xf>
    <xf numFmtId="43" fontId="14" fillId="0" borderId="51" xfId="0" applyNumberFormat="1" applyFont="1" applyBorder="1"/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166" fontId="14" fillId="0" borderId="47" xfId="0" applyNumberFormat="1" applyFont="1" applyBorder="1" applyAlignment="1">
      <alignment horizontal="left" vertical="center"/>
    </xf>
    <xf numFmtId="0" fontId="15" fillId="15" borderId="47" xfId="0" applyFont="1" applyFill="1" applyBorder="1" applyAlignment="1">
      <alignment horizontal="center" vertical="center"/>
    </xf>
    <xf numFmtId="49" fontId="16" fillId="15" borderId="47" xfId="0" applyNumberFormat="1" applyFont="1" applyFill="1" applyBorder="1" applyAlignment="1">
      <alignment horizontal="center" vertical="center"/>
    </xf>
    <xf numFmtId="165" fontId="14" fillId="0" borderId="47" xfId="1" applyNumberFormat="1" applyFont="1" applyBorder="1" applyAlignment="1">
      <alignment horizontal="center" vertical="center"/>
    </xf>
    <xf numFmtId="43" fontId="14" fillId="0" borderId="48" xfId="0" applyNumberFormat="1" applyFont="1" applyBorder="1"/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166" fontId="14" fillId="0" borderId="41" xfId="0" applyNumberFormat="1" applyFont="1" applyBorder="1" applyAlignment="1">
      <alignment horizontal="left" vertical="center"/>
    </xf>
    <xf numFmtId="0" fontId="15" fillId="15" borderId="41" xfId="0" applyFont="1" applyFill="1" applyBorder="1" applyAlignment="1">
      <alignment horizontal="center" vertical="center"/>
    </xf>
    <xf numFmtId="49" fontId="16" fillId="15" borderId="41" xfId="0" applyNumberFormat="1" applyFont="1" applyFill="1" applyBorder="1" applyAlignment="1">
      <alignment horizontal="center" vertical="center"/>
    </xf>
    <xf numFmtId="165" fontId="14" fillId="0" borderId="41" xfId="1" applyNumberFormat="1" applyFont="1" applyBorder="1" applyAlignment="1">
      <alignment horizontal="center" vertical="center"/>
    </xf>
    <xf numFmtId="0" fontId="14" fillId="0" borderId="41" xfId="0" applyFont="1" applyBorder="1"/>
    <xf numFmtId="43" fontId="14" fillId="0" borderId="42" xfId="0" applyNumberFormat="1" applyFont="1" applyBorder="1"/>
    <xf numFmtId="0" fontId="13" fillId="11" borderId="52" xfId="0" applyFont="1" applyFill="1" applyBorder="1" applyAlignment="1">
      <alignment horizontal="center" vertical="center" wrapText="1"/>
    </xf>
    <xf numFmtId="0" fontId="13" fillId="10" borderId="38" xfId="0" applyFont="1" applyFill="1" applyBorder="1" applyAlignment="1">
      <alignment horizontal="center"/>
    </xf>
    <xf numFmtId="0" fontId="13" fillId="12" borderId="52" xfId="0" applyFont="1" applyFill="1" applyBorder="1" applyAlignment="1">
      <alignment horizontal="center" vertical="center" wrapText="1"/>
    </xf>
    <xf numFmtId="0" fontId="13" fillId="11" borderId="53" xfId="0" applyFont="1" applyFill="1" applyBorder="1" applyAlignment="1">
      <alignment horizontal="center" vertical="center" wrapText="1"/>
    </xf>
    <xf numFmtId="0" fontId="13" fillId="14" borderId="54" xfId="0" applyFont="1" applyFill="1" applyBorder="1" applyAlignment="1">
      <alignment horizontal="center" vertical="center" wrapText="1"/>
    </xf>
    <xf numFmtId="0" fontId="13" fillId="14" borderId="54" xfId="0" applyFont="1" applyFill="1" applyBorder="1" applyAlignment="1">
      <alignment horizontal="center" vertical="center"/>
    </xf>
    <xf numFmtId="0" fontId="13" fillId="12" borderId="53" xfId="0" applyFont="1" applyFill="1" applyBorder="1" applyAlignment="1">
      <alignment horizontal="center" vertical="center" wrapText="1"/>
    </xf>
    <xf numFmtId="0" fontId="13" fillId="11" borderId="55" xfId="0" applyFont="1" applyFill="1" applyBorder="1" applyAlignment="1">
      <alignment horizontal="center" vertical="center" wrapText="1"/>
    </xf>
    <xf numFmtId="0" fontId="13" fillId="14" borderId="55" xfId="0" applyFont="1" applyFill="1" applyBorder="1" applyAlignment="1">
      <alignment horizontal="center" vertical="center" wrapText="1"/>
    </xf>
    <xf numFmtId="0" fontId="13" fillId="14" borderId="55" xfId="0" applyFont="1" applyFill="1" applyBorder="1" applyAlignment="1">
      <alignment horizontal="center" vertical="center"/>
    </xf>
    <xf numFmtId="0" fontId="13" fillId="12" borderId="55" xfId="0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66" fontId="14" fillId="0" borderId="38" xfId="0" applyNumberFormat="1" applyFont="1" applyBorder="1" applyAlignment="1">
      <alignment horizontal="left" vertical="center"/>
    </xf>
    <xf numFmtId="0" fontId="15" fillId="15" borderId="38" xfId="0" applyFont="1" applyFill="1" applyBorder="1" applyAlignment="1">
      <alignment horizontal="center" vertical="center"/>
    </xf>
    <xf numFmtId="165" fontId="14" fillId="0" borderId="38" xfId="1" applyNumberFormat="1" applyFont="1" applyBorder="1" applyAlignment="1">
      <alignment horizontal="center" vertical="center"/>
    </xf>
    <xf numFmtId="43" fontId="14" fillId="0" borderId="38" xfId="1" applyFont="1" applyBorder="1" applyAlignment="1">
      <alignment horizontal="center" vertical="center"/>
    </xf>
    <xf numFmtId="43" fontId="14" fillId="0" borderId="39" xfId="0" applyNumberFormat="1" applyFont="1" applyBorder="1"/>
    <xf numFmtId="0" fontId="14" fillId="0" borderId="54" xfId="0" applyFont="1" applyBorder="1" applyAlignment="1">
      <alignment horizontal="center" vertical="center"/>
    </xf>
    <xf numFmtId="0" fontId="15" fillId="15" borderId="54" xfId="0" applyFont="1" applyFill="1" applyBorder="1" applyAlignment="1">
      <alignment horizontal="center" vertical="center"/>
    </xf>
    <xf numFmtId="49" fontId="16" fillId="15" borderId="54" xfId="0" applyNumberFormat="1" applyFont="1" applyFill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165" fontId="14" fillId="0" borderId="55" xfId="1" applyNumberFormat="1" applyFont="1" applyBorder="1" applyAlignment="1">
      <alignment horizontal="center" vertical="center"/>
    </xf>
    <xf numFmtId="43" fontId="14" fillId="0" borderId="56" xfId="0" applyNumberFormat="1" applyFont="1" applyBorder="1"/>
    <xf numFmtId="0" fontId="5" fillId="7" borderId="30" xfId="0" applyFont="1" applyFill="1" applyBorder="1" applyAlignment="1">
      <alignment horizontal="center" vertical="center" wrapText="1"/>
    </xf>
    <xf numFmtId="0" fontId="5" fillId="7" borderId="3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left" vertical="center"/>
    </xf>
    <xf numFmtId="0" fontId="2" fillId="8" borderId="24" xfId="0" applyFont="1" applyFill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43" fontId="2" fillId="0" borderId="25" xfId="0" applyNumberFormat="1" applyFont="1" applyBorder="1"/>
    <xf numFmtId="0" fontId="2" fillId="0" borderId="26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left" vertical="center"/>
    </xf>
    <xf numFmtId="0" fontId="2" fillId="8" borderId="27" xfId="0" applyFont="1" applyFill="1" applyBorder="1" applyAlignment="1">
      <alignment horizontal="center" vertical="center"/>
    </xf>
    <xf numFmtId="165" fontId="2" fillId="0" borderId="27" xfId="0" applyNumberFormat="1" applyFont="1" applyBorder="1" applyAlignment="1">
      <alignment horizontal="center" vertical="center"/>
    </xf>
    <xf numFmtId="43" fontId="2" fillId="0" borderId="28" xfId="0" applyNumberFormat="1" applyFont="1" applyBorder="1"/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64" fontId="2" fillId="0" borderId="32" xfId="0" applyNumberFormat="1" applyFont="1" applyBorder="1" applyAlignment="1">
      <alignment horizontal="left" vertical="center"/>
    </xf>
    <xf numFmtId="0" fontId="2" fillId="8" borderId="32" xfId="0" applyFont="1" applyFill="1" applyBorder="1" applyAlignment="1">
      <alignment horizontal="center" vertical="center"/>
    </xf>
    <xf numFmtId="165" fontId="2" fillId="0" borderId="32" xfId="0" applyNumberFormat="1" applyFont="1" applyBorder="1" applyAlignment="1">
      <alignment horizontal="center" vertical="center"/>
    </xf>
    <xf numFmtId="0" fontId="2" fillId="0" borderId="32" xfId="0" applyFont="1" applyBorder="1"/>
    <xf numFmtId="43" fontId="2" fillId="0" borderId="33" xfId="0" applyNumberFormat="1" applyFont="1" applyBorder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64" fontId="2" fillId="0" borderId="35" xfId="0" applyNumberFormat="1" applyFont="1" applyBorder="1" applyAlignment="1">
      <alignment horizontal="left" vertical="center"/>
    </xf>
    <xf numFmtId="0" fontId="2" fillId="8" borderId="35" xfId="0" applyFont="1" applyFill="1" applyBorder="1" applyAlignment="1">
      <alignment horizontal="center" vertical="center"/>
    </xf>
    <xf numFmtId="165" fontId="2" fillId="0" borderId="35" xfId="0" applyNumberFormat="1" applyFont="1" applyBorder="1" applyAlignment="1">
      <alignment horizontal="center" vertical="center"/>
    </xf>
    <xf numFmtId="43" fontId="2" fillId="0" borderId="35" xfId="0" applyNumberFormat="1" applyFont="1" applyBorder="1" applyAlignment="1">
      <alignment horizontal="center" vertical="center"/>
    </xf>
    <xf numFmtId="43" fontId="2" fillId="0" borderId="36" xfId="0" applyNumberFormat="1" applyFont="1" applyBorder="1"/>
    <xf numFmtId="0" fontId="2" fillId="0" borderId="20" xfId="0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43" fontId="2" fillId="0" borderId="21" xfId="0" applyNumberFormat="1" applyFont="1" applyBorder="1"/>
    <xf numFmtId="0" fontId="17" fillId="10" borderId="43" xfId="0" applyFont="1" applyFill="1" applyBorder="1" applyAlignment="1">
      <alignment horizontal="center"/>
    </xf>
    <xf numFmtId="0" fontId="17" fillId="10" borderId="44" xfId="0" applyFont="1" applyFill="1" applyBorder="1" applyAlignment="1">
      <alignment horizontal="center"/>
    </xf>
    <xf numFmtId="0" fontId="17" fillId="10" borderId="45" xfId="0" applyFont="1" applyFill="1" applyBorder="1" applyAlignment="1">
      <alignment horizontal="center"/>
    </xf>
    <xf numFmtId="0" fontId="18" fillId="11" borderId="37" xfId="0" applyFont="1" applyFill="1" applyBorder="1" applyAlignment="1">
      <alignment horizontal="center" vertical="center"/>
    </xf>
    <xf numFmtId="0" fontId="18" fillId="11" borderId="38" xfId="0" applyFont="1" applyFill="1" applyBorder="1" applyAlignment="1">
      <alignment horizontal="center" vertical="center"/>
    </xf>
    <xf numFmtId="0" fontId="18" fillId="11" borderId="38" xfId="0" applyFont="1" applyFill="1" applyBorder="1" applyAlignment="1">
      <alignment horizontal="center" vertical="center" wrapText="1"/>
    </xf>
    <xf numFmtId="0" fontId="18" fillId="10" borderId="38" xfId="0" applyFont="1" applyFill="1" applyBorder="1" applyAlignment="1">
      <alignment horizontal="center"/>
    </xf>
    <xf numFmtId="0" fontId="18" fillId="12" borderId="38" xfId="0" applyFont="1" applyFill="1" applyBorder="1" applyAlignment="1">
      <alignment horizontal="center" vertical="center" wrapText="1"/>
    </xf>
    <xf numFmtId="0" fontId="18" fillId="13" borderId="39" xfId="0" applyFont="1" applyFill="1" applyBorder="1" applyAlignment="1">
      <alignment horizontal="center" vertical="center" wrapText="1"/>
    </xf>
    <xf numFmtId="0" fontId="18" fillId="11" borderId="46" xfId="0" applyFont="1" applyFill="1" applyBorder="1" applyAlignment="1">
      <alignment horizontal="center" vertical="center"/>
    </xf>
    <xf numFmtId="0" fontId="18" fillId="11" borderId="47" xfId="0" applyFont="1" applyFill="1" applyBorder="1" applyAlignment="1">
      <alignment horizontal="center" vertical="center"/>
    </xf>
    <xf numFmtId="0" fontId="18" fillId="11" borderId="47" xfId="0" applyFont="1" applyFill="1" applyBorder="1" applyAlignment="1">
      <alignment horizontal="center" vertical="center" wrapText="1"/>
    </xf>
    <xf numFmtId="0" fontId="18" fillId="14" borderId="47" xfId="0" applyFont="1" applyFill="1" applyBorder="1" applyAlignment="1">
      <alignment horizontal="center" wrapText="1"/>
    </xf>
    <xf numFmtId="0" fontId="18" fillId="14" borderId="47" xfId="0" applyFont="1" applyFill="1" applyBorder="1" applyAlignment="1">
      <alignment horizontal="center" vertical="center" wrapText="1"/>
    </xf>
    <xf numFmtId="0" fontId="18" fillId="14" borderId="47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 wrapText="1"/>
    </xf>
    <xf numFmtId="0" fontId="18" fillId="13" borderId="48" xfId="0" applyFont="1" applyFill="1" applyBorder="1" applyAlignment="1">
      <alignment horizontal="center" vertical="center" wrapText="1"/>
    </xf>
    <xf numFmtId="0" fontId="18" fillId="11" borderId="40" xfId="0" applyFont="1" applyFill="1" applyBorder="1" applyAlignment="1">
      <alignment horizontal="center" vertical="center"/>
    </xf>
    <xf numFmtId="0" fontId="18" fillId="11" borderId="41" xfId="0" applyFont="1" applyFill="1" applyBorder="1" applyAlignment="1">
      <alignment horizontal="center" vertical="center"/>
    </xf>
    <xf numFmtId="0" fontId="18" fillId="11" borderId="41" xfId="0" applyFont="1" applyFill="1" applyBorder="1" applyAlignment="1">
      <alignment horizontal="center" vertical="center" wrapText="1"/>
    </xf>
    <xf numFmtId="0" fontId="18" fillId="14" borderId="41" xfId="0" applyFont="1" applyFill="1" applyBorder="1" applyAlignment="1">
      <alignment horizontal="center" wrapText="1"/>
    </xf>
    <xf numFmtId="0" fontId="18" fillId="14" borderId="41" xfId="0" applyFont="1" applyFill="1" applyBorder="1" applyAlignment="1">
      <alignment horizontal="center" vertical="center" wrapText="1"/>
    </xf>
    <xf numFmtId="0" fontId="18" fillId="14" borderId="41" xfId="0" applyFont="1" applyFill="1" applyBorder="1" applyAlignment="1">
      <alignment horizontal="center" vertical="center"/>
    </xf>
    <xf numFmtId="0" fontId="18" fillId="12" borderId="41" xfId="0" applyFont="1" applyFill="1" applyBorder="1" applyAlignment="1">
      <alignment horizontal="center" vertical="center" wrapText="1"/>
    </xf>
    <xf numFmtId="0" fontId="18" fillId="13" borderId="42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166" fontId="19" fillId="0" borderId="38" xfId="0" applyNumberFormat="1" applyFont="1" applyBorder="1" applyAlignment="1">
      <alignment horizontal="center" vertical="center"/>
    </xf>
    <xf numFmtId="0" fontId="20" fillId="15" borderId="38" xfId="0" applyFont="1" applyFill="1" applyBorder="1" applyAlignment="1">
      <alignment horizontal="center" vertical="center"/>
    </xf>
    <xf numFmtId="49" fontId="21" fillId="15" borderId="38" xfId="0" applyNumberFormat="1" applyFont="1" applyFill="1" applyBorder="1" applyAlignment="1">
      <alignment horizontal="center" vertical="center"/>
    </xf>
    <xf numFmtId="165" fontId="19" fillId="0" borderId="38" xfId="1" applyNumberFormat="1" applyFont="1" applyBorder="1" applyAlignment="1">
      <alignment horizontal="center" vertical="center"/>
    </xf>
    <xf numFmtId="43" fontId="19" fillId="0" borderId="39" xfId="0" applyNumberFormat="1" applyFont="1" applyBorder="1"/>
    <xf numFmtId="0" fontId="19" fillId="0" borderId="46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166" fontId="19" fillId="0" borderId="47" xfId="0" applyNumberFormat="1" applyFont="1" applyBorder="1" applyAlignment="1">
      <alignment horizontal="center" vertical="center"/>
    </xf>
    <xf numFmtId="0" fontId="20" fillId="15" borderId="47" xfId="0" applyFont="1" applyFill="1" applyBorder="1" applyAlignment="1">
      <alignment horizontal="center" vertical="center"/>
    </xf>
    <xf numFmtId="49" fontId="21" fillId="15" borderId="47" xfId="0" applyNumberFormat="1" applyFont="1" applyFill="1" applyBorder="1" applyAlignment="1">
      <alignment horizontal="center" vertical="center"/>
    </xf>
    <xf numFmtId="165" fontId="19" fillId="0" borderId="47" xfId="1" applyNumberFormat="1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43" fontId="19" fillId="0" borderId="51" xfId="0" applyNumberFormat="1" applyFont="1" applyBorder="1"/>
    <xf numFmtId="0" fontId="19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166" fontId="19" fillId="0" borderId="41" xfId="0" applyNumberFormat="1" applyFont="1" applyBorder="1" applyAlignment="1">
      <alignment horizontal="center" vertical="center"/>
    </xf>
    <xf numFmtId="0" fontId="20" fillId="15" borderId="41" xfId="0" applyFont="1" applyFill="1" applyBorder="1" applyAlignment="1">
      <alignment horizontal="center" vertical="center"/>
    </xf>
    <xf numFmtId="49" fontId="21" fillId="15" borderId="41" xfId="0" applyNumberFormat="1" applyFont="1" applyFill="1" applyBorder="1" applyAlignment="1">
      <alignment horizontal="center" vertical="center"/>
    </xf>
    <xf numFmtId="165" fontId="19" fillId="0" borderId="41" xfId="1" applyNumberFormat="1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41" xfId="0" applyFont="1" applyBorder="1"/>
    <xf numFmtId="43" fontId="19" fillId="0" borderId="56" xfId="0" applyNumberFormat="1" applyFont="1" applyBorder="1"/>
    <xf numFmtId="43" fontId="19" fillId="0" borderId="48" xfId="0" applyNumberFormat="1" applyFont="1" applyBorder="1"/>
    <xf numFmtId="43" fontId="19" fillId="0" borderId="42" xfId="0" applyNumberFormat="1" applyFont="1" applyBorder="1"/>
    <xf numFmtId="0" fontId="10" fillId="0" borderId="5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9" borderId="58" xfId="0" applyFont="1" applyFill="1" applyBorder="1" applyAlignment="1">
      <alignment horizontal="center" vertical="center"/>
    </xf>
    <xf numFmtId="0" fontId="10" fillId="9" borderId="59" xfId="0" applyFont="1" applyFill="1" applyBorder="1" applyAlignment="1">
      <alignment horizontal="center" vertical="center"/>
    </xf>
    <xf numFmtId="0" fontId="10" fillId="9" borderId="60" xfId="0" applyFont="1" applyFill="1" applyBorder="1" applyAlignment="1">
      <alignment horizontal="center" vertical="center"/>
    </xf>
    <xf numFmtId="0" fontId="23" fillId="9" borderId="54" xfId="0" applyFont="1" applyFill="1" applyBorder="1" applyAlignment="1">
      <alignment horizontal="center" vertical="center"/>
    </xf>
    <xf numFmtId="0" fontId="23" fillId="9" borderId="54" xfId="0" applyFont="1" applyFill="1" applyBorder="1" applyAlignment="1">
      <alignment horizontal="center" vertical="center" wrapText="1"/>
    </xf>
    <xf numFmtId="0" fontId="23" fillId="9" borderId="58" xfId="0" applyFont="1" applyFill="1" applyBorder="1" applyAlignment="1">
      <alignment horizontal="center" vertical="center"/>
    </xf>
    <xf numFmtId="0" fontId="23" fillId="9" borderId="59" xfId="0" applyFont="1" applyFill="1" applyBorder="1" applyAlignment="1">
      <alignment horizontal="center" vertical="center"/>
    </xf>
    <xf numFmtId="0" fontId="23" fillId="9" borderId="60" xfId="0" applyFont="1" applyFill="1" applyBorder="1" applyAlignment="1">
      <alignment horizontal="center" vertical="center"/>
    </xf>
    <xf numFmtId="0" fontId="23" fillId="9" borderId="50" xfId="0" applyFont="1" applyFill="1" applyBorder="1" applyAlignment="1">
      <alignment horizontal="center" vertical="center"/>
    </xf>
    <xf numFmtId="0" fontId="23" fillId="9" borderId="50" xfId="0" applyFont="1" applyFill="1" applyBorder="1" applyAlignment="1">
      <alignment horizontal="center" vertical="center" wrapText="1"/>
    </xf>
    <xf numFmtId="0" fontId="24" fillId="9" borderId="47" xfId="0" applyFont="1" applyFill="1" applyBorder="1" applyAlignment="1">
      <alignment horizontal="center" vertical="center" wrapText="1"/>
    </xf>
    <xf numFmtId="0" fontId="23" fillId="9" borderId="47" xfId="0" applyFont="1" applyFill="1" applyBorder="1" applyAlignment="1">
      <alignment horizontal="center" vertical="center" wrapText="1"/>
    </xf>
    <xf numFmtId="0" fontId="23" fillId="9" borderId="47" xfId="0" applyFont="1" applyFill="1" applyBorder="1" applyAlignment="1">
      <alignment horizontal="center" vertical="center"/>
    </xf>
    <xf numFmtId="0" fontId="22" fillId="15" borderId="47" xfId="0" applyFont="1" applyFill="1" applyBorder="1" applyAlignment="1">
      <alignment horizontal="center" vertical="center"/>
    </xf>
    <xf numFmtId="0" fontId="25" fillId="15" borderId="47" xfId="0" applyFont="1" applyFill="1" applyBorder="1" applyAlignment="1">
      <alignment horizontal="center" vertical="center"/>
    </xf>
    <xf numFmtId="3" fontId="22" fillId="15" borderId="47" xfId="0" applyNumberFormat="1" applyFont="1" applyFill="1" applyBorder="1" applyAlignment="1">
      <alignment horizontal="center" vertical="center"/>
    </xf>
    <xf numFmtId="167" fontId="22" fillId="15" borderId="47" xfId="0" applyNumberFormat="1" applyFont="1" applyFill="1" applyBorder="1" applyAlignment="1">
      <alignment horizontal="center" vertical="center"/>
    </xf>
    <xf numFmtId="49" fontId="22" fillId="15" borderId="47" xfId="0" applyNumberFormat="1" applyFont="1" applyFill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168" fontId="22" fillId="15" borderId="4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6" fillId="16" borderId="58" xfId="0" applyFont="1" applyFill="1" applyBorder="1" applyAlignment="1">
      <alignment horizontal="center" vertical="center"/>
    </xf>
    <xf numFmtId="0" fontId="26" fillId="16" borderId="59" xfId="0" applyFont="1" applyFill="1" applyBorder="1" applyAlignment="1">
      <alignment horizontal="center" vertical="center"/>
    </xf>
    <xf numFmtId="0" fontId="26" fillId="16" borderId="60" xfId="0" applyFont="1" applyFill="1" applyBorder="1" applyAlignment="1">
      <alignment horizontal="center" vertical="center"/>
    </xf>
    <xf numFmtId="0" fontId="27" fillId="15" borderId="47" xfId="0" applyFont="1" applyFill="1" applyBorder="1" applyAlignment="1">
      <alignment horizontal="center" vertical="center" wrapText="1"/>
    </xf>
    <xf numFmtId="0" fontId="22" fillId="15" borderId="47" xfId="0" applyFont="1" applyFill="1" applyBorder="1" applyAlignment="1">
      <alignment horizontal="center" vertical="center" wrapText="1"/>
    </xf>
    <xf numFmtId="165" fontId="22" fillId="15" borderId="47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2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Government-High-School\Sindhi%20Muslim\Staff%20Record\Staff%20Record%20-%20Oct-2024.xlsx" TargetMode="External"/><Relationship Id="rId1" Type="http://schemas.openxmlformats.org/officeDocument/2006/relationships/externalLinkPath" Target="/Government-High-School/Sindhi%20Muslim/Staff%20Record/Staff%20Record%20-%20Oct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andance"/>
      <sheetName val="Salary Sheet"/>
    </sheetNames>
    <sheetDataSet>
      <sheetData sheetId="0" refreshError="1">
        <row r="5">
          <cell r="AK5">
            <v>0</v>
          </cell>
        </row>
        <row r="20">
          <cell r="AJ20">
            <v>0</v>
          </cell>
        </row>
        <row r="21">
          <cell r="AJ21">
            <v>0</v>
          </cell>
        </row>
        <row r="23">
          <cell r="AJ23">
            <v>0</v>
          </cell>
        </row>
        <row r="24">
          <cell r="AJ24">
            <v>0</v>
          </cell>
        </row>
        <row r="25">
          <cell r="AJ25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0387-177C-4383-808D-A91857999AFD}">
  <dimension ref="A1:O22"/>
  <sheetViews>
    <sheetView topLeftCell="B1" workbookViewId="0">
      <selection activeCell="B20" sqref="B20"/>
    </sheetView>
  </sheetViews>
  <sheetFormatPr defaultRowHeight="15"/>
  <cols>
    <col min="1" max="1" width="5.42578125" bestFit="1" customWidth="1"/>
    <col min="2" max="2" width="19" bestFit="1" customWidth="1"/>
    <col min="3" max="3" width="28.7109375" bestFit="1" customWidth="1"/>
    <col min="4" max="4" width="8.42578125" bestFit="1" customWidth="1"/>
    <col min="5" max="5" width="14.28515625" bestFit="1" customWidth="1"/>
    <col min="6" max="6" width="15" bestFit="1" customWidth="1"/>
    <col min="7" max="7" width="13.5703125" bestFit="1" customWidth="1"/>
    <col min="8" max="8" width="16.5703125" bestFit="1" customWidth="1"/>
    <col min="9" max="9" width="17.28515625" bestFit="1" customWidth="1"/>
    <col min="10" max="10" width="8.85546875" bestFit="1" customWidth="1"/>
    <col min="11" max="11" width="3.42578125" bestFit="1" customWidth="1"/>
    <col min="12" max="12" width="3" bestFit="1" customWidth="1"/>
    <col min="13" max="13" width="3.42578125" bestFit="1" customWidth="1"/>
    <col min="14" max="14" width="12.42578125" customWidth="1"/>
    <col min="15" max="15" width="11.140625" bestFit="1" customWidth="1"/>
  </cols>
  <sheetData>
    <row r="1" spans="1:15" ht="21">
      <c r="A1" s="228" t="s">
        <v>143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9"/>
    </row>
    <row r="2" spans="1:15" ht="21">
      <c r="A2" s="230" t="s">
        <v>0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2"/>
    </row>
    <row r="3" spans="1:15" ht="21">
      <c r="A3" s="230" t="s">
        <v>1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</row>
    <row r="4" spans="1:15">
      <c r="A4" s="233" t="s">
        <v>108</v>
      </c>
      <c r="B4" s="233" t="s">
        <v>2</v>
      </c>
      <c r="C4" s="234" t="s">
        <v>109</v>
      </c>
      <c r="D4" s="233" t="s">
        <v>5</v>
      </c>
      <c r="E4" s="234" t="s">
        <v>6</v>
      </c>
      <c r="F4" s="233" t="s">
        <v>4</v>
      </c>
      <c r="G4" s="234" t="s">
        <v>9</v>
      </c>
      <c r="H4" s="233" t="s">
        <v>7</v>
      </c>
      <c r="I4" s="233" t="s">
        <v>8</v>
      </c>
      <c r="J4" s="235" t="s">
        <v>10</v>
      </c>
      <c r="K4" s="236"/>
      <c r="L4" s="236"/>
      <c r="M4" s="237"/>
      <c r="N4" s="234" t="s">
        <v>11</v>
      </c>
      <c r="O4" s="234" t="s">
        <v>110</v>
      </c>
    </row>
    <row r="5" spans="1:15">
      <c r="A5" s="238"/>
      <c r="B5" s="238"/>
      <c r="C5" s="239"/>
      <c r="D5" s="238"/>
      <c r="E5" s="239"/>
      <c r="F5" s="238"/>
      <c r="G5" s="239"/>
      <c r="H5" s="238"/>
      <c r="I5" s="238"/>
      <c r="J5" s="240" t="s">
        <v>13</v>
      </c>
      <c r="K5" s="241" t="s">
        <v>111</v>
      </c>
      <c r="L5" s="242" t="s">
        <v>112</v>
      </c>
      <c r="M5" s="242" t="s">
        <v>113</v>
      </c>
      <c r="N5" s="239"/>
      <c r="O5" s="239"/>
    </row>
    <row r="6" spans="1:15">
      <c r="A6" s="243">
        <v>1</v>
      </c>
      <c r="B6" s="244" t="s">
        <v>114</v>
      </c>
      <c r="C6" s="245" t="s">
        <v>53</v>
      </c>
      <c r="D6" s="243" t="s">
        <v>20</v>
      </c>
      <c r="E6" s="246">
        <v>44475</v>
      </c>
      <c r="F6" s="243" t="s">
        <v>115</v>
      </c>
      <c r="G6" s="243">
        <v>60000</v>
      </c>
      <c r="H6" s="243" t="s">
        <v>55</v>
      </c>
      <c r="I6" s="247" t="s">
        <v>56</v>
      </c>
      <c r="J6" s="245">
        <v>30</v>
      </c>
      <c r="K6" s="243">
        <v>30</v>
      </c>
      <c r="L6" s="248">
        <v>0</v>
      </c>
      <c r="M6" s="248">
        <v>0</v>
      </c>
      <c r="N6" s="248">
        <v>25000</v>
      </c>
      <c r="O6" s="248">
        <f>G6+N6</f>
        <v>85000</v>
      </c>
    </row>
    <row r="7" spans="1:15">
      <c r="A7" s="243">
        <v>2</v>
      </c>
      <c r="B7" s="244" t="s">
        <v>116</v>
      </c>
      <c r="C7" s="244" t="s">
        <v>18</v>
      </c>
      <c r="D7" s="244" t="s">
        <v>20</v>
      </c>
      <c r="E7" s="249" t="s">
        <v>117</v>
      </c>
      <c r="F7" s="244" t="s">
        <v>19</v>
      </c>
      <c r="G7" s="245">
        <v>22000</v>
      </c>
      <c r="H7" s="244" t="s">
        <v>21</v>
      </c>
      <c r="I7" s="247" t="s">
        <v>22</v>
      </c>
      <c r="J7" s="243">
        <v>30</v>
      </c>
      <c r="K7" s="243">
        <v>30</v>
      </c>
      <c r="L7" s="243">
        <v>0</v>
      </c>
      <c r="M7" s="243">
        <v>0</v>
      </c>
      <c r="N7" s="243">
        <v>0</v>
      </c>
      <c r="O7" s="243">
        <v>22000</v>
      </c>
    </row>
    <row r="8" spans="1:15">
      <c r="A8" s="243">
        <v>3</v>
      </c>
      <c r="B8" s="244" t="s">
        <v>118</v>
      </c>
      <c r="C8" s="243" t="s">
        <v>119</v>
      </c>
      <c r="D8" s="243" t="s">
        <v>20</v>
      </c>
      <c r="E8" s="249" t="s">
        <v>117</v>
      </c>
      <c r="F8" s="244" t="s">
        <v>19</v>
      </c>
      <c r="G8" s="245">
        <v>18000</v>
      </c>
      <c r="H8" s="244" t="s">
        <v>97</v>
      </c>
      <c r="I8" s="247" t="s">
        <v>98</v>
      </c>
      <c r="J8" s="243">
        <v>30</v>
      </c>
      <c r="K8" s="243">
        <v>30</v>
      </c>
      <c r="L8" s="243">
        <v>0</v>
      </c>
      <c r="M8" s="243">
        <v>0</v>
      </c>
      <c r="N8" s="243">
        <v>0</v>
      </c>
      <c r="O8" s="243">
        <v>18000</v>
      </c>
    </row>
    <row r="9" spans="1:15">
      <c r="A9" s="243">
        <v>4</v>
      </c>
      <c r="B9" s="243" t="s">
        <v>120</v>
      </c>
      <c r="C9" s="243" t="s">
        <v>24</v>
      </c>
      <c r="D9" s="243" t="s">
        <v>20</v>
      </c>
      <c r="E9" s="249" t="s">
        <v>117</v>
      </c>
      <c r="F9" s="244" t="s">
        <v>121</v>
      </c>
      <c r="G9" s="245">
        <v>15000</v>
      </c>
      <c r="H9" s="243" t="s">
        <v>25</v>
      </c>
      <c r="I9" s="247" t="s">
        <v>26</v>
      </c>
      <c r="J9" s="243">
        <v>30</v>
      </c>
      <c r="K9" s="243">
        <v>30</v>
      </c>
      <c r="L9" s="243">
        <v>0</v>
      </c>
      <c r="M9" s="243">
        <v>0</v>
      </c>
      <c r="N9" s="243">
        <v>0</v>
      </c>
      <c r="O9" s="243">
        <v>15000</v>
      </c>
    </row>
    <row r="10" spans="1:15">
      <c r="A10" s="243">
        <v>6</v>
      </c>
      <c r="B10" s="243" t="s">
        <v>123</v>
      </c>
      <c r="C10" s="243" t="s">
        <v>28</v>
      </c>
      <c r="D10" s="243" t="s">
        <v>20</v>
      </c>
      <c r="E10" s="249" t="s">
        <v>124</v>
      </c>
      <c r="F10" s="243" t="s">
        <v>121</v>
      </c>
      <c r="G10" s="245">
        <v>15000</v>
      </c>
      <c r="H10" s="243" t="s">
        <v>29</v>
      </c>
      <c r="I10" s="247" t="s">
        <v>30</v>
      </c>
      <c r="J10" s="243">
        <v>30</v>
      </c>
      <c r="K10" s="243">
        <v>30</v>
      </c>
      <c r="L10" s="243">
        <v>0</v>
      </c>
      <c r="M10" s="243">
        <v>0</v>
      </c>
      <c r="N10" s="243">
        <v>0</v>
      </c>
      <c r="O10" s="243">
        <v>15000</v>
      </c>
    </row>
    <row r="11" spans="1:15">
      <c r="A11" s="243">
        <v>7</v>
      </c>
      <c r="B11" s="243" t="s">
        <v>125</v>
      </c>
      <c r="C11" s="243" t="s">
        <v>126</v>
      </c>
      <c r="D11" s="243" t="s">
        <v>20</v>
      </c>
      <c r="E11" s="249" t="s">
        <v>127</v>
      </c>
      <c r="F11" s="243" t="s">
        <v>121</v>
      </c>
      <c r="G11" s="245">
        <v>15000</v>
      </c>
      <c r="H11" s="243" t="s">
        <v>128</v>
      </c>
      <c r="I11" s="247" t="s">
        <v>102</v>
      </c>
      <c r="J11" s="243">
        <v>30</v>
      </c>
      <c r="K11" s="243">
        <v>30</v>
      </c>
      <c r="L11" s="243">
        <v>0</v>
      </c>
      <c r="M11" s="243">
        <v>0</v>
      </c>
      <c r="N11" s="243">
        <v>0</v>
      </c>
      <c r="O11" s="243">
        <v>15000</v>
      </c>
    </row>
    <row r="12" spans="1:15">
      <c r="A12" s="243">
        <v>9</v>
      </c>
      <c r="B12" s="243" t="s">
        <v>130</v>
      </c>
      <c r="C12" s="243" t="s">
        <v>32</v>
      </c>
      <c r="D12" s="243" t="s">
        <v>20</v>
      </c>
      <c r="E12" s="249">
        <v>45323</v>
      </c>
      <c r="F12" s="243" t="s">
        <v>19</v>
      </c>
      <c r="G12" s="245">
        <v>25000</v>
      </c>
      <c r="H12" s="243" t="s">
        <v>33</v>
      </c>
      <c r="I12" s="247" t="s">
        <v>34</v>
      </c>
      <c r="J12" s="243">
        <v>30</v>
      </c>
      <c r="K12" s="243">
        <v>30</v>
      </c>
      <c r="L12" s="243">
        <v>0</v>
      </c>
      <c r="M12" s="243">
        <v>0</v>
      </c>
      <c r="N12" s="243">
        <v>0</v>
      </c>
      <c r="O12" s="243">
        <v>25000</v>
      </c>
    </row>
    <row r="13" spans="1:15">
      <c r="A13" s="250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</row>
    <row r="14" spans="1:15" ht="26.25">
      <c r="A14" s="251" t="s">
        <v>51</v>
      </c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3"/>
    </row>
    <row r="15" spans="1:15">
      <c r="A15" s="233" t="s">
        <v>108</v>
      </c>
      <c r="B15" s="233" t="s">
        <v>2</v>
      </c>
      <c r="C15" s="234" t="s">
        <v>131</v>
      </c>
      <c r="D15" s="233" t="s">
        <v>5</v>
      </c>
      <c r="E15" s="234" t="s">
        <v>6</v>
      </c>
      <c r="F15" s="233" t="s">
        <v>4</v>
      </c>
      <c r="G15" s="234" t="s">
        <v>9</v>
      </c>
      <c r="H15" s="233" t="s">
        <v>7</v>
      </c>
      <c r="I15" s="233" t="s">
        <v>8</v>
      </c>
      <c r="J15" s="235" t="s">
        <v>10</v>
      </c>
      <c r="K15" s="236"/>
      <c r="L15" s="236"/>
      <c r="M15" s="237"/>
      <c r="N15" s="234" t="s">
        <v>11</v>
      </c>
      <c r="O15" s="234" t="s">
        <v>110</v>
      </c>
    </row>
    <row r="16" spans="1:15">
      <c r="A16" s="238"/>
      <c r="B16" s="238"/>
      <c r="C16" s="239"/>
      <c r="D16" s="238"/>
      <c r="E16" s="239"/>
      <c r="F16" s="238"/>
      <c r="G16" s="239"/>
      <c r="H16" s="238"/>
      <c r="I16" s="238"/>
      <c r="J16" s="240" t="s">
        <v>13</v>
      </c>
      <c r="K16" s="241" t="s">
        <v>111</v>
      </c>
      <c r="L16" s="242" t="s">
        <v>112</v>
      </c>
      <c r="M16" s="242" t="s">
        <v>113</v>
      </c>
      <c r="N16" s="239"/>
      <c r="O16" s="239"/>
    </row>
    <row r="17" spans="1:15">
      <c r="A17" s="243">
        <v>1</v>
      </c>
      <c r="B17" s="243" t="s">
        <v>132</v>
      </c>
      <c r="C17" s="243" t="s">
        <v>58</v>
      </c>
      <c r="D17" s="243" t="s">
        <v>20</v>
      </c>
      <c r="E17" s="246">
        <v>45468</v>
      </c>
      <c r="F17" s="243" t="s">
        <v>133</v>
      </c>
      <c r="G17" s="245">
        <v>24000</v>
      </c>
      <c r="H17" s="243" t="s">
        <v>60</v>
      </c>
      <c r="I17" s="243" t="s">
        <v>38</v>
      </c>
      <c r="J17" s="254">
        <v>30</v>
      </c>
      <c r="K17" s="255">
        <v>30</v>
      </c>
      <c r="L17" s="243">
        <v>0</v>
      </c>
      <c r="M17" s="243">
        <v>0</v>
      </c>
      <c r="N17" s="256">
        <v>24000</v>
      </c>
      <c r="O17" s="243"/>
    </row>
    <row r="18" spans="1:15">
      <c r="A18" s="243">
        <v>3</v>
      </c>
      <c r="B18" s="243" t="s">
        <v>134</v>
      </c>
      <c r="C18" s="243" t="s">
        <v>63</v>
      </c>
      <c r="D18" s="249" t="s">
        <v>20</v>
      </c>
      <c r="E18" s="246">
        <v>45505</v>
      </c>
      <c r="F18" s="243" t="s">
        <v>135</v>
      </c>
      <c r="G18" s="245">
        <v>8000</v>
      </c>
      <c r="H18" s="243" t="s">
        <v>65</v>
      </c>
      <c r="I18" s="243" t="s">
        <v>38</v>
      </c>
      <c r="J18" s="243">
        <v>30</v>
      </c>
      <c r="K18" s="245">
        <v>30</v>
      </c>
      <c r="L18" s="243">
        <v>0</v>
      </c>
      <c r="M18" s="243">
        <v>0</v>
      </c>
      <c r="N18" s="256">
        <v>8000</v>
      </c>
      <c r="O18" s="243"/>
    </row>
    <row r="19" spans="1:15">
      <c r="A19" s="243">
        <v>2</v>
      </c>
      <c r="B19" s="243" t="s">
        <v>104</v>
      </c>
      <c r="C19" s="243" t="s">
        <v>136</v>
      </c>
      <c r="D19" s="243" t="s">
        <v>20</v>
      </c>
      <c r="E19" s="246">
        <v>44743</v>
      </c>
      <c r="F19" s="243" t="s">
        <v>73</v>
      </c>
      <c r="G19" s="245">
        <v>15000</v>
      </c>
      <c r="H19" s="243" t="s">
        <v>106</v>
      </c>
      <c r="I19" s="243" t="s">
        <v>38</v>
      </c>
      <c r="J19" s="254">
        <v>30</v>
      </c>
      <c r="K19" s="255">
        <v>30</v>
      </c>
      <c r="L19" s="243">
        <v>0</v>
      </c>
      <c r="M19" s="243">
        <v>0</v>
      </c>
      <c r="N19" s="256">
        <v>15000</v>
      </c>
      <c r="O19" s="243"/>
    </row>
    <row r="20" spans="1:15">
      <c r="A20" s="243">
        <v>4</v>
      </c>
      <c r="B20" s="243" t="s">
        <v>71</v>
      </c>
      <c r="C20" s="243" t="s">
        <v>72</v>
      </c>
      <c r="D20" s="243" t="s">
        <v>20</v>
      </c>
      <c r="E20" s="249">
        <v>44967</v>
      </c>
      <c r="F20" s="243" t="s">
        <v>73</v>
      </c>
      <c r="G20" s="245">
        <v>15000</v>
      </c>
      <c r="H20" s="243" t="s">
        <v>74</v>
      </c>
      <c r="I20" s="243" t="s">
        <v>38</v>
      </c>
      <c r="J20" s="243">
        <v>30</v>
      </c>
      <c r="K20" s="243">
        <v>30</v>
      </c>
      <c r="L20" s="243">
        <v>0</v>
      </c>
      <c r="M20" s="243">
        <v>0</v>
      </c>
      <c r="N20" s="256">
        <v>15000</v>
      </c>
      <c r="O20" s="243"/>
    </row>
    <row r="21" spans="1:15">
      <c r="A21" s="243">
        <v>5</v>
      </c>
      <c r="B21" s="243" t="s">
        <v>137</v>
      </c>
      <c r="C21" s="243" t="s">
        <v>72</v>
      </c>
      <c r="D21" s="243" t="s">
        <v>20</v>
      </c>
      <c r="E21" s="246">
        <v>44959</v>
      </c>
      <c r="F21" s="243" t="s">
        <v>138</v>
      </c>
      <c r="G21" s="243">
        <v>15000</v>
      </c>
      <c r="H21" s="243" t="s">
        <v>79</v>
      </c>
      <c r="I21" s="243" t="s">
        <v>38</v>
      </c>
      <c r="J21" s="243">
        <v>30</v>
      </c>
      <c r="K21" s="243">
        <v>30</v>
      </c>
      <c r="L21" s="243">
        <v>0</v>
      </c>
      <c r="M21" s="243">
        <v>0</v>
      </c>
      <c r="N21" s="256">
        <v>15000</v>
      </c>
      <c r="O21" s="243"/>
    </row>
    <row r="22" spans="1:15">
      <c r="A22" s="243">
        <v>6</v>
      </c>
      <c r="B22" s="243" t="s">
        <v>139</v>
      </c>
      <c r="C22" s="243" t="s">
        <v>140</v>
      </c>
      <c r="D22" s="243" t="s">
        <v>20</v>
      </c>
      <c r="E22" s="249" t="s">
        <v>141</v>
      </c>
      <c r="F22" s="243" t="s">
        <v>73</v>
      </c>
      <c r="G22" s="245">
        <v>15000</v>
      </c>
      <c r="H22" s="243" t="s">
        <v>142</v>
      </c>
      <c r="I22" s="243" t="s">
        <v>38</v>
      </c>
      <c r="J22" s="243">
        <v>30</v>
      </c>
      <c r="K22" s="243">
        <v>26</v>
      </c>
      <c r="L22" s="243">
        <v>0</v>
      </c>
      <c r="M22" s="243">
        <v>4</v>
      </c>
      <c r="N22" s="256">
        <f>G22/J22*K22</f>
        <v>13000</v>
      </c>
      <c r="O22" s="243"/>
    </row>
  </sheetData>
  <mergeCells count="28">
    <mergeCell ref="G15:G16"/>
    <mergeCell ref="H15:H16"/>
    <mergeCell ref="I15:I16"/>
    <mergeCell ref="J15:M15"/>
    <mergeCell ref="N15:N16"/>
    <mergeCell ref="O15:O16"/>
    <mergeCell ref="A15:A16"/>
    <mergeCell ref="B15:B16"/>
    <mergeCell ref="C15:C16"/>
    <mergeCell ref="D15:D16"/>
    <mergeCell ref="E15:E16"/>
    <mergeCell ref="F15:F16"/>
    <mergeCell ref="H4:H5"/>
    <mergeCell ref="I4:I5"/>
    <mergeCell ref="J4:M4"/>
    <mergeCell ref="N4:N5"/>
    <mergeCell ref="O4:O5"/>
    <mergeCell ref="A14:O14"/>
    <mergeCell ref="A1:N1"/>
    <mergeCell ref="A2:O2"/>
    <mergeCell ref="A3:O3"/>
    <mergeCell ref="A4:A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F0E9-7C6F-40E0-87BB-2EA482AFBAD3}">
  <dimension ref="A1:O24"/>
  <sheetViews>
    <sheetView workbookViewId="0">
      <selection activeCell="N4" sqref="N1:N1048576"/>
    </sheetView>
  </sheetViews>
  <sheetFormatPr defaultRowHeight="15"/>
  <cols>
    <col min="1" max="1" width="5.42578125" bestFit="1" customWidth="1"/>
    <col min="2" max="2" width="19" bestFit="1" customWidth="1"/>
    <col min="3" max="3" width="28.7109375" bestFit="1" customWidth="1"/>
    <col min="4" max="4" width="8.42578125" bestFit="1" customWidth="1"/>
    <col min="5" max="5" width="14.28515625" bestFit="1" customWidth="1"/>
    <col min="6" max="6" width="15" bestFit="1" customWidth="1"/>
    <col min="7" max="7" width="13.5703125" bestFit="1" customWidth="1"/>
    <col min="8" max="8" width="16.5703125" bestFit="1" customWidth="1"/>
    <col min="9" max="9" width="17.28515625" bestFit="1" customWidth="1"/>
    <col min="10" max="10" width="8.85546875" bestFit="1" customWidth="1"/>
    <col min="11" max="11" width="3.42578125" bestFit="1" customWidth="1"/>
    <col min="12" max="12" width="3" bestFit="1" customWidth="1"/>
    <col min="13" max="13" width="3.42578125" bestFit="1" customWidth="1"/>
    <col min="14" max="14" width="12.42578125" customWidth="1"/>
    <col min="15" max="15" width="11.140625" bestFit="1" customWidth="1"/>
  </cols>
  <sheetData>
    <row r="1" spans="1:15" ht="21">
      <c r="A1" s="228" t="s">
        <v>107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9"/>
    </row>
    <row r="2" spans="1:15" ht="21">
      <c r="A2" s="230" t="s">
        <v>0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2"/>
    </row>
    <row r="3" spans="1:15" ht="21">
      <c r="A3" s="230" t="s">
        <v>1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</row>
    <row r="4" spans="1:15">
      <c r="A4" s="233" t="s">
        <v>108</v>
      </c>
      <c r="B4" s="233" t="s">
        <v>2</v>
      </c>
      <c r="C4" s="234" t="s">
        <v>109</v>
      </c>
      <c r="D4" s="233" t="s">
        <v>5</v>
      </c>
      <c r="E4" s="234" t="s">
        <v>6</v>
      </c>
      <c r="F4" s="233" t="s">
        <v>4</v>
      </c>
      <c r="G4" s="234" t="s">
        <v>9</v>
      </c>
      <c r="H4" s="233" t="s">
        <v>7</v>
      </c>
      <c r="I4" s="233" t="s">
        <v>8</v>
      </c>
      <c r="J4" s="235" t="s">
        <v>10</v>
      </c>
      <c r="K4" s="236"/>
      <c r="L4" s="236"/>
      <c r="M4" s="237"/>
      <c r="N4" s="234" t="s">
        <v>11</v>
      </c>
      <c r="O4" s="234" t="s">
        <v>110</v>
      </c>
    </row>
    <row r="5" spans="1:15">
      <c r="A5" s="238"/>
      <c r="B5" s="238"/>
      <c r="C5" s="239"/>
      <c r="D5" s="238"/>
      <c r="E5" s="239"/>
      <c r="F5" s="238"/>
      <c r="G5" s="239"/>
      <c r="H5" s="238"/>
      <c r="I5" s="238"/>
      <c r="J5" s="240" t="s">
        <v>13</v>
      </c>
      <c r="K5" s="241" t="s">
        <v>111</v>
      </c>
      <c r="L5" s="242" t="s">
        <v>112</v>
      </c>
      <c r="M5" s="242" t="s">
        <v>113</v>
      </c>
      <c r="N5" s="239"/>
      <c r="O5" s="239"/>
    </row>
    <row r="6" spans="1:15">
      <c r="A6" s="243">
        <v>1</v>
      </c>
      <c r="B6" s="244" t="s">
        <v>114</v>
      </c>
      <c r="C6" s="245" t="s">
        <v>53</v>
      </c>
      <c r="D6" s="243" t="s">
        <v>20</v>
      </c>
      <c r="E6" s="246">
        <v>44475</v>
      </c>
      <c r="F6" s="243" t="s">
        <v>115</v>
      </c>
      <c r="G6" s="243">
        <v>60000</v>
      </c>
      <c r="H6" s="243" t="s">
        <v>55</v>
      </c>
      <c r="I6" s="247" t="s">
        <v>56</v>
      </c>
      <c r="J6" s="245">
        <v>30</v>
      </c>
      <c r="K6" s="243">
        <v>30</v>
      </c>
      <c r="L6" s="248">
        <v>0</v>
      </c>
      <c r="M6" s="248">
        <v>0</v>
      </c>
      <c r="N6" s="248">
        <v>25000</v>
      </c>
      <c r="O6" s="248">
        <f>G6+N6</f>
        <v>85000</v>
      </c>
    </row>
    <row r="7" spans="1:15">
      <c r="A7" s="243">
        <v>2</v>
      </c>
      <c r="B7" s="244" t="s">
        <v>116</v>
      </c>
      <c r="C7" s="244" t="s">
        <v>18</v>
      </c>
      <c r="D7" s="244" t="s">
        <v>20</v>
      </c>
      <c r="E7" s="249" t="s">
        <v>117</v>
      </c>
      <c r="F7" s="244" t="s">
        <v>19</v>
      </c>
      <c r="G7" s="245">
        <v>22000</v>
      </c>
      <c r="H7" s="244" t="s">
        <v>21</v>
      </c>
      <c r="I7" s="247" t="s">
        <v>22</v>
      </c>
      <c r="J7" s="243">
        <v>30</v>
      </c>
      <c r="K7" s="243">
        <v>30</v>
      </c>
      <c r="L7" s="243">
        <v>0</v>
      </c>
      <c r="M7" s="243">
        <v>0</v>
      </c>
      <c r="N7" s="243">
        <v>0</v>
      </c>
      <c r="O7" s="243">
        <v>22000</v>
      </c>
    </row>
    <row r="8" spans="1:15">
      <c r="A8" s="243">
        <v>3</v>
      </c>
      <c r="B8" s="244" t="s">
        <v>118</v>
      </c>
      <c r="C8" s="243" t="s">
        <v>119</v>
      </c>
      <c r="D8" s="243" t="s">
        <v>20</v>
      </c>
      <c r="E8" s="249" t="s">
        <v>117</v>
      </c>
      <c r="F8" s="244" t="s">
        <v>19</v>
      </c>
      <c r="G8" s="245">
        <v>18000</v>
      </c>
      <c r="H8" s="244" t="s">
        <v>97</v>
      </c>
      <c r="I8" s="247" t="s">
        <v>98</v>
      </c>
      <c r="J8" s="243">
        <v>30</v>
      </c>
      <c r="K8" s="243">
        <v>30</v>
      </c>
      <c r="L8" s="243">
        <v>0</v>
      </c>
      <c r="M8" s="243">
        <v>0</v>
      </c>
      <c r="N8" s="243">
        <v>0</v>
      </c>
      <c r="O8" s="243">
        <v>18000</v>
      </c>
    </row>
    <row r="9" spans="1:15">
      <c r="A9" s="243">
        <v>4</v>
      </c>
      <c r="B9" s="243" t="s">
        <v>120</v>
      </c>
      <c r="C9" s="243" t="s">
        <v>24</v>
      </c>
      <c r="D9" s="243" t="s">
        <v>20</v>
      </c>
      <c r="E9" s="249" t="s">
        <v>117</v>
      </c>
      <c r="F9" s="244" t="s">
        <v>121</v>
      </c>
      <c r="G9" s="245">
        <v>15000</v>
      </c>
      <c r="H9" s="243" t="s">
        <v>25</v>
      </c>
      <c r="I9" s="247" t="s">
        <v>26</v>
      </c>
      <c r="J9" s="243">
        <v>30</v>
      </c>
      <c r="K9" s="243">
        <v>30</v>
      </c>
      <c r="L9" s="243">
        <v>0</v>
      </c>
      <c r="M9" s="243">
        <v>0</v>
      </c>
      <c r="N9" s="243">
        <v>0</v>
      </c>
      <c r="O9" s="243">
        <v>15000</v>
      </c>
    </row>
    <row r="10" spans="1:15">
      <c r="A10" s="243">
        <v>5</v>
      </c>
      <c r="B10" s="243" t="s">
        <v>122</v>
      </c>
      <c r="C10" s="243" t="s">
        <v>36</v>
      </c>
      <c r="D10" s="243" t="s">
        <v>20</v>
      </c>
      <c r="E10" s="249">
        <v>45536</v>
      </c>
      <c r="F10" s="244" t="s">
        <v>19</v>
      </c>
      <c r="G10" s="245">
        <v>20000</v>
      </c>
      <c r="H10" s="243" t="s">
        <v>37</v>
      </c>
      <c r="I10" s="247" t="s">
        <v>38</v>
      </c>
      <c r="J10" s="243">
        <v>30</v>
      </c>
      <c r="K10" s="243">
        <v>30</v>
      </c>
      <c r="L10" s="243">
        <v>0</v>
      </c>
      <c r="M10" s="243">
        <v>0</v>
      </c>
      <c r="N10" s="243">
        <v>0</v>
      </c>
      <c r="O10" s="243">
        <v>25000</v>
      </c>
    </row>
    <row r="11" spans="1:15">
      <c r="A11" s="243">
        <v>6</v>
      </c>
      <c r="B11" s="243" t="s">
        <v>123</v>
      </c>
      <c r="C11" s="243" t="s">
        <v>28</v>
      </c>
      <c r="D11" s="243" t="s">
        <v>20</v>
      </c>
      <c r="E11" s="249" t="s">
        <v>124</v>
      </c>
      <c r="F11" s="243" t="s">
        <v>121</v>
      </c>
      <c r="G11" s="245">
        <v>15000</v>
      </c>
      <c r="H11" s="243" t="s">
        <v>29</v>
      </c>
      <c r="I11" s="247" t="s">
        <v>30</v>
      </c>
      <c r="J11" s="243">
        <v>30</v>
      </c>
      <c r="K11" s="243">
        <v>30</v>
      </c>
      <c r="L11" s="243">
        <v>0</v>
      </c>
      <c r="M11" s="243">
        <v>0</v>
      </c>
      <c r="N11" s="243">
        <v>0</v>
      </c>
      <c r="O11" s="243">
        <v>15000</v>
      </c>
    </row>
    <row r="12" spans="1:15">
      <c r="A12" s="243">
        <v>7</v>
      </c>
      <c r="B12" s="243" t="s">
        <v>125</v>
      </c>
      <c r="C12" s="243" t="s">
        <v>126</v>
      </c>
      <c r="D12" s="243" t="s">
        <v>20</v>
      </c>
      <c r="E12" s="249" t="s">
        <v>127</v>
      </c>
      <c r="F12" s="243" t="s">
        <v>121</v>
      </c>
      <c r="G12" s="245">
        <v>15000</v>
      </c>
      <c r="H12" s="243" t="s">
        <v>128</v>
      </c>
      <c r="I12" s="247" t="s">
        <v>102</v>
      </c>
      <c r="J12" s="243">
        <v>30</v>
      </c>
      <c r="K12" s="243">
        <v>30</v>
      </c>
      <c r="L12" s="243">
        <v>0</v>
      </c>
      <c r="M12" s="243">
        <v>0</v>
      </c>
      <c r="N12" s="243">
        <v>0</v>
      </c>
      <c r="O12" s="243">
        <v>15000</v>
      </c>
    </row>
    <row r="13" spans="1:15">
      <c r="A13" s="243">
        <v>8</v>
      </c>
      <c r="B13" s="243" t="s">
        <v>47</v>
      </c>
      <c r="C13" s="243" t="s">
        <v>48</v>
      </c>
      <c r="D13" s="243" t="s">
        <v>20</v>
      </c>
      <c r="E13" s="249" t="s">
        <v>129</v>
      </c>
      <c r="F13" s="243" t="s">
        <v>49</v>
      </c>
      <c r="G13" s="245">
        <v>28000</v>
      </c>
      <c r="H13" s="243" t="s">
        <v>50</v>
      </c>
      <c r="I13" s="247" t="s">
        <v>93</v>
      </c>
      <c r="J13" s="243">
        <v>30</v>
      </c>
      <c r="K13" s="243">
        <v>6</v>
      </c>
      <c r="L13" s="243">
        <v>24</v>
      </c>
      <c r="M13" s="243">
        <v>0</v>
      </c>
      <c r="N13" s="243">
        <v>0</v>
      </c>
      <c r="O13" s="243">
        <f>G13/J13*K13</f>
        <v>5600</v>
      </c>
    </row>
    <row r="14" spans="1:15">
      <c r="A14" s="243">
        <v>9</v>
      </c>
      <c r="B14" s="243" t="s">
        <v>130</v>
      </c>
      <c r="C14" s="243" t="s">
        <v>32</v>
      </c>
      <c r="D14" s="243" t="s">
        <v>20</v>
      </c>
      <c r="E14" s="249">
        <v>45323</v>
      </c>
      <c r="F14" s="243" t="s">
        <v>19</v>
      </c>
      <c r="G14" s="245">
        <v>25000</v>
      </c>
      <c r="H14" s="243" t="s">
        <v>33</v>
      </c>
      <c r="I14" s="247" t="s">
        <v>34</v>
      </c>
      <c r="J14" s="243">
        <v>30</v>
      </c>
      <c r="K14" s="243">
        <v>30</v>
      </c>
      <c r="L14" s="243">
        <v>0</v>
      </c>
      <c r="M14" s="243">
        <v>0</v>
      </c>
      <c r="N14" s="243">
        <v>0</v>
      </c>
      <c r="O14" s="243">
        <v>25000</v>
      </c>
    </row>
    <row r="15" spans="1:15">
      <c r="A15" s="250"/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</row>
    <row r="16" spans="1:15" ht="26.25">
      <c r="A16" s="251" t="s">
        <v>51</v>
      </c>
      <c r="B16" s="252"/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3"/>
    </row>
    <row r="17" spans="1:15">
      <c r="A17" s="233" t="s">
        <v>108</v>
      </c>
      <c r="B17" s="233" t="s">
        <v>2</v>
      </c>
      <c r="C17" s="234" t="s">
        <v>131</v>
      </c>
      <c r="D17" s="233" t="s">
        <v>5</v>
      </c>
      <c r="E17" s="234" t="s">
        <v>6</v>
      </c>
      <c r="F17" s="233" t="s">
        <v>4</v>
      </c>
      <c r="G17" s="234" t="s">
        <v>9</v>
      </c>
      <c r="H17" s="233" t="s">
        <v>7</v>
      </c>
      <c r="I17" s="233" t="s">
        <v>8</v>
      </c>
      <c r="J17" s="235" t="s">
        <v>10</v>
      </c>
      <c r="K17" s="236"/>
      <c r="L17" s="236"/>
      <c r="M17" s="237"/>
      <c r="N17" s="234" t="s">
        <v>11</v>
      </c>
      <c r="O17" s="234" t="s">
        <v>110</v>
      </c>
    </row>
    <row r="18" spans="1:15">
      <c r="A18" s="238"/>
      <c r="B18" s="238"/>
      <c r="C18" s="239"/>
      <c r="D18" s="238"/>
      <c r="E18" s="239"/>
      <c r="F18" s="238"/>
      <c r="G18" s="239"/>
      <c r="H18" s="238"/>
      <c r="I18" s="238"/>
      <c r="J18" s="240" t="s">
        <v>13</v>
      </c>
      <c r="K18" s="241" t="s">
        <v>111</v>
      </c>
      <c r="L18" s="242" t="s">
        <v>112</v>
      </c>
      <c r="M18" s="242" t="s">
        <v>113</v>
      </c>
      <c r="N18" s="239"/>
      <c r="O18" s="239"/>
    </row>
    <row r="19" spans="1:15">
      <c r="A19" s="243">
        <v>1</v>
      </c>
      <c r="B19" s="243" t="s">
        <v>132</v>
      </c>
      <c r="C19" s="243" t="s">
        <v>58</v>
      </c>
      <c r="D19" s="243" t="s">
        <v>20</v>
      </c>
      <c r="E19" s="246">
        <v>45468</v>
      </c>
      <c r="F19" s="243" t="s">
        <v>133</v>
      </c>
      <c r="G19" s="245">
        <v>24000</v>
      </c>
      <c r="H19" s="243" t="s">
        <v>60</v>
      </c>
      <c r="I19" s="243" t="s">
        <v>38</v>
      </c>
      <c r="J19" s="254">
        <v>30</v>
      </c>
      <c r="K19" s="255">
        <v>30</v>
      </c>
      <c r="L19" s="243">
        <v>0</v>
      </c>
      <c r="M19" s="243">
        <v>0</v>
      </c>
      <c r="N19" s="256">
        <v>24000</v>
      </c>
      <c r="O19" s="243"/>
    </row>
    <row r="20" spans="1:15">
      <c r="A20" s="243">
        <v>3</v>
      </c>
      <c r="B20" s="243" t="s">
        <v>134</v>
      </c>
      <c r="C20" s="243" t="s">
        <v>63</v>
      </c>
      <c r="D20" s="249" t="s">
        <v>20</v>
      </c>
      <c r="E20" s="246">
        <v>45505</v>
      </c>
      <c r="F20" s="243" t="s">
        <v>135</v>
      </c>
      <c r="G20" s="245">
        <v>8000</v>
      </c>
      <c r="H20" s="243" t="s">
        <v>65</v>
      </c>
      <c r="I20" s="243" t="s">
        <v>38</v>
      </c>
      <c r="J20" s="243">
        <v>30</v>
      </c>
      <c r="K20" s="245">
        <v>30</v>
      </c>
      <c r="L20" s="243">
        <v>0</v>
      </c>
      <c r="M20" s="243">
        <v>0</v>
      </c>
      <c r="N20" s="256">
        <v>8000</v>
      </c>
      <c r="O20" s="243"/>
    </row>
    <row r="21" spans="1:15">
      <c r="A21" s="243">
        <v>2</v>
      </c>
      <c r="B21" s="243" t="s">
        <v>104</v>
      </c>
      <c r="C21" s="243" t="s">
        <v>136</v>
      </c>
      <c r="D21" s="243" t="s">
        <v>20</v>
      </c>
      <c r="E21" s="246">
        <v>44743</v>
      </c>
      <c r="F21" s="243" t="s">
        <v>73</v>
      </c>
      <c r="G21" s="245">
        <v>15000</v>
      </c>
      <c r="H21" s="243" t="s">
        <v>106</v>
      </c>
      <c r="I21" s="243" t="s">
        <v>38</v>
      </c>
      <c r="J21" s="254">
        <v>30</v>
      </c>
      <c r="K21" s="255">
        <v>30</v>
      </c>
      <c r="L21" s="243">
        <v>0</v>
      </c>
      <c r="M21" s="243">
        <v>0</v>
      </c>
      <c r="N21" s="256">
        <v>15000</v>
      </c>
      <c r="O21" s="243"/>
    </row>
    <row r="22" spans="1:15">
      <c r="A22" s="243">
        <v>4</v>
      </c>
      <c r="B22" s="243" t="s">
        <v>71</v>
      </c>
      <c r="C22" s="243" t="s">
        <v>72</v>
      </c>
      <c r="D22" s="243" t="s">
        <v>20</v>
      </c>
      <c r="E22" s="249">
        <v>44967</v>
      </c>
      <c r="F22" s="243" t="s">
        <v>73</v>
      </c>
      <c r="G22" s="245">
        <v>15000</v>
      </c>
      <c r="H22" s="243" t="s">
        <v>74</v>
      </c>
      <c r="I22" s="243" t="s">
        <v>38</v>
      </c>
      <c r="J22" s="243">
        <v>30</v>
      </c>
      <c r="K22" s="243">
        <v>30</v>
      </c>
      <c r="L22" s="243">
        <v>0</v>
      </c>
      <c r="M22" s="243">
        <v>0</v>
      </c>
      <c r="N22" s="256">
        <v>15000</v>
      </c>
      <c r="O22" s="243"/>
    </row>
    <row r="23" spans="1:15">
      <c r="A23" s="243">
        <v>5</v>
      </c>
      <c r="B23" s="243" t="s">
        <v>137</v>
      </c>
      <c r="C23" s="243" t="s">
        <v>72</v>
      </c>
      <c r="D23" s="243" t="s">
        <v>20</v>
      </c>
      <c r="E23" s="246">
        <v>44959</v>
      </c>
      <c r="F23" s="243" t="s">
        <v>138</v>
      </c>
      <c r="G23" s="243">
        <v>15000</v>
      </c>
      <c r="H23" s="243" t="s">
        <v>79</v>
      </c>
      <c r="I23" s="243" t="s">
        <v>38</v>
      </c>
      <c r="J23" s="243">
        <v>30</v>
      </c>
      <c r="K23" s="243">
        <v>30</v>
      </c>
      <c r="L23" s="243">
        <v>0</v>
      </c>
      <c r="M23" s="243">
        <v>0</v>
      </c>
      <c r="N23" s="256">
        <v>15000</v>
      </c>
      <c r="O23" s="243"/>
    </row>
    <row r="24" spans="1:15">
      <c r="A24" s="243">
        <v>6</v>
      </c>
      <c r="B24" s="243" t="s">
        <v>139</v>
      </c>
      <c r="C24" s="243" t="s">
        <v>140</v>
      </c>
      <c r="D24" s="243" t="s">
        <v>20</v>
      </c>
      <c r="E24" s="249" t="s">
        <v>141</v>
      </c>
      <c r="F24" s="243" t="s">
        <v>73</v>
      </c>
      <c r="G24" s="245">
        <v>15000</v>
      </c>
      <c r="H24" s="243" t="s">
        <v>142</v>
      </c>
      <c r="I24" s="243" t="s">
        <v>38</v>
      </c>
      <c r="J24" s="243">
        <v>30</v>
      </c>
      <c r="K24" s="243">
        <v>26</v>
      </c>
      <c r="L24" s="243">
        <v>0</v>
      </c>
      <c r="M24" s="243">
        <v>4</v>
      </c>
      <c r="N24" s="256">
        <f>G24/J24*K24</f>
        <v>13000</v>
      </c>
      <c r="O24" s="243"/>
    </row>
  </sheetData>
  <mergeCells count="28">
    <mergeCell ref="G17:G18"/>
    <mergeCell ref="H17:H18"/>
    <mergeCell ref="I17:I18"/>
    <mergeCell ref="J17:M17"/>
    <mergeCell ref="N17:N18"/>
    <mergeCell ref="O17:O18"/>
    <mergeCell ref="A17:A18"/>
    <mergeCell ref="B17:B18"/>
    <mergeCell ref="C17:C18"/>
    <mergeCell ref="D17:D18"/>
    <mergeCell ref="E17:E18"/>
    <mergeCell ref="F17:F18"/>
    <mergeCell ref="H4:H5"/>
    <mergeCell ref="I4:I5"/>
    <mergeCell ref="J4:M4"/>
    <mergeCell ref="N4:N5"/>
    <mergeCell ref="O4:O5"/>
    <mergeCell ref="A16:O16"/>
    <mergeCell ref="A1:N1"/>
    <mergeCell ref="A2:O2"/>
    <mergeCell ref="A3:O3"/>
    <mergeCell ref="A4:A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94D7-2928-432D-96B6-3E11EB8D557F}">
  <dimension ref="A1:N29"/>
  <sheetViews>
    <sheetView topLeftCell="B1" workbookViewId="0">
      <selection activeCell="N10" sqref="N10"/>
    </sheetView>
  </sheetViews>
  <sheetFormatPr defaultRowHeight="15"/>
  <cols>
    <col min="1" max="1" width="19.5703125" bestFit="1" customWidth="1"/>
    <col min="2" max="2" width="21.42578125" bestFit="1" customWidth="1"/>
    <col min="3" max="3" width="13.28515625" bestFit="1" customWidth="1"/>
    <col min="4" max="4" width="9.5703125" bestFit="1" customWidth="1"/>
    <col min="5" max="5" width="16.42578125" bestFit="1" customWidth="1"/>
    <col min="6" max="6" width="18" bestFit="1" customWidth="1"/>
    <col min="7" max="7" width="19.5703125" bestFit="1" customWidth="1"/>
    <col min="8" max="8" width="9.28515625" customWidth="1"/>
    <col min="9" max="9" width="11.5703125" bestFit="1" customWidth="1"/>
    <col min="10" max="10" width="8.42578125" bestFit="1" customWidth="1"/>
    <col min="11" max="11" width="8.28515625" bestFit="1" customWidth="1"/>
    <col min="12" max="12" width="7.28515625" bestFit="1" customWidth="1"/>
    <col min="13" max="13" width="13.5703125" customWidth="1"/>
    <col min="14" max="14" width="14.42578125" bestFit="1" customWidth="1"/>
  </cols>
  <sheetData>
    <row r="1" spans="1:14" ht="21">
      <c r="A1" s="70" t="s">
        <v>94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2"/>
    </row>
    <row r="2" spans="1:14" ht="21.75" thickBot="1">
      <c r="A2" s="73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/>
    </row>
    <row r="3" spans="1:14" ht="24" thickBot="1">
      <c r="A3" s="177" t="s">
        <v>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9"/>
    </row>
    <row r="4" spans="1:14" ht="15.75" thickBot="1"/>
    <row r="5" spans="1:14">
      <c r="A5" s="180" t="s">
        <v>2</v>
      </c>
      <c r="B5" s="181" t="s">
        <v>3</v>
      </c>
      <c r="C5" s="181" t="s">
        <v>4</v>
      </c>
      <c r="D5" s="181" t="s">
        <v>5</v>
      </c>
      <c r="E5" s="182" t="s">
        <v>6</v>
      </c>
      <c r="F5" s="182" t="s">
        <v>7</v>
      </c>
      <c r="G5" s="182" t="s">
        <v>8</v>
      </c>
      <c r="H5" s="182" t="s">
        <v>9</v>
      </c>
      <c r="I5" s="183" t="s">
        <v>10</v>
      </c>
      <c r="J5" s="183"/>
      <c r="K5" s="183"/>
      <c r="L5" s="183"/>
      <c r="M5" s="184" t="s">
        <v>11</v>
      </c>
      <c r="N5" s="185" t="s">
        <v>12</v>
      </c>
    </row>
    <row r="6" spans="1:14">
      <c r="A6" s="186"/>
      <c r="B6" s="187"/>
      <c r="C6" s="187"/>
      <c r="D6" s="187"/>
      <c r="E6" s="188"/>
      <c r="F6" s="187"/>
      <c r="G6" s="188"/>
      <c r="H6" s="188"/>
      <c r="I6" s="189" t="s">
        <v>13</v>
      </c>
      <c r="J6" s="190" t="s">
        <v>14</v>
      </c>
      <c r="K6" s="191" t="s">
        <v>15</v>
      </c>
      <c r="L6" s="191" t="s">
        <v>16</v>
      </c>
      <c r="M6" s="192"/>
      <c r="N6" s="193"/>
    </row>
    <row r="7" spans="1:14" ht="15.75" thickBot="1">
      <c r="A7" s="194"/>
      <c r="B7" s="195"/>
      <c r="C7" s="195"/>
      <c r="D7" s="195"/>
      <c r="E7" s="196"/>
      <c r="F7" s="195"/>
      <c r="G7" s="196"/>
      <c r="H7" s="196"/>
      <c r="I7" s="197"/>
      <c r="J7" s="198"/>
      <c r="K7" s="199"/>
      <c r="L7" s="199"/>
      <c r="M7" s="200"/>
      <c r="N7" s="201"/>
    </row>
    <row r="8" spans="1:14">
      <c r="A8" s="202" t="s">
        <v>17</v>
      </c>
      <c r="B8" s="203" t="s">
        <v>18</v>
      </c>
      <c r="C8" s="203" t="s">
        <v>19</v>
      </c>
      <c r="D8" s="203" t="s">
        <v>20</v>
      </c>
      <c r="E8" s="204">
        <v>44774</v>
      </c>
      <c r="F8" s="205" t="s">
        <v>21</v>
      </c>
      <c r="G8" s="206" t="s">
        <v>22</v>
      </c>
      <c r="H8" s="207">
        <v>22000</v>
      </c>
      <c r="I8" s="203">
        <v>31</v>
      </c>
      <c r="J8" s="203">
        <v>31</v>
      </c>
      <c r="K8" s="203">
        <v>0</v>
      </c>
      <c r="L8" s="203">
        <v>0</v>
      </c>
      <c r="M8" s="203"/>
      <c r="N8" s="208">
        <f>(H8/31)*J8</f>
        <v>22000</v>
      </c>
    </row>
    <row r="9" spans="1:14">
      <c r="A9" s="209" t="s">
        <v>95</v>
      </c>
      <c r="B9" s="210" t="s">
        <v>96</v>
      </c>
      <c r="C9" s="210" t="s">
        <v>19</v>
      </c>
      <c r="D9" s="210" t="s">
        <v>20</v>
      </c>
      <c r="E9" s="211">
        <v>44774</v>
      </c>
      <c r="F9" s="212" t="s">
        <v>97</v>
      </c>
      <c r="G9" s="213" t="s">
        <v>98</v>
      </c>
      <c r="H9" s="214">
        <v>18000</v>
      </c>
      <c r="I9" s="210">
        <v>31</v>
      </c>
      <c r="J9" s="215">
        <v>31</v>
      </c>
      <c r="K9" s="215">
        <v>0</v>
      </c>
      <c r="L9" s="215">
        <v>0</v>
      </c>
      <c r="M9" s="210"/>
      <c r="N9" s="216">
        <f t="shared" ref="N9:N16" si="0">(H9/31)*J9</f>
        <v>18000</v>
      </c>
    </row>
    <row r="10" spans="1:14">
      <c r="A10" s="209" t="s">
        <v>23</v>
      </c>
      <c r="B10" s="210" t="s">
        <v>24</v>
      </c>
      <c r="C10" s="210" t="s">
        <v>19</v>
      </c>
      <c r="D10" s="210" t="s">
        <v>20</v>
      </c>
      <c r="E10" s="211">
        <v>44774</v>
      </c>
      <c r="F10" s="212" t="s">
        <v>25</v>
      </c>
      <c r="G10" s="213" t="s">
        <v>26</v>
      </c>
      <c r="H10" s="214">
        <v>15000</v>
      </c>
      <c r="I10" s="210">
        <v>31</v>
      </c>
      <c r="J10" s="215">
        <v>25</v>
      </c>
      <c r="K10" s="215">
        <v>6</v>
      </c>
      <c r="L10" s="215">
        <v>1</v>
      </c>
      <c r="M10" s="210"/>
      <c r="N10" s="216">
        <f>(H10/30)*J10</f>
        <v>12500</v>
      </c>
    </row>
    <row r="11" spans="1:14">
      <c r="A11" s="209" t="s">
        <v>27</v>
      </c>
      <c r="B11" s="210" t="s">
        <v>28</v>
      </c>
      <c r="C11" s="210" t="s">
        <v>19</v>
      </c>
      <c r="D11" s="210" t="s">
        <v>20</v>
      </c>
      <c r="E11" s="211">
        <v>45198</v>
      </c>
      <c r="F11" s="212" t="s">
        <v>29</v>
      </c>
      <c r="G11" s="213" t="s">
        <v>30</v>
      </c>
      <c r="H11" s="214">
        <v>15000</v>
      </c>
      <c r="I11" s="210">
        <v>31</v>
      </c>
      <c r="J11" s="215">
        <v>29</v>
      </c>
      <c r="K11" s="215">
        <v>2</v>
      </c>
      <c r="L11" s="215">
        <v>1</v>
      </c>
      <c r="M11" s="210"/>
      <c r="N11" s="216">
        <f>(H11/30)*J11</f>
        <v>14500</v>
      </c>
    </row>
    <row r="12" spans="1:14">
      <c r="A12" s="209" t="s">
        <v>99</v>
      </c>
      <c r="B12" s="210" t="s">
        <v>100</v>
      </c>
      <c r="C12" s="210" t="s">
        <v>19</v>
      </c>
      <c r="D12" s="210" t="s">
        <v>20</v>
      </c>
      <c r="E12" s="211">
        <v>45229</v>
      </c>
      <c r="F12" s="212" t="s">
        <v>101</v>
      </c>
      <c r="G12" s="213" t="s">
        <v>102</v>
      </c>
      <c r="H12" s="214">
        <v>15000</v>
      </c>
      <c r="I12" s="210">
        <v>31</v>
      </c>
      <c r="J12" s="215">
        <v>29</v>
      </c>
      <c r="K12" s="215">
        <v>1</v>
      </c>
      <c r="L12" s="215">
        <v>1</v>
      </c>
      <c r="M12" s="210"/>
      <c r="N12" s="216">
        <f>(H12/30)*J12</f>
        <v>14500</v>
      </c>
    </row>
    <row r="13" spans="1:14">
      <c r="A13" s="209" t="s">
        <v>31</v>
      </c>
      <c r="B13" s="210" t="s">
        <v>32</v>
      </c>
      <c r="C13" s="210" t="s">
        <v>19</v>
      </c>
      <c r="D13" s="210" t="s">
        <v>20</v>
      </c>
      <c r="E13" s="211">
        <v>45323</v>
      </c>
      <c r="F13" s="212" t="s">
        <v>33</v>
      </c>
      <c r="G13" s="213" t="s">
        <v>34</v>
      </c>
      <c r="H13" s="214">
        <v>25000</v>
      </c>
      <c r="I13" s="210">
        <v>31</v>
      </c>
      <c r="J13" s="215">
        <v>31</v>
      </c>
      <c r="K13" s="215">
        <v>0</v>
      </c>
      <c r="L13" s="215">
        <v>0</v>
      </c>
      <c r="M13" s="210"/>
      <c r="N13" s="216">
        <f t="shared" si="0"/>
        <v>25000</v>
      </c>
    </row>
    <row r="14" spans="1:14">
      <c r="A14" s="209" t="s">
        <v>35</v>
      </c>
      <c r="B14" s="210" t="s">
        <v>36</v>
      </c>
      <c r="C14" s="210" t="s">
        <v>19</v>
      </c>
      <c r="D14" s="210" t="s">
        <v>20</v>
      </c>
      <c r="E14" s="211">
        <v>45536</v>
      </c>
      <c r="F14" s="212" t="s">
        <v>37</v>
      </c>
      <c r="G14" s="213" t="s">
        <v>38</v>
      </c>
      <c r="H14" s="214">
        <v>20000</v>
      </c>
      <c r="I14" s="210">
        <v>31</v>
      </c>
      <c r="J14" s="215">
        <v>31</v>
      </c>
      <c r="K14" s="215">
        <v>0</v>
      </c>
      <c r="L14" s="215">
        <v>0</v>
      </c>
      <c r="M14" s="210"/>
      <c r="N14" s="216">
        <f t="shared" si="0"/>
        <v>20000</v>
      </c>
    </row>
    <row r="15" spans="1:14">
      <c r="A15" s="209" t="s">
        <v>39</v>
      </c>
      <c r="B15" s="210" t="s">
        <v>40</v>
      </c>
      <c r="C15" s="210" t="s">
        <v>19</v>
      </c>
      <c r="D15" s="210" t="s">
        <v>20</v>
      </c>
      <c r="E15" s="211">
        <v>45566</v>
      </c>
      <c r="F15" s="212" t="s">
        <v>42</v>
      </c>
      <c r="G15" s="213" t="s">
        <v>38</v>
      </c>
      <c r="H15" s="214">
        <v>30000</v>
      </c>
      <c r="I15" s="210">
        <v>31</v>
      </c>
      <c r="J15" s="215">
        <v>31</v>
      </c>
      <c r="K15" s="215">
        <v>0</v>
      </c>
      <c r="L15" s="215">
        <v>0</v>
      </c>
      <c r="M15" s="210"/>
      <c r="N15" s="216">
        <f>(H15/30)*J15</f>
        <v>31000</v>
      </c>
    </row>
    <row r="16" spans="1:14" ht="15.75" thickBot="1">
      <c r="A16" s="217" t="s">
        <v>47</v>
      </c>
      <c r="B16" s="218" t="s">
        <v>48</v>
      </c>
      <c r="C16" s="218" t="s">
        <v>49</v>
      </c>
      <c r="D16" s="218" t="s">
        <v>20</v>
      </c>
      <c r="E16" s="219">
        <v>45559</v>
      </c>
      <c r="F16" s="220" t="s">
        <v>103</v>
      </c>
      <c r="G16" s="221" t="s">
        <v>93</v>
      </c>
      <c r="H16" s="222">
        <v>28000</v>
      </c>
      <c r="I16" s="218">
        <v>31</v>
      </c>
      <c r="J16" s="223">
        <v>31</v>
      </c>
      <c r="K16" s="223">
        <v>0</v>
      </c>
      <c r="L16" s="223">
        <v>1</v>
      </c>
      <c r="M16" s="224"/>
      <c r="N16" s="225">
        <f t="shared" si="0"/>
        <v>28000</v>
      </c>
    </row>
    <row r="17" spans="1:14" ht="15.75" thickBot="1"/>
    <row r="18" spans="1:14" ht="24" thickBot="1">
      <c r="A18" s="177" t="s">
        <v>51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9"/>
    </row>
    <row r="19" spans="1:14" ht="15.75" thickBot="1"/>
    <row r="20" spans="1:14">
      <c r="A20" s="180" t="s">
        <v>2</v>
      </c>
      <c r="B20" s="181" t="s">
        <v>3</v>
      </c>
      <c r="C20" s="181" t="s">
        <v>4</v>
      </c>
      <c r="D20" s="181" t="s">
        <v>5</v>
      </c>
      <c r="E20" s="182" t="s">
        <v>6</v>
      </c>
      <c r="F20" s="182" t="s">
        <v>7</v>
      </c>
      <c r="G20" s="182" t="s">
        <v>8</v>
      </c>
      <c r="H20" s="182" t="s">
        <v>9</v>
      </c>
      <c r="I20" s="183" t="s">
        <v>10</v>
      </c>
      <c r="J20" s="183"/>
      <c r="K20" s="183"/>
      <c r="L20" s="183"/>
      <c r="M20" s="184" t="s">
        <v>11</v>
      </c>
      <c r="N20" s="185" t="s">
        <v>12</v>
      </c>
    </row>
    <row r="21" spans="1:14">
      <c r="A21" s="186"/>
      <c r="B21" s="187"/>
      <c r="C21" s="187"/>
      <c r="D21" s="187"/>
      <c r="E21" s="188"/>
      <c r="F21" s="187"/>
      <c r="G21" s="188"/>
      <c r="H21" s="188"/>
      <c r="I21" s="189" t="s">
        <v>13</v>
      </c>
      <c r="J21" s="190" t="s">
        <v>14</v>
      </c>
      <c r="K21" s="191" t="s">
        <v>15</v>
      </c>
      <c r="L21" s="191" t="s">
        <v>16</v>
      </c>
      <c r="M21" s="192"/>
      <c r="N21" s="193"/>
    </row>
    <row r="22" spans="1:14" ht="15.75" thickBot="1">
      <c r="A22" s="194"/>
      <c r="B22" s="195"/>
      <c r="C22" s="195"/>
      <c r="D22" s="195"/>
      <c r="E22" s="196"/>
      <c r="F22" s="195"/>
      <c r="G22" s="196"/>
      <c r="H22" s="196"/>
      <c r="I22" s="197"/>
      <c r="J22" s="198"/>
      <c r="K22" s="199"/>
      <c r="L22" s="199"/>
      <c r="M22" s="200"/>
      <c r="N22" s="201"/>
    </row>
    <row r="23" spans="1:14">
      <c r="A23" s="202" t="s">
        <v>52</v>
      </c>
      <c r="B23" s="203" t="s">
        <v>53</v>
      </c>
      <c r="C23" s="203" t="s">
        <v>54</v>
      </c>
      <c r="D23" s="203" t="s">
        <v>20</v>
      </c>
      <c r="E23" s="204">
        <v>44475</v>
      </c>
      <c r="F23" s="205" t="s">
        <v>55</v>
      </c>
      <c r="G23" s="206" t="s">
        <v>22</v>
      </c>
      <c r="H23" s="207">
        <v>60000</v>
      </c>
      <c r="I23" s="203">
        <v>31</v>
      </c>
      <c r="J23" s="203">
        <v>29</v>
      </c>
      <c r="K23" s="203">
        <v>1</v>
      </c>
      <c r="L23" s="203">
        <v>0</v>
      </c>
      <c r="M23" s="203">
        <v>25000</v>
      </c>
      <c r="N23" s="208">
        <f>(H23/30)*J23+M23</f>
        <v>83000</v>
      </c>
    </row>
    <row r="24" spans="1:14">
      <c r="A24" s="209" t="s">
        <v>57</v>
      </c>
      <c r="B24" s="210" t="s">
        <v>58</v>
      </c>
      <c r="C24" s="210" t="s">
        <v>59</v>
      </c>
      <c r="D24" s="210" t="s">
        <v>20</v>
      </c>
      <c r="E24" s="211">
        <v>45468</v>
      </c>
      <c r="F24" s="212" t="s">
        <v>60</v>
      </c>
      <c r="G24" s="213" t="s">
        <v>38</v>
      </c>
      <c r="H24" s="214">
        <v>24000</v>
      </c>
      <c r="I24" s="210">
        <v>31</v>
      </c>
      <c r="J24" s="210">
        <v>31</v>
      </c>
      <c r="K24" s="210">
        <v>0</v>
      </c>
      <c r="L24" s="210">
        <v>0</v>
      </c>
      <c r="M24" s="210"/>
      <c r="N24" s="226">
        <f t="shared" ref="N24:N28" si="1">(H24/30)*J24+M24</f>
        <v>24800</v>
      </c>
    </row>
    <row r="25" spans="1:14">
      <c r="A25" s="209" t="s">
        <v>62</v>
      </c>
      <c r="B25" s="210" t="s">
        <v>63</v>
      </c>
      <c r="C25" s="210" t="s">
        <v>64</v>
      </c>
      <c r="D25" s="210" t="s">
        <v>20</v>
      </c>
      <c r="E25" s="211">
        <v>45505</v>
      </c>
      <c r="F25" s="212" t="s">
        <v>65</v>
      </c>
      <c r="G25" s="213" t="s">
        <v>38</v>
      </c>
      <c r="H25" s="214">
        <v>8000</v>
      </c>
      <c r="I25" s="210">
        <v>31</v>
      </c>
      <c r="J25" s="210">
        <v>31</v>
      </c>
      <c r="K25" s="210">
        <v>0</v>
      </c>
      <c r="L25" s="210">
        <v>0</v>
      </c>
      <c r="M25" s="210"/>
      <c r="N25" s="226">
        <v>8000</v>
      </c>
    </row>
    <row r="26" spans="1:14">
      <c r="A26" s="209" t="s">
        <v>104</v>
      </c>
      <c r="B26" s="210" t="s">
        <v>105</v>
      </c>
      <c r="C26" s="210" t="s">
        <v>73</v>
      </c>
      <c r="D26" s="210" t="s">
        <v>20</v>
      </c>
      <c r="E26" s="211">
        <v>44743</v>
      </c>
      <c r="F26" s="212" t="s">
        <v>106</v>
      </c>
      <c r="G26" s="213" t="s">
        <v>38</v>
      </c>
      <c r="H26" s="214">
        <v>15000</v>
      </c>
      <c r="I26" s="210">
        <v>31</v>
      </c>
      <c r="J26" s="210">
        <v>10</v>
      </c>
      <c r="K26" s="210">
        <v>21</v>
      </c>
      <c r="L26" s="210">
        <v>0</v>
      </c>
      <c r="M26" s="210"/>
      <c r="N26" s="226">
        <f t="shared" si="1"/>
        <v>5000</v>
      </c>
    </row>
    <row r="27" spans="1:14">
      <c r="A27" s="209" t="s">
        <v>71</v>
      </c>
      <c r="B27" s="210" t="s">
        <v>72</v>
      </c>
      <c r="C27" s="210" t="s">
        <v>73</v>
      </c>
      <c r="D27" s="210" t="s">
        <v>20</v>
      </c>
      <c r="E27" s="211">
        <v>44967</v>
      </c>
      <c r="F27" s="212" t="s">
        <v>74</v>
      </c>
      <c r="G27" s="213" t="s">
        <v>38</v>
      </c>
      <c r="H27" s="214">
        <v>15000</v>
      </c>
      <c r="I27" s="210">
        <v>31</v>
      </c>
      <c r="J27" s="210">
        <v>31</v>
      </c>
      <c r="K27" s="210">
        <v>0</v>
      </c>
      <c r="L27" s="210">
        <v>0</v>
      </c>
      <c r="M27" s="210"/>
      <c r="N27" s="226">
        <v>15000</v>
      </c>
    </row>
    <row r="28" spans="1:14">
      <c r="A28" s="209" t="s">
        <v>75</v>
      </c>
      <c r="B28" s="210" t="s">
        <v>76</v>
      </c>
      <c r="C28" s="210" t="s">
        <v>73</v>
      </c>
      <c r="D28" s="210" t="s">
        <v>20</v>
      </c>
      <c r="E28" s="211">
        <v>45587</v>
      </c>
      <c r="F28" s="212" t="s">
        <v>77</v>
      </c>
      <c r="G28" s="213" t="s">
        <v>38</v>
      </c>
      <c r="H28" s="214">
        <v>15000</v>
      </c>
      <c r="I28" s="210">
        <v>31</v>
      </c>
      <c r="J28" s="210">
        <v>9</v>
      </c>
      <c r="K28" s="210">
        <v>0</v>
      </c>
      <c r="L28" s="210">
        <v>0</v>
      </c>
      <c r="M28" s="210"/>
      <c r="N28" s="226">
        <f t="shared" si="1"/>
        <v>4500</v>
      </c>
    </row>
    <row r="29" spans="1:14" ht="15.75" thickBot="1">
      <c r="A29" s="217" t="s">
        <v>78</v>
      </c>
      <c r="B29" s="218" t="s">
        <v>72</v>
      </c>
      <c r="C29" s="218" t="s">
        <v>69</v>
      </c>
      <c r="D29" s="218" t="s">
        <v>20</v>
      </c>
      <c r="E29" s="219">
        <v>44959</v>
      </c>
      <c r="F29" s="220" t="s">
        <v>79</v>
      </c>
      <c r="G29" s="221" t="s">
        <v>38</v>
      </c>
      <c r="H29" s="222">
        <v>15000</v>
      </c>
      <c r="I29" s="218">
        <v>31</v>
      </c>
      <c r="J29" s="218">
        <v>31</v>
      </c>
      <c r="K29" s="218">
        <v>0</v>
      </c>
      <c r="L29" s="218">
        <v>0</v>
      </c>
      <c r="M29" s="218"/>
      <c r="N29" s="227">
        <v>15000</v>
      </c>
    </row>
  </sheetData>
  <mergeCells count="34">
    <mergeCell ref="M20:M22"/>
    <mergeCell ref="N20:N22"/>
    <mergeCell ref="I21:I22"/>
    <mergeCell ref="J21:J22"/>
    <mergeCell ref="K21:K22"/>
    <mergeCell ref="L21:L22"/>
    <mergeCell ref="A18:N18"/>
    <mergeCell ref="A20:A22"/>
    <mergeCell ref="B20:B22"/>
    <mergeCell ref="C20:C22"/>
    <mergeCell ref="D20:D22"/>
    <mergeCell ref="E20:E22"/>
    <mergeCell ref="F20:F22"/>
    <mergeCell ref="G20:G22"/>
    <mergeCell ref="H20:H22"/>
    <mergeCell ref="I20:L20"/>
    <mergeCell ref="H5:H7"/>
    <mergeCell ref="I5:L5"/>
    <mergeCell ref="M5:M7"/>
    <mergeCell ref="N5:N7"/>
    <mergeCell ref="I6:I7"/>
    <mergeCell ref="J6:J7"/>
    <mergeCell ref="K6:K7"/>
    <mergeCell ref="L6:L7"/>
    <mergeCell ref="A1:N1"/>
    <mergeCell ref="A2:N2"/>
    <mergeCell ref="A3:N3"/>
    <mergeCell ref="A5:A7"/>
    <mergeCell ref="B5:B7"/>
    <mergeCell ref="C5:C7"/>
    <mergeCell ref="D5:D7"/>
    <mergeCell ref="E5:E7"/>
    <mergeCell ref="F5:F7"/>
    <mergeCell ref="G5:G7"/>
  </mergeCells>
  <conditionalFormatting sqref="B8:M8 B9:C12 M9:M15 D9:L16 C13:C15 F23:F29 K24:M29 D29:E29 G29:J29">
    <cfRule type="expression" dxfId="11" priority="3">
      <formula>$C8=#REF!</formula>
    </cfRule>
  </conditionalFormatting>
  <conditionalFormatting sqref="C23:C29">
    <cfRule type="expression" dxfId="10" priority="1">
      <formula>$C23=#REF!</formula>
    </cfRule>
  </conditionalFormatting>
  <conditionalFormatting sqref="G23:M23 B23:B28 D23:E28 G24:J28">
    <cfRule type="expression" dxfId="9" priority="2">
      <formula>$C23=#REF!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245F-B485-4C13-896C-972B382E86CA}">
  <dimension ref="A1:N31"/>
  <sheetViews>
    <sheetView workbookViewId="0">
      <selection activeCell="M6" sqref="M6:M8"/>
    </sheetView>
  </sheetViews>
  <sheetFormatPr defaultRowHeight="15"/>
  <cols>
    <col min="1" max="1" width="18.140625" bestFit="1" customWidth="1"/>
    <col min="2" max="2" width="20.42578125" bestFit="1" customWidth="1"/>
    <col min="3" max="3" width="17.85546875" bestFit="1" customWidth="1"/>
    <col min="4" max="4" width="8.140625" bestFit="1" customWidth="1"/>
    <col min="5" max="5" width="13.140625" bestFit="1" customWidth="1"/>
    <col min="6" max="6" width="15.5703125" bestFit="1" customWidth="1"/>
    <col min="7" max="7" width="17.28515625" bestFit="1" customWidth="1"/>
    <col min="8" max="8" width="12.7109375" bestFit="1" customWidth="1"/>
    <col min="9" max="9" width="9.42578125" bestFit="1" customWidth="1"/>
    <col min="10" max="11" width="7" bestFit="1" customWidth="1"/>
    <col min="12" max="12" width="5.85546875" bestFit="1" customWidth="1"/>
    <col min="13" max="13" width="11.28515625" customWidth="1"/>
    <col min="14" max="14" width="11.140625" bestFit="1" customWidth="1"/>
  </cols>
  <sheetData>
    <row r="1" spans="1:14" ht="21">
      <c r="A1" s="49" t="s">
        <v>88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</row>
    <row r="2" spans="1:14" ht="21.75" thickBot="1">
      <c r="A2" s="52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/>
    </row>
    <row r="3" spans="1:14" ht="15.75" thickBot="1"/>
    <row r="4" spans="1:14" ht="27" thickBot="1">
      <c r="A4" s="55" t="s">
        <v>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7"/>
    </row>
    <row r="5" spans="1:14" ht="15.75" thickBot="1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4">
      <c r="A6" s="66" t="s">
        <v>2</v>
      </c>
      <c r="B6" s="45" t="s">
        <v>3</v>
      </c>
      <c r="C6" s="45" t="s">
        <v>4</v>
      </c>
      <c r="D6" s="45" t="s">
        <v>5</v>
      </c>
      <c r="E6" s="58" t="s">
        <v>6</v>
      </c>
      <c r="F6" s="58" t="s">
        <v>7</v>
      </c>
      <c r="G6" s="58" t="s">
        <v>8</v>
      </c>
      <c r="H6" s="58" t="s">
        <v>9</v>
      </c>
      <c r="I6" s="59" t="s">
        <v>10</v>
      </c>
      <c r="J6" s="50"/>
      <c r="K6" s="50"/>
      <c r="L6" s="60"/>
      <c r="M6" s="61" t="s">
        <v>11</v>
      </c>
      <c r="N6" s="62" t="s">
        <v>12</v>
      </c>
    </row>
    <row r="7" spans="1:14">
      <c r="A7" s="67"/>
      <c r="B7" s="46"/>
      <c r="C7" s="46"/>
      <c r="D7" s="46"/>
      <c r="E7" s="46"/>
      <c r="F7" s="46"/>
      <c r="G7" s="46"/>
      <c r="H7" s="46"/>
      <c r="I7" s="147" t="s">
        <v>13</v>
      </c>
      <c r="J7" s="147" t="s">
        <v>14</v>
      </c>
      <c r="K7" s="147" t="s">
        <v>15</v>
      </c>
      <c r="L7" s="148" t="s">
        <v>16</v>
      </c>
      <c r="M7" s="46"/>
      <c r="N7" s="63"/>
    </row>
    <row r="8" spans="1:14" ht="15.75" thickBot="1">
      <c r="A8" s="68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64"/>
    </row>
    <row r="9" spans="1:14">
      <c r="A9" s="149" t="s">
        <v>17</v>
      </c>
      <c r="B9" s="150" t="s">
        <v>18</v>
      </c>
      <c r="C9" s="150" t="s">
        <v>19</v>
      </c>
      <c r="D9" s="150" t="s">
        <v>20</v>
      </c>
      <c r="E9" s="151">
        <v>44774</v>
      </c>
      <c r="F9" s="152" t="s">
        <v>21</v>
      </c>
      <c r="G9" s="7" t="s">
        <v>22</v>
      </c>
      <c r="H9" s="153">
        <v>22000</v>
      </c>
      <c r="I9" s="150">
        <v>30</v>
      </c>
      <c r="J9" s="150">
        <v>24</v>
      </c>
      <c r="K9" s="150">
        <v>6</v>
      </c>
      <c r="L9" s="150">
        <f>[1]Attandance!AK5</f>
        <v>0</v>
      </c>
      <c r="M9" s="150"/>
      <c r="N9" s="154">
        <v>17600</v>
      </c>
    </row>
    <row r="10" spans="1:14">
      <c r="A10" s="155" t="s">
        <v>23</v>
      </c>
      <c r="B10" s="39" t="s">
        <v>24</v>
      </c>
      <c r="C10" s="39" t="s">
        <v>19</v>
      </c>
      <c r="D10" s="39" t="s">
        <v>20</v>
      </c>
      <c r="E10" s="156">
        <v>44774</v>
      </c>
      <c r="F10" s="157" t="s">
        <v>25</v>
      </c>
      <c r="G10" s="15" t="s">
        <v>26</v>
      </c>
      <c r="H10" s="158">
        <v>15000</v>
      </c>
      <c r="I10" s="39">
        <v>30</v>
      </c>
      <c r="J10" s="150">
        <v>24</v>
      </c>
      <c r="K10" s="39">
        <v>6</v>
      </c>
      <c r="L10" s="39">
        <v>0</v>
      </c>
      <c r="M10" s="39"/>
      <c r="N10" s="159">
        <v>12000</v>
      </c>
    </row>
    <row r="11" spans="1:14">
      <c r="A11" s="155" t="s">
        <v>27</v>
      </c>
      <c r="B11" s="39" t="s">
        <v>28</v>
      </c>
      <c r="C11" s="39" t="s">
        <v>19</v>
      </c>
      <c r="D11" s="39" t="s">
        <v>20</v>
      </c>
      <c r="E11" s="156">
        <v>45198</v>
      </c>
      <c r="F11" s="157" t="s">
        <v>29</v>
      </c>
      <c r="G11" s="15" t="s">
        <v>30</v>
      </c>
      <c r="H11" s="158">
        <v>15000</v>
      </c>
      <c r="I11" s="39">
        <v>30</v>
      </c>
      <c r="J11" s="150">
        <v>25</v>
      </c>
      <c r="K11" s="39">
        <v>5</v>
      </c>
      <c r="L11" s="39">
        <v>0</v>
      </c>
      <c r="M11" s="39"/>
      <c r="N11" s="159">
        <v>12500</v>
      </c>
    </row>
    <row r="12" spans="1:14">
      <c r="A12" s="155" t="s">
        <v>31</v>
      </c>
      <c r="B12" s="39" t="s">
        <v>32</v>
      </c>
      <c r="C12" s="39" t="s">
        <v>19</v>
      </c>
      <c r="D12" s="39" t="s">
        <v>20</v>
      </c>
      <c r="E12" s="156">
        <v>45323</v>
      </c>
      <c r="F12" s="157" t="s">
        <v>33</v>
      </c>
      <c r="G12" s="15" t="s">
        <v>34</v>
      </c>
      <c r="H12" s="158">
        <v>25000</v>
      </c>
      <c r="I12" s="39">
        <v>30</v>
      </c>
      <c r="J12" s="39">
        <v>28</v>
      </c>
      <c r="K12" s="39">
        <v>2</v>
      </c>
      <c r="L12" s="39">
        <v>0</v>
      </c>
      <c r="M12" s="39"/>
      <c r="N12" s="159">
        <v>23333.33</v>
      </c>
    </row>
    <row r="13" spans="1:14">
      <c r="A13" s="155" t="s">
        <v>35</v>
      </c>
      <c r="B13" s="39" t="s">
        <v>36</v>
      </c>
      <c r="C13" s="39" t="s">
        <v>19</v>
      </c>
      <c r="D13" s="39" t="s">
        <v>20</v>
      </c>
      <c r="E13" s="156">
        <v>45536</v>
      </c>
      <c r="F13" s="157" t="s">
        <v>37</v>
      </c>
      <c r="G13" s="15" t="s">
        <v>38</v>
      </c>
      <c r="H13" s="158">
        <v>20000</v>
      </c>
      <c r="I13" s="39">
        <v>30</v>
      </c>
      <c r="J13" s="39">
        <v>0</v>
      </c>
      <c r="K13" s="39">
        <v>0</v>
      </c>
      <c r="L13" s="39">
        <v>0</v>
      </c>
      <c r="M13" s="39"/>
      <c r="N13" s="159">
        <v>20000</v>
      </c>
    </row>
    <row r="14" spans="1:14">
      <c r="A14" s="155" t="s">
        <v>39</v>
      </c>
      <c r="B14" s="39" t="s">
        <v>40</v>
      </c>
      <c r="C14" s="39" t="s">
        <v>41</v>
      </c>
      <c r="D14" s="39" t="s">
        <v>20</v>
      </c>
      <c r="E14" s="156">
        <v>45566</v>
      </c>
      <c r="F14" s="157" t="s">
        <v>42</v>
      </c>
      <c r="G14" s="15" t="s">
        <v>38</v>
      </c>
      <c r="H14" s="158">
        <v>30000</v>
      </c>
      <c r="I14" s="39">
        <v>30</v>
      </c>
      <c r="J14" s="39">
        <v>0</v>
      </c>
      <c r="K14" s="39">
        <v>0</v>
      </c>
      <c r="L14" s="39">
        <v>0</v>
      </c>
      <c r="M14" s="39"/>
      <c r="N14" s="159">
        <v>30000</v>
      </c>
    </row>
    <row r="15" spans="1:14">
      <c r="A15" s="155" t="s">
        <v>43</v>
      </c>
      <c r="B15" s="39" t="s">
        <v>44</v>
      </c>
      <c r="C15" s="39" t="s">
        <v>86</v>
      </c>
      <c r="D15" s="39" t="s">
        <v>20</v>
      </c>
      <c r="E15" s="156">
        <v>45597</v>
      </c>
      <c r="F15" s="157" t="s">
        <v>45</v>
      </c>
      <c r="G15" s="15" t="s">
        <v>46</v>
      </c>
      <c r="H15" s="158">
        <v>30000</v>
      </c>
      <c r="I15" s="39">
        <v>30</v>
      </c>
      <c r="J15" s="39">
        <v>0</v>
      </c>
      <c r="K15" s="39">
        <v>0</v>
      </c>
      <c r="L15" s="39">
        <v>0</v>
      </c>
      <c r="M15" s="39"/>
      <c r="N15" s="159">
        <v>30000</v>
      </c>
    </row>
    <row r="16" spans="1:14">
      <c r="A16" s="40" t="s">
        <v>89</v>
      </c>
      <c r="B16" s="43" t="s">
        <v>90</v>
      </c>
      <c r="C16" s="39" t="s">
        <v>91</v>
      </c>
      <c r="D16" s="39" t="s">
        <v>20</v>
      </c>
      <c r="E16" s="156">
        <v>45597</v>
      </c>
      <c r="F16" s="42" t="s">
        <v>92</v>
      </c>
      <c r="G16" s="20" t="s">
        <v>38</v>
      </c>
      <c r="H16" s="158">
        <v>26000</v>
      </c>
      <c r="I16" s="39">
        <v>30</v>
      </c>
      <c r="J16" s="39">
        <v>0</v>
      </c>
      <c r="K16" s="39">
        <v>0</v>
      </c>
      <c r="L16" s="39">
        <v>0</v>
      </c>
      <c r="M16" s="39"/>
      <c r="N16" s="159">
        <v>26000</v>
      </c>
    </row>
    <row r="17" spans="1:14" ht="15.75" thickBot="1">
      <c r="A17" s="160" t="s">
        <v>47</v>
      </c>
      <c r="B17" s="161" t="s">
        <v>48</v>
      </c>
      <c r="C17" s="161" t="s">
        <v>49</v>
      </c>
      <c r="D17" s="161" t="s">
        <v>20</v>
      </c>
      <c r="E17" s="162">
        <v>45559</v>
      </c>
      <c r="F17" s="163" t="s">
        <v>50</v>
      </c>
      <c r="G17" s="25" t="s">
        <v>93</v>
      </c>
      <c r="H17" s="164">
        <v>28000</v>
      </c>
      <c r="I17" s="161">
        <v>30</v>
      </c>
      <c r="J17" s="161">
        <v>0</v>
      </c>
      <c r="K17" s="161">
        <v>0</v>
      </c>
      <c r="L17" s="161">
        <v>0</v>
      </c>
      <c r="M17" s="165"/>
      <c r="N17" s="166">
        <v>28000</v>
      </c>
    </row>
    <row r="18" spans="1:14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thickBot="1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ht="27" thickBot="1">
      <c r="A20" s="55" t="s">
        <v>51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7"/>
    </row>
    <row r="21" spans="1:14" ht="15.75" thickBot="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66" t="s">
        <v>2</v>
      </c>
      <c r="B22" s="45" t="s">
        <v>3</v>
      </c>
      <c r="C22" s="45" t="s">
        <v>4</v>
      </c>
      <c r="D22" s="45" t="s">
        <v>5</v>
      </c>
      <c r="E22" s="58" t="s">
        <v>6</v>
      </c>
      <c r="F22" s="58" t="s">
        <v>7</v>
      </c>
      <c r="G22" s="58" t="s">
        <v>8</v>
      </c>
      <c r="H22" s="58" t="s">
        <v>9</v>
      </c>
      <c r="I22" s="69" t="s">
        <v>10</v>
      </c>
      <c r="J22" s="50"/>
      <c r="K22" s="50"/>
      <c r="L22" s="60"/>
      <c r="M22" s="61" t="s">
        <v>11</v>
      </c>
      <c r="N22" s="62" t="s">
        <v>12</v>
      </c>
    </row>
    <row r="23" spans="1:14">
      <c r="A23" s="67"/>
      <c r="B23" s="46"/>
      <c r="C23" s="46"/>
      <c r="D23" s="46"/>
      <c r="E23" s="46"/>
      <c r="F23" s="46"/>
      <c r="G23" s="46"/>
      <c r="H23" s="46"/>
      <c r="I23" s="147" t="s">
        <v>13</v>
      </c>
      <c r="J23" s="147" t="s">
        <v>14</v>
      </c>
      <c r="K23" s="147" t="s">
        <v>15</v>
      </c>
      <c r="L23" s="148" t="s">
        <v>16</v>
      </c>
      <c r="M23" s="46"/>
      <c r="N23" s="63"/>
    </row>
    <row r="24" spans="1:14" ht="15.75" thickBot="1">
      <c r="A24" s="68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64"/>
    </row>
    <row r="25" spans="1:14">
      <c r="A25" s="167" t="s">
        <v>52</v>
      </c>
      <c r="B25" s="168" t="s">
        <v>53</v>
      </c>
      <c r="C25" s="168" t="s">
        <v>54</v>
      </c>
      <c r="D25" s="168" t="s">
        <v>20</v>
      </c>
      <c r="E25" s="169">
        <v>44475</v>
      </c>
      <c r="F25" s="170" t="s">
        <v>55</v>
      </c>
      <c r="G25" s="15" t="s">
        <v>56</v>
      </c>
      <c r="H25" s="171">
        <v>60000</v>
      </c>
      <c r="I25" s="168">
        <v>30</v>
      </c>
      <c r="J25" s="168">
        <v>0</v>
      </c>
      <c r="K25" s="168">
        <v>0</v>
      </c>
      <c r="L25" s="168">
        <v>0</v>
      </c>
      <c r="M25" s="172">
        <v>25000</v>
      </c>
      <c r="N25" s="173">
        <v>85000</v>
      </c>
    </row>
    <row r="26" spans="1:14">
      <c r="A26" s="149" t="s">
        <v>57</v>
      </c>
      <c r="B26" s="39" t="s">
        <v>58</v>
      </c>
      <c r="C26" s="150" t="s">
        <v>59</v>
      </c>
      <c r="D26" s="150" t="s">
        <v>20</v>
      </c>
      <c r="E26" s="151">
        <v>45468</v>
      </c>
      <c r="F26" s="157" t="s">
        <v>60</v>
      </c>
      <c r="G26" s="15" t="s">
        <v>61</v>
      </c>
      <c r="H26" s="153">
        <v>24000</v>
      </c>
      <c r="I26" s="150">
        <v>30</v>
      </c>
      <c r="J26" s="150">
        <v>0</v>
      </c>
      <c r="K26" s="150">
        <f>[1]Attandance!AJ20</f>
        <v>0</v>
      </c>
      <c r="L26" s="150" t="e">
        <f>[1]Attandance!AK20</f>
        <v>#REF!</v>
      </c>
      <c r="M26" s="150"/>
      <c r="N26" s="154">
        <v>24000</v>
      </c>
    </row>
    <row r="27" spans="1:14">
      <c r="A27" s="149" t="s">
        <v>62</v>
      </c>
      <c r="B27" s="39" t="s">
        <v>63</v>
      </c>
      <c r="C27" s="150" t="s">
        <v>64</v>
      </c>
      <c r="D27" s="150" t="s">
        <v>20</v>
      </c>
      <c r="E27" s="151">
        <v>45505</v>
      </c>
      <c r="F27" s="157" t="s">
        <v>65</v>
      </c>
      <c r="G27" s="15" t="s">
        <v>66</v>
      </c>
      <c r="H27" s="153">
        <v>8000</v>
      </c>
      <c r="I27" s="150">
        <v>30</v>
      </c>
      <c r="J27" s="150">
        <v>0</v>
      </c>
      <c r="K27" s="150">
        <f>[1]Attandance!AJ21</f>
        <v>0</v>
      </c>
      <c r="L27" s="150" t="e">
        <f>[1]Attandance!AK21</f>
        <v>#REF!</v>
      </c>
      <c r="M27" s="150"/>
      <c r="N27" s="154">
        <v>8000</v>
      </c>
    </row>
    <row r="28" spans="1:14">
      <c r="A28" s="149" t="s">
        <v>67</v>
      </c>
      <c r="B28" s="39" t="s">
        <v>68</v>
      </c>
      <c r="C28" s="150" t="s">
        <v>69</v>
      </c>
      <c r="D28" s="150" t="s">
        <v>20</v>
      </c>
      <c r="E28" s="151">
        <v>45597</v>
      </c>
      <c r="F28" s="157" t="s">
        <v>70</v>
      </c>
      <c r="G28" s="15" t="s">
        <v>38</v>
      </c>
      <c r="H28" s="153">
        <v>15000</v>
      </c>
      <c r="I28" s="150">
        <v>30</v>
      </c>
      <c r="J28" s="150">
        <v>0</v>
      </c>
      <c r="K28" s="150">
        <v>0</v>
      </c>
      <c r="L28" s="150" t="e">
        <f>[1]Attandance!AK22</f>
        <v>#REF!</v>
      </c>
      <c r="M28" s="150"/>
      <c r="N28" s="154">
        <v>15000</v>
      </c>
    </row>
    <row r="29" spans="1:14">
      <c r="A29" s="149" t="s">
        <v>71</v>
      </c>
      <c r="B29" s="39" t="s">
        <v>72</v>
      </c>
      <c r="C29" s="150" t="s">
        <v>73</v>
      </c>
      <c r="D29" s="150" t="s">
        <v>20</v>
      </c>
      <c r="E29" s="151">
        <v>44967</v>
      </c>
      <c r="F29" s="157" t="s">
        <v>74</v>
      </c>
      <c r="G29" s="15" t="s">
        <v>38</v>
      </c>
      <c r="H29" s="153">
        <v>15000</v>
      </c>
      <c r="I29" s="150">
        <v>30</v>
      </c>
      <c r="J29" s="150">
        <v>0</v>
      </c>
      <c r="K29" s="150">
        <f>[1]Attandance!AJ23</f>
        <v>0</v>
      </c>
      <c r="L29" s="150" t="e">
        <f>[1]Attandance!AK23</f>
        <v>#REF!</v>
      </c>
      <c r="M29" s="150"/>
      <c r="N29" s="154">
        <v>15000</v>
      </c>
    </row>
    <row r="30" spans="1:14">
      <c r="A30" s="149" t="s">
        <v>75</v>
      </c>
      <c r="B30" s="43" t="s">
        <v>76</v>
      </c>
      <c r="C30" s="150" t="s">
        <v>73</v>
      </c>
      <c r="D30" s="150" t="s">
        <v>20</v>
      </c>
      <c r="E30" s="151">
        <v>45587</v>
      </c>
      <c r="F30" s="42" t="s">
        <v>77</v>
      </c>
      <c r="G30" s="20" t="s">
        <v>38</v>
      </c>
      <c r="H30" s="153">
        <v>15000</v>
      </c>
      <c r="I30" s="150">
        <v>30</v>
      </c>
      <c r="J30" s="150">
        <v>0</v>
      </c>
      <c r="K30" s="150">
        <f>[1]Attandance!AJ24</f>
        <v>0</v>
      </c>
      <c r="L30" s="150" t="e">
        <f>[1]Attandance!AK24</f>
        <v>#REF!</v>
      </c>
      <c r="M30" s="39"/>
      <c r="N30" s="154">
        <v>15000</v>
      </c>
    </row>
    <row r="31" spans="1:14" ht="15.75" thickBot="1">
      <c r="A31" s="160" t="s">
        <v>78</v>
      </c>
      <c r="B31" s="161" t="s">
        <v>72</v>
      </c>
      <c r="C31" s="174" t="s">
        <v>69</v>
      </c>
      <c r="D31" s="174" t="s">
        <v>20</v>
      </c>
      <c r="E31" s="162">
        <v>44959</v>
      </c>
      <c r="F31" s="163" t="s">
        <v>79</v>
      </c>
      <c r="G31" s="25" t="s">
        <v>38</v>
      </c>
      <c r="H31" s="175">
        <v>15000</v>
      </c>
      <c r="I31" s="174">
        <v>30</v>
      </c>
      <c r="J31" s="174">
        <v>0</v>
      </c>
      <c r="K31" s="174">
        <f>[1]Attandance!AJ25</f>
        <v>0</v>
      </c>
      <c r="L31" s="174" t="e">
        <f>[1]Attandance!AK25</f>
        <v>#REF!</v>
      </c>
      <c r="M31" s="174"/>
      <c r="N31" s="176">
        <v>15000</v>
      </c>
    </row>
  </sheetData>
  <mergeCells count="34">
    <mergeCell ref="M22:M24"/>
    <mergeCell ref="N22:N24"/>
    <mergeCell ref="I23:I24"/>
    <mergeCell ref="J23:J24"/>
    <mergeCell ref="K23:K24"/>
    <mergeCell ref="L23:L24"/>
    <mergeCell ref="A20:N20"/>
    <mergeCell ref="A22:A24"/>
    <mergeCell ref="B22:B24"/>
    <mergeCell ref="C22:C24"/>
    <mergeCell ref="D22:D24"/>
    <mergeCell ref="E22:E24"/>
    <mergeCell ref="F22:F24"/>
    <mergeCell ref="G22:G24"/>
    <mergeCell ref="H22:H24"/>
    <mergeCell ref="I22:L22"/>
    <mergeCell ref="H6:H8"/>
    <mergeCell ref="I6:L6"/>
    <mergeCell ref="M6:M8"/>
    <mergeCell ref="N6:N8"/>
    <mergeCell ref="I7:I8"/>
    <mergeCell ref="J7:J8"/>
    <mergeCell ref="K7:K8"/>
    <mergeCell ref="L7:L8"/>
    <mergeCell ref="A1:N1"/>
    <mergeCell ref="A2:N2"/>
    <mergeCell ref="A4:N4"/>
    <mergeCell ref="A6:A8"/>
    <mergeCell ref="B6:B8"/>
    <mergeCell ref="C6:C8"/>
    <mergeCell ref="D6:D8"/>
    <mergeCell ref="E6:E8"/>
    <mergeCell ref="F6:F8"/>
    <mergeCell ref="G6:G8"/>
  </mergeCells>
  <conditionalFormatting sqref="B25:B30">
    <cfRule type="expression" dxfId="8" priority="2">
      <formula>$C25=#REF!</formula>
    </cfRule>
  </conditionalFormatting>
  <conditionalFormatting sqref="B9:M9 B10:C11 M10:M16 D10:L17 C12:C16 C25:M31">
    <cfRule type="expression" dxfId="7" priority="1">
      <formula>$C9=#REF!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995D-E682-4ACC-B5BA-04F32D39E7F3}">
  <dimension ref="A1:N31"/>
  <sheetViews>
    <sheetView topLeftCell="A14" workbookViewId="0">
      <selection activeCell="A29" sqref="A29:XFD29"/>
    </sheetView>
  </sheetViews>
  <sheetFormatPr defaultRowHeight="15"/>
  <cols>
    <col min="1" max="1" width="18.140625" bestFit="1" customWidth="1"/>
    <col min="2" max="2" width="20.42578125" bestFit="1" customWidth="1"/>
    <col min="3" max="3" width="17.85546875" bestFit="1" customWidth="1"/>
    <col min="4" max="4" width="8.140625" bestFit="1" customWidth="1"/>
    <col min="5" max="5" width="13.140625" bestFit="1" customWidth="1"/>
    <col min="6" max="6" width="15.5703125" bestFit="1" customWidth="1"/>
    <col min="7" max="7" width="17.28515625" bestFit="1" customWidth="1"/>
    <col min="8" max="8" width="12.7109375" bestFit="1" customWidth="1"/>
    <col min="9" max="9" width="9.42578125" bestFit="1" customWidth="1"/>
    <col min="10" max="11" width="7" bestFit="1" customWidth="1"/>
    <col min="12" max="12" width="5.85546875" bestFit="1" customWidth="1"/>
    <col min="13" max="13" width="11.28515625" customWidth="1"/>
    <col min="14" max="14" width="11.140625" bestFit="1" customWidth="1"/>
  </cols>
  <sheetData>
    <row r="1" spans="1:14" ht="21">
      <c r="A1" s="49" t="s">
        <v>144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</row>
    <row r="2" spans="1:14" ht="21.75" thickBot="1">
      <c r="A2" s="52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/>
    </row>
    <row r="3" spans="1:14" ht="15.75" thickBot="1"/>
    <row r="4" spans="1:14" ht="27" thickBot="1">
      <c r="A4" s="55" t="s">
        <v>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7"/>
    </row>
    <row r="5" spans="1:14" ht="15.75" thickBot="1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4">
      <c r="A6" s="66" t="s">
        <v>2</v>
      </c>
      <c r="B6" s="45" t="s">
        <v>3</v>
      </c>
      <c r="C6" s="45" t="s">
        <v>4</v>
      </c>
      <c r="D6" s="45" t="s">
        <v>5</v>
      </c>
      <c r="E6" s="58" t="s">
        <v>6</v>
      </c>
      <c r="F6" s="58" t="s">
        <v>7</v>
      </c>
      <c r="G6" s="58" t="s">
        <v>8</v>
      </c>
      <c r="H6" s="58" t="s">
        <v>9</v>
      </c>
      <c r="I6" s="59" t="s">
        <v>10</v>
      </c>
      <c r="J6" s="50"/>
      <c r="K6" s="50"/>
      <c r="L6" s="60"/>
      <c r="M6" s="61" t="s">
        <v>11</v>
      </c>
      <c r="N6" s="62" t="s">
        <v>12</v>
      </c>
    </row>
    <row r="7" spans="1:14">
      <c r="A7" s="67"/>
      <c r="B7" s="46"/>
      <c r="C7" s="46"/>
      <c r="D7" s="46"/>
      <c r="E7" s="46"/>
      <c r="F7" s="46"/>
      <c r="G7" s="46"/>
      <c r="H7" s="46"/>
      <c r="I7" s="147" t="s">
        <v>13</v>
      </c>
      <c r="J7" s="147" t="s">
        <v>14</v>
      </c>
      <c r="K7" s="147" t="s">
        <v>15</v>
      </c>
      <c r="L7" s="148" t="s">
        <v>16</v>
      </c>
      <c r="M7" s="46"/>
      <c r="N7" s="63"/>
    </row>
    <row r="8" spans="1:14" ht="15.75" thickBot="1">
      <c r="A8" s="68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64"/>
    </row>
    <row r="9" spans="1:14">
      <c r="A9" s="149" t="s">
        <v>17</v>
      </c>
      <c r="B9" s="150" t="s">
        <v>18</v>
      </c>
      <c r="C9" s="150" t="s">
        <v>19</v>
      </c>
      <c r="D9" s="150" t="s">
        <v>20</v>
      </c>
      <c r="E9" s="151">
        <v>44774</v>
      </c>
      <c r="F9" s="152" t="s">
        <v>21</v>
      </c>
      <c r="G9" s="7" t="s">
        <v>22</v>
      </c>
      <c r="H9" s="153">
        <v>24200</v>
      </c>
      <c r="I9" s="150">
        <v>31</v>
      </c>
      <c r="J9" s="150">
        <v>31</v>
      </c>
      <c r="K9" s="150">
        <v>0</v>
      </c>
      <c r="L9" s="150">
        <f>[1]Attandance!AK5</f>
        <v>0</v>
      </c>
      <c r="M9" s="150"/>
      <c r="N9" s="154">
        <v>24200</v>
      </c>
    </row>
    <row r="10" spans="1:14">
      <c r="A10" s="155" t="s">
        <v>23</v>
      </c>
      <c r="B10" s="39" t="s">
        <v>24</v>
      </c>
      <c r="C10" s="39" t="s">
        <v>19</v>
      </c>
      <c r="D10" s="39" t="s">
        <v>20</v>
      </c>
      <c r="E10" s="156">
        <v>44774</v>
      </c>
      <c r="F10" s="157" t="s">
        <v>25</v>
      </c>
      <c r="G10" s="15" t="s">
        <v>26</v>
      </c>
      <c r="H10" s="158">
        <v>15000</v>
      </c>
      <c r="I10" s="150">
        <v>31</v>
      </c>
      <c r="J10" s="150">
        <v>31</v>
      </c>
      <c r="K10" s="39">
        <v>0</v>
      </c>
      <c r="L10" s="39">
        <v>0</v>
      </c>
      <c r="M10" s="39"/>
      <c r="N10" s="159">
        <v>15000</v>
      </c>
    </row>
    <row r="11" spans="1:14">
      <c r="A11" s="155" t="s">
        <v>27</v>
      </c>
      <c r="B11" s="39" t="s">
        <v>28</v>
      </c>
      <c r="C11" s="39" t="s">
        <v>19</v>
      </c>
      <c r="D11" s="39" t="s">
        <v>20</v>
      </c>
      <c r="E11" s="156">
        <v>45198</v>
      </c>
      <c r="F11" s="157" t="s">
        <v>29</v>
      </c>
      <c r="G11" s="15" t="s">
        <v>30</v>
      </c>
      <c r="H11" s="158">
        <v>16500</v>
      </c>
      <c r="I11" s="150">
        <v>31</v>
      </c>
      <c r="J11" s="150">
        <v>31</v>
      </c>
      <c r="K11" s="39">
        <v>0</v>
      </c>
      <c r="L11" s="39">
        <v>0</v>
      </c>
      <c r="M11" s="39"/>
      <c r="N11" s="159">
        <v>16500</v>
      </c>
    </row>
    <row r="12" spans="1:14">
      <c r="A12" s="155" t="s">
        <v>31</v>
      </c>
      <c r="B12" s="39" t="s">
        <v>32</v>
      </c>
      <c r="C12" s="39" t="s">
        <v>19</v>
      </c>
      <c r="D12" s="39" t="s">
        <v>20</v>
      </c>
      <c r="E12" s="156">
        <v>45323</v>
      </c>
      <c r="F12" s="157" t="s">
        <v>33</v>
      </c>
      <c r="G12" s="15" t="s">
        <v>34</v>
      </c>
      <c r="H12" s="158">
        <v>25000</v>
      </c>
      <c r="I12" s="150">
        <v>31</v>
      </c>
      <c r="J12" s="150">
        <v>31</v>
      </c>
      <c r="K12" s="39">
        <v>0</v>
      </c>
      <c r="L12" s="39">
        <v>0</v>
      </c>
      <c r="M12" s="39"/>
      <c r="N12" s="159">
        <v>25000</v>
      </c>
    </row>
    <row r="13" spans="1:14">
      <c r="A13" s="155" t="s">
        <v>35</v>
      </c>
      <c r="B13" s="39" t="s">
        <v>36</v>
      </c>
      <c r="C13" s="39" t="s">
        <v>19</v>
      </c>
      <c r="D13" s="39" t="s">
        <v>20</v>
      </c>
      <c r="E13" s="156">
        <v>45536</v>
      </c>
      <c r="F13" s="157" t="s">
        <v>37</v>
      </c>
      <c r="G13" s="15" t="s">
        <v>38</v>
      </c>
      <c r="H13" s="158">
        <v>20000</v>
      </c>
      <c r="I13" s="150">
        <v>31</v>
      </c>
      <c r="J13" s="150">
        <v>31</v>
      </c>
      <c r="K13" s="39">
        <v>0</v>
      </c>
      <c r="L13" s="39">
        <v>0</v>
      </c>
      <c r="M13" s="39"/>
      <c r="N13" s="159">
        <v>20000</v>
      </c>
    </row>
    <row r="14" spans="1:14">
      <c r="A14" s="155" t="s">
        <v>39</v>
      </c>
      <c r="B14" s="39" t="s">
        <v>40</v>
      </c>
      <c r="C14" s="39" t="s">
        <v>41</v>
      </c>
      <c r="D14" s="39" t="s">
        <v>20</v>
      </c>
      <c r="E14" s="156">
        <v>45566</v>
      </c>
      <c r="F14" s="157" t="s">
        <v>42</v>
      </c>
      <c r="G14" s="15" t="s">
        <v>38</v>
      </c>
      <c r="H14" s="158">
        <v>30000</v>
      </c>
      <c r="I14" s="150">
        <v>31</v>
      </c>
      <c r="J14" s="150">
        <v>31</v>
      </c>
      <c r="K14" s="39">
        <v>0</v>
      </c>
      <c r="L14" s="39">
        <v>0</v>
      </c>
      <c r="M14" s="39"/>
      <c r="N14" s="159">
        <v>30000</v>
      </c>
    </row>
    <row r="15" spans="1:14">
      <c r="A15" s="155" t="s">
        <v>43</v>
      </c>
      <c r="B15" s="39" t="s">
        <v>44</v>
      </c>
      <c r="C15" s="39" t="s">
        <v>86</v>
      </c>
      <c r="D15" s="39" t="s">
        <v>20</v>
      </c>
      <c r="E15" s="156">
        <v>45597</v>
      </c>
      <c r="F15" s="157" t="s">
        <v>45</v>
      </c>
      <c r="G15" s="15" t="s">
        <v>46</v>
      </c>
      <c r="H15" s="158">
        <v>30000</v>
      </c>
      <c r="I15" s="150">
        <v>31</v>
      </c>
      <c r="J15" s="150">
        <v>31</v>
      </c>
      <c r="K15" s="39">
        <v>0</v>
      </c>
      <c r="L15" s="39">
        <v>0</v>
      </c>
      <c r="M15" s="39"/>
      <c r="N15" s="159">
        <v>30000</v>
      </c>
    </row>
    <row r="16" spans="1:14">
      <c r="A16" s="40" t="s">
        <v>89</v>
      </c>
      <c r="B16" s="43" t="s">
        <v>90</v>
      </c>
      <c r="C16" s="39" t="s">
        <v>91</v>
      </c>
      <c r="D16" s="39" t="s">
        <v>20</v>
      </c>
      <c r="E16" s="156">
        <v>45597</v>
      </c>
      <c r="F16" s="42" t="s">
        <v>92</v>
      </c>
      <c r="G16" s="20" t="s">
        <v>38</v>
      </c>
      <c r="H16" s="158">
        <v>26000</v>
      </c>
      <c r="I16" s="150">
        <v>31</v>
      </c>
      <c r="J16" s="150">
        <v>31</v>
      </c>
      <c r="K16" s="39">
        <v>0</v>
      </c>
      <c r="L16" s="39">
        <v>0</v>
      </c>
      <c r="M16" s="39"/>
      <c r="N16" s="159">
        <v>26000</v>
      </c>
    </row>
    <row r="17" spans="1:14" ht="15.75" thickBot="1">
      <c r="A17" s="160" t="s">
        <v>47</v>
      </c>
      <c r="B17" s="161" t="s">
        <v>48</v>
      </c>
      <c r="C17" s="161" t="s">
        <v>49</v>
      </c>
      <c r="D17" s="161" t="s">
        <v>20</v>
      </c>
      <c r="E17" s="162">
        <v>45559</v>
      </c>
      <c r="F17" s="163" t="s">
        <v>50</v>
      </c>
      <c r="G17" s="25" t="s">
        <v>93</v>
      </c>
      <c r="H17" s="164">
        <v>28000</v>
      </c>
      <c r="I17" s="161">
        <v>31</v>
      </c>
      <c r="J17" s="161">
        <v>31</v>
      </c>
      <c r="K17" s="161">
        <v>0</v>
      </c>
      <c r="L17" s="161">
        <v>0</v>
      </c>
      <c r="M17" s="165"/>
      <c r="N17" s="166">
        <v>28000</v>
      </c>
    </row>
    <row r="18" spans="1:14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thickBot="1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ht="27" thickBot="1">
      <c r="A20" s="55" t="s">
        <v>51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7"/>
    </row>
    <row r="21" spans="1:14" ht="15.75" thickBot="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66" t="s">
        <v>2</v>
      </c>
      <c r="B22" s="45" t="s">
        <v>3</v>
      </c>
      <c r="C22" s="45" t="s">
        <v>4</v>
      </c>
      <c r="D22" s="45" t="s">
        <v>5</v>
      </c>
      <c r="E22" s="58" t="s">
        <v>6</v>
      </c>
      <c r="F22" s="58" t="s">
        <v>7</v>
      </c>
      <c r="G22" s="58" t="s">
        <v>8</v>
      </c>
      <c r="H22" s="58" t="s">
        <v>9</v>
      </c>
      <c r="I22" s="69" t="s">
        <v>10</v>
      </c>
      <c r="J22" s="50"/>
      <c r="K22" s="50"/>
      <c r="L22" s="60"/>
      <c r="M22" s="61" t="s">
        <v>11</v>
      </c>
      <c r="N22" s="62" t="s">
        <v>12</v>
      </c>
    </row>
    <row r="23" spans="1:14">
      <c r="A23" s="67"/>
      <c r="B23" s="46"/>
      <c r="C23" s="46"/>
      <c r="D23" s="46"/>
      <c r="E23" s="46"/>
      <c r="F23" s="46"/>
      <c r="G23" s="46"/>
      <c r="H23" s="46"/>
      <c r="I23" s="147" t="s">
        <v>13</v>
      </c>
      <c r="J23" s="147" t="s">
        <v>14</v>
      </c>
      <c r="K23" s="147" t="s">
        <v>15</v>
      </c>
      <c r="L23" s="148" t="s">
        <v>16</v>
      </c>
      <c r="M23" s="46"/>
      <c r="N23" s="63"/>
    </row>
    <row r="24" spans="1:14" ht="15.75" thickBot="1">
      <c r="A24" s="68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64"/>
    </row>
    <row r="25" spans="1:14">
      <c r="A25" s="167" t="s">
        <v>52</v>
      </c>
      <c r="B25" s="168" t="s">
        <v>53</v>
      </c>
      <c r="C25" s="168" t="s">
        <v>54</v>
      </c>
      <c r="D25" s="168" t="s">
        <v>20</v>
      </c>
      <c r="E25" s="169">
        <v>44475</v>
      </c>
      <c r="F25" s="170" t="s">
        <v>55</v>
      </c>
      <c r="G25" s="15" t="s">
        <v>56</v>
      </c>
      <c r="H25" s="171">
        <v>66000</v>
      </c>
      <c r="I25" s="168">
        <v>31</v>
      </c>
      <c r="J25" s="168">
        <v>0</v>
      </c>
      <c r="K25" s="168">
        <v>0</v>
      </c>
      <c r="L25" s="168">
        <v>0</v>
      </c>
      <c r="M25" s="172">
        <v>25000</v>
      </c>
      <c r="N25" s="173">
        <v>91000</v>
      </c>
    </row>
    <row r="26" spans="1:14">
      <c r="A26" s="149" t="s">
        <v>57</v>
      </c>
      <c r="B26" s="39" t="s">
        <v>58</v>
      </c>
      <c r="C26" s="150" t="s">
        <v>59</v>
      </c>
      <c r="D26" s="150" t="s">
        <v>20</v>
      </c>
      <c r="E26" s="151">
        <v>45468</v>
      </c>
      <c r="F26" s="157" t="s">
        <v>60</v>
      </c>
      <c r="G26" s="15" t="s">
        <v>61</v>
      </c>
      <c r="H26" s="153">
        <v>24000</v>
      </c>
      <c r="I26" s="150">
        <v>31</v>
      </c>
      <c r="J26" s="150">
        <v>0</v>
      </c>
      <c r="K26" s="150">
        <f>[1]Attandance!AJ20</f>
        <v>0</v>
      </c>
      <c r="L26" s="150">
        <v>0</v>
      </c>
      <c r="M26" s="150"/>
      <c r="N26" s="154">
        <v>24000</v>
      </c>
    </row>
    <row r="27" spans="1:14">
      <c r="A27" s="149" t="s">
        <v>62</v>
      </c>
      <c r="B27" s="39" t="s">
        <v>63</v>
      </c>
      <c r="C27" s="150" t="s">
        <v>64</v>
      </c>
      <c r="D27" s="150" t="s">
        <v>20</v>
      </c>
      <c r="E27" s="151">
        <v>45505</v>
      </c>
      <c r="F27" s="157" t="s">
        <v>65</v>
      </c>
      <c r="G27" s="15" t="s">
        <v>66</v>
      </c>
      <c r="H27" s="153">
        <v>8000</v>
      </c>
      <c r="I27" s="150">
        <v>31</v>
      </c>
      <c r="J27" s="150">
        <v>0</v>
      </c>
      <c r="K27" s="150">
        <f>[1]Attandance!AJ21</f>
        <v>0</v>
      </c>
      <c r="L27" s="150">
        <v>0</v>
      </c>
      <c r="M27" s="150"/>
      <c r="N27" s="154">
        <v>8000</v>
      </c>
    </row>
    <row r="28" spans="1:14">
      <c r="A28" s="149" t="s">
        <v>67</v>
      </c>
      <c r="B28" s="39" t="s">
        <v>68</v>
      </c>
      <c r="C28" s="150" t="s">
        <v>69</v>
      </c>
      <c r="D28" s="150" t="s">
        <v>20</v>
      </c>
      <c r="E28" s="151">
        <v>45597</v>
      </c>
      <c r="F28" s="157" t="s">
        <v>70</v>
      </c>
      <c r="G28" s="15" t="s">
        <v>38</v>
      </c>
      <c r="H28" s="153">
        <v>15000</v>
      </c>
      <c r="I28" s="150">
        <v>31</v>
      </c>
      <c r="J28" s="150">
        <v>0</v>
      </c>
      <c r="K28" s="150">
        <v>0</v>
      </c>
      <c r="L28" s="150">
        <v>0</v>
      </c>
      <c r="M28" s="150"/>
      <c r="N28" s="154">
        <v>15000</v>
      </c>
    </row>
    <row r="29" spans="1:14">
      <c r="A29" s="149" t="s">
        <v>71</v>
      </c>
      <c r="B29" s="39" t="s">
        <v>72</v>
      </c>
      <c r="C29" s="150" t="s">
        <v>73</v>
      </c>
      <c r="D29" s="150" t="s">
        <v>20</v>
      </c>
      <c r="E29" s="151">
        <v>44967</v>
      </c>
      <c r="F29" s="157" t="s">
        <v>74</v>
      </c>
      <c r="G29" s="15" t="s">
        <v>38</v>
      </c>
      <c r="H29" s="153">
        <v>15000</v>
      </c>
      <c r="I29" s="150">
        <v>31</v>
      </c>
      <c r="J29" s="150">
        <v>0</v>
      </c>
      <c r="K29" s="150">
        <f>[1]Attandance!AJ23</f>
        <v>0</v>
      </c>
      <c r="L29" s="150">
        <v>0</v>
      </c>
      <c r="M29" s="150"/>
      <c r="N29" s="154">
        <v>15000</v>
      </c>
    </row>
    <row r="30" spans="1:14">
      <c r="A30" s="149" t="s">
        <v>75</v>
      </c>
      <c r="B30" s="43" t="s">
        <v>76</v>
      </c>
      <c r="C30" s="150" t="s">
        <v>73</v>
      </c>
      <c r="D30" s="150" t="s">
        <v>20</v>
      </c>
      <c r="E30" s="151">
        <v>45587</v>
      </c>
      <c r="F30" s="42" t="s">
        <v>77</v>
      </c>
      <c r="G30" s="20" t="s">
        <v>38</v>
      </c>
      <c r="H30" s="153">
        <v>15000</v>
      </c>
      <c r="I30" s="150">
        <v>31</v>
      </c>
      <c r="J30" s="150">
        <v>0</v>
      </c>
      <c r="K30" s="150">
        <f>[1]Attandance!AJ24</f>
        <v>0</v>
      </c>
      <c r="L30" s="150">
        <v>0</v>
      </c>
      <c r="M30" s="39"/>
      <c r="N30" s="154">
        <v>15000</v>
      </c>
    </row>
    <row r="31" spans="1:14" ht="15.75" thickBot="1">
      <c r="A31" s="160" t="s">
        <v>78</v>
      </c>
      <c r="B31" s="161" t="s">
        <v>72</v>
      </c>
      <c r="C31" s="174" t="s">
        <v>69</v>
      </c>
      <c r="D31" s="174" t="s">
        <v>20</v>
      </c>
      <c r="E31" s="162">
        <v>44959</v>
      </c>
      <c r="F31" s="163" t="s">
        <v>79</v>
      </c>
      <c r="G31" s="25" t="s">
        <v>38</v>
      </c>
      <c r="H31" s="175">
        <v>15000</v>
      </c>
      <c r="I31" s="174">
        <v>31</v>
      </c>
      <c r="J31" s="174">
        <v>0</v>
      </c>
      <c r="K31" s="174">
        <f>[1]Attandance!AJ25</f>
        <v>0</v>
      </c>
      <c r="L31" s="174">
        <v>0</v>
      </c>
      <c r="M31" s="174"/>
      <c r="N31" s="176">
        <v>15000</v>
      </c>
    </row>
  </sheetData>
  <mergeCells count="34">
    <mergeCell ref="M22:M24"/>
    <mergeCell ref="N22:N24"/>
    <mergeCell ref="I23:I24"/>
    <mergeCell ref="J23:J24"/>
    <mergeCell ref="K23:K24"/>
    <mergeCell ref="L23:L24"/>
    <mergeCell ref="A20:N20"/>
    <mergeCell ref="A22:A24"/>
    <mergeCell ref="B22:B24"/>
    <mergeCell ref="C22:C24"/>
    <mergeCell ref="D22:D24"/>
    <mergeCell ref="E22:E24"/>
    <mergeCell ref="F22:F24"/>
    <mergeCell ref="G22:G24"/>
    <mergeCell ref="H22:H24"/>
    <mergeCell ref="I22:L22"/>
    <mergeCell ref="H6:H8"/>
    <mergeCell ref="I6:L6"/>
    <mergeCell ref="M6:M8"/>
    <mergeCell ref="N6:N8"/>
    <mergeCell ref="I7:I8"/>
    <mergeCell ref="J7:J8"/>
    <mergeCell ref="K7:K8"/>
    <mergeCell ref="L7:L8"/>
    <mergeCell ref="A1:N1"/>
    <mergeCell ref="A2:N2"/>
    <mergeCell ref="A4:N4"/>
    <mergeCell ref="A6:A8"/>
    <mergeCell ref="B6:B8"/>
    <mergeCell ref="C6:C8"/>
    <mergeCell ref="D6:D8"/>
    <mergeCell ref="E6:E8"/>
    <mergeCell ref="F6:F8"/>
    <mergeCell ref="G6:G8"/>
  </mergeCells>
  <conditionalFormatting sqref="B25:B30">
    <cfRule type="expression" dxfId="1" priority="2">
      <formula>$C25=#REF!</formula>
    </cfRule>
  </conditionalFormatting>
  <conditionalFormatting sqref="B9:M9 B10:C11 M10:M16 C12:C16 D10:L17 C25:M31">
    <cfRule type="expression" dxfId="0" priority="1">
      <formula>$C9=#REF!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1A7F-2280-4E2F-AAA8-6140699EBE15}">
  <dimension ref="A1:N30"/>
  <sheetViews>
    <sheetView topLeftCell="A7" workbookViewId="0">
      <selection activeCell="C36" sqref="C36"/>
    </sheetView>
  </sheetViews>
  <sheetFormatPr defaultRowHeight="15"/>
  <cols>
    <col min="1" max="1" width="18.28515625" bestFit="1" customWidth="1"/>
    <col min="2" max="2" width="20.7109375" bestFit="1" customWidth="1"/>
    <col min="3" max="3" width="17.5703125" bestFit="1" customWidth="1"/>
    <col min="4" max="4" width="8.140625" bestFit="1" customWidth="1"/>
    <col min="5" max="5" width="13.140625" bestFit="1" customWidth="1"/>
    <col min="6" max="6" width="17.5703125" bestFit="1" customWidth="1"/>
    <col min="7" max="7" width="19.5703125" bestFit="1" customWidth="1"/>
    <col min="8" max="8" width="12.7109375" bestFit="1" customWidth="1"/>
    <col min="9" max="9" width="9.42578125" bestFit="1" customWidth="1"/>
    <col min="10" max="11" width="7" bestFit="1" customWidth="1"/>
    <col min="12" max="12" width="5.85546875" bestFit="1" customWidth="1"/>
    <col min="13" max="13" width="11.42578125" customWidth="1"/>
    <col min="14" max="14" width="11.28515625" bestFit="1" customWidth="1"/>
  </cols>
  <sheetData>
    <row r="1" spans="1:14" ht="21">
      <c r="A1" s="70" t="s">
        <v>85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2"/>
    </row>
    <row r="2" spans="1:14" ht="21.75" thickBot="1">
      <c r="A2" s="73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/>
    </row>
    <row r="3" spans="1:14" ht="15.75" thickBot="1"/>
    <row r="4" spans="1:14" ht="27" thickBot="1">
      <c r="A4" s="76" t="s">
        <v>1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8"/>
    </row>
    <row r="5" spans="1:14" ht="15.75" thickBot="1">
      <c r="A5" s="79"/>
      <c r="B5" s="79"/>
      <c r="C5" s="79"/>
      <c r="D5" s="79"/>
      <c r="E5" s="80"/>
      <c r="F5" s="79"/>
      <c r="G5" s="79"/>
      <c r="H5" s="79"/>
      <c r="I5" s="79"/>
      <c r="J5" s="79"/>
      <c r="K5" s="79"/>
      <c r="L5" s="79"/>
      <c r="M5" s="79"/>
      <c r="N5" s="79"/>
    </row>
    <row r="6" spans="1:14">
      <c r="A6" s="81" t="s">
        <v>2</v>
      </c>
      <c r="B6" s="82" t="s">
        <v>3</v>
      </c>
      <c r="C6" s="82" t="s">
        <v>4</v>
      </c>
      <c r="D6" s="82" t="s">
        <v>5</v>
      </c>
      <c r="E6" s="83" t="s">
        <v>6</v>
      </c>
      <c r="F6" s="83" t="s">
        <v>7</v>
      </c>
      <c r="G6" s="83" t="s">
        <v>8</v>
      </c>
      <c r="H6" s="83" t="s">
        <v>9</v>
      </c>
      <c r="I6" s="84" t="s">
        <v>10</v>
      </c>
      <c r="J6" s="84"/>
      <c r="K6" s="84"/>
      <c r="L6" s="84"/>
      <c r="M6" s="85" t="s">
        <v>11</v>
      </c>
      <c r="N6" s="86" t="s">
        <v>12</v>
      </c>
    </row>
    <row r="7" spans="1:14">
      <c r="A7" s="87"/>
      <c r="B7" s="88"/>
      <c r="C7" s="88"/>
      <c r="D7" s="88"/>
      <c r="E7" s="89"/>
      <c r="F7" s="88"/>
      <c r="G7" s="89"/>
      <c r="H7" s="89"/>
      <c r="I7" s="90" t="s">
        <v>13</v>
      </c>
      <c r="J7" s="90" t="s">
        <v>14</v>
      </c>
      <c r="K7" s="90" t="s">
        <v>15</v>
      </c>
      <c r="L7" s="91" t="s">
        <v>16</v>
      </c>
      <c r="M7" s="92"/>
      <c r="N7" s="93"/>
    </row>
    <row r="8" spans="1:14" ht="15.75" thickBot="1">
      <c r="A8" s="94"/>
      <c r="B8" s="95"/>
      <c r="C8" s="95"/>
      <c r="D8" s="95"/>
      <c r="E8" s="96"/>
      <c r="F8" s="95"/>
      <c r="G8" s="96"/>
      <c r="H8" s="96"/>
      <c r="I8" s="97"/>
      <c r="J8" s="97"/>
      <c r="K8" s="97"/>
      <c r="L8" s="98"/>
      <c r="M8" s="99"/>
      <c r="N8" s="100"/>
    </row>
    <row r="9" spans="1:14">
      <c r="A9" s="101" t="s">
        <v>17</v>
      </c>
      <c r="B9" s="102" t="s">
        <v>18</v>
      </c>
      <c r="C9" s="102" t="s">
        <v>19</v>
      </c>
      <c r="D9" s="102" t="s">
        <v>20</v>
      </c>
      <c r="E9" s="103">
        <v>44774</v>
      </c>
      <c r="F9" s="104" t="s">
        <v>21</v>
      </c>
      <c r="G9" s="105" t="s">
        <v>22</v>
      </c>
      <c r="H9" s="106">
        <v>24200</v>
      </c>
      <c r="I9" s="102">
        <v>31</v>
      </c>
      <c r="J9" s="102">
        <v>31</v>
      </c>
      <c r="K9" s="102">
        <v>0</v>
      </c>
      <c r="L9" s="102">
        <v>0</v>
      </c>
      <c r="M9" s="102"/>
      <c r="N9" s="107">
        <v>24200</v>
      </c>
    </row>
    <row r="10" spans="1:14">
      <c r="A10" s="108" t="s">
        <v>23</v>
      </c>
      <c r="B10" s="109" t="s">
        <v>24</v>
      </c>
      <c r="C10" s="109" t="s">
        <v>19</v>
      </c>
      <c r="D10" s="109" t="s">
        <v>20</v>
      </c>
      <c r="E10" s="110">
        <v>44774</v>
      </c>
      <c r="F10" s="111" t="s">
        <v>25</v>
      </c>
      <c r="G10" s="112" t="s">
        <v>26</v>
      </c>
      <c r="H10" s="113">
        <v>16500</v>
      </c>
      <c r="I10" s="109">
        <v>31</v>
      </c>
      <c r="J10" s="102">
        <v>31</v>
      </c>
      <c r="K10" s="109">
        <v>0</v>
      </c>
      <c r="L10" s="109">
        <v>0</v>
      </c>
      <c r="M10" s="109"/>
      <c r="N10" s="114">
        <v>16500</v>
      </c>
    </row>
    <row r="11" spans="1:14">
      <c r="A11" s="108" t="s">
        <v>27</v>
      </c>
      <c r="B11" s="109" t="s">
        <v>28</v>
      </c>
      <c r="C11" s="109" t="s">
        <v>19</v>
      </c>
      <c r="D11" s="109" t="s">
        <v>20</v>
      </c>
      <c r="E11" s="110">
        <v>45198</v>
      </c>
      <c r="F11" s="111" t="s">
        <v>29</v>
      </c>
      <c r="G11" s="112" t="s">
        <v>30</v>
      </c>
      <c r="H11" s="113">
        <v>16500</v>
      </c>
      <c r="I11" s="109">
        <v>31</v>
      </c>
      <c r="J11" s="102">
        <v>31</v>
      </c>
      <c r="K11" s="109">
        <v>0</v>
      </c>
      <c r="L11" s="109">
        <v>1</v>
      </c>
      <c r="M11" s="109"/>
      <c r="N11" s="114">
        <v>16500</v>
      </c>
    </row>
    <row r="12" spans="1:14">
      <c r="A12" s="108" t="s">
        <v>31</v>
      </c>
      <c r="B12" s="109" t="s">
        <v>32</v>
      </c>
      <c r="C12" s="109" t="s">
        <v>19</v>
      </c>
      <c r="D12" s="109" t="s">
        <v>20</v>
      </c>
      <c r="E12" s="110">
        <v>45323</v>
      </c>
      <c r="F12" s="111" t="s">
        <v>33</v>
      </c>
      <c r="G12" s="112" t="s">
        <v>34</v>
      </c>
      <c r="H12" s="113">
        <v>25000</v>
      </c>
      <c r="I12" s="109">
        <v>31</v>
      </c>
      <c r="J12" s="102">
        <v>31</v>
      </c>
      <c r="K12" s="109">
        <v>0</v>
      </c>
      <c r="L12" s="109">
        <v>1</v>
      </c>
      <c r="M12" s="109"/>
      <c r="N12" s="114">
        <v>25000</v>
      </c>
    </row>
    <row r="13" spans="1:14">
      <c r="A13" s="108" t="s">
        <v>35</v>
      </c>
      <c r="B13" s="109" t="s">
        <v>36</v>
      </c>
      <c r="C13" s="109" t="s">
        <v>19</v>
      </c>
      <c r="D13" s="109" t="s">
        <v>20</v>
      </c>
      <c r="E13" s="110">
        <v>45536</v>
      </c>
      <c r="F13" s="111" t="s">
        <v>37</v>
      </c>
      <c r="G13" s="112" t="s">
        <v>38</v>
      </c>
      <c r="H13" s="113">
        <v>20000</v>
      </c>
      <c r="I13" s="109">
        <v>31</v>
      </c>
      <c r="J13" s="102">
        <v>31</v>
      </c>
      <c r="K13" s="109">
        <v>0</v>
      </c>
      <c r="L13" s="109">
        <v>0</v>
      </c>
      <c r="M13" s="109"/>
      <c r="N13" s="114">
        <v>20000</v>
      </c>
    </row>
    <row r="14" spans="1:14">
      <c r="A14" s="108" t="s">
        <v>39</v>
      </c>
      <c r="B14" s="109" t="s">
        <v>40</v>
      </c>
      <c r="C14" s="109" t="s">
        <v>41</v>
      </c>
      <c r="D14" s="109" t="s">
        <v>20</v>
      </c>
      <c r="E14" s="110">
        <v>45566</v>
      </c>
      <c r="F14" s="111" t="s">
        <v>42</v>
      </c>
      <c r="G14" s="112" t="s">
        <v>38</v>
      </c>
      <c r="H14" s="113">
        <v>30000</v>
      </c>
      <c r="I14" s="109">
        <v>31</v>
      </c>
      <c r="J14" s="102">
        <v>31</v>
      </c>
      <c r="K14" s="109">
        <v>0</v>
      </c>
      <c r="L14" s="109">
        <v>1</v>
      </c>
      <c r="M14" s="109"/>
      <c r="N14" s="114">
        <v>30000</v>
      </c>
    </row>
    <row r="15" spans="1:14">
      <c r="A15" s="108" t="s">
        <v>43</v>
      </c>
      <c r="B15" s="109" t="s">
        <v>44</v>
      </c>
      <c r="C15" s="109" t="s">
        <v>86</v>
      </c>
      <c r="D15" s="109" t="s">
        <v>20</v>
      </c>
      <c r="E15" s="110">
        <v>45597</v>
      </c>
      <c r="F15" s="111" t="s">
        <v>45</v>
      </c>
      <c r="G15" s="112" t="s">
        <v>46</v>
      </c>
      <c r="H15" s="113">
        <v>30000</v>
      </c>
      <c r="I15" s="109">
        <v>31</v>
      </c>
      <c r="J15" s="109">
        <v>31</v>
      </c>
      <c r="K15" s="109">
        <v>0</v>
      </c>
      <c r="L15" s="109">
        <v>1</v>
      </c>
      <c r="M15" s="109"/>
      <c r="N15" s="114">
        <v>30000</v>
      </c>
    </row>
    <row r="16" spans="1:14" ht="15.75" thickBot="1">
      <c r="A16" s="115" t="s">
        <v>47</v>
      </c>
      <c r="B16" s="116" t="s">
        <v>48</v>
      </c>
      <c r="C16" s="116" t="s">
        <v>49</v>
      </c>
      <c r="D16" s="116" t="s">
        <v>20</v>
      </c>
      <c r="E16" s="117">
        <v>45559</v>
      </c>
      <c r="F16" s="118" t="s">
        <v>50</v>
      </c>
      <c r="G16" s="119" t="s">
        <v>38</v>
      </c>
      <c r="H16" s="120">
        <v>28000</v>
      </c>
      <c r="I16" s="116">
        <v>31</v>
      </c>
      <c r="J16" s="116">
        <v>29</v>
      </c>
      <c r="K16" s="116">
        <v>2</v>
      </c>
      <c r="L16" s="116">
        <v>0</v>
      </c>
      <c r="M16" s="121"/>
      <c r="N16" s="122">
        <v>26193.55</v>
      </c>
    </row>
    <row r="17" spans="1:14">
      <c r="A17" s="79"/>
      <c r="B17" s="79"/>
      <c r="C17" s="79"/>
      <c r="D17" s="79"/>
      <c r="E17" s="80"/>
      <c r="F17" s="79"/>
      <c r="G17" s="79"/>
      <c r="H17" s="79"/>
      <c r="I17" s="79"/>
      <c r="J17" s="79"/>
      <c r="K17" s="79"/>
      <c r="L17" s="79"/>
      <c r="M17" s="79"/>
      <c r="N17" s="79"/>
    </row>
    <row r="18" spans="1:14" ht="15.75" thickBot="1">
      <c r="A18" s="79"/>
      <c r="B18" s="79"/>
      <c r="C18" s="79"/>
      <c r="D18" s="79"/>
      <c r="E18" s="80"/>
      <c r="F18" s="79"/>
      <c r="G18" s="79"/>
      <c r="H18" s="79"/>
      <c r="I18" s="79"/>
      <c r="J18" s="79"/>
      <c r="K18" s="79"/>
      <c r="L18" s="79"/>
      <c r="M18" s="79"/>
      <c r="N18" s="79"/>
    </row>
    <row r="19" spans="1:14" ht="27" thickBot="1">
      <c r="A19" s="76" t="s">
        <v>51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8"/>
    </row>
    <row r="20" spans="1:14" ht="15.75" thickBot="1">
      <c r="A20" s="79"/>
      <c r="B20" s="79"/>
      <c r="C20" s="79"/>
      <c r="D20" s="79"/>
      <c r="E20" s="80"/>
      <c r="F20" s="79"/>
      <c r="G20" s="79"/>
      <c r="H20" s="79"/>
      <c r="I20" s="79"/>
      <c r="J20" s="79"/>
      <c r="K20" s="79"/>
      <c r="L20" s="79"/>
      <c r="M20" s="79"/>
      <c r="N20" s="79"/>
    </row>
    <row r="21" spans="1:14">
      <c r="A21" s="81" t="s">
        <v>2</v>
      </c>
      <c r="B21" s="82" t="s">
        <v>3</v>
      </c>
      <c r="C21" s="82" t="s">
        <v>4</v>
      </c>
      <c r="D21" s="82" t="s">
        <v>5</v>
      </c>
      <c r="E21" s="83" t="s">
        <v>6</v>
      </c>
      <c r="F21" s="83" t="s">
        <v>7</v>
      </c>
      <c r="G21" s="123" t="s">
        <v>8</v>
      </c>
      <c r="H21" s="123" t="s">
        <v>9</v>
      </c>
      <c r="I21" s="124" t="s">
        <v>10</v>
      </c>
      <c r="J21" s="124"/>
      <c r="K21" s="124"/>
      <c r="L21" s="124"/>
      <c r="M21" s="125" t="s">
        <v>11</v>
      </c>
      <c r="N21" s="86" t="s">
        <v>12</v>
      </c>
    </row>
    <row r="22" spans="1:14">
      <c r="A22" s="87"/>
      <c r="B22" s="88"/>
      <c r="C22" s="88"/>
      <c r="D22" s="88"/>
      <c r="E22" s="89"/>
      <c r="F22" s="88"/>
      <c r="G22" s="126"/>
      <c r="H22" s="126"/>
      <c r="I22" s="127" t="s">
        <v>13</v>
      </c>
      <c r="J22" s="127" t="s">
        <v>14</v>
      </c>
      <c r="K22" s="127" t="s">
        <v>15</v>
      </c>
      <c r="L22" s="128" t="s">
        <v>16</v>
      </c>
      <c r="M22" s="129"/>
      <c r="N22" s="93"/>
    </row>
    <row r="23" spans="1:14" ht="15.75" thickBot="1">
      <c r="A23" s="94"/>
      <c r="B23" s="95"/>
      <c r="C23" s="95"/>
      <c r="D23" s="95"/>
      <c r="E23" s="96"/>
      <c r="F23" s="95"/>
      <c r="G23" s="130"/>
      <c r="H23" s="130"/>
      <c r="I23" s="131"/>
      <c r="J23" s="131"/>
      <c r="K23" s="131"/>
      <c r="L23" s="132"/>
      <c r="M23" s="133"/>
      <c r="N23" s="100"/>
    </row>
    <row r="24" spans="1:14">
      <c r="A24" s="134" t="s">
        <v>52</v>
      </c>
      <c r="B24" s="135" t="s">
        <v>53</v>
      </c>
      <c r="C24" s="135" t="s">
        <v>54</v>
      </c>
      <c r="D24" s="135" t="s">
        <v>20</v>
      </c>
      <c r="E24" s="136">
        <v>44475</v>
      </c>
      <c r="F24" s="137" t="s">
        <v>55</v>
      </c>
      <c r="G24" s="112" t="s">
        <v>56</v>
      </c>
      <c r="H24" s="138">
        <v>66000</v>
      </c>
      <c r="I24" s="135">
        <v>31</v>
      </c>
      <c r="J24" s="135">
        <v>31</v>
      </c>
      <c r="K24" s="135">
        <v>0</v>
      </c>
      <c r="L24" s="135">
        <v>1</v>
      </c>
      <c r="M24" s="139">
        <v>25000</v>
      </c>
      <c r="N24" s="140">
        <v>91000</v>
      </c>
    </row>
    <row r="25" spans="1:14">
      <c r="A25" s="101" t="s">
        <v>57</v>
      </c>
      <c r="B25" s="109" t="s">
        <v>58</v>
      </c>
      <c r="C25" s="102" t="s">
        <v>59</v>
      </c>
      <c r="D25" s="102" t="s">
        <v>20</v>
      </c>
      <c r="E25" s="103">
        <v>45468</v>
      </c>
      <c r="F25" s="111" t="s">
        <v>60</v>
      </c>
      <c r="G25" s="112" t="s">
        <v>61</v>
      </c>
      <c r="H25" s="106">
        <v>24000</v>
      </c>
      <c r="I25" s="102">
        <v>31</v>
      </c>
      <c r="J25" s="102">
        <v>31</v>
      </c>
      <c r="K25" s="102">
        <f>[1]Attandance!AJ20</f>
        <v>0</v>
      </c>
      <c r="L25" s="102">
        <v>0</v>
      </c>
      <c r="M25" s="102"/>
      <c r="N25" s="107">
        <v>24000</v>
      </c>
    </row>
    <row r="26" spans="1:14">
      <c r="A26" s="101" t="s">
        <v>62</v>
      </c>
      <c r="B26" s="109" t="s">
        <v>63</v>
      </c>
      <c r="C26" s="102" t="s">
        <v>64</v>
      </c>
      <c r="D26" s="102" t="s">
        <v>20</v>
      </c>
      <c r="E26" s="103">
        <v>45505</v>
      </c>
      <c r="F26" s="111" t="s">
        <v>65</v>
      </c>
      <c r="G26" s="112" t="s">
        <v>66</v>
      </c>
      <c r="H26" s="106">
        <v>8000</v>
      </c>
      <c r="I26" s="102">
        <v>31</v>
      </c>
      <c r="J26" s="102">
        <v>31</v>
      </c>
      <c r="K26" s="102">
        <f>[1]Attandance!AJ21</f>
        <v>0</v>
      </c>
      <c r="L26" s="102">
        <v>1</v>
      </c>
      <c r="M26" s="102"/>
      <c r="N26" s="107">
        <v>8000</v>
      </c>
    </row>
    <row r="27" spans="1:14">
      <c r="A27" s="101" t="s">
        <v>67</v>
      </c>
      <c r="B27" s="109" t="s">
        <v>68</v>
      </c>
      <c r="C27" s="102" t="s">
        <v>69</v>
      </c>
      <c r="D27" s="102" t="s">
        <v>20</v>
      </c>
      <c r="E27" s="103">
        <v>45597</v>
      </c>
      <c r="F27" s="111" t="s">
        <v>70</v>
      </c>
      <c r="G27" s="112" t="s">
        <v>38</v>
      </c>
      <c r="H27" s="106">
        <v>15000</v>
      </c>
      <c r="I27" s="102">
        <v>31</v>
      </c>
      <c r="J27" s="102">
        <v>31</v>
      </c>
      <c r="K27" s="102">
        <v>0</v>
      </c>
      <c r="L27" s="102">
        <v>0</v>
      </c>
      <c r="M27" s="102"/>
      <c r="N27" s="107">
        <v>15000</v>
      </c>
    </row>
    <row r="28" spans="1:14">
      <c r="A28" s="101" t="s">
        <v>71</v>
      </c>
      <c r="B28" s="109" t="s">
        <v>72</v>
      </c>
      <c r="C28" s="102" t="s">
        <v>73</v>
      </c>
      <c r="D28" s="102" t="s">
        <v>20</v>
      </c>
      <c r="E28" s="103">
        <v>44967</v>
      </c>
      <c r="F28" s="111" t="s">
        <v>87</v>
      </c>
      <c r="G28" s="112" t="s">
        <v>38</v>
      </c>
      <c r="H28" s="106">
        <v>16500</v>
      </c>
      <c r="I28" s="102">
        <v>31</v>
      </c>
      <c r="J28" s="102">
        <v>31</v>
      </c>
      <c r="K28" s="102">
        <f>[1]Attandance!AJ23</f>
        <v>0</v>
      </c>
      <c r="L28" s="102">
        <v>0</v>
      </c>
      <c r="M28" s="102"/>
      <c r="N28" s="107">
        <v>16500</v>
      </c>
    </row>
    <row r="29" spans="1:14">
      <c r="A29" s="101" t="s">
        <v>75</v>
      </c>
      <c r="B29" s="141" t="s">
        <v>76</v>
      </c>
      <c r="C29" s="102" t="s">
        <v>73</v>
      </c>
      <c r="D29" s="102" t="s">
        <v>20</v>
      </c>
      <c r="E29" s="103">
        <v>45587</v>
      </c>
      <c r="F29" s="142" t="s">
        <v>77</v>
      </c>
      <c r="G29" s="143" t="s">
        <v>38</v>
      </c>
      <c r="H29" s="106">
        <v>15000</v>
      </c>
      <c r="I29" s="102">
        <v>31</v>
      </c>
      <c r="J29" s="102">
        <v>31</v>
      </c>
      <c r="K29" s="102">
        <f>[1]Attandance!AJ24</f>
        <v>0</v>
      </c>
      <c r="L29" s="102">
        <v>0</v>
      </c>
      <c r="M29" s="109"/>
      <c r="N29" s="107">
        <v>15000</v>
      </c>
    </row>
    <row r="30" spans="1:14" ht="15.75" thickBot="1">
      <c r="A30" s="115" t="s">
        <v>78</v>
      </c>
      <c r="B30" s="116" t="s">
        <v>72</v>
      </c>
      <c r="C30" s="144" t="s">
        <v>69</v>
      </c>
      <c r="D30" s="144" t="s">
        <v>20</v>
      </c>
      <c r="E30" s="117">
        <v>44959</v>
      </c>
      <c r="F30" s="118" t="s">
        <v>79</v>
      </c>
      <c r="G30" s="119" t="s">
        <v>38</v>
      </c>
      <c r="H30" s="145">
        <v>16500</v>
      </c>
      <c r="I30" s="144">
        <v>31</v>
      </c>
      <c r="J30" s="144">
        <v>31</v>
      </c>
      <c r="K30" s="144">
        <f>[1]Attandance!AJ25</f>
        <v>0</v>
      </c>
      <c r="L30" s="144">
        <v>0</v>
      </c>
      <c r="M30" s="144"/>
      <c r="N30" s="146">
        <v>16500</v>
      </c>
    </row>
  </sheetData>
  <mergeCells count="34">
    <mergeCell ref="M21:M23"/>
    <mergeCell ref="N21:N23"/>
    <mergeCell ref="I22:I23"/>
    <mergeCell ref="J22:J23"/>
    <mergeCell ref="K22:K23"/>
    <mergeCell ref="L22:L23"/>
    <mergeCell ref="A19:N19"/>
    <mergeCell ref="A21:A23"/>
    <mergeCell ref="B21:B23"/>
    <mergeCell ref="C21:C23"/>
    <mergeCell ref="D21:D23"/>
    <mergeCell ref="E21:E23"/>
    <mergeCell ref="F21:F23"/>
    <mergeCell ref="G21:G23"/>
    <mergeCell ref="H21:H23"/>
    <mergeCell ref="I21:L21"/>
    <mergeCell ref="H6:H8"/>
    <mergeCell ref="I6:L6"/>
    <mergeCell ref="M6:M8"/>
    <mergeCell ref="N6:N8"/>
    <mergeCell ref="I7:I8"/>
    <mergeCell ref="J7:J8"/>
    <mergeCell ref="K7:K8"/>
    <mergeCell ref="L7:L8"/>
    <mergeCell ref="A1:N1"/>
    <mergeCell ref="A2:N2"/>
    <mergeCell ref="A4:N4"/>
    <mergeCell ref="A6:A8"/>
    <mergeCell ref="B6:B8"/>
    <mergeCell ref="C6:C8"/>
    <mergeCell ref="D6:D8"/>
    <mergeCell ref="E6:E8"/>
    <mergeCell ref="F6:F8"/>
    <mergeCell ref="G6:G8"/>
  </mergeCells>
  <conditionalFormatting sqref="B24:B29">
    <cfRule type="expression" dxfId="6" priority="2">
      <formula>$C24=#REF!</formula>
    </cfRule>
  </conditionalFormatting>
  <conditionalFormatting sqref="B9:M9 B10:C11 M10:M15 D10:L16 C12:C15">
    <cfRule type="expression" dxfId="5" priority="3">
      <formula>$C9=#REF!</formula>
    </cfRule>
  </conditionalFormatting>
  <conditionalFormatting sqref="C24:M30">
    <cfRule type="expression" dxfId="4" priority="1">
      <formula>$C24=#REF!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workbookViewId="0">
      <selection activeCell="A17" sqref="A17:XFD17"/>
    </sheetView>
  </sheetViews>
  <sheetFormatPr defaultColWidth="14.42578125" defaultRowHeight="15" customHeight="1"/>
  <cols>
    <col min="1" max="1" width="18.28515625" customWidth="1"/>
    <col min="2" max="2" width="20.7109375" customWidth="1"/>
    <col min="3" max="3" width="17.5703125" customWidth="1"/>
    <col min="4" max="4" width="8.140625" customWidth="1"/>
    <col min="5" max="5" width="13.140625" customWidth="1"/>
    <col min="6" max="6" width="18" customWidth="1"/>
    <col min="7" max="7" width="19.5703125" customWidth="1"/>
    <col min="8" max="8" width="8.42578125" customWidth="1"/>
    <col min="9" max="9" width="5.7109375" customWidth="1"/>
    <col min="10" max="10" width="4.85546875" customWidth="1"/>
    <col min="11" max="12" width="5.85546875" customWidth="1"/>
    <col min="13" max="14" width="11.140625" customWidth="1"/>
    <col min="15" max="15" width="10.5703125" customWidth="1"/>
  </cols>
  <sheetData>
    <row r="1" spans="1:15" ht="21">
      <c r="A1" s="49" t="s">
        <v>80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</row>
    <row r="2" spans="1:15" ht="21">
      <c r="A2" s="52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/>
    </row>
    <row r="4" spans="1:15" ht="26.25">
      <c r="A4" s="55" t="s">
        <v>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7"/>
    </row>
    <row r="5" spans="1:1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5">
      <c r="A6" s="66" t="s">
        <v>2</v>
      </c>
      <c r="B6" s="45" t="s">
        <v>3</v>
      </c>
      <c r="C6" s="45" t="s">
        <v>4</v>
      </c>
      <c r="D6" s="45" t="s">
        <v>5</v>
      </c>
      <c r="E6" s="58" t="s">
        <v>6</v>
      </c>
      <c r="F6" s="58" t="s">
        <v>7</v>
      </c>
      <c r="G6" s="58" t="s">
        <v>8</v>
      </c>
      <c r="H6" s="58" t="s">
        <v>9</v>
      </c>
      <c r="I6" s="59" t="s">
        <v>10</v>
      </c>
      <c r="J6" s="50"/>
      <c r="K6" s="50"/>
      <c r="L6" s="60"/>
      <c r="M6" s="61" t="s">
        <v>11</v>
      </c>
      <c r="N6" s="62" t="s">
        <v>12</v>
      </c>
    </row>
    <row r="7" spans="1:15">
      <c r="A7" s="67"/>
      <c r="B7" s="46"/>
      <c r="C7" s="46"/>
      <c r="D7" s="46"/>
      <c r="E7" s="46"/>
      <c r="F7" s="46"/>
      <c r="G7" s="46"/>
      <c r="H7" s="46"/>
      <c r="I7" s="48" t="s">
        <v>13</v>
      </c>
      <c r="J7" s="48" t="s">
        <v>14</v>
      </c>
      <c r="K7" s="48" t="s">
        <v>15</v>
      </c>
      <c r="L7" s="65" t="s">
        <v>16</v>
      </c>
      <c r="M7" s="46"/>
      <c r="N7" s="63"/>
    </row>
    <row r="8" spans="1:15">
      <c r="A8" s="68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64"/>
    </row>
    <row r="9" spans="1:15">
      <c r="A9" s="3" t="s">
        <v>17</v>
      </c>
      <c r="B9" s="4" t="s">
        <v>18</v>
      </c>
      <c r="C9" s="4" t="s">
        <v>19</v>
      </c>
      <c r="D9" s="4" t="s">
        <v>20</v>
      </c>
      <c r="E9" s="5">
        <v>44774</v>
      </c>
      <c r="F9" s="6" t="s">
        <v>21</v>
      </c>
      <c r="G9" s="7" t="s">
        <v>22</v>
      </c>
      <c r="H9" s="8">
        <v>24500</v>
      </c>
      <c r="I9" s="4">
        <v>28</v>
      </c>
      <c r="J9" s="4">
        <v>28</v>
      </c>
      <c r="K9" s="4">
        <v>0</v>
      </c>
      <c r="L9" s="4">
        <f>[1]Attandance!AK5</f>
        <v>0</v>
      </c>
      <c r="M9" s="4"/>
      <c r="N9" s="9">
        <v>24500</v>
      </c>
      <c r="O9" s="10"/>
    </row>
    <row r="10" spans="1:15">
      <c r="A10" s="11" t="s">
        <v>23</v>
      </c>
      <c r="B10" s="12" t="s">
        <v>24</v>
      </c>
      <c r="C10" s="12" t="s">
        <v>19</v>
      </c>
      <c r="D10" s="12" t="s">
        <v>20</v>
      </c>
      <c r="E10" s="13">
        <v>44774</v>
      </c>
      <c r="F10" s="14" t="s">
        <v>25</v>
      </c>
      <c r="G10" s="15" t="s">
        <v>26</v>
      </c>
      <c r="H10" s="16">
        <v>16500</v>
      </c>
      <c r="I10" s="4">
        <v>28</v>
      </c>
      <c r="J10" s="4">
        <v>28</v>
      </c>
      <c r="K10" s="12">
        <v>0</v>
      </c>
      <c r="L10" s="12">
        <v>0</v>
      </c>
      <c r="M10" s="12"/>
      <c r="N10" s="17">
        <v>16500</v>
      </c>
      <c r="O10" s="10"/>
    </row>
    <row r="11" spans="1:15">
      <c r="A11" s="11" t="s">
        <v>27</v>
      </c>
      <c r="B11" s="12" t="s">
        <v>28</v>
      </c>
      <c r="C11" s="12" t="s">
        <v>19</v>
      </c>
      <c r="D11" s="12" t="s">
        <v>20</v>
      </c>
      <c r="E11" s="13">
        <v>45198</v>
      </c>
      <c r="F11" s="14" t="s">
        <v>29</v>
      </c>
      <c r="G11" s="15" t="s">
        <v>30</v>
      </c>
      <c r="H11" s="16">
        <v>16500</v>
      </c>
      <c r="I11" s="4">
        <v>28</v>
      </c>
      <c r="J11" s="4">
        <v>28</v>
      </c>
      <c r="K11" s="12">
        <v>0</v>
      </c>
      <c r="L11" s="12">
        <v>1</v>
      </c>
      <c r="M11" s="12"/>
      <c r="N11" s="17">
        <v>16500</v>
      </c>
      <c r="O11" s="10"/>
    </row>
    <row r="12" spans="1:15">
      <c r="A12" s="11" t="s">
        <v>31</v>
      </c>
      <c r="B12" s="12" t="s">
        <v>32</v>
      </c>
      <c r="C12" s="12" t="s">
        <v>19</v>
      </c>
      <c r="D12" s="12" t="s">
        <v>20</v>
      </c>
      <c r="E12" s="13">
        <v>45323</v>
      </c>
      <c r="F12" s="14" t="s">
        <v>33</v>
      </c>
      <c r="G12" s="15" t="s">
        <v>34</v>
      </c>
      <c r="H12" s="16">
        <v>25000</v>
      </c>
      <c r="I12" s="4">
        <v>28</v>
      </c>
      <c r="J12" s="12">
        <v>28</v>
      </c>
      <c r="K12" s="12">
        <v>0</v>
      </c>
      <c r="L12" s="12">
        <v>1</v>
      </c>
      <c r="M12" s="12"/>
      <c r="N12" s="17">
        <v>25000</v>
      </c>
      <c r="O12" s="10"/>
    </row>
    <row r="13" spans="1:15">
      <c r="A13" s="11" t="s">
        <v>35</v>
      </c>
      <c r="B13" s="12" t="s">
        <v>36</v>
      </c>
      <c r="C13" s="12" t="s">
        <v>19</v>
      </c>
      <c r="D13" s="12" t="s">
        <v>20</v>
      </c>
      <c r="E13" s="13">
        <v>45536</v>
      </c>
      <c r="F13" s="14" t="s">
        <v>37</v>
      </c>
      <c r="G13" s="15" t="s">
        <v>38</v>
      </c>
      <c r="H13" s="16">
        <v>20000</v>
      </c>
      <c r="I13" s="4">
        <v>28</v>
      </c>
      <c r="J13" s="12">
        <v>26</v>
      </c>
      <c r="K13" s="12">
        <v>2</v>
      </c>
      <c r="L13" s="12">
        <v>1</v>
      </c>
      <c r="M13" s="12"/>
      <c r="N13" s="17">
        <v>18667</v>
      </c>
      <c r="O13" s="10"/>
    </row>
    <row r="14" spans="1:15">
      <c r="A14" s="11" t="s">
        <v>39</v>
      </c>
      <c r="B14" s="12" t="s">
        <v>40</v>
      </c>
      <c r="C14" s="12" t="s">
        <v>41</v>
      </c>
      <c r="D14" s="12" t="s">
        <v>20</v>
      </c>
      <c r="E14" s="13">
        <v>45566</v>
      </c>
      <c r="F14" s="14" t="s">
        <v>42</v>
      </c>
      <c r="G14" s="15" t="s">
        <v>38</v>
      </c>
      <c r="H14" s="16">
        <v>30000</v>
      </c>
      <c r="I14" s="4">
        <v>28</v>
      </c>
      <c r="J14" s="12">
        <v>0</v>
      </c>
      <c r="K14" s="12">
        <v>0</v>
      </c>
      <c r="L14" s="12">
        <v>0</v>
      </c>
      <c r="M14" s="12"/>
      <c r="N14" s="17">
        <v>30000</v>
      </c>
      <c r="O14" s="10"/>
    </row>
    <row r="15" spans="1:15">
      <c r="A15" s="11" t="s">
        <v>43</v>
      </c>
      <c r="B15" s="12" t="s">
        <v>44</v>
      </c>
      <c r="C15" s="39" t="s">
        <v>81</v>
      </c>
      <c r="D15" s="12" t="s">
        <v>20</v>
      </c>
      <c r="E15" s="13">
        <v>45597</v>
      </c>
      <c r="F15" s="14" t="s">
        <v>45</v>
      </c>
      <c r="G15" s="15" t="s">
        <v>46</v>
      </c>
      <c r="H15" s="16">
        <v>30000</v>
      </c>
      <c r="I15" s="4">
        <v>28</v>
      </c>
      <c r="J15" s="12">
        <v>0</v>
      </c>
      <c r="K15" s="12">
        <v>0</v>
      </c>
      <c r="L15" s="12">
        <v>0</v>
      </c>
      <c r="M15" s="12"/>
      <c r="N15" s="17">
        <v>30000</v>
      </c>
      <c r="O15" s="10"/>
    </row>
    <row r="16" spans="1:15">
      <c r="A16" s="40" t="s">
        <v>82</v>
      </c>
      <c r="B16" s="41" t="s">
        <v>83</v>
      </c>
      <c r="C16" s="39" t="s">
        <v>19</v>
      </c>
      <c r="D16" s="12" t="s">
        <v>20</v>
      </c>
      <c r="E16" s="13">
        <v>45689</v>
      </c>
      <c r="F16" s="42" t="s">
        <v>84</v>
      </c>
      <c r="G16" s="20" t="s">
        <v>38</v>
      </c>
      <c r="H16" s="16">
        <v>18000</v>
      </c>
      <c r="I16" s="4">
        <v>28</v>
      </c>
      <c r="J16" s="12">
        <v>26</v>
      </c>
      <c r="K16" s="12">
        <v>2</v>
      </c>
      <c r="L16" s="12">
        <v>0</v>
      </c>
      <c r="M16" s="12"/>
      <c r="N16" s="17">
        <v>16800</v>
      </c>
      <c r="O16" s="10"/>
    </row>
    <row r="17" spans="1:16">
      <c r="A17" s="21" t="s">
        <v>47</v>
      </c>
      <c r="B17" s="22" t="s">
        <v>48</v>
      </c>
      <c r="C17" s="22" t="s">
        <v>49</v>
      </c>
      <c r="D17" s="22" t="s">
        <v>20</v>
      </c>
      <c r="E17" s="23">
        <v>45559</v>
      </c>
      <c r="F17" s="24" t="s">
        <v>50</v>
      </c>
      <c r="G17" s="25" t="s">
        <v>38</v>
      </c>
      <c r="H17" s="26">
        <v>28000</v>
      </c>
      <c r="I17" s="22">
        <v>28</v>
      </c>
      <c r="J17" s="22">
        <v>0</v>
      </c>
      <c r="K17" s="22">
        <v>0</v>
      </c>
      <c r="L17" s="22">
        <v>0</v>
      </c>
      <c r="M17" s="27"/>
      <c r="N17" s="28">
        <v>28000</v>
      </c>
      <c r="P17" s="44"/>
    </row>
    <row r="18" spans="1:16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6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6" ht="26.25">
      <c r="A20" s="55" t="s">
        <v>51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7"/>
    </row>
    <row r="21" spans="1:16" ht="15.75" customHeight="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6" ht="15.75" customHeight="1">
      <c r="A22" s="66" t="s">
        <v>2</v>
      </c>
      <c r="B22" s="45" t="s">
        <v>3</v>
      </c>
      <c r="C22" s="45" t="s">
        <v>4</v>
      </c>
      <c r="D22" s="45" t="s">
        <v>5</v>
      </c>
      <c r="E22" s="58" t="s">
        <v>6</v>
      </c>
      <c r="F22" s="58" t="s">
        <v>7</v>
      </c>
      <c r="G22" s="58" t="s">
        <v>8</v>
      </c>
      <c r="H22" s="58" t="s">
        <v>9</v>
      </c>
      <c r="I22" s="69" t="s">
        <v>10</v>
      </c>
      <c r="J22" s="50"/>
      <c r="K22" s="50"/>
      <c r="L22" s="60"/>
      <c r="M22" s="61" t="s">
        <v>11</v>
      </c>
      <c r="N22" s="62" t="s">
        <v>12</v>
      </c>
    </row>
    <row r="23" spans="1:16" ht="15.75" customHeight="1">
      <c r="A23" s="67"/>
      <c r="B23" s="46"/>
      <c r="C23" s="46"/>
      <c r="D23" s="46"/>
      <c r="E23" s="46"/>
      <c r="F23" s="46"/>
      <c r="G23" s="46"/>
      <c r="H23" s="46"/>
      <c r="I23" s="48" t="s">
        <v>13</v>
      </c>
      <c r="J23" s="48" t="s">
        <v>14</v>
      </c>
      <c r="K23" s="48" t="s">
        <v>15</v>
      </c>
      <c r="L23" s="65" t="s">
        <v>16</v>
      </c>
      <c r="M23" s="46"/>
      <c r="N23" s="63"/>
    </row>
    <row r="24" spans="1:16" ht="15.75" customHeight="1">
      <c r="A24" s="68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64"/>
    </row>
    <row r="25" spans="1:16" ht="15.75" customHeight="1">
      <c r="A25" s="29" t="s">
        <v>52</v>
      </c>
      <c r="B25" s="30" t="s">
        <v>53</v>
      </c>
      <c r="C25" s="30" t="s">
        <v>54</v>
      </c>
      <c r="D25" s="30" t="s">
        <v>20</v>
      </c>
      <c r="E25" s="31">
        <v>44475</v>
      </c>
      <c r="F25" s="32" t="s">
        <v>55</v>
      </c>
      <c r="G25" s="15" t="s">
        <v>56</v>
      </c>
      <c r="H25" s="33">
        <v>66000</v>
      </c>
      <c r="I25" s="30">
        <v>28</v>
      </c>
      <c r="J25" s="30">
        <v>28</v>
      </c>
      <c r="K25" s="30">
        <v>0</v>
      </c>
      <c r="L25" s="30">
        <v>0</v>
      </c>
      <c r="M25" s="34">
        <v>25000</v>
      </c>
      <c r="N25" s="35">
        <v>91000</v>
      </c>
    </row>
    <row r="26" spans="1:16" ht="15.75" customHeight="1">
      <c r="A26" s="3" t="s">
        <v>57</v>
      </c>
      <c r="B26" s="12" t="s">
        <v>58</v>
      </c>
      <c r="C26" s="4" t="s">
        <v>59</v>
      </c>
      <c r="D26" s="4" t="s">
        <v>20</v>
      </c>
      <c r="E26" s="5">
        <v>45468</v>
      </c>
      <c r="F26" s="14" t="s">
        <v>60</v>
      </c>
      <c r="G26" s="15" t="s">
        <v>61</v>
      </c>
      <c r="H26" s="8">
        <v>24000</v>
      </c>
      <c r="I26" s="4">
        <v>28</v>
      </c>
      <c r="J26" s="4">
        <v>28</v>
      </c>
      <c r="K26" s="4">
        <f>[1]Attandance!AJ20</f>
        <v>0</v>
      </c>
      <c r="L26" s="4" t="e">
        <f>[1]Attandance!AK20</f>
        <v>#REF!</v>
      </c>
      <c r="M26" s="4"/>
      <c r="N26" s="9">
        <v>24000</v>
      </c>
    </row>
    <row r="27" spans="1:16" ht="15.75" customHeight="1">
      <c r="A27" s="3" t="s">
        <v>62</v>
      </c>
      <c r="B27" s="12" t="s">
        <v>63</v>
      </c>
      <c r="C27" s="4" t="s">
        <v>64</v>
      </c>
      <c r="D27" s="4" t="s">
        <v>20</v>
      </c>
      <c r="E27" s="5">
        <v>45505</v>
      </c>
      <c r="F27" s="14" t="s">
        <v>65</v>
      </c>
      <c r="G27" s="15" t="s">
        <v>66</v>
      </c>
      <c r="H27" s="8">
        <v>8000</v>
      </c>
      <c r="I27" s="4">
        <v>28</v>
      </c>
      <c r="J27" s="4">
        <v>28</v>
      </c>
      <c r="K27" s="4">
        <f>[1]Attandance!AJ21</f>
        <v>0</v>
      </c>
      <c r="L27" s="4" t="e">
        <f>[1]Attandance!AK21</f>
        <v>#REF!</v>
      </c>
      <c r="M27" s="4"/>
      <c r="N27" s="9">
        <v>8000</v>
      </c>
    </row>
    <row r="28" spans="1:16" ht="15.75" customHeight="1">
      <c r="A28" s="3" t="s">
        <v>67</v>
      </c>
      <c r="B28" s="12" t="s">
        <v>68</v>
      </c>
      <c r="C28" s="4" t="s">
        <v>69</v>
      </c>
      <c r="D28" s="4" t="s">
        <v>20</v>
      </c>
      <c r="E28" s="5">
        <v>45597</v>
      </c>
      <c r="F28" s="14" t="s">
        <v>70</v>
      </c>
      <c r="G28" s="15" t="s">
        <v>38</v>
      </c>
      <c r="H28" s="8">
        <v>15000</v>
      </c>
      <c r="I28" s="4">
        <v>28</v>
      </c>
      <c r="J28" s="4">
        <v>28</v>
      </c>
      <c r="K28" s="4">
        <v>0</v>
      </c>
      <c r="L28" s="4">
        <v>1</v>
      </c>
      <c r="M28" s="4"/>
      <c r="N28" s="9">
        <v>15000</v>
      </c>
    </row>
    <row r="29" spans="1:16" ht="15.75" customHeight="1">
      <c r="A29" s="3" t="s">
        <v>71</v>
      </c>
      <c r="B29" s="12" t="s">
        <v>72</v>
      </c>
      <c r="C29" s="4" t="s">
        <v>73</v>
      </c>
      <c r="D29" s="4" t="s">
        <v>20</v>
      </c>
      <c r="E29" s="5">
        <v>44967</v>
      </c>
      <c r="F29" s="14" t="s">
        <v>74</v>
      </c>
      <c r="G29" s="15" t="s">
        <v>38</v>
      </c>
      <c r="H29" s="8">
        <v>16500</v>
      </c>
      <c r="I29" s="4">
        <v>28</v>
      </c>
      <c r="J29" s="4">
        <v>28</v>
      </c>
      <c r="K29" s="4">
        <f>[1]Attandance!AJ23</f>
        <v>0</v>
      </c>
      <c r="L29" s="4" t="e">
        <f>[1]Attandance!AK23</f>
        <v>#REF!</v>
      </c>
      <c r="M29" s="4"/>
      <c r="N29" s="9">
        <v>16500</v>
      </c>
    </row>
    <row r="30" spans="1:16" ht="15.75" customHeight="1">
      <c r="A30" s="3" t="s">
        <v>75</v>
      </c>
      <c r="B30" s="18" t="s">
        <v>76</v>
      </c>
      <c r="C30" s="4" t="s">
        <v>73</v>
      </c>
      <c r="D30" s="4" t="s">
        <v>20</v>
      </c>
      <c r="E30" s="5">
        <v>45587</v>
      </c>
      <c r="F30" s="19" t="s">
        <v>77</v>
      </c>
      <c r="G30" s="20" t="s">
        <v>38</v>
      </c>
      <c r="H30" s="8">
        <v>15000</v>
      </c>
      <c r="I30" s="4">
        <v>28</v>
      </c>
      <c r="J30" s="4">
        <v>28</v>
      </c>
      <c r="K30" s="4">
        <f>[1]Attandance!AJ24</f>
        <v>0</v>
      </c>
      <c r="L30" s="4">
        <v>1</v>
      </c>
      <c r="M30" s="12"/>
      <c r="N30" s="9">
        <v>15000</v>
      </c>
    </row>
    <row r="31" spans="1:16" ht="15.75" customHeight="1">
      <c r="A31" s="21" t="s">
        <v>78</v>
      </c>
      <c r="B31" s="22" t="s">
        <v>72</v>
      </c>
      <c r="C31" s="36" t="s">
        <v>69</v>
      </c>
      <c r="D31" s="36" t="s">
        <v>20</v>
      </c>
      <c r="E31" s="23">
        <v>44959</v>
      </c>
      <c r="F31" s="24" t="s">
        <v>79</v>
      </c>
      <c r="G31" s="25" t="s">
        <v>38</v>
      </c>
      <c r="H31" s="37">
        <v>16500</v>
      </c>
      <c r="I31" s="36">
        <v>28</v>
      </c>
      <c r="J31" s="36">
        <v>28</v>
      </c>
      <c r="K31" s="36">
        <f>[1]Attandance!AJ25</f>
        <v>0</v>
      </c>
      <c r="L31" s="36" t="e">
        <f>[1]Attandance!AK25</f>
        <v>#REF!</v>
      </c>
      <c r="M31" s="36"/>
      <c r="N31" s="38">
        <v>16500</v>
      </c>
    </row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4">
    <mergeCell ref="A22:A24"/>
    <mergeCell ref="B22:B24"/>
    <mergeCell ref="I22:L22"/>
    <mergeCell ref="N22:N24"/>
    <mergeCell ref="C22:C24"/>
    <mergeCell ref="D22:D24"/>
    <mergeCell ref="E22:E24"/>
    <mergeCell ref="F22:F24"/>
    <mergeCell ref="G22:G24"/>
    <mergeCell ref="H22:H24"/>
    <mergeCell ref="L23:L24"/>
    <mergeCell ref="M22:M24"/>
    <mergeCell ref="K23:K24"/>
    <mergeCell ref="L7:L8"/>
    <mergeCell ref="A6:A8"/>
    <mergeCell ref="D6:D8"/>
    <mergeCell ref="E6:E8"/>
    <mergeCell ref="A20:N20"/>
    <mergeCell ref="B6:B8"/>
    <mergeCell ref="C6:C8"/>
    <mergeCell ref="I23:I24"/>
    <mergeCell ref="J23:J24"/>
    <mergeCell ref="A1:N1"/>
    <mergeCell ref="A2:N2"/>
    <mergeCell ref="A4:N4"/>
    <mergeCell ref="H6:H8"/>
    <mergeCell ref="I6:L6"/>
    <mergeCell ref="F6:F8"/>
    <mergeCell ref="G6:G8"/>
    <mergeCell ref="M6:M8"/>
    <mergeCell ref="N6:N8"/>
    <mergeCell ref="I7:I8"/>
    <mergeCell ref="J7:J8"/>
    <mergeCell ref="K7:K8"/>
  </mergeCells>
  <conditionalFormatting sqref="B25:B30 M10:M16 D10:L17 C12:C16">
    <cfRule type="expression" dxfId="3" priority="3">
      <formula>$C10=#REF!</formula>
    </cfRule>
  </conditionalFormatting>
  <conditionalFormatting sqref="B9:M9 B10:C11 C25:M31">
    <cfRule type="expression" dxfId="2" priority="1">
      <formula>$C9=#REF!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August-2024</vt:lpstr>
      <vt:lpstr>September-2024</vt:lpstr>
      <vt:lpstr>October-2024</vt:lpstr>
      <vt:lpstr>November-2024</vt:lpstr>
      <vt:lpstr>December-2024</vt:lpstr>
      <vt:lpstr>January-2025</vt:lpstr>
      <vt:lpstr>February-2025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2024-11-08T06:08:06Z</dcterms:created>
  <dcterms:modified xsi:type="dcterms:W3CDTF">2025-05-06T06:43:29Z</dcterms:modified>
</cp:coreProperties>
</file>